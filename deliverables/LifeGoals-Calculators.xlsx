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comments23.xml" ContentType="application/vnd.openxmlformats-officedocument.spreadsheetml.comments+xml"/>
  <Override PartName="/xl/comments22.xml" ContentType="application/vnd.openxmlformats-officedocument.spreadsheetml.comments+xml"/>
  <Override PartName="/xl/styles.xml" ContentType="application/vnd.openxmlformats-officedocument.spreadsheetml.styles+xml"/>
  <Override PartName="/xl/comments11.xml" ContentType="application/vnd.openxmlformats-officedocument.spreadsheetml.comments+xml"/>
  <Override PartName="/xl/comments10.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6.xml" ContentType="application/vnd.openxmlformats-officedocument.spreadsheetml.comments+xml"/>
  <Override PartName="/xl/comments16.xml" ContentType="application/vnd.openxmlformats-officedocument.spreadsheetml.comments+xml"/>
  <Override PartName="/xl/comments14.xml" ContentType="application/vnd.openxmlformats-officedocument.spreadsheetml.comments+xml"/>
  <Override PartName="/xl/comments4.xml" ContentType="application/vnd.openxmlformats-officedocument.spreadsheetml.comments+xml"/>
  <Override PartName="/xl/comments26.xml" ContentType="application/vnd.openxmlformats-officedocument.spreadsheetml.comments+xml"/>
  <Override PartName="/xl/comments15.xml" ContentType="application/vnd.openxmlformats-officedocument.spreadsheetml.comments+xml"/>
  <Override PartName="/xl/comments5.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drawings/vmlDrawing4.vml" ContentType="application/vnd.openxmlformats-officedocument.vmlDrawing"/>
  <Override PartName="/xl/drawings/vmlDrawing10.vml" ContentType="application/vnd.openxmlformats-officedocument.vmlDrawing"/>
  <Override PartName="/xl/drawings/vmlDrawing5.vml" ContentType="application/vnd.openxmlformats-officedocument.vmlDrawing"/>
  <Override PartName="/xl/drawings/vmlDrawing11.vml" ContentType="application/vnd.openxmlformats-officedocument.vmlDrawing"/>
  <Override PartName="/xl/drawings/vmlDrawing6.vml" ContentType="application/vnd.openxmlformats-officedocument.vmlDrawing"/>
  <Override PartName="/xl/drawings/vmlDrawing12.vml" ContentType="application/vnd.openxmlformats-officedocument.vmlDrawing"/>
  <Override PartName="/xl/drawings/vmlDrawing7.vml" ContentType="application/vnd.openxmlformats-officedocument.vmlDrawing"/>
  <Override PartName="/xl/drawings/vmlDrawing13.vml" ContentType="application/vnd.openxmlformats-officedocument.vmlDrawing"/>
  <Override PartName="/xl/drawings/vmlDrawing3.vml" ContentType="application/vnd.openxmlformats-officedocument.vmlDrawing"/>
  <Override PartName="/xl/drawings/vmlDrawing29.vml" ContentType="application/vnd.openxmlformats-officedocument.vmlDrawing"/>
  <Override PartName="/xl/drawings/vmlDrawing8.vml" ContentType="application/vnd.openxmlformats-officedocument.vmlDrawing"/>
  <Override PartName="/xl/drawings/vmlDrawing14.vml" ContentType="application/vnd.openxmlformats-officedocument.vmlDrawing"/>
  <Override PartName="/xl/drawings/vmlDrawing9.vml" ContentType="application/vnd.openxmlformats-officedocument.vmlDrawing"/>
  <Override PartName="/xl/drawings/vmlDrawing15.vml" ContentType="application/vnd.openxmlformats-officedocument.vmlDrawing"/>
  <Override PartName="/xl/drawings/vmlDrawing16.vml" ContentType="application/vnd.openxmlformats-officedocument.vmlDrawing"/>
  <Override PartName="/xl/drawings/vmlDrawing17.vml" ContentType="application/vnd.openxmlformats-officedocument.vmlDrawing"/>
  <Override PartName="/xl/drawings/vmlDrawing18.vml" ContentType="application/vnd.openxmlformats-officedocument.vmlDrawing"/>
  <Override PartName="/xl/drawings/vmlDrawing20.vml" ContentType="application/vnd.openxmlformats-officedocument.vmlDrawing"/>
  <Override PartName="/xl/drawings/vmlDrawing19.vml" ContentType="application/vnd.openxmlformats-officedocument.vmlDrawing"/>
  <Override PartName="/xl/drawings/vmlDrawing21.vml" ContentType="application/vnd.openxmlformats-officedocument.vmlDrawing"/>
  <Override PartName="/xl/drawings/vmlDrawing22.vml" ContentType="application/vnd.openxmlformats-officedocument.vmlDrawing"/>
  <Override PartName="/xl/drawings/vmlDrawing23.vml" ContentType="application/vnd.openxmlformats-officedocument.vmlDrawing"/>
  <Override PartName="/xl/drawings/vmlDrawing24.vml" ContentType="application/vnd.openxmlformats-officedocument.vmlDrawing"/>
  <Override PartName="/xl/drawings/vmlDrawing25.vml" ContentType="application/vnd.openxmlformats-officedocument.vmlDrawing"/>
  <Override PartName="/xl/drawings/vmlDrawing26.vml" ContentType="application/vnd.openxmlformats-officedocument.vmlDrawing"/>
  <Override PartName="/xl/drawings/vmlDrawing27.vml" ContentType="application/vnd.openxmlformats-officedocument.vmlDrawing"/>
  <Override PartName="/xl/drawings/vmlDrawing28.vml" ContentType="application/vnd.openxmlformats-officedocument.vmlDrawing"/>
  <Override PartName="/xl/comments24.xml" ContentType="application/vnd.openxmlformats-officedocument.spreadsheetml.comments+xml"/>
  <Override PartName="/xl/_rels/workbook.xml.rels" ContentType="application/vnd.openxmlformats-package.relationships+xml"/>
  <Override PartName="/xl/comments2.xml" ContentType="application/vnd.openxmlformats-officedocument.spreadsheetml.comments+xml"/>
  <Override PartName="/xl/comments12.xml" ContentType="application/vnd.openxmlformats-officedocument.spreadsheetml.comments+xml"/>
  <Override PartName="/xl/comments8.xml" ContentType="application/vnd.openxmlformats-officedocument.spreadsheetml.comments+xml"/>
  <Override PartName="/xl/sharedStrings.xml" ContentType="application/vnd.openxmlformats-officedocument.spreadsheetml.sharedStrings+xml"/>
  <Override PartName="/xl/worksheets/_rels/sheet27.xml.rels" ContentType="application/vnd.openxmlformats-package.relationships+xml"/>
  <Override PartName="/xl/worksheets/_rels/sheet26.xml.rels" ContentType="application/vnd.openxmlformats-package.relationships+xml"/>
  <Override PartName="/xl/worksheets/_rels/sheet9.xml.rels" ContentType="application/vnd.openxmlformats-package.relationships+xml"/>
  <Override PartName="/xl/worksheets/_rels/sheet38.xml.rels" ContentType="application/vnd.openxmlformats-package.relationships+xml"/>
  <Override PartName="/xl/worksheets/_rels/sheet40.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28.xml.rels" ContentType="application/vnd.openxmlformats-package.relationships+xml"/>
  <Override PartName="/xl/worksheets/_rels/sheet29.xml.rels" ContentType="application/vnd.openxmlformats-package.relationships+xml"/>
  <Override PartName="/xl/worksheets/_rels/sheet39.xml.rels" ContentType="application/vnd.openxmlformats-package.relationships+xml"/>
  <Override PartName="/xl/worksheets/_rels/sheet15.xml.rels" ContentType="application/vnd.openxmlformats-package.relationships+xml"/>
  <Override PartName="/xl/worksheets/_rels/sheet16.xml.rels" ContentType="application/vnd.openxmlformats-package.relationships+xml"/>
  <Override PartName="/xl/worksheets/_rels/sheet3.xml.rels" ContentType="application/vnd.openxmlformats-package.relationships+xml"/>
  <Override PartName="/xl/worksheets/_rels/sheet18.xml.rels" ContentType="application/vnd.openxmlformats-package.relationships+xml"/>
  <Override PartName="/xl/worksheets/_rels/sheet20.xml.rels" ContentType="application/vnd.openxmlformats-package.relationships+xml"/>
  <Override PartName="/xl/worksheets/_rels/sheet2.xml.rels" ContentType="application/vnd.openxmlformats-package.relationships+xml"/>
  <Override PartName="/xl/worksheets/_rels/sheet17.xml.rels" ContentType="application/vnd.openxmlformats-package.relationships+xml"/>
  <Override PartName="/xl/worksheets/_rels/sheet4.xml.rels" ContentType="application/vnd.openxmlformats-package.relationships+xml"/>
  <Override PartName="/xl/worksheets/_rels/sheet19.xml.rels" ContentType="application/vnd.openxmlformats-package.relationships+xml"/>
  <Override PartName="/xl/worksheets/_rels/sheet21.xml.rels" ContentType="application/vnd.openxmlformats-package.relationships+xml"/>
  <Override PartName="/xl/worksheets/_rels/sheet22.xml.rels" ContentType="application/vnd.openxmlformats-package.relationships+xml"/>
  <Override PartName="/xl/worksheets/_rels/sheet23.xml.rels" ContentType="application/vnd.openxmlformats-package.relationships+xml"/>
  <Override PartName="/xl/worksheets/_rels/sheet24.xml.rels" ContentType="application/vnd.openxmlformats-package.relationships+xml"/>
  <Override PartName="/xl/worksheets/_rels/sheet25.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40.xml" ContentType="application/vnd.openxmlformats-officedocument.spreadsheetml.worksheet+xml"/>
  <Override PartName="/xl/worksheets/sheet39.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3.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31.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30.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omments9.xml" ContentType="application/vnd.openxmlformats-officedocument.spreadsheetml.comments+xml"/>
  <Override PartName="/xl/comments19.xml" ContentType="application/vnd.openxmlformats-officedocument.spreadsheetml.comments+xml"/>
  <Override PartName="/xl/comments21.xml" ContentType="application/vnd.openxmlformats-officedocument.spreadsheetml.comments+xml"/>
  <Override PartName="/xl/comments39.xml" ContentType="application/vnd.openxmlformats-officedocument.spreadsheetml.comments+xml"/>
  <Override PartName="/xl/comments3.xml" ContentType="application/vnd.openxmlformats-officedocument.spreadsheetml.comments+xml"/>
  <Override PartName="/xl/comments13.xml" ContentType="application/vnd.openxmlformats-officedocument.spreadsheetml.comments+xml"/>
  <Override PartName="/xl/comments7.xml" ContentType="application/vnd.openxmlformats-officedocument.spreadsheetml.comments+xml"/>
  <Override PartName="/xl/comments17.xml" ContentType="application/vnd.openxmlformats-officedocument.spreadsheetml.comments+xml"/>
  <Override PartName="/xl/workbook.xml" ContentType="application/vnd.openxmlformats-officedocument.spreadsheetml.sheet.main+xml"/>
  <Override PartName="/xl/comments2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C01 Borrowing" sheetId="2" state="visible" r:id="rId4"/>
    <sheet name="C02 Mortgage repayment" sheetId="3" state="visible" r:id="rId5"/>
    <sheet name="C03 Deposit" sheetId="4" state="visible" r:id="rId6"/>
    <sheet name="C04 Mortgage overpayment" sheetId="5" state="visible" r:id="rId7"/>
    <sheet name="C05 Interest rate impact" sheetId="6" state="visible" r:id="rId8"/>
    <sheet name="C06 Term comparison" sheetId="7" state="visible" r:id="rId9"/>
    <sheet name="C07 Rent vs buy" sheetId="8" state="visible" r:id="rId10"/>
    <sheet name="C08 Goal planner" sheetId="9" state="visible" r:id="rId11"/>
    <sheet name="C09 Compound growth" sheetId="10" state="visible" r:id="rId12"/>
    <sheet name="C10 Lump sum growth" sheetId="11" state="visible" r:id="rId13"/>
    <sheet name="C11 Emergency fund" sheetId="12" state="visible" r:id="rId14"/>
    <sheet name="C12 Retirement projection" sheetId="13" state="visible" r:id="rId15"/>
    <sheet name="C13 Contribution impact" sheetId="14" state="visible" r:id="rId16"/>
    <sheet name="C14 AVC impact" sheetId="15" state="visible" r:id="rId17"/>
    <sheet name="C15 Will my money last" sheetId="16" state="visible" r:id="rId18"/>
    <sheet name="C16 Drawdown scenarios" sheetId="17" state="visible" r:id="rId19"/>
    <sheet name="C17 Inflation adjusted return" sheetId="18" state="visible" r:id="rId20"/>
    <sheet name="C18 Regular investing" sheetId="19" state="visible" r:id="rId21"/>
    <sheet name="C19 Fees impact" sheetId="20" state="visible" r:id="rId22"/>
    <sheet name="C20 Risk and return" sheetId="21" state="visible" r:id="rId23"/>
    <sheet name="C21 Life cover" sheetId="22" state="visible" r:id="rId24"/>
    <sheet name="C22 Income protection gap" sheetId="23" state="visible" r:id="rId25"/>
    <sheet name="C23 Mortgage protection" sheetId="24" state="visible" r:id="rId26"/>
    <sheet name="C24 Net worth" sheetId="25" state="visible" r:id="rId27"/>
    <sheet name="C25 Monthly surplus" sheetId="26" state="visible" r:id="rId28"/>
    <sheet name="C26 Budget 50 30 20" sheetId="27" state="visible" r:id="rId29"/>
    <sheet name="C27 Debt repayment" sheetId="28" state="visible" r:id="rId30"/>
    <sheet name="C28 Loan repayment" sheetId="29" state="visible" r:id="rId31"/>
    <sheet name="Plan inputs" sheetId="30" state="visible" r:id="rId32"/>
    <sheet name="Plan pay &amp; tax" sheetId="31" state="visible" r:id="rId33"/>
    <sheet name="Plan cashflow" sheetId="32" state="visible" r:id="rId34"/>
    <sheet name="Plan goals" sheetId="33" state="visible" r:id="rId35"/>
    <sheet name="Plan results" sheetId="34" state="visible" r:id="rId36"/>
    <sheet name="Plan profile" sheetId="35" state="visible" r:id="rId37"/>
    <sheet name="Plan debt months" sheetId="36" state="visible" r:id="rId38"/>
    <sheet name="Plan how it works" sheetId="37" state="visible" r:id="rId39"/>
    <sheet name="Calculation register" sheetId="38" state="visible" r:id="rId40"/>
    <sheet name="Tax engine" sheetId="39" state="visible" r:id="rId41"/>
    <sheet name="Document reader spec" sheetId="40" state="visible" r:id="rId42"/>
    <sheet name="Your lists" sheetId="41" state="visible" r:id="rId43"/>
    <sheet name="Settings" sheetId="42" state="visible" r:id="rId44"/>
    <sheet name="Assumptions" sheetId="43" state="visible" r:id="rId45"/>
  </sheets>
  <definedNames>
    <definedName function="false" hidden="true" localSheetId="37" name="_xlnm._FilterDatabase" vbProcedure="false">'Calculation register'!$B$4:$H$97</definedName>
    <definedName function="false" hidden="false" name="AS_Bands" vbProcedure="false">'Plan pay &amp; tax'!$C$128</definedName>
    <definedName function="false" hidden="false" name="AS_CardRate" vbProcedure="false">'Plan pay &amp; tax'!$C$115</definedName>
    <definedName function="false" hidden="false" name="AS_Cash" vbProcedure="false">'Plan pay &amp; tax'!$C$110</definedName>
    <definedName function="false" hidden="false" name="AS_Cautious" vbProcedure="false">'Plan pay &amp; tax'!$C$107</definedName>
    <definedName function="false" hidden="false" name="AS_DrawFixed" vbProcedure="false">'Plan pay &amp; tax'!$C$127</definedName>
    <definedName function="false" hidden="false" name="AS_DrawRule" vbProcedure="false">'Plan pay &amp; tax'!$C$126</definedName>
    <definedName function="false" hidden="false" name="AS_End" vbProcedure="false">'Plan pay &amp; tax'!$C$117</definedName>
    <definedName function="false" hidden="false" name="AS_Infl" vbProcedure="false">'Plan pay &amp; tax'!$C$108</definedName>
    <definedName function="false" hidden="false" name="AS_Inv" vbProcedure="false">'Plan pay &amp; tax'!$C$111</definedName>
    <definedName function="false" hidden="false" name="AS_InvShare" vbProcedure="false">'Plan pay &amp; tax'!$C$124</definedName>
    <definedName function="false" hidden="false" name="AS_LoanRate" vbProcedure="false">'Plan pay &amp; tax'!$C$116</definedName>
    <definedName function="false" hidden="false" name="AS_LongYrs" vbProcedure="false">'Plan pay &amp; tax'!$C$121</definedName>
    <definedName function="false" hidden="false" name="AS_LumpPct" vbProcedure="false">'Plan pay &amp; tax'!$C$125</definedName>
    <definedName function="false" hidden="false" name="AS_Months" vbProcedure="false">'Plan pay &amp; tax'!$C$120</definedName>
    <definedName function="false" hidden="false" name="AS_MortRate" vbProcedure="false">'Plan pay &amp; tax'!$C$114</definedName>
    <definedName function="false" hidden="false" name="AS_NoAnswer" vbProcedure="false">'Plan pay &amp; tax'!$C$123</definedName>
    <definedName function="false" hidden="false" name="AS_OwnShare" vbProcedure="false">'Plan pay &amp; tax'!$C$131</definedName>
    <definedName function="false" hidden="false" name="AS_Pen" vbProcedure="false">'Plan pay &amp; tax'!$C$112</definedName>
    <definedName function="false" hidden="false" name="AS_PenChgTyp" vbProcedure="false">'Plan pay &amp; tax'!$C$132</definedName>
    <definedName function="false" hidden="false" name="AS_PenRet" vbProcedure="false">'Plan pay &amp; tax'!$C$113</definedName>
    <definedName function="false" hidden="false" name="AS_PSpOwn" vbProcedure="false">'Plan pay &amp; tax'!$C$135</definedName>
    <definedName function="false" hidden="false" name="AS_PSpWeek" vbProcedure="false">'Plan pay &amp; tax'!$C$136</definedName>
    <definedName function="false" hidden="false" name="AS_RetireSpend" vbProcedure="false">'Plan pay &amp; tax'!$C$130</definedName>
    <definedName function="false" hidden="false" name="AS_SaveShare" vbProcedure="false">'Plan pay &amp; tax'!$C$122</definedName>
    <definedName function="false" hidden="false" name="AS_SP" vbProcedure="false">'Plan pay &amp; tax'!$C$137</definedName>
    <definedName function="false" hidden="false" name="AS_SpGrow" vbProcedure="false">'Plan pay &amp; tax'!$C$129</definedName>
    <definedName function="false" hidden="false" name="AS_SpOwn" vbProcedure="false">'Plan pay &amp; tax'!$C$133</definedName>
    <definedName function="false" hidden="false" name="AS_SpWeek" vbProcedure="false">'Plan pay &amp; tax'!$C$134</definedName>
    <definedName function="false" hidden="false" name="AS_TwoSecure" vbProcedure="false">'Plan pay &amp; tax'!$C$119</definedName>
    <definedName function="false" hidden="false" name="AS_Wage" vbProcedure="false">'Plan pay &amp; tax'!$C$109</definedName>
    <definedName function="false" hidden="false" name="AS_Year0" vbProcedure="false">'Plan pay &amp; tax'!$C$118</definedName>
    <definedName function="false" hidden="false" name="Band_Married" vbProcedure="false">Assumptions!$C$12</definedName>
    <definedName function="false" hidden="false" name="Band_Second_Earner_Max" vbProcedure="false">Assumptions!$C$13</definedName>
    <definedName function="false" hidden="false" name="Band_Single" vbProcedure="false">Assumptions!$C$10</definedName>
    <definedName function="false" hidden="false" name="Band_Single_Parent" vbProcedure="false">Assumptions!$C$11</definedName>
    <definedName function="false" hidden="false" name="Cap_Months" vbProcedure="false">Assumptions!$C$98</definedName>
    <definedName function="false" hidden="false" name="Cap_Years" vbProcedure="false">Assumptions!$C$99</definedName>
    <definedName function="false" hidden="false" name="Cards_Owed_Rng" vbProcedure="false">'Your lists'!$D$6:$D$13</definedName>
    <definedName function="false" hidden="false" name="Cards_Owed_Total" vbProcedure="false">'Your lists'!$D$15</definedName>
    <definedName function="false" hidden="false" name="Cards_Pay_Rng" vbProcedure="false">'Your lists'!$E$6:$E$13</definedName>
    <definedName function="false" hidden="false" name="Cards_Pay_Total" vbProcedure="false">'Your lists'!$D$16</definedName>
    <definedName function="false" hidden="false" name="Cards_Rate_Avg" vbProcedure="false">'Your lists'!$D$17</definedName>
    <definedName function="false" hidden="false" name="Card_APR_Cap" vbProcedure="false">Settings!$C$57</definedName>
    <definedName function="false" hidden="false" name="Chap_Avg" vbProcedure="false">'Plan results'!$I$179:$I$188</definedName>
    <definedName function="false" hidden="false" name="Chap_Dec" vbProcedure="false">'Plan results'!$C$179:$C$188</definedName>
    <definedName function="false" hidden="false" name="Chap_Dip" vbProcedure="false">'Plan results'!$H$179:$H$188</definedName>
    <definedName function="false" hidden="false" name="Chap_From" vbProcedure="false">'Plan results'!$D$179:$D$188</definedName>
    <definedName function="false" hidden="false" name="Chap_Short" vbProcedure="false">'Plan results'!$G$179:$G$188</definedName>
    <definedName function="false" hidden="false" name="Chap_To" vbProcedure="false">'Plan results'!$E$179:$E$188</definedName>
    <definedName function="false" hidden="false" name="Chap_Weather" vbProcedure="false">'Plan results'!$J$179:$J$188</definedName>
    <definedName function="false" hidden="false" name="Chart_DipYears" vbProcedure="false">'Plan results'!$C$169</definedName>
    <definedName function="false" hidden="false" name="Chart_FirstLivingAge" vbProcedure="false">'Plan results'!$C$175</definedName>
    <definedName function="false" hidden="false" name="Chart_FirstShortAge" vbProcedure="false">'Plan results'!$C$171</definedName>
    <definedName function="false" hidden="false" name="Chart_FirstShortAmt" vbProcedure="false">'Plan results'!$C$172</definedName>
    <definedName function="false" hidden="false" name="Chart_FirstShortIdx" vbProcedure="false">'Plan results'!$C$170</definedName>
    <definedName function="false" hidden="false" name="Chart_LivingShortYears" vbProcedure="false">'Plan results'!$C$174</definedName>
    <definedName function="false" hidden="false" name="Chart_ShortYears" vbProcedure="false">'Plan results'!$C$168</definedName>
    <definedName function="false" hidden="false" name="Chart_TotalShort" vbProcedure="false">'Plan results'!$C$173</definedName>
    <definedName function="false" hidden="false" name="CI_Listed_Total" vbProcedure="false">'Your lists'!$D$75</definedName>
    <definedName function="false" hidden="false" name="Cover_Existing_Total" vbProcedure="false">'Your lists'!$D$63</definedName>
    <definedName function="false" hidden="false" name="Cover_Life_Total" vbProcedure="false">'Your lists'!$D$56</definedName>
    <definedName function="false" hidden="false" name="Cover_Work_Total" vbProcedure="false">'Your lists'!$D$62</definedName>
    <definedName function="false" hidden="false" name="Credit_Home_Carer" vbProcedure="false">Assumptions!$C$23</definedName>
    <definedName function="false" hidden="false" name="Credit_PAYE" vbProcedure="false">Assumptions!$C$18</definedName>
    <definedName function="false" hidden="false" name="Credit_PAYE_Cap_Pct" vbProcedure="false">Assumptions!$C$19</definedName>
    <definedName function="false" hidden="false" name="Credit_Personal_Married" vbProcedure="false">Assumptions!$C$17</definedName>
    <definedName function="false" hidden="false" name="Credit_Personal_Single" vbProcedure="false">Assumptions!$C$16</definedName>
    <definedName function="false" hidden="false" name="Credit_Rent_Joint" vbProcedure="false">Assumptions!$C$22</definedName>
    <definedName function="false" hidden="false" name="Credit_Rent_Single" vbProcedure="false">Assumptions!$C$21</definedName>
    <definedName function="false" hidden="false" name="Credit_SPCCC" vbProcedure="false">Assumptions!$C$20</definedName>
    <definedName function="false" hidden="false" name="Debts_Listed_Total" vbProcedure="false">'Your lists'!$D$32</definedName>
    <definedName function="false" hidden="false" name="Debts_Pay_Total" vbProcedure="false">'Your lists'!$D$33</definedName>
    <definedName function="false" hidden="false" name="Deemed_Disposal_Years" vbProcedure="false">Assumptions!$C$75</definedName>
    <definedName function="false" hidden="false" name="DIRT" vbProcedure="false">Assumptions!$C$73</definedName>
    <definedName function="false" hidden="false" name="D_cR" vbProcedure="false">'Plan pay &amp; tax'!$C$166</definedName>
    <definedName function="false" hidden="false" name="D_iC" vbProcedure="false">'Plan pay &amp; tax'!$C$173</definedName>
    <definedName function="false" hidden="false" name="D_iL" vbProcedure="false">'Plan pay &amp; tax'!$C$174</definedName>
    <definedName function="false" hidden="false" name="D_lB0" vbProcedure="false">'Plan pay &amp; tax'!$C$168</definedName>
    <definedName function="false" hidden="false" name="D_lp" vbProcedure="false">'Plan pay &amp; tax'!$C$172</definedName>
    <definedName function="false" hidden="false" name="D_lR" vbProcedure="false">'Plan pay &amp; tax'!$C$169</definedName>
    <definedName function="false" hidden="false" name="D_lR0" vbProcedure="false">'Plan pay &amp; tax'!$C$167</definedName>
    <definedName function="false" hidden="false" name="D_okC" vbProcedure="false">'Plan pay &amp; tax'!$C$175</definedName>
    <definedName function="false" hidden="false" name="D_okL" vbProcedure="false">'Plan pay &amp; tax'!$C$176</definedName>
    <definedName function="false" hidden="false" name="Exit_Tax" vbProcedure="false">Assumptions!$C$74</definedName>
    <definedName function="false" hidden="false" name="Expert_Idx" vbProcedure="false">'Plan results'!$C$158</definedName>
    <definedName function="false" hidden="false" name="Expert_Key" vbProcedure="false">'Plan results'!$C$159</definedName>
    <definedName function="false" hidden="false" name="Expert_Type" vbProcedure="false">'Plan results'!$C$160</definedName>
    <definedName function="false" hidden="false" name="Fill_Example" vbProcedure="false">README!$C$3</definedName>
    <definedName function="false" hidden="false" name="Findings_Over" vbProcedure="false">'Plan results'!$C$56</definedName>
    <definedName function="false" hidden="false" name="Find_BestIdx" vbProcedure="false">'Plan results'!$C$58</definedName>
    <definedName function="false" hidden="false" name="Find_BestScore" vbProcedure="false">'Plan results'!$C$57</definedName>
    <definedName function="false" hidden="false" name="Find_Decision" vbProcedure="false">'Plan results'!$C$65</definedName>
    <definedName function="false" hidden="false" name="Find_ExtraFor" vbProcedure="false">'Plan results'!$C$62</definedName>
    <definedName function="false" hidden="false" name="Find_Gap" vbProcedure="false">'Plan results'!$C$64</definedName>
    <definedName function="false" hidden="false" name="Find_Strength" vbProcedure="false">'Plan results'!$C$63</definedName>
    <definedName function="false" hidden="false" name="Find_WorstIdx" vbProcedure="false">'Plan results'!$C$59</definedName>
    <definedName function="false" hidden="false" name="Find_WorstName" vbProcedure="false">'Plan results'!$C$61</definedName>
    <definedName function="false" hidden="false" name="Find_WorstPct" vbProcedure="false">'Plan results'!$C$60</definedName>
    <definedName function="false" hidden="false" name="Fnd1_Fin" vbProcedure="false">'Plan results'!$C$113</definedName>
    <definedName function="false" hidden="false" name="Fnd1_S" vbProcedure="false">'Plan results'!$C$75</definedName>
    <definedName function="false" hidden="false" name="Fnd1_St" vbProcedure="false">'Plan results'!$C$74</definedName>
    <definedName function="false" hidden="false" name="Fnd2_Fin" vbProcedure="false">'Plan results'!$C$109</definedName>
    <definedName function="false" hidden="false" name="Fnd2_S" vbProcedure="false">'Plan results'!$C$77</definedName>
    <definedName function="false" hidden="false" name="Fnd2_St" vbProcedure="false">'Plan results'!$C$76</definedName>
    <definedName function="false" hidden="false" name="Fnd3_Fin" vbProcedure="false">'Plan results'!$C$110</definedName>
    <definedName function="false" hidden="false" name="Fnd3_S" vbProcedure="false">'Plan results'!$C$96</definedName>
    <definedName function="false" hidden="false" name="Fnd3_St" vbProcedure="false">'Plan results'!$C$95</definedName>
    <definedName function="false" hidden="false" name="Fnd4_Fin" vbProcedure="false">'Plan results'!$C$111</definedName>
    <definedName function="false" hidden="false" name="Fnd4_S" vbProcedure="false">'Plan results'!$C$102</definedName>
    <definedName function="false" hidden="false" name="Fnd4_St" vbProcedure="false">'Plan results'!$C$101</definedName>
    <definedName function="false" hidden="false" name="Fnd5_Fin" vbProcedure="false">'Plan results'!$C$112</definedName>
    <definedName function="false" hidden="false" name="Fnd5_S" vbProcedure="false">'Plan results'!$C$108</definedName>
    <definedName function="false" hidden="false" name="Fnd5_St" vbProcedure="false">'Plan results'!$C$107</definedName>
    <definedName function="false" hidden="false" name="Fnd_NextD" vbProcedure="false">'Plan results'!$C$119</definedName>
    <definedName function="false" hidden="false" name="Fnd_NextN" vbProcedure="false">'Plan results'!$C$116</definedName>
    <definedName function="false" hidden="false" name="Fnd_NextT" vbProcedure="false">'Plan results'!$C$118</definedName>
    <definedName function="false" hidden="false" name="F_AE" vbProcedure="false">'Plan pay &amp; tax'!$C$194</definedName>
    <definedName function="false" hidden="false" name="F_Age" vbProcedure="false">'Plan pay &amp; tax'!$C$140</definedName>
    <definedName function="false" hidden="false" name="F_CardBal" vbProcedure="false">'Plan pay &amp; tax'!$C$170</definedName>
    <definedName function="false" hidden="false" name="F_CardPayEst" vbProcedure="false">'Plan pay &amp; tax'!$C$179</definedName>
    <definedName function="false" hidden="false" name="F_CardPayM" vbProcedure="false">'Plan pay &amp; tax'!$C$177</definedName>
    <definedName function="false" hidden="false" name="F_Carer" vbProcedure="false">'Plan pay &amp; tax'!$C$197</definedName>
    <definedName function="false" hidden="false" name="F_Cash" vbProcedure="false">'Plan pay &amp; tax'!$C$151</definedName>
    <definedName function="false" hidden="false" name="F_CostsM" vbProcedure="false">'Plan pay &amp; tax'!$C$149</definedName>
    <definedName function="false" hidden="false" name="F_Debt" vbProcedure="false">'Plan pay &amp; tax'!$C$181</definedName>
    <definedName function="false" hidden="false" name="F_DebtPayM" vbProcedure="false">'Plan pay &amp; tax'!$C$182</definedName>
    <definedName function="false" hidden="false" name="F_EssM" vbProcedure="false">'Plan pay &amp; tax'!$C$183</definedName>
    <definedName function="false" hidden="false" name="F_Income" vbProcedure="false">'Plan pay &amp; tax'!$C$144</definedName>
    <definedName function="false" hidden="false" name="F_Invest" vbProcedure="false">'Plan pay &amp; tax'!$C$152</definedName>
    <definedName function="false" hidden="false" name="F_LoanBal" vbProcedure="false">'Plan pay &amp; tax'!$C$171</definedName>
    <definedName function="false" hidden="false" name="F_LoanPayEst" vbProcedure="false">'Plan pay &amp; tax'!$C$180</definedName>
    <definedName function="false" hidden="false" name="F_LoanPayM" vbProcedure="false">'Plan pay &amp; tax'!$C$178</definedName>
    <definedName function="false" hidden="false" name="F_Married" vbProcedure="false">'Plan pay &amp; tax'!$C$143</definedName>
    <definedName function="false" hidden="false" name="F_MortBal" vbProcedure="false">'Plan pay &amp; tax'!$C$157</definedName>
    <definedName function="false" hidden="false" name="F_MortOn" vbProcedure="false">'Plan pay &amp; tax'!$C$154</definedName>
    <definedName function="false" hidden="false" name="F_MortPayEst" vbProcedure="false">'Plan pay &amp; tax'!$C$159</definedName>
    <definedName function="false" hidden="false" name="F_MortPayLow" vbProcedure="false">'Plan pay &amp; tax'!$C$160</definedName>
    <definedName function="false" hidden="false" name="F_MortPayM" vbProcedure="false">'Plan pay &amp; tax'!$C$158</definedName>
    <definedName function="false" hidden="false" name="F_MR" vbProcedure="false">'Plan pay &amp; tax'!$C$155</definedName>
    <definedName function="false" hidden="false" name="F_MStated" vbProcedure="false">'Plan pay &amp; tax'!$C$156</definedName>
    <definedName function="false" hidden="false" name="F_N" vbProcedure="false">'Plan pay &amp; tax'!$C$200</definedName>
    <definedName function="false" hidden="false" name="F_OneOffY" vbProcedure="false">'Plan pay &amp; tax'!$C$150</definedName>
    <definedName function="false" hidden="false" name="F_OtherM" vbProcedure="false">'Plan pay &amp; tax'!$C$148</definedName>
    <definedName function="false" hidden="false" name="F_Own" vbProcedure="false">'Plan pay &amp; tax'!$C$187</definedName>
    <definedName function="false" hidden="false" name="F_PAge" vbProcedure="false">'Plan pay &amp; tax'!$C$146</definedName>
    <definedName function="false" hidden="false" name="F_Partner" vbProcedure="false">'Plan pay &amp; tax'!$C$142</definedName>
    <definedName function="false" hidden="false" name="F_PenG" vbProcedure="false">'Plan pay &amp; tax'!$C$188</definedName>
    <definedName function="false" hidden="false" name="F_PenM" vbProcedure="false">'Plan pay &amp; tax'!$C$186</definedName>
    <definedName function="false" hidden="false" name="F_Pension0" vbProcedure="false">'Plan pay &amp; tax'!$C$198</definedName>
    <definedName function="false" hidden="false" name="F_PIncome" vbProcedure="false">'Plan pay &amp; tax'!$C$145</definedName>
    <definedName function="false" hidden="false" name="F_PRet" vbProcedure="false">'Plan pay &amp; tax'!$C$147</definedName>
    <definedName function="false" hidden="false" name="F_PSpF" vbProcedure="false">'Plan pay &amp; tax'!$C$193</definedName>
    <definedName function="false" hidden="false" name="F_PSpO" vbProcedure="false">'Plan pay &amp; tax'!$C$191</definedName>
    <definedName function="false" hidden="false" name="F_PSpQA" vbProcedure="false">'Plan pay &amp; tax'!$C$192</definedName>
    <definedName function="false" hidden="false" name="F_R" vbProcedure="false">'Plan pay &amp; tax'!$C$141</definedName>
    <definedName function="false" hidden="false" name="F_RentCred" vbProcedure="false">'Plan pay &amp; tax'!$C$195</definedName>
    <definedName function="false" hidden="false" name="F_RentM" vbProcedure="false">'Plan pay &amp; tax'!$C$153</definedName>
    <definedName function="false" hidden="false" name="F_SelfEmp" vbProcedure="false">'Plan pay &amp; tax'!$C$201</definedName>
    <definedName function="false" hidden="false" name="F_Spccc" vbProcedure="false">'Plan pay &amp; tax'!$C$196</definedName>
    <definedName function="false" hidden="false" name="F_SpF" vbProcedure="false">'Plan pay &amp; tax'!$C$190</definedName>
    <definedName function="false" hidden="false" name="F_V" vbProcedure="false">'Plan pay &amp; tax'!$C$199</definedName>
    <definedName function="false" hidden="false" name="F_YrsSP" vbProcedure="false">'Plan pay &amp; tax'!$C$189</definedName>
    <definedName function="false" hidden="false" name="Gate_Count" vbProcedure="false">'Plan results'!$C$45</definedName>
    <definedName function="false" hidden="false" name="Gate_FirstLabel" vbProcedure="false">'Plan results'!$C$47</definedName>
    <definedName function="false" hidden="false" name="Gate_Keys" vbProcedure="false">'Plan results'!$C$46</definedName>
    <definedName function="false" hidden="false" name="Gate_Ready" vbProcedure="false">'Plan results'!$C$49</definedName>
    <definedName function="false" hidden="false" name="Gate_Text" vbProcedure="false">'Plan results'!$C$48</definedName>
    <definedName function="false" hidden="false" name="GL_Age" vbProcedure="false">'Plan goals'!$H$24:$H$33</definedName>
    <definedName function="false" hidden="false" name="GL_AgeRaw" vbProcedure="false">'Plan goals'!$F$24:$F$33</definedName>
    <definedName function="false" hidden="false" name="GL_AgeT" vbProcedure="false">'Plan goals'!$I$24:$I$33</definedName>
    <definedName function="false" hidden="false" name="GL_Amount" vbProcedure="false">'Plan goals'!$J$24:$J$33</definedName>
    <definedName function="false" hidden="false" name="GL_Fund" vbProcedure="false">'Plan goals'!$G$24:$G$33</definedName>
    <definedName function="false" hidden="false" name="GL_Key" vbProcedure="false">'Plan goals'!$C$24:$C$33</definedName>
    <definedName function="false" hidden="false" name="GL_Kind" vbProcedure="false">'Plan goals'!$D$24:$D$33</definedName>
    <definedName function="false" hidden="false" name="GL_Name" vbProcedure="false">'Plan goals'!$E$24:$E$33</definedName>
    <definedName function="false" hidden="false" name="GL_Pos" vbProcedure="false">'Plan goals'!$P$24:$P$33</definedName>
    <definedName function="false" hidden="false" name="GL_Prio" vbProcedure="false">'Plan goals'!$L$24:$L$33</definedName>
    <definedName function="false" hidden="false" name="GL_Rank" vbProcedure="false">'Plan goals'!$M$24:$M$33</definedName>
    <definedName function="false" hidden="false" name="GL_Saved" vbProcedure="false">'Plan goals'!$K$24:$K$33</definedName>
    <definedName function="false" hidden="false" name="Goal10_age" vbProcedure="false">'Plan inputs'!$P$103</definedName>
    <definedName function="false" hidden="false" name="Goal10_amount" vbProcedure="false">'Plan inputs'!$Q$103</definedName>
    <definedName function="false" hidden="false" name="Goal10_auto" vbProcedure="false">'Plan inputs'!$U$103</definedName>
    <definedName function="false" hidden="false" name="Goal10_key" vbProcedure="false">'Plan inputs'!$N$103</definedName>
    <definedName function="false" hidden="false" name="Goal10_name" vbProcedure="false">'Plan inputs'!$O$103</definedName>
    <definedName function="false" hidden="false" name="Goal10_prio" vbProcedure="false">'Plan inputs'!$S$103</definedName>
    <definedName function="false" hidden="false" name="Goal10_rank" vbProcedure="false">'Plan inputs'!$T$103</definedName>
    <definedName function="false" hidden="false" name="Goal10_saved" vbProcedure="false">'Plan inputs'!$R$103</definedName>
    <definedName function="false" hidden="false" name="Goal1_age" vbProcedure="false">'Plan inputs'!$P$94</definedName>
    <definedName function="false" hidden="false" name="Goal1_amount" vbProcedure="false">'Plan inputs'!$Q$94</definedName>
    <definedName function="false" hidden="false" name="Goal1_auto" vbProcedure="false">'Plan inputs'!$U$94</definedName>
    <definedName function="false" hidden="false" name="Goal1_key" vbProcedure="false">'Plan inputs'!$N$94</definedName>
    <definedName function="false" hidden="false" name="Goal1_name" vbProcedure="false">'Plan inputs'!$O$94</definedName>
    <definedName function="false" hidden="false" name="Goal1_prio" vbProcedure="false">'Plan inputs'!$S$94</definedName>
    <definedName function="false" hidden="false" name="Goal1_rank" vbProcedure="false">'Plan inputs'!$T$94</definedName>
    <definedName function="false" hidden="false" name="Goal1_saved" vbProcedure="false">'Plan inputs'!$R$94</definedName>
    <definedName function="false" hidden="false" name="Goal2_age" vbProcedure="false">'Plan inputs'!$P$95</definedName>
    <definedName function="false" hidden="false" name="Goal2_amount" vbProcedure="false">'Plan inputs'!$Q$95</definedName>
    <definedName function="false" hidden="false" name="Goal2_auto" vbProcedure="false">'Plan inputs'!$U$95</definedName>
    <definedName function="false" hidden="false" name="Goal2_key" vbProcedure="false">'Plan inputs'!$N$95</definedName>
    <definedName function="false" hidden="false" name="Goal2_name" vbProcedure="false">'Plan inputs'!$O$95</definedName>
    <definedName function="false" hidden="false" name="Goal2_prio" vbProcedure="false">'Plan inputs'!$S$95</definedName>
    <definedName function="false" hidden="false" name="Goal2_rank" vbProcedure="false">'Plan inputs'!$T$95</definedName>
    <definedName function="false" hidden="false" name="Goal2_saved" vbProcedure="false">'Plan inputs'!$R$95</definedName>
    <definedName function="false" hidden="false" name="Goal3_age" vbProcedure="false">'Plan inputs'!$P$96</definedName>
    <definedName function="false" hidden="false" name="Goal3_amount" vbProcedure="false">'Plan inputs'!$Q$96</definedName>
    <definedName function="false" hidden="false" name="Goal3_auto" vbProcedure="false">'Plan inputs'!$U$96</definedName>
    <definedName function="false" hidden="false" name="Goal3_key" vbProcedure="false">'Plan inputs'!$N$96</definedName>
    <definedName function="false" hidden="false" name="Goal3_name" vbProcedure="false">'Plan inputs'!$O$96</definedName>
    <definedName function="false" hidden="false" name="Goal3_prio" vbProcedure="false">'Plan inputs'!$S$96</definedName>
    <definedName function="false" hidden="false" name="Goal3_rank" vbProcedure="false">'Plan inputs'!$T$96</definedName>
    <definedName function="false" hidden="false" name="Goal3_saved" vbProcedure="false">'Plan inputs'!$R$96</definedName>
    <definedName function="false" hidden="false" name="Goal4_age" vbProcedure="false">'Plan inputs'!$P$97</definedName>
    <definedName function="false" hidden="false" name="Goal4_amount" vbProcedure="false">'Plan inputs'!$Q$97</definedName>
    <definedName function="false" hidden="false" name="Goal4_auto" vbProcedure="false">'Plan inputs'!$U$97</definedName>
    <definedName function="false" hidden="false" name="Goal4_key" vbProcedure="false">'Plan inputs'!$N$97</definedName>
    <definedName function="false" hidden="false" name="Goal4_name" vbProcedure="false">'Plan inputs'!$O$97</definedName>
    <definedName function="false" hidden="false" name="Goal4_prio" vbProcedure="false">'Plan inputs'!$S$97</definedName>
    <definedName function="false" hidden="false" name="Goal4_rank" vbProcedure="false">'Plan inputs'!$T$97</definedName>
    <definedName function="false" hidden="false" name="Goal4_saved" vbProcedure="false">'Plan inputs'!$R$97</definedName>
    <definedName function="false" hidden="false" name="Goal5_age" vbProcedure="false">'Plan inputs'!$P$98</definedName>
    <definedName function="false" hidden="false" name="Goal5_amount" vbProcedure="false">'Plan inputs'!$Q$98</definedName>
    <definedName function="false" hidden="false" name="Goal5_auto" vbProcedure="false">'Plan inputs'!$U$98</definedName>
    <definedName function="false" hidden="false" name="Goal5_key" vbProcedure="false">'Plan inputs'!$N$98</definedName>
    <definedName function="false" hidden="false" name="Goal5_name" vbProcedure="false">'Plan inputs'!$O$98</definedName>
    <definedName function="false" hidden="false" name="Goal5_prio" vbProcedure="false">'Plan inputs'!$S$98</definedName>
    <definedName function="false" hidden="false" name="Goal5_rank" vbProcedure="false">'Plan inputs'!$T$98</definedName>
    <definedName function="false" hidden="false" name="Goal5_saved" vbProcedure="false">'Plan inputs'!$R$98</definedName>
    <definedName function="false" hidden="false" name="Goal6_age" vbProcedure="false">'Plan inputs'!$P$99</definedName>
    <definedName function="false" hidden="false" name="Goal6_amount" vbProcedure="false">'Plan inputs'!$Q$99</definedName>
    <definedName function="false" hidden="false" name="Goal6_auto" vbProcedure="false">'Plan inputs'!$U$99</definedName>
    <definedName function="false" hidden="false" name="Goal6_key" vbProcedure="false">'Plan inputs'!$N$99</definedName>
    <definedName function="false" hidden="false" name="Goal6_name" vbProcedure="false">'Plan inputs'!$O$99</definedName>
    <definedName function="false" hidden="false" name="Goal6_prio" vbProcedure="false">'Plan inputs'!$S$99</definedName>
    <definedName function="false" hidden="false" name="Goal6_rank" vbProcedure="false">'Plan inputs'!$T$99</definedName>
    <definedName function="false" hidden="false" name="Goal6_saved" vbProcedure="false">'Plan inputs'!$R$99</definedName>
    <definedName function="false" hidden="false" name="Goal7_age" vbProcedure="false">'Plan inputs'!$P$100</definedName>
    <definedName function="false" hidden="false" name="Goal7_amount" vbProcedure="false">'Plan inputs'!$Q$100</definedName>
    <definedName function="false" hidden="false" name="Goal7_auto" vbProcedure="false">'Plan inputs'!$U$100</definedName>
    <definedName function="false" hidden="false" name="Goal7_key" vbProcedure="false">'Plan inputs'!$N$100</definedName>
    <definedName function="false" hidden="false" name="Goal7_name" vbProcedure="false">'Plan inputs'!$O$100</definedName>
    <definedName function="false" hidden="false" name="Goal7_prio" vbProcedure="false">'Plan inputs'!$S$100</definedName>
    <definedName function="false" hidden="false" name="Goal7_rank" vbProcedure="false">'Plan inputs'!$T$100</definedName>
    <definedName function="false" hidden="false" name="Goal7_saved" vbProcedure="false">'Plan inputs'!$R$100</definedName>
    <definedName function="false" hidden="false" name="Goal8_age" vbProcedure="false">'Plan inputs'!$P$101</definedName>
    <definedName function="false" hidden="false" name="Goal8_amount" vbProcedure="false">'Plan inputs'!$Q$101</definedName>
    <definedName function="false" hidden="false" name="Goal8_auto" vbProcedure="false">'Plan inputs'!$U$101</definedName>
    <definedName function="false" hidden="false" name="Goal8_key" vbProcedure="false">'Plan inputs'!$N$101</definedName>
    <definedName function="false" hidden="false" name="Goal8_name" vbProcedure="false">'Plan inputs'!$O$101</definedName>
    <definedName function="false" hidden="false" name="Goal8_prio" vbProcedure="false">'Plan inputs'!$S$101</definedName>
    <definedName function="false" hidden="false" name="Goal8_rank" vbProcedure="false">'Plan inputs'!$T$101</definedName>
    <definedName function="false" hidden="false" name="Goal8_saved" vbProcedure="false">'Plan inputs'!$R$101</definedName>
    <definedName function="false" hidden="false" name="Goal9_age" vbProcedure="false">'Plan inputs'!$P$102</definedName>
    <definedName function="false" hidden="false" name="Goal9_amount" vbProcedure="false">'Plan inputs'!$Q$102</definedName>
    <definedName function="false" hidden="false" name="Goal9_auto" vbProcedure="false">'Plan inputs'!$U$102</definedName>
    <definedName function="false" hidden="false" name="Goal9_key" vbProcedure="false">'Plan inputs'!$N$102</definedName>
    <definedName function="false" hidden="false" name="Goal9_name" vbProcedure="false">'Plan inputs'!$O$102</definedName>
    <definedName function="false" hidden="false" name="Goal9_prio" vbProcedure="false">'Plan inputs'!$S$102</definedName>
    <definedName function="false" hidden="false" name="Goal9_rank" vbProcedure="false">'Plan inputs'!$T$102</definedName>
    <definedName function="false" hidden="false" name="Goal9_saved" vbProcedure="false">'Plan inputs'!$R$102</definedName>
    <definedName function="false" hidden="false" name="Goal_DefAmt" vbProcedure="false">'Plan goals'!$D$6:$D$20</definedName>
    <definedName function="false" hidden="false" name="Goal_DefYrs" vbProcedure="false">'Plan goals'!$E$6:$E$20</definedName>
    <definedName function="false" hidden="false" name="Goal_Keys" vbProcedure="false">'Plan goals'!$B$6:$B$20</definedName>
    <definedName function="false" hidden="false" name="Goal_Kinds" vbProcedure="false">'Plan goals'!$F$6:$F$20</definedName>
    <definedName function="false" hidden="false" name="Goal_Kind_List" vbProcedure="false">'Plan goals'!$D$24:$D$33</definedName>
    <definedName function="false" hidden="false" name="Goal_RankSet" vbProcedure="false">'Plan goals'!$D$35</definedName>
    <definedName function="false" hidden="false" name="Goal_Rows_First" vbProcedure="false">'Plan inputs'!$N$94</definedName>
    <definedName function="false" hidden="false" name="Goal_Specs" vbProcedure="false">'Plan goals'!$G$6:$G$20</definedName>
    <definedName function="false" hidden="false" name="Goal_Titles" vbProcedure="false">'Plan goals'!$C$6:$C$20</definedName>
    <definedName function="false" hidden="false" name="GR" vbProcedure="false">'Plan goals'!$D$55</definedName>
    <definedName function="false" hidden="false" name="GR10_Band" vbProcedure="false">'Plan goals'!$H$81</definedName>
    <definedName function="false" hidden="false" name="GR10_Extra" vbProcedure="false">'Plan goals'!$L$81</definedName>
    <definedName function="false" hidden="false" name="GR10_Line" vbProcedure="false">'Plan goals'!$M$81</definedName>
    <definedName function="false" hidden="false" name="GR10_Months" vbProcedure="false">'Plan goals'!$V$81</definedName>
    <definedName function="false" hidden="false" name="GR10_Pct" vbProcedure="false">'Plan goals'!$G$81</definedName>
    <definedName function="false" hidden="false" name="GR10_When" vbProcedure="false">'Plan goals'!$U$81</definedName>
    <definedName function="false" hidden="false" name="GR1_Band" vbProcedure="false">'Plan goals'!$H$72</definedName>
    <definedName function="false" hidden="false" name="GR1_Extra" vbProcedure="false">'Plan goals'!$L$72</definedName>
    <definedName function="false" hidden="false" name="GR1_Line" vbProcedure="false">'Plan goals'!$M$72</definedName>
    <definedName function="false" hidden="false" name="GR1_Months" vbProcedure="false">'Plan goals'!$V$72</definedName>
    <definedName function="false" hidden="false" name="GR1_Pct" vbProcedure="false">'Plan goals'!$G$72</definedName>
    <definedName function="false" hidden="false" name="GR1_When" vbProcedure="false">'Plan goals'!$U$72</definedName>
    <definedName function="false" hidden="false" name="GR2_Band" vbProcedure="false">'Plan goals'!$H$73</definedName>
    <definedName function="false" hidden="false" name="GR2_Extra" vbProcedure="false">'Plan goals'!$L$73</definedName>
    <definedName function="false" hidden="false" name="GR2_Line" vbProcedure="false">'Plan goals'!$M$73</definedName>
    <definedName function="false" hidden="false" name="GR2_Months" vbProcedure="false">'Plan goals'!$V$73</definedName>
    <definedName function="false" hidden="false" name="GR2_Pct" vbProcedure="false">'Plan goals'!$G$73</definedName>
    <definedName function="false" hidden="false" name="GR2_When" vbProcedure="false">'Plan goals'!$U$73</definedName>
    <definedName function="false" hidden="false" name="GR3_Band" vbProcedure="false">'Plan goals'!$H$74</definedName>
    <definedName function="false" hidden="false" name="GR3_Extra" vbProcedure="false">'Plan goals'!$L$74</definedName>
    <definedName function="false" hidden="false" name="GR3_Line" vbProcedure="false">'Plan goals'!$M$74</definedName>
    <definedName function="false" hidden="false" name="GR3_Months" vbProcedure="false">'Plan goals'!$V$74</definedName>
    <definedName function="false" hidden="false" name="GR3_Pct" vbProcedure="false">'Plan goals'!$G$74</definedName>
    <definedName function="false" hidden="false" name="GR3_When" vbProcedure="false">'Plan goals'!$U$74</definedName>
    <definedName function="false" hidden="false" name="GR4_Band" vbProcedure="false">'Plan goals'!$H$75</definedName>
    <definedName function="false" hidden="false" name="GR4_Extra" vbProcedure="false">'Plan goals'!$L$75</definedName>
    <definedName function="false" hidden="false" name="GR4_Line" vbProcedure="false">'Plan goals'!$M$75</definedName>
    <definedName function="false" hidden="false" name="GR4_Months" vbProcedure="false">'Plan goals'!$V$75</definedName>
    <definedName function="false" hidden="false" name="GR4_Pct" vbProcedure="false">'Plan goals'!$G$75</definedName>
    <definedName function="false" hidden="false" name="GR4_When" vbProcedure="false">'Plan goals'!$U$75</definedName>
    <definedName function="false" hidden="false" name="GR5_Band" vbProcedure="false">'Plan goals'!$H$76</definedName>
    <definedName function="false" hidden="false" name="GR5_Extra" vbProcedure="false">'Plan goals'!$L$76</definedName>
    <definedName function="false" hidden="false" name="GR5_Line" vbProcedure="false">'Plan goals'!$M$76</definedName>
    <definedName function="false" hidden="false" name="GR5_Months" vbProcedure="false">'Plan goals'!$V$76</definedName>
    <definedName function="false" hidden="false" name="GR5_Pct" vbProcedure="false">'Plan goals'!$G$76</definedName>
    <definedName function="false" hidden="false" name="GR5_When" vbProcedure="false">'Plan goals'!$U$76</definedName>
    <definedName function="false" hidden="false" name="GR6_Band" vbProcedure="false">'Plan goals'!$H$77</definedName>
    <definedName function="false" hidden="false" name="GR6_Extra" vbProcedure="false">'Plan goals'!$L$77</definedName>
    <definedName function="false" hidden="false" name="GR6_Line" vbProcedure="false">'Plan goals'!$M$77</definedName>
    <definedName function="false" hidden="false" name="GR6_Months" vbProcedure="false">'Plan goals'!$V$77</definedName>
    <definedName function="false" hidden="false" name="GR6_Pct" vbProcedure="false">'Plan goals'!$G$77</definedName>
    <definedName function="false" hidden="false" name="GR6_When" vbProcedure="false">'Plan goals'!$U$77</definedName>
    <definedName function="false" hidden="false" name="GR7_Band" vbProcedure="false">'Plan goals'!$H$78</definedName>
    <definedName function="false" hidden="false" name="GR7_Extra" vbProcedure="false">'Plan goals'!$L$78</definedName>
    <definedName function="false" hidden="false" name="GR7_Line" vbProcedure="false">'Plan goals'!$M$78</definedName>
    <definedName function="false" hidden="false" name="GR7_Months" vbProcedure="false">'Plan goals'!$V$78</definedName>
    <definedName function="false" hidden="false" name="GR7_Pct" vbProcedure="false">'Plan goals'!$G$78</definedName>
    <definedName function="false" hidden="false" name="GR7_When" vbProcedure="false">'Plan goals'!$U$78</definedName>
    <definedName function="false" hidden="false" name="GR8_Band" vbProcedure="false">'Plan goals'!$H$79</definedName>
    <definedName function="false" hidden="false" name="GR8_Extra" vbProcedure="false">'Plan goals'!$L$79</definedName>
    <definedName function="false" hidden="false" name="GR8_Line" vbProcedure="false">'Plan goals'!$M$79</definedName>
    <definedName function="false" hidden="false" name="GR8_Months" vbProcedure="false">'Plan goals'!$V$79</definedName>
    <definedName function="false" hidden="false" name="GR8_Pct" vbProcedure="false">'Plan goals'!$G$79</definedName>
    <definedName function="false" hidden="false" name="GR8_When" vbProcedure="false">'Plan goals'!$U$79</definedName>
    <definedName function="false" hidden="false" name="GR9_Band" vbProcedure="false">'Plan goals'!$H$80</definedName>
    <definedName function="false" hidden="false" name="GR9_Extra" vbProcedure="false">'Plan goals'!$L$80</definedName>
    <definedName function="false" hidden="false" name="GR9_Line" vbProcedure="false">'Plan goals'!$M$80</definedName>
    <definedName function="false" hidden="false" name="GR9_Months" vbProcedure="false">'Plan goals'!$V$80</definedName>
    <definedName function="false" hidden="false" name="GR9_Pct" vbProcedure="false">'Plan goals'!$G$80</definedName>
    <definedName function="false" hidden="false" name="GR9_When" vbProcedure="false">'Plan goals'!$U$80</definedName>
    <definedName function="false" hidden="false" name="GR_AgeT" vbProcedure="false">'Plan goals'!$N$72:$N$81</definedName>
    <definedName function="false" hidden="false" name="GR_Best" vbProcedure="false">'Plan goals'!$O$72:$O$81</definedName>
    <definedName function="false" hidden="false" name="GR_Key" vbProcedure="false">'Plan goals'!$Q$72:$Q$81</definedName>
    <definedName function="false" hidden="false" name="GR_Kind" vbProcedure="false">'Plan goals'!$D$72:$D$81</definedName>
    <definedName function="false" hidden="false" name="GR_Name" vbProcedure="false">'Plan goals'!$C$72:$C$81</definedName>
    <definedName function="false" hidden="false" name="GR_Pct" vbProcedure="false">'Plan goals'!$G$72:$G$81</definedName>
    <definedName function="false" hidden="false" name="GR_PctB" vbProcedure="false">'Plan goals'!$T$72:$T$81</definedName>
    <definedName function="false" hidden="false" name="GR_PctN" vbProcedure="false">'Plan goals'!$R$72:$R$81</definedName>
    <definedName function="false" hidden="false" name="GR_Spec" vbProcedure="false">'Plan goals'!$S$72:$S$81</definedName>
    <definedName function="false" hidden="false" name="GR_When" vbProcedure="false">'Plan goals'!$U$72:$U$81</definedName>
    <definedName function="false" hidden="false" name="GR_Worst" vbProcedure="false">'Plan goals'!$P$72:$P$81</definedName>
    <definedName function="false" hidden="false" name="HasSafety" vbProcedure="false">'Plan goals'!$D$51</definedName>
    <definedName function="false" hidden="false" name="Has_ae" vbProcedure="false">'Plan inputs'!$H$55</definedName>
    <definedName function="false" hidden="false" name="Has_age" vbProcedure="false">'Plan inputs'!$H$5</definedName>
    <definedName function="false" hidden="false" name="Has_assumeSet" vbProcedure="false">'Plan inputs'!$H$12</definedName>
    <definedName function="false" hidden="false" name="Has_a_bands" vbProcedure="false">'Plan inputs'!$H$71</definedName>
    <definedName function="false" hidden="false" name="Has_a_cardRate" vbProcedure="false">'Plan inputs'!$H$86</definedName>
    <definedName function="false" hidden="false" name="Has_a_cash" vbProcedure="false">'Plan inputs'!$H$67</definedName>
    <definedName function="false" hidden="false" name="Has_a_cashYears" vbProcedure="false">'Plan inputs'!$H$79</definedName>
    <definedName function="false" hidden="false" name="Has_a_drawFixed" vbProcedure="false">'Plan inputs'!$H$77</definedName>
    <definedName function="false" hidden="false" name="Has_a_drawRule" vbProcedure="false">'Plan inputs'!$H$76</definedName>
    <definedName function="false" hidden="false" name="Has_a_inv" vbProcedure="false">'Plan inputs'!$H$66</definedName>
    <definedName function="false" hidden="false" name="Has_a_investShare" vbProcedure="false">'Plan inputs'!$H$80</definedName>
    <definedName function="false" hidden="false" name="Has_a_loanRate" vbProcedure="false">'Plan inputs'!$H$87</definedName>
    <definedName function="false" hidden="false" name="Has_a_lumpSum" vbProcedure="false">'Plan inputs'!$H$75</definedName>
    <definedName function="false" hidden="false" name="Has_a_mortRate" vbProcedure="false">'Plan inputs'!$H$85</definedName>
    <definedName function="false" hidden="false" name="Has_a_noAnswer" vbProcedure="false">'Plan inputs'!$H$82</definedName>
    <definedName function="false" hidden="false" name="Has_a_ownShare" vbProcedure="false">'Plan inputs'!$H$73</definedName>
    <definedName function="false" hidden="false" name="Has_a_pen" vbProcedure="false">'Plan inputs'!$H$68</definedName>
    <definedName function="false" hidden="false" name="Has_a_penChg" vbProcedure="false">'Plan inputs'!$H$91</definedName>
    <definedName function="false" hidden="false" name="Has_a_penRet" vbProcedure="false">'Plan inputs'!$H$69</definedName>
    <definedName function="false" hidden="false" name="Has_a_planEnd" vbProcedure="false">'Plan inputs'!$H$83</definedName>
    <definedName function="false" hidden="false" name="Has_a_pSpWeek" vbProcedure="false">'Plan inputs'!$H$89</definedName>
    <definedName function="false" hidden="false" name="Has_a_retireSpend" vbProcedure="false">'Plan inputs'!$H$74</definedName>
    <definedName function="false" hidden="false" name="Has_a_safetyMonths" vbProcedure="false">'Plan inputs'!$H$78</definedName>
    <definedName function="false" hidden="false" name="Has_a_saveShare" vbProcedure="false">'Plan inputs'!$H$81</definedName>
    <definedName function="false" hidden="false" name="Has_a_spGrow" vbProcedure="false">'Plan inputs'!$H$72</definedName>
    <definedName function="false" hidden="false" name="Has_a_spWeek" vbProcedure="false">'Plan inputs'!$H$88</definedName>
    <definedName function="false" hidden="false" name="Has_a_spYears" vbProcedure="false">'Plan inputs'!$H$90</definedName>
    <definedName function="false" hidden="false" name="Has_a_startYear" vbProcedure="false">'Plan inputs'!$H$84</definedName>
    <definedName function="false" hidden="false" name="Has_a_wage" vbProcedure="false">'Plan inputs'!$H$70</definedName>
    <definedName function="false" hidden="false" name="Has_cardBal" vbProcedure="false">'Plan inputs'!$H$43</definedName>
    <definedName function="false" hidden="false" name="Has_cardPayM" vbProcedure="false">'Plan inputs'!$H$44</definedName>
    <definedName function="false" hidden="false" name="Has_cardRate" vbProcedure="false">'Plan inputs'!$H$45</definedName>
    <definedName function="false" hidden="false" name="Has_cash" vbProcedure="false">'Plan inputs'!$H$37</definedName>
    <definedName function="false" hidden="false" name="Has_ci" vbProcedure="false">'Plan inputs'!$H$61</definedName>
    <definedName function="false" hidden="false" name="Has_costsM" vbProcedure="false">'Plan inputs'!$H$32</definedName>
    <definedName function="false" hidden="false" name="Has_credCarer" vbProcedure="false">'Plan inputs'!$H$19</definedName>
    <definedName function="false" hidden="false" name="Has_credLone" vbProcedure="false">'Plan inputs'!$H$18</definedName>
    <definedName function="false" hidden="false" name="Has_credRent" vbProcedure="false">'Plan inputs'!$H$17</definedName>
    <definedName function="false" hidden="false" name="Has_debt" vbProcedure="false">'Plan inputs'!$H$49</definedName>
    <definedName function="false" hidden="false" name="Has_debtPayM" vbProcedure="false">'Plan inputs'!$H$50</definedName>
    <definedName function="false" hidden="false" name="Has_deps" vbProcedure="false">'Plan inputs'!$H$8</definedName>
    <definedName function="false" hidden="false" name="Has_health" vbProcedure="false">'Plan inputs'!$H$63</definedName>
    <definedName function="false" hidden="false" name="Has_home" vbProcedure="false">'Plan inputs'!$H$35</definedName>
    <definedName function="false" hidden="false" name="Has_homeValue" vbProcedure="false">'Plan inputs'!$H$36</definedName>
    <definedName function="false" hidden="false" name="Has_income" vbProcedure="false">'Plan inputs'!$H$28</definedName>
    <definedName function="false" hidden="false" name="Has_infl" vbProcedure="false">'Plan inputs'!$H$11</definedName>
    <definedName function="false" hidden="false" name="Has_invest" vbProcedure="false">'Plan inputs'!$H$38</definedName>
    <definedName function="false" hidden="false" name="Has_ip" vbProcedure="false">'Plan inputs'!$H$60</definedName>
    <definedName function="false" hidden="false" name="Has_life" vbProcedure="false">'Plan inputs'!$H$59</definedName>
    <definedName function="false" hidden="false" name="Has_loanBal" vbProcedure="false">'Plan inputs'!$H$46</definedName>
    <definedName function="false" hidden="false" name="Has_loanPayM" vbProcedure="false">'Plan inputs'!$H$47</definedName>
    <definedName function="false" hidden="false" name="Has_loanRate" vbProcedure="false">'Plan inputs'!$H$48</definedName>
    <definedName function="false" hidden="false" name="Has_married" vbProcedure="false">'Plan inputs'!$H$7</definedName>
    <definedName function="false" hidden="false" name="Has_mortBal" vbProcedure="false">'Plan inputs'!$H$39</definedName>
    <definedName function="false" hidden="false" name="Has_mortPayM" vbProcedure="false">'Plan inputs'!$H$41</definedName>
    <definedName function="false" hidden="false" name="Has_mortRate" vbProcedure="false">'Plan inputs'!$H$40</definedName>
    <definedName function="false" hidden="false" name="Has_mortYears" vbProcedure="false">'Plan inputs'!$H$42</definedName>
    <definedName function="false" hidden="false" name="Has_oneOffY" vbProcedure="false">'Plan inputs'!$H$33</definedName>
    <definedName function="false" hidden="false" name="Has_otherM" vbProcedure="false">'Plan inputs'!$H$31</definedName>
    <definedName function="false" hidden="false" name="Has_pAge" vbProcedure="false">'Plan inputs'!$H$30</definedName>
    <definedName function="false" hidden="false" name="Has_partner" vbProcedure="false">'Plan inputs'!$H$6</definedName>
    <definedName function="false" hidden="false" name="Has_penChg" vbProcedure="false">'Plan inputs'!$H$54</definedName>
    <definedName function="false" hidden="false" name="Has_penExtra" vbProcedure="false">'Plan inputs'!$H$16</definedName>
    <definedName function="false" hidden="false" name="Has_pension" vbProcedure="false">'Plan inputs'!$H$51</definedName>
    <definedName function="false" hidden="false" name="Has_pensionM" vbProcedure="false">'Plan inputs'!$H$52</definedName>
    <definedName function="false" hidden="false" name="Has_pensionOwnM" vbProcedure="false">'Plan inputs'!$H$53</definedName>
    <definedName function="false" hidden="false" name="Has_pIncome" vbProcedure="false">'Plan inputs'!$H$29</definedName>
    <definedName function="false" hidden="false" name="Has_pRet" vbProcedure="false">'Plan inputs'!$H$10</definedName>
    <definedName function="false" hidden="false" name="Has_pSp" vbProcedure="false">'Plan inputs'!$H$58</definedName>
    <definedName function="false" hidden="false" name="Has_q6" vbProcedure="false">'Plan inputs'!$H$13</definedName>
    <definedName function="false" hidden="false" name="Has_rentM" vbProcedure="false">'Plan inputs'!$H$34</definedName>
    <definedName function="false" hidden="false" name="Has_retireAge" vbProcedure="false">'Plan inputs'!$H$9</definedName>
    <definedName function="false" hidden="false" name="Has_saveM" vbProcedure="false">'Plan inputs'!$H$14</definedName>
    <definedName function="false" hidden="false" name="Has_saveUp" vbProcedure="false">'Plan inputs'!$H$15</definedName>
    <definedName function="false" hidden="false" name="Has_sp" vbProcedure="false">'Plan inputs'!$H$56</definedName>
    <definedName function="false" hidden="false" name="Has_spYears" vbProcedure="false">'Plan inputs'!$H$57</definedName>
    <definedName function="false" hidden="false" name="Has_wiGoal" vbProcedure="false">'Plan inputs'!$H$22</definedName>
    <definedName function="false" hidden="false" name="Has_wiL" vbProcedure="false">'Plan inputs'!$H$24</definedName>
    <definedName function="false" hidden="false" name="Has_wiM" vbProcedure="false">'Plan inputs'!$H$23</definedName>
    <definedName function="false" hidden="false" name="Has_work" vbProcedure="false">'Plan inputs'!$H$27</definedName>
    <definedName function="false" hidden="false" name="Has_workCover" vbProcedure="false">'Plan inputs'!$H$62</definedName>
    <definedName function="false" hidden="false" name="Health_Listed_Total" vbProcedure="false">'Your lists'!$D$81</definedName>
    <definedName function="false" hidden="false" name="Home_Avg" vbProcedure="false">'Plan results'!$C$153</definedName>
    <definedName function="false" hidden="false" name="Home_Band" vbProcedure="false">'Plan results'!$C$155</definedName>
    <definedName function="false" hidden="false" name="Home_N" vbProcedure="false">'Plan results'!$C$152</definedName>
    <definedName function="false" hidden="false" name="Home_OnTrack" vbProcedure="false">'Plan results'!$C$154</definedName>
    <definedName function="false" hidden="false" name="Illness_Benefit_Week" vbProcedure="false">Assumptions!$C$68</definedName>
    <definedName function="false" hidden="false" name="Init_Buf0" vbProcedure="false">'Plan goals'!$D$52</definedName>
    <definedName function="false" hidden="false" name="Init_Free0" vbProcedure="false">'Plan goals'!$D$53</definedName>
    <definedName function="false" hidden="false" name="Init_Free1" vbProcedure="false">'Plan goals'!$D$54</definedName>
    <definedName function="false" hidden="false" name="In_ae" vbProcedure="false">'Plan inputs'!$G$55</definedName>
    <definedName function="false" hidden="false" name="In_age" vbProcedure="false">'Plan inputs'!$G$5</definedName>
    <definedName function="false" hidden="false" name="In_assumeSet" vbProcedure="false">'Plan inputs'!$G$12</definedName>
    <definedName function="false" hidden="false" name="In_a_bands" vbProcedure="false">'Plan inputs'!$G$71</definedName>
    <definedName function="false" hidden="false" name="In_a_cardRate" vbProcedure="false">'Plan inputs'!$G$86</definedName>
    <definedName function="false" hidden="false" name="In_a_cash" vbProcedure="false">'Plan inputs'!$G$67</definedName>
    <definedName function="false" hidden="false" name="In_a_cashYears" vbProcedure="false">'Plan inputs'!$G$79</definedName>
    <definedName function="false" hidden="false" name="In_a_drawFixed" vbProcedure="false">'Plan inputs'!$G$77</definedName>
    <definedName function="false" hidden="false" name="In_a_drawRule" vbProcedure="false">'Plan inputs'!$G$76</definedName>
    <definedName function="false" hidden="false" name="In_a_inv" vbProcedure="false">'Plan inputs'!$G$66</definedName>
    <definedName function="false" hidden="false" name="In_a_investShare" vbProcedure="false">'Plan inputs'!$G$80</definedName>
    <definedName function="false" hidden="false" name="In_a_loanRate" vbProcedure="false">'Plan inputs'!$G$87</definedName>
    <definedName function="false" hidden="false" name="In_a_lumpSum" vbProcedure="false">'Plan inputs'!$G$75</definedName>
    <definedName function="false" hidden="false" name="In_a_mortRate" vbProcedure="false">'Plan inputs'!$G$85</definedName>
    <definedName function="false" hidden="false" name="In_a_noAnswer" vbProcedure="false">'Plan inputs'!$G$82</definedName>
    <definedName function="false" hidden="false" name="In_a_ownShare" vbProcedure="false">'Plan inputs'!$G$73</definedName>
    <definedName function="false" hidden="false" name="In_a_pen" vbProcedure="false">'Plan inputs'!$G$68</definedName>
    <definedName function="false" hidden="false" name="In_a_penChg" vbProcedure="false">'Plan inputs'!$G$91</definedName>
    <definedName function="false" hidden="false" name="In_a_penRet" vbProcedure="false">'Plan inputs'!$G$69</definedName>
    <definedName function="false" hidden="false" name="In_a_planEnd" vbProcedure="false">'Plan inputs'!$G$83</definedName>
    <definedName function="false" hidden="false" name="In_a_pSpWeek" vbProcedure="false">'Plan inputs'!$G$89</definedName>
    <definedName function="false" hidden="false" name="In_a_retireSpend" vbProcedure="false">'Plan inputs'!$G$74</definedName>
    <definedName function="false" hidden="false" name="In_a_safetyMonths" vbProcedure="false">'Plan inputs'!$G$78</definedName>
    <definedName function="false" hidden="false" name="In_a_saveShare" vbProcedure="false">'Plan inputs'!$G$81</definedName>
    <definedName function="false" hidden="false" name="In_a_spGrow" vbProcedure="false">'Plan inputs'!$G$72</definedName>
    <definedName function="false" hidden="false" name="In_a_spWeek" vbProcedure="false">'Plan inputs'!$G$88</definedName>
    <definedName function="false" hidden="false" name="In_a_spYears" vbProcedure="false">'Plan inputs'!$G$90</definedName>
    <definedName function="false" hidden="false" name="In_a_startYear" vbProcedure="false">'Plan inputs'!$G$84</definedName>
    <definedName function="false" hidden="false" name="In_a_wage" vbProcedure="false">'Plan inputs'!$G$70</definedName>
    <definedName function="false" hidden="false" name="In_cardBal" vbProcedure="false">'Plan inputs'!$G$43</definedName>
    <definedName function="false" hidden="false" name="In_cardPayM" vbProcedure="false">'Plan inputs'!$G$44</definedName>
    <definedName function="false" hidden="false" name="In_cardRate" vbProcedure="false">'Plan inputs'!$G$45</definedName>
    <definedName function="false" hidden="false" name="In_cash" vbProcedure="false">'Plan inputs'!$G$37</definedName>
    <definedName function="false" hidden="false" name="In_ci" vbProcedure="false">'Plan inputs'!$G$61</definedName>
    <definedName function="false" hidden="false" name="In_costsM" vbProcedure="false">'Plan inputs'!$G$32</definedName>
    <definedName function="false" hidden="false" name="In_credCarer" vbProcedure="false">'Plan inputs'!$G$19</definedName>
    <definedName function="false" hidden="false" name="In_credLone" vbProcedure="false">'Plan inputs'!$G$18</definedName>
    <definedName function="false" hidden="false" name="In_credRent" vbProcedure="false">'Plan inputs'!$G$17</definedName>
    <definedName function="false" hidden="false" name="In_debt" vbProcedure="false">'Plan inputs'!$G$49</definedName>
    <definedName function="false" hidden="false" name="In_debtPayM" vbProcedure="false">'Plan inputs'!$G$50</definedName>
    <definedName function="false" hidden="false" name="In_deps" vbProcedure="false">'Plan inputs'!$G$8</definedName>
    <definedName function="false" hidden="false" name="In_health" vbProcedure="false">'Plan inputs'!$G$63</definedName>
    <definedName function="false" hidden="false" name="In_home" vbProcedure="false">'Plan inputs'!$G$35</definedName>
    <definedName function="false" hidden="false" name="In_homeValue" vbProcedure="false">'Plan inputs'!$G$36</definedName>
    <definedName function="false" hidden="false" name="In_income" vbProcedure="false">'Plan inputs'!$G$28</definedName>
    <definedName function="false" hidden="false" name="In_infl" vbProcedure="false">'Plan inputs'!$G$11</definedName>
    <definedName function="false" hidden="false" name="In_invest" vbProcedure="false">'Plan inputs'!$G$38</definedName>
    <definedName function="false" hidden="false" name="In_ip" vbProcedure="false">'Plan inputs'!$G$60</definedName>
    <definedName function="false" hidden="false" name="In_life" vbProcedure="false">'Plan inputs'!$G$59</definedName>
    <definedName function="false" hidden="false" name="In_loanBal" vbProcedure="false">'Plan inputs'!$G$46</definedName>
    <definedName function="false" hidden="false" name="In_loanPayM" vbProcedure="false">'Plan inputs'!$G$47</definedName>
    <definedName function="false" hidden="false" name="In_loanRate" vbProcedure="false">'Plan inputs'!$G$48</definedName>
    <definedName function="false" hidden="false" name="In_married" vbProcedure="false">'Plan inputs'!$G$7</definedName>
    <definedName function="false" hidden="false" name="In_mortBal" vbProcedure="false">'Plan inputs'!$G$39</definedName>
    <definedName function="false" hidden="false" name="In_mortPayM" vbProcedure="false">'Plan inputs'!$G$41</definedName>
    <definedName function="false" hidden="false" name="In_mortRate" vbProcedure="false">'Plan inputs'!$G$40</definedName>
    <definedName function="false" hidden="false" name="In_mortYears" vbProcedure="false">'Plan inputs'!$G$42</definedName>
    <definedName function="false" hidden="false" name="In_oneOffY" vbProcedure="false">'Plan inputs'!$G$33</definedName>
    <definedName function="false" hidden="false" name="In_otherM" vbProcedure="false">'Plan inputs'!$G$31</definedName>
    <definedName function="false" hidden="false" name="In_pAge" vbProcedure="false">'Plan inputs'!$G$30</definedName>
    <definedName function="false" hidden="false" name="In_partner" vbProcedure="false">'Plan inputs'!$G$6</definedName>
    <definedName function="false" hidden="false" name="In_penChg" vbProcedure="false">'Plan inputs'!$G$54</definedName>
    <definedName function="false" hidden="false" name="In_penExtra" vbProcedure="false">'Plan inputs'!$G$16</definedName>
    <definedName function="false" hidden="false" name="In_pension" vbProcedure="false">'Plan inputs'!$G$51</definedName>
    <definedName function="false" hidden="false" name="In_pensionM" vbProcedure="false">'Plan inputs'!$G$52</definedName>
    <definedName function="false" hidden="false" name="In_pensionOwnM" vbProcedure="false">'Plan inputs'!$G$53</definedName>
    <definedName function="false" hidden="false" name="In_pIncome" vbProcedure="false">'Plan inputs'!$G$29</definedName>
    <definedName function="false" hidden="false" name="In_pRet" vbProcedure="false">'Plan inputs'!$G$10</definedName>
    <definedName function="false" hidden="false" name="In_pSp" vbProcedure="false">'Plan inputs'!$G$58</definedName>
    <definedName function="false" hidden="false" name="In_q6" vbProcedure="false">'Plan inputs'!$G$13</definedName>
    <definedName function="false" hidden="false" name="In_rentM" vbProcedure="false">'Plan inputs'!$G$34</definedName>
    <definedName function="false" hidden="false" name="In_retireAge" vbProcedure="false">'Plan inputs'!$G$9</definedName>
    <definedName function="false" hidden="false" name="In_saveM" vbProcedure="false">'Plan inputs'!$G$14</definedName>
    <definedName function="false" hidden="false" name="In_saveUp" vbProcedure="false">'Plan inputs'!$G$15</definedName>
    <definedName function="false" hidden="false" name="In_sp" vbProcedure="false">'Plan inputs'!$G$56</definedName>
    <definedName function="false" hidden="false" name="In_spYears" vbProcedure="false">'Plan inputs'!$G$57</definedName>
    <definedName function="false" hidden="false" name="In_wiGoal" vbProcedure="false">'Plan inputs'!$G$22</definedName>
    <definedName function="false" hidden="false" name="In_wiL" vbProcedure="false">'Plan inputs'!$G$24</definedName>
    <definedName function="false" hidden="false" name="In_wiM" vbProcedure="false">'Plan inputs'!$G$23</definedName>
    <definedName function="false" hidden="false" name="In_work" vbProcedure="false">'Plan inputs'!$G$27</definedName>
    <definedName function="false" hidden="false" name="In_workCover" vbProcedure="false">'Plan inputs'!$G$62</definedName>
    <definedName function="false" hidden="false" name="IP_Listed_Total" vbProcedure="false">'Your lists'!$D$69</definedName>
    <definedName function="false" hidden="false" name="IP_Max_Pct" vbProcedure="false">Assumptions!$C$69</definedName>
    <definedName function="false" hidden="false" name="L3_CardM" vbProcedure="false">'Plan results'!$C$78</definedName>
    <definedName function="false" hidden="false" name="L3_CardS" vbProcedure="false">'Plan results'!$C$82</definedName>
    <definedName function="false" hidden="false" name="L3_CardSt" vbProcedure="false">'Plan results'!$C$81</definedName>
    <definedName function="false" hidden="false" name="L3_CoverLife" vbProcedure="false">'Plan results'!$C$88</definedName>
    <definedName function="false" hidden="false" name="L3_CoverWork" vbProcedure="false">'Plan results'!$C$87</definedName>
    <definedName function="false" hidden="false" name="L3_Debt" vbProcedure="false">'Plan results'!$C$80</definedName>
    <definedName function="false" hidden="false" name="L3_IpS" vbProcedure="false">'Plan results'!$C$93</definedName>
    <definedName function="false" hidden="false" name="L3_IpSt" vbProcedure="false">'Plan results'!$C$92</definedName>
    <definedName function="false" hidden="false" name="L3_Kind" vbProcedure="false">'Plan results'!$C$117</definedName>
    <definedName function="false" hidden="false" name="L3_LifeS" vbProcedure="false">'Plan results'!$C$91</definedName>
    <definedName function="false" hidden="false" name="L3_LifeSt" vbProcedure="false">'Plan results'!$C$90</definedName>
    <definedName function="false" hidden="false" name="L3_LoanM" vbProcedure="false">'Plan results'!$C$79</definedName>
    <definedName function="false" hidden="false" name="L3_LoanS" vbProcedure="false">'Plan results'!$C$84</definedName>
    <definedName function="false" hidden="false" name="L3_LoanSt" vbProcedure="false">'Plan results'!$C$83</definedName>
    <definedName function="false" hidden="false" name="L3_NeedLife" vbProcedure="false">'Plan results'!$C$89</definedName>
    <definedName function="false" hidden="false" name="L3_NoDebtS" vbProcedure="false">'Plan results'!$C$86</definedName>
    <definedName function="false" hidden="false" name="L3_NoDebtSt" vbProcedure="false">'Plan results'!$C$85</definedName>
    <definedName function="false" hidden="false" name="L3_Rank" vbProcedure="false">'Plan results'!$C$94</definedName>
    <definedName function="false" hidden="false" name="L4_Low" vbProcedure="false">'Plan results'!$C$99</definedName>
    <definedName function="false" hidden="false" name="L4_N" vbProcedure="false">'Plan results'!$C$97</definedName>
    <definedName function="false" hidden="false" name="L4_On" vbProcedure="false">'Plan results'!$C$98</definedName>
    <definedName function="false" hidden="false" name="L4_PenOn" vbProcedure="false">'Plan results'!$C$100</definedName>
    <definedName function="false" hidden="false" name="L5_FirstIdx" vbProcedure="false">'Plan results'!$C$105</definedName>
    <definedName function="false" hidden="false" name="L5_Inv" vbProcedure="false">'Plan results'!$C$106</definedName>
    <definedName function="false" hidden="false" name="L5_N" vbProcedure="false">'Plan results'!$C$103</definedName>
    <definedName function="false" hidden="false" name="L5_OnIdx" vbProcedure="false">'Plan results'!$C$104</definedName>
    <definedName function="false" hidden="false" name="Life_Levy" vbProcedure="false">Assumptions!$C$76</definedName>
    <definedName function="false" hidden="false" name="Loans_Owed_Rng" vbProcedure="false">'Your lists'!$D$21:$D$28</definedName>
    <definedName function="false" hidden="false" name="Loans_Owed_Total" vbProcedure="false">'Your lists'!$D$30</definedName>
    <definedName function="false" hidden="false" name="Loans_Pay_Rng" vbProcedure="false">'Your lists'!$E$21:$E$28</definedName>
    <definedName function="false" hidden="false" name="Loans_Pay_Total" vbProcedure="false">'Your lists'!$D$31</definedName>
    <definedName function="false" hidden="false" name="Loans_Rate_Avg" vbProcedure="false">'Your lists'!$D$34</definedName>
    <definedName function="false" hidden="false" name="LTI_FTB" vbProcedure="false">Assumptions!$C$79</definedName>
    <definedName function="false" hidden="false" name="LTI_SSB" vbProcedure="false">Assumptions!$C$80</definedName>
    <definedName function="false" hidden="false" name="LTV_Max" vbProcedure="false">Assumptions!$C$81</definedName>
    <definedName function="false" hidden="false" name="Lump_Sum_Cap" vbProcedure="false">Assumptions!$C$55</definedName>
    <definedName function="false" hidden="false" name="Lump_Sum_Max_Pct" vbProcedure="false">Assumptions!$C$53</definedName>
    <definedName function="false" hidden="false" name="Lump_Sum_Rate" vbProcedure="false">Assumptions!$C$56</definedName>
    <definedName function="false" hidden="false" name="Lump_Sum_Tax_Free" vbProcedure="false">Assumptions!$C$54</definedName>
    <definedName function="false" hidden="false" name="M2_Bal" vbProcedure="false">'Plan pay &amp; tax'!$C$163</definedName>
    <definedName function="false" hidden="false" name="M2_Pay" vbProcedure="false">'Plan pay &amp; tax'!$C$164</definedName>
    <definedName function="false" hidden="false" name="M2_Rate" vbProcedure="false">'Plan pay &amp; tax'!$C$165</definedName>
    <definedName function="false" hidden="false" name="Min_Deposit_Pct" vbProcedure="false">Assumptions!$C$82</definedName>
    <definedName function="false" hidden="false" name="Missing_Count" vbProcedure="false">'Plan results'!$C$149</definedName>
    <definedName function="false" hidden="false" name="Mort2_Bal" vbProcedure="false">'Your lists'!$D$90</definedName>
    <definedName function="false" hidden="false" name="Mort2_NeedsRate" vbProcedure="false">'Your lists'!$D$94</definedName>
    <definedName function="false" hidden="false" name="Mort2_NeedsTerm" vbProcedure="false">'Your lists'!$D$93</definedName>
    <definedName function="false" hidden="false" name="Mort2_Owed_Rng" vbProcedure="false">'Your lists'!$D$86:$D$89</definedName>
    <definedName function="false" hidden="false" name="Mort2_Pay" vbProcedure="false">'Your lists'!$D$91</definedName>
    <definedName function="false" hidden="false" name="Mort2_Rate" vbProcedure="false">'Your lists'!$D$92</definedName>
    <definedName function="false" hidden="false" name="Mort2_Rate_Rng" vbProcedure="false">'Your lists'!$G$86:$G$89</definedName>
    <definedName function="false" hidden="false" name="MP_Year_1" vbProcedure="false">Assumptions!$C$100</definedName>
    <definedName function="false" hidden="false" name="MP_Year_2" vbProcedure="false">Assumptions!$C$101</definedName>
    <definedName function="false" hidden="false" name="MP_Year_3" vbProcedure="false">Assumptions!$C$102</definedName>
    <definedName function="false" hidden="false" name="Nudge_Show" vbProcedure="false">'Plan results'!$C$163</definedName>
    <definedName function="false" hidden="false" name="Nudge_X" vbProcedure="false">'Plan results'!$C$162</definedName>
    <definedName function="false" hidden="false" name="One_In_20_Z" vbProcedure="false">Assumptions!$C$103</definedName>
    <definedName function="false" hidden="false" name="Partner_Name" vbProcedure="false">Settings!$C$4</definedName>
    <definedName function="false" hidden="false" name="PA_12" vbProcedure="false">'Plan profile'!$D$11</definedName>
    <definedName function="false" hidden="false" name="PA_12_Typed" vbProcedure="false">'Plan profile'!$C$11</definedName>
    <definedName function="false" hidden="false" name="PA_2" vbProcedure="false">'Plan profile'!$D$5</definedName>
    <definedName function="false" hidden="false" name="PA_2_Typed" vbProcedure="false">'Plan profile'!$C$5</definedName>
    <definedName function="false" hidden="false" name="PA_4" vbProcedure="false">'Plan profile'!$D$6</definedName>
    <definedName function="false" hidden="false" name="PA_4_Typed" vbProcedure="false">'Plan profile'!$C$6</definedName>
    <definedName function="false" hidden="false" name="PA_6" vbProcedure="false">'Plan profile'!$D$7</definedName>
    <definedName function="false" hidden="false" name="PA_6_Typed" vbProcedure="false">'Plan profile'!$C$7</definedName>
    <definedName function="false" hidden="false" name="PA_7" vbProcedure="false">'Plan profile'!$D$8</definedName>
    <definedName function="false" hidden="false" name="PA_7_Typed" vbProcedure="false">'Plan profile'!$C$8</definedName>
    <definedName function="false" hidden="false" name="PA_8" vbProcedure="false">'Plan profile'!$D$9</definedName>
    <definedName function="false" hidden="false" name="PA_8_Typed" vbProcedure="false">'Plan profile'!$C$9</definedName>
    <definedName function="false" hidden="false" name="PA_9" vbProcedure="false">'Plan profile'!$D$10</definedName>
    <definedName function="false" hidden="false" name="PA_9_Typed" vbProcedure="false">'Plan profile'!$C$10</definedName>
    <definedName function="false" hidden="false" name="PA_chipShares" vbProcedure="false">'Plan profile'!$D$19</definedName>
    <definedName function="false" hidden="false" name="PA_chipShares_Typed" vbProcedure="false">'Plan profile'!$C$19</definedName>
    <definedName function="false" hidden="false" name="PA_chipsN" vbProcedure="false">'Plan profile'!$D$18</definedName>
    <definedName function="false" hidden="false" name="PA_chipsN_Typed" vbProcedure="false">'Plan profile'!$C$18</definedName>
    <definedName function="false" hidden="false" name="PA_chipsSafe" vbProcedure="false">'Plan profile'!$D$20</definedName>
    <definedName function="false" hidden="false" name="PA_chipsSafe_Typed" vbProcedure="false">'Plan profile'!$C$20</definedName>
    <definedName function="false" hidden="false" name="PA_u10" vbProcedure="false">'Plan profile'!$D$14</definedName>
    <definedName function="false" hidden="false" name="PA_u10_Typed" vbProcedure="false">'Plan profile'!$C$14</definedName>
    <definedName function="false" hidden="false" name="PA_u11" vbProcedure="false">'Plan profile'!$D$15</definedName>
    <definedName function="false" hidden="false" name="PA_u11_Typed" vbProcedure="false">'Plan profile'!$C$15</definedName>
    <definedName function="false" hidden="false" name="PA_u12" vbProcedure="false">'Plan profile'!$D$16</definedName>
    <definedName function="false" hidden="false" name="PA_u12_Typed" vbProcedure="false">'Plan profile'!$C$16</definedName>
    <definedName function="false" hidden="false" name="PA_u14" vbProcedure="false">'Plan profile'!$D$17</definedName>
    <definedName function="false" hidden="false" name="PA_u14_Typed" vbProcedure="false">'Plan profile'!$C$17</definedName>
    <definedName function="false" hidden="false" name="PA_u4" vbProcedure="false">'Plan profile'!$D$12</definedName>
    <definedName function="false" hidden="false" name="PA_u4_Typed" vbProcedure="false">'Plan profile'!$C$12</definedName>
    <definedName function="false" hidden="false" name="PA_u9" vbProcedure="false">'Plan profile'!$D$13</definedName>
    <definedName function="false" hidden="false" name="PA_u9_Typed" vbProcedure="false">'Plan profile'!$C$13</definedName>
    <definedName function="false" hidden="false" name="Pension_Earliest_Age" vbProcedure="false">Assumptions!$C$59</definedName>
    <definedName function="false" hidden="false" name="Pens_Monthly_Rng" vbProcedure="false">'Your lists'!$E$37:$E$44</definedName>
    <definedName function="false" hidden="false" name="Pens_Monthly_Total" vbProcedure="false">'Your lists'!$D$47</definedName>
    <definedName function="false" hidden="false" name="Pens_OwnGiven" vbProcedure="false">'Your lists'!$D$49</definedName>
    <definedName function="false" hidden="false" name="Pens_Own_Rng" vbProcedure="false">'Your lists'!$F$37:$F$44</definedName>
    <definedName function="false" hidden="false" name="Pens_Own_Total" vbProcedure="false">'Your lists'!$D$48</definedName>
    <definedName function="false" hidden="false" name="Pens_Value_Rng" vbProcedure="false">'Your lists'!$D$37:$D$44</definedName>
    <definedName function="false" hidden="false" name="Pens_Value_Total" vbProcedure="false">'Your lists'!$D$46</definedName>
    <definedName function="false" hidden="false" name="Plan_mPath" vbProcedure="false">'Plan debt months'!$DG$8:$DG$97</definedName>
    <definedName function="false" hidden="false" name="Plan_ShortLivingYears" vbProcedure="false">'Plan results'!$C$9</definedName>
    <definedName function="false" hidden="false" name="Plan_YearsShort" vbProcedure="false">'Plan results'!$C$8</definedName>
    <definedName function="false" hidden="false" name="Prof_Banner" vbProcedure="false">'Plan profile'!$C$126</definedName>
    <definedName function="false" hidden="false" name="Prof_C" vbProcedure="false">'Plan profile'!$C$107</definedName>
    <definedName function="false" hidden="false" name="Prof_CapHi" vbProcedure="false">'Plan profile'!$C$124</definedName>
    <definedName function="false" hidden="false" name="Prof_CapLo" vbProcedure="false">'Plan profile'!$C$123</definedName>
    <definedName function="false" hidden="false" name="Prof_Comfort" vbProcedure="false">'Plan profile'!$C$113</definedName>
    <definedName function="false" hidden="false" name="Prof_CompHi" vbProcedure="false">'Plan profile'!$C$118</definedName>
    <definedName function="false" hidden="false" name="Prof_CompLo" vbProcedure="false">'Plan profile'!$C$119</definedName>
    <definedName function="false" hidden="false" name="Prof_Cushion" vbProcedure="false">'Plan profile'!$C$114</definedName>
    <definedName function="false" hidden="false" name="Prof_DiscCount" vbProcedure="false">'Plan profile'!$C$78</definedName>
    <definedName function="false" hidden="false" name="Prof_DiscEnough" vbProcedure="false">'Plan profile'!$C$80</definedName>
    <definedName function="false" hidden="false" name="Prof_First" vbProcedure="false">'Plan profile'!$C$94</definedName>
    <definedName function="false" hidden="false" name="Prof_Full" vbProcedure="false">'Plan profile'!$C$101</definedName>
    <definedName function="false" hidden="false" name="Prof_H" vbProcedure="false">'Plan profile'!$C$108</definedName>
    <definedName function="false" hidden="false" name="Prof_KE" vbProcedure="false">'Plan profile'!$C$109</definedName>
    <definedName function="false" hidden="false" name="Prof_Key" vbProcedure="false">'Plan profile'!$B$23:$B$75</definedName>
    <definedName function="false" hidden="false" name="Prof_L2" vbProcedure="false">'Plan profile'!$C$91</definedName>
    <definedName function="false" hidden="false" name="Prof_Label" vbProcedure="false">'Plan profile'!$C$111</definedName>
    <definedName function="false" hidden="false" name="Prof_Level" vbProcedure="false">'Plan profile'!$C$110</definedName>
    <definedName function="false" hidden="false" name="Prof_Limit" vbProcedure="false">'Plan profile'!$C$112</definedName>
    <definedName function="false" hidden="false" name="Prof_LossLo" vbProcedure="false">'Plan profile'!$C$122</definedName>
    <definedName function="false" hidden="false" name="Prof_MisKey" vbProcedure="false">'Plan profile'!$C$125</definedName>
    <definedName function="false" hidden="false" name="Prof_OtherAge" vbProcedure="false">'Plan profile'!$C$103</definedName>
    <definedName function="false" hidden="false" name="Prof_Personality" vbProcedure="false">'Plan profile'!$C$96</definedName>
    <definedName function="false" hidden="false" name="Prof_PotAge" vbProcedure="false">'Plan profile'!$C$102</definedName>
    <definedName function="false" hidden="false" name="Prof_Provisional" vbProcedure="false">'Plan profile'!$C$115</definedName>
    <definedName function="false" hidden="false" name="Prof_Q4L" vbProcedure="false">'Plan profile'!$C$93</definedName>
    <definedName function="false" hidden="false" name="Prof_Q4N" vbProcedure="false">'Plan profile'!$C$92</definedName>
    <definedName function="false" hidden="false" name="Prof_q6" vbProcedure="false">'Plan profile'!$C$97</definedName>
    <definedName function="false" hidden="false" name="Prof_q7" vbProcedure="false">'Plan profile'!$C$98</definedName>
    <definedName function="false" hidden="false" name="Prof_q8" vbProcedure="false">'Plan profile'!$C$99</definedName>
    <definedName function="false" hidden="false" name="Prof_q9" vbProcedure="false">'Plan profile'!$C$100</definedName>
    <definedName function="false" hidden="false" name="Prof_SA" vbProcedure="false">'Plan profile'!$C$81</definedName>
    <definedName function="false" hidden="false" name="Prof_SB" vbProcedure="false">'Plan profile'!$C$82</definedName>
    <definedName function="false" hidden="false" name="Prof_SC" vbProcedure="false">'Plan profile'!$C$84</definedName>
    <definedName function="false" hidden="false" name="Prof_SE" vbProcedure="false">'Plan profile'!$C$83</definedName>
    <definedName function="false" hidden="false" name="Prof_ShortT" vbProcedure="false">'Plan profile'!$C$121</definedName>
    <definedName function="false" hidden="false" name="Prof_SuggestU9" vbProcedure="false">'Plan profile'!$C$104</definedName>
    <definedName function="false" hidden="false" name="Prof_T" vbProcedure="false">'Plan profile'!$C$106</definedName>
    <definedName function="false" hidden="false" name="Prof_TA" vbProcedure="false">'Plan profile'!$C$86</definedName>
    <definedName function="false" hidden="false" name="Prof_TB" vbProcedure="false">'Plan profile'!$C$87</definedName>
    <definedName function="false" hidden="false" name="Prof_TC" vbProcedure="false">'Plan profile'!$C$89</definedName>
    <definedName function="false" hidden="false" name="Prof_TE" vbProcedure="false">'Plan profile'!$C$88</definedName>
    <definedName function="false" hidden="false" name="Prof_TermsAppetite" vbProcedure="false">'Plan profile'!$C$129</definedName>
    <definedName function="false" hidden="false" name="Prof_TermsBehaviour" vbProcedure="false">'Plan profile'!$C$128</definedName>
    <definedName function="false" hidden="false" name="Prof_TermsCapacity" vbProcedure="false">'Plan profile'!$C$130</definedName>
    <definedName function="false" hidden="false" name="Prof_TermsMindset" vbProcedure="false">'Plan profile'!$C$127</definedName>
    <definedName function="false" hidden="false" name="Prof_Thin" vbProcedure="false">'Plan profile'!$C$120</definedName>
    <definedName function="false" hidden="false" name="Prof_TiedN" vbProcedure="false">'Plan profile'!$C$90</definedName>
    <definedName function="false" hidden="false" name="Prof_Top" vbProcedure="false">'Plan profile'!$C$85</definedName>
    <definedName function="false" hidden="false" name="Prof_TypeKey" vbProcedure="false">'Plan profile'!$C$95</definedName>
    <definedName function="false" hidden="false" name="Prof_UmCount" vbProcedure="false">'Plan profile'!$C$79</definedName>
    <definedName function="false" hidden="false" name="Prof_Wait" vbProcedure="false">'Plan profile'!$C$105</definedName>
    <definedName function="false" hidden="false" name="Prof_WantHi" vbProcedure="false">'Plan profile'!$C$116</definedName>
    <definedName function="false" hidden="false" name="Prof_WantLo" vbProcedure="false">'Plan profile'!$C$117</definedName>
    <definedName function="false" hidden="false" name="PRSI_Credit_Max" vbProcedure="false">Assumptions!$C$40</definedName>
    <definedName function="false" hidden="false" name="PRSI_Credit_Taper" vbProcedure="false">Assumptions!$C$42</definedName>
    <definedName function="false" hidden="false" name="PRSI_Credit_Top" vbProcedure="false">Assumptions!$C$41</definedName>
    <definedName function="false" hidden="false" name="PRSI_Free_Week" vbProcedure="false">Assumptions!$C$39</definedName>
    <definedName function="false" hidden="false" name="PRSI_Rate" vbProcedure="false">Assumptions!$C$37</definedName>
    <definedName function="false" hidden="false" name="PRSI_Rate_2026_Blend" vbProcedure="false">Assumptions!$C$38</definedName>
    <definedName function="false" hidden="false" name="PR_AEageMax" vbProcedure="false">'Plan pay &amp; tax'!$C$90</definedName>
    <definedName function="false" hidden="false" name="PR_AEageMin" vbProcedure="false">'Plan pay &amp; tax'!$C$89</definedName>
    <definedName function="false" hidden="false" name="PR_AEcap" vbProcedure="false">'Plan pay &amp; tax'!$C$92</definedName>
    <definedName function="false" hidden="false" name="PR_AEearnMin" vbProcedure="false">'Plan pay &amp; tax'!$C$91</definedName>
    <definedName function="false" hidden="false" name="PR_AEee" vbProcedure="false">'Plan pay &amp; tax'!$C$93</definedName>
    <definedName function="false" hidden="false" name="PR_AEer" vbProcedure="false">'Plan pay &amp; tax'!$C$94</definedName>
    <definedName function="false" hidden="false" name="PR_AEst" vbProcedure="false">'Plan pay &amp; tax'!$C$95</definedName>
    <definedName function="false" hidden="false" name="PR_AgeCr" vbProcedure="false">'Plan pay &amp; tax'!$C$21</definedName>
    <definedName function="false" hidden="false" name="PR_AgeCrAge" vbProcedure="false">'Plan pay &amp; tax'!$C$20</definedName>
    <definedName function="false" hidden="false" name="PR_AgeEx" vbProcedure="false">'Plan pay &amp; tax'!$C$22</definedName>
    <definedName function="false" hidden="false" name="PR_AgeExM" vbProcedure="false">'Plan pay &amp; tax'!$C$23</definedName>
    <definedName function="false" hidden="false" name="PR_AgeMarg" vbProcedure="false">'Plan pay &amp; tax'!$C$24</definedName>
    <definedName function="false" hidden="false" name="PR_ARF61" vbProcedure="false">'Plan pay &amp; tax'!$C$76</definedName>
    <definedName function="false" hidden="false" name="PR_ARF71" vbProcedure="false">'Plan pay &amp; tax'!$C$77</definedName>
    <definedName function="false" hidden="false" name="PR_ARFbig" vbProcedure="false">'Plan pay &amp; tax'!$C$79</definedName>
    <definedName function="false" hidden="false" name="PR_ARFbigRate" vbProcedure="false">'Plan pay &amp; tax'!$C$78</definedName>
    <definedName function="false" hidden="false" name="PR_Band" vbProcedure="false">'Plan pay &amp; tax'!$C$4</definedName>
    <definedName function="false" hidden="false" name="PR_BandM" vbProcedure="false">'Plan pay &amp; tax'!$C$6</definedName>
    <definedName function="false" hidden="false" name="PR_BandSPCCC" vbProcedure="false">'Plan pay &amp; tax'!$C$5</definedName>
    <definedName function="false" hidden="false" name="PR_Earliest" vbProcedure="false">'Plan pay &amp; tax'!$C$80</definedName>
    <definedName function="false" hidden="false" name="PR_EarnCap" vbProcedure="false">'Plan pay &amp; tax'!$C$66</definedName>
    <definedName function="false" hidden="false" name="PR_Good" vbProcedure="false">'Plan pay &amp; tax'!$C$103</definedName>
    <definedName function="false" hidden="false" name="PR_HCLimit" vbProcedure="false">'Plan pay &amp; tax'!$C$19</definedName>
    <definedName function="false" hidden="false" name="PR_HomeCarer" vbProcedure="false">'Plan pay &amp; tax'!$C$18</definedName>
    <definedName function="false" hidden="false" name="PR_LScap" vbProcedure="false">'Plan pay &amp; tax'!$C$69</definedName>
    <definedName function="false" hidden="false" name="PR_LSfree" vbProcedure="false">'Plan pay &amp; tax'!$C$68</definedName>
    <definedName function="false" hidden="false" name="PR_LSmax" vbProcedure="false">'Plan pay &amp; tax'!$C$67</definedName>
    <definedName function="false" hidden="false" name="PR_LSrate" vbProcedure="false">'Plan pay &amp; tax'!$C$70</definedName>
    <definedName function="false" hidden="false" name="PR_Nudge" vbProcedure="false">'Plan pay &amp; tax'!$C$104</definedName>
    <definedName function="false" hidden="false" name="PR_Over80" vbProcedure="false">'Plan pay &amp; tax'!$C$84</definedName>
    <definedName function="false" hidden="false" name="PR_PAYE" vbProcedure="false">'Plan pay &amp; tax'!$C$12</definedName>
    <definedName function="false" hidden="false" name="PR_PAYEcap" vbProcedure="false">'Plan pay &amp; tax'!$C$13</definedName>
    <definedName function="false" hidden="false" name="PR_Personal" vbProcedure="false">'Plan pay &amp; tax'!$C$10</definedName>
    <definedName function="false" hidden="false" name="PR_PersonalM" vbProcedure="false">'Plan pay &amp; tax'!$C$11</definedName>
    <definedName function="false" hidden="false" name="PR_PRSIcreditMax" vbProcedure="false">'Plan pay &amp; tax'!$C$48</definedName>
    <definedName function="false" hidden="false" name="PR_PRSIcreditTo" vbProcedure="false">'Plan pay &amp; tax'!$C$49</definedName>
    <definedName function="false" hidden="false" name="PR_PRSIend" vbProcedure="false">'Plan pay &amp; tax'!$C$51</definedName>
    <definedName function="false" hidden="false" name="PR_PRSIfree" vbProcedure="false">'Plan pay &amp; tax'!$C$47</definedName>
    <definedName function="false" hidden="false" name="PR_PRSIr0" vbProcedure="false">'Plan pay &amp; tax'!$C$40</definedName>
    <definedName function="false" hidden="false" name="PR_PRSIr1" vbProcedure="false">'Plan pay &amp; tax'!$C$41</definedName>
    <definedName function="false" hidden="false" name="PR_PRSIr2" vbProcedure="false">'Plan pay &amp; tax'!$C$42</definedName>
    <definedName function="false" hidden="false" name="PR_PRSIr3" vbProcedure="false">'Plan pay &amp; tax'!$C$43</definedName>
    <definedName function="false" hidden="false" name="PR_PRSIsMin" vbProcedure="false">'Plan pay &amp; tax'!$C$53</definedName>
    <definedName function="false" hidden="false" name="PR_PRSIsMinInc" vbProcedure="false">'Plan pay &amp; tax'!$C$52</definedName>
    <definedName function="false" hidden="false" name="PR_PRSIt1" vbProcedure="false">'Plan pay &amp; tax'!$C$44</definedName>
    <definedName function="false" hidden="false" name="PR_PRSIt2" vbProcedure="false">'Plan pay &amp; tax'!$C$45</definedName>
    <definedName function="false" hidden="false" name="PR_PRSIt3" vbProcedure="false">'Plan pay &amp; tax'!$C$46</definedName>
    <definedName function="false" hidden="false" name="PR_PRSItaper" vbProcedure="false">'Plan pay &amp; tax'!$C$50</definedName>
    <definedName function="false" hidden="false" name="PR_PRSIunearned" vbProcedure="false">'Plan pay &amp; tax'!$C$54</definedName>
    <definedName function="false" hidden="false" name="PR_QA66" vbProcedure="false">'Plan pay &amp; tax'!$C$85</definedName>
    <definedName function="false" hidden="false" name="PR_QAunder" vbProcedure="false">'Plan pay &amp; tax'!$C$86</definedName>
    <definedName function="false" hidden="false" name="PR_r1" vbProcedure="false">'Plan pay &amp; tax'!$C$8</definedName>
    <definedName function="false" hidden="false" name="PR_r2" vbProcedure="false">'Plan pay &amp; tax'!$C$9</definedName>
    <definedName function="false" hidden="false" name="PR_RelA1" vbProcedure="false">'Plan pay &amp; tax'!$C$55</definedName>
    <definedName function="false" hidden="false" name="PR_RelA2" vbProcedure="false">'Plan pay &amp; tax'!$C$57</definedName>
    <definedName function="false" hidden="false" name="PR_RelA3" vbProcedure="false">'Plan pay &amp; tax'!$C$59</definedName>
    <definedName function="false" hidden="false" name="PR_RelA4" vbProcedure="false">'Plan pay &amp; tax'!$C$61</definedName>
    <definedName function="false" hidden="false" name="PR_RelA5" vbProcedure="false">'Plan pay &amp; tax'!$C$63</definedName>
    <definedName function="false" hidden="false" name="PR_RelP1" vbProcedure="false">'Plan pay &amp; tax'!$C$56</definedName>
    <definedName function="false" hidden="false" name="PR_RelP2" vbProcedure="false">'Plan pay &amp; tax'!$C$58</definedName>
    <definedName function="false" hidden="false" name="PR_RelP3" vbProcedure="false">'Plan pay &amp; tax'!$C$60</definedName>
    <definedName function="false" hidden="false" name="PR_RelP4" vbProcedure="false">'Plan pay &amp; tax'!$C$62</definedName>
    <definedName function="false" hidden="false" name="PR_RelP5" vbProcedure="false">'Plan pay &amp; tax'!$C$64</definedName>
    <definedName function="false" hidden="false" name="PR_RelP6" vbProcedure="false">'Plan pay &amp; tax'!$C$65</definedName>
    <definedName function="false" hidden="false" name="PR_Rent" vbProcedure="false">'Plan pay &amp; tax'!$C$14</definedName>
    <definedName function="false" hidden="false" name="PR_RentJoint" vbProcedure="false">'Plan pay &amp; tax'!$C$15</definedName>
    <definedName function="false" hidden="false" name="PR_RentLast" vbProcedure="false">'Plan pay &amp; tax'!$C$16</definedName>
    <definedName function="false" hidden="false" name="PR_SaveB1" vbProcedure="false">'Plan pay &amp; tax'!$C$96</definedName>
    <definedName function="false" hidden="false" name="PR_SaveB2" vbProcedure="false">'Plan pay &amp; tax'!$C$97</definedName>
    <definedName function="false" hidden="false" name="PR_SaveB3" vbProcedure="false">'Plan pay &amp; tax'!$C$98</definedName>
    <definedName function="false" hidden="false" name="PR_SaveB4" vbProcedure="false">'Plan pay &amp; tax'!$C$99</definedName>
    <definedName function="false" hidden="false" name="PR_SFT2026" vbProcedure="false">'Plan pay &amp; tax'!$C$71</definedName>
    <definedName function="false" hidden="false" name="PR_SFT2027" vbProcedure="false">'Plan pay &amp; tax'!$C$72</definedName>
    <definedName function="false" hidden="false" name="PR_SFT2028" vbProcedure="false">'Plan pay &amp; tax'!$C$73</definedName>
    <definedName function="false" hidden="false" name="PR_SFT2029" vbProcedure="false">'Plan pay &amp; tax'!$C$74</definedName>
    <definedName function="false" hidden="false" name="PR_SFTrate" vbProcedure="false">'Plan pay &amp; tax'!$C$75</definedName>
    <definedName function="false" hidden="false" name="PR_ShareVaries" vbProcedure="false">'Plan pay &amp; tax'!$C$100</definedName>
    <definedName function="false" hidden="false" name="PR_Short1" vbProcedure="false">'Plan pay &amp; tax'!$C$101</definedName>
    <definedName function="false" hidden="false" name="PR_Short2" vbProcedure="false">'Plan pay &amp; tax'!$C$102</definedName>
    <definedName function="false" hidden="false" name="PR_SPage" vbProcedure="false">'Plan pay &amp; tax'!$C$83</definedName>
    <definedName function="false" hidden="false" name="PR_SPCCC" vbProcedure="false">'Plan pay &amp; tax'!$C$17</definedName>
    <definedName function="false" hidden="false" name="PR_SPfull" vbProcedure="false">'Plan pay &amp; tax'!$C$87</definedName>
    <definedName function="false" hidden="false" name="PR_SPmin" vbProcedure="false">'Plan pay &amp; tax'!$C$88</definedName>
    <definedName function="false" hidden="false" name="PR_SPweek" vbProcedure="false">'Plan pay &amp; tax'!$C$81</definedName>
    <definedName function="false" hidden="false" name="PR_Uplift" vbProcedure="false">'Plan pay &amp; tax'!$C$7</definedName>
    <definedName function="false" hidden="false" name="PR_USCb1" vbProcedure="false">'Plan pay &amp; tax'!$C$26</definedName>
    <definedName function="false" hidden="false" name="PR_USCb2" vbProcedure="false">'Plan pay &amp; tax'!$C$27</definedName>
    <definedName function="false" hidden="false" name="PR_USCb3" vbProcedure="false">'Plan pay &amp; tax'!$C$28</definedName>
    <definedName function="false" hidden="false" name="PR_USCex" vbProcedure="false">'Plan pay &amp; tax'!$C$25</definedName>
    <definedName function="false" hidden="false" name="PR_USCr1" vbProcedure="false">'Plan pay &amp; tax'!$C$29</definedName>
    <definedName function="false" hidden="false" name="PR_USCr2" vbProcedure="false">'Plan pay &amp; tax'!$C$30</definedName>
    <definedName function="false" hidden="false" name="PR_USCr3" vbProcedure="false">'Plan pay &amp; tax'!$C$31</definedName>
    <definedName function="false" hidden="false" name="PR_USCr4" vbProcedure="false">'Plan pay &amp; tax'!$C$32</definedName>
    <definedName function="false" hidden="false" name="PR_USCredAge" vbProcedure="false">'Plan pay &amp; tax'!$C$33</definedName>
    <definedName function="false" hidden="false" name="PR_USCredB1" vbProcedure="false">'Plan pay &amp; tax'!$C$35</definedName>
    <definedName function="false" hidden="false" name="PR_USCredMax" vbProcedure="false">'Plan pay &amp; tax'!$C$34</definedName>
    <definedName function="false" hidden="false" name="PR_USCredR1" vbProcedure="false">'Plan pay &amp; tax'!$C$36</definedName>
    <definedName function="false" hidden="false" name="PR_USCredR2" vbProcedure="false">'Plan pay &amp; tax'!$C$37</definedName>
    <definedName function="false" hidden="false" name="PR_USCse" vbProcedure="false">'Plan pay &amp; tax'!$C$38</definedName>
    <definedName function="false" hidden="false" name="PR_USCseOver" vbProcedure="false">'Plan pay &amp; tax'!$C$39</definedName>
    <definedName function="false" hidden="false" name="PR_Weeks" vbProcedure="false">'Plan pay &amp; tax'!$C$82</definedName>
    <definedName function="false" hidden="false" name="Rate_Higher" vbProcedure="false">Assumptions!$C$15</definedName>
    <definedName function="false" hidden="false" name="Rate_Standard" vbProcedure="false">Assumptions!$C$14</definedName>
    <definedName function="false" hidden="false" name="Reader_Confidence_Min" vbProcedure="false">Assumptions!$C$95</definedName>
    <definedName function="false" hidden="false" name="Relief_Age_From" vbProcedure="false">Assumptions!$C$46:$C$51</definedName>
    <definedName function="false" hidden="false" name="Relief_Age_Pct" vbProcedure="false">Assumptions!$D$46:$D$51</definedName>
    <definedName function="false" hidden="false" name="Relief_Earnings_Cap" vbProcedure="false">Assumptions!$C$52</definedName>
    <definedName function="false" hidden="false" name="Req_Count" vbProcedure="false">'Plan results'!$C$50</definedName>
    <definedName function="false" hidden="false" name="Req_Got" vbProcedure="false">'Plan results'!$C$51</definedName>
    <definedName function="false" hidden="false" name="Ret_IncomeMonth" vbProcedure="false">'Plan results'!$C$70</definedName>
    <definedName function="false" hidden="false" name="Ret_LumpNet" vbProcedure="false">'Plan results'!$C$71</definedName>
    <definedName function="false" hidden="false" name="Ret_PotNominal" vbProcedure="false">'Plan results'!$C$69</definedName>
    <definedName function="false" hidden="false" name="Ret_Year" vbProcedure="false">'Plan results'!$C$68</definedName>
    <definedName function="false" hidden="false" name="RG_Amount" vbProcedure="false">'Plan goals'!$D$38</definedName>
    <definedName function="false" hidden="false" name="RG_Exists" vbProcedure="false">'Plan goals'!$D$36</definedName>
    <definedName function="false" hidden="false" name="RG_Row" vbProcedure="false">'Plan goals'!$D$37</definedName>
    <definedName function="false" hidden="false" name="Risk_Names" vbProcedure="false">Assumptions!$C$104:$C$106</definedName>
    <definedName function="false" hidden="false" name="Road_FirstShortAge" vbProcedure="false">'Plan results'!$C$176</definedName>
    <definedName function="false" hidden="false" name="Road_ShortYears" vbProcedure="false">'Plan results'!$C$177</definedName>
    <definedName function="false" hidden="false" name="Save_AutoM" vbProcedure="false">'Plan results'!$C$7</definedName>
    <definedName function="false" hidden="false" name="Save_SaveM" vbProcedure="false">'Plan results'!$C$6</definedName>
    <definedName function="false" hidden="false" name="Save_SaveM_Base" vbProcedure="false">'Plan results'!$C$161</definedName>
    <definedName function="false" hidden="false" name="Save_SurplusM" vbProcedure="false">'Plan results'!$C$5</definedName>
    <definedName function="false" hidden="false" name="SD_Band_1" vbProcedure="false">Assumptions!$C$85</definedName>
    <definedName function="false" hidden="false" name="SD_Band_2" vbProcedure="false">Assumptions!$C$87</definedName>
    <definedName function="false" hidden="false" name="SD_Rate_1" vbProcedure="false">Assumptions!$C$84</definedName>
    <definedName function="false" hidden="false" name="SD_Rate_2" vbProcedure="false">Assumptions!$C$86</definedName>
    <definedName function="false" hidden="false" name="SD_Rate_3" vbProcedure="false">Assumptions!$C$88</definedName>
    <definedName function="false" hidden="false" name="Set_bands" vbProcedure="false">Settings!$C$39</definedName>
    <definedName function="false" hidden="false" name="Set_bands_Label" vbProcedure="false">Settings!$G$39</definedName>
    <definedName function="false" hidden="false" name="Set_budget" vbProcedure="false">Settings!$C$37</definedName>
    <definedName function="false" hidden="false" name="Set_budget_1" vbProcedure="false">Settings!$C$37</definedName>
    <definedName function="false" hidden="false" name="Set_budget_2" vbProcedure="false">Settings!$D$37</definedName>
    <definedName function="false" hidden="false" name="Set_budget_3" vbProcedure="false">Settings!$E$37</definedName>
    <definedName function="false" hidden="false" name="Set_budget_Label" vbProcedure="false">Settings!$G$37</definedName>
    <definedName function="false" hidden="false" name="Set_buyFees" vbProcedure="false">Settings!$C$50</definedName>
    <definedName function="false" hidden="false" name="Set_buyFees_Label" vbProcedure="false">Settings!$G$50</definedName>
    <definedName function="false" hidden="false" name="Set_buyFees_Published" vbProcedure="false">Settings!$G$50</definedName>
    <definedName function="false" hidden="false" name="Set_cardRate" vbProcedure="false">Settings!$C$48</definedName>
    <definedName function="false" hidden="false" name="Set_cardRate_Label" vbProcedure="false">Settings!$G$48</definedName>
    <definedName function="false" hidden="false" name="Set_cardRate_Published" vbProcedure="false">Settings!$G$48</definedName>
    <definedName function="false" hidden="false" name="Set_cash" vbProcedure="false">Settings!$C$10</definedName>
    <definedName function="false" hidden="false" name="Set_cashYears" vbProcedure="false">Settings!$C$27</definedName>
    <definedName function="false" hidden="false" name="Set_cashYears_Label" vbProcedure="false">Settings!$G$27</definedName>
    <definedName function="false" hidden="false" name="Set_cash_Cautious" vbProcedure="false">Settings!$F$10</definedName>
    <definedName function="false" hidden="false" name="Set_cash_Label" vbProcedure="false">Settings!$G$10</definedName>
    <definedName function="false" hidden="false" name="Set_ddTiming" vbProcedure="false">Settings!$C$42</definedName>
    <definedName function="false" hidden="false" name="Set_ddTiming_Label" vbProcedure="false">Settings!$G$42</definedName>
    <definedName function="false" hidden="false" name="Set_depRate" vbProcedure="false">Settings!$C$49</definedName>
    <definedName function="false" hidden="false" name="Set_depRate_Label" vbProcedure="false">Settings!$G$49</definedName>
    <definedName function="false" hidden="false" name="Set_depRate_Published" vbProcedure="false">Settings!$G$49</definedName>
    <definedName function="false" hidden="false" name="Set_drawRule" vbProcedure="false">Settings!$C$41</definedName>
    <definedName function="false" hidden="false" name="Set_drawRule_Label" vbProcedure="false">Settings!$G$41</definedName>
    <definedName function="false" hidden="false" name="Set_fundChg" vbProcedure="false">Settings!$C$51</definedName>
    <definedName function="false" hidden="false" name="Set_fundChg_Label" vbProcedure="false">Settings!$G$51</definedName>
    <definedName function="false" hidden="false" name="Set_fundChg_Published" vbProcedure="false">Settings!$G$51</definedName>
    <definedName function="false" hidden="false" name="Set_g_lifeMen65" vbProcedure="false">Settings!$C$53</definedName>
    <definedName function="false" hidden="false" name="Set_g_lifeMen65_Label" vbProcedure="false">Settings!$G$53</definedName>
    <definedName function="false" hidden="false" name="Set_g_lifeWomen65" vbProcedure="false">Settings!$C$54</definedName>
    <definedName function="false" hidden="false" name="Set_g_lifeWomen65_Label" vbProcedure="false">Settings!$G$54</definedName>
    <definedName function="false" hidden="false" name="Set_houseGrow" vbProcedure="false">Settings!$C$17</definedName>
    <definedName function="false" hidden="false" name="Set_houseGrow_Label" vbProcedure="false">Settings!$G$17</definedName>
    <definedName function="false" hidden="false" name="Set_infl" vbProcedure="false">Settings!$C$8</definedName>
    <definedName function="false" hidden="false" name="Set_inflNow" vbProcedure="false">Settings!$C$56</definedName>
    <definedName function="false" hidden="false" name="Set_infl_Label" vbProcedure="false">Settings!$G$8</definedName>
    <definedName function="false" hidden="false" name="Set_inv" vbProcedure="false">Settings!$C$11</definedName>
    <definedName function="false" hidden="false" name="Set_investShare" vbProcedure="false">Settings!$C$28</definedName>
    <definedName function="false" hidden="false" name="Set_investShare_Label" vbProcedure="false">Settings!$G$28</definedName>
    <definedName function="false" hidden="false" name="Set_invGross" vbProcedure="false">Settings!$C$12</definedName>
    <definedName function="false" hidden="false" name="Set_invGross_Label" vbProcedure="false">Settings!$G$12</definedName>
    <definedName function="false" hidden="false" name="Set_inv_Cautious" vbProcedure="false">Settings!$F$11</definedName>
    <definedName function="false" hidden="false" name="Set_inv_Label" vbProcedure="false">Settings!$G$11</definedName>
    <definedName function="false" hidden="false" name="Set_lifeShare" vbProcedure="false">Settings!$C$32</definedName>
    <definedName function="false" hidden="false" name="Set_lifeShare_Label" vbProcedure="false">Settings!$G$32</definedName>
    <definedName function="false" hidden="false" name="Set_lifeYears" vbProcedure="false">Settings!$C$33</definedName>
    <definedName function="false" hidden="false" name="Set_lifeYears_Label" vbProcedure="false">Settings!$G$33</definedName>
    <definedName function="false" hidden="false" name="Set_loanRate" vbProcedure="false">Settings!$C$47</definedName>
    <definedName function="false" hidden="false" name="Set_loanRate_Label" vbProcedure="false">Settings!$G$47</definedName>
    <definedName function="false" hidden="false" name="Set_loanRate_Published" vbProcedure="false">Settings!$G$47</definedName>
    <definedName function="false" hidden="false" name="Set_lumpSum" vbProcedure="false">Settings!$C$23</definedName>
    <definedName function="false" hidden="false" name="Set_lumpSum_Label" vbProcedure="false">Settings!$G$23</definedName>
    <definedName function="false" hidden="false" name="Set_mortRate" vbProcedure="false">Settings!$C$46</definedName>
    <definedName function="false" hidden="false" name="Set_mortRate_Label" vbProcedure="false">Settings!$G$46</definedName>
    <definedName function="false" hidden="false" name="Set_mortRate_Published" vbProcedure="false">Settings!$G$46</definedName>
    <definedName function="false" hidden="false" name="Set_noAnswer" vbProcedure="false">Settings!$C$30</definedName>
    <definedName function="false" hidden="false" name="Set_noAnswer_Label" vbProcedure="false">Settings!$G$30</definedName>
    <definedName function="false" hidden="false" name="Set_ownShare" vbProcedure="false">Settings!$C$20</definedName>
    <definedName function="false" hidden="false" name="Set_ownShare_Label" vbProcedure="false">Settings!$G$20</definedName>
    <definedName function="false" hidden="false" name="Set_pen" vbProcedure="false">Settings!$C$13</definedName>
    <definedName function="false" hidden="false" name="Set_penRet" vbProcedure="false">Settings!$C$14</definedName>
    <definedName function="false" hidden="false" name="Set_penRet_Cautious" vbProcedure="false">Settings!$F$14</definedName>
    <definedName function="false" hidden="false" name="Set_penRet_Label" vbProcedure="false">Settings!$G$14</definedName>
    <definedName function="false" hidden="false" name="Set_pen_Cautious" vbProcedure="false">Settings!$F$13</definedName>
    <definedName function="false" hidden="false" name="Set_pen_Label" vbProcedure="false">Settings!$G$13</definedName>
    <definedName function="false" hidden="false" name="Set_rentRise" vbProcedure="false">Settings!$C$16</definedName>
    <definedName function="false" hidden="false" name="Set_rentRise_Label" vbProcedure="false">Settings!$G$16</definedName>
    <definedName function="false" hidden="false" name="Set_retireMult" vbProcedure="false">Settings!$C$21</definedName>
    <definedName function="false" hidden="false" name="Set_retireMult_Label" vbProcedure="false">Settings!$G$21</definedName>
    <definedName function="false" hidden="false" name="Set_retireSpend" vbProcedure="false">Settings!$C$22</definedName>
    <definedName function="false" hidden="false" name="Set_retireSpend_Label" vbProcedure="false">Settings!$G$22</definedName>
    <definedName function="false" hidden="false" name="Set_riskMu" vbProcedure="false">Settings!$C$35</definedName>
    <definedName function="false" hidden="false" name="Set_riskMu_1" vbProcedure="false">Settings!$C$35</definedName>
    <definedName function="false" hidden="false" name="Set_riskMu_2" vbProcedure="false">Settings!$D$35</definedName>
    <definedName function="false" hidden="false" name="Set_riskMu_3" vbProcedure="false">Settings!$E$35</definedName>
    <definedName function="false" hidden="false" name="Set_riskMu_Label" vbProcedure="false">Settings!$G$35</definedName>
    <definedName function="false" hidden="false" name="Set_riskVol" vbProcedure="false">Settings!$C$36</definedName>
    <definedName function="false" hidden="false" name="Set_riskVol_1" vbProcedure="false">Settings!$C$36</definedName>
    <definedName function="false" hidden="false" name="Set_riskVol_2" vbProcedure="false">Settings!$D$36</definedName>
    <definedName function="false" hidden="false" name="Set_riskVol_3" vbProcedure="false">Settings!$E$36</definedName>
    <definedName function="false" hidden="false" name="Set_riskVol_Label" vbProcedure="false">Settings!$G$36</definedName>
    <definedName function="false" hidden="false" name="Set_safetyMonths" vbProcedure="false">Settings!$C$25</definedName>
    <definedName function="false" hidden="false" name="Set_safetyMonthsTwo" vbProcedure="false">Settings!$C$26</definedName>
    <definedName function="false" hidden="false" name="Set_safetyMonthsTwo_Label" vbProcedure="false">Settings!$G$26</definedName>
    <definedName function="false" hidden="false" name="Set_safetyMonths_Label" vbProcedure="false">Settings!$G$25</definedName>
    <definedName function="false" hidden="false" name="Set_saveShare" vbProcedure="false">Settings!$C$29</definedName>
    <definedName function="false" hidden="false" name="Set_saveShare_Label" vbProcedure="false">Settings!$G$29</definedName>
    <definedName function="false" hidden="false" name="Set_spGrow" vbProcedure="false">Settings!$C$40</definedName>
    <definedName function="false" hidden="false" name="Set_spGrow_Label" vbProcedure="false">Settings!$G$40</definedName>
    <definedName function="false" hidden="false" name="Set_style" vbProcedure="false">Settings!$C$44</definedName>
    <definedName function="false" hidden="false" name="Set_style_Label" vbProcedure="false">Settings!$G$44</definedName>
    <definedName function="false" hidden="false" name="Set_upkeep" vbProcedure="false">Settings!$C$18</definedName>
    <definedName function="false" hidden="false" name="Set_upkeep_Label" vbProcedure="false">Settings!$G$18</definedName>
    <definedName function="false" hidden="false" name="Set_wage" vbProcedure="false">Settings!$C$9</definedName>
    <definedName function="false" hidden="false" name="Set_wage_Cautious" vbProcedure="false">Settings!$F$9</definedName>
    <definedName function="false" hidden="false" name="Set_wage_Label" vbProcedure="false">Settings!$G$9</definedName>
    <definedName function="false" hidden="false" name="Set_waitYears" vbProcedure="false">Settings!$C$43</definedName>
    <definedName function="false" hidden="false" name="Set_waitYears_Label" vbProcedure="false">Settings!$G$43</definedName>
    <definedName function="false" hidden="false" name="SFT_2026" vbProcedure="false">Assumptions!$C$57</definedName>
    <definedName function="false" hidden="false" name="SFT_Tax" vbProcedure="false">Assumptions!$C$58</definedName>
    <definedName function="false" hidden="false" name="Shares_For_Balanced" vbProcedure="false">Assumptions!$C$93</definedName>
    <definedName function="false" hidden="false" name="Shares_For_Growth" vbProcedure="false">Assumptions!$C$92</definedName>
    <definedName function="false" hidden="false" name="Slip_Count" vbProcedure="false">'Plan results'!$C$120</definedName>
    <definedName function="false" hidden="false" name="Slip_Names" vbProcedure="false">'Plan results'!$C$121</definedName>
    <definedName function="false" hidden="false" name="Slot1_Age" vbProcedure="false">'Plan goals'!$G$42</definedName>
    <definedName function="false" hidden="false" name="Slot1_Amount" vbProcedure="false">'Plan goals'!$H$42</definedName>
    <definedName function="false" hidden="false" name="Slot1_AvgM" vbProcedure="false">'Plan goals'!$M$61</definedName>
    <definedName function="false" hidden="false" name="Slot1_BufPot" vbProcedure="false">'Plan goals'!$O$42</definedName>
    <definedName function="false" hidden="false" name="Slot1_Cost" vbProcedure="false">'Plan goals'!$L$42</definedName>
    <definedName function="false" hidden="false" name="Slot1_IsMfree" vbProcedure="false">'Plan goals'!$P$42</definedName>
    <definedName function="false" hidden="false" name="Slot1_IsWG" vbProcedure="false">'Plan goals'!$Q$42</definedName>
    <definedName function="false" hidden="false" name="Slot1_Key" vbProcedure="false">'Plan goals'!$E$42</definedName>
    <definedName function="false" hidden="false" name="Slot1_Kind" vbProcedure="false">'Plan goals'!$F$42</definedName>
    <definedName function="false" hidden="false" name="Slot1_N" vbProcedure="false">'Plan goals'!$J$42</definedName>
    <definedName function="false" hidden="false" name="Slot1_NeedM" vbProcedure="false">'Plan goals'!$K$61</definedName>
    <definedName function="false" hidden="false" name="Slot1_NowM" vbProcedure="false">'Plan goals'!$L$61</definedName>
    <definedName function="false" hidden="false" name="Slot1_On" vbProcedure="false">'Plan goals'!$D$42</definedName>
    <definedName function="false" hidden="false" name="Slot1_Paid" vbProcedure="false">'Plan goals'!$C$61</definedName>
    <definedName function="false" hidden="false" name="Slot1_Pct" vbProcedure="false">'Plan goals'!$E$61</definedName>
    <definedName function="false" hidden="false" name="Slot1_PctLow" vbProcedure="false">'Plan goals'!$F$61</definedName>
    <definedName function="false" hidden="false" name="Slot1_Pot0" vbProcedure="false">'Plan goals'!$X$42</definedName>
    <definedName function="false" hidden="false" name="Slot1_PotFree" vbProcedure="false">'Plan goals'!$N$42</definedName>
    <definedName function="false" hidden="false" name="Slot1_Rate" vbProcedure="false">'Plan goals'!$K$42</definedName>
    <definedName function="false" hidden="false" name="Slot1_Saved" vbProcedure="false">'Plan goals'!$I$42</definedName>
    <definedName function="false" hidden="false" name="Slot1_SpendLike" vbProcedure="false">'Plan goals'!$M$42</definedName>
    <definedName function="false" hidden="false" name="Slot2_Age" vbProcedure="false">'Plan goals'!$G$43</definedName>
    <definedName function="false" hidden="false" name="Slot2_Amount" vbProcedure="false">'Plan goals'!$H$43</definedName>
    <definedName function="false" hidden="false" name="Slot2_AvgM" vbProcedure="false">'Plan goals'!$M$62</definedName>
    <definedName function="false" hidden="false" name="Slot2_BufPot" vbProcedure="false">'Plan goals'!$O$43</definedName>
    <definedName function="false" hidden="false" name="Slot2_Cost" vbProcedure="false">'Plan goals'!$L$43</definedName>
    <definedName function="false" hidden="false" name="Slot2_IsMfree" vbProcedure="false">'Plan goals'!$P$43</definedName>
    <definedName function="false" hidden="false" name="Slot2_IsWG" vbProcedure="false">'Plan goals'!$Q$43</definedName>
    <definedName function="false" hidden="false" name="Slot2_Key" vbProcedure="false">'Plan goals'!$E$43</definedName>
    <definedName function="false" hidden="false" name="Slot2_Kind" vbProcedure="false">'Plan goals'!$F$43</definedName>
    <definedName function="false" hidden="false" name="Slot2_N" vbProcedure="false">'Plan goals'!$J$43</definedName>
    <definedName function="false" hidden="false" name="Slot2_NeedM" vbProcedure="false">'Plan goals'!$K$62</definedName>
    <definedName function="false" hidden="false" name="Slot2_NowM" vbProcedure="false">'Plan goals'!$L$62</definedName>
    <definedName function="false" hidden="false" name="Slot2_On" vbProcedure="false">'Plan goals'!$D$43</definedName>
    <definedName function="false" hidden="false" name="Slot2_Paid" vbProcedure="false">'Plan goals'!$C$62</definedName>
    <definedName function="false" hidden="false" name="Slot2_Pct" vbProcedure="false">'Plan goals'!$E$62</definedName>
    <definedName function="false" hidden="false" name="Slot2_PctLow" vbProcedure="false">'Plan goals'!$F$62</definedName>
    <definedName function="false" hidden="false" name="Slot2_Pot0" vbProcedure="false">'Plan goals'!$X$43</definedName>
    <definedName function="false" hidden="false" name="Slot2_PotFree" vbProcedure="false">'Plan goals'!$N$43</definedName>
    <definedName function="false" hidden="false" name="Slot2_Rate" vbProcedure="false">'Plan goals'!$K$43</definedName>
    <definedName function="false" hidden="false" name="Slot2_Saved" vbProcedure="false">'Plan goals'!$I$43</definedName>
    <definedName function="false" hidden="false" name="Slot2_SpendLike" vbProcedure="false">'Plan goals'!$M$43</definedName>
    <definedName function="false" hidden="false" name="Slot3_Age" vbProcedure="false">'Plan goals'!$G$44</definedName>
    <definedName function="false" hidden="false" name="Slot3_Amount" vbProcedure="false">'Plan goals'!$H$44</definedName>
    <definedName function="false" hidden="false" name="Slot3_AvgM" vbProcedure="false">'Plan goals'!$M$63</definedName>
    <definedName function="false" hidden="false" name="Slot3_BufPot" vbProcedure="false">'Plan goals'!$O$44</definedName>
    <definedName function="false" hidden="false" name="Slot3_Cost" vbProcedure="false">'Plan goals'!$L$44</definedName>
    <definedName function="false" hidden="false" name="Slot3_IsMfree" vbProcedure="false">'Plan goals'!$P$44</definedName>
    <definedName function="false" hidden="false" name="Slot3_IsWG" vbProcedure="false">'Plan goals'!$Q$44</definedName>
    <definedName function="false" hidden="false" name="Slot3_Key" vbProcedure="false">'Plan goals'!$E$44</definedName>
    <definedName function="false" hidden="false" name="Slot3_Kind" vbProcedure="false">'Plan goals'!$F$44</definedName>
    <definedName function="false" hidden="false" name="Slot3_N" vbProcedure="false">'Plan goals'!$J$44</definedName>
    <definedName function="false" hidden="false" name="Slot3_NeedM" vbProcedure="false">'Plan goals'!$K$63</definedName>
    <definedName function="false" hidden="false" name="Slot3_NowM" vbProcedure="false">'Plan goals'!$L$63</definedName>
    <definedName function="false" hidden="false" name="Slot3_On" vbProcedure="false">'Plan goals'!$D$44</definedName>
    <definedName function="false" hidden="false" name="Slot3_Paid" vbProcedure="false">'Plan goals'!$C$63</definedName>
    <definedName function="false" hidden="false" name="Slot3_Pct" vbProcedure="false">'Plan goals'!$E$63</definedName>
    <definedName function="false" hidden="false" name="Slot3_PctLow" vbProcedure="false">'Plan goals'!$F$63</definedName>
    <definedName function="false" hidden="false" name="Slot3_Pot0" vbProcedure="false">'Plan goals'!$X$44</definedName>
    <definedName function="false" hidden="false" name="Slot3_PotFree" vbProcedure="false">'Plan goals'!$N$44</definedName>
    <definedName function="false" hidden="false" name="Slot3_Rate" vbProcedure="false">'Plan goals'!$K$44</definedName>
    <definedName function="false" hidden="false" name="Slot3_Saved" vbProcedure="false">'Plan goals'!$I$44</definedName>
    <definedName function="false" hidden="false" name="Slot3_SpendLike" vbProcedure="false">'Plan goals'!$M$44</definedName>
    <definedName function="false" hidden="false" name="Slot4_Age" vbProcedure="false">'Plan goals'!$G$45</definedName>
    <definedName function="false" hidden="false" name="Slot4_Amount" vbProcedure="false">'Plan goals'!$H$45</definedName>
    <definedName function="false" hidden="false" name="Slot4_AvgM" vbProcedure="false">'Plan goals'!$M$64</definedName>
    <definedName function="false" hidden="false" name="Slot4_BufPot" vbProcedure="false">'Plan goals'!$O$45</definedName>
    <definedName function="false" hidden="false" name="Slot4_Cost" vbProcedure="false">'Plan goals'!$L$45</definedName>
    <definedName function="false" hidden="false" name="Slot4_IsMfree" vbProcedure="false">'Plan goals'!$P$45</definedName>
    <definedName function="false" hidden="false" name="Slot4_IsWG" vbProcedure="false">'Plan goals'!$Q$45</definedName>
    <definedName function="false" hidden="false" name="Slot4_Key" vbProcedure="false">'Plan goals'!$E$45</definedName>
    <definedName function="false" hidden="false" name="Slot4_Kind" vbProcedure="false">'Plan goals'!$F$45</definedName>
    <definedName function="false" hidden="false" name="Slot4_N" vbProcedure="false">'Plan goals'!$J$45</definedName>
    <definedName function="false" hidden="false" name="Slot4_NeedM" vbProcedure="false">'Plan goals'!$K$64</definedName>
    <definedName function="false" hidden="false" name="Slot4_NowM" vbProcedure="false">'Plan goals'!$L$64</definedName>
    <definedName function="false" hidden="false" name="Slot4_On" vbProcedure="false">'Plan goals'!$D$45</definedName>
    <definedName function="false" hidden="false" name="Slot4_Paid" vbProcedure="false">'Plan goals'!$C$64</definedName>
    <definedName function="false" hidden="false" name="Slot4_Pct" vbProcedure="false">'Plan goals'!$E$64</definedName>
    <definedName function="false" hidden="false" name="Slot4_PctLow" vbProcedure="false">'Plan goals'!$F$64</definedName>
    <definedName function="false" hidden="false" name="Slot4_Pot0" vbProcedure="false">'Plan goals'!$X$45</definedName>
    <definedName function="false" hidden="false" name="Slot4_PotFree" vbProcedure="false">'Plan goals'!$N$45</definedName>
    <definedName function="false" hidden="false" name="Slot4_Rate" vbProcedure="false">'Plan goals'!$K$45</definedName>
    <definedName function="false" hidden="false" name="Slot4_Saved" vbProcedure="false">'Plan goals'!$I$45</definedName>
    <definedName function="false" hidden="false" name="Slot4_SpendLike" vbProcedure="false">'Plan goals'!$M$45</definedName>
    <definedName function="false" hidden="false" name="Slot5_Age" vbProcedure="false">'Plan goals'!$G$46</definedName>
    <definedName function="false" hidden="false" name="Slot5_Amount" vbProcedure="false">'Plan goals'!$H$46</definedName>
    <definedName function="false" hidden="false" name="Slot5_AvgM" vbProcedure="false">'Plan goals'!$M$65</definedName>
    <definedName function="false" hidden="false" name="Slot5_BufPot" vbProcedure="false">'Plan goals'!$O$46</definedName>
    <definedName function="false" hidden="false" name="Slot5_Cost" vbProcedure="false">'Plan goals'!$L$46</definedName>
    <definedName function="false" hidden="false" name="Slot5_IsMfree" vbProcedure="false">'Plan goals'!$P$46</definedName>
    <definedName function="false" hidden="false" name="Slot5_IsWG" vbProcedure="false">'Plan goals'!$Q$46</definedName>
    <definedName function="false" hidden="false" name="Slot5_Key" vbProcedure="false">'Plan goals'!$E$46</definedName>
    <definedName function="false" hidden="false" name="Slot5_Kind" vbProcedure="false">'Plan goals'!$F$46</definedName>
    <definedName function="false" hidden="false" name="Slot5_N" vbProcedure="false">'Plan goals'!$J$46</definedName>
    <definedName function="false" hidden="false" name="Slot5_NeedM" vbProcedure="false">'Plan goals'!$K$65</definedName>
    <definedName function="false" hidden="false" name="Slot5_NowM" vbProcedure="false">'Plan goals'!$L$65</definedName>
    <definedName function="false" hidden="false" name="Slot5_On" vbProcedure="false">'Plan goals'!$D$46</definedName>
    <definedName function="false" hidden="false" name="Slot5_Paid" vbProcedure="false">'Plan goals'!$C$65</definedName>
    <definedName function="false" hidden="false" name="Slot5_Pct" vbProcedure="false">'Plan goals'!$E$65</definedName>
    <definedName function="false" hidden="false" name="Slot5_PctLow" vbProcedure="false">'Plan goals'!$F$65</definedName>
    <definedName function="false" hidden="false" name="Slot5_Pot0" vbProcedure="false">'Plan goals'!$X$46</definedName>
    <definedName function="false" hidden="false" name="Slot5_PotFree" vbProcedure="false">'Plan goals'!$N$46</definedName>
    <definedName function="false" hidden="false" name="Slot5_Rate" vbProcedure="false">'Plan goals'!$K$46</definedName>
    <definedName function="false" hidden="false" name="Slot5_Saved" vbProcedure="false">'Plan goals'!$I$46</definedName>
    <definedName function="false" hidden="false" name="Slot5_SpendLike" vbProcedure="false">'Plan goals'!$M$46</definedName>
    <definedName function="false" hidden="false" name="Slot6_Age" vbProcedure="false">'Plan goals'!$G$47</definedName>
    <definedName function="false" hidden="false" name="Slot6_Amount" vbProcedure="false">'Plan goals'!$H$47</definedName>
    <definedName function="false" hidden="false" name="Slot6_AvgM" vbProcedure="false">'Plan goals'!$M$66</definedName>
    <definedName function="false" hidden="false" name="Slot6_BufPot" vbProcedure="false">'Plan goals'!$O$47</definedName>
    <definedName function="false" hidden="false" name="Slot6_Cost" vbProcedure="false">'Plan goals'!$L$47</definedName>
    <definedName function="false" hidden="false" name="Slot6_IsMfree" vbProcedure="false">'Plan goals'!$P$47</definedName>
    <definedName function="false" hidden="false" name="Slot6_IsWG" vbProcedure="false">'Plan goals'!$Q$47</definedName>
    <definedName function="false" hidden="false" name="Slot6_Key" vbProcedure="false">'Plan goals'!$E$47</definedName>
    <definedName function="false" hidden="false" name="Slot6_Kind" vbProcedure="false">'Plan goals'!$F$47</definedName>
    <definedName function="false" hidden="false" name="Slot6_N" vbProcedure="false">'Plan goals'!$J$47</definedName>
    <definedName function="false" hidden="false" name="Slot6_NeedM" vbProcedure="false">'Plan goals'!$K$66</definedName>
    <definedName function="false" hidden="false" name="Slot6_NowM" vbProcedure="false">'Plan goals'!$L$66</definedName>
    <definedName function="false" hidden="false" name="Slot6_On" vbProcedure="false">'Plan goals'!$D$47</definedName>
    <definedName function="false" hidden="false" name="Slot6_Paid" vbProcedure="false">'Plan goals'!$C$66</definedName>
    <definedName function="false" hidden="false" name="Slot6_Pct" vbProcedure="false">'Plan goals'!$E$66</definedName>
    <definedName function="false" hidden="false" name="Slot6_PctLow" vbProcedure="false">'Plan goals'!$F$66</definedName>
    <definedName function="false" hidden="false" name="Slot6_Pot0" vbProcedure="false">'Plan goals'!$X$47</definedName>
    <definedName function="false" hidden="false" name="Slot6_PotFree" vbProcedure="false">'Plan goals'!$N$47</definedName>
    <definedName function="false" hidden="false" name="Slot6_Rate" vbProcedure="false">'Plan goals'!$K$47</definedName>
    <definedName function="false" hidden="false" name="Slot6_Saved" vbProcedure="false">'Plan goals'!$I$47</definedName>
    <definedName function="false" hidden="false" name="Slot6_SpendLike" vbProcedure="false">'Plan goals'!$M$47</definedName>
    <definedName function="false" hidden="false" name="Slot7_Age" vbProcedure="false">'Plan goals'!$G$48</definedName>
    <definedName function="false" hidden="false" name="Slot7_Amount" vbProcedure="false">'Plan goals'!$H$48</definedName>
    <definedName function="false" hidden="false" name="Slot7_AvgM" vbProcedure="false">'Plan goals'!$M$67</definedName>
    <definedName function="false" hidden="false" name="Slot7_BufPot" vbProcedure="false">'Plan goals'!$O$48</definedName>
    <definedName function="false" hidden="false" name="Slot7_Cost" vbProcedure="false">'Plan goals'!$L$48</definedName>
    <definedName function="false" hidden="false" name="Slot7_IsMfree" vbProcedure="false">'Plan goals'!$P$48</definedName>
    <definedName function="false" hidden="false" name="Slot7_IsWG" vbProcedure="false">'Plan goals'!$Q$48</definedName>
    <definedName function="false" hidden="false" name="Slot7_Key" vbProcedure="false">'Plan goals'!$E$48</definedName>
    <definedName function="false" hidden="false" name="Slot7_Kind" vbProcedure="false">'Plan goals'!$F$48</definedName>
    <definedName function="false" hidden="false" name="Slot7_N" vbProcedure="false">'Plan goals'!$J$48</definedName>
    <definedName function="false" hidden="false" name="Slot7_NeedM" vbProcedure="false">'Plan goals'!$K$67</definedName>
    <definedName function="false" hidden="false" name="Slot7_NowM" vbProcedure="false">'Plan goals'!$L$67</definedName>
    <definedName function="false" hidden="false" name="Slot7_On" vbProcedure="false">'Plan goals'!$D$48</definedName>
    <definedName function="false" hidden="false" name="Slot7_Paid" vbProcedure="false">'Plan goals'!$C$67</definedName>
    <definedName function="false" hidden="false" name="Slot7_Pct" vbProcedure="false">'Plan goals'!$E$67</definedName>
    <definedName function="false" hidden="false" name="Slot7_PctLow" vbProcedure="false">'Plan goals'!$F$67</definedName>
    <definedName function="false" hidden="false" name="Slot7_Pot0" vbProcedure="false">'Plan goals'!$X$48</definedName>
    <definedName function="false" hidden="false" name="Slot7_PotFree" vbProcedure="false">'Plan goals'!$N$48</definedName>
    <definedName function="false" hidden="false" name="Slot7_Rate" vbProcedure="false">'Plan goals'!$K$48</definedName>
    <definedName function="false" hidden="false" name="Slot7_Saved" vbProcedure="false">'Plan goals'!$I$48</definedName>
    <definedName function="false" hidden="false" name="Slot7_SpendLike" vbProcedure="false">'Plan goals'!$M$48</definedName>
    <definedName function="false" hidden="false" name="Slot8_Age" vbProcedure="false">'Plan goals'!$G$49</definedName>
    <definedName function="false" hidden="false" name="Slot8_Amount" vbProcedure="false">'Plan goals'!$H$49</definedName>
    <definedName function="false" hidden="false" name="Slot8_AvgM" vbProcedure="false">'Plan goals'!$M$68</definedName>
    <definedName function="false" hidden="false" name="Slot8_BufPot" vbProcedure="false">'Plan goals'!$O$49</definedName>
    <definedName function="false" hidden="false" name="Slot8_Cost" vbProcedure="false">'Plan goals'!$L$49</definedName>
    <definedName function="false" hidden="false" name="Slot8_IsMfree" vbProcedure="false">'Plan goals'!$P$49</definedName>
    <definedName function="false" hidden="false" name="Slot8_IsWG" vbProcedure="false">'Plan goals'!$Q$49</definedName>
    <definedName function="false" hidden="false" name="Slot8_Key" vbProcedure="false">'Plan goals'!$E$49</definedName>
    <definedName function="false" hidden="false" name="Slot8_Kind" vbProcedure="false">'Plan goals'!$F$49</definedName>
    <definedName function="false" hidden="false" name="Slot8_N" vbProcedure="false">'Plan goals'!$J$49</definedName>
    <definedName function="false" hidden="false" name="Slot8_NeedM" vbProcedure="false">'Plan goals'!$K$68</definedName>
    <definedName function="false" hidden="false" name="Slot8_NowM" vbProcedure="false">'Plan goals'!$L$68</definedName>
    <definedName function="false" hidden="false" name="Slot8_On" vbProcedure="false">'Plan goals'!$D$49</definedName>
    <definedName function="false" hidden="false" name="Slot8_Paid" vbProcedure="false">'Plan goals'!$C$68</definedName>
    <definedName function="false" hidden="false" name="Slot8_Pct" vbProcedure="false">'Plan goals'!$E$68</definedName>
    <definedName function="false" hidden="false" name="Slot8_PctLow" vbProcedure="false">'Plan goals'!$F$68</definedName>
    <definedName function="false" hidden="false" name="Slot8_Pot0" vbProcedure="false">'Plan goals'!$X$49</definedName>
    <definedName function="false" hidden="false" name="Slot8_PotFree" vbProcedure="false">'Plan goals'!$N$49</definedName>
    <definedName function="false" hidden="false" name="Slot8_Rate" vbProcedure="false">'Plan goals'!$K$49</definedName>
    <definedName function="false" hidden="false" name="Slot8_Saved" vbProcedure="false">'Plan goals'!$I$49</definedName>
    <definedName function="false" hidden="false" name="Slot8_SpendLike" vbProcedure="false">'Plan goals'!$M$49</definedName>
    <definedName function="false" hidden="false" name="Slots_Funded" vbProcedure="false">'Plan goals'!$D$56</definedName>
    <definedName function="false" hidden="false" name="Slots_TooMany" vbProcedure="false">'Plan goals'!$D$57</definedName>
    <definedName function="false" hidden="false" name="Statement_Max_Age_Days" vbProcedure="false">Assumptions!$C$94</definedName>
    <definedName function="false" hidden="false" name="State_Pension_Age" vbProcedure="false">Assumptions!$C$65</definedName>
    <definedName function="false" hidden="false" name="State_Pension_Week" vbProcedure="false">Assumptions!$C$63</definedName>
    <definedName function="false" hidden="false" name="State_Pension_Year" vbProcedure="false">Assumptions!$C$64</definedName>
    <definedName function="false" hidden="false" name="Std_Left" vbProcedure="false">'Plan results'!$C$52</definedName>
    <definedName function="false" hidden="false" name="Std_Need" vbProcedure="false">'Plan results'!$C$53</definedName>
    <definedName function="false" hidden="false" name="Suggest_Buying_Fees" vbProcedure="false">Settings!$M$50</definedName>
    <definedName function="false" hidden="false" name="Suggest_Buying_Fees_Label" vbProcedure="false">Settings!$L$50</definedName>
    <definedName function="false" hidden="false" name="Suggest_Card_APR" vbProcedure="false">Settings!$M$48</definedName>
    <definedName function="false" hidden="false" name="Suggest_Card_APR_Label" vbProcedure="false">Settings!$L$48</definedName>
    <definedName function="false" hidden="false" name="Suggest_Deposit_Rate" vbProcedure="false">Settings!$M$49</definedName>
    <definedName function="false" hidden="false" name="Suggest_Deposit_Rate_Label" vbProcedure="false">Settings!$L$49</definedName>
    <definedName function="false" hidden="false" name="Suggest_Fund_Charges" vbProcedure="false">Settings!$M$51</definedName>
    <definedName function="false" hidden="false" name="Suggest_Fund_Charges_Label" vbProcedure="false">Settings!$L$51</definedName>
    <definedName function="false" hidden="false" name="Suggest_Loan_APR" vbProcedure="false">Settings!$M$47</definedName>
    <definedName function="false" hidden="false" name="Suggest_Loan_APR_Label" vbProcedure="false">Settings!$L$47</definedName>
    <definedName function="false" hidden="false" name="Suggest_Mortgage_Rate" vbProcedure="false">Settings!$M$46</definedName>
    <definedName function="false" hidden="false" name="Suggest_Mortgage_Rate_Label" vbProcedure="false">Settings!$L$46</definedName>
    <definedName function="false" hidden="false" name="Survivor_Pension_Week" vbProcedure="false">Assumptions!$C$66</definedName>
    <definedName function="false" hidden="false" name="Survivor_Pension_Week_66" vbProcedure="false">Assumptions!$C$67</definedName>
    <definedName function="false" hidden="false" name="TE_Band" vbProcedure="false">'Tax engine'!$C$15</definedName>
    <definedName function="false" hidden="false" name="TE_Checks" vbProcedure="false">'Tax engine'!$Q$46</definedName>
    <definedName function="false" hidden="false" name="TE_Credits" vbProcedure="false">'Tax engine'!$C$18</definedName>
    <definedName function="false" hidden="false" name="TE_Earner_2" vbProcedure="false">'Tax engine'!$C$14</definedName>
    <definedName function="false" hidden="false" name="TE_Gross_1" vbProcedure="false">'Tax engine'!$G$6</definedName>
    <definedName function="false" hidden="false" name="TE_Gross_1_Entry" vbProcedure="false">'Tax engine'!$C$6</definedName>
    <definedName function="false" hidden="false" name="TE_Gross_2" vbProcedure="false">'Tax engine'!$G$7</definedName>
    <definedName function="false" hidden="false" name="TE_Gross_2_Entry" vbProcedure="false">'Tax engine'!$C$7</definedName>
    <definedName function="false" hidden="false" name="TE_Home_Carer" vbProcedure="false">'Tax engine'!$G$9</definedName>
    <definedName function="false" hidden="false" name="TE_Home_Carer_Entry" vbProcedure="false">'Tax engine'!$C$9</definedName>
    <definedName function="false" hidden="false" name="TE_Income_Tax" vbProcedure="false">'Tax engine'!$C$19</definedName>
    <definedName function="false" hidden="false" name="TE_Marginal_Rate" vbProcedure="false">'Tax engine'!$C$24</definedName>
    <definedName function="false" hidden="false" name="TE_Need" vbProcedure="false">'Tax engine'!$C$25</definedName>
    <definedName function="false" hidden="false" name="TE_PRSI" vbProcedure="false">'Tax engine'!$C$21</definedName>
    <definedName function="false" hidden="false" name="TE_PRSI_Basis" vbProcedure="false">'Tax engine'!$G$10</definedName>
    <definedName function="false" hidden="false" name="TE_PRSI_Basis_Entry" vbProcedure="false">'Tax engine'!$C$10</definedName>
    <definedName function="false" hidden="false" name="TE_PRSI_Rate_Used" vbProcedure="false">'Tax engine'!$C$13</definedName>
    <definedName function="false" hidden="false" name="TE_Rent_Credit" vbProcedure="false">'Tax engine'!$G$8</definedName>
    <definedName function="false" hidden="false" name="TE_Rent_Credit_Entry" vbProcedure="false">'Tax engine'!$C$8</definedName>
    <definedName function="false" hidden="false" name="TE_Status" vbProcedure="false">'Tax engine'!$G$5</definedName>
    <definedName function="false" hidden="false" name="TE_Status_Entry" vbProcedure="false">'Tax engine'!$C$5</definedName>
    <definedName function="false" hidden="false" name="TE_Take_Home" vbProcedure="false">'Tax engine'!$C$22</definedName>
    <definedName function="false" hidden="false" name="TE_Take_Home_Month" vbProcedure="false">'Tax engine'!$C$23</definedName>
    <definedName function="false" hidden="false" name="TE_Taxable" vbProcedure="false">'Tax engine'!$C$16</definedName>
    <definedName function="false" hidden="false" name="TE_Tax_Before_Credits" vbProcedure="false">'Tax engine'!$C$17</definedName>
    <definedName function="false" hidden="false" name="TE_USC" vbProcedure="false">'Tax engine'!$C$20</definedName>
    <definedName function="false" hidden="false" name="Tools_All" vbProcedure="false">'Plan results'!$C$156</definedName>
    <definedName function="false" hidden="false" name="Tools_List" vbProcedure="false">'Plan results'!$C$157</definedName>
    <definedName function="false" hidden="false" name="USC_Band_1" vbProcedure="false">Assumptions!$C$27</definedName>
    <definedName function="false" hidden="false" name="USC_Band_2" vbProcedure="false">Assumptions!$C$28</definedName>
    <definedName function="false" hidden="false" name="USC_Band_3" vbProcedure="false">Assumptions!$C$29</definedName>
    <definedName function="false" hidden="false" name="USC_Exempt" vbProcedure="false">Assumptions!$C$26</definedName>
    <definedName function="false" hidden="false" name="USC_Rate_1" vbProcedure="false">Assumptions!$C$30</definedName>
    <definedName function="false" hidden="false" name="USC_Rate_2" vbProcedure="false">Assumptions!$C$31</definedName>
    <definedName function="false" hidden="false" name="USC_Rate_3" vbProcedure="false">Assumptions!$C$32</definedName>
    <definedName function="false" hidden="false" name="USC_Rate_4" vbProcedure="false">Assumptions!$C$33</definedName>
    <definedName function="false" hidden="false" name="Weeks_Per_Year" vbProcedure="false">Assumptions!$C$70</definedName>
    <definedName function="false" hidden="false" name="WI_L" vbProcedure="false">'Plan pay &amp; tax'!$C$204</definedName>
    <definedName function="false" hidden="false" name="WI_M" vbProcedure="false">'Plan pay &amp; tax'!$C$203</definedName>
    <definedName function="false" hidden="false" name="Wi_Over" vbProcedure="false">'Plan results'!$C$165</definedName>
    <definedName function="false" hidden="false" name="WI_Retire" vbProcedure="false">'Plan pay &amp; tax'!$C$202</definedName>
    <definedName function="false" hidden="false" name="Wi_Total" vbProcedure="false">'Plan results'!$C$164</definedName>
    <definedName function="false" hidden="false" localSheetId="1" name="Borrow_By_Income" vbProcedure="false">'C01 Borrowing'!$C$21</definedName>
    <definedName function="false" hidden="false" localSheetId="1" name="Buying_Fees" vbProcedure="false">'C01 Borrowing'!$G$12</definedName>
    <definedName function="false" hidden="false" localSheetId="1" name="Buying_Fees_Entry" vbProcedure="false">'C01 Borrowing'!$C$12</definedName>
    <definedName function="false" hidden="false" localSheetId="1" name="Cash_At_Band_1" vbProcedure="false">'C01 Borrowing'!$C$25</definedName>
    <definedName function="false" hidden="false" localSheetId="1" name="Cash_At_Band_2" vbProcedure="false">'C01 Borrowing'!$C$26</definedName>
    <definedName function="false" hidden="false" localSheetId="1" name="Cash_For_Price" vbProcedure="false">'C01 Borrowing'!$C$24</definedName>
    <definedName function="false" hidden="false" localSheetId="1" name="Deposit" vbProcedure="false">'C01 Borrowing'!$G$8</definedName>
    <definedName function="false" hidden="false" localSheetId="1" name="Deposit_Entry" vbProcedure="false">'C01 Borrowing'!$C$8</definedName>
    <definedName function="false" hidden="false" localSheetId="1" name="Extra_Deposit" vbProcedure="false">'C01 Borrowing'!$G$14</definedName>
    <definedName function="false" hidden="false" localSheetId="1" name="Extra_Deposit_Entry" vbProcedure="false">'C01 Borrowing'!$C$14</definedName>
    <definedName function="false" hidden="false" localSheetId="1" name="First_Time_Buyer" vbProcedure="false">'C01 Borrowing'!$G$9</definedName>
    <definedName function="false" hidden="false" localSheetId="1" name="First_Time_Buyer_Entry" vbProcedure="false">'C01 Borrowing'!$C$9</definedName>
    <definedName function="false" hidden="false" localSheetId="1" name="Home_Goal_Years" vbProcedure="false">'C01 Borrowing'!$G$13</definedName>
    <definedName function="false" hidden="false" localSheetId="1" name="Home_Goal_Years_Entry" vbProcedure="false">'C01 Borrowing'!$C$13</definedName>
    <definedName function="false" hidden="false" localSheetId="1" name="Home_Price" vbProcedure="false">'C01 Borrowing'!$C$17</definedName>
    <definedName function="false" hidden="false" localSheetId="1" name="Income" vbProcedure="false">'C01 Borrowing'!$G$6</definedName>
    <definedName function="false" hidden="false" localSheetId="1" name="Income_Cash" vbProcedure="false">'C01 Borrowing'!$C$28</definedName>
    <definedName function="false" hidden="false" localSheetId="1" name="Income_Entry" vbProcedure="false">'C01 Borrowing'!$C$6</definedName>
    <definedName function="false" hidden="false" localSheetId="1" name="Income_Multiple" vbProcedure="false">'C01 Borrowing'!$C$22</definedName>
    <definedName function="false" hidden="false" localSheetId="1" name="Interest_Rate" vbProcedure="false">'C01 Borrowing'!$G$10</definedName>
    <definedName function="false" hidden="false" localSheetId="1" name="Interest_Rate_Entry" vbProcedure="false">'C01 Borrowing'!$C$10</definedName>
    <definedName function="false" hidden="false" localSheetId="1" name="Limit_Set_By" vbProcedure="false">'C01 Borrowing'!$C$30</definedName>
    <definedName function="false" hidden="false" localSheetId="1" name="Max_Loan" vbProcedure="false">'C01 Borrowing'!$C$18</definedName>
    <definedName function="false" hidden="false" localSheetId="1" name="Monthly_Repayment" vbProcedure="false">'C01 Borrowing'!$C$19</definedName>
    <definedName function="false" hidden="false" localSheetId="1" name="Need_1" vbProcedure="false">'C01 Borrowing'!$C$49</definedName>
    <definedName function="false" hidden="false" localSheetId="1" name="Need_2" vbProcedure="false">'C01 Borrowing'!$C$50</definedName>
    <definedName function="false" hidden="false" localSheetId="1" name="Need_3" vbProcedure="false">'C01 Borrowing'!$C$51</definedName>
    <definedName function="false" hidden="false" localSheetId="1" name="Need_4" vbProcedure="false">'C01 Borrowing'!$C$52</definedName>
    <definedName function="false" hidden="false" localSheetId="1" name="Need_5" vbProcedure="false">'C01 Borrowing'!$C$53</definedName>
    <definedName function="false" hidden="false" localSheetId="1" name="Need_6" vbProcedure="false">'C01 Borrowing'!$C$54</definedName>
    <definedName function="false" hidden="false" localSheetId="1" name="Need_7" vbProcedure="false">'C01 Borrowing'!$C$55</definedName>
    <definedName function="false" hidden="false" localSheetId="1" name="Partner_Income" vbProcedure="false">'C01 Borrowing'!$G$7</definedName>
    <definedName function="false" hidden="false" localSheetId="1" name="Partner_Income_Entry" vbProcedure="false">'C01 Borrowing'!$C$7</definedName>
    <definedName function="false" hidden="false" localSheetId="1" name="Plan_Goal_Amount" vbProcedure="false">'C01 Borrowing'!$C$44</definedName>
    <definedName function="false" hidden="false" localSheetId="1" name="Plan_Goal_Kind" vbProcedure="false">'C01 Borrowing'!$C$43</definedName>
    <definedName function="false" hidden="false" localSheetId="1" name="Plan_Goal_Saved" vbProcedure="false">'C01 Borrowing'!$C$45</definedName>
    <definedName function="false" hidden="false" localSheetId="1" name="Plan_Goal_Years" vbProcedure="false">'C01 Borrowing'!$C$46</definedName>
    <definedName function="false" hidden="false" localSheetId="1" name="Price_By_Deposit" vbProcedure="false">'C01 Borrowing'!$C$27</definedName>
    <definedName function="false" hidden="false" localSheetId="1" name="Price_By_Income" vbProcedure="false">'C01 Borrowing'!$C$29</definedName>
    <definedName function="false" hidden="false" localSheetId="1" name="Stamp_Duty" vbProcedure="false">'C01 Borrowing'!$C$20</definedName>
    <definedName function="false" hidden="false" localSheetId="1" name="Term_Years" vbProcedure="false">'C01 Borrowing'!$G$11</definedName>
    <definedName function="false" hidden="false" localSheetId="1" name="Term_Years_Entry" vbProcedure="false">'C01 Borrowing'!$C$11</definedName>
    <definedName function="false" hidden="false" localSheetId="1" name="Total_Deposit" vbProcedure="false">'C01 Borrowing'!$C$23</definedName>
    <definedName function="false" hidden="false" localSheetId="2" name="Actual_Repayment" vbProcedure="false">'C02 Mortgage repayment'!$G$17</definedName>
    <definedName function="false" hidden="false" localSheetId="2" name="Actual_Repayment_Entry" vbProcedure="false">'C02 Mortgage repayment'!$C$17</definedName>
    <definedName function="false" hidden="false" localSheetId="2" name="Change_Per_Year" vbProcedure="false">'C02 Mortgage repayment'!$C$38</definedName>
    <definedName function="false" hidden="false" localSheetId="2" name="Final_Payment" vbProcedure="false">'C02 Mortgage repayment'!$C$35</definedName>
    <definedName function="false" hidden="false" localSheetId="2" name="Formula_Repayment" vbProcedure="false">'C02 Mortgage repayment'!$C$34</definedName>
    <definedName function="false" hidden="false" localSheetId="2" name="Home_Goal_Years" vbProcedure="false">'C02 Mortgage repayment'!$G$18</definedName>
    <definedName function="false" hidden="false" localSheetId="2" name="Home_Goal_Years_Entry" vbProcedure="false">'C02 Mortgage repayment'!$C$18</definedName>
    <definedName function="false" hidden="false" localSheetId="2" name="Interest_Rate" vbProcedure="false">'C02 Mortgage repayment'!$G$15</definedName>
    <definedName function="false" hidden="false" localSheetId="2" name="Interest_Rate_Entry" vbProcedure="false">'C02 Mortgage repayment'!$C$15</definedName>
    <definedName function="false" hidden="false" localSheetId="2" name="Loan_Amount" vbProcedure="false">'C02 Mortgage repayment'!$G$14</definedName>
    <definedName function="false" hidden="false" localSheetId="2" name="Loan_Amount_Entry" vbProcedure="false">'C02 Mortgage repayment'!$C$14</definedName>
    <definedName function="false" hidden="false" localSheetId="2" name="Monthly_Rate" vbProcedure="false">'C02 Mortgage repayment'!$C$33</definedName>
    <definedName function="false" hidden="false" localSheetId="2" name="Monthly_Repayment" vbProcedure="false">'C02 Mortgage repayment'!$C$29</definedName>
    <definedName function="false" hidden="false" localSheetId="2" name="Months_To_Pay" vbProcedure="false">'C02 Mortgage repayment'!$C$30</definedName>
    <definedName function="false" hidden="false" localSheetId="2" name="Need_1" vbProcedure="false">'C02 Mortgage repayment'!$C$57</definedName>
    <definedName function="false" hidden="false" localSheetId="2" name="Need_2" vbProcedure="false">'C02 Mortgage repayment'!$C$58</definedName>
    <definedName function="false" hidden="false" localSheetId="2" name="Need_3" vbProcedure="false">'C02 Mortgage repayment'!$C$59</definedName>
    <definedName function="false" hidden="false" localSheetId="2" name="Need_4" vbProcedure="false">'C02 Mortgage repayment'!$C$60</definedName>
    <definedName function="false" hidden="false" localSheetId="2" name="Need_5" vbProcedure="false">'C02 Mortgage repayment'!$C$61</definedName>
    <definedName function="false" hidden="false" localSheetId="2" name="New_Rate" vbProcedure="false">'C02 Mortgage repayment'!$C$36</definedName>
    <definedName function="false" hidden="false" localSheetId="2" name="Plan_Goal_Amount" vbProcedure="false">'C02 Mortgage repayment'!$C$52</definedName>
    <definedName function="false" hidden="false" localSheetId="2" name="Plan_Goal_Kind" vbProcedure="false">'C02 Mortgage repayment'!$C$51</definedName>
    <definedName function="false" hidden="false" localSheetId="2" name="Plan_Goal_Years" vbProcedure="false">'C02 Mortgage repayment'!$C$53</definedName>
    <definedName function="false" hidden="false" localSheetId="2" name="Rate_Change" vbProcedure="false">'C02 Mortgage repayment'!$G$19</definedName>
    <definedName function="false" hidden="false" localSheetId="2" name="Rate_Change_Entry" vbProcedure="false">'C02 Mortgage repayment'!$C$19</definedName>
    <definedName function="false" hidden="false" localSheetId="2" name="Repayment_If_Changed" vbProcedure="false">'C02 Mortgage repayment'!$C$37</definedName>
    <definedName function="false" hidden="false" localSheetId="2" name="Statement_Check" vbProcedure="false">'C02 Mortgage repayment'!$C$26</definedName>
    <definedName function="false" hidden="false" localSheetId="2" name="Stmt_Balance" vbProcedure="false">'C02 Mortgage repayment'!$C$7</definedName>
    <definedName function="false" hidden="false" localSheetId="2" name="Stmt_Rate" vbProcedure="false">'C02 Mortgage repayment'!$C$8</definedName>
    <definedName function="false" hidden="false" localSheetId="2" name="Stmt_Repayment" vbProcedure="false">'C02 Mortgage repayment'!$C$10</definedName>
    <definedName function="false" hidden="false" localSheetId="2" name="Stmt_Statement_Date" vbProcedure="false">'C02 Mortgage repayment'!$C$11</definedName>
    <definedName function="false" hidden="false" localSheetId="2" name="Stmt_Term" vbProcedure="false">'C02 Mortgage repayment'!$C$9</definedName>
    <definedName function="false" hidden="false" localSheetId="2" name="Term_Years" vbProcedure="false">'C02 Mortgage repayment'!$G$16</definedName>
    <definedName function="false" hidden="false" localSheetId="2" name="Term_Years_Entry" vbProcedure="false">'C02 Mortgage repayment'!$C$16</definedName>
    <definedName function="false" hidden="false" localSheetId="2" name="Total_Interest" vbProcedure="false">'C02 Mortgage repayment'!$C$31</definedName>
    <definedName function="false" hidden="false" localSheetId="2" name="Total_Repaid" vbProcedure="false">'C02 Mortgage repayment'!$C$32</definedName>
    <definedName function="false" hidden="false" localSheetId="2" name="Used_Actual_Repayment" vbProcedure="false">'C02 Mortgage repayment'!$C$25</definedName>
    <definedName function="false" hidden="false" localSheetId="2" name="Used_Interest_Rate" vbProcedure="false">'C02 Mortgage repayment'!$C$23</definedName>
    <definedName function="false" hidden="false" localSheetId="2" name="Used_Loan_Amount" vbProcedure="false">'C02 Mortgage repayment'!$C$22</definedName>
    <definedName function="false" hidden="false" localSheetId="2" name="Used_Term_Years" vbProcedure="false">'C02 Mortgage repayment'!$C$24</definedName>
    <definedName function="false" hidden="false" localSheetId="3" name="Buying_Fees" vbProcedure="false">'C03 Deposit'!$G$8</definedName>
    <definedName function="false" hidden="false" localSheetId="3" name="Buying_Fees_Entry" vbProcedure="false">'C03 Deposit'!$C$8</definedName>
    <definedName function="false" hidden="false" localSheetId="3" name="Deposit_Needed" vbProcedure="false">'C03 Deposit'!$C$17</definedName>
    <definedName function="false" hidden="false" localSheetId="3" name="Deposit_Pct" vbProcedure="false">'C03 Deposit'!$G$7</definedName>
    <definedName function="false" hidden="false" localSheetId="3" name="Deposit_Pct_Entry" vbProcedure="false">'C03 Deposit'!$C$7</definedName>
    <definedName function="false" hidden="false" localSheetId="3" name="Extra_Saving" vbProcedure="false">'C03 Deposit'!$G$11</definedName>
    <definedName function="false" hidden="false" localSheetId="3" name="Extra_Saving_Entry" vbProcedure="false">'C03 Deposit'!$C$11</definedName>
    <definedName function="false" hidden="false" localSheetId="3" name="Home_Price" vbProcedure="false">'C03 Deposit'!$G$6</definedName>
    <definedName function="false" hidden="false" localSheetId="3" name="Home_Price_Entry" vbProcedure="false">'C03 Deposit'!$C$6</definedName>
    <definedName function="false" hidden="false" localSheetId="3" name="Monthly_Saving" vbProcedure="false">'C03 Deposit'!$G$10</definedName>
    <definedName function="false" hidden="false" localSheetId="3" name="Monthly_Saving_Entry" vbProcedure="false">'C03 Deposit'!$C$10</definedName>
    <definedName function="false" hidden="false" localSheetId="3" name="Months_To_Deposit" vbProcedure="false">'C03 Deposit'!$C$14</definedName>
    <definedName function="false" hidden="false" localSheetId="3" name="Need_1" vbProcedure="false">'C03 Deposit'!$C$35</definedName>
    <definedName function="false" hidden="false" localSheetId="3" name="Need_2" vbProcedure="false">'C03 Deposit'!$C$36</definedName>
    <definedName function="false" hidden="false" localSheetId="3" name="Need_3" vbProcedure="false">'C03 Deposit'!$C$37</definedName>
    <definedName function="false" hidden="false" localSheetId="3" name="Need_4" vbProcedure="false">'C03 Deposit'!$C$38</definedName>
    <definedName function="false" hidden="false" localSheetId="3" name="Need_5" vbProcedure="false">'C03 Deposit'!$C$39</definedName>
    <definedName function="false" hidden="false" localSheetId="3" name="Need_6" vbProcedure="false">'C03 Deposit'!$C$40</definedName>
    <definedName function="false" hidden="false" localSheetId="3" name="Plan_Goal_Amount" vbProcedure="false">'C03 Deposit'!$C$30</definedName>
    <definedName function="false" hidden="false" localSheetId="3" name="Plan_Goal_Kind" vbProcedure="false">'C03 Deposit'!$C$29</definedName>
    <definedName function="false" hidden="false" localSheetId="3" name="Plan_Goal_Saved" vbProcedure="false">'C03 Deposit'!$C$31</definedName>
    <definedName function="false" hidden="false" localSheetId="3" name="Plan_Goal_Years" vbProcedure="false">'C03 Deposit'!$C$32</definedName>
    <definedName function="false" hidden="false" localSheetId="3" name="Saved" vbProcedure="false">'C03 Deposit'!$G$9</definedName>
    <definedName function="false" hidden="false" localSheetId="3" name="Saved_Entry" vbProcedure="false">'C03 Deposit'!$C$9</definedName>
    <definedName function="false" hidden="false" localSheetId="3" name="Stamp_Duty" vbProcedure="false">'C03 Deposit'!$C$18</definedName>
    <definedName function="false" hidden="false" localSheetId="3" name="Still_To_Save" vbProcedure="false">'C03 Deposit'!$C$16</definedName>
    <definedName function="false" hidden="false" localSheetId="3" name="Total_Needed" vbProcedure="false">'C03 Deposit'!$C$15</definedName>
    <definedName function="false" hidden="false" localSheetId="4" name="Actual_Repayment" vbProcedure="false">'C04 Mortgage overpayment'!$G$18</definedName>
    <definedName function="false" hidden="false" localSheetId="4" name="Actual_Repayment_Entry" vbProcedure="false">'C04 Mortgage overpayment'!$C$18</definedName>
    <definedName function="false" hidden="false" localSheetId="4" name="Extra_Payment" vbProcedure="false">'C04 Mortgage overpayment'!$G$17</definedName>
    <definedName function="false" hidden="false" localSheetId="4" name="Extra_Payment_Entry" vbProcedure="false">'C04 Mortgage overpayment'!$C$17</definedName>
    <definedName function="false" hidden="false" localSheetId="4" name="Interest_Now" vbProcedure="false">'C04 Mortgage overpayment'!$C$37</definedName>
    <definedName function="false" hidden="false" localSheetId="4" name="Interest_Rate" vbProcedure="false">'C04 Mortgage overpayment'!$G$15</definedName>
    <definedName function="false" hidden="false" localSheetId="4" name="Interest_Rate_Entry" vbProcedure="false">'C04 Mortgage overpayment'!$C$15</definedName>
    <definedName function="false" hidden="false" localSheetId="4" name="Interest_Saved" vbProcedure="false">'C04 Mortgage overpayment'!$C$29</definedName>
    <definedName function="false" hidden="false" localSheetId="4" name="Interest_With_Extra" vbProcedure="false">'C04 Mortgage overpayment'!$C$38</definedName>
    <definedName function="false" hidden="false" localSheetId="4" name="Last_Payment_Now" vbProcedure="false">'C04 Mortgage overpayment'!$C$35</definedName>
    <definedName function="false" hidden="false" localSheetId="4" name="Last_Payment_With_Extra" vbProcedure="false">'C04 Mortgage overpayment'!$C$36</definedName>
    <definedName function="false" hidden="false" localSheetId="4" name="Monthly_Rate" vbProcedure="false">'C04 Mortgage overpayment'!$C$32</definedName>
    <definedName function="false" hidden="false" localSheetId="4" name="Months_Now" vbProcedure="false">'C04 Mortgage overpayment'!$C$30</definedName>
    <definedName function="false" hidden="false" localSheetId="4" name="Months_Sooner" vbProcedure="false">'C04 Mortgage overpayment'!$C$28</definedName>
    <definedName function="false" hidden="false" localSheetId="4" name="Months_With_Extra" vbProcedure="false">'C04 Mortgage overpayment'!$C$31</definedName>
    <definedName function="false" hidden="false" localSheetId="4" name="Mortgage_Balance" vbProcedure="false">'C04 Mortgage overpayment'!$G$14</definedName>
    <definedName function="false" hidden="false" localSheetId="4" name="Mortgage_Balance_Entry" vbProcedure="false">'C04 Mortgage overpayment'!$C$14</definedName>
    <definedName function="false" hidden="false" localSheetId="4" name="Need_1" vbProcedure="false">'C04 Mortgage overpayment'!$C$56</definedName>
    <definedName function="false" hidden="false" localSheetId="4" name="Need_2" vbProcedure="false">'C04 Mortgage overpayment'!$C$57</definedName>
    <definedName function="false" hidden="false" localSheetId="4" name="Need_3" vbProcedure="false">'C04 Mortgage overpayment'!$C$58</definedName>
    <definedName function="false" hidden="false" localSheetId="4" name="Plan_Goal_Kind" vbProcedure="false">'C04 Mortgage overpayment'!$C$51</definedName>
    <definedName function="false" hidden="false" localSheetId="4" name="Plan_Goal_Years" vbProcedure="false">'C04 Mortgage overpayment'!$C$52</definedName>
    <definedName function="false" hidden="false" localSheetId="4" name="Repayment_Now" vbProcedure="false">'C04 Mortgage overpayment'!$C$33</definedName>
    <definedName function="false" hidden="false" localSheetId="4" name="Repayment_With_Extra" vbProcedure="false">'C04 Mortgage overpayment'!$C$34</definedName>
    <definedName function="false" hidden="false" localSheetId="4" name="Statement_Check" vbProcedure="false">'C04 Mortgage overpayment'!$C$25</definedName>
    <definedName function="false" hidden="false" localSheetId="4" name="Stmt_Balance" vbProcedure="false">'C04 Mortgage overpayment'!$C$7</definedName>
    <definedName function="false" hidden="false" localSheetId="4" name="Stmt_Rate" vbProcedure="false">'C04 Mortgage overpayment'!$C$8</definedName>
    <definedName function="false" hidden="false" localSheetId="4" name="Stmt_Repayment" vbProcedure="false">'C04 Mortgage overpayment'!$C$10</definedName>
    <definedName function="false" hidden="false" localSheetId="4" name="Stmt_Statement_Date" vbProcedure="false">'C04 Mortgage overpayment'!$C$11</definedName>
    <definedName function="false" hidden="false" localSheetId="4" name="Stmt_Term" vbProcedure="false">'C04 Mortgage overpayment'!$C$9</definedName>
    <definedName function="false" hidden="false" localSheetId="4" name="Used_Actual_Repayment" vbProcedure="false">'C04 Mortgage overpayment'!$C$24</definedName>
    <definedName function="false" hidden="false" localSheetId="4" name="Used_Interest_Rate" vbProcedure="false">'C04 Mortgage overpayment'!$C$22</definedName>
    <definedName function="false" hidden="false" localSheetId="4" name="Used_Mortgage_Balance" vbProcedure="false">'C04 Mortgage overpayment'!$C$21</definedName>
    <definedName function="false" hidden="false" localSheetId="4" name="Used_Years_Left" vbProcedure="false">'C04 Mortgage overpayment'!$C$23</definedName>
    <definedName function="false" hidden="false" localSheetId="4" name="Years_Left" vbProcedure="false">'C04 Mortgage overpayment'!$G$16</definedName>
    <definedName function="false" hidden="false" localSheetId="4" name="Years_Left_Entry" vbProcedure="false">'C04 Mortgage overpayment'!$C$16</definedName>
    <definedName function="false" hidden="false" localSheetId="5" name="Actual_Repayment" vbProcedure="false">'C05 Interest rate impact'!$G$18</definedName>
    <definedName function="false" hidden="false" localSheetId="5" name="Actual_Repayment_Entry" vbProcedure="false">'C05 Interest rate impact'!$C$18</definedName>
    <definedName function="false" hidden="false" localSheetId="5" name="Current_Rate" vbProcedure="false">'C05 Interest rate impact'!$G$15</definedName>
    <definedName function="false" hidden="false" localSheetId="5" name="Current_Rate_Entry" vbProcedure="false">'C05 Interest rate impact'!$C$15</definedName>
    <definedName function="false" hidden="false" localSheetId="5" name="Formula_Now" vbProcedure="false">'C05 Interest rate impact'!$C$32</definedName>
    <definedName function="false" hidden="false" localSheetId="5" name="Monthly_Change" vbProcedure="false">'C05 Interest rate impact'!$C$28</definedName>
    <definedName function="false" hidden="false" localSheetId="5" name="Mortgage_Balance" vbProcedure="false">'C05 Interest rate impact'!$G$14</definedName>
    <definedName function="false" hidden="false" localSheetId="5" name="Mortgage_Balance_Entry" vbProcedure="false">'C05 Interest rate impact'!$C$14</definedName>
    <definedName function="false" hidden="false" localSheetId="5" name="Need_1" vbProcedure="false">'C05 Interest rate impact'!$C$46</definedName>
    <definedName function="false" hidden="false" localSheetId="5" name="Need_2" vbProcedure="false">'C05 Interest rate impact'!$C$47</definedName>
    <definedName function="false" hidden="false" localSheetId="5" name="Need_3" vbProcedure="false">'C05 Interest rate impact'!$C$48</definedName>
    <definedName function="false" hidden="false" localSheetId="5" name="Need_4" vbProcedure="false">'C05 Interest rate impact'!$C$49</definedName>
    <definedName function="false" hidden="false" localSheetId="5" name="New_Rate" vbProcedure="false">'C05 Interest rate impact'!$C$33</definedName>
    <definedName function="false" hidden="false" localSheetId="5" name="Plan_Goal_Kind" vbProcedure="false">'C05 Interest rate impact'!$C$43</definedName>
    <definedName function="false" hidden="false" localSheetId="5" name="Rate_Change" vbProcedure="false">'C05 Interest rate impact'!$G$17</definedName>
    <definedName function="false" hidden="false" localSheetId="5" name="Rate_Change_Entry" vbProcedure="false">'C05 Interest rate impact'!$C$17</definedName>
    <definedName function="false" hidden="false" localSheetId="5" name="Repayment_After" vbProcedure="false">'C05 Interest rate impact'!$C$30</definedName>
    <definedName function="false" hidden="false" localSheetId="5" name="Repayment_Now" vbProcedure="false">'C05 Interest rate impact'!$C$29</definedName>
    <definedName function="false" hidden="false" localSheetId="5" name="Statement_Check" vbProcedure="false">'C05 Interest rate impact'!$C$25</definedName>
    <definedName function="false" hidden="false" localSheetId="5" name="Stmt_Balance" vbProcedure="false">'C05 Interest rate impact'!$C$7</definedName>
    <definedName function="false" hidden="false" localSheetId="5" name="Stmt_Rate" vbProcedure="false">'C05 Interest rate impact'!$C$8</definedName>
    <definedName function="false" hidden="false" localSheetId="5" name="Stmt_Repayment" vbProcedure="false">'C05 Interest rate impact'!$C$10</definedName>
    <definedName function="false" hidden="false" localSheetId="5" name="Stmt_Statement_Date" vbProcedure="false">'C05 Interest rate impact'!$C$11</definedName>
    <definedName function="false" hidden="false" localSheetId="5" name="Stmt_Term" vbProcedure="false">'C05 Interest rate impact'!$C$9</definedName>
    <definedName function="false" hidden="false" localSheetId="5" name="Used_Actual_Repayment" vbProcedure="false">'C05 Interest rate impact'!$C$24</definedName>
    <definedName function="false" hidden="false" localSheetId="5" name="Used_Current_Rate" vbProcedure="false">'C05 Interest rate impact'!$C$22</definedName>
    <definedName function="false" hidden="false" localSheetId="5" name="Used_Mortgage_Balance" vbProcedure="false">'C05 Interest rate impact'!$C$21</definedName>
    <definedName function="false" hidden="false" localSheetId="5" name="Used_Years_Left" vbProcedure="false">'C05 Interest rate impact'!$C$23</definedName>
    <definedName function="false" hidden="false" localSheetId="5" name="Yearly_Change" vbProcedure="false">'C05 Interest rate impact'!$C$31</definedName>
    <definedName function="false" hidden="false" localSheetId="5" name="Years_Left" vbProcedure="false">'C05 Interest rate impact'!$G$16</definedName>
    <definedName function="false" hidden="false" localSheetId="5" name="Years_Left_Entry" vbProcedure="false">'C05 Interest rate impact'!$C$16</definedName>
    <definedName function="false" hidden="false" localSheetId="6" name="Interest_A" vbProcedure="false">'C06 Term comparison'!$C$28</definedName>
    <definedName function="false" hidden="false" localSheetId="6" name="Interest_B" vbProcedure="false">'C06 Term comparison'!$C$29</definedName>
    <definedName function="false" hidden="false" localSheetId="6" name="Interest_Difference" vbProcedure="false">'C06 Term comparison'!$C$25</definedName>
    <definedName function="false" hidden="false" localSheetId="6" name="Interest_Rate" vbProcedure="false">'C06 Term comparison'!$G$14</definedName>
    <definedName function="false" hidden="false" localSheetId="6" name="Interest_Rate_Entry" vbProcedure="false">'C06 Term comparison'!$C$14</definedName>
    <definedName function="false" hidden="false" localSheetId="6" name="Loan_Amount" vbProcedure="false">'C06 Term comparison'!$G$13</definedName>
    <definedName function="false" hidden="false" localSheetId="6" name="Loan_Amount_Entry" vbProcedure="false">'C06 Term comparison'!$C$13</definedName>
    <definedName function="false" hidden="false" localSheetId="6" name="Monthly_A" vbProcedure="false">'C06 Term comparison'!$C$26</definedName>
    <definedName function="false" hidden="false" localSheetId="6" name="Monthly_B" vbProcedure="false">'C06 Term comparison'!$C$27</definedName>
    <definedName function="false" hidden="false" localSheetId="6" name="Need_1" vbProcedure="false">'C06 Term comparison'!$C$42</definedName>
    <definedName function="false" hidden="false" localSheetId="6" name="Need_2" vbProcedure="false">'C06 Term comparison'!$C$43</definedName>
    <definedName function="false" hidden="false" localSheetId="6" name="Need_3" vbProcedure="false">'C06 Term comparison'!$C$44</definedName>
    <definedName function="false" hidden="false" localSheetId="6" name="Plan_Goal_Kind" vbProcedure="false">'C06 Term comparison'!$C$39</definedName>
    <definedName function="false" hidden="false" localSheetId="6" name="Statement_Check" vbProcedure="false">'C06 Term comparison'!$C$22</definedName>
    <definedName function="false" hidden="false" localSheetId="6" name="Stmt_Balance" vbProcedure="false">'C06 Term comparison'!$C$7</definedName>
    <definedName function="false" hidden="false" localSheetId="6" name="Stmt_Rate" vbProcedure="false">'C06 Term comparison'!$C$8</definedName>
    <definedName function="false" hidden="false" localSheetId="6" name="Stmt_Statement_Date" vbProcedure="false">'C06 Term comparison'!$C$10</definedName>
    <definedName function="false" hidden="false" localSheetId="6" name="Stmt_Term" vbProcedure="false">'C06 Term comparison'!$C$9</definedName>
    <definedName function="false" hidden="false" localSheetId="6" name="Term_A" vbProcedure="false">'C06 Term comparison'!$G$15</definedName>
    <definedName function="false" hidden="false" localSheetId="6" name="Term_A_Entry" vbProcedure="false">'C06 Term comparison'!$C$15</definedName>
    <definedName function="false" hidden="false" localSheetId="6" name="Term_B" vbProcedure="false">'C06 Term comparison'!$G$16</definedName>
    <definedName function="false" hidden="false" localSheetId="6" name="Term_B_Entry" vbProcedure="false">'C06 Term comparison'!$C$16</definedName>
    <definedName function="false" hidden="false" localSheetId="6" name="Used_Interest_Rate" vbProcedure="false">'C06 Term comparison'!$C$20</definedName>
    <definedName function="false" hidden="false" localSheetId="6" name="Used_Loan_Amount" vbProcedure="false">'C06 Term comparison'!$C$19</definedName>
    <definedName function="false" hidden="false" localSheetId="6" name="Used_Term_A" vbProcedure="false">'C06 Term comparison'!$C$21</definedName>
    <definedName function="false" hidden="false" localSheetId="7" name="Balance_After" vbProcedure="false">'C07 Rent vs buy'!$C$26</definedName>
    <definedName function="false" hidden="false" localSheetId="7" name="Buying_Costs" vbProcedure="false">'C07 Rent vs buy'!$C$22</definedName>
    <definedName function="false" hidden="false" localSheetId="7" name="Buying_Fees" vbProcedure="false">'C07 Rent vs buy'!$G$15</definedName>
    <definedName function="false" hidden="false" localSheetId="7" name="Buying_Fees_Entry" vbProcedure="false">'C07 Rent vs buy'!$C$15</definedName>
    <definedName function="false" hidden="false" localSheetId="7" name="Deposit" vbProcedure="false">'C07 Rent vs buy'!$G$8</definedName>
    <definedName function="false" hidden="false" localSheetId="7" name="Deposit_Entry" vbProcedure="false">'C07 Rent vs buy'!$C$8</definedName>
    <definedName function="false" hidden="false" localSheetId="7" name="Deposit_Used" vbProcedure="false">'C07 Rent vs buy'!$C$18</definedName>
    <definedName function="false" hidden="false" localSheetId="7" name="Home_Equity" vbProcedure="false">'C07 Rent vs buy'!$C$20</definedName>
    <definedName function="false" hidden="false" localSheetId="7" name="Home_Goal_Years" vbProcedure="false">'C07 Rent vs buy'!$G$17</definedName>
    <definedName function="false" hidden="false" localSheetId="7" name="Home_Goal_Years_Entry" vbProcedure="false">'C07 Rent vs buy'!$C$17</definedName>
    <definedName function="false" hidden="false" localSheetId="7" name="Home_Price" vbProcedure="false">'C07 Rent vs buy'!$G$7</definedName>
    <definedName function="false" hidden="false" localSheetId="7" name="Home_Price_Entry" vbProcedure="false">'C07 Rent vs buy'!$C$7</definedName>
    <definedName function="false" hidden="false" localSheetId="7" name="Home_Value" vbProcedure="false">'C07 Rent vs buy'!$C$23</definedName>
    <definedName function="false" hidden="false" localSheetId="7" name="House_Growth" vbProcedure="false">'C07 Rent vs buy'!$G$12</definedName>
    <definedName function="false" hidden="false" localSheetId="7" name="House_Growth_Entry" vbProcedure="false">'C07 Rent vs buy'!$C$12</definedName>
    <definedName function="false" hidden="false" localSheetId="7" name="Interest_Paid" vbProcedure="false">'C07 Rent vs buy'!$C$27</definedName>
    <definedName function="false" hidden="false" localSheetId="7" name="Loan" vbProcedure="false">'C07 Rent vs buy'!$C$24</definedName>
    <definedName function="false" hidden="false" localSheetId="7" name="Monthly_Rent" vbProcedure="false">'C07 Rent vs buy'!$G$6</definedName>
    <definedName function="false" hidden="false" localSheetId="7" name="Monthly_Rent_Entry" vbProcedure="false">'C07 Rent vs buy'!$C$6</definedName>
    <definedName function="false" hidden="false" localSheetId="7" name="Monthly_Repayment" vbProcedure="false">'C07 Rent vs buy'!$C$25</definedName>
    <definedName function="false" hidden="false" localSheetId="7" name="Mortgage_Rate" vbProcedure="false">'C07 Rent vs buy'!$G$9</definedName>
    <definedName function="false" hidden="false" localSheetId="7" name="Mortgage_Rate_Entry" vbProcedure="false">'C07 Rent vs buy'!$C$9</definedName>
    <definedName function="false" hidden="false" localSheetId="7" name="Need_1" vbProcedure="false">'C07 Rent vs buy'!$C$46</definedName>
    <definedName function="false" hidden="false" localSheetId="7" name="Need_10" vbProcedure="false">'C07 Rent vs buy'!$C$55</definedName>
    <definedName function="false" hidden="false" localSheetId="7" name="Need_11" vbProcedure="false">'C07 Rent vs buy'!$C$56</definedName>
    <definedName function="false" hidden="false" localSheetId="7" name="Need_12" vbProcedure="false">'C07 Rent vs buy'!$C$57</definedName>
    <definedName function="false" hidden="false" localSheetId="7" name="Need_2" vbProcedure="false">'C07 Rent vs buy'!$C$47</definedName>
    <definedName function="false" hidden="false" localSheetId="7" name="Need_3" vbProcedure="false">'C07 Rent vs buy'!$C$48</definedName>
    <definedName function="false" hidden="false" localSheetId="7" name="Need_4" vbProcedure="false">'C07 Rent vs buy'!$C$49</definedName>
    <definedName function="false" hidden="false" localSheetId="7" name="Need_5" vbProcedure="false">'C07 Rent vs buy'!$C$50</definedName>
    <definedName function="false" hidden="false" localSheetId="7" name="Need_6" vbProcedure="false">'C07 Rent vs buy'!$C$51</definedName>
    <definedName function="false" hidden="false" localSheetId="7" name="Need_7" vbProcedure="false">'C07 Rent vs buy'!$C$52</definedName>
    <definedName function="false" hidden="false" localSheetId="7" name="Need_8" vbProcedure="false">'C07 Rent vs buy'!$C$53</definedName>
    <definedName function="false" hidden="false" localSheetId="7" name="Need_9" vbProcedure="false">'C07 Rent vs buy'!$C$54</definedName>
    <definedName function="false" hidden="false" localSheetId="7" name="Opportunity_Cost" vbProcedure="false">'C07 Rent vs buy'!$C$30</definedName>
    <definedName function="false" hidden="false" localSheetId="7" name="Opp_Rate" vbProcedure="false">'C07 Rent vs buy'!$G$16</definedName>
    <definedName function="false" hidden="false" localSheetId="7" name="Opp_Rate_Entry" vbProcedure="false">'C07 Rent vs buy'!$C$16</definedName>
    <definedName function="false" hidden="false" localSheetId="7" name="Plan_Goal_Amount" vbProcedure="false">'C07 Rent vs buy'!$C$42</definedName>
    <definedName function="false" hidden="false" localSheetId="7" name="Plan_Goal_Kind" vbProcedure="false">'C07 Rent vs buy'!$C$41</definedName>
    <definedName function="false" hidden="false" localSheetId="7" name="Plan_Goal_Years" vbProcedure="false">'C07 Rent vs buy'!$C$43</definedName>
    <definedName function="false" hidden="false" localSheetId="7" name="RentBuy_Term" vbProcedure="false">'C07 Rent vs buy'!$G$10</definedName>
    <definedName function="false" hidden="false" localSheetId="7" name="RentBuy_Term_Entry" vbProcedure="false">'C07 Rent vs buy'!$C$10</definedName>
    <definedName function="false" hidden="false" localSheetId="7" name="Rent_Growth" vbProcedure="false">'C07 Rent vs buy'!$G$13</definedName>
    <definedName function="false" hidden="false" localSheetId="7" name="Rent_Growth_Entry" vbProcedure="false">'C07 Rent vs buy'!$C$13</definedName>
    <definedName function="false" hidden="false" localSheetId="7" name="Rent_Paid" vbProcedure="false">'C07 Rent vs buy'!$C$21</definedName>
    <definedName function="false" hidden="false" localSheetId="7" name="Stamp_Duty" vbProcedure="false">'C07 Rent vs buy'!$C$29</definedName>
    <definedName function="false" hidden="false" localSheetId="7" name="Upkeep" vbProcedure="false">'C07 Rent vs buy'!$C$28</definedName>
    <definedName function="false" hidden="false" localSheetId="7" name="Upkeep_Rate" vbProcedure="false">'C07 Rent vs buy'!$G$14</definedName>
    <definedName function="false" hidden="false" localSheetId="7" name="Upkeep_Rate_Entry" vbProcedure="false">'C07 Rent vs buy'!$C$14</definedName>
    <definedName function="false" hidden="false" localSheetId="7" name="Years" vbProcedure="false">'C07 Rent vs buy'!$G$11</definedName>
    <definedName function="false" hidden="false" localSheetId="7" name="Years_Entry" vbProcedure="false">'C07 Rent vs buy'!$C$11</definedName>
    <definedName function="false" hidden="false" localSheetId="8" name="Future_Cost" vbProcedure="false">'C08 Goal planner'!$C$17</definedName>
    <definedName function="false" hidden="false" localSheetId="8" name="Goal_Amount" vbProcedure="false">'C08 Goal planner'!$G$10</definedName>
    <definedName function="false" hidden="false" localSheetId="8" name="Goal_Amount_Entry" vbProcedure="false">'C08 Goal planner'!$C$10</definedName>
    <definedName function="false" hidden="false" localSheetId="8" name="Growth_Rate" vbProcedure="false">'C08 Goal planner'!$G$13</definedName>
    <definedName function="false" hidden="false" localSheetId="8" name="Growth_Rate_Entry" vbProcedure="false">'C08 Goal planner'!$C$13</definedName>
    <definedName function="false" hidden="false" localSheetId="8" name="Inflation_Choice" vbProcedure="false">'C08 Goal planner'!$G$6</definedName>
    <definedName function="false" hidden="false" localSheetId="8" name="Inflation_Choice_Entry" vbProcedure="false">'C08 Goal planner'!$C$6</definedName>
    <definedName function="false" hidden="false" localSheetId="8" name="Monthly_Growth" vbProcedure="false">'C08 Goal planner'!$C$20</definedName>
    <definedName function="false" hidden="false" localSheetId="8" name="Monthly_Saving" vbProcedure="false">'C08 Goal planner'!$C$16</definedName>
    <definedName function="false" hidden="false" localSheetId="8" name="Need_1" vbProcedure="false">'C08 Goal planner'!$C$39</definedName>
    <definedName function="false" hidden="false" localSheetId="8" name="Need_2" vbProcedure="false">'C08 Goal planner'!$C$40</definedName>
    <definedName function="false" hidden="false" localSheetId="8" name="Need_3" vbProcedure="false">'C08 Goal planner'!$C$41</definedName>
    <definedName function="false" hidden="false" localSheetId="8" name="Need_4" vbProcedure="false">'C08 Goal planner'!$C$42</definedName>
    <definedName function="false" hidden="false" localSheetId="8" name="Need_5" vbProcedure="false">'C08 Goal planner'!$C$43</definedName>
    <definedName function="false" hidden="false" localSheetId="8" name="Need_6" vbProcedure="false">'C08 Goal planner'!$C$44</definedName>
    <definedName function="false" hidden="false" localSheetId="8" name="Need_7" vbProcedure="false">'C08 Goal planner'!$C$45</definedName>
    <definedName function="false" hidden="false" localSheetId="8" name="Plan_Goal_Amount" vbProcedure="false">'C08 Goal planner'!$C$33</definedName>
    <definedName function="false" hidden="false" localSheetId="8" name="Plan_Goal_Kind" vbProcedure="false">'C08 Goal planner'!$C$32</definedName>
    <definedName function="false" hidden="false" localSheetId="8" name="Plan_Goal_Saved" vbProcedure="false">'C08 Goal planner'!$C$34</definedName>
    <definedName function="false" hidden="false" localSheetId="8" name="Plan_Goal_Years" vbProcedure="false">'C08 Goal planner'!$C$35</definedName>
    <definedName function="false" hidden="false" localSheetId="8" name="Plan_Inflation" vbProcedure="false">'C08 Goal planner'!$C$36</definedName>
    <definedName function="false" hidden="false" localSheetId="8" name="Saved" vbProcedure="false">'C08 Goal planner'!$G$12</definedName>
    <definedName function="false" hidden="false" localSheetId="8" name="Saved_Entry" vbProcedure="false">'C08 Goal planner'!$C$12</definedName>
    <definedName function="false" hidden="false" localSheetId="8" name="Saved_Grows_To" vbProcedure="false">'C08 Goal planner'!$C$18</definedName>
    <definedName function="false" hidden="false" localSheetId="8" name="Still_Needed" vbProcedure="false">'C08 Goal planner'!$C$19</definedName>
    <definedName function="false" hidden="false" localSheetId="8" name="Years" vbProcedure="false">'C08 Goal planner'!$G$11</definedName>
    <definedName function="false" hidden="false" localSheetId="8" name="Years_Entry" vbProcedure="false">'C08 Goal planner'!$C$11</definedName>
    <definedName function="false" hidden="false" localSheetId="9" name="Grows_To" vbProcedure="false">'C09 Compound growth'!$C$16</definedName>
    <definedName function="false" hidden="false" localSheetId="9" name="Growth_Earned" vbProcedure="false">'C09 Compound growth'!$C$19</definedName>
    <definedName function="false" hidden="false" localSheetId="9" name="Growth_Rate" vbProcedure="false">'C09 Compound growth'!$G$12</definedName>
    <definedName function="false" hidden="false" localSheetId="9" name="Growth_Rate_Entry" vbProcedure="false">'C09 Compound growth'!$C$12</definedName>
    <definedName function="false" hidden="false" localSheetId="9" name="Inflation_Choice" vbProcedure="false">'C09 Compound growth'!$G$6</definedName>
    <definedName function="false" hidden="false" localSheetId="9" name="Inflation_Choice_Entry" vbProcedure="false">'C09 Compound growth'!$C$6</definedName>
    <definedName function="false" hidden="false" localSheetId="9" name="Monthly_Addition" vbProcedure="false">'C09 Compound growth'!$G$11</definedName>
    <definedName function="false" hidden="false" localSheetId="9" name="Monthly_Addition_Entry" vbProcedure="false">'C09 Compound growth'!$C$11</definedName>
    <definedName function="false" hidden="false" localSheetId="9" name="Monthly_Growth" vbProcedure="false">'C09 Compound growth'!$C$20</definedName>
    <definedName function="false" hidden="false" localSheetId="9" name="Need_1" vbProcedure="false">'C09 Compound growth'!$C$38</definedName>
    <definedName function="false" hidden="false" localSheetId="9" name="Need_2" vbProcedure="false">'C09 Compound growth'!$C$39</definedName>
    <definedName function="false" hidden="false" localSheetId="9" name="Need_3" vbProcedure="false">'C09 Compound growth'!$C$40</definedName>
    <definedName function="false" hidden="false" localSheetId="9" name="Need_4" vbProcedure="false">'C09 Compound growth'!$C$41</definedName>
    <definedName function="false" hidden="false" localSheetId="9" name="Need_5" vbProcedure="false">'C09 Compound growth'!$C$42</definedName>
    <definedName function="false" hidden="false" localSheetId="9" name="Paid_In" vbProcedure="false">'C09 Compound growth'!$C$18</definedName>
    <definedName function="false" hidden="false" localSheetId="9" name="Plan_Goal_Amount" vbProcedure="false">'C09 Compound growth'!$C$32</definedName>
    <definedName function="false" hidden="false" localSheetId="9" name="Plan_Goal_Kind" vbProcedure="false">'C09 Compound growth'!$C$31</definedName>
    <definedName function="false" hidden="false" localSheetId="9" name="Plan_Goal_Years" vbProcedure="false">'C09 Compound growth'!$C$33</definedName>
    <definedName function="false" hidden="false" localSheetId="9" name="Plan_Inflation" vbProcedure="false">'C09 Compound growth'!$C$34</definedName>
    <definedName function="false" hidden="false" localSheetId="9" name="Starting_Amount" vbProcedure="false">'C09 Compound growth'!$G$10</definedName>
    <definedName function="false" hidden="false" localSheetId="9" name="Starting_Amount_Entry" vbProcedure="false">'C09 Compound growth'!$C$10</definedName>
    <definedName function="false" hidden="false" localSheetId="9" name="Value_Today" vbProcedure="false">'C09 Compound growth'!$C$17</definedName>
    <definedName function="false" hidden="false" localSheetId="9" name="Years" vbProcedure="false">'C09 Compound growth'!$G$13</definedName>
    <definedName function="false" hidden="false" localSheetId="9" name="Years_Entry" vbProcedure="false">'C09 Compound growth'!$C$13</definedName>
    <definedName function="false" hidden="false" localSheetId="10" name="Adjust_For_Inflation" vbProcedure="false">'C10 Lump sum growth'!$G$21</definedName>
    <definedName function="false" hidden="false" localSheetId="10" name="Adjust_For_Inflation_Entry" vbProcedure="false">'C10 Lump sum growth'!$C$21</definedName>
    <definedName function="false" hidden="false" localSheetId="10" name="Amount" vbProcedure="false">'C10 Lump sum growth'!$G$16</definedName>
    <definedName function="false" hidden="false" localSheetId="10" name="Amount_Entry" vbProcedure="false">'C10 Lump sum growth'!$C$16</definedName>
    <definedName function="false" hidden="false" localSheetId="10" name="Cost_Of_Waiting" vbProcedure="false">'C10 Lump sum growth'!$C$34</definedName>
    <definedName function="false" hidden="false" localSheetId="10" name="Fees_Cost" vbProcedure="false">'C10 Lump sum growth'!$C$35</definedName>
    <definedName function="false" hidden="false" localSheetId="10" name="Grows_To" vbProcedure="false">'C10 Lump sum growth'!$C$31</definedName>
    <definedName function="false" hidden="false" localSheetId="10" name="Growth_After_Fees" vbProcedure="false">'C10 Lump sum growth'!$C$36</definedName>
    <definedName function="false" hidden="false" localSheetId="10" name="Growth_Rate" vbProcedure="false">'C10 Lump sum growth'!$G$17</definedName>
    <definedName function="false" hidden="false" localSheetId="10" name="Growth_Rate_Entry" vbProcedure="false">'C10 Lump sum growth'!$C$17</definedName>
    <definedName function="false" hidden="false" localSheetId="10" name="Headline" vbProcedure="false">'C10 Lump sum growth'!$C$30</definedName>
    <definedName function="false" hidden="false" localSheetId="10" name="Inflation_Choice" vbProcedure="false">'C10 Lump sum growth'!$G$6</definedName>
    <definedName function="false" hidden="false" localSheetId="10" name="Inflation_Choice_Entry" vbProcedure="false">'C10 Lump sum growth'!$C$6</definedName>
    <definedName function="false" hidden="false" localSheetId="10" name="Need_1" vbProcedure="false">'C10 Lump sum growth'!$C$56</definedName>
    <definedName function="false" hidden="false" localSheetId="10" name="Need_2" vbProcedure="false">'C10 Lump sum growth'!$C$57</definedName>
    <definedName function="false" hidden="false" localSheetId="10" name="Need_3" vbProcedure="false">'C10 Lump sum growth'!$C$58</definedName>
    <definedName function="false" hidden="false" localSheetId="10" name="Need_4" vbProcedure="false">'C10 Lump sum growth'!$C$59</definedName>
    <definedName function="false" hidden="false" localSheetId="10" name="Need_5" vbProcedure="false">'C10 Lump sum growth'!$C$60</definedName>
    <definedName function="false" hidden="false" localSheetId="10" name="Need_6" vbProcedure="false">'C10 Lump sum growth'!$C$61</definedName>
    <definedName function="false" hidden="false" localSheetId="10" name="Plan_Goal_Amount" vbProcedure="false">'C10 Lump sum growth'!$C$50</definedName>
    <definedName function="false" hidden="false" localSheetId="10" name="Plan_Goal_Kind" vbProcedure="false">'C10 Lump sum growth'!$C$49</definedName>
    <definedName function="false" hidden="false" localSheetId="10" name="Plan_Goal_Years" vbProcedure="false">'C10 Lump sum growth'!$C$51</definedName>
    <definedName function="false" hidden="false" localSheetId="10" name="Plan_Inflation" vbProcedure="false">'C10 Lump sum growth'!$C$52</definedName>
    <definedName function="false" hidden="false" localSheetId="10" name="Real_Return" vbProcedure="false">'C10 Lump sum growth'!$C$37</definedName>
    <definedName function="false" hidden="false" localSheetId="10" name="Statement_Check" vbProcedure="false">'C10 Lump sum growth'!$C$27</definedName>
    <definedName function="false" hidden="false" localSheetId="10" name="Statement_Uploaded" vbProcedure="false">'C10 Lump sum growth'!$C$24</definedName>
    <definedName function="false" hidden="false" localSheetId="10" name="Stmt_Charges" vbProcedure="false">'C10 Lump sum growth'!$C$12</definedName>
    <definedName function="false" hidden="false" localSheetId="10" name="Stmt_Statement_Date" vbProcedure="false">'C10 Lump sum growth'!$C$13</definedName>
    <definedName function="false" hidden="false" localSheetId="10" name="Stmt_Total_Value" vbProcedure="false">'C10 Lump sum growth'!$C$11</definedName>
    <definedName function="false" hidden="false" localSheetId="10" name="Used_Amount" vbProcedure="false">'C10 Lump sum growth'!$C$25</definedName>
    <definedName function="false" hidden="false" localSheetId="10" name="Used_Yearly_Fees" vbProcedure="false">'C10 Lump sum growth'!$C$26</definedName>
    <definedName function="false" hidden="false" localSheetId="10" name="Value_Start_Later" vbProcedure="false">'C10 Lump sum growth'!$C$33</definedName>
    <definedName function="false" hidden="false" localSheetId="10" name="Value_Today" vbProcedure="false">'C10 Lump sum growth'!$C$32</definedName>
    <definedName function="false" hidden="false" localSheetId="10" name="Wait_Years" vbProcedure="false">'C10 Lump sum growth'!$G$20</definedName>
    <definedName function="false" hidden="false" localSheetId="10" name="Wait_Years_Entry" vbProcedure="false">'C10 Lump sum growth'!$C$20</definedName>
    <definedName function="false" hidden="false" localSheetId="10" name="Yearly_Fees" vbProcedure="false">'C10 Lump sum growth'!$G$19</definedName>
    <definedName function="false" hidden="false" localSheetId="10" name="Yearly_Fees_Entry" vbProcedure="false">'C10 Lump sum growth'!$C$19</definedName>
    <definedName function="false" hidden="false" localSheetId="10" name="Years" vbProcedure="false">'C10 Lump sum growth'!$G$18</definedName>
    <definedName function="false" hidden="false" localSheetId="10" name="Years_Entry" vbProcedure="false">'C10 Lump sum growth'!$C$18</definedName>
    <definedName function="false" hidden="false" localSheetId="11" name="Essential_Spending" vbProcedure="false">'C11 Emergency fund'!$G$6</definedName>
    <definedName function="false" hidden="false" localSheetId="11" name="Essential_Spending_Entry" vbProcedure="false">'C11 Emergency fund'!$C$6</definedName>
    <definedName function="false" hidden="false" localSheetId="11" name="Months_Covered" vbProcedure="false">'C11 Emergency fund'!$C$12</definedName>
    <definedName function="false" hidden="false" localSheetId="11" name="Months_Wanted" vbProcedure="false">'C11 Emergency fund'!$G$7</definedName>
    <definedName function="false" hidden="false" localSheetId="11" name="Months_Wanted_Entry" vbProcedure="false">'C11 Emergency fund'!$C$7</definedName>
    <definedName function="false" hidden="false" localSheetId="11" name="Need_1" vbProcedure="false">'C11 Emergency fund'!$C$28</definedName>
    <definedName function="false" hidden="false" localSheetId="11" name="Need_2" vbProcedure="false">'C11 Emergency fund'!$C$29</definedName>
    <definedName function="false" hidden="false" localSheetId="11" name="Need_3" vbProcedure="false">'C11 Emergency fund'!$C$30</definedName>
    <definedName function="false" hidden="false" localSheetId="11" name="Need_4" vbProcedure="false">'C11 Emergency fund'!$C$31</definedName>
    <definedName function="false" hidden="false" localSheetId="11" name="Need_5" vbProcedure="false">'C11 Emergency fund'!$C$32</definedName>
    <definedName function="false" hidden="false" localSheetId="11" name="Plan_Goal_Amount" vbProcedure="false">'C11 Emergency fund'!$C$23</definedName>
    <definedName function="false" hidden="false" localSheetId="11" name="Plan_Goal_Kind" vbProcedure="false">'C11 Emergency fund'!$C$22</definedName>
    <definedName function="false" hidden="false" localSheetId="11" name="Plan_Goal_Saved" vbProcedure="false">'C11 Emergency fund'!$C$24</definedName>
    <definedName function="false" hidden="false" localSheetId="11" name="Plan_Goal_Years" vbProcedure="false">'C11 Emergency fund'!$C$25</definedName>
    <definedName function="false" hidden="false" localSheetId="11" name="Safety_Goal_Years" vbProcedure="false">'C11 Emergency fund'!$G$8</definedName>
    <definedName function="false" hidden="false" localSheetId="11" name="Safety_Goal_Years_Entry" vbProcedure="false">'C11 Emergency fund'!$C$8</definedName>
    <definedName function="false" hidden="false" localSheetId="11" name="Savings" vbProcedure="false">'C11 Emergency fund'!$G$9</definedName>
    <definedName function="false" hidden="false" localSheetId="11" name="Savings_Entry" vbProcedure="false">'C11 Emergency fund'!$C$9</definedName>
    <definedName function="false" hidden="false" localSheetId="11" name="Still_To_Build" vbProcedure="false">'C11 Emergency fund'!$C$14</definedName>
    <definedName function="false" hidden="false" localSheetId="11" name="Target" vbProcedure="false">'C11 Emergency fund'!$C$13</definedName>
    <definedName function="false" hidden="false" localSheetId="12" name="Age" vbProcedure="false">'C12 Retirement projection'!$G$21</definedName>
    <definedName function="false" hidden="false" localSheetId="12" name="Age_Entry" vbProcedure="false">'C12 Retirement projection'!$C$21</definedName>
    <definedName function="false" hidden="false" localSheetId="12" name="Bridge_Years" vbProcedure="false">'C12 Retirement projection'!$C$49</definedName>
    <definedName function="false" hidden="false" localSheetId="12" name="Calculated_Fund" vbProcedure="false">'C12 Retirement projection'!$C$47</definedName>
    <definedName function="false" hidden="false" localSheetId="12" name="Contribution" vbProcedure="false">'C12 Retirement projection'!$C$56</definedName>
    <definedName function="false" hidden="false" localSheetId="12" name="Contributions_Grow_To" vbProcedure="false">'C12 Retirement projection'!$C$57</definedName>
    <definedName function="false" hidden="false" localSheetId="12" name="Desired_Income" vbProcedure="false">'C12 Retirement projection'!$G$25</definedName>
    <definedName function="false" hidden="false" localSheetId="12" name="Desired_Income_Entry" vbProcedure="false">'C12 Retirement projection'!$C$25</definedName>
    <definedName function="false" hidden="false" localSheetId="12" name="Early_Warning" vbProcedure="false">'C12 Retirement projection'!$C$53</definedName>
    <definedName function="false" hidden="false" localSheetId="12" name="Fund_Today" vbProcedure="false">'C12 Retirement projection'!$C$46</definedName>
    <definedName function="false" hidden="false" localSheetId="12" name="Gap_Today" vbProcedure="false">'C12 Retirement projection'!$C$44</definedName>
    <definedName function="false" hidden="false" localSheetId="12" name="Growth_Rate" vbProcedure="false">'C12 Retirement projection'!$G$27</definedName>
    <definedName function="false" hidden="false" localSheetId="12" name="Growth_Rate_Entry" vbProcedure="false">'C12 Retirement projection'!$C$27</definedName>
    <definedName function="false" hidden="false" localSheetId="12" name="Inflation_Choice" vbProcedure="false">'C12 Retirement projection'!$G$6</definedName>
    <definedName function="false" hidden="false" localSheetId="12" name="Inflation_Choice_Entry" vbProcedure="false">'C12 Retirement projection'!$C$6</definedName>
    <definedName function="false" hidden="false" localSheetId="12" name="Lump_Sum" vbProcedure="false">'C12 Retirement projection'!$C$50</definedName>
    <definedName function="false" hidden="false" localSheetId="12" name="Lump_Sum_Net" vbProcedure="false">'C12 Retirement projection'!$C$52</definedName>
    <definedName function="false" hidden="false" localSheetId="12" name="Lump_Sum_Pct" vbProcedure="false">'C12 Retirement projection'!$G$31</definedName>
    <definedName function="false" hidden="false" localSheetId="12" name="Lump_Sum_Pct_Entry" vbProcedure="false">'C12 Retirement projection'!$C$31</definedName>
    <definedName function="false" hidden="false" localSheetId="12" name="Lump_Sum_Tax" vbProcedure="false">'C12 Retirement projection'!$C$51</definedName>
    <definedName function="false" hidden="false" localSheetId="12" name="Monthly_Contribution" vbProcedure="false">'C12 Retirement projection'!$G$24</definedName>
    <definedName function="false" hidden="false" localSheetId="12" name="Monthly_Contribution_Entry" vbProcedure="false">'C12 Retirement projection'!$C$24</definedName>
    <definedName function="false" hidden="false" localSheetId="12" name="Need_1" vbProcedure="false">'C12 Retirement projection'!$C$77</definedName>
    <definedName function="false" hidden="false" localSheetId="12" name="Need_2" vbProcedure="false">'C12 Retirement projection'!$C$78</definedName>
    <definedName function="false" hidden="false" localSheetId="12" name="Need_3" vbProcedure="false">'C12 Retirement projection'!$C$79</definedName>
    <definedName function="false" hidden="false" localSheetId="12" name="Need_4" vbProcedure="false">'C12 Retirement projection'!$C$80</definedName>
    <definedName function="false" hidden="false" localSheetId="12" name="Need_5" vbProcedure="false">'C12 Retirement projection'!$C$81</definedName>
    <definedName function="false" hidden="false" localSheetId="12" name="Need_6" vbProcedure="false">'C12 Retirement projection'!$C$82</definedName>
    <definedName function="false" hidden="false" localSheetId="12" name="Need_7" vbProcedure="false">'C12 Retirement projection'!$C$83</definedName>
    <definedName function="false" hidden="false" localSheetId="12" name="Need_8" vbProcedure="false">'C12 Retirement projection'!$C$84</definedName>
    <definedName function="false" hidden="false" localSheetId="12" name="Need_9" vbProcedure="false">'C12 Retirement projection'!$C$85</definedName>
    <definedName function="false" hidden="false" localSheetId="12" name="Other_Income" vbProcedure="false">'C12 Retirement projection'!$G$26</definedName>
    <definedName function="false" hidden="false" localSheetId="12" name="Other_Income_Entry" vbProcedure="false">'C12 Retirement projection'!$C$26</definedName>
    <definedName function="false" hidden="false" localSheetId="12" name="Pension_Today" vbProcedure="false">'C12 Retirement projection'!$G$23</definedName>
    <definedName function="false" hidden="false" localSheetId="12" name="Pension_Today_Entry" vbProcedure="false">'C12 Retirement projection'!$C$23</definedName>
    <definedName function="false" hidden="false" localSheetId="12" name="Plan_Goal_Age" vbProcedure="false">'C12 Retirement projection'!$C$72</definedName>
    <definedName function="false" hidden="false" localSheetId="12" name="Plan_Goal_Income" vbProcedure="false">'C12 Retirement projection'!$C$71</definedName>
    <definedName function="false" hidden="false" localSheetId="12" name="Plan_Goal_Kind" vbProcedure="false">'C12 Retirement projection'!$C$70</definedName>
    <definedName function="false" hidden="false" localSheetId="12" name="Plan_Inflation" vbProcedure="false">'C12 Retirement projection'!$C$73</definedName>
    <definedName function="false" hidden="false" localSheetId="12" name="Projected_Fund" vbProcedure="false">'C12 Retirement projection'!$C$45</definedName>
    <definedName function="false" hidden="false" localSheetId="12" name="Retirement_Age" vbProcedure="false">'C12 Retirement projection'!$G$22</definedName>
    <definedName function="false" hidden="false" localSheetId="12" name="Retirement_Age_Entry" vbProcedure="false">'C12 Retirement projection'!$C$22</definedName>
    <definedName function="false" hidden="false" localSheetId="12" name="Retire_Later" vbProcedure="false">'C12 Retirement projection'!$G$32</definedName>
    <definedName function="false" hidden="false" localSheetId="12" name="Retire_Later_Entry" vbProcedure="false">'C12 Retirement projection'!$C$32</definedName>
    <definedName function="false" hidden="false" localSheetId="12" name="Retire_Multiple" vbProcedure="false">'C12 Retirement projection'!$G$29</definedName>
    <definedName function="false" hidden="false" localSheetId="12" name="Retire_Multiple_Entry" vbProcedure="false">'C12 Retirement projection'!$C$29</definedName>
    <definedName function="false" hidden="false" localSheetId="12" name="Save_More" vbProcedure="false">'C12 Retirement projection'!$G$33</definedName>
    <definedName function="false" hidden="false" localSheetId="12" name="Save_More_Entry" vbProcedure="false">'C12 Retirement projection'!$C$33</definedName>
    <definedName function="false" hidden="false" localSheetId="12" name="SFT_Warning" vbProcedure="false">'C12 Retirement projection'!$C$54</definedName>
    <definedName function="false" hidden="false" localSheetId="12" name="Spend_Less" vbProcedure="false">'C12 Retirement projection'!$G$34</definedName>
    <definedName function="false" hidden="false" localSheetId="12" name="Spend_Less_Entry" vbProcedure="false">'C12 Retirement projection'!$C$34</definedName>
    <definedName function="false" hidden="false" localSheetId="12" name="Statement_Check" vbProcedure="false">'C12 Retirement projection'!$C$41</definedName>
    <definedName function="false" hidden="false" localSheetId="12" name="Stmt_Charges" vbProcedure="false">'C12 Retirement projection'!$C$17</definedName>
    <definedName function="false" hidden="false" localSheetId="12" name="Stmt_Employer_Monthly" vbProcedure="false">'C12 Retirement projection'!$C$13</definedName>
    <definedName function="false" hidden="false" localSheetId="12" name="Stmt_Fund_Value" vbProcedure="false">'C12 Retirement projection'!$C$11</definedName>
    <definedName function="false" hidden="false" localSheetId="12" name="Stmt_NRA" vbProcedure="false">'C12 Retirement projection'!$C$14</definedName>
    <definedName function="false" hidden="false" localSheetId="12" name="Stmt_Projected_Fund" vbProcedure="false">'C12 Retirement projection'!$C$15</definedName>
    <definedName function="false" hidden="false" localSheetId="12" name="Stmt_Projection_Today" vbProcedure="false">'C12 Retirement projection'!$C$16</definedName>
    <definedName function="false" hidden="false" localSheetId="12" name="Stmt_Statement_Date" vbProcedure="false">'C12 Retirement projection'!$C$18</definedName>
    <definedName function="false" hidden="false" localSheetId="12" name="Stmt_You_Monthly" vbProcedure="false">'C12 Retirement projection'!$C$12</definedName>
    <definedName function="false" hidden="false" localSheetId="12" name="Target_Today" vbProcedure="false">'C12 Retirement projection'!$C$48</definedName>
    <definedName function="false" hidden="false" localSheetId="12" name="Typical_Pension_Charges" vbProcedure="false">'C12 Retirement projection'!$G$30</definedName>
    <definedName function="false" hidden="false" localSheetId="12" name="Typical_Pension_Charges_Entry" vbProcedure="false">'C12 Retirement projection'!$C$30</definedName>
    <definedName function="false" hidden="false" localSheetId="12" name="Used_Growth_Rate" vbProcedure="false">'C12 Retirement projection'!$C$39</definedName>
    <definedName function="false" hidden="false" localSheetId="12" name="Used_Monthly_Contribution" vbProcedure="false">'C12 Retirement projection'!$C$38</definedName>
    <definedName function="false" hidden="false" localSheetId="12" name="Used_Pension_Today" vbProcedure="false">'C12 Retirement projection'!$C$37</definedName>
    <definedName function="false" hidden="false" localSheetId="12" name="Use_Statement_Projection" vbProcedure="false">'C12 Retirement projection'!$C$40</definedName>
    <definedName function="false" hidden="false" localSheetId="12" name="Wage" vbProcedure="false">'C12 Retirement projection'!$G$28</definedName>
    <definedName function="false" hidden="false" localSheetId="12" name="Wage_Entry" vbProcedure="false">'C12 Retirement projection'!$C$28</definedName>
    <definedName function="false" hidden="false" localSheetId="12" name="Years_To_Retirement" vbProcedure="false">'C12 Retirement projection'!$C$55</definedName>
    <definedName function="false" hidden="false" localSheetId="13" name="Age" vbProcedure="false">'C13 Contribution impact'!$G$21</definedName>
    <definedName function="false" hidden="false" localSheetId="13" name="Age_Entry" vbProcedure="false">'C13 Contribution impact'!$C$21</definedName>
    <definedName function="false" hidden="false" localSheetId="13" name="Existing_Pension_Year" vbProcedure="false">'C13 Contribution impact'!$G$22</definedName>
    <definedName function="false" hidden="false" localSheetId="13" name="Existing_Pension_Year_Entry" vbProcedure="false">'C13 Contribution impact'!$C$22</definedName>
    <definedName function="false" hidden="false" localSheetId="13" name="Extra_Per_Month" vbProcedure="false">'C13 Contribution impact'!$C$31</definedName>
    <definedName function="false" hidden="false" localSheetId="13" name="Grows_To" vbProcedure="false">'C13 Contribution impact'!$C$29</definedName>
    <definedName function="false" hidden="false" localSheetId="13" name="Growth_Rate" vbProcedure="false">'C13 Contribution impact'!$G$18</definedName>
    <definedName function="false" hidden="false" localSheetId="13" name="Growth_Rate_Entry" vbProcedure="false">'C13 Contribution impact'!$C$18</definedName>
    <definedName function="false" hidden="false" localSheetId="13" name="Increase_Pct" vbProcedure="false">'C13 Contribution impact'!$G$16</definedName>
    <definedName function="false" hidden="false" localSheetId="13" name="Increase_Pct_Entry" vbProcedure="false">'C13 Contribution impact'!$C$16</definedName>
    <definedName function="false" hidden="false" localSheetId="13" name="Inflation_Choice" vbProcedure="false">'C13 Contribution impact'!$G$6</definedName>
    <definedName function="false" hidden="false" localSheetId="13" name="Inflation_Choice_Entry" vbProcedure="false">'C13 Contribution impact'!$C$6</definedName>
    <definedName function="false" hidden="false" localSheetId="13" name="Need_1" vbProcedure="false">'C13 Contribution impact'!$C$51</definedName>
    <definedName function="false" hidden="false" localSheetId="13" name="Need_2" vbProcedure="false">'C13 Contribution impact'!$C$52</definedName>
    <definedName function="false" hidden="false" localSheetId="13" name="Need_3" vbProcedure="false">'C13 Contribution impact'!$C$53</definedName>
    <definedName function="false" hidden="false" localSheetId="13" name="Need_4" vbProcedure="false">'C13 Contribution impact'!$C$54</definedName>
    <definedName function="false" hidden="false" localSheetId="13" name="Need_5" vbProcedure="false">'C13 Contribution impact'!$C$55</definedName>
    <definedName function="false" hidden="false" localSheetId="13" name="Need_6" vbProcedure="false">'C13 Contribution impact'!$C$56</definedName>
    <definedName function="false" hidden="false" localSheetId="13" name="Net_Cost_Per_Month" vbProcedure="false">'C13 Contribution impact'!$C$32</definedName>
    <definedName function="false" hidden="false" localSheetId="13" name="Plan_Goal_Contribution" vbProcedure="false">'C13 Contribution impact'!$C$47</definedName>
    <definedName function="false" hidden="false" localSheetId="13" name="Plan_Goal_Kind" vbProcedure="false">'C13 Contribution impact'!$C$46</definedName>
    <definedName function="false" hidden="false" localSheetId="13" name="Relief_Limit_Year" vbProcedure="false">'C13 Contribution impact'!$C$33</definedName>
    <definedName function="false" hidden="false" localSheetId="13" name="Relief_Per_Month" vbProcedure="false">'C13 Contribution impact'!$C$36</definedName>
    <definedName function="false" hidden="false" localSheetId="13" name="Relief_Room_Year" vbProcedure="false">'C13 Contribution impact'!$C$34</definedName>
    <definedName function="false" hidden="false" localSheetId="13" name="Relieved_Year" vbProcedure="false">'C13 Contribution impact'!$C$35</definedName>
    <definedName function="false" hidden="false" localSheetId="13" name="Salary" vbProcedure="false">'C13 Contribution impact'!$G$15</definedName>
    <definedName function="false" hidden="false" localSheetId="13" name="Salary_Entry" vbProcedure="false">'C13 Contribution impact'!$C$15</definedName>
    <definedName function="false" hidden="false" localSheetId="13" name="Statement_Check" vbProcedure="false">'C13 Contribution impact'!$C$26</definedName>
    <definedName function="false" hidden="false" localSheetId="13" name="Stmt_Charges" vbProcedure="false">'C13 Contribution impact'!$C$11</definedName>
    <definedName function="false" hidden="false" localSheetId="13" name="Stmt_Statement_Date" vbProcedure="false">'C13 Contribution impact'!$C$12</definedName>
    <definedName function="false" hidden="false" localSheetId="13" name="Tax_Rate" vbProcedure="false">'C13 Contribution impact'!$G$20</definedName>
    <definedName function="false" hidden="false" localSheetId="13" name="Tax_Rate_Entry" vbProcedure="false">'C13 Contribution impact'!$C$20</definedName>
    <definedName function="false" hidden="false" localSheetId="13" name="Typical_Pension_Charges" vbProcedure="false">'C13 Contribution impact'!$G$19</definedName>
    <definedName function="false" hidden="false" localSheetId="13" name="Typical_Pension_Charges_Entry" vbProcedure="false">'C13 Contribution impact'!$C$19</definedName>
    <definedName function="false" hidden="false" localSheetId="13" name="Used_Growth_Rate" vbProcedure="false">'C13 Contribution impact'!$C$25</definedName>
    <definedName function="false" hidden="false" localSheetId="13" name="Value_Today" vbProcedure="false">'C13 Contribution impact'!$C$30</definedName>
    <definedName function="false" hidden="false" localSheetId="13" name="Years" vbProcedure="false">'C13 Contribution impact'!$G$17</definedName>
    <definedName function="false" hidden="false" localSheetId="13" name="Years_Entry" vbProcedure="false">'C13 Contribution impact'!$C$17</definedName>
    <definedName function="false" hidden="false" localSheetId="14" name="Age" vbProcedure="false">'C14 AVC impact'!$G$21</definedName>
    <definedName function="false" hidden="false" localSheetId="14" name="Age_Entry" vbProcedure="false">'C14 AVC impact'!$C$21</definedName>
    <definedName function="false" hidden="false" localSheetId="14" name="AVC_Per_Month" vbProcedure="false">'C14 AVC impact'!$G$15</definedName>
    <definedName function="false" hidden="false" localSheetId="14" name="AVC_Per_Month_Entry" vbProcedure="false">'C14 AVC impact'!$C$15</definedName>
    <definedName function="false" hidden="false" localSheetId="14" name="Existing_Pension_Year" vbProcedure="false">'C14 AVC impact'!$G$22</definedName>
    <definedName function="false" hidden="false" localSheetId="14" name="Existing_Pension_Year_Entry" vbProcedure="false">'C14 AVC impact'!$C$22</definedName>
    <definedName function="false" hidden="false" localSheetId="14" name="Grows_To" vbProcedure="false">'C14 AVC impact'!$C$29</definedName>
    <definedName function="false" hidden="false" localSheetId="14" name="Growth_Rate" vbProcedure="false">'C14 AVC impact'!$G$18</definedName>
    <definedName function="false" hidden="false" localSheetId="14" name="Growth_Rate_Entry" vbProcedure="false">'C14 AVC impact'!$C$18</definedName>
    <definedName function="false" hidden="false" localSheetId="14" name="Inflation_Choice" vbProcedure="false">'C14 AVC impact'!$G$6</definedName>
    <definedName function="false" hidden="false" localSheetId="14" name="Inflation_Choice_Entry" vbProcedure="false">'C14 AVC impact'!$C$6</definedName>
    <definedName function="false" hidden="false" localSheetId="14" name="Need_1" vbProcedure="false">'C14 AVC impact'!$C$50</definedName>
    <definedName function="false" hidden="false" localSheetId="14" name="Need_2" vbProcedure="false">'C14 AVC impact'!$C$51</definedName>
    <definedName function="false" hidden="false" localSheetId="14" name="Need_3" vbProcedure="false">'C14 AVC impact'!$C$52</definedName>
    <definedName function="false" hidden="false" localSheetId="14" name="Need_4" vbProcedure="false">'C14 AVC impact'!$C$53</definedName>
    <definedName function="false" hidden="false" localSheetId="14" name="Need_5" vbProcedure="false">'C14 AVC impact'!$C$54</definedName>
    <definedName function="false" hidden="false" localSheetId="14" name="Need_6" vbProcedure="false">'C14 AVC impact'!$C$55</definedName>
    <definedName function="false" hidden="false" localSheetId="14" name="Need_7" vbProcedure="false">'C14 AVC impact'!$C$56</definedName>
    <definedName function="false" hidden="false" localSheetId="14" name="Need_8" vbProcedure="false">'C14 AVC impact'!$C$57</definedName>
    <definedName function="false" hidden="false" localSheetId="14" name="Net_Cost" vbProcedure="false">'C14 AVC impact'!$C$32</definedName>
    <definedName function="false" hidden="false" localSheetId="14" name="Net_Cost_Per_Month" vbProcedure="false">'C14 AVC impact'!$C$33</definedName>
    <definedName function="false" hidden="false" localSheetId="14" name="Paid_In" vbProcedure="false">'C14 AVC impact'!$C$31</definedName>
    <definedName function="false" hidden="false" localSheetId="14" name="Plan_Goal_Contribution" vbProcedure="false">'C14 AVC impact'!$C$47</definedName>
    <definedName function="false" hidden="false" localSheetId="14" name="Plan_Goal_Kind" vbProcedure="false">'C14 AVC impact'!$C$46</definedName>
    <definedName function="false" hidden="false" localSheetId="14" name="Relief_Limit_Year" vbProcedure="false">'C14 AVC impact'!$C$34</definedName>
    <definedName function="false" hidden="false" localSheetId="14" name="Relief_Per_Month" vbProcedure="false">'C14 AVC impact'!$C$37</definedName>
    <definedName function="false" hidden="false" localSheetId="14" name="Relief_Room_Year" vbProcedure="false">'C14 AVC impact'!$C$35</definedName>
    <definedName function="false" hidden="false" localSheetId="14" name="Relieved_Year" vbProcedure="false">'C14 AVC impact'!$C$36</definedName>
    <definedName function="false" hidden="false" localSheetId="14" name="Salary" vbProcedure="false">'C14 AVC impact'!$G$16</definedName>
    <definedName function="false" hidden="false" localSheetId="14" name="Salary_Entry" vbProcedure="false">'C14 AVC impact'!$C$16</definedName>
    <definedName function="false" hidden="false" localSheetId="14" name="Statement_Check" vbProcedure="false">'C14 AVC impact'!$C$26</definedName>
    <definedName function="false" hidden="false" localSheetId="14" name="Stmt_Charges" vbProcedure="false">'C14 AVC impact'!$C$11</definedName>
    <definedName function="false" hidden="false" localSheetId="14" name="Stmt_Statement_Date" vbProcedure="false">'C14 AVC impact'!$C$12</definedName>
    <definedName function="false" hidden="false" localSheetId="14" name="Tax_Rate" vbProcedure="false">'C14 AVC impact'!$G$20</definedName>
    <definedName function="false" hidden="false" localSheetId="14" name="Tax_Rate_Entry" vbProcedure="false">'C14 AVC impact'!$C$20</definedName>
    <definedName function="false" hidden="false" localSheetId="14" name="Typical_Pension_Charges" vbProcedure="false">'C14 AVC impact'!$G$19</definedName>
    <definedName function="false" hidden="false" localSheetId="14" name="Typical_Pension_Charges_Entry" vbProcedure="false">'C14 AVC impact'!$C$19</definedName>
    <definedName function="false" hidden="false" localSheetId="14" name="Used_Growth_Rate" vbProcedure="false">'C14 AVC impact'!$C$25</definedName>
    <definedName function="false" hidden="false" localSheetId="14" name="Value_Today" vbProcedure="false">'C14 AVC impact'!$C$30</definedName>
    <definedName function="false" hidden="false" localSheetId="14" name="Years" vbProcedure="false">'C14 AVC impact'!$G$17</definedName>
    <definedName function="false" hidden="false" localSheetId="14" name="Years_Entry" vbProcedure="false">'C14 AVC impact'!$C$17</definedName>
    <definedName function="false" hidden="false" localSheetId="15" name="Age_At_Start" vbProcedure="false">'C15 Will my money last'!$G$20</definedName>
    <definedName function="false" hidden="false" localSheetId="15" name="Age_At_Start_Entry" vbProcedure="false">'C15 Will my money last'!$C$20</definedName>
    <definedName function="false" hidden="false" localSheetId="15" name="Growth_Rate" vbProcedure="false">'C15 Will my money last'!$G$18</definedName>
    <definedName function="false" hidden="false" localSheetId="15" name="Growth_Rate_Entry" vbProcedure="false">'C15 Will my money last'!$C$18</definedName>
    <definedName function="false" hidden="false" localSheetId="15" name="Inflation_Choice" vbProcedure="false">'C15 Will my money last'!$G$6</definedName>
    <definedName function="false" hidden="false" localSheetId="15" name="Inflation_Choice_Entry" vbProcedure="false">'C15 Will my money last'!$C$6</definedName>
    <definedName function="false" hidden="false" localSheetId="15" name="Lasts_To_Age" vbProcedure="false">'C15 Will my money last'!$C$29</definedName>
    <definedName function="false" hidden="false" localSheetId="15" name="Need_1" vbProcedure="false">'C15 Will my money last'!$C$107</definedName>
    <definedName function="false" hidden="false" localSheetId="15" name="Need_2" vbProcedure="false">'C15 Will my money last'!$C$108</definedName>
    <definedName function="false" hidden="false" localSheetId="15" name="Need_3" vbProcedure="false">'C15 Will my money last'!$C$109</definedName>
    <definedName function="false" hidden="false" localSheetId="15" name="Plan_Goal_Kind" vbProcedure="false">'C15 Will my money last'!$C$104</definedName>
    <definedName function="false" hidden="false" localSheetId="15" name="Plan_To_Age" vbProcedure="false">'C15 Will my money last'!$G$21</definedName>
    <definedName function="false" hidden="false" localSheetId="15" name="Plan_To_Age_Entry" vbProcedure="false">'C15 Will my money last'!$C$21</definedName>
    <definedName function="false" hidden="false" localSheetId="15" name="Retirement_Savings" vbProcedure="false">'C15 Will my money last'!$G$16</definedName>
    <definedName function="false" hidden="false" localSheetId="15" name="Retirement_Savings_Entry" vbProcedure="false">'C15 Will my money last'!$C$16</definedName>
    <definedName function="false" hidden="false" localSheetId="15" name="Statement_Check" vbProcedure="false">'C15 Will my money last'!$C$25</definedName>
    <definedName function="false" hidden="false" localSheetId="15" name="Stmt_Fund_Value" vbProcedure="false">'C15 Will my money last'!$C$12</definedName>
    <definedName function="false" hidden="false" localSheetId="15" name="Stmt_Projected_Fund" vbProcedure="false">'C15 Will my money last'!$C$11</definedName>
    <definedName function="false" hidden="false" localSheetId="15" name="Stmt_Statement_Date" vbProcedure="false">'C15 Will my money last'!$C$13</definedName>
    <definedName function="false" hidden="false" localSheetId="15" name="Used_Retirement_Savings" vbProcedure="false">'C15 Will my money last'!$C$24</definedName>
    <definedName function="false" hidden="false" localSheetId="15" name="Withdrawal_Rate" vbProcedure="false">'C15 Will my money last'!$C$30</definedName>
    <definedName function="false" hidden="false" localSheetId="15" name="Withdrawal_Timing" vbProcedure="false">'C15 Will my money last'!$G$19</definedName>
    <definedName function="false" hidden="false" localSheetId="15" name="Withdrawal_Timing_Entry" vbProcedure="false">'C15 Will my money last'!$C$19</definedName>
    <definedName function="false" hidden="false" localSheetId="15" name="W_end" vbProcedure="false">'C15 Will my money last'!$F$33:$F$92</definedName>
    <definedName function="false" hidden="false" localSheetId="15" name="W_paid" vbProcedure="false">'C15 Will my money last'!$E$33:$E$92</definedName>
    <definedName function="false" hidden="false" localSheetId="15" name="W_start" vbProcedure="false">'C15 Will my money last'!$D$33:$D$92</definedName>
    <definedName function="false" hidden="false" localSheetId="15" name="W_w" vbProcedure="false">'C15 Will my money last'!$C$33:$C$92</definedName>
    <definedName function="false" hidden="false" localSheetId="15" name="W_year" vbProcedure="false">'C15 Will my money last'!$B$33:$B$92</definedName>
    <definedName function="false" hidden="false" localSheetId="15" name="Yearly_Withdrawal" vbProcedure="false">'C15 Will my money last'!$G$17</definedName>
    <definedName function="false" hidden="false" localSheetId="15" name="Yearly_Withdrawal_Entry" vbProcedure="false">'C15 Will my money last'!$C$17</definedName>
    <definedName function="false" hidden="false" localSheetId="15" name="Years_Lasting" vbProcedure="false">'C15 Will my money last'!$C$28</definedName>
    <definedName function="false" hidden="false" localSheetId="16" name="DD_Balanced" vbProcedure="false">'C16 Drawdown scenarios'!$G$19</definedName>
    <definedName function="false" hidden="false" localSheetId="16" name="DD_Balanced_Entry" vbProcedure="false">'C16 Drawdown scenarios'!$C$19</definedName>
    <definedName function="false" hidden="false" localSheetId="16" name="DD_Cautious" vbProcedure="false">'C16 Drawdown scenarios'!$G$18</definedName>
    <definedName function="false" hidden="false" localSheetId="16" name="DD_Cautious_Entry" vbProcedure="false">'C16 Drawdown scenarios'!$C$18</definedName>
    <definedName function="false" hidden="false" localSheetId="16" name="DD_Growth" vbProcedure="false">'C16 Drawdown scenarios'!$G$20</definedName>
    <definedName function="false" hidden="false" localSheetId="16" name="DD_Growth_Entry" vbProcedure="false">'C16 Drawdown scenarios'!$C$20</definedName>
    <definedName function="false" hidden="false" localSheetId="16" name="Inflation_Choice" vbProcedure="false">'C16 Drawdown scenarios'!$G$6</definedName>
    <definedName function="false" hidden="false" localSheetId="16" name="Inflation_Choice_Entry" vbProcedure="false">'C16 Drawdown scenarios'!$C$6</definedName>
    <definedName function="false" hidden="false" localSheetId="16" name="Need_1" vbProcedure="false">'C16 Drawdown scenarios'!$C$106</definedName>
    <definedName function="false" hidden="false" localSheetId="16" name="Plan_Goal_Kind" vbProcedure="false">'C16 Drawdown scenarios'!$C$103</definedName>
    <definedName function="false" hidden="false" localSheetId="16" name="Retirement_Savings" vbProcedure="false">'C16 Drawdown scenarios'!$G$16</definedName>
    <definedName function="false" hidden="false" localSheetId="16" name="Retirement_Savings_Entry" vbProcedure="false">'C16 Drawdown scenarios'!$C$16</definedName>
    <definedName function="false" hidden="false" localSheetId="16" name="Statement_Check" vbProcedure="false">'C16 Drawdown scenarios'!$C$25</definedName>
    <definedName function="false" hidden="false" localSheetId="16" name="Stmt_Fund_Value" vbProcedure="false">'C16 Drawdown scenarios'!$C$12</definedName>
    <definedName function="false" hidden="false" localSheetId="16" name="Stmt_Projected_Fund" vbProcedure="false">'C16 Drawdown scenarios'!$C$11</definedName>
    <definedName function="false" hidden="false" localSheetId="16" name="Stmt_Statement_Date" vbProcedure="false">'C16 Drawdown scenarios'!$C$13</definedName>
    <definedName function="false" hidden="false" localSheetId="16" name="Used_Retirement_Savings" vbProcedure="false">'C16 Drawdown scenarios'!$C$24</definedName>
    <definedName function="false" hidden="false" localSheetId="16" name="Withdrawal_Timing" vbProcedure="false">'C16 Drawdown scenarios'!$G$21</definedName>
    <definedName function="false" hidden="false" localSheetId="16" name="Withdrawal_Timing_Entry" vbProcedure="false">'C16 Drawdown scenarios'!$C$21</definedName>
    <definedName function="false" hidden="false" localSheetId="16" name="W_b_paid" vbProcedure="false">'C16 Drawdown scenarios'!$G$33:$G$92</definedName>
    <definedName function="false" hidden="false" localSheetId="16" name="W_b_start" vbProcedure="false">'C16 Drawdown scenarios'!$F$33:$F$92</definedName>
    <definedName function="false" hidden="false" localSheetId="16" name="W_c_paid" vbProcedure="false">'C16 Drawdown scenarios'!$E$33:$E$92</definedName>
    <definedName function="false" hidden="false" localSheetId="16" name="W_c_start" vbProcedure="false">'C16 Drawdown scenarios'!$D$33:$D$92</definedName>
    <definedName function="false" hidden="false" localSheetId="16" name="W_g_paid" vbProcedure="false">'C16 Drawdown scenarios'!$I$33:$I$92</definedName>
    <definedName function="false" hidden="false" localSheetId="16" name="W_g_start" vbProcedure="false">'C16 Drawdown scenarios'!$H$33:$H$92</definedName>
    <definedName function="false" hidden="false" localSheetId="16" name="W_w" vbProcedure="false">'C16 Drawdown scenarios'!$C$33:$C$92</definedName>
    <definedName function="false" hidden="false" localSheetId="16" name="W_year" vbProcedure="false">'C16 Drawdown scenarios'!$B$33:$B$92</definedName>
    <definedName function="false" hidden="false" localSheetId="16" name="Yearly_Withdrawal" vbProcedure="false">'C16 Drawdown scenarios'!$G$17</definedName>
    <definedName function="false" hidden="false" localSheetId="16" name="Yearly_Withdrawal_Entry" vbProcedure="false">'C16 Drawdown scenarios'!$C$17</definedName>
    <definedName function="false" hidden="false" localSheetId="16" name="Years_Balanced" vbProcedure="false">'C16 Drawdown scenarios'!$C$28</definedName>
    <definedName function="false" hidden="false" localSheetId="16" name="Years_Cautious" vbProcedure="false">'C16 Drawdown scenarios'!$C$29</definedName>
    <definedName function="false" hidden="false" localSheetId="16" name="Years_Growth" vbProcedure="false">'C16 Drawdown scenarios'!$C$30</definedName>
    <definedName function="false" hidden="false" localSheetId="17" name="Amount" vbProcedure="false">'C17 Inflation adjusted return'!$G$15</definedName>
    <definedName function="false" hidden="false" localSheetId="17" name="Amount_Entry" vbProcedure="false">'C17 Inflation adjusted return'!$C$15</definedName>
    <definedName function="false" hidden="false" localSheetId="17" name="Future_Value" vbProcedure="false">'C17 Inflation adjusted return'!$C$25</definedName>
    <definedName function="false" hidden="false" localSheetId="17" name="Inflation_Choice" vbProcedure="false">'C17 Inflation adjusted return'!$G$6</definedName>
    <definedName function="false" hidden="false" localSheetId="17" name="Inflation_Choice_Entry" vbProcedure="false">'C17 Inflation adjusted return'!$C$6</definedName>
    <definedName function="false" hidden="false" localSheetId="17" name="Need_1" vbProcedure="false">'C17 Inflation adjusted return'!$C$39</definedName>
    <definedName function="false" hidden="false" localSheetId="17" name="Need_2" vbProcedure="false">'C17 Inflation adjusted return'!$C$40</definedName>
    <definedName function="false" hidden="false" localSheetId="17" name="Need_3" vbProcedure="false">'C17 Inflation adjusted return'!$C$41</definedName>
    <definedName function="false" hidden="false" localSheetId="17" name="Nominal_Return" vbProcedure="false">'C17 Inflation adjusted return'!$G$16</definedName>
    <definedName function="false" hidden="false" localSheetId="17" name="Nominal_Return_Entry" vbProcedure="false">'C17 Inflation adjusted return'!$C$16</definedName>
    <definedName function="false" hidden="false" localSheetId="17" name="Plan_Goal_Kind" vbProcedure="false">'C17 Inflation adjusted return'!$C$36</definedName>
    <definedName function="false" hidden="false" localSheetId="17" name="Real_Return" vbProcedure="false">'C17 Inflation adjusted return'!$C$26</definedName>
    <definedName function="false" hidden="false" localSheetId="17" name="Statement_Check" vbProcedure="false">'C17 Inflation adjusted return'!$C$21</definedName>
    <definedName function="false" hidden="false" localSheetId="17" name="Stmt_Statement_Date" vbProcedure="false">'C17 Inflation adjusted return'!$C$12</definedName>
    <definedName function="false" hidden="false" localSheetId="17" name="Stmt_Total_Value" vbProcedure="false">'C17 Inflation adjusted return'!$C$11</definedName>
    <definedName function="false" hidden="false" localSheetId="17" name="Used_Amount" vbProcedure="false">'C17 Inflation adjusted return'!$C$20</definedName>
    <definedName function="false" hidden="false" localSheetId="17" name="Value_Today" vbProcedure="false">'C17 Inflation adjusted return'!$C$24</definedName>
    <definedName function="false" hidden="false" localSheetId="17" name="Years" vbProcedure="false">'C17 Inflation adjusted return'!$G$17</definedName>
    <definedName function="false" hidden="false" localSheetId="17" name="Years_Entry" vbProcedure="false">'C17 Inflation adjusted return'!$C$17</definedName>
    <definedName function="false" hidden="false" localSheetId="18" name="Adjust_For_Inflation" vbProcedure="false">'C18 Regular investing'!$G$20</definedName>
    <definedName function="false" hidden="false" localSheetId="18" name="Adjust_For_Inflation_Entry" vbProcedure="false">'C18 Regular investing'!$C$20</definedName>
    <definedName function="false" hidden="false" localSheetId="18" name="Fees_Cost" vbProcedure="false">'C18 Regular investing'!$C$32</definedName>
    <definedName function="false" hidden="false" localSheetId="18" name="Growth_After_Fees" vbProcedure="false">'C18 Regular investing'!$C$35</definedName>
    <definedName function="false" hidden="false" localSheetId="18" name="Growth_Rate" vbProcedure="false">'C18 Regular investing'!$G$18</definedName>
    <definedName function="false" hidden="false" localSheetId="18" name="Growth_Rate_Entry" vbProcedure="false">'C18 Regular investing'!$C$18</definedName>
    <definedName function="false" hidden="false" localSheetId="18" name="Headline" vbProcedure="false">'C18 Regular investing'!$C$29</definedName>
    <definedName function="false" hidden="false" localSheetId="18" name="Inflation_Choice" vbProcedure="false">'C18 Regular investing'!$G$6</definedName>
    <definedName function="false" hidden="false" localSheetId="18" name="Inflation_Choice_Entry" vbProcedure="false">'C18 Regular investing'!$C$6</definedName>
    <definedName function="false" hidden="false" localSheetId="18" name="Monthly_Amount" vbProcedure="false">'C18 Regular investing'!$G$16</definedName>
    <definedName function="false" hidden="false" localSheetId="18" name="Monthly_Amount_Entry" vbProcedure="false">'C18 Regular investing'!$C$16</definedName>
    <definedName function="false" hidden="false" localSheetId="18" name="Need_1" vbProcedure="false">'C18 Regular investing'!$C$53</definedName>
    <definedName function="false" hidden="false" localSheetId="18" name="Need_2" vbProcedure="false">'C18 Regular investing'!$C$54</definedName>
    <definedName function="false" hidden="false" localSheetId="18" name="Need_3" vbProcedure="false">'C18 Regular investing'!$C$55</definedName>
    <definedName function="false" hidden="false" localSheetId="18" name="Need_4" vbProcedure="false">'C18 Regular investing'!$C$56</definedName>
    <definedName function="false" hidden="false" localSheetId="18" name="Need_5" vbProcedure="false">'C18 Regular investing'!$C$57</definedName>
    <definedName function="false" hidden="false" localSheetId="18" name="Need_6" vbProcedure="false">'C18 Regular investing'!$C$58</definedName>
    <definedName function="false" hidden="false" localSheetId="18" name="Need_7" vbProcedure="false">'C18 Regular investing'!$C$59</definedName>
    <definedName function="false" hidden="false" localSheetId="18" name="Paid_In" vbProcedure="false">'C18 Regular investing'!$C$33</definedName>
    <definedName function="false" hidden="false" localSheetId="18" name="Plan_Goal_Amount" vbProcedure="false">'C18 Regular investing'!$C$47</definedName>
    <definedName function="false" hidden="false" localSheetId="18" name="Plan_Goal_Kind" vbProcedure="false">'C18 Regular investing'!$C$46</definedName>
    <definedName function="false" hidden="false" localSheetId="18" name="Plan_Goal_Years" vbProcedure="false">'C18 Regular investing'!$C$48</definedName>
    <definedName function="false" hidden="false" localSheetId="18" name="Plan_Inflation" vbProcedure="false">'C18 Regular investing'!$C$49</definedName>
    <definedName function="false" hidden="false" localSheetId="18" name="Real_Return" vbProcedure="false">'C18 Regular investing'!$C$36</definedName>
    <definedName function="false" hidden="false" localSheetId="18" name="Statement_Check" vbProcedure="false">'C18 Regular investing'!$C$26</definedName>
    <definedName function="false" hidden="false" localSheetId="18" name="Statement_Uploaded" vbProcedure="false">'C18 Regular investing'!$C$23</definedName>
    <definedName function="false" hidden="false" localSheetId="18" name="Stmt_Charges" vbProcedure="false">'C18 Regular investing'!$C$12</definedName>
    <definedName function="false" hidden="false" localSheetId="18" name="Stmt_Monthly_Invested" vbProcedure="false">'C18 Regular investing'!$C$11</definedName>
    <definedName function="false" hidden="false" localSheetId="18" name="Stmt_Statement_Date" vbProcedure="false">'C18 Regular investing'!$C$13</definedName>
    <definedName function="false" hidden="false" localSheetId="18" name="Used_Monthly_Amount" vbProcedure="false">'C18 Regular investing'!$C$24</definedName>
    <definedName function="false" hidden="false" localSheetId="18" name="Used_Yearly_Fees" vbProcedure="false">'C18 Regular investing'!$C$25</definedName>
    <definedName function="false" hidden="false" localSheetId="18" name="Value_After_Fees" vbProcedure="false">'C18 Regular investing'!$C$30</definedName>
    <definedName function="false" hidden="false" localSheetId="18" name="Value_Before_Fees" vbProcedure="false">'C18 Regular investing'!$C$31</definedName>
    <definedName function="false" hidden="false" localSheetId="18" name="Value_Today" vbProcedure="false">'C18 Regular investing'!$C$34</definedName>
    <definedName function="false" hidden="false" localSheetId="18" name="Yearly_Fees" vbProcedure="false">'C18 Regular investing'!$G$19</definedName>
    <definedName function="false" hidden="false" localSheetId="18" name="Yearly_Fees_Entry" vbProcedure="false">'C18 Regular investing'!$C$19</definedName>
    <definedName function="false" hidden="false" localSheetId="18" name="Years" vbProcedure="false">'C18 Regular investing'!$G$17</definedName>
    <definedName function="false" hidden="false" localSheetId="18" name="Years_Entry" vbProcedure="false">'C18 Regular investing'!$C$17</definedName>
    <definedName function="false" hidden="false" localSheetId="19" name="Amount_Invested" vbProcedure="false">'C19 Fees impact'!$G$12</definedName>
    <definedName function="false" hidden="false" localSheetId="19" name="Amount_Invested_Entry" vbProcedure="false">'C19 Fees impact'!$C$12</definedName>
    <definedName function="false" hidden="false" localSheetId="19" name="Difference" vbProcedure="false">'C19 Fees impact'!$C$25</definedName>
    <definedName function="false" hidden="false" localSheetId="19" name="Fee_A" vbProcedure="false">'C19 Fees impact'!$G$15</definedName>
    <definedName function="false" hidden="false" localSheetId="19" name="Fee_A_Entry" vbProcedure="false">'C19 Fees impact'!$C$15</definedName>
    <definedName function="false" hidden="false" localSheetId="19" name="Fee_B" vbProcedure="false">'C19 Fees impact'!$G$16</definedName>
    <definedName function="false" hidden="false" localSheetId="19" name="Fee_B_Entry" vbProcedure="false">'C19 Fees impact'!$C$16</definedName>
    <definedName function="false" hidden="false" localSheetId="19" name="Fee_Gap" vbProcedure="false">'C19 Fees impact'!$C$28</definedName>
    <definedName function="false" hidden="false" localSheetId="19" name="Growth_Rate" vbProcedure="false">'C19 Fees impact'!$G$14</definedName>
    <definedName function="false" hidden="false" localSheetId="19" name="Growth_Rate_Entry" vbProcedure="false">'C19 Fees impact'!$C$14</definedName>
    <definedName function="false" hidden="false" localSheetId="19" name="Need_1" vbProcedure="false">'C19 Fees impact'!$C$39</definedName>
    <definedName function="false" hidden="false" localSheetId="19" name="Need_2" vbProcedure="false">'C19 Fees impact'!$C$40</definedName>
    <definedName function="false" hidden="false" localSheetId="19" name="Need_3" vbProcedure="false">'C19 Fees impact'!$C$41</definedName>
    <definedName function="false" hidden="false" localSheetId="19" name="Need_4" vbProcedure="false">'C19 Fees impact'!$C$42</definedName>
    <definedName function="false" hidden="false" localSheetId="19" name="Plan_Goal_Kind" vbProcedure="false">'C19 Fees impact'!$C$36</definedName>
    <definedName function="false" hidden="false" localSheetId="19" name="Statement_Check" vbProcedure="false">'C19 Fees impact'!$C$22</definedName>
    <definedName function="false" hidden="false" localSheetId="19" name="Statement_Uploaded" vbProcedure="false">'C19 Fees impact'!$C$19</definedName>
    <definedName function="false" hidden="false" localSheetId="19" name="Stmt_Charges" vbProcedure="false">'C19 Fees impact'!$C$8</definedName>
    <definedName function="false" hidden="false" localSheetId="19" name="Stmt_Statement_Date" vbProcedure="false">'C19 Fees impact'!$C$9</definedName>
    <definedName function="false" hidden="false" localSheetId="19" name="Stmt_Total_Value" vbProcedure="false">'C19 Fees impact'!$C$7</definedName>
    <definedName function="false" hidden="false" localSheetId="19" name="Used_Amount_Invested" vbProcedure="false">'C19 Fees impact'!$C$20</definedName>
    <definedName function="false" hidden="false" localSheetId="19" name="Used_Fee_A" vbProcedure="false">'C19 Fees impact'!$C$21</definedName>
    <definedName function="false" hidden="false" localSheetId="19" name="Value_With_Fee_A" vbProcedure="false">'C19 Fees impact'!$C$26</definedName>
    <definedName function="false" hidden="false" localSheetId="19" name="Value_With_Fee_B" vbProcedure="false">'C19 Fees impact'!$C$27</definedName>
    <definedName function="false" hidden="false" localSheetId="19" name="Years" vbProcedure="false">'C19 Fees impact'!$G$13</definedName>
    <definedName function="false" hidden="false" localSheetId="19" name="Years_Entry" vbProcedure="false">'C19 Fees impact'!$C$13</definedName>
    <definedName function="false" hidden="false" localSheetId="20" name="Amount" vbProcedure="false">'C20 Risk and return'!$G$12</definedName>
    <definedName function="false" hidden="false" localSheetId="20" name="Amount_Entry" vbProcedure="false">'C20 Risk and return'!$C$12</definedName>
    <definedName function="false" hidden="false" localSheetId="20" name="Difficult_Year_Fall" vbProcedure="false">'C20 Risk and return'!$C$31</definedName>
    <definedName function="false" hidden="false" localSheetId="20" name="Middle" vbProcedure="false">'C20 Risk and return'!$C$28</definedName>
    <definedName function="false" hidden="false" localSheetId="20" name="Middle_Growth" vbProcedure="false">'C20 Risk and return'!$C$33</definedName>
    <definedName function="false" hidden="false" localSheetId="20" name="Mu_Balanced" vbProcedure="false">'C20 Risk and return'!$G$16</definedName>
    <definedName function="false" hidden="false" localSheetId="20" name="Mu_Balanced_Entry" vbProcedure="false">'C20 Risk and return'!$C$16</definedName>
    <definedName function="false" hidden="false" localSheetId="20" name="Mu_Cautious" vbProcedure="false">'C20 Risk and return'!$G$15</definedName>
    <definedName function="false" hidden="false" localSheetId="20" name="Mu_Cautious_Entry" vbProcedure="false">'C20 Risk and return'!$C$15</definedName>
    <definedName function="false" hidden="false" localSheetId="20" name="Mu_Growth" vbProcedure="false">'C20 Risk and return'!$G$17</definedName>
    <definedName function="false" hidden="false" localSheetId="20" name="Mu_Growth_Entry" vbProcedure="false">'C20 Risk and return'!$C$17</definedName>
    <definedName function="false" hidden="false" localSheetId="20" name="Need_1" vbProcedure="false">'C20 Risk and return'!$C$48</definedName>
    <definedName function="false" hidden="false" localSheetId="20" name="Need_2" vbProcedure="false">'C20 Risk and return'!$C$49</definedName>
    <definedName function="false" hidden="false" localSheetId="20" name="Need_3" vbProcedure="false">'C20 Risk and return'!$C$50</definedName>
    <definedName function="false" hidden="false" localSheetId="20" name="Need_4" vbProcedure="false">'C20 Risk and return'!$C$51</definedName>
    <definedName function="false" hidden="false" localSheetId="20" name="Need_5" vbProcedure="false">'C20 Risk and return'!$C$52</definedName>
    <definedName function="false" hidden="false" localSheetId="20" name="Need_6" vbProcedure="false">'C20 Risk and return'!$C$53</definedName>
    <definedName function="false" hidden="false" localSheetId="20" name="Need_7" vbProcedure="false">'C20 Risk and return'!$C$54</definedName>
    <definedName function="false" hidden="false" localSheetId="20" name="Plan_Goal_Kind" vbProcedure="false">'C20 Risk and return'!$C$45</definedName>
    <definedName function="false" hidden="false" localSheetId="20" name="Spread" vbProcedure="false">'C20 Risk and return'!$C$35</definedName>
    <definedName function="false" hidden="false" localSheetId="20" name="Statement_Check" vbProcedure="false">'C20 Risk and return'!$C$25</definedName>
    <definedName function="false" hidden="false" localSheetId="20" name="Stmt_Shares_Pct" vbProcedure="false">'C20 Risk and return'!$C$8</definedName>
    <definedName function="false" hidden="false" localSheetId="20" name="Stmt_Statement_Date" vbProcedure="false">'C20 Risk and return'!$C$9</definedName>
    <definedName function="false" hidden="false" localSheetId="20" name="Stmt_Total_Value" vbProcedure="false">'C20 Risk and return'!$C$7</definedName>
    <definedName function="false" hidden="false" localSheetId="20" name="Stronger" vbProcedure="false">'C20 Risk and return'!$C$30</definedName>
    <definedName function="false" hidden="false" localSheetId="20" name="Style" vbProcedure="false">'C20 Risk and return'!$G$14</definedName>
    <definedName function="false" hidden="false" localSheetId="20" name="Style_Entry" vbProcedure="false">'C20 Risk and return'!$C$14</definedName>
    <definedName function="false" hidden="false" localSheetId="20" name="Style_Name" vbProcedure="false">'C20 Risk and return'!$C$32</definedName>
    <definedName function="false" hidden="false" localSheetId="20" name="Used_Amount" vbProcedure="false">'C20 Risk and return'!$C$23</definedName>
    <definedName function="false" hidden="false" localSheetId="20" name="Used_Style" vbProcedure="false">'C20 Risk and return'!$C$24</definedName>
    <definedName function="false" hidden="false" localSheetId="20" name="Volatility" vbProcedure="false">'C20 Risk and return'!$C$34</definedName>
    <definedName function="false" hidden="false" localSheetId="20" name="Vol_Balanced" vbProcedure="false">'C20 Risk and return'!$G$19</definedName>
    <definedName function="false" hidden="false" localSheetId="20" name="Vol_Balanced_Entry" vbProcedure="false">'C20 Risk and return'!$C$19</definedName>
    <definedName function="false" hidden="false" localSheetId="20" name="Vol_Cautious" vbProcedure="false">'C20 Risk and return'!$G$18</definedName>
    <definedName function="false" hidden="false" localSheetId="20" name="Vol_Cautious_Entry" vbProcedure="false">'C20 Risk and return'!$C$18</definedName>
    <definedName function="false" hidden="false" localSheetId="20" name="Vol_Growth" vbProcedure="false">'C20 Risk and return'!$G$20</definedName>
    <definedName function="false" hidden="false" localSheetId="20" name="Vol_Growth_Entry" vbProcedure="false">'C20 Risk and return'!$C$20</definedName>
    <definedName function="false" hidden="false" localSheetId="20" name="Weaker" vbProcedure="false">'C20 Risk and return'!$C$29</definedName>
    <definedName function="false" hidden="false" localSheetId="20" name="Years" vbProcedure="false">'C20 Risk and return'!$G$13</definedName>
    <definedName function="false" hidden="false" localSheetId="20" name="Years_Entry" vbProcedure="false">'C20 Risk and return'!$C$13</definedName>
    <definedName function="false" hidden="false" localSheetId="21" name="Already_Have" vbProcedure="false">'C21 Life cover'!$C$29</definedName>
    <definedName function="false" hidden="false" localSheetId="21" name="Cover_Gap" vbProcedure="false">'C21 Life cover'!$C$26</definedName>
    <definedName function="false" hidden="false" localSheetId="21" name="Debts_To_Clear" vbProcedure="false">'C21 Life cover'!$C$28</definedName>
    <definedName function="false" hidden="false" localSheetId="21" name="Existing_Cover" vbProcedure="false">'C21 Life cover'!$G$18</definedName>
    <definedName function="false" hidden="false" localSheetId="21" name="Existing_Cover_Entry" vbProcedure="false">'C21 Life cover'!$C$18</definedName>
    <definedName function="false" hidden="false" localSheetId="21" name="Income_Need" vbProcedure="false">'C21 Life cover'!$C$27</definedName>
    <definedName function="false" hidden="false" localSheetId="21" name="Income_Replacement" vbProcedure="false">'C21 Life cover'!$C$30</definedName>
    <definedName function="false" hidden="false" localSheetId="21" name="Life_Replace" vbProcedure="false">'C21 Life cover'!$G$13</definedName>
    <definedName function="false" hidden="false" localSheetId="21" name="Life_Replace_Entry" vbProcedure="false">'C21 Life cover'!$C$13</definedName>
    <definedName function="false" hidden="false" localSheetId="21" name="Mortgage_Balance" vbProcedure="false">'C21 Life cover'!$G$14</definedName>
    <definedName function="false" hidden="false" localSheetId="21" name="Mortgage_Balance_Entry" vbProcedure="false">'C21 Life cover'!$C$14</definedName>
    <definedName function="false" hidden="false" localSheetId="21" name="Mortgage_Protected" vbProcedure="false">'C21 Life cover'!$G$15</definedName>
    <definedName function="false" hidden="false" localSheetId="21" name="Mortgage_Protected_Entry" vbProcedure="false">'C21 Life cover'!$C$15</definedName>
    <definedName function="false" hidden="false" localSheetId="21" name="Need_1" vbProcedure="false">'C21 Life cover'!$C$46</definedName>
    <definedName function="false" hidden="false" localSheetId="21" name="Need_2" vbProcedure="false">'C21 Life cover'!$C$47</definedName>
    <definedName function="false" hidden="false" localSheetId="21" name="Need_3" vbProcedure="false">'C21 Life cover'!$C$48</definedName>
    <definedName function="false" hidden="false" localSheetId="21" name="Need_4" vbProcedure="false">'C21 Life cover'!$C$49</definedName>
    <definedName function="false" hidden="false" localSheetId="21" name="Need_5" vbProcedure="false">'C21 Life cover'!$C$50</definedName>
    <definedName function="false" hidden="false" localSheetId="21" name="Other_Debts" vbProcedure="false">'C21 Life cover'!$G$16</definedName>
    <definedName function="false" hidden="false" localSheetId="21" name="Other_Debts_Entry" vbProcedure="false">'C21 Life cover'!$C$16</definedName>
    <definedName function="false" hidden="false" localSheetId="21" name="Plan_Goal_Kind" vbProcedure="false">'C21 Life cover'!$C$41</definedName>
    <definedName function="false" hidden="false" localSheetId="21" name="Plan_Goal_Need" vbProcedure="false">'C21 Life cover'!$C$42</definedName>
    <definedName function="false" hidden="false" localSheetId="21" name="Savings" vbProcedure="false">'C21 Life cover'!$G$17</definedName>
    <definedName function="false" hidden="false" localSheetId="21" name="Savings_Entry" vbProcedure="false">'C21 Life cover'!$C$17</definedName>
    <definedName function="false" hidden="false" localSheetId="21" name="Statement_Check" vbProcedure="false">'C21 Life cover'!$C$23</definedName>
    <definedName function="false" hidden="false" localSheetId="21" name="Stmt_Balance" vbProcedure="false">'C21 Life cover'!$C$7</definedName>
    <definedName function="false" hidden="false" localSheetId="21" name="Stmt_Statement_Date" vbProcedure="false">'C21 Life cover'!$C$8</definedName>
    <definedName function="false" hidden="false" localSheetId="21" name="Survivor_Pension" vbProcedure="false">'C21 Life cover'!$G$19</definedName>
    <definedName function="false" hidden="false" localSheetId="21" name="Survivor_Pension_Entry" vbProcedure="false">'C21 Life cover'!$C$19</definedName>
    <definedName function="false" hidden="false" localSheetId="21" name="Used_Mortgage_Balance" vbProcedure="false">'C21 Life cover'!$C$22</definedName>
    <definedName function="false" hidden="false" localSheetId="21" name="Yearly_Income" vbProcedure="false">'C21 Life cover'!$G$11</definedName>
    <definedName function="false" hidden="false" localSheetId="21" name="Yearly_Income_Entry" vbProcedure="false">'C21 Life cover'!$C$11</definedName>
    <definedName function="false" hidden="false" localSheetId="21" name="Years_Support" vbProcedure="false">'C21 Life cover'!$G$12</definedName>
    <definedName function="false" hidden="false" localSheetId="21" name="Years_Support_Entry" vbProcedure="false">'C21 Life cover'!$C$12</definedName>
    <definedName function="false" hidden="false" localSheetId="22" name="Essential_Spending" vbProcedure="false">'C22 Income protection gap'!$G$6</definedName>
    <definedName function="false" hidden="false" localSheetId="22" name="Essential_Spending_Entry" vbProcedure="false">'C22 Income protection gap'!$C$6</definedName>
    <definedName function="false" hidden="false" localSheetId="22" name="Gross_Income" vbProcedure="false">'C22 Income protection gap'!$G$9</definedName>
    <definedName function="false" hidden="false" localSheetId="22" name="Gross_Income_Entry" vbProcedure="false">'C22 Income protection gap'!$C$9</definedName>
    <definedName function="false" hidden="false" localSheetId="22" name="Illness_Benefit" vbProcedure="false">'C22 Income protection gap'!$G$10</definedName>
    <definedName function="false" hidden="false" localSheetId="22" name="Illness_Benefit_Entry" vbProcedure="false">'C22 Income protection gap'!$C$10</definedName>
    <definedName function="false" hidden="false" localSheetId="22" name="Illness_Benefit_Month" vbProcedure="false">'C22 Income protection gap'!$C$16</definedName>
    <definedName function="false" hidden="false" localSheetId="22" name="IP_Max" vbProcedure="false">'C22 Income protection gap'!$C$18</definedName>
    <definedName function="false" hidden="false" localSheetId="22" name="IP_Needed" vbProcedure="false">'C22 Income protection gap'!$C$15</definedName>
    <definedName function="false" hidden="false" localSheetId="22" name="Monthly_Gap" vbProcedure="false">'C22 Income protection gap'!$C$14</definedName>
    <definedName function="false" hidden="false" localSheetId="22" name="Months_Coping" vbProcedure="false">'C22 Income protection gap'!$C$13</definedName>
    <definedName function="false" hidden="false" localSheetId="22" name="Need_1" vbProcedure="false">'C22 Income protection gap'!$C$33</definedName>
    <definedName function="false" hidden="false" localSheetId="22" name="Need_2" vbProcedure="false">'C22 Income protection gap'!$C$34</definedName>
    <definedName function="false" hidden="false" localSheetId="22" name="Need_3" vbProcedure="false">'C22 Income protection gap'!$C$35</definedName>
    <definedName function="false" hidden="false" localSheetId="22" name="Need_4" vbProcedure="false">'C22 Income protection gap'!$C$36</definedName>
    <definedName function="false" hidden="false" localSheetId="22" name="Need_5" vbProcedure="false">'C22 Income protection gap'!$C$37</definedName>
    <definedName function="false" hidden="false" localSheetId="22" name="Need_6" vbProcedure="false">'C22 Income protection gap'!$C$38</definedName>
    <definedName function="false" hidden="false" localSheetId="22" name="Plan_Goal_Kind" vbProcedure="false">'C22 Income protection gap'!$C$29</definedName>
    <definedName function="false" hidden="false" localSheetId="22" name="Plan_Goal_Need" vbProcedure="false">'C22 Income protection gap'!$C$30</definedName>
    <definedName function="false" hidden="false" localSheetId="22" name="Savings" vbProcedure="false">'C22 Income protection gap'!$G$8</definedName>
    <definedName function="false" hidden="false" localSheetId="22" name="Savings_Entry" vbProcedure="false">'C22 Income protection gap'!$C$8</definedName>
    <definedName function="false" hidden="false" localSheetId="22" name="Savings_Months" vbProcedure="false">'C22 Income protection gap'!$C$17</definedName>
    <definedName function="false" hidden="false" localSheetId="22" name="Sick_Pay_Months" vbProcedure="false">'C22 Income protection gap'!$G$7</definedName>
    <definedName function="false" hidden="false" localSheetId="22" name="Sick_Pay_Months_Entry" vbProcedure="false">'C22 Income protection gap'!$C$7</definedName>
    <definedName function="false" hidden="false" localSheetId="23" name="Actual_Repayment" vbProcedure="false">'C23 Mortgage protection'!$G$17</definedName>
    <definedName function="false" hidden="false" localSheetId="23" name="Actual_Repayment_Entry" vbProcedure="false">'C23 Mortgage protection'!$C$17</definedName>
    <definedName function="false" hidden="false" localSheetId="23" name="Balance_Year_1" vbProcedure="false">'C23 Mortgage protection'!$C$29</definedName>
    <definedName function="false" hidden="false" localSheetId="23" name="Balance_Year_2" vbProcedure="false">'C23 Mortgage protection'!$C$30</definedName>
    <definedName function="false" hidden="false" localSheetId="23" name="Balance_Year_3" vbProcedure="false">'C23 Mortgage protection'!$C$31</definedName>
    <definedName function="false" hidden="false" localSheetId="23" name="Cover_Today" vbProcedure="false">'C23 Mortgage protection'!$C$27</definedName>
    <definedName function="false" hidden="false" localSheetId="23" name="Interest_Rate" vbProcedure="false">'C23 Mortgage protection'!$G$15</definedName>
    <definedName function="false" hidden="false" localSheetId="23" name="Interest_Rate_Entry" vbProcedure="false">'C23 Mortgage protection'!$C$15</definedName>
    <definedName function="false" hidden="false" localSheetId="23" name="Monthly_Rate" vbProcedure="false">'C23 Mortgage protection'!$C$32</definedName>
    <definedName function="false" hidden="false" localSheetId="23" name="Mortgage_Balance" vbProcedure="false">'C23 Mortgage protection'!$G$14</definedName>
    <definedName function="false" hidden="false" localSheetId="23" name="Mortgage_Balance_Entry" vbProcedure="false">'C23 Mortgage protection'!$C$14</definedName>
    <definedName function="false" hidden="false" localSheetId="23" name="Need_1" vbProcedure="false">'C23 Mortgage protection'!$C$44</definedName>
    <definedName function="false" hidden="false" localSheetId="23" name="Need_2" vbProcedure="false">'C23 Mortgage protection'!$C$45</definedName>
    <definedName function="false" hidden="false" localSheetId="23" name="Need_3" vbProcedure="false">'C23 Mortgage protection'!$C$46</definedName>
    <definedName function="false" hidden="false" localSheetId="23" name="Plan_Goal_Kind" vbProcedure="false">'C23 Mortgage protection'!$C$41</definedName>
    <definedName function="false" hidden="false" localSheetId="23" name="Repayment" vbProcedure="false">'C23 Mortgage protection'!$C$33</definedName>
    <definedName function="false" hidden="false" localSheetId="23" name="Statement_Check" vbProcedure="false">'C23 Mortgage protection'!$C$24</definedName>
    <definedName function="false" hidden="false" localSheetId="23" name="Stmt_Balance" vbProcedure="false">'C23 Mortgage protection'!$C$7</definedName>
    <definedName function="false" hidden="false" localSheetId="23" name="Stmt_Rate" vbProcedure="false">'C23 Mortgage protection'!$C$8</definedName>
    <definedName function="false" hidden="false" localSheetId="23" name="Stmt_Repayment" vbProcedure="false">'C23 Mortgage protection'!$C$10</definedName>
    <definedName function="false" hidden="false" localSheetId="23" name="Stmt_Statement_Date" vbProcedure="false">'C23 Mortgage protection'!$C$11</definedName>
    <definedName function="false" hidden="false" localSheetId="23" name="Stmt_Term" vbProcedure="false">'C23 Mortgage protection'!$C$9</definedName>
    <definedName function="false" hidden="false" localSheetId="23" name="Used_Actual_Repayment" vbProcedure="false">'C23 Mortgage protection'!$C$23</definedName>
    <definedName function="false" hidden="false" localSheetId="23" name="Used_Interest_Rate" vbProcedure="false">'C23 Mortgage protection'!$C$21</definedName>
    <definedName function="false" hidden="false" localSheetId="23" name="Used_Mortgage_Balance" vbProcedure="false">'C23 Mortgage protection'!$C$20</definedName>
    <definedName function="false" hidden="false" localSheetId="23" name="Used_Years_Left" vbProcedure="false">'C23 Mortgage protection'!$C$22</definedName>
    <definedName function="false" hidden="false" localSheetId="23" name="Warning" vbProcedure="false">'C23 Mortgage protection'!$C$28</definedName>
    <definedName function="false" hidden="false" localSheetId="23" name="Years_Left" vbProcedure="false">'C23 Mortgage protection'!$G$16</definedName>
    <definedName function="false" hidden="false" localSheetId="23" name="Years_Left_Entry" vbProcedure="false">'C23 Mortgage protection'!$C$16</definedName>
    <definedName function="false" hidden="false" localSheetId="24" name="Investments" vbProcedure="false">'C24 Net worth'!$G$14</definedName>
    <definedName function="false" hidden="false" localSheetId="24" name="Investments_Entry" vbProcedure="false">'C24 Net worth'!$C$14</definedName>
    <definedName function="false" hidden="false" localSheetId="24" name="Mortgage" vbProcedure="false">'C24 Net worth'!$G$17</definedName>
    <definedName function="false" hidden="false" localSheetId="24" name="Mortgage_Entry" vbProcedure="false">'C24 Net worth'!$C$17</definedName>
    <definedName function="false" hidden="false" localSheetId="24" name="Need_1" vbProcedure="false">'C24 Net worth'!$C$40</definedName>
    <definedName function="false" hidden="false" localSheetId="24" name="Need_2" vbProcedure="false">'C24 Net worth'!$C$41</definedName>
    <definedName function="false" hidden="false" localSheetId="24" name="Need_3" vbProcedure="false">'C24 Net worth'!$C$42</definedName>
    <definedName function="false" hidden="false" localSheetId="24" name="Net_Worth" vbProcedure="false">'C24 Net worth'!$C$27</definedName>
    <definedName function="false" hidden="false" localSheetId="24" name="Other_Loans" vbProcedure="false">'C24 Net worth'!$G$18</definedName>
    <definedName function="false" hidden="false" localSheetId="24" name="Other_Loans_Entry" vbProcedure="false">'C24 Net worth'!$C$18</definedName>
    <definedName function="false" hidden="false" localSheetId="24" name="Pensions" vbProcedure="false">'C24 Net worth'!$G$15</definedName>
    <definedName function="false" hidden="false" localSheetId="24" name="Pensions_Entry" vbProcedure="false">'C24 Net worth'!$C$15</definedName>
    <definedName function="false" hidden="false" localSheetId="24" name="Plan_Goal_Kind" vbProcedure="false">'C24 Net worth'!$C$37</definedName>
    <definedName function="false" hidden="false" localSheetId="24" name="Property" vbProcedure="false">'C24 Net worth'!$G$16</definedName>
    <definedName function="false" hidden="false" localSheetId="24" name="Property_Entry" vbProcedure="false">'C24 Net worth'!$C$16</definedName>
    <definedName function="false" hidden="false" localSheetId="24" name="Savings" vbProcedure="false">'C24 Net worth'!$G$13</definedName>
    <definedName function="false" hidden="false" localSheetId="24" name="Savings_Entry" vbProcedure="false">'C24 Net worth'!$C$13</definedName>
    <definedName function="false" hidden="false" localSheetId="24" name="Stmt_Investment_Value" vbProcedure="false">'C24 Net worth'!$C$10</definedName>
    <definedName function="false" hidden="false" localSheetId="24" name="Stmt_Mortgage_Balance" vbProcedure="false">'C24 Net worth'!$C$7</definedName>
    <definedName function="false" hidden="false" localSheetId="24" name="Stmt_Pension_Value" vbProcedure="false">'C24 Net worth'!$C$9</definedName>
    <definedName function="false" hidden="false" localSheetId="24" name="Stmt_Property_Value" vbProcedure="false">'C24 Net worth'!$C$8</definedName>
    <definedName function="false" hidden="false" localSheetId="24" name="Used_Investments" vbProcedure="false">'C24 Net worth'!$C$24</definedName>
    <definedName function="false" hidden="false" localSheetId="24" name="Used_Mortgage" vbProcedure="false">'C24 Net worth'!$C$21</definedName>
    <definedName function="false" hidden="false" localSheetId="24" name="Used_Pensions" vbProcedure="false">'C24 Net worth'!$C$23</definedName>
    <definedName function="false" hidden="false" localSheetId="24" name="Used_Property" vbProcedure="false">'C24 Net worth'!$C$22</definedName>
    <definedName function="false" hidden="false" localSheetId="24" name="You_Owe" vbProcedure="false">'C24 Net worth'!$C$29</definedName>
    <definedName function="false" hidden="false" localSheetId="24" name="You_Own" vbProcedure="false">'C24 Net worth'!$C$28</definedName>
    <definedName function="false" hidden="false" localSheetId="25" name="Debt_Repayments" vbProcedure="false">'C25 Monthly surplus'!$G$9</definedName>
    <definedName function="false" hidden="false" localSheetId="25" name="Debt_Repayments_Entry" vbProcedure="false">'C25 Monthly surplus'!$C$9</definedName>
    <definedName function="false" hidden="false" localSheetId="25" name="Essentials" vbProcedure="false">'C25 Monthly surplus'!$G$7</definedName>
    <definedName function="false" hidden="false" localSheetId="25" name="Essentials_Entry" vbProcedure="false">'C25 Monthly surplus'!$C$7</definedName>
    <definedName function="false" hidden="false" localSheetId="25" name="Going_Out" vbProcedure="false">'C25 Monthly surplus'!$C$16</definedName>
    <definedName function="false" hidden="false" localSheetId="25" name="Lifestyle" vbProcedure="false">'C25 Monthly surplus'!$G$8</definedName>
    <definedName function="false" hidden="false" localSheetId="25" name="Lifestyle_Entry" vbProcedure="false">'C25 Monthly surplus'!$C$8</definedName>
    <definedName function="false" hidden="false" localSheetId="25" name="Need_1" vbProcedure="false">'C25 Monthly surplus'!$C$29</definedName>
    <definedName function="false" hidden="false" localSheetId="25" name="Need_2" vbProcedure="false">'C25 Monthly surplus'!$C$30</definedName>
    <definedName function="false" hidden="false" localSheetId="25" name="Plan_Goal_Amount" vbProcedure="false">'C25 Monthly surplus'!$C$25</definedName>
    <definedName function="false" hidden="false" localSheetId="25" name="Plan_Goal_Kind" vbProcedure="false">'C25 Monthly surplus'!$C$24</definedName>
    <definedName function="false" hidden="false" localSheetId="25" name="Plan_Goal_Years" vbProcedure="false">'C25 Monthly surplus'!$C$26</definedName>
    <definedName function="false" hidden="false" localSheetId="25" name="Surplus" vbProcedure="false">'C25 Monthly surplus'!$C$15</definedName>
    <definedName function="false" hidden="false" localSheetId="25" name="Take_Home" vbProcedure="false">'C25 Monthly surplus'!$G$6</definedName>
    <definedName function="false" hidden="false" localSheetId="25" name="Take_Home_Entry" vbProcedure="false">'C25 Monthly surplus'!$C$6</definedName>
    <definedName function="false" hidden="false" localSheetId="25" name="Used_Take_Home" vbProcedure="false">'C25 Monthly surplus'!$C$12</definedName>
    <definedName function="false" hidden="false" localSheetId="26" name="Budget_Needs" vbProcedure="false">'C26 Budget 50 30 20'!$G$7</definedName>
    <definedName function="false" hidden="false" localSheetId="26" name="Budget_Needs_Entry" vbProcedure="false">'C26 Budget 50 30 20'!$C$7</definedName>
    <definedName function="false" hidden="false" localSheetId="26" name="Budget_Save" vbProcedure="false">'C26 Budget 50 30 20'!$G$9</definedName>
    <definedName function="false" hidden="false" localSheetId="26" name="Budget_Save_Entry" vbProcedure="false">'C26 Budget 50 30 20'!$C$9</definedName>
    <definedName function="false" hidden="false" localSheetId="26" name="Budget_Wants" vbProcedure="false">'C26 Budget 50 30 20'!$G$8</definedName>
    <definedName function="false" hidden="false" localSheetId="26" name="Budget_Wants_Entry" vbProcedure="false">'C26 Budget 50 30 20'!$C$8</definedName>
    <definedName function="false" hidden="false" localSheetId="26" name="Needs" vbProcedure="false">'C26 Budget 50 30 20'!$C$17</definedName>
    <definedName function="false" hidden="false" localSheetId="26" name="Need_1" vbProcedure="false">'C26 Budget 50 30 20'!$C$29</definedName>
    <definedName function="false" hidden="false" localSheetId="26" name="Need_2" vbProcedure="false">'C26 Budget 50 30 20'!$C$30</definedName>
    <definedName function="false" hidden="false" localSheetId="26" name="Need_3" vbProcedure="false">'C26 Budget 50 30 20'!$C$31</definedName>
    <definedName function="false" hidden="false" localSheetId="26" name="Need_4" vbProcedure="false">'C26 Budget 50 30 20'!$C$32</definedName>
    <definedName function="false" hidden="false" localSheetId="26" name="Plan_Goal_Kind" vbProcedure="false">'C26 Budget 50 30 20'!$C$26</definedName>
    <definedName function="false" hidden="false" localSheetId="26" name="Save" vbProcedure="false">'C26 Budget 50 30 20'!$C$16</definedName>
    <definedName function="false" hidden="false" localSheetId="26" name="Split_Check" vbProcedure="false">'C26 Budget 50 30 20'!$C$15</definedName>
    <definedName function="false" hidden="false" localSheetId="26" name="Take_Home" vbProcedure="false">'C26 Budget 50 30 20'!$G$6</definedName>
    <definedName function="false" hidden="false" localSheetId="26" name="Take_Home_Entry" vbProcedure="false">'C26 Budget 50 30 20'!$C$6</definedName>
    <definedName function="false" hidden="false" localSheetId="26" name="Used_Take_Home" vbProcedure="false">'C26 Budget 50 30 20'!$C$12</definedName>
    <definedName function="false" hidden="false" localSheetId="26" name="Wants" vbProcedure="false">'C26 Budget 50 30 20'!$C$18</definedName>
    <definedName function="false" hidden="false" localSheetId="27" name="APR" vbProcedure="false">'C27 Debt repayment'!$G$7</definedName>
    <definedName function="false" hidden="false" localSheetId="27" name="APR_Entry" vbProcedure="false">'C27 Debt repayment'!$C$7</definedName>
    <definedName function="false" hidden="false" localSheetId="27" name="Balance" vbProcedure="false">'C27 Debt repayment'!$G$6</definedName>
    <definedName function="false" hidden="false" localSheetId="27" name="Balance_Entry" vbProcedure="false">'C27 Debt repayment'!$C$6</definedName>
    <definedName function="false" hidden="false" localSheetId="27" name="Extra_Payment" vbProcedure="false">'C27 Debt repayment'!$G$9</definedName>
    <definedName function="false" hidden="false" localSheetId="27" name="Extra_Payment_Entry" vbProcedure="false">'C27 Debt repayment'!$C$9</definedName>
    <definedName function="false" hidden="false" localSheetId="27" name="Final_Payment" vbProcedure="false">'C27 Debt repayment'!$C$16</definedName>
    <definedName function="false" hidden="false" localSheetId="27" name="Monthly_Payment" vbProcedure="false">'C27 Debt repayment'!$G$8</definedName>
    <definedName function="false" hidden="false" localSheetId="27" name="Monthly_Payment_Entry" vbProcedure="false">'C27 Debt repayment'!$C$8</definedName>
    <definedName function="false" hidden="false" localSheetId="27" name="Monthly_Rate" vbProcedure="false">'C27 Debt repayment'!$C$14</definedName>
    <definedName function="false" hidden="false" localSheetId="27" name="Months_To_Clear" vbProcedure="false">'C27 Debt repayment'!$C$12</definedName>
    <definedName function="false" hidden="false" localSheetId="27" name="Need_1" vbProcedure="false">'C27 Debt repayment'!$C$32</definedName>
    <definedName function="false" hidden="false" localSheetId="27" name="Need_2" vbProcedure="false">'C27 Debt repayment'!$C$33</definedName>
    <definedName function="false" hidden="false" localSheetId="27" name="Need_3" vbProcedure="false">'C27 Debt repayment'!$C$34</definedName>
    <definedName function="false" hidden="false" localSheetId="27" name="Payment" vbProcedure="false">'C27 Debt repayment'!$C$15</definedName>
    <definedName function="false" hidden="false" localSheetId="27" name="Plan_Goal_Kind" vbProcedure="false">'C27 Debt repayment'!$C$28</definedName>
    <definedName function="false" hidden="false" localSheetId="27" name="Total_Interest" vbProcedure="false">'C27 Debt repayment'!$C$13</definedName>
    <definedName function="false" hidden="false" localSheetId="28" name="APR" vbProcedure="false">'C28 Loan repayment'!$G$7</definedName>
    <definedName function="false" hidden="false" localSheetId="28" name="APR_Entry" vbProcedure="false">'C28 Loan repayment'!$C$7</definedName>
    <definedName function="false" hidden="false" localSheetId="28" name="Loan_Amount" vbProcedure="false">'C28 Loan repayment'!$G$6</definedName>
    <definedName function="false" hidden="false" localSheetId="28" name="Loan_Amount_Entry" vbProcedure="false">'C28 Loan repayment'!$C$6</definedName>
    <definedName function="false" hidden="false" localSheetId="28" name="Monthly_Rate" vbProcedure="false">'C28 Loan repayment'!$C$14</definedName>
    <definedName function="false" hidden="false" localSheetId="28" name="Monthly_Repayment" vbProcedure="false">'C28 Loan repayment'!$C$11</definedName>
    <definedName function="false" hidden="false" localSheetId="28" name="Need_1" vbProcedure="false">'C28 Loan repayment'!$C$26</definedName>
    <definedName function="false" hidden="false" localSheetId="28" name="Need_2" vbProcedure="false">'C28 Loan repayment'!$C$27</definedName>
    <definedName function="false" hidden="false" localSheetId="28" name="Plan_Goal_Kind" vbProcedure="false">'C28 Loan repayment'!$C$23</definedName>
    <definedName function="false" hidden="false" localSheetId="28" name="Total_Interest" vbProcedure="false">'C28 Loan repayment'!$C$12</definedName>
    <definedName function="false" hidden="false" localSheetId="28" name="Total_Repaid" vbProcedure="false">'C28 Loan repayment'!$C$13</definedName>
    <definedName function="false" hidden="false" localSheetId="28" name="Years" vbProcedure="false">'C28 Loan repayment'!$G$8</definedName>
    <definedName function="false" hidden="false" localSheetId="28" name="Years_Entry" vbProcedure="false">'C28 Loan repayment'!$C$8</definedName>
  </definedNames>
  <calcPr calcMode="auto" fullCalcOnLoad="1"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income. Example only: €60,000.</t>
        </r>
      </text>
    </comment>
    <comment ref="C7" authorId="0">
      <text>
        <r>
          <rPr>
            <sz val="10"/>
            <rFont val="Arial"/>
            <family val="2"/>
          </rPr>
          <t xml:space="preserve">Your own figure. In the app it is pre-filled from Your finances: partner's income. Example only: €0.</t>
        </r>
      </text>
    </comment>
    <comment ref="C8" authorId="0">
      <text>
        <r>
          <rPr>
            <sz val="10"/>
            <rFont val="Arial"/>
            <family val="2"/>
          </rPr>
          <t xml:space="preserve">Your own figure. In the app it is pre-filled from Plan: home goal's amount saved. Example only: €25,000.</t>
        </r>
      </text>
    </comment>
    <comment ref="C9" authorId="0">
      <text>
        <r>
          <rPr>
            <sz val="10"/>
            <rFont val="Arial"/>
            <family val="2"/>
          </rPr>
          <t xml:space="preserve">Your own figure. In the app it is pre-filled from Your finances: home status (owner = No). Example only: Yes.</t>
        </r>
      </text>
    </comment>
    <comment ref="C10"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1" authorId="0">
      <text>
        <r>
          <rPr>
            <sz val="10"/>
            <rFont val="Arial"/>
            <family val="2"/>
          </rPr>
          <t xml:space="preserve">Your own figure. Example only: 30.</t>
        </r>
      </text>
    </comment>
    <comment ref="C12" authorId="0">
      <text>
        <r>
          <rPr>
            <sz val="10"/>
            <rFont val="Arial"/>
            <family val="2"/>
          </rPr>
          <t xml:space="preserve">Optional: your own legal and survey fees. No published figure, so no suggestion unless a partner sets one. Leave blank to count €0.</t>
        </r>
      </text>
    </comment>
    <comment ref="C13" authorId="0">
      <text>
        <r>
          <rPr>
            <sz val="10"/>
            <rFont val="Arial"/>
            <family val="2"/>
          </rPr>
          <t xml:space="preserve">Your own figure. Example only: 3.</t>
        </r>
      </text>
    </comment>
    <comment ref="C14" authorId="0">
      <text>
        <r>
          <rPr>
            <sz val="10"/>
            <rFont val="Arial"/>
            <family val="2"/>
          </rPr>
          <t xml:space="preserve">Optional: leave blank for none. Example only: €0.</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mortgage statement: balance. Example only: €300,000.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30.</t>
        </r>
      </text>
    </comment>
    <comment ref="C17" authorId="0">
      <text>
        <r>
          <rPr>
            <sz val="10"/>
            <rFont val="Arial"/>
            <family val="2"/>
          </rPr>
          <t xml:space="preserve">Optional: leave blank for none. Example only: €0.</t>
        </r>
      </text>
    </comment>
    <comment ref="C18" authorId="0">
      <text>
        <r>
          <rPr>
            <sz val="10"/>
            <rFont val="Arial"/>
            <family val="2"/>
          </rPr>
          <t xml:space="preserve">Your own figure. Example only: 3.</t>
        </r>
      </text>
    </comment>
    <comment ref="C19" authorId="0">
      <text>
        <r>
          <rPr>
            <sz val="10"/>
            <rFont val="Arial"/>
            <family val="2"/>
          </rPr>
          <t xml:space="preserve">Optional: leave blank for none. Example only: 0%.</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€350,000.</t>
        </r>
      </text>
    </comment>
    <comment ref="C7" authorId="0">
      <text>
        <r>
          <rPr>
            <sz val="10"/>
            <rFont val="Arial"/>
            <family val="2"/>
          </rPr>
          <t xml:space="preserve">Your own figure. Example only: 10%.</t>
        </r>
      </text>
    </comment>
    <comment ref="C8" authorId="0">
      <text>
        <r>
          <rPr>
            <sz val="10"/>
            <rFont val="Arial"/>
            <family val="2"/>
          </rPr>
          <t xml:space="preserve">Optional: your own legal and survey fees. No published figure, so no suggestion unless a partner sets one. Leave blank to count €0.</t>
        </r>
      </text>
    </comment>
    <comment ref="C9" authorId="0">
      <text>
        <r>
          <rPr>
            <sz val="10"/>
            <rFont val="Arial"/>
            <family val="2"/>
          </rPr>
          <t xml:space="preserve">Your own figure. In the app it is pre-filled from Plan: home goal's amount saved. Example only: €12,000.</t>
        </r>
      </text>
    </comment>
    <comment ref="C10" authorId="0">
      <text>
        <r>
          <rPr>
            <sz val="10"/>
            <rFont val="Arial"/>
            <family val="2"/>
          </rPr>
          <t xml:space="preserve">Your own figure. Example only: €800.</t>
        </r>
      </text>
    </comment>
    <comment ref="C11" authorId="0">
      <text>
        <r>
          <rPr>
            <sz val="10"/>
            <rFont val="Arial"/>
            <family val="2"/>
          </rPr>
          <t xml:space="preserve">Optional: leave blank for none. Example only: €0.</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€200.</t>
        </r>
      </text>
    </comment>
    <comment ref="C18" authorId="0">
      <text>
        <r>
          <rPr>
            <sz val="10"/>
            <rFont val="Arial"/>
            <family val="2"/>
          </rPr>
          <t xml:space="preserve">Optional: leave blank for none. Example only: €0.</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€300,000.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1%.</t>
        </r>
      </text>
    </comment>
    <comment ref="C18" authorId="0">
      <text>
        <r>
          <rPr>
            <sz val="10"/>
            <rFont val="Arial"/>
            <family val="2"/>
          </rPr>
          <t xml:space="preserve">Optional: leave blank for none. Example only: €0.</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The statement: "Statement date" / "Statement period to" / "Valuation date" / "As at". Blank = not on the statement / no statement.</t>
        </r>
      </text>
    </comment>
    <comment ref="C13" authorId="0">
      <text>
        <r>
          <rPr>
            <sz val="10"/>
            <rFont val="Arial"/>
            <family val="2"/>
          </rPr>
          <t xml:space="preserve">Your own figure. In the app it is pre-filled from Your finances / statement: balance. Example only: €300,000.</t>
        </r>
      </text>
    </comment>
    <comment ref="C14"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5" authorId="0">
      <text>
        <r>
          <rPr>
            <sz val="10"/>
            <rFont val="Arial"/>
            <family val="2"/>
          </rPr>
          <t xml:space="preserve">Your own figure. In the app it is pre-filled from Years left (25 if not given). Example only: 25.</t>
        </r>
      </text>
    </comment>
    <comment ref="C16" authorId="0">
      <text>
        <r>
          <rPr>
            <sz val="10"/>
            <rFont val="Arial"/>
            <family val="2"/>
          </rPr>
          <t xml:space="preserve">Your own figure. Example only: 35.</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€1,800.</t>
        </r>
      </text>
    </comment>
    <comment ref="C7" authorId="0">
      <text>
        <r>
          <rPr>
            <sz val="10"/>
            <rFont val="Arial"/>
            <family val="2"/>
          </rPr>
          <t xml:space="preserve">Your own figure. Example only: €350,000.</t>
        </r>
      </text>
    </comment>
    <comment ref="C8" authorId="0">
      <text>
        <r>
          <rPr>
            <sz val="10"/>
            <rFont val="Arial"/>
            <family val="2"/>
          </rPr>
          <t xml:space="preserve">Your own figure. Example only: €35,000.</t>
        </r>
      </text>
    </comment>
    <comment ref="C9"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0" authorId="0">
      <text>
        <r>
          <rPr>
            <sz val="10"/>
            <rFont val="Arial"/>
            <family val="2"/>
          </rPr>
          <t xml:space="preserve">Your own figure. Example only: 30.</t>
        </r>
      </text>
    </comment>
    <comment ref="C11" authorId="0">
      <text>
        <r>
          <rPr>
            <sz val="10"/>
            <rFont val="Arial"/>
            <family val="2"/>
          </rPr>
          <t xml:space="preserve">Your own figure. Example only: 10.</t>
        </r>
      </text>
    </comment>
    <comment ref="C12" authorId="0">
      <text>
        <r>
          <rPr>
            <sz val="10"/>
            <rFont val="Arial"/>
            <family val="2"/>
          </rPr>
          <t xml:space="preserve">Generally the standard is 2% a year, in line with long-run inflation (house prices can fall as well as rise). Choose what you want to use. Example only: 2%.</t>
        </r>
      </text>
    </comment>
    <comment ref="C13" authorId="0">
      <text>
        <r>
          <rPr>
            <sz val="10"/>
            <rFont val="Arial"/>
            <family val="2"/>
          </rPr>
          <t xml:space="preserve">Generally the standard is 3% a year (Irish rents have risen faster than prices in recent years). Choose what you want to use. Example only: 3%.</t>
        </r>
      </text>
    </comment>
    <comment ref="C14" authorId="0">
      <text>
        <r>
          <rPr>
            <sz val="10"/>
            <rFont val="Arial"/>
            <family val="2"/>
          </rPr>
          <t xml:space="preserve">Generally the standard is 1% of the home's value a year for repairs, insurance and maintenance. Choose what you want to use. Example only: 1%.</t>
        </r>
      </text>
    </comment>
    <comment ref="C15" authorId="0">
      <text>
        <r>
          <rPr>
            <sz val="10"/>
            <rFont val="Arial"/>
            <family val="2"/>
          </rPr>
          <t xml:space="preserve">Optional: your own legal and survey fees. No published figure, so no suggestion unless a partner sets one. Leave blank to count €0.</t>
        </r>
      </text>
    </comment>
    <comment ref="C16" authorId="0">
      <text>
        <r>
          <rPr>
            <sz val="10"/>
            <rFont val="Arial"/>
            <family val="2"/>
          </rPr>
          <t xml:space="preserve">Optional: what your deposit could earn after DIRT if you rent. A suggested rate and its source are shown beside this cell (Partner rates, Assumptions sheet). Leave blank for 0%.</t>
        </r>
      </text>
    </comment>
    <comment ref="C17" authorId="0">
      <text>
        <r>
          <rPr>
            <sz val="10"/>
            <rFont val="Arial"/>
            <family val="2"/>
          </rPr>
          <t xml:space="preserve">Your own figure. Example only: 3.</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€15,000.</t>
        </r>
      </text>
    </comment>
    <comment ref="C11" authorId="0">
      <text>
        <r>
          <rPr>
            <sz val="10"/>
            <rFont val="Arial"/>
            <family val="2"/>
          </rPr>
          <t xml:space="preserve">Your own figure. Example only: 3.</t>
        </r>
      </text>
    </comment>
    <comment ref="C12" authorId="0">
      <text>
        <r>
          <rPr>
            <sz val="10"/>
            <rFont val="Arial"/>
            <family val="2"/>
          </rPr>
          <t xml:space="preserve">Your own figure. Example only: €2,000.</t>
        </r>
      </text>
    </comment>
    <comment ref="C13" authorId="0">
      <text>
        <r>
          <rPr>
            <sz val="10"/>
            <rFont val="Arial"/>
            <family val="2"/>
          </rPr>
          <t xml:space="preserve">Generally the standard is 1% a year after DIRT for cash savings (Irish fixed-term deposits about 2% before tax in mid-2026). Choose what you want to use. Example only: 1%.</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€5,000.</t>
        </r>
      </text>
    </comment>
    <comment ref="C11" authorId="0">
      <text>
        <r>
          <rPr>
            <sz val="10"/>
            <rFont val="Arial"/>
            <family val="2"/>
          </rPr>
          <t xml:space="preserve">Your own figure. Example only: €200.</t>
        </r>
      </text>
    </comment>
    <comment ref="C12" authorId="0">
      <text>
        <r>
          <rPr>
            <sz val="10"/>
            <rFont val="Arial"/>
            <family val="2"/>
          </rPr>
          <t xml:space="preserve">Generally the standard is 5% a year before charges and tax for a mixed fund (LifeMap standard, not a forecast). Choose what you want to use. Example only: 5%.</t>
        </r>
      </text>
    </comment>
    <comment ref="C13" authorId="0">
      <text>
        <r>
          <rPr>
            <sz val="10"/>
            <rFont val="Arial"/>
            <family val="2"/>
          </rPr>
          <t xml:space="preserve">Your own figure. Example only: 20.</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Your finances / statement: investments. Example only: €10,000.</t>
        </r>
      </text>
    </comment>
    <comment ref="C17" authorId="0">
      <text>
        <r>
          <rPr>
            <sz val="10"/>
            <rFont val="Arial"/>
            <family val="2"/>
          </rPr>
          <t xml:space="preserve">Generally the standard is 5% a year before charges and tax for a mixed fund (LifeMap standard, not a forecast). Choose what you want to use. Example only: 5%.</t>
        </r>
      </text>
    </comment>
    <comment ref="C18" authorId="0">
      <text>
        <r>
          <rPr>
            <sz val="10"/>
            <rFont val="Arial"/>
            <family val="2"/>
          </rPr>
          <t xml:space="preserve">Your own figure. Example only: 15.</t>
        </r>
      </text>
    </comment>
    <comment ref="C19" authorId="0">
      <text>
        <r>
          <rPr>
            <sz val="10"/>
            <rFont val="Arial"/>
            <family val="2"/>
          </rPr>
          <t xml:space="preserve">Your own fund charges (your statement shows them). A suggested figure and its source are shown beside this cell (Partner rates, Assumptions sheet). CCPC: usually 0.5%–2% a year.</t>
        </r>
      </text>
    </comment>
    <comment ref="C20" authorId="0">
      <text>
        <r>
          <rPr>
            <sz val="10"/>
            <rFont val="Arial"/>
            <family val="2"/>
          </rPr>
          <t xml:space="preserve">Generally the standard is 5 years (an illustration of the cost of waiting). Choose what you want to use. Example only: 5.</t>
        </r>
      </text>
    </comment>
    <comment ref="C21" authorId="0">
      <text>
        <r>
          <rPr>
            <sz val="10"/>
            <rFont val="Arial"/>
            <family val="2"/>
          </rPr>
          <t xml:space="preserve">Optional: leave blank for none. Example only: No.</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Generally the standard is 6 months of essential spending (3 if you have two secure incomes). Choose what you want to use. Example only: 6.</t>
        </r>
      </text>
    </comment>
    <comment ref="C8" authorId="0">
      <text>
        <r>
          <rPr>
            <sz val="10"/>
            <rFont val="Arial"/>
            <family val="2"/>
          </rPr>
          <t xml:space="preserve">Your own figure. Example only: 2.</t>
        </r>
      </text>
    </comment>
    <comment ref="C9" authorId="0">
      <text>
        <r>
          <rPr>
            <sz val="10"/>
            <rFont val="Arial"/>
            <family val="2"/>
          </rPr>
          <t xml:space="preserve">Your own figure. In the app it is pre-filled from Your finances: cash. Example only: €6,250.</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"Current fund value" / "Value of your fund" / "Transfer value" / "Total fund value". Blank = not on the statement / no statement.</t>
        </r>
      </text>
    </comment>
    <comment ref="C12" authorId="0">
      <text>
        <r>
          <rPr>
            <sz val="10"/>
            <rFont val="Arial"/>
            <family val="2"/>
          </rPr>
          <t xml:space="preserve">Filled by the document reader from: Pension statement: "Your contributions" / "Member contributions" / "Employee contributions" (convert yearly to monthly). Blank = not on the statement / no statement.</t>
        </r>
      </text>
    </comment>
    <comment ref="C13" authorId="0">
      <text>
        <r>
          <rPr>
            <sz val="10"/>
            <rFont val="Arial"/>
            <family val="2"/>
          </rPr>
          <t xml:space="preserve">Filled by the document reader from: Pension statement: "Employer contributions" / "Company contributions". Blank = not on the statement / no statement.</t>
        </r>
      </text>
    </comment>
    <comment ref="C14" authorId="0">
      <text>
        <r>
          <rPr>
            <sz val="10"/>
            <rFont val="Arial"/>
            <family val="2"/>
          </rPr>
          <t xml:space="preserve">Filled by the document reader from: Pension statement: "Normal retirement age" / "Normal retirement date" (convert the date to an age). Blank = not on the statement / no statement.</t>
        </r>
      </text>
    </comment>
    <comment ref="C15"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6" authorId="0">
      <text>
        <r>
          <rPr>
            <sz val="10"/>
            <rFont val="Arial"/>
            <family val="2"/>
          </rPr>
          <t xml:space="preserve">Filled by the document reader from: Pension statement / SRP: wording near the projection such as "in today's terms" / "in today's money" / "adjusted for inflation" (Yes) or "in money terms at retirement" (No). Blank = not on the statement / no statement.</t>
        </r>
      </text>
    </comment>
    <comment ref="C17" authorId="0">
      <text>
        <r>
          <rPr>
            <sz val="10"/>
            <rFont val="Arial"/>
            <family val="2"/>
          </rPr>
          <t xml:space="preserve">Filled by the document reader from: Pension statement: "Annual management charge" / "Total annual charges" / "Fund charges". Blank = not on the statement / no statement.</t>
        </r>
      </text>
    </comment>
    <comment ref="C18" authorId="0">
      <text>
        <r>
          <rPr>
            <sz val="10"/>
            <rFont val="Arial"/>
            <family val="2"/>
          </rPr>
          <t xml:space="preserve">Filled by the document reader from: The statement: "Statement date" / "Statement period to" / "Valuation date" / "As at". Blank = not on the statement / no statement.</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You can usually draw a pension from 60 (some schemes from 50); State Pension is paid from 66. Choose your own: there is no default. Example only: 65.</t>
        </r>
      </text>
    </comment>
    <comment ref="C23" authorId="0">
      <text>
        <r>
          <rPr>
            <sz val="10"/>
            <rFont val="Arial"/>
            <family val="2"/>
          </rPr>
          <t xml:space="preserve">Your own figure. In the app it is pre-filled from Your finances / pension statement. Example only: €60,000.</t>
        </r>
      </text>
    </comment>
    <comment ref="C24" authorId="0">
      <text>
        <r>
          <rPr>
            <sz val="10"/>
            <rFont val="Arial"/>
            <family val="2"/>
          </rPr>
          <t xml:space="preserve">Your own figure. In the app it is pre-filled from Your finances / pension statement. Example only: €500.</t>
        </r>
      </text>
    </comment>
    <comment ref="C25" authorId="0">
      <text>
        <r>
          <rPr>
            <sz val="10"/>
            <rFont val="Arial"/>
            <family val="2"/>
          </rPr>
          <t xml:space="preserve">Your own figure. In the app it is pre-filled from Plan: retirement goal income. Example only: €40,000.</t>
        </r>
      </text>
    </comment>
    <comment ref="C26" authorId="0">
      <text>
        <r>
          <rPr>
            <sz val="10"/>
            <rFont val="Arial"/>
            <family val="2"/>
          </rPr>
          <t xml:space="preserve">Usually between €0 and €15,564 a year: the full State Pension is €299.30 a week (DSP 2026), partial rates are lower and depend on your PRSI record. In the app it is pre-filled from State Pension €15,563.60 × your entitlement (full 1, partly 0.6, not sure 0.8). Enter your own figure. Example only: €15,564.</t>
        </r>
      </text>
    </comment>
    <comment ref="C27" authorId="0">
      <text>
        <r>
          <rPr>
            <sz val="10"/>
            <rFont val="Arial"/>
            <family val="2"/>
          </rPr>
          <t xml:space="preserve">Generally the standard is 4.5% a year after charges while you work (LifeMap Standard set; Cautious 4%). Choose what you want to use. Example only: 4.5%.</t>
        </r>
      </text>
    </comment>
    <comment ref="C28" authorId="0">
      <text>
        <r>
          <rPr>
            <sz val="10"/>
            <rFont val="Arial"/>
            <family val="2"/>
          </rPr>
          <t xml:space="preserve">Generally the standard is 3% a year (Irish pay has grown about 3%–4% a year recently; LifeMap Standard set). Choose what you want to use. Example only: 3%.</t>
        </r>
      </text>
    </comment>
    <comment ref="C29" authorId="0">
      <text>
        <r>
          <rPr>
            <sz val="10"/>
            <rFont val="Arial"/>
            <family val="2"/>
          </rPr>
          <t xml:space="preserve">Generally the standard is 25 times the yearly income you need (about 4% a year). Choose what you want to use. Example only: 25.</t>
        </r>
      </text>
    </comment>
    <comment ref="C30" authorId="0">
      <text>
        <r>
          <rPr>
            <sz val="10"/>
            <rFont val="Arial"/>
            <family val="2"/>
          </rPr>
          <t xml:space="preserve">Your own pension charges (your statement shows them). A suggested figure and its source are shown beside this cell (Partner rates, Assumptions sheet). CCPC: usually 0.5%–2% a year.</t>
        </r>
      </text>
    </comment>
    <comment ref="C31" authorId="0">
      <text>
        <r>
          <rPr>
            <sz val="10"/>
            <rFont val="Arial"/>
            <family val="2"/>
          </rPr>
          <t xml:space="preserve">Generally the standard is 25% of the fund, the most allowed (first €200,000 tax-free, next €300,000 at 20%). Choose what you want to use. Example only: 25%.</t>
        </r>
      </text>
    </comment>
    <comment ref="C32" authorId="0">
      <text>
        <r>
          <rPr>
            <sz val="10"/>
            <rFont val="Arial"/>
            <family val="2"/>
          </rPr>
          <t xml:space="preserve">Optional: leave blank for none. Example only: 0.</t>
        </r>
      </text>
    </comment>
    <comment ref="C33" authorId="0">
      <text>
        <r>
          <rPr>
            <sz val="10"/>
            <rFont val="Arial"/>
            <family val="2"/>
          </rPr>
          <t xml:space="preserve">Optional: leave blank for none. Example only: €0.</t>
        </r>
      </text>
    </comment>
    <comment ref="C34" authorId="0">
      <text>
        <r>
          <rPr>
            <sz val="10"/>
            <rFont val="Arial"/>
            <family val="2"/>
          </rPr>
          <t xml:space="preserve">Optional: leave blank for none. Example only: €0.</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income. Example only: €60,000.</t>
        </r>
      </text>
    </comment>
    <comment ref="C16" authorId="0">
      <text>
        <r>
          <rPr>
            <sz val="10"/>
            <rFont val="Arial"/>
            <family val="2"/>
          </rPr>
          <t xml:space="preserve">Your own figure. Example only: 2%.</t>
        </r>
      </text>
    </comment>
    <comment ref="C17" authorId="0">
      <text>
        <r>
          <rPr>
            <sz val="10"/>
            <rFont val="Arial"/>
            <family val="2"/>
          </rPr>
          <t xml:space="preserve">Your own figure. In the app it is pre-filled from Plan: retirement age − age. Example only: 25.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Your own pension charges (your statement shows them). A suggested figure and its source are shown beside this cell (Partner rates, Assumptions sheet). CCPC: usually 0.5%–2% a year.</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Example only: €200.</t>
        </r>
      </text>
    </comment>
    <comment ref="C16" authorId="0">
      <text>
        <r>
          <rPr>
            <sz val="10"/>
            <rFont val="Arial"/>
            <family val="2"/>
          </rPr>
          <t xml:space="preserve">Your own figure. In the app it is pre-filled from Your finances: income. Example only: €60,000.</t>
        </r>
      </text>
    </comment>
    <comment ref="C17" authorId="0">
      <text>
        <r>
          <rPr>
            <sz val="10"/>
            <rFont val="Arial"/>
            <family val="2"/>
          </rPr>
          <t xml:space="preserve">Your own figure. In the app it is pre-filled from Plan: retirement age − age. Example only: 15.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Your own pension charges (your statement shows them). A suggested figure and its source are shown beside this cell (Partner rates, Assumptions sheet). CCPC: usually 0.5%–2% a year.</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€24,000.</t>
        </r>
      </text>
    </comment>
    <comment ref="C18" authorId="0">
      <text>
        <r>
          <rPr>
            <sz val="10"/>
            <rFont val="Arial"/>
            <family val="2"/>
          </rPr>
          <t xml:space="preserve">Generally the standard is 3.15% a year after charges once retired (LifeMap Standard set; Cautious 2.8%). Choose what you want to use. Example only: 3.15%.</t>
        </r>
      </text>
    </comment>
    <comment ref="C19" authorId="0">
      <text>
        <r>
          <rPr>
            <sz val="10"/>
            <rFont val="Arial"/>
            <family val="2"/>
          </rPr>
          <t xml:space="preserve">Generally the standard is the start of the year (the prudent choice). Choose what you want to use. Example only: Start of year.</t>
        </r>
      </text>
    </comment>
    <comment ref="C20" authorId="0">
      <text>
        <r>
          <rPr>
            <sz val="10"/>
            <rFont val="Arial"/>
            <family val="2"/>
          </rPr>
          <t xml:space="preserve">You can usually draw a pension from 60 (some schemes from 50); State Pension is paid from 66. Choose your own: there is no default. Example only: 66.</t>
        </r>
      </text>
    </comment>
    <comment ref="C21" authorId="0">
      <text>
        <r>
          <rPr>
            <sz val="10"/>
            <rFont val="Arial"/>
            <family val="2"/>
          </rPr>
          <t xml:space="preserve">At 65, average life expectancy in Ireland is about 83 for men and 86 for women (CSO, Irish Life Tables No. 17, 2015–2017). Choose your own: there is no default. Example only: 90.</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€20,000.</t>
        </r>
      </text>
    </comment>
    <comment ref="C18" authorId="0">
      <text>
        <r>
          <rPr>
            <sz val="10"/>
            <rFont val="Arial"/>
            <family val="2"/>
          </rPr>
          <t xml:space="preserve">Generally the standard is 2% a year for a cautious mix (illustration). Choose what you want to use. Example only: 2%.</t>
        </r>
      </text>
    </comment>
    <comment ref="C19" authorId="0">
      <text>
        <r>
          <rPr>
            <sz val="10"/>
            <rFont val="Arial"/>
            <family val="2"/>
          </rPr>
          <t xml:space="preserve">Generally the standard is 4% a year for a balanced mix (illustration). Choose what you want to use. Example only: 4%.</t>
        </r>
      </text>
    </comment>
    <comment ref="C20" authorId="0">
      <text>
        <r>
          <rPr>
            <sz val="10"/>
            <rFont val="Arial"/>
            <family val="2"/>
          </rPr>
          <t xml:space="preserve">Generally the standard is 6% a year for a growth mix (illustration). Choose what you want to use. Example only: 6%.</t>
        </r>
      </text>
    </comment>
    <comment ref="C21" authorId="0">
      <text>
        <r>
          <rPr>
            <sz val="10"/>
            <rFont val="Arial"/>
            <family val="2"/>
          </rPr>
          <t xml:space="preserve">Generally the standard is the start of the year (the prudent choice). Choose what you want to use. Example only: Start of year.</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 statement: investments. Example only: €20,000.</t>
        </r>
      </text>
    </comment>
    <comment ref="C16" authorId="0">
      <text>
        <r>
          <rPr>
            <sz val="10"/>
            <rFont val="Arial"/>
            <family val="2"/>
          </rPr>
          <t xml:space="preserve">Generally the standard is 5% a year before charges and tax for a mixed fund (LifeMap standard, not a forecast). Choose what you want to use. Example only: 5%.</t>
        </r>
      </text>
    </comment>
    <comment ref="C17" authorId="0">
      <text>
        <r>
          <rPr>
            <sz val="10"/>
            <rFont val="Arial"/>
            <family val="2"/>
          </rPr>
          <t xml:space="preserve">Your own figure. Example only: 15.</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"Regular contribution" / "Monthly premium" / "Monthly investment".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Example only: €300.</t>
        </r>
      </text>
    </comment>
    <comment ref="C17" authorId="0">
      <text>
        <r>
          <rPr>
            <sz val="10"/>
            <rFont val="Arial"/>
            <family val="2"/>
          </rPr>
          <t xml:space="preserve">Your own figure. Example only: 15.</t>
        </r>
      </text>
    </comment>
    <comment ref="C18" authorId="0">
      <text>
        <r>
          <rPr>
            <sz val="10"/>
            <rFont val="Arial"/>
            <family val="2"/>
          </rPr>
          <t xml:space="preserve">Generally the standard is 5% a year before charges and tax for a mixed fund (LifeMap standard, not a forecast). Choose what you want to use. Example only: 5%.</t>
        </r>
      </text>
    </comment>
    <comment ref="C19" authorId="0">
      <text>
        <r>
          <rPr>
            <sz val="10"/>
            <rFont val="Arial"/>
            <family val="2"/>
          </rPr>
          <t xml:space="preserve">Your own fund charges (your statement shows them). A suggested figure and its source are shown beside this cell (Partner rates, Assumptions sheet). CCPC: usually 0.5%–2% a year.</t>
        </r>
      </text>
    </comment>
    <comment ref="C20" authorId="0">
      <text>
        <r>
          <rPr>
            <sz val="10"/>
            <rFont val="Arial"/>
            <family val="2"/>
          </rPr>
          <t xml:space="preserve">Optional: leave blank for none. Example only: No.</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€50,000.</t>
        </r>
      </text>
    </comment>
    <comment ref="C13" authorId="0">
      <text>
        <r>
          <rPr>
            <sz val="10"/>
            <rFont val="Arial"/>
            <family val="2"/>
          </rPr>
          <t xml:space="preserve">Your own figure. Example only: 20.</t>
        </r>
      </text>
    </comment>
    <comment ref="C14" authorId="0">
      <text>
        <r>
          <rPr>
            <sz val="10"/>
            <rFont val="Arial"/>
            <family val="2"/>
          </rPr>
          <t xml:space="preserve">Generally the standard is 5% a year before charges and tax for a mixed fund (LifeMap standard, not a forecast). Choose what you want to use. Example only: 5%.</t>
        </r>
      </text>
    </comment>
    <comment ref="C15" authorId="0">
      <text>
        <r>
          <rPr>
            <sz val="10"/>
            <rFont val="Arial"/>
            <family val="2"/>
          </rPr>
          <t xml:space="preserve">Your own fund charges (your statement shows them). A suggested figure and its source are shown beside this cell (Partner rates, Assumptions sheet). CCPC: usually 0.5%–2% a year.</t>
        </r>
      </text>
    </comment>
    <comment ref="C16" authorId="0">
      <text>
        <r>
          <rPr>
            <sz val="10"/>
            <rFont val="Arial"/>
            <family val="2"/>
          </rPr>
          <t xml:space="preserve">Your own fund charges (your statement shows them). A suggested figure and its source are shown beside this cell (Partner rates, Assumptions sheet). CCPC: usually 0.5%–2% a year.</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"Asset allocation" — "Equities" / "Shares".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€20,000.</t>
        </r>
      </text>
    </comment>
    <comment ref="C13" authorId="0">
      <text>
        <r>
          <rPr>
            <sz val="10"/>
            <rFont val="Arial"/>
            <family val="2"/>
          </rPr>
          <t xml:space="preserve">Your own figure. Example only: 10.</t>
        </r>
      </text>
    </comment>
    <comment ref="C14" authorId="0">
      <text>
        <r>
          <rPr>
            <sz val="10"/>
            <rFont val="Arial"/>
            <family val="2"/>
          </rPr>
          <t xml:space="preserve">Generally the standard is 2 Balanced (an adviser checks your attitude to risk). Choose what you want to use. Example only: 2.</t>
        </r>
      </text>
    </comment>
    <comment ref="C15" authorId="0">
      <text>
        <r>
          <rPr>
            <sz val="10"/>
            <rFont val="Arial"/>
            <family val="2"/>
          </rPr>
          <t xml:space="preserve">Generally the standard is 2% a year for Cautious (illustration). Choose what you want to use. Example only: 2%.</t>
        </r>
      </text>
    </comment>
    <comment ref="C16" authorId="0">
      <text>
        <r>
          <rPr>
            <sz val="10"/>
            <rFont val="Arial"/>
            <family val="2"/>
          </rPr>
          <t xml:space="preserve">Generally the standard is 4% a year for Balanced (illustration). Choose what you want to use. Example only: 4%.</t>
        </r>
      </text>
    </comment>
    <comment ref="C17" authorId="0">
      <text>
        <r>
          <rPr>
            <sz val="10"/>
            <rFont val="Arial"/>
            <family val="2"/>
          </rPr>
          <t xml:space="preserve">Generally the standard is 6% a year for Growth (illustration). Choose what you want to use. Example only: 6%.</t>
        </r>
      </text>
    </comment>
    <comment ref="C18" authorId="0">
      <text>
        <r>
          <rPr>
            <sz val="10"/>
            <rFont val="Arial"/>
            <family val="2"/>
          </rPr>
          <t xml:space="preserve">Generally the standard is 5% a year for Cautious (illustration). Choose what you want to use. Example only: 5%.</t>
        </r>
      </text>
    </comment>
    <comment ref="C19" authorId="0">
      <text>
        <r>
          <rPr>
            <sz val="10"/>
            <rFont val="Arial"/>
            <family val="2"/>
          </rPr>
          <t xml:space="preserve">Generally the standard is 10% a year for Balanced (illustration). Choose what you want to use. Example only: 10%.</t>
        </r>
      </text>
    </comment>
    <comment ref="C20" authorId="0">
      <text>
        <r>
          <rPr>
            <sz val="10"/>
            <rFont val="Arial"/>
            <family val="2"/>
          </rPr>
          <t xml:space="preserve">Generally the standard is 16% a year for Growth (illustration). Choose what you want to use. Example only: 16%.</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The statement: "Statement date" / "Statement period to" / "Valuation date" / "As at". Blank = not on the statement / no statement.</t>
        </r>
      </text>
    </comment>
    <comment ref="C11" authorId="0">
      <text>
        <r>
          <rPr>
            <sz val="10"/>
            <rFont val="Arial"/>
            <family val="2"/>
          </rPr>
          <t xml:space="preserve">Your own figure. In the app it is pre-filled from Your finances: income. Example only: €60,000.</t>
        </r>
      </text>
    </comment>
    <comment ref="C12" authorId="0">
      <text>
        <r>
          <rPr>
            <sz val="10"/>
            <rFont val="Arial"/>
            <family val="2"/>
          </rPr>
          <t xml:space="preserve">Generally the standard is until your youngest child is 23. Choose what you want to use. Example only: 15.</t>
        </r>
      </text>
    </comment>
    <comment ref="C13" authorId="0">
      <text>
        <r>
          <rPr>
            <sz val="10"/>
            <rFont val="Arial"/>
            <family val="2"/>
          </rPr>
          <t xml:space="preserve">Generally the standard is 60% of your income (families usually need less than full pay). Choose what you want to use. Example only: 60%.</t>
        </r>
      </text>
    </comment>
    <comment ref="C14" authorId="0">
      <text>
        <r>
          <rPr>
            <sz val="10"/>
            <rFont val="Arial"/>
            <family val="2"/>
          </rPr>
          <t xml:space="preserve">Your own figure. In the app it is pre-filled from Your finances: mortgage balance. Example only: €250,000.</t>
        </r>
      </text>
    </comment>
    <comment ref="C15" authorId="0">
      <text>
        <r>
          <rPr>
            <sz val="10"/>
            <rFont val="Arial"/>
            <family val="2"/>
          </rPr>
          <t xml:space="preserve">Your own figure. Example only: Yes.</t>
        </r>
      </text>
    </comment>
    <comment ref="C16" authorId="0">
      <text>
        <r>
          <rPr>
            <sz val="10"/>
            <rFont val="Arial"/>
            <family val="2"/>
          </rPr>
          <t xml:space="preserve">Your own figure. In the app it is pre-filled from Your finances: debts. Example only: €10,000.</t>
        </r>
      </text>
    </comment>
    <comment ref="C17" authorId="0">
      <text>
        <r>
          <rPr>
            <sz val="10"/>
            <rFont val="Arial"/>
            <family val="2"/>
          </rPr>
          <t xml:space="preserve">Your own figure. In the app it is pre-filled from Your finances: cash + investments. Example only: €20,000.</t>
        </r>
      </text>
    </comment>
    <comment ref="C18" authorId="0">
      <text>
        <r>
          <rPr>
            <sz val="10"/>
            <rFont val="Arial"/>
            <family val="2"/>
          </rPr>
          <t xml:space="preserve">Your own figure. Example only: €100,000.</t>
        </r>
      </text>
    </comment>
    <comment ref="C19" authorId="0">
      <text>
        <r>
          <rPr>
            <sz val="10"/>
            <rFont val="Arial"/>
            <family val="2"/>
          </rPr>
          <t xml:space="preserve">Usually between €0 and €299.30 a week: €259.50 under 66, €299.30 at 66+ (DSP 2026; depends on PRSI; cohabitants can qualify for the Bereaved Partner's Pension). Enter your own figure. Example only: €259.50.</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Your own figure. Example only: 3.</t>
        </r>
      </text>
    </comment>
    <comment ref="C8" authorId="0">
      <text>
        <r>
          <rPr>
            <sz val="10"/>
            <rFont val="Arial"/>
            <family val="2"/>
          </rPr>
          <t xml:space="preserve">Your own figure. In the app it is pre-filled from Your finances: cash. Example only: €8,000.</t>
        </r>
      </text>
    </comment>
    <comment ref="C9" authorId="0">
      <text>
        <r>
          <rPr>
            <sz val="10"/>
            <rFont val="Arial"/>
            <family val="2"/>
          </rPr>
          <t xml:space="preserve">Your own figure. In the app it is pre-filled from Your finances: income. Example only: €60,000.</t>
        </r>
      </text>
    </comment>
    <comment ref="C10" authorId="0">
      <text>
        <r>
          <rPr>
            <sz val="10"/>
            <rFont val="Arial"/>
            <family val="2"/>
          </rPr>
          <t xml:space="preserve">Usually between €0 and €254 a week (DSP 2026 maximum; lower if you earned under €300 a week; needs enough PRSI). Enter your own figure. Example only: €254.</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In the app it is pre-filled from Your finances / statement: stated repayment. Example only: €0.</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Property valuation / mortgage statement: "Valuation" / "Market value" / "Property value". Blank = not on the statement / no statement.</t>
        </r>
      </text>
    </comment>
    <comment ref="C9" authorId="0">
      <text>
        <r>
          <rPr>
            <sz val="10"/>
            <rFont val="Arial"/>
            <family val="2"/>
          </rPr>
          <t xml:space="preserve">Filled by the document reader from: Pension statement: "Current fund value" / "Value of your fund" / "Transfer value" / "Total fund value". Blank = not on the statement / no statement.</t>
        </r>
      </text>
    </comment>
    <comment ref="C10" authorId="0">
      <text>
        <r>
          <rPr>
            <sz val="10"/>
            <rFont val="Arial"/>
            <family val="2"/>
          </rPr>
          <t xml:space="preserve">Filled by the document reader from: Investment statement: "Total value" / "Portfolio value" / "Valuation" / "Market value" / "Policy value". Blank = not on the statement / no statement.</t>
        </r>
      </text>
    </comment>
    <comment ref="C13" authorId="0">
      <text>
        <r>
          <rPr>
            <sz val="10"/>
            <rFont val="Arial"/>
            <family val="2"/>
          </rPr>
          <t xml:space="preserve">Your own figure. In the app it is pre-filled from Your finances: cash. Example only: €15,000.</t>
        </r>
      </text>
    </comment>
    <comment ref="C14" authorId="0">
      <text>
        <r>
          <rPr>
            <sz val="10"/>
            <rFont val="Arial"/>
            <family val="2"/>
          </rPr>
          <t xml:space="preserve">Your own figure. In the app it is pre-filled from Your finances: investments. Example only: €10,000.</t>
        </r>
      </text>
    </comment>
    <comment ref="C15" authorId="0">
      <text>
        <r>
          <rPr>
            <sz val="10"/>
            <rFont val="Arial"/>
            <family val="2"/>
          </rPr>
          <t xml:space="preserve">Your own figure. In the app it is pre-filled from Your finances: pension. Example only: €60,000.</t>
        </r>
      </text>
    </comment>
    <comment ref="C16" authorId="0">
      <text>
        <r>
          <rPr>
            <sz val="10"/>
            <rFont val="Arial"/>
            <family val="2"/>
          </rPr>
          <t xml:space="preserve">Your own figure. In the app it is pre-filled from Your finances: home + other property. Example only: €350,000.</t>
        </r>
      </text>
    </comment>
    <comment ref="C17" authorId="0">
      <text>
        <r>
          <rPr>
            <sz val="10"/>
            <rFont val="Arial"/>
            <family val="2"/>
          </rPr>
          <t xml:space="preserve">Your own figure. In the app it is pre-filled from Your finances: mortgage balance. Example only: €250,000.</t>
        </r>
      </text>
    </comment>
    <comment ref="C18" authorId="0">
      <text>
        <r>
          <rPr>
            <sz val="10"/>
            <rFont val="Arial"/>
            <family val="2"/>
          </rPr>
          <t xml:space="preserve">Your own figure. In the app it is pre-filled from Your finances: debts. Example only: €8,000.</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Your own figure. In the app it is pre-filled from Your finances: costs + one-offs ÷ 12 + mortgage. Example only: €2,000.</t>
        </r>
      </text>
    </comment>
    <comment ref="C8" authorId="0">
      <text>
        <r>
          <rPr>
            <sz val="10"/>
            <rFont val="Arial"/>
            <family val="2"/>
          </rPr>
          <t xml:space="preserve">Your own figure. Example only: €800.</t>
        </r>
      </text>
    </comment>
    <comment ref="C9" authorId="0">
      <text>
        <r>
          <rPr>
            <sz val="10"/>
            <rFont val="Arial"/>
            <family val="2"/>
          </rPr>
          <t xml:space="preserve">Your own figure. In the app it is pre-filled from Your finances: debt repayments. Example only: €200.</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Generally the standard is 50% for needs (the 50/30/20 rule of thumb). Choose what you want to use. Example only: 50%.</t>
        </r>
      </text>
    </comment>
    <comment ref="C8" authorId="0">
      <text>
        <r>
          <rPr>
            <sz val="10"/>
            <rFont val="Arial"/>
            <family val="2"/>
          </rPr>
          <t xml:space="preserve">Generally the standard is 30% for wants (the 50/30/20 rule of thumb). Choose what you want to use. Example only: 30%.</t>
        </r>
      </text>
    </comment>
    <comment ref="C9" authorId="0">
      <text>
        <r>
          <rPr>
            <sz val="10"/>
            <rFont val="Arial"/>
            <family val="2"/>
          </rPr>
          <t xml:space="preserve">Generally the standard is 20% for savings and debt (the 50/30/20 rule of thumb). Choose what you want to use. Example only: 20%.</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the debt that takes longest to clear. Example only: €5,000.</t>
        </r>
      </text>
    </comment>
    <comment ref="C7" authorId="0">
      <text>
        <r>
          <rPr>
            <sz val="10"/>
            <rFont val="Arial"/>
            <family val="2"/>
          </rPr>
          <t xml:space="preserve">Your card's APR: your statement shows it. New credit cards can't charge more than 23% APR (Central Bank); some older cards are higher.</t>
        </r>
      </text>
    </comment>
    <comment ref="C8" authorId="0">
      <text>
        <r>
          <rPr>
            <sz val="10"/>
            <rFont val="Arial"/>
            <family val="2"/>
          </rPr>
          <t xml:space="preserve">Your own figure. In the app it is pre-filled from Your finances: that debt's repayment. Example only: €250.</t>
        </r>
      </text>
    </comment>
    <comment ref="C9" authorId="0">
      <text>
        <r>
          <rPr>
            <sz val="10"/>
            <rFont val="Arial"/>
            <family val="2"/>
          </rPr>
          <t xml:space="preserve">Optional: leave blank for none. Example only: €0.</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€15,000.</t>
        </r>
      </text>
    </comment>
    <comment ref="C7" authorId="0">
      <text>
        <r>
          <rPr>
            <sz val="10"/>
            <rFont val="Arial"/>
            <family val="2"/>
          </rPr>
          <t xml:space="preserve">Your loan's APR: your loan agreement shows it. A suggested rate and its source are shown beside this cell (Partner rates, Assumptions sheet).</t>
        </r>
      </text>
    </comment>
    <comment ref="C8" authorId="0">
      <text>
        <r>
          <rPr>
            <sz val="10"/>
            <rFont val="Arial"/>
            <family val="2"/>
          </rPr>
          <t xml:space="preserve">Your own figure. Example only: 5.</t>
        </r>
      </text>
    </comment>
  </commentList>
</comments>
</file>

<file path=xl/comments39.xml><?xml version="1.0" encoding="utf-8"?>
<comments xmlns="http://schemas.openxmlformats.org/spreadsheetml/2006/main" xmlns:xdr="http://schemas.openxmlformats.org/drawingml/2006/spreadsheetDrawing">
  <authors>
    <author>Unknown Author</author>
  </authors>
  <commentList>
    <comment ref="C5" authorId="0">
      <text>
        <r>
          <rPr>
            <sz val="10"/>
            <rFont val="Arial"/>
            <family val="2"/>
          </rPr>
          <t xml:space="preserve">Type 3 · your figure. Single, Single parent (main carer of a child, no partner), Married one earner, Married two earners (also civil partners). Example only: Single</t>
        </r>
      </text>
    </comment>
    <comment ref="C6" authorId="0">
      <text>
        <r>
          <rPr>
            <sz val="10"/>
            <rFont val="Arial"/>
            <family val="2"/>
          </rPr>
          <t xml:space="preserve">Type 3 · your figure. Gross pay before tax, € a year. Example only: €60,000</t>
        </r>
      </text>
    </comment>
    <comment ref="C7" authorId="0">
      <text>
        <r>
          <rPr>
            <sz val="10"/>
            <rFont val="Arial"/>
            <family val="2"/>
          </rPr>
          <t xml:space="preserve">Type 3 · optional: leave blank for none. Used only when the status is Married two earners. Example only: €0</t>
        </r>
      </text>
    </comment>
    <comment ref="C8" authorId="0">
      <text>
        <r>
          <rPr>
            <sz val="10"/>
            <rFont val="Arial"/>
            <family val="2"/>
          </rPr>
          <t xml:space="preserve">Type 3 · your figure. Rent Tax Credit €1,000 single / €2,000 jointly assessed, to end-2028. Example only: No</t>
        </r>
      </text>
    </comment>
    <comment ref="C9" authorId="0">
      <text>
        <r>
          <rPr>
            <sz val="10"/>
            <rFont val="Arial"/>
            <family val="2"/>
          </rPr>
          <t xml:space="preserve">Type 3 · your figure. €1,950 (verify the 2026 rate and carer-income limit). Example only: No</t>
        </r>
      </text>
    </comment>
    <comment ref="C10" authorId="0">
      <text>
        <r>
          <rPr>
            <sz val="10"/>
            <rFont val="Arial"/>
            <family val="2"/>
          </rPr>
          <t xml:space="preserve">Type 3 · optional: leave blank for none. From 1 Oct 2026 = 4.35%. Calendar 2026 blend = 4.2375% (9 months at 4.2%, 3 at 4.35%). Example only: From 1 Oct 2026</t>
        </r>
      </text>
    </comment>
  </commentList>
</comments>
</file>

<file path=xl/sharedStrings.xml><?xml version="1.0" encoding="utf-8"?>
<sst xmlns="http://schemas.openxmlformats.org/spreadsheetml/2006/main" count="6391" uniqueCount="4053">
  <si>
    <t xml:space="preserve">LifeMap calculators</t>
  </si>
  <si>
    <t xml:space="preserve">Version 2.5 · 8 Oct 2026 · built from LifeMap-Customer-Journey prototype (CALCS and Settings). Since 2.4: the main plan in Make my plan (nine new sheets starting "Plan ..." and the Calculation register), audit fixes to the calculators (see "Audit fixes applied"), example column on every calculator input block, law figures on the Plan sheets read from Assumptions.</t>
  </si>
  <si>
    <t xml:space="preserve">Fill example values? (Yes/No)</t>
  </si>
  <si>
    <t xml:space="preserve">No</t>
  </si>
  <si>
    <t xml:space="preserve">Example only: Yes fills every blank input with its grey figure, so testers see numbers. Default No (blank template).</t>
  </si>
  <si>
    <t xml:space="preserve">How to use</t>
  </si>
  <si>
    <t xml:space="preserve">• Open a calculator from the list below. Fill the yellow cells (blue text): everything else updates on its own.</t>
  </si>
  <si>
    <t xml:space="preserve">• Every number is one of three types (journey spec §14, §18). Type 1, set by Government (tax, USC, PRSI, relief %, lump-sum bands, DIRT, exit tax, Central Bank limits, full State Pension and benefit rates): on the Assumptions sheet, not an input. Type 2, a market rate or a figure you enter yourself (mortgage rate, card APR, fund charges, the State Pension you will get …): a yellow input with a suggested figure and its source, or "Usually between X and Y (source)" where an official range exists. Type 3, personal (inflation, growth, pay rises, emergency months, drawdown timing, retirement multiple, and your own figures): a yellow input left BLANK with "Generally the standard is X (source). Choose what you want to use." Retirement age and plan-until age are blank with guidance only, never a standard.</t>
  </si>
  <si>
    <t xml:space="preserve">• Blank inputs stay blank: results that need them show "Choose your … to see this". Set "Fill example values?" (above) to Yes to fill every blank input with its grey "Example only" figure (the standard, or the sample customer's figure).</t>
  </si>
  <si>
    <t xml:space="preserve">• Each input cell shows its unit and allowed range when you click it, and refuses values outside it. The default is in the cell note and at the far right.</t>
  </si>
  <si>
    <t xml:space="preserve">• Market rates (mortgage, loans, cards, deposits, buying fees, fund charges) are never pre-filled. Beside each is a suggested rate with its source, from the Settings sheet: by default Central Bank of Ireland averages with their month (journey spec §18, §19). A partner can put its own rates and name there ("Suggested by …"). Law values cannot be changed.</t>
  </si>
  <si>
    <t xml:space="preserve">• Facts and law (tax bands, State rates, Central Bank rules, stamp duty, lump-sum bands …) are on the Assumptions sheet, the Irish rules register (Irish rules 2026 · checked 2 Oct 2026). Take-home pay is worked out on the Tax engine sheet, which C25 and C26 use.</t>
  </si>
  <si>
    <t xml:space="preserve">• Results are in the green box, each with its formula written out beside it. Formulas use names (e.g. =Amount*(1+Inflation)^Years) so they read like the maths.</t>
  </si>
  <si>
    <t xml:space="preserve">• Inflation is the client's own choice: the yellow "Inflation you expect" cell on each calculator that uses it starts blank. While it is blank, results that need it say "Choose your inflation rate to see this"; 0% is a real choice (no adjustment for prices).</t>
  </si>
  <si>
    <t xml:space="preserve">• Statements: grey-blue cells under "FROM YOUR STATEMENT" are filled by the document reader. The FIGURE USED box uses the statement figure if there is one, otherwise your typed figure, and says which. See the "Document reader spec" sheet.</t>
  </si>
  <si>
    <t xml:space="preserve">• The workbook recalculates automatically, including when it is opened. No sheet or workbook protection is applied: this is an engineering template, so formulas and inputs can be edited. Keep the yellow cells for typing and leave formulas alone.</t>
  </si>
  <si>
    <t xml:space="preserve">• Settings sheet: every standard, its wording and source, and the partner name in one block (defined names Set_*). "Your lists": loans, cards, pensions and policies, one row each; the calculators use the totals when their own cell is left blank.</t>
  </si>
  <si>
    <t xml:space="preserve">Colour legend</t>
  </si>
  <si>
    <t xml:space="preserve">• Yellow fill, blue text = an input you type.</t>
  </si>
  <si>
    <t xml:space="preserve">• Grey-blue fill, blue text = a figure the document reader fills from a statement (blank when there is none).</t>
  </si>
  <si>
    <t xml:space="preserve">• Green box, bold = a result.</t>
  </si>
  <si>
    <t xml:space="preserve">• Grey box = a working figure behind a result.</t>
  </si>
  <si>
    <t xml:space="preserve">• Grey text = defaults, ranges and notes.</t>
  </si>
  <si>
    <t xml:space="preserve">• Orange = a warning message shown to the customer.</t>
  </si>
  <si>
    <t xml:space="preserve">• Light-blue sheet tab and light-blue fill = a Plan sheet or a working figure of the main plan (not a calculator).</t>
  </si>
  <si>
    <t xml:space="preserve">Numbering</t>
  </si>
  <si>
    <t xml:space="preserve">• C01–C28 in the order of the prototype's CALCS array; the same numbers are used in the UI/UX spec. The Plan sheets have no numbers; they are named "Plan ..." and sit after C28.</t>
  </si>
  <si>
    <t xml:space="preserve">Plan sheets (the main plan in Make my plan)</t>
  </si>
  <si>
    <t xml:space="preserve">• The main plan (project() in the prototype) is built here in full: Plan inputs, Plan pay &amp; tax, Plan debt months, Plan cashflow, Plan goals, Plan results, Plan profile, Plan how it works, and the Calculation register. The list with links is at the bottom of this sheet. Open "Plan how it works" first.</t>
  </si>
  <si>
    <t xml:space="preserve">Calculators</t>
  </si>
  <si>
    <t xml:space="preserve">No.</t>
  </si>
  <si>
    <t xml:space="preserve">Calculator (click to open)</t>
  </si>
  <si>
    <t xml:space="preserve">Question it answers</t>
  </si>
  <si>
    <t xml:space="preserve">Category</t>
  </si>
  <si>
    <t xml:space="preserve">C01</t>
  </si>
  <si>
    <t xml:space="preserve">What home price could be within reach?</t>
  </si>
  <si>
    <t xml:space="preserve">Home &amp; Mortgage</t>
  </si>
  <si>
    <t xml:space="preserve">C02</t>
  </si>
  <si>
    <t xml:space="preserve">What would my monthly repayment be?</t>
  </si>
  <si>
    <t xml:space="preserve">C03</t>
  </si>
  <si>
    <t xml:space="preserve">How long until I have my deposit?</t>
  </si>
  <si>
    <t xml:space="preserve">C04</t>
  </si>
  <si>
    <t xml:space="preserve">What if I paid a little extra each month?</t>
  </si>
  <si>
    <t xml:space="preserve">C05</t>
  </si>
  <si>
    <t xml:space="preserve">What if my mortgage rate changed?</t>
  </si>
  <si>
    <t xml:space="preserve">C06</t>
  </si>
  <si>
    <t xml:space="preserve">Shorter or longer term: what is the trade-off?</t>
  </si>
  <si>
    <t xml:space="preserve">C07</t>
  </si>
  <si>
    <t xml:space="preserve">How do renting and buying compare over time?</t>
  </si>
  <si>
    <t xml:space="preserve">C08</t>
  </si>
  <si>
    <t xml:space="preserve">How much a month to reach my goal?</t>
  </si>
  <si>
    <t xml:space="preserve">Savings &amp; Goals</t>
  </si>
  <si>
    <t xml:space="preserve">C09</t>
  </si>
  <si>
    <t xml:space="preserve">What could regular saving grow into?</t>
  </si>
  <si>
    <t xml:space="preserve">C10</t>
  </si>
  <si>
    <t xml:space="preserve">What could a one-off amount become?</t>
  </si>
  <si>
    <t xml:space="preserve">Investments</t>
  </si>
  <si>
    <t xml:space="preserve">C11</t>
  </si>
  <si>
    <t xml:space="preserve">How strong is my emergency fund?</t>
  </si>
  <si>
    <t xml:space="preserve">C12</t>
  </si>
  <si>
    <t xml:space="preserve">Could your current path fund the retirement you want?</t>
  </si>
  <si>
    <t xml:space="preserve">Pensions &amp; Retirement</t>
  </si>
  <si>
    <t xml:space="preserve">C13</t>
  </si>
  <si>
    <t xml:space="preserve">What difference would a small increase make?</t>
  </si>
  <si>
    <t xml:space="preserve">C14</t>
  </si>
  <si>
    <t xml:space="preserve">What could extra voluntary contributions add?</t>
  </si>
  <si>
    <t xml:space="preserve">C15</t>
  </si>
  <si>
    <t xml:space="preserve">How long could my retirement savings last?</t>
  </si>
  <si>
    <t xml:space="preserve">C16</t>
  </si>
  <si>
    <t xml:space="preserve">How do different growth rates change things?</t>
  </si>
  <si>
    <t xml:space="preserve">C17</t>
  </si>
  <si>
    <t xml:space="preserve">What is my money really worth in future?</t>
  </si>
  <si>
    <t xml:space="preserve">C18</t>
  </si>
  <si>
    <t xml:space="preserve">What could investing monthly build?</t>
  </si>
  <si>
    <t xml:space="preserve">C19</t>
  </si>
  <si>
    <t xml:space="preserve">How much do fees really cost over time?</t>
  </si>
  <si>
    <t xml:space="preserve">C20</t>
  </si>
  <si>
    <t xml:space="preserve">What range of outcomes might each style have?</t>
  </si>
  <si>
    <t xml:space="preserve">C21</t>
  </si>
  <si>
    <t xml:space="preserve">How much cover might my family need?</t>
  </si>
  <si>
    <t xml:space="preserve">Protection</t>
  </si>
  <si>
    <t xml:space="preserve">C22</t>
  </si>
  <si>
    <t xml:space="preserve">How long could I cope if I couldn't work?</t>
  </si>
  <si>
    <t xml:space="preserve">C23</t>
  </si>
  <si>
    <t xml:space="preserve">What cover would clear my mortgage?</t>
  </si>
  <si>
    <t xml:space="preserve">C24</t>
  </si>
  <si>
    <t xml:space="preserve">What am I worth, all in?</t>
  </si>
  <si>
    <t xml:space="preserve">Everyday Money</t>
  </si>
  <si>
    <t xml:space="preserve">C25</t>
  </si>
  <si>
    <t xml:space="preserve">What is left at the end of the month?</t>
  </si>
  <si>
    <t xml:space="preserve">C26</t>
  </si>
  <si>
    <t xml:space="preserve">A simple way to split your pay</t>
  </si>
  <si>
    <t xml:space="preserve">C27</t>
  </si>
  <si>
    <t xml:space="preserve">How fast can I clear my debt?</t>
  </si>
  <si>
    <t xml:space="preserve">C28</t>
  </si>
  <si>
    <t xml:space="preserve">What would a loan cost me?</t>
  </si>
  <si>
    <t xml:space="preserve">BUDGET 2027 (announced 6 Oct 2026): not applied yet</t>
  </si>
  <si>
    <t xml:space="preserve">Budget 2027 changes (announced 6 Oct 2026) aren't included yet. We'll update LifeMap once they're final. Nothing from Budget 2027 is used in any calculation. The values below stay at their 2026 figures until the changes are final and official (Revenue, the Finance Act, the Department of Social Protection). Then update each named constant with its effective date and re-run the Tax engine checks. No Budget 2027 amount is written here on purpose.</t>
  </si>
  <si>
    <t xml:space="preserve">Constant (2026 value, unchanged)</t>
  </si>
  <si>
    <t xml:space="preserve">Name(s) to update</t>
  </si>
  <si>
    <t xml:space="preserve">Status</t>
  </si>
  <si>
    <t xml:space="preserve">Income-tax bands (€44,000 / €48,000 / €53,000; €35,000 second-earner uplift)</t>
  </si>
  <si>
    <t xml:space="preserve">Band_Single, Band_Single_Parent, Band_Married, Band_Second_Earner_Max</t>
  </si>
  <si>
    <t xml:space="preserve">2026 value kept until final and official</t>
  </si>
  <si>
    <t xml:space="preserve">Personal and PAYE credits (€2,000 + €2,000; €4,000 married)</t>
  </si>
  <si>
    <t xml:space="preserve">Credit_Personal_Single, Credit_Personal_Married, Credit_PAYE</t>
  </si>
  <si>
    <t xml:space="preserve">Rent, Home Carer and SPCCC credits (€1,000 / €1,950 / €1,900)</t>
  </si>
  <si>
    <t xml:space="preserve">Credit_Rent_Single, Credit_Rent_Joint, Credit_Home_Carer, Credit_SPCCC</t>
  </si>
  <si>
    <t xml:space="preserve">USC bands (€12,012 / €28,700 / €70,044) and exemption €13,000</t>
  </si>
  <si>
    <t xml:space="preserve">USC_Band_1–3, USC_Exempt</t>
  </si>
  <si>
    <t xml:space="preserve">PRSI path (4.35% now; 4.5% from 1 Oct 2027; 4.7% from 1 Oct 2028)</t>
  </si>
  <si>
    <t xml:space="preserve">PRSI_Rate, PRSI credit</t>
  </si>
  <si>
    <t xml:space="preserve">State Pension €299.30 a week (€15,563.60)</t>
  </si>
  <si>
    <t xml:space="preserve">State_Pension_Week</t>
  </si>
  <si>
    <t xml:space="preserve">Illness Benefit €254; survivor's pension €259.50 (&lt;66) / €299.30 (66+)</t>
  </si>
  <si>
    <t xml:space="preserve">Illness_Benefit_Week, Survivor_Pension_Week, Survivor_Pension_Week_66</t>
  </si>
  <si>
    <t xml:space="preserve">Exit tax 38%, deemed disposal 8 years, DIRT 33%</t>
  </si>
  <si>
    <t xml:space="preserve">Exit_Tax, Deemed_Disposal_Years, DIRT</t>
  </si>
  <si>
    <t xml:space="preserve">Pension relief bands, €115,000 cap, lump-sum bands, SFT (€2.4m in 2027)</t>
  </si>
  <si>
    <t xml:space="preserve">Relief_Age_From/Relief_Age_Pct, Relief_Earnings_Cap, Lump_Sum_*</t>
  </si>
  <si>
    <t xml:space="preserve">Stamp duty 1% / 2% / 6%; Help to Buy €30,000; CBI 4× / 3.5× / 90%</t>
  </si>
  <si>
    <t xml:space="preserve">SD_*, LTI_FTB, LTI_SSB, LTV_Max</t>
  </si>
  <si>
    <t xml:space="preserve">Inflation "Ireland now" 3.9% (CSO HICP flash Sep 2026)</t>
  </si>
  <si>
    <t xml:space="preserve">Guidance text on each inflation input and on this sheet</t>
  </si>
  <si>
    <t xml:space="preserve">Guidance text shows the latest CSO figure</t>
  </si>
  <si>
    <t xml:space="preserve">Audit fixes applied</t>
  </si>
  <si>
    <t xml:space="preserve">Where</t>
  </si>
  <si>
    <t xml:space="preserve">Audit class</t>
  </si>
  <si>
    <t xml:space="preserve">Item</t>
  </si>
  <si>
    <t xml:space="preserve">Must</t>
  </si>
  <si>
    <t xml:space="preserve">Gap is like-for-like: target (today's money) − fund ÷ (1 + inflation)^years.</t>
  </si>
  <si>
    <t xml:space="preserve">Hand-off updates the existing retirement goal (income, age) instead of a 25× lump-sum spend.</t>
  </si>
  <si>
    <t xml:space="preserve">Hand-off is the deposit (loan × 10% ÷ 90%), not the mortgage amount.</t>
  </si>
  <si>
    <t xml:space="preserve">Hand-off is a mortgage-free (mfree) goal, not today's balance as a spend; none if it never clears.</t>
  </si>
  <si>
    <t xml:space="preserve">No "Infinity yrs" and no negative interest saved: "Not at this repayment" / "—".</t>
  </si>
  <si>
    <t xml:space="preserve">C04, C27</t>
  </si>
  <si>
    <t xml:space="preserve">Exact months by NPER (no 1,200-month loop cap); over 1,200 months shows "Over 100 years" / "Payment too low…".</t>
  </si>
  <si>
    <t xml:space="preserve">C09, C10</t>
  </si>
  <si>
    <t xml:space="preserve">Hand-off always in today's money (value ÷ (1 + inflation)^years), kind pot.</t>
  </si>
  <si>
    <t xml:space="preserve">C13, C14</t>
  </si>
  <si>
    <t xml:space="preserve">No spend goal: raise the plan's pension contribution instead.</t>
  </si>
  <si>
    <t xml:space="preserve">Hand-off in today's money, kind pot (was nominal, inflated twice).</t>
  </si>
  <si>
    <t xml:space="preserve">Style is a 1/2/3 list (no decimals, no €NaN).</t>
  </si>
  <si>
    <t xml:space="preserve">No spend goal: a protection need for the adviser.</t>
  </si>
  <si>
    <t xml:space="preserve">No goal (the plan already repays the debt); no goal when it never clears.</t>
  </si>
  <si>
    <t xml:space="preserve">C02, C05</t>
  </si>
  <si>
    <t xml:space="preserve">Should</t>
  </si>
  <si>
    <t xml:space="preserve">What-if rate floored at 0%.</t>
  </si>
  <si>
    <t xml:space="preserve">Deposit validated between 10% of the price and the price; mortgage never negative.</t>
  </si>
  <si>
    <t xml:space="preserve">C11, C22, C25</t>
  </si>
  <si>
    <t xml:space="preserve">Hand-off kinds corrected (safety pot; protection need; savings pot).</t>
  </si>
  <si>
    <t xml:space="preserve">C15, C16</t>
  </si>
  <si>
    <t xml:space="preserve">Withdrawals taken at the start of each year.</t>
  </si>
  <si>
    <t xml:space="preserve">Mortgage protection Yes/No (default Yes) and State survivor's pension (default €259.50 a week).</t>
  </si>
  <si>
    <t xml:space="preserve">Illness Benefit (€254 a week) netted off; income protection capped at 75% of income less Illness Benefit.</t>
  </si>
  <si>
    <t xml:space="preserve">Warning when the repayment does not cover the interest; no rising balances shown.</t>
  </si>
  <si>
    <t xml:space="preserve">C27, C28</t>
  </si>
  <si>
    <t xml:space="preserve">APR treated as an effective annual rate: monthly = (1 + APR)^(1/12) − 1.</t>
  </si>
  <si>
    <t xml:space="preserve">C08–C10, C17, C18</t>
  </si>
  <si>
    <t xml:space="preserve">"Before tax: DIRT 33% / exit tax 38%" note.</t>
  </si>
  <si>
    <t xml:space="preserve">Nice</t>
  </si>
  <si>
    <t xml:space="preserve">First-time buyer is Yes/No.</t>
  </si>
  <si>
    <t xml:space="preserve">C03, C15, C16 etc.</t>
  </si>
  <si>
    <t xml:space="preserve">Singular forms ("1 month", "1 year"); "You have your deposit".</t>
  </si>
  <si>
    <t xml:space="preserve">"No change" when the time saved is 0.</t>
  </si>
  <si>
    <t xml:space="preserve">"Both terms are the same" for equal terms.</t>
  </si>
  <si>
    <t xml:space="preserve">C08, C03</t>
  </si>
  <si>
    <t xml:space="preserve">Hand-off passes "already saved".</t>
  </si>
  <si>
    <t xml:space="preserve">Tax rate restricted to 20% or 40%.</t>
  </si>
  <si>
    <t xml:space="preserve">"60+ years" in every row at the end of the table.</t>
  </si>
  <si>
    <t xml:space="preserve">€0 surplus reads "Nothing left over this month".</t>
  </si>
  <si>
    <t xml:space="preserve">Assumptions</t>
  </si>
  <si>
    <t xml:space="preserve">Constants added for the fixes (DIRT, exit tax, Illness Benefit, survivor's pension); inflation reference refreshed (3.4% Aug 2026).</t>
  </si>
  <si>
    <t xml:space="preserve">Not applied (for Pooja to decide)</t>
  </si>
  <si>
    <t xml:space="preserve">All calculators</t>
  </si>
  <si>
    <t xml:space="preserve">Journey spec §14</t>
  </si>
  <si>
    <t xml:space="preserve">Every input typed: 1 = set by Government (Assumptions only, grey, not an input); 2 = range ("Usually between X and Y (source)"); 3 = personal, blank until chosen ("Generally the standard is X (source). Choose what you want to use."). Blank inputs give "Choose your … to see this"; README switch "Fill example values?" (default No) fills them from the grey "Example only" column.</t>
  </si>
  <si>
    <t xml:space="preserve">C11, C15, C22, C13</t>
  </si>
  <si>
    <t xml:space="preserve">UI/UX Appendix B</t>
  </si>
  <si>
    <t xml:space="preserve">Singular "1 month"; C15 at the 60-year cap reads "Beyond [plan-until age] (your plan-until age)", as the prototype (not "age 126"); C13/C14 show the relief room left after what you already pay in.</t>
  </si>
  <si>
    <t xml:space="preserve">Remove the placeholder "[confirm current Central Bank rules]" from the customer line (prototype copy; the workbook uses the audit's replacement wording).</t>
  </si>
  <si>
    <t xml:space="preserve">C01, C03</t>
  </si>
  <si>
    <t xml:space="preserve">Help to Buy as an optional deposit input (rules audit #62).</t>
  </si>
  <si>
    <t xml:space="preserve">Use "−" (not "-") in the rate text (prototype copy).</t>
  </si>
  <si>
    <t xml:space="preserve">House prices rising while saving (stamp duty and fees are now included).</t>
  </si>
  <si>
    <t xml:space="preserve">Local Property Tax and insurance in the cost of owning (rules audit #63).</t>
  </si>
  <si>
    <t xml:space="preserve">C08–C10, C18</t>
  </si>
  <si>
    <t xml:space="preserve">An after-tax result row (DIRT 33% / exit tax 38% with deemed disposal). Only the "before tax" note is applied.</t>
  </si>
  <si>
    <t xml:space="preserve">Hide "start later" when the term is no longer than the wait.</t>
  </si>
  <si>
    <t xml:space="preserve">Tip copy: "Often 3 to 6 months" instead of "Ideal: 6 months" (prototype copy).</t>
  </si>
  <si>
    <t xml:space="preserve">Gross up the desired income for tax (a "before tax" note is applied instead).</t>
  </si>
  <si>
    <t xml:space="preserve">Contributions rising with pay (as C12): €70,503, not €54,572, at defaults.</t>
  </si>
  <si>
    <t xml:space="preserve">ARF imputed distribution hint (4% from 61, 5% from 71, 6% over €2m).</t>
  </si>
  <si>
    <t xml:space="preserve">Treat the growth rates as median (geometric) returns.</t>
  </si>
  <si>
    <t xml:space="preserve">Discount the income need; funeral costs and CAT; a survivor's-age switch (the guidance gives the 66+ rate).</t>
  </si>
  <si>
    <t xml:space="preserve">Explain statutory sick pay (5 days) vs the employer's scheme (a short note is in How it works).</t>
  </si>
  <si>
    <t xml:space="preserve">Note joint-life / dual-life cover and the insurer's assumed reduction rate.</t>
  </si>
  <si>
    <t xml:space="preserve">C25, C26</t>
  </si>
  <si>
    <t xml:space="preserve">Round the take-home pre-fill to whole euros (prototype).</t>
  </si>
  <si>
    <t xml:space="preserve">Plan engine (HTML)</t>
  </si>
  <si>
    <t xml:space="preserve">Rules audit P1–P3</t>
  </si>
  <si>
    <t xml:space="preserve">Now done: the plan engine (project()) is now built in the Plan sheets of this workbook, with the same rules (married relief and joint assessment, PRSI and State Pension at 66+, PRSI on ARF draws, Class S, PRSI path by year, auto-enrolment, partner State Pension, ARF minimum draw, age-80 supplement). They are checked against the prototype by the plan-vs-xlsx test.</t>
  </si>
  <si>
    <t xml:space="preserve">Copy</t>
  </si>
  <si>
    <t xml:space="preserve">Fix the "29 calculators" note (there are 28).</t>
  </si>
  <si>
    <t xml:space="preserve">Plan sheets and the Calculation register</t>
  </si>
  <si>
    <t xml:space="preserve">Everything you type for the plan: about you, goals, finances, assumptions, what-if.</t>
  </si>
  <si>
    <t xml:space="preserve">Law figures (read from Assumptions), the figures the plan uses, and each year's pay, pension and tax.</t>
  </si>
  <si>
    <t xml:space="preserve">Mortgage, cards and loans month by month.</t>
  </si>
  <si>
    <t xml:space="preserve">One row per year: money in, spending, goals, saving, savings left.</t>
  </si>
  <si>
    <t xml:space="preserve">Goals in funding order, each goal's % covered, band and goal line.</t>
  </si>
  <si>
    <t xml:space="preserve">What the Results, Home and Plan screens show: saving, gate, findings, foundations, retirement at a glance, road and chart numbers.</t>
  </si>
  <si>
    <t xml:space="preserve">Money personality, risk profile and money terms from the Discover and Understand Me answers.</t>
  </si>
  <si>
    <t xml:space="preserve">One paragraph per sheet, and which prototype value each Plan input is.</t>
  </si>
  <si>
    <t xml:space="preserve">Every place the prototype calculates, scores or shows a number, where it is in the workbook, and whether it was matched in a test.</t>
  </si>
  <si>
    <t xml:space="preserve">Two figures are typed on purpose (the app finds them by trying values; a spreadsheet cannot): see "Plan how it works". Findings, foundations and the home figures are for the base plan, so they match the app when the what-if is zero.</t>
  </si>
  <si>
    <t xml:space="preserve">C01 · How much could I borrow?</t>
  </si>
  <si>
    <t xml:space="preserve">Category: Home &amp; Mortgage · prototype id: borrow</t>
  </si>
  <si>
    <t xml:space="preserve">Question it answers: What home price could be within reach?</t>
  </si>
  <si>
    <t xml:space="preserve">Applies the Central Bank limits (4× or 3.5× income, 90% loan-to-value) to show the most you could borrow and the home price that gives, after stamp duty and fees.</t>
  </si>
  <si>
    <t xml:space="preserve">INPUTS</t>
  </si>
  <si>
    <t xml:space="preserve">Your figure</t>
  </si>
  <si>
    <t xml:space="preserve">Unit</t>
  </si>
  <si>
    <t xml:space="preserve">Allowed</t>
  </si>
  <si>
    <t xml:space="preserve">Example only (grey; used only when "Fill example values" is Yes)</t>
  </si>
  <si>
    <t xml:space="preserve">Your gross yearly income</t>
  </si>
  <si>
    <t xml:space="preserve">€</t>
  </si>
  <si>
    <t xml:space="preserve">Type 3 · your figure · Your own figure. In the app it is pre-filled from Your finances: income. Allowed: €15,000 to €2,500,000 · steps of €1,000</t>
  </si>
  <si>
    <t xml:space="preserve">Partner's gross yearly income</t>
  </si>
  <si>
    <t xml:space="preserve">Type 3 · your figure · Your own figure. In the app it is pre-filled from Your finances: partner's income. Allowed: €0 to €2,500,000 · steps of €1,000</t>
  </si>
  <si>
    <t xml:space="preserve">Deposit saved</t>
  </si>
  <si>
    <t xml:space="preserve">Type 3 · your figure · Your own figure. In the app it is pre-filled from Plan: home goal's amount saved. Allowed: €0 to €2,000,000 · steps of €1,000</t>
  </si>
  <si>
    <t xml:space="preserve">First-time buyer?</t>
  </si>
  <si>
    <t xml:space="preserve">Yes / No</t>
  </si>
  <si>
    <t xml:space="preserve">Type 3 · your figure · Your own figure. In the app it is pre-filled from Your finances: home status (owner = No). Allowed: Yes or No</t>
  </si>
  <si>
    <t xml:space="preserve">Yes</t>
  </si>
  <si>
    <t xml:space="preserve">Mortgage interest rate</t>
  </si>
  <si>
    <t xml:space="preserve">%</t>
  </si>
  <si>
    <t xml:space="preserve">Mortgage term</t>
  </si>
  <si>
    <t xml:space="preserve">years</t>
  </si>
  <si>
    <t xml:space="preserve">Type 3 · your figure · Your own figure. Allowed: 10 to 35 · steps of 1</t>
  </si>
  <si>
    <t xml:space="preserve">Legal and other buying fees</t>
  </si>
  <si>
    <t xml:space="preserve">Years until you buy (for the plan)</t>
  </si>
  <si>
    <t xml:space="preserve">Type 3 · your figure · Your own figure. Allowed: 1 to 30 · steps of 1</t>
  </si>
  <si>
    <t xml:space="preserve">What if: save extra towards the deposit</t>
  </si>
  <si>
    <t xml:space="preserve">Type 3 · optional · Optional: leave blank for none. Allowed: €0 to €500,000 · steps of €1,000</t>
  </si>
  <si>
    <t xml:space="preserve">RESULTS</t>
  </si>
  <si>
    <t xml:space="preserve">Result</t>
  </si>
  <si>
    <t xml:space="preserve">Shown as</t>
  </si>
  <si>
    <t xml:space="preserve">Formula</t>
  </si>
  <si>
    <t xml:space="preserve">Homes up to about</t>
  </si>
  <si>
    <t xml:space="preserve">ƒx  =MIN(Price_By_Deposit,Price_By_Income)</t>
  </si>
  <si>
    <t xml:space="preserve">Most you could borrow</t>
  </si>
  <si>
    <t xml:space="preserve">ƒx  =MIN(Borrow_By_Income,LTV_Max*Home_Price)</t>
  </si>
  <si>
    <t xml:space="preserve">Monthly repayment (illustrative)</t>
  </si>
  <si>
    <t xml:space="preserve">ƒx  =PMT(Interest_Rate/12,Term_Years*12,-Max_Loan)</t>
  </si>
  <si>
    <t xml:space="preserve">Stamp duty on that price (paid from your deposit)</t>
  </si>
  <si>
    <t xml:space="preserve">ƒx  =SD_Rate_1*MIN(Home_Price,SD_Band_1)+SD_Rate_2*MAX(0,MIN(Home_Price,SD_Band_2)-SD_Band_1)+SD_Rate_3*MAX(0,Home_Price-SD_Band_2)</t>
  </si>
  <si>
    <t xml:space="preserve">Borrowing allowed by income</t>
  </si>
  <si>
    <t xml:space="preserve">ƒx  =(Income+Partner_Income)*Income_Multiple</t>
  </si>
  <si>
    <t xml:space="preserve">Income multiple used</t>
  </si>
  <si>
    <t xml:space="preserve">× income</t>
  </si>
  <si>
    <t xml:space="preserve">ƒx  =IF(First_Time_Buyer="Yes",LTI_FTB,LTI_SSB)</t>
  </si>
  <si>
    <t xml:space="preserve">Your deposit (incl. what-if extra)</t>
  </si>
  <si>
    <t xml:space="preserve">ƒx  =Deposit+Extra_Deposit</t>
  </si>
  <si>
    <t xml:space="preserve">Deposit left for the price after fees</t>
  </si>
  <si>
    <t xml:space="preserve">ƒx  =MAX(0,Total_Deposit-Buying_Fees)</t>
  </si>
  <si>
    <t xml:space="preserve">Deposit + stamp duty needed for a €1m home</t>
  </si>
  <si>
    <t xml:space="preserve">ƒx  =(1-LTV_Max+SD_Rate_1)*SD_Band_1</t>
  </si>
  <si>
    <t xml:space="preserve">Deposit + stamp duty needed for a €1.5m home</t>
  </si>
  <si>
    <t xml:space="preserve">ƒx  =Cash_At_Band_1+(1-LTV_Max+SD_Rate_2)*(SD_Band_2-SD_Band_1)</t>
  </si>
  <si>
    <t xml:space="preserve">Price your deposit allows (10% deposit + stamp duty)</t>
  </si>
  <si>
    <t xml:space="preserve">ƒx  =IF(Cash_For_Price&lt;=Cash_At_Band_1,Cash_For_Price/(1-LTV_Max+SD_Rate_1),IF(Cash_For_Price&lt;=Cash_At_Band_2,SD_Band_1+(Cash_For_Price-Cash_At_Band_1)/(1-LTV_Max+SD_Rate_2),SD_Band_2+(Cash_For_Price-Cash_At_Band_2)/(1-LTV_Max+SD_Rate_3)))</t>
  </si>
  <si>
    <t xml:space="preserve">Income limit + deposit left after fees</t>
  </si>
  <si>
    <t xml:space="preserve">ƒx  =Borrow_By_Income+Cash_For_Price</t>
  </si>
  <si>
    <t xml:space="preserve">Price your income allows (loan + deposit, after stamp duty)</t>
  </si>
  <si>
    <t xml:space="preserve">ƒx  =IF(Income_Cash&lt;=(1+SD_Rate_1)*SD_Band_1,Income_Cash/(1+SD_Rate_1),IF(Income_Cash&lt;=(1+SD_Rate_1)*SD_Band_1+(1+SD_Rate_2)*(SD_Band_2-SD_Band_1),SD_Band_1+(Income_Cash-(1+SD_Rate_1)*SD_Band_1)/(1+SD_Rate_2),SD_Band_2+(Income_Cash-(1+SD_Rate_1)*SD_Band_1-(1+SD_Rate_2)*(SD_Band_2-SD_Band_1))/(1+SD_Rate_3)))</t>
  </si>
  <si>
    <t xml:space="preserve">What sets the limit</t>
  </si>
  <si>
    <t xml:space="preserve">ƒx  =IF(Price_By_Deposit&lt;Price_By_Income,"Your deposit","Your income")</t>
  </si>
  <si>
    <t xml:space="preserve">HOW IT WORKS</t>
  </si>
  <si>
    <t xml:space="preserve">• Income limit = combined gross income × 4 (first-time buyer) or × 3.5 (everyone else). The loan can also be at most 90% of the price.</t>
  </si>
  <si>
    <t xml:space="preserve">• Your deposit must pay 10% of the price, the stamp duty (1% up to €1m, 2% on €1m–€1.5m, 6% above) and the buying fees. So the price is the lower of: what the deposit allows (10% + stamp duty) and what income + deposit allow (price + stamp duty). Both are solved exactly, band by band.</t>
  </si>
  <si>
    <t xml:space="preserve">• Repayment = standard annuity PMT at rate ÷ 12 over the term.</t>
  </si>
  <si>
    <t xml:space="preserve">Edge rules and validation:</t>
  </si>
  <si>
    <t xml:space="preserve">• First-time buyer is a Yes/No choice.</t>
  </si>
  <si>
    <t xml:space="preserve">• When both limits are equal the text says the income sets the limit.</t>
  </si>
  <si>
    <t xml:space="preserve">• Lenders can lend above these limits for a small share of loans each year, so some buyers get an exception. Your lender decides.</t>
  </si>
  <si>
    <t xml:space="preserve">• At 0% interest Excel's PMT/NPER/FV give amount ÷ months, so no special case is needed in Excel; in code use payment = amount / months.</t>
  </si>
  <si>
    <t xml:space="preserve">ADD TO MY PLAN (what this calculator sends to the plan)</t>
  </si>
  <si>
    <t xml:space="preserve">Goal</t>
  </si>
  <si>
    <t xml:space="preserve">ƒx  ="Buy a home (deposit goal)"</t>
  </si>
  <si>
    <t xml:space="preserve">Amount (today's money): 10% deposit + stamp duty + fees</t>
  </si>
  <si>
    <t xml:space="preserve">ƒx  =ROUND(Home_Price*Min_Deposit_Pct+Stamp_Duty+Buying_Fees,0)</t>
  </si>
  <si>
    <t xml:space="preserve">Already saved</t>
  </si>
  <si>
    <t xml:space="preserve">ƒx  =Total_Deposit</t>
  </si>
  <si>
    <t xml:space="preserve">In (years)</t>
  </si>
  <si>
    <t xml:space="preserve">ƒx  =Home_Goal_Years</t>
  </si>
  <si>
    <t xml:space="preserve">CHOICES STILL NEEDED (helper rows: blank = all inputs a result needs are filled)</t>
  </si>
  <si>
    <t xml:space="preserve">Needs: buying fees, deposit saved, first-time buyer answer, gross yearly income, partner's gross yearly income</t>
  </si>
  <si>
    <t xml:space="preserve">Needs: buying fees, deposit saved, first-time buyer answer, gross yearly income, interest rate, partner's gross yearly income, mortgage term</t>
  </si>
  <si>
    <t xml:space="preserve">Needs: first-time buyer answer, gross yearly income, partner's gross yearly income</t>
  </si>
  <si>
    <t xml:space="preserve">Needs: first-time buyer answer</t>
  </si>
  <si>
    <t xml:space="preserve">Needs: deposit saved</t>
  </si>
  <si>
    <t xml:space="preserve">Needs: buying fees, deposit saved</t>
  </si>
  <si>
    <t xml:space="preserve">Needs: years until you buy</t>
  </si>
  <si>
    <t xml:space="preserve">Note: stamp duty is worked out on the price shown; for a new home it is charged on the price excluding VAT, and Help to Buy is not included.</t>
  </si>
  <si>
    <t xml:space="preserve">C02 · Monthly mortgage repayment</t>
  </si>
  <si>
    <t xml:space="preserve">Category: Home &amp; Mortgage · prototype id: repayment</t>
  </si>
  <si>
    <t xml:space="preserve">Question it answers: What would my monthly repayment be?</t>
  </si>
  <si>
    <t xml:space="preserve">Works out the monthly repayment, how long until the mortgage is paid off and the total interest; and what a rate change would do.</t>
  </si>
  <si>
    <t xml:space="preserve">FROM YOUR STATEMENT (filled automatically by the document reader)</t>
  </si>
  <si>
    <t xml:space="preserve">Document: Mortgage statement (annual statement of account) or offer letter. Blank = no statement uploaded, or the figure is not on it. Grey-blue cells are filled by the reader (you can type here to test).</t>
  </si>
  <si>
    <t xml:space="preserve">Outstanding balance</t>
  </si>
  <si>
    <t xml:space="preserve">Allowed: €0 to €10,000,000</t>
  </si>
  <si>
    <t xml:space="preserve">Reader field: see note</t>
  </si>
  <si>
    <t xml:space="preserve">Interest rate</t>
  </si>
  <si>
    <t xml:space="preserve">Allowed: 0% to 15%</t>
  </si>
  <si>
    <t xml:space="preserve">Term remaining</t>
  </si>
  <si>
    <t xml:space="preserve">Allowed: 0 to 40</t>
  </si>
  <si>
    <t xml:space="preserve">Monthly repayment</t>
  </si>
  <si>
    <t xml:space="preserve">Allowed: €0 to €100,000</t>
  </si>
  <si>
    <t xml:space="preserve">Statement date</t>
  </si>
  <si>
    <t xml:space="preserve">date</t>
  </si>
  <si>
    <t xml:space="preserve">Allowed: a date (dd/mm/yyyy)</t>
  </si>
  <si>
    <t xml:space="preserve">OR TYPE IT YOURSELF</t>
  </si>
  <si>
    <t xml:space="preserve">Mortgage amount</t>
  </si>
  <si>
    <t xml:space="preserve">Type 3 · your figure · Your own figure. In the app it is pre-filled from Your finances / mortgage statement: balance. Allowed: €50,000 to €10,000,000 · steps of €1,000</t>
  </si>
  <si>
    <t xml:space="preserve">Term</t>
  </si>
  <si>
    <t xml:space="preserve">Type 3 · your figure · Your own figure. In the app it is pre-filled from Years left (25 if not given). Allowed: 5 to 35 · steps of 1</t>
  </si>
  <si>
    <t xml:space="preserve">Your actual monthly repayment (optional, 0 = work it out)</t>
  </si>
  <si>
    <t xml:space="preserve">Type 3 · optional · Optional: leave blank for none. Allowed: €0 to €100,000 · steps of €1</t>
  </si>
  <si>
    <t xml:space="preserve">What if: rates change by</t>
  </si>
  <si>
    <t xml:space="preserve">Type 3 · optional · Optional: leave blank for none. Allowed: -2% to 3% · steps of 0.25%</t>
  </si>
  <si>
    <t xml:space="preserve">FIGURE USED (statement figure if present, else your figure)</t>
  </si>
  <si>
    <t xml:space="preserve">ƒx  =IF(ISBLANK(Stmt_Balance),Loan_Amount,Stmt_Balance)</t>
  </si>
  <si>
    <t xml:space="preserve">ƒx  =IF(ISBLANK(Stmt_Rate),Interest_Rate,Stmt_Rate)</t>
  </si>
  <si>
    <t xml:space="preserve">ƒx  =IF(ISBLANK(Stmt_Term),Term_Years,Stmt_Term)</t>
  </si>
  <si>
    <t xml:space="preserve">Actual monthly repayment (0 = work it out)</t>
  </si>
  <si>
    <t xml:space="preserve">ƒx  =IF(ISBLANK(Stmt_Repayment),Actual_Repayment,Stmt_Repayment)</t>
  </si>
  <si>
    <t xml:space="preserve">Statement date check</t>
  </si>
  <si>
    <t xml:space="preserve">ƒx  =IF(ISBLANK(Stmt_Statement_Date),"",IF(TODAY()-Stmt_Statement_Date&gt;Statement_Max_Age_Days,"Needs a look: statement is more than 12 months old","Up to date"))</t>
  </si>
  <si>
    <t xml:space="preserve">ƒx  =IF(Used_Actual_Repayment&gt;0,Used_Actual_Repayment,Formula_Repayment)</t>
  </si>
  <si>
    <t xml:space="preserve">Mortgage free in (months)</t>
  </si>
  <si>
    <t xml:space="preserve">ƒx  =IF(Monthly_Repayment&lt;=Used_Loan_Amount*Monthly_Rate,"Never",ROUNDUP(ROUND(NPER(Monthly_Rate,-Monthly_Repayment,Used_Loan_Amount),6),0))</t>
  </si>
  <si>
    <t xml:space="preserve">Total interest</t>
  </si>
  <si>
    <t xml:space="preserve">ƒx  =IF(Months_To_Pay="Never","—",Monthly_Repayment*(Months_To_Pay-1)+Final_Payment-Used_Loan_Amount)</t>
  </si>
  <si>
    <t xml:space="preserve">Total repaid</t>
  </si>
  <si>
    <t xml:space="preserve">ƒx  =IF(Months_To_Pay="Never","—",Used_Loan_Amount+Total_Interest)</t>
  </si>
  <si>
    <t xml:space="preserve">Monthly interest rate</t>
  </si>
  <si>
    <t xml:space="preserve">ƒx  =Used_Interest_Rate/12</t>
  </si>
  <si>
    <t xml:space="preserve">Repayment by formula (standard annuity)</t>
  </si>
  <si>
    <t xml:space="preserve">ƒx  =PMT(Monthly_Rate,Used_Term_Years*12,-Used_Loan_Amount)</t>
  </si>
  <si>
    <t xml:space="preserve">Last (part) payment</t>
  </si>
  <si>
    <t xml:space="preserve">ƒx  =IF(Months_To_Pay="Never","—",-FV(Monthly_Rate,Months_To_Pay-1,-Monthly_Repayment,Used_Loan_Amount)*(1+Monthly_Rate))      (balance left before the last month, plus that month's interest)</t>
  </si>
  <si>
    <t xml:space="preserve">What if: new rate (never below 0%)</t>
  </si>
  <si>
    <t xml:space="preserve">ƒx  =MAX(0,Used_Interest_Rate+Rate_Change)</t>
  </si>
  <si>
    <t xml:space="preserve">What if: monthly repayment</t>
  </si>
  <si>
    <t xml:space="preserve">ƒx  =Monthly_Repayment+PMT(New_Rate/12,Used_Term_Years*12,-Used_Loan_Amount)-Formula_Repayment</t>
  </si>
  <si>
    <t xml:space="preserve">What if: change over a year</t>
  </si>
  <si>
    <t xml:space="preserve">ƒx  =(Repayment_If_Changed-Monthly_Repayment)*12</t>
  </si>
  <si>
    <t xml:space="preserve">• Repayment = PMT(rate ÷ 12, years × 12, −amount), the standard repayment-mortgage formula; your stated repayment replaces it if you give one.</t>
  </si>
  <si>
    <t xml:space="preserve">• Months to pay off = NPER(rate ÷ 12, −repayment, amount), rounded up. Total interest = all full payments + the last part payment − the amount (exact, as a lender's schedule).</t>
  </si>
  <si>
    <t xml:space="preserve">• What if: the stated repayment moves by the same amount as the formula repayment would: repayment + PMT(new rate) − PMT(current rate). The new rate is floored at 0%.</t>
  </si>
  <si>
    <t xml:space="preserve">• If the payment is at or below the first month's interest the balance never falls: show "Never at this repayment" and leave total interest blank ("—").</t>
  </si>
  <si>
    <t xml:space="preserve">• More than 1,200 months (100 years) is shown as "Over 100 years"; the exact month count is still calculated (no loop cap).</t>
  </si>
  <si>
    <t xml:space="preserve">• NPER is rounded to 6 decimals before rounding up, so a repayment that exactly fits the term ends on the term (floating-point noise would otherwise add a month).</t>
  </si>
  <si>
    <t xml:space="preserve">Amount (today's money): the deposit for this loan</t>
  </si>
  <si>
    <t xml:space="preserve">ƒx  =ROUND(Used_Loan_Amount*(1-LTV_Max)/LTV_Max,0)</t>
  </si>
  <si>
    <t xml:space="preserve">Audit fix: the mortgage amount itself is borrowing, not a savings goal, so only the deposit (loan ÷ 9 at 90% LTV) is sent.</t>
  </si>
  <si>
    <t xml:space="preserve">Needs: Used_Actual_Repayment, Used_Interest_Rate, Used_Loan_Amount, Used_Term_Years</t>
  </si>
  <si>
    <t xml:space="preserve">Needs: Used_Interest_Rate</t>
  </si>
  <si>
    <t xml:space="preserve">Needs: Used_Interest_Rate, Used_Loan_Amount, Used_Term_Years</t>
  </si>
  <si>
    <t xml:space="preserve">Needs: Used_Loan_Amount</t>
  </si>
  <si>
    <t xml:space="preserve">Note: the rate is a yearly rate, compounded monthly (nominal rate ÷ 12), the way lenders quote mortgage rates.</t>
  </si>
  <si>
    <t xml:space="preserve">C03 · Deposit calculator</t>
  </si>
  <si>
    <t xml:space="preserve">Category: Home &amp; Mortgage · prototype id: deposit</t>
  </si>
  <si>
    <t xml:space="preserve">Question it answers: How long until I have my deposit?</t>
  </si>
  <si>
    <t xml:space="preserve">Works out the deposit, stamp duty and fees you need and how many months of saving it takes.</t>
  </si>
  <si>
    <t xml:space="preserve">Home price</t>
  </si>
  <si>
    <t xml:space="preserve">Type 3 · your figure · Your own figure. Allowed: €100,000 to €10,000,000 · steps of €5,000</t>
  </si>
  <si>
    <t xml:space="preserve">Deposit needed</t>
  </si>
  <si>
    <t xml:space="preserve">Type 3 · your figure · Your own figure. Allowed: 10% to 30% · steps of 1% · the Central Bank minimum is 10% (90% LTV)</t>
  </si>
  <si>
    <t xml:space="preserve">Saved so far</t>
  </si>
  <si>
    <t xml:space="preserve">Type 3 · your figure · Your own figure. In the app it is pre-filled from Plan: home goal's amount saved. Allowed: €0 to €2,000,000 · steps of €500</t>
  </si>
  <si>
    <t xml:space="preserve">Monthly saving</t>
  </si>
  <si>
    <t xml:space="preserve">Type 3 · your figure · Your own figure. Allowed: €50 to €50,000 · steps of €50</t>
  </si>
  <si>
    <t xml:space="preserve">What if: save extra each month</t>
  </si>
  <si>
    <t xml:space="preserve">Type 3 · optional · Optional: leave blank for none. Allowed: €0 to €15,000 · steps of €50</t>
  </si>
  <si>
    <t xml:space="preserve">Time to your deposit (months)</t>
  </si>
  <si>
    <t xml:space="preserve">ƒx  =IF(Still_To_Save=0,0,ROUNDUP(Still_To_Save/(Monthly_Saving+Extra_Saving),0))</t>
  </si>
  <si>
    <t xml:space="preserve">Total you need (deposit + stamp duty + fees)</t>
  </si>
  <si>
    <t xml:space="preserve">ƒx  =Deposit_Needed+Stamp_Duty+Buying_Fees</t>
  </si>
  <si>
    <t xml:space="preserve">Still to save</t>
  </si>
  <si>
    <t xml:space="preserve">ƒx  =MAX(0,Total_Needed-Saved)</t>
  </si>
  <si>
    <t xml:space="preserve">Deposit</t>
  </si>
  <si>
    <t xml:space="preserve">ƒx  =Home_Price*Deposit_Pct</t>
  </si>
  <si>
    <t xml:space="preserve">Stamp duty</t>
  </si>
  <si>
    <t xml:space="preserve">• Deposit = price × deposit %. Stamp duty = 1% up to €1m, 2% on €1m–€1.5m, 6% above. Total = deposit + stamp duty + fees.</t>
  </si>
  <si>
    <t xml:space="preserve">• Months = still to save ÷ monthly saving (incl. the what-if extra), rounded up. No interest and no house-price growth are assumed.</t>
  </si>
  <si>
    <t xml:space="preserve">• Deposit % starts at 10%, the Central Bank minimum (90% loan-to-value).</t>
  </si>
  <si>
    <t xml:space="preserve">• Nothing left to save shows "You have your deposit".</t>
  </si>
  <si>
    <t xml:space="preserve">• Monthly saving must be at least €50, so there is no divide by zero.</t>
  </si>
  <si>
    <t xml:space="preserve">ƒx  ="Home deposit"</t>
  </si>
  <si>
    <t xml:space="preserve">Amount (today's money): deposit + stamp duty + fees</t>
  </si>
  <si>
    <t xml:space="preserve">ƒx  =ROUND(Total_Needed,0)</t>
  </si>
  <si>
    <t xml:space="preserve">ƒx  =Saved</t>
  </si>
  <si>
    <t xml:space="preserve">ƒx  =MAX(1,ROUNDUP(Months_To_Deposit/12,0))</t>
  </si>
  <si>
    <t xml:space="preserve">Needs: buying fees, deposit %, home price, monthly saving, saved so far</t>
  </si>
  <si>
    <t xml:space="preserve">Needs: buying fees, deposit %, home price</t>
  </si>
  <si>
    <t xml:space="preserve">Needs: buying fees, deposit %, home price, saved so far</t>
  </si>
  <si>
    <t xml:space="preserve">Needs: deposit %, home price</t>
  </si>
  <si>
    <t xml:space="preserve">Needs: home price</t>
  </si>
  <si>
    <t xml:space="preserve">Needs: saved so far</t>
  </si>
  <si>
    <t xml:space="preserve">C04 · Mortgage overpayment</t>
  </si>
  <si>
    <t xml:space="preserve">Category: Home &amp; Mortgage · prototype id: overpay</t>
  </si>
  <si>
    <t xml:space="preserve">Question it answers: What if I paid a little extra each month?</t>
  </si>
  <si>
    <t xml:space="preserve">Compares paying off the mortgage at your repayment with paying a little extra each month: time and interest saved.</t>
  </si>
  <si>
    <t xml:space="preserve">Mortgage balance</t>
  </si>
  <si>
    <t xml:space="preserve">Type 3 · your figure · Your own figure. In the app it is pre-filled from Your finances / statement: balance. Allowed: €20,000 to €10,000,000 · steps of €1,000</t>
  </si>
  <si>
    <t xml:space="preserve">Years left</t>
  </si>
  <si>
    <t xml:space="preserve">Type 3 · your figure · Your own figure. In the app it is pre-filled from Years left (25 if not given). Allowed: 3 to 35 · steps of 1</t>
  </si>
  <si>
    <t xml:space="preserve">Extra each month</t>
  </si>
  <si>
    <t xml:space="preserve">Type 3 · your figure · Your own figure. Allowed: €0 to €20,000 · steps of €25</t>
  </si>
  <si>
    <t xml:space="preserve">ƒx  =IF(ISBLANK(Stmt_Balance),Mortgage_Balance,Stmt_Balance)</t>
  </si>
  <si>
    <t xml:space="preserve">ƒx  =IF(ISBLANK(Stmt_Term),Years_Left,Stmt_Term)</t>
  </si>
  <si>
    <t xml:space="preserve">Mortgage free sooner by (months)</t>
  </si>
  <si>
    <t xml:space="preserve">ƒx  =IF(OR(Months_Now="Never",Months_With_Extra="Never"),"—",Months_Now-Months_With_Extra)</t>
  </si>
  <si>
    <t xml:space="preserve">Interest saved</t>
  </si>
  <si>
    <t xml:space="preserve">ƒx  =IF(OR(Months_Now="Never",Months_With_Extra="Never"),"—",Interest_Now-Interest_With_Extra)</t>
  </si>
  <si>
    <t xml:space="preserve">Mortgage free now in (months)</t>
  </si>
  <si>
    <t xml:space="preserve">ƒx  =IF(Repayment_Now&lt;=Used_Mortgage_Balance*Monthly_Rate,"Never",ROUNDUP(ROUND(NPER(Monthly_Rate,-Repayment_Now,Used_Mortgage_Balance),6),0))</t>
  </si>
  <si>
    <t xml:space="preserve">With the extra (months)</t>
  </si>
  <si>
    <t xml:space="preserve">ƒx  =IF(Repayment_With_Extra&lt;=Used_Mortgage_Balance*Monthly_Rate,"Never",ROUNDUP(ROUND(NPER(Monthly_Rate,-Repayment_With_Extra,Used_Mortgage_Balance),6),0))</t>
  </si>
  <si>
    <t xml:space="preserve">Repayment now</t>
  </si>
  <si>
    <t xml:space="preserve">ƒx  =IF(Used_Actual_Repayment&gt;0,Used_Actual_Repayment,PMT(Monthly_Rate,Used_Years_Left*12,-Used_Mortgage_Balance))</t>
  </si>
  <si>
    <t xml:space="preserve">Repayment with the extra</t>
  </si>
  <si>
    <t xml:space="preserve">ƒx  =Repayment_Now+Extra_Payment</t>
  </si>
  <si>
    <t xml:space="preserve">Last (part) payment now</t>
  </si>
  <si>
    <t xml:space="preserve">ƒx  =IF(Months_Now="Never","—",-FV(Monthly_Rate,Months_Now-1,-Repayment_Now,Used_Mortgage_Balance)*(1+Monthly_Rate))</t>
  </si>
  <si>
    <t xml:space="preserve">Last (part) payment with the extra</t>
  </si>
  <si>
    <t xml:space="preserve">ƒx  =IF(Months_With_Extra="Never","—",-FV(Monthly_Rate,Months_With_Extra-1,-Repayment_With_Extra,Used_Mortgage_Balance)*(1+Monthly_Rate))</t>
  </si>
  <si>
    <t xml:space="preserve">Total interest now</t>
  </si>
  <si>
    <t xml:space="preserve">ƒx  =IF(Months_Now="Never","—",Repayment_Now*(Months_Now-1)+Last_Payment_Now-Used_Mortgage_Balance)</t>
  </si>
  <si>
    <t xml:space="preserve">Total interest with the extra</t>
  </si>
  <si>
    <t xml:space="preserve">ƒx  =IF(Months_With_Extra="Never","—",Repayment_With_Extra*(Months_With_Extra-1)+Last_Payment_With_Extra-Used_Mortgage_Balance)</t>
  </si>
  <si>
    <t xml:space="preserve">• Months to pay off = NPER(rate ÷ 12, −repayment, balance), rounded up, worked out twice: at your repayment and at repayment + extra.</t>
  </si>
  <si>
    <t xml:space="preserve">• Total interest = full payments + last part payment − balance. Interest saved = interest now − interest with the extra. Sooner by = the difference in months.</t>
  </si>
  <si>
    <t xml:space="preserve">• If your repayment never clears the mortgage: "Not at this repayment", and "—" for sooner by and interest saved (no negative saving).</t>
  </si>
  <si>
    <t xml:space="preserve">• If even the extra does not clear it: "—" for "With the extra" and no goal is sent.</t>
  </si>
  <si>
    <t xml:space="preserve">• A difference of 0 months reads "No change".</t>
  </si>
  <si>
    <t xml:space="preserve">ƒx  =IF(Months_With_Extra="Never","No goal","Mortgage free (plan kind mfree, priced from your mortgage; no cash amount)")</t>
  </si>
  <si>
    <t xml:space="preserve">ƒx  =IF(Months_With_Extra="Never","—",ROUNDUP(Months_With_Extra/12,0))</t>
  </si>
  <si>
    <t xml:space="preserve">Audit fix: the old goal sent today's balance as a cash spend at the payoff year (a double count). The plan should also raise its mortgage repayment by the extra.</t>
  </si>
  <si>
    <t xml:space="preserve">Needs: extra each month, Used_Actual_Repayment, Used_Interest_Rate, Used_Mortgage_Balance, Used_Years_Left</t>
  </si>
  <si>
    <t xml:space="preserve">Needs: Used_Actual_Repayment, Used_Interest_Rate, Used_Mortgage_Balance, Used_Years_Left</t>
  </si>
  <si>
    <t xml:space="preserve">C05 · Interest-rate impact</t>
  </si>
  <si>
    <t xml:space="preserve">Category: Home &amp; Mortgage · prototype id: ratechange</t>
  </si>
  <si>
    <t xml:space="preserve">Question it answers: What if my mortgage rate changed?</t>
  </si>
  <si>
    <t xml:space="preserve">Shows how much your monthly repayment changes if your mortgage rate goes up or down.</t>
  </si>
  <si>
    <t xml:space="preserve">Type 3 · your figure · Your own figure. In the app it is pre-filled from Your finances / statement: balance. Allowed: €50,000 to €10,000,000 · steps of €1,000</t>
  </si>
  <si>
    <t xml:space="preserve">Current rate</t>
  </si>
  <si>
    <t xml:space="preserve">Rate change</t>
  </si>
  <si>
    <t xml:space="preserve">Type 3 · your figure · Your own figure. Allowed: -2% to 3% · steps of 0.25%</t>
  </si>
  <si>
    <t xml:space="preserve">ƒx  =IF(ISBLANK(Stmt_Rate),Current_Rate,Stmt_Rate)</t>
  </si>
  <si>
    <t xml:space="preserve">Monthly change</t>
  </si>
  <si>
    <t xml:space="preserve">ƒx  =Repayment_After-Repayment_Now</t>
  </si>
  <si>
    <t xml:space="preserve">ƒx  =IF(Used_Actual_Repayment&gt;0,Used_Actual_Repayment,Formula_Now)</t>
  </si>
  <si>
    <t xml:space="preserve">Repayment after the change</t>
  </si>
  <si>
    <t xml:space="preserve">ƒx  =Repayment_Now+PMT(New_Rate/12,Used_Years_Left*12,-Used_Mortgage_Balance)-Formula_Now</t>
  </si>
  <si>
    <t xml:space="preserve">Change over a year</t>
  </si>
  <si>
    <t xml:space="preserve">ƒx  =Monthly_Change*12</t>
  </si>
  <si>
    <t xml:space="preserve">Repayment now by formula</t>
  </si>
  <si>
    <t xml:space="preserve">ƒx  =PMT(Used_Current_Rate/12,Used_Years_Left*12,-Used_Mortgage_Balance)</t>
  </si>
  <si>
    <t xml:space="preserve">New rate (never below 0%)</t>
  </si>
  <si>
    <t xml:space="preserve">ƒx  =MAX(0,Used_Current_Rate+Rate_Change)</t>
  </si>
  <si>
    <t xml:space="preserve">• Repayment = PMT(rate ÷ 12, years left × 12, −balance) at the current and the new rate.</t>
  </si>
  <si>
    <t xml:space="preserve">• The change is the difference between the two; a stated repayment moves by the same amount.</t>
  </si>
  <si>
    <t xml:space="preserve">• The new rate is floored at 0% (Irish mortgages have not had negative rates).</t>
  </si>
  <si>
    <t xml:space="preserve">ƒx  ="No goal"</t>
  </si>
  <si>
    <t xml:space="preserve">Needs: rate change, Used_Actual_Repayment, Used_Current_Rate, Used_Mortgage_Balance, Used_Years_Left</t>
  </si>
  <si>
    <t xml:space="preserve">Needs: Used_Actual_Repayment, Used_Current_Rate, Used_Mortgage_Balance, Used_Years_Left</t>
  </si>
  <si>
    <t xml:space="preserve">Needs: Used_Current_Rate, Used_Mortgage_Balance, Used_Years_Left</t>
  </si>
  <si>
    <t xml:space="preserve">Needs: rate change, Used_Current_Rate</t>
  </si>
  <si>
    <t xml:space="preserve">C06 · Mortgage term comparison</t>
  </si>
  <si>
    <t xml:space="preserve">Category: Home &amp; Mortgage · prototype id: term</t>
  </si>
  <si>
    <t xml:space="preserve">Question it answers: Shorter or longer term: what is the trade-off?</t>
  </si>
  <si>
    <t xml:space="preserve">Compares two mortgage terms: the monthly repayment and the total interest of each.</t>
  </si>
  <si>
    <t xml:space="preserve">Term A</t>
  </si>
  <si>
    <t xml:space="preserve">Term B</t>
  </si>
  <si>
    <t xml:space="preserve">Type 3 · your figure · Your own figure. Allowed: 5 to 35 · steps of 1</t>
  </si>
  <si>
    <t xml:space="preserve">ƒx  =IF(ISBLANK(Stmt_Term),Term_A,Stmt_Term)</t>
  </si>
  <si>
    <t xml:space="preserve">Interest difference</t>
  </si>
  <si>
    <t xml:space="preserve">ƒx  =ABS(Interest_B-Interest_A)</t>
  </si>
  <si>
    <t xml:space="preserve">Term A: monthly repayment</t>
  </si>
  <si>
    <t xml:space="preserve">ƒx  =PMT(Used_Interest_Rate/12,Used_Term_A*12,-Used_Loan_Amount)</t>
  </si>
  <si>
    <t xml:space="preserve">Term B: monthly repayment</t>
  </si>
  <si>
    <t xml:space="preserve">ƒx  =PMT(Used_Interest_Rate/12,Term_B*12,-Used_Loan_Amount)</t>
  </si>
  <si>
    <t xml:space="preserve">Term A: total interest</t>
  </si>
  <si>
    <t xml:space="preserve">ƒx  =Monthly_A*Used_Term_A*12-Used_Loan_Amount</t>
  </si>
  <si>
    <t xml:space="preserve">Term B: total interest</t>
  </si>
  <si>
    <t xml:space="preserve">ƒx  =Monthly_B*Term_B*12-Used_Loan_Amount</t>
  </si>
  <si>
    <t xml:space="preserve">• Monthly = PMT(rate ÷ 12, term × 12, −amount) for each term.</t>
  </si>
  <si>
    <t xml:space="preserve">• Total interest = monthly × months − amount.</t>
  </si>
  <si>
    <t xml:space="preserve">• Equal terms show "Both terms are the same."</t>
  </si>
  <si>
    <t xml:space="preserve">Needs: term B, Used_Interest_Rate, Used_Loan_Amount, Used_Term_A</t>
  </si>
  <si>
    <t xml:space="preserve">Needs: Used_Interest_Rate, Used_Loan_Amount, Used_Term_A</t>
  </si>
  <si>
    <t xml:space="preserve">Needs: term B, Used_Interest_Rate, Used_Loan_Amount</t>
  </si>
  <si>
    <t xml:space="preserve">C07 · Rent vs buy</t>
  </si>
  <si>
    <t xml:space="preserve">Category: Home &amp; Mortgage · prototype id: rentbuy</t>
  </si>
  <si>
    <t xml:space="preserve">Question it answers: How do renting and buying compare over time?</t>
  </si>
  <si>
    <t xml:space="preserve">Compares rent paid with the costs of buying that do not build equity (interest, upkeep, stamp duty, fees and what the deposit could have earned), and the equity you would build.</t>
  </si>
  <si>
    <t xml:space="preserve">Monthly rent</t>
  </si>
  <si>
    <t xml:space="preserve">Type 3 · your figure · Your own figure. Allowed: €500 to €50,000 · steps of €50</t>
  </si>
  <si>
    <t xml:space="preserve">Type 3 · your figure · Your own figure. Allowed: at least 10% of the price and no more than the price</t>
  </si>
  <si>
    <t xml:space="preserve">Mortgage rate</t>
  </si>
  <si>
    <t xml:space="preserve">Years to compare</t>
  </si>
  <si>
    <t xml:space="preserve">House prices rise a year</t>
  </si>
  <si>
    <t xml:space="preserve">Type 3 · your choice · Generally the standard is 2% a year, in line with long-run inflation (house prices can fall as well as rise). Choose what you want to use. Allowed: 0% to 6% · steps of 0.5%</t>
  </si>
  <si>
    <t xml:space="preserve">Rent rises a year</t>
  </si>
  <si>
    <t xml:space="preserve">Type 3 · your choice · Generally the standard is 3% a year (Irish rents have risen faster than prices in recent years). Choose what you want to use. Allowed: 0% to 8% · steps of 0.5%</t>
  </si>
  <si>
    <t xml:space="preserve">Upkeep a year, % of the home's value</t>
  </si>
  <si>
    <t xml:space="preserve">Type 3 · your choice · Generally the standard is 1% of the home's value a year for repairs, insurance and maintenance. Choose what you want to use. Allowed: 0% to 3% · steps of 0.1%</t>
  </si>
  <si>
    <t xml:space="preserve">What the deposit could earn a year (after tax)</t>
  </si>
  <si>
    <t xml:space="preserve">Deposit used (at least 10% of the price, at most the price)</t>
  </si>
  <si>
    <t xml:space="preserve">Home equity after the years</t>
  </si>
  <si>
    <t xml:space="preserve">ƒx  =Home_Value-Balance_After</t>
  </si>
  <si>
    <t xml:space="preserve">Rent paid (rising each year)</t>
  </si>
  <si>
    <t xml:space="preserve">ƒx  =IF(Rent_Growth=0,Monthly_Rent*12*Years,Monthly_Rent*12*((1+Rent_Growth)^Years-1)/Rent_Growth)</t>
  </si>
  <si>
    <t xml:space="preserve">Buying costs that don't build equity</t>
  </si>
  <si>
    <t xml:space="preserve">ƒx  =Interest_Paid+Upkeep+Stamp_Duty+Buying_Fees+Opportunity_Cost</t>
  </si>
  <si>
    <t xml:space="preserve">Home value</t>
  </si>
  <si>
    <t xml:space="preserve">ƒx  =Home_Price*(1+House_Growth)^Years</t>
  </si>
  <si>
    <t xml:space="preserve">Mortgage</t>
  </si>
  <si>
    <t xml:space="preserve">ƒx  =MAX(0,Home_Price-Deposit)</t>
  </si>
  <si>
    <t xml:space="preserve">ƒx  =PMT(Mortgage_Rate/12,RentBuy_Term*12,-Loan)</t>
  </si>
  <si>
    <t xml:space="preserve">Mortgage left after the years</t>
  </si>
  <si>
    <t xml:space="preserve">ƒx  =MAX(0,-FV(Mortgage_Rate/12,MIN(Years,RentBuy_Term)*12,-Monthly_Repayment,Loan))</t>
  </si>
  <si>
    <t xml:space="preserve">Interest paid over the years</t>
  </si>
  <si>
    <t xml:space="preserve">ƒx  =Monthly_Repayment*MIN(Years,RentBuy_Term)*12-(Loan-Balance_After)</t>
  </si>
  <si>
    <t xml:space="preserve">Upkeep (on the home's value each year)</t>
  </si>
  <si>
    <t xml:space="preserve">ƒx  =IF(House_Growth=0,Home_Price*Upkeep_Rate*Years,Home_Price*Upkeep_Rate*((1+House_Growth)^Years-1)/House_Growth)</t>
  </si>
  <si>
    <t xml:space="preserve">What the deposit could have earned</t>
  </si>
  <si>
    <t xml:space="preserve">ƒx  =Deposit*((1+Opp_Rate)^Years-1)</t>
  </si>
  <si>
    <t xml:space="preserve">• Mortgage = price − deposit: repayment = PMT(rate ÷ 12, term × 12, −mortgage). Balance after the years = −FV(rate ÷ 12, months, −repayment, mortgage). Interest = repayments − capital repaid.</t>
  </si>
  <si>
    <t xml:space="preserve">• Rent rises each year: rent paid = monthly rent × 12 × ((1 + rise)^years − 1) ÷ rise. Upkeep is a % of the home's value each year, which rises with house prices.</t>
  </si>
  <si>
    <t xml:space="preserve">• Buying costs that don't build equity = interest + upkeep + stamp duty + fees + what the deposit could have earned. Home value = price × (1 + growth)^years; equity = value − balance.</t>
  </si>
  <si>
    <t xml:space="preserve">• The deposit must be between 10% of the price (Central Bank LTV) and the price itself; the mortgage is never negative.</t>
  </si>
  <si>
    <t xml:space="preserve">• Comparing for longer than the term: the balance is 0 after the term and no further interest is paid. Local Property Tax and insurance are not included.</t>
  </si>
  <si>
    <t xml:space="preserve">ƒx  =ROUND(Deposit+Stamp_Duty+Buying_Fees,0)</t>
  </si>
  <si>
    <t xml:space="preserve">Needs: deposit, home price, house price growth, mortgage rate, mortgage term, years to compare</t>
  </si>
  <si>
    <t xml:space="preserve">Needs: monthly rent, rent rise, years to compare</t>
  </si>
  <si>
    <t xml:space="preserve">Needs: buying fees, deposit, home price, house price growth, mortgage rate, deposit earnings rate, mortgage term, upkeep rate, years to compare</t>
  </si>
  <si>
    <t xml:space="preserve">Needs: home price, house price growth, years to compare</t>
  </si>
  <si>
    <t xml:space="preserve">Needs: deposit, home price</t>
  </si>
  <si>
    <t xml:space="preserve">Needs: deposit, home price, mortgage rate, mortgage term</t>
  </si>
  <si>
    <t xml:space="preserve">Needs: deposit, home price, mortgage rate, mortgage term, years to compare</t>
  </si>
  <si>
    <t xml:space="preserve">Needs: home price, house price growth, upkeep rate, years to compare</t>
  </si>
  <si>
    <t xml:space="preserve">Needs: deposit, deposit earnings rate, years to compare</t>
  </si>
  <si>
    <t xml:space="preserve">Needs: buying fees, deposit, home price</t>
  </si>
  <si>
    <t xml:space="preserve">Note: stamp duty is worked out on the price shown; for a new home it is charged on the price excluding VAT, and Help to Buy is not included. Home equity is before selling costs.</t>
  </si>
  <si>
    <t xml:space="preserve">C08 · Goal planner</t>
  </si>
  <si>
    <t xml:space="preserve">Category: Savings &amp; Goals · prototype id: goalplanner</t>
  </si>
  <si>
    <t xml:space="preserve">Question it answers: How much a month to reach my goal?</t>
  </si>
  <si>
    <t xml:space="preserve">Works out how much to save each month to reach a goal, allowing for prices rising and growth on your savings.</t>
  </si>
  <si>
    <t xml:space="preserve">YOUR INFLATION CHOICE</t>
  </si>
  <si>
    <t xml:space="preserve">Inflation you expect (your choice)</t>
  </si>
  <si>
    <t xml:space="preserve">Type 3 · your choice · Generally the standard is 2% a year (ECB target); Ireland's prices are rising 3.9% now (CSO HICP flash, Sep 2026). Choose what you want to use. Allowed: 0% to 10% · steps of 0.25%</t>
  </si>
  <si>
    <t xml:space="preserve">Everyone sees this differently. Ireland's prices are rising 3.9% now (CSO HICP flash, Sep 2026), mostly because of energy. Over decades, 2%–2.5% is the usual planning range (ECB target 2%). Enter 0% if you don't want to adjust for prices.</t>
  </si>
  <si>
    <t xml:space="preserve">Goal amount (today's prices)</t>
  </si>
  <si>
    <t xml:space="preserve">Type 3 · your figure · Your own figure. Allowed: €500 to €5,000,000 · steps of €500</t>
  </si>
  <si>
    <t xml:space="preserve">Years until the goal</t>
  </si>
  <si>
    <t xml:space="preserve">Type 3 · your figure · Your own figure. Allowed: €0 to €2,000,000 · steps of €500</t>
  </si>
  <si>
    <t xml:space="preserve">Growth / interest a year (after tax)</t>
  </si>
  <si>
    <t xml:space="preserve">Type 3 · your choice · Generally the standard is 1% a year after DIRT for cash savings (Irish fixed-term deposits about 2% before tax in mid-2026). Choose what you want to use. Allowed: 0% to 7% · steps of 0.5%</t>
  </si>
  <si>
    <t xml:space="preserve">Monthly amount to save</t>
  </si>
  <si>
    <t xml:space="preserve">ƒx  =IF(Inflation_Choice="","Choose your inflation rate to see this",PMT(Monthly_Growth,Years*12,0,-Still_Needed))</t>
  </si>
  <si>
    <t xml:space="preserve">Goal will cost about (in the goal year)</t>
  </si>
  <si>
    <t xml:space="preserve">ƒx  =IF(Inflation_Choice="","Choose your inflation rate to see this",Goal_Amount*(1+Inflation_Choice)^Years)</t>
  </si>
  <si>
    <t xml:space="preserve">Your savings grow to</t>
  </si>
  <si>
    <t xml:space="preserve">ƒx  =Saved*(1+Growth_Rate)^Years</t>
  </si>
  <si>
    <t xml:space="preserve">Still needed at the goal year</t>
  </si>
  <si>
    <t xml:space="preserve">ƒx  =IF(Inflation_Choice="","Choose your inflation rate to see this",MAX(0,Future_Cost-Saved_Grows_To))</t>
  </si>
  <si>
    <t xml:space="preserve">Monthly growth rate</t>
  </si>
  <si>
    <t xml:space="preserve">ƒx  =(1+Growth_Rate)^(1/12)-1</t>
  </si>
  <si>
    <t xml:space="preserve">• Future cost = goal × (1 + inflation)^years. Savings already put aside grow at the growth rate.</t>
  </si>
  <si>
    <t xml:space="preserve">• Monthly saving = PMT(monthly growth, months, 0, −still needed): the level end-of-month saving that grows to what is still needed.</t>
  </si>
  <si>
    <t xml:space="preserve">• Monthly growth = (1 + yearly growth)^(1/12) − 1, the monthly rate equal to the yearly rate.</t>
  </si>
  <si>
    <t xml:space="preserve">• If savings already cover the goal the monthly amount is €0.</t>
  </si>
  <si>
    <t xml:space="preserve">• Inflation is always applied (Assumptions). With 0% growth PMT gives still needed ÷ months.</t>
  </si>
  <si>
    <t xml:space="preserve">ƒx  ="My goal (spend goal)"</t>
  </si>
  <si>
    <t xml:space="preserve">Amount (today's prices)</t>
  </si>
  <si>
    <t xml:space="preserve">ƒx  =Goal_Amount</t>
  </si>
  <si>
    <t xml:space="preserve">ƒx  =Years</t>
  </si>
  <si>
    <t xml:space="preserve">Inflation for the plan (your choice)</t>
  </si>
  <si>
    <t xml:space="preserve">ƒx  =IF(Inflation_Choice="","Choose an inflation rate first",Inflation_Choice)</t>
  </si>
  <si>
    <t xml:space="preserve">Needs: goal amount, growth rate, inflation rate, already saved, years until the goal</t>
  </si>
  <si>
    <t xml:space="preserve">Needs: goal amount, inflation rate, years until the goal</t>
  </si>
  <si>
    <t xml:space="preserve">Needs: growth rate, already saved, years until the goal</t>
  </si>
  <si>
    <t xml:space="preserve">Needs: growth rate</t>
  </si>
  <si>
    <t xml:space="preserve">Needs: goal amount</t>
  </si>
  <si>
    <t xml:space="preserve">Needs: already saved</t>
  </si>
  <si>
    <t xml:space="preserve">Needs: years until the goal</t>
  </si>
  <si>
    <t xml:space="preserve">C09 · Compound growth</t>
  </si>
  <si>
    <t xml:space="preserve">Category: Savings &amp; Goals · prototype id: compound</t>
  </si>
  <si>
    <t xml:space="preserve">Question it answers: What could regular saving grow into?</t>
  </si>
  <si>
    <t xml:space="preserve">Shows what a starting amount plus regular monthly saving could grow to, and what that is worth in today's money.</t>
  </si>
  <si>
    <t xml:space="preserve">Starting amount</t>
  </si>
  <si>
    <t xml:space="preserve">Monthly addition</t>
  </si>
  <si>
    <t xml:space="preserve">Type 3 · your figure · Your own figure. Allowed: €0 to €30,000 · steps of €25</t>
  </si>
  <si>
    <t xml:space="preserve">Growth rate a year</t>
  </si>
  <si>
    <t xml:space="preserve">Type 3 · your choice · Generally the standard is 5% a year before charges and tax for a mixed fund (LifeMap standard, not a forecast). Choose what you want to use. Allowed: 0% to 8% · steps of 0.5%</t>
  </si>
  <si>
    <t xml:space="preserve">Years</t>
  </si>
  <si>
    <t xml:space="preserve">Type 3 · your figure · Your own figure. Allowed: 1 to 40 · steps of 1</t>
  </si>
  <si>
    <t xml:space="preserve">Could grow to</t>
  </si>
  <si>
    <t xml:space="preserve">ƒx  =FV(Monthly_Growth,Years*12,-Monthly_Addition,-Starting_Amount)</t>
  </si>
  <si>
    <t xml:space="preserve">Worth in today's money</t>
  </si>
  <si>
    <t xml:space="preserve">ƒx  =IF(Inflation_Choice="","Choose your inflation rate to see this",Grows_To/(1+Inflation_Choice)^Years)</t>
  </si>
  <si>
    <t xml:space="preserve">Paid in</t>
  </si>
  <si>
    <t xml:space="preserve">ƒx  =Starting_Amount+Monthly_Addition*12*Years</t>
  </si>
  <si>
    <t xml:space="preserve">Illustrative growth</t>
  </si>
  <si>
    <t xml:space="preserve">ƒx  =Grows_To-Paid_In</t>
  </si>
  <si>
    <t xml:space="preserve">• Value = FV(monthly growth, months, −monthly addition, −starting amount): the starting amount compounds and each addition is made at the end of the month.</t>
  </si>
  <si>
    <t xml:space="preserve">• Today's money = value ÷ (1 + inflation)^years.</t>
  </si>
  <si>
    <t xml:space="preserve">• 0% growth gives starting amount + additions.</t>
  </si>
  <si>
    <t xml:space="preserve">• Results are before tax and are not guaranteed.</t>
  </si>
  <si>
    <t xml:space="preserve">ƒx  ="Grow my wealth (plan kind pot)"</t>
  </si>
  <si>
    <t xml:space="preserve">Amount (today's money)</t>
  </si>
  <si>
    <t xml:space="preserve">ƒx  =IF(Inflation_Choice="","Choose an inflation rate first",ROUND(Value_Today,0))</t>
  </si>
  <si>
    <t xml:space="preserve">Audit fix: the amount is always in today's money (the plan adds inflation itself).</t>
  </si>
  <si>
    <t xml:space="preserve">Needs: growth rate, monthly addition, starting amount, years</t>
  </si>
  <si>
    <t xml:space="preserve">Needs: growth rate, inflation rate, monthly addition, starting amount, years</t>
  </si>
  <si>
    <t xml:space="preserve">Needs: monthly addition, starting amount, years</t>
  </si>
  <si>
    <t xml:space="preserve">Needs: years</t>
  </si>
  <si>
    <t xml:space="preserve">C10 · Lump-sum growth</t>
  </si>
  <si>
    <t xml:space="preserve">Category: Investments · prototype id: lumpsum</t>
  </si>
  <si>
    <t xml:space="preserve">Question it answers: What could a one-off amount become?</t>
  </si>
  <si>
    <t xml:space="preserve">Shows what a one-off amount could become after fees, the cost of waiting 5 years, and the value in today's money.</t>
  </si>
  <si>
    <t xml:space="preserve">Document: Investment / fund statement. Blank = no statement uploaded, or the figure is not on it. Grey-blue cells are filled by the reader (you can type here to test).</t>
  </si>
  <si>
    <t xml:space="preserve">Total value</t>
  </si>
  <si>
    <t xml:space="preserve">Allowed: €0 to €100,000,000</t>
  </si>
  <si>
    <t xml:space="preserve">Annual charges % (if shown)</t>
  </si>
  <si>
    <t xml:space="preserve">Allowed: 0% to 5%</t>
  </si>
  <si>
    <t xml:space="preserve">Amount</t>
  </si>
  <si>
    <t xml:space="preserve">Type 3 · your figure · Your own figure. In the app it is pre-filled from Your finances / statement: investments. Allowed: €500 to €5,000,000 · steps of €100</t>
  </si>
  <si>
    <t xml:space="preserve">Growth rate a year (before fees)</t>
  </si>
  <si>
    <t xml:space="preserve">Yearly fees</t>
  </si>
  <si>
    <t xml:space="preserve">Years you might wait before investing</t>
  </si>
  <si>
    <t xml:space="preserve">Type 3 · your choice · Generally the standard is 5 years (an illustration of the cost of waiting). Choose what you want to use. Allowed: 1 to 20 · steps of 1</t>
  </si>
  <si>
    <t xml:space="preserve">Show in today's money?</t>
  </si>
  <si>
    <t xml:space="preserve">Type 3 · optional · Optional: leave blank for none. Allowed: Yes or No</t>
  </si>
  <si>
    <t xml:space="preserve">Statement uploaded?</t>
  </si>
  <si>
    <t xml:space="preserve">ƒx  =IF(COUNTA(Stmt_Total_Value,Stmt_Charges,Stmt_Statement_Date)&gt;0,"Yes","No")</t>
  </si>
  <si>
    <t xml:space="preserve">ƒx  =IF(ISBLANK(Stmt_Total_Value),Amount,Stmt_Total_Value)</t>
  </si>
  <si>
    <t xml:space="preserve">ƒx  =IF(NOT(ISBLANK(Stmt_Charges)),Stmt_Charges,IF(Statement_Uploaded="Yes",0,Yearly_Fees))</t>
  </si>
  <si>
    <t xml:space="preserve">Could grow to (today's money if you chose Yes)</t>
  </si>
  <si>
    <t xml:space="preserve">ƒx  =IF(Adjust_For_Inflation="Yes",Value_Today,Grows_To)</t>
  </si>
  <si>
    <t xml:space="preserve">If you start today (after fees)</t>
  </si>
  <si>
    <t xml:space="preserve">ƒx  =Used_Amount*(1+Growth_After_Fees)^Years</t>
  </si>
  <si>
    <t xml:space="preserve">If you start after waiting</t>
  </si>
  <si>
    <t xml:space="preserve">ƒx  =Used_Amount*(1+Growth_After_Fees)^MAX(0,Years-Wait_Years)</t>
  </si>
  <si>
    <t xml:space="preserve">Cost of waiting</t>
  </si>
  <si>
    <t xml:space="preserve">ƒx  =IF(Adjust_For_Inflation="Yes",IF(Inflation_Choice="","Choose your inflation rate to see this",(Grows_To-Value_Start_Later)/(1+Inflation_Choice)^Years),Grows_To-Value_Start_Later)</t>
  </si>
  <si>
    <t xml:space="preserve">Fees cost</t>
  </si>
  <si>
    <t xml:space="preserve">ƒx  =Used_Amount*(1+Growth_Rate)^Years-Grows_To</t>
  </si>
  <si>
    <t xml:space="preserve">Growth after fees a year</t>
  </si>
  <si>
    <t xml:space="preserve">ƒx  =(1+Growth_Rate)*(1-Used_Yearly_Fees)-1</t>
  </si>
  <si>
    <t xml:space="preserve">Real return a year (after fees and inflation)</t>
  </si>
  <si>
    <t xml:space="preserve">ƒx  =IF(Inflation_Choice="","Choose your inflation rate to see this",(1+Growth_After_Fees)/(1+Inflation_Choice)-1)</t>
  </si>
  <si>
    <t xml:space="preserve">• Growth after fees = (1 + growth) × (1 − fees) − 1 (fees taken from the fund each year).</t>
  </si>
  <si>
    <t xml:space="preserve">• Value = amount × (1 + growth after fees)^years. Starting in 5 years means 5 fewer years of growth to the same end date.</t>
  </si>
  <si>
    <t xml:space="preserve">• Today's money = value ÷ (1 + inflation)^years; real return = (1 + growth after fees) ÷ (1 + inflation) − 1 (exact, not growth − inflation).</t>
  </si>
  <si>
    <t xml:space="preserve">• With 5 years or fewer, "start in 5 years" equals the amount itself.</t>
  </si>
  <si>
    <t xml:space="preserve">• Results are before tax.</t>
  </si>
  <si>
    <t xml:space="preserve">Always in today's money, whatever the 'Show in today's money' choice.</t>
  </si>
  <si>
    <t xml:space="preserve">Needs: growth rate, Used_Amount, Used_Yearly_Fees, years</t>
  </si>
  <si>
    <t xml:space="preserve">Needs: growth rate, inflation rate, Used_Amount, Used_Yearly_Fees, years</t>
  </si>
  <si>
    <t xml:space="preserve">Needs: growth rate, Used_Amount, Used_Yearly_Fees, years of waiting, years</t>
  </si>
  <si>
    <t xml:space="preserve">Needs: growth rate, Used_Yearly_Fees</t>
  </si>
  <si>
    <t xml:space="preserve">Needs: growth rate, inflation rate, Used_Yearly_Fees</t>
  </si>
  <si>
    <t xml:space="preserve">Note: the money is assumed to earn nothing while it waits. If growth after fees is zero or negative there is no cost of waiting to show.</t>
  </si>
  <si>
    <t xml:space="preserve">C11 · Emergency fund</t>
  </si>
  <si>
    <t xml:space="preserve">Category: Savings &amp; Goals · prototype id: emergency</t>
  </si>
  <si>
    <t xml:space="preserve">Question it answers: How strong is my emergency fund?</t>
  </si>
  <si>
    <t xml:space="preserve">Shows how many months of essential spending your easy-access savings cover, against your target.</t>
  </si>
  <si>
    <t xml:space="preserve">Essential monthly spending</t>
  </si>
  <si>
    <t xml:space="preserve">Type 3 · your figure · Your own figure. In the app it is pre-filled from Your finances: costs + mortgage + debt repayments. Allowed: €500 to €100,000 · steps of €100</t>
  </si>
  <si>
    <t xml:space="preserve">Emergency fund: months of essential spending</t>
  </si>
  <si>
    <t xml:space="preserve">months</t>
  </si>
  <si>
    <t xml:space="preserve">Type 3 · your choice · Generally the standard is 6 months of essential spending (3 if you have two secure incomes). Choose what you want to use. Allowed: 1 to 12 · steps of 1</t>
  </si>
  <si>
    <t xml:space="preserve">Build the emergency fund within (years, for the plan)</t>
  </si>
  <si>
    <t xml:space="preserve">Type 3 · your figure · Your own figure. Allowed: 1 to 10 · steps of 1</t>
  </si>
  <si>
    <t xml:space="preserve">Easy-access savings</t>
  </si>
  <si>
    <t xml:space="preserve">Type 3 · your figure · Your own figure. In the app it is pre-filled from Your finances: cash. Allowed: €0 to €1,000,000 · steps of €250</t>
  </si>
  <si>
    <t xml:space="preserve">You currently have (months)</t>
  </si>
  <si>
    <t xml:space="preserve">ƒx  =Savings/Essential_Spending</t>
  </si>
  <si>
    <t xml:space="preserve">Target emergency fund</t>
  </si>
  <si>
    <t xml:space="preserve">ƒx  =Essential_Spending*Months_Wanted</t>
  </si>
  <si>
    <t xml:space="preserve">Still to build</t>
  </si>
  <si>
    <t xml:space="preserve">ƒx  =MAX(0,Target-Savings)</t>
  </si>
  <si>
    <t xml:space="preserve">• Months covered = savings ÷ essential monthly spending. Target = spending × months wanted. Still to build = target − savings (never below 0).</t>
  </si>
  <si>
    <t xml:space="preserve">• Spending must be at least €500, so there is no divide by zero.</t>
  </si>
  <si>
    <t xml:space="preserve">ƒx  =IF(Still_To_Build&gt;0,"Emergency fund (plan kind safety: a reserve, not a spend)","No goal (emergency fund already in place)")</t>
  </si>
  <si>
    <t xml:space="preserve">ƒx  =IF(Still_To_Build&gt;0,ROUND(Target,0),"—")</t>
  </si>
  <si>
    <t xml:space="preserve">ƒx  =Savings</t>
  </si>
  <si>
    <t xml:space="preserve">ƒx  =Safety_Goal_Years</t>
  </si>
  <si>
    <t xml:space="preserve">Needs: essential monthly spending, easy-access savings</t>
  </si>
  <si>
    <t xml:space="preserve">Needs: essential monthly spending, emergency months</t>
  </si>
  <si>
    <t xml:space="preserve">Needs: essential monthly spending, emergency months, easy-access savings</t>
  </si>
  <si>
    <t xml:space="preserve">Needs: easy-access savings</t>
  </si>
  <si>
    <t xml:space="preserve">Needs: years to build the emergency fund</t>
  </si>
  <si>
    <t xml:space="preserve">C12 · Retirement projection</t>
  </si>
  <si>
    <t xml:space="preserve">Category: Pensions &amp; Retirement · prototype id: retirement</t>
  </si>
  <si>
    <t xml:space="preserve">Question it answers: Could your current path fund the retirement you want?</t>
  </si>
  <si>
    <t xml:space="preserve">Projects your pension fund at retirement and compares it, in today's money, with the fund you would need for the income you want.</t>
  </si>
  <si>
    <t xml:space="preserve">Document: Pension benefit statement / Statement of Reasonable Projection / PRSA statement. Blank = no statement uploaded, or the figure is not on it. Grey-blue cells are filled by the reader (you can type here to test).</t>
  </si>
  <si>
    <t xml:space="preserve">Fund value today</t>
  </si>
  <si>
    <t xml:space="preserve">Allowed: €0 to €50,000,000</t>
  </si>
  <si>
    <t xml:space="preserve">Your monthly contribution</t>
  </si>
  <si>
    <t xml:space="preserve">Employer monthly contribution</t>
  </si>
  <si>
    <t xml:space="preserve">Normal retirement age</t>
  </si>
  <si>
    <t xml:space="preserve">age</t>
  </si>
  <si>
    <t xml:space="preserve">Allowed: 50 to 75</t>
  </si>
  <si>
    <t xml:space="preserve">Projected fund at retirement (if shown)</t>
  </si>
  <si>
    <t xml:space="preserve">Projection is in today's money? (if shown)</t>
  </si>
  <si>
    <t xml:space="preserve">Allowed: Yes or No</t>
  </si>
  <si>
    <t xml:space="preserve">Your age</t>
  </si>
  <si>
    <t xml:space="preserve">Type 3 · your figure · Your own figure. In the app it is pre-filled from About you: age. Allowed: 20 to 70 · steps of 1</t>
  </si>
  <si>
    <t xml:space="preserve">Target retirement age</t>
  </si>
  <si>
    <t xml:space="preserve">Type 3 · your choice (no standard) · You can usually draw a pension from 60 (some schemes from 50); State Pension is paid from 66. Choose your own: there is no default. Allowed: 50 to 75 · steps of 1</t>
  </si>
  <si>
    <t xml:space="preserve">Pension value today</t>
  </si>
  <si>
    <t xml:space="preserve">Type 3 · your figure · Your own figure. In the app it is pre-filled from Your finances / pension statement. Allowed: €0 to €15,000,000 · steps of €1,000</t>
  </si>
  <si>
    <t xml:space="preserve">Monthly contributions (you + employer)</t>
  </si>
  <si>
    <t xml:space="preserve">Type 3 · your figure · Your own figure. In the app it is pre-filled from Your finances / pension statement. Allowed: €0 to €50,000 · steps of €10</t>
  </si>
  <si>
    <t xml:space="preserve">Desired yearly income in retirement (today's money)</t>
  </si>
  <si>
    <t xml:space="preserve">Type 3 · your figure · Your own figure. In the app it is pre-filled from Plan: retirement goal income. Allowed: €10,000 to €1,500,000 · steps of €1,000</t>
  </si>
  <si>
    <t xml:space="preserve">Other yearly income from 66, e.g. State Pension (today's money)</t>
  </si>
  <si>
    <t xml:space="preserve">Type 2 · range · Usually between €0 and €15,564 a year: the full State Pension is €299.30 a week (DSP 2026), partial rates are lower and depend on your PRSI record. In the app it is pre-filled from State Pension €15,563.60 × your entitlement (full 1, partly 0.6, not sure 0.8). Enter your own figure. Allowed: €0 to €500,000 · steps of €500</t>
  </si>
  <si>
    <t xml:space="preserve">Pension growth after charges a year</t>
  </si>
  <si>
    <t xml:space="preserve">Type 3 · your choice · Generally the standard is 4.5% a year after charges while you work (LifeMap Standard set; Cautious 4%). Choose what you want to use. Allowed: 1% to 7% · steps of 0.25%</t>
  </si>
  <si>
    <t xml:space="preserve">Pay rises a year (contributions rise with pay)</t>
  </si>
  <si>
    <t xml:space="preserve">Type 3 · your choice · Generally the standard is 3% a year (Irish pay has grown about 3%–4% a year recently; LifeMap Standard set). Choose what you want to use. Allowed: 0% to 6% · steps of 0.25%</t>
  </si>
  <si>
    <t xml:space="preserve">Retirement savings target: × the yearly income you need</t>
  </si>
  <si>
    <t xml:space="preserve">Type 3 · your choice · Generally the standard is 25 times the yearly income you need (about 4% a year). Choose what you want to use. Allowed: 20 to 33 · steps of 1</t>
  </si>
  <si>
    <t xml:space="preserve">Typical pension charges (if your statement doesn't say)</t>
  </si>
  <si>
    <t xml:space="preserve">Tax-free lump sum you plan to take (% of the fund)</t>
  </si>
  <si>
    <t xml:space="preserve">Type 3 · your choice · Generally the standard is 25% of the fund, the most allowed (first €200,000 tax-free, next €300,000 at 20%). Choose what you want to use. Allowed: 0% to 25% · steps of 1%</t>
  </si>
  <si>
    <t xml:space="preserve">What if: retire later by</t>
  </si>
  <si>
    <t xml:space="preserve">Type 3 · optional · Optional: leave blank for none. Allowed: 0 to 5 · steps of 1</t>
  </si>
  <si>
    <t xml:space="preserve">What if: save more each month</t>
  </si>
  <si>
    <t xml:space="preserve">What if: spend less in retirement (a year)</t>
  </si>
  <si>
    <t xml:space="preserve">Type 3 · optional · Optional: leave blank for none. Allowed: €0 to €200,000 · steps of €500</t>
  </si>
  <si>
    <t xml:space="preserve">ƒx  =IF(ISBLANK(Stmt_Fund_Value),Pension_Today,Stmt_Fund_Value)</t>
  </si>
  <si>
    <t xml:space="preserve">ƒx  =IF(COUNT(Stmt_You_Monthly,Stmt_Employer_Monthly)=0,Monthly_Contribution,SUM(Stmt_You_Monthly,Stmt_Employer_Monthly))</t>
  </si>
  <si>
    <t xml:space="preserve">Growth after charges</t>
  </si>
  <si>
    <t xml:space="preserve">ƒx  =IF(ISBLANK(Stmt_Charges),Growth_Rate,IF(OR(Growth_Rate="",Typical_Pension_Charges=""),"",Growth_Rate+Typical_Pension_Charges-Stmt_Charges))</t>
  </si>
  <si>
    <t xml:space="preserve">Use the statement's projected fund?</t>
  </si>
  <si>
    <t xml:space="preserve">ƒx  =IF(AND(NOT(ISBLANK(Stmt_Projected_Fund)),Stmt_NRA=Retirement_Age+Retire_Later,Save_More=0),"Yes","No")      (projection shown, its retirement age matches yours, and no "save more" what-if)</t>
  </si>
  <si>
    <t xml:space="preserve">Illustrative gap (today's money)</t>
  </si>
  <si>
    <t xml:space="preserve">ƒx  =IF(ISNUMBER(Fund_Today),Target_Today-Fund_Today,Fund_Today)</t>
  </si>
  <si>
    <t xml:space="preserve">Projected fund at retirement</t>
  </si>
  <si>
    <t xml:space="preserve">ƒx  =IF(Use_Statement_Projection="Yes",Stmt_Projected_Fund,Calculated_Fund)</t>
  </si>
  <si>
    <t xml:space="preserve">Projected fund in today's money</t>
  </si>
  <si>
    <t xml:space="preserve">ƒx  =IF(AND(Use_Statement_Projection="Yes",Stmt_Projection_Today&lt;&gt;"No"),Stmt_Projected_Fund,IF(Inflation_Choice="","Choose your inflation rate to see this",Projected_Fund/(1+Inflation_Choice)^Years_To_Retirement))      (a statement projection already in today's money is not deflated again)</t>
  </si>
  <si>
    <t xml:space="preserve">Calculated fund at retirement (our assumptions)</t>
  </si>
  <si>
    <t xml:space="preserve">ƒx  =Used_Pension_Today*(1+Used_Growth_Rate)^Years_To_Retirement+Contributions_Grow_To</t>
  </si>
  <si>
    <t xml:space="preserve">Illustrative target (today's money)</t>
  </si>
  <si>
    <t xml:space="preserve">ƒx  =MAX(0,Desired_Income-Spend_Less-Other_Income)*Retire_Multiple+Bridge_Years*MIN(Other_Income,MAX(0,Desired_Income-Spend_Less))      (the years before the State Pension never need more than the income you need)</t>
  </si>
  <si>
    <t xml:space="preserve">Years before the State Pension starts at 66 (to fund yourself)</t>
  </si>
  <si>
    <t xml:space="preserve">ƒx  =MAX(0,State_Pension_Age-(Retirement_Age+Retire_Later))</t>
  </si>
  <si>
    <t xml:space="preserve">Lump sum you could take at retirement (gross)</t>
  </si>
  <si>
    <t xml:space="preserve">ƒx  =Projected_Fund*MIN(Lump_Sum_Pct,Lump_Sum_Max_Pct)      (25% at most of the fund: no cap; first €200,000 tax-free, next €300,000 at 20%, the excess at the higher rate)</t>
  </si>
  <si>
    <t xml:space="preserve">Tax on the lump sum</t>
  </si>
  <si>
    <t xml:space="preserve">ƒx  =Lump_Sum_Rate*MAX(0,MIN(Lump_Sum,Lump_Sum_Cap)-Lump_Sum_Tax_Free)+Rate_Higher*MAX(0,Lump_Sum-Lump_Sum_Cap)      (the part above €500,000 is taxed at the higher rate; verify on Revenue)</t>
  </si>
  <si>
    <t xml:space="preserve">Lump sum after tax</t>
  </si>
  <si>
    <t xml:space="preserve">ƒx  =Lump_Sum-Lump_Sum_Tax</t>
  </si>
  <si>
    <t xml:space="preserve">Message to show</t>
  </si>
  <si>
    <t xml:space="preserve">Years to retirement</t>
  </si>
  <si>
    <t xml:space="preserve">ƒx  =MAX(1,Retirement_Age+Retire_Later-Age)</t>
  </si>
  <si>
    <t xml:space="preserve">Monthly contribution incl. what-if</t>
  </si>
  <si>
    <t xml:space="preserve">ƒx  =Used_Monthly_Contribution+Save_More</t>
  </si>
  <si>
    <t xml:space="preserve">Contributions (rising with pay) grow to</t>
  </si>
  <si>
    <t xml:space="preserve">ƒx  =IF(Used_Growth_Rate=Wage,12*Contribution*Years_To_Retirement*(1+Used_Growth_Rate)^(Years_To_Retirement-1),12*Contribution*((1+Used_Growth_Rate)^Years_To_Retirement-(1+Wage)^Years_To_Retirement)/(Used_Growth_Rate-Wage))</t>
  </si>
  <si>
    <t xml:space="preserve">• Fund = pension today × (1 + growth)^years + each year's contributions (12 × monthly, rising with pay each year, added at the year end), the closed-form growing annuity.</t>
  </si>
  <si>
    <t xml:space="preserve">• The fund is future money, the target is today's money, so the fund is turned into today's money first: fund ÷ (1 + inflation)^years (audit Must fix: like-for-like gap).</t>
  </si>
  <si>
    <t xml:space="preserve">• Target = (desired income − spend less − other income) × your multiple (suggested 25), plus the State Pension you must fund yourself for each year you retire before 66 (at most the income you need each year). Gap = target − fund in today's money.</t>
  </si>
  <si>
    <t xml:space="preserve">• Desired income and the State Pension are before tax: the State Pension is taxable (USC-exempt) and drawdown pays income tax and USC. The lump sum is the share you chose (25% at most): the first €200,000 tax-free, the next €300,000 at 20%, anything above €500,000 at the higher rate. Contributions are counted as paid at the end of each year.</t>
  </si>
  <si>
    <t xml:space="preserve">• A retirement age at or before your age gives "Choose a retirement age after your age to see this" (never a silent 1 year).</t>
  </si>
  <si>
    <t xml:space="preserve">• If growth equals the pay-rise rate the growing-annuity formula divides by zero, so the equal-rate form 12 × contribution × years × (1+g)^(years−1) is used.</t>
  </si>
  <si>
    <t xml:space="preserve">• Gap ≤ 0 shows "On track: no gap".</t>
  </si>
  <si>
    <t xml:space="preserve">ƒx  ="Update your retirement goal (no new goal)"</t>
  </si>
  <si>
    <t xml:space="preserve">Yearly income in retirement (today's money)</t>
  </si>
  <si>
    <t xml:space="preserve">ƒx  =Desired_Income-Spend_Less</t>
  </si>
  <si>
    <t xml:space="preserve">Retirement age</t>
  </si>
  <si>
    <t xml:space="preserve">ƒx  =Retirement_Age+Retire_Later</t>
  </si>
  <si>
    <t xml:space="preserve">Audit fix: the old 25× lump sum spend goal double-counted the plan's own retirement goal.</t>
  </si>
  <si>
    <t xml:space="preserve">Needs: retirement age</t>
  </si>
  <si>
    <t xml:space="preserve">Needs: age, desired retirement income, other income (State Pension), retirement multiple, retirement age, Used_Growth_Rate, Used_Monthly_Contribution, Used_Pension_Today, pay rise</t>
  </si>
  <si>
    <t xml:space="preserve">Needs: age, retirement age, Used_Growth_Rate, Used_Monthly_Contribution, Used_Pension_Today, pay rise</t>
  </si>
  <si>
    <t xml:space="preserve">Needs: desired retirement income, other income (State Pension), retirement multiple, retirement age</t>
  </si>
  <si>
    <t xml:space="preserve">Needs: age, lump sum share, retirement age, Used_Growth_Rate, Used_Monthly_Contribution, Used_Pension_Today, pay rise</t>
  </si>
  <si>
    <t xml:space="preserve">Needs: age, retirement age</t>
  </si>
  <si>
    <t xml:space="preserve">Needs: Used_Monthly_Contribution</t>
  </si>
  <si>
    <t xml:space="preserve">Needs: age, retirement age, Used_Growth_Rate, Used_Monthly_Contribution, pay rise</t>
  </si>
  <si>
    <t xml:space="preserve">Needs: desired retirement income</t>
  </si>
  <si>
    <t xml:space="preserve">C13 · Contribution impact</t>
  </si>
  <si>
    <t xml:space="preserve">Category: Pensions &amp; Retirement · prototype id: contrib</t>
  </si>
  <si>
    <t xml:space="preserve">Question it answers: What difference would a small increase make?</t>
  </si>
  <si>
    <t xml:space="preserve">Shows what raising your pension contributions by a % of salary could add by retirement, and what it costs after tax relief.</t>
  </si>
  <si>
    <t xml:space="preserve">Document: Pension benefit statement / PRSA statement. Blank = no statement uploaded, or the figure is not on it. Grey-blue cells are filled by the reader (you can type here to test).</t>
  </si>
  <si>
    <t xml:space="preserve">Salary</t>
  </si>
  <si>
    <t xml:space="preserve">Increase contributions by (% of salary)</t>
  </si>
  <si>
    <t xml:space="preserve">Type 3 · your figure · Your own figure. Allowed: 0.5% to 10% · steps of 0.5%</t>
  </si>
  <si>
    <t xml:space="preserve">Type 3 · your figure · Your own figure. In the app it is pre-filled from Plan: retirement age − age. Allowed: 1 to 45 · steps of 1</t>
  </si>
  <si>
    <t xml:space="preserve">Growth assumption a year</t>
  </si>
  <si>
    <t xml:space="preserve">Your tax rate (0.2 = 20%, 0.4 = 40%)</t>
  </si>
  <si>
    <t xml:space="preserve">20% or 40%</t>
  </si>
  <si>
    <t xml:space="preserve">Type 2 · range · Usually between 20% or 40%: your top rate of income tax (the Tax engine works it out). In the app it is pre-filled from Tax engine marginal rate (band by status: €44k single, €48k single parent, €53k married, + up to €35k second earner). Enter your own figure. Allowed: 20% or 40%</t>
  </si>
  <si>
    <t xml:space="preserve">Your age (for the pension relief limit)</t>
  </si>
  <si>
    <t xml:space="preserve">Type 3 · your figure · Your own figure. In the app it is pre-filled from About you: age. Allowed: 18 to 75 · steps of 1</t>
  </si>
  <si>
    <t xml:space="preserve">What you pay in yourself now, a year (counts towards the relief limit)</t>
  </si>
  <si>
    <t xml:space="preserve">Type 3 · optional · Optional: leave blank for none. Allowed: €0 to €1,000,000 · steps of €100</t>
  </si>
  <si>
    <t xml:space="preserve">Growth assumption</t>
  </si>
  <si>
    <t xml:space="preserve">Could add to your pension</t>
  </si>
  <si>
    <t xml:space="preserve">ƒx  =FV((1+Used_Growth_Rate)^(1/12)-1,Years*12,-Extra_Per_Month)</t>
  </si>
  <si>
    <t xml:space="preserve">Extra per month</t>
  </si>
  <si>
    <t xml:space="preserve">ƒx  =Salary*Increase_Pct/12</t>
  </si>
  <si>
    <t xml:space="preserve">Cost to you after tax relief, a month</t>
  </si>
  <si>
    <t xml:space="preserve">ƒx  =Extra_Per_Month-Relief_Per_Month</t>
  </si>
  <si>
    <t xml:space="preserve">Most you can get relief on in a year (age-band % × earnings up to €115,000)</t>
  </si>
  <si>
    <t xml:space="preserve">ƒx  =LOOKUP(Age,Relief_Age_From,Relief_Age_Pct)*MIN(Salary,Relief_Earnings_Cap)</t>
  </si>
  <si>
    <t xml:space="preserve">Room left for relief after what you already pay in</t>
  </si>
  <si>
    <t xml:space="preserve">ƒx  =MAX(0,Relief_Limit_Year-Existing_Pension_Year)</t>
  </si>
  <si>
    <t xml:space="preserve">Extra that gets relief, a year</t>
  </si>
  <si>
    <t xml:space="preserve">ƒx  =MIN(Extra_Per_Month*12,Relief_Room_Year)</t>
  </si>
  <si>
    <t xml:space="preserve">Tax relief a month</t>
  </si>
  <si>
    <t xml:space="preserve">ƒx  =Relieved_Year*Tax_Rate/12</t>
  </si>
  <si>
    <t xml:space="preserve">• Extra a month = salary × increase ÷ 12. Value = FV(monthly growth, months, −extra): level end-of-month contributions.</t>
  </si>
  <si>
    <t xml:space="preserve">• Tax relief = the part of the extra within your relief limit × your tax rate (USC and PRSI still apply). Cost = extra − relief.</t>
  </si>
  <si>
    <t xml:space="preserve">• Tax rate is 20% or 40% only (list); it pre-fills from the Tax engine.</t>
  </si>
  <si>
    <t xml:space="preserve">• Relief only within the age-related limit (15% under 30 … 40% from 60) of earnings up to €115,000, less what you already pay in (audit #79).</t>
  </si>
  <si>
    <t xml:space="preserve">ƒx  ="No goal: raise the plan's pension contribution instead"</t>
  </si>
  <si>
    <t xml:space="preserve">Extra pension contribution a month</t>
  </si>
  <si>
    <t xml:space="preserve">ƒx  =Extra_Per_Month</t>
  </si>
  <si>
    <t xml:space="preserve">Audit fix: pension money is not a spend goal.</t>
  </si>
  <si>
    <t xml:space="preserve">Needs: contribution increase, salary, Used_Growth_Rate, years to retirement</t>
  </si>
  <si>
    <t xml:space="preserve">Needs: contribution increase, inflation rate, salary, Used_Growth_Rate, years to retirement</t>
  </si>
  <si>
    <t xml:space="preserve">Needs: contribution increase, salary</t>
  </si>
  <si>
    <t xml:space="preserve">Needs: age, contribution increase, salary, tax rate</t>
  </si>
  <si>
    <t xml:space="preserve">Needs: age, salary</t>
  </si>
  <si>
    <t xml:space="preserve">Needs: age, contribution increase, salary</t>
  </si>
  <si>
    <t xml:space="preserve">Note: the extra contribution is the same every year; it does not rise with pay (the Retirement projection and your plan do let contributions rise with pay).</t>
  </si>
  <si>
    <t xml:space="preserve">C14 · AVC impact</t>
  </si>
  <si>
    <t xml:space="preserve">Category: Pensions &amp; Retirement · prototype id: avc</t>
  </si>
  <si>
    <t xml:space="preserve">Question it answers: What could extra voluntary contributions add?</t>
  </si>
  <si>
    <t xml:space="preserve">Shows what extra voluntary contributions (AVCs) could add by retirement, and their cost after tax relief.</t>
  </si>
  <si>
    <t xml:space="preserve">Document: Pension benefit statement / PRSA / AVC statement. Blank = no statement uploaded, or the figure is not on it. Grey-blue cells are filled by the reader (you can type here to test).</t>
  </si>
  <si>
    <t xml:space="preserve">AVC per month</t>
  </si>
  <si>
    <t xml:space="preserve">Type 3 · your figure · Your own figure. Allowed: €25 to €20,000 · steps of €25</t>
  </si>
  <si>
    <t xml:space="preserve">Salary (for the relief limit)</t>
  </si>
  <si>
    <t xml:space="preserve">Type 3 · your figure · Your own figure. In the app it is pre-filled from Plan: retirement age − age. Allowed: 1 to 40 · steps of 1</t>
  </si>
  <si>
    <t xml:space="preserve">Could add</t>
  </si>
  <si>
    <t xml:space="preserve">ƒx  =FV((1+Used_Growth_Rate)^(1/12)-1,Years*12,-AVC_Per_Month)</t>
  </si>
  <si>
    <t xml:space="preserve">ƒx  =AVC_Per_Month*12*Years</t>
  </si>
  <si>
    <t xml:space="preserve">Net cost to you</t>
  </si>
  <si>
    <t xml:space="preserve">ƒx  =Net_Cost_Per_Month*12*Years</t>
  </si>
  <si>
    <t xml:space="preserve">Net cost of each monthly AVC</t>
  </si>
  <si>
    <t xml:space="preserve">ƒx  =AVC_Per_Month-Relief_Per_Month</t>
  </si>
  <si>
    <t xml:space="preserve">AVC that gets relief, a year</t>
  </si>
  <si>
    <t xml:space="preserve">ƒx  =MIN(AVC_Per_Month*12,Relief_Room_Year)</t>
  </si>
  <si>
    <t xml:space="preserve">• Value = FV(monthly growth, months, −AVC). Tax relief = the part of the AVC within your relief limit (age band × earnings up to €115,000, less what you already pay) × your tax rate. Net cost = AVC − relief.</t>
  </si>
  <si>
    <t xml:space="preserve">• The age-related limit covers your main scheme and AVCs together: enter what you already pay in.</t>
  </si>
  <si>
    <t xml:space="preserve">ƒx  =AVC_Per_Month</t>
  </si>
  <si>
    <t xml:space="preserve">Needs: AVC per month, Used_Growth_Rate, years to retirement</t>
  </si>
  <si>
    <t xml:space="preserve">Needs: AVC per month, inflation rate, Used_Growth_Rate, years to retirement</t>
  </si>
  <si>
    <t xml:space="preserve">Needs: AVC per month, years to retirement</t>
  </si>
  <si>
    <t xml:space="preserve">Needs: AVC per month, age, salary, tax rate, years to retirement</t>
  </si>
  <si>
    <t xml:space="preserve">Needs: AVC per month, age, salary, tax rate</t>
  </si>
  <si>
    <t xml:space="preserve">Needs: AVC per month, age, salary</t>
  </si>
  <si>
    <t xml:space="preserve">Needs: AVC per month</t>
  </si>
  <si>
    <t xml:space="preserve">C15 · Will my money last?</t>
  </si>
  <si>
    <t xml:space="preserve">Category: Pensions &amp; Retirement · prototype id: lastmoney</t>
  </si>
  <si>
    <t xml:space="preserve">Question it answers: How long could my retirement savings last?</t>
  </si>
  <si>
    <t xml:space="preserve">Shows how many full years your retirement savings could pay a yearly income that rises with prices.</t>
  </si>
  <si>
    <t xml:space="preserve">Document: Pension benefit statement / Statement of Reasonable Projection. Blank = no statement uploaded, or the figure is not on it. Grey-blue cells are filled by the reader (you can type here to test).</t>
  </si>
  <si>
    <t xml:space="preserve">Retirement savings</t>
  </si>
  <si>
    <t xml:space="preserve">Type 3 · your figure · Your own figure. In the app it is pre-filled from Plan: pension projected to retirement. Allowed: €10,000 to €30,000,000 · steps of €10,000</t>
  </si>
  <si>
    <t xml:space="preserve">Yearly withdrawal (first year)</t>
  </si>
  <si>
    <t xml:space="preserve">Type 3 · your figure · Your own figure. Allowed: €1,000 to €2,000,000 · steps of €1,000</t>
  </si>
  <si>
    <t xml:space="preserve">Growth assumption a year (once retired)</t>
  </si>
  <si>
    <t xml:space="preserve">Type 3 · your choice · Generally the standard is 3.15% a year after charges once retired (LifeMap Standard set; Cautious 2.8%). Choose what you want to use. Allowed: 0% to 7% · steps of 0.05%</t>
  </si>
  <si>
    <t xml:space="preserve">Withdrawal taken at the</t>
  </si>
  <si>
    <t xml:space="preserve">Type 3 · your choice · Generally the standard is the start of the year (the prudent choice). Choose what you want to use. Allowed: Start of year or End of year</t>
  </si>
  <si>
    <t xml:space="preserve">Start of year</t>
  </si>
  <si>
    <t xml:space="preserve">Your age when withdrawals start</t>
  </si>
  <si>
    <t xml:space="preserve">Type 3 · your choice (no standard) · You can usually draw a pension from 60 (some schemes from 50); State Pension is paid from 66. Choose your own: there is no default. Allowed: 50 to 90 · steps of 1</t>
  </si>
  <si>
    <t xml:space="preserve">Plan to age</t>
  </si>
  <si>
    <t xml:space="preserve">Type 3 · your choice (no standard) · At 65, average life expectancy in Ireland is about 83 for men and 86 for women (CSO, Irish Life Tables No. 17, 2015–2017). Choose your own: there is no default. Allowed: 85 to 100 · steps of 1</t>
  </si>
  <si>
    <t xml:space="preserve">ƒx  =IF(NOT(ISBLANK(Stmt_Projected_Fund)),Stmt_Projected_Fund,IF(NOT(ISBLANK(Stmt_Fund_Value)),Stmt_Fund_Value,Retirement_Savings))</t>
  </si>
  <si>
    <t xml:space="preserve">Could last about (full years)</t>
  </si>
  <si>
    <t xml:space="preserve">ƒx  =IF(Inflation_Choice="","Choose your inflation rate to see this",SUM(W_paid))</t>
  </si>
  <si>
    <t xml:space="preserve">Money lasts to about age</t>
  </si>
  <si>
    <t xml:space="preserve">ƒx  =IF(ISNUMBER(Years_Lasting),IF(Years_Lasting&gt;=Cap_Years,"Beyond "&amp;Plan_To_Age&amp;" (your plan-until age)",Age_At_Start+Years_Lasting),"Choose your inflation rate to see this")</t>
  </si>
  <si>
    <t xml:space="preserve">Withdrawal rate (first year)</t>
  </si>
  <si>
    <t xml:space="preserve">ƒx  =Yearly_Withdrawal/Used_Retirement_Savings</t>
  </si>
  <si>
    <t xml:space="preserve">WORKING (one row per year; withdrawal at the start or end of the year, as chosen)</t>
  </si>
  <si>
    <t xml:space="preserve">Year</t>
  </si>
  <si>
    <t xml:space="preserve">Withdrawal (rises with inflation)</t>
  </si>
  <si>
    <t xml:space="preserve">Savings at the start of the year</t>
  </si>
  <si>
    <t xml:space="preserve">Paid in full? (1 = yes)</t>
  </si>
  <si>
    <t xml:space="preserve">Left at the end of the year</t>
  </si>
  <si>
    <t xml:space="preserve">• Each year (start-of-year timing): take the withdrawal, then the rest grows. End-of-year timing: the pot grows, then the withdrawal is taken. The withdrawal rises with inflation each year.</t>
  </si>
  <si>
    <t xml:space="preserve">• Years lasting = the number of years the full withdrawal could be paid (the "Paid in full" column).</t>
  </si>
  <si>
    <t xml:space="preserve">• Start of year is the suggested (prudent) timing; end of year is optimistic.</t>
  </si>
  <si>
    <t xml:space="preserve">• If the money lasts all 60 years of the table it shows "60+ years".</t>
  </si>
  <si>
    <t xml:space="preserve">• Before tax: ARF and vested PRSA withdrawals pay income tax and USC.</t>
  </si>
  <si>
    <t xml:space="preserve">Needs: growth rate, inflation rate, Used_Retirement_Savings, withdrawal timing, yearly withdrawal</t>
  </si>
  <si>
    <t xml:space="preserve">Needs: retirement age, growth rate, inflation rate, plan-to age, Used_Retirement_Savings, withdrawal timing, yearly withdrawal</t>
  </si>
  <si>
    <t xml:space="preserve">Needs: Used_Retirement_Savings, yearly withdrawal</t>
  </si>
  <si>
    <t xml:space="preserve">C16 · Retirement drawdown scenarios</t>
  </si>
  <si>
    <t xml:space="preserve">Category: Pensions &amp; Retirement · prototype id: drawdown</t>
  </si>
  <si>
    <t xml:space="preserve">Question it answers: How do different growth rates change things?</t>
  </si>
  <si>
    <t xml:space="preserve">Shows how long your retirement savings could last at three growth rates, with withdrawals rising with prices.</t>
  </si>
  <si>
    <t xml:space="preserve">Cautious: growth a year</t>
  </si>
  <si>
    <t xml:space="preserve">Type 3 · your choice · Generally the standard is 2% a year for a cautious mix (illustration). Choose what you want to use. Allowed: 0% to 8% · steps of 0.5%</t>
  </si>
  <si>
    <t xml:space="preserve">Balanced: growth a year</t>
  </si>
  <si>
    <t xml:space="preserve">Type 3 · your choice · Generally the standard is 4% a year for a balanced mix (illustration). Choose what you want to use. Allowed: 0% to 8% · steps of 0.5%</t>
  </si>
  <si>
    <t xml:space="preserve">Growth: growth a year</t>
  </si>
  <si>
    <t xml:space="preserve">Type 3 · your choice · Generally the standard is 6% a year for a growth mix (illustration). Choose what you want to use. Allowed: 0% to 8% · steps of 0.5%</t>
  </si>
  <si>
    <t xml:space="preserve">Balanced lasts (full years)</t>
  </si>
  <si>
    <t xml:space="preserve">ƒx  =IF(Inflation_Choice="","Choose your inflation rate to see this",SUM(W_b_paid))</t>
  </si>
  <si>
    <t xml:space="preserve">Cautious lasts (full years)</t>
  </si>
  <si>
    <t xml:space="preserve">ƒx  =IF(Inflation_Choice="","Choose your inflation rate to see this",SUM(W_c_paid))</t>
  </si>
  <si>
    <t xml:space="preserve">Growth lasts (full years)</t>
  </si>
  <si>
    <t xml:space="preserve">ƒx  =IF(Inflation_Choice="","Choose your inflation rate to see this",SUM(W_g_paid))</t>
  </si>
  <si>
    <t xml:space="preserve">WORKING (one row per year; withdrawal at the start of the year, rising with inflation)</t>
  </si>
  <si>
    <t xml:space="preserve">Withdrawal</t>
  </si>
  <si>
    <t xml:space="preserve">Cautious: savings at start</t>
  </si>
  <si>
    <t xml:space="preserve">Cautious: paid? (1 = yes)</t>
  </si>
  <si>
    <t xml:space="preserve">Balanced: savings at start</t>
  </si>
  <si>
    <t xml:space="preserve">Balanced: paid? (1 = yes)</t>
  </si>
  <si>
    <t xml:space="preserve">Growth: savings at start</t>
  </si>
  <si>
    <t xml:space="preserve">Growth: paid? (1 = yes)</t>
  </si>
  <si>
    <t xml:space="preserve">• Same rule as C15 at three growth rates (suggested 2%, 4%, 6%): withdraw at the start (or end) of each year, grow the rest, raise the withdrawal with inflation.</t>
  </si>
  <si>
    <t xml:space="preserve">• Years lasting = the number of years paid in full.</t>
  </si>
  <si>
    <t xml:space="preserve">• "60+ years" in every row when the money lasts the whole table.</t>
  </si>
  <si>
    <t xml:space="preserve">• Start of year is the suggested (prudent) timing.</t>
  </si>
  <si>
    <t xml:space="preserve">Needs: balanced growth rate, cautious growth rate, growth-style growth rate, inflation rate, Used_Retirement_Savings, withdrawal timing, yearly withdrawal</t>
  </si>
  <si>
    <t xml:space="preserve">C17 · Inflation-adjusted return</t>
  </si>
  <si>
    <t xml:space="preserve">Category: Investments · prototype id: realreturn</t>
  </si>
  <si>
    <t xml:space="preserve">Question it answers: What is my money really worth in future?</t>
  </si>
  <si>
    <t xml:space="preserve">Shows what an amount could grow to, what that is worth in today's money, and the real return after inflation.</t>
  </si>
  <si>
    <t xml:space="preserve">Return a year (before inflation)</t>
  </si>
  <si>
    <t xml:space="preserve">Type 3 · your choice · Generally the standard is 5% a year before charges and tax for a mixed fund (LifeMap standard, not a forecast). Choose what you want to use. Allowed: 0% to 10% · steps of 0.25%</t>
  </si>
  <si>
    <t xml:space="preserve">In today's money</t>
  </si>
  <si>
    <t xml:space="preserve">ƒx  =IF(Inflation_Choice="","Choose your inflation rate to see this",Future_Value/(1+Inflation_Choice)^Years)</t>
  </si>
  <si>
    <t xml:space="preserve">Future value</t>
  </si>
  <si>
    <t xml:space="preserve">ƒx  =Used_Amount*(1+Nominal_Return)^Years</t>
  </si>
  <si>
    <t xml:space="preserve">Real return a year</t>
  </si>
  <si>
    <t xml:space="preserve">ƒx  =IF(Inflation_Choice="","Choose your inflation rate to see this",(1+Nominal_Return)/(1+Inflation_Choice)-1)</t>
  </si>
  <si>
    <t xml:space="preserve">• Future value = amount × (1 + return)^years; today's money = future value ÷ (1 + inflation)^years.</t>
  </si>
  <si>
    <t xml:space="preserve">• Real return = (1 + return) ÷ (1 + inflation) − 1, the exact figure (not return − inflation).</t>
  </si>
  <si>
    <t xml:space="preserve">• Before tax and charges.</t>
  </si>
  <si>
    <t xml:space="preserve">Needs: inflation rate, return, Used_Amount, years</t>
  </si>
  <si>
    <t xml:space="preserve">Needs: return, Used_Amount, years</t>
  </si>
  <si>
    <t xml:space="preserve">Needs: inflation rate, return</t>
  </si>
  <si>
    <t xml:space="preserve">C18 · Regular investing</t>
  </si>
  <si>
    <t xml:space="preserve">Category: Investments · prototype id: regularinvest</t>
  </si>
  <si>
    <t xml:space="preserve">Question it answers: What could investing monthly build?</t>
  </si>
  <si>
    <t xml:space="preserve">Shows what investing a monthly amount could build after fees, what the fees cost, and the value in today's money.</t>
  </si>
  <si>
    <t xml:space="preserve">Monthly amount invested</t>
  </si>
  <si>
    <t xml:space="preserve">Allowed: €0 to €1,000,000</t>
  </si>
  <si>
    <t xml:space="preserve">Monthly amount</t>
  </si>
  <si>
    <t xml:space="preserve">Type 3 · your figure · Your own figure. Allowed: €25 to €50,000 · steps of €25</t>
  </si>
  <si>
    <t xml:space="preserve">Growth a year (before fees)</t>
  </si>
  <si>
    <t xml:space="preserve">ƒx  =IF(COUNTA(Stmt_Monthly_Invested,Stmt_Charges,Stmt_Statement_Date)&gt;0,"Yes","No")</t>
  </si>
  <si>
    <t xml:space="preserve">ƒx  =IF(ISBLANK(Stmt_Monthly_Invested),Monthly_Amount,Stmt_Monthly_Invested)</t>
  </si>
  <si>
    <t xml:space="preserve">Could grow to after fees (today's money if you chose Yes)</t>
  </si>
  <si>
    <t xml:space="preserve">ƒx  =IF(Adjust_For_Inflation="Yes",Value_Today,Value_After_Fees)</t>
  </si>
  <si>
    <t xml:space="preserve">After fees</t>
  </si>
  <si>
    <t xml:space="preserve">ƒx  =FV((1+Growth_After_Fees)^(1/12)-1,Years*12,-Used_Monthly_Amount)</t>
  </si>
  <si>
    <t xml:space="preserve">Before fees</t>
  </si>
  <si>
    <t xml:space="preserve">ƒx  =FV((1+Growth_Rate)^(1/12)-1,Years*12,-Used_Monthly_Amount)</t>
  </si>
  <si>
    <t xml:space="preserve">ƒx  =Value_Before_Fees-Value_After_Fees</t>
  </si>
  <si>
    <t xml:space="preserve">ƒx  =Used_Monthly_Amount*12*Years</t>
  </si>
  <si>
    <t xml:space="preserve">ƒx  =IF(Inflation_Choice="","Choose your inflation rate to see this",Value_After_Fees/(1+Inflation_Choice)^Years)</t>
  </si>
  <si>
    <t xml:space="preserve">• Growth after fees = (1 + growth) × (1 − fees) − 1. Each value = FV(monthly rate, months, −monthly amount), monthly rate = (1 + yearly rate)^(1/12) − 1.</t>
  </si>
  <si>
    <t xml:space="preserve">• Fees cost = value before fees − value after fees. Today's money = after-fees value ÷ (1 + inflation)^years.</t>
  </si>
  <si>
    <t xml:space="preserve">• Results are before tax (exit tax 38%, deemed disposal; 1% levy on unit-linked premiums).</t>
  </si>
  <si>
    <t xml:space="preserve">Audit fix: the old goal sent the nominal value, which the plan then inflated again.</t>
  </si>
  <si>
    <t xml:space="preserve">Needs: growth rate, Used_Monthly_Amount, Used_Yearly_Fees, years</t>
  </si>
  <si>
    <t xml:space="preserve">Needs: growth rate, Used_Monthly_Amount, years</t>
  </si>
  <si>
    <t xml:space="preserve">Needs: Used_Monthly_Amount, years</t>
  </si>
  <si>
    <t xml:space="preserve">Needs: growth rate, inflation rate, Used_Monthly_Amount, Used_Yearly_Fees, years</t>
  </si>
  <si>
    <t xml:space="preserve">C19 · Fees impact</t>
  </si>
  <si>
    <t xml:space="preserve">Category: Investments · prototype id: fees</t>
  </si>
  <si>
    <t xml:space="preserve">Question it answers: How much do fees really cost over time?</t>
  </si>
  <si>
    <t xml:space="preserve">Compares what an investment could grow to with two different yearly fees.</t>
  </si>
  <si>
    <t xml:space="preserve">Amount invested</t>
  </si>
  <si>
    <t xml:space="preserve">Type 3 · your figure · Your own figure. In the app it is pre-filled from Your finances / statement: investments. Allowed: €1,000 to €10,000,000 · steps of €100</t>
  </si>
  <si>
    <t xml:space="preserve">Fee A a year</t>
  </si>
  <si>
    <t xml:space="preserve">Fee B a year</t>
  </si>
  <si>
    <t xml:space="preserve">ƒx  =IF(ISBLANK(Stmt_Total_Value),Amount_Invested,Stmt_Total_Value)</t>
  </si>
  <si>
    <t xml:space="preserve">Fee A (your current fee)</t>
  </si>
  <si>
    <t xml:space="preserve">ƒx  =IF(NOT(ISBLANK(Stmt_Charges)),Stmt_Charges,IF(Statement_Uploaded="Yes",0,Fee_A))</t>
  </si>
  <si>
    <t xml:space="preserve">Difference</t>
  </si>
  <si>
    <t xml:space="preserve">ƒx  =ABS(Value_With_Fee_A-Value_With_Fee_B)</t>
  </si>
  <si>
    <t xml:space="preserve">With fee A</t>
  </si>
  <si>
    <t xml:space="preserve">ƒx  =Used_Amount_Invested*((1+Growth_Rate)*(1-Used_Fee_A))^Years</t>
  </si>
  <si>
    <t xml:space="preserve">With fee B</t>
  </si>
  <si>
    <t xml:space="preserve">ƒx  =Used_Amount_Invested*((1+Growth_Rate)*(1-Fee_B))^Years</t>
  </si>
  <si>
    <t xml:space="preserve">Fee difference a year</t>
  </si>
  <si>
    <t xml:space="preserve">ƒx  =ABS(Fee_B-Used_Fee_A)</t>
  </si>
  <si>
    <t xml:space="preserve">• Value with a fee = amount × ((1 + growth) × (1 − fee))^years: the fee comes off the fund each year (exact, not growth − fee).</t>
  </si>
  <si>
    <t xml:space="preserve">• Before tax.</t>
  </si>
  <si>
    <t xml:space="preserve">Needs: fee B, growth rate, Used_Amount_Invested, Used_Fee_A, years</t>
  </si>
  <si>
    <t xml:space="preserve">Needs: growth rate, Used_Amount_Invested, Used_Fee_A, years</t>
  </si>
  <si>
    <t xml:space="preserve">Needs: fee B, growth rate, Used_Amount_Invested, years</t>
  </si>
  <si>
    <t xml:space="preserve">Needs: fee B, Used_Fee_A</t>
  </si>
  <si>
    <t xml:space="preserve">C20 · Risk &amp; return simulator</t>
  </si>
  <si>
    <t xml:space="preserve">Category: Investments · prototype id: riskreturn</t>
  </si>
  <si>
    <t xml:space="preserve">Question it answers: What range of outcomes might each style have?</t>
  </si>
  <si>
    <t xml:space="preserve">Shows a weaker, middle and stronger outcome for a cautious, balanced or growth investment style.</t>
  </si>
  <si>
    <t xml:space="preserve">Holdings in shares % (if shown)</t>
  </si>
  <si>
    <t xml:space="preserve">Allowed: 0% to 100%</t>
  </si>
  <si>
    <t xml:space="preserve">Style: 1 Cautious · 2 Balanced · 3 Growth</t>
  </si>
  <si>
    <t xml:space="preserve">1, 2 or 3</t>
  </si>
  <si>
    <t xml:space="preserve">Type 3 · your choice · Generally the standard is 2 Balanced (an adviser checks your attitude to risk). Choose what you want to use. Allowed: 1 or 2 or 3</t>
  </si>
  <si>
    <t xml:space="preserve">Cautious: middle growth a year</t>
  </si>
  <si>
    <t xml:space="preserve">Type 3 · your choice · Generally the standard is 2% a year for Cautious (illustration). Choose what you want to use. Allowed: 0% to 8% · steps of 0.5%</t>
  </si>
  <si>
    <t xml:space="preserve">Balanced: middle growth a year</t>
  </si>
  <si>
    <t xml:space="preserve">Type 3 · your choice · Generally the standard is 4% a year for Balanced (illustration). Choose what you want to use. Allowed: 0% to 8% · steps of 0.5%</t>
  </si>
  <si>
    <t xml:space="preserve">Growth: middle growth a year</t>
  </si>
  <si>
    <t xml:space="preserve">Type 3 · your choice · Generally the standard is 6% a year for Growth (illustration). Choose what you want to use. Allowed: 0% to 8% · steps of 0.5%</t>
  </si>
  <si>
    <t xml:space="preserve">Cautious: volatility a year</t>
  </si>
  <si>
    <t xml:space="preserve">Type 3 · your choice · Generally the standard is 5% a year for Cautious (illustration). Choose what you want to use. Allowed: 0% to 25% · steps of 0.5%</t>
  </si>
  <si>
    <t xml:space="preserve">Balanced: volatility a year</t>
  </si>
  <si>
    <t xml:space="preserve">Type 3 · your choice · Generally the standard is 10% a year for Balanced (illustration). Choose what you want to use. Allowed: 0% to 25% · steps of 0.5%</t>
  </si>
  <si>
    <t xml:space="preserve">Growth: volatility a year</t>
  </si>
  <si>
    <t xml:space="preserve">Type 3 · your choice · Generally the standard is 16% a year for Growth (illustration). Choose what you want to use. Allowed: 0% to 25% · steps of 0.5%</t>
  </si>
  <si>
    <t xml:space="preserve">Style</t>
  </si>
  <si>
    <t xml:space="preserve">ƒx  =IF(ISBLANK(Stmt_Shares_Pct),Style,IF(Stmt_Shares_Pct&gt;=Shares_For_Growth,3,IF(Stmt_Shares_Pct&gt;=Shares_For_Balanced,2,1)))</t>
  </si>
  <si>
    <t xml:space="preserve">Middle outcome</t>
  </si>
  <si>
    <t xml:space="preserve">ƒx  =Used_Amount*(1+Middle_Growth)^Years</t>
  </si>
  <si>
    <t xml:space="preserve">Weaker outcome</t>
  </si>
  <si>
    <t xml:space="preserve">ƒx  =Used_Amount*(1+Middle_Growth-Spread)^Years</t>
  </si>
  <si>
    <t xml:space="preserve">Stronger outcome</t>
  </si>
  <si>
    <t xml:space="preserve">ƒx  =Used_Amount*(1+Middle_Growth+Spread)^Years</t>
  </si>
  <si>
    <t xml:space="preserve">About a 1-in-20 bad year could see a fall of around</t>
  </si>
  <si>
    <t xml:space="preserve">ƒx  =ROUND((Volatility*One_In_20_Z-Middle_Growth)*100,0)/100</t>
  </si>
  <si>
    <t xml:space="preserve">ƒx  =IF(OR(Used_Style&lt;1,Used_Style&gt;3,Used_Style&lt;&gt;INT(Used_Style)),"Choose 1, 2 or 3",INDEX(Risk_Names,Used_Style))</t>
  </si>
  <si>
    <t xml:space="preserve">Middle growth a year</t>
  </si>
  <si>
    <t xml:space="preserve">ƒx  =CHOOSE(Used_Style,Mu_Cautious,Mu_Balanced,Mu_Growth)</t>
  </si>
  <si>
    <t xml:space="preserve">Volatility a year</t>
  </si>
  <si>
    <t xml:space="preserve">ƒx  =CHOOSE(Used_Style,Vol_Cautious,Vol_Balanced,Vol_Growth)</t>
  </si>
  <si>
    <t xml:space="preserve">Spread a year over the period</t>
  </si>
  <si>
    <t xml:space="preserve">ƒx  =Volatility/SQRT(Years)</t>
  </si>
  <si>
    <t xml:space="preserve">• Middle = amount × (1 + middle growth)^years. Weaker / stronger = the same with growth − / + spread, where spread = volatility ÷ √years (ranges narrow over time).</t>
  </si>
  <si>
    <t xml:space="preserve">• A 1-in-20 bad year = middle growth − 1.645 × volatility (audit #81), shown as a fall rounded to a whole %.</t>
  </si>
  <si>
    <t xml:space="preserve">• Style must be 1, 2 or 3 (list): no decimals, so no "€NaN".</t>
  </si>
  <si>
    <t xml:space="preserve">• Illustrative only; "weaker" is roughly a 1-in-6 chance of doing worse, not the worst case.</t>
  </si>
  <si>
    <t xml:space="preserve">Needs: balanced growth, cautious growth, growth-style growth, Used_Amount, Used_Style, years</t>
  </si>
  <si>
    <t xml:space="preserve">Needs: balanced growth, cautious growth, growth-style growth, Used_Amount, Used_Style, balanced volatility, cautious volatility, growth-style volatility, years</t>
  </si>
  <si>
    <t xml:space="preserve">Needs: balanced growth, cautious growth, growth-style growth, Used_Style, balanced volatility, cautious volatility, growth-style volatility</t>
  </si>
  <si>
    <t xml:space="preserve">Needs: Used_Style</t>
  </si>
  <si>
    <t xml:space="preserve">Needs: balanced growth, cautious growth, growth-style growth, Used_Style</t>
  </si>
  <si>
    <t xml:space="preserve">Needs: Used_Style, balanced volatility, cautious volatility, growth-style volatility</t>
  </si>
  <si>
    <t xml:space="preserve">Needs: Used_Style, balanced volatility, cautious volatility, growth-style volatility, years</t>
  </si>
  <si>
    <t xml:space="preserve">Note: over longer timeframes the yearly return range narrows, but the gap in euros between the weaker and stronger outcomes widens.</t>
  </si>
  <si>
    <t xml:space="preserve">C21 · Life cover estimator</t>
  </si>
  <si>
    <t xml:space="preserve">Category: Protection · prototype id: lifecover</t>
  </si>
  <si>
    <t xml:space="preserve">Question it answers: How much cover might my family need?</t>
  </si>
  <si>
    <t xml:space="preserve">Estimates the life cover gap: income your family would need, plus debts to clear, less what you already have.</t>
  </si>
  <si>
    <t xml:space="preserve">Type 3 · your figure · Your own figure. In the app it is pre-filled from Your finances: income. Allowed: €0 to €3,000,000 · steps of €1,000</t>
  </si>
  <si>
    <t xml:space="preserve">Years your family would need support</t>
  </si>
  <si>
    <t xml:space="preserve">Type 3 · your choice · Generally the standard is until your youngest child is 23. Choose what you want to use. Allowed: 1 to 30 · steps of 1</t>
  </si>
  <si>
    <t xml:space="preserve">Share of your income your family would need</t>
  </si>
  <si>
    <t xml:space="preserve">Type 3 · your choice · Generally the standard is 60% of your income (families usually need less than full pay). Choose what you want to use. Allowed: 30% to 100% · steps of 5%</t>
  </si>
  <si>
    <t xml:space="preserve">Type 3 · your figure · Your own figure. In the app it is pre-filled from Your finances: mortgage balance. Allowed: €0 to €10,000,000 · steps of €5,000</t>
  </si>
  <si>
    <t xml:space="preserve">Is the mortgage cleared by mortgage protection? (most are)</t>
  </si>
  <si>
    <t xml:space="preserve">Type 3 · your figure · Your own figure. Allowed: Yes or No</t>
  </si>
  <si>
    <t xml:space="preserve">Other debts</t>
  </si>
  <si>
    <t xml:space="preserve">Type 3 · your figure · Your own figure. In the app it is pre-filled from Your finances: debts. Allowed: €0 to €2,000,000 · steps of €1,000</t>
  </si>
  <si>
    <t xml:space="preserve">Savings &amp; investments</t>
  </si>
  <si>
    <t xml:space="preserve">Type 3 · your figure · Your own figure. In the app it is pre-filled from Your finances: cash + investments. Allowed: €0 to €10,000,000 · steps of €1,000</t>
  </si>
  <si>
    <t xml:space="preserve">Existing life cover (incl. through work)</t>
  </si>
  <si>
    <t xml:space="preserve">Type 3 · your figure · Your own figure. Allowed: €0 to €20,000,000 · steps of €10,000</t>
  </si>
  <si>
    <t xml:space="preserve">State survivor's pension a week (0 if none)</t>
  </si>
  <si>
    <t xml:space="preserve">€ a week</t>
  </si>
  <si>
    <t xml:space="preserve">Type 2 · range · Usually between €0 and €299.30 a week: €259.50 under 66, €299.30 at 66+ (DSP 2026; depends on PRSI; cohabitants can qualify for the Bereaved Partner's Pension). Enter your own figure. Allowed: €0 to €1,000 · steps of €0.50</t>
  </si>
  <si>
    <t xml:space="preserve">Illustrative cover gap</t>
  </si>
  <si>
    <t xml:space="preserve">ƒx  =MAX(0,Income_Need+Debts_To_Clear-Already_Have)</t>
  </si>
  <si>
    <t xml:space="preserve">Income your family would need (after State pension)</t>
  </si>
  <si>
    <t xml:space="preserve">ƒx  =MAX(0,Yearly_Income*Life_Replace-Survivor_Pension*Weeks_Per_Year)*Years_Support</t>
  </si>
  <si>
    <t xml:space="preserve">Debts to clear</t>
  </si>
  <si>
    <t xml:space="preserve">ƒx  =IF(Mortgage_Protected="Yes",0,Used_Mortgage_Balance)+Other_Debts</t>
  </si>
  <si>
    <t xml:space="preserve">Existing cover + savings</t>
  </si>
  <si>
    <t xml:space="preserve">ƒx  =Existing_Cover+Savings</t>
  </si>
  <si>
    <t xml:space="preserve">Income replacement before State pension (60%)</t>
  </si>
  <si>
    <t xml:space="preserve">ƒx  =Yearly_Income*Life_Replace*Years_Support</t>
  </si>
  <si>
    <t xml:space="preserve">• Income need = (60% of gross income − State survivor's pension × 52) a year × years of support (never below 0).</t>
  </si>
  <si>
    <t xml:space="preserve">• Debts to clear = other debts, plus the mortgage only if mortgage protection does not already clear it (it is required for most home loans, CCA 1995 s.126).</t>
  </si>
  <si>
    <t xml:space="preserve">• Gap = income need + debts − existing cover − savings (never below 0).</t>
  </si>
  <si>
    <t xml:space="preserve">• Income need is not discounted (assumes the payout earns about inflation).</t>
  </si>
  <si>
    <t xml:space="preserve">• Survivor's pension defaults to the 2026 rate under 66 (€259.50 a week); enter 0 if it would not be paid.</t>
  </si>
  <si>
    <t xml:space="preserve">ƒx  ="No goal: record a protection need for the adviser"</t>
  </si>
  <si>
    <t xml:space="preserve">Life cover need</t>
  </si>
  <si>
    <t xml:space="preserve">ƒx  =Cover_Gap</t>
  </si>
  <si>
    <t xml:space="preserve">Audit fix: life cover is bought for a premium; it is not money to save.</t>
  </si>
  <si>
    <t xml:space="preserve">Needs: existing life cover, share of income needed, mortgage protection answer, other debts, savings &amp; investments, survivor's pension, Used_Mortgage_Balance, gross yearly income, years of support</t>
  </si>
  <si>
    <t xml:space="preserve">Needs: share of income needed, survivor's pension, gross yearly income, years of support</t>
  </si>
  <si>
    <t xml:space="preserve">Needs: mortgage protection answer, other debts, Used_Mortgage_Balance</t>
  </si>
  <si>
    <t xml:space="preserve">Needs: existing life cover, savings &amp; investments</t>
  </si>
  <si>
    <t xml:space="preserve">Needs: share of income needed, gross yearly income, years of support</t>
  </si>
  <si>
    <t xml:space="preserve">C22 · Income protection gap</t>
  </si>
  <si>
    <t xml:space="preserve">Category: Protection · prototype id: incomegap</t>
  </si>
  <si>
    <t xml:space="preserve">Question it answers: How long could I cope if I couldn't work?</t>
  </si>
  <si>
    <t xml:space="preserve">Shows how long you could cope if you couldn't work, after Illness Benefit, and the income protection to aim for.</t>
  </si>
  <si>
    <t xml:space="preserve">Months of sick pay from your employer's scheme</t>
  </si>
  <si>
    <t xml:space="preserve">Type 3 · your figure · Your own figure. Allowed: 0 to 12 · steps of 1</t>
  </si>
  <si>
    <t xml:space="preserve">Type 3 · your figure · Your own figure. In the app it is pre-filled from Your finances: cash. Allowed: €0 to €2,000,000 · steps of €500</t>
  </si>
  <si>
    <t xml:space="preserve">Illness Benefit a week</t>
  </si>
  <si>
    <t xml:space="preserve">Type 2 · range · Usually between €0 and €254 a week (DSP 2026 maximum; lower if you earned under €300 a week; needs enough PRSI). Enter your own figure. Allowed: €0 to €500 · steps of €0.50</t>
  </si>
  <si>
    <t xml:space="preserve">You could cope for (months, at most 24)</t>
  </si>
  <si>
    <t xml:space="preserve">ƒx  =IF(Monthly_Gap=0,24,MIN(24,Sick_Pay_Months+Savings/Monthly_Gap))      (Illness Benefit is paid for at most 2 years, 624 days)</t>
  </si>
  <si>
    <t xml:space="preserve">Monthly gap after Illness Benefit</t>
  </si>
  <si>
    <t xml:space="preserve">ƒx  =MAX(0,Essential_Spending-Illness_Benefit_Month)</t>
  </si>
  <si>
    <t xml:space="preserve">Income protection to aim for, a month</t>
  </si>
  <si>
    <t xml:space="preserve">ƒx  =MIN(Monthly_Gap,IP_Max)</t>
  </si>
  <si>
    <t xml:space="preserve">Illness Benefit a month (weekly × 52 ÷ 12)</t>
  </si>
  <si>
    <t xml:space="preserve">ƒx  =Illness_Benefit*Weeks_Per_Year/12</t>
  </si>
  <si>
    <t xml:space="preserve">Savings would cover (months)</t>
  </si>
  <si>
    <t xml:space="preserve">ƒx  =IF(Monthly_Gap=0,"Indefinitely",Savings/Monthly_Gap)</t>
  </si>
  <si>
    <t xml:space="preserve">Most income protection allowed, a month (75% of income less Illness Benefit)</t>
  </si>
  <si>
    <t xml:space="preserve">ƒx  =MAX(0,Gross_Income*IP_Max_Pct/12-Illness_Benefit_Month)</t>
  </si>
  <si>
    <t xml:space="preserve">• Illness Benefit a month = weekly rate (default €254, the 2026 maximum) × 52 ÷ 12. Monthly gap = essential spending − Illness Benefit (never below 0).</t>
  </si>
  <si>
    <t xml:space="preserve">• Months you could cope = sick-pay months + savings ÷ monthly gap, never more than 24 (Illness Benefit is paid for at most 2 years, 624 days).</t>
  </si>
  <si>
    <t xml:space="preserve">• Income protection to aim for = the gap, but no more than 75% of gross income less Illness Benefit (insurers' usual maximum).</t>
  </si>
  <si>
    <t xml:space="preserve">• If Illness Benefit covers the spending, the time is shown as "up to 2 years" and savings as "Not needed" (never "Indefinitely").</t>
  </si>
  <si>
    <t xml:space="preserve">• Illness Benefit depends on PRSI contributions and starts after waiting days; statutory sick pay is only 5 days.</t>
  </si>
  <si>
    <t xml:space="preserve">ƒx  ="No goal: record an income protection need for the adviser"</t>
  </si>
  <si>
    <t xml:space="preserve">Income protection need, a month</t>
  </si>
  <si>
    <t xml:space="preserve">ƒx  =IP_Needed</t>
  </si>
  <si>
    <t xml:space="preserve">Needs: essential monthly spending, Illness Benefit amount, easy-access savings, months of sick pay from your employer's scheme</t>
  </si>
  <si>
    <t xml:space="preserve">Needs: essential monthly spending, Illness Benefit amount</t>
  </si>
  <si>
    <t xml:space="preserve">Needs: essential monthly spending, gross yearly income, Illness Benefit amount</t>
  </si>
  <si>
    <t xml:space="preserve">Needs: Illness Benefit amount</t>
  </si>
  <si>
    <t xml:space="preserve">Needs: essential monthly spending, Illness Benefit amount, easy-access savings</t>
  </si>
  <si>
    <t xml:space="preserve">Needs: gross yearly income, Illness Benefit amount</t>
  </si>
  <si>
    <t xml:space="preserve">C23 · Mortgage protection</t>
  </si>
  <si>
    <t xml:space="preserve">Category: Protection · prototype id: mortgageprotect</t>
  </si>
  <si>
    <t xml:space="preserve">Question it answers: What cover would clear my mortgage?</t>
  </si>
  <si>
    <t xml:space="preserve">Shows the cover needed to clear your mortgage today and how the balance falls over time.</t>
  </si>
  <si>
    <t xml:space="preserve">Type 3 · your figure · Your own figure. In the app it is pre-filled from Your finances / statement: balance. Allowed: €20,000 to €10,000,000 · steps of €5,000</t>
  </si>
  <si>
    <t xml:space="preserve">Type 3 · your figure · Your own figure. In the app it is pre-filled from Your finances / statement: stated repayment. Allowed: €0 to €100,000 · steps of €1</t>
  </si>
  <si>
    <t xml:space="preserve">Cover needed today</t>
  </si>
  <si>
    <t xml:space="preserve">ƒx  =Used_Mortgage_Balance</t>
  </si>
  <si>
    <t xml:space="preserve">Balance in 5 years</t>
  </si>
  <si>
    <t xml:space="preserve">ƒx  =IF(Warning&lt;&gt;"","—",MAX(0,-FV(Monthly_Rate,MP_Year_1*12,-Repayment,Used_Mortgage_Balance)))</t>
  </si>
  <si>
    <t xml:space="preserve">Balance in 10 years</t>
  </si>
  <si>
    <t xml:space="preserve">ƒx  =IF(Warning&lt;&gt;"","—",MAX(0,-FV(Monthly_Rate,MP_Year_2*12,-Repayment,Used_Mortgage_Balance)))</t>
  </si>
  <si>
    <t xml:space="preserve">Balance in 15 years</t>
  </si>
  <si>
    <t xml:space="preserve">ƒx  =IF(Warning&lt;&gt;"","—",MAX(0,-FV(Monthly_Rate,MP_Year_3*12,-Repayment,Used_Mortgage_Balance)))</t>
  </si>
  <si>
    <t xml:space="preserve">Monthly repayment used</t>
  </si>
  <si>
    <t xml:space="preserve">• Balance after n years = −FV(rate ÷ 12, n × 12, −repayment, balance): the closed-form outstanding balance; 0 once the mortgage is paid off.</t>
  </si>
  <si>
    <t xml:space="preserve">• If the repayment does not cover the interest, show the warning and no future balances (they would grow).</t>
  </si>
  <si>
    <t xml:space="preserve">Needs: Used_Mortgage_Balance</t>
  </si>
  <si>
    <t xml:space="preserve">C24 · Net worth</t>
  </si>
  <si>
    <t xml:space="preserve">Category: Everyday Money · prototype id: networth</t>
  </si>
  <si>
    <t xml:space="preserve">Question it answers: What am I worth, all in?</t>
  </si>
  <si>
    <t xml:space="preserve">Adds up what you own and what you owe.</t>
  </si>
  <si>
    <t xml:space="preserve">Document: Mortgage statement, property valuation, pension statement, investment statement. Blank = no statement uploaded, or the figure is not on it. Grey-blue cells are filled by the reader (you can type here to test).</t>
  </si>
  <si>
    <t xml:space="preserve">Property value (valuation)</t>
  </si>
  <si>
    <t xml:space="preserve">Savings</t>
  </si>
  <si>
    <t xml:space="preserve">Type 3 · your figure · Your own figure. In the app it is pre-filled from Your finances: cash. Allowed: €0 to €10,000,000 · steps of €500</t>
  </si>
  <si>
    <t xml:space="preserve">Type 3 · your figure · Your own figure. In the app it is pre-filled from Your finances: investments. Allowed: €0 to €20,000,000 · steps of €1,000</t>
  </si>
  <si>
    <t xml:space="preserve">Pensions</t>
  </si>
  <si>
    <t xml:space="preserve">Type 3 · your figure · Your own figure. In the app it is pre-filled from Your finances: pension. Allowed: €0 to €30,000,000 · steps of €1,000</t>
  </si>
  <si>
    <t xml:space="preserve">Property value</t>
  </si>
  <si>
    <t xml:space="preserve">Type 3 · your figure · Your own figure. In the app it is pre-filled from Your finances: home + other property. Allowed: €0 to €50,000,000 · steps of €5,000</t>
  </si>
  <si>
    <t xml:space="preserve">Type 3 · your figure · Your own figure. In the app it is pre-filled from Your finances: mortgage balance. Allowed: €0 to €30,000,000 · steps of €5,000</t>
  </si>
  <si>
    <t xml:space="preserve">Other loans</t>
  </si>
  <si>
    <t xml:space="preserve">Type 3 · your figure · Your own figure. In the app it is pre-filled from Your finances: debts. Allowed: €0 to €5,000,000 · steps of €500</t>
  </si>
  <si>
    <t xml:space="preserve">ƒx  =IF(ISBLANK(Stmt_Mortgage_Balance),Mortgage,Stmt_Mortgage_Balance)</t>
  </si>
  <si>
    <t xml:space="preserve">ƒx  =IF(ISBLANK(Stmt_Property_Value),Property,Stmt_Property_Value)</t>
  </si>
  <si>
    <t xml:space="preserve">ƒx  =IF(ISBLANK(Stmt_Pension_Value),Pensions,Stmt_Pension_Value)</t>
  </si>
  <si>
    <t xml:space="preserve">ƒx  =IF(ISBLANK(Stmt_Investment_Value),Investments,Stmt_Investment_Value)</t>
  </si>
  <si>
    <t xml:space="preserve">Your net worth</t>
  </si>
  <si>
    <t xml:space="preserve">ƒx  =You_Own-You_Owe</t>
  </si>
  <si>
    <t xml:space="preserve">You own</t>
  </si>
  <si>
    <t xml:space="preserve">ƒx  =Savings+Used_Investments+Used_Pensions+Used_Property</t>
  </si>
  <si>
    <t xml:space="preserve">You owe</t>
  </si>
  <si>
    <t xml:space="preserve">ƒx  =Used_Mortgage+Other_Loans</t>
  </si>
  <si>
    <t xml:space="preserve">• Net worth = everything you own − everything you owe.</t>
  </si>
  <si>
    <t xml:space="preserve">• Can be negative. Pensions are before tax; property is before selling costs.</t>
  </si>
  <si>
    <t xml:space="preserve">Needs: other loans, savings, Used_Investments, Used_Mortgage, Used_Pensions, Used_Property</t>
  </si>
  <si>
    <t xml:space="preserve">Needs: savings, Used_Investments, Used_Pensions, Used_Property</t>
  </si>
  <si>
    <t xml:space="preserve">Needs: other loans, Used_Mortgage</t>
  </si>
  <si>
    <t xml:space="preserve">C25 · Monthly surplus</t>
  </si>
  <si>
    <t xml:space="preserve">Category: Everyday Money · prototype id: surplus</t>
  </si>
  <si>
    <t xml:space="preserve">Question it answers: What is left at the end of the month?</t>
  </si>
  <si>
    <t xml:space="preserve">Shows what is left of your take-home pay each month.</t>
  </si>
  <si>
    <t xml:space="preserve">Take-home pay per month (leave blank to use the Tax engine)</t>
  </si>
  <si>
    <t xml:space="preserve">Type 3 · optional · Optional: leave blank for none. Allowed: €500 to €200,000 · steps of €50</t>
  </si>
  <si>
    <t xml:space="preserve">Essentials (rent/mortgage, bills, food)</t>
  </si>
  <si>
    <t xml:space="preserve">Type 3 · your figure · Your own figure. In the app it is pre-filled from Your finances: costs + one-offs ÷ 12 + mortgage. Allowed: €0 to €150,000 · steps of €50</t>
  </si>
  <si>
    <t xml:space="preserve">Lifestyle spending</t>
  </si>
  <si>
    <t xml:space="preserve">Type 3 · your figure · Your own figure. Allowed: €0 to €100,000 · steps of €50</t>
  </si>
  <si>
    <t xml:space="preserve">Debt repayments</t>
  </si>
  <si>
    <t xml:space="preserve">Type 3 · your figure · Your own figure. In the app it is pre-filled from Your finances: debt repayments. Allowed: €0 to €50,000 · steps of €25</t>
  </si>
  <si>
    <t xml:space="preserve">Take-home pay per month</t>
  </si>
  <si>
    <t xml:space="preserve">ƒx  =IF(Take_Home="",TE_Take_Home_Month,Take_Home)</t>
  </si>
  <si>
    <t xml:space="preserve">Monthly surplus</t>
  </si>
  <si>
    <t xml:space="preserve">ƒx  =Used_Take_Home-Essentials-Lifestyle-Debt_Repayments</t>
  </si>
  <si>
    <t xml:space="preserve">Going out</t>
  </si>
  <si>
    <t xml:space="preserve">ƒx  =Essentials+Lifestyle+Debt_Repayments</t>
  </si>
  <si>
    <t xml:space="preserve">• Surplus = take-home − essentials − lifestyle − debt repayments.</t>
  </si>
  <si>
    <t xml:space="preserve">• €0 shows "Nothing left over this month"; below €0 shows "Spending is above income".</t>
  </si>
  <si>
    <t xml:space="preserve">ƒx  =IF(Surplus&gt;0,"Save my surplus (plan kind pot)","No goal")</t>
  </si>
  <si>
    <t xml:space="preserve">Amount (a year)</t>
  </si>
  <si>
    <t xml:space="preserve">ƒx  =IF(Surplus&gt;0,ROUND(Surplus*12,0),"—")</t>
  </si>
  <si>
    <t xml:space="preserve">ƒx  =IF(Surplus&gt;0,1,"—")</t>
  </si>
  <si>
    <t xml:space="preserve">Needs: debt repayments, essentials, lifestyle spending, Used_Take_Home</t>
  </si>
  <si>
    <t xml:space="preserve">Needs: debt repayments, essentials, lifestyle spending</t>
  </si>
  <si>
    <t xml:space="preserve">C26 · Budget (50/30/20)</t>
  </si>
  <si>
    <t xml:space="preserve">Category: Everyday Money · prototype id: budget</t>
  </si>
  <si>
    <t xml:space="preserve">Question it answers: A simple way to split your pay</t>
  </si>
  <si>
    <t xml:space="preserve">Splits take-home pay 50% needs, 30% wants, 20% savings and debt.</t>
  </si>
  <si>
    <t xml:space="preserve">Share for needs</t>
  </si>
  <si>
    <t xml:space="preserve">Type 3 · your choice · Generally the standard is 50% for needs (the 50/30/20 rule of thumb). Choose what you want to use. Allowed: 0% to 100% · steps of 5%</t>
  </si>
  <si>
    <t xml:space="preserve">Share for wants</t>
  </si>
  <si>
    <t xml:space="preserve">Type 3 · your choice · Generally the standard is 30% for wants (the 50/30/20 rule of thumb). Choose what you want to use. Allowed: 0% to 100% · steps of 5%</t>
  </si>
  <si>
    <t xml:space="preserve">Share for savings and debt</t>
  </si>
  <si>
    <t xml:space="preserve">Type 3 · your choice · Generally the standard is 20% for savings and debt (the 50/30/20 rule of thumb). Choose what you want to use. Allowed: 0% to 100% · steps of 5%</t>
  </si>
  <si>
    <t xml:space="preserve">Save each month</t>
  </si>
  <si>
    <t xml:space="preserve">ƒx  =Used_Take_Home*Budget_Save</t>
  </si>
  <si>
    <t xml:space="preserve">Needs</t>
  </si>
  <si>
    <t xml:space="preserve">ƒx  =Used_Take_Home*Budget_Needs</t>
  </si>
  <si>
    <t xml:space="preserve">Wants</t>
  </si>
  <si>
    <t xml:space="preserve">ƒx  =Used_Take_Home*Budget_Wants</t>
  </si>
  <si>
    <t xml:space="preserve">• Each part = take-home × its share (Assumptions).</t>
  </si>
  <si>
    <t xml:space="preserve">• A rule of thumb, applied to take-home (net) pay.</t>
  </si>
  <si>
    <t xml:space="preserve">Needs: share for needs, share for savings, share for wants</t>
  </si>
  <si>
    <t xml:space="preserve">Needs: share for savings, Used_Take_Home</t>
  </si>
  <si>
    <t xml:space="preserve">Needs: share for needs, Used_Take_Home</t>
  </si>
  <si>
    <t xml:space="preserve">Needs: share for wants, Used_Take_Home</t>
  </si>
  <si>
    <t xml:space="preserve">C27 · Debt repayment</t>
  </si>
  <si>
    <t xml:space="preserve">Category: Everyday Money · prototype id: debtpay</t>
  </si>
  <si>
    <t xml:space="preserve">Question it answers: How fast can I clear my debt?</t>
  </si>
  <si>
    <t xml:space="preserve">Shows how long it takes to clear a debt at your monthly payment and the interest you would pay.</t>
  </si>
  <si>
    <t xml:space="preserve">Balance</t>
  </si>
  <si>
    <t xml:space="preserve">Type 3 · your figure · Your own figure. In the app it is pre-filled from Your finances: the debt that takes longest to clear. Allowed: €100 to €1,000,000 · steps of €100</t>
  </si>
  <si>
    <t xml:space="preserve">Interest (APR)</t>
  </si>
  <si>
    <t xml:space="preserve">Monthly payment</t>
  </si>
  <si>
    <t xml:space="preserve">Type 3 · your figure · Your own figure. In the app it is pre-filled from Your finances: that debt's repayment. Allowed: €10 to €50,000 · steps of €10</t>
  </si>
  <si>
    <t xml:space="preserve">What if: pay extra each month</t>
  </si>
  <si>
    <t xml:space="preserve">Type 3 · optional · Optional: leave blank for none. Allowed: €0 to €10,000 · steps of €10</t>
  </si>
  <si>
    <t xml:space="preserve">Debt free in (months)</t>
  </si>
  <si>
    <t xml:space="preserve">ƒx  =IF(Payment&lt;=Balance*Monthly_Rate,"Never",ROUNDUP(ROUND(NPER(Monthly_Rate,-Payment,Balance),6),0))</t>
  </si>
  <si>
    <t xml:space="preserve">ƒx  =IF(Months_To_Clear="Never","—",Payment*(Months_To_Clear-1)+Final_Payment-Balance)</t>
  </si>
  <si>
    <t xml:space="preserve">Monthly interest rate from the APR</t>
  </si>
  <si>
    <t xml:space="preserve">ƒx  =(1+APR)^(1/12)-1</t>
  </si>
  <si>
    <t xml:space="preserve">Monthly payment incl. extra</t>
  </si>
  <si>
    <t xml:space="preserve">ƒx  =Monthly_Payment+Extra_Payment</t>
  </si>
  <si>
    <t xml:space="preserve">ƒx  =IF(Months_To_Clear="Never","—",-FV(Monthly_Rate,Months_To_Clear-1,-Payment,Balance)*(1+Monthly_Rate))</t>
  </si>
  <si>
    <t xml:space="preserve">• An APR is an effective yearly rate (EU Consumer Credit Directive), so the monthly rate = (1 + APR)^(1/12) − 1 (audit Should fix; not APR ÷ 12).</t>
  </si>
  <si>
    <t xml:space="preserve">• Months = NPER(monthly rate, −payment, balance), rounded up. Total interest = full payments + last part payment − balance.</t>
  </si>
  <si>
    <t xml:space="preserve">• More than 1,200 months shows "Payment too low to clear this debt in a reasonable time"; no goal is sent.</t>
  </si>
  <si>
    <t xml:space="preserve">ƒx  ="No goal (the plan already repays this debt)"</t>
  </si>
  <si>
    <t xml:space="preserve">Audit fix: the old goal sent the balance as a cash spend, double-counting the repayments.</t>
  </si>
  <si>
    <t xml:space="preserve">Needs: interest rate (APR), balance, monthly payment</t>
  </si>
  <si>
    <t xml:space="preserve">Needs: interest rate (APR)</t>
  </si>
  <si>
    <t xml:space="preserve">Needs: monthly payment</t>
  </si>
  <si>
    <t xml:space="preserve">C28 · Loan repayment</t>
  </si>
  <si>
    <t xml:space="preserve">Category: Everyday Money · prototype id: loan</t>
  </si>
  <si>
    <t xml:space="preserve">Question it answers: What would a loan cost me?</t>
  </si>
  <si>
    <t xml:space="preserve">Shows the monthly repayment and total cost of a loan.</t>
  </si>
  <si>
    <t xml:space="preserve">Loan amount</t>
  </si>
  <si>
    <t xml:space="preserve">Type 3 · your figure · Your own figure. Allowed: €500 to €1,000,000 · steps of €500</t>
  </si>
  <si>
    <t xml:space="preserve">ƒx  =PMT(Monthly_Rate,Years*12,-Loan_Amount)</t>
  </si>
  <si>
    <t xml:space="preserve">ƒx  =Total_Repaid-Loan_Amount</t>
  </si>
  <si>
    <t xml:space="preserve">ƒx  =Monthly_Repayment*Years*12</t>
  </si>
  <si>
    <t xml:space="preserve">• Monthly rate = (1 + APR)^(1/12) − 1 (APR is an effective yearly rate). Repayment = PMT(monthly rate, months, −amount).</t>
  </si>
  <si>
    <t xml:space="preserve">• Total repaid = repayment × months; total interest = total repaid − amount.</t>
  </si>
  <si>
    <t xml:space="preserve">Needs: interest rate (APR), loan amount, years</t>
  </si>
  <si>
    <t xml:space="preserve">Note: the APR is treated as an effective yearly rate (as for cards and loans); mortgage tools use the nominal rate ÷ 12, so the same percentage gives a slightly different repayment.</t>
  </si>
  <si>
    <t xml:space="preserve">Plan inputs: everything the "Make my plan" engine needs (same as the prototype's customer state)</t>
  </si>
  <si>
    <t xml:space="preserve">Type your figures in the yellow cells (column C). A blank cell is €0, or "not chosen" for a choice: the plan then uses the standard from Settings and "Plan results" lists what still needs choosing ("Choose your … to see this"). Switch "Fill example values" on README to Yes and every blank cell uses the grey example (the prototype's sample customer, Aoife and Cian). Column G is the figure the plan uses; column H says 1 if you gave it. Never type in columns F, G or H.</t>
  </si>
  <si>
    <t xml:space="preserve">ABOUT YOU, CHOICES AND SAVING</t>
  </si>
  <si>
    <t xml:space="preserve">Prototype state key</t>
  </si>
  <si>
    <t xml:space="preserve">Example (sample)</t>
  </si>
  <si>
    <t xml:space="preserve">Used by the plan</t>
  </si>
  <si>
    <t xml:space="preserve">Given?</t>
  </si>
  <si>
    <t xml:space="preserve">About you. The prototype: S.about.age</t>
  </si>
  <si>
    <t xml:space="preserve">Planning with a partner? (Yes/No)</t>
  </si>
  <si>
    <t xml:space="preserve">S.about.partner</t>
  </si>
  <si>
    <t xml:space="preserve">Married or civil partners? (Yes/No, blank = not said)</t>
  </si>
  <si>
    <t xml:space="preserve">S.about.married (Yes = joint tax assessment)</t>
  </si>
  <si>
    <t xml:space="preserve">Children or others who rely on you</t>
  </si>
  <si>
    <t xml:space="preserve">number</t>
  </si>
  <si>
    <t xml:space="preserve">S.about.deps</t>
  </si>
  <si>
    <t xml:space="preserve">Retirement age (your choice, never filled in for you)</t>
  </si>
  <si>
    <t xml:space="preserve">S.retireAge</t>
  </si>
  <si>
    <t xml:space="preserve">Partner's retirement age (your choice; needed when your partner has income)</t>
  </si>
  <si>
    <t xml:space="preserve">S.pRet</t>
  </si>
  <si>
    <t xml:space="preserve">Inflation you choose (a rate, e.g. 0.02 = 2%)</t>
  </si>
  <si>
    <t xml:space="preserve">rate</t>
  </si>
  <si>
    <t xml:space="preserve">S.infl</t>
  </si>
  <si>
    <t xml:space="preserve">Growth set (Standard / Cautious)</t>
  </si>
  <si>
    <t xml:space="preserve">S.assume</t>
  </si>
  <si>
    <t xml:space="preserve">Standard</t>
  </si>
  <si>
    <t xml:space="preserve">Q6 answer: how much could you invest? (0 to 4, blank = not answered)</t>
  </si>
  <si>
    <t xml:space="preserve">0-4</t>
  </si>
  <si>
    <t xml:space="preserve">S.ans['6']</t>
  </si>
  <si>
    <t xml:space="preserve">My monthly saving (today's money, blank = use the rule)</t>
  </si>
  <si>
    <t xml:space="preserve">€ a month</t>
  </si>
  <si>
    <t xml:space="preserve">S.saveM</t>
  </si>
  <si>
    <t xml:space="preserve">My saving: raise the rule (Yes) or cap it (No); blank = decided by the amount</t>
  </si>
  <si>
    <t xml:space="preserve">S.saveUp</t>
  </si>
  <si>
    <t xml:space="preserve">Extra monthly pension contribution you chose (€ a month)</t>
  </si>
  <si>
    <t xml:space="preserve">S.penExtra</t>
  </si>
  <si>
    <t xml:space="preserve">Claim the Rent Tax Credit? (Yes/No)</t>
  </si>
  <si>
    <t xml:space="preserve">S.about.cred.rent</t>
  </si>
  <si>
    <t xml:space="preserve">Claim the Single Person Child Carer Credit? (Yes/No)</t>
  </si>
  <si>
    <t xml:space="preserve">S.about.cred.lone</t>
  </si>
  <si>
    <t xml:space="preserve">Claim the Home Carer Credit? (Yes/No)</t>
  </si>
  <si>
    <t xml:space="preserve">S.about.cred.carer</t>
  </si>
  <si>
    <t xml:space="preserve">WHAT IF (Results screen)</t>
  </si>
  <si>
    <t xml:space="preserve">What if: put it towards goal number (1 to 10, as listed below; blank = none)</t>
  </si>
  <si>
    <t xml:space="preserve">goal no.</t>
  </si>
  <si>
    <t xml:space="preserve">S.wi.g</t>
  </si>
  <si>
    <t xml:space="preserve">What if: extra (or less) each month</t>
  </si>
  <si>
    <t xml:space="preserve">S.wi.m</t>
  </si>
  <si>
    <t xml:space="preserve">What if: one-off amount</t>
  </si>
  <si>
    <t xml:space="preserve">S.wi.l</t>
  </si>
  <si>
    <t xml:space="preserve">YOUR FINANCES</t>
  </si>
  <si>
    <t xml:space="preserve">Your work (Employed / Self-employed / Not working)</t>
  </si>
  <si>
    <t xml:space="preserve">S.fin.work</t>
  </si>
  <si>
    <t xml:space="preserve">Employed</t>
  </si>
  <si>
    <t xml:space="preserve">S.fin.income</t>
  </si>
  <si>
    <t xml:space="preserve">S.fin.pIncome</t>
  </si>
  <si>
    <t xml:space="preserve">Partner's age</t>
  </si>
  <si>
    <t xml:space="preserve">S.fin.pAge</t>
  </si>
  <si>
    <t xml:space="preserve">Other income a month (before tax)</t>
  </si>
  <si>
    <t xml:space="preserve">S.fin.otherM</t>
  </si>
  <si>
    <t xml:space="preserve">Monthly living costs (leave out mortgage and loan repayments)</t>
  </si>
  <si>
    <t xml:space="preserve">S.fin.costsM</t>
  </si>
  <si>
    <t xml:space="preserve">Yearly one-off costs</t>
  </si>
  <si>
    <t xml:space="preserve">S.fin.oneOffY</t>
  </si>
  <si>
    <t xml:space="preserve">Other property: rent received a month</t>
  </si>
  <si>
    <t xml:space="preserve">S.fin.rentM</t>
  </si>
  <si>
    <t xml:space="preserve">Your home (Own outright / Own with mortgage / Rent / Live with family)</t>
  </si>
  <si>
    <t xml:space="preserve">S.fin.home</t>
  </si>
  <si>
    <t xml:space="preserve">Own with mortgage</t>
  </si>
  <si>
    <t xml:space="preserve">S.fin.homeValue (only counted as a missing detail)</t>
  </si>
  <si>
    <t xml:space="preserve">Cash savings</t>
  </si>
  <si>
    <t xml:space="preserve">S.fin.cash</t>
  </si>
  <si>
    <t xml:space="preserve">S.fin.invest</t>
  </si>
  <si>
    <t xml:space="preserve">Mortgage left</t>
  </si>
  <si>
    <t xml:space="preserve">S.fin.mortBal</t>
  </si>
  <si>
    <t xml:space="preserve">Mortgage rate, APR % (e.g. 3.85; blank = your assumption)</t>
  </si>
  <si>
    <t xml:space="preserve">S.fin.mortRate</t>
  </si>
  <si>
    <t xml:space="preserve">Mortgage monthly repayment</t>
  </si>
  <si>
    <t xml:space="preserve">S.fin.mortPayM</t>
  </si>
  <si>
    <t xml:space="preserve">Mortgage years left</t>
  </si>
  <si>
    <t xml:space="preserve">S.fin.mortYears</t>
  </si>
  <si>
    <t xml:space="preserve">Credit cards: total owed (a list on "Your lists" wins)</t>
  </si>
  <si>
    <t xml:space="preserve">S.fin.cardBal</t>
  </si>
  <si>
    <t xml:space="preserve">Credit cards: monthly repayment</t>
  </si>
  <si>
    <t xml:space="preserve">S.fin.cardPayM</t>
  </si>
  <si>
    <t xml:space="preserve">Credit cards: APR % (blank = your assumption)</t>
  </si>
  <si>
    <t xml:space="preserve">S.fin.cardRate</t>
  </si>
  <si>
    <t xml:space="preserve">Other loans: total owed</t>
  </si>
  <si>
    <t xml:space="preserve">S.fin.loanBal</t>
  </si>
  <si>
    <t xml:space="preserve">Other loans: monthly repayment</t>
  </si>
  <si>
    <t xml:space="preserve">S.fin.loanPayM</t>
  </si>
  <si>
    <t xml:space="preserve">Other loans: APR % (blank = your assumption)</t>
  </si>
  <si>
    <t xml:space="preserve">S.fin.loanRate</t>
  </si>
  <si>
    <t xml:space="preserve">Other debt (older single figure)</t>
  </si>
  <si>
    <t xml:space="preserve">S.fin.debt</t>
  </si>
  <si>
    <t xml:space="preserve">Other debt monthly repayment</t>
  </si>
  <si>
    <t xml:space="preserve">S.fin.debtPayM</t>
  </si>
  <si>
    <t xml:space="preserve">Pension value today (a list on "Your lists" wins)</t>
  </si>
  <si>
    <t xml:space="preserve">S.fin.pension</t>
  </si>
  <si>
    <t xml:space="preserve">Paid into your pension each month, you + employer</t>
  </si>
  <si>
    <t xml:space="preserve">S.fin.pensionM</t>
  </si>
  <si>
    <t xml:space="preserve">Of that, paid by you each month (blank = your share assumption)</t>
  </si>
  <si>
    <t xml:space="preserve">S.fin.pensionOwnM</t>
  </si>
  <si>
    <t xml:space="preserve">Your statement's pension charges, % (blank = the typical charges are already in the growth rate)</t>
  </si>
  <si>
    <t xml:space="preserve">S.fin.penChg</t>
  </si>
  <si>
    <t xml:space="preserve">Auto-enrolled in My Future Fund? (Yes/No/Not sure; "No" turns it off)</t>
  </si>
  <si>
    <t xml:space="preserve">S.fin.ae</t>
  </si>
  <si>
    <t xml:space="preserve">State Pension (Expect full / Partly / Not sure)</t>
  </si>
  <si>
    <t xml:space="preserve">S.fin.sp</t>
  </si>
  <si>
    <t xml:space="preserve">Expect full</t>
  </si>
  <si>
    <t xml:space="preserve">PRSI years at 66 (blank = not known)</t>
  </si>
  <si>
    <t xml:space="preserve">S.fin.spYears</t>
  </si>
  <si>
    <t xml:space="preserve">Partner's State Pension (Own full / Own partial / Qualified adult increase / None / Not sure)</t>
  </si>
  <si>
    <t xml:space="preserve">S.fin.pSp</t>
  </si>
  <si>
    <t xml:space="preserve">Life cover (Yes/No/Not sure)</t>
  </si>
  <si>
    <t xml:space="preserve">S.fin.life</t>
  </si>
  <si>
    <t xml:space="preserve">Income protection (Yes/No/Not sure)</t>
  </si>
  <si>
    <t xml:space="preserve">S.fin.ip</t>
  </si>
  <si>
    <t xml:space="preserve">Serious illness cover (Yes/No/Not sure)</t>
  </si>
  <si>
    <t xml:space="preserve">S.fin.ci</t>
  </si>
  <si>
    <t xml:space="preserve">Not sure</t>
  </si>
  <si>
    <t xml:space="preserve">Cover through work (Yes/No/Not sure)</t>
  </si>
  <si>
    <t xml:space="preserve">S.fin.workCover</t>
  </si>
  <si>
    <t xml:space="preserve">Health insurance (Yes/No/Not sure)</t>
  </si>
  <si>
    <t xml:space="preserve">S.fin.health</t>
  </si>
  <si>
    <t xml:space="preserve">YOUR ASSUMPTIONS (the choices the customer makes; blank = not chosen yet)</t>
  </si>
  <si>
    <t xml:space="preserve">Investments grow (a year)</t>
  </si>
  <si>
    <t xml:space="preserve">S.asm.inv</t>
  </si>
  <si>
    <t xml:space="preserve">Cash savings earn (a year)</t>
  </si>
  <si>
    <t xml:space="preserve">S.asm.cash</t>
  </si>
  <si>
    <t xml:space="preserve">Pension grows while you work (a year)</t>
  </si>
  <si>
    <t xml:space="preserve">S.asm.pen</t>
  </si>
  <si>
    <t xml:space="preserve">Pension grows once retired (a year)</t>
  </si>
  <si>
    <t xml:space="preserve">S.asm.penRet</t>
  </si>
  <si>
    <t xml:space="preserve">Pay rises (a year)</t>
  </si>
  <si>
    <t xml:space="preserve">S.asm.wage</t>
  </si>
  <si>
    <t xml:space="preserve">Tax bands in future (prices / flat)</t>
  </si>
  <si>
    <t xml:space="preserve">S.asm.bands</t>
  </si>
  <si>
    <t xml:space="preserve">State Pension in future (prices / pay / flat)</t>
  </si>
  <si>
    <t xml:space="preserve">S.asm.spGrow</t>
  </si>
  <si>
    <t xml:space="preserve">Share of your pension you pay yourself</t>
  </si>
  <si>
    <t xml:space="preserve">S.asm.ownShare</t>
  </si>
  <si>
    <t xml:space="preserve">Retirement spending if no retirement goal (share of today's)</t>
  </si>
  <si>
    <t xml:space="preserve">S.asm.retireSpend</t>
  </si>
  <si>
    <t xml:space="preserve">Tax-free lump sum to take (share of pension)</t>
  </si>
  <si>
    <t xml:space="preserve">S.asm.lumpSum</t>
  </si>
  <si>
    <t xml:space="preserve">How you draw your pension (spread / min / fixed)</t>
  </si>
  <si>
    <t xml:space="preserve">S.asm.drawRule</t>
  </si>
  <si>
    <t xml:space="preserve">Fixed amount a year, if you chose fixed (today's money)</t>
  </si>
  <si>
    <t xml:space="preserve">S.asm.drawFixed</t>
  </si>
  <si>
    <t xml:space="preserve">Emergency fund months</t>
  </si>
  <si>
    <t xml:space="preserve">S.asm.safetyMonths</t>
  </si>
  <si>
    <t xml:space="preserve">Money for goals sooner than this is kept as cash (years)</t>
  </si>
  <si>
    <t xml:space="preserve">S.asm.cashYears</t>
  </si>
  <si>
    <t xml:space="preserve">Spare savings: share invested</t>
  </si>
  <si>
    <t xml:space="preserve">S.asm.investShare</t>
  </si>
  <si>
    <t xml:space="preserve">Share of spare money saved, at most</t>
  </si>
  <si>
    <t xml:space="preserve">S.asm.saveShare</t>
  </si>
  <si>
    <t xml:space="preserve">Monthly saving if Q6 not answered</t>
  </si>
  <si>
    <t xml:space="preserve">S.asm.noAnswer</t>
  </si>
  <si>
    <t xml:space="preserve">Plan until age (your choice, never filled in for you)</t>
  </si>
  <si>
    <t xml:space="preserve">S.asm.planEnd</t>
  </si>
  <si>
    <t xml:space="preserve">Start the plan in (2026 / 2027)</t>
  </si>
  <si>
    <t xml:space="preserve">year</t>
  </si>
  <si>
    <t xml:space="preserve">S.asm.startYear</t>
  </si>
  <si>
    <t xml:space="preserve">Mortgage rate if the statement does not say</t>
  </si>
  <si>
    <t xml:space="preserve">S.asm.mortRate</t>
  </si>
  <si>
    <t xml:space="preserve">Credit-card rate if the statement does not say</t>
  </si>
  <si>
    <t xml:space="preserve">S.asm.cardRate</t>
  </si>
  <si>
    <t xml:space="preserve">Other loans rate if the statement does not say</t>
  </si>
  <si>
    <t xml:space="preserve">S.asm.loanRate</t>
  </si>
  <si>
    <t xml:space="preserve">Your State Pension a week at 66 (if you do not know your PRSI years)</t>
  </si>
  <si>
    <t xml:space="preserve">S.asm.spWeek</t>
  </si>
  <si>
    <t xml:space="preserve">Partner's State Pension a week at 66</t>
  </si>
  <si>
    <t xml:space="preserve">S.asm.pSpWeek</t>
  </si>
  <si>
    <t xml:space="preserve">PRSI years at 66 (as an assumption)</t>
  </si>
  <si>
    <t xml:space="preserve">S.asm.spYears</t>
  </si>
  <si>
    <t xml:space="preserve">Typical pension charges already in the growth rate</t>
  </si>
  <si>
    <t xml:space="preserve">S.asm.penChg</t>
  </si>
  <si>
    <t xml:space="preserve">YOUR GOALS (up to 10, in the order you added them)</t>
  </si>
  <si>
    <t xml:space="preserve">Goal type (key)</t>
  </si>
  <si>
    <t xml:space="preserve">Name (blank = standard name)</t>
  </si>
  <si>
    <t xml:space="preserve">Target age (not used for Retire or Legacy)</t>
  </si>
  <si>
    <t xml:space="preserve">Amount today (Retire: yearly income)</t>
  </si>
  <si>
    <t xml:space="preserve">Priority</t>
  </si>
  <si>
    <t xml:space="preserve">Rank (1 = first; blank = not ranked)</t>
  </si>
  <si>
    <t xml:space="preserve">Emergency fund amount follows months x spending? (Yes/No)</t>
  </si>
  <si>
    <t xml:space="preserve">Used: key</t>
  </si>
  <si>
    <t xml:space="preserve">Used: name</t>
  </si>
  <si>
    <t xml:space="preserve">Used: age</t>
  </si>
  <si>
    <t xml:space="preserve">Used: amount</t>
  </si>
  <si>
    <t xml:space="preserve">Used: saved</t>
  </si>
  <si>
    <t xml:space="preserve">Used: priority</t>
  </si>
  <si>
    <t xml:space="preserve">Used: rank</t>
  </si>
  <si>
    <t xml:space="preserve">Used: auto</t>
  </si>
  <si>
    <t xml:space="preserve">Goal 1</t>
  </si>
  <si>
    <t xml:space="preserve">Goal 2</t>
  </si>
  <si>
    <t xml:space="preserve">Goal 3</t>
  </si>
  <si>
    <t xml:space="preserve">Goal 4</t>
  </si>
  <si>
    <t xml:space="preserve">Goal 5</t>
  </si>
  <si>
    <t xml:space="preserve">Goal 6</t>
  </si>
  <si>
    <t xml:space="preserve">Goal 7</t>
  </si>
  <si>
    <t xml:space="preserve">Goal 8</t>
  </si>
  <si>
    <t xml:space="preserve">Goal 9</t>
  </si>
  <si>
    <t xml:space="preserve">Goal 10</t>
  </si>
  <si>
    <t xml:space="preserve">Plan pay &amp; tax: the figures the plan uses, and each year's pay, pension and tax (same rules as the prototype's finNums, netPay and hhTax)</t>
  </si>
  <si>
    <t xml:space="preserve">RULES the plan uses (set by law; the same values as the prototype's RULES_IE_2026)</t>
  </si>
  <si>
    <t xml:space="preserve">Value</t>
  </si>
  <si>
    <t xml:space="preserve">How it is worked out</t>
  </si>
  <si>
    <t xml:space="preserve">Income tax: 20% band, single (Band_Single)</t>
  </si>
  <si>
    <t xml:space="preserve">Assumptions: Band_Single</t>
  </si>
  <si>
    <t xml:space="preserve">20% band, lone parent with SPCCC</t>
  </si>
  <si>
    <t xml:space="preserve">Assumptions: Band_Single_Parent</t>
  </si>
  <si>
    <t xml:space="preserve">20% band, married one earner</t>
  </si>
  <si>
    <t xml:space="preserve">Assumptions: Band_Married</t>
  </si>
  <si>
    <t xml:space="preserve">Second-earner uplift, at most</t>
  </si>
  <si>
    <t xml:space="preserve">Assumptions: Band_Second_Earner_Max</t>
  </si>
  <si>
    <t xml:space="preserve">Standard rate</t>
  </si>
  <si>
    <t xml:space="preserve">Assumptions: Rate_Standard</t>
  </si>
  <si>
    <t xml:space="preserve">Higher rate</t>
  </si>
  <si>
    <t xml:space="preserve">Assumptions: Rate_Higher</t>
  </si>
  <si>
    <t xml:space="preserve">Personal credit, single</t>
  </si>
  <si>
    <t xml:space="preserve">Assumptions: Credit_Personal_Single</t>
  </si>
  <si>
    <t xml:space="preserve">Personal credit, married</t>
  </si>
  <si>
    <t xml:space="preserve">Assumptions: Credit_Personal_Married</t>
  </si>
  <si>
    <t xml:space="preserve">Employee (PAYE) credit</t>
  </si>
  <si>
    <t xml:space="preserve">Assumptions: Credit_PAYE</t>
  </si>
  <si>
    <t xml:space="preserve">PAYE credit cap, share of pay</t>
  </si>
  <si>
    <t xml:space="preserve">PR_PAYEcap</t>
  </si>
  <si>
    <t xml:space="preserve">Rent Tax Credit, single</t>
  </si>
  <si>
    <t xml:space="preserve">Assumptions: Credit_Rent_Single</t>
  </si>
  <si>
    <t xml:space="preserve">Rent Tax Credit, joint</t>
  </si>
  <si>
    <t xml:space="preserve">Assumptions: Credit_Rent_Joint</t>
  </si>
  <si>
    <t xml:space="preserve">Last year of the Rent Tax Credit</t>
  </si>
  <si>
    <t xml:space="preserve">PR_RentLast</t>
  </si>
  <si>
    <t xml:space="preserve">Single Person Child Carer Credit</t>
  </si>
  <si>
    <t xml:space="preserve">Assumptions: Credit_SPCCC</t>
  </si>
  <si>
    <t xml:space="preserve">Home Carer Credit</t>
  </si>
  <si>
    <t xml:space="preserve">Assumptions: Credit_Home_Carer</t>
  </si>
  <si>
    <t xml:space="preserve">Home Carer income limit</t>
  </si>
  <si>
    <t xml:space="preserve">PR_HCLimit</t>
  </si>
  <si>
    <t xml:space="preserve">Age credit from</t>
  </si>
  <si>
    <t xml:space="preserve">PR_AgeCrAge</t>
  </si>
  <si>
    <t xml:space="preserve">Age credit</t>
  </si>
  <si>
    <t xml:space="preserve">PR_AgeCr</t>
  </si>
  <si>
    <t xml:space="preserve">Age exemption limit, single</t>
  </si>
  <si>
    <t xml:space="preserve">PR_AgeEx</t>
  </si>
  <si>
    <t xml:space="preserve">Age exemption limit, married</t>
  </si>
  <si>
    <t xml:space="preserve">PR_AgeExM</t>
  </si>
  <si>
    <t xml:space="preserve">Age exemption marginal rate</t>
  </si>
  <si>
    <t xml:space="preserve">PR_AgeMarg</t>
  </si>
  <si>
    <t xml:space="preserve">USC exemption</t>
  </si>
  <si>
    <t xml:space="preserve">Assumptions: USC_Exempt</t>
  </si>
  <si>
    <t xml:space="preserve">USC band 1 top</t>
  </si>
  <si>
    <t xml:space="preserve">Assumptions: USC_Band_1</t>
  </si>
  <si>
    <t xml:space="preserve">USC band 2 top</t>
  </si>
  <si>
    <t xml:space="preserve">Assumptions: USC_Band_2</t>
  </si>
  <si>
    <t xml:space="preserve">USC band 3 top</t>
  </si>
  <si>
    <t xml:space="preserve">Assumptions: USC_Band_3</t>
  </si>
  <si>
    <t xml:space="preserve">USC rate 1</t>
  </si>
  <si>
    <t xml:space="preserve">Assumptions: USC_Rate_1</t>
  </si>
  <si>
    <t xml:space="preserve">USC rate 2</t>
  </si>
  <si>
    <t xml:space="preserve">Assumptions: USC_Rate_2</t>
  </si>
  <si>
    <t xml:space="preserve">USC rate 3</t>
  </si>
  <si>
    <t xml:space="preserve">Assumptions: USC_Rate_3</t>
  </si>
  <si>
    <t xml:space="preserve">USC rate 4</t>
  </si>
  <si>
    <t xml:space="preserve">Assumptions: USC_Rate_4</t>
  </si>
  <si>
    <t xml:space="preserve">Reduced USC from age</t>
  </si>
  <si>
    <t xml:space="preserve">PR_USCredAge</t>
  </si>
  <si>
    <t xml:space="preserve">Reduced USC income limit</t>
  </si>
  <si>
    <t xml:space="preserve">PR_USCredMax</t>
  </si>
  <si>
    <t xml:space="preserve">Reduced USC band 1 top</t>
  </si>
  <si>
    <t xml:space="preserve">PR_USCredB1</t>
  </si>
  <si>
    <t xml:space="preserve">Reduced USC rate 1</t>
  </si>
  <si>
    <t xml:space="preserve">PR_USCredR1</t>
  </si>
  <si>
    <t xml:space="preserve">Reduced USC rate 2</t>
  </si>
  <si>
    <t xml:space="preserve">PR_USCredR2</t>
  </si>
  <si>
    <t xml:space="preserve">Self-employed USC surcharge</t>
  </si>
  <si>
    <t xml:space="preserve">PR_USCse</t>
  </si>
  <si>
    <t xml:space="preserve">Surcharge on self-employed income over</t>
  </si>
  <si>
    <t xml:space="preserve">PR_USCseOver</t>
  </si>
  <si>
    <t xml:space="preserve">PRSI rate, from Oct 2025</t>
  </si>
  <si>
    <t xml:space="preserve">PR_PRSIr0</t>
  </si>
  <si>
    <t xml:space="preserve">PRSI rate, from Oct 2026</t>
  </si>
  <si>
    <t xml:space="preserve">PR_PRSIr1</t>
  </si>
  <si>
    <t xml:space="preserve">PRSI rate, from Oct 2027</t>
  </si>
  <si>
    <t xml:space="preserve">PR_PRSIr2</t>
  </si>
  <si>
    <t xml:space="preserve">PRSI rate, from Oct 2028</t>
  </si>
  <si>
    <t xml:space="preserve">PR_PRSIr3</t>
  </si>
  <si>
    <t xml:space="preserve">Month index of the Oct 2026 change (year x 12 + month - 1)</t>
  </si>
  <si>
    <t xml:space="preserve">PR_PRSIt1</t>
  </si>
  <si>
    <t xml:space="preserve">Month index of the Oct 2027 change</t>
  </si>
  <si>
    <t xml:space="preserve">PR_PRSIt2</t>
  </si>
  <si>
    <t xml:space="preserve">Month index of the Oct 2028 change</t>
  </si>
  <si>
    <t xml:space="preserve">PR_PRSIt3</t>
  </si>
  <si>
    <t xml:space="preserve">PRSI: weekly earnings with no PRSI</t>
  </si>
  <si>
    <t xml:space="preserve">Assumptions: PRSI_Free_Week</t>
  </si>
  <si>
    <t xml:space="preserve">PRSI credit, maximum a week</t>
  </si>
  <si>
    <t xml:space="preserve">Assumptions: PRSI_Credit_Max</t>
  </si>
  <si>
    <t xml:space="preserve">PRSI credit ends above (a week)</t>
  </si>
  <si>
    <t xml:space="preserve">Assumptions: PRSI_Credit_Top</t>
  </si>
  <si>
    <t xml:space="preserve">PRSI credit taper</t>
  </si>
  <si>
    <t xml:space="preserve">Assumptions: PRSI_Credit_Taper</t>
  </si>
  <si>
    <t xml:space="preserve">No PRSI from age</t>
  </si>
  <si>
    <t xml:space="preserve">PR_PRSIend</t>
  </si>
  <si>
    <t xml:space="preserve">Class S: income above which PRSI applies</t>
  </si>
  <si>
    <t xml:space="preserve">PR_PRSIsMinInc</t>
  </si>
  <si>
    <t xml:space="preserve">Class S minimum</t>
  </si>
  <si>
    <t xml:space="preserve">PR_PRSIsMin</t>
  </si>
  <si>
    <t xml:space="preserve">Unearned income above which PRSI applies</t>
  </si>
  <si>
    <t xml:space="preserve">PR_PRSIunearned</t>
  </si>
  <si>
    <t xml:space="preserve">Pension relief: under 30</t>
  </si>
  <si>
    <t xml:space="preserve">PR_RelA1</t>
  </si>
  <si>
    <t xml:space="preserve">PR_RelP1</t>
  </si>
  <si>
    <t xml:space="preserve">under 40</t>
  </si>
  <si>
    <t xml:space="preserve">PR_RelA2</t>
  </si>
  <si>
    <t xml:space="preserve">PR_RelP2</t>
  </si>
  <si>
    <t xml:space="preserve">under 50</t>
  </si>
  <si>
    <t xml:space="preserve">PR_RelA3</t>
  </si>
  <si>
    <t xml:space="preserve">PR_RelP3</t>
  </si>
  <si>
    <t xml:space="preserve">under 55</t>
  </si>
  <si>
    <t xml:space="preserve">PR_RelA4</t>
  </si>
  <si>
    <t xml:space="preserve">PR_RelP4</t>
  </si>
  <si>
    <t xml:space="preserve">under 60</t>
  </si>
  <si>
    <t xml:space="preserve">PR_RelA5</t>
  </si>
  <si>
    <t xml:space="preserve">PR_RelP5</t>
  </si>
  <si>
    <t xml:space="preserve">60 and over</t>
  </si>
  <si>
    <t xml:space="preserve">PR_RelP6</t>
  </si>
  <si>
    <t xml:space="preserve">Pension relief earnings cap</t>
  </si>
  <si>
    <t xml:space="preserve">Assumptions: Relief_Earnings_Cap</t>
  </si>
  <si>
    <t xml:space="preserve">Lump sum: at most this share</t>
  </si>
  <si>
    <t xml:space="preserve">Assumptions: Lump_Sum_Max_Pct</t>
  </si>
  <si>
    <t xml:space="preserve">Lump sum tax-free up to</t>
  </si>
  <si>
    <t xml:space="preserve">Assumptions: Lump_Sum_Tax_Free</t>
  </si>
  <si>
    <t xml:space="preserve">Lump sum counted up to</t>
  </si>
  <si>
    <t xml:space="preserve">Assumptions: Lump_Sum_Cap</t>
  </si>
  <si>
    <t xml:space="preserve">Lump sum tax rate on the next band</t>
  </si>
  <si>
    <t xml:space="preserve">Assumptions: Lump_Sum_Rate</t>
  </si>
  <si>
    <t xml:space="preserve">Standard Fund Threshold 2026</t>
  </si>
  <si>
    <t xml:space="preserve">Assumptions: SFT_2026</t>
  </si>
  <si>
    <t xml:space="preserve">2027</t>
  </si>
  <si>
    <t xml:space="preserve">PR_SFT2027</t>
  </si>
  <si>
    <t xml:space="preserve">2028</t>
  </si>
  <si>
    <t xml:space="preserve">PR_SFT2028</t>
  </si>
  <si>
    <t xml:space="preserve">2029 and after</t>
  </si>
  <si>
    <t xml:space="preserve">PR_SFT2029</t>
  </si>
  <si>
    <t xml:space="preserve">Tax above the threshold</t>
  </si>
  <si>
    <t xml:space="preserve">Assumptions: SFT_Tax</t>
  </si>
  <si>
    <t xml:space="preserve">Minimum draw from 61</t>
  </si>
  <si>
    <t xml:space="preserve">PR_ARF61</t>
  </si>
  <si>
    <t xml:space="preserve">Minimum draw from 71</t>
  </si>
  <si>
    <t xml:space="preserve">PR_ARF71</t>
  </si>
  <si>
    <t xml:space="preserve">Minimum draw over the big-fund limit</t>
  </si>
  <si>
    <t xml:space="preserve">PR_ARFbigRate</t>
  </si>
  <si>
    <t xml:space="preserve">Big-fund limit</t>
  </si>
  <si>
    <t xml:space="preserve">PR_ARFbig</t>
  </si>
  <si>
    <t xml:space="preserve">Earliest pension age</t>
  </si>
  <si>
    <t xml:space="preserve">PR_Earliest</t>
  </si>
  <si>
    <t xml:space="preserve">State Pension a week</t>
  </si>
  <si>
    <t xml:space="preserve">Assumptions: State_Pension_Week</t>
  </si>
  <si>
    <t xml:space="preserve">Weeks a year</t>
  </si>
  <si>
    <t xml:space="preserve">PR_Weeks</t>
  </si>
  <si>
    <t xml:space="preserve">State Pension age</t>
  </si>
  <si>
    <t xml:space="preserve">Assumptions: State_Pension_Age</t>
  </si>
  <si>
    <t xml:space="preserve">Over-80 increase a week</t>
  </si>
  <si>
    <t xml:space="preserve">PR_Over80</t>
  </si>
  <si>
    <t xml:space="preserve">Qualified Adult rate, 66+</t>
  </si>
  <si>
    <t xml:space="preserve">PR_QA66</t>
  </si>
  <si>
    <t xml:space="preserve">Qualified Adult rate, under 66</t>
  </si>
  <si>
    <t xml:space="preserve">PR_QAunder</t>
  </si>
  <si>
    <t xml:space="preserve">PRSI years for the full State Pension</t>
  </si>
  <si>
    <t xml:space="preserve">PR_SPfull</t>
  </si>
  <si>
    <t xml:space="preserve">Minimum PRSI years</t>
  </si>
  <si>
    <t xml:space="preserve">PR_SPmin</t>
  </si>
  <si>
    <t xml:space="preserve">Auto-enrolment: from age</t>
  </si>
  <si>
    <t xml:space="preserve">PR_AEageMin</t>
  </si>
  <si>
    <t xml:space="preserve">up to age</t>
  </si>
  <si>
    <t xml:space="preserve">PR_AEageMax</t>
  </si>
  <si>
    <t xml:space="preserve">earning over</t>
  </si>
  <si>
    <t xml:space="preserve">PR_AEearnMin</t>
  </si>
  <si>
    <t xml:space="preserve">on pay up to</t>
  </si>
  <si>
    <t xml:space="preserve">PR_AEcap</t>
  </si>
  <si>
    <t xml:space="preserve">employee rate</t>
  </si>
  <si>
    <t xml:space="preserve">PR_AEee</t>
  </si>
  <si>
    <t xml:space="preserve">employer rate</t>
  </si>
  <si>
    <t xml:space="preserve">PR_AEer</t>
  </si>
  <si>
    <t xml:space="preserve">State top-up rate</t>
  </si>
  <si>
    <t xml:space="preserve">PR_AEst</t>
  </si>
  <si>
    <t xml:space="preserve">Q6 band 1 (today's money a month)</t>
  </si>
  <si>
    <t xml:space="preserve">PR_SaveB1</t>
  </si>
  <si>
    <t xml:space="preserve">Q6 band 2</t>
  </si>
  <si>
    <t xml:space="preserve">PR_SaveB2</t>
  </si>
  <si>
    <t xml:space="preserve">Q6 band 3</t>
  </si>
  <si>
    <t xml:space="preserve">PR_SaveB3</t>
  </si>
  <si>
    <t xml:space="preserve">Q6 band 4 ("Over €750" counts as €1,000)</t>
  </si>
  <si>
    <t xml:space="preserve">PR_SaveB4</t>
  </si>
  <si>
    <t xml:space="preserve">Q6 "it changes": a third of spare money</t>
  </si>
  <si>
    <t xml:space="preserve">PR_ShareVaries</t>
  </si>
  <si>
    <t xml:space="preserve">A shortfall year: more than this euro amount ...</t>
  </si>
  <si>
    <t xml:space="preserve">PR_Short1</t>
  </si>
  <si>
    <t xml:space="preserve">... or this share of the year's needs</t>
  </si>
  <si>
    <t xml:space="preserve">PR_Short2</t>
  </si>
  <si>
    <t xml:space="preserve">On track from (%)</t>
  </si>
  <si>
    <t xml:space="preserve">PR_Good</t>
  </si>
  <si>
    <t xml:space="preserve">Needs a nudge from (%)</t>
  </si>
  <si>
    <t xml:space="preserve">PR_Nudge</t>
  </si>
  <si>
    <t xml:space="preserve">YOUR CHOICES the plan reads (an unchosen choice falls back to the standard in Settings, exactly like the prototype's asmV)</t>
  </si>
  <si>
    <t xml:space="preserve">Growth set is Cautious (1) or Standard (0)</t>
  </si>
  <si>
    <t xml:space="preserve">Inflation used</t>
  </si>
  <si>
    <t xml:space="preserve">S.infl, else the Settings standard (an internal fallback only: the plan is gated until chosen)</t>
  </si>
  <si>
    <t xml:space="preserve">wage growth used</t>
  </si>
  <si>
    <t xml:space="preserve">cash growth used</t>
  </si>
  <si>
    <t xml:space="preserve">inv growth used</t>
  </si>
  <si>
    <t xml:space="preserve">pen growth used</t>
  </si>
  <si>
    <t xml:space="preserve">penRet growth used</t>
  </si>
  <si>
    <t xml:space="preserve">Mortgage rate assumption</t>
  </si>
  <si>
    <t xml:space="preserve">fallback 3.75% if not chosen</t>
  </si>
  <si>
    <t xml:space="preserve">Credit-card rate assumption</t>
  </si>
  <si>
    <t xml:space="preserve">fallback 20%</t>
  </si>
  <si>
    <t xml:space="preserve">Other loans rate assumption</t>
  </si>
  <si>
    <t xml:space="preserve">fallback 8%</t>
  </si>
  <si>
    <t xml:space="preserve">Plan until age</t>
  </si>
  <si>
    <t xml:space="preserve">fallback 90 (95 with a partner), never shown</t>
  </si>
  <si>
    <t xml:space="preserve">First plan year</t>
  </si>
  <si>
    <t xml:space="preserve">Two secure incomes (1/0)</t>
  </si>
  <si>
    <t xml:space="preserve">Years kept as cash</t>
  </si>
  <si>
    <t xml:space="preserve">Spare savings invested (share)</t>
  </si>
  <si>
    <t xml:space="preserve">Lump sum share</t>
  </si>
  <si>
    <t xml:space="preserve">Drawdown rule</t>
  </si>
  <si>
    <t xml:space="preserve">Fixed draw a year (today's money)</t>
  </si>
  <si>
    <t xml:space="preserve">Tax bands in future</t>
  </si>
  <si>
    <t xml:space="preserve">State Pension in future</t>
  </si>
  <si>
    <t xml:space="preserve">Retirement spending share</t>
  </si>
  <si>
    <t xml:space="preserve">Share of pension you pay yourself</t>
  </si>
  <si>
    <t xml:space="preserve">Typical pension charges in the growth rate</t>
  </si>
  <si>
    <t xml:space="preserve">Your State Pension answer ('Not sure' if blank)</t>
  </si>
  <si>
    <t xml:space="preserve">Your State Pension a week (if no PRSI years)</t>
  </si>
  <si>
    <t xml:space="preserve">Partner's State Pension answer ('Not sure' if blank)</t>
  </si>
  <si>
    <t xml:space="preserve">Partner's State Pension a week</t>
  </si>
  <si>
    <t xml:space="preserve">State Pension a year, full rate (weekly rate x 52)</t>
  </si>
  <si>
    <t xml:space="preserve">YOUR FIGURES the plan uses (the prototype's finNums: a skipped figure counts as €0)</t>
  </si>
  <si>
    <t xml:space="preserve">Partner (1/0)</t>
  </si>
  <si>
    <t xml:space="preserve">Joint assessment (1/0)</t>
  </si>
  <si>
    <t xml:space="preserve">Your income (0 if not working)</t>
  </si>
  <si>
    <t xml:space="preserve">Partner's income</t>
  </si>
  <si>
    <t xml:space="preserve">Partner's retirement age (0 = not given)</t>
  </si>
  <si>
    <t xml:space="preserve">Other income a month</t>
  </si>
  <si>
    <t xml:space="preserve">Living costs a month</t>
  </si>
  <si>
    <t xml:space="preserve">One-off costs a year</t>
  </si>
  <si>
    <t xml:space="preserve">Cash</t>
  </si>
  <si>
    <t xml:space="preserve">Rental income a month</t>
  </si>
  <si>
    <t xml:space="preserve">Own with mortgage (1/0)</t>
  </si>
  <si>
    <t xml:space="preserve">Mortgage rate used</t>
  </si>
  <si>
    <t xml:space="preserve">Mortgage repayment given</t>
  </si>
  <si>
    <t xml:space="preserve">Mortgage repayment used (given, else worked out from balance, rate and years; 25 years if none, gated)</t>
  </si>
  <si>
    <t xml:space="preserve">Mortgage repayment was worked out (1/0)</t>
  </si>
  <si>
    <t xml:space="preserve">Mortgage repayment too low to clear it (1/0)</t>
  </si>
  <si>
    <t xml:space="preserve">DEBTS (the prototype's debtNums; a mortgage on another property is folded into other loans)</t>
  </si>
  <si>
    <t xml:space="preserve">Other-property mortgages: balance</t>
  </si>
  <si>
    <t xml:space="preserve">Other-property mortgages: repayment</t>
  </si>
  <si>
    <t xml:space="preserve">Other-property mortgages: weighted rate</t>
  </si>
  <si>
    <t xml:space="preserve">Card rate used</t>
  </si>
  <si>
    <t xml:space="preserve">Loan rate used (before other-property mortgages)</t>
  </si>
  <si>
    <t xml:space="preserve">Loans owed (before other-property mortgages)</t>
  </si>
  <si>
    <t xml:space="preserve">Loan rate used, weighted</t>
  </si>
  <si>
    <t xml:space="preserve">Cards owed</t>
  </si>
  <si>
    <t xml:space="preserve">Loans owed (incl. other-property mortgages)</t>
  </si>
  <si>
    <t xml:space="preserve">Loan repayment given</t>
  </si>
  <si>
    <t xml:space="preserve">Card monthly rate (APR as effective yearly rate)</t>
  </si>
  <si>
    <t xml:space="preserve">Loan monthly rate</t>
  </si>
  <si>
    <t xml:space="preserve">Card repayment covers the interest (1/0)</t>
  </si>
  <si>
    <t xml:space="preserve">Loan repayment covers the interest (1/0)</t>
  </si>
  <si>
    <t xml:space="preserve">Card repayment used (given if it covers the interest, else a 5-year repayment)</t>
  </si>
  <si>
    <t xml:space="preserve">Loan repayment used</t>
  </si>
  <si>
    <t xml:space="preserve">Card repayment worked out (1/0)</t>
  </si>
  <si>
    <t xml:space="preserve">Loan repayment worked out (1/0)</t>
  </si>
  <si>
    <t xml:space="preserve">Debt (cards + loans)</t>
  </si>
  <si>
    <t xml:space="preserve">Debt repayments a month</t>
  </si>
  <si>
    <t xml:space="preserve">Essential spending a month (living + mortgage + loan repayments)</t>
  </si>
  <si>
    <t xml:space="preserve">PENSION, STATE PENSION, TAX STATUS</t>
  </si>
  <si>
    <t xml:space="preserve">Paid into pension each month (you + employer)</t>
  </si>
  <si>
    <t xml:space="preserve">Of that, paid by you</t>
  </si>
  <si>
    <t xml:space="preserve">Pension growth used while working</t>
  </si>
  <si>
    <t xml:space="preserve">PRSI years used (blank = not known)</t>
  </si>
  <si>
    <t xml:space="preserve">Your State Pension, share of the full rate</t>
  </si>
  <si>
    <t xml:space="preserve">Partner's State Pension answer used</t>
  </si>
  <si>
    <t xml:space="preserve">Partner on a Qualified Adult increase (1/0)</t>
  </si>
  <si>
    <t xml:space="preserve">Partner's State Pension, share of the full rate</t>
  </si>
  <si>
    <t xml:space="preserve">Auto-enrolment counted (1/0)</t>
  </si>
  <si>
    <t xml:space="preserve">Rent Tax Credit claimed (1/0)</t>
  </si>
  <si>
    <t xml:space="preserve">Single Person Child Carer Credit (1/0)</t>
  </si>
  <si>
    <t xml:space="preserve">Home Carer Credit (1/0)</t>
  </si>
  <si>
    <t xml:space="preserve">Pension value at the start (plus a what-if lump sum if it is for retirement)</t>
  </si>
  <si>
    <t xml:space="preserve">Age from which the pension is drawn (retirement age, at least the earliest pension age)</t>
  </si>
  <si>
    <t xml:space="preserve">Last plan year, counting from today (plan-until age less your age)</t>
  </si>
  <si>
    <t xml:space="preserve">Self-employed (1/0)</t>
  </si>
  <si>
    <t xml:space="preserve">What-if goal is the retirement goal (1/0)</t>
  </si>
  <si>
    <t xml:space="preserve">set on Plan goals</t>
  </si>
  <si>
    <t xml:space="preserve">What-if monthly</t>
  </si>
  <si>
    <t xml:space="preserve">What-if lump</t>
  </si>
  <si>
    <t xml:space="preserve">row</t>
  </si>
  <si>
    <t xml:space="preserve">Year (t)</t>
  </si>
  <si>
    <t xml:space="preserve">Prices index</t>
  </si>
  <si>
    <t xml:space="preserve">Pay index</t>
  </si>
  <si>
    <t xml:space="preserve">Working (1/0)</t>
  </si>
  <si>
    <t xml:space="preserve">Tax-band index</t>
  </si>
  <si>
    <t xml:space="preserve">State Pension index</t>
  </si>
  <si>
    <t xml:space="preserve">PRSI rate this year</t>
  </si>
  <si>
    <t xml:space="preserve">Your pay (nominal)</t>
  </si>
  <si>
    <t xml:space="preserve">Your own pension contribution</t>
  </si>
  <si>
    <t xml:space="preserve">Total pension contribution (you + employer)</t>
  </si>
  <si>
    <t xml:space="preserve">Relief limit (share of pay) at this age</t>
  </si>
  <si>
    <t xml:space="preserve">Pension relief (income tax only, nominal)</t>
  </si>
  <si>
    <t xml:space="preserve">Auto-enrolment pay base</t>
  </si>
  <si>
    <t xml:space="preserve">Paid into pension this year</t>
  </si>
  <si>
    <t xml:space="preserve">Pension contributions out of take-home pay</t>
  </si>
  <si>
    <t xml:space="preserve">Pension pot, start of year</t>
  </si>
  <si>
    <t xml:space="preserve">Standard Fund Threshold this year (law to 2029, then rising with prices)</t>
  </si>
  <si>
    <t xml:space="preserve">First drawing year (1/0)</t>
  </si>
  <si>
    <t xml:space="preserve">Tax above the Standard Fund Threshold</t>
  </si>
  <si>
    <t xml:space="preserve">Pot after that tax</t>
  </si>
  <si>
    <t xml:space="preserve">Lump sum taken (gross, no cap)</t>
  </si>
  <si>
    <t xml:space="preserve">Lump sum after tax (goes into savings)</t>
  </si>
  <si>
    <t xml:space="preserve">Pot after the lump sum</t>
  </si>
  <si>
    <t xml:space="preserve">Legal minimum draw (share)</t>
  </si>
  <si>
    <t xml:space="preserve">Draw wanted</t>
  </si>
  <si>
    <t xml:space="preserve">Drawn from pension</t>
  </si>
  <si>
    <t xml:space="preserve">Pension pot, end of year</t>
  </si>
  <si>
    <t xml:space="preserve">Your State Pension</t>
  </si>
  <si>
    <t xml:space="preserve">Other and rental income</t>
  </si>
  <si>
    <t xml:space="preserve">Partner's pay</t>
  </si>
  <si>
    <t xml:space="preserve">Partner's State Pension</t>
  </si>
  <si>
    <t xml:space="preserve">Qualified Adult increase paid to you</t>
  </si>
  <si>
    <t xml:space="preserve">Your State Pension incl. any Qualified Adult increase</t>
  </si>
  <si>
    <t xml:space="preserve">Real (today's prices): emp1</t>
  </si>
  <si>
    <t xml:space="preserve">Real (today's prices): sp1t</t>
  </si>
  <si>
    <t xml:space="preserve">Real (today's prices): draw</t>
  </si>
  <si>
    <t xml:space="preserve">Real (today's prices): oth1</t>
  </si>
  <si>
    <t xml:space="preserve">Real (today's prices): relief</t>
  </si>
  <si>
    <t xml:space="preserve">Real (today's prices): emp2</t>
  </si>
  <si>
    <t xml:space="preserve">Real (today's prices): sp2</t>
  </si>
  <si>
    <t xml:space="preserve">Your taxable income for income tax</t>
  </si>
  <si>
    <t xml:space="preserve">Partner's taxable income</t>
  </si>
  <si>
    <t xml:space="preserve">PAYE credit, you</t>
  </si>
  <si>
    <t xml:space="preserve">PAYE credit, partner</t>
  </si>
  <si>
    <t xml:space="preserve">Age credit, you</t>
  </si>
  <si>
    <t xml:space="preserve">Age credit, partner</t>
  </si>
  <si>
    <t xml:space="preserve">Rent credit this year (1/0)</t>
  </si>
  <si>
    <t xml:space="preserve">Joint taxable income</t>
  </si>
  <si>
    <t xml:space="preserve">Joint credits</t>
  </si>
  <si>
    <t xml:space="preserve">Joint 20% band</t>
  </si>
  <si>
    <t xml:space="preserve">Joint income tax</t>
  </si>
  <si>
    <t xml:space="preserve">Home Carer credit</t>
  </si>
  <si>
    <t xml:space="preserve">Joint tax, better of the band or the Home Carer credit</t>
  </si>
  <si>
    <t xml:space="preserve">Joint tax after the age exemption</t>
  </si>
  <si>
    <t xml:space="preserve">Your income tax, as an individual</t>
  </si>
  <si>
    <t xml:space="preserve">Your income tax after the age exemption</t>
  </si>
  <si>
    <t xml:space="preserve">Partner's income tax, as an individual</t>
  </si>
  <si>
    <t xml:space="preserve">Partner's income tax after the age exemption</t>
  </si>
  <si>
    <t xml:space="preserve">Income tax (real)</t>
  </si>
  <si>
    <t xml:space="preserve">USC base, you (State Pension is exempt)</t>
  </si>
  <si>
    <t xml:space="preserve">USC, you</t>
  </si>
  <si>
    <t xml:space="preserve">USC base, partner</t>
  </si>
  <si>
    <t xml:space="preserve">USC, partner</t>
  </si>
  <si>
    <t xml:space="preserve">PRSI, you</t>
  </si>
  <si>
    <t xml:space="preserve">PRSI, partner</t>
  </si>
  <si>
    <t xml:space="preserve">Income tax + USC + PRSI (real)</t>
  </si>
  <si>
    <t xml:space="preserve">Total tax (nominal)</t>
  </si>
  <si>
    <t xml:space="preserve">Gross income (nominal)</t>
  </si>
  <si>
    <t xml:space="preserve">start</t>
  </si>
  <si>
    <t xml:space="preserve">Plan cashflow: year by year, from your age today to the plan-until age (the prototype's project())</t>
  </si>
  <si>
    <t xml:space="preserve">Each row is one year. Order inside a year: income and tax (Plan pay &amp; tax) -&gt; living costs -&gt; debts repaid (Plan debt months) -&gt; goals due this year are paid from their pot, then from spare money -&gt; spare money is saved towards goals (or, if the year is short, spare money, the buffer and the goal pots give way) -&gt; growth. Rows below the plan-until age are not used. The block of 8 goal columns (s1..s8) repeats for each funded goal in funding order.</t>
  </si>
  <si>
    <t xml:space="preserve">In the plan (1/0)</t>
  </si>
  <si>
    <t xml:space="preserve">Money in after tax and pension contributions</t>
  </si>
  <si>
    <t xml:space="preserve">Living costs and one-offs</t>
  </si>
  <si>
    <t xml:space="preserve">Mortgage at the start of the year</t>
  </si>
  <si>
    <t xml:space="preserve">Mortgage repaid</t>
  </si>
  <si>
    <t xml:space="preserve">Mortgage after repayments</t>
  </si>
  <si>
    <t xml:space="preserve">Cards at the start</t>
  </si>
  <si>
    <t xml:space="preserve">Cards repaid</t>
  </si>
  <si>
    <t xml:space="preserve">Cards at the end</t>
  </si>
  <si>
    <t xml:space="preserve">Loans at the start</t>
  </si>
  <si>
    <t xml:space="preserve">Loans repaid</t>
  </si>
  <si>
    <t xml:space="preserve">Loans at the end</t>
  </si>
  <si>
    <t xml:space="preserve">Mortgage and loan repayments</t>
  </si>
  <si>
    <t xml:space="preserve">Spare money at the start (after any pension lump sum)</t>
  </si>
  <si>
    <t xml:space="preserve">Spare money, previous end</t>
  </si>
  <si>
    <t xml:space="preserve">Goal 1 due this year (1/0)</t>
  </si>
  <si>
    <t xml:space="preserve">Goal 1 still to come (1/0)</t>
  </si>
  <si>
    <t xml:space="preserve">Goal 1 pot, start</t>
  </si>
  <si>
    <t xml:space="preserve">Goal 1 paid from its pot</t>
  </si>
  <si>
    <t xml:space="preserve">Goal 1 paid from spare money</t>
  </si>
  <si>
    <t xml:space="preserve">Goal 1 paid</t>
  </si>
  <si>
    <t xml:space="preserve">Spare money after goal 1</t>
  </si>
  <si>
    <t xml:space="preserve">Buffer after goal 1</t>
  </si>
  <si>
    <t xml:space="preserve">Mortgage after goal 1</t>
  </si>
  <si>
    <t xml:space="preserve">Goal 1 not covered</t>
  </si>
  <si>
    <t xml:space="preserve">Buffer, start</t>
  </si>
  <si>
    <t xml:space="preserve">Goal 2 due this year (1/0)</t>
  </si>
  <si>
    <t xml:space="preserve">Goal 2 still to come (1/0)</t>
  </si>
  <si>
    <t xml:space="preserve">Goal 2 pot, start</t>
  </si>
  <si>
    <t xml:space="preserve">Goal 2 paid from its pot</t>
  </si>
  <si>
    <t xml:space="preserve">Goal 2 paid from spare money</t>
  </si>
  <si>
    <t xml:space="preserve">Goal 2 paid</t>
  </si>
  <si>
    <t xml:space="preserve">Spare money after goal 2</t>
  </si>
  <si>
    <t xml:space="preserve">Buffer after goal 2</t>
  </si>
  <si>
    <t xml:space="preserve">Mortgage after goal 2</t>
  </si>
  <si>
    <t xml:space="preserve">Goal 2 not covered</t>
  </si>
  <si>
    <t xml:space="preserve">Goal 3 due this year (1/0)</t>
  </si>
  <si>
    <t xml:space="preserve">Goal 3 still to come (1/0)</t>
  </si>
  <si>
    <t xml:space="preserve">Goal 3 pot, start</t>
  </si>
  <si>
    <t xml:space="preserve">Goal 3 paid from its pot</t>
  </si>
  <si>
    <t xml:space="preserve">Goal 3 paid from spare money</t>
  </si>
  <si>
    <t xml:space="preserve">Goal 3 paid</t>
  </si>
  <si>
    <t xml:space="preserve">Spare money after goal 3</t>
  </si>
  <si>
    <t xml:space="preserve">Buffer after goal 3</t>
  </si>
  <si>
    <t xml:space="preserve">Mortgage after goal 3</t>
  </si>
  <si>
    <t xml:space="preserve">Goal 3 not covered</t>
  </si>
  <si>
    <t xml:space="preserve">Goal 4 due this year (1/0)</t>
  </si>
  <si>
    <t xml:space="preserve">Goal 4 still to come (1/0)</t>
  </si>
  <si>
    <t xml:space="preserve">Goal 4 pot, start</t>
  </si>
  <si>
    <t xml:space="preserve">Goal 4 paid from its pot</t>
  </si>
  <si>
    <t xml:space="preserve">Goal 4 paid from spare money</t>
  </si>
  <si>
    <t xml:space="preserve">Goal 4 paid</t>
  </si>
  <si>
    <t xml:space="preserve">Spare money after goal 4</t>
  </si>
  <si>
    <t xml:space="preserve">Buffer after goal 4</t>
  </si>
  <si>
    <t xml:space="preserve">Mortgage after goal 4</t>
  </si>
  <si>
    <t xml:space="preserve">Goal 4 not covered</t>
  </si>
  <si>
    <t xml:space="preserve">Goal 5 due this year (1/0)</t>
  </si>
  <si>
    <t xml:space="preserve">Goal 5 still to come (1/0)</t>
  </si>
  <si>
    <t xml:space="preserve">Goal 5 pot, start</t>
  </si>
  <si>
    <t xml:space="preserve">Goal 5 paid from its pot</t>
  </si>
  <si>
    <t xml:space="preserve">Goal 5 paid from spare money</t>
  </si>
  <si>
    <t xml:space="preserve">Goal 5 paid</t>
  </si>
  <si>
    <t xml:space="preserve">Spare money after goal 5</t>
  </si>
  <si>
    <t xml:space="preserve">Buffer after goal 5</t>
  </si>
  <si>
    <t xml:space="preserve">Mortgage after goal 5</t>
  </si>
  <si>
    <t xml:space="preserve">Goal 5 not covered</t>
  </si>
  <si>
    <t xml:space="preserve">Goal 6 due this year (1/0)</t>
  </si>
  <si>
    <t xml:space="preserve">Goal 6 still to come (1/0)</t>
  </si>
  <si>
    <t xml:space="preserve">Goal 6 pot, start</t>
  </si>
  <si>
    <t xml:space="preserve">Goal 6 paid from its pot</t>
  </si>
  <si>
    <t xml:space="preserve">Goal 6 paid from spare money</t>
  </si>
  <si>
    <t xml:space="preserve">Goal 6 paid</t>
  </si>
  <si>
    <t xml:space="preserve">Spare money after goal 6</t>
  </si>
  <si>
    <t xml:space="preserve">Buffer after goal 6</t>
  </si>
  <si>
    <t xml:space="preserve">Mortgage after goal 6</t>
  </si>
  <si>
    <t xml:space="preserve">Goal 6 not covered</t>
  </si>
  <si>
    <t xml:space="preserve">Goal 7 due this year (1/0)</t>
  </si>
  <si>
    <t xml:space="preserve">Goal 7 still to come (1/0)</t>
  </si>
  <si>
    <t xml:space="preserve">Goal 7 pot, start</t>
  </si>
  <si>
    <t xml:space="preserve">Goal 7 paid from its pot</t>
  </si>
  <si>
    <t xml:space="preserve">Goal 7 paid from spare money</t>
  </si>
  <si>
    <t xml:space="preserve">Goal 7 paid</t>
  </si>
  <si>
    <t xml:space="preserve">Spare money after goal 7</t>
  </si>
  <si>
    <t xml:space="preserve">Buffer after goal 7</t>
  </si>
  <si>
    <t xml:space="preserve">Mortgage after goal 7</t>
  </si>
  <si>
    <t xml:space="preserve">Goal 7 not covered</t>
  </si>
  <si>
    <t xml:space="preserve">Goal 8 due this year (1/0)</t>
  </si>
  <si>
    <t xml:space="preserve">Goal 8 still to come (1/0)</t>
  </si>
  <si>
    <t xml:space="preserve">Goal 8 pot, start</t>
  </si>
  <si>
    <t xml:space="preserve">Goal 8 paid from its pot</t>
  </si>
  <si>
    <t xml:space="preserve">Goal 8 paid from spare money</t>
  </si>
  <si>
    <t xml:space="preserve">Goal 8 paid</t>
  </si>
  <si>
    <t xml:space="preserve">Spare money after goal 8</t>
  </si>
  <si>
    <t xml:space="preserve">Buffer after goal 8</t>
  </si>
  <si>
    <t xml:space="preserve">Mortgage after goal 8</t>
  </si>
  <si>
    <t xml:space="preserve">Goal 8 not covered</t>
  </si>
  <si>
    <t xml:space="preserve">Goals paid this year (from savings)</t>
  </si>
  <si>
    <t xml:space="preserve">Goal amounts not covered this year</t>
  </si>
  <si>
    <t xml:space="preserve">Goals due this year (cost)</t>
  </si>
  <si>
    <t xml:space="preserve">Mortgage at the end of the year</t>
  </si>
  <si>
    <t xml:space="preserve">Money left after living costs and repayments</t>
  </si>
  <si>
    <t xml:space="preserve">The Q6 rule's saving today (a month)</t>
  </si>
  <si>
    <t xml:space="preserve">Money left over (1) or a short year (0)</t>
  </si>
  <si>
    <t xml:space="preserve">Spare money a month, today's money</t>
  </si>
  <si>
    <t xml:space="preserve">The Q6 rule on that spare money</t>
  </si>
  <si>
    <t xml:space="preserve">Raising the rule (1) or capping it (0)</t>
  </si>
  <si>
    <t xml:space="preserve">Monthly saving, today's money</t>
  </si>
  <si>
    <t xml:space="preserve">Saving this year (nominal)</t>
  </si>
  <si>
    <t xml:space="preserve">Saving this year after "save less"</t>
  </si>
  <si>
    <t xml:space="preserve">What-if goal still to come (1/0)</t>
  </si>
  <si>
    <t xml:space="preserve">What-if extra wanted this year</t>
  </si>
  <si>
    <t xml:space="preserve">Saving this year, after the money left</t>
  </si>
  <si>
    <t xml:space="preserve">What-if extra this year</t>
  </si>
  <si>
    <t xml:space="preserve">Goal 1: growth factor of saving that rises with pay</t>
  </si>
  <si>
    <t xml:space="preserve">Goal 1: needed for the what-if extra</t>
  </si>
  <si>
    <t xml:space="preserve">Goal 1: what-if extra given</t>
  </si>
  <si>
    <t xml:space="preserve">Goal 1: pot after the what-if extra</t>
  </si>
  <si>
    <t xml:space="preserve">Goal 1: saving needed this year</t>
  </si>
  <si>
    <t xml:space="preserve">Goal 1: saving needed in a short year</t>
  </si>
  <si>
    <t xml:space="preserve">Goal 1: saving given</t>
  </si>
  <si>
    <t xml:space="preserve">Saving left after goal 1</t>
  </si>
  <si>
    <t xml:space="preserve">Goal 2: growth factor of saving that rises with pay</t>
  </si>
  <si>
    <t xml:space="preserve">Goal 2: needed for the what-if extra</t>
  </si>
  <si>
    <t xml:space="preserve">Goal 2: what-if extra given</t>
  </si>
  <si>
    <t xml:space="preserve">Goal 2: pot after the what-if extra</t>
  </si>
  <si>
    <t xml:space="preserve">Goal 2: saving needed this year</t>
  </si>
  <si>
    <t xml:space="preserve">Goal 2: saving needed in a short year</t>
  </si>
  <si>
    <t xml:space="preserve">Goal 2: saving given</t>
  </si>
  <si>
    <t xml:space="preserve">Saving left after goal 2</t>
  </si>
  <si>
    <t xml:space="preserve">Goal 3: growth factor of saving that rises with pay</t>
  </si>
  <si>
    <t xml:space="preserve">Goal 3: needed for the what-if extra</t>
  </si>
  <si>
    <t xml:space="preserve">Goal 3: what-if extra given</t>
  </si>
  <si>
    <t xml:space="preserve">Goal 3: pot after the what-if extra</t>
  </si>
  <si>
    <t xml:space="preserve">Goal 3: saving needed this year</t>
  </si>
  <si>
    <t xml:space="preserve">Goal 3: saving needed in a short year</t>
  </si>
  <si>
    <t xml:space="preserve">Goal 3: saving given</t>
  </si>
  <si>
    <t xml:space="preserve">Saving left after goal 3</t>
  </si>
  <si>
    <t xml:space="preserve">Goal 4: growth factor of saving that rises with pay</t>
  </si>
  <si>
    <t xml:space="preserve">Goal 4: needed for the what-if extra</t>
  </si>
  <si>
    <t xml:space="preserve">Goal 4: what-if extra given</t>
  </si>
  <si>
    <t xml:space="preserve">Goal 4: pot after the what-if extra</t>
  </si>
  <si>
    <t xml:space="preserve">Goal 4: saving needed this year</t>
  </si>
  <si>
    <t xml:space="preserve">Goal 4: saving needed in a short year</t>
  </si>
  <si>
    <t xml:space="preserve">Goal 4: saving given</t>
  </si>
  <si>
    <t xml:space="preserve">Saving left after goal 4</t>
  </si>
  <si>
    <t xml:space="preserve">Goal 5: growth factor of saving that rises with pay</t>
  </si>
  <si>
    <t xml:space="preserve">Goal 5: needed for the what-if extra</t>
  </si>
  <si>
    <t xml:space="preserve">Goal 5: what-if extra given</t>
  </si>
  <si>
    <t xml:space="preserve">Goal 5: pot after the what-if extra</t>
  </si>
  <si>
    <t xml:space="preserve">Goal 5: saving needed this year</t>
  </si>
  <si>
    <t xml:space="preserve">Goal 5: saving needed in a short year</t>
  </si>
  <si>
    <t xml:space="preserve">Goal 5: saving given</t>
  </si>
  <si>
    <t xml:space="preserve">Saving left after goal 5</t>
  </si>
  <si>
    <t xml:space="preserve">Goal 6: growth factor of saving that rises with pay</t>
  </si>
  <si>
    <t xml:space="preserve">Goal 6: needed for the what-if extra</t>
  </si>
  <si>
    <t xml:space="preserve">Goal 6: what-if extra given</t>
  </si>
  <si>
    <t xml:space="preserve">Goal 6: pot after the what-if extra</t>
  </si>
  <si>
    <t xml:space="preserve">Goal 6: saving needed this year</t>
  </si>
  <si>
    <t xml:space="preserve">Goal 6: saving needed in a short year</t>
  </si>
  <si>
    <t xml:space="preserve">Goal 6: saving given</t>
  </si>
  <si>
    <t xml:space="preserve">Saving left after goal 6</t>
  </si>
  <si>
    <t xml:space="preserve">Goal 7: growth factor of saving that rises with pay</t>
  </si>
  <si>
    <t xml:space="preserve">Goal 7: needed for the what-if extra</t>
  </si>
  <si>
    <t xml:space="preserve">Goal 7: what-if extra given</t>
  </si>
  <si>
    <t xml:space="preserve">Goal 7: pot after the what-if extra</t>
  </si>
  <si>
    <t xml:space="preserve">Goal 7: saving needed this year</t>
  </si>
  <si>
    <t xml:space="preserve">Goal 7: saving needed in a short year</t>
  </si>
  <si>
    <t xml:space="preserve">Goal 7: saving given</t>
  </si>
  <si>
    <t xml:space="preserve">Saving left after goal 7</t>
  </si>
  <si>
    <t xml:space="preserve">Goal 8: growth factor of saving that rises with pay</t>
  </si>
  <si>
    <t xml:space="preserve">Goal 8: needed for the what-if extra</t>
  </si>
  <si>
    <t xml:space="preserve">Goal 8: what-if extra given</t>
  </si>
  <si>
    <t xml:space="preserve">Goal 8: pot after the what-if extra</t>
  </si>
  <si>
    <t xml:space="preserve">Goal 8: saving needed this year</t>
  </si>
  <si>
    <t xml:space="preserve">Goal 8: saving needed in a short year</t>
  </si>
  <si>
    <t xml:space="preserve">Goal 8: saving given</t>
  </si>
  <si>
    <t xml:space="preserve">Saving left after goal 8</t>
  </si>
  <si>
    <t xml:space="preserve">What-if extra not needed by the goal (goes to spare money)</t>
  </si>
  <si>
    <t xml:space="preserve">Left over after saving (assumed spent while working)</t>
  </si>
  <si>
    <t xml:space="preserve">Short by</t>
  </si>
  <si>
    <t xml:space="preserve">Short year: taken from spare money</t>
  </si>
  <si>
    <t xml:space="preserve">Still short</t>
  </si>
  <si>
    <t xml:space="preserve">Short year: taken from the buffer</t>
  </si>
  <si>
    <t xml:space="preserve">Still short after the buffer</t>
  </si>
  <si>
    <t xml:space="preserve">Short year: taken from goal 8's pot</t>
  </si>
  <si>
    <t xml:space="preserve">Still short after goal 8</t>
  </si>
  <si>
    <t xml:space="preserve">Short year: taken from goal 7's pot</t>
  </si>
  <si>
    <t xml:space="preserve">Still short after goal 7</t>
  </si>
  <si>
    <t xml:space="preserve">Short year: taken from goal 6's pot</t>
  </si>
  <si>
    <t xml:space="preserve">Still short after goal 6</t>
  </si>
  <si>
    <t xml:space="preserve">Short year: taken from goal 5's pot</t>
  </si>
  <si>
    <t xml:space="preserve">Still short after goal 5</t>
  </si>
  <si>
    <t xml:space="preserve">Short year: taken from goal 4's pot</t>
  </si>
  <si>
    <t xml:space="preserve">Still short after goal 4</t>
  </si>
  <si>
    <t xml:space="preserve">Short year: taken from goal 3's pot</t>
  </si>
  <si>
    <t xml:space="preserve">Still short after goal 3</t>
  </si>
  <si>
    <t xml:space="preserve">Short year: taken from goal 2's pot</t>
  </si>
  <si>
    <t xml:space="preserve">Still short after goal 2</t>
  </si>
  <si>
    <t xml:space="preserve">Short year: taken from goal 1's pot</t>
  </si>
  <si>
    <t xml:space="preserve">Still short after goal 1</t>
  </si>
  <si>
    <t xml:space="preserve">Short for living costs and repayments</t>
  </si>
  <si>
    <t xml:space="preserve">Taken from savings to cover a short year</t>
  </si>
  <si>
    <t xml:space="preserve">Spare money after saving or shortfall</t>
  </si>
  <si>
    <t xml:space="preserve">Buffer after shortfall</t>
  </si>
  <si>
    <t xml:space="preserve">Saved this year</t>
  </si>
  <si>
    <t xml:space="preserve">Spare money assumed spent</t>
  </si>
  <si>
    <t xml:space="preserve">Spare money, end of year</t>
  </si>
  <si>
    <t xml:space="preserve">Buffer, end of year</t>
  </si>
  <si>
    <t xml:space="preserve">Goal 1 pot, end of year</t>
  </si>
  <si>
    <t xml:space="preserve">Goal 1: average saving numerator</t>
  </si>
  <si>
    <t xml:space="preserve">Goal 1: saved in year 0</t>
  </si>
  <si>
    <t xml:space="preserve">Goal 1: need in year 0</t>
  </si>
  <si>
    <t xml:space="preserve">Goal 2 pot, end of year</t>
  </si>
  <si>
    <t xml:space="preserve">Goal 2: average saving numerator</t>
  </si>
  <si>
    <t xml:space="preserve">Goal 2: saved in year 0</t>
  </si>
  <si>
    <t xml:space="preserve">Goal 2: need in year 0</t>
  </si>
  <si>
    <t xml:space="preserve">Goal 3 pot, end of year</t>
  </si>
  <si>
    <t xml:space="preserve">Goal 3: average saving numerator</t>
  </si>
  <si>
    <t xml:space="preserve">Goal 3: saved in year 0</t>
  </si>
  <si>
    <t xml:space="preserve">Goal 3: need in year 0</t>
  </si>
  <si>
    <t xml:space="preserve">Goal 4 pot, end of year</t>
  </si>
  <si>
    <t xml:space="preserve">Goal 4: average saving numerator</t>
  </si>
  <si>
    <t xml:space="preserve">Goal 4: saved in year 0</t>
  </si>
  <si>
    <t xml:space="preserve">Goal 4: need in year 0</t>
  </si>
  <si>
    <t xml:space="preserve">Goal 5 pot, end of year</t>
  </si>
  <si>
    <t xml:space="preserve">Goal 5: average saving numerator</t>
  </si>
  <si>
    <t xml:space="preserve">Goal 5: saved in year 0</t>
  </si>
  <si>
    <t xml:space="preserve">Goal 5: need in year 0</t>
  </si>
  <si>
    <t xml:space="preserve">Goal 6 pot, end of year</t>
  </si>
  <si>
    <t xml:space="preserve">Goal 6: average saving numerator</t>
  </si>
  <si>
    <t xml:space="preserve">Goal 6: saved in year 0</t>
  </si>
  <si>
    <t xml:space="preserve">Goal 6: need in year 0</t>
  </si>
  <si>
    <t xml:space="preserve">Goal 7 pot, end of year</t>
  </si>
  <si>
    <t xml:space="preserve">Goal 7: average saving numerator</t>
  </si>
  <si>
    <t xml:space="preserve">Goal 7: saved in year 0</t>
  </si>
  <si>
    <t xml:space="preserve">Goal 7: need in year 0</t>
  </si>
  <si>
    <t xml:space="preserve">Goal 8 pot, end of year</t>
  </si>
  <si>
    <t xml:space="preserve">Goal 8: average saving numerator</t>
  </si>
  <si>
    <t xml:space="preserve">Goal 8: saved in year 0</t>
  </si>
  <si>
    <t xml:space="preserve">Goal 8: need in year 0</t>
  </si>
  <si>
    <t xml:space="preserve">Savings and pots at the end of the year</t>
  </si>
  <si>
    <t xml:space="preserve">Short (living + goals)</t>
  </si>
  <si>
    <t xml:space="preserve">Needs (living + repayments)</t>
  </si>
  <si>
    <t xml:space="preserve">Retired (1/0)</t>
  </si>
  <si>
    <t xml:space="preserve">Retirement goal: cost this year</t>
  </si>
  <si>
    <t xml:space="preserve">Retirement goal: covered this year</t>
  </si>
  <si>
    <t xml:space="preserve">Short for living costs (1/0)</t>
  </si>
  <si>
    <t xml:space="preserve">Chart: from income</t>
  </si>
  <si>
    <t xml:space="preserve">Chart: from savings</t>
  </si>
  <si>
    <t xml:space="preserve">Chart: shortfall</t>
  </si>
  <si>
    <t xml:space="preserve">Chart: a short year (1/0)</t>
  </si>
  <si>
    <t xml:space="preserve">Chart: a year using savings, not short (1/0)</t>
  </si>
  <si>
    <t xml:space="preserve">Everyday costs short (1/0)</t>
  </si>
  <si>
    <t xml:space="preserve">Chapter: dipping into savings and not short (1/0)</t>
  </si>
  <si>
    <t xml:space="preserve">Chapter decade</t>
  </si>
  <si>
    <t xml:space="preserve">Chapter number</t>
  </si>
  <si>
    <t xml:space="preserve">Working year short for living costs (1/0)</t>
  </si>
  <si>
    <t xml:space="preserve">Retired and short for living costs (1/0)</t>
  </si>
  <si>
    <t xml:space="preserve">A goal short of 95% is due this year (1/0)</t>
  </si>
  <si>
    <t xml:space="preserve">A short year on the road (1/0)</t>
  </si>
  <si>
    <t xml:space="preserve">Plan goals: the goal list in funding order, and how much of each goal is covered</t>
  </si>
  <si>
    <t xml:space="preserve">Part 1 reads your goals from Plan inputs and puts the funded ones in funding order (your ranking; Emergency fund first unless moved; then must-haves before nice-to-haves, then soonest). Part 2 gives each funded goal its starting savings. Part 3 (further down) turns the year table on Plan cashflow into the % covered for each goal and the Option B goal line.</t>
  </si>
  <si>
    <t xml:space="preserve">Goal types (the prototype's GOALCAT)</t>
  </si>
  <si>
    <t xml:space="preserve">Key</t>
  </si>
  <si>
    <t xml:space="preserve">Title</t>
  </si>
  <si>
    <t xml:space="preserve">Default amount</t>
  </si>
  <si>
    <t xml:space="preserve">Default years</t>
  </si>
  <si>
    <t xml:space="preserve">Kind</t>
  </si>
  <si>
    <t xml:space="preserve">Expert it points to</t>
  </si>
  <si>
    <t xml:space="preserve">home</t>
  </si>
  <si>
    <t xml:space="preserve">Buy a home</t>
  </si>
  <si>
    <t xml:space="preserve">spend</t>
  </si>
  <si>
    <t xml:space="preserve">mortgage</t>
  </si>
  <si>
    <t xml:space="preserve">retire</t>
  </si>
  <si>
    <t xml:space="preserve">Retire comfortably</t>
  </si>
  <si>
    <t xml:space="preserve">pension</t>
  </si>
  <si>
    <t xml:space="preserve">family</t>
  </si>
  <si>
    <t xml:space="preserve">Grow my family</t>
  </si>
  <si>
    <t xml:space="preserve">protection</t>
  </si>
  <si>
    <t xml:space="preserve">edu</t>
  </si>
  <si>
    <t xml:space="preserve">Kids' education</t>
  </si>
  <si>
    <t xml:space="preserve">planner</t>
  </si>
  <si>
    <t xml:space="preserve">travel</t>
  </si>
  <si>
    <t xml:space="preserve">Travel</t>
  </si>
  <si>
    <t xml:space="preserve">business</t>
  </si>
  <si>
    <t xml:space="preserve">Start a business</t>
  </si>
  <si>
    <t xml:space="preserve">mfree</t>
  </si>
  <si>
    <t xml:space="preserve">Be mortgage-free</t>
  </si>
  <si>
    <t xml:space="preserve">safety</t>
  </si>
  <si>
    <t xml:space="preserve">Emergency fund</t>
  </si>
  <si>
    <t xml:space="preserve">pot</t>
  </si>
  <si>
    <t xml:space="preserve">wealth</t>
  </si>
  <si>
    <t xml:space="preserve">Grow my wealth</t>
  </si>
  <si>
    <t xml:space="preserve">investment</t>
  </si>
  <si>
    <t xml:space="preserve">helpfam</t>
  </si>
  <si>
    <t xml:space="preserve">Help my family</t>
  </si>
  <si>
    <t xml:space="preserve">legacy</t>
  </si>
  <si>
    <t xml:space="preserve">Leave a legacy</t>
  </si>
  <si>
    <t xml:space="preserve">wedding</t>
  </si>
  <si>
    <t xml:space="preserve">Wedding</t>
  </si>
  <si>
    <t xml:space="preserve">car</t>
  </si>
  <si>
    <t xml:space="preserve">Change the car</t>
  </si>
  <si>
    <t xml:space="preserve">health</t>
  </si>
  <si>
    <t xml:space="preserve">Health &amp; care</t>
  </si>
  <si>
    <t xml:space="preserve">other</t>
  </si>
  <si>
    <t xml:space="preserve">Something else</t>
  </si>
  <si>
    <t xml:space="preserve">Part 1. Your goals</t>
  </si>
  <si>
    <t xml:space="preserve">Type (key)</t>
  </si>
  <si>
    <t xml:space="preserve">Name</t>
  </si>
  <si>
    <t xml:space="preserve">Age typed</t>
  </si>
  <si>
    <t xml:space="preserve">Funded from savings (1/0)</t>
  </si>
  <si>
    <t xml:space="preserve">Age used for funding</t>
  </si>
  <si>
    <t xml:space="preserve">Age (ties)</t>
  </si>
  <si>
    <t xml:space="preserve">Amount used</t>
  </si>
  <si>
    <t xml:space="preserve">Rank typed</t>
  </si>
  <si>
    <t xml:space="preserve">Rank order</t>
  </si>
  <si>
    <t xml:space="preserve">Sort key</t>
  </si>
  <si>
    <t xml:space="preserve">Funding position</t>
  </si>
  <si>
    <t xml:space="preserve">The customer has ranked their goals (1/0)</t>
  </si>
  <si>
    <t xml:space="preserve">There is a retirement goal (1/0)</t>
  </si>
  <si>
    <t xml:space="preserve">Retirement goal is goal number</t>
  </si>
  <si>
    <t xml:space="preserve">Retirement goal: income a year in today's money</t>
  </si>
  <si>
    <t xml:space="preserve">Part 2. The funded goals in funding order, and their starting savings</t>
  </si>
  <si>
    <t xml:space="preserve">Slot</t>
  </si>
  <si>
    <t xml:space="preserve">Goal number</t>
  </si>
  <si>
    <t xml:space="preserve">On (1/0)</t>
  </si>
  <si>
    <t xml:space="preserve">Age (when it is paid)</t>
  </si>
  <si>
    <t xml:space="preserve">Amount today</t>
  </si>
  <si>
    <t xml:space="preserve">Years to go</t>
  </si>
  <si>
    <t xml:space="preserve">Growth rate</t>
  </si>
  <si>
    <t xml:space="preserve">Cost (inflated; mortgage-free = the balance then)</t>
  </si>
  <si>
    <t xml:space="preserve">Paid from pot or savings (1/0)</t>
  </si>
  <si>
    <t xml:space="preserve">Pot kind, not emergency (1/0)</t>
  </si>
  <si>
    <t xml:space="preserve">Emergency pot (1/0)</t>
  </si>
  <si>
    <t xml:space="preserve">Mortgage-free (1/0)</t>
  </si>
  <si>
    <t xml:space="preserve">What-if goal (1/0)</t>
  </si>
  <si>
    <t xml:space="preserve">Saved so far taken from cash</t>
  </si>
  <si>
    <t xml:space="preserve">What-if one-off added</t>
  </si>
  <si>
    <t xml:space="preserve">Cash left</t>
  </si>
  <si>
    <t xml:space="preserve">Wanted from spare money</t>
  </si>
  <si>
    <t xml:space="preserve">Taken from spare money</t>
  </si>
  <si>
    <t xml:space="preserve">Spare money left</t>
  </si>
  <si>
    <t xml:space="preserve">Pot at the start</t>
  </si>
  <si>
    <t xml:space="preserve">There is an Emergency fund goal (1/0)</t>
  </si>
  <si>
    <t xml:space="preserve">Buffer held back from cash (months x essential spending, if no Emergency fund goal)</t>
  </si>
  <si>
    <t xml:space="preserve">Spare money at the start (cash left + investments)</t>
  </si>
  <si>
    <t xml:space="preserve">Spare money after the starting top-ups of each goal pot</t>
  </si>
  <si>
    <t xml:space="preserve">Growth of spare money (cash / invested mix)</t>
  </si>
  <si>
    <t xml:space="preserve">Funded goals (the workbook carries up to 8)</t>
  </si>
  <si>
    <t xml:space="preserve">More funded goals than the workbook carries (1 = results are not complete)</t>
  </si>
  <si>
    <t xml:space="preserve">Part 3. Results per funded goal (from Plan cashflow)</t>
  </si>
  <si>
    <t xml:space="preserve">Goal paid (€)</t>
  </si>
  <si>
    <t xml:space="preserve">Goal cost (€)</t>
  </si>
  <si>
    <t xml:space="preserve">% covered</t>
  </si>
  <si>
    <t xml:space="preserve">Below 95% (1/0)</t>
  </si>
  <si>
    <t xml:space="preserve">Need in year 0 (a year)</t>
  </si>
  <si>
    <t xml:space="preserve">Saved in year 0</t>
  </si>
  <si>
    <t xml:space="preserve">Saving given over the plan (today's money)</t>
  </si>
  <si>
    <t xml:space="preserve">Years saved to</t>
  </si>
  <si>
    <t xml:space="preserve">Need a month</t>
  </si>
  <si>
    <t xml:space="preserve">Putting in now a month</t>
  </si>
  <si>
    <t xml:space="preserve">On average a month</t>
  </si>
  <si>
    <t xml:space="preserve">Part 4. Results per goal (the goal list on the Results screen)</t>
  </si>
  <si>
    <t xml:space="preserve">Cost (€)</t>
  </si>
  <si>
    <t xml:space="preserve">Covered (€)</t>
  </si>
  <si>
    <t xml:space="preserve">Band</t>
  </si>
  <si>
    <t xml:space="preserve">Needs a month, no search (Option B)</t>
  </si>
  <si>
    <t xml:space="preserve">On average you put (a month)</t>
  </si>
  <si>
    <t xml:space="preserve">Extra a month to reach 100%: type what the what-if search finds ("none" if it needs over 5,000; blank = not tried)</t>
  </si>
  <si>
    <t xml:space="preserve">Goal line as shown</t>
  </si>
  <si>
    <t xml:space="preserve">Best-strength score</t>
  </si>
  <si>
    <t xml:space="preserve">Worst-gap score</t>
  </si>
  <si>
    <t xml:space="preserve">Pct as a number</t>
  </si>
  <si>
    <t xml:space="preserve">Pct, 9999 if no goal</t>
  </si>
  <si>
    <t xml:space="preserve">When (as on screen)</t>
  </si>
  <si>
    <t xml:space="preserve">Emergency fund amount in months of essential spending</t>
  </si>
  <si>
    <t xml:space="preserve">Plan results: what the Results screens show (goal %, goal lines, what we found, foundations, gate)</t>
  </si>
  <si>
    <t xml:space="preserve">Everything on this sheet is a formula on the other Plan sheets. The only two typed cells are the figures the prototype finds by searching (the extra a month to reach 100%, and the extra that closes the main gap): a spreadsheet cannot run that search in one pass, so type the figure the what-if search gives (see Plan how it works).</t>
  </si>
  <si>
    <t xml:space="preserve">SAVING (today's money a month)</t>
  </si>
  <si>
    <t xml:space="preserve">Spare money a month today</t>
  </si>
  <si>
    <t xml:space="preserve">What you save a month</t>
  </si>
  <si>
    <t xml:space="preserve">The Q6 rule's saving a month</t>
  </si>
  <si>
    <t xml:space="preserve">Years short on the road</t>
  </si>
  <si>
    <t xml:space="preserve">Years short for living costs</t>
  </si>
  <si>
    <t xml:space="preserve">THE GATE: "Choose your ... to see this" (planMissing, in the order the prototype asks)</t>
  </si>
  <si>
    <t xml:space="preserve">Needed and not chosen yet (1/0)</t>
  </si>
  <si>
    <t xml:space="preserve">Add (1) or Choose (0)</t>
  </si>
  <si>
    <t xml:space="preserve">Keys so far</t>
  </si>
  <si>
    <t xml:space="preserve">inflation rate</t>
  </si>
  <si>
    <t xml:space="preserve">infl</t>
  </si>
  <si>
    <t xml:space="preserve">retirement age</t>
  </si>
  <si>
    <t xml:space="preserve">retireAge</t>
  </si>
  <si>
    <t xml:space="preserve">work (employed, self-employed or not working)</t>
  </si>
  <si>
    <t xml:space="preserve">work</t>
  </si>
  <si>
    <t xml:space="preserve">partner's retirement age</t>
  </si>
  <si>
    <t xml:space="preserve">pRetireAge</t>
  </si>
  <si>
    <t xml:space="preserve">partner's age</t>
  </si>
  <si>
    <t xml:space="preserve">pAge</t>
  </si>
  <si>
    <t xml:space="preserve">mortgage years left (or your monthly repayment)</t>
  </si>
  <si>
    <t xml:space="preserve">mortYears</t>
  </si>
  <si>
    <t xml:space="preserve">years left or monthly repayment on your other-property mortgage</t>
  </si>
  <si>
    <t xml:space="preserve">mort2</t>
  </si>
  <si>
    <t xml:space="preserve">plan-until age</t>
  </si>
  <si>
    <t xml:space="preserve">planEnd</t>
  </si>
  <si>
    <t xml:space="preserve">investment growth</t>
  </si>
  <si>
    <t xml:space="preserve">inv</t>
  </si>
  <si>
    <t xml:space="preserve">cash growth</t>
  </si>
  <si>
    <t xml:space="preserve">cash</t>
  </si>
  <si>
    <t xml:space="preserve">pension growth</t>
  </si>
  <si>
    <t xml:space="preserve">pen</t>
  </si>
  <si>
    <t xml:space="preserve">pension growth once retired</t>
  </si>
  <si>
    <t xml:space="preserve">penRet</t>
  </si>
  <si>
    <t xml:space="preserve">typical pension charges</t>
  </si>
  <si>
    <t xml:space="preserve">penChg</t>
  </si>
  <si>
    <t xml:space="preserve">pay rises</t>
  </si>
  <si>
    <t xml:space="preserve">wage</t>
  </si>
  <si>
    <t xml:space="preserve">tax bands in future</t>
  </si>
  <si>
    <t xml:space="preserve">bands</t>
  </si>
  <si>
    <t xml:space="preserve">spGrow</t>
  </si>
  <si>
    <t xml:space="preserve">State Pension</t>
  </si>
  <si>
    <t xml:space="preserve">spWeek</t>
  </si>
  <si>
    <t xml:space="preserve">partner's State Pension</t>
  </si>
  <si>
    <t xml:space="preserve">pSpWeek</t>
  </si>
  <si>
    <t xml:space="preserve">share of your pension you pay</t>
  </si>
  <si>
    <t xml:space="preserve">ownShare</t>
  </si>
  <si>
    <t xml:space="preserve">retirement spending</t>
  </si>
  <si>
    <t xml:space="preserve">retireSpend</t>
  </si>
  <si>
    <t xml:space="preserve">retirement lump sum</t>
  </si>
  <si>
    <t xml:space="preserve">lumpSum</t>
  </si>
  <si>
    <t xml:space="preserve">how you draw your pension</t>
  </si>
  <si>
    <t xml:space="preserve">drawRule</t>
  </si>
  <si>
    <t xml:space="preserve">fixed yearly amount</t>
  </si>
  <si>
    <t xml:space="preserve">drawFixed</t>
  </si>
  <si>
    <t xml:space="preserve">emergency fund months</t>
  </si>
  <si>
    <t xml:space="preserve">safetyMonths</t>
  </si>
  <si>
    <t xml:space="preserve">mortgage rate</t>
  </si>
  <si>
    <t xml:space="preserve">mortRate</t>
  </si>
  <si>
    <t xml:space="preserve">credit-card rate</t>
  </si>
  <si>
    <t xml:space="preserve">cardRate</t>
  </si>
  <si>
    <t xml:space="preserve">loan rate</t>
  </si>
  <si>
    <t xml:space="preserve">loanRate</t>
  </si>
  <si>
    <t xml:space="preserve">years kept as cash</t>
  </si>
  <si>
    <t xml:space="preserve">cashYears</t>
  </si>
  <si>
    <t xml:space="preserve">share of spare savings invested</t>
  </si>
  <si>
    <t xml:space="preserve">investShare</t>
  </si>
  <si>
    <t xml:space="preserve">share of spare money saved</t>
  </si>
  <si>
    <t xml:space="preserve">saveShare</t>
  </si>
  <si>
    <t xml:space="preserve">monthly saving</t>
  </si>
  <si>
    <t xml:space="preserve">noAnswer</t>
  </si>
  <si>
    <t xml:space="preserve">plan start year</t>
  </si>
  <si>
    <t xml:space="preserve">startYear</t>
  </si>
  <si>
    <t xml:space="preserve">Choices still to make</t>
  </si>
  <si>
    <t xml:space="preserve">Keys, in order</t>
  </si>
  <si>
    <t xml:space="preserve">First thing to choose</t>
  </si>
  <si>
    <t xml:space="preserve">What the Results screen says instead of results</t>
  </si>
  <si>
    <t xml:space="preserve">Results can be shown (1) or are gated (0)</t>
  </si>
  <si>
    <t xml:space="preserve">Choices only you can make that block results (3, or 4 with a partner who has income)</t>
  </si>
  <si>
    <t xml:space="preserve">Of those, chosen so far ("n of m chosen" on Step 7)</t>
  </si>
  <si>
    <t xml:space="preserve">Standards not chosen yet (the "Use the standards" card counts these)</t>
  </si>
  <si>
    <t xml:space="preserve">Standards the plan needs (chosen or not)</t>
  </si>
  <si>
    <t xml:space="preserve">WHAT WE FOUND (findings)</t>
  </si>
  <si>
    <t xml:space="preserve">Working-year spending is more than comes in (1/0)</t>
  </si>
  <si>
    <t xml:space="preserve">Best score (a fully covered goal, never while overspending)</t>
  </si>
  <si>
    <t xml:space="preserve">Best goal number</t>
  </si>
  <si>
    <t xml:space="preserve">Worst goal number</t>
  </si>
  <si>
    <t xml:space="preserve">Worst goal: % covered</t>
  </si>
  <si>
    <t xml:space="preserve">Worst goal: name</t>
  </si>
  <si>
    <t xml:space="preserve">Extra a month that closes the main gap (type what the what-if search finds, or "none"; blank = not tried)</t>
  </si>
  <si>
    <t xml:space="preserve">Your main strength</t>
  </si>
  <si>
    <t xml:space="preserve">Your main gap</t>
  </si>
  <si>
    <t xml:space="preserve">Your biggest decision</t>
  </si>
  <si>
    <t xml:space="preserve">RETIREMENT AT A GLANCE (today's money)</t>
  </si>
  <si>
    <t xml:space="preserve">Years until retirement</t>
  </si>
  <si>
    <t xml:space="preserve">Pension pot at the start of the retirement year</t>
  </si>
  <si>
    <t xml:space="preserve">Money in after tax in the first retired year, a month</t>
  </si>
  <si>
    <t xml:space="preserve">Lump sum after tax (nominal)</t>
  </si>
  <si>
    <t xml:space="preserve">FOUNDATIONS (the pyramid on Results)</t>
  </si>
  <si>
    <t xml:space="preserve">Level 1 Spend less than you earn: status</t>
  </si>
  <si>
    <t xml:space="preserve">Level 1: text</t>
  </si>
  <si>
    <t xml:space="preserve">Level 2 Emergency fund: status</t>
  </si>
  <si>
    <t xml:space="preserve">Level 2: text</t>
  </si>
  <si>
    <t xml:space="preserve">Level 3: months to clear the cards</t>
  </si>
  <si>
    <t xml:space="preserve">Level 3: months to clear the loans</t>
  </si>
  <si>
    <t xml:space="preserve">Level 3: debt figures given (1/0)</t>
  </si>
  <si>
    <t xml:space="preserve">Level 3 item: credit card status (blank = no item)</t>
  </si>
  <si>
    <t xml:space="preserve">Level 3 item: credit card text</t>
  </si>
  <si>
    <t xml:space="preserve">Level 3 item: loans status</t>
  </si>
  <si>
    <t xml:space="preserve">Level 3 item: loans text</t>
  </si>
  <si>
    <t xml:space="preserve">Level 3 item: no costly debt</t>
  </si>
  <si>
    <t xml:space="preserve">Level 3 item: text</t>
  </si>
  <si>
    <t xml:space="preserve">Cover through work counted</t>
  </si>
  <si>
    <t xml:space="preserve">Life cover counted</t>
  </si>
  <si>
    <t xml:space="preserve">Life cover is checked (partner or people rely on you)</t>
  </si>
  <si>
    <t xml:space="preserve">Level 3 item: life cover status</t>
  </si>
  <si>
    <t xml:space="preserve">Level 3 item: life cover text</t>
  </si>
  <si>
    <t xml:space="preserve">Level 3 item: income protection status</t>
  </si>
  <si>
    <t xml:space="preserve">Level 3 item: income protection text</t>
  </si>
  <si>
    <t xml:space="preserve">Level 3: weakest item rank</t>
  </si>
  <si>
    <t xml:space="preserve">Level 3 Clear costly debt and protect your family: status</t>
  </si>
  <si>
    <t xml:space="preserve">Level 3: text</t>
  </si>
  <si>
    <t xml:space="preserve">Level 4: goals counted (not legacy)</t>
  </si>
  <si>
    <t xml:space="preserve">Level 4: goals on track</t>
  </si>
  <si>
    <t xml:space="preserve">Level 4: goals under 50%</t>
  </si>
  <si>
    <t xml:space="preserve">Level 4: pension saving under way (1/0)</t>
  </si>
  <si>
    <t xml:space="preserve">Level 4 Goals and retirement: status</t>
  </si>
  <si>
    <t xml:space="preserve">Level 4: text</t>
  </si>
  <si>
    <t xml:space="preserve">Level 5: wealth or legacy goals</t>
  </si>
  <si>
    <t xml:space="preserve">Level 5: first wealth or legacy goal on track</t>
  </si>
  <si>
    <t xml:space="preserve">Level 5: first wealth or legacy goal</t>
  </si>
  <si>
    <t xml:space="preserve">Level 5: investing (1/0)</t>
  </si>
  <si>
    <t xml:space="preserve">Level 5 Grow wealth and legacy: status</t>
  </si>
  <si>
    <t xml:space="preserve">Level 5: text</t>
  </si>
  <si>
    <t xml:space="preserve">Level 2 after the "strengthen first" rule</t>
  </si>
  <si>
    <t xml:space="preserve">Level 3 after the rule</t>
  </si>
  <si>
    <t xml:space="preserve">Level 4 after the rule</t>
  </si>
  <si>
    <t xml:space="preserve">Level 5 after the rule</t>
  </si>
  <si>
    <t xml:space="preserve">Level 1 after the rule</t>
  </si>
  <si>
    <t xml:space="preserve">NEXT FOUNDATION, EXPLORE AND EMERGENCY FUND NOTE</t>
  </si>
  <si>
    <t xml:space="preserve">First level that is not solid (0 = all solid)</t>
  </si>
  <si>
    <t xml:space="preserve">Level 3 weakest item is a card or loan (debtpay)</t>
  </si>
  <si>
    <t xml:space="preserve">Next best step: title</t>
  </si>
  <si>
    <t xml:space="preserve">Next best step: description</t>
  </si>
  <si>
    <t xml:space="preserve">Goals that need a what-if on Explore (under 95%)</t>
  </si>
  <si>
    <t xml:space="preserve">Their names</t>
  </si>
  <si>
    <t xml:space="preserve">DETAILS MISSING (the "n details missing" banner and the My money checklist: optional fields never count; a "needs a look" flag counts once)</t>
  </si>
  <si>
    <t xml:space="preserve">Field</t>
  </si>
  <si>
    <t xml:space="preserve">Counts as a missing detail or one to look at (1/0)</t>
  </si>
  <si>
    <t xml:space="preserve">Your work</t>
  </si>
  <si>
    <t xml:space="preserve">Monthly living costs</t>
  </si>
  <si>
    <t xml:space="preserve">Your home</t>
  </si>
  <si>
    <t xml:space="preserve">Credit cards: total owed</t>
  </si>
  <si>
    <t xml:space="preserve">Life cover</t>
  </si>
  <si>
    <t xml:space="preserve">Income protection</t>
  </si>
  <si>
    <t xml:space="preserve">Serious illness cover</t>
  </si>
  <si>
    <t xml:space="preserve">Cover through work</t>
  </si>
  <si>
    <t xml:space="preserve">Health insurance</t>
  </si>
  <si>
    <t xml:space="preserve">Paid in each month</t>
  </si>
  <si>
    <t xml:space="preserve">Details missing (the banner and the checklist)</t>
  </si>
  <si>
    <t xml:space="preserve">HOME, EXPLORE AND EXPERTS (base plan)</t>
  </si>
  <si>
    <t xml:space="preserve">Goals in the plan</t>
  </si>
  <si>
    <t xml:space="preserve">Overall readiness (average % covered, rounded)</t>
  </si>
  <si>
    <t xml:space="preserve">Goals on track (95% or more): "n of m goals on track" on Home and in the strip</t>
  </si>
  <si>
    <t xml:space="preserve">Overall band</t>
  </si>
  <si>
    <t xml:space="preserve">Tools for you (ids, before the cut to 6)</t>
  </si>
  <si>
    <t xml:space="preserve">Tools for you shown on Explore (first 6)</t>
  </si>
  <si>
    <t xml:space="preserve">Weakest goal (lowest %, first in the list on a tie)</t>
  </si>
  <si>
    <t xml:space="preserve">Specialist it points to</t>
  </si>
  <si>
    <t xml:space="preserve">Specialist type shown</t>
  </si>
  <si>
    <t xml:space="preserve">What you save a month before any what-if</t>
  </si>
  <si>
    <t xml:space="preserve">Try-this saving (a floor to 25) if it is well above what you save</t>
  </si>
  <si>
    <t xml:space="preserve">The "you may be able to save more" nudge shows (1/0)</t>
  </si>
  <si>
    <t xml:space="preserve">What-if: you would save a month</t>
  </si>
  <si>
    <t xml:space="preserve">What-if: more than your spare money (1/0)</t>
  </si>
  <si>
    <t xml:space="preserve">THE ROAD AND THE CHART (what-if included, as on screen)</t>
  </si>
  <si>
    <t xml:space="preserve">Years with a shortfall on the chart</t>
  </si>
  <si>
    <t xml:space="preserve">Years using savings but not short</t>
  </si>
  <si>
    <t xml:space="preserve">First short year (row)</t>
  </si>
  <si>
    <t xml:space="preserve">First shortfall at age</t>
  </si>
  <si>
    <t xml:space="preserve">First shortfall, about</t>
  </si>
  <si>
    <t xml:space="preserve">Total shortfall across the plan</t>
  </si>
  <si>
    <t xml:space="preserve">Years everyday costs run short</t>
  </si>
  <si>
    <t xml:space="preserve">First year everyday costs run short, age</t>
  </si>
  <si>
    <t xml:space="preserve">The road turns coral from age</t>
  </si>
  <si>
    <t xml:space="preserve">Short years on the road</t>
  </si>
  <si>
    <t xml:space="preserve">Chapter</t>
  </si>
  <si>
    <t xml:space="preserve">Decade</t>
  </si>
  <si>
    <t xml:space="preserve">From age</t>
  </si>
  <si>
    <t xml:space="preserve">To age</t>
  </si>
  <si>
    <t xml:space="preserve">Short years</t>
  </si>
  <si>
    <t xml:space="preserve">Dipping years</t>
  </si>
  <si>
    <t xml:space="preserve">Average short a year</t>
  </si>
  <si>
    <t xml:space="preserve">Weather</t>
  </si>
  <si>
    <t xml:space="preserve">Plan profile: money personality and indicative risk profile (Discover and Understand Me scoring)</t>
  </si>
  <si>
    <t xml:space="preserve">Type the option number the customer picked for each question (1 = the first option on screen). Blank = not answered. Everything below is a formula: the money personality (weights per answer), the indicative risk profile (the lowest of what you want, what you can afford, how long you can wait and your experience), the mismatch message key and the money terms shown on Me. Guidance, not advice.</t>
  </si>
  <si>
    <t xml:space="preserve">ANSWERS</t>
  </si>
  <si>
    <t xml:space="preserve">Option picked (1 to 4; Q6 1 to 5)</t>
  </si>
  <si>
    <t xml:space="preserve">Q1 Money habits (Discover 2)</t>
  </si>
  <si>
    <t xml:space="preserve">Q4 An investment tip (Discover 4)</t>
  </si>
  <si>
    <t xml:space="preserve">Q6 How much could you invest (Discover 6)</t>
  </si>
  <si>
    <t xml:space="preserve">the Q6 answer typed on Plan inputs</t>
  </si>
  <si>
    <t xml:space="preserve">Q7 If a surprise bill came (Discover 7)</t>
  </si>
  <si>
    <t xml:space="preserve">Q8 Your road (Discover 8)</t>
  </si>
  <si>
    <t xml:space="preserve">Q9 A fall in your investments (Discover 9)</t>
  </si>
  <si>
    <t xml:space="preserve">Q12 How you feel about money (Discover 12)</t>
  </si>
  <si>
    <t xml:space="preserve">U4 Who decides (Understand Me)</t>
  </si>
  <si>
    <t xml:space="preserve">U9 How long you can wait (blank = suggested from your goals)</t>
  </si>
  <si>
    <t xml:space="preserve">U10 Income security</t>
  </si>
  <si>
    <t xml:space="preserve">U11 Investing experience</t>
  </si>
  <si>
    <t xml:space="preserve">U12 Dependants and commitments</t>
  </si>
  <si>
    <t xml:space="preserve">U14 Emergency fund cover</t>
  </si>
  <si>
    <t xml:space="preserve">Investments held: how many chips selected</t>
  </si>
  <si>
    <t xml:space="preserve">Investments held: "Shares or funds" selected (Yes/No)</t>
  </si>
  <si>
    <t xml:space="preserve">Investments held: all selected are "None" or "Savings account" (Yes/No)</t>
  </si>
  <si>
    <t xml:space="preserve">Question|option</t>
  </si>
  <si>
    <t xml:space="preserve">Score</t>
  </si>
  <si>
    <t xml:space="preserve">A</t>
  </si>
  <si>
    <t xml:space="preserve">B</t>
  </si>
  <si>
    <t xml:space="preserve">E</t>
  </si>
  <si>
    <t xml:space="preserve">C</t>
  </si>
  <si>
    <t xml:space="preserve">Money term</t>
  </si>
  <si>
    <t xml:space="preserve">2|1</t>
  </si>
  <si>
    <t xml:space="preserve">The Budgeter</t>
  </si>
  <si>
    <t xml:space="preserve">2|2</t>
  </si>
  <si>
    <t xml:space="preserve">Money Vigilant</t>
  </si>
  <si>
    <t xml:space="preserve">2|3</t>
  </si>
  <si>
    <t xml:space="preserve">The Opportunist</t>
  </si>
  <si>
    <t xml:space="preserve">2|4</t>
  </si>
  <si>
    <t xml:space="preserve">The Money Monk</t>
  </si>
  <si>
    <t xml:space="preserve">4|1</t>
  </si>
  <si>
    <t xml:space="preserve">FOMO · Herd behaviour</t>
  </si>
  <si>
    <t xml:space="preserve">4|2</t>
  </si>
  <si>
    <t xml:space="preserve">Due diligence</t>
  </si>
  <si>
    <t xml:space="preserve">4|3</t>
  </si>
  <si>
    <t xml:space="preserve">Advice-seeker</t>
  </si>
  <si>
    <t xml:space="preserve">4|4</t>
  </si>
  <si>
    <t xml:space="preserve">Loss aversion</t>
  </si>
  <si>
    <t xml:space="preserve">6|1</t>
  </si>
  <si>
    <t xml:space="preserve">Starter capacity</t>
  </si>
  <si>
    <t xml:space="preserve">6|2</t>
  </si>
  <si>
    <t xml:space="preserve">Moderate capacity</t>
  </si>
  <si>
    <t xml:space="preserve">6|3</t>
  </si>
  <si>
    <t xml:space="preserve">Good capacity</t>
  </si>
  <si>
    <t xml:space="preserve">6|4</t>
  </si>
  <si>
    <t xml:space="preserve">High capacity</t>
  </si>
  <si>
    <t xml:space="preserve">6|5</t>
  </si>
  <si>
    <t xml:space="preserve">Variable income</t>
  </si>
  <si>
    <t xml:space="preserve">7|1</t>
  </si>
  <si>
    <t xml:space="preserve">7|2</t>
  </si>
  <si>
    <t xml:space="preserve">Thin buffer</t>
  </si>
  <si>
    <t xml:space="preserve">7|3</t>
  </si>
  <si>
    <t xml:space="preserve">Relies on credit</t>
  </si>
  <si>
    <t xml:space="preserve">7|4</t>
  </si>
  <si>
    <t xml:space="preserve">No safety net</t>
  </si>
  <si>
    <t xml:space="preserve">8|1</t>
  </si>
  <si>
    <t xml:space="preserve">Low risk</t>
  </si>
  <si>
    <t xml:space="preserve">8|2</t>
  </si>
  <si>
    <t xml:space="preserve">Cautious</t>
  </si>
  <si>
    <t xml:space="preserve">8|3</t>
  </si>
  <si>
    <t xml:space="preserve">Balanced</t>
  </si>
  <si>
    <t xml:space="preserve">8|4</t>
  </si>
  <si>
    <t xml:space="preserve">High risk</t>
  </si>
  <si>
    <t xml:space="preserve">9|1</t>
  </si>
  <si>
    <t xml:space="preserve">Panic selling</t>
  </si>
  <si>
    <t xml:space="preserve">9|2</t>
  </si>
  <si>
    <t xml:space="preserve">Anchoring</t>
  </si>
  <si>
    <t xml:space="preserve">9|3</t>
  </si>
  <si>
    <t xml:space="preserve">Long-term investor</t>
  </si>
  <si>
    <t xml:space="preserve">9|4</t>
  </si>
  <si>
    <t xml:space="preserve">Buy the dip</t>
  </si>
  <si>
    <t xml:space="preserve">12|1</t>
  </si>
  <si>
    <t xml:space="preserve">Financial anxiety</t>
  </si>
  <si>
    <t xml:space="preserve">12|2</t>
  </si>
  <si>
    <t xml:space="preserve">Cautious optimism</t>
  </si>
  <si>
    <t xml:space="preserve">12|3</t>
  </si>
  <si>
    <t xml:space="preserve">Financially confident</t>
  </si>
  <si>
    <t xml:space="preserve">12|4</t>
  </si>
  <si>
    <t xml:space="preserve">Money avoidance</t>
  </si>
  <si>
    <t xml:space="preserve">u9|1</t>
  </si>
  <si>
    <t xml:space="preserve">u9|2</t>
  </si>
  <si>
    <t xml:space="preserve">u9|3</t>
  </si>
  <si>
    <t xml:space="preserve">u9|4</t>
  </si>
  <si>
    <t xml:space="preserve">u10|1</t>
  </si>
  <si>
    <t xml:space="preserve">u10|2</t>
  </si>
  <si>
    <t xml:space="preserve">u10|3</t>
  </si>
  <si>
    <t xml:space="preserve">u10|4</t>
  </si>
  <si>
    <t xml:space="preserve">u12|1</t>
  </si>
  <si>
    <t xml:space="preserve">u12|2</t>
  </si>
  <si>
    <t xml:space="preserve">u12|3</t>
  </si>
  <si>
    <t xml:space="preserve">u12|4</t>
  </si>
  <si>
    <t xml:space="preserve">u14|1</t>
  </si>
  <si>
    <t xml:space="preserve">u14|2</t>
  </si>
  <si>
    <t xml:space="preserve">u14|3</t>
  </si>
  <si>
    <t xml:space="preserve">u14|4</t>
  </si>
  <si>
    <t xml:space="preserve">u4|1</t>
  </si>
  <si>
    <t xml:space="preserve">u4|2</t>
  </si>
  <si>
    <t xml:space="preserve">u4|3</t>
  </si>
  <si>
    <t xml:space="preserve">u4|4</t>
  </si>
  <si>
    <t xml:space="preserve">Procrastination · Status quo bias</t>
  </si>
  <si>
    <t xml:space="preserve">u11|1</t>
  </si>
  <si>
    <t xml:space="preserve">u11|2</t>
  </si>
  <si>
    <t xml:space="preserve">u11|3</t>
  </si>
  <si>
    <t xml:space="preserve">u11|4</t>
  </si>
  <si>
    <t xml:space="preserve">Overconfidence bias</t>
  </si>
  <si>
    <t xml:space="preserve">Discover answers given (of 6)</t>
  </si>
  <si>
    <t xml:space="preserve">Questions answered (of 13)</t>
  </si>
  <si>
    <t xml:space="preserve">Enough Discover answers (4 or more)</t>
  </si>
  <si>
    <t xml:space="preserve">Personality score A</t>
  </si>
  <si>
    <t xml:space="preserve">Personality score B</t>
  </si>
  <si>
    <t xml:space="preserve">Personality score E</t>
  </si>
  <si>
    <t xml:space="preserve">Personality score C</t>
  </si>
  <si>
    <t xml:space="preserve">Highest score</t>
  </si>
  <si>
    <t xml:space="preserve">A is tied for top (1/0)</t>
  </si>
  <si>
    <t xml:space="preserve">B is tied for top (1/0)</t>
  </si>
  <si>
    <t xml:space="preserve">E is tied for top (1/0)</t>
  </si>
  <si>
    <t xml:space="preserve">C is tied for top (1/0)</t>
  </si>
  <si>
    <t xml:space="preserve">Types tied for top</t>
  </si>
  <si>
    <t xml:space="preserve">Q1 type if it is among the tied</t>
  </si>
  <si>
    <t xml:space="preserve">Q4 types among the tied</t>
  </si>
  <si>
    <t xml:space="preserve">Q4 type if exactly one</t>
  </si>
  <si>
    <t xml:space="preserve">First tied type in the order B, A, C, E</t>
  </si>
  <si>
    <t xml:space="preserve">Your type (key)</t>
  </si>
  <si>
    <t xml:space="preserve">Your money personality</t>
  </si>
  <si>
    <t xml:space="preserve">Q6 score (-1 = not answered)</t>
  </si>
  <si>
    <t xml:space="preserve">Q7 score</t>
  </si>
  <si>
    <t xml:space="preserve">Q8 score</t>
  </si>
  <si>
    <t xml:space="preserve">Q9 score</t>
  </si>
  <si>
    <t xml:space="preserve">Full profile (all 13 answered)</t>
  </si>
  <si>
    <t xml:space="preserve">Earliest savings-pot goal more than 2 years away (age)</t>
  </si>
  <si>
    <t xml:space="preserve">Else the earliest other goal more than 2 years away with nothing saved (age)</t>
  </si>
  <si>
    <t xml:space="preserve">Time horizon suggested from your goals (0 to 3)</t>
  </si>
  <si>
    <t xml:space="preserve">Time horizon used (0 to 3, from your answer or the suggestion)</t>
  </si>
  <si>
    <t xml:space="preserve">Willingness (want)</t>
  </si>
  <si>
    <t xml:space="preserve">Capacity for loss (can)</t>
  </si>
  <si>
    <t xml:space="preserve">Time horizon (time)</t>
  </si>
  <si>
    <t xml:space="preserve">Knowledge and experience (experience)</t>
  </si>
  <si>
    <t xml:space="preserve">Level</t>
  </si>
  <si>
    <t xml:space="preserve">Indicative risk profile</t>
  </si>
  <si>
    <t xml:space="preserve">Held back by</t>
  </si>
  <si>
    <t xml:space="preserve">Comfort with ups and downs (Q8 only)</t>
  </si>
  <si>
    <t xml:space="preserve">Cushion (Q7)</t>
  </si>
  <si>
    <t xml:space="preserve">First read (1) or full profile (0)</t>
  </si>
  <si>
    <t xml:space="preserve">Wants more risk (Q8 3 or 4)</t>
  </si>
  <si>
    <t xml:space="preserve">Wants less risk (Q8 1 or 2)</t>
  </si>
  <si>
    <t xml:space="preserve">Stays calm (Q9 3 or 4)</t>
  </si>
  <si>
    <t xml:space="preserve">Gets worried (Q9 1 or 2)</t>
  </si>
  <si>
    <t xml:space="preserve">Thin cushion</t>
  </si>
  <si>
    <t xml:space="preserve">Short time horizon</t>
  </si>
  <si>
    <t xml:space="preserve">Low capacity for loss</t>
  </si>
  <si>
    <t xml:space="preserve">Capacity low</t>
  </si>
  <si>
    <t xml:space="preserve">Capacity high</t>
  </si>
  <si>
    <t xml:space="preserve">Mismatch message key</t>
  </si>
  <si>
    <t xml:space="preserve">Risk profile banner on Results</t>
  </si>
  <si>
    <t xml:space="preserve">Money terms: money mindset</t>
  </si>
  <si>
    <t xml:space="preserve">Money terms: investor behaviour</t>
  </si>
  <si>
    <t xml:space="preserve">Money terms: risk appetite</t>
  </si>
  <si>
    <t xml:space="preserve">Money terms: capacity for loss</t>
  </si>
  <si>
    <t xml:space="preserve">Plan debt months: each loan, card and the mortgage month by month inside each plan year (the prototype's amortYear)</t>
  </si>
  <si>
    <t xml:space="preserve">A debt is paid month by month: interest is added, then the repayment is taken (never more than what is owed), until the balance is 0.50 or less. Columns B1..B12 are the balance after each month and P1..P12 the repayments. "path" is the mortgage with no goal payments, used to price a Be-mortgage-free goal.</t>
  </si>
  <si>
    <t xml:space="preserve">mortgage: balance at the start of the year</t>
  </si>
  <si>
    <t xml:space="preserve">mortgage B1</t>
  </si>
  <si>
    <t xml:space="preserve">mortgage B2</t>
  </si>
  <si>
    <t xml:space="preserve">mortgage B3</t>
  </si>
  <si>
    <t xml:space="preserve">mortgage B4</t>
  </si>
  <si>
    <t xml:space="preserve">mortgage B5</t>
  </si>
  <si>
    <t xml:space="preserve">mortgage B6</t>
  </si>
  <si>
    <t xml:space="preserve">mortgage B7</t>
  </si>
  <si>
    <t xml:space="preserve">mortgage B8</t>
  </si>
  <si>
    <t xml:space="preserve">mortgage B9</t>
  </si>
  <si>
    <t xml:space="preserve">mortgage B10</t>
  </si>
  <si>
    <t xml:space="preserve">mortgage B11</t>
  </si>
  <si>
    <t xml:space="preserve">mortgage B12</t>
  </si>
  <si>
    <t xml:space="preserve">mortgage P1</t>
  </si>
  <si>
    <t xml:space="preserve">mortgage P2</t>
  </si>
  <si>
    <t xml:space="preserve">mortgage P3</t>
  </si>
  <si>
    <t xml:space="preserve">mortgage P4</t>
  </si>
  <si>
    <t xml:space="preserve">mortgage P5</t>
  </si>
  <si>
    <t xml:space="preserve">mortgage P6</t>
  </si>
  <si>
    <t xml:space="preserve">mortgage P7</t>
  </si>
  <si>
    <t xml:space="preserve">mortgage P8</t>
  </si>
  <si>
    <t xml:space="preserve">mortgage P9</t>
  </si>
  <si>
    <t xml:space="preserve">mortgage P10</t>
  </si>
  <si>
    <t xml:space="preserve">mortgage P11</t>
  </si>
  <si>
    <t xml:space="preserve">mortgage P12</t>
  </si>
  <si>
    <t xml:space="preserve">mortgage: balance after the year</t>
  </si>
  <si>
    <t xml:space="preserve">mortgage: paid in the year</t>
  </si>
  <si>
    <t xml:space="preserve">credit cards: balance at the start of the year</t>
  </si>
  <si>
    <t xml:space="preserve">credit cards B1</t>
  </si>
  <si>
    <t xml:space="preserve">credit cards B2</t>
  </si>
  <si>
    <t xml:space="preserve">credit cards B3</t>
  </si>
  <si>
    <t xml:space="preserve">credit cards B4</t>
  </si>
  <si>
    <t xml:space="preserve">credit cards B5</t>
  </si>
  <si>
    <t xml:space="preserve">credit cards B6</t>
  </si>
  <si>
    <t xml:space="preserve">credit cards B7</t>
  </si>
  <si>
    <t xml:space="preserve">credit cards B8</t>
  </si>
  <si>
    <t xml:space="preserve">credit cards B9</t>
  </si>
  <si>
    <t xml:space="preserve">credit cards B10</t>
  </si>
  <si>
    <t xml:space="preserve">credit cards B11</t>
  </si>
  <si>
    <t xml:space="preserve">credit cards B12</t>
  </si>
  <si>
    <t xml:space="preserve">credit cards P1</t>
  </si>
  <si>
    <t xml:space="preserve">credit cards P2</t>
  </si>
  <si>
    <t xml:space="preserve">credit cards P3</t>
  </si>
  <si>
    <t xml:space="preserve">credit cards P4</t>
  </si>
  <si>
    <t xml:space="preserve">credit cards P5</t>
  </si>
  <si>
    <t xml:space="preserve">credit cards P6</t>
  </si>
  <si>
    <t xml:space="preserve">credit cards P7</t>
  </si>
  <si>
    <t xml:space="preserve">credit cards P8</t>
  </si>
  <si>
    <t xml:space="preserve">credit cards P9</t>
  </si>
  <si>
    <t xml:space="preserve">credit cards P10</t>
  </si>
  <si>
    <t xml:space="preserve">credit cards P11</t>
  </si>
  <si>
    <t xml:space="preserve">credit cards P12</t>
  </si>
  <si>
    <t xml:space="preserve">credit cards: balance after the year</t>
  </si>
  <si>
    <t xml:space="preserve">credit cards: paid in the year</t>
  </si>
  <si>
    <t xml:space="preserve">other loans: balance at the start of the year</t>
  </si>
  <si>
    <t xml:space="preserve">other loans B1</t>
  </si>
  <si>
    <t xml:space="preserve">other loans B2</t>
  </si>
  <si>
    <t xml:space="preserve">other loans B3</t>
  </si>
  <si>
    <t xml:space="preserve">other loans B4</t>
  </si>
  <si>
    <t xml:space="preserve">other loans B5</t>
  </si>
  <si>
    <t xml:space="preserve">other loans B6</t>
  </si>
  <si>
    <t xml:space="preserve">other loans B7</t>
  </si>
  <si>
    <t xml:space="preserve">other loans B8</t>
  </si>
  <si>
    <t xml:space="preserve">other loans B9</t>
  </si>
  <si>
    <t xml:space="preserve">other loans B10</t>
  </si>
  <si>
    <t xml:space="preserve">other loans B11</t>
  </si>
  <si>
    <t xml:space="preserve">other loans B12</t>
  </si>
  <si>
    <t xml:space="preserve">other loans P1</t>
  </si>
  <si>
    <t xml:space="preserve">other loans P2</t>
  </si>
  <si>
    <t xml:space="preserve">other loans P3</t>
  </si>
  <si>
    <t xml:space="preserve">other loans P4</t>
  </si>
  <si>
    <t xml:space="preserve">other loans P5</t>
  </si>
  <si>
    <t xml:space="preserve">other loans P6</t>
  </si>
  <si>
    <t xml:space="preserve">other loans P7</t>
  </si>
  <si>
    <t xml:space="preserve">other loans P8</t>
  </si>
  <si>
    <t xml:space="preserve">other loans P9</t>
  </si>
  <si>
    <t xml:space="preserve">other loans P10</t>
  </si>
  <si>
    <t xml:space="preserve">other loans P11</t>
  </si>
  <si>
    <t xml:space="preserve">other loans P12</t>
  </si>
  <si>
    <t xml:space="preserve">other loans: balance after the year</t>
  </si>
  <si>
    <t xml:space="preserve">other loans: paid in the year</t>
  </si>
  <si>
    <t xml:space="preserve">path: balance at the start of the year</t>
  </si>
  <si>
    <t xml:space="preserve">mortgage path B1</t>
  </si>
  <si>
    <t xml:space="preserve">mortgage path B2</t>
  </si>
  <si>
    <t xml:space="preserve">mortgage path B3</t>
  </si>
  <si>
    <t xml:space="preserve">mortgage path B4</t>
  </si>
  <si>
    <t xml:space="preserve">mortgage path B5</t>
  </si>
  <si>
    <t xml:space="preserve">mortgage path B6</t>
  </si>
  <si>
    <t xml:space="preserve">mortgage path B7</t>
  </si>
  <si>
    <t xml:space="preserve">mortgage path B8</t>
  </si>
  <si>
    <t xml:space="preserve">mortgage path B9</t>
  </si>
  <si>
    <t xml:space="preserve">mortgage path B10</t>
  </si>
  <si>
    <t xml:space="preserve">mortgage path B11</t>
  </si>
  <si>
    <t xml:space="preserve">mortgage path B12</t>
  </si>
  <si>
    <t xml:space="preserve">mortgage path P1</t>
  </si>
  <si>
    <t xml:space="preserve">mortgage path P2</t>
  </si>
  <si>
    <t xml:space="preserve">mortgage path P3</t>
  </si>
  <si>
    <t xml:space="preserve">mortgage path P4</t>
  </si>
  <si>
    <t xml:space="preserve">mortgage path P5</t>
  </si>
  <si>
    <t xml:space="preserve">mortgage path P6</t>
  </si>
  <si>
    <t xml:space="preserve">mortgage path P7</t>
  </si>
  <si>
    <t xml:space="preserve">mortgage path P8</t>
  </si>
  <si>
    <t xml:space="preserve">mortgage path P9</t>
  </si>
  <si>
    <t xml:space="preserve">mortgage path P10</t>
  </si>
  <si>
    <t xml:space="preserve">mortgage path P11</t>
  </si>
  <si>
    <t xml:space="preserve">mortgage path P12</t>
  </si>
  <si>
    <t xml:space="preserve">mortgage path: balance after the year</t>
  </si>
  <si>
    <t xml:space="preserve">mortgage path: paid in the year</t>
  </si>
  <si>
    <t xml:space="preserve">path: balance counted at the start of the year (mPath)</t>
  </si>
  <si>
    <t xml:space="preserve">Plan how it works: a plain-English walk through the Plan sheets</t>
  </si>
  <si>
    <t xml:space="preserve">Plan inputs</t>
  </si>
  <si>
    <t xml:space="preserve">Everything the "Make my plan" engine needs, in one yellow block. It mirrors the prototype's customer state: about you and your family, your goals (type, year, amount, saved so far, priority, rank), Your finances (the card, loan, pension and other-property mortgage totals come from the "Your lists" sheet, which wins over a typed figure when it has any figure, exactly like the prototype), your assumptions (a blank one means "not chosen": the plan then uses the standard from Settings, and Plan results lists what still needs choosing), the inflation you choose, your saving choice, and the what-if. A blank figure is €0, never a made-up number. With "Fill example values" on README set to Yes, every blank cell uses the grey example (the sample customer).</t>
  </si>
  <si>
    <t xml:space="preserve">Plan pay &amp; tax</t>
  </si>
  <si>
    <t xml:space="preserve">The top block turns inputs into the figures the plan uses (the prototype's finNums and asmV): standards for any unchosen assumption, the mortgage repayment (given, or worked out from balance, rate and years), cards and loans (the repayment given if it covers the interest, otherwise a 5-year repayment; other-property mortgages are folded into other loans), pension contributions (your own share and the employer's), auto-enrolment, State Pension share, partner, tax credits. The year table below works out, for each year of the plan, your pay and your partner's (rising with pay), pension contributions and tax relief, the pension pot (growth, the lump sum and Standard Fund Threshold at retirement, the minimum or chosen drawdown), the State Pension and other income, and income tax, USC and PRSI (the prototype's hhTax, with joint assessment, age credit, rent, home carer and single-parent credits). Bands and credits rise with prices unless you chose "stay as today".</t>
  </si>
  <si>
    <t xml:space="preserve">Plan debt months</t>
  </si>
  <si>
    <t xml:space="preserve">Each loan, card and the mortgage is paid month by month inside each plan year: interest is added, then the repayment is taken (never more than is owed), until the balance is 50 cent or less. The mortgage "path" (the mortgage with no goal payments) prices a Be-mortgage-free goal at its date.</t>
  </si>
  <si>
    <t xml:space="preserve">Plan cashflow</t>
  </si>
  <si>
    <t xml:space="preserve">One row per year from today to the plan-until age. Order inside a year: money in (after tax and pension contributions) -&gt; living costs and one-offs -&gt; mortgage, card and loan repayments -&gt; goals due this year are paid from their own pot, then from spare money (a goal that cannot be paid leaves a goal gap) -&gt; if money is left over, the saving amount is put towards the goals still to come in funding order (each goal gets what it needs this year, level in real terms, until its pot reaches its cost), and the rest is assumed spent while working (kept as savings once retired) -&gt; if the year is short, spare money, then the buffer, then the goal pots (latest goals first) give way -&gt; growth (spare money at your cash and invested mix, pots at the cash or investment rate). The what-if extra, one-off and "save less" change this table the same way as in the app.</t>
  </si>
  <si>
    <t xml:space="preserve">Plan goals</t>
  </si>
  <si>
    <t xml:space="preserve">Part 1 lists your goals and puts the funded ones in funding order: your ranking if you ranked them (Emergency fund first unless you moved it), otherwise Emergency fund, then must-haves before nice-to-haves, then soonest. Part 2 gives each funded goal its cost (inflated to its date; a mortgage-free goal costs the mortgage balance then), its growth rate (the cash rate if it is less than the "years kept as cash" away, otherwise the investment rate), and its starting pot (saved so far, the what-if one-off, then a share of spare savings in order). Part 3 and 4 turn the Plan cashflow table into the % covered for each goal (rounded down, so 99.6% never reads 100%), its band (95%+ on track, 70%+ needs a nudge, below that needs attention), the average a month you put in, and the Option B goal line.</t>
  </si>
  <si>
    <t xml:space="preserve">Plan results</t>
  </si>
  <si>
    <t xml:space="preserve">What the Results screens show, as formulas: the saving numbers, the gate ("Choose your ... to see this", in the order the prototype asks), the main strength, gap and biggest decision (a strength is only a fully covered goal, never while working-year spending is more than comes in), retirement at a glance, and the five foundations levels with the "strengthen your foundations first" rule. The what-if affects goal % and goal lines; the findings and foundations are the base plan, so they match the app only when the what-if is zero.</t>
  </si>
  <si>
    <t xml:space="preserve">Plan profile</t>
  </si>
  <si>
    <t xml:space="preserve">The money personality and the risk profile, scored from the Discover and Understand Me answers exactly as the prototype does: each answer adds weight to a personality type (the highest wins, a tie is broken in a fixed order, and at least 4 of the 6 weighted answers are needed); the risk profile is the lowest of your attitude (want), your capacity to bear a loss (can afford), your time horizon and your knowledge and experience; a mismatch between them picks the message, and the profile is shown as provisional until all 13 questions are answered. It is indicative guidance only: an adviser confirms a risk profile with you.</t>
  </si>
  <si>
    <t xml:space="preserve">Calculation register</t>
  </si>
  <si>
    <t xml:space="preserve">A list of every place the prototype calculates, scores or shows a number: the screen, the label, the prototype function and line, the rule in words, where it sits in this workbook and whether a test matched it. Rows that say "Not built" or "Not testable" are the known gaps, so nothing is hidden.</t>
  </si>
  <si>
    <t xml:space="preserve">What the workbook cannot do in one pass</t>
  </si>
  <si>
    <t xml:space="preserve">The app finds two figures by searching: the smallest extra a month that takes a goal to 100% (extraTo100, 13 trial runs) and the extra that closes the main gap (extraFor, up to 16 runs). A spreadsheet cannot re-run itself like that, so both are typed cells (Plan goals column L and Plan results "Find_ExtraFor"): enter the what-if extra, watch the goal % reach 100 (or 95), and type the smallest amount that does. The test harness feeds the app's own figure in and checks the workbook reproduces the goal line and the finding to the word. The workbook carries up to 10 goals (8 funded from savings, plus Retire and Leave a legacy) and 90 plan years.</t>
  </si>
  <si>
    <t xml:space="preserve">Plan inputs -&gt; prototype state key</t>
  </si>
  <si>
    <t xml:space="preserve">Plan inputs name</t>
  </si>
  <si>
    <t xml:space="preserve">Prototype state key / meaning</t>
  </si>
  <si>
    <t xml:space="preserve">In_age / Has_age</t>
  </si>
  <si>
    <t xml:space="preserve">Your age   [About you. The prototype: S.about.age]</t>
  </si>
  <si>
    <t xml:space="preserve">In_partner / Has_partner</t>
  </si>
  <si>
    <t xml:space="preserve">Planning with a partner? (Yes/No)   [S.about.partner]</t>
  </si>
  <si>
    <t xml:space="preserve">In_married / Has_married</t>
  </si>
  <si>
    <t xml:space="preserve">Married or civil partners? (Yes/No, blank = not said)   [S.about.married (Yes = joint tax assessment)]</t>
  </si>
  <si>
    <t xml:space="preserve">In_deps / Has_deps</t>
  </si>
  <si>
    <t xml:space="preserve">Children or others who rely on you   [S.about.deps]</t>
  </si>
  <si>
    <t xml:space="preserve">In_retireAge / Has_retireAge</t>
  </si>
  <si>
    <t xml:space="preserve">Retirement age (your choice, never filled in for you)   [S.retireAge]</t>
  </si>
  <si>
    <t xml:space="preserve">In_pRet / Has_pRet</t>
  </si>
  <si>
    <t xml:space="preserve">Partner's retirement age (your choice; needed when your partner has income)   [S.pRet]</t>
  </si>
  <si>
    <t xml:space="preserve">In_infl / Has_infl</t>
  </si>
  <si>
    <t xml:space="preserve">Inflation you choose (a rate, e.g. 0.02 = 2%)   [S.infl]</t>
  </si>
  <si>
    <t xml:space="preserve">In_assumeSet / Has_assumeSet</t>
  </si>
  <si>
    <t xml:space="preserve">Growth set (Standard / Cautious)   [S.assume]</t>
  </si>
  <si>
    <t xml:space="preserve">In_q6 / Has_q6</t>
  </si>
  <si>
    <t xml:space="preserve">Q6 answer: how much could you invest? (0 to 4, blank = not answered)   [S.ans['6']]</t>
  </si>
  <si>
    <t xml:space="preserve">In_saveM / Has_saveM</t>
  </si>
  <si>
    <t xml:space="preserve">My monthly saving (today's money, blank = use the rule)   [S.saveM]</t>
  </si>
  <si>
    <t xml:space="preserve">In_saveUp / Has_saveUp</t>
  </si>
  <si>
    <t xml:space="preserve">My saving: raise the rule (Yes) or cap it (No); blank = decided by the amount   [S.saveUp]</t>
  </si>
  <si>
    <t xml:space="preserve">In_penExtra / Has_penExtra</t>
  </si>
  <si>
    <t xml:space="preserve">Extra monthly pension contribution you chose (€ a month)   [S.penExtra]</t>
  </si>
  <si>
    <t xml:space="preserve">In_credRent / Has_credRent</t>
  </si>
  <si>
    <t xml:space="preserve">Claim the Rent Tax Credit? (Yes/No)   [S.about.cred.rent]</t>
  </si>
  <si>
    <t xml:space="preserve">In_credLone / Has_credLone</t>
  </si>
  <si>
    <t xml:space="preserve">Claim the Single Person Child Carer Credit? (Yes/No)   [S.about.cred.lone]</t>
  </si>
  <si>
    <t xml:space="preserve">In_credCarer / Has_credCarer</t>
  </si>
  <si>
    <t xml:space="preserve">Claim the Home Carer Credit? (Yes/No)   [S.about.cred.carer]</t>
  </si>
  <si>
    <t xml:space="preserve">In_wiGoal / Has_wiGoal</t>
  </si>
  <si>
    <t xml:space="preserve">What if: put it towards goal number (1 to 10, as listed below; blank = none)   [S.wi.g]</t>
  </si>
  <si>
    <t xml:space="preserve">In_wiM / Has_wiM</t>
  </si>
  <si>
    <t xml:space="preserve">What if: extra (or less) each month   [S.wi.m]</t>
  </si>
  <si>
    <t xml:space="preserve">In_wiL / Has_wiL</t>
  </si>
  <si>
    <t xml:space="preserve">What if: one-off amount   [S.wi.l]</t>
  </si>
  <si>
    <t xml:space="preserve">In_work / Has_work</t>
  </si>
  <si>
    <t xml:space="preserve">Your work (Employed / Self-employed / Not working)   [S.fin.work]</t>
  </si>
  <si>
    <t xml:space="preserve">In_income / Has_income</t>
  </si>
  <si>
    <t xml:space="preserve">Your gross yearly income   [S.fin.income]</t>
  </si>
  <si>
    <t xml:space="preserve">In_pIncome / Has_pIncome</t>
  </si>
  <si>
    <t xml:space="preserve">Partner's gross yearly income   [S.fin.pIncome]</t>
  </si>
  <si>
    <t xml:space="preserve">In_pAge / Has_pAge</t>
  </si>
  <si>
    <t xml:space="preserve">Partner's age   [S.fin.pAge]</t>
  </si>
  <si>
    <t xml:space="preserve">In_otherM / Has_otherM</t>
  </si>
  <si>
    <t xml:space="preserve">Other income a month (before tax)   [S.fin.otherM]</t>
  </si>
  <si>
    <t xml:space="preserve">In_costsM / Has_costsM</t>
  </si>
  <si>
    <t xml:space="preserve">Monthly living costs (leave out mortgage and loan repayments)   [S.fin.costsM]</t>
  </si>
  <si>
    <t xml:space="preserve">In_oneOffY / Has_oneOffY</t>
  </si>
  <si>
    <t xml:space="preserve">Yearly one-off costs   [S.fin.oneOffY]</t>
  </si>
  <si>
    <t xml:space="preserve">In_rentM / Has_rentM</t>
  </si>
  <si>
    <t xml:space="preserve">Other property: rent received a month   [S.fin.rentM]</t>
  </si>
  <si>
    <t xml:space="preserve">In_home / Has_home</t>
  </si>
  <si>
    <t xml:space="preserve">Your home (Own outright / Own with mortgage / Rent / Live with family)   [S.fin.home]</t>
  </si>
  <si>
    <t xml:space="preserve">In_homeValue / Has_homeValue</t>
  </si>
  <si>
    <t xml:space="preserve">Home value   [S.fin.homeValue (only counted as a missing detail)]</t>
  </si>
  <si>
    <t xml:space="preserve">In_cash / Has_cash</t>
  </si>
  <si>
    <t xml:space="preserve">Cash savings   [S.fin.cash]</t>
  </si>
  <si>
    <t xml:space="preserve">In_invest / Has_invest</t>
  </si>
  <si>
    <t xml:space="preserve">Investments   [S.fin.invest]</t>
  </si>
  <si>
    <t xml:space="preserve">In_mortBal / Has_mortBal</t>
  </si>
  <si>
    <t xml:space="preserve">Mortgage left   [S.fin.mortBal]</t>
  </si>
  <si>
    <t xml:space="preserve">In_mortRate / Has_mortRate</t>
  </si>
  <si>
    <t xml:space="preserve">Mortgage rate, APR % (e.g. 3.85; blank = your assumption)   [S.fin.mortRate]</t>
  </si>
  <si>
    <t xml:space="preserve">In_mortPayM / Has_mortPayM</t>
  </si>
  <si>
    <t xml:space="preserve">Mortgage monthly repayment   [S.fin.mortPayM]</t>
  </si>
  <si>
    <t xml:space="preserve">In_mortYears / Has_mortYears</t>
  </si>
  <si>
    <t xml:space="preserve">Mortgage years left   [S.fin.mortYears]</t>
  </si>
  <si>
    <t xml:space="preserve">In_cardBal / Has_cardBal</t>
  </si>
  <si>
    <t xml:space="preserve">Credit cards: total owed (a list on "Your lists" wins)   [S.fin.cardBal]</t>
  </si>
  <si>
    <t xml:space="preserve">In_cardPayM / Has_cardPayM</t>
  </si>
  <si>
    <t xml:space="preserve">Credit cards: monthly repayment   [S.fin.cardPayM]</t>
  </si>
  <si>
    <t xml:space="preserve">In_cardRate / Has_cardRate</t>
  </si>
  <si>
    <t xml:space="preserve">Credit cards: APR % (blank = your assumption)   [S.fin.cardRate]</t>
  </si>
  <si>
    <t xml:space="preserve">In_loanBal / Has_loanBal</t>
  </si>
  <si>
    <t xml:space="preserve">Other loans: total owed   [S.fin.loanBal]</t>
  </si>
  <si>
    <t xml:space="preserve">In_loanPayM / Has_loanPayM</t>
  </si>
  <si>
    <t xml:space="preserve">Other loans: monthly repayment   [S.fin.loanPayM]</t>
  </si>
  <si>
    <t xml:space="preserve">In_loanRate / Has_loanRate</t>
  </si>
  <si>
    <t xml:space="preserve">Other loans: APR % (blank = your assumption)   [S.fin.loanRate]</t>
  </si>
  <si>
    <t xml:space="preserve">In_debt / Has_debt</t>
  </si>
  <si>
    <t xml:space="preserve">Other debt (older single figure)   [S.fin.debt]</t>
  </si>
  <si>
    <t xml:space="preserve">In_debtPayM / Has_debtPayM</t>
  </si>
  <si>
    <t xml:space="preserve">Other debt monthly repayment   [S.fin.debtPayM]</t>
  </si>
  <si>
    <t xml:space="preserve">In_pension / Has_pension</t>
  </si>
  <si>
    <t xml:space="preserve">Pension value today (a list on "Your lists" wins)   [S.fin.pension]</t>
  </si>
  <si>
    <t xml:space="preserve">In_pensionM / Has_pensionM</t>
  </si>
  <si>
    <t xml:space="preserve">Paid into your pension each month, you + employer   [S.fin.pensionM]</t>
  </si>
  <si>
    <t xml:space="preserve">In_pensionOwnM / Has_pensionOwnM</t>
  </si>
  <si>
    <t xml:space="preserve">Of that, paid by you each month (blank = your share assumption)   [S.fin.pensionOwnM]</t>
  </si>
  <si>
    <t xml:space="preserve">In_penChg / Has_penChg</t>
  </si>
  <si>
    <t xml:space="preserve">Your statement's pension charges, % (blank = the typical charges are already in the growth rate)   [S.fin.penChg]</t>
  </si>
  <si>
    <t xml:space="preserve">In_ae / Has_ae</t>
  </si>
  <si>
    <t xml:space="preserve">Auto-enrolled in My Future Fund? (Yes/No/Not sure; "No" turns it off)   [S.fin.ae]</t>
  </si>
  <si>
    <t xml:space="preserve">In_sp / Has_sp</t>
  </si>
  <si>
    <t xml:space="preserve">State Pension (Expect full / Partly / Not sure)   [S.fin.sp]</t>
  </si>
  <si>
    <t xml:space="preserve">In_spYears / Has_spYears</t>
  </si>
  <si>
    <t xml:space="preserve">PRSI years at 66 (blank = not known)   [S.fin.spYears]</t>
  </si>
  <si>
    <t xml:space="preserve">In_pSp / Has_pSp</t>
  </si>
  <si>
    <t xml:space="preserve">Partner's State Pension (Own full / Own partial / Qualified adult increase / None / Not sure)   [S.fin.pSp]</t>
  </si>
  <si>
    <t xml:space="preserve">In_life / Has_life</t>
  </si>
  <si>
    <t xml:space="preserve">Life cover (Yes/No/Not sure)   [S.fin.life]</t>
  </si>
  <si>
    <t xml:space="preserve">In_ip / Has_ip</t>
  </si>
  <si>
    <t xml:space="preserve">Income protection (Yes/No/Not sure)   [S.fin.ip]</t>
  </si>
  <si>
    <t xml:space="preserve">In_ci / Has_ci</t>
  </si>
  <si>
    <t xml:space="preserve">Serious illness cover (Yes/No/Not sure)   [S.fin.ci]</t>
  </si>
  <si>
    <t xml:space="preserve">In_workCover / Has_workCover</t>
  </si>
  <si>
    <t xml:space="preserve">Cover through work (Yes/No/Not sure)   [S.fin.workCover]</t>
  </si>
  <si>
    <t xml:space="preserve">In_health / Has_health</t>
  </si>
  <si>
    <t xml:space="preserve">Health insurance (Yes/No/Not sure)   [S.fin.health]</t>
  </si>
  <si>
    <t xml:space="preserve">In_a_inv / Has_a_inv</t>
  </si>
  <si>
    <t xml:space="preserve">Investments grow (a year)   [S.asm.inv]</t>
  </si>
  <si>
    <t xml:space="preserve">In_a_cash / Has_a_cash</t>
  </si>
  <si>
    <t xml:space="preserve">Cash savings earn (a year)   [S.asm.cash]</t>
  </si>
  <si>
    <t xml:space="preserve">In_a_pen / Has_a_pen</t>
  </si>
  <si>
    <t xml:space="preserve">Pension grows while you work (a year)   [S.asm.pen]</t>
  </si>
  <si>
    <t xml:space="preserve">In_a_penRet / Has_a_penRet</t>
  </si>
  <si>
    <t xml:space="preserve">Pension grows once retired (a year)   [S.asm.penRet]</t>
  </si>
  <si>
    <t xml:space="preserve">In_a_wage / Has_a_wage</t>
  </si>
  <si>
    <t xml:space="preserve">Pay rises (a year)   [S.asm.wage]</t>
  </si>
  <si>
    <t xml:space="preserve">In_a_bands / Has_a_bands</t>
  </si>
  <si>
    <t xml:space="preserve">Tax bands in future (prices / flat)   [S.asm.bands]</t>
  </si>
  <si>
    <t xml:space="preserve">In_a_spGrow / Has_a_spGrow</t>
  </si>
  <si>
    <t xml:space="preserve">State Pension in future (prices / pay / flat)   [S.asm.spGrow]</t>
  </si>
  <si>
    <t xml:space="preserve">In_a_ownShare / Has_a_ownShare</t>
  </si>
  <si>
    <t xml:space="preserve">Share of your pension you pay yourself   [S.asm.ownShare]</t>
  </si>
  <si>
    <t xml:space="preserve">In_a_retireSpend / Has_a_retireSpend</t>
  </si>
  <si>
    <t xml:space="preserve">Retirement spending if no retirement goal (share of today's)   [S.asm.retireSpend]</t>
  </si>
  <si>
    <t xml:space="preserve">In_a_lumpSum / Has_a_lumpSum</t>
  </si>
  <si>
    <t xml:space="preserve">Tax-free lump sum to take (share of pension)   [S.asm.lumpSum]</t>
  </si>
  <si>
    <t xml:space="preserve">In_a_drawRule / Has_a_drawRule</t>
  </si>
  <si>
    <t xml:space="preserve">How you draw your pension (spread / min / fixed)   [S.asm.drawRule]</t>
  </si>
  <si>
    <t xml:space="preserve">In_a_drawFixed / Has_a_drawFixed</t>
  </si>
  <si>
    <t xml:space="preserve">Fixed amount a year, if you chose fixed (today's money)   [S.asm.drawFixed]</t>
  </si>
  <si>
    <t xml:space="preserve">In_a_safetyMonths / Has_a_safetyMonths</t>
  </si>
  <si>
    <t xml:space="preserve">Emergency fund months   [S.asm.safetyMonths]</t>
  </si>
  <si>
    <t xml:space="preserve">In_a_cashYears / Has_a_cashYears</t>
  </si>
  <si>
    <t xml:space="preserve">Money for goals sooner than this is kept as cash (years)   [S.asm.cashYears]</t>
  </si>
  <si>
    <t xml:space="preserve">In_a_investShare / Has_a_investShare</t>
  </si>
  <si>
    <t xml:space="preserve">Spare savings: share invested   [S.asm.investShare]</t>
  </si>
  <si>
    <t xml:space="preserve">In_a_saveShare / Has_a_saveShare</t>
  </si>
  <si>
    <t xml:space="preserve">Share of spare money saved, at most   [S.asm.saveShare]</t>
  </si>
  <si>
    <t xml:space="preserve">In_a_noAnswer / Has_a_noAnswer</t>
  </si>
  <si>
    <t xml:space="preserve">Monthly saving if Q6 not answered   [S.asm.noAnswer]</t>
  </si>
  <si>
    <t xml:space="preserve">In_a_planEnd / Has_a_planEnd</t>
  </si>
  <si>
    <t xml:space="preserve">Plan until age (your choice, never filled in for you)   [S.asm.planEnd]</t>
  </si>
  <si>
    <t xml:space="preserve">In_a_startYear / Has_a_startYear</t>
  </si>
  <si>
    <t xml:space="preserve">Start the plan in (2026 / 2027)   [S.asm.startYear]</t>
  </si>
  <si>
    <t xml:space="preserve">In_a_mortRate / Has_a_mortRate</t>
  </si>
  <si>
    <t xml:space="preserve">Mortgage rate if the statement does not say   [S.asm.mortRate]</t>
  </si>
  <si>
    <t xml:space="preserve">In_a_cardRate / Has_a_cardRate</t>
  </si>
  <si>
    <t xml:space="preserve">Credit-card rate if the statement does not say   [S.asm.cardRate]</t>
  </si>
  <si>
    <t xml:space="preserve">In_a_loanRate / Has_a_loanRate</t>
  </si>
  <si>
    <t xml:space="preserve">Other loans rate if the statement does not say   [S.asm.loanRate]</t>
  </si>
  <si>
    <t xml:space="preserve">In_a_spWeek / Has_a_spWeek</t>
  </si>
  <si>
    <t xml:space="preserve">Your State Pension a week at 66 (if you do not know your PRSI years)   [S.asm.spWeek]</t>
  </si>
  <si>
    <t xml:space="preserve">In_a_pSpWeek / Has_a_pSpWeek</t>
  </si>
  <si>
    <t xml:space="preserve">Partner's State Pension a week at 66   [S.asm.pSpWeek]</t>
  </si>
  <si>
    <t xml:space="preserve">In_a_spYears / Has_a_spYears</t>
  </si>
  <si>
    <t xml:space="preserve">PRSI years at 66 (as an assumption)   [S.asm.spYears]</t>
  </si>
  <si>
    <t xml:space="preserve">In_a_penChg / Has_a_penChg</t>
  </si>
  <si>
    <t xml:space="preserve">Typical pension charges already in the growth rate   [S.asm.penChg]</t>
  </si>
  <si>
    <t xml:space="preserve">Goal{i}_key / name / age / amount / saved / prio / rank / auto</t>
  </si>
  <si>
    <t xml:space="preserve">Goal i: S.goals[i-1] .k / .name / .age / .amount / .saved / .prio; rank = position in S.rank; auto = .auto (Emergency fund amount follows months x essential spending)</t>
  </si>
  <si>
    <t xml:space="preserve">Your lists (cards, loans, pensions, mortgages on other properties)</t>
  </si>
  <si>
    <t xml:space="preserve">S.lists.cards / .loans / .pens / .mort2 (items with owed, pay, rate, years, value, monthly, own)</t>
  </si>
  <si>
    <t xml:space="preserve">Calculation register: every place the prototype calculates, scores or shows a number</t>
  </si>
  <si>
    <t xml:space="preserve">One row for each. "Status": Matched in test = the plan-vs-xlsx or calc-vs-xlsx harness feeds the same inputs to the prototype and to a recalculated copy of this workbook and compares the results (within one euro, or exact text). Not testable / Known gap = not in the workbook, with the reason. Line numbers refer to LifeGoals-Customer-Journey-Prototype.html.</t>
  </si>
  <si>
    <t xml:space="preserve">Screen</t>
  </si>
  <si>
    <t xml:space="preserve">Label as shown</t>
  </si>
  <si>
    <t xml:space="preserve">Prototype function / line</t>
  </si>
  <si>
    <t xml:space="preserve">Formula in words</t>
  </si>
  <si>
    <t xml:space="preserve">Workbook sheet and cell / name</t>
  </si>
  <si>
    <t xml:space="preserve">Home</t>
  </si>
  <si>
    <t xml:space="preserve">Overall readiness ring (%) and "average"</t>
  </si>
  <si>
    <t xml:space="preserve">V.HOME = () =&gt; (line 2718)</t>
  </si>
  <si>
    <t xml:space="preserve">Average of every goal % covered, rounded to a whole number; ring colour from the band (95+ teal, 70+ gold, else coral).</t>
  </si>
  <si>
    <t xml:space="preserve">Plan results: Home_Avg, Home_Band</t>
  </si>
  <si>
    <t xml:space="preserve">Matched in test</t>
  </si>
  <si>
    <t xml:space="preserve">"N of M goals on track"</t>
  </si>
  <si>
    <t xml:space="preserve">Count of goals with % covered at or above 95; M = number of goals.</t>
  </si>
  <si>
    <t xml:space="preserve">Plan results: Home_OnTrack, Home_N</t>
  </si>
  <si>
    <t xml:space="preserve">Home / Results</t>
  </si>
  <si>
    <t xml:space="preserve">Goals strip "N of M goals on track"</t>
  </si>
  <si>
    <t xml:space="preserve">function tlStrip (line 1936)</t>
  </si>
  <si>
    <t xml:space="preserve">Same count of goals at or above 95%.</t>
  </si>
  <si>
    <t xml:space="preserve">Readiness "rough" flag</t>
  </si>
  <si>
    <t xml:space="preserve">function roughNote (line 1489)</t>
  </si>
  <si>
    <t xml:space="preserve">Shown when a section of Your finances is skipped or more than 2 required figures were not given or read from a document.</t>
  </si>
  <si>
    <t xml:space="preserve">-</t>
  </si>
  <si>
    <t xml:space="preserve">Not testable: depends on where each figure came from (typed / document / skipped), which the workbook does not hold. Known gap.</t>
  </si>
  <si>
    <t xml:space="preserve">Goals at a glance: % pill and "in N yrs"</t>
  </si>
  <si>
    <t xml:space="preserve">Each goal % covered (rounded down); years = goal age minus your age.</t>
  </si>
  <si>
    <t xml:space="preserve">Plan goals: GR{i}_Pct, GR{i}_Band, GR{i}_When</t>
  </si>
  <si>
    <t xml:space="preserve">Your next best step</t>
  </si>
  <si>
    <t xml:space="preserve">function nextStep (line 2709)</t>
  </si>
  <si>
    <t xml:space="preserve">Picks the lowest-% goal (earliest if tied) and builds the text from its figures; otherwise the next foundation.</t>
  </si>
  <si>
    <t xml:space="preserve">Plan results: Fnd_NextN / Fnd_NextT / Fnd_NextD (foundation part only)</t>
  </si>
  <si>
    <t xml:space="preserve">Partly built. The goal-based wording (nextStep) is not in the workbook. Known gap.</t>
  </si>
  <si>
    <t xml:space="preserve">Home / Plan</t>
  </si>
  <si>
    <t xml:space="preserve">Your financial foundations (5 levels) and "Next best step"</t>
  </si>
  <si>
    <t xml:space="preserve">function foundations (line 2659)</t>
  </si>
  <si>
    <t xml:space="preserve">Five levels, each ok / mid / bad from cash buffer, debt, protection, goals on track, investing; "held" levels shown as "strengthen your foundations first".</t>
  </si>
  <si>
    <t xml:space="preserve">Plan results: Fnd1..5_Fin, Fnd1..5_S, Fnd_NextN/T/D</t>
  </si>
  <si>
    <t xml:space="preserve">Matched in test (base plan, what-if off)</t>
  </si>
  <si>
    <t xml:space="preserve">Level 1 emergency fund months</t>
  </si>
  <si>
    <t xml:space="preserve">Cash and savings divided by essential monthly spending (living costs + mortgage + debt repayments), compared with the months you chose.</t>
  </si>
  <si>
    <t xml:space="preserve">Plan results: Fnd1_St, Fnd1_S</t>
  </si>
  <si>
    <t xml:space="preserve">Level 3 months to clear cards and loans, cover checks</t>
  </si>
  <si>
    <t xml:space="preserve">Months to clear = month-by-month interest and repayment; life cover and income protection checked against your answers.</t>
  </si>
  <si>
    <t xml:space="preserve">Plan results: L3_* rows, Fnd3_St, Fnd3_S</t>
  </si>
  <si>
    <t xml:space="preserve">Tools to try</t>
  </si>
  <si>
    <t xml:space="preserve">function toolsForYou (line 2515)</t>
  </si>
  <si>
    <t xml:space="preserve">Tool list picked from the types of your goals (max 4), in a fixed order.</t>
  </si>
  <si>
    <t xml:space="preserve">Plan results: Tools_List</t>
  </si>
  <si>
    <t xml:space="preserve">Update-your-details nudge</t>
  </si>
  <si>
    <t xml:space="preserve">function nudge (line 1953)</t>
  </si>
  <si>
    <t xml:space="preserve">Shown on the booking / profile conditions.</t>
  </si>
  <si>
    <t xml:space="preserve">Not testable: text only, no number. Not built.</t>
  </si>
  <si>
    <t xml:space="preserve">My plan (any results screen)</t>
  </si>
  <si>
    <t xml:space="preserve">"Choose your ... to see this" gate and the list of what is missing</t>
  </si>
  <si>
    <t xml:space="preserve">function planMissing (line 1197)</t>
  </si>
  <si>
    <t xml:space="preserve">Walks the required choices in the prototype order (inflation, retirement age, plan-until age, partner retirement age, then the standards) and names the first that is blank.</t>
  </si>
  <si>
    <t xml:space="preserve">Plan results: Gate_Keys, Gate_Text, Gate_Count, Gate_Ready</t>
  </si>
  <si>
    <t xml:space="preserve">My plan</t>
  </si>
  <si>
    <t xml:space="preserve">Standards card: "N standards left to confirm"</t>
  </si>
  <si>
    <t xml:space="preserve">function stdLeft (line 2017)</t>
  </si>
  <si>
    <t xml:space="preserve">Count of unchosen standards (plus inflation if not chosen).</t>
  </si>
  <si>
    <t xml:space="preserve">Plan results: Std_Left, Std_Need</t>
  </si>
  <si>
    <t xml:space="preserve">Required choices got / needed</t>
  </si>
  <si>
    <t xml:space="preserve">const reqKeys (line 1213)</t>
  </si>
  <si>
    <t xml:space="preserve">Inflation, retirement age, plan-until age (+ partner retirement age when the partner has an income).</t>
  </si>
  <si>
    <t xml:space="preserve">Plan results: Req_Count, Req_Got</t>
  </si>
  <si>
    <t xml:space="preserve">Me / Plan</t>
  </si>
  <si>
    <t xml:space="preserve">Missing details count ("N items need a look")</t>
  </si>
  <si>
    <t xml:space="preserve">function checkItems (line 1708)</t>
  </si>
  <si>
    <t xml:space="preserve">Count of fields marked missing or needing a look.</t>
  </si>
  <si>
    <t xml:space="preserve">Plan results: Missing_Count</t>
  </si>
  <si>
    <t xml:space="preserve">Matched in test (when not filled by example)</t>
  </si>
  <si>
    <t xml:space="preserve">Plan</t>
  </si>
  <si>
    <t xml:space="preserve">Assumption values (inflation, wage growth, cash and investment rates, pension growth, plan end, buffer months)</t>
  </si>
  <si>
    <t xml:space="preserve">function applyAssume (line 1215)</t>
  </si>
  <si>
    <t xml:space="preserve">The customer's own choice when given, else the standard; wage growth, cash and investment rates after fees.</t>
  </si>
  <si>
    <t xml:space="preserve">Plan pay &amp; tax: AS_Infl, AS_Wage, AS_Cash, AS_Inv, AS_Pen, AS_PenRet, AS_End, AS_Year0, AS_Months</t>
  </si>
  <si>
    <t xml:space="preserve">Finance facts (essential spending, mortgage / card / loan repayments, pension contributions, debt)</t>
  </si>
  <si>
    <t xml:space="preserve">function finNums (line 1313)</t>
  </si>
  <si>
    <t xml:space="preserve">Totals from the lists, with the repayment given or worked out; essential spending = living costs + mortgage + debt repayments.</t>
  </si>
  <si>
    <t xml:space="preserve">Plan pay &amp; tax: F_EssM, F_MortPayM, F_CardPayM, F_LoanPayM, F_PenG, F_PenM, F_Debt (and the other F_*)</t>
  </si>
  <si>
    <t xml:space="preserve">Results &gt; Saving</t>
  </si>
  <si>
    <t xml:space="preserve">Spare money a month ("surplus")</t>
  </si>
  <si>
    <t xml:space="preserve">function saveAuto (line 1362)</t>
  </si>
  <si>
    <t xml:space="preserve">Net income each month minus living costs, one-offs and debt repayments, in today's money.</t>
  </si>
  <si>
    <t xml:space="preserve">Plan results: Save_SurplusM</t>
  </si>
  <si>
    <t xml:space="preserve">How much you save a month (Q6 rule or your choice)</t>
  </si>
  <si>
    <t xml:space="preserve">The Discover Q6 answer sets a share of spare money (saveM); your own choice replaces it; capped at spare money.</t>
  </si>
  <si>
    <t xml:space="preserve">Plan results: Save_SaveM, Save_AutoM, Save_SaveM_Base</t>
  </si>
  <si>
    <t xml:space="preserve">Results &gt; What-if</t>
  </si>
  <si>
    <t xml:space="preserve">"You would save N a month" and "more than your spare money" warning</t>
  </si>
  <si>
    <t xml:space="preserve">function wiLive (line 1899)</t>
  </si>
  <si>
    <t xml:space="preserve">Base saving plus the what-if extra (not below 0); over when above spare money by more than 50 cent.</t>
  </si>
  <si>
    <t xml:space="preserve">Plan results: Wi_Total, Wi_Over</t>
  </si>
  <si>
    <t xml:space="preserve">Goal % and goal lines with the what-if on</t>
  </si>
  <si>
    <t xml:space="preserve">function project (line 1374)</t>
  </si>
  <si>
    <t xml:space="preserve">The whole plan is run again with the extra monthly saving, the one-off and the "save less" setting.</t>
  </si>
  <si>
    <t xml:space="preserve">Plan pay &amp; tax: WI_M, WI_L, WI_Retire (from Plan inputs); Plan cashflow / Plan goals year tables</t>
  </si>
  <si>
    <t xml:space="preserve">"What changes" sentence listing goals that moved</t>
  </si>
  <si>
    <t xml:space="preserve">function wiText (line 1750)</t>
  </si>
  <si>
    <t xml:space="preserve">Lists each goal whose % changed, from old % to new %.</t>
  </si>
  <si>
    <t xml:space="preserve">Not built (text assembled from the two runs). Goal % before / after are testable by running the workbook twice. Known gap.</t>
  </si>
  <si>
    <t xml:space="preserve">Smallest extra a month that takes a goal to 100% / 95%</t>
  </si>
  <si>
    <t xml:space="preserve">function extraTo100 (line 1730)</t>
  </si>
  <si>
    <t xml:space="preserve">Searches 13 trial values of extra saving for the smallest that reaches the target.</t>
  </si>
  <si>
    <t xml:space="preserve">Plan goals: typed helper column L; Plan results: Find_ExtraFor</t>
  </si>
  <si>
    <t xml:space="preserve">Matched in test when the app's own figure is typed in. The workbook cannot search by itself.</t>
  </si>
  <si>
    <t xml:space="preserve">My plan &gt; Results, Road, Timeline</t>
  </si>
  <si>
    <t xml:space="preserve">Every year row: income, needs, from savings, shortfall, savings left, pension pot</t>
  </si>
  <si>
    <t xml:space="preserve">One row per year to the plan-until age: pay after tax and pension, living costs, repayments, goals due, spare money and pots, growth.</t>
  </si>
  <si>
    <t xml:space="preserve">Plan cashflow: year table (inflow, needs, goalPaid, short, used, saved, spent, liquid, pen)</t>
  </si>
  <si>
    <t xml:space="preserve">Pay, tax, USC, PRSI each year (joint assessment, credits)</t>
  </si>
  <si>
    <t xml:space="preserve">function hhTax (line 1244)</t>
  </si>
  <si>
    <t xml:space="preserve">Income tax bands and credits, USC bands, PRSI rate blend by year; State Pension and drawdown included after retirement.</t>
  </si>
  <si>
    <t xml:space="preserve">Plan pay &amp; tax: year table (gross, tax, usc, prsi), PR_* constants</t>
  </si>
  <si>
    <t xml:space="preserve">Retirement pot, lump sum, ARF drawdown, State Pension</t>
  </si>
  <si>
    <t xml:space="preserve">Pension pot grown with contributions and relief; Standard Fund Threshold; lump sum 25% up to the limit; drawdown at the chosen % or the minimum; State Pension share by years paid.</t>
  </si>
  <si>
    <t xml:space="preserve">Plan pay &amp; tax: year table (pot, lump sum, drawdown, State Pension); Plan results: Ret_Year, Ret_PotNominal, Ret_IncomeMonth, Ret_LumpNet</t>
  </si>
  <si>
    <t xml:space="preserve">Debt balances month by month</t>
  </si>
  <si>
    <t xml:space="preserve">function amortYear (line 1335)</t>
  </si>
  <si>
    <t xml:space="preserve">Interest added each month, then the repayment (never more than owed) until the balance is 50 cent or less.</t>
  </si>
  <si>
    <t xml:space="preserve">Each goal: cost at its date, pot, % covered, band</t>
  </si>
  <si>
    <t xml:space="preserve">Cost inflated to the goal year (mortgage-free goal costs the mortgage balance then); pot = saved + share of spare saving + one-off; % = covered amount / cost, rounded down.</t>
  </si>
  <si>
    <t xml:space="preserve">Plan goals: GR{i}_Pct, GR{i}_Band, Slot{K}_* ; GR_* ranges</t>
  </si>
  <si>
    <t xml:space="preserve">Results</t>
  </si>
  <si>
    <t xml:space="preserve">Funding order of goals</t>
  </si>
  <si>
    <t xml:space="preserve">Your ranking if you ranked; otherwise Emergency fund first, then must-have before nice-to-have, then soonest.</t>
  </si>
  <si>
    <t xml:space="preserve">Plan goals: Part 1 (sort key)</t>
  </si>
  <si>
    <t xml:space="preserve">Matched in test (through goal %)</t>
  </si>
  <si>
    <t xml:space="preserve">Goal line: "You are saving N a month ..." (Option B)</t>
  </si>
  <si>
    <t xml:space="preserve">function goalLine (line 1732)</t>
  </si>
  <si>
    <t xml:space="preserve">Average a month you put in, what it covers, what is short and what could close it.</t>
  </si>
  <si>
    <t xml:space="preserve">Plan goals: GR{i}_Line (inputs GR{i}_Extra, GR{i}_Months)</t>
  </si>
  <si>
    <t xml:space="preserve">Matched in test (with the app's search result typed in)</t>
  </si>
  <si>
    <t xml:space="preserve">Average put in a month, months to reach</t>
  </si>
  <si>
    <t xml:space="preserve">Total put into the goal pot divided by the months it is funded.</t>
  </si>
  <si>
    <t xml:space="preserve">Plan goals: GR{i}_Months</t>
  </si>
  <si>
    <t xml:space="preserve">Main strength, main gap, biggest decision</t>
  </si>
  <si>
    <t xml:space="preserve">function findings (line 1740)</t>
  </si>
  <si>
    <t xml:space="preserve">Strength = best fully covered goal (never while working-year spending exceeds income); gap = lowest-% goal; decision = the one change that closes the biggest gap, with its monthly figure.</t>
  </si>
  <si>
    <t xml:space="preserve">Plan results: Find_Strength, Find_Gap, Find_Decision, Find_BestIdx, Find_WorstIdx</t>
  </si>
  <si>
    <t xml:space="preserve">Matched in test (what-if off; extraFor typed)</t>
  </si>
  <si>
    <t xml:space="preserve">Retirement at a glance</t>
  </si>
  <si>
    <t xml:space="preserve">Retirement year, pot at retirement, net income a month, net lump sum.</t>
  </si>
  <si>
    <t xml:space="preserve">Plan results: Ret_Year, Ret_PotNominal, Ret_IncomeMonth, Ret_LumpNet</t>
  </si>
  <si>
    <t xml:space="preserve">Goals to slip / "these goals fall short"</t>
  </si>
  <si>
    <t xml:space="preserve">List of goals below 95%.</t>
  </si>
  <si>
    <t xml:space="preserve">Plan results: Slip_Count, Slip_Names</t>
  </si>
  <si>
    <t xml:space="preserve">Results / Road</t>
  </si>
  <si>
    <t xml:space="preserve">Years you fall short; first short age; amount short; total short</t>
  </si>
  <si>
    <t xml:space="preserve">function chartSummary (line 1885)</t>
  </si>
  <si>
    <t xml:space="preserve">Count of years with a shortfall; age and amount of the first; sum of all.</t>
  </si>
  <si>
    <t xml:space="preserve">Plan results: Chart_ShortYears, Chart_FirstShortAge, Chart_FirstShortAmt, Chart_TotalShort, Chart_DipYears</t>
  </si>
  <si>
    <t xml:space="preserve">Road / Timeline</t>
  </si>
  <si>
    <t xml:space="preserve">Road colours (teal / gold / coral) and first coral age</t>
  </si>
  <si>
    <t xml:space="preserve">function journeyNote (line 1764)</t>
  </si>
  <si>
    <t xml:space="preserve">Year coral when income and savings do not cover needs; first such age quoted.</t>
  </si>
  <si>
    <t xml:space="preserve">Plan results: Road_FirstShortAge, Road_ShortYears, Chart_LivingShortYears, Chart_FirstLivingAge</t>
  </si>
  <si>
    <t xml:space="preserve">Timeline / Chart</t>
  </si>
  <si>
    <t xml:space="preserve">Chart bars: from income / from savings / shortfall</t>
  </si>
  <si>
    <t xml:space="preserve">function rowParts (line 1844)</t>
  </si>
  <si>
    <t xml:space="preserve">From income = lesser of money in and spending; from savings = used + goals paid from pots; shortfall = living shortfall + goal gap.</t>
  </si>
  <si>
    <t xml:space="preserve">Plan cashflow: partsInc, partsSav, partsShort</t>
  </si>
  <si>
    <t xml:space="preserve">Timeline</t>
  </si>
  <si>
    <t xml:space="preserve">Decade chapters: years, short years, dip years, average, weather</t>
  </si>
  <si>
    <t xml:space="preserve">function chapters (line 1832)</t>
  </si>
  <si>
    <t xml:space="preserve">Years grouped by decade (90s joined to the 80s); counts and average of rows in each.</t>
  </si>
  <si>
    <t xml:space="preserve">Plan results: Chap_Dec .. Chap_Weather</t>
  </si>
  <si>
    <t xml:space="preserve">Chart: goal name labels over years, selected-year detail</t>
  </si>
  <si>
    <t xml:space="preserve">function chartDetail (line 1879)</t>
  </si>
  <si>
    <t xml:space="preserve">Names of goals due that year; the selected year shows the row's own figures.</t>
  </si>
  <si>
    <t xml:space="preserve">Plan cashflow: rows (figures); names -</t>
  </si>
  <si>
    <t xml:space="preserve">Figures matched in test; goal-name list not built (text). Known gap.</t>
  </si>
  <si>
    <t xml:space="preserve">Goal status ring, "when" text</t>
  </si>
  <si>
    <t xml:space="preserve">function whenTxt (line 1604)</t>
  </si>
  <si>
    <t xml:space="preserve">Years = goal age minus your age; year = this year plus years.</t>
  </si>
  <si>
    <t xml:space="preserve">Plan goals: GR{i}_When</t>
  </si>
  <si>
    <t xml:space="preserve">Report / PDF</t>
  </si>
  <si>
    <t xml:space="preserve">Section 1 Summary (strength / gap / decision)</t>
  </si>
  <si>
    <t xml:space="preserve">function openReport (line 2838)</t>
  </si>
  <si>
    <t xml:space="preserve">Same findings as Results.</t>
  </si>
  <si>
    <t xml:space="preserve">Plan results: Find_*</t>
  </si>
  <si>
    <t xml:space="preserve">Section 3 year-by-year table (income, needs, from savings, shortfall, savings left)</t>
  </si>
  <si>
    <t xml:space="preserve">The project() rows, shown to the euro.</t>
  </si>
  <si>
    <t xml:space="preserve">Plan cashflow: inflow, needs, used, short, liquid</t>
  </si>
  <si>
    <t xml:space="preserve">Section 4 per-goal paragraph (% covered, line, extra a month)</t>
  </si>
  <si>
    <t xml:space="preserve">Goal %, goal line and the extra a month that closes the gap (extraFor).</t>
  </si>
  <si>
    <t xml:space="preserve">Plan goals: GR{i}_Pct, GR{i}_Line, GR{i}_Extra</t>
  </si>
  <si>
    <t xml:space="preserve">Matched in test for % and line; the per-goal extraFor search is typed (see Plan how it works).</t>
  </si>
  <si>
    <t xml:space="preserve">Foundations list and next step</t>
  </si>
  <si>
    <t xml:space="preserve">Same as the Foundations card.</t>
  </si>
  <si>
    <t xml:space="preserve">Plan results: Fnd*</t>
  </si>
  <si>
    <t xml:space="preserve">Section 5 what-if text</t>
  </si>
  <si>
    <t xml:space="preserve">See What-if.</t>
  </si>
  <si>
    <t xml:space="preserve">Plan pay &amp; tax: WI_M, WI_L</t>
  </si>
  <si>
    <t xml:space="preserve">Figures matched in test; sentence not built. Known gap.</t>
  </si>
  <si>
    <t xml:space="preserve">Section 6 money snapshot (every Your finances figure, tag, "N items missing")</t>
  </si>
  <si>
    <t xml:space="preserve">function fmtField (line 1525)</t>
  </si>
  <si>
    <t xml:space="preserve">Displays the figures you gave and where each came from; the count of items missing.</t>
  </si>
  <si>
    <t xml:space="preserve">Figures are the inputs themselves; source tags (document / typed) not held. Count matched. Known gap for tags.</t>
  </si>
  <si>
    <t xml:space="preserve">Section 7 personality, money terms, indicative risk profile</t>
  </si>
  <si>
    <t xml:space="preserve">function riskRead (line 1044)</t>
  </si>
  <si>
    <t xml:space="preserve">See Understand Me rows below.</t>
  </si>
  <si>
    <t xml:space="preserve">Plan profile: Prof_*</t>
  </si>
  <si>
    <t xml:space="preserve">Section 9 "What your plan assumes" list</t>
  </si>
  <si>
    <t xml:space="preserve">function assumeRows (line 1276)</t>
  </si>
  <si>
    <t xml:space="preserve">Each assumption with its value and who chose it.</t>
  </si>
  <si>
    <t xml:space="preserve">Plan pay &amp; tax: AS_*</t>
  </si>
  <si>
    <t xml:space="preserve">Values matched in test; the wording of the list is not built.</t>
  </si>
  <si>
    <t xml:space="preserve">Discover / Me</t>
  </si>
  <si>
    <t xml:space="preserve">Questions answered (of 6 and of 13)</t>
  </si>
  <si>
    <t xml:space="preserve">const discCount (line 1086)</t>
  </si>
  <si>
    <t xml:space="preserve">Count of numeric answers among the 6 Discover questions and the 13 profile questions.</t>
  </si>
  <si>
    <t xml:space="preserve">Plan profile: Prof_DiscCount, Prof_UmCount, Prof_Full</t>
  </si>
  <si>
    <t xml:space="preserve">Money personality (Planner, Builder, Explorer, Cautious)</t>
  </si>
  <si>
    <t xml:space="preserve">function personality (line 1000)</t>
  </si>
  <si>
    <t xml:space="preserve">Weighted score for each type from the answers (needs at least 4 of the 6 weighted answers); highest wins; ties broken in a fixed order.</t>
  </si>
  <si>
    <t xml:space="preserve">Plan profile: Prof_SA..SC, Prof_Top, Prof_TypeKey, Prof_Personality</t>
  </si>
  <si>
    <t xml:space="preserve">Me</t>
  </si>
  <si>
    <t xml:space="preserve">Suggested answer to the "fall" question (u9)</t>
  </si>
  <si>
    <t xml:space="preserve">function suggestU9 (line 1018)</t>
  </si>
  <si>
    <t xml:space="preserve">Suggestion from the other answers until the customer chooses.</t>
  </si>
  <si>
    <t xml:space="preserve">Plan profile: Prof_SuggestU9</t>
  </si>
  <si>
    <t xml:space="preserve">Risk profile: attitude (want), capacity (can), time horizon, knowledge and experience</t>
  </si>
  <si>
    <t xml:space="preserve">Each part scored from its answers; the profile is the lowest of want, can afford, time and experience; "limit" names the one that sets it.</t>
  </si>
  <si>
    <t xml:space="preserve">Plan profile: Prof_T, Prof_C, Prof_H, Prof_KE, Prof_Level, Prof_Label, Prof_Limit</t>
  </si>
  <si>
    <t xml:space="preserve">Mismatch message (want higher than can afford, etc.)</t>
  </si>
  <si>
    <t xml:space="preserve">MIS_ADV (line 1037)</t>
  </si>
  <si>
    <t xml:space="preserve">Key chosen from comparing want, can and time.</t>
  </si>
  <si>
    <t xml:space="preserve">Plan profile: Prof_MisKey</t>
  </si>
  <si>
    <t xml:space="preserve">Comfort, cushion and provisional marker</t>
  </si>
  <si>
    <t xml:space="preserve">Wording picked from the parts; provisional until all 13 are answered.</t>
  </si>
  <si>
    <t xml:space="preserve">Plan profile: Prof_Comfort, Prof_Cushion, Prof_Provisional</t>
  </si>
  <si>
    <t xml:space="preserve">Money terms (mindset, behaviour, appetite, capacity)</t>
  </si>
  <si>
    <t xml:space="preserve">function myTerms (line 652)</t>
  </si>
  <si>
    <t xml:space="preserve">A term for each group from the answers given.</t>
  </si>
  <si>
    <t xml:space="preserve">Plan profile: Prof_TermsMindset .. Prof_TermsCapacity</t>
  </si>
  <si>
    <t xml:space="preserve">Profile banner on the plan</t>
  </si>
  <si>
    <t xml:space="preserve">function planProfileBanner (line 2726)</t>
  </si>
  <si>
    <t xml:space="preserve">Text from the risk read (provisional or full).</t>
  </si>
  <si>
    <t xml:space="preserve">Plan profile: Prof_Banner</t>
  </si>
  <si>
    <t xml:space="preserve">Me &gt; Understand Me</t>
  </si>
  <si>
    <t xml:space="preserve">Section "N of M answered", ring %</t>
  </si>
  <si>
    <t xml:space="preserve">function umCount (line 1088)</t>
  </si>
  <si>
    <t xml:space="preserve">Answered divided by 13, rounded.</t>
  </si>
  <si>
    <t xml:space="preserve">Plan profile: Prof_UmCount (ring % = Prof_UmCount / 13)</t>
  </si>
  <si>
    <t xml:space="preserve">Experts</t>
  </si>
  <si>
    <t xml:space="preserve">Suggested specialist type (weakest goal)</t>
  </si>
  <si>
    <t xml:space="preserve">function specialist (line 2729)</t>
  </si>
  <si>
    <t xml:space="preserve">Weakest goal (lowest %) picks its specialist; otherwise the planner.</t>
  </si>
  <si>
    <t xml:space="preserve">Plan results: Expert_Idx, Expert_Key, Expert_Type</t>
  </si>
  <si>
    <t xml:space="preserve">Adviser shown (rotation) and adviser text</t>
  </si>
  <si>
    <t xml:space="preserve">const ADVISERS (line 955)</t>
  </si>
  <si>
    <t xml:space="preserve">The adviser list is fixed; the customer steps through it.</t>
  </si>
  <si>
    <t xml:space="preserve">Not a calculation (fixed list). No workbook content.</t>
  </si>
  <si>
    <t xml:space="preserve">Adviser meeting date / time options</t>
  </si>
  <si>
    <t xml:space="preserve">async function saveMeeting (line 2916)</t>
  </si>
  <si>
    <t xml:space="preserve">Dates are fixed text.</t>
  </si>
  <si>
    <t xml:space="preserve">Not a calculation.</t>
  </si>
  <si>
    <t xml:space="preserve">Ask / Experts</t>
  </si>
  <si>
    <t xml:space="preserve">Suggested questions that quote plan figures</t>
  </si>
  <si>
    <t xml:space="preserve">function askPlan (line 2785)</t>
  </si>
  <si>
    <t xml:space="preserve">Text built from goal % and ages.</t>
  </si>
  <si>
    <t xml:space="preserve">Not built (text only). Known gap.</t>
  </si>
  <si>
    <t xml:space="preserve">Explore</t>
  </si>
  <si>
    <t xml:space="preserve">Tools for you</t>
  </si>
  <si>
    <t xml:space="preserve">See Home.</t>
  </si>
  <si>
    <t xml:space="preserve">Videos for you: order</t>
  </si>
  <si>
    <t xml:space="preserve">function videosForYou (line 2532)</t>
  </si>
  <si>
    <t xml:space="preserve">Videos sorted so the one about the weakest goal comes first, then those about your goals.</t>
  </si>
  <si>
    <t xml:space="preserve">Not built (a sort of a fixed list). Known gap.</t>
  </si>
  <si>
    <t xml:space="preserve">Tools</t>
  </si>
  <si>
    <t xml:space="preserve">Calculators pre-filled from your plan ("Worked out from your figures")</t>
  </si>
  <si>
    <t xml:space="preserve">function calcPre (line 2431)</t>
  </si>
  <si>
    <t xml:space="preserve">Each tool starts from your own figures (mortgage, deposit target, pension, etc.).</t>
  </si>
  <si>
    <t xml:space="preserve">Plan inputs feed Plan sheets; the C01-C28 sheets take their own inputs</t>
  </si>
  <si>
    <t xml:space="preserve">Not built: the C sheets are not linked to the Plan inputs by design (each calculator is independent). Known gap.</t>
  </si>
  <si>
    <t xml:space="preserve">Document reader: figures, confidence %</t>
  </si>
  <si>
    <t xml:space="preserve">function startUpload (line 3150)</t>
  </si>
  <si>
    <t xml:space="preserve">Reads figures from a document (demo).</t>
  </si>
  <si>
    <t xml:space="preserve">Document reader spec sheet</t>
  </si>
  <si>
    <t xml:space="preserve">Not testable (a specification, not a calculation).</t>
  </si>
  <si>
    <t xml:space="preserve">Explore &gt; Tools &gt; Borrowing</t>
  </si>
  <si>
    <t xml:space="preserve">Result lines of Borrowing</t>
  </si>
  <si>
    <t xml:space="preserve">CALCS entry borrow (line 2199)</t>
  </si>
  <si>
    <t xml:space="preserve">Maximum loan by income multiple and by loan-to-value; price = loan + deposit; deposit rules.</t>
  </si>
  <si>
    <t xml:space="preserve">C01 Borrowing: green result cells, each with its formula written beside it</t>
  </si>
  <si>
    <t xml:space="preserve">Matched in test (calc-vs-xlsx, 161 cases)</t>
  </si>
  <si>
    <t xml:space="preserve">Explore &gt; Tools &gt; Mortgage repayment</t>
  </si>
  <si>
    <t xml:space="preserve">Result lines of Mortgage repayment</t>
  </si>
  <si>
    <t xml:space="preserve">CALCS entry repayment (line 2211)</t>
  </si>
  <si>
    <t xml:space="preserve">Monthly repayment = balance x i / (1 - (1+i)^-n), i = yearly rate / 12; total interest.</t>
  </si>
  <si>
    <t xml:space="preserve">C02 Mortgage repayment: green result cells, each with its formula written beside it</t>
  </si>
  <si>
    <t xml:space="preserve">Explore &gt; Tools &gt; Deposit</t>
  </si>
  <si>
    <t xml:space="preserve">Result lines of Deposit</t>
  </si>
  <si>
    <t xml:space="preserve">CALCS entry deposit (line 2221)</t>
  </si>
  <si>
    <t xml:space="preserve">Months to reach the deposit from savings, monthly saving and growth.</t>
  </si>
  <si>
    <t xml:space="preserve">C03 Deposit: green result cells, each with its formula written beside it</t>
  </si>
  <si>
    <t xml:space="preserve">Explore &gt; Tools &gt; Mortgage overpayment</t>
  </si>
  <si>
    <t xml:space="preserve">Result lines of Mortgage overpayment</t>
  </si>
  <si>
    <t xml:space="preserve">CALCS entry overpay (line 2227)</t>
  </si>
  <si>
    <t xml:space="preserve">Months saved and interest saved when you pay extra each month.</t>
  </si>
  <si>
    <t xml:space="preserve">C04 Mortgage overpayment: green result cells, each with its formula written beside it</t>
  </si>
  <si>
    <t xml:space="preserve">Explore &gt; Tools &gt; Interest rate impact</t>
  </si>
  <si>
    <t xml:space="preserve">Result lines of Interest rate impact</t>
  </si>
  <si>
    <t xml:space="preserve">CALCS entry ratechange (line 2234)</t>
  </si>
  <si>
    <t xml:space="preserve">Repayment at the new rate against the current rate.</t>
  </si>
  <si>
    <t xml:space="preserve">C05 Interest rate impact: green result cells, each with its formula written beside it</t>
  </si>
  <si>
    <t xml:space="preserve">Explore &gt; Tools &gt; Term comparison</t>
  </si>
  <si>
    <t xml:space="preserve">Result lines of Term comparison</t>
  </si>
  <si>
    <t xml:space="preserve">CALCS entry term (line 2239)</t>
  </si>
  <si>
    <t xml:space="preserve">Repayment and total interest for each term.</t>
  </si>
  <si>
    <t xml:space="preserve">C06 Term comparison: green result cells, each with its formula written beside it</t>
  </si>
  <si>
    <t xml:space="preserve">Explore &gt; Tools &gt; Rent vs buy</t>
  </si>
  <si>
    <t xml:space="preserve">Result lines of Rent vs buy</t>
  </si>
  <si>
    <t xml:space="preserve">CALCS entry rentbuy (line 2244)</t>
  </si>
  <si>
    <t xml:space="preserve">Cost of renting against buying over the years (costs, equity, upkeep).</t>
  </si>
  <si>
    <t xml:space="preserve">C07 Rent vs buy: green result cells, each with its formula written beside it</t>
  </si>
  <si>
    <t xml:space="preserve">Explore &gt; Tools &gt; Goal planner</t>
  </si>
  <si>
    <t xml:space="preserve">Result lines of Goal planner</t>
  </si>
  <si>
    <t xml:space="preserve">CALCS entry goalplanner (line 2251)</t>
  </si>
  <si>
    <t xml:space="preserve">Monthly saving needed to reach a goal given growth.</t>
  </si>
  <si>
    <t xml:space="preserve">C08 Goal planner: green result cells, each with its formula written beside it</t>
  </si>
  <si>
    <t xml:space="preserve">Explore &gt; Tools &gt; Compound growth</t>
  </si>
  <si>
    <t xml:space="preserve">Result lines of Compound growth</t>
  </si>
  <si>
    <t xml:space="preserve">CALCS entry compound (line 2257)</t>
  </si>
  <si>
    <t xml:space="preserve">Value of regular saving at the growth rate.</t>
  </si>
  <si>
    <t xml:space="preserve">C09 Compound growth: green result cells, each with its formula written beside it</t>
  </si>
  <si>
    <t xml:space="preserve">Explore &gt; Tools &gt; Lump sum growth</t>
  </si>
  <si>
    <t xml:space="preserve">Result lines of Lump sum growth</t>
  </si>
  <si>
    <t xml:space="preserve">CALCS entry lumpsum (line 2262)</t>
  </si>
  <si>
    <t xml:space="preserve">One-off amount grown for the years, nominal and real.</t>
  </si>
  <si>
    <t xml:space="preserve">C10 Lump sum growth: green result cells, each with its formula written beside it</t>
  </si>
  <si>
    <t xml:space="preserve">Explore &gt; Tools &gt; Emergency fund</t>
  </si>
  <si>
    <t xml:space="preserve">Result lines of Emergency fund</t>
  </si>
  <si>
    <t xml:space="preserve">CALCS entry emergency (line 2269)</t>
  </si>
  <si>
    <t xml:space="preserve">Months covered; target = months x essential spending.</t>
  </si>
  <si>
    <t xml:space="preserve">C11 Emergency fund: green result cells, each with its formula written beside it</t>
  </si>
  <si>
    <t xml:space="preserve">Explore &gt; Tools &gt; Retirement projection</t>
  </si>
  <si>
    <t xml:space="preserve">Result lines of Retirement projection</t>
  </si>
  <si>
    <t xml:space="preserve">CALCS entry retirement (line 2274)</t>
  </si>
  <si>
    <t xml:space="preserve">Pot at retirement, lump sum, income a month against the target.</t>
  </si>
  <si>
    <t xml:space="preserve">C12 Retirement projection: green result cells, each with its formula written beside it</t>
  </si>
  <si>
    <t xml:space="preserve">Explore &gt; Tools &gt; Contribution impact</t>
  </si>
  <si>
    <t xml:space="preserve">Result lines of Contribution impact</t>
  </si>
  <si>
    <t xml:space="preserve">CALCS entry contrib (line 2286)</t>
  </si>
  <si>
    <t xml:space="preserve">Pot with and without a contribution increase.</t>
  </si>
  <si>
    <t xml:space="preserve">C13 Contribution impact: green result cells, each with its formula written beside it</t>
  </si>
  <si>
    <t xml:space="preserve">Explore &gt; Tools &gt; AVC impact</t>
  </si>
  <si>
    <t xml:space="preserve">Result lines of AVC impact</t>
  </si>
  <si>
    <t xml:space="preserve">CALCS entry avc (line 2291)</t>
  </si>
  <si>
    <t xml:space="preserve">Extra pot and tax relief from AVCs.</t>
  </si>
  <si>
    <t xml:space="preserve">C14 AVC impact: green result cells, each with its formula written beside it</t>
  </si>
  <si>
    <t xml:space="preserve">Explore &gt; Tools &gt; Will my money last</t>
  </si>
  <si>
    <t xml:space="preserve">Result lines of Will my money last</t>
  </si>
  <si>
    <t xml:space="preserve">CALCS entry lastmoney (line 2297)</t>
  </si>
  <si>
    <t xml:space="preserve">Years the pot lasts with the drawdown.</t>
  </si>
  <si>
    <t xml:space="preserve">C15 Will my money last: green result cells, each with its formula written beside it</t>
  </si>
  <si>
    <t xml:space="preserve">Explore &gt; Tools &gt; Drawdown scenarios</t>
  </si>
  <si>
    <t xml:space="preserve">Result lines of Drawdown scenarios</t>
  </si>
  <si>
    <t xml:space="preserve">CALCS entry drawdown (line 2302)</t>
  </si>
  <si>
    <t xml:space="preserve">Pot life at three growth rates.</t>
  </si>
  <si>
    <t xml:space="preserve">C16 Drawdown scenarios: green result cells, each with its formula written beside it</t>
  </si>
  <si>
    <t xml:space="preserve">Explore &gt; Tools &gt; Inflation adjusted return</t>
  </si>
  <si>
    <t xml:space="preserve">Result lines of Inflation adjusted return</t>
  </si>
  <si>
    <t xml:space="preserve">CALCS entry realreturn (line 2307)</t>
  </si>
  <si>
    <t xml:space="preserve">Real return and the value in today's money.</t>
  </si>
  <si>
    <t xml:space="preserve">C17 Inflation adjusted return: green result cells, each with its formula written beside it</t>
  </si>
  <si>
    <t xml:space="preserve">Explore &gt; Tools &gt; Regular investing</t>
  </si>
  <si>
    <t xml:space="preserve">Result lines of Regular investing</t>
  </si>
  <si>
    <t xml:space="preserve">CALCS entry regularinvest (line 2313)</t>
  </si>
  <si>
    <t xml:space="preserve">Value of monthly investing after charges.</t>
  </si>
  <si>
    <t xml:space="preserve">C18 Regular investing: green result cells, each with its formula written beside it</t>
  </si>
  <si>
    <t xml:space="preserve">Explore &gt; Tools &gt; Fees impact</t>
  </si>
  <si>
    <t xml:space="preserve">Result lines of Fees impact</t>
  </si>
  <si>
    <t xml:space="preserve">CALCS entry fees (line 2319)</t>
  </si>
  <si>
    <t xml:space="preserve">Cost of fees over time.</t>
  </si>
  <si>
    <t xml:space="preserve">C19 Fees impact: green result cells, each with its formula written beside it</t>
  </si>
  <si>
    <t xml:space="preserve">Explore &gt; Tools &gt; Risk and return</t>
  </si>
  <si>
    <t xml:space="preserve">Result lines of Risk and return</t>
  </si>
  <si>
    <t xml:space="preserve">CALCS entry riskreturn (line 2323)</t>
  </si>
  <si>
    <t xml:space="preserve">Range of outcomes from risk-style return and spread.</t>
  </si>
  <si>
    <t xml:space="preserve">C20 Risk and return: green result cells, each with its formula written beside it</t>
  </si>
  <si>
    <t xml:space="preserve">Explore &gt; Tools &gt; Life cover</t>
  </si>
  <si>
    <t xml:space="preserve">Result lines of Life cover</t>
  </si>
  <si>
    <t xml:space="preserve">CALCS entry lifecover (line 2328)</t>
  </si>
  <si>
    <t xml:space="preserve">Cover needed = debts + income years + extras - assets.</t>
  </si>
  <si>
    <t xml:space="preserve">C21 Life cover: green result cells, each with its formula written beside it</t>
  </si>
  <si>
    <t xml:space="preserve">Explore &gt; Tools &gt; Income protection gap</t>
  </si>
  <si>
    <t xml:space="preserve">Result lines of Income protection gap</t>
  </si>
  <si>
    <t xml:space="preserve">CALCS entry incomegap (line 2334)</t>
  </si>
  <si>
    <t xml:space="preserve">Months you could cope; gap to cover.</t>
  </si>
  <si>
    <t xml:space="preserve">C22 Income protection gap: green result cells, each with its formula written beside it</t>
  </si>
  <si>
    <t xml:space="preserve">Explore &gt; Tools &gt; Mortgage protection</t>
  </si>
  <si>
    <t xml:space="preserve">Result lines of Mortgage protection</t>
  </si>
  <si>
    <t xml:space="preserve">CALCS entry mortgageprotect (line 2340)</t>
  </si>
  <si>
    <t xml:space="preserve">Cover to clear the mortgage over the term.</t>
  </si>
  <si>
    <t xml:space="preserve">C23 Mortgage protection: green result cells, each with its formula written beside it</t>
  </si>
  <si>
    <t xml:space="preserve">Explore &gt; Tools &gt; Net worth</t>
  </si>
  <si>
    <t xml:space="preserve">Result lines of Net worth</t>
  </si>
  <si>
    <t xml:space="preserve">CALCS entry networth (line 2346)</t>
  </si>
  <si>
    <t xml:space="preserve">Assets minus debts.</t>
  </si>
  <si>
    <t xml:space="preserve">C24 Net worth: green result cells, each with its formula written beside it</t>
  </si>
  <si>
    <t xml:space="preserve">Explore &gt; Tools &gt; Monthly surplus</t>
  </si>
  <si>
    <t xml:space="preserve">Result lines of Monthly surplus</t>
  </si>
  <si>
    <t xml:space="preserve">CALCS entry surplus (line 2349)</t>
  </si>
  <si>
    <t xml:space="preserve">Income minus spending each month.</t>
  </si>
  <si>
    <t xml:space="preserve">C25 Monthly surplus: green result cells, each with its formula written beside it</t>
  </si>
  <si>
    <t xml:space="preserve">Explore &gt; Tools &gt; Budget 50 30 20</t>
  </si>
  <si>
    <t xml:space="preserve">Result lines of Budget 50 30 20</t>
  </si>
  <si>
    <t xml:space="preserve">CALCS entry budget (line 2353)</t>
  </si>
  <si>
    <t xml:space="preserve">Needs, wants and savings against the 50 / 30 / 20 split (spending shares of take-home pay).</t>
  </si>
  <si>
    <t xml:space="preserve">C26 Budget 50 30 20: green result cells, each with its formula written beside it</t>
  </si>
  <si>
    <t xml:space="preserve">Explore &gt; Tools &gt; Debt repayment</t>
  </si>
  <si>
    <t xml:space="preserve">Result lines of Debt repayment</t>
  </si>
  <si>
    <t xml:space="preserve">CALCS entry debtpay (line 2356)</t>
  </si>
  <si>
    <t xml:space="preserve">Months and interest to clear the debt (avalanche or snowball).</t>
  </si>
  <si>
    <t xml:space="preserve">C27 Debt repayment: green result cells, each with its formula written beside it</t>
  </si>
  <si>
    <t xml:space="preserve">Explore &gt; Tools &gt; Loan repayment</t>
  </si>
  <si>
    <t xml:space="preserve">Result lines of Loan repayment</t>
  </si>
  <si>
    <t xml:space="preserve">CALCS entry loan (line 2362)</t>
  </si>
  <si>
    <t xml:space="preserve">Repayment, total cost and interest of a loan.</t>
  </si>
  <si>
    <t xml:space="preserve">C28 Loan repayment: green result cells, each with its formula written beside it</t>
  </si>
  <si>
    <t xml:space="preserve">Summary</t>
  </si>
  <si>
    <t xml:space="preserve">Rows in the register</t>
  </si>
  <si>
    <t xml:space="preserve">Matched with a note (typed search figure, partial)</t>
  </si>
  <si>
    <t xml:space="preserve">Not built / not testable (known gaps)</t>
  </si>
  <si>
    <t xml:space="preserve">Tax engine: take-home pay, 2026 rules</t>
  </si>
  <si>
    <t xml:space="preserve">Irish rules 2026 · checked 2 Oct 2026 · income tax bands and credits, USC and PRSI Class A (all values from the Assumptions register). Used by C25 and C26.</t>
  </si>
  <si>
    <t xml:space="preserve">Example only</t>
  </si>
  <si>
    <t xml:space="preserve">Value used</t>
  </si>
  <si>
    <t xml:space="preserve">Tax status</t>
  </si>
  <si>
    <t xml:space="preserve">Type 3 · your figure. Single, Single parent (main carer of a child, no partner), Married one earner, Married two earners (also civil partners).</t>
  </si>
  <si>
    <t xml:space="preserve">Single</t>
  </si>
  <si>
    <t xml:space="preserve">Your gross yearly pay</t>
  </si>
  <si>
    <t xml:space="preserve">Type 3 · your figure. Gross pay before tax, € a year.</t>
  </si>
  <si>
    <t xml:space="preserve">Partner's gross yearly pay (married two earners only)</t>
  </si>
  <si>
    <t xml:space="preserve">Type 3 · optional: leave blank for none. Used only when the status is Married two earners.</t>
  </si>
  <si>
    <t xml:space="preserve">Do you pay rent on your home, not to a relative? (Rent Tax Credit)</t>
  </si>
  <si>
    <t xml:space="preserve">Type 3 · your figure. Rent Tax Credit €1,000 single / €2,000 jointly assessed, to end-2028.</t>
  </si>
  <si>
    <t xml:space="preserve">Home Carer Tax Credit applies? (married one earner caring for a dependant)</t>
  </si>
  <si>
    <t xml:space="preserve">Type 3 · your figure. €1,950 (verify the 2026 rate and carer-income limit).</t>
  </si>
  <si>
    <t xml:space="preserve">PRSI rate basis</t>
  </si>
  <si>
    <t xml:space="preserve">Type 3 · optional: leave blank for none. From 1 Oct 2026 = 4.35%. Calendar 2026 blend = 4.2375% (9 months at 4.2%, 3 at 4.35%).</t>
  </si>
  <si>
    <t xml:space="preserve">From 1 Oct 2026</t>
  </si>
  <si>
    <t xml:space="preserve">RESULTS (for the inputs above)</t>
  </si>
  <si>
    <t xml:space="preserve">PRSI rate used</t>
  </si>
  <si>
    <t xml:space="preserve">ƒx  =IF(TE_PRSI_Basis="Calendar 2026 blend",PRSI_Rate_2026_Blend,PRSI_Rate)</t>
  </si>
  <si>
    <t xml:space="preserve">Partner's pay counted</t>
  </si>
  <si>
    <t xml:space="preserve">ƒx  =IF(TE_Need&lt;&gt;"",TE_Need,IF(TE_Status="Married two earners",TE_Gross_2,0))</t>
  </si>
  <si>
    <t xml:space="preserve">Standard-rate band</t>
  </si>
  <si>
    <t xml:space="preserve">ƒx  =IF(TE_Need&lt;&gt;"",TE_Need,IF(TE_Status="Single",Band_Single,IF(TE_Status="Single parent",Band_Single_Parent,IF(TE_Status="Married one earner",Band_Married,Band_Married+MIN(MIN(TE_Gross_1,TE_Gross_2),Band_Second_Earner_Max)))))</t>
  </si>
  <si>
    <t xml:space="preserve">Income taxed (household)</t>
  </si>
  <si>
    <t xml:space="preserve">ƒx  =IF(TE_Need&lt;&gt;"",TE_Need,TE_Gross_1+TE_Earner_2)</t>
  </si>
  <si>
    <t xml:space="preserve">Income tax before credits</t>
  </si>
  <si>
    <t xml:space="preserve">ƒx  =IF(TE_Need&lt;&gt;"",TE_Need,Rate_Standard*MIN(TE_Taxable,TE_Band)+Rate_Higher*MAX(0,TE_Taxable-TE_Band))</t>
  </si>
  <si>
    <t xml:space="preserve">Tax credits</t>
  </si>
  <si>
    <t xml:space="preserve">ƒx  =IF(TE_Need&lt;&gt;"",TE_Need,IF(OR(TE_Status="Single",TE_Status="Single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t>
  </si>
  <si>
    <t xml:space="preserve">Income tax</t>
  </si>
  <si>
    <t xml:space="preserve">ƒx  =IF(TE_Need&lt;&gt;"",TE_Need,MAX(0,TE_Tax_Before_Credits-TE_Credits))</t>
  </si>
  <si>
    <t xml:space="preserve">USC (each earner separately)</t>
  </si>
  <si>
    <t xml:space="preserve">ƒx  =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t>
  </si>
  <si>
    <t xml:space="preserve">PRSI (each earner separately, Class A with the PRSI credit)</t>
  </si>
  <si>
    <t xml:space="preserve">ƒx  =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t>
  </si>
  <si>
    <t xml:space="preserve">Take-home pay a year (household)</t>
  </si>
  <si>
    <t xml:space="preserve">ƒx  =IF(TE_Need&lt;&gt;"",TE_Need,TE_Taxable-TE_Income_Tax-TE_USC-TE_PRSI)</t>
  </si>
  <si>
    <t xml:space="preserve">Take-home pay a month (used by C25, C26)</t>
  </si>
  <si>
    <t xml:space="preserve">ƒx  =IF(TE_Need&lt;&gt;"",TE_Need,TE_Take_Home/12)</t>
  </si>
  <si>
    <t xml:space="preserve">Marginal income-tax rate (pre-fills the C13 / C14 tax rate)</t>
  </si>
  <si>
    <t xml:space="preserve">ƒx  =IF(TE_Need&lt;&gt;"",TE_Need,IF(TE_Taxable&gt;TE_Band,Rate_Higher,Rate_Standard))</t>
  </si>
  <si>
    <t xml:space="preserve">Choices still needed (helper; blank = all filled)</t>
  </si>
  <si>
    <t xml:space="preserve">• Income tax = 20% up to the band + 40% above, less credits (never below 0). Married couples are jointly assessed: one band of €53,000, plus the lower income up to €35,000 for a second earner.</t>
  </si>
  <si>
    <t xml:space="preserve">• Credits: personal €2,000 (single) or €4,000 (married), plus €2,000 PAYE credit per earner (capped at 20% of their pay); Single Person Child Carer Credit €1,900 with a €48,000 band; Rent Tax Credit and Home Carer Credit if they apply.</t>
  </si>
  <si>
    <t xml:space="preserve">• USC is charged on each person separately: 0.5% / 2% / 3% / 8%, nil if income ≤ €13,000. PRSI is per person, Class A, with the PRSI credit between €352.01 and €424 a week.</t>
  </si>
  <si>
    <t xml:space="preserve">• Not modelled here: age 65+ credits and exemption, PRSI at 66+, self-employed Class S, USC surcharge, other or rental income (see the rules audit).</t>
  </si>
  <si>
    <t xml:space="preserve">CHECKS: the audit's §4 tax test table (expected values from deliverables/irish-rules-and-rates-audit.md)</t>
  </si>
  <si>
    <t xml:space="preserve">Case</t>
  </si>
  <si>
    <t xml:space="preserve">Gross</t>
  </si>
  <si>
    <t xml:space="preserve">Formula (row uses the same templates as above)</t>
  </si>
  <si>
    <t xml:space="preserve">USC</t>
  </si>
  <si>
    <t xml:space="preserve">PRSI 4.35%</t>
  </si>
  <si>
    <t xml:space="preserve">PRSI 2026 blend</t>
  </si>
  <si>
    <t xml:space="preserve">Take-home 4.35%</t>
  </si>
  <si>
    <t xml:space="preserve">Take-home 2026</t>
  </si>
  <si>
    <t xml:space="preserve">Expected IT</t>
  </si>
  <si>
    <t xml:space="preserve">Expected USC</t>
  </si>
  <si>
    <t xml:space="preserve">Expected take-home 4.35%</t>
  </si>
  <si>
    <t xml:space="preserve">Expected take-home 2026</t>
  </si>
  <si>
    <t xml:space="preserve">Largest difference (engine rounded to the cent; audit table is to the cent)</t>
  </si>
  <si>
    <t xml:space="preserve">T1</t>
  </si>
  <si>
    <t xml:space="preserve">Income tax, USC and PRSI templates; married = joint band and €4,000 + PAYE credits</t>
  </si>
  <si>
    <t xml:space="preserve">T2</t>
  </si>
  <si>
    <t xml:space="preserve">Married one earner</t>
  </si>
  <si>
    <t xml:space="preserve">T3</t>
  </si>
  <si>
    <t xml:space="preserve">T4</t>
  </si>
  <si>
    <t xml:space="preserve">T5</t>
  </si>
  <si>
    <t xml:space="preserve">T6</t>
  </si>
  <si>
    <t xml:space="preserve">T7</t>
  </si>
  <si>
    <t xml:space="preserve">T8</t>
  </si>
  <si>
    <t xml:space="preserve">T9</t>
  </si>
  <si>
    <t xml:space="preserve">Married two earners</t>
  </si>
  <si>
    <t xml:space="preserve">Income tax only (partner €30,000 in column R)</t>
  </si>
  <si>
    <t xml:space="preserve">T10</t>
  </si>
  <si>
    <t xml:space="preserve">Income tax only (partner €50,000 in column R)</t>
  </si>
  <si>
    <t xml:space="preserve">T11</t>
  </si>
  <si>
    <t xml:space="preserve">Income tax only (partner €45,000 in column R)</t>
  </si>
  <si>
    <t xml:space="preserve">All checks</t>
  </si>
  <si>
    <t xml:space="preserve">Document reader spec (for the developer building extraction)</t>
  </si>
  <si>
    <t xml:space="preserve">• Precedence: statement figure &gt; typed figure (as in the prototype: S.src doc &gt; typed). A figure the customer has not given is Missing; nothing is estimated for them. The calculators show this in their FIGURE USED box.</t>
  </si>
  <si>
    <t xml:space="preserve">• Confidence: each extracted field carries a confidence. Below 80% (Assumptions › Reader_Confidence_Min) ask the customer to confirm the figure before it is used.</t>
  </si>
  <si>
    <t xml:space="preserve">• Freshness: a statement dated more than 12 months ago (Assumptions › Statement_Max_Age_Days) is used but flagged "Needs a look".</t>
  </si>
  <si>
    <t xml:space="preserve">• Optional fields (projection, charges, holdings) apply only when shown on the document; a field that is not shown stays blank, it is never defaulted from the document.</t>
  </si>
  <si>
    <t xml:space="preserve">• Convert to the calculator unit: yearly amounts to monthly (÷ 12), dates to ages, months to years, % as fractions.</t>
  </si>
  <si>
    <t xml:space="preserve">• Label wording varies by provider: match on the variants below and on position (e.g. a € figure next to "fund value"). Wording marked "verify" was not confirmed against an official template.</t>
  </si>
  <si>
    <t xml:space="preserve">Document</t>
  </si>
  <si>
    <t xml:space="preserve">Field to extract</t>
  </si>
  <si>
    <t xml:space="preserve">Typical label wording (variants)</t>
  </si>
  <si>
    <t xml:space="preserve">Data type and validation</t>
  </si>
  <si>
    <t xml:space="preserve">Feeds (calculator inputs / plan fields)</t>
  </si>
  <si>
    <t xml:space="preserve">Confidence to auto-use</t>
  </si>
  <si>
    <t xml:space="preserve">Pension benefit statement (occupational DC, from 2023/24) / Statement of Reasonable Projection (PRSA, older DC)</t>
  </si>
  <si>
    <t xml:space="preserve">"Current fund value", "Value of your fund", "Total fund value", "Transfer value" (DB / deferred)</t>
  </si>
  <si>
    <t xml:space="preserve">€ number ≥ 0; &lt; €50m</t>
  </si>
  <si>
    <t xml:space="preserve">C12 Pension value today; C15/C16 savings (if no projection); C24 Pensions; plan: pension</t>
  </si>
  <si>
    <t xml:space="preserve">≥ 80%</t>
  </si>
  <si>
    <t xml:space="preserve">Your contribution</t>
  </si>
  <si>
    <t xml:space="preserve">"Your contributions", "Member contributions", "Employee contributions" (yearly or monthly: convert to monthly)</t>
  </si>
  <si>
    <t xml:space="preserve">€ ≥ 0; flag if &gt; 50% of income</t>
  </si>
  <si>
    <t xml:space="preserve">C12 monthly contributions (with employer); plan: pensionM</t>
  </si>
  <si>
    <t xml:space="preserve">Employer contribution</t>
  </si>
  <si>
    <t xml:space="preserve">"Employer contributions", "Company contributions"</t>
  </si>
  <si>
    <t xml:space="preserve">€ ≥ 0</t>
  </si>
  <si>
    <t xml:space="preserve">C12 monthly contributions; plan: pensionM</t>
  </si>
  <si>
    <t xml:space="preserve">"Normal retirement age", "Normal retirement date" (convert date to age), "Retirement age"</t>
  </si>
  <si>
    <t xml:space="preserve">whole number 50–75</t>
  </si>
  <si>
    <t xml:space="preserve">C12 projection match; C13/C14 years to retirement (with age)</t>
  </si>
  <si>
    <t xml:space="preserve">"Projected fund at normal retirement date", "Projected retirement fund", "Estimated fund value at retirement", "Best estimate" (pension benefit statements also show an "unfavourable" scenario: use best estimate)</t>
  </si>
  <si>
    <t xml:space="preserve">C12 projected fund (if age matches); C15/C16 retirement savings</t>
  </si>
  <si>
    <t xml:space="preserve">Projection in today's money?</t>
  </si>
  <si>
    <t xml:space="preserve">Text near the projection: "in today's terms", "in today's money", "adjusted for inflation" = Yes; "in money terms" = No</t>
  </si>
  <si>
    <t xml:space="preserve">Yes / No / blank</t>
  </si>
  <si>
    <t xml:space="preserve">C12: deflate only if No</t>
  </si>
  <si>
    <t xml:space="preserve">Assumed growth rate</t>
  </si>
  <si>
    <t xml:space="preserve">"Assumed growth rate", "Assumed investment return", "Projection rate"</t>
  </si>
  <si>
    <t xml:space="preserve">% 0–10</t>
  </si>
  <si>
    <t xml:space="preserve">Information only (shown to the adviser); not used</t>
  </si>
  <si>
    <t xml:space="preserve">Annual charges</t>
  </si>
  <si>
    <t xml:space="preserve">"Annual management charge", "Total annual charges", "Fund charges", "Charges deducted"</t>
  </si>
  <si>
    <t xml:space="preserve">% 0–5; apply only if shown</t>
  </si>
  <si>
    <t xml:space="preserve">C12–C14 growth (set rate + 1% − charges); plan: penChg</t>
  </si>
  <si>
    <t xml:space="preserve">"Statement date", "As at", "Valuation date"</t>
  </si>
  <si>
    <t xml:space="preserve">date; older than 12 months → "Needs a look"</t>
  </si>
  <si>
    <t xml:space="preserve">All pension tools (date check)</t>
  </si>
  <si>
    <t xml:space="preserve">PRSA statement</t>
  </si>
  <si>
    <t xml:space="preserve">As the pension benefit statement</t>
  </si>
  <si>
    <t xml:space="preserve">Providers show "PRSA value", "Current value", "Contributions this year", "Projected value at retirement"</t>
  </si>
  <si>
    <t xml:space="preserve">as above</t>
  </si>
  <si>
    <t xml:space="preserve">Occupational scheme benefit statement (defined benefit)</t>
  </si>
  <si>
    <t xml:space="preserve">Pension at normal retirement date</t>
  </si>
  <si>
    <t xml:space="preserve">"Pension payable at normal retirement date", "Accrued pension", "Prospective pension"</t>
  </si>
  <si>
    <t xml:space="preserve">€ a year ≥ 0</t>
  </si>
  <si>
    <t xml:space="preserve">Plan: retirement income (DB); not used by C12, which is DC (verify product scope)</t>
  </si>
  <si>
    <t xml:space="preserve">whole 50–75</t>
  </si>
  <si>
    <t xml:space="preserve">Plan: retirement age</t>
  </si>
  <si>
    <t xml:space="preserve">State Pension record (MyWelfare contribution statement)</t>
  </si>
  <si>
    <t xml:space="preserve">PRSI paid and credited contributions</t>
  </si>
  <si>
    <t xml:space="preserve">"Paid contributions", "Credited contributions", "Reckonable credited contributions" (by year)</t>
  </si>
  <si>
    <t xml:space="preserve">whole numbers ≥ 0; years = contributions ÷ 52</t>
  </si>
  <si>
    <t xml:space="preserve">C12 other income (entitlement: 40+ years full, 10–39 partly); plan: sp. Not a forecast of the pension.</t>
  </si>
  <si>
    <t xml:space="preserve">"Statement date", "up to the end of the tax year"</t>
  </si>
  <si>
    <t xml:space="preserve">Date check</t>
  </si>
  <si>
    <t xml:space="preserve">Mortgage statement (annual statement of account, Consumer Protection Code)</t>
  </si>
  <si>
    <t xml:space="preserve">"Outstanding balance", "Balance outstanding", "Closing balance", "Amount outstanding"</t>
  </si>
  <si>
    <t xml:space="preserve">€ ≥ 0; &lt; €10m</t>
  </si>
  <si>
    <t xml:space="preserve">C02, C04, C05, C06, C21, C23 balance; C24 mortgage; plan: mortBal</t>
  </si>
  <si>
    <t xml:space="preserve">"Interest rate", "Current rate", "Rate applied", "Variable rate", "Fixed rate until …"</t>
  </si>
  <si>
    <t xml:space="preserve">% 0–15</t>
  </si>
  <si>
    <t xml:space="preserve">C02, C04, C05, C06, C23 rate; plan: mortRate</t>
  </si>
  <si>
    <t xml:space="preserve">Rate type and fixed-rate end date</t>
  </si>
  <si>
    <t xml:space="preserve">"Fixed until", "Tracker", "Standard variable"</t>
  </si>
  <si>
    <t xml:space="preserve">text; date</t>
  </si>
  <si>
    <t xml:space="preserve">Information for the adviser (C05 context)</t>
  </si>
  <si>
    <t xml:space="preserve">"Remaining term", "Term remaining", "Years remaining", "Maturity date" (convert)</t>
  </si>
  <si>
    <t xml:space="preserve">whole years 0–40</t>
  </si>
  <si>
    <t xml:space="preserve">C02, C04, C05, C06, C23 term; plan: mortYears</t>
  </si>
  <si>
    <t xml:space="preserve">"Monthly repayment", "Monthly instalment", "Repayment amount"</t>
  </si>
  <si>
    <t xml:space="preserve">C02, C04, C05, C23 actual repayment; plan: mortPayM</t>
  </si>
  <si>
    <t xml:space="preserve">"Statement date", "Statement period to"</t>
  </si>
  <si>
    <t xml:space="preserve">date; &gt; 12 months → "Needs a look"</t>
  </si>
  <si>
    <t xml:space="preserve">Mortgage offer letter / loan offer</t>
  </si>
  <si>
    <t xml:space="preserve">Loan amount, rate, term, monthly repayment, APRC</t>
  </si>
  <si>
    <t xml:space="preserve">"Loan amount", "Interest rate", "Term", "Monthly repayment", "APRC"</t>
  </si>
  <si>
    <t xml:space="preserve">as the statement; APRC % 0–15</t>
  </si>
  <si>
    <t xml:space="preserve">As the mortgage statement (before drawdown: C01/C02 comparison)</t>
  </si>
  <si>
    <t xml:space="preserve">Investment / fund statement (unit-linked policy, fund, brokerage)</t>
  </si>
  <si>
    <t xml:space="preserve">"Total value", "Portfolio value", "Policy value", "Market value", "Valuation"</t>
  </si>
  <si>
    <t xml:space="preserve">C10, C17, C19, C20 amount; C24 investments; plan: invest</t>
  </si>
  <si>
    <t xml:space="preserve">"Regular contribution", "Monthly premium", "Monthly investment"</t>
  </si>
  <si>
    <t xml:space="preserve">C18 monthly amount</t>
  </si>
  <si>
    <t xml:space="preserve">"Annual management charge (AMC)", "Ongoing charges figure (OCF)", "Total annual charges"</t>
  </si>
  <si>
    <t xml:space="preserve">% 0–5; apply only if shown, else 0 when a statement is present</t>
  </si>
  <si>
    <t xml:space="preserve">C10, C18 fees; C19 fee A</t>
  </si>
  <si>
    <t xml:space="preserve">Holdings in shares</t>
  </si>
  <si>
    <t xml:space="preserve">"Asset allocation": "Equities", "Shares"</t>
  </si>
  <si>
    <t xml:space="preserve">% 0–100</t>
  </si>
  <si>
    <t xml:space="preserve">C20 style (≥70% Growth, ≥40% Balanced, else Cautious)</t>
  </si>
  <si>
    <t xml:space="preserve">"Valuation date", "As at"</t>
  </si>
  <si>
    <t xml:space="preserve">Share-scheme statement (ESPP / RSU / SAYE)</t>
  </si>
  <si>
    <t xml:space="preserve">Value of vested shares</t>
  </si>
  <si>
    <t xml:space="preserve">"Vested value", "Market value", "Shares held × price"</t>
  </si>
  <si>
    <t xml:space="preserve">C24 investments; plan: invest (verify treatment of unvested shares)</t>
  </si>
  <si>
    <t xml:space="preserve">Unvested / restricted shares</t>
  </si>
  <si>
    <t xml:space="preserve">"Unvested", "Restricted", "Vesting date"</t>
  </si>
  <si>
    <t xml:space="preserve">€; date</t>
  </si>
  <si>
    <t xml:space="preserve">Information only (not counted until vested)</t>
  </si>
  <si>
    <t xml:space="preserve">Payslip</t>
  </si>
  <si>
    <t xml:space="preserve">Gross pay (period)</t>
  </si>
  <si>
    <t xml:space="preserve">"Gross pay", "Total gross"</t>
  </si>
  <si>
    <t xml:space="preserve">€ ≥ 0; annualise by pay frequency</t>
  </si>
  <si>
    <t xml:space="preserve">C01 income, C13 salary, C21/C22 income; plan: income</t>
  </si>
  <si>
    <t xml:space="preserve">Net pay</t>
  </si>
  <si>
    <t xml:space="preserve">"Net pay", "Take home"</t>
  </si>
  <si>
    <t xml:space="preserve">C25, C26 take-home</t>
  </si>
  <si>
    <t xml:space="preserve">Pension contribution</t>
  </si>
  <si>
    <t xml:space="preserve">"Pension", "Superannuation", "AVC"</t>
  </si>
  <si>
    <t xml:space="preserve">C12 your contribution; C14 AVC</t>
  </si>
  <si>
    <t xml:space="preserve">Pay date</t>
  </si>
  <si>
    <t xml:space="preserve">"Pay date", "Period ending"</t>
  </si>
  <si>
    <t xml:space="preserve">date; &gt; 3 months → "Needs a look"</t>
  </si>
  <si>
    <t xml:space="preserve">Employment Detail Summary (Revenue myAccount; replaced the P60 from 2019)</t>
  </si>
  <si>
    <t xml:space="preserve">Gross pay for the year</t>
  </si>
  <si>
    <t xml:space="preserve">"Gross pay", "Pay for income tax"</t>
  </si>
  <si>
    <t xml:space="preserve">Income tax, USC, employee PRSI</t>
  </si>
  <si>
    <t xml:space="preserve">"Income tax", "USC", "Employee PRSI"</t>
  </si>
  <si>
    <t xml:space="preserve">Check of the plan's take-home</t>
  </si>
  <si>
    <t xml:space="preserve">Pensionable deductions</t>
  </si>
  <si>
    <t xml:space="preserve">"Pensionable deductions", "Employee pension contribution"</t>
  </si>
  <si>
    <t xml:space="preserve">C12 your contribution (÷ 12)</t>
  </si>
  <si>
    <t xml:space="preserve">Tax year</t>
  </si>
  <si>
    <t xml:space="preserve">"Year"</t>
  </si>
  <si>
    <t xml:space="preserve">year; not more than 1 year old</t>
  </si>
  <si>
    <t xml:space="preserve">Credit card statement</t>
  </si>
  <si>
    <t xml:space="preserve">"Statement balance", "Closing balance", "New balance"</t>
  </si>
  <si>
    <t xml:space="preserve">C27 balance; C24 other loans; plan: cardBal</t>
  </si>
  <si>
    <t xml:space="preserve">APR / interest rate</t>
  </si>
  <si>
    <t xml:space="preserve">"APR", "Purchase rate", "Annual percentage rate"</t>
  </si>
  <si>
    <t xml:space="preserve">% 0–40 (an effective annual rate)</t>
  </si>
  <si>
    <t xml:space="preserve">C27 APR; plan: cardRate</t>
  </si>
  <si>
    <t xml:space="preserve">Minimum / monthly payment</t>
  </si>
  <si>
    <t xml:space="preserve">"Minimum payment", "Payment due"</t>
  </si>
  <si>
    <t xml:space="preserve">C27 monthly payment; plan: cardPayM</t>
  </si>
  <si>
    <t xml:space="preserve">Personal loan / car loan statement</t>
  </si>
  <si>
    <t xml:space="preserve">"Outstanding balance", "Amount outstanding"</t>
  </si>
  <si>
    <t xml:space="preserve">C27/C28; C24 other loans; plan: loanBal</t>
  </si>
  <si>
    <t xml:space="preserve">APR</t>
  </si>
  <si>
    <t xml:space="preserve">"APR", "Annual percentage rate"</t>
  </si>
  <si>
    <t xml:space="preserve">% 0–30</t>
  </si>
  <si>
    <t xml:space="preserve">C27, C28 APR; plan: loanRate</t>
  </si>
  <si>
    <t xml:space="preserve">Monthly repayment, term remaining</t>
  </si>
  <si>
    <t xml:space="preserve">"Monthly repayment", "Remaining term"</t>
  </si>
  <si>
    <t xml:space="preserve">€; months</t>
  </si>
  <si>
    <t xml:space="preserve">C27 payment; C28 years; plan: loanPayM</t>
  </si>
  <si>
    <t xml:space="preserve">Sources (label wording beyond these is typical provider wording: verify against real samples before release)</t>
  </si>
  <si>
    <t xml:space="preserve">Pensions Authority: statement of reasonable projection</t>
  </si>
  <si>
    <t xml:space="preserve">https://pensionsauthority.ie/scheme-members-and-prsa-contributors/understanding-pensions/your_right_to_information/statement_of_reasonable_projection/</t>
  </si>
  <si>
    <t xml:space="preserve">Pensions Authority: pension benefit statement projection assumptions (best estimate and unfavourable scenarios)</t>
  </si>
  <si>
    <t xml:space="preserve">https://pensionsauthority.ie/news_press/news_archive/updated-pension-benefit-statement-projection-assumptions/</t>
  </si>
  <si>
    <t xml:space="preserve">Central Bank: Consumer Protection Code (annual statement of account: balance, transactions, interest, charges, rate)</t>
  </si>
  <si>
    <t xml:space="preserve">https://www.centralbank.ie/code</t>
  </si>
  <si>
    <t xml:space="preserve">Revenue: Employment Detail Summary in myAccount (gross pay, tax, USC, PRSI)</t>
  </si>
  <si>
    <t xml:space="preserve">https://www.revenue.ie/en/corporate/press-office/press-releases/2019/pr-200619-employees-new-facility-view-current-pay-and-tax-details-through-revenue-myaccount.aspx</t>
  </si>
  <si>
    <t xml:space="preserve">gov.ie: request a PRSI contribution statement (MyWelfare)</t>
  </si>
  <si>
    <t xml:space="preserve">https://www.gov.ie/en/publication/0fbf7-request-a-contribution-statement</t>
  </si>
  <si>
    <t xml:space="preserve">Prototype DOCT (fields, confidence and pre-fills already used)</t>
  </si>
  <si>
    <t xml:space="preserve">LifeGoals-Customer-Journey-Prototype.html</t>
  </si>
  <si>
    <t xml:space="preserve">Your lists: loans, cards, pensions and policies (journey spec §19)</t>
  </si>
  <si>
    <t xml:space="preserve">One row per item, as in the prototype. Blank = €0 (never type 0). The calculators below use the totals when their own yellow cell is left blank: C12 and C24 (pension value), C12 (monthly paid in), C13/C14 (what you pay in yourself), C21 and C24 (debts), C21 (existing cover), C25 (debt repayments). Typing in a calculator always wins.</t>
  </si>
  <si>
    <t xml:space="preserve">Credit cards</t>
  </si>
  <si>
    <t xml:space="preserve">Card</t>
  </si>
  <si>
    <t xml:space="preserve">Lender (optional)</t>
  </si>
  <si>
    <t xml:space="preserve">Owed (€)</t>
  </si>
  <si>
    <t xml:space="preserve">Repaid a month (€)</t>
  </si>
  <si>
    <t xml:space="preserve">APR (optional, %)</t>
  </si>
  <si>
    <t xml:space="preserve">Card 1</t>
  </si>
  <si>
    <t xml:space="preserve">Card 2</t>
  </si>
  <si>
    <t xml:space="preserve">Card 3</t>
  </si>
  <si>
    <t xml:space="preserve">Card 4</t>
  </si>
  <si>
    <t xml:space="preserve">Card 5</t>
  </si>
  <si>
    <t xml:space="preserve">Card 6</t>
  </si>
  <si>
    <t xml:space="preserve">Card 7</t>
  </si>
  <si>
    <t xml:space="preserve">Card 8</t>
  </si>
  <si>
    <t xml:space="preserve">Cards owed  [Cards_Owed_Total]</t>
  </si>
  <si>
    <t xml:space="preserve">Cards repaid a month  [Cards_Pay_Total]</t>
  </si>
  <si>
    <t xml:space="preserve">Cards APR (weighted by amount owed; blank if none given)  [Cards_Rate_Avg]</t>
  </si>
  <si>
    <t xml:space="preserve">Other loans (car, personal, credit union)</t>
  </si>
  <si>
    <t xml:space="preserve">Loan</t>
  </si>
  <si>
    <t xml:space="preserve">Loan 1</t>
  </si>
  <si>
    <t xml:space="preserve">Loan 2</t>
  </si>
  <si>
    <t xml:space="preserve">Loan 3</t>
  </si>
  <si>
    <t xml:space="preserve">Loan 4</t>
  </si>
  <si>
    <t xml:space="preserve">Loan 5</t>
  </si>
  <si>
    <t xml:space="preserve">Loan 6</t>
  </si>
  <si>
    <t xml:space="preserve">Loan 7</t>
  </si>
  <si>
    <t xml:space="preserve">Loan 8</t>
  </si>
  <si>
    <t xml:space="preserve">Loans owed  [Loans_Owed_Total]</t>
  </si>
  <si>
    <t xml:space="preserve">Loans repaid a month  [Loans_Pay_Total]</t>
  </si>
  <si>
    <t xml:space="preserve">Cards + loans owed  [Debts_Listed_Total]</t>
  </si>
  <si>
    <t xml:space="preserve">Cards + loans repaid a month  [Debts_Pay_Total]</t>
  </si>
  <si>
    <t xml:space="preserve">Loans APR (weighted by amount owed; blank if none given)  [Loans_Rate_Avg]</t>
  </si>
  <si>
    <t xml:space="preserve">Pension</t>
  </si>
  <si>
    <t xml:space="preserve">Name (optional)</t>
  </si>
  <si>
    <t xml:space="preserve">Value today (€)</t>
  </si>
  <si>
    <t xml:space="preserve">Paid in each month, you + employer (€)</t>
  </si>
  <si>
    <t xml:space="preserve">Of that, your own share (€, optional)</t>
  </si>
  <si>
    <t xml:space="preserve">Your own share used (€ a month)</t>
  </si>
  <si>
    <t xml:space="preserve">Pension 1</t>
  </si>
  <si>
    <t xml:space="preserve">Pension 2</t>
  </si>
  <si>
    <t xml:space="preserve">Pension 3</t>
  </si>
  <si>
    <t xml:space="preserve">Pension 4</t>
  </si>
  <si>
    <t xml:space="preserve">Pension 5</t>
  </si>
  <si>
    <t xml:space="preserve">Pension 6</t>
  </si>
  <si>
    <t xml:space="preserve">Pension 7</t>
  </si>
  <si>
    <t xml:space="preserve">Pension 8</t>
  </si>
  <si>
    <t xml:space="preserve">Pension value  [Pens_Value_Total]</t>
  </si>
  <si>
    <t xml:space="preserve">Paid in each month (you + employer)  [Pens_Monthly_Total]</t>
  </si>
  <si>
    <t xml:space="preserve">Your own share a month (a blank share uses the share you chose in Plan inputs, else the Settings standard: AS_OwnShare)  [Pens_Own_Total]</t>
  </si>
  <si>
    <t xml:space="preserve">Your own share counts as given (1/0): every pension that is paid into has your share typed, or you chose a share in Plan inputs and at least one is typed  [Pens_OwnGiven]</t>
  </si>
  <si>
    <t xml:space="preserve">Protection (existing policies)</t>
  </si>
  <si>
    <t xml:space="preserve">Policy</t>
  </si>
  <si>
    <t xml:space="preserve">Cover amount (€)</t>
  </si>
  <si>
    <t xml:space="preserve">Term (years)</t>
  </si>
  <si>
    <t xml:space="preserve">Life cover policy 1</t>
  </si>
  <si>
    <t xml:space="preserve">Life cover policy 2</t>
  </si>
  <si>
    <t xml:space="preserve">Life cover policy 3</t>
  </si>
  <si>
    <t xml:space="preserve">Life cover policy 4</t>
  </si>
  <si>
    <t xml:space="preserve">Life cover total  [Cover_Life_Total]</t>
  </si>
  <si>
    <t xml:space="preserve">Amount (€) if you know it</t>
  </si>
  <si>
    <t xml:space="preserve">Or: times your salary</t>
  </si>
  <si>
    <t xml:space="preserve">Cover through work 1</t>
  </si>
  <si>
    <t xml:space="preserve">Cover through work 2</t>
  </si>
  <si>
    <t xml:space="preserve">Cover through work 3</t>
  </si>
  <si>
    <t xml:space="preserve">Cover through work 4</t>
  </si>
  <si>
    <t xml:space="preserve">Cover through work total (amount, else multiple × salary in C21)  [Cover_Work_Total]</t>
  </si>
  <si>
    <t xml:space="preserve">Existing life cover incl. through work  [Cover_Existing_Total]</t>
  </si>
  <si>
    <t xml:space="preserve">Monthly benefit (€)</t>
  </si>
  <si>
    <t xml:space="preserve">Income protection policy 1</t>
  </si>
  <si>
    <t xml:space="preserve">Income protection policy 2</t>
  </si>
  <si>
    <t xml:space="preserve">Income protection policy 3</t>
  </si>
  <si>
    <t xml:space="preserve">Income protection policy 4</t>
  </si>
  <si>
    <t xml:space="preserve">Income protection total a month  [IP_Listed_Total]</t>
  </si>
  <si>
    <t xml:space="preserve">Serious illness policy 1</t>
  </si>
  <si>
    <t xml:space="preserve">Serious illness policy 2</t>
  </si>
  <si>
    <t xml:space="preserve">Serious illness policy 3</t>
  </si>
  <si>
    <t xml:space="preserve">Serious illness policy 4</t>
  </si>
  <si>
    <t xml:space="preserve">Serious illness total  [CI_Listed_Total]</t>
  </si>
  <si>
    <t xml:space="preserve">Yearly premium (€)</t>
  </si>
  <si>
    <t xml:space="preserve">Health insurance plan 1</t>
  </si>
  <si>
    <t xml:space="preserve">Health insurance plan 2</t>
  </si>
  <si>
    <t xml:space="preserve">Health insurance plan 3</t>
  </si>
  <si>
    <t xml:space="preserve">Health insurance plan 4</t>
  </si>
  <si>
    <t xml:space="preserve">Health insurance a year  [Health_Listed_Total]</t>
  </si>
  <si>
    <t xml:space="preserve">Mortgages on other properties (counted as other loans in the plan)</t>
  </si>
  <si>
    <t xml:space="preserve">Left on it (€)</t>
  </si>
  <si>
    <t xml:space="preserve">Rate (optional, e.g. 0.041 = 4.1%)</t>
  </si>
  <si>
    <t xml:space="preserve">Rate used</t>
  </si>
  <si>
    <t xml:space="preserve">Repayment used (€ a month)</t>
  </si>
  <si>
    <t xml:space="preserve">Mortgage 1</t>
  </si>
  <si>
    <t xml:space="preserve">Mortgage 2</t>
  </si>
  <si>
    <t xml:space="preserve">Mortgage 3</t>
  </si>
  <si>
    <t xml:space="preserve">Mortgage 4</t>
  </si>
  <si>
    <t xml:space="preserve">Left on other-property mortgages  [Mort2_Bal]</t>
  </si>
  <si>
    <t xml:space="preserve">Repaid a month  [Mort2_Pay]</t>
  </si>
  <si>
    <t xml:space="preserve">Rate, weighted by amount left  [Mort2_Rate]</t>
  </si>
  <si>
    <t xml:space="preserve">Other-property mortgage with no years and no repayment (1 = the plan asks for them)  [Mort2_NeedsTerm]</t>
  </si>
  <si>
    <t xml:space="preserve">Other-property mortgage with no rate (1 = the plan asks for a mortgage rate)  [Mort2_NeedsRate]</t>
  </si>
  <si>
    <t xml:space="preserve">Settings: every standard in one block (journey spec §19, option C)</t>
  </si>
  <si>
    <t xml:space="preserve">Each row is a standard LifeMap offers as a starting point, with the wording and source shown to the customer. The customer can change any of them for their own plan (Type 3 choices: the "Use the standard" chip). A partner (credit union, adviser firm, company) puts its name in C4 and its own figure in the "partner figure" cell (column D) of a market-rate row: that suggestion then says "Suggested by [partner]" (blank = the published average). Retirement age and life expectancy are never defaulted. Law values (tax, USC, PRSI, DIRT, relief, State Pension, Central Bank limits) are on the Tax engine and Assumptions sheets, are fixed, and are not editable here.</t>
  </si>
  <si>
    <t xml:space="preserve">The Plan sheets read these standards too (Plan pay &amp; tax, "Assumptions used"): a blank assumption on Plan inputs means "use the standard from here".</t>
  </si>
  <si>
    <t xml:space="preserve">Partner name (blank = published averages)  [Partner_Name]</t>
  </si>
  <si>
    <t xml:space="preserve">Setting [name]</t>
  </si>
  <si>
    <t xml:space="preserve">Standard (value)</t>
  </si>
  <si>
    <t xml:space="preserve">2nd value / (market rates) partner figure</t>
  </si>
  <si>
    <t xml:space="preserve">3rd value</t>
  </si>
  <si>
    <t xml:space="preserve">Cautious value</t>
  </si>
  <si>
    <t xml:space="preserve">Wording shown to the customer ("by")</t>
  </si>
  <si>
    <t xml:space="preserve">Source</t>
  </si>
  <si>
    <t xml:space="preserve">As at</t>
  </si>
  <si>
    <t xml:space="preserve">Guidance text</t>
  </si>
  <si>
    <t xml:space="preserve">Group / type</t>
  </si>
  <si>
    <t xml:space="preserve">Label shown on calculators</t>
  </si>
  <si>
    <t xml:space="preserve">Figure suggested (partner figure if set, else standard)</t>
  </si>
  <si>
    <t xml:space="preserve">Prices &amp; growth</t>
  </si>
  <si>
    <t xml:space="preserve">Inflation: prices rise (a year)  [Set_infl]</t>
  </si>
  <si>
    <t xml:space="preserve">the ECB target for the long term</t>
  </si>
  <si>
    <t xml:space="preserve">https://www.bundesbank.de/en/tasks/topics/european-central-bank-updates-monetary-policy-strategy-970824</t>
  </si>
  <si>
    <t xml:space="preserve">2025 strategy</t>
  </si>
  <si>
    <t xml:space="preserve">Prices &amp; growth · pct</t>
  </si>
  <si>
    <t xml:space="preserve">Pay rises (a year)  [Set_wage]</t>
  </si>
  <si>
    <t xml:space="preserve">Irish pay has grown about 3%–4% a year recently (CSO)</t>
  </si>
  <si>
    <t xml:space="preserve">https://www.cso.ie/en/statistics/earnings/</t>
  </si>
  <si>
    <t xml:space="preserve">2026</t>
  </si>
  <si>
    <t xml:space="preserve">Pick lower if your pay is fixed or you expect to work part-time.</t>
  </si>
  <si>
    <t xml:space="preserve">Cash savings earn (a year, after DIRT)  [Set_cash]</t>
  </si>
  <si>
    <t xml:space="preserve">Irish deposit rates after 33% DIRT</t>
  </si>
  <si>
    <t xml:space="preserve">https://centralbank.ie/statistics/data-and-analysis/credit-and-banking-statistics/retail-interest-rates</t>
  </si>
  <si>
    <t xml:space="preserve">Jun 2026</t>
  </si>
  <si>
    <t xml:space="preserve">Investments grow (a year, after charges and tax)  [Set_inv]</t>
  </si>
  <si>
    <t xml:space="preserve">Derived: the growth before fees and tax (above), the charges (Market rates) and the exit tax and 8-year rule (Tax rules)</t>
  </si>
  <si>
    <t xml:space="preserve">A planning assumption, not a prediction. Growth is never guaranteed and funds can fall in value. It moves if you change the growth before fees and tax, or the charges.</t>
  </si>
  <si>
    <t xml:space="preserve">Investments grow before fees and tax (a year; growth and fees tools)  [Set_invGross]</t>
  </si>
  <si>
    <t xml:space="preserve">LifeMap standard, not a forecast</t>
  </si>
  <si>
    <t xml:space="preserve">LifeMap planning standard, not a forecast. Reference points: Pensions Authority pension-calculator growth assumption; Central Bank of Ireland guidance that returns are not guaranteed</t>
  </si>
  <si>
    <t xml:space="preserve">Used by the lump sum, regular investing, fees and real return tools. Growth is never guaranteed.</t>
  </si>
  <si>
    <t xml:space="preserve">Pension grows while you work (a year, after charges)  [Set_pen]</t>
  </si>
  <si>
    <t xml:space="preserve">a planning assumption after charges, not a prediction</t>
  </si>
  <si>
    <t xml:space="preserve">LifeMap planning standard, not a forecast. Reference point: Pensions Authority pension-calculator assumptions</t>
  </si>
  <si>
    <t xml:space="preserve">A planning assumption, not a prediction. Growth is tax-free inside the fund.</t>
  </si>
  <si>
    <t xml:space="preserve">Pension grows once retired (a year, after charges)  [Set_penRet]</t>
  </si>
  <si>
    <t xml:space="preserve">a lower-risk fund once retired, after charges</t>
  </si>
  <si>
    <t xml:space="preserve">Most people take less risk once retired, so growth is usually lower.</t>
  </si>
  <si>
    <t xml:space="preserve">Rent vs buy: rent rises (a year)  [Set_rentRise]</t>
  </si>
  <si>
    <t xml:space="preserve">a long-run planning figure</t>
  </si>
  <si>
    <t xml:space="preserve">LifeMap long-run planning figure. Reference points: Residential Tenancies Board Rent Index; CSO Consumer Price Index (rent)</t>
  </si>
  <si>
    <t xml:space="preserve">Renting has rent rises. Buying has costs that don't build equity: interest, stamp duty, fees, LPT and repairs.</t>
  </si>
  <si>
    <t xml:space="preserve">Home · pct</t>
  </si>
  <si>
    <t xml:space="preserve">Rent vs buy: house prices rise (a year)  [Set_houseGrow]</t>
  </si>
  <si>
    <t xml:space="preserve">a long-run planning figure; prices can fall</t>
  </si>
  <si>
    <t xml:space="preserve">LifeMap long-run planning figure. Reference point: CSO Residential Property Price Index</t>
  </si>
  <si>
    <t xml:space="preserve">House prices can fall as well as rise.</t>
  </si>
  <si>
    <t xml:space="preserve">Rent vs buy: upkeep a year (share of home value)  [Set_upkeep]</t>
  </si>
  <si>
    <t xml:space="preserve">repairs, insurance and maintenance</t>
  </si>
  <si>
    <t xml:space="preserve">LifeMap planning standard (no official figure exists)</t>
  </si>
  <si>
    <t xml:space="preserve">Retirement</t>
  </si>
  <si>
    <t xml:space="preserve">Share of pension contributions you pay yourself  [Set_ownShare]</t>
  </si>
  <si>
    <t xml:space="preserve">a common 5% + 5% split with your employer; 100% if self-employed</t>
  </si>
  <si>
    <t xml:space="preserve">Pensions Authority and My Future Fund (auto-enrolment) contribution split, 2026</t>
  </si>
  <si>
    <t xml:space="preserve">Your payslip shows what comes out of your pay. Only your own share gets tax relief. If you type your own amount in Your finances, we use that.</t>
  </si>
  <si>
    <t xml:space="preserve">Retirement · pct</t>
  </si>
  <si>
    <t xml:space="preserve">Retirement savings target: times the yearly income needed  [Set_retireMult]</t>
  </si>
  <si>
    <t xml:space="preserve">a common rule of thumb, about 4% a year</t>
  </si>
  <si>
    <t xml:space="preserve">Widely used 4% sustainable-withdrawal rule of thumb (W. Bengen, Journal of Financial Planning, 1994)</t>
  </si>
  <si>
    <t xml:space="preserve">Retiring early or planning to 95 needs more.</t>
  </si>
  <si>
    <t xml:space="preserve">Retirement · num</t>
  </si>
  <si>
    <t xml:space="preserve">Retirement spending if no goal (share of today's spending)  [Set_retireSpend]</t>
  </si>
  <si>
    <t xml:space="preserve">most people spend a bit less once work costs and the mortgage stop</t>
  </si>
  <si>
    <t xml:space="preserve">LifeMap planning standard. Reference points: Pensions Authority and Society of Actuaries in Ireland retirement-income guidance</t>
  </si>
  <si>
    <t xml:space="preserve">Tax-free lump sum to take (share of pension; law limit 25%)  [Set_lumpSum]</t>
  </si>
  <si>
    <t xml:space="preserve">most people take the full tax-free amount</t>
  </si>
  <si>
    <t xml:space="preserve">Revenue Commissioners: tax-free retirement lump sum, up to 25% of the fund (law limit)</t>
  </si>
  <si>
    <t xml:space="preserve">Law limit 25%</t>
  </si>
  <si>
    <t xml:space="preserve">Emergency fund &amp; saving</t>
  </si>
  <si>
    <t xml:space="preserve">Emergency fund: months of essential spending  [Set_safetyMonths]</t>
  </si>
  <si>
    <t xml:space="preserve">6 months for a single income or self-employed, 3 for two secure incomes</t>
  </si>
  <si>
    <t xml:space="preserve">LifeMap planning standard. Reference points: MABS and CCPC (ccpc.ie) guidance on keeping 3 to 6 months of essential spending as an emergency fund</t>
  </si>
  <si>
    <t xml:space="preserve">Easy-access cash for surprises or a gap in pay. Essential spending = living costs + mortgage + loan repayments.</t>
  </si>
  <si>
    <t xml:space="preserve">Emergency fund &amp; saving · num</t>
  </si>
  <si>
    <t xml:space="preserve">Emergency fund: months with two secure incomes  [Set_safetyMonthsTwo]</t>
  </si>
  <si>
    <t xml:space="preserve">two secure incomes</t>
  </si>
  <si>
    <t xml:space="preserve">LifeMap planning standard. Reference points: MABS and CCPC guidance</t>
  </si>
  <si>
    <t xml:space="preserve">Money for goals sooner than this is kept as cash (years)  [Set_cashYears]</t>
  </si>
  <si>
    <t xml:space="preserve">money needed within 5 years is usually kept as cash</t>
  </si>
  <si>
    <t xml:space="preserve">LifeMap planning standard (common planning practice: money needed within about 5 years is not invested)</t>
  </si>
  <si>
    <t xml:space="preserve">Longer-term money has more time to ride out ups and downs.</t>
  </si>
  <si>
    <t xml:space="preserve">Emergency fund &amp; saving · yrs</t>
  </si>
  <si>
    <t xml:space="preserve">Spare savings: share invested  [Set_investShare]</t>
  </si>
  <si>
    <t xml:space="preserve">a balanced cash and invested mix</t>
  </si>
  <si>
    <t xml:space="preserve">LifeMap planning standard (a balanced cash and invested mix)</t>
  </si>
  <si>
    <t xml:space="preserve">Emergency fund &amp; saving · pct</t>
  </si>
  <si>
    <t xml:space="preserve">Share of spare money saved, at most  [Set_saveShare]</t>
  </si>
  <si>
    <t xml:space="preserve">half of your spare money</t>
  </si>
  <si>
    <t xml:space="preserve">LifeMap planning standard</t>
  </si>
  <si>
    <t xml:space="preserve">We never count more than this share of your spare money as saved, unless you set your own monthly saving.</t>
  </si>
  <si>
    <t xml:space="preserve">Monthly saving if not answered  [Set_noAnswer]</t>
  </si>
  <si>
    <t xml:space="preserve">a modest regular amount</t>
  </si>
  <si>
    <t xml:space="preserve">Used until you answer "How much could you comfortably invest each month?".</t>
  </si>
  <si>
    <t xml:space="preserve">Emergency fund &amp; saving · eur</t>
  </si>
  <si>
    <t xml:space="preserve">Life cover: share of income the family needs  [Set_lifeShare]</t>
  </si>
  <si>
    <t xml:space="preserve">families usually need less than full pay</t>
  </si>
  <si>
    <t xml:space="preserve">LifeMap planning standard. Reference point: Irish life-insurer needs calculators</t>
  </si>
  <si>
    <t xml:space="preserve">Protection · pct</t>
  </si>
  <si>
    <t xml:space="preserve">Life cover: years of support  [Set_lifeYears]</t>
  </si>
  <si>
    <t xml:space="preserve">often until your youngest child is 23</t>
  </si>
  <si>
    <t xml:space="preserve">Protection · yrs</t>
  </si>
  <si>
    <t xml:space="preserve">Risk and budget</t>
  </si>
  <si>
    <t xml:space="preserve">Risk and return: growth a year, Cautious / Balanced / Growth  [Set_riskMu]</t>
  </si>
  <si>
    <t xml:space="preserve">illustrations, not forecasts</t>
  </si>
  <si>
    <t xml:space="preserve">LifeMap illustrations, not forecasts</t>
  </si>
  <si>
    <t xml:space="preserve">Your adviser uses the fund's own risk rating (SRI 1–7).</t>
  </si>
  <si>
    <t xml:space="preserve">Risk and budget · pct3</t>
  </si>
  <si>
    <t xml:space="preserve">Risk and return: ups and downs (volatility), Cautious / Balanced / Growth  [Set_riskVol]</t>
  </si>
  <si>
    <t xml:space="preserve">How much a year can swing.</t>
  </si>
  <si>
    <t xml:space="preserve">Budget split: needs / wants / savings and debt  [Set_budget]</t>
  </si>
  <si>
    <t xml:space="preserve">the 50/30/20 rule</t>
  </si>
  <si>
    <t xml:space="preserve">The 50/30/20 budgeting rule (E. Warren and A. Warren Tyagi, All Your Worth, 2005)</t>
  </si>
  <si>
    <t xml:space="preserve">Choices</t>
  </si>
  <si>
    <t xml:space="preserve">Tax bands in future  [Set_bands]</t>
  </si>
  <si>
    <t xml:space="preserve">prices</t>
  </si>
  <si>
    <t xml:space="preserve">Budgets have broadly kept pace over time</t>
  </si>
  <si>
    <t xml:space="preserve">Department of Finance Budget history (tax bands and credits, 2015 to 2026)</t>
  </si>
  <si>
    <t xml:space="preserve">Irish tax bands are set each Budget and don't rise automatically. "Stay as today" is the cautious view (more tax later).</t>
  </si>
  <si>
    <t xml:space="preserve">Choices · choice</t>
  </si>
  <si>
    <t xml:space="preserve">State Pension in future  [Set_spGrow]</t>
  </si>
  <si>
    <t xml:space="preserve">it has broadly kept pace with prices over time</t>
  </si>
  <si>
    <t xml:space="preserve">Department of Social Protection weekly State Pension rate history</t>
  </si>
  <si>
    <t xml:space="preserve">The State Pension is set each Budget.</t>
  </si>
  <si>
    <t xml:space="preserve">How you draw your pension  [Set_drawRule]</t>
  </si>
  <si>
    <t xml:space="preserve">spread</t>
  </si>
  <si>
    <t xml:space="preserve">spread over your plan, at least the legal minimum</t>
  </si>
  <si>
    <t xml:space="preserve">Revenue Commissioners: ARF and vested PRSA minimum annual distribution (4% from 61, 5% from 71; 6% over €2m)</t>
  </si>
  <si>
    <t xml:space="preserve">Drawdown tools: withdrawals taken at the  [Set_ddTiming]</t>
  </si>
  <si>
    <t xml:space="preserve">the prudent choice: the money has less time to grow before you take it</t>
  </si>
  <si>
    <t xml:space="preserve">LifeMap tool setting</t>
  </si>
  <si>
    <t xml:space="preserve">Lump sum tool: years you might wait before investing  [Set_waitYears]</t>
  </si>
  <si>
    <t xml:space="preserve">an illustration of the cost of waiting</t>
  </si>
  <si>
    <t xml:space="preserve">LifeMap tool setting (an illustration of the cost of waiting)</t>
  </si>
  <si>
    <t xml:space="preserve">Choices · yrs</t>
  </si>
  <si>
    <t xml:space="preserve">Risk and return tool: investment style (1 Cautious, 2 Balanced, 3 Growth)  [Set_style]</t>
  </si>
  <si>
    <t xml:space="preserve">Balanced; an adviser checks your attitude to risk</t>
  </si>
  <si>
    <t xml:space="preserve">LifeMap tool setting (Balanced; an adviser checks attitude to risk)</t>
  </si>
  <si>
    <t xml:space="preserve">Choices · num</t>
  </si>
  <si>
    <t xml:space="preserve">Market rates</t>
  </si>
  <si>
    <t xml:space="preserve">Suggested mortgage rate  [Set_mortRate]</t>
  </si>
  <si>
    <t xml:space="preserve">Central Bank of Ireland: average rate on new mortgages, Jul 2026</t>
  </si>
  <si>
    <t xml:space="preserve">https://www.centralbank.ie/statistics/data-and-analysis/credit-and-banking-statistics/retail-interest-rates</t>
  </si>
  <si>
    <t xml:space="preserve">Jul 2026</t>
  </si>
  <si>
    <t xml:space="preserve">Your mortgage statement shows your rate. Typing it is fine: no upload needed.</t>
  </si>
  <si>
    <t xml:space="preserve">Market rates · pct</t>
  </si>
  <si>
    <t xml:space="preserve">Suggested personal and car loan rate (APR)  [Set_loanRate]</t>
  </si>
  <si>
    <t xml:space="preserve">Central Bank of Ireland: average rate on new consumer loans, Jul 2026</t>
  </si>
  <si>
    <t xml:space="preserve">Your loan agreement shows your APR.</t>
  </si>
  <si>
    <t xml:space="preserve">Suggested credit card rate (APR)  [Set_cardRate]</t>
  </si>
  <si>
    <t xml:space="preserve">No published average</t>
  </si>
  <si>
    <t xml:space="preserve">—</t>
  </si>
  <si>
    <t xml:space="preserve">Your card statement shows your APR.</t>
  </si>
  <si>
    <t xml:space="preserve">Suggested deposit rate (fixed term, before 33% DIRT)  [Set_depRate]</t>
  </si>
  <si>
    <t xml:space="preserve">Central Bank of Ireland: average rate on new fixed-term household deposits, Jul 2026</t>
  </si>
  <si>
    <t xml:space="preserve">If you rent, your deposit stays in savings. Optional: leave it blank to leave it out.</t>
  </si>
  <si>
    <t xml:space="preserve">Suggested buying fees (legal and survey)  [Set_buyFees]</t>
  </si>
  <si>
    <t xml:space="preserve">No published figure</t>
  </si>
  <si>
    <t xml:space="preserve">Market rates · eur</t>
  </si>
  <si>
    <t xml:space="preserve">Suggested fund and pension charges (a year)  [Set_fundChg]</t>
  </si>
  <si>
    <t xml:space="preserve">Pensions Authority pension calculator assumption</t>
  </si>
  <si>
    <t xml:space="preserve">https://pensionsauthority.ie/scheme-members-and-prsa-contributors/pension-calculator/assumptions/ · https://www.ccpc.ie/consumers/money/pensions/fees-and-charges/</t>
  </si>
  <si>
    <t xml:space="preserve">When your statement shows your own charges, we use them instead of this.</t>
  </si>
  <si>
    <t xml:space="preserve">Guidance only (shown, never filled in for you)</t>
  </si>
  <si>
    <t xml:space="preserve">Life expectancy at 65, men (years): guidance only  [Set_g_lifeMen65]</t>
  </si>
  <si>
    <t xml:space="preserve">CSO, Irish Life Tables No. 17, 2015–2017</t>
  </si>
  <si>
    <t xml:space="preserve">https://www.cso.ie/en/releasesandpublications/er/ilt/irishlifetablesno172015-2017/</t>
  </si>
  <si>
    <t xml:space="preserve">2015–2017 (latest edition; 65 + 18.3 years)</t>
  </si>
  <si>
    <t xml:space="preserve">Guidance only · num</t>
  </si>
  <si>
    <t xml:space="preserve">Life expectancy at 65, women (years): guidance only  [Set_g_lifeWomen65]</t>
  </si>
  <si>
    <t xml:space="preserve">2015–2017 (latest edition; 65 + 21.0 years)</t>
  </si>
  <si>
    <t xml:space="preserve">Fixed values (not customer-editable)</t>
  </si>
  <si>
    <t xml:space="preserve">Inflation "Ireland now" (CSO HICP flash)  [Set_inflNow]</t>
  </si>
  <si>
    <t xml:space="preserve">CSO HICP flash, Sep 2026</t>
  </si>
  <si>
    <t xml:space="preserve">New credit cards: maximum APR (Central Bank; a legal cap, not a suggestion)  [Card_APR_Cap]</t>
  </si>
  <si>
    <t xml:space="preserve">Central Bank of Ireland: new credit cards cannot charge more than 23% APR (2022); about 400,000 older accounts are higher</t>
  </si>
  <si>
    <t xml:space="preserve">https://www.centralbank.ie/news/article/central-bank-review-finds-over-400-000-credit-cards-are-on-historic-high-interest-rates</t>
  </si>
  <si>
    <t xml:space="preserve">Verify before release</t>
  </si>
  <si>
    <t xml:space="preserve">Assumptions: Irish rules register</t>
  </si>
  <si>
    <t xml:space="preserve">Irish rules 2026 · checked 2 Oct 2026</t>
  </si>
  <si>
    <t xml:space="preserve">Facts and law only: every statutory rate, band and rule the calculators use, with its source and effective date (from the Irish rules and rates audit, 2 Oct 2026). Type 1 values only (set by Government · 2026; journey spec §14): grey, not inputs. Type 2 (ranges) and type 3 (personal) items are yellow inputs on each calculator. Before release, open the primary page for every row marked "Yes" in Verify and record the date checked.</t>
  </si>
  <si>
    <t xml:space="preserve">The Plan sheets (Plan pay &amp; tax, "RULES the plan uses") read these same values: change a figure here and the plan changes with it. Values the Plan sheets need that are not on this sheet are typed there and labelled.</t>
  </si>
  <si>
    <t xml:space="preserve">INFLATION GUIDANCE (not a value: inflation is the client's own choice on each calculator)</t>
  </si>
  <si>
    <t xml:space="preserve">Rule (name in formulas)</t>
  </si>
  <si>
    <t xml:space="preserve">Used by</t>
  </si>
  <si>
    <t xml:space="preserve">Source URL</t>
  </si>
  <si>
    <t xml:space="preserve">Effective</t>
  </si>
  <si>
    <t xml:space="preserve">Verify before release?</t>
  </si>
  <si>
    <t xml:space="preserve">Audit #</t>
  </si>
  <si>
    <t xml:space="preserve">Ireland's prices are rising 3.9% a year right now (CSO HICP flash estimate, September 2026, published 1 Oct 2026), mostly because of energy. HICP Aug 2026: 3.4%; CPI Aug 2026: 3.7%. Over decades, planners usually use 2%–2.5% (ECB target 2%). This is the one Ireland-today figure quoted everywhere (same as the prototype RULES_IE_2026.infl.ie).</t>
  </si>
  <si>
    <t xml:space="preserve">https://www.cso.ie/en/csolatestnews/pressreleases/2026pressreleases/pressstatementflashestimatefortheharmonisedindexofconsumerpricesseptember2026/ · https://www.rte.ie/news/business/2026/1001/1593629-cso-flash-inflation-reading/</t>
  </si>
  <si>
    <t xml:space="preserve">INCOME TAX 2026 (Tax engine)  ·  Set by Government · 2026 (type 1, not an input)</t>
  </si>
  <si>
    <t xml:space="preserve">Standard-rate band, single  [Band_Single]</t>
  </si>
  <si>
    <t xml:space="preserve">Tax engine; C13/C14 tax-rate pre-fill</t>
  </si>
  <si>
    <t xml:space="preserve">https://www.raisin.com/en-ie/taxes/income-tax-rates/ · https://universityofgalway.ie/media/pensionsandinvestments/Budget-Summary-2026.pdf</t>
  </si>
  <si>
    <t xml:space="preserve">1 Jan 2026</t>
  </si>
  <si>
    <t xml:space="preserve">Yes (primary page quoted, P)</t>
  </si>
  <si>
    <t xml:space="preserve">#1</t>
  </si>
  <si>
    <t xml:space="preserve">Standard-rate band, single person child carer  [Band_Single_Parent]</t>
  </si>
  <si>
    <t xml:space="preserve">Tax engine</t>
  </si>
  <si>
    <t xml:space="preserve">https://www.noonecasey.ie/irish-budget-2026/ · https://www.irishtaxhub.ie/blog/tax-credits-in-ireland-full-list</t>
  </si>
  <si>
    <t xml:space="preserve">Yes (secondary source, S)</t>
  </si>
  <si>
    <t xml:space="preserve">#4</t>
  </si>
  <si>
    <t xml:space="preserve">Standard-rate band, married / civil partners (one earner)  [Band_Married]</t>
  </si>
  <si>
    <t xml:space="preserve">#2</t>
  </si>
  <si>
    <t xml:space="preserve">Band increase for a second earner (lower income, up to)  [Band_Second_Earner_Max]</t>
  </si>
  <si>
    <t xml:space="preserve">#3</t>
  </si>
  <si>
    <t xml:space="preserve">Standard rate of income tax  [Rate_Standard]</t>
  </si>
  <si>
    <t xml:space="preserve">#5</t>
  </si>
  <si>
    <t xml:space="preserve">Higher rate of income tax  [Rate_Higher]</t>
  </si>
  <si>
    <t xml:space="preserve">Tax engine; C13/C14</t>
  </si>
  <si>
    <t xml:space="preserve">Personal tax credit, single  [Credit_Personal_Single]</t>
  </si>
  <si>
    <t xml:space="preserve">#6</t>
  </si>
  <si>
    <t xml:space="preserve">Personal tax credit, married / civil partners  [Credit_Personal_Married]</t>
  </si>
  <si>
    <t xml:space="preserve">Employee (PAYE) tax credit, each earner (capped at 20% of PAYE income)  [Credit_PAYE]</t>
  </si>
  <si>
    <t xml:space="preserve">https://revenue.ie/en/personal-tax-credits-reliefs-and-exemptions/income-and-employment/employee-tax-credit/index.aspx</t>
  </si>
  <si>
    <t xml:space="preserve">#7</t>
  </si>
  <si>
    <t xml:space="preserve">PAYE credit cap, % of PAYE income  [Credit_PAYE_Cap_Pct]</t>
  </si>
  <si>
    <t xml:space="preserve">As above</t>
  </si>
  <si>
    <t xml:space="preserve">Single Person Child Carer Credit  [Credit_SPCCC]</t>
  </si>
  <si>
    <t xml:space="preserve">Rent Tax Credit, single (to end-2028)  [Credit_Rent_Single]</t>
  </si>
  <si>
    <t xml:space="preserve">2025–2028</t>
  </si>
  <si>
    <t xml:space="preserve">#8</t>
  </si>
  <si>
    <t xml:space="preserve">Rent Tax Credit, jointly assessed couple  [Credit_Rent_Joint]</t>
  </si>
  <si>
    <t xml:space="preserve">Home Carer Tax Credit (verify the 2026 rate and the €7,200 carer-income limit and taper)  [Credit_Home_Carer]</t>
  </si>
  <si>
    <t xml:space="preserve">Yes (secondary source, S) · VERIFY rate</t>
  </si>
  <si>
    <t xml:space="preserve">#9</t>
  </si>
  <si>
    <t xml:space="preserve">USC 2026 (Tax engine)  ·  Set by Government · 2026 (type 1, not an input)</t>
  </si>
  <si>
    <t xml:space="preserve">USC exemption limit (total income)  [USC_Exempt]</t>
  </si>
  <si>
    <t xml:space="preserve">#15</t>
  </si>
  <si>
    <t xml:space="preserve">USC band 1 top  [USC_Band_1]</t>
  </si>
  <si>
    <t xml:space="preserve">#14</t>
  </si>
  <si>
    <t xml:space="preserve">USC band 2 top (raised by €1,318 in Budget 2026)  [USC_Band_2]</t>
  </si>
  <si>
    <t xml:space="preserve">USC band 3 top  [USC_Band_3]</t>
  </si>
  <si>
    <t xml:space="preserve">USC rate band 1  [USC_Rate_1]</t>
  </si>
  <si>
    <t xml:space="preserve">USC rate band 2  [USC_Rate_2]</t>
  </si>
  <si>
    <t xml:space="preserve">USC rate band 3  [USC_Rate_3]</t>
  </si>
  <si>
    <t xml:space="preserve">USC rate above band 3  [USC_Rate_4]</t>
  </si>
  <si>
    <t xml:space="preserve">Reduced USC (0.5% / 2%) applies at 70+ (and to full medical-card holders) with income ≤ €60,000; not used by these calculators. The State Pension and other DSP payments are USC-exempt but are taxable income for income tax.</t>
  </si>
  <si>
    <t xml:space="preserve">PRSI CLASS A (Tax engine)  ·  Set by Government · 2026 (type 1, not an input)</t>
  </si>
  <si>
    <t xml:space="preserve">Employee PRSI rate from 1 Oct 2026  [PRSI_Rate]</t>
  </si>
  <si>
    <t xml:space="preserve">https://www.gov.ie/en/publication/ffa563-prsi-class-a-rates · https://www.bdo.ie/en-gb/insights/2025/upcoming-prsi-rate-changes-effective-1st-october-2025</t>
  </si>
  <si>
    <t xml:space="preserve">1 Oct 2026</t>
  </si>
  <si>
    <t xml:space="preserve">#19</t>
  </si>
  <si>
    <t xml:space="preserve">Employee PRSI, calendar-2026 blend (9 months at 4.2%, 3 at 4.35%)  [PRSI_Rate_2026_Blend]</t>
  </si>
  <si>
    <t xml:space="preserve">Tax engine (option)</t>
  </si>
  <si>
    <t xml:space="preserve">#20</t>
  </si>
  <si>
    <t xml:space="preserve">PRSI-free weekly earnings (nil up to)  [PRSI_Free_Week]</t>
  </si>
  <si>
    <t xml:space="preserve">https://payslipiq.co.uk/ie/methodology/prsi · https://www.gov.ie/en/publication/ffa563-prsi-class-a-rates · https://www.bdo.ie/en-gb/insights/2025/upcoming-prsi-rate-changes-effective-1st-october-2025</t>
  </si>
  <si>
    <t xml:space="preserve">#21</t>
  </si>
  <si>
    <t xml:space="preserve">PRSI credit, maximum a week  [PRSI_Credit_Max]</t>
  </si>
  <si>
    <t xml:space="preserve">PRSI credit ends at weekly earnings of  [PRSI_Credit_Top]</t>
  </si>
  <si>
    <t xml:space="preserve">PRSI credit tapers by €1 for every … over €352.01  [PRSI_Credit_Taper]</t>
  </si>
  <si>
    <t xml:space="preserve">No PRSI from age 66, including while still working (#22). Legislated path: 4.5% from 1 Oct 2027, 4.7% from 1 Oct 2028.</t>
  </si>
  <si>
    <t xml:space="preserve">https://www.oireachtas.ie/en/debates/question/2018-11-21/241/ · https://www.gov.ie/en/publication/ffa563-prsi-class-a-rates · https://www.bdo.ie/en-gb/insights/2025/upcoming-prsi-rate-changes-effective-1st-october-2025</t>
  </si>
  <si>
    <t xml:space="preserve">PENSIONS  ·  Set by Government · 2026 (type 1, not an input)</t>
  </si>
  <si>
    <t xml:space="preserve">Pension relief limit from age 0: % of earnings  [Relief_Age_From / Relief_Age_Pct]</t>
  </si>
  <si>
    <t xml:space="preserve">https://www.irishtaxhub.ie/blog/pension-contributions-income-tax-maximize-your-relief · https://yourincomecalculator.com/ie/blog/pension-tax-relief-ireland-2026-higher-earners-guide</t>
  </si>
  <si>
    <t xml:space="preserve">Unchanged</t>
  </si>
  <si>
    <t xml:space="preserve">#26</t>
  </si>
  <si>
    <t xml:space="preserve">Pension relief limit from age 30: % of earnings  [Relief_Age_From / Relief_Age_Pct]</t>
  </si>
  <si>
    <t xml:space="preserve">Pension relief limit from age 40: % of earnings  [Relief_Age_From / Relief_Age_Pct]</t>
  </si>
  <si>
    <t xml:space="preserve">Pension relief limit from age 50: % of earnings  [Relief_Age_From / Relief_Age_Pct]</t>
  </si>
  <si>
    <t xml:space="preserve">Pension relief limit from age 55: % of earnings  [Relief_Age_From / Relief_Age_Pct]</t>
  </si>
  <si>
    <t xml:space="preserve">Pension relief limit from age 60: % of earnings  [Relief_Age_From / Relief_Age_Pct]</t>
  </si>
  <si>
    <t xml:space="preserve">Earnings cap for pension relief  [Relief_Earnings_Cap]</t>
  </si>
  <si>
    <t xml:space="preserve">#27</t>
  </si>
  <si>
    <t xml:space="preserve">Retirement lump sum: up to this share of the fund  [Lump_Sum_Max_Pct]</t>
  </si>
  <si>
    <t xml:space="preserve">https://wtwco.com/en-ie/insights/2024/10/significant-revisions-announced-to-the-standard-fund-threshold · https://pwc.ie/services/workforce/insights/finance-act-2024-pensions-pulse.html</t>
  </si>
  <si>
    <t xml:space="preserve">Finance Act 2024</t>
  </si>
  <si>
    <t xml:space="preserve">#31</t>
  </si>
  <si>
    <t xml:space="preserve">Lump sum: tax-free (lifetime)  [Lump_Sum_Tax_Free]</t>
  </si>
  <si>
    <t xml:space="preserve">Lump sum: taxed at 20% from €200,001 up to  [Lump_Sum_Cap]; above this the excess is taxed at the higher rate [Rate_Higher] (verify on Revenue)</t>
  </si>
  <si>
    <t xml:space="preserve">Lump sum tax rate on €200,001–€500,000 (above €500,000: marginal rate)  [Lump_Sum_Rate]</t>
  </si>
  <si>
    <t xml:space="preserve">Standard Fund Threshold 2026 (€2.4m 2027, €2.6m 2028, €2.8m 2029)  [SFT_2026]</t>
  </si>
  <si>
    <t xml:space="preserve">C12 warning</t>
  </si>
  <si>
    <t xml:space="preserve">#32</t>
  </si>
  <si>
    <t xml:space="preserve">Chargeable excess tax above the threshold  [SFT_Tax]</t>
  </si>
  <si>
    <t xml:space="preserve">Law</t>
  </si>
  <si>
    <t xml:space="preserve">Earliest age for PRSA / personal pension benefits (occupational: from 50 if you have left that job)  [Pension_Earliest_Age]</t>
  </si>
  <si>
    <t xml:space="preserve">Revenue Pensions Manual (verify)</t>
  </si>
  <si>
    <t xml:space="preserve">Yes (primary page quoted, P) · VERIFY</t>
  </si>
  <si>
    <t xml:space="preserve">#36</t>
  </si>
  <si>
    <t xml:space="preserve">Standard Fund Threshold €2.2m (2026) → €2.4m (2027) → €2.6m (2028) → €2.8m (2029), chargeable excess tax 40%: not modelled by these calculators. ARF minimum 4% from the year you turn 61, 5% from 71, 6% if ARFs + vested PRSAs exceed €2m. Most pensions cannot be taken before 60.</t>
  </si>
  <si>
    <t xml:space="preserve">https://wtwco.com/en-ie/insights/2024/10/significant-revisions-announced-to-the-standard-fund-threshold · https://pwc.ie/services/workforce/insights/finance-act-2024-pensions-pulse.html · https://cantorfitzgerald.ie/wp-content/uploads/2026/06/ARF-6pp-A4-Brochure-6-26.pdf</t>
  </si>
  <si>
    <t xml:space="preserve">STATE PENSION AND DSP PAYMENTS 2026 (weekly rates)  ·  Set by Government · 2026 (type 1, not an input)</t>
  </si>
  <si>
    <t xml:space="preserve">State Pension (Contributory), maximum personal rate (taxable; USC-exempt)  [State_Pension_Week]</t>
  </si>
  <si>
    <t xml:space="preserve">C12 other income (pre-fill)</t>
  </si>
  <si>
    <t xml:space="preserve">https://www.gov.ie/en/publication/927721-state-pension-contributory-rates/ · https://www.zurich.ie/blog/pension-changes-2026</t>
  </si>
  <si>
    <t xml:space="preserve">#39</t>
  </si>
  <si>
    <t xml:space="preserve">State Pension a year (€299.30 × 52)  [State_Pension_Year]</t>
  </si>
  <si>
    <t xml:space="preserve">C12 default other income</t>
  </si>
  <si>
    <t xml:space="preserve">State Pension age  [State_Pension_Age]</t>
  </si>
  <si>
    <t xml:space="preserve">C12 (bridge years before 66)</t>
  </si>
  <si>
    <t xml:space="preserve">https://www.gov.ie/en/publication/d8fd8-flexible-pension-options</t>
  </si>
  <si>
    <t xml:space="preserve">#40</t>
  </si>
  <si>
    <t xml:space="preserve">Widow's / Surviving Civil Partner's / Bereaved Partner's (Contributory) Pension, under 66  [Survivor_Pension_Week]</t>
  </si>
  <si>
    <t xml:space="preserve">https://www.raisin.com/en-ie/pensions/widow-pensions · https://www.mhc.ie/latest/insights/social-welfare-bereaved-partners-pension-and-miscellaneous-provisions-act-2025</t>
  </si>
  <si>
    <t xml:space="preserve">#46</t>
  </si>
  <si>
    <t xml:space="preserve">Survivor's pension at 66+  [Survivor_Pension_Week_66]</t>
  </si>
  <si>
    <t xml:space="preserve">C21 guidance</t>
  </si>
  <si>
    <t xml:space="preserve">Illness Benefit, maximum personal rate (graduated if average weekly earnings &lt; €300; 3 waiting days)  [Illness_Benefit_Week]</t>
  </si>
  <si>
    <t xml:space="preserve">https://www.inou.ie/assets/files/pdf/2026_-_inou_budget_factsheet.pdf</t>
  </si>
  <si>
    <t xml:space="preserve">#45</t>
  </si>
  <si>
    <t xml:space="preserve">Income protection maximum: % of gross income less State benefit (an INSURER rule, not law; varies by insurer)  [IP_Max_Pct]</t>
  </si>
  <si>
    <t xml:space="preserve">Insurer literature (Irish Life; Smart Financial)</t>
  </si>
  <si>
    <t xml:space="preserve">Market practice</t>
  </si>
  <si>
    <t xml:space="preserve">Yes (secondary source, S) · verify with insurer partner</t>
  </si>
  <si>
    <t xml:space="preserve">#49</t>
  </si>
  <si>
    <t xml:space="preserve">Weeks in a year  [Weeks_Per_Year]</t>
  </si>
  <si>
    <t xml:space="preserve">C12, C21, C22, Tax engine</t>
  </si>
  <si>
    <t xml:space="preserve">Convention</t>
  </si>
  <si>
    <t xml:space="preserve">SAVINGS AND INVESTMENT TAX (notes on the growth tools)  ·  Set by Government · 2026 (type 1, not an input)</t>
  </si>
  <si>
    <t xml:space="preserve">DIRT on deposit interest  [DIRT]</t>
  </si>
  <si>
    <t xml:space="preserve">C08–C10, C17, C18 notes</t>
  </si>
  <si>
    <t xml:space="preserve">https://cantorfitzgerald.ie/budget-2026-key-updates-for-investors-and-savers</t>
  </si>
  <si>
    <t xml:space="preserve">#50</t>
  </si>
  <si>
    <t xml:space="preserve">Exit tax on funds and life policies (was 41%; Finance Act 2025, Revenue eBrief 016/26)  [Exit_Tax]</t>
  </si>
  <si>
    <t xml:space="preserve">https://www.revenue.ie/en/tax-professionals/ebrief/2026/no-0162026.aspx · https://etf.ie/blog/budget-2026-etf/</t>
  </si>
  <si>
    <t xml:space="preserve">#51</t>
  </si>
  <si>
    <t xml:space="preserve">Deemed disposal on funds every … years  [Deemed_Disposal_Years]</t>
  </si>
  <si>
    <t xml:space="preserve">Notes</t>
  </si>
  <si>
    <t xml:space="preserve">https://etf.ie/blog/budget-2026-etf/</t>
  </si>
  <si>
    <t xml:space="preserve">#52</t>
  </si>
  <si>
    <t xml:space="preserve">Life assurance levy on premiums (pension policies exempt)  [Life_Levy]</t>
  </si>
  <si>
    <t xml:space="preserve">C18 note</t>
  </si>
  <si>
    <t xml:space="preserve">Revenue</t>
  </si>
  <si>
    <t xml:space="preserve">#53</t>
  </si>
  <si>
    <t xml:space="preserve">CENTRAL BANK MORTGAGE MEASURES AND PROPERTY  ·  Set by Government · 2026 (type 1, not an input)</t>
  </si>
  <si>
    <t xml:space="preserve">Loan-to-income limit, first-time buyers  [LTI_FTB]</t>
  </si>
  <si>
    <t xml:space="preserve">https://www.centralbank.ie/news/article/central-bank-announces-targeted-changes-to-mortgage-measures-framework</t>
  </si>
  <si>
    <t xml:space="preserve">1 Jan 2023</t>
  </si>
  <si>
    <t xml:space="preserve">#56</t>
  </si>
  <si>
    <t xml:space="preserve">Loan-to-income limit, second and subsequent buyers  [LTI_SSB]</t>
  </si>
  <si>
    <t xml:space="preserve">Loan-to-value limit, first-time and subsequent buyers (buy-to-let 70%)  [LTV_Max]</t>
  </si>
  <si>
    <t xml:space="preserve">C01, C02 goal, C03, C07</t>
  </si>
  <si>
    <t xml:space="preserve">#57</t>
  </si>
  <si>
    <t xml:space="preserve">Minimum deposit (1 − LTV)  [Min_Deposit_Pct]</t>
  </si>
  <si>
    <t xml:space="preserve">C01, C03, C07 validation</t>
  </si>
  <si>
    <t xml:space="preserve">Derived</t>
  </si>
  <si>
    <t xml:space="preserve">#59</t>
  </si>
  <si>
    <t xml:space="preserve">Lenders may exceed the limits for a small share of loans each year (allowances: about 15% of first-time-buyer and 10% of other lending by value, verify). Principal-home bridging loans are exempt from the LTI limit since 8 Apr 2026.</t>
  </si>
  <si>
    <t xml:space="preserve">https://www.centralbank.ie/news/article/central-bank-announces-targeted-changes-to-mortgage-measures-framework · https://www.centralbank.ie/news/article/press-release-targeted-amendment-to-mortgage-measures-home-bridging-loans-8-april-2026</t>
  </si>
  <si>
    <t xml:space="preserve">Stamp duty on homes up to €1m  [SD_Rate_1]</t>
  </si>
  <si>
    <t xml:space="preserve">C01, C03, C07</t>
  </si>
  <si>
    <t xml:space="preserve">https://www.raisin.com/en-ie/taxes/stamp-duty-ireland/</t>
  </si>
  <si>
    <t xml:space="preserve">Budget 2025</t>
  </si>
  <si>
    <t xml:space="preserve">#60</t>
  </si>
  <si>
    <t xml:space="preserve">Stamp duty band 1 top  [SD_Band_1]</t>
  </si>
  <si>
    <t xml:space="preserve">Stamp duty €1m–€1.5m  [SD_Rate_2]</t>
  </si>
  <si>
    <t xml:space="preserve">Stamp duty band 2 top  [SD_Band_2]</t>
  </si>
  <si>
    <t xml:space="preserve">Stamp duty above €1.5m  [SD_Rate_3]</t>
  </si>
  <si>
    <t xml:space="preserve">APR on cards and loans is an effective annual rate (EU Consumer Credit Directive 2008/48/EC, Annex I): monthly rate = (1 + APR)^(1/12) − 1 (C27, C28). Mortgage rates are nominal: monthly = rate ÷ 12.</t>
  </si>
  <si>
    <t xml:space="preserve">https://eur-lex.europa.eu/eli/dir/2008/48/oj</t>
  </si>
  <si>
    <t xml:space="preserve">STATEMENT READER RULES (product rules)  ·  LifeMap product rule</t>
  </si>
  <si>
    <t xml:space="preserve">Investment statement: shares at or above this = style 3 Growth  [Shares_For_Growth]</t>
  </si>
  <si>
    <t xml:space="preserve">Prototype rule (DOCT.invest.pre)</t>
  </si>
  <si>
    <t xml:space="preserve">Investment statement: shares at or above this = style 2 Balanced (else 1)  [Shares_For_Balanced]</t>
  </si>
  <si>
    <t xml:space="preserve">Prototype rule</t>
  </si>
  <si>
    <t xml:space="preserve">A statement older than this (days) is flagged "Needs a look"  [Statement_Max_Age_Days]</t>
  </si>
  <si>
    <t xml:space="preserve">All statement blocks</t>
  </si>
  <si>
    <t xml:space="preserve">Pooja, 2 Oct 2026</t>
  </si>
  <si>
    <t xml:space="preserve">Reader confidence below this: ask the customer to confirm  [Reader_Confidence_Min]</t>
  </si>
  <si>
    <t xml:space="preserve">Document reader spec</t>
  </si>
  <si>
    <t xml:space="preserve">DISPLAY RULES AND STATISTICAL CONSTANTS  ·  LifeMap product rule</t>
  </si>
  <si>
    <t xml:space="preserve">Show "Over 100 years" above this many months  [Cap_Months]</t>
  </si>
  <si>
    <t xml:space="preserve">C02, C04, C27</t>
  </si>
  <si>
    <t xml:space="preserve">Display rule</t>
  </si>
  <si>
    <t xml:space="preserve">Drawdown working table length ("60+ years")  [Cap_Years]</t>
  </si>
  <si>
    <t xml:space="preserve">Mortgage protection: first checkpoint (years)  [MP_Year_1]</t>
  </si>
  <si>
    <t xml:space="preserve">Mortgage protection: second checkpoint (years)  [MP_Year_2]</t>
  </si>
  <si>
    <t xml:space="preserve">Mortgage protection: third checkpoint (years)  [MP_Year_3]</t>
  </si>
  <si>
    <t xml:space="preserve">Standard-normal value for a 1-in-20 bad year  [One_In_20_Z]</t>
  </si>
  <si>
    <t xml:space="preserve">Normal distribution (5% tail); audit #81</t>
  </si>
  <si>
    <t xml:space="preserve">#81</t>
  </si>
  <si>
    <t xml:space="preserve">Risk style 1 name  [Risk_Names]</t>
  </si>
  <si>
    <t xml:space="preserve">Label</t>
  </si>
  <si>
    <t xml:space="preserve">Risk style 2 name  [Risk_Names]</t>
  </si>
  <si>
    <t xml:space="preserve">Risk style 3 name  [Risk_Names]</t>
  </si>
  <si>
    <t xml:space="preserve">Growth</t>
  </si>
  <si>
    <t xml:space="preserve">Market rates, partner name and every other standard now live on the Settings sheet (journey spec §19, option C). Names (Suggest_*, Partner_Name, Card_APR_Cap) are unchanged.</t>
  </si>
</sst>
</file>

<file path=xl/styles.xml><?xml version="1.0" encoding="utf-8"?>
<styleSheet xmlns="http://schemas.openxmlformats.org/spreadsheetml/2006/main">
  <numFmts count="16">
    <numFmt numFmtId="164" formatCode="General"/>
    <numFmt numFmtId="165" formatCode="\€#,##0"/>
    <numFmt numFmtId="166" formatCode="0.00%"/>
    <numFmt numFmtId="167" formatCode="0"/>
    <numFmt numFmtId="168" formatCode="0.0\×"/>
    <numFmt numFmtId="169" formatCode="dd\ mmm\ yyyy"/>
    <numFmt numFmtId="170" formatCode="0.0000%"/>
    <numFmt numFmtId="171" formatCode="0.0"/>
    <numFmt numFmtId="172" formatCode="0%"/>
    <numFmt numFmtId="173" formatCode="0.0%"/>
    <numFmt numFmtId="174" formatCode="\€#,##0.00"/>
    <numFmt numFmtId="175" formatCode="General"/>
    <numFmt numFmtId="176" formatCode="#,##0"/>
    <numFmt numFmtId="177" formatCode="0.0000"/>
    <numFmt numFmtId="178" formatCode="0.00"/>
    <numFmt numFmtId="179" formatCode="0.000"/>
  </numFmts>
  <fonts count="50">
    <font>
      <sz val="11"/>
      <color theme="1"/>
      <name val="Calibri"/>
      <family val="2"/>
      <charset val="1"/>
    </font>
    <font>
      <sz val="10"/>
      <name val="Arial"/>
      <family val="0"/>
    </font>
    <font>
      <sz val="10"/>
      <name val="Arial"/>
      <family val="0"/>
    </font>
    <font>
      <sz val="10"/>
      <name val="Arial"/>
      <family val="0"/>
    </font>
    <font>
      <b val="true"/>
      <sz val="18"/>
      <color rgb="FF1F3864"/>
      <name val="Arial"/>
      <family val="0"/>
      <charset val="1"/>
    </font>
    <font>
      <sz val="9"/>
      <color rgb="FF808080"/>
      <name val="Arial"/>
      <family val="0"/>
      <charset val="1"/>
    </font>
    <font>
      <b val="true"/>
      <sz val="12"/>
      <color rgb="FF000000"/>
      <name val="Arial"/>
      <family val="0"/>
      <charset val="1"/>
    </font>
    <font>
      <b val="true"/>
      <sz val="12"/>
      <color rgb="FF0000FF"/>
      <name val="Arial"/>
      <family val="0"/>
      <charset val="1"/>
    </font>
    <font>
      <i val="true"/>
      <sz val="9"/>
      <color rgb="FFC00000"/>
      <name val="Arial"/>
      <family val="0"/>
      <charset val="1"/>
    </font>
    <font>
      <b val="true"/>
      <sz val="12"/>
      <color rgb="FF1F3864"/>
      <name val="Arial"/>
      <family val="0"/>
      <charset val="1"/>
    </font>
    <font>
      <sz val="10"/>
      <color rgb="FF000000"/>
      <name val="Arial"/>
      <family val="0"/>
      <charset val="1"/>
    </font>
    <font>
      <b val="true"/>
      <sz val="10"/>
      <color rgb="FFFFFFFF"/>
      <name val="Arial"/>
      <family val="0"/>
      <charset val="1"/>
    </font>
    <font>
      <b val="true"/>
      <sz val="10"/>
      <color rgb="FF000000"/>
      <name val="Arial"/>
      <family val="0"/>
      <charset val="1"/>
    </font>
    <font>
      <u val="single"/>
      <sz val="10"/>
      <color rgb="FF0563C1"/>
      <name val="Arial"/>
      <family val="0"/>
      <charset val="1"/>
    </font>
    <font>
      <sz val="9"/>
      <color rgb="FF000000"/>
      <name val="Arial"/>
      <family val="0"/>
      <charset val="1"/>
    </font>
    <font>
      <b val="true"/>
      <sz val="11"/>
      <color rgb="FFFFFFFF"/>
      <name val="Arial"/>
      <family val="0"/>
      <charset val="1"/>
    </font>
    <font>
      <i val="true"/>
      <sz val="9"/>
      <color rgb="FF000000"/>
      <name val="Arial"/>
      <family val="0"/>
      <charset val="1"/>
    </font>
    <font>
      <b val="true"/>
      <sz val="9"/>
      <color rgb="FF000000"/>
      <name val="Arial"/>
      <family val="0"/>
      <charset val="1"/>
    </font>
    <font>
      <sz val="11"/>
      <color rgb="FF7F7F7F"/>
      <name val="Cambria"/>
      <family val="0"/>
      <charset val="1"/>
    </font>
    <font>
      <b val="true"/>
      <sz val="16"/>
      <color rgb="FF1F3864"/>
      <name val="Arial"/>
      <family val="0"/>
      <charset val="1"/>
    </font>
    <font>
      <b val="true"/>
      <sz val="11"/>
      <color rgb="FF000000"/>
      <name val="Arial"/>
      <family val="0"/>
      <charset val="1"/>
    </font>
    <font>
      <b val="true"/>
      <sz val="9"/>
      <color rgb="FFC00000"/>
      <name val="Arial"/>
      <family val="0"/>
      <charset val="1"/>
    </font>
    <font>
      <i val="true"/>
      <sz val="10"/>
      <color rgb="FF000000"/>
      <name val="Arial"/>
      <family val="0"/>
      <charset val="1"/>
    </font>
    <font>
      <b val="true"/>
      <sz val="9"/>
      <color rgb="FFFFFFFF"/>
      <name val="Arial"/>
      <family val="0"/>
      <charset val="1"/>
    </font>
    <font>
      <i val="true"/>
      <sz val="11"/>
      <color rgb="FF7F7F7F"/>
      <name val="Cambria"/>
      <family val="0"/>
      <charset val="1"/>
    </font>
    <font>
      <b val="true"/>
      <sz val="11"/>
      <color rgb="FF0000FF"/>
      <name val="Arial"/>
      <family val="0"/>
      <charset val="1"/>
    </font>
    <font>
      <sz val="10"/>
      <color rgb="FF808080"/>
      <name val="Arial"/>
      <family val="0"/>
      <charset val="1"/>
    </font>
    <font>
      <sz val="8"/>
      <color rgb="FF808080"/>
      <name val="Arial"/>
      <family val="0"/>
      <charset val="1"/>
    </font>
    <font>
      <i val="true"/>
      <sz val="9"/>
      <color rgb="FF808080"/>
      <name val="Arial"/>
      <family val="0"/>
      <charset val="1"/>
    </font>
    <font>
      <sz val="8"/>
      <color rgb="FF7F6000"/>
      <name val="Arial"/>
      <family val="0"/>
      <charset val="1"/>
    </font>
    <font>
      <b val="true"/>
      <sz val="14"/>
      <color rgb="FF000000"/>
      <name val="Arial"/>
      <family val="0"/>
      <charset val="1"/>
    </font>
    <font>
      <sz val="9"/>
      <color rgb="FF595959"/>
      <name val="Arial"/>
      <family val="0"/>
      <charset val="1"/>
    </font>
    <font>
      <sz val="10"/>
      <name val="Arial"/>
      <family val="2"/>
    </font>
    <font>
      <i val="true"/>
      <sz val="9"/>
      <color rgb="FF595959"/>
      <name val="Arial"/>
      <family val="0"/>
      <charset val="1"/>
    </font>
    <font>
      <b val="true"/>
      <sz val="9"/>
      <color rgb="FF1F6E43"/>
      <name val="Arial"/>
      <family val="0"/>
      <charset val="1"/>
    </font>
    <font>
      <b val="true"/>
      <sz val="10"/>
      <color rgb="FFC00000"/>
      <name val="Arial"/>
      <family val="0"/>
      <charset val="1"/>
    </font>
    <font>
      <b val="true"/>
      <sz val="14"/>
      <name val="Cambria"/>
      <family val="0"/>
      <charset val="1"/>
    </font>
    <font>
      <b val="true"/>
      <sz val="11"/>
      <color rgb="FFFFFFFF"/>
      <name val="Cambria"/>
      <family val="0"/>
      <charset val="1"/>
    </font>
    <font>
      <sz val="11"/>
      <color rgb="FF0000FF"/>
      <name val="Cambria"/>
      <family val="0"/>
      <charset val="1"/>
    </font>
    <font>
      <b val="true"/>
      <sz val="11"/>
      <name val="Cambria"/>
      <family val="0"/>
      <charset val="1"/>
    </font>
    <font>
      <sz val="8"/>
      <color rgb="FF595959"/>
      <name val="Arial"/>
      <family val="0"/>
      <charset val="1"/>
    </font>
    <font>
      <b val="true"/>
      <sz val="8"/>
      <color rgb="FF000000"/>
      <name val="Arial"/>
      <family val="0"/>
      <charset val="1"/>
    </font>
    <font>
      <b val="true"/>
      <sz val="10"/>
      <color rgb="FF1F6E43"/>
      <name val="Arial"/>
      <family val="0"/>
      <charset val="1"/>
    </font>
    <font>
      <b val="true"/>
      <sz val="11"/>
      <color rgb="FF1F3864"/>
      <name val="Arial"/>
      <family val="0"/>
      <charset val="1"/>
    </font>
    <font>
      <u val="single"/>
      <sz val="9"/>
      <color rgb="FF0563C1"/>
      <name val="Arial"/>
      <family val="0"/>
      <charset val="1"/>
    </font>
    <font>
      <sz val="9"/>
      <color rgb="FF0563C1"/>
      <name val="Arial"/>
      <family val="0"/>
      <charset val="1"/>
    </font>
    <font>
      <sz val="11"/>
      <color rgb="FF000000"/>
      <name val="Cambria"/>
      <family val="0"/>
      <charset val="1"/>
    </font>
    <font>
      <b val="true"/>
      <sz val="11"/>
      <color rgb="FFC00000"/>
      <name val="Arial"/>
      <family val="0"/>
      <charset val="1"/>
    </font>
    <font>
      <sz val="8"/>
      <color rgb="FF000000"/>
      <name val="Arial"/>
      <family val="0"/>
      <charset val="1"/>
    </font>
    <font>
      <sz val="8"/>
      <color rgb="FFC00000"/>
      <name val="Arial"/>
      <family val="0"/>
      <charset val="1"/>
    </font>
  </fonts>
  <fills count="10">
    <fill>
      <patternFill patternType="none"/>
    </fill>
    <fill>
      <patternFill patternType="gray125"/>
    </fill>
    <fill>
      <patternFill patternType="solid">
        <fgColor rgb="FFFFF2CC"/>
        <bgColor rgb="FFFCE4D6"/>
      </patternFill>
    </fill>
    <fill>
      <patternFill patternType="solid">
        <fgColor rgb="FF1F3864"/>
        <bgColor rgb="FF1F4E79"/>
      </patternFill>
    </fill>
    <fill>
      <patternFill patternType="solid">
        <fgColor rgb="FFF2F2F2"/>
        <bgColor rgb="FFEDEDED"/>
      </patternFill>
    </fill>
    <fill>
      <patternFill patternType="solid">
        <fgColor rgb="FFE2EFDA"/>
        <bgColor rgb="FFEDEDED"/>
      </patternFill>
    </fill>
    <fill>
      <patternFill patternType="solid">
        <fgColor rgb="FFDDEBF7"/>
        <bgColor rgb="FFEDEDED"/>
      </patternFill>
    </fill>
    <fill>
      <patternFill patternType="solid">
        <fgColor rgb="FFFCE4D6"/>
        <bgColor rgb="FFFFF2CC"/>
      </patternFill>
    </fill>
    <fill>
      <patternFill patternType="solid">
        <fgColor rgb="FF1F4E79"/>
        <bgColor rgb="FF1F3864"/>
      </patternFill>
    </fill>
    <fill>
      <patternFill patternType="solid">
        <fgColor rgb="FFEDEDED"/>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2" borderId="1"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true" applyAlignment="true" applyProtection="true">
      <alignment horizontal="general" vertical="top" textRotation="0" wrapText="true" indent="0" shrinkToFit="false"/>
      <protection locked="true" hidden="false"/>
    </xf>
    <xf numFmtId="164" fontId="11" fillId="3"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5" fillId="3" borderId="0" xfId="0" applyFont="true" applyBorder="false" applyAlignment="true" applyProtection="true">
      <alignment horizontal="general" vertical="bottom" textRotation="0" wrapText="fals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true" hidden="false"/>
    </xf>
    <xf numFmtId="164" fontId="16" fillId="0" borderId="0" xfId="0" applyFont="true" applyBorder="true" applyAlignment="true" applyProtection="true">
      <alignment horizontal="general" vertical="top" textRotation="0" wrapText="true" indent="0" shrinkToFit="false"/>
      <protection locked="true" hidden="false"/>
    </xf>
    <xf numFmtId="164" fontId="17" fillId="4"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tru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4" fontId="20" fillId="0" borderId="0" xfId="0" applyFont="true" applyBorder="false" applyAlignment="true" applyProtection="true">
      <alignment horizontal="general" vertical="bottom" textRotation="0" wrapText="fals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23" fillId="3" borderId="0" xfId="0" applyFont="true" applyBorder="false" applyAlignment="true" applyProtection="true">
      <alignment horizontal="general" vertical="bottom" textRotation="0" wrapText="false" indent="0" shrinkToFit="false"/>
      <protection locked="true" hidden="false"/>
    </xf>
    <xf numFmtId="164" fontId="24" fillId="3" borderId="0" xfId="0" applyFont="true" applyBorder="false" applyAlignment="true" applyProtection="true">
      <alignment horizontal="general" vertical="bottom" textRotation="0" wrapText="false" indent="0" shrinkToFit="false"/>
      <protection locked="true" hidden="false"/>
    </xf>
    <xf numFmtId="165" fontId="25" fillId="2" borderId="1" xfId="0" applyFont="true" applyBorder="true" applyAlignment="true" applyProtection="true">
      <alignment horizontal="right" vertical="bottom" textRotation="0" wrapText="false" indent="0" shrinkToFit="false"/>
      <protection locked="true" hidden="false"/>
    </xf>
    <xf numFmtId="164" fontId="26" fillId="0" borderId="0" xfId="0" applyFont="true" applyBorder="false" applyAlignment="true" applyProtection="true">
      <alignment horizontal="general" vertical="bottom" textRotation="0" wrapText="false" indent="0" shrinkToFit="false"/>
      <protection locked="true" hidden="false"/>
    </xf>
    <xf numFmtId="164" fontId="27" fillId="0" borderId="0" xfId="0" applyFont="true" applyBorder="false" applyAlignment="true" applyProtection="true">
      <alignment horizontal="general" vertical="top" textRotation="0" wrapText="true" indent="0" shrinkToFit="false"/>
      <protection locked="true" hidden="false"/>
    </xf>
    <xf numFmtId="165" fontId="28" fillId="4" borderId="0" xfId="0" applyFont="true" applyBorder="false" applyAlignment="true" applyProtection="true">
      <alignment horizontal="right" vertical="bottom" textRotation="0" wrapText="false" indent="0" shrinkToFit="false"/>
      <protection locked="true" hidden="false"/>
    </xf>
    <xf numFmtId="165" fontId="14" fillId="0" borderId="0" xfId="0" applyFont="true" applyBorder="false" applyAlignment="true" applyProtection="true">
      <alignment horizontal="right" vertical="bottom" textRotation="0" wrapText="false" indent="0" shrinkToFit="false"/>
      <protection locked="true" hidden="false"/>
    </xf>
    <xf numFmtId="164" fontId="25" fillId="2" borderId="1" xfId="0" applyFont="true" applyBorder="true" applyAlignment="true" applyProtection="true">
      <alignment horizontal="right" vertical="bottom" textRotation="0" wrapText="false" indent="0" shrinkToFit="false"/>
      <protection locked="true" hidden="false"/>
    </xf>
    <xf numFmtId="164" fontId="28" fillId="4" borderId="0" xfId="0" applyFont="true" applyBorder="false" applyAlignment="true" applyProtection="true">
      <alignment horizontal="right" vertical="bottom" textRotation="0" wrapText="false" indent="0" shrinkToFit="false"/>
      <protection locked="true" hidden="false"/>
    </xf>
    <xf numFmtId="164" fontId="14" fillId="0" borderId="0" xfId="0" applyFont="true" applyBorder="false" applyAlignment="true" applyProtection="true">
      <alignment horizontal="right" vertical="bottom" textRotation="0" wrapText="false" indent="0" shrinkToFit="false"/>
      <protection locked="true" hidden="false"/>
    </xf>
    <xf numFmtId="166" fontId="25" fillId="2" borderId="1" xfId="0" applyFont="true" applyBorder="true" applyAlignment="true" applyProtection="true">
      <alignment horizontal="right" vertical="bottom" textRotation="0" wrapText="false" indent="0" shrinkToFit="false"/>
      <protection locked="true" hidden="false"/>
    </xf>
    <xf numFmtId="164" fontId="29" fillId="0" borderId="0" xfId="0" applyFont="true" applyBorder="false" applyAlignment="true" applyProtection="true">
      <alignment horizontal="general" vertical="top" textRotation="0" wrapText="true" indent="0" shrinkToFit="false"/>
      <protection locked="true" hidden="false"/>
    </xf>
    <xf numFmtId="166" fontId="28" fillId="4" borderId="0" xfId="0" applyFont="true" applyBorder="false" applyAlignment="true" applyProtection="true">
      <alignment horizontal="right" vertical="bottom" textRotation="0" wrapText="false" indent="0" shrinkToFit="false"/>
      <protection locked="true" hidden="false"/>
    </xf>
    <xf numFmtId="166" fontId="14" fillId="0" borderId="0" xfId="0" applyFont="true" applyBorder="false" applyAlignment="true" applyProtection="true">
      <alignment horizontal="right" vertical="bottom" textRotation="0" wrapText="false" indent="0" shrinkToFit="false"/>
      <protection locked="true" hidden="false"/>
    </xf>
    <xf numFmtId="167" fontId="25" fillId="2" borderId="1" xfId="0" applyFont="true" applyBorder="true" applyAlignment="true" applyProtection="true">
      <alignment horizontal="right" vertical="bottom" textRotation="0" wrapText="false" indent="0" shrinkToFit="false"/>
      <protection locked="true" hidden="false"/>
    </xf>
    <xf numFmtId="167" fontId="28" fillId="4" borderId="0" xfId="0" applyFont="true" applyBorder="false" applyAlignment="true" applyProtection="true">
      <alignment horizontal="right" vertical="bottom" textRotation="0" wrapText="false" indent="0" shrinkToFit="false"/>
      <protection locked="true" hidden="false"/>
    </xf>
    <xf numFmtId="167" fontId="14" fillId="0" borderId="0" xfId="0" applyFont="true" applyBorder="false" applyAlignment="true" applyProtection="true">
      <alignment horizontal="right" vertical="bottom" textRotation="0" wrapText="false" indent="0" shrinkToFit="false"/>
      <protection locked="true" hidden="false"/>
    </xf>
    <xf numFmtId="165" fontId="30" fillId="5" borderId="1" xfId="0" applyFont="true" applyBorder="true" applyAlignment="true" applyProtection="true">
      <alignment horizontal="right" vertical="bottom" textRotation="0" wrapText="false" indent="0" shrinkToFit="true"/>
      <protection locked="true" hidden="false"/>
    </xf>
    <xf numFmtId="164" fontId="31" fillId="0" borderId="0" xfId="0" applyFont="true" applyBorder="false" applyAlignment="true" applyProtection="true">
      <alignment horizontal="general" vertical="top" textRotation="0" wrapText="true" indent="0" shrinkToFit="false"/>
      <protection locked="true" hidden="false"/>
    </xf>
    <xf numFmtId="165" fontId="10" fillId="4" borderId="1" xfId="0" applyFont="true" applyBorder="true" applyAlignment="true" applyProtection="true">
      <alignment horizontal="right" vertical="bottom" textRotation="0" wrapText="false" indent="0" shrinkToFit="true"/>
      <protection locked="true" hidden="false"/>
    </xf>
    <xf numFmtId="168" fontId="10" fillId="4" borderId="1" xfId="0" applyFont="true" applyBorder="true" applyAlignment="true" applyProtection="true">
      <alignment horizontal="right" vertical="bottom" textRotation="0" wrapText="false" indent="0" shrinkToFit="true"/>
      <protection locked="true" hidden="false"/>
    </xf>
    <xf numFmtId="164" fontId="10" fillId="4" borderId="1" xfId="0" applyFont="true" applyBorder="true" applyAlignment="true" applyProtection="true">
      <alignment horizontal="right" vertical="bottom" textRotation="0" wrapText="false" indent="0" shrinkToFit="true"/>
      <protection locked="true" hidden="false"/>
    </xf>
    <xf numFmtId="164" fontId="14" fillId="0" borderId="0" xfId="0" applyFont="true" applyBorder="true" applyAlignment="true" applyProtection="true">
      <alignment horizontal="general" vertical="top" textRotation="0" wrapText="true" indent="0" shrinkToFit="false"/>
      <protection locked="true" hidden="false"/>
    </xf>
    <xf numFmtId="164" fontId="17" fillId="0" borderId="0" xfId="0" applyFont="true" applyBorder="true" applyAlignment="true" applyProtection="true">
      <alignment horizontal="general" vertical="top" textRotation="0" wrapText="true" indent="0" shrinkToFit="false"/>
      <protection locked="true" hidden="false"/>
    </xf>
    <xf numFmtId="164" fontId="12" fillId="4" borderId="1" xfId="0" applyFont="true" applyBorder="true" applyAlignment="true" applyProtection="true">
      <alignment horizontal="right" vertical="bottom" textRotation="0" wrapText="false" indent="0" shrinkToFit="true"/>
      <protection locked="true" hidden="false"/>
    </xf>
    <xf numFmtId="164" fontId="31" fillId="0" borderId="0" xfId="0" applyFont="true" applyBorder="false" applyAlignment="true" applyProtection="true">
      <alignment horizontal="general" vertical="bottom" textRotation="0" wrapText="false" indent="0" shrinkToFit="false"/>
      <protection locked="true" hidden="false"/>
    </xf>
    <xf numFmtId="165" fontId="12" fillId="4" borderId="1" xfId="0" applyFont="true" applyBorder="true" applyAlignment="true" applyProtection="true">
      <alignment horizontal="right" vertical="bottom" textRotation="0" wrapText="false" indent="0" shrinkToFit="true"/>
      <protection locked="true" hidden="false"/>
    </xf>
    <xf numFmtId="167" fontId="12" fillId="4" borderId="1" xfId="0" applyFont="true" applyBorder="true" applyAlignment="true" applyProtection="true">
      <alignment horizontal="right" vertical="bottom" textRotation="0" wrapText="false" indent="0" shrinkToFit="true"/>
      <protection locked="true" hidden="false"/>
    </xf>
    <xf numFmtId="164" fontId="27" fillId="0" borderId="0" xfId="0" applyFont="true" applyBorder="false" applyAlignment="true" applyProtection="true">
      <alignment horizontal="general" vertical="bottom" textRotation="0" wrapText="false" indent="0" shrinkToFit="false"/>
      <protection locked="true" hidden="false"/>
    </xf>
    <xf numFmtId="164" fontId="33" fillId="0" borderId="0" xfId="0" applyFont="true" applyBorder="true" applyAlignment="true" applyProtection="true">
      <alignment horizontal="general" vertical="top" textRotation="0" wrapText="true" indent="0" shrinkToFit="false"/>
      <protection locked="true" hidden="false"/>
    </xf>
    <xf numFmtId="165" fontId="25" fillId="6" borderId="1" xfId="0" applyFont="true" applyBorder="true" applyAlignment="true" applyProtection="true">
      <alignment horizontal="right" vertical="bottom" textRotation="0" wrapText="false" indent="0" shrinkToFit="false"/>
      <protection locked="true" hidden="false"/>
    </xf>
    <xf numFmtId="166" fontId="25" fillId="6" borderId="1" xfId="0" applyFont="true" applyBorder="true" applyAlignment="true" applyProtection="true">
      <alignment horizontal="right" vertical="bottom" textRotation="0" wrapText="false" indent="0" shrinkToFit="false"/>
      <protection locked="true" hidden="false"/>
    </xf>
    <xf numFmtId="167" fontId="25" fillId="6" borderId="1" xfId="0" applyFont="true" applyBorder="true" applyAlignment="true" applyProtection="true">
      <alignment horizontal="right" vertical="bottom" textRotation="0" wrapText="false" indent="0" shrinkToFit="false"/>
      <protection locked="true" hidden="false"/>
    </xf>
    <xf numFmtId="169" fontId="25" fillId="6" borderId="1" xfId="0" applyFont="true" applyBorder="true" applyAlignment="true" applyProtection="true">
      <alignment horizontal="right" vertical="bottom" textRotation="0" wrapText="false" indent="0" shrinkToFit="false"/>
      <protection locked="true" hidden="false"/>
    </xf>
    <xf numFmtId="165" fontId="12" fillId="4" borderId="1" xfId="0" applyFont="true" applyBorder="true" applyAlignment="true" applyProtection="true">
      <alignment horizontal="right" vertical="bottom" textRotation="0" wrapText="false" indent="0" shrinkToFit="false"/>
      <protection locked="true" hidden="false"/>
    </xf>
    <xf numFmtId="164" fontId="34" fillId="0" borderId="0" xfId="0" applyFont="true" applyBorder="false" applyAlignment="true" applyProtection="true">
      <alignment horizontal="general" vertical="bottom" textRotation="0" wrapText="false" indent="0" shrinkToFit="false"/>
      <protection locked="true" hidden="false"/>
    </xf>
    <xf numFmtId="166" fontId="12" fillId="4" borderId="1" xfId="0" applyFont="true" applyBorder="true" applyAlignment="true" applyProtection="true">
      <alignment horizontal="right" vertical="bottom" textRotation="0" wrapText="false" indent="0" shrinkToFit="false"/>
      <protection locked="true" hidden="false"/>
    </xf>
    <xf numFmtId="167" fontId="12" fillId="4" borderId="1" xfId="0" applyFont="true" applyBorder="true" applyAlignment="true" applyProtection="true">
      <alignment horizontal="right" vertical="bottom" textRotation="0" wrapText="false" indent="0" shrinkToFit="false"/>
      <protection locked="true" hidden="false"/>
    </xf>
    <xf numFmtId="167" fontId="30" fillId="5" borderId="1" xfId="0" applyFont="true" applyBorder="true" applyAlignment="true" applyProtection="true">
      <alignment horizontal="right" vertical="bottom" textRotation="0" wrapText="false" indent="0" shrinkToFit="true"/>
      <protection locked="true" hidden="false"/>
    </xf>
    <xf numFmtId="164" fontId="12" fillId="0" borderId="0" xfId="0" applyFont="true" applyBorder="false" applyAlignment="true" applyProtection="true">
      <alignment horizontal="general" vertical="bottom" textRotation="0" wrapText="true" indent="0" shrinkToFit="false"/>
      <protection locked="true" hidden="false"/>
    </xf>
    <xf numFmtId="170" fontId="10" fillId="4" borderId="1" xfId="0" applyFont="true" applyBorder="true" applyAlignment="true" applyProtection="true">
      <alignment horizontal="right" vertical="bottom" textRotation="0" wrapText="false" indent="0" shrinkToFit="true"/>
      <protection locked="true" hidden="false"/>
    </xf>
    <xf numFmtId="166" fontId="10" fillId="4" borderId="1" xfId="0" applyFont="true" applyBorder="true" applyAlignment="true" applyProtection="true">
      <alignment horizontal="right" vertical="bottom" textRotation="0" wrapText="false" indent="0" shrinkToFit="true"/>
      <protection locked="true" hidden="false"/>
    </xf>
    <xf numFmtId="167" fontId="10" fillId="4" borderId="1" xfId="0" applyFont="true" applyBorder="true" applyAlignment="true" applyProtection="true">
      <alignment horizontal="right" vertical="bottom" textRotation="0" wrapText="false" indent="0" shrinkToFit="tru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4" fontId="33" fillId="0" borderId="0" xfId="0" applyFont="true" applyBorder="true" applyAlignment="true" applyProtection="true">
      <alignment horizontal="general" vertical="bottom" textRotation="0" wrapText="false" indent="0" shrinkToFit="false"/>
      <protection locked="true" hidden="false"/>
    </xf>
    <xf numFmtId="166" fontId="12" fillId="4" borderId="1" xfId="0" applyFont="true" applyBorder="true" applyAlignment="true" applyProtection="true">
      <alignment horizontal="right" vertical="bottom" textRotation="0" wrapText="false" indent="0" shrinkToFit="true"/>
      <protection locked="true" hidden="false"/>
    </xf>
    <xf numFmtId="171" fontId="30" fillId="5" borderId="1" xfId="0" applyFont="true" applyBorder="true" applyAlignment="true" applyProtection="true">
      <alignment horizontal="right" vertical="bottom" textRotation="0" wrapText="false" indent="0" shrinkToFit="true"/>
      <protection locked="true" hidden="false"/>
    </xf>
    <xf numFmtId="164" fontId="25" fillId="6" borderId="1" xfId="0" applyFont="true" applyBorder="true" applyAlignment="true" applyProtection="true">
      <alignment horizontal="right" vertical="bottom" textRotation="0" wrapText="false" indent="0" shrinkToFit="false"/>
      <protection locked="true" hidden="false"/>
    </xf>
    <xf numFmtId="164" fontId="35" fillId="0" borderId="0" xfId="0" applyFont="true" applyBorder="false" applyAlignment="true" applyProtection="true">
      <alignment horizontal="general" vertical="bottom" textRotation="0" wrapText="false" indent="0" shrinkToFit="false"/>
      <protection locked="true" hidden="false"/>
    </xf>
    <xf numFmtId="164" fontId="35" fillId="7" borderId="0" xfId="0" applyFont="true" applyBorder="true" applyAlignment="true" applyProtection="true">
      <alignment horizontal="general" vertical="bottom" textRotation="0" wrapText="false" indent="0" shrinkToFit="false"/>
      <protection locked="true" hidden="false"/>
    </xf>
    <xf numFmtId="172" fontId="25" fillId="2" borderId="1" xfId="0" applyFont="true" applyBorder="true" applyAlignment="true" applyProtection="true">
      <alignment horizontal="right" vertical="bottom" textRotation="0" wrapText="false" indent="0" shrinkToFit="false"/>
      <protection locked="true" hidden="false"/>
    </xf>
    <xf numFmtId="172" fontId="28" fillId="4" borderId="0" xfId="0" applyFont="true" applyBorder="false" applyAlignment="true" applyProtection="true">
      <alignment horizontal="right" vertical="bottom" textRotation="0" wrapText="false" indent="0" shrinkToFit="false"/>
      <protection locked="true" hidden="false"/>
    </xf>
    <xf numFmtId="172" fontId="14" fillId="0" borderId="0" xfId="0" applyFont="true" applyBorder="false" applyAlignment="true" applyProtection="true">
      <alignment horizontal="right" vertical="bottom" textRotation="0" wrapText="false" indent="0" shrinkToFit="false"/>
      <protection locked="true" hidden="false"/>
    </xf>
    <xf numFmtId="173" fontId="10" fillId="4" borderId="1" xfId="0" applyFont="true" applyBorder="true" applyAlignment="true" applyProtection="true">
      <alignment horizontal="right" vertical="bottom" textRotation="0" wrapText="false" indent="0" shrinkToFit="true"/>
      <protection locked="true" hidden="false"/>
    </xf>
    <xf numFmtId="164" fontId="17" fillId="4" borderId="0" xfId="0" applyFont="true" applyBorder="false" applyAlignment="true" applyProtection="true">
      <alignment horizontal="general" vertical="bottom" textRotation="0" wrapText="true" indent="0" shrinkToFit="false"/>
      <protection locked="true" hidden="false"/>
    </xf>
    <xf numFmtId="167" fontId="14" fillId="0" borderId="0" xfId="0" applyFont="true" applyBorder="false" applyAlignment="true" applyProtection="true">
      <alignment horizontal="general" vertical="bottom" textRotation="0" wrapText="false" indent="0" shrinkToFit="false"/>
      <protection locked="true" hidden="false"/>
    </xf>
    <xf numFmtId="165" fontId="14" fillId="0" borderId="0" xfId="0" applyFont="true" applyBorder="false" applyAlignment="true" applyProtection="true">
      <alignment horizontal="general" vertical="bottom" textRotation="0" wrapText="false" indent="0" shrinkToFit="false"/>
      <protection locked="true" hidden="false"/>
    </xf>
    <xf numFmtId="170" fontId="30" fillId="5" borderId="1" xfId="0" applyFont="true" applyBorder="true" applyAlignment="true" applyProtection="true">
      <alignment horizontal="right" vertical="bottom" textRotation="0" wrapText="false" indent="0" shrinkToFit="true"/>
      <protection locked="true" hidden="false"/>
    </xf>
    <xf numFmtId="174" fontId="25" fillId="2" borderId="1" xfId="0" applyFont="true" applyBorder="true" applyAlignment="true" applyProtection="true">
      <alignment horizontal="right" vertical="bottom" textRotation="0" wrapText="false" indent="0" shrinkToFit="false"/>
      <protection locked="true" hidden="false"/>
    </xf>
    <xf numFmtId="174" fontId="28" fillId="4" borderId="0" xfId="0" applyFont="true" applyBorder="false" applyAlignment="true" applyProtection="true">
      <alignment horizontal="right" vertical="bottom" textRotation="0" wrapText="false" indent="0" shrinkToFit="false"/>
      <protection locked="true" hidden="false"/>
    </xf>
    <xf numFmtId="174" fontId="14" fillId="0" borderId="0" xfId="0" applyFont="true" applyBorder="false" applyAlignment="true" applyProtection="true">
      <alignment horizontal="right" vertical="bottom" textRotation="0" wrapText="false" indent="0" shrinkToFit="false"/>
      <protection locked="true" hidden="false"/>
    </xf>
    <xf numFmtId="171" fontId="10" fillId="4" borderId="1" xfId="0" applyFont="true" applyBorder="true" applyAlignment="true" applyProtection="true">
      <alignment horizontal="right" vertical="bottom" textRotation="0" wrapText="false" indent="0" shrinkToFit="true"/>
      <protection locked="true" hidden="false"/>
    </xf>
    <xf numFmtId="164" fontId="36"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37" fillId="8" borderId="0" xfId="0" applyFont="true" applyBorder="false" applyAlignment="true" applyProtection="true">
      <alignment horizontal="general" vertical="bottom" textRotation="0" wrapText="false" indent="0" shrinkToFit="false"/>
      <protection locked="true" hidden="false"/>
    </xf>
    <xf numFmtId="164" fontId="38" fillId="2" borderId="0" xfId="0" applyFont="true" applyBorder="false" applyAlignment="true" applyProtection="true">
      <alignment horizontal="general" vertical="bottom" textRotation="0" wrapText="false" indent="0" shrinkToFit="false"/>
      <protection locked="true" hidden="false"/>
    </xf>
    <xf numFmtId="175" fontId="0" fillId="5" borderId="0" xfId="0" applyFont="false" applyBorder="false" applyAlignment="true" applyProtection="true">
      <alignment horizontal="general" vertical="bottom" textRotation="0" wrapText="false" indent="0" shrinkToFit="false"/>
      <protection locked="true" hidden="false"/>
    </xf>
    <xf numFmtId="173" fontId="18" fillId="0" borderId="0" xfId="0" applyFont="true" applyBorder="false" applyAlignment="true" applyProtection="true">
      <alignment horizontal="general" vertical="bottom" textRotation="0" wrapText="false" indent="0" shrinkToFit="false"/>
      <protection locked="true" hidden="false"/>
    </xf>
    <xf numFmtId="176" fontId="18" fillId="0" borderId="0" xfId="0" applyFont="true" applyBorder="false" applyAlignment="true" applyProtection="true">
      <alignment horizontal="general" vertical="bottom" textRotation="0" wrapText="false" indent="0" shrinkToFit="false"/>
      <protection locked="true" hidden="false"/>
    </xf>
    <xf numFmtId="164" fontId="37" fillId="8" borderId="0" xfId="0" applyFont="true" applyBorder="false" applyAlignment="true" applyProtection="true">
      <alignment horizontal="general" vertical="top" textRotation="0" wrapText="true" indent="0" shrinkToFit="false"/>
      <protection locked="true" hidden="false"/>
    </xf>
    <xf numFmtId="165" fontId="0" fillId="6" borderId="0" xfId="0" applyFont="false" applyBorder="false" applyAlignment="true" applyProtection="true">
      <alignment horizontal="general" vertical="bottom" textRotation="0" wrapText="false" indent="0" shrinkToFit="false"/>
      <protection locked="true" hidden="false"/>
    </xf>
    <xf numFmtId="172" fontId="0" fillId="6" borderId="0" xfId="0" applyFont="false" applyBorder="false" applyAlignment="true" applyProtection="true">
      <alignment horizontal="general" vertical="bottom" textRotation="0" wrapText="false" indent="0" shrinkToFit="false"/>
      <protection locked="true" hidden="false"/>
    </xf>
    <xf numFmtId="164" fontId="0" fillId="6" borderId="0" xfId="0" applyFont="false" applyBorder="false" applyAlignment="true" applyProtection="true">
      <alignment horizontal="general" vertical="bottom" textRotation="0" wrapText="false" indent="0" shrinkToFit="false"/>
      <protection locked="true" hidden="false"/>
    </xf>
    <xf numFmtId="173" fontId="0" fillId="6" borderId="0" xfId="0" applyFont="false" applyBorder="false" applyAlignment="true" applyProtection="true">
      <alignment horizontal="general" vertical="bottom" textRotation="0" wrapText="false" indent="0" shrinkToFit="false"/>
      <protection locked="true" hidden="false"/>
    </xf>
    <xf numFmtId="167" fontId="0" fillId="6" borderId="0" xfId="0" applyFont="false" applyBorder="false" applyAlignment="true" applyProtection="true">
      <alignment horizontal="general" vertical="bottom" textRotation="0" wrapText="false" indent="0" shrinkToFit="false"/>
      <protection locked="true" hidden="false"/>
    </xf>
    <xf numFmtId="174" fontId="0" fillId="6" borderId="0" xfId="0" applyFont="false" applyBorder="false" applyAlignment="true" applyProtection="true">
      <alignment horizontal="general" vertical="bottom" textRotation="0" wrapText="false" indent="0" shrinkToFit="false"/>
      <protection locked="true" hidden="false"/>
    </xf>
    <xf numFmtId="176" fontId="0" fillId="6" borderId="0" xfId="0" applyFont="false" applyBorder="false" applyAlignment="true" applyProtection="true">
      <alignment horizontal="general" vertical="bottom" textRotation="0" wrapText="false" indent="0" shrinkToFit="false"/>
      <protection locked="true" hidden="false"/>
    </xf>
    <xf numFmtId="166" fontId="0" fillId="6" borderId="0" xfId="0" applyFont="false" applyBorder="false" applyAlignment="true" applyProtection="true">
      <alignment horizontal="general" vertical="bottom" textRotation="0" wrapText="false" indent="0" shrinkToFit="false"/>
      <protection locked="true" hidden="false"/>
    </xf>
    <xf numFmtId="175" fontId="0" fillId="9" borderId="0" xfId="0" applyFont="false" applyBorder="false" applyAlignment="true" applyProtection="true">
      <alignment horizontal="general" vertical="bottom" textRotation="0" wrapText="false" indent="0" shrinkToFit="false"/>
      <protection locked="true" hidden="false"/>
    </xf>
    <xf numFmtId="177" fontId="0" fillId="0" borderId="0" xfId="0" applyFont="false" applyBorder="false" applyAlignment="true" applyProtection="true">
      <alignment horizontal="general" vertical="bottom" textRotation="0" wrapText="false" indent="0" shrinkToFit="false"/>
      <protection locked="true" hidden="false"/>
    </xf>
    <xf numFmtId="178" fontId="0" fillId="0" borderId="0" xfId="0" applyFont="false" applyBorder="false" applyAlignment="true" applyProtection="true">
      <alignment horizontal="general" vertical="bottom" textRotation="0" wrapText="false" indent="0" shrinkToFit="false"/>
      <protection locked="true" hidden="false"/>
    </xf>
    <xf numFmtId="164" fontId="39" fillId="0" borderId="0" xfId="0" applyFont="true" applyBorder="false" applyAlignment="true" applyProtection="true">
      <alignment horizontal="general" vertical="bottom" textRotation="0" wrapText="false" indent="0" shrinkToFit="false"/>
      <protection locked="true" hidden="false"/>
    </xf>
    <xf numFmtId="173" fontId="0" fillId="0" borderId="0" xfId="0" applyFont="false" applyBorder="false" applyAlignment="true" applyProtection="true">
      <alignment horizontal="general" vertical="bottom" textRotation="0" wrapText="false" indent="0" shrinkToFit="false"/>
      <protection locked="true" hidden="false"/>
    </xf>
    <xf numFmtId="164" fontId="38" fillId="9" borderId="0" xfId="0" applyFont="true" applyBorder="false" applyAlignment="true" applyProtection="true">
      <alignment horizontal="general" vertical="bottom" textRotation="0" wrapText="false" indent="0" shrinkToFit="false"/>
      <protection locked="true" hidden="false"/>
    </xf>
    <xf numFmtId="164" fontId="0" fillId="8"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5" borderId="0" xfId="0" applyFont="true" applyBorder="false" applyAlignment="true" applyProtection="true">
      <alignment horizontal="general" vertical="top" textRotation="0" wrapText="true" indent="0" shrinkToFit="false"/>
      <protection locked="true" hidden="false"/>
    </xf>
    <xf numFmtId="164" fontId="0" fillId="7" borderId="0" xfId="0" applyFont="true" applyBorder="false" applyAlignment="true" applyProtection="true">
      <alignment horizontal="general" vertical="top" textRotation="0" wrapText="true" indent="0" shrinkToFit="false"/>
      <protection locked="true" hidden="false"/>
    </xf>
    <xf numFmtId="164" fontId="0" fillId="6" borderId="0" xfId="0" applyFont="true" applyBorder="false" applyAlignment="true" applyProtection="true">
      <alignment horizontal="general" vertical="top" textRotation="0" wrapText="tru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70" fontId="10" fillId="4" borderId="1" xfId="0" applyFont="true" applyBorder="true" applyAlignment="true" applyProtection="true">
      <alignment horizontal="general" vertical="bottom" textRotation="0" wrapText="false" indent="0" shrinkToFit="false"/>
      <protection locked="true" hidden="false"/>
    </xf>
    <xf numFmtId="164" fontId="40" fillId="0" borderId="0" xfId="0" applyFont="true" applyBorder="false" applyAlignment="true" applyProtection="true">
      <alignment horizontal="general" vertical="bottom" textRotation="0" wrapText="true" indent="0" shrinkToFit="false"/>
      <protection locked="true" hidden="false"/>
    </xf>
    <xf numFmtId="165" fontId="10" fillId="4" borderId="1" xfId="0" applyFont="true" applyBorder="true" applyAlignment="true" applyProtection="true">
      <alignment horizontal="general" vertical="bottom" textRotation="0" wrapText="false" indent="0" shrinkToFit="false"/>
      <protection locked="true" hidden="false"/>
    </xf>
    <xf numFmtId="174" fontId="10" fillId="4" borderId="1" xfId="0" applyFont="true" applyBorder="true" applyAlignment="true" applyProtection="true">
      <alignment horizontal="general" vertical="bottom" textRotation="0" wrapText="false" indent="0" shrinkToFit="false"/>
      <protection locked="true" hidden="false"/>
    </xf>
    <xf numFmtId="174" fontId="6" fillId="5" borderId="1" xfId="0" applyFont="true" applyBorder="true" applyAlignment="true" applyProtection="true">
      <alignment horizontal="general" vertical="bottom" textRotation="0" wrapText="false" indent="0" shrinkToFit="false"/>
      <protection locked="true" hidden="false"/>
    </xf>
    <xf numFmtId="172" fontId="6" fillId="5" borderId="1" xfId="0" applyFont="true" applyBorder="true" applyAlignment="true" applyProtection="true">
      <alignment horizontal="general" vertical="bottom" textRotation="0" wrapText="false" indent="0" shrinkToFit="false"/>
      <protection locked="true" hidden="false"/>
    </xf>
    <xf numFmtId="164" fontId="14" fillId="0" borderId="0" xfId="0" applyFont="true" applyBorder="true" applyAlignment="true" applyProtection="true">
      <alignment horizontal="general" vertical="bottom" textRotation="0" wrapText="false" indent="0" shrinkToFit="false"/>
      <protection locked="true" hidden="false"/>
    </xf>
    <xf numFmtId="164" fontId="41" fillId="4" borderId="0" xfId="0" applyFont="true" applyBorder="false" applyAlignment="true" applyProtection="true">
      <alignment horizontal="general" vertical="bottom" textRotation="0" wrapText="true" indent="0" shrinkToFit="false"/>
      <protection locked="true" hidden="false"/>
    </xf>
    <xf numFmtId="174" fontId="14" fillId="0" borderId="0" xfId="0" applyFont="true" applyBorder="false" applyAlignment="true" applyProtection="true">
      <alignment horizontal="general" vertical="bottom" textRotation="0" wrapText="false" indent="0" shrinkToFit="false"/>
      <protection locked="true" hidden="false"/>
    </xf>
    <xf numFmtId="164" fontId="42" fillId="0" borderId="0" xfId="0" applyFont="tru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general" vertical="bottom" textRotation="0" wrapText="true" indent="0" shrinkToFit="false"/>
      <protection locked="true" hidden="false"/>
    </xf>
    <xf numFmtId="164" fontId="17" fillId="0" borderId="1" xfId="0" applyFont="true" applyBorder="true" applyAlignment="true" applyProtection="true">
      <alignment horizontal="general" vertical="top" textRotation="0" wrapText="true" indent="0" shrinkToFit="false"/>
      <protection locked="true" hidden="false"/>
    </xf>
    <xf numFmtId="164" fontId="14" fillId="0" borderId="1" xfId="0" applyFont="true" applyBorder="true" applyAlignment="true" applyProtection="true">
      <alignment horizontal="general" vertical="top" textRotation="0" wrapText="true" indent="0" shrinkToFit="false"/>
      <protection locked="true" hidden="false"/>
    </xf>
    <xf numFmtId="164" fontId="43" fillId="0" borderId="0" xfId="0" applyFont="true" applyBorder="false" applyAlignment="true" applyProtection="true">
      <alignment horizontal="general" vertical="bottom" textRotation="0" wrapText="false" indent="0" shrinkToFit="false"/>
      <protection locked="true" hidden="false"/>
    </xf>
    <xf numFmtId="164" fontId="44" fillId="0" borderId="0" xfId="0" applyFont="true" applyBorder="false" applyAlignment="true" applyProtection="true">
      <alignment horizontal="general" vertical="bottom" textRotation="0" wrapText="false" indent="0" shrinkToFit="false"/>
      <protection locked="true" hidden="false"/>
    </xf>
    <xf numFmtId="164" fontId="45" fillId="0" borderId="0" xfId="0" applyFont="true" applyBorder="false" applyAlignment="true" applyProtection="true">
      <alignment horizontal="general" vertical="bottom" textRotation="0" wrapText="false" indent="0" shrinkToFit="false"/>
      <protection locked="true" hidden="false"/>
    </xf>
    <xf numFmtId="164" fontId="37" fillId="8" borderId="0" xfId="0" applyFont="true" applyBorder="false" applyAlignment="true" applyProtection="true">
      <alignment horizontal="general" vertical="bottom" textRotation="0" wrapText="true" indent="0" shrinkToFit="false"/>
      <protection locked="true" hidden="false"/>
    </xf>
    <xf numFmtId="176" fontId="38" fillId="2" borderId="0" xfId="0" applyFont="true" applyBorder="false" applyAlignment="true" applyProtection="true">
      <alignment horizontal="general" vertical="bottom" textRotation="0" wrapText="false" indent="0" shrinkToFit="false"/>
      <protection locked="true" hidden="false"/>
    </xf>
    <xf numFmtId="173" fontId="38" fillId="2" borderId="0" xfId="0" applyFont="true" applyBorder="false" applyAlignment="true" applyProtection="true">
      <alignment horizontal="general" vertical="bottom" textRotation="0" wrapText="false" indent="0" shrinkToFit="false"/>
      <protection locked="true" hidden="false"/>
    </xf>
    <xf numFmtId="176" fontId="0" fillId="5" borderId="0" xfId="0" applyFont="false" applyBorder="false" applyAlignment="true" applyProtection="true">
      <alignment horizontal="general" vertical="bottom" textRotation="0" wrapText="false" indent="0" shrinkToFit="false"/>
      <protection locked="true" hidden="false"/>
    </xf>
    <xf numFmtId="173" fontId="0" fillId="5" borderId="0" xfId="0" applyFont="false" applyBorder="false" applyAlignment="true" applyProtection="true">
      <alignment horizontal="general" vertical="bottom" textRotation="0" wrapText="false" indent="0" shrinkToFit="false"/>
      <protection locked="true" hidden="false"/>
    </xf>
    <xf numFmtId="176" fontId="0" fillId="9" borderId="0" xfId="0" applyFont="false" applyBorder="false" applyAlignment="true" applyProtection="true">
      <alignment horizontal="general" vertical="bottom" textRotation="0" wrapText="false" indent="0" shrinkToFit="false"/>
      <protection locked="true" hidden="false"/>
    </xf>
    <xf numFmtId="166" fontId="0" fillId="5" borderId="0" xfId="0" applyFont="false" applyBorder="false" applyAlignment="true" applyProtection="true">
      <alignment horizontal="general" vertical="bottom" textRotation="0" wrapText="false" indent="0" shrinkToFit="false"/>
      <protection locked="true" hidden="false"/>
    </xf>
    <xf numFmtId="164" fontId="39" fillId="9" borderId="0" xfId="0" applyFont="true" applyBorder="false" applyAlignment="true" applyProtection="true">
      <alignment horizontal="general" vertical="bottom" textRotation="0" wrapText="false" indent="0" shrinkToFit="false"/>
      <protection locked="true" hidden="false"/>
    </xf>
    <xf numFmtId="173" fontId="46" fillId="9" borderId="0" xfId="0" applyFont="true" applyBorder="false" applyAlignment="true" applyProtection="true">
      <alignment horizontal="general" vertical="bottom" textRotation="0" wrapText="false" indent="0" shrinkToFit="false"/>
      <protection locked="true" hidden="false"/>
    </xf>
    <xf numFmtId="172" fontId="38" fillId="2" borderId="0" xfId="0" applyFont="true" applyBorder="false" applyAlignment="true" applyProtection="true">
      <alignment horizontal="general" vertical="bottom" textRotation="0" wrapText="false" indent="0" shrinkToFit="false"/>
      <protection locked="true" hidden="false"/>
    </xf>
    <xf numFmtId="172" fontId="0" fillId="0" borderId="0" xfId="0" applyFont="false" applyBorder="false" applyAlignment="true" applyProtection="true">
      <alignment horizontal="general" vertical="bottom" textRotation="0" wrapText="false" indent="0" shrinkToFit="false"/>
      <protection locked="true" hidden="false"/>
    </xf>
    <xf numFmtId="164" fontId="47"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true" applyAlignment="true" applyProtection="true">
      <alignment horizontal="general" vertical="bottom" textRotation="0" wrapText="true" indent="0" shrinkToFit="false"/>
      <protection locked="true" hidden="false"/>
    </xf>
    <xf numFmtId="164" fontId="48" fillId="0" borderId="0" xfId="0" applyFont="true" applyBorder="false" applyAlignment="true" applyProtection="true">
      <alignment horizontal="general" vertical="top" textRotation="0" wrapText="true" indent="0" shrinkToFit="false"/>
      <protection locked="true" hidden="false"/>
    </xf>
    <xf numFmtId="165" fontId="12" fillId="4" borderId="1" xfId="0" applyFont="true" applyBorder="true" applyAlignment="true" applyProtection="true">
      <alignment horizontal="general" vertical="bottom" textRotation="0" wrapText="false" indent="0" shrinkToFit="false"/>
      <protection locked="true" hidden="false"/>
    </xf>
    <xf numFmtId="164" fontId="49" fillId="0" borderId="0" xfId="0" applyFont="true" applyBorder="false" applyAlignment="true" applyProtection="true">
      <alignment horizontal="general" vertical="top" textRotation="0" wrapText="true" indent="0" shrinkToFit="false"/>
      <protection locked="true" hidden="false"/>
    </xf>
    <xf numFmtId="172" fontId="12" fillId="4" borderId="1" xfId="0" applyFont="true" applyBorder="true" applyAlignment="true" applyProtection="true">
      <alignment horizontal="general" vertical="bottom" textRotation="0" wrapText="false" indent="0" shrinkToFit="false"/>
      <protection locked="true" hidden="false"/>
    </xf>
    <xf numFmtId="173" fontId="12" fillId="4" borderId="1" xfId="0" applyFont="true" applyBorder="true" applyAlignment="true" applyProtection="true">
      <alignment horizontal="general" vertical="bottom" textRotation="0" wrapText="false" indent="0" shrinkToFit="false"/>
      <protection locked="true" hidden="false"/>
    </xf>
    <xf numFmtId="166" fontId="12" fillId="4" borderId="1" xfId="0" applyFont="true" applyBorder="true" applyAlignment="true" applyProtection="true">
      <alignment horizontal="general" vertical="bottom" textRotation="0" wrapText="false" indent="0" shrinkToFit="false"/>
      <protection locked="true" hidden="false"/>
    </xf>
    <xf numFmtId="170" fontId="12" fillId="4" borderId="1" xfId="0" applyFont="true" applyBorder="true" applyAlignment="true" applyProtection="true">
      <alignment horizontal="general" vertical="bottom" textRotation="0" wrapText="false" indent="0" shrinkToFit="false"/>
      <protection locked="true" hidden="false"/>
    </xf>
    <xf numFmtId="167" fontId="12" fillId="4" borderId="1" xfId="0" applyFont="true" applyBorder="true" applyAlignment="true" applyProtection="true">
      <alignment horizontal="general" vertical="bottom" textRotation="0" wrapText="false" indent="0" shrinkToFit="false"/>
      <protection locked="true" hidden="false"/>
    </xf>
    <xf numFmtId="164" fontId="12" fillId="4" borderId="1" xfId="0" applyFont="true" applyBorder="true" applyAlignment="true" applyProtection="true">
      <alignment horizontal="general" vertical="bottom" textRotation="0" wrapText="false" indent="0" shrinkToFit="false"/>
      <protection locked="true" hidden="false"/>
    </xf>
    <xf numFmtId="164" fontId="48" fillId="0" borderId="0" xfId="0" applyFont="true" applyBorder="false" applyAlignment="true" applyProtection="true">
      <alignment horizontal="general" vertical="bottom" textRotation="0" wrapText="false" indent="0" shrinkToFit="false"/>
      <protection locked="true" hidden="false"/>
    </xf>
    <xf numFmtId="164" fontId="49" fillId="0" borderId="0" xfId="0" applyFont="true" applyBorder="false" applyAlignment="true" applyProtection="true">
      <alignment horizontal="general" vertical="bottom" textRotation="0" wrapText="false" indent="0" shrinkToFit="false"/>
      <protection locked="true" hidden="false"/>
    </xf>
    <xf numFmtId="174" fontId="12" fillId="4" borderId="1" xfId="0" applyFont="true" applyBorder="true" applyAlignment="true" applyProtection="true">
      <alignment horizontal="general" vertical="bottom" textRotation="0" wrapText="false" indent="0" shrinkToFit="false"/>
      <protection locked="true" hidden="false"/>
    </xf>
    <xf numFmtId="168" fontId="12" fillId="4" borderId="1" xfId="0" applyFont="true" applyBorder="true" applyAlignment="true" applyProtection="true">
      <alignment horizontal="general" vertical="bottom" textRotation="0" wrapText="false" indent="0" shrinkToFit="false"/>
      <protection locked="true" hidden="false"/>
    </xf>
    <xf numFmtId="179" fontId="12" fillId="4" borderId="1"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6" fontId="0" fillId="2" borderId="0" xfId="0" applyFont="false" applyBorder="false" applyAlignment="true" applyProtection="true">
      <alignment horizontal="general" vertical="bottom" textRotation="0" wrapText="false" indent="0" shrinkToFit="false"/>
      <protection locked="true" hidden="false"/>
    </xf>
    <xf numFmtId="165" fontId="0" fillId="2" borderId="0" xfId="0" applyFont="fals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4E79"/>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7F6000"/>
      <rgbColor rgb="FF800080"/>
      <rgbColor rgb="FF1F6E43"/>
      <rgbColor rgb="FFBFBFBF"/>
      <rgbColor rgb="FF808080"/>
      <rgbColor rgb="FF5B9BD5"/>
      <rgbColor rgb="FF993366"/>
      <rgbColor rgb="FFFFF2CC"/>
      <rgbColor rgb="FFDDEBF7"/>
      <rgbColor rgb="FF660066"/>
      <rgbColor rgb="FFFF8080"/>
      <rgbColor rgb="FF0563C1"/>
      <rgbColor rgb="FFEDEDED"/>
      <rgbColor rgb="FF000080"/>
      <rgbColor rgb="FFFF00FF"/>
      <rgbColor rgb="FFFFFF00"/>
      <rgbColor rgb="FF00FFFF"/>
      <rgbColor rgb="FF800080"/>
      <rgbColor rgb="FF800000"/>
      <rgbColor rgb="FF008080"/>
      <rgbColor rgb="FF0000FF"/>
      <rgbColor rgb="FF00CCFF"/>
      <rgbColor rgb="FFF2F2F2"/>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7F7F7F"/>
      <rgbColor rgb="FF1F3864"/>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7.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8.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9.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0.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11.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12.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3.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4.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5.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6.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7.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8.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9.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20.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21.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22.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23.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4.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5.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26.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7.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8.vml"/>
</Relationships>
</file>

<file path=xl/worksheets/_rels/sheet38.xml.rels><?xml version="1.0" encoding="UTF-8"?>
<Relationships xmlns="http://schemas.openxmlformats.org/package/2006/relationships"><Relationship Id="rId1" Type="http://schemas.openxmlformats.org/officeDocument/2006/relationships/drawing" Target="../drawings/drawing1.xml"/>
</Relationships>
</file>

<file path=xl/worksheets/_rels/sheet39.xml.rels><?xml version="1.0" encoding="UTF-8"?>
<Relationships xmlns="http://schemas.openxmlformats.org/package/2006/relationships"><Relationship Id="rId1" Type="http://schemas.openxmlformats.org/officeDocument/2006/relationships/comments" Target="../comments39.xml"/><Relationship Id="rId2" Type="http://schemas.openxmlformats.org/officeDocument/2006/relationships/vmlDrawing" Target="../drawings/vmlDrawing29.vml"/>
</Relationships>
</file>

<file path=xl/worksheets/_rels/sheet40.xml.rels><?xml version="1.0" encoding="UTF-8"?>
<Relationships xmlns="http://schemas.openxmlformats.org/package/2006/relationships"><Relationship Id="rId1" Type="http://schemas.openxmlformats.org/officeDocument/2006/relationships/hyperlink" Target="https://pensionsauthority.ie/scheme-members-and-prsa-contributors/understanding-pensions/your_right_to_information/statement_of_reasonable_projection/" TargetMode="External"/><Relationship Id="rId2" Type="http://schemas.openxmlformats.org/officeDocument/2006/relationships/hyperlink" Target="https://pensionsauthority.ie/news_press/news_archive/updated-pension-benefit-statement-projection-assumptions/" TargetMode="External"/><Relationship Id="rId3" Type="http://schemas.openxmlformats.org/officeDocument/2006/relationships/hyperlink" Target="https://www.centralbank.ie/code" TargetMode="External"/><Relationship Id="rId4" Type="http://schemas.openxmlformats.org/officeDocument/2006/relationships/hyperlink" Target="https://www.revenue.ie/en/corporate/press-office/press-releases/2019/pr-200619-employees-new-facility-view-current-pay-and-tax-details-through-revenue-myaccount.aspx" TargetMode="External"/><Relationship Id="rId5" Type="http://schemas.openxmlformats.org/officeDocument/2006/relationships/hyperlink" Target="https://www.gov.ie/en/publication/0fbf7-request-a-contribution-statement"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4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22"/>
    <col collapsed="false" customWidth="true" hidden="false" outlineLevel="0" max="3" min="3" style="1" width="40"/>
    <col collapsed="false" customWidth="true" hidden="false" outlineLevel="0" max="4" min="4" style="1" width="70"/>
    <col collapsed="false" customWidth="true" hidden="false" outlineLevel="0" max="5" min="5" style="1" width="30"/>
  </cols>
  <sheetData>
    <row r="1" customFormat="false" ht="21.75" hidden="false" customHeight="true" outlineLevel="0" collapsed="false">
      <c r="B1" s="2" t="s">
        <v>0</v>
      </c>
    </row>
    <row r="2" customFormat="false" ht="15" hidden="false" customHeight="true" outlineLevel="0" collapsed="false">
      <c r="B2" s="3" t="s">
        <v>1</v>
      </c>
    </row>
    <row r="3" customFormat="false" ht="15" hidden="false" customHeight="true" outlineLevel="0" collapsed="false">
      <c r="B3" s="4" t="s">
        <v>2</v>
      </c>
      <c r="C3" s="5" t="s">
        <v>3</v>
      </c>
      <c r="D3" s="6" t="s">
        <v>4</v>
      </c>
    </row>
    <row r="4" customFormat="false" ht="15" hidden="false" customHeight="true" outlineLevel="0" collapsed="false">
      <c r="B4" s="7" t="s">
        <v>5</v>
      </c>
    </row>
    <row r="5" customFormat="false" ht="15" hidden="false" customHeight="true" outlineLevel="0" collapsed="false">
      <c r="B5" s="8" t="s">
        <v>6</v>
      </c>
      <c r="C5" s="8"/>
      <c r="D5" s="8"/>
      <c r="E5" s="8"/>
    </row>
    <row r="6" customFormat="false" ht="15" hidden="false" customHeight="true" outlineLevel="0" collapsed="false">
      <c r="B6" s="8" t="s">
        <v>7</v>
      </c>
      <c r="C6" s="8"/>
      <c r="D6" s="8"/>
      <c r="E6" s="8"/>
    </row>
    <row r="7" customFormat="false" ht="15" hidden="false" customHeight="true" outlineLevel="0" collapsed="false">
      <c r="B7" s="8" t="s">
        <v>8</v>
      </c>
      <c r="C7" s="8"/>
      <c r="D7" s="8"/>
      <c r="E7" s="8"/>
    </row>
    <row r="8" customFormat="false" ht="15" hidden="false" customHeight="true" outlineLevel="0" collapsed="false">
      <c r="B8" s="8" t="s">
        <v>9</v>
      </c>
      <c r="C8" s="8"/>
      <c r="D8" s="8"/>
      <c r="E8" s="8"/>
    </row>
    <row r="9" customFormat="false" ht="15" hidden="false" customHeight="true" outlineLevel="0" collapsed="false">
      <c r="B9" s="8" t="s">
        <v>10</v>
      </c>
      <c r="C9" s="8"/>
      <c r="D9" s="8"/>
      <c r="E9" s="8"/>
    </row>
    <row r="10" customFormat="false" ht="15" hidden="false" customHeight="true" outlineLevel="0" collapsed="false">
      <c r="B10" s="8" t="s">
        <v>11</v>
      </c>
      <c r="C10" s="8"/>
      <c r="D10" s="8"/>
      <c r="E10" s="8"/>
    </row>
    <row r="11" customFormat="false" ht="15" hidden="false" customHeight="true" outlineLevel="0" collapsed="false">
      <c r="B11" s="8" t="s">
        <v>12</v>
      </c>
      <c r="C11" s="8"/>
      <c r="D11" s="8"/>
      <c r="E11" s="8"/>
    </row>
    <row r="12" customFormat="false" ht="15" hidden="false" customHeight="true" outlineLevel="0" collapsed="false">
      <c r="B12" s="8" t="s">
        <v>13</v>
      </c>
      <c r="C12" s="8"/>
      <c r="D12" s="8"/>
      <c r="E12" s="8"/>
    </row>
    <row r="13" customFormat="false" ht="15" hidden="false" customHeight="true" outlineLevel="0" collapsed="false">
      <c r="B13" s="8" t="s">
        <v>14</v>
      </c>
      <c r="C13" s="8"/>
      <c r="D13" s="8"/>
      <c r="E13" s="8"/>
    </row>
    <row r="14" customFormat="false" ht="15" hidden="false" customHeight="true" outlineLevel="0" collapsed="false">
      <c r="B14" s="8" t="s">
        <v>15</v>
      </c>
      <c r="C14" s="8"/>
      <c r="D14" s="8"/>
      <c r="E14" s="8"/>
    </row>
    <row r="15" customFormat="false" ht="15" hidden="false" customHeight="true" outlineLevel="0" collapsed="false">
      <c r="B15" s="1" t="s">
        <v>16</v>
      </c>
    </row>
    <row r="16" customFormat="false" ht="15" hidden="false" customHeight="true" outlineLevel="0" collapsed="false">
      <c r="B16" s="7" t="s">
        <v>17</v>
      </c>
    </row>
    <row r="17" customFormat="false" ht="15" hidden="false" customHeight="true" outlineLevel="0" collapsed="false">
      <c r="B17" s="8" t="s">
        <v>18</v>
      </c>
      <c r="C17" s="8"/>
      <c r="D17" s="8"/>
      <c r="E17" s="8"/>
    </row>
    <row r="18" customFormat="false" ht="15" hidden="false" customHeight="true" outlineLevel="0" collapsed="false">
      <c r="B18" s="8" t="s">
        <v>19</v>
      </c>
      <c r="C18" s="8"/>
      <c r="D18" s="8"/>
      <c r="E18" s="8"/>
    </row>
    <row r="19" customFormat="false" ht="15" hidden="false" customHeight="true" outlineLevel="0" collapsed="false">
      <c r="B19" s="8" t="s">
        <v>20</v>
      </c>
      <c r="C19" s="8"/>
      <c r="D19" s="8"/>
      <c r="E19" s="8"/>
    </row>
    <row r="20" customFormat="false" ht="15" hidden="false" customHeight="true" outlineLevel="0" collapsed="false">
      <c r="B20" s="8" t="s">
        <v>21</v>
      </c>
      <c r="C20" s="8"/>
      <c r="D20" s="8"/>
      <c r="E20" s="8"/>
    </row>
    <row r="21" customFormat="false" ht="15" hidden="false" customHeight="true" outlineLevel="0" collapsed="false">
      <c r="B21" s="8" t="s">
        <v>22</v>
      </c>
      <c r="C21" s="8"/>
      <c r="D21" s="8"/>
      <c r="E21" s="8"/>
    </row>
    <row r="22" customFormat="false" ht="15" hidden="false" customHeight="true" outlineLevel="0" collapsed="false">
      <c r="B22" s="8" t="s">
        <v>23</v>
      </c>
      <c r="C22" s="8"/>
      <c r="D22" s="8"/>
      <c r="E22" s="8"/>
    </row>
    <row r="23" customFormat="false" ht="15" hidden="false" customHeight="false" outlineLevel="0" collapsed="false">
      <c r="B23" s="9" t="s">
        <v>24</v>
      </c>
    </row>
    <row r="24" customFormat="false" ht="15" hidden="false" customHeight="true" outlineLevel="0" collapsed="false">
      <c r="B24" s="7" t="s">
        <v>25</v>
      </c>
    </row>
    <row r="25" customFormat="false" ht="15" hidden="false" customHeight="true" outlineLevel="0" collapsed="false">
      <c r="B25" s="8" t="s">
        <v>26</v>
      </c>
      <c r="C25" s="8"/>
      <c r="D25" s="8"/>
      <c r="E25" s="8"/>
    </row>
    <row r="27" customFormat="false" ht="15" hidden="false" customHeight="true" outlineLevel="0" collapsed="false">
      <c r="B27" s="7" t="s">
        <v>27</v>
      </c>
    </row>
    <row r="28" customFormat="false" ht="48" hidden="false" customHeight="true" outlineLevel="0" collapsed="false">
      <c r="B28" s="10" t="s">
        <v>28</v>
      </c>
      <c r="C28" s="10"/>
      <c r="D28" s="10"/>
      <c r="E28" s="10"/>
    </row>
    <row r="30" customFormat="false" ht="15" hidden="false" customHeight="true" outlineLevel="0" collapsed="false">
      <c r="B30" s="7" t="s">
        <v>29</v>
      </c>
    </row>
    <row r="31" customFormat="false" ht="15" hidden="false" customHeight="true" outlineLevel="0" collapsed="false">
      <c r="B31" s="11" t="s">
        <v>30</v>
      </c>
      <c r="C31" s="11" t="s">
        <v>31</v>
      </c>
      <c r="D31" s="11" t="s">
        <v>32</v>
      </c>
      <c r="E31" s="11" t="s">
        <v>33</v>
      </c>
    </row>
    <row r="32" customFormat="false" ht="15" hidden="false" customHeight="true" outlineLevel="0" collapsed="false">
      <c r="B32" s="12" t="s">
        <v>34</v>
      </c>
      <c r="C32" s="13" t="str">
        <f aca="false">HYPERLINK("#'C01 Borrowing'!A1","How much could I borrow?")</f>
        <v>How much could I borrow?</v>
      </c>
      <c r="D32" s="14" t="s">
        <v>35</v>
      </c>
      <c r="E32" s="14" t="s">
        <v>36</v>
      </c>
    </row>
    <row r="33" customFormat="false" ht="15" hidden="false" customHeight="true" outlineLevel="0" collapsed="false">
      <c r="B33" s="12" t="s">
        <v>37</v>
      </c>
      <c r="C33" s="13" t="str">
        <f aca="false">HYPERLINK("#'C02 Mortgage repayment'!A1","Monthly mortgage repayment")</f>
        <v>Monthly mortgage repayment</v>
      </c>
      <c r="D33" s="14" t="s">
        <v>38</v>
      </c>
      <c r="E33" s="14" t="s">
        <v>36</v>
      </c>
    </row>
    <row r="34" customFormat="false" ht="15" hidden="false" customHeight="true" outlineLevel="0" collapsed="false">
      <c r="B34" s="12" t="s">
        <v>39</v>
      </c>
      <c r="C34" s="13" t="str">
        <f aca="false">HYPERLINK("#'C03 Deposit'!A1","Deposit calculator")</f>
        <v>Deposit calculator</v>
      </c>
      <c r="D34" s="14" t="s">
        <v>40</v>
      </c>
      <c r="E34" s="14" t="s">
        <v>36</v>
      </c>
    </row>
    <row r="35" customFormat="false" ht="15" hidden="false" customHeight="true" outlineLevel="0" collapsed="false">
      <c r="B35" s="12" t="s">
        <v>41</v>
      </c>
      <c r="C35" s="13" t="str">
        <f aca="false">HYPERLINK("#'C04 Mortgage overpayment'!A1","Mortgage overpayment")</f>
        <v>Mortgage overpayment</v>
      </c>
      <c r="D35" s="14" t="s">
        <v>42</v>
      </c>
      <c r="E35" s="14" t="s">
        <v>36</v>
      </c>
    </row>
    <row r="36" customFormat="false" ht="15" hidden="false" customHeight="true" outlineLevel="0" collapsed="false">
      <c r="B36" s="12" t="s">
        <v>43</v>
      </c>
      <c r="C36" s="13" t="str">
        <f aca="false">HYPERLINK("#'C05 Interest rate impact'!A1","Interest-rate impact")</f>
        <v>Interest-rate impact</v>
      </c>
      <c r="D36" s="14" t="s">
        <v>44</v>
      </c>
      <c r="E36" s="14" t="s">
        <v>36</v>
      </c>
    </row>
    <row r="37" customFormat="false" ht="15" hidden="false" customHeight="true" outlineLevel="0" collapsed="false">
      <c r="B37" s="12" t="s">
        <v>45</v>
      </c>
      <c r="C37" s="13" t="str">
        <f aca="false">HYPERLINK("#'C06 Term comparison'!A1","Mortgage term comparison")</f>
        <v>Mortgage term comparison</v>
      </c>
      <c r="D37" s="14" t="s">
        <v>46</v>
      </c>
      <c r="E37" s="14" t="s">
        <v>36</v>
      </c>
    </row>
    <row r="38" customFormat="false" ht="15" hidden="false" customHeight="true" outlineLevel="0" collapsed="false">
      <c r="B38" s="12" t="s">
        <v>47</v>
      </c>
      <c r="C38" s="13" t="str">
        <f aca="false">HYPERLINK("#'C07 Rent vs buy'!A1","Rent vs buy")</f>
        <v>Rent vs buy</v>
      </c>
      <c r="D38" s="14" t="s">
        <v>48</v>
      </c>
      <c r="E38" s="14" t="s">
        <v>36</v>
      </c>
    </row>
    <row r="39" customFormat="false" ht="15" hidden="false" customHeight="true" outlineLevel="0" collapsed="false">
      <c r="B39" s="12" t="s">
        <v>49</v>
      </c>
      <c r="C39" s="13" t="str">
        <f aca="false">HYPERLINK("#'C08 Goal planner'!A1","Goal planner")</f>
        <v>Goal planner</v>
      </c>
      <c r="D39" s="14" t="s">
        <v>50</v>
      </c>
      <c r="E39" s="14" t="s">
        <v>51</v>
      </c>
    </row>
    <row r="40" customFormat="false" ht="15" hidden="false" customHeight="true" outlineLevel="0" collapsed="false">
      <c r="B40" s="12" t="s">
        <v>52</v>
      </c>
      <c r="C40" s="13" t="str">
        <f aca="false">HYPERLINK("#'C09 Compound growth'!A1","Compound growth")</f>
        <v>Compound growth</v>
      </c>
      <c r="D40" s="14" t="s">
        <v>53</v>
      </c>
      <c r="E40" s="14" t="s">
        <v>51</v>
      </c>
    </row>
    <row r="41" customFormat="false" ht="15" hidden="false" customHeight="true" outlineLevel="0" collapsed="false">
      <c r="B41" s="12" t="s">
        <v>54</v>
      </c>
      <c r="C41" s="13" t="str">
        <f aca="false">HYPERLINK("#'C10 Lump sum growth'!A1","Lump-sum growth")</f>
        <v>Lump-sum growth</v>
      </c>
      <c r="D41" s="14" t="s">
        <v>55</v>
      </c>
      <c r="E41" s="14" t="s">
        <v>56</v>
      </c>
    </row>
    <row r="42" customFormat="false" ht="15" hidden="false" customHeight="true" outlineLevel="0" collapsed="false">
      <c r="B42" s="12" t="s">
        <v>57</v>
      </c>
      <c r="C42" s="13" t="str">
        <f aca="false">HYPERLINK("#'C11 Emergency fund'!A1","Emergency fund")</f>
        <v>Emergency fund</v>
      </c>
      <c r="D42" s="14" t="s">
        <v>58</v>
      </c>
      <c r="E42" s="14" t="s">
        <v>51</v>
      </c>
    </row>
    <row r="43" customFormat="false" ht="15" hidden="false" customHeight="true" outlineLevel="0" collapsed="false">
      <c r="B43" s="12" t="s">
        <v>59</v>
      </c>
      <c r="C43" s="13" t="str">
        <f aca="false">HYPERLINK("#'C12 Retirement projection'!A1","Retirement projection")</f>
        <v>Retirement projection</v>
      </c>
      <c r="D43" s="14" t="s">
        <v>60</v>
      </c>
      <c r="E43" s="14" t="s">
        <v>61</v>
      </c>
    </row>
    <row r="44" customFormat="false" ht="15" hidden="false" customHeight="true" outlineLevel="0" collapsed="false">
      <c r="B44" s="12" t="s">
        <v>62</v>
      </c>
      <c r="C44" s="13" t="str">
        <f aca="false">HYPERLINK("#'C13 Contribution impact'!A1","Contribution impact")</f>
        <v>Contribution impact</v>
      </c>
      <c r="D44" s="14" t="s">
        <v>63</v>
      </c>
      <c r="E44" s="14" t="s">
        <v>61</v>
      </c>
    </row>
    <row r="45" customFormat="false" ht="15" hidden="false" customHeight="true" outlineLevel="0" collapsed="false">
      <c r="B45" s="12" t="s">
        <v>64</v>
      </c>
      <c r="C45" s="13" t="str">
        <f aca="false">HYPERLINK("#'C14 AVC impact'!A1","AVC impact")</f>
        <v>AVC impact</v>
      </c>
      <c r="D45" s="14" t="s">
        <v>65</v>
      </c>
      <c r="E45" s="14" t="s">
        <v>61</v>
      </c>
    </row>
    <row r="46" customFormat="false" ht="15" hidden="false" customHeight="true" outlineLevel="0" collapsed="false">
      <c r="B46" s="12" t="s">
        <v>66</v>
      </c>
      <c r="C46" s="13" t="str">
        <f aca="false">HYPERLINK("#'C15 Will my money last'!A1","Will my money last?")</f>
        <v>Will my money last?</v>
      </c>
      <c r="D46" s="14" t="s">
        <v>67</v>
      </c>
      <c r="E46" s="14" t="s">
        <v>61</v>
      </c>
    </row>
    <row r="47" customFormat="false" ht="15" hidden="false" customHeight="true" outlineLevel="0" collapsed="false">
      <c r="B47" s="12" t="s">
        <v>68</v>
      </c>
      <c r="C47" s="13" t="str">
        <f aca="false">HYPERLINK("#'C16 Drawdown scenarios'!A1","Retirement drawdown scenarios")</f>
        <v>Retirement drawdown scenarios</v>
      </c>
      <c r="D47" s="14" t="s">
        <v>69</v>
      </c>
      <c r="E47" s="14" t="s">
        <v>61</v>
      </c>
    </row>
    <row r="48" customFormat="false" ht="15" hidden="false" customHeight="true" outlineLevel="0" collapsed="false">
      <c r="B48" s="12" t="s">
        <v>70</v>
      </c>
      <c r="C48" s="13" t="str">
        <f aca="false">HYPERLINK("#'C17 Inflation adjusted return'!A1","Inflation-adjusted return")</f>
        <v>Inflation-adjusted return</v>
      </c>
      <c r="D48" s="14" t="s">
        <v>71</v>
      </c>
      <c r="E48" s="14" t="s">
        <v>56</v>
      </c>
    </row>
    <row r="49" customFormat="false" ht="15" hidden="false" customHeight="true" outlineLevel="0" collapsed="false">
      <c r="B49" s="12" t="s">
        <v>72</v>
      </c>
      <c r="C49" s="13" t="str">
        <f aca="false">HYPERLINK("#'C18 Regular investing'!A1","Regular investing")</f>
        <v>Regular investing</v>
      </c>
      <c r="D49" s="14" t="s">
        <v>73</v>
      </c>
      <c r="E49" s="14" t="s">
        <v>56</v>
      </c>
    </row>
    <row r="50" customFormat="false" ht="15" hidden="false" customHeight="true" outlineLevel="0" collapsed="false">
      <c r="B50" s="12" t="s">
        <v>74</v>
      </c>
      <c r="C50" s="13" t="str">
        <f aca="false">HYPERLINK("#'C19 Fees impact'!A1","Fees impact")</f>
        <v>Fees impact</v>
      </c>
      <c r="D50" s="14" t="s">
        <v>75</v>
      </c>
      <c r="E50" s="14" t="s">
        <v>56</v>
      </c>
    </row>
    <row r="51" customFormat="false" ht="15" hidden="false" customHeight="true" outlineLevel="0" collapsed="false">
      <c r="B51" s="12" t="s">
        <v>76</v>
      </c>
      <c r="C51" s="13" t="str">
        <f aca="false">HYPERLINK("#'C20 Risk and return'!A1","Risk &amp; return simulator")</f>
        <v>Risk &amp; return simulator</v>
      </c>
      <c r="D51" s="14" t="s">
        <v>77</v>
      </c>
      <c r="E51" s="14" t="s">
        <v>56</v>
      </c>
    </row>
    <row r="52" customFormat="false" ht="15" hidden="false" customHeight="true" outlineLevel="0" collapsed="false">
      <c r="B52" s="12" t="s">
        <v>78</v>
      </c>
      <c r="C52" s="13" t="str">
        <f aca="false">HYPERLINK("#'C21 Life cover'!A1","Life cover estimator")</f>
        <v>Life cover estimator</v>
      </c>
      <c r="D52" s="14" t="s">
        <v>79</v>
      </c>
      <c r="E52" s="14" t="s">
        <v>80</v>
      </c>
    </row>
    <row r="53" customFormat="false" ht="15" hidden="false" customHeight="true" outlineLevel="0" collapsed="false">
      <c r="B53" s="12" t="s">
        <v>81</v>
      </c>
      <c r="C53" s="13" t="str">
        <f aca="false">HYPERLINK("#'C22 Income protection gap'!A1","Income protection gap")</f>
        <v>Income protection gap</v>
      </c>
      <c r="D53" s="14" t="s">
        <v>82</v>
      </c>
      <c r="E53" s="14" t="s">
        <v>80</v>
      </c>
    </row>
    <row r="54" customFormat="false" ht="15" hidden="false" customHeight="true" outlineLevel="0" collapsed="false">
      <c r="B54" s="12" t="s">
        <v>83</v>
      </c>
      <c r="C54" s="13" t="str">
        <f aca="false">HYPERLINK("#'C23 Mortgage protection'!A1","Mortgage protection")</f>
        <v>Mortgage protection</v>
      </c>
      <c r="D54" s="14" t="s">
        <v>84</v>
      </c>
      <c r="E54" s="14" t="s">
        <v>80</v>
      </c>
    </row>
    <row r="55" customFormat="false" ht="15" hidden="false" customHeight="true" outlineLevel="0" collapsed="false">
      <c r="B55" s="12" t="s">
        <v>85</v>
      </c>
      <c r="C55" s="13" t="str">
        <f aca="false">HYPERLINK("#'C24 Net worth'!A1","Net worth")</f>
        <v>Net worth</v>
      </c>
      <c r="D55" s="14" t="s">
        <v>86</v>
      </c>
      <c r="E55" s="14" t="s">
        <v>87</v>
      </c>
    </row>
    <row r="56" customFormat="false" ht="15" hidden="false" customHeight="true" outlineLevel="0" collapsed="false">
      <c r="B56" s="12" t="s">
        <v>88</v>
      </c>
      <c r="C56" s="13" t="str">
        <f aca="false">HYPERLINK("#'C25 Monthly surplus'!A1","Monthly surplus")</f>
        <v>Monthly surplus</v>
      </c>
      <c r="D56" s="14" t="s">
        <v>89</v>
      </c>
      <c r="E56" s="14" t="s">
        <v>87</v>
      </c>
    </row>
    <row r="57" customFormat="false" ht="15" hidden="false" customHeight="true" outlineLevel="0" collapsed="false">
      <c r="B57" s="12" t="s">
        <v>90</v>
      </c>
      <c r="C57" s="13" t="str">
        <f aca="false">HYPERLINK("#'C26 Budget 50 30 20'!A1","Budget (50/30/20)")</f>
        <v>Budget (50/30/20)</v>
      </c>
      <c r="D57" s="14" t="s">
        <v>91</v>
      </c>
      <c r="E57" s="14" t="s">
        <v>87</v>
      </c>
    </row>
    <row r="58" customFormat="false" ht="15" hidden="false" customHeight="true" outlineLevel="0" collapsed="false">
      <c r="B58" s="12" t="s">
        <v>92</v>
      </c>
      <c r="C58" s="13" t="str">
        <f aca="false">HYPERLINK("#'C27 Debt repayment'!A1","Debt repayment")</f>
        <v>Debt repayment</v>
      </c>
      <c r="D58" s="14" t="s">
        <v>93</v>
      </c>
      <c r="E58" s="14" t="s">
        <v>87</v>
      </c>
    </row>
    <row r="59" customFormat="false" ht="15" hidden="false" customHeight="true" outlineLevel="0" collapsed="false">
      <c r="B59" s="12" t="s">
        <v>94</v>
      </c>
      <c r="C59" s="13" t="str">
        <f aca="false">HYPERLINK("#'C28 Loan repayment'!A1","Loan repayment")</f>
        <v>Loan repayment</v>
      </c>
      <c r="D59" s="14" t="s">
        <v>95</v>
      </c>
      <c r="E59" s="14" t="s">
        <v>87</v>
      </c>
    </row>
    <row r="60" customFormat="false" ht="15" hidden="false" customHeight="true" outlineLevel="0" collapsed="false">
      <c r="C60" s="13" t="str">
        <f aca="false">HYPERLINK("#'Assumptions'!A1","Assumptions")</f>
        <v>Assumptions</v>
      </c>
    </row>
    <row r="61" customFormat="false" ht="15" hidden="false" customHeight="true" outlineLevel="0" collapsed="false">
      <c r="C61" s="13" t="str">
        <f aca="false">HYPERLINK("#'Tax engine'!A1","Tax engine")</f>
        <v>Tax engine</v>
      </c>
    </row>
    <row r="62" customFormat="false" ht="15" hidden="false" customHeight="true" outlineLevel="0" collapsed="false">
      <c r="C62" s="13" t="str">
        <f aca="false">HYPERLINK("#'Document reader spec'!A1","Document reader spec")</f>
        <v>Document reader spec</v>
      </c>
    </row>
    <row r="64" customFormat="false" ht="15" hidden="false" customHeight="true" outlineLevel="0" collapsed="false">
      <c r="B64" s="15" t="s">
        <v>96</v>
      </c>
      <c r="C64" s="16"/>
      <c r="D64" s="16"/>
      <c r="E64" s="16"/>
      <c r="F64" s="16"/>
      <c r="G64" s="16"/>
      <c r="H64" s="16"/>
    </row>
    <row r="65" customFormat="false" ht="42" hidden="false" customHeight="true" outlineLevel="0" collapsed="false">
      <c r="B65" s="17" t="s">
        <v>97</v>
      </c>
      <c r="C65" s="17"/>
      <c r="D65" s="17"/>
      <c r="E65" s="17"/>
      <c r="F65" s="17"/>
      <c r="G65" s="17"/>
    </row>
    <row r="66" customFormat="false" ht="15" hidden="false" customHeight="true" outlineLevel="0" collapsed="false">
      <c r="B66" s="18" t="s">
        <v>98</v>
      </c>
      <c r="C66" s="18" t="s">
        <v>99</v>
      </c>
      <c r="D66" s="18" t="s">
        <v>100</v>
      </c>
    </row>
    <row r="67" customFormat="false" ht="25.5" hidden="false" customHeight="true" outlineLevel="0" collapsed="false">
      <c r="B67" s="19" t="s">
        <v>101</v>
      </c>
      <c r="C67" s="19" t="s">
        <v>102</v>
      </c>
      <c r="D67" s="19" t="s">
        <v>103</v>
      </c>
    </row>
    <row r="68" customFormat="false" ht="25.5" hidden="false" customHeight="true" outlineLevel="0" collapsed="false">
      <c r="B68" s="19" t="s">
        <v>104</v>
      </c>
      <c r="C68" s="19" t="s">
        <v>105</v>
      </c>
      <c r="D68" s="19" t="s">
        <v>103</v>
      </c>
    </row>
    <row r="69" customFormat="false" ht="25.5" hidden="false" customHeight="true" outlineLevel="0" collapsed="false">
      <c r="B69" s="19" t="s">
        <v>106</v>
      </c>
      <c r="C69" s="19" t="s">
        <v>107</v>
      </c>
      <c r="D69" s="19" t="s">
        <v>103</v>
      </c>
    </row>
    <row r="70" customFormat="false" ht="25.5" hidden="false" customHeight="true" outlineLevel="0" collapsed="false">
      <c r="B70" s="19" t="s">
        <v>108</v>
      </c>
      <c r="C70" s="19" t="s">
        <v>109</v>
      </c>
      <c r="D70" s="19" t="s">
        <v>103</v>
      </c>
    </row>
    <row r="71" customFormat="false" ht="25.5" hidden="false" customHeight="true" outlineLevel="0" collapsed="false">
      <c r="B71" s="19" t="s">
        <v>110</v>
      </c>
      <c r="C71" s="19" t="s">
        <v>111</v>
      </c>
      <c r="D71" s="19" t="s">
        <v>103</v>
      </c>
    </row>
    <row r="72" customFormat="false" ht="25.5" hidden="false" customHeight="true" outlineLevel="0" collapsed="false">
      <c r="B72" s="19" t="s">
        <v>112</v>
      </c>
      <c r="C72" s="19" t="s">
        <v>113</v>
      </c>
      <c r="D72" s="19" t="s">
        <v>103</v>
      </c>
    </row>
    <row r="73" customFormat="false" ht="25.5" hidden="false" customHeight="true" outlineLevel="0" collapsed="false">
      <c r="B73" s="19" t="s">
        <v>114</v>
      </c>
      <c r="C73" s="19" t="s">
        <v>115</v>
      </c>
      <c r="D73" s="19" t="s">
        <v>103</v>
      </c>
    </row>
    <row r="74" customFormat="false" ht="25.5" hidden="false" customHeight="true" outlineLevel="0" collapsed="false">
      <c r="B74" s="19" t="s">
        <v>116</v>
      </c>
      <c r="C74" s="19" t="s">
        <v>117</v>
      </c>
      <c r="D74" s="19" t="s">
        <v>103</v>
      </c>
    </row>
    <row r="75" customFormat="false" ht="25.5" hidden="false" customHeight="true" outlineLevel="0" collapsed="false">
      <c r="B75" s="19" t="s">
        <v>118</v>
      </c>
      <c r="C75" s="19" t="s">
        <v>119</v>
      </c>
      <c r="D75" s="19" t="s">
        <v>103</v>
      </c>
    </row>
    <row r="76" customFormat="false" ht="25.5" hidden="false" customHeight="true" outlineLevel="0" collapsed="false">
      <c r="B76" s="19" t="s">
        <v>120</v>
      </c>
      <c r="C76" s="19" t="s">
        <v>121</v>
      </c>
      <c r="D76" s="19" t="s">
        <v>103</v>
      </c>
    </row>
    <row r="77" customFormat="false" ht="25.5" hidden="false" customHeight="true" outlineLevel="0" collapsed="false">
      <c r="B77" s="19" t="s">
        <v>122</v>
      </c>
      <c r="C77" s="19" t="s">
        <v>123</v>
      </c>
      <c r="D77" s="19" t="s">
        <v>124</v>
      </c>
    </row>
    <row r="79" customFormat="false" ht="15" hidden="false" customHeight="true" outlineLevel="0" collapsed="false">
      <c r="B79" s="7" t="s">
        <v>125</v>
      </c>
    </row>
    <row r="80" customFormat="false" ht="15" hidden="false" customHeight="true" outlineLevel="0" collapsed="false">
      <c r="B80" s="11" t="s">
        <v>126</v>
      </c>
      <c r="C80" s="11" t="s">
        <v>127</v>
      </c>
      <c r="D80" s="11" t="s">
        <v>128</v>
      </c>
    </row>
    <row r="81" customFormat="false" ht="12.75" hidden="false" customHeight="true" outlineLevel="0" collapsed="false">
      <c r="B81" s="14" t="s">
        <v>59</v>
      </c>
      <c r="C81" s="20" t="s">
        <v>129</v>
      </c>
      <c r="D81" s="21" t="s">
        <v>130</v>
      </c>
      <c r="E81" s="21"/>
    </row>
    <row r="82" customFormat="false" ht="12.75" hidden="false" customHeight="true" outlineLevel="0" collapsed="false">
      <c r="B82" s="14" t="s">
        <v>59</v>
      </c>
      <c r="C82" s="20" t="s">
        <v>129</v>
      </c>
      <c r="D82" s="21" t="s">
        <v>131</v>
      </c>
      <c r="E82" s="21"/>
    </row>
    <row r="83" customFormat="false" ht="12.75" hidden="false" customHeight="true" outlineLevel="0" collapsed="false">
      <c r="B83" s="14" t="s">
        <v>37</v>
      </c>
      <c r="C83" s="20" t="s">
        <v>129</v>
      </c>
      <c r="D83" s="21" t="s">
        <v>132</v>
      </c>
      <c r="E83" s="21"/>
    </row>
    <row r="84" customFormat="false" ht="25.5" hidden="false" customHeight="true" outlineLevel="0" collapsed="false">
      <c r="B84" s="14" t="s">
        <v>41</v>
      </c>
      <c r="C84" s="20" t="s">
        <v>129</v>
      </c>
      <c r="D84" s="21" t="s">
        <v>133</v>
      </c>
      <c r="E84" s="21"/>
    </row>
    <row r="85" customFormat="false" ht="12.75" hidden="false" customHeight="true" outlineLevel="0" collapsed="false">
      <c r="B85" s="14" t="s">
        <v>41</v>
      </c>
      <c r="C85" s="20" t="s">
        <v>129</v>
      </c>
      <c r="D85" s="21" t="s">
        <v>134</v>
      </c>
      <c r="E85" s="21"/>
    </row>
    <row r="86" customFormat="false" ht="25.5" hidden="false" customHeight="true" outlineLevel="0" collapsed="false">
      <c r="B86" s="14" t="s">
        <v>135</v>
      </c>
      <c r="C86" s="20" t="s">
        <v>129</v>
      </c>
      <c r="D86" s="21" t="s">
        <v>136</v>
      </c>
      <c r="E86" s="21"/>
    </row>
    <row r="87" customFormat="false" ht="12.75" hidden="false" customHeight="true" outlineLevel="0" collapsed="false">
      <c r="B87" s="14" t="s">
        <v>137</v>
      </c>
      <c r="C87" s="20" t="s">
        <v>129</v>
      </c>
      <c r="D87" s="21" t="s">
        <v>138</v>
      </c>
      <c r="E87" s="21"/>
    </row>
    <row r="88" customFormat="false" ht="12.75" hidden="false" customHeight="true" outlineLevel="0" collapsed="false">
      <c r="B88" s="14" t="s">
        <v>139</v>
      </c>
      <c r="C88" s="20" t="s">
        <v>129</v>
      </c>
      <c r="D88" s="21" t="s">
        <v>140</v>
      </c>
      <c r="E88" s="21"/>
    </row>
    <row r="89" customFormat="false" ht="12.75" hidden="false" customHeight="true" outlineLevel="0" collapsed="false">
      <c r="B89" s="14" t="s">
        <v>72</v>
      </c>
      <c r="C89" s="20" t="s">
        <v>129</v>
      </c>
      <c r="D89" s="21" t="s">
        <v>141</v>
      </c>
      <c r="E89" s="21"/>
    </row>
    <row r="90" customFormat="false" ht="12.75" hidden="false" customHeight="true" outlineLevel="0" collapsed="false">
      <c r="B90" s="14" t="s">
        <v>76</v>
      </c>
      <c r="C90" s="20" t="s">
        <v>129</v>
      </c>
      <c r="D90" s="21" t="s">
        <v>142</v>
      </c>
      <c r="E90" s="21"/>
    </row>
    <row r="91" customFormat="false" ht="12.75" hidden="false" customHeight="true" outlineLevel="0" collapsed="false">
      <c r="B91" s="14" t="s">
        <v>78</v>
      </c>
      <c r="C91" s="20" t="s">
        <v>129</v>
      </c>
      <c r="D91" s="21" t="s">
        <v>143</v>
      </c>
      <c r="E91" s="21"/>
    </row>
    <row r="92" customFormat="false" ht="12.75" hidden="false" customHeight="true" outlineLevel="0" collapsed="false">
      <c r="B92" s="14" t="s">
        <v>92</v>
      </c>
      <c r="C92" s="20" t="s">
        <v>129</v>
      </c>
      <c r="D92" s="21" t="s">
        <v>144</v>
      </c>
      <c r="E92" s="21"/>
    </row>
    <row r="93" customFormat="false" ht="12.75" hidden="false" customHeight="true" outlineLevel="0" collapsed="false">
      <c r="B93" s="14" t="s">
        <v>145</v>
      </c>
      <c r="C93" s="14" t="s">
        <v>146</v>
      </c>
      <c r="D93" s="21" t="s">
        <v>147</v>
      </c>
      <c r="E93" s="21"/>
    </row>
    <row r="94" customFormat="false" ht="12.75" hidden="false" customHeight="true" outlineLevel="0" collapsed="false">
      <c r="B94" s="14" t="s">
        <v>47</v>
      </c>
      <c r="C94" s="14" t="s">
        <v>146</v>
      </c>
      <c r="D94" s="21" t="s">
        <v>148</v>
      </c>
      <c r="E94" s="21"/>
    </row>
    <row r="95" customFormat="false" ht="12.75" hidden="false" customHeight="true" outlineLevel="0" collapsed="false">
      <c r="B95" s="14" t="s">
        <v>149</v>
      </c>
      <c r="C95" s="14" t="s">
        <v>146</v>
      </c>
      <c r="D95" s="21" t="s">
        <v>150</v>
      </c>
      <c r="E95" s="21"/>
    </row>
    <row r="96" customFormat="false" ht="12.75" hidden="false" customHeight="true" outlineLevel="0" collapsed="false">
      <c r="B96" s="14" t="s">
        <v>151</v>
      </c>
      <c r="C96" s="14" t="s">
        <v>146</v>
      </c>
      <c r="D96" s="21" t="s">
        <v>152</v>
      </c>
      <c r="E96" s="21"/>
    </row>
    <row r="97" customFormat="false" ht="25.5" hidden="false" customHeight="true" outlineLevel="0" collapsed="false">
      <c r="B97" s="14" t="s">
        <v>78</v>
      </c>
      <c r="C97" s="14" t="s">
        <v>146</v>
      </c>
      <c r="D97" s="21" t="s">
        <v>153</v>
      </c>
      <c r="E97" s="21"/>
    </row>
    <row r="98" customFormat="false" ht="25.5" hidden="false" customHeight="true" outlineLevel="0" collapsed="false">
      <c r="B98" s="14" t="s">
        <v>81</v>
      </c>
      <c r="C98" s="14" t="s">
        <v>146</v>
      </c>
      <c r="D98" s="21" t="s">
        <v>154</v>
      </c>
      <c r="E98" s="21"/>
    </row>
    <row r="99" customFormat="false" ht="12.75" hidden="false" customHeight="true" outlineLevel="0" collapsed="false">
      <c r="B99" s="14" t="s">
        <v>83</v>
      </c>
      <c r="C99" s="14" t="s">
        <v>146</v>
      </c>
      <c r="D99" s="21" t="s">
        <v>155</v>
      </c>
      <c r="E99" s="21"/>
    </row>
    <row r="100" customFormat="false" ht="12.75" hidden="false" customHeight="true" outlineLevel="0" collapsed="false">
      <c r="B100" s="14" t="s">
        <v>156</v>
      </c>
      <c r="C100" s="14" t="s">
        <v>146</v>
      </c>
      <c r="D100" s="21" t="s">
        <v>157</v>
      </c>
      <c r="E100" s="21"/>
    </row>
    <row r="101" customFormat="false" ht="12.75" hidden="false" customHeight="true" outlineLevel="0" collapsed="false">
      <c r="B101" s="14" t="s">
        <v>158</v>
      </c>
      <c r="C101" s="14" t="s">
        <v>146</v>
      </c>
      <c r="D101" s="21" t="s">
        <v>159</v>
      </c>
      <c r="E101" s="21"/>
    </row>
    <row r="102" customFormat="false" ht="12.75" hidden="false" customHeight="true" outlineLevel="0" collapsed="false">
      <c r="B102" s="14" t="s">
        <v>34</v>
      </c>
      <c r="C102" s="14" t="s">
        <v>160</v>
      </c>
      <c r="D102" s="21" t="s">
        <v>161</v>
      </c>
      <c r="E102" s="21"/>
    </row>
    <row r="103" customFormat="false" ht="12.75" hidden="false" customHeight="true" outlineLevel="0" collapsed="false">
      <c r="B103" s="14" t="s">
        <v>162</v>
      </c>
      <c r="C103" s="14" t="s">
        <v>160</v>
      </c>
      <c r="D103" s="21" t="s">
        <v>163</v>
      </c>
      <c r="E103" s="21"/>
    </row>
    <row r="104" customFormat="false" ht="12.75" hidden="false" customHeight="true" outlineLevel="0" collapsed="false">
      <c r="B104" s="14" t="s">
        <v>41</v>
      </c>
      <c r="C104" s="14" t="s">
        <v>160</v>
      </c>
      <c r="D104" s="21" t="s">
        <v>164</v>
      </c>
      <c r="E104" s="21"/>
    </row>
    <row r="105" customFormat="false" ht="12.75" hidden="false" customHeight="true" outlineLevel="0" collapsed="false">
      <c r="B105" s="14" t="s">
        <v>45</v>
      </c>
      <c r="C105" s="14" t="s">
        <v>160</v>
      </c>
      <c r="D105" s="21" t="s">
        <v>165</v>
      </c>
      <c r="E105" s="21"/>
    </row>
    <row r="106" customFormat="false" ht="12.75" hidden="false" customHeight="true" outlineLevel="0" collapsed="false">
      <c r="B106" s="14" t="s">
        <v>166</v>
      </c>
      <c r="C106" s="14" t="s">
        <v>160</v>
      </c>
      <c r="D106" s="21" t="s">
        <v>167</v>
      </c>
      <c r="E106" s="21"/>
    </row>
    <row r="107" customFormat="false" ht="12.75" hidden="false" customHeight="true" outlineLevel="0" collapsed="false">
      <c r="B107" s="14" t="s">
        <v>139</v>
      </c>
      <c r="C107" s="14" t="s">
        <v>160</v>
      </c>
      <c r="D107" s="21" t="s">
        <v>168</v>
      </c>
      <c r="E107" s="21"/>
    </row>
    <row r="108" customFormat="false" ht="12.75" hidden="false" customHeight="true" outlineLevel="0" collapsed="false">
      <c r="B108" s="14" t="s">
        <v>68</v>
      </c>
      <c r="C108" s="14" t="s">
        <v>160</v>
      </c>
      <c r="D108" s="21" t="s">
        <v>169</v>
      </c>
      <c r="E108" s="21"/>
    </row>
    <row r="109" customFormat="false" ht="12.75" hidden="false" customHeight="true" outlineLevel="0" collapsed="false">
      <c r="B109" s="14" t="s">
        <v>88</v>
      </c>
      <c r="C109" s="14" t="s">
        <v>160</v>
      </c>
      <c r="D109" s="21" t="s">
        <v>170</v>
      </c>
      <c r="E109" s="21"/>
    </row>
    <row r="110" customFormat="false" ht="25.5" hidden="false" customHeight="true" outlineLevel="0" collapsed="false">
      <c r="B110" s="14" t="s">
        <v>171</v>
      </c>
      <c r="C110" s="14" t="s">
        <v>160</v>
      </c>
      <c r="D110" s="21" t="s">
        <v>172</v>
      </c>
      <c r="E110" s="21"/>
    </row>
    <row r="112" customFormat="false" ht="15" hidden="false" customHeight="true" outlineLevel="0" collapsed="false">
      <c r="B112" s="7" t="s">
        <v>173</v>
      </c>
    </row>
    <row r="113" customFormat="false" ht="15" hidden="false" customHeight="true" outlineLevel="0" collapsed="false">
      <c r="B113" s="11" t="s">
        <v>126</v>
      </c>
      <c r="C113" s="11" t="s">
        <v>127</v>
      </c>
      <c r="D113" s="11" t="s">
        <v>128</v>
      </c>
    </row>
    <row r="114" customFormat="false" ht="51.75" hidden="false" customHeight="true" outlineLevel="0" collapsed="false">
      <c r="B114" s="14" t="s">
        <v>174</v>
      </c>
      <c r="C114" s="14" t="s">
        <v>175</v>
      </c>
      <c r="D114" s="21" t="s">
        <v>176</v>
      </c>
      <c r="E114" s="21"/>
    </row>
    <row r="115" customFormat="false" ht="39" hidden="false" customHeight="true" outlineLevel="0" collapsed="false">
      <c r="B115" s="14" t="s">
        <v>177</v>
      </c>
      <c r="C115" s="14" t="s">
        <v>178</v>
      </c>
      <c r="D115" s="21" t="s">
        <v>179</v>
      </c>
      <c r="E115" s="21"/>
    </row>
    <row r="116" customFormat="false" ht="25.5" hidden="false" customHeight="true" outlineLevel="0" collapsed="false">
      <c r="B116" s="14" t="s">
        <v>34</v>
      </c>
      <c r="C116" s="14" t="s">
        <v>146</v>
      </c>
      <c r="D116" s="21" t="s">
        <v>180</v>
      </c>
      <c r="E116" s="21"/>
    </row>
    <row r="117" customFormat="false" ht="12.75" hidden="false" customHeight="true" outlineLevel="0" collapsed="false">
      <c r="B117" s="14" t="s">
        <v>181</v>
      </c>
      <c r="C117" s="14" t="s">
        <v>160</v>
      </c>
      <c r="D117" s="21" t="s">
        <v>182</v>
      </c>
      <c r="E117" s="21"/>
    </row>
    <row r="118" customFormat="false" ht="12.75" hidden="false" customHeight="true" outlineLevel="0" collapsed="false">
      <c r="B118" s="14" t="s">
        <v>37</v>
      </c>
      <c r="C118" s="14" t="s">
        <v>160</v>
      </c>
      <c r="D118" s="21" t="s">
        <v>183</v>
      </c>
      <c r="E118" s="21"/>
    </row>
    <row r="119" customFormat="false" ht="12.75" hidden="false" customHeight="true" outlineLevel="0" collapsed="false">
      <c r="B119" s="14" t="s">
        <v>39</v>
      </c>
      <c r="C119" s="14" t="s">
        <v>146</v>
      </c>
      <c r="D119" s="21" t="s">
        <v>184</v>
      </c>
      <c r="E119" s="21"/>
    </row>
    <row r="120" customFormat="false" ht="12.75" hidden="false" customHeight="true" outlineLevel="0" collapsed="false">
      <c r="B120" s="14" t="s">
        <v>47</v>
      </c>
      <c r="C120" s="14" t="s">
        <v>160</v>
      </c>
      <c r="D120" s="21" t="s">
        <v>185</v>
      </c>
      <c r="E120" s="21"/>
    </row>
    <row r="121" customFormat="false" ht="25.5" hidden="false" customHeight="true" outlineLevel="0" collapsed="false">
      <c r="B121" s="14" t="s">
        <v>186</v>
      </c>
      <c r="C121" s="14" t="s">
        <v>146</v>
      </c>
      <c r="D121" s="21" t="s">
        <v>187</v>
      </c>
      <c r="E121" s="21"/>
    </row>
    <row r="122" customFormat="false" ht="12.75" hidden="false" customHeight="true" outlineLevel="0" collapsed="false">
      <c r="B122" s="14" t="s">
        <v>54</v>
      </c>
      <c r="C122" s="14" t="s">
        <v>160</v>
      </c>
      <c r="D122" s="21" t="s">
        <v>188</v>
      </c>
      <c r="E122" s="21"/>
    </row>
    <row r="123" customFormat="false" ht="12.75" hidden="false" customHeight="true" outlineLevel="0" collapsed="false">
      <c r="B123" s="14" t="s">
        <v>57</v>
      </c>
      <c r="C123" s="14" t="s">
        <v>160</v>
      </c>
      <c r="D123" s="21" t="s">
        <v>189</v>
      </c>
      <c r="E123" s="21"/>
    </row>
    <row r="124" customFormat="false" ht="12.75" hidden="false" customHeight="true" outlineLevel="0" collapsed="false">
      <c r="B124" s="14" t="s">
        <v>59</v>
      </c>
      <c r="C124" s="14" t="s">
        <v>146</v>
      </c>
      <c r="D124" s="21" t="s">
        <v>190</v>
      </c>
      <c r="E124" s="21"/>
    </row>
    <row r="125" customFormat="false" ht="12.75" hidden="false" customHeight="true" outlineLevel="0" collapsed="false">
      <c r="B125" s="14" t="s">
        <v>62</v>
      </c>
      <c r="C125" s="14" t="s">
        <v>146</v>
      </c>
      <c r="D125" s="21" t="s">
        <v>191</v>
      </c>
      <c r="E125" s="21"/>
    </row>
    <row r="126" customFormat="false" ht="12.75" hidden="false" customHeight="true" outlineLevel="0" collapsed="false">
      <c r="B126" s="14" t="s">
        <v>66</v>
      </c>
      <c r="C126" s="14" t="s">
        <v>160</v>
      </c>
      <c r="D126" s="21" t="s">
        <v>192</v>
      </c>
      <c r="E126" s="21"/>
    </row>
    <row r="127" customFormat="false" ht="12.75" hidden="false" customHeight="true" outlineLevel="0" collapsed="false">
      <c r="B127" s="14" t="s">
        <v>76</v>
      </c>
      <c r="C127" s="14" t="s">
        <v>146</v>
      </c>
      <c r="D127" s="21" t="s">
        <v>193</v>
      </c>
      <c r="E127" s="21"/>
    </row>
    <row r="128" customFormat="false" ht="25.5" hidden="false" customHeight="true" outlineLevel="0" collapsed="false">
      <c r="B128" s="14" t="s">
        <v>78</v>
      </c>
      <c r="C128" s="14" t="s">
        <v>160</v>
      </c>
      <c r="D128" s="21" t="s">
        <v>194</v>
      </c>
      <c r="E128" s="21"/>
    </row>
    <row r="129" customFormat="false" ht="25.5" hidden="false" customHeight="true" outlineLevel="0" collapsed="false">
      <c r="B129" s="14" t="s">
        <v>81</v>
      </c>
      <c r="C129" s="14" t="s">
        <v>160</v>
      </c>
      <c r="D129" s="21" t="s">
        <v>195</v>
      </c>
      <c r="E129" s="21"/>
    </row>
    <row r="130" customFormat="false" ht="12.75" hidden="false" customHeight="true" outlineLevel="0" collapsed="false">
      <c r="B130" s="14" t="s">
        <v>83</v>
      </c>
      <c r="C130" s="14" t="s">
        <v>160</v>
      </c>
      <c r="D130" s="21" t="s">
        <v>196</v>
      </c>
      <c r="E130" s="21"/>
    </row>
    <row r="131" customFormat="false" ht="12.75" hidden="false" customHeight="true" outlineLevel="0" collapsed="false">
      <c r="B131" s="14" t="s">
        <v>197</v>
      </c>
      <c r="C131" s="14" t="s">
        <v>160</v>
      </c>
      <c r="D131" s="21" t="s">
        <v>198</v>
      </c>
      <c r="E131" s="21"/>
    </row>
    <row r="132" customFormat="false" ht="64.5" hidden="false" customHeight="true" outlineLevel="0" collapsed="false">
      <c r="B132" s="14" t="s">
        <v>199</v>
      </c>
      <c r="C132" s="14" t="s">
        <v>200</v>
      </c>
      <c r="D132" s="21" t="s">
        <v>201</v>
      </c>
      <c r="E132" s="21"/>
    </row>
    <row r="133" customFormat="false" ht="12.75" hidden="false" customHeight="true" outlineLevel="0" collapsed="false">
      <c r="B133" s="14" t="s">
        <v>202</v>
      </c>
      <c r="C133" s="14" t="s">
        <v>160</v>
      </c>
      <c r="D133" s="21" t="s">
        <v>203</v>
      </c>
      <c r="E133" s="21"/>
    </row>
    <row r="135" customFormat="false" ht="15" hidden="false" customHeight="false" outlineLevel="0" collapsed="false">
      <c r="B135" s="7" t="s">
        <v>204</v>
      </c>
    </row>
    <row r="136" customFormat="false" ht="15" hidden="false" customHeight="false" outlineLevel="0" collapsed="false">
      <c r="C136" s="13" t="str">
        <f aca="false">HYPERLINK("#'Plan inputs'!A1","Plan inputs")</f>
        <v>Plan inputs</v>
      </c>
      <c r="D136" s="1" t="s">
        <v>205</v>
      </c>
    </row>
    <row r="137" customFormat="false" ht="15" hidden="false" customHeight="false" outlineLevel="0" collapsed="false">
      <c r="C137" s="13" t="str">
        <f aca="false">HYPERLINK("#'Plan pay &amp; tax'!A1","Plan pay &amp; tax")</f>
        <v>Plan pay &amp; tax</v>
      </c>
      <c r="D137" s="1" t="s">
        <v>206</v>
      </c>
    </row>
    <row r="138" customFormat="false" ht="15" hidden="false" customHeight="false" outlineLevel="0" collapsed="false">
      <c r="C138" s="13" t="str">
        <f aca="false">HYPERLINK("#'Plan debt months'!A1","Plan debt months")</f>
        <v>Plan debt months</v>
      </c>
      <c r="D138" s="1" t="s">
        <v>207</v>
      </c>
    </row>
    <row r="139" customFormat="false" ht="15" hidden="false" customHeight="false" outlineLevel="0" collapsed="false">
      <c r="C139" s="13" t="str">
        <f aca="false">HYPERLINK("#'Plan cashflow'!A1","Plan cashflow")</f>
        <v>Plan cashflow</v>
      </c>
      <c r="D139" s="1" t="s">
        <v>208</v>
      </c>
    </row>
    <row r="140" customFormat="false" ht="15" hidden="false" customHeight="false" outlineLevel="0" collapsed="false">
      <c r="C140" s="13" t="str">
        <f aca="false">HYPERLINK("#'Plan goals'!A1","Plan goals")</f>
        <v>Plan goals</v>
      </c>
      <c r="D140" s="1" t="s">
        <v>209</v>
      </c>
    </row>
    <row r="141" customFormat="false" ht="15" hidden="false" customHeight="false" outlineLevel="0" collapsed="false">
      <c r="C141" s="13" t="str">
        <f aca="false">HYPERLINK("#'Plan results'!A1","Plan results")</f>
        <v>Plan results</v>
      </c>
      <c r="D141" s="1" t="s">
        <v>210</v>
      </c>
    </row>
    <row r="142" customFormat="false" ht="15" hidden="false" customHeight="false" outlineLevel="0" collapsed="false">
      <c r="C142" s="13" t="str">
        <f aca="false">HYPERLINK("#'Plan profile'!A1","Plan profile")</f>
        <v>Plan profile</v>
      </c>
      <c r="D142" s="1" t="s">
        <v>211</v>
      </c>
    </row>
    <row r="143" customFormat="false" ht="15" hidden="false" customHeight="false" outlineLevel="0" collapsed="false">
      <c r="C143" s="13" t="str">
        <f aca="false">HYPERLINK("#'Plan how it works'!A1","Plan how it works")</f>
        <v>Plan how it works</v>
      </c>
      <c r="D143" s="1" t="s">
        <v>212</v>
      </c>
    </row>
    <row r="144" customFormat="false" ht="15" hidden="false" customHeight="false" outlineLevel="0" collapsed="false">
      <c r="C144" s="13" t="str">
        <f aca="false">HYPERLINK("#'Calculation register'!A1","Calculation register")</f>
        <v>Calculation register</v>
      </c>
      <c r="D144" s="1" t="s">
        <v>213</v>
      </c>
    </row>
    <row r="145" customFormat="false" ht="15" hidden="false" customHeight="false" outlineLevel="0" collapsed="false">
      <c r="B145" s="22" t="s">
        <v>214</v>
      </c>
    </row>
  </sheetData>
  <mergeCells count="69">
    <mergeCell ref="B5:E5"/>
    <mergeCell ref="B6:E6"/>
    <mergeCell ref="B7:E7"/>
    <mergeCell ref="B8:E8"/>
    <mergeCell ref="B9:E9"/>
    <mergeCell ref="B10:E10"/>
    <mergeCell ref="B11:E11"/>
    <mergeCell ref="B12:E12"/>
    <mergeCell ref="B13:E13"/>
    <mergeCell ref="B14:E14"/>
    <mergeCell ref="B17:E17"/>
    <mergeCell ref="B18:E18"/>
    <mergeCell ref="B19:E19"/>
    <mergeCell ref="B20:E20"/>
    <mergeCell ref="B21:E21"/>
    <mergeCell ref="B22:E22"/>
    <mergeCell ref="B25:E25"/>
    <mergeCell ref="B28:E28"/>
    <mergeCell ref="B65:G65"/>
    <mergeCell ref="D81:E81"/>
    <mergeCell ref="D82:E82"/>
    <mergeCell ref="D83:E83"/>
    <mergeCell ref="D84:E84"/>
    <mergeCell ref="D85:E85"/>
    <mergeCell ref="D86:E86"/>
    <mergeCell ref="D87:E87"/>
    <mergeCell ref="D88:E88"/>
    <mergeCell ref="D89:E89"/>
    <mergeCell ref="D90:E90"/>
    <mergeCell ref="D91:E91"/>
    <mergeCell ref="D92:E92"/>
    <mergeCell ref="D93:E93"/>
    <mergeCell ref="D94:E94"/>
    <mergeCell ref="D95:E95"/>
    <mergeCell ref="D96:E96"/>
    <mergeCell ref="D97:E97"/>
    <mergeCell ref="D98:E98"/>
    <mergeCell ref="D99:E99"/>
    <mergeCell ref="D100:E100"/>
    <mergeCell ref="D101:E101"/>
    <mergeCell ref="D102:E102"/>
    <mergeCell ref="D103:E103"/>
    <mergeCell ref="D104:E104"/>
    <mergeCell ref="D105:E105"/>
    <mergeCell ref="D106:E106"/>
    <mergeCell ref="D107:E107"/>
    <mergeCell ref="D108:E108"/>
    <mergeCell ref="D109:E109"/>
    <mergeCell ref="D110:E110"/>
    <mergeCell ref="D114:E114"/>
    <mergeCell ref="D115:E115"/>
    <mergeCell ref="D116:E116"/>
    <mergeCell ref="D117:E117"/>
    <mergeCell ref="D118:E118"/>
    <mergeCell ref="D119:E119"/>
    <mergeCell ref="D120:E120"/>
    <mergeCell ref="D121:E121"/>
    <mergeCell ref="D122:E122"/>
    <mergeCell ref="D123:E123"/>
    <mergeCell ref="D124:E124"/>
    <mergeCell ref="D125:E125"/>
    <mergeCell ref="D126:E126"/>
    <mergeCell ref="D127:E127"/>
    <mergeCell ref="D128:E128"/>
    <mergeCell ref="D129:E129"/>
    <mergeCell ref="D130:E130"/>
    <mergeCell ref="D131:E131"/>
    <mergeCell ref="D132:E132"/>
    <mergeCell ref="D133:E133"/>
  </mergeCells>
  <dataValidations count="1">
    <dataValidation allowBlank="false" error="Choose Yes or No." errorStyle="stop" errorTitle="Yes or No" operator="between" prompt="No = blank template: results show &quot;Choose your … to see this&quot; until you fill the inputs. Yes = every blank input uses its grey Example only figure (the standard, or the sample customer's figure)." promptTitle="Example values" showDropDown="false" showErrorMessage="true" showInputMessage="true" sqref="C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3" t="s">
        <v>215</v>
      </c>
      <c r="E1" s="3" t="s">
        <v>216</v>
      </c>
    </row>
    <row r="2" customFormat="false" ht="15" hidden="false" customHeight="true" outlineLevel="0" collapsed="false">
      <c r="B2" s="24" t="s">
        <v>217</v>
      </c>
      <c r="E2" s="25"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6" t="s">
        <v>218</v>
      </c>
    </row>
    <row r="5" customFormat="false" ht="15" hidden="false" customHeight="true" outlineLevel="0" collapsed="false">
      <c r="B5" s="15" t="s">
        <v>219</v>
      </c>
      <c r="C5" s="27" t="s">
        <v>220</v>
      </c>
      <c r="D5" s="27" t="s">
        <v>221</v>
      </c>
      <c r="E5" s="27" t="s">
        <v>222</v>
      </c>
      <c r="F5" s="28" t="s">
        <v>223</v>
      </c>
      <c r="G5" s="16"/>
    </row>
    <row r="6" customFormat="false" ht="21.75" hidden="false" customHeight="true" outlineLevel="0" collapsed="false">
      <c r="B6" s="9" t="s">
        <v>224</v>
      </c>
      <c r="C6" s="29"/>
      <c r="D6" s="30" t="s">
        <v>225</v>
      </c>
      <c r="E6" s="31" t="s">
        <v>226</v>
      </c>
      <c r="F6" s="32" t="n">
        <v>60000</v>
      </c>
      <c r="G6" s="33" t="str">
        <f aca="false">IF(ISBLANK(C6),IF(Fill_Example="Yes",F6,""),C6)</f>
        <v/>
      </c>
    </row>
    <row r="7" customFormat="false" ht="21.75" hidden="false" customHeight="true" outlineLevel="0" collapsed="false">
      <c r="B7" s="9" t="s">
        <v>227</v>
      </c>
      <c r="C7" s="29"/>
      <c r="D7" s="30" t="s">
        <v>225</v>
      </c>
      <c r="E7" s="31" t="s">
        <v>228</v>
      </c>
      <c r="F7" s="32" t="n">
        <v>0</v>
      </c>
      <c r="G7" s="33" t="str">
        <f aca="false">IF(ISBLANK(C7),IF(Fill_Example="Yes",F7,""),C7)</f>
        <v/>
      </c>
    </row>
    <row r="8" customFormat="false" ht="21.75" hidden="false" customHeight="true" outlineLevel="0" collapsed="false">
      <c r="B8" s="9" t="s">
        <v>229</v>
      </c>
      <c r="C8" s="29"/>
      <c r="D8" s="30" t="s">
        <v>225</v>
      </c>
      <c r="E8" s="31" t="s">
        <v>230</v>
      </c>
      <c r="F8" s="32" t="n">
        <v>25000</v>
      </c>
      <c r="G8" s="33" t="str">
        <f aca="false">IF(ISBLANK(C8),IF(Fill_Example="Yes",F8,""),C8)</f>
        <v/>
      </c>
    </row>
    <row r="9" customFormat="false" ht="21.75" hidden="false" customHeight="true" outlineLevel="0" collapsed="false">
      <c r="B9" s="9" t="s">
        <v>231</v>
      </c>
      <c r="C9" s="34"/>
      <c r="D9" s="30" t="s">
        <v>232</v>
      </c>
      <c r="E9" s="31" t="s">
        <v>233</v>
      </c>
      <c r="F9" s="35" t="s">
        <v>234</v>
      </c>
      <c r="G9" s="36" t="str">
        <f aca="false">IF(ISBLANK(C9),IF(Fill_Example="Yes",F9,""),C9)</f>
        <v/>
      </c>
    </row>
    <row r="10" customFormat="false" ht="21.75" hidden="false" customHeight="true" outlineLevel="0" collapsed="false">
      <c r="B10" s="9" t="s">
        <v>235</v>
      </c>
      <c r="C10" s="37"/>
      <c r="D10" s="30" t="s">
        <v>236</v>
      </c>
      <c r="E10" s="38" t="str">
        <f aca="false">"Type 2 · your figure · Your own rate (your statement shows it; typing it is fine, no upload needed). "&amp;IF(ISNUMBER(Suggest_Mortgage_Rate),"Suggested: "&amp;TEXT(Suggest_Mortgage_Rate,"0.00%")&amp;" · "&amp;Suggest_Mortgage_Rate_Label&amp;". ","No suggestion. ")&amp;"Enter your own figure."&amp;" Allowed: 1% to 8% · steps of 0.05%"</f>
        <v>Type 2 · your figure · Your own rate (your statement shows it; typing it is fine, no upload needed). Suggested: 3.48% · Central Bank of Ireland: average rate on new mortgages, Jul 2026. Enter your own figure. Allowed: 1% to 8% · steps of 0.05%</v>
      </c>
      <c r="F10" s="39" t="n">
        <f aca="false">IF(ISNUMBER(Suggest_Mortgage_Rate),Suggest_Mortgage_Rate,"")</f>
        <v>0.0348</v>
      </c>
      <c r="G10" s="40" t="str">
        <f aca="false">IF(ISBLANK(C10),IF(Fill_Example="Yes",F10,""),C10)</f>
        <v/>
      </c>
    </row>
    <row r="11" customFormat="false" ht="15" hidden="false" customHeight="true" outlineLevel="0" collapsed="false">
      <c r="B11" s="9" t="s">
        <v>237</v>
      </c>
      <c r="C11" s="41"/>
      <c r="D11" s="30" t="s">
        <v>238</v>
      </c>
      <c r="E11" s="31" t="s">
        <v>239</v>
      </c>
      <c r="F11" s="42" t="n">
        <v>30</v>
      </c>
      <c r="G11" s="43" t="str">
        <f aca="false">IF(ISBLANK(C11),IF(Fill_Example="Yes",F11,""),C11)</f>
        <v/>
      </c>
    </row>
    <row r="12" customFormat="false" ht="21.75" hidden="false" customHeight="true" outlineLevel="0" collapsed="false">
      <c r="B12" s="9" t="s">
        <v>240</v>
      </c>
      <c r="C12" s="29"/>
      <c r="D12" s="30" t="s">
        <v>225</v>
      </c>
      <c r="E12" s="38"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12" s="32" t="str">
        <f aca="false">IF(ISNUMBER(Suggest_Buying_Fees),Suggest_Buying_Fees,"")</f>
        <v/>
      </c>
      <c r="G12" s="33" t="n">
        <f aca="false">IF(ISBLANK(C12),IF(AND(Fill_Example="Yes",ISNUMBER(F12)),F12,0),C12)</f>
        <v>0</v>
      </c>
    </row>
    <row r="13" customFormat="false" ht="15" hidden="false" customHeight="true" outlineLevel="0" collapsed="false">
      <c r="B13" s="9" t="s">
        <v>241</v>
      </c>
      <c r="C13" s="41"/>
      <c r="D13" s="30" t="s">
        <v>238</v>
      </c>
      <c r="E13" s="31" t="s">
        <v>242</v>
      </c>
      <c r="F13" s="42" t="n">
        <v>3</v>
      </c>
      <c r="G13" s="43" t="str">
        <f aca="false">IF(ISBLANK(C13),IF(Fill_Example="Yes",F13,""),C13)</f>
        <v/>
      </c>
    </row>
    <row r="14" customFormat="false" ht="15" hidden="false" customHeight="true" outlineLevel="0" collapsed="false">
      <c r="B14" s="9" t="s">
        <v>243</v>
      </c>
      <c r="C14" s="29"/>
      <c r="D14" s="30" t="s">
        <v>225</v>
      </c>
      <c r="E14" s="31" t="s">
        <v>244</v>
      </c>
      <c r="F14" s="32" t="n">
        <v>0</v>
      </c>
      <c r="G14" s="33" t="n">
        <f aca="false">IF(ISBLANK(C14),F14,C14)</f>
        <v>0</v>
      </c>
    </row>
    <row r="16" customFormat="false" ht="15" hidden="false" customHeight="true" outlineLevel="0" collapsed="false">
      <c r="B16" s="15" t="s">
        <v>245</v>
      </c>
      <c r="C16" s="27" t="s">
        <v>246</v>
      </c>
      <c r="D16" s="27" t="s">
        <v>247</v>
      </c>
      <c r="E16" s="27" t="s">
        <v>248</v>
      </c>
      <c r="F16" s="16"/>
      <c r="G16" s="16"/>
    </row>
    <row r="17" customFormat="false" ht="17.25" hidden="false" customHeight="true" outlineLevel="0" collapsed="false">
      <c r="B17" s="24" t="s">
        <v>249</v>
      </c>
      <c r="C17" s="44" t="str">
        <f aca="false">IF(Need_1&lt;&gt;"",Need_1,MIN(Price_By_Deposit,Price_By_Income))</f>
        <v>Choose your gross yearly income to see this</v>
      </c>
      <c r="D17" s="30" t="s">
        <v>225</v>
      </c>
      <c r="E17" s="45" t="s">
        <v>250</v>
      </c>
    </row>
    <row r="18" customFormat="false" ht="17.25" hidden="false" customHeight="true" outlineLevel="0" collapsed="false">
      <c r="B18" s="24" t="s">
        <v>251</v>
      </c>
      <c r="C18" s="44" t="str">
        <f aca="false">IF(Need_1&lt;&gt;"",Need_1,MIN(Borrow_By_Income,LTV_Max*Home_Price))</f>
        <v>Choose your gross yearly income to see this</v>
      </c>
      <c r="D18" s="30" t="s">
        <v>225</v>
      </c>
      <c r="E18" s="45" t="s">
        <v>252</v>
      </c>
    </row>
    <row r="19" customFormat="false" ht="17.25" hidden="false" customHeight="true" outlineLevel="0" collapsed="false">
      <c r="B19" s="24" t="s">
        <v>253</v>
      </c>
      <c r="C19" s="44" t="str">
        <f aca="false">IF(Need_2&lt;&gt;"",Need_2,PMT(Interest_Rate/12,Term_Years*12,-Max_Loan))</f>
        <v>Choose your gross yearly income to see this</v>
      </c>
      <c r="D19" s="30" t="s">
        <v>225</v>
      </c>
      <c r="E19" s="45" t="s">
        <v>254</v>
      </c>
    </row>
    <row r="20" customFormat="false" ht="21.75" hidden="false" customHeight="true" outlineLevel="0" collapsed="false">
      <c r="B20" s="24" t="s">
        <v>255</v>
      </c>
      <c r="C20" s="44" t="str">
        <f aca="false">IF(Need_1&lt;&gt;"",Need_1,SD_Rate_1*MIN(Home_Price,SD_Band_1)+SD_Rate_2*MAX(0,MIN(Home_Price,SD_Band_2)-SD_Band_1)+SD_Rate_3*MAX(0,Home_Price-SD_Band_2))</f>
        <v>Choose your gross yearly income to see this</v>
      </c>
      <c r="D20" s="30" t="s">
        <v>225</v>
      </c>
      <c r="E20" s="45" t="s">
        <v>256</v>
      </c>
    </row>
    <row r="21" customFormat="false" ht="15" hidden="false" customHeight="true" outlineLevel="0" collapsed="false">
      <c r="B21" s="9" t="s">
        <v>257</v>
      </c>
      <c r="C21" s="46" t="str">
        <f aca="false">IF(Need_3&lt;&gt;"",Need_3,(Income+Partner_Income)*Income_Multiple)</f>
        <v>Choose your gross yearly income to see this</v>
      </c>
      <c r="D21" s="30" t="s">
        <v>225</v>
      </c>
      <c r="E21" s="45" t="s">
        <v>258</v>
      </c>
    </row>
    <row r="22" customFormat="false" ht="15" hidden="false" customHeight="true" outlineLevel="0" collapsed="false">
      <c r="B22" s="9" t="s">
        <v>259</v>
      </c>
      <c r="C22" s="47" t="str">
        <f aca="false">IF(Need_4&lt;&gt;"",Need_4,IF(First_Time_Buyer="Yes",LTI_FTB,LTI_SSB))</f>
        <v>Choose your first-time buyer answer to see this</v>
      </c>
      <c r="D22" s="30" t="s">
        <v>260</v>
      </c>
      <c r="E22" s="45" t="s">
        <v>261</v>
      </c>
    </row>
    <row r="23" customFormat="false" ht="15" hidden="false" customHeight="true" outlineLevel="0" collapsed="false">
      <c r="B23" s="9" t="s">
        <v>262</v>
      </c>
      <c r="C23" s="46" t="str">
        <f aca="false">IF(Need_5&lt;&gt;"",Need_5,Deposit+Extra_Deposit)</f>
        <v>Choose your deposit saved to see this</v>
      </c>
      <c r="D23" s="30" t="s">
        <v>225</v>
      </c>
      <c r="E23" s="45" t="s">
        <v>263</v>
      </c>
    </row>
    <row r="24" customFormat="false" ht="15" hidden="false" customHeight="true" outlineLevel="0" collapsed="false">
      <c r="B24" s="9" t="s">
        <v>264</v>
      </c>
      <c r="C24" s="46" t="str">
        <f aca="false">IF(Need_6&lt;&gt;"",Need_6,MAX(0,Total_Deposit-Buying_Fees))</f>
        <v>Choose your deposit saved to see this</v>
      </c>
      <c r="D24" s="30" t="s">
        <v>225</v>
      </c>
      <c r="E24" s="45" t="s">
        <v>265</v>
      </c>
    </row>
    <row r="25" customFormat="false" ht="15" hidden="false" customHeight="true" outlineLevel="0" collapsed="false">
      <c r="B25" s="9" t="s">
        <v>266</v>
      </c>
      <c r="C25" s="46" t="n">
        <f aca="false">(1-LTV_Max+SD_Rate_1)*SD_Band_1</f>
        <v>110000</v>
      </c>
      <c r="D25" s="30" t="s">
        <v>225</v>
      </c>
      <c r="E25" s="45" t="s">
        <v>267</v>
      </c>
    </row>
    <row r="26" customFormat="false" ht="15" hidden="false" customHeight="true" outlineLevel="0" collapsed="false">
      <c r="B26" s="9" t="s">
        <v>268</v>
      </c>
      <c r="C26" s="46" t="n">
        <f aca="false">Cash_At_Band_1+(1-LTV_Max+SD_Rate_2)*(SD_Band_2-SD_Band_1)</f>
        <v>170000</v>
      </c>
      <c r="D26" s="30" t="s">
        <v>225</v>
      </c>
      <c r="E26" s="45" t="s">
        <v>269</v>
      </c>
    </row>
    <row r="27" customFormat="false" ht="32.25" hidden="false" customHeight="true" outlineLevel="0" collapsed="false">
      <c r="B27" s="9" t="s">
        <v>270</v>
      </c>
      <c r="C27" s="46" t="str">
        <f aca="false">IF(Need_6&lt;&gt;"",Need_6,IF(Cash_For_Price&lt;=Cash_At_Band_1,Cash_For_Price/(1-LTV_Max+SD_Rate_1),IF(Cash_For_Price&lt;=Cash_At_Band_2,SD_Band_1+(Cash_For_Price-Cash_At_Band_1)/(1-LTV_Max+SD_Rate_2),SD_Band_2+(Cash_For_Price-Cash_At_Band_2)/(1-LTV_Max+SD_Rate_3))))</f>
        <v>Choose your deposit saved to see this</v>
      </c>
      <c r="D27" s="30" t="s">
        <v>225</v>
      </c>
      <c r="E27" s="45" t="s">
        <v>271</v>
      </c>
    </row>
    <row r="28" customFormat="false" ht="15" hidden="false" customHeight="true" outlineLevel="0" collapsed="false">
      <c r="B28" s="9" t="s">
        <v>272</v>
      </c>
      <c r="C28" s="46" t="str">
        <f aca="false">IF(Need_1&lt;&gt;"",Need_1,Borrow_By_Income+Cash_For_Price)</f>
        <v>Choose your gross yearly income to see this</v>
      </c>
      <c r="D28" s="30" t="s">
        <v>225</v>
      </c>
      <c r="E28" s="45" t="s">
        <v>273</v>
      </c>
    </row>
    <row r="29" customFormat="false" ht="42.75" hidden="false" customHeight="true" outlineLevel="0" collapsed="false">
      <c r="B29" s="9" t="s">
        <v>274</v>
      </c>
      <c r="C29" s="46" t="str">
        <f aca="false">IF(Need_1&lt;&gt;"",Need_1,IF(Income_Cash&lt;=(1+SD_Rate_1)*SD_Band_1,Income_Cash/(1+SD_Rate_1),IF(Income_Cash&lt;=(1+SD_Rate_1)*SD_Band_1+(1+SD_Rate_2)*(SD_Band_2-SD_Band_1),SD_Band_1+(Income_Cash-(1+SD_Rate_1)*SD_Band_1)/(1+SD_Rate_2),SD_Band_2+(Income_Cash-(1+SD_Rate_1)*SD_Band_1-(1+SD_Rate_2)*(SD_Band_2-SD_Band_1))/(1+SD_Rate_3))))</f>
        <v>Choose your gross yearly income to see this</v>
      </c>
      <c r="D29" s="30" t="s">
        <v>225</v>
      </c>
      <c r="E29" s="45" t="s">
        <v>275</v>
      </c>
    </row>
    <row r="30" customFormat="false" ht="15" hidden="false" customHeight="true" outlineLevel="0" collapsed="false">
      <c r="B30" s="9" t="s">
        <v>276</v>
      </c>
      <c r="C30" s="48" t="str">
        <f aca="false">IF(Need_1&lt;&gt;"",Need_1,IF(Price_By_Deposit&lt;Price_By_Income,"Your deposit","Your income"))</f>
        <v>Choose your gross yearly income to see this</v>
      </c>
      <c r="D30" s="30"/>
      <c r="E30" s="45" t="s">
        <v>277</v>
      </c>
    </row>
    <row r="32" customFormat="false" ht="15" hidden="false" customHeight="true" outlineLevel="0" collapsed="false">
      <c r="B32" s="15" t="s">
        <v>278</v>
      </c>
      <c r="C32" s="16"/>
      <c r="D32" s="16"/>
      <c r="E32" s="16"/>
      <c r="F32" s="16"/>
      <c r="G32" s="16"/>
    </row>
    <row r="33" customFormat="false" ht="13.5" hidden="false" customHeight="true" outlineLevel="0" collapsed="false">
      <c r="B33" s="49" t="s">
        <v>279</v>
      </c>
      <c r="C33" s="49"/>
      <c r="D33" s="49"/>
      <c r="E33" s="49"/>
    </row>
    <row r="34" customFormat="false" ht="27.75" hidden="false" customHeight="true" outlineLevel="0" collapsed="false">
      <c r="B34" s="49" t="s">
        <v>280</v>
      </c>
      <c r="C34" s="49"/>
      <c r="D34" s="49"/>
      <c r="E34" s="49"/>
    </row>
    <row r="35" customFormat="false" ht="13.5" hidden="false" customHeight="true" outlineLevel="0" collapsed="false">
      <c r="B35" s="49" t="s">
        <v>281</v>
      </c>
      <c r="C35" s="49"/>
      <c r="D35" s="49"/>
      <c r="E35" s="49"/>
    </row>
    <row r="36" customFormat="false" ht="13.5" hidden="false" customHeight="true" outlineLevel="0" collapsed="false">
      <c r="B36" s="50" t="s">
        <v>282</v>
      </c>
      <c r="C36" s="50"/>
      <c r="D36" s="50"/>
      <c r="E36" s="50"/>
    </row>
    <row r="37" customFormat="false" ht="13.5" hidden="false" customHeight="true" outlineLevel="0" collapsed="false">
      <c r="B37" s="49" t="s">
        <v>283</v>
      </c>
      <c r="C37" s="49"/>
      <c r="D37" s="49"/>
      <c r="E37" s="49"/>
    </row>
    <row r="38" customFormat="false" ht="13.5" hidden="false" customHeight="true" outlineLevel="0" collapsed="false">
      <c r="B38" s="49" t="s">
        <v>284</v>
      </c>
      <c r="C38" s="49"/>
      <c r="D38" s="49"/>
      <c r="E38" s="49"/>
    </row>
    <row r="39" customFormat="false" ht="13.5" hidden="false" customHeight="true" outlineLevel="0" collapsed="false">
      <c r="B39" s="49" t="s">
        <v>285</v>
      </c>
      <c r="C39" s="49"/>
      <c r="D39" s="49"/>
      <c r="E39" s="49"/>
    </row>
    <row r="40" customFormat="false" ht="13.5" hidden="false" customHeight="true" outlineLevel="0" collapsed="false">
      <c r="B40" s="49" t="s">
        <v>286</v>
      </c>
      <c r="C40" s="49"/>
      <c r="D40" s="49"/>
      <c r="E40" s="49"/>
    </row>
    <row r="42" customFormat="false" ht="15" hidden="false" customHeight="true" outlineLevel="0" collapsed="false">
      <c r="B42" s="15" t="s">
        <v>287</v>
      </c>
      <c r="C42" s="16"/>
      <c r="D42" s="16"/>
      <c r="E42" s="16"/>
      <c r="F42" s="16"/>
      <c r="G42" s="16"/>
    </row>
    <row r="43" customFormat="false" ht="15" hidden="false" customHeight="true" outlineLevel="0" collapsed="false">
      <c r="B43" s="9" t="s">
        <v>288</v>
      </c>
      <c r="C43" s="51" t="str">
        <f aca="false">"Buy a home (deposit goal)"</f>
        <v>Buy a home (deposit goal)</v>
      </c>
      <c r="E43" s="52" t="s">
        <v>289</v>
      </c>
    </row>
    <row r="44" customFormat="false" ht="15" hidden="false" customHeight="true" outlineLevel="0" collapsed="false">
      <c r="B44" s="9" t="s">
        <v>290</v>
      </c>
      <c r="C44" s="53" t="str">
        <f aca="false">IF(Need_1&lt;&gt;"",Need_1,ROUND(Home_Price*Min_Deposit_Pct+Stamp_Duty+Buying_Fees,0))</f>
        <v>Choose your gross yearly income to see this</v>
      </c>
      <c r="E44" s="52" t="s">
        <v>291</v>
      </c>
    </row>
    <row r="45" customFormat="false" ht="15" hidden="false" customHeight="true" outlineLevel="0" collapsed="false">
      <c r="B45" s="9" t="s">
        <v>292</v>
      </c>
      <c r="C45" s="53" t="str">
        <f aca="false">IF(Need_5&lt;&gt;"",Need_5,Total_Deposit)</f>
        <v>Choose your deposit saved to see this</v>
      </c>
      <c r="E45" s="52" t="s">
        <v>293</v>
      </c>
    </row>
    <row r="46" customFormat="false" ht="15" hidden="false" customHeight="true" outlineLevel="0" collapsed="false">
      <c r="B46" s="9" t="s">
        <v>294</v>
      </c>
      <c r="C46" s="54" t="str">
        <f aca="false">IF(Need_7&lt;&gt;"",Need_7,Home_Goal_Years)</f>
        <v>Choose your years until you buy to see this</v>
      </c>
      <c r="E46" s="52" t="s">
        <v>295</v>
      </c>
    </row>
    <row r="48" customFormat="false" ht="15" hidden="false" customHeight="true" outlineLevel="0" collapsed="false">
      <c r="B48" s="15" t="s">
        <v>296</v>
      </c>
      <c r="C48" s="16"/>
      <c r="D48" s="16"/>
      <c r="E48" s="16"/>
      <c r="F48" s="16"/>
      <c r="G48" s="16"/>
    </row>
    <row r="49" customFormat="false" ht="15" hidden="false" customHeight="true" outlineLevel="0" collapsed="false">
      <c r="B49" s="55" t="s">
        <v>297</v>
      </c>
      <c r="C49" s="55" t="str">
        <f aca="false">IF(Income="","Choose your gross yearly income to see this",IF(Partner_Income="","Choose your partner's gross yearly income to see this",IF(Deposit="","Choose your deposit saved to see this",IF(First_Time_Buyer="","Choose your first-time buyer answer to see this",IF(Buying_Fees="","Choose your buying fees to see this","")))))</f>
        <v>Choose your gross yearly income to see this</v>
      </c>
    </row>
    <row r="50" customFormat="false" ht="15" hidden="false" customHeight="true" outlineLevel="0" collapsed="false">
      <c r="B50" s="55" t="s">
        <v>298</v>
      </c>
      <c r="C50" s="55" t="str">
        <f aca="false">IF(Income="","Choose your gross yearly income to see this",IF(Partner_Income="","Choose your partner's gross yearly income to see this",IF(Deposit="","Choose your deposit saved to see this",IF(First_Time_Buyer="","Choose your first-time buyer answer to see this",IF(Interest_Rate="","Choose your interest rate to see this",IF(Term_Years="","Choose your mortgage term to see this",IF(Buying_Fees="","Choose your buying fees to see this","")))))))</f>
        <v>Choose your gross yearly income to see this</v>
      </c>
    </row>
    <row r="51" customFormat="false" ht="15" hidden="false" customHeight="true" outlineLevel="0" collapsed="false">
      <c r="B51" s="55" t="s">
        <v>299</v>
      </c>
      <c r="C51" s="55" t="str">
        <f aca="false">IF(Income="","Choose your gross yearly income to see this",IF(Partner_Income="","Choose your partner's gross yearly income to see this",IF(First_Time_Buyer="","Choose your first-time buyer answer to see this","")))</f>
        <v>Choose your gross yearly income to see this</v>
      </c>
    </row>
    <row r="52" customFormat="false" ht="15" hidden="false" customHeight="true" outlineLevel="0" collapsed="false">
      <c r="B52" s="55" t="s">
        <v>300</v>
      </c>
      <c r="C52" s="55" t="str">
        <f aca="false">IF(First_Time_Buyer="","Choose your first-time buyer answer to see this","")</f>
        <v>Choose your first-time buyer answer to see this</v>
      </c>
    </row>
    <row r="53" customFormat="false" ht="15" hidden="false" customHeight="true" outlineLevel="0" collapsed="false">
      <c r="B53" s="55" t="s">
        <v>301</v>
      </c>
      <c r="C53" s="55" t="str">
        <f aca="false">IF(Deposit="","Choose your deposit saved to see this","")</f>
        <v>Choose your deposit saved to see this</v>
      </c>
    </row>
    <row r="54" customFormat="false" ht="15" hidden="false" customHeight="true" outlineLevel="0" collapsed="false">
      <c r="B54" s="55" t="s">
        <v>302</v>
      </c>
      <c r="C54" s="55" t="str">
        <f aca="false">IF(Deposit="","Choose your deposit saved to see this",IF(Buying_Fees="","Choose your buying fees to see this",""))</f>
        <v>Choose your deposit saved to see this</v>
      </c>
    </row>
    <row r="55" customFormat="false" ht="15" hidden="false" customHeight="true" outlineLevel="0" collapsed="false">
      <c r="B55" s="55" t="s">
        <v>303</v>
      </c>
      <c r="C55" s="55" t="str">
        <f aca="false">IF(Home_Goal_Years="","Choose your years until you buy to see this","")</f>
        <v>Choose your years until you buy to see this</v>
      </c>
    </row>
    <row r="57" customFormat="false" ht="15" hidden="false" customHeight="true" outlineLevel="0" collapsed="false">
      <c r="B57" s="22" t="s">
        <v>304</v>
      </c>
    </row>
  </sheetData>
  <mergeCells count="8">
    <mergeCell ref="B33:E33"/>
    <mergeCell ref="B34:E34"/>
    <mergeCell ref="B35:E35"/>
    <mergeCell ref="B36:E36"/>
    <mergeCell ref="B37:E37"/>
    <mergeCell ref="B38:E38"/>
    <mergeCell ref="B39:E39"/>
    <mergeCell ref="B40:E40"/>
  </mergeCells>
  <dataValidations count="9">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12" type="decimal">
      <formula1>0</formula1>
      <formula2>10000</formula2>
    </dataValidation>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3" type="whole">
      <formula1>1</formula1>
      <formula2>30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Your gross yearly income" showDropDown="false" showErrorMessage="true" showInputMessage="true" sqref="C6" type="decimal">
      <formula1>15000</formula1>
      <formula2>2500000</formula2>
    </dataValidation>
    <dataValidation allowBlank="true" error="Please enter €0 to €2,500,000 · steps of €1,000." errorStyle="stop" errorTitle="Outside the allowed range" operator="between" prompt="Your own figure. In the app it is pre-filled from Your finances: partner's income.  Allowed: €0 to €2,500,000 · steps of €1,000." promptTitle="Partner's gross yearly income" showDropDown="false" showErrorMessage="true" showInputMessage="true" sqref="C7" type="decimal">
      <formula1>0</formula1>
      <formula2>2500000</formula2>
    </dataValidation>
    <dataValidation allowBlank="true" error="Please enter €0 to €2,000,000 · steps of €1,000." errorStyle="stop" errorTitle="Outside the allowed range" operator="between" prompt="Your own figure. In the app it is pre-filled from Plan: home goal's amount saved.  Allowed: €0 to €2,000,000 · steps of €1,000." promptTitle="Deposit saved" showDropDown="false" showErrorMessage="true" showInputMessage="true" sqref="C8" type="decimal">
      <formula1>0</formula1>
      <formula2>2000000</formula2>
    </dataValidation>
    <dataValidation allowBlank="true" error="Please enter Yes or No." errorStyle="stop" errorTitle="Outside the allowed range" operator="between" prompt="Your own figure. In the app it is pre-filled from Your finances: home status (owner = No).  Allowed: Yes or No." promptTitle="First-time buyer?" showDropDown="false" showErrorMessage="true" showInputMessage="true" sqref="C9" type="list">
      <formula1>"Yes,No"</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Mortgage interest rate" showDropDown="false" showErrorMessage="true" showInputMessage="true" sqref="C10" type="decimal">
      <formula1>0.01</formula1>
      <formula2>0.08</formula2>
    </dataValidation>
    <dataValidation allowBlank="true" error="Please enter 10 to 35 · steps of 1." errorStyle="stop" errorTitle="Outside the allowed range" operator="between" prompt="Your own figure.  Allowed: 10 to 35 · steps of 1." promptTitle="Mortgage term" showDropDown="false" showErrorMessage="true" showInputMessage="true" sqref="C11" type="whole">
      <formula1>10</formula1>
      <formula2>35</formula2>
    </dataValidation>
    <dataValidation allowBlank="true" error="Please enter €0 to €500,000 · steps of €1,000." errorStyle="stop" errorTitle="Outside the allowed range" operator="between" prompt="Optional: leave blank for none.  Allowed: €0 to €500,000 · steps of €1,000." promptTitle="What if: save extra towards the " showDropDown="false" showErrorMessage="true" showInputMessage="true" sqref="C14" type="decimal">
      <formula1>0</formula1>
      <formula2>500000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3" t="s">
        <v>305</v>
      </c>
      <c r="E1" s="3" t="s">
        <v>306</v>
      </c>
    </row>
    <row r="2" customFormat="false" ht="15" hidden="false" customHeight="true" outlineLevel="0" collapsed="false">
      <c r="B2" s="24" t="s">
        <v>307</v>
      </c>
      <c r="E2" s="25"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6" t="s">
        <v>308</v>
      </c>
    </row>
    <row r="5" customFormat="false" ht="15" hidden="false" customHeight="true" outlineLevel="0" collapsed="false">
      <c r="B5" s="15" t="s">
        <v>309</v>
      </c>
      <c r="C5" s="16"/>
      <c r="D5" s="16"/>
      <c r="E5" s="16"/>
      <c r="F5" s="16"/>
      <c r="G5" s="16"/>
    </row>
    <row r="6" customFormat="false" ht="27.75" hidden="false" customHeight="true" outlineLevel="0" collapsed="false">
      <c r="B6" s="56" t="s">
        <v>310</v>
      </c>
      <c r="C6" s="56"/>
      <c r="D6" s="56"/>
      <c r="E6" s="56"/>
    </row>
    <row r="7" customFormat="false" ht="15" hidden="false" customHeight="true" outlineLevel="0" collapsed="false">
      <c r="B7" s="9" t="s">
        <v>311</v>
      </c>
      <c r="C7" s="57"/>
      <c r="D7" s="30" t="s">
        <v>225</v>
      </c>
      <c r="E7" s="31" t="s">
        <v>312</v>
      </c>
      <c r="G7" s="55" t="s">
        <v>313</v>
      </c>
    </row>
    <row r="8" customFormat="false" ht="15" hidden="false" customHeight="true" outlineLevel="0" collapsed="false">
      <c r="B8" s="9" t="s">
        <v>314</v>
      </c>
      <c r="C8" s="58"/>
      <c r="D8" s="30" t="s">
        <v>236</v>
      </c>
      <c r="E8" s="31" t="s">
        <v>315</v>
      </c>
      <c r="G8" s="55" t="s">
        <v>313</v>
      </c>
    </row>
    <row r="9" customFormat="false" ht="15" hidden="false" customHeight="true" outlineLevel="0" collapsed="false">
      <c r="B9" s="9" t="s">
        <v>316</v>
      </c>
      <c r="C9" s="59"/>
      <c r="D9" s="30" t="s">
        <v>238</v>
      </c>
      <c r="E9" s="31" t="s">
        <v>317</v>
      </c>
      <c r="G9" s="55" t="s">
        <v>313</v>
      </c>
    </row>
    <row r="10" customFormat="false" ht="15" hidden="false" customHeight="true" outlineLevel="0" collapsed="false">
      <c r="B10" s="9" t="s">
        <v>318</v>
      </c>
      <c r="C10" s="57"/>
      <c r="D10" s="30" t="s">
        <v>225</v>
      </c>
      <c r="E10" s="31" t="s">
        <v>319</v>
      </c>
      <c r="G10" s="55" t="s">
        <v>313</v>
      </c>
    </row>
    <row r="11" customFormat="false" ht="15" hidden="false" customHeight="true" outlineLevel="0" collapsed="false">
      <c r="B11" s="9" t="s">
        <v>320</v>
      </c>
      <c r="C11" s="60"/>
      <c r="D11" s="30" t="s">
        <v>321</v>
      </c>
      <c r="E11" s="31" t="s">
        <v>322</v>
      </c>
      <c r="G11" s="55" t="s">
        <v>313</v>
      </c>
    </row>
    <row r="13" customFormat="false" ht="15" hidden="false" customHeight="true" outlineLevel="0" collapsed="false">
      <c r="B13" s="15" t="s">
        <v>323</v>
      </c>
      <c r="C13" s="27" t="s">
        <v>220</v>
      </c>
      <c r="D13" s="27" t="s">
        <v>221</v>
      </c>
      <c r="E13" s="27" t="s">
        <v>222</v>
      </c>
      <c r="F13" s="28" t="s">
        <v>223</v>
      </c>
      <c r="G13" s="16"/>
    </row>
    <row r="14" customFormat="false" ht="21.75" hidden="false" customHeight="true" outlineLevel="0" collapsed="false">
      <c r="B14" s="9" t="s">
        <v>324</v>
      </c>
      <c r="C14" s="29"/>
      <c r="D14" s="30" t="s">
        <v>225</v>
      </c>
      <c r="E14" s="31" t="s">
        <v>325</v>
      </c>
      <c r="F14" s="32" t="n">
        <v>300000</v>
      </c>
      <c r="G14" s="33" t="str">
        <f aca="false">IF(ISBLANK(C14),IF(Fill_Example="Yes",F14,""),C14)</f>
        <v/>
      </c>
    </row>
    <row r="15" customFormat="false" ht="33" hidden="false" customHeight="true" outlineLevel="0" collapsed="false">
      <c r="B15" s="9" t="s">
        <v>314</v>
      </c>
      <c r="C15" s="37"/>
      <c r="D15" s="30" t="s">
        <v>236</v>
      </c>
      <c r="E15" s="38"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mortgage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mortgage statement: rate. Enter your own figure. Allowed: 1% to 8% · steps of 0.05%</v>
      </c>
      <c r="F15" s="39" t="n">
        <f aca="false">IF(ISNUMBER(Suggest_Mortgage_Rate),Suggest_Mortgage_Rate,"")</f>
        <v>0.0348</v>
      </c>
      <c r="G15" s="40" t="str">
        <f aca="false">IF(ISBLANK(C15),IF(Fill_Example="Yes",F15,""),C15)</f>
        <v/>
      </c>
    </row>
    <row r="16" customFormat="false" ht="21.75" hidden="false" customHeight="true" outlineLevel="0" collapsed="false">
      <c r="B16" s="9" t="s">
        <v>326</v>
      </c>
      <c r="C16" s="41"/>
      <c r="D16" s="30" t="s">
        <v>238</v>
      </c>
      <c r="E16" s="31" t="s">
        <v>327</v>
      </c>
      <c r="F16" s="42" t="n">
        <v>30</v>
      </c>
      <c r="G16" s="43" t="str">
        <f aca="false">IF(ISBLANK(C16),IF(Fill_Example="Yes",F16,""),C16)</f>
        <v/>
      </c>
    </row>
    <row r="17" customFormat="false" ht="15" hidden="false" customHeight="true" outlineLevel="0" collapsed="false">
      <c r="B17" s="9" t="s">
        <v>328</v>
      </c>
      <c r="C17" s="29"/>
      <c r="D17" s="30" t="s">
        <v>225</v>
      </c>
      <c r="E17" s="31" t="s">
        <v>329</v>
      </c>
      <c r="F17" s="32" t="n">
        <v>0</v>
      </c>
      <c r="G17" s="33" t="n">
        <f aca="false">IF(ISBLANK(C17),F17,C17)</f>
        <v>0</v>
      </c>
    </row>
    <row r="18" customFormat="false" ht="15" hidden="false" customHeight="true" outlineLevel="0" collapsed="false">
      <c r="B18" s="9" t="s">
        <v>241</v>
      </c>
      <c r="C18" s="41"/>
      <c r="D18" s="30" t="s">
        <v>238</v>
      </c>
      <c r="E18" s="31" t="s">
        <v>242</v>
      </c>
      <c r="F18" s="42" t="n">
        <v>3</v>
      </c>
      <c r="G18" s="43" t="str">
        <f aca="false">IF(ISBLANK(C18),IF(Fill_Example="Yes",F18,""),C18)</f>
        <v/>
      </c>
    </row>
    <row r="19" customFormat="false" ht="15" hidden="false" customHeight="true" outlineLevel="0" collapsed="false">
      <c r="B19" s="9" t="s">
        <v>330</v>
      </c>
      <c r="C19" s="37"/>
      <c r="D19" s="30" t="s">
        <v>236</v>
      </c>
      <c r="E19" s="31" t="s">
        <v>331</v>
      </c>
      <c r="F19" s="39" t="n">
        <v>0</v>
      </c>
      <c r="G19" s="40" t="n">
        <f aca="false">IF(ISBLANK(C19),F19,C19)</f>
        <v>0</v>
      </c>
    </row>
    <row r="21" customFormat="false" ht="15" hidden="false" customHeight="true" outlineLevel="0" collapsed="false">
      <c r="B21" s="15" t="s">
        <v>332</v>
      </c>
      <c r="C21" s="16"/>
      <c r="D21" s="16"/>
      <c r="E21" s="16"/>
      <c r="F21" s="16"/>
      <c r="G21" s="16"/>
    </row>
    <row r="22" customFormat="false" ht="15" hidden="false" customHeight="true" outlineLevel="0" collapsed="false">
      <c r="B22" s="9" t="s">
        <v>324</v>
      </c>
      <c r="C22" s="61" t="str">
        <f aca="false">IF(ISBLANK(Stmt_Balance),Loan_Amount,Stmt_Balance)</f>
        <v/>
      </c>
      <c r="D22" s="62" t="str">
        <f aca="false">IF(ISBLANK(Stmt_Balance),"Your figure","From your statement")</f>
        <v>Your figure</v>
      </c>
      <c r="E22" s="52" t="s">
        <v>333</v>
      </c>
    </row>
    <row r="23" customFormat="false" ht="15" hidden="false" customHeight="true" outlineLevel="0" collapsed="false">
      <c r="B23" s="9" t="s">
        <v>314</v>
      </c>
      <c r="C23" s="63" t="str">
        <f aca="false">IF(ISBLANK(Stmt_Rate),Interest_Rate,Stmt_Rate)</f>
        <v/>
      </c>
      <c r="D23" s="62" t="str">
        <f aca="false">IF(ISBLANK(Stmt_Rate),"Your figure","From your statement")</f>
        <v>Your figure</v>
      </c>
      <c r="E23" s="52" t="s">
        <v>334</v>
      </c>
    </row>
    <row r="24" customFormat="false" ht="15" hidden="false" customHeight="true" outlineLevel="0" collapsed="false">
      <c r="B24" s="9" t="s">
        <v>326</v>
      </c>
      <c r="C24" s="64" t="str">
        <f aca="false">IF(ISBLANK(Stmt_Term),Term_Years,Stmt_Term)</f>
        <v/>
      </c>
      <c r="D24" s="62" t="str">
        <f aca="false">IF(ISBLANK(Stmt_Term),"Your figure","From your statement")</f>
        <v>Your figure</v>
      </c>
      <c r="E24" s="52" t="s">
        <v>335</v>
      </c>
    </row>
    <row r="25" customFormat="false" ht="15" hidden="false" customHeight="true" outlineLevel="0" collapsed="false">
      <c r="B25" s="9" t="s">
        <v>336</v>
      </c>
      <c r="C25" s="61" t="n">
        <f aca="false">IF(ISBLANK(Stmt_Repayment),Actual_Repayment,Stmt_Repayment)</f>
        <v>0</v>
      </c>
      <c r="D25" s="62" t="str">
        <f aca="false">IF(ISBLANK(Stmt_Repayment),"Your figure","From your statement")</f>
        <v>Your figure</v>
      </c>
      <c r="E25" s="52" t="s">
        <v>337</v>
      </c>
    </row>
    <row r="26" customFormat="false" ht="21.75" hidden="false" customHeight="true" outlineLevel="0" collapsed="false">
      <c r="B26" s="9" t="s">
        <v>338</v>
      </c>
      <c r="C26" s="48" t="str">
        <f aca="true">IF(ISBLANK(Stmt_Statement_Date),"",IF(TODAY()-Stmt_Statement_Date&gt;Statement_Max_Age_Days,"Needs a look: statement is more than 12 months old","Up to date"))</f>
        <v/>
      </c>
      <c r="D26" s="30"/>
      <c r="E26" s="45" t="s">
        <v>339</v>
      </c>
    </row>
    <row r="28" customFormat="false" ht="15" hidden="false" customHeight="true" outlineLevel="0" collapsed="false">
      <c r="B28" s="15" t="s">
        <v>245</v>
      </c>
      <c r="C28" s="27" t="s">
        <v>246</v>
      </c>
      <c r="D28" s="27" t="s">
        <v>247</v>
      </c>
      <c r="E28" s="27" t="s">
        <v>248</v>
      </c>
      <c r="F28" s="16"/>
      <c r="G28" s="16"/>
    </row>
    <row r="29" customFormat="false" ht="17.25" hidden="false" customHeight="true" outlineLevel="0" collapsed="false">
      <c r="B29" s="24" t="s">
        <v>318</v>
      </c>
      <c r="C29" s="44" t="str">
        <f aca="false">IF(Need_1&lt;&gt;"",Need_1,IF(Used_Actual_Repayment&gt;0,Used_Actual_Repayment,Formula_Repayment))</f>
        <v>Choose your mortgage amount to see this</v>
      </c>
      <c r="D29" s="30" t="s">
        <v>225</v>
      </c>
      <c r="E29" s="45" t="s">
        <v>340</v>
      </c>
    </row>
    <row r="30" customFormat="false" ht="23.25" hidden="false" customHeight="true" outlineLevel="0" collapsed="false">
      <c r="B30" s="24" t="s">
        <v>341</v>
      </c>
      <c r="C30" s="65" t="str">
        <f aca="false">IF(Need_1&lt;&gt;"",Need_1,IF(Monthly_Repayment&lt;=Used_Loan_Amount*Monthly_Rate,"Never",ROUNDUP(ROUND(NPER(Monthly_Rate,-Monthly_Repayment,Used_Loan_Amount),6),0)))</f>
        <v>Choose your mortgage amount to see this</v>
      </c>
      <c r="D30" s="66" t="str">
        <f aca="false">IF(Need_1&lt;&gt;"",Need_1,IF(Months_To_Pay="Never","Never at this repayment",IF(Months_To_Pay&gt;Cap_Months,"Over 100 years",IF(INT(Months_To_Pay/12)=0,MOD(Months_To_Pay,12)&amp;IF(MOD(Months_To_Pay,12)=1," month"," months"),INT(Months_To_Pay/12)&amp;IF(INT(Months_To_Pay/12)=1," year"," years")&amp;IF(MOD(Months_To_Pay,12)=0,""," "&amp;MOD(Months_To_Pay,12)&amp;IF(MOD(Months_To_Pay,12)=1," month"," months"))))))</f>
        <v>Choose your mortgage amount to see this</v>
      </c>
      <c r="E30" s="45" t="s">
        <v>342</v>
      </c>
    </row>
    <row r="31" customFormat="false" ht="17.25" hidden="false" customHeight="true" outlineLevel="0" collapsed="false">
      <c r="B31" s="24" t="s">
        <v>343</v>
      </c>
      <c r="C31" s="44" t="str">
        <f aca="false">IF(Need_1&lt;&gt;"",Need_1,IF(Months_To_Pay="Never","—",Monthly_Repayment*(Months_To_Pay-1)+Final_Payment-Used_Loan_Amount))</f>
        <v>Choose your mortgage amount to see this</v>
      </c>
      <c r="D31" s="30" t="s">
        <v>225</v>
      </c>
      <c r="E31" s="45" t="s">
        <v>344</v>
      </c>
    </row>
    <row r="32" customFormat="false" ht="15" hidden="false" customHeight="true" outlineLevel="0" collapsed="false">
      <c r="B32" s="9" t="s">
        <v>345</v>
      </c>
      <c r="C32" s="46" t="str">
        <f aca="false">IF(Need_1&lt;&gt;"",Need_1,IF(Months_To_Pay="Never","—",Used_Loan_Amount+Total_Interest))</f>
        <v>Choose your mortgage amount to see this</v>
      </c>
      <c r="D32" s="30" t="s">
        <v>225</v>
      </c>
      <c r="E32" s="45" t="s">
        <v>346</v>
      </c>
    </row>
    <row r="33" customFormat="false" ht="15" hidden="false" customHeight="true" outlineLevel="0" collapsed="false">
      <c r="B33" s="9" t="s">
        <v>347</v>
      </c>
      <c r="C33" s="67" t="str">
        <f aca="false">IF(Need_2&lt;&gt;"",Need_2,Used_Interest_Rate/12)</f>
        <v>Choose your interest rate to see this</v>
      </c>
      <c r="D33" s="30"/>
      <c r="E33" s="45" t="s">
        <v>348</v>
      </c>
    </row>
    <row r="34" customFormat="false" ht="15" hidden="false" customHeight="true" outlineLevel="0" collapsed="false">
      <c r="B34" s="9" t="s">
        <v>349</v>
      </c>
      <c r="C34" s="46" t="str">
        <f aca="false">IF(Need_3&lt;&gt;"",Need_3,PMT(Monthly_Rate,Used_Term_Years*12,-Used_Loan_Amount))</f>
        <v>Choose your mortgage amount to see this</v>
      </c>
      <c r="D34" s="30" t="s">
        <v>225</v>
      </c>
      <c r="E34" s="45" t="s">
        <v>350</v>
      </c>
    </row>
    <row r="35" customFormat="false" ht="21.75" hidden="false" customHeight="true" outlineLevel="0" collapsed="false">
      <c r="B35" s="9" t="s">
        <v>351</v>
      </c>
      <c r="C35" s="46" t="str">
        <f aca="false">IF(Need_1&lt;&gt;"",Need_1,IF(Months_To_Pay="Never","—",-FV(Monthly_Rate,Months_To_Pay-1,-Monthly_Repayment,Used_Loan_Amount)*(1+Monthly_Rate)))</f>
        <v>Choose your mortgage amount to see this</v>
      </c>
      <c r="D35" s="30" t="s">
        <v>225</v>
      </c>
      <c r="E35" s="45" t="s">
        <v>352</v>
      </c>
    </row>
    <row r="36" customFormat="false" ht="15" hidden="false" customHeight="true" outlineLevel="0" collapsed="false">
      <c r="B36" s="9" t="s">
        <v>353</v>
      </c>
      <c r="C36" s="68" t="str">
        <f aca="false">IF(Need_2&lt;&gt;"",Need_2,MAX(0,Used_Interest_Rate+Rate_Change))</f>
        <v>Choose your interest rate to see this</v>
      </c>
      <c r="D36" s="30" t="s">
        <v>236</v>
      </c>
      <c r="E36" s="45" t="s">
        <v>354</v>
      </c>
    </row>
    <row r="37" customFormat="false" ht="17.25" hidden="false" customHeight="true" outlineLevel="0" collapsed="false">
      <c r="B37" s="24" t="s">
        <v>355</v>
      </c>
      <c r="C37" s="44" t="str">
        <f aca="false">IF(Need_1&lt;&gt;"",Need_1,Monthly_Repayment+PMT(New_Rate/12,Used_Term_Years*12,-Used_Loan_Amount)-Formula_Repayment)</f>
        <v>Choose your mortgage amount to see this</v>
      </c>
      <c r="D37" s="30" t="s">
        <v>225</v>
      </c>
      <c r="E37" s="45" t="s">
        <v>356</v>
      </c>
    </row>
    <row r="38" customFormat="false" ht="15" hidden="false" customHeight="true" outlineLevel="0" collapsed="false">
      <c r="B38" s="9" t="s">
        <v>357</v>
      </c>
      <c r="C38" s="46" t="str">
        <f aca="false">IF(Need_1&lt;&gt;"",Need_1,(Repayment_If_Changed-Monthly_Repayment)*12)</f>
        <v>Choose your mortgage amount to see this</v>
      </c>
      <c r="D38" s="30" t="s">
        <v>225</v>
      </c>
      <c r="E38" s="45" t="s">
        <v>358</v>
      </c>
    </row>
    <row r="40" customFormat="false" ht="15" hidden="false" customHeight="true" outlineLevel="0" collapsed="false">
      <c r="B40" s="15" t="s">
        <v>278</v>
      </c>
      <c r="C40" s="16"/>
      <c r="D40" s="16"/>
      <c r="E40" s="16"/>
      <c r="F40" s="16"/>
      <c r="G40" s="16"/>
    </row>
    <row r="41" customFormat="false" ht="13.5" hidden="false" customHeight="true" outlineLevel="0" collapsed="false">
      <c r="B41" s="49" t="s">
        <v>359</v>
      </c>
      <c r="C41" s="49"/>
      <c r="D41" s="49"/>
      <c r="E41" s="49"/>
    </row>
    <row r="42" customFormat="false" ht="27.75" hidden="false" customHeight="true" outlineLevel="0" collapsed="false">
      <c r="B42" s="49" t="s">
        <v>360</v>
      </c>
      <c r="C42" s="49"/>
      <c r="D42" s="49"/>
      <c r="E42" s="49"/>
    </row>
    <row r="43" customFormat="false" ht="27.75" hidden="false" customHeight="true" outlineLevel="0" collapsed="false">
      <c r="B43" s="49" t="s">
        <v>361</v>
      </c>
      <c r="C43" s="49"/>
      <c r="D43" s="49"/>
      <c r="E43" s="49"/>
    </row>
    <row r="44" customFormat="false" ht="13.5" hidden="false" customHeight="true" outlineLevel="0" collapsed="false">
      <c r="B44" s="50" t="s">
        <v>282</v>
      </c>
      <c r="C44" s="50"/>
      <c r="D44" s="50"/>
      <c r="E44" s="50"/>
    </row>
    <row r="45" customFormat="false" ht="27.75" hidden="false" customHeight="true" outlineLevel="0" collapsed="false">
      <c r="B45" s="49" t="s">
        <v>362</v>
      </c>
      <c r="C45" s="49"/>
      <c r="D45" s="49"/>
      <c r="E45" s="49"/>
    </row>
    <row r="46" customFormat="false" ht="13.5" hidden="false" customHeight="true" outlineLevel="0" collapsed="false">
      <c r="B46" s="49" t="s">
        <v>363</v>
      </c>
      <c r="C46" s="49"/>
      <c r="D46" s="49"/>
      <c r="E46" s="49"/>
    </row>
    <row r="47" customFormat="false" ht="27.75" hidden="false" customHeight="true" outlineLevel="0" collapsed="false">
      <c r="B47" s="49" t="s">
        <v>364</v>
      </c>
      <c r="C47" s="49"/>
      <c r="D47" s="49"/>
      <c r="E47" s="49"/>
    </row>
    <row r="48" customFormat="false" ht="13.5" hidden="false" customHeight="true" outlineLevel="0" collapsed="false">
      <c r="B48" s="49" t="s">
        <v>286</v>
      </c>
      <c r="C48" s="49"/>
      <c r="D48" s="49"/>
      <c r="E48" s="49"/>
    </row>
    <row r="50" customFormat="false" ht="15" hidden="false" customHeight="true" outlineLevel="0" collapsed="false">
      <c r="B50" s="15" t="s">
        <v>287</v>
      </c>
      <c r="C50" s="16"/>
      <c r="D50" s="16"/>
      <c r="E50" s="16"/>
      <c r="F50" s="16"/>
      <c r="G50" s="16"/>
    </row>
    <row r="51" customFormat="false" ht="15" hidden="false" customHeight="true" outlineLevel="0" collapsed="false">
      <c r="B51" s="9" t="s">
        <v>288</v>
      </c>
      <c r="C51" s="51" t="str">
        <f aca="false">"Buy a home (deposit goal)"</f>
        <v>Buy a home (deposit goal)</v>
      </c>
      <c r="E51" s="52" t="s">
        <v>289</v>
      </c>
    </row>
    <row r="52" customFormat="false" ht="15" hidden="false" customHeight="true" outlineLevel="0" collapsed="false">
      <c r="B52" s="9" t="s">
        <v>365</v>
      </c>
      <c r="C52" s="53" t="str">
        <f aca="false">IF(Need_4&lt;&gt;"",Need_4,ROUND(Used_Loan_Amount*(1-LTV_Max)/LTV_Max,0))</f>
        <v>Choose your mortgage amount to see this</v>
      </c>
      <c r="E52" s="52" t="s">
        <v>366</v>
      </c>
    </row>
    <row r="53" customFormat="false" ht="15" hidden="false" customHeight="true" outlineLevel="0" collapsed="false">
      <c r="B53" s="9" t="s">
        <v>294</v>
      </c>
      <c r="C53" s="54" t="str">
        <f aca="false">IF(Need_5&lt;&gt;"",Need_5,Home_Goal_Years)</f>
        <v>Choose your years until you buy to see this</v>
      </c>
      <c r="E53" s="52" t="s">
        <v>295</v>
      </c>
    </row>
    <row r="54" customFormat="false" ht="13.5" hidden="false" customHeight="true" outlineLevel="0" collapsed="false">
      <c r="B54" s="56" t="s">
        <v>367</v>
      </c>
      <c r="C54" s="56"/>
      <c r="D54" s="56"/>
      <c r="E54" s="56"/>
    </row>
    <row r="56" customFormat="false" ht="15" hidden="false" customHeight="true" outlineLevel="0" collapsed="false">
      <c r="B56" s="15" t="s">
        <v>296</v>
      </c>
      <c r="C56" s="16"/>
      <c r="D56" s="16"/>
      <c r="E56" s="16"/>
      <c r="F56" s="16"/>
      <c r="G56" s="16"/>
    </row>
    <row r="57" customFormat="false" ht="15" hidden="false" customHeight="true" outlineLevel="0" collapsed="false">
      <c r="B57" s="55" t="s">
        <v>368</v>
      </c>
      <c r="C57" s="55" t="str">
        <f aca="false">IF(NOT(ISNUMBER(Used_Loan_Amount)),IF(Used_Loan_Amount="",IF(Loan_Amount="","Choose your mortgage amount to see this",""),Used_Loan_Amount),IF(NOT(ISNUMBER(Used_Interest_Rate)),IF(Used_Interest_Rate="",IF(Interest_Rate="","Choose your interest rate to see this",""),Used_Interest_Rate),IF(NOT(ISNUMBER(Used_Term_Years)),IF(Used_Term_Years="",IF(Term_Years="","Choose your mortgage term to see this",""),Used_Term_Years),IF(NOT(ISNUMBER(Used_Actual_Repayment)),IF(Used_Actual_Repayment="","Choose your actual monthly repayment to see this",Used_Actual_Repayment),""))))</f>
        <v>Choose your mortgage amount to see this</v>
      </c>
    </row>
    <row r="58" customFormat="false" ht="15" hidden="false" customHeight="true" outlineLevel="0" collapsed="false">
      <c r="B58" s="55" t="s">
        <v>369</v>
      </c>
      <c r="C58" s="55" t="str">
        <f aca="false">IF(NOT(ISNUMBER(Used_Interest_Rate)),IF(Used_Interest_Rate="",IF(Interest_Rate="","Choose your interest rate to see this",""),Used_Interest_Rate),"")</f>
        <v>Choose your interest rate to see this</v>
      </c>
    </row>
    <row r="59" customFormat="false" ht="15" hidden="false" customHeight="true" outlineLevel="0" collapsed="false">
      <c r="B59" s="55" t="s">
        <v>370</v>
      </c>
      <c r="C59" s="55" t="str">
        <f aca="false">IF(NOT(ISNUMBER(Used_Loan_Amount)),IF(Used_Loan_Amount="",IF(Loan_Amount="","Choose your mortgage amount to see this",""),Used_Loan_Amount),IF(NOT(ISNUMBER(Used_Interest_Rate)),IF(Used_Interest_Rate="",IF(Interest_Rate="","Choose your interest rate to see this",""),Used_Interest_Rate),IF(NOT(ISNUMBER(Used_Term_Years)),IF(Used_Term_Years="",IF(Term_Years="","Choose your mortgage term to see this",""),Used_Term_Years),"")))</f>
        <v>Choose your mortgage amount to see this</v>
      </c>
    </row>
    <row r="60" customFormat="false" ht="15" hidden="false" customHeight="true" outlineLevel="0" collapsed="false">
      <c r="B60" s="55" t="s">
        <v>371</v>
      </c>
      <c r="C60" s="55" t="str">
        <f aca="false">IF(NOT(ISNUMBER(Used_Loan_Amount)),IF(Used_Loan_Amount="",IF(Loan_Amount="","Choose your mortgage amount to see this",""),Used_Loan_Amount),"")</f>
        <v>Choose your mortgage amount to see this</v>
      </c>
    </row>
    <row r="61" customFormat="false" ht="15" hidden="false" customHeight="true" outlineLevel="0" collapsed="false">
      <c r="B61" s="55" t="s">
        <v>303</v>
      </c>
      <c r="C61" s="55" t="str">
        <f aca="false">IF(Home_Goal_Years="","Choose your years until you buy to see this","")</f>
        <v>Choose your years until you buy to see this</v>
      </c>
    </row>
    <row r="63" customFormat="false" ht="15" hidden="false" customHeight="true" outlineLevel="0" collapsed="false">
      <c r="B63" s="22" t="s">
        <v>372</v>
      </c>
    </row>
  </sheetData>
  <mergeCells count="10">
    <mergeCell ref="B6:E6"/>
    <mergeCell ref="B41:E41"/>
    <mergeCell ref="B42:E42"/>
    <mergeCell ref="B43:E43"/>
    <mergeCell ref="B44:E44"/>
    <mergeCell ref="B45:E45"/>
    <mergeCell ref="B46:E46"/>
    <mergeCell ref="B47:E47"/>
    <mergeCell ref="B48:E48"/>
    <mergeCell ref="B54:E54"/>
  </mergeCells>
  <dataValidations count="11">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8" type="whole">
      <formula1>1</formula1>
      <formula2>30</formula2>
    </dataValidation>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50,000 to €10,000,000 · steps of €1,000." errorStyle="stop" errorTitle="Outside the allowed range" operator="between" prompt="Your own figure. In the app it is pre-filled from Your finances / mortgage statement: balance.  Allowed: €50,000 to €10,000,000 · steps of €1,000." promptTitle="Mortgage amount"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showDropDown="false" showErrorMessage="true" showInputMessage="true" sqref="C16" type="whole">
      <formula1>5</formula1>
      <formula2>35</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7" type="decimal">
      <formula1>0</formula1>
      <formula2>100000</formula2>
    </dataValidation>
    <dataValidation allowBlank="true" error="Please enter -2% to 3% · steps of 0.25%." errorStyle="stop" errorTitle="Outside the allowed range" operator="between" prompt="Optional: leave blank for none.  Allowed: -2% to 3% · steps of 0.25%." promptTitle="What if: rates change by" showDropDown="false" showErrorMessage="true" showInputMessage="true" sqref="C19"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3" t="s">
        <v>373</v>
      </c>
      <c r="E1" s="3" t="s">
        <v>374</v>
      </c>
    </row>
    <row r="2" customFormat="false" ht="15" hidden="false" customHeight="true" outlineLevel="0" collapsed="false">
      <c r="B2" s="24" t="s">
        <v>375</v>
      </c>
      <c r="E2" s="25"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6" t="s">
        <v>376</v>
      </c>
    </row>
    <row r="5" customFormat="false" ht="15" hidden="false" customHeight="true" outlineLevel="0" collapsed="false">
      <c r="B5" s="15" t="s">
        <v>219</v>
      </c>
      <c r="C5" s="27" t="s">
        <v>220</v>
      </c>
      <c r="D5" s="27" t="s">
        <v>221</v>
      </c>
      <c r="E5" s="27" t="s">
        <v>222</v>
      </c>
      <c r="F5" s="28" t="s">
        <v>223</v>
      </c>
      <c r="G5" s="16"/>
    </row>
    <row r="6" customFormat="false" ht="15" hidden="false" customHeight="true" outlineLevel="0" collapsed="false">
      <c r="B6" s="9" t="s">
        <v>377</v>
      </c>
      <c r="C6" s="29"/>
      <c r="D6" s="30" t="s">
        <v>225</v>
      </c>
      <c r="E6" s="31" t="s">
        <v>378</v>
      </c>
      <c r="F6" s="32" t="n">
        <v>350000</v>
      </c>
      <c r="G6" s="33" t="str">
        <f aca="false">IF(ISBLANK(C6),IF(Fill_Example="Yes",F6,""),C6)</f>
        <v/>
      </c>
    </row>
    <row r="7" customFormat="false" ht="21.75" hidden="false" customHeight="true" outlineLevel="0" collapsed="false">
      <c r="B7" s="9" t="s">
        <v>379</v>
      </c>
      <c r="C7" s="37"/>
      <c r="D7" s="30" t="s">
        <v>236</v>
      </c>
      <c r="E7" s="31" t="s">
        <v>380</v>
      </c>
      <c r="F7" s="39" t="n">
        <v>0.1</v>
      </c>
      <c r="G7" s="40" t="str">
        <f aca="false">IF(ISBLANK(C7),IF(Fill_Example="Yes",F7,""),C7)</f>
        <v/>
      </c>
    </row>
    <row r="8" customFormat="false" ht="21.75" hidden="false" customHeight="true" outlineLevel="0" collapsed="false">
      <c r="B8" s="9" t="s">
        <v>240</v>
      </c>
      <c r="C8" s="29"/>
      <c r="D8" s="30" t="s">
        <v>225</v>
      </c>
      <c r="E8" s="38"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8" s="32" t="str">
        <f aca="false">IF(ISNUMBER(Suggest_Buying_Fees),Suggest_Buying_Fees,"")</f>
        <v/>
      </c>
      <c r="G8" s="33" t="n">
        <f aca="false">IF(ISBLANK(C8),IF(AND(Fill_Example="Yes",ISNUMBER(F8)),F8,0),C8)</f>
        <v>0</v>
      </c>
    </row>
    <row r="9" customFormat="false" ht="21.75" hidden="false" customHeight="true" outlineLevel="0" collapsed="false">
      <c r="B9" s="9" t="s">
        <v>381</v>
      </c>
      <c r="C9" s="29"/>
      <c r="D9" s="30" t="s">
        <v>225</v>
      </c>
      <c r="E9" s="31" t="s">
        <v>382</v>
      </c>
      <c r="F9" s="32" t="n">
        <v>12000</v>
      </c>
      <c r="G9" s="33" t="str">
        <f aca="false">IF(ISBLANK(C9),IF(Fill_Example="Yes",F9,""),C9)</f>
        <v/>
      </c>
    </row>
    <row r="10" customFormat="false" ht="15" hidden="false" customHeight="true" outlineLevel="0" collapsed="false">
      <c r="B10" s="9" t="s">
        <v>383</v>
      </c>
      <c r="C10" s="29"/>
      <c r="D10" s="30" t="s">
        <v>225</v>
      </c>
      <c r="E10" s="31" t="s">
        <v>384</v>
      </c>
      <c r="F10" s="32" t="n">
        <v>800</v>
      </c>
      <c r="G10" s="33" t="str">
        <f aca="false">IF(ISBLANK(C10),IF(Fill_Example="Yes",F10,""),C10)</f>
        <v/>
      </c>
    </row>
    <row r="11" customFormat="false" ht="15" hidden="false" customHeight="true" outlineLevel="0" collapsed="false">
      <c r="B11" s="9" t="s">
        <v>385</v>
      </c>
      <c r="C11" s="29"/>
      <c r="D11" s="30" t="s">
        <v>225</v>
      </c>
      <c r="E11" s="31" t="s">
        <v>386</v>
      </c>
      <c r="F11" s="32" t="n">
        <v>0</v>
      </c>
      <c r="G11" s="33" t="n">
        <f aca="false">IF(ISBLANK(C11),F11,C11)</f>
        <v>0</v>
      </c>
    </row>
    <row r="13" customFormat="false" ht="15" hidden="false" customHeight="true" outlineLevel="0" collapsed="false">
      <c r="B13" s="15" t="s">
        <v>245</v>
      </c>
      <c r="C13" s="27" t="s">
        <v>246</v>
      </c>
      <c r="D13" s="27" t="s">
        <v>247</v>
      </c>
      <c r="E13" s="27" t="s">
        <v>248</v>
      </c>
      <c r="F13" s="16"/>
      <c r="G13" s="16"/>
    </row>
    <row r="14" customFormat="false" ht="23.25" hidden="false" customHeight="true" outlineLevel="0" collapsed="false">
      <c r="B14" s="24" t="s">
        <v>387</v>
      </c>
      <c r="C14" s="65" t="str">
        <f aca="false">IF(Need_1&lt;&gt;"",Need_1,IF(Still_To_Save=0,0,ROUNDUP(Still_To_Save/(Monthly_Saving+Extra_Saving),0)))</f>
        <v>Choose your home price to see this</v>
      </c>
      <c r="D14" s="66" t="str">
        <f aca="false">IF(Need_1&lt;&gt;"",Need_1,IF(Months_To_Deposit=0,"You have your deposit",IF(INT(Months_To_Deposit/12)=0,MOD(Months_To_Deposit,12)&amp;IF(MOD(Months_To_Deposit,12)=1," month"," months"),INT(Months_To_Deposit/12)&amp;IF(INT(Months_To_Deposit/12)=1," year"," years")&amp;IF(MOD(Months_To_Deposit,12)=0,""," "&amp;MOD(Months_To_Deposit,12)&amp;IF(MOD(Months_To_Deposit,12)=1," month"," months")))))</f>
        <v>Choose your home price to see this</v>
      </c>
      <c r="E14" s="45" t="s">
        <v>388</v>
      </c>
    </row>
    <row r="15" customFormat="false" ht="17.25" hidden="false" customHeight="true" outlineLevel="0" collapsed="false">
      <c r="B15" s="24" t="s">
        <v>389</v>
      </c>
      <c r="C15" s="44" t="str">
        <f aca="false">IF(Need_2&lt;&gt;"",Need_2,Deposit_Needed+Stamp_Duty+Buying_Fees)</f>
        <v>Choose your home price to see this</v>
      </c>
      <c r="D15" s="30" t="s">
        <v>225</v>
      </c>
      <c r="E15" s="45" t="s">
        <v>390</v>
      </c>
    </row>
    <row r="16" customFormat="false" ht="17.25" hidden="false" customHeight="true" outlineLevel="0" collapsed="false">
      <c r="B16" s="24" t="s">
        <v>391</v>
      </c>
      <c r="C16" s="44" t="str">
        <f aca="false">IF(Need_3&lt;&gt;"",Need_3,MAX(0,Total_Needed-Saved))</f>
        <v>Choose your home price to see this</v>
      </c>
      <c r="D16" s="30" t="s">
        <v>225</v>
      </c>
      <c r="E16" s="45" t="s">
        <v>392</v>
      </c>
    </row>
    <row r="17" customFormat="false" ht="15" hidden="false" customHeight="true" outlineLevel="0" collapsed="false">
      <c r="B17" s="9" t="s">
        <v>393</v>
      </c>
      <c r="C17" s="46" t="str">
        <f aca="false">IF(Need_4&lt;&gt;"",Need_4,Home_Price*Deposit_Pct)</f>
        <v>Choose your home price to see this</v>
      </c>
      <c r="D17" s="30" t="s">
        <v>225</v>
      </c>
      <c r="E17" s="45" t="s">
        <v>394</v>
      </c>
    </row>
    <row r="18" customFormat="false" ht="21.75" hidden="false" customHeight="true" outlineLevel="0" collapsed="false">
      <c r="B18" s="9" t="s">
        <v>395</v>
      </c>
      <c r="C18" s="46" t="str">
        <f aca="false">IF(Need_5&lt;&gt;"",Need_5,SD_Rate_1*MIN(Home_Price,SD_Band_1)+SD_Rate_2*MAX(0,MIN(Home_Price,SD_Band_2)-SD_Band_1)+SD_Rate_3*MAX(0,Home_Price-SD_Band_2))</f>
        <v>Choose your home price to see this</v>
      </c>
      <c r="D18" s="30" t="s">
        <v>225</v>
      </c>
      <c r="E18" s="45" t="s">
        <v>256</v>
      </c>
    </row>
    <row r="20" customFormat="false" ht="15" hidden="false" customHeight="true" outlineLevel="0" collapsed="false">
      <c r="B20" s="15" t="s">
        <v>278</v>
      </c>
      <c r="C20" s="16"/>
      <c r="D20" s="16"/>
      <c r="E20" s="16"/>
      <c r="F20" s="16"/>
      <c r="G20" s="16"/>
    </row>
    <row r="21" customFormat="false" ht="13.5" hidden="false" customHeight="true" outlineLevel="0" collapsed="false">
      <c r="B21" s="49" t="s">
        <v>396</v>
      </c>
      <c r="C21" s="49"/>
      <c r="D21" s="49"/>
      <c r="E21" s="49"/>
    </row>
    <row r="22" customFormat="false" ht="13.5" hidden="false" customHeight="true" outlineLevel="0" collapsed="false">
      <c r="B22" s="49" t="s">
        <v>397</v>
      </c>
      <c r="C22" s="49"/>
      <c r="D22" s="49"/>
      <c r="E22" s="49"/>
    </row>
    <row r="23" customFormat="false" ht="13.5" hidden="false" customHeight="true" outlineLevel="0" collapsed="false">
      <c r="B23" s="50" t="s">
        <v>282</v>
      </c>
      <c r="C23" s="50"/>
      <c r="D23" s="50"/>
      <c r="E23" s="50"/>
    </row>
    <row r="24" customFormat="false" ht="13.5" hidden="false" customHeight="true" outlineLevel="0" collapsed="false">
      <c r="B24" s="49" t="s">
        <v>398</v>
      </c>
      <c r="C24" s="49"/>
      <c r="D24" s="49"/>
      <c r="E24" s="49"/>
    </row>
    <row r="25" customFormat="false" ht="13.5" hidden="false" customHeight="true" outlineLevel="0" collapsed="false">
      <c r="B25" s="49" t="s">
        <v>399</v>
      </c>
      <c r="C25" s="49"/>
      <c r="D25" s="49"/>
      <c r="E25" s="49"/>
    </row>
    <row r="26" customFormat="false" ht="13.5" hidden="false" customHeight="true" outlineLevel="0" collapsed="false">
      <c r="B26" s="49" t="s">
        <v>400</v>
      </c>
      <c r="C26" s="49"/>
      <c r="D26" s="49"/>
      <c r="E26" s="49"/>
    </row>
    <row r="28" customFormat="false" ht="15" hidden="false" customHeight="true" outlineLevel="0" collapsed="false">
      <c r="B28" s="15" t="s">
        <v>287</v>
      </c>
      <c r="C28" s="16"/>
      <c r="D28" s="16"/>
      <c r="E28" s="16"/>
      <c r="F28" s="16"/>
      <c r="G28" s="16"/>
    </row>
    <row r="29" customFormat="false" ht="15" hidden="false" customHeight="true" outlineLevel="0" collapsed="false">
      <c r="B29" s="9" t="s">
        <v>288</v>
      </c>
      <c r="C29" s="51" t="str">
        <f aca="false">"Home deposit"</f>
        <v>Home deposit</v>
      </c>
      <c r="E29" s="52" t="s">
        <v>401</v>
      </c>
    </row>
    <row r="30" customFormat="false" ht="15" hidden="false" customHeight="true" outlineLevel="0" collapsed="false">
      <c r="B30" s="9" t="s">
        <v>402</v>
      </c>
      <c r="C30" s="53" t="str">
        <f aca="false">IF(Need_2&lt;&gt;"",Need_2,ROUND(Total_Needed,0))</f>
        <v>Choose your home price to see this</v>
      </c>
      <c r="E30" s="52" t="s">
        <v>403</v>
      </c>
    </row>
    <row r="31" customFormat="false" ht="15" hidden="false" customHeight="true" outlineLevel="0" collapsed="false">
      <c r="B31" s="9" t="s">
        <v>292</v>
      </c>
      <c r="C31" s="53" t="str">
        <f aca="false">IF(Need_6&lt;&gt;"",Need_6,Saved)</f>
        <v>Choose your saved so far to see this</v>
      </c>
      <c r="E31" s="52" t="s">
        <v>404</v>
      </c>
    </row>
    <row r="32" customFormat="false" ht="15" hidden="false" customHeight="true" outlineLevel="0" collapsed="false">
      <c r="B32" s="9" t="s">
        <v>294</v>
      </c>
      <c r="C32" s="54" t="str">
        <f aca="false">IF(Need_1&lt;&gt;"",Need_1,MAX(1,ROUNDUP(Months_To_Deposit/12,0)))</f>
        <v>Choose your home price to see this</v>
      </c>
      <c r="E32" s="52" t="s">
        <v>405</v>
      </c>
    </row>
    <row r="34" customFormat="false" ht="15" hidden="false" customHeight="true" outlineLevel="0" collapsed="false">
      <c r="B34" s="15" t="s">
        <v>296</v>
      </c>
      <c r="C34" s="16"/>
      <c r="D34" s="16"/>
      <c r="E34" s="16"/>
      <c r="F34" s="16"/>
      <c r="G34" s="16"/>
    </row>
    <row r="35" customFormat="false" ht="15" hidden="false" customHeight="true" outlineLevel="0" collapsed="false">
      <c r="B35" s="55" t="s">
        <v>406</v>
      </c>
      <c r="C35" s="55" t="str">
        <f aca="false">IF(Home_Price="","Choose your home price to see this",IF(Deposit_Pct="","Choose your deposit % to see this",IF(Buying_Fees="","Choose your buying fees to see this",IF(Saved="","Choose your saved so far to see this",IF(Monthly_Saving="","Choose your monthly saving to see this","")))))</f>
        <v>Choose your home price to see this</v>
      </c>
    </row>
    <row r="36" customFormat="false" ht="15" hidden="false" customHeight="true" outlineLevel="0" collapsed="false">
      <c r="B36" s="55" t="s">
        <v>407</v>
      </c>
      <c r="C36" s="55" t="str">
        <f aca="false">IF(Home_Price="","Choose your home price to see this",IF(Deposit_Pct="","Choose your deposit % to see this",IF(Buying_Fees="","Choose your buying fees to see this","")))</f>
        <v>Choose your home price to see this</v>
      </c>
    </row>
    <row r="37" customFormat="false" ht="15" hidden="false" customHeight="true" outlineLevel="0" collapsed="false">
      <c r="B37" s="55" t="s">
        <v>408</v>
      </c>
      <c r="C37" s="55" t="str">
        <f aca="false">IF(Home_Price="","Choose your home price to see this",IF(Deposit_Pct="","Choose your deposit % to see this",IF(Buying_Fees="","Choose your buying fees to see this",IF(Saved="","Choose your saved so far to see this",""))))</f>
        <v>Choose your home price to see this</v>
      </c>
    </row>
    <row r="38" customFormat="false" ht="15" hidden="false" customHeight="true" outlineLevel="0" collapsed="false">
      <c r="B38" s="55" t="s">
        <v>409</v>
      </c>
      <c r="C38" s="55" t="str">
        <f aca="false">IF(Home_Price="","Choose your home price to see this",IF(Deposit_Pct="","Choose your deposit % to see this",""))</f>
        <v>Choose your home price to see this</v>
      </c>
    </row>
    <row r="39" customFormat="false" ht="15" hidden="false" customHeight="true" outlineLevel="0" collapsed="false">
      <c r="B39" s="55" t="s">
        <v>410</v>
      </c>
      <c r="C39" s="55" t="str">
        <f aca="false">IF(Home_Price="","Choose your home price to see this","")</f>
        <v>Choose your home price to see this</v>
      </c>
    </row>
    <row r="40" customFormat="false" ht="15" hidden="false" customHeight="true" outlineLevel="0" collapsed="false">
      <c r="B40" s="55" t="s">
        <v>411</v>
      </c>
      <c r="C40" s="55" t="str">
        <f aca="false">IF(Saved="","Choose your saved so far to see this","")</f>
        <v>Choose your saved so far to see this</v>
      </c>
    </row>
    <row r="42" customFormat="false" ht="15" hidden="false" customHeight="true" outlineLevel="0" collapsed="false">
      <c r="B42" s="22" t="s">
        <v>304</v>
      </c>
    </row>
  </sheetData>
  <mergeCells count="6">
    <mergeCell ref="B21:E21"/>
    <mergeCell ref="B22:E22"/>
    <mergeCell ref="B23:E23"/>
    <mergeCell ref="B24:E24"/>
    <mergeCell ref="B25:E25"/>
    <mergeCell ref="B26:E26"/>
  </mergeCells>
  <dataValidations count="6">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8" type="decimal">
      <formula1>0</formula1>
      <formula2>10000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6" type="decimal">
      <formula1>100000</formula1>
      <formula2>10000000</formula2>
    </dataValidation>
    <dataValidation allowBlank="true" error="Please enter 10% to 30% · steps of 1%." errorStyle="stop" errorTitle="Outside the allowed range" operator="between" prompt="Your own figure.  Allowed: 10% to 30% · steps of 1%." promptTitle="Deposit needed" showDropDown="false" showErrorMessage="true" showInputMessage="true" sqref="C7" type="decimal">
      <formula1>0.1</formula1>
      <formula2>0.3</formula2>
    </dataValidation>
    <dataValidation allowBlank="true" error="Please enter €0 to €2,000,000 · steps of €500." errorStyle="stop" errorTitle="Outside the allowed range" operator="between" prompt="Your own figure. In the app it is pre-filled from Plan: home goal's amount saved.  Allowed: €0 to €2,000,000 · steps of €500." promptTitle="Saved so far" showDropDown="false" showErrorMessage="true" showInputMessage="true" sqref="C9" type="decimal">
      <formula1>0</formula1>
      <formula2>2000000</formula2>
    </dataValidation>
    <dataValidation allowBlank="true" error="Please enter €50 to €50,000 · steps of €50." errorStyle="stop" errorTitle="Outside the allowed range" operator="between" prompt="Your own figure.  Allowed: €50 to €50,000 · steps of €50." promptTitle="Monthly saving" showDropDown="false" showErrorMessage="true" showInputMessage="true" sqref="C10" type="decimal">
      <formula1>50</formula1>
      <formula2>50000</formula2>
    </dataValidation>
    <dataValidation allowBlank="true" error="Please enter €0 to €15,000 · steps of €50." errorStyle="stop" errorTitle="Outside the allowed range" operator="between" prompt="Optional: leave blank for none.  Allowed: €0 to €15,000 · steps of €50." promptTitle="What if: save extra each month" showDropDown="false" showErrorMessage="true" showInputMessage="true" sqref="C11" type="decimal">
      <formula1>0</formula1>
      <formula2>15000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3" t="s">
        <v>412</v>
      </c>
      <c r="E1" s="3" t="s">
        <v>413</v>
      </c>
    </row>
    <row r="2" customFormat="false" ht="15" hidden="false" customHeight="true" outlineLevel="0" collapsed="false">
      <c r="B2" s="24" t="s">
        <v>414</v>
      </c>
      <c r="E2" s="25"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6" t="s">
        <v>415</v>
      </c>
    </row>
    <row r="5" customFormat="false" ht="15" hidden="false" customHeight="true" outlineLevel="0" collapsed="false">
      <c r="B5" s="15" t="s">
        <v>309</v>
      </c>
      <c r="C5" s="16"/>
      <c r="D5" s="16"/>
      <c r="E5" s="16"/>
      <c r="F5" s="16"/>
      <c r="G5" s="16"/>
    </row>
    <row r="6" customFormat="false" ht="27.75" hidden="false" customHeight="true" outlineLevel="0" collapsed="false">
      <c r="B6" s="56" t="s">
        <v>310</v>
      </c>
      <c r="C6" s="56"/>
      <c r="D6" s="56"/>
      <c r="E6" s="56"/>
    </row>
    <row r="7" customFormat="false" ht="15" hidden="false" customHeight="true" outlineLevel="0" collapsed="false">
      <c r="B7" s="9" t="s">
        <v>311</v>
      </c>
      <c r="C7" s="57"/>
      <c r="D7" s="30" t="s">
        <v>225</v>
      </c>
      <c r="E7" s="31" t="s">
        <v>312</v>
      </c>
      <c r="G7" s="55" t="s">
        <v>313</v>
      </c>
    </row>
    <row r="8" customFormat="false" ht="15" hidden="false" customHeight="true" outlineLevel="0" collapsed="false">
      <c r="B8" s="9" t="s">
        <v>314</v>
      </c>
      <c r="C8" s="58"/>
      <c r="D8" s="30" t="s">
        <v>236</v>
      </c>
      <c r="E8" s="31" t="s">
        <v>315</v>
      </c>
      <c r="G8" s="55" t="s">
        <v>313</v>
      </c>
    </row>
    <row r="9" customFormat="false" ht="15" hidden="false" customHeight="true" outlineLevel="0" collapsed="false">
      <c r="B9" s="9" t="s">
        <v>316</v>
      </c>
      <c r="C9" s="59"/>
      <c r="D9" s="30" t="s">
        <v>238</v>
      </c>
      <c r="E9" s="31" t="s">
        <v>317</v>
      </c>
      <c r="G9" s="55" t="s">
        <v>313</v>
      </c>
    </row>
    <row r="10" customFormat="false" ht="15" hidden="false" customHeight="true" outlineLevel="0" collapsed="false">
      <c r="B10" s="9" t="s">
        <v>318</v>
      </c>
      <c r="C10" s="57"/>
      <c r="D10" s="30" t="s">
        <v>225</v>
      </c>
      <c r="E10" s="31" t="s">
        <v>319</v>
      </c>
      <c r="G10" s="55" t="s">
        <v>313</v>
      </c>
    </row>
    <row r="11" customFormat="false" ht="15" hidden="false" customHeight="true" outlineLevel="0" collapsed="false">
      <c r="B11" s="9" t="s">
        <v>320</v>
      </c>
      <c r="C11" s="60"/>
      <c r="D11" s="30" t="s">
        <v>321</v>
      </c>
      <c r="E11" s="31" t="s">
        <v>322</v>
      </c>
      <c r="G11" s="55" t="s">
        <v>313</v>
      </c>
    </row>
    <row r="13" customFormat="false" ht="15" hidden="false" customHeight="true" outlineLevel="0" collapsed="false">
      <c r="B13" s="15" t="s">
        <v>323</v>
      </c>
      <c r="C13" s="27" t="s">
        <v>220</v>
      </c>
      <c r="D13" s="27" t="s">
        <v>221</v>
      </c>
      <c r="E13" s="27" t="s">
        <v>222</v>
      </c>
      <c r="F13" s="28" t="s">
        <v>223</v>
      </c>
      <c r="G13" s="16"/>
    </row>
    <row r="14" customFormat="false" ht="21.75" hidden="false" customHeight="true" outlineLevel="0" collapsed="false">
      <c r="B14" s="9" t="s">
        <v>416</v>
      </c>
      <c r="C14" s="29"/>
      <c r="D14" s="30" t="s">
        <v>225</v>
      </c>
      <c r="E14" s="31" t="s">
        <v>417</v>
      </c>
      <c r="F14" s="32" t="n">
        <v>250000</v>
      </c>
      <c r="G14" s="33" t="str">
        <f aca="false">IF(ISBLANK(C14),IF(Fill_Example="Yes",F14,""),C14)</f>
        <v/>
      </c>
    </row>
    <row r="15" customFormat="false" ht="33" hidden="false" customHeight="true" outlineLevel="0" collapsed="false">
      <c r="B15" s="9" t="s">
        <v>314</v>
      </c>
      <c r="C15" s="37"/>
      <c r="D15" s="30" t="s">
        <v>236</v>
      </c>
      <c r="E15" s="38"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5" s="39" t="n">
        <f aca="false">IF(ISNUMBER(Suggest_Mortgage_Rate),Suggest_Mortgage_Rate,"")</f>
        <v>0.0348</v>
      </c>
      <c r="G15" s="40" t="str">
        <f aca="false">IF(ISBLANK(C15),IF(Fill_Example="Yes",F15,""),C15)</f>
        <v/>
      </c>
    </row>
    <row r="16" customFormat="false" ht="21.75" hidden="false" customHeight="true" outlineLevel="0" collapsed="false">
      <c r="B16" s="9" t="s">
        <v>418</v>
      </c>
      <c r="C16" s="41"/>
      <c r="D16" s="30" t="s">
        <v>238</v>
      </c>
      <c r="E16" s="31" t="s">
        <v>419</v>
      </c>
      <c r="F16" s="42" t="n">
        <v>25</v>
      </c>
      <c r="G16" s="43" t="str">
        <f aca="false">IF(ISBLANK(C16),IF(Fill_Example="Yes",F16,""),C16)</f>
        <v/>
      </c>
    </row>
    <row r="17" customFormat="false" ht="15" hidden="false" customHeight="true" outlineLevel="0" collapsed="false">
      <c r="B17" s="9" t="s">
        <v>420</v>
      </c>
      <c r="C17" s="29"/>
      <c r="D17" s="30" t="s">
        <v>225</v>
      </c>
      <c r="E17" s="31" t="s">
        <v>421</v>
      </c>
      <c r="F17" s="32" t="n">
        <v>200</v>
      </c>
      <c r="G17" s="33" t="str">
        <f aca="false">IF(ISBLANK(C17),IF(Fill_Example="Yes",F17,""),C17)</f>
        <v/>
      </c>
    </row>
    <row r="18" customFormat="false" ht="15" hidden="false" customHeight="true" outlineLevel="0" collapsed="false">
      <c r="B18" s="9" t="s">
        <v>328</v>
      </c>
      <c r="C18" s="29"/>
      <c r="D18" s="30" t="s">
        <v>225</v>
      </c>
      <c r="E18" s="31" t="s">
        <v>329</v>
      </c>
      <c r="F18" s="32" t="n">
        <v>0</v>
      </c>
      <c r="G18" s="33" t="n">
        <f aca="false">IF(ISBLANK(C18),F18,C18)</f>
        <v>0</v>
      </c>
    </row>
    <row r="20" customFormat="false" ht="15" hidden="false" customHeight="true" outlineLevel="0" collapsed="false">
      <c r="B20" s="15" t="s">
        <v>332</v>
      </c>
      <c r="C20" s="16"/>
      <c r="D20" s="16"/>
      <c r="E20" s="16"/>
      <c r="F20" s="16"/>
      <c r="G20" s="16"/>
    </row>
    <row r="21" customFormat="false" ht="15" hidden="false" customHeight="true" outlineLevel="0" collapsed="false">
      <c r="B21" s="9" t="s">
        <v>416</v>
      </c>
      <c r="C21" s="61" t="str">
        <f aca="false">IF(ISBLANK(Stmt_Balance),Mortgage_Balance,Stmt_Balance)</f>
        <v/>
      </c>
      <c r="D21" s="62" t="str">
        <f aca="false">IF(ISBLANK(Stmt_Balance),"Your figure","From your statement")</f>
        <v>Your figure</v>
      </c>
      <c r="E21" s="52" t="s">
        <v>422</v>
      </c>
    </row>
    <row r="22" customFormat="false" ht="15" hidden="false" customHeight="true" outlineLevel="0" collapsed="false">
      <c r="B22" s="9" t="s">
        <v>314</v>
      </c>
      <c r="C22" s="63" t="str">
        <f aca="false">IF(ISBLANK(Stmt_Rate),Interest_Rate,Stmt_Rate)</f>
        <v/>
      </c>
      <c r="D22" s="62" t="str">
        <f aca="false">IF(ISBLANK(Stmt_Rate),"Your figure","From your statement")</f>
        <v>Your figure</v>
      </c>
      <c r="E22" s="52" t="s">
        <v>334</v>
      </c>
    </row>
    <row r="23" customFormat="false" ht="15" hidden="false" customHeight="true" outlineLevel="0" collapsed="false">
      <c r="B23" s="9" t="s">
        <v>418</v>
      </c>
      <c r="C23" s="64" t="str">
        <f aca="false">IF(ISBLANK(Stmt_Term),Years_Left,Stmt_Term)</f>
        <v/>
      </c>
      <c r="D23" s="62" t="str">
        <f aca="false">IF(ISBLANK(Stmt_Term),"Your figure","From your statement")</f>
        <v>Your figure</v>
      </c>
      <c r="E23" s="52" t="s">
        <v>423</v>
      </c>
    </row>
    <row r="24" customFormat="false" ht="15" hidden="false" customHeight="true" outlineLevel="0" collapsed="false">
      <c r="B24" s="9" t="s">
        <v>336</v>
      </c>
      <c r="C24" s="61" t="n">
        <f aca="false">IF(ISBLANK(Stmt_Repayment),Actual_Repayment,Stmt_Repayment)</f>
        <v>0</v>
      </c>
      <c r="D24" s="62" t="str">
        <f aca="false">IF(ISBLANK(Stmt_Repayment),"Your figure","From your statement")</f>
        <v>Your figure</v>
      </c>
      <c r="E24" s="52" t="s">
        <v>337</v>
      </c>
    </row>
    <row r="25" customFormat="false" ht="21.75" hidden="false" customHeight="true" outlineLevel="0" collapsed="false">
      <c r="B25" s="9" t="s">
        <v>338</v>
      </c>
      <c r="C25" s="48" t="str">
        <f aca="true">IF(ISBLANK(Stmt_Statement_Date),"",IF(TODAY()-Stmt_Statement_Date&gt;Statement_Max_Age_Days,"Needs a look: statement is more than 12 months old","Up to date"))</f>
        <v/>
      </c>
      <c r="D25" s="30"/>
      <c r="E25" s="45" t="s">
        <v>339</v>
      </c>
    </row>
    <row r="27" customFormat="false" ht="15" hidden="false" customHeight="true" outlineLevel="0" collapsed="false">
      <c r="B27" s="15" t="s">
        <v>245</v>
      </c>
      <c r="C27" s="27" t="s">
        <v>246</v>
      </c>
      <c r="D27" s="27" t="s">
        <v>247</v>
      </c>
      <c r="E27" s="27" t="s">
        <v>248</v>
      </c>
      <c r="F27" s="16"/>
      <c r="G27" s="16"/>
    </row>
    <row r="28" customFormat="false" ht="23.25" hidden="false" customHeight="true" outlineLevel="0" collapsed="false">
      <c r="B28" s="24" t="s">
        <v>424</v>
      </c>
      <c r="C28" s="65" t="str">
        <f aca="false">IF(Need_1&lt;&gt;"",Need_1,IF(OR(Months_Now="Never",Months_With_Extra="Never"),"—",Months_Now-Months_With_Extra))</f>
        <v>Choose your extra each month to see this</v>
      </c>
      <c r="D28" s="66" t="str">
        <f aca="false">IF(Need_1&lt;&gt;"",Need_1,IF(Months_Sooner="—","—",IF(Months_Sooner=0,"No change",IF(INT(Months_Sooner/12)=0,MOD(Months_Sooner,12)&amp;IF(MOD(Months_Sooner,12)=1," month"," months"),INT(Months_Sooner/12)&amp;IF(INT(Months_Sooner/12)=1," year"," years")&amp;IF(MOD(Months_Sooner,12)=0,""," "&amp;MOD(Months_Sooner,12)&amp;IF(MOD(Months_Sooner,12)=1," month"," months"))))))</f>
        <v>Choose your extra each month to see this</v>
      </c>
      <c r="E28" s="45" t="s">
        <v>425</v>
      </c>
    </row>
    <row r="29" customFormat="false" ht="17.25" hidden="false" customHeight="true" outlineLevel="0" collapsed="false">
      <c r="B29" s="24" t="s">
        <v>426</v>
      </c>
      <c r="C29" s="44" t="str">
        <f aca="false">IF(Need_1&lt;&gt;"",Need_1,IF(OR(Months_Now="Never",Months_With_Extra="Never"),"—",Interest_Now-Interest_With_Extra))</f>
        <v>Choose your extra each month to see this</v>
      </c>
      <c r="D29" s="30" t="s">
        <v>225</v>
      </c>
      <c r="E29" s="45" t="s">
        <v>427</v>
      </c>
    </row>
    <row r="30" customFormat="false" ht="23.25" hidden="false" customHeight="true" outlineLevel="0" collapsed="false">
      <c r="B30" s="9" t="s">
        <v>428</v>
      </c>
      <c r="C30" s="69" t="str">
        <f aca="false">IF(Need_2&lt;&gt;"",Need_2,IF(Repayment_Now&lt;=Used_Mortgage_Balance*Monthly_Rate,"Never",ROUNDUP(ROUND(NPER(Monthly_Rate,-Repayment_Now,Used_Mortgage_Balance),6),0)))</f>
        <v>Choose your mortgage balance to see this</v>
      </c>
      <c r="D30" s="70" t="str">
        <f aca="false">IF(Need_2&lt;&gt;"",Need_2,IF(Months_Now="Never","Not at this repayment",IF(Months_Now&gt;Cap_Months,"Over 100 years",IF(INT(Months_Now/12)=0,MOD(Months_Now,12)&amp;IF(MOD(Months_Now,12)=1," month"," months"),INT(Months_Now/12)&amp;IF(INT(Months_Now/12)=1," year"," years")&amp;IF(MOD(Months_Now,12)=0,""," "&amp;MOD(Months_Now,12)&amp;IF(MOD(Months_Now,12)=1," month"," months"))))))</f>
        <v>Choose your mortgage balance to see this</v>
      </c>
      <c r="E30" s="45" t="s">
        <v>429</v>
      </c>
    </row>
    <row r="31" customFormat="false" ht="23.25" hidden="false" customHeight="true" outlineLevel="0" collapsed="false">
      <c r="B31" s="9" t="s">
        <v>430</v>
      </c>
      <c r="C31" s="69" t="str">
        <f aca="false">IF(Need_1&lt;&gt;"",Need_1,IF(Repayment_With_Extra&lt;=Used_Mortgage_Balance*Monthly_Rate,"Never",ROUNDUP(ROUND(NPER(Monthly_Rate,-Repayment_With_Extra,Used_Mortgage_Balance),6),0)))</f>
        <v>Choose your extra each month to see this</v>
      </c>
      <c r="D31" s="70" t="str">
        <f aca="false">IF(Need_1&lt;&gt;"",Need_1,IF(Months_With_Extra="Never","—",IF(Months_With_Extra&gt;Cap_Months,"Over 100 years",IF(INT(Months_With_Extra/12)=0,MOD(Months_With_Extra,12)&amp;IF(MOD(Months_With_Extra,12)=1," month"," months"),INT(Months_With_Extra/12)&amp;IF(INT(Months_With_Extra/12)=1," year"," years")&amp;IF(MOD(Months_With_Extra,12)=0,""," "&amp;MOD(Months_With_Extra,12)&amp;IF(MOD(Months_With_Extra,12)=1," month"," months"))))))</f>
        <v>Choose your extra each month to see this</v>
      </c>
      <c r="E31" s="45" t="s">
        <v>431</v>
      </c>
    </row>
    <row r="32" customFormat="false" ht="15" hidden="false" customHeight="true" outlineLevel="0" collapsed="false">
      <c r="B32" s="9" t="s">
        <v>347</v>
      </c>
      <c r="C32" s="67" t="str">
        <f aca="false">IF(Need_3&lt;&gt;"",Need_3,Used_Interest_Rate/12)</f>
        <v>Choose your interest rate to see this</v>
      </c>
      <c r="D32" s="30"/>
      <c r="E32" s="45" t="s">
        <v>348</v>
      </c>
    </row>
    <row r="33" customFormat="false" ht="15" hidden="false" customHeight="true" outlineLevel="0" collapsed="false">
      <c r="B33" s="9" t="s">
        <v>432</v>
      </c>
      <c r="C33" s="46" t="str">
        <f aca="false">IF(Need_2&lt;&gt;"",Need_2,IF(Used_Actual_Repayment&gt;0,Used_Actual_Repayment,PMT(Monthly_Rate,Used_Years_Left*12,-Used_Mortgage_Balance)))</f>
        <v>Choose your mortgage balance to see this</v>
      </c>
      <c r="D33" s="30" t="s">
        <v>225</v>
      </c>
      <c r="E33" s="45" t="s">
        <v>433</v>
      </c>
    </row>
    <row r="34" customFormat="false" ht="15" hidden="false" customHeight="true" outlineLevel="0" collapsed="false">
      <c r="B34" s="9" t="s">
        <v>434</v>
      </c>
      <c r="C34" s="46" t="str">
        <f aca="false">IF(Need_1&lt;&gt;"",Need_1,Repayment_Now+Extra_Payment)</f>
        <v>Choose your extra each month to see this</v>
      </c>
      <c r="D34" s="30" t="s">
        <v>225</v>
      </c>
      <c r="E34" s="45" t="s">
        <v>435</v>
      </c>
    </row>
    <row r="35" customFormat="false" ht="21.75" hidden="false" customHeight="true" outlineLevel="0" collapsed="false">
      <c r="B35" s="9" t="s">
        <v>436</v>
      </c>
      <c r="C35" s="46" t="str">
        <f aca="false">IF(Need_2&lt;&gt;"",Need_2,IF(Months_Now="Never","—",-FV(Monthly_Rate,Months_Now-1,-Repayment_Now,Used_Mortgage_Balance)*(1+Monthly_Rate)))</f>
        <v>Choose your mortgage balance to see this</v>
      </c>
      <c r="D35" s="30" t="s">
        <v>225</v>
      </c>
      <c r="E35" s="45" t="s">
        <v>437</v>
      </c>
    </row>
    <row r="36" customFormat="false" ht="21.75" hidden="false" customHeight="true" outlineLevel="0" collapsed="false">
      <c r="B36" s="9" t="s">
        <v>438</v>
      </c>
      <c r="C36" s="46" t="str">
        <f aca="false">IF(Need_1&lt;&gt;"",Need_1,IF(Months_With_Extra="Never","—",-FV(Monthly_Rate,Months_With_Extra-1,-Repayment_With_Extra,Used_Mortgage_Balance)*(1+Monthly_Rate)))</f>
        <v>Choose your extra each month to see this</v>
      </c>
      <c r="D36" s="30" t="s">
        <v>225</v>
      </c>
      <c r="E36" s="45" t="s">
        <v>439</v>
      </c>
    </row>
    <row r="37" customFormat="false" ht="15" hidden="false" customHeight="true" outlineLevel="0" collapsed="false">
      <c r="B37" s="9" t="s">
        <v>440</v>
      </c>
      <c r="C37" s="46" t="str">
        <f aca="false">IF(Need_2&lt;&gt;"",Need_2,IF(Months_Now="Never","—",Repayment_Now*(Months_Now-1)+Last_Payment_Now-Used_Mortgage_Balance))</f>
        <v>Choose your mortgage balance to see this</v>
      </c>
      <c r="D37" s="30" t="s">
        <v>225</v>
      </c>
      <c r="E37" s="45" t="s">
        <v>441</v>
      </c>
    </row>
    <row r="38" customFormat="false" ht="21.75" hidden="false" customHeight="true" outlineLevel="0" collapsed="false">
      <c r="B38" s="9" t="s">
        <v>442</v>
      </c>
      <c r="C38" s="46" t="str">
        <f aca="false">IF(Need_1&lt;&gt;"",Need_1,IF(Months_With_Extra="Never","—",Repayment_With_Extra*(Months_With_Extra-1)+Last_Payment_With_Extra-Used_Mortgage_Balance))</f>
        <v>Choose your extra each month to see this</v>
      </c>
      <c r="D38" s="30" t="s">
        <v>225</v>
      </c>
      <c r="E38" s="45" t="s">
        <v>443</v>
      </c>
    </row>
    <row r="40" customFormat="false" ht="15" hidden="false" customHeight="true" outlineLevel="0" collapsed="false">
      <c r="B40" s="15" t="s">
        <v>278</v>
      </c>
      <c r="C40" s="16"/>
      <c r="D40" s="16"/>
      <c r="E40" s="16"/>
      <c r="F40" s="16"/>
      <c r="G40" s="16"/>
    </row>
    <row r="41" customFormat="false" ht="13.5" hidden="false" customHeight="true" outlineLevel="0" collapsed="false">
      <c r="B41" s="49" t="s">
        <v>444</v>
      </c>
      <c r="C41" s="49"/>
      <c r="D41" s="49"/>
      <c r="E41" s="49"/>
    </row>
    <row r="42" customFormat="false" ht="27.75" hidden="false" customHeight="true" outlineLevel="0" collapsed="false">
      <c r="B42" s="49" t="s">
        <v>445</v>
      </c>
      <c r="C42" s="49"/>
      <c r="D42" s="49"/>
      <c r="E42" s="49"/>
    </row>
    <row r="43" customFormat="false" ht="13.5" hidden="false" customHeight="true" outlineLevel="0" collapsed="false">
      <c r="B43" s="50" t="s">
        <v>282</v>
      </c>
      <c r="C43" s="50"/>
      <c r="D43" s="50"/>
      <c r="E43" s="50"/>
    </row>
    <row r="44" customFormat="false" ht="13.5" hidden="false" customHeight="true" outlineLevel="0" collapsed="false">
      <c r="B44" s="49" t="s">
        <v>446</v>
      </c>
      <c r="C44" s="49"/>
      <c r="D44" s="49"/>
      <c r="E44" s="49"/>
    </row>
    <row r="45" customFormat="false" ht="13.5" hidden="false" customHeight="true" outlineLevel="0" collapsed="false">
      <c r="B45" s="49" t="s">
        <v>447</v>
      </c>
      <c r="C45" s="49"/>
      <c r="D45" s="49"/>
      <c r="E45" s="49"/>
    </row>
    <row r="46" customFormat="false" ht="13.5" hidden="false" customHeight="true" outlineLevel="0" collapsed="false">
      <c r="B46" s="49" t="s">
        <v>363</v>
      </c>
      <c r="C46" s="49"/>
      <c r="D46" s="49"/>
      <c r="E46" s="49"/>
    </row>
    <row r="47" customFormat="false" ht="27.75" hidden="false" customHeight="true" outlineLevel="0" collapsed="false">
      <c r="B47" s="49" t="s">
        <v>364</v>
      </c>
      <c r="C47" s="49"/>
      <c r="D47" s="49"/>
      <c r="E47" s="49"/>
    </row>
    <row r="48" customFormat="false" ht="13.5" hidden="false" customHeight="true" outlineLevel="0" collapsed="false">
      <c r="B48" s="49" t="s">
        <v>448</v>
      </c>
      <c r="C48" s="49"/>
      <c r="D48" s="49"/>
      <c r="E48" s="49"/>
    </row>
    <row r="50" customFormat="false" ht="15" hidden="false" customHeight="true" outlineLevel="0" collapsed="false">
      <c r="B50" s="15" t="s">
        <v>287</v>
      </c>
      <c r="C50" s="16"/>
      <c r="D50" s="16"/>
      <c r="E50" s="16"/>
      <c r="F50" s="16"/>
      <c r="G50" s="16"/>
    </row>
    <row r="51" customFormat="false" ht="15" hidden="false" customHeight="true" outlineLevel="0" collapsed="false">
      <c r="B51" s="9" t="s">
        <v>288</v>
      </c>
      <c r="C51" s="51" t="str">
        <f aca="false">IF(Need_1&lt;&gt;"",Need_1,IF(Months_With_Extra="Never","No goal","Mortgage free (plan kind mfree, priced from your mortgage; no cash amount)"))</f>
        <v>Choose your extra each month to see this</v>
      </c>
      <c r="E51" s="52" t="s">
        <v>449</v>
      </c>
    </row>
    <row r="52" customFormat="false" ht="15" hidden="false" customHeight="true" outlineLevel="0" collapsed="false">
      <c r="B52" s="9" t="s">
        <v>294</v>
      </c>
      <c r="C52" s="54" t="str">
        <f aca="false">IF(Need_1&lt;&gt;"",Need_1,IF(Months_With_Extra="Never","—",ROUNDUP(Months_With_Extra/12,0)))</f>
        <v>Choose your extra each month to see this</v>
      </c>
      <c r="E52" s="52" t="s">
        <v>450</v>
      </c>
    </row>
    <row r="53" customFormat="false" ht="27.75" hidden="false" customHeight="true" outlineLevel="0" collapsed="false">
      <c r="B53" s="56" t="s">
        <v>451</v>
      </c>
      <c r="C53" s="56"/>
      <c r="D53" s="56"/>
      <c r="E53" s="56"/>
    </row>
    <row r="55" customFormat="false" ht="15" hidden="false" customHeight="true" outlineLevel="0" collapsed="false">
      <c r="B55" s="15" t="s">
        <v>296</v>
      </c>
      <c r="C55" s="16"/>
      <c r="D55" s="16"/>
      <c r="E55" s="16"/>
      <c r="F55" s="16"/>
      <c r="G55" s="16"/>
    </row>
    <row r="56" customFormat="false" ht="15" hidden="false" customHeight="true" outlineLevel="0" collapsed="false">
      <c r="B56" s="55" t="s">
        <v>452</v>
      </c>
      <c r="C56" s="55" t="str">
        <f aca="false">IF(Extra_Payment="","Choose your extra each month to see this",IF(NOT(ISNUMBER(Used_Mortgage_Balance)),IF(Used_Mortgage_Balance="",IF(Mortgage_Balance="","Choose your mortgage balance to see this",""),Used_Mortgage_Balance),IF(NOT(ISNUMBER(Used_Interest_Rate)),IF(Used_Interest_Rate="",IF(Interest_Rate="","Choose your interest rate to see this",""),Used_Interest_Rate),IF(NOT(ISNUMBER(Used_Years_Left)),IF(Used_Years_Left="",IF(Years_Left="","Choose your years left to see this",""),Used_Years_Left),IF(NOT(ISNUMBER(Used_Actual_Repayment)),IF(Used_Actual_Repayment="","Choose your actual monthly repayment to see this",Used_Actual_Repayment),"")))))</f>
        <v>Choose your extra each month to see this</v>
      </c>
    </row>
    <row r="57" customFormat="false" ht="15" hidden="false" customHeight="true" outlineLevel="0" collapsed="false">
      <c r="B57" s="55" t="s">
        <v>453</v>
      </c>
      <c r="C57" s="55" t="str">
        <f aca="false">IF(NOT(ISNUMBER(Used_Mortgage_Balance)),IF(Used_Mortgage_Balance="",IF(Mortgage_Balance="","Choose your mortgage balance to see this",""),Used_Mortgage_Balance),IF(NOT(ISNUMBER(Used_Interest_Rate)),IF(Used_Interest_Rate="",IF(Interest_Rate="","Choose your interest rate to see this",""),Used_Interest_Rate),IF(NOT(ISNUMBER(Used_Years_Left)),IF(Used_Years_Left="",IF(Years_Left="","Choose your years left to see this",""),Used_Years_Left),IF(NOT(ISNUMBER(Used_Actual_Repayment)),IF(Used_Actual_Repayment="","Choose your actual monthly repayment to see this",Used_Actual_Repayment),""))))</f>
        <v>Choose your mortgage balance to see this</v>
      </c>
    </row>
    <row r="58" customFormat="false" ht="15" hidden="false" customHeight="true" outlineLevel="0" collapsed="false">
      <c r="B58" s="55" t="s">
        <v>369</v>
      </c>
      <c r="C58" s="55" t="str">
        <f aca="false">IF(NOT(ISNUMBER(Used_Interest_Rate)),IF(Used_Interest_Rate="",IF(Interest_Rate="","Choose your interest rate to see this",""),Used_Interest_Rate),"")</f>
        <v>Choose your interest rate to see this</v>
      </c>
    </row>
  </sheetData>
  <mergeCells count="10">
    <mergeCell ref="B6:E6"/>
    <mergeCell ref="B41:E41"/>
    <mergeCell ref="B42:E42"/>
    <mergeCell ref="B43:E43"/>
    <mergeCell ref="B44:E44"/>
    <mergeCell ref="B45:E45"/>
    <mergeCell ref="B46:E46"/>
    <mergeCell ref="B47:E47"/>
    <mergeCell ref="B48:E48"/>
    <mergeCell ref="B53:E53"/>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20,000 to €10,000,000 · steps of €1,000." errorStyle="stop" errorTitle="Outside the allowed range" operator="between" prompt="Your own figure. In the app it is pre-filled from Your finances / statement: balance.  Allowed: €20,000 to €10,000,000 · steps of €1,000." promptTitle="Mortgage balance" showDropDown="false" showErrorMessage="true" showInputMessage="true" sqref="C14" type="decimal">
      <formula1>20000</formula1>
      <formula2>10000000</formula2>
    </dataValidation>
    <dataValidation allowBlank="true" error="Please enter 3 to 35 · steps of 1." errorStyle="stop" errorTitle="Outside the allowed range" operator="between" prompt="Your own figure. In the app it is pre-filled from Years left (25 if not given).  Allowed: 3 to 35 · steps of 1." promptTitle="Years left" showDropDown="false" showErrorMessage="true" showInputMessage="true" sqref="C16" type="whole">
      <formula1>3</formula1>
      <formula2>35</formula2>
    </dataValidation>
    <dataValidation allowBlank="true" error="Please enter €0 to €20,000 · steps of €25." errorStyle="stop" errorTitle="Outside the allowed range" operator="between" prompt="Your own figure.  Allowed: €0 to €20,000 · steps of €25." promptTitle="Extra each month" showDropDown="false" showErrorMessage="true" showInputMessage="true" sqref="C17" type="decimal">
      <formula1>0</formula1>
      <formula2>20000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3" t="s">
        <v>454</v>
      </c>
      <c r="E1" s="3" t="s">
        <v>455</v>
      </c>
    </row>
    <row r="2" customFormat="false" ht="15" hidden="false" customHeight="true" outlineLevel="0" collapsed="false">
      <c r="B2" s="24" t="s">
        <v>456</v>
      </c>
      <c r="E2" s="25"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6" t="s">
        <v>457</v>
      </c>
    </row>
    <row r="5" customFormat="false" ht="15" hidden="false" customHeight="true" outlineLevel="0" collapsed="false">
      <c r="B5" s="15" t="s">
        <v>309</v>
      </c>
      <c r="C5" s="16"/>
      <c r="D5" s="16"/>
      <c r="E5" s="16"/>
      <c r="F5" s="16"/>
      <c r="G5" s="16"/>
    </row>
    <row r="6" customFormat="false" ht="27.75" hidden="false" customHeight="true" outlineLevel="0" collapsed="false">
      <c r="B6" s="56" t="s">
        <v>310</v>
      </c>
      <c r="C6" s="56"/>
      <c r="D6" s="56"/>
      <c r="E6" s="56"/>
    </row>
    <row r="7" customFormat="false" ht="15" hidden="false" customHeight="true" outlineLevel="0" collapsed="false">
      <c r="B7" s="9" t="s">
        <v>311</v>
      </c>
      <c r="C7" s="57"/>
      <c r="D7" s="30" t="s">
        <v>225</v>
      </c>
      <c r="E7" s="31" t="s">
        <v>312</v>
      </c>
      <c r="G7" s="55" t="s">
        <v>313</v>
      </c>
    </row>
    <row r="8" customFormat="false" ht="15" hidden="false" customHeight="true" outlineLevel="0" collapsed="false">
      <c r="B8" s="9" t="s">
        <v>314</v>
      </c>
      <c r="C8" s="58"/>
      <c r="D8" s="30" t="s">
        <v>236</v>
      </c>
      <c r="E8" s="31" t="s">
        <v>315</v>
      </c>
      <c r="G8" s="55" t="s">
        <v>313</v>
      </c>
    </row>
    <row r="9" customFormat="false" ht="15" hidden="false" customHeight="true" outlineLevel="0" collapsed="false">
      <c r="B9" s="9" t="s">
        <v>316</v>
      </c>
      <c r="C9" s="59"/>
      <c r="D9" s="30" t="s">
        <v>238</v>
      </c>
      <c r="E9" s="31" t="s">
        <v>317</v>
      </c>
      <c r="G9" s="55" t="s">
        <v>313</v>
      </c>
    </row>
    <row r="10" customFormat="false" ht="15" hidden="false" customHeight="true" outlineLevel="0" collapsed="false">
      <c r="B10" s="9" t="s">
        <v>318</v>
      </c>
      <c r="C10" s="57"/>
      <c r="D10" s="30" t="s">
        <v>225</v>
      </c>
      <c r="E10" s="31" t="s">
        <v>319</v>
      </c>
      <c r="G10" s="55" t="s">
        <v>313</v>
      </c>
    </row>
    <row r="11" customFormat="false" ht="15" hidden="false" customHeight="true" outlineLevel="0" collapsed="false">
      <c r="B11" s="9" t="s">
        <v>320</v>
      </c>
      <c r="C11" s="60"/>
      <c r="D11" s="30" t="s">
        <v>321</v>
      </c>
      <c r="E11" s="31" t="s">
        <v>322</v>
      </c>
      <c r="G11" s="55" t="s">
        <v>313</v>
      </c>
    </row>
    <row r="13" customFormat="false" ht="15" hidden="false" customHeight="true" outlineLevel="0" collapsed="false">
      <c r="B13" s="15" t="s">
        <v>323</v>
      </c>
      <c r="C13" s="27" t="s">
        <v>220</v>
      </c>
      <c r="D13" s="27" t="s">
        <v>221</v>
      </c>
      <c r="E13" s="27" t="s">
        <v>222</v>
      </c>
      <c r="F13" s="28" t="s">
        <v>223</v>
      </c>
      <c r="G13" s="16"/>
    </row>
    <row r="14" customFormat="false" ht="21.75" hidden="false" customHeight="true" outlineLevel="0" collapsed="false">
      <c r="B14" s="9" t="s">
        <v>416</v>
      </c>
      <c r="C14" s="29"/>
      <c r="D14" s="30" t="s">
        <v>225</v>
      </c>
      <c r="E14" s="31" t="s">
        <v>458</v>
      </c>
      <c r="F14" s="32" t="n">
        <v>300000</v>
      </c>
      <c r="G14" s="33" t="str">
        <f aca="false">IF(ISBLANK(C14),IF(Fill_Example="Yes",F14,""),C14)</f>
        <v/>
      </c>
    </row>
    <row r="15" customFormat="false" ht="33" hidden="false" customHeight="true" outlineLevel="0" collapsed="false">
      <c r="B15" s="9" t="s">
        <v>459</v>
      </c>
      <c r="C15" s="37"/>
      <c r="D15" s="30" t="s">
        <v>236</v>
      </c>
      <c r="E15" s="38"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5" s="39" t="n">
        <f aca="false">IF(ISNUMBER(Suggest_Mortgage_Rate),Suggest_Mortgage_Rate,"")</f>
        <v>0.0348</v>
      </c>
      <c r="G15" s="40" t="str">
        <f aca="false">IF(ISBLANK(C15),IF(Fill_Example="Yes",F15,""),C15)</f>
        <v/>
      </c>
    </row>
    <row r="16" customFormat="false" ht="21.75" hidden="false" customHeight="true" outlineLevel="0" collapsed="false">
      <c r="B16" s="9" t="s">
        <v>418</v>
      </c>
      <c r="C16" s="41"/>
      <c r="D16" s="30" t="s">
        <v>238</v>
      </c>
      <c r="E16" s="31" t="s">
        <v>327</v>
      </c>
      <c r="F16" s="42" t="n">
        <v>25</v>
      </c>
      <c r="G16" s="43" t="str">
        <f aca="false">IF(ISBLANK(C16),IF(Fill_Example="Yes",F16,""),C16)</f>
        <v/>
      </c>
    </row>
    <row r="17" customFormat="false" ht="15" hidden="false" customHeight="true" outlineLevel="0" collapsed="false">
      <c r="B17" s="9" t="s">
        <v>460</v>
      </c>
      <c r="C17" s="37"/>
      <c r="D17" s="30" t="s">
        <v>236</v>
      </c>
      <c r="E17" s="31" t="s">
        <v>461</v>
      </c>
      <c r="F17" s="39" t="n">
        <v>0.01</v>
      </c>
      <c r="G17" s="40" t="str">
        <f aca="false">IF(ISBLANK(C17),IF(Fill_Example="Yes",F17,""),C17)</f>
        <v/>
      </c>
    </row>
    <row r="18" customFormat="false" ht="15" hidden="false" customHeight="true" outlineLevel="0" collapsed="false">
      <c r="B18" s="9" t="s">
        <v>328</v>
      </c>
      <c r="C18" s="29"/>
      <c r="D18" s="30" t="s">
        <v>225</v>
      </c>
      <c r="E18" s="31" t="s">
        <v>329</v>
      </c>
      <c r="F18" s="32" t="n">
        <v>0</v>
      </c>
      <c r="G18" s="33" t="n">
        <f aca="false">IF(ISBLANK(C18),F18,C18)</f>
        <v>0</v>
      </c>
    </row>
    <row r="20" customFormat="false" ht="15" hidden="false" customHeight="true" outlineLevel="0" collapsed="false">
      <c r="B20" s="15" t="s">
        <v>332</v>
      </c>
      <c r="C20" s="16"/>
      <c r="D20" s="16"/>
      <c r="E20" s="16"/>
      <c r="F20" s="16"/>
      <c r="G20" s="16"/>
    </row>
    <row r="21" customFormat="false" ht="15" hidden="false" customHeight="true" outlineLevel="0" collapsed="false">
      <c r="B21" s="9" t="s">
        <v>416</v>
      </c>
      <c r="C21" s="61" t="str">
        <f aca="false">IF(ISBLANK(Stmt_Balance),Mortgage_Balance,Stmt_Balance)</f>
        <v/>
      </c>
      <c r="D21" s="62" t="str">
        <f aca="false">IF(ISBLANK(Stmt_Balance),"Your figure","From your statement")</f>
        <v>Your figure</v>
      </c>
      <c r="E21" s="52" t="s">
        <v>422</v>
      </c>
    </row>
    <row r="22" customFormat="false" ht="15" hidden="false" customHeight="true" outlineLevel="0" collapsed="false">
      <c r="B22" s="9" t="s">
        <v>459</v>
      </c>
      <c r="C22" s="63" t="str">
        <f aca="false">IF(ISBLANK(Stmt_Rate),Current_Rate,Stmt_Rate)</f>
        <v/>
      </c>
      <c r="D22" s="62" t="str">
        <f aca="false">IF(ISBLANK(Stmt_Rate),"Your figure","From your statement")</f>
        <v>Your figure</v>
      </c>
      <c r="E22" s="52" t="s">
        <v>462</v>
      </c>
    </row>
    <row r="23" customFormat="false" ht="15" hidden="false" customHeight="true" outlineLevel="0" collapsed="false">
      <c r="B23" s="9" t="s">
        <v>418</v>
      </c>
      <c r="C23" s="64" t="str">
        <f aca="false">IF(ISBLANK(Stmt_Term),Years_Left,Stmt_Term)</f>
        <v/>
      </c>
      <c r="D23" s="62" t="str">
        <f aca="false">IF(ISBLANK(Stmt_Term),"Your figure","From your statement")</f>
        <v>Your figure</v>
      </c>
      <c r="E23" s="52" t="s">
        <v>423</v>
      </c>
    </row>
    <row r="24" customFormat="false" ht="15" hidden="false" customHeight="true" outlineLevel="0" collapsed="false">
      <c r="B24" s="9" t="s">
        <v>336</v>
      </c>
      <c r="C24" s="61" t="n">
        <f aca="false">IF(ISBLANK(Stmt_Repayment),Actual_Repayment,Stmt_Repayment)</f>
        <v>0</v>
      </c>
      <c r="D24" s="62" t="str">
        <f aca="false">IF(ISBLANK(Stmt_Repayment),"Your figure","From your statement")</f>
        <v>Your figure</v>
      </c>
      <c r="E24" s="52" t="s">
        <v>337</v>
      </c>
    </row>
    <row r="25" customFormat="false" ht="21.75" hidden="false" customHeight="true" outlineLevel="0" collapsed="false">
      <c r="B25" s="9" t="s">
        <v>338</v>
      </c>
      <c r="C25" s="48" t="str">
        <f aca="true">IF(ISBLANK(Stmt_Statement_Date),"",IF(TODAY()-Stmt_Statement_Date&gt;Statement_Max_Age_Days,"Needs a look: statement is more than 12 months old","Up to date"))</f>
        <v/>
      </c>
      <c r="D25" s="30"/>
      <c r="E25" s="45" t="s">
        <v>339</v>
      </c>
    </row>
    <row r="27" customFormat="false" ht="15" hidden="false" customHeight="true" outlineLevel="0" collapsed="false">
      <c r="B27" s="15" t="s">
        <v>245</v>
      </c>
      <c r="C27" s="27" t="s">
        <v>246</v>
      </c>
      <c r="D27" s="27" t="s">
        <v>247</v>
      </c>
      <c r="E27" s="27" t="s">
        <v>248</v>
      </c>
      <c r="F27" s="16"/>
      <c r="G27" s="16"/>
    </row>
    <row r="28" customFormat="false" ht="23.25" hidden="false" customHeight="true" outlineLevel="0" collapsed="false">
      <c r="B28" s="24" t="s">
        <v>463</v>
      </c>
      <c r="C28" s="44" t="str">
        <f aca="false">IF(Need_1&lt;&gt;"",Need_1,Repayment_After-Repayment_Now)</f>
        <v>Choose your rate change to see this</v>
      </c>
      <c r="D28" s="66" t="str">
        <f aca="false">IF(Need_1&lt;&gt;"",Need_1,IF(Monthly_Change&gt;=0,"+","−")&amp;TEXT(ABS(Monthly_Change),"€#,##0"))</f>
        <v>Choose your rate change to see this</v>
      </c>
      <c r="E28" s="45" t="s">
        <v>464</v>
      </c>
    </row>
    <row r="29" customFormat="false" ht="17.25" hidden="false" customHeight="true" outlineLevel="0" collapsed="false">
      <c r="B29" s="24" t="s">
        <v>432</v>
      </c>
      <c r="C29" s="44" t="str">
        <f aca="false">IF(Need_2&lt;&gt;"",Need_2,IF(Used_Actual_Repayment&gt;0,Used_Actual_Repayment,Formula_Now))</f>
        <v>Choose your mortgage balance to see this</v>
      </c>
      <c r="D29" s="30" t="s">
        <v>225</v>
      </c>
      <c r="E29" s="45" t="s">
        <v>465</v>
      </c>
    </row>
    <row r="30" customFormat="false" ht="17.25" hidden="false" customHeight="true" outlineLevel="0" collapsed="false">
      <c r="B30" s="24" t="s">
        <v>466</v>
      </c>
      <c r="C30" s="44" t="str">
        <f aca="false">IF(Need_1&lt;&gt;"",Need_1,Repayment_Now+PMT(New_Rate/12,Used_Years_Left*12,-Used_Mortgage_Balance)-Formula_Now)</f>
        <v>Choose your rate change to see this</v>
      </c>
      <c r="D30" s="30" t="s">
        <v>225</v>
      </c>
      <c r="E30" s="45" t="s">
        <v>467</v>
      </c>
    </row>
    <row r="31" customFormat="false" ht="15" hidden="false" customHeight="true" outlineLevel="0" collapsed="false">
      <c r="B31" s="9" t="s">
        <v>468</v>
      </c>
      <c r="C31" s="46" t="str">
        <f aca="false">IF(Need_1&lt;&gt;"",Need_1,Monthly_Change*12)</f>
        <v>Choose your rate change to see this</v>
      </c>
      <c r="D31" s="30" t="s">
        <v>225</v>
      </c>
      <c r="E31" s="45" t="s">
        <v>469</v>
      </c>
    </row>
    <row r="32" customFormat="false" ht="15" hidden="false" customHeight="true" outlineLevel="0" collapsed="false">
      <c r="B32" s="9" t="s">
        <v>470</v>
      </c>
      <c r="C32" s="46" t="str">
        <f aca="false">IF(Need_3&lt;&gt;"",Need_3,PMT(Used_Current_Rate/12,Used_Years_Left*12,-Used_Mortgage_Balance))</f>
        <v>Choose your mortgage balance to see this</v>
      </c>
      <c r="D32" s="30" t="s">
        <v>225</v>
      </c>
      <c r="E32" s="45" t="s">
        <v>471</v>
      </c>
    </row>
    <row r="33" customFormat="false" ht="15" hidden="false" customHeight="true" outlineLevel="0" collapsed="false">
      <c r="B33" s="9" t="s">
        <v>472</v>
      </c>
      <c r="C33" s="68" t="str">
        <f aca="false">IF(Need_4&lt;&gt;"",Need_4,MAX(0,Used_Current_Rate+Rate_Change))</f>
        <v>Choose your rate change to see this</v>
      </c>
      <c r="D33" s="30" t="s">
        <v>236</v>
      </c>
      <c r="E33" s="45" t="s">
        <v>473</v>
      </c>
    </row>
    <row r="35" customFormat="false" ht="15" hidden="false" customHeight="true" outlineLevel="0" collapsed="false">
      <c r="B35" s="15" t="s">
        <v>278</v>
      </c>
      <c r="C35" s="16"/>
      <c r="D35" s="16"/>
      <c r="E35" s="16"/>
      <c r="F35" s="16"/>
      <c r="G35" s="16"/>
    </row>
    <row r="36" customFormat="false" ht="13.5" hidden="false" customHeight="true" outlineLevel="0" collapsed="false">
      <c r="B36" s="49" t="s">
        <v>474</v>
      </c>
      <c r="C36" s="49"/>
      <c r="D36" s="49"/>
      <c r="E36" s="49"/>
    </row>
    <row r="37" customFormat="false" ht="13.5" hidden="false" customHeight="true" outlineLevel="0" collapsed="false">
      <c r="B37" s="49" t="s">
        <v>475</v>
      </c>
      <c r="C37" s="49"/>
      <c r="D37" s="49"/>
      <c r="E37" s="49"/>
    </row>
    <row r="38" customFormat="false" ht="13.5" hidden="false" customHeight="true" outlineLevel="0" collapsed="false">
      <c r="B38" s="50" t="s">
        <v>282</v>
      </c>
      <c r="C38" s="50"/>
      <c r="D38" s="50"/>
      <c r="E38" s="50"/>
    </row>
    <row r="39" customFormat="false" ht="13.5" hidden="false" customHeight="true" outlineLevel="0" collapsed="false">
      <c r="B39" s="49" t="s">
        <v>476</v>
      </c>
      <c r="C39" s="49"/>
      <c r="D39" s="49"/>
      <c r="E39" s="49"/>
    </row>
    <row r="40" customFormat="false" ht="13.5" hidden="false" customHeight="true" outlineLevel="0" collapsed="false">
      <c r="B40" s="49" t="s">
        <v>286</v>
      </c>
      <c r="C40" s="49"/>
      <c r="D40" s="49"/>
      <c r="E40" s="49"/>
    </row>
    <row r="42" customFormat="false" ht="15" hidden="false" customHeight="true" outlineLevel="0" collapsed="false">
      <c r="B42" s="15" t="s">
        <v>287</v>
      </c>
      <c r="C42" s="16"/>
      <c r="D42" s="16"/>
      <c r="E42" s="16"/>
      <c r="F42" s="16"/>
      <c r="G42" s="16"/>
    </row>
    <row r="43" customFormat="false" ht="15" hidden="false" customHeight="true" outlineLevel="0" collapsed="false">
      <c r="B43" s="9" t="s">
        <v>288</v>
      </c>
      <c r="C43" s="51" t="str">
        <f aca="false">"No goal"</f>
        <v>No goal</v>
      </c>
      <c r="E43" s="52" t="s">
        <v>477</v>
      </c>
    </row>
    <row r="45" customFormat="false" ht="15" hidden="false" customHeight="true" outlineLevel="0" collapsed="false">
      <c r="B45" s="15" t="s">
        <v>296</v>
      </c>
      <c r="C45" s="16"/>
      <c r="D45" s="16"/>
      <c r="E45" s="16"/>
      <c r="F45" s="16"/>
      <c r="G45" s="16"/>
    </row>
    <row r="46" customFormat="false" ht="15" hidden="false" customHeight="true" outlineLevel="0" collapsed="false">
      <c r="B46" s="55" t="s">
        <v>478</v>
      </c>
      <c r="C46" s="55" t="str">
        <f aca="false">IF(Rate_Change="","Choose your rate change to see this",IF(NOT(ISNUMBER(Used_Mortgage_Balance)),IF(Used_Mortgage_Balance="",IF(Mortgage_Balance="","Choose your mortgage balance to see this",""),Used_Mortgage_Balance),IF(NOT(ISNUMBER(Used_Current_Rate)),IF(Used_Current_Rate="",IF(Current_Rate="","Choose your current interest rate to see this",""),Used_Current_Rate),IF(NOT(ISNUMBER(Used_Years_Left)),IF(Used_Years_Left="",IF(Years_Left="","Choose your years left to see this",""),Used_Years_Left),IF(NOT(ISNUMBER(Used_Actual_Repayment)),IF(Used_Actual_Repayment="","Choose your actual monthly repayment to see this",Used_Actual_Repayment),"")))))</f>
        <v>Choose your rate change to see this</v>
      </c>
    </row>
    <row r="47" customFormat="false" ht="15" hidden="false" customHeight="true" outlineLevel="0" collapsed="false">
      <c r="B47" s="55" t="s">
        <v>479</v>
      </c>
      <c r="C47" s="55" t="str">
        <f aca="false">IF(NOT(ISNUMBER(Used_Mortgage_Balance)),IF(Used_Mortgage_Balance="",IF(Mortgage_Balance="","Choose your mortgage balance to see this",""),Used_Mortgage_Balance),IF(NOT(ISNUMBER(Used_Current_Rate)),IF(Used_Current_Rate="",IF(Current_Rate="","Choose your current interest rate to see this",""),Used_Current_Rate),IF(NOT(ISNUMBER(Used_Years_Left)),IF(Used_Years_Left="",IF(Years_Left="","Choose your years left to see this",""),Used_Years_Left),IF(NOT(ISNUMBER(Used_Actual_Repayment)),IF(Used_Actual_Repayment="","Choose your actual monthly repayment to see this",Used_Actual_Repayment),""))))</f>
        <v>Choose your mortgage balance to see this</v>
      </c>
    </row>
    <row r="48" customFormat="false" ht="15" hidden="false" customHeight="true" outlineLevel="0" collapsed="false">
      <c r="B48" s="55" t="s">
        <v>480</v>
      </c>
      <c r="C48" s="55" t="str">
        <f aca="false">IF(NOT(ISNUMBER(Used_Mortgage_Balance)),IF(Used_Mortgage_Balance="",IF(Mortgage_Balance="","Choose your mortgage balance to see this",""),Used_Mortgage_Balance),IF(NOT(ISNUMBER(Used_Current_Rate)),IF(Used_Current_Rate="",IF(Current_Rate="","Choose your current interest rate to see this",""),Used_Current_Rate),IF(NOT(ISNUMBER(Used_Years_Left)),IF(Used_Years_Left="",IF(Years_Left="","Choose your years left to see this",""),Used_Years_Left),"")))</f>
        <v>Choose your mortgage balance to see this</v>
      </c>
    </row>
    <row r="49" customFormat="false" ht="15" hidden="false" customHeight="true" outlineLevel="0" collapsed="false">
      <c r="B49" s="55" t="s">
        <v>481</v>
      </c>
      <c r="C49" s="55" t="str">
        <f aca="false">IF(Rate_Change="","Choose your rate change to see this",IF(NOT(ISNUMBER(Used_Current_Rate)),IF(Used_Current_Rate="",IF(Current_Rate="","Choose your current interest rate to see this",""),Used_Current_Rate),""))</f>
        <v>Choose your rate change to see this</v>
      </c>
    </row>
  </sheetData>
  <mergeCells count="6">
    <mergeCell ref="B6:E6"/>
    <mergeCell ref="B36:E36"/>
    <mergeCell ref="B37:E37"/>
    <mergeCell ref="B38:E38"/>
    <mergeCell ref="B39:E39"/>
    <mergeCell ref="B40:E40"/>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balance"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Curren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 to 3% · steps of 0.25%." errorStyle="stop" errorTitle="Outside the allowed range" operator="between" prompt="Your own figure.  Allowed: -2% to 3% · steps of 0.25%." promptTitle="Rate change" showDropDown="false" showErrorMessage="true" showInputMessage="true" sqref="C17"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3" t="s">
        <v>482</v>
      </c>
      <c r="E1" s="3" t="s">
        <v>483</v>
      </c>
    </row>
    <row r="2" customFormat="false" ht="15" hidden="false" customHeight="true" outlineLevel="0" collapsed="false">
      <c r="B2" s="24" t="s">
        <v>484</v>
      </c>
      <c r="E2" s="25"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6" t="s">
        <v>485</v>
      </c>
    </row>
    <row r="5" customFormat="false" ht="15" hidden="false" customHeight="true" outlineLevel="0" collapsed="false">
      <c r="B5" s="15" t="s">
        <v>309</v>
      </c>
      <c r="C5" s="16"/>
      <c r="D5" s="16"/>
      <c r="E5" s="16"/>
      <c r="F5" s="16"/>
      <c r="G5" s="16"/>
    </row>
    <row r="6" customFormat="false" ht="27.75" hidden="false" customHeight="true" outlineLevel="0" collapsed="false">
      <c r="B6" s="56" t="s">
        <v>310</v>
      </c>
      <c r="C6" s="56"/>
      <c r="D6" s="56"/>
      <c r="E6" s="56"/>
    </row>
    <row r="7" customFormat="false" ht="15" hidden="false" customHeight="true" outlineLevel="0" collapsed="false">
      <c r="B7" s="9" t="s">
        <v>311</v>
      </c>
      <c r="C7" s="57"/>
      <c r="D7" s="30" t="s">
        <v>225</v>
      </c>
      <c r="E7" s="31" t="s">
        <v>312</v>
      </c>
      <c r="G7" s="55" t="s">
        <v>313</v>
      </c>
    </row>
    <row r="8" customFormat="false" ht="15" hidden="false" customHeight="true" outlineLevel="0" collapsed="false">
      <c r="B8" s="9" t="s">
        <v>314</v>
      </c>
      <c r="C8" s="58"/>
      <c r="D8" s="30" t="s">
        <v>236</v>
      </c>
      <c r="E8" s="31" t="s">
        <v>315</v>
      </c>
      <c r="G8" s="55" t="s">
        <v>313</v>
      </c>
    </row>
    <row r="9" customFormat="false" ht="15" hidden="false" customHeight="true" outlineLevel="0" collapsed="false">
      <c r="B9" s="9" t="s">
        <v>316</v>
      </c>
      <c r="C9" s="59"/>
      <c r="D9" s="30" t="s">
        <v>238</v>
      </c>
      <c r="E9" s="31" t="s">
        <v>317</v>
      </c>
      <c r="G9" s="55" t="s">
        <v>313</v>
      </c>
    </row>
    <row r="10" customFormat="false" ht="15" hidden="false" customHeight="true" outlineLevel="0" collapsed="false">
      <c r="B10" s="9" t="s">
        <v>320</v>
      </c>
      <c r="C10" s="60"/>
      <c r="D10" s="30" t="s">
        <v>321</v>
      </c>
      <c r="E10" s="31" t="s">
        <v>322</v>
      </c>
      <c r="G10" s="55" t="s">
        <v>313</v>
      </c>
    </row>
    <row r="12" customFormat="false" ht="15" hidden="false" customHeight="true" outlineLevel="0" collapsed="false">
      <c r="B12" s="15" t="s">
        <v>323</v>
      </c>
      <c r="C12" s="27" t="s">
        <v>220</v>
      </c>
      <c r="D12" s="27" t="s">
        <v>221</v>
      </c>
      <c r="E12" s="27" t="s">
        <v>222</v>
      </c>
      <c r="F12" s="28" t="s">
        <v>223</v>
      </c>
      <c r="G12" s="16"/>
    </row>
    <row r="13" customFormat="false" ht="21.75" hidden="false" customHeight="true" outlineLevel="0" collapsed="false">
      <c r="B13" s="9" t="s">
        <v>324</v>
      </c>
      <c r="C13" s="29"/>
      <c r="D13" s="30" t="s">
        <v>225</v>
      </c>
      <c r="E13" s="31" t="s">
        <v>458</v>
      </c>
      <c r="F13" s="32" t="n">
        <v>300000</v>
      </c>
      <c r="G13" s="33" t="str">
        <f aca="false">IF(ISBLANK(C13),IF(Fill_Example="Yes",F13,""),C13)</f>
        <v/>
      </c>
    </row>
    <row r="14" customFormat="false" ht="33" hidden="false" customHeight="true" outlineLevel="0" collapsed="false">
      <c r="B14" s="9" t="s">
        <v>314</v>
      </c>
      <c r="C14" s="37"/>
      <c r="D14" s="30" t="s">
        <v>236</v>
      </c>
      <c r="E14" s="38"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4" s="39" t="n">
        <f aca="false">IF(ISNUMBER(Suggest_Mortgage_Rate),Suggest_Mortgage_Rate,"")</f>
        <v>0.0348</v>
      </c>
      <c r="G14" s="40" t="str">
        <f aca="false">IF(ISBLANK(C14),IF(Fill_Example="Yes",F14,""),C14)</f>
        <v/>
      </c>
    </row>
    <row r="15" customFormat="false" ht="21.75" hidden="false" customHeight="true" outlineLevel="0" collapsed="false">
      <c r="B15" s="9" t="s">
        <v>486</v>
      </c>
      <c r="C15" s="41"/>
      <c r="D15" s="30" t="s">
        <v>238</v>
      </c>
      <c r="E15" s="31" t="s">
        <v>327</v>
      </c>
      <c r="F15" s="42" t="n">
        <v>25</v>
      </c>
      <c r="G15" s="43" t="str">
        <f aca="false">IF(ISBLANK(C15),IF(Fill_Example="Yes",F15,""),C15)</f>
        <v/>
      </c>
    </row>
    <row r="16" customFormat="false" ht="15" hidden="false" customHeight="true" outlineLevel="0" collapsed="false">
      <c r="B16" s="9" t="s">
        <v>487</v>
      </c>
      <c r="C16" s="41"/>
      <c r="D16" s="30" t="s">
        <v>238</v>
      </c>
      <c r="E16" s="31" t="s">
        <v>488</v>
      </c>
      <c r="F16" s="42" t="n">
        <v>35</v>
      </c>
      <c r="G16" s="43" t="str">
        <f aca="false">IF(ISBLANK(C16),IF(Fill_Example="Yes",F16,""),C16)</f>
        <v/>
      </c>
    </row>
    <row r="18" customFormat="false" ht="15" hidden="false" customHeight="true" outlineLevel="0" collapsed="false">
      <c r="B18" s="15" t="s">
        <v>332</v>
      </c>
      <c r="C18" s="16"/>
      <c r="D18" s="16"/>
      <c r="E18" s="16"/>
      <c r="F18" s="16"/>
      <c r="G18" s="16"/>
    </row>
    <row r="19" customFormat="false" ht="15" hidden="false" customHeight="true" outlineLevel="0" collapsed="false">
      <c r="B19" s="9" t="s">
        <v>324</v>
      </c>
      <c r="C19" s="61" t="str">
        <f aca="false">IF(ISBLANK(Stmt_Balance),Loan_Amount,Stmt_Balance)</f>
        <v/>
      </c>
      <c r="D19" s="62" t="str">
        <f aca="false">IF(ISBLANK(Stmt_Balance),"Your figure","From your statement")</f>
        <v>Your figure</v>
      </c>
      <c r="E19" s="52" t="s">
        <v>333</v>
      </c>
    </row>
    <row r="20" customFormat="false" ht="15" hidden="false" customHeight="true" outlineLevel="0" collapsed="false">
      <c r="B20" s="9" t="s">
        <v>314</v>
      </c>
      <c r="C20" s="63" t="str">
        <f aca="false">IF(ISBLANK(Stmt_Rate),Interest_Rate,Stmt_Rate)</f>
        <v/>
      </c>
      <c r="D20" s="62" t="str">
        <f aca="false">IF(ISBLANK(Stmt_Rate),"Your figure","From your statement")</f>
        <v>Your figure</v>
      </c>
      <c r="E20" s="52" t="s">
        <v>334</v>
      </c>
    </row>
    <row r="21" customFormat="false" ht="15" hidden="false" customHeight="true" outlineLevel="0" collapsed="false">
      <c r="B21" s="9" t="s">
        <v>486</v>
      </c>
      <c r="C21" s="64" t="str">
        <f aca="false">IF(ISBLANK(Stmt_Term),Term_A,Stmt_Term)</f>
        <v/>
      </c>
      <c r="D21" s="62" t="str">
        <f aca="false">IF(ISBLANK(Stmt_Term),"Your figure","From your statement")</f>
        <v>Your figure</v>
      </c>
      <c r="E21" s="52" t="s">
        <v>489</v>
      </c>
    </row>
    <row r="22" customFormat="false" ht="21.75" hidden="false" customHeight="true" outlineLevel="0" collapsed="false">
      <c r="B22" s="9" t="s">
        <v>338</v>
      </c>
      <c r="C22" s="48" t="str">
        <f aca="true">IF(ISBLANK(Stmt_Statement_Date),"",IF(TODAY()-Stmt_Statement_Date&gt;Statement_Max_Age_Days,"Needs a look: statement is more than 12 months old","Up to date"))</f>
        <v/>
      </c>
      <c r="D22" s="30"/>
      <c r="E22" s="45" t="s">
        <v>339</v>
      </c>
    </row>
    <row r="24" customFormat="false" ht="15" hidden="false" customHeight="true" outlineLevel="0" collapsed="false">
      <c r="B24" s="15" t="s">
        <v>245</v>
      </c>
      <c r="C24" s="27" t="s">
        <v>246</v>
      </c>
      <c r="D24" s="27" t="s">
        <v>247</v>
      </c>
      <c r="E24" s="27" t="s">
        <v>248</v>
      </c>
      <c r="F24" s="16"/>
      <c r="G24" s="16"/>
    </row>
    <row r="25" customFormat="false" ht="17.25" hidden="false" customHeight="true" outlineLevel="0" collapsed="false">
      <c r="B25" s="24" t="s">
        <v>490</v>
      </c>
      <c r="C25" s="44" t="str">
        <f aca="false">IF(Need_1&lt;&gt;"",Need_1,ABS(Interest_B-Interest_A))</f>
        <v>Choose your term B to see this</v>
      </c>
      <c r="D25" s="66" t="str">
        <f aca="false">IF(Need_1&lt;&gt;"",Need_1,IF(Used_Term_A=Term_B,"Both terms are the same.","The "&amp;MIN(Used_Term_A,Term_B)&amp;"-year term costs more each month but less interest overall."))</f>
        <v>Choose your term B to see this</v>
      </c>
      <c r="E25" s="45" t="s">
        <v>491</v>
      </c>
    </row>
    <row r="26" customFormat="false" ht="17.25" hidden="false" customHeight="true" outlineLevel="0" collapsed="false">
      <c r="B26" s="24" t="s">
        <v>492</v>
      </c>
      <c r="C26" s="44" t="str">
        <f aca="false">IF(Need_2&lt;&gt;"",Need_2,PMT(Used_Interest_Rate/12,Used_Term_A*12,-Used_Loan_Amount))</f>
        <v>Choose your mortgage amount to see this</v>
      </c>
      <c r="D26" s="30" t="s">
        <v>225</v>
      </c>
      <c r="E26" s="45" t="s">
        <v>493</v>
      </c>
    </row>
    <row r="27" customFormat="false" ht="17.25" hidden="false" customHeight="true" outlineLevel="0" collapsed="false">
      <c r="B27" s="24" t="s">
        <v>494</v>
      </c>
      <c r="C27" s="44" t="str">
        <f aca="false">IF(Need_3&lt;&gt;"",Need_3,PMT(Used_Interest_Rate/12,Term_B*12,-Used_Loan_Amount))</f>
        <v>Choose your term B to see this</v>
      </c>
      <c r="D27" s="30" t="s">
        <v>225</v>
      </c>
      <c r="E27" s="45" t="s">
        <v>495</v>
      </c>
    </row>
    <row r="28" customFormat="false" ht="15" hidden="false" customHeight="true" outlineLevel="0" collapsed="false">
      <c r="B28" s="9" t="s">
        <v>496</v>
      </c>
      <c r="C28" s="46" t="str">
        <f aca="false">IF(Need_2&lt;&gt;"",Need_2,Monthly_A*Used_Term_A*12-Used_Loan_Amount)</f>
        <v>Choose your mortgage amount to see this</v>
      </c>
      <c r="D28" s="30" t="s">
        <v>225</v>
      </c>
      <c r="E28" s="45" t="s">
        <v>497</v>
      </c>
    </row>
    <row r="29" customFormat="false" ht="15" hidden="false" customHeight="true" outlineLevel="0" collapsed="false">
      <c r="B29" s="9" t="s">
        <v>498</v>
      </c>
      <c r="C29" s="46" t="str">
        <f aca="false">IF(Need_3&lt;&gt;"",Need_3,Monthly_B*Term_B*12-Used_Loan_Amount)</f>
        <v>Choose your term B to see this</v>
      </c>
      <c r="D29" s="30" t="s">
        <v>225</v>
      </c>
      <c r="E29" s="45" t="s">
        <v>499</v>
      </c>
    </row>
    <row r="31" customFormat="false" ht="15" hidden="false" customHeight="true" outlineLevel="0" collapsed="false">
      <c r="B31" s="15" t="s">
        <v>278</v>
      </c>
      <c r="C31" s="16"/>
      <c r="D31" s="16"/>
      <c r="E31" s="16"/>
      <c r="F31" s="16"/>
      <c r="G31" s="16"/>
    </row>
    <row r="32" customFormat="false" ht="13.5" hidden="false" customHeight="true" outlineLevel="0" collapsed="false">
      <c r="B32" s="49" t="s">
        <v>500</v>
      </c>
      <c r="C32" s="49"/>
      <c r="D32" s="49"/>
      <c r="E32" s="49"/>
    </row>
    <row r="33" customFormat="false" ht="13.5" hidden="false" customHeight="true" outlineLevel="0" collapsed="false">
      <c r="B33" s="49" t="s">
        <v>501</v>
      </c>
      <c r="C33" s="49"/>
      <c r="D33" s="49"/>
      <c r="E33" s="49"/>
    </row>
    <row r="34" customFormat="false" ht="13.5" hidden="false" customHeight="true" outlineLevel="0" collapsed="false">
      <c r="B34" s="50" t="s">
        <v>282</v>
      </c>
      <c r="C34" s="50"/>
      <c r="D34" s="50"/>
      <c r="E34" s="50"/>
    </row>
    <row r="35" customFormat="false" ht="13.5" hidden="false" customHeight="true" outlineLevel="0" collapsed="false">
      <c r="B35" s="49" t="s">
        <v>502</v>
      </c>
      <c r="C35" s="49"/>
      <c r="D35" s="49"/>
      <c r="E35" s="49"/>
    </row>
    <row r="36" customFormat="false" ht="13.5" hidden="false" customHeight="true" outlineLevel="0" collapsed="false">
      <c r="B36" s="49" t="s">
        <v>286</v>
      </c>
      <c r="C36" s="49"/>
      <c r="D36" s="49"/>
      <c r="E36" s="49"/>
    </row>
    <row r="38" customFormat="false" ht="15" hidden="false" customHeight="true" outlineLevel="0" collapsed="false">
      <c r="B38" s="15" t="s">
        <v>287</v>
      </c>
      <c r="C38" s="16"/>
      <c r="D38" s="16"/>
      <c r="E38" s="16"/>
      <c r="F38" s="16"/>
      <c r="G38" s="16"/>
    </row>
    <row r="39" customFormat="false" ht="15" hidden="false" customHeight="true" outlineLevel="0" collapsed="false">
      <c r="B39" s="9" t="s">
        <v>288</v>
      </c>
      <c r="C39" s="51" t="str">
        <f aca="false">"No goal"</f>
        <v>No goal</v>
      </c>
      <c r="E39" s="52" t="s">
        <v>477</v>
      </c>
    </row>
    <row r="41" customFormat="false" ht="15" hidden="false" customHeight="true" outlineLevel="0" collapsed="false">
      <c r="B41" s="15" t="s">
        <v>296</v>
      </c>
      <c r="C41" s="16"/>
      <c r="D41" s="16"/>
      <c r="E41" s="16"/>
      <c r="F41" s="16"/>
      <c r="G41" s="16"/>
    </row>
    <row r="42" customFormat="false" ht="15" hidden="false" customHeight="true" outlineLevel="0" collapsed="false">
      <c r="B42" s="55" t="s">
        <v>503</v>
      </c>
      <c r="C42" s="55" t="str">
        <f aca="false">IF(Term_B="","Choose your term B to see this",IF(NOT(ISNUMBER(Used_Loan_Amount)),IF(Used_Loan_Amount="",IF(Loan_Amount="","Choose your mortgage amount to see this",""),Used_Loan_Amount),IF(NOT(ISNUMBER(Used_Interest_Rate)),IF(Used_Interest_Rate="",IF(Interest_Rate="","Choose your interest rate to see this",""),Used_Interest_Rate),IF(NOT(ISNUMBER(Used_Term_A)),IF(Used_Term_A="",IF(Term_A="","Choose your term A to see this",""),Used_Term_A),""))))</f>
        <v>Choose your term B to see this</v>
      </c>
    </row>
    <row r="43" customFormat="false" ht="15" hidden="false" customHeight="true" outlineLevel="0" collapsed="false">
      <c r="B43" s="55" t="s">
        <v>504</v>
      </c>
      <c r="C43" s="55" t="str">
        <f aca="false">IF(NOT(ISNUMBER(Used_Loan_Amount)),IF(Used_Loan_Amount="",IF(Loan_Amount="","Choose your mortgage amount to see this",""),Used_Loan_Amount),IF(NOT(ISNUMBER(Used_Interest_Rate)),IF(Used_Interest_Rate="",IF(Interest_Rate="","Choose your interest rate to see this",""),Used_Interest_Rate),IF(NOT(ISNUMBER(Used_Term_A)),IF(Used_Term_A="",IF(Term_A="","Choose your term A to see this",""),Used_Term_A),"")))</f>
        <v>Choose your mortgage amount to see this</v>
      </c>
    </row>
    <row r="44" customFormat="false" ht="15" hidden="false" customHeight="true" outlineLevel="0" collapsed="false">
      <c r="B44" s="55" t="s">
        <v>505</v>
      </c>
      <c r="C44" s="55" t="str">
        <f aca="false">IF(Term_B="","Choose your term B to see this",IF(NOT(ISNUMBER(Used_Loan_Amount)),IF(Used_Loan_Amount="",IF(Loan_Amount="","Choose your mortgage amount to see this",""),Used_Loan_Amount),IF(NOT(ISNUMBER(Used_Interest_Rate)),IF(Used_Interest_Rate="",IF(Interest_Rate="","Choose your interest rate to see this",""),Used_Interest_Rate),"")))</f>
        <v>Choose your term B to see this</v>
      </c>
    </row>
  </sheetData>
  <mergeCells count="6">
    <mergeCell ref="B6:E6"/>
    <mergeCell ref="B32:E32"/>
    <mergeCell ref="B33:E33"/>
    <mergeCell ref="B34:E34"/>
    <mergeCell ref="B35:E35"/>
    <mergeCell ref="B36:E36"/>
  </mergeCells>
  <dataValidations count="8">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0"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4" type="decimal">
      <formula1>0.01</formula1>
      <formula2>0.08</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amount" showDropDown="false" showErrorMessage="true" showInputMessage="true" sqref="C13" type="decimal">
      <formula1>50000</formula1>
      <formula2>10000000</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A" showDropDown="false" showErrorMessage="true" showInputMessage="true" sqref="C15" type="whole">
      <formula1>5</formula1>
      <formula2>35</formula2>
    </dataValidation>
    <dataValidation allowBlank="true" error="Please enter 5 to 35 · steps of 1." errorStyle="stop" errorTitle="Outside the allowed range" operator="between" prompt="Your own figure.  Allowed: 5 to 35 · steps of 1." promptTitle="Term B" showDropDown="false" showErrorMessage="true" showInputMessage="true" sqref="C16" type="whole">
      <formula1>5</formula1>
      <formula2>35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3" t="s">
        <v>506</v>
      </c>
      <c r="E1" s="3" t="s">
        <v>507</v>
      </c>
    </row>
    <row r="2" customFormat="false" ht="15" hidden="false" customHeight="true" outlineLevel="0" collapsed="false">
      <c r="B2" s="24" t="s">
        <v>508</v>
      </c>
      <c r="E2" s="25"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6" t="s">
        <v>509</v>
      </c>
    </row>
    <row r="5" customFormat="false" ht="15" hidden="false" customHeight="true" outlineLevel="0" collapsed="false">
      <c r="B5" s="15" t="s">
        <v>219</v>
      </c>
      <c r="C5" s="27" t="s">
        <v>220</v>
      </c>
      <c r="D5" s="27" t="s">
        <v>221</v>
      </c>
      <c r="E5" s="27" t="s">
        <v>222</v>
      </c>
      <c r="F5" s="28" t="s">
        <v>223</v>
      </c>
      <c r="G5" s="16"/>
    </row>
    <row r="6" customFormat="false" ht="15" hidden="false" customHeight="true" outlineLevel="0" collapsed="false">
      <c r="B6" s="9" t="s">
        <v>510</v>
      </c>
      <c r="C6" s="29"/>
      <c r="D6" s="30" t="s">
        <v>225</v>
      </c>
      <c r="E6" s="31" t="s">
        <v>511</v>
      </c>
      <c r="F6" s="32" t="n">
        <v>1800</v>
      </c>
      <c r="G6" s="33" t="str">
        <f aca="false">IF(ISBLANK(C6),IF(Fill_Example="Yes",F6,""),C6)</f>
        <v/>
      </c>
    </row>
    <row r="7" customFormat="false" ht="15" hidden="false" customHeight="true" outlineLevel="0" collapsed="false">
      <c r="B7" s="9" t="s">
        <v>377</v>
      </c>
      <c r="C7" s="29"/>
      <c r="D7" s="30" t="s">
        <v>225</v>
      </c>
      <c r="E7" s="31" t="s">
        <v>378</v>
      </c>
      <c r="F7" s="32" t="n">
        <v>350000</v>
      </c>
      <c r="G7" s="33" t="str">
        <f aca="false">IF(ISBLANK(C7),IF(Fill_Example="Yes",F7,""),C7)</f>
        <v/>
      </c>
    </row>
    <row r="8" customFormat="false" ht="15" hidden="false" customHeight="true" outlineLevel="0" collapsed="false">
      <c r="B8" s="9" t="s">
        <v>393</v>
      </c>
      <c r="C8" s="29"/>
      <c r="D8" s="30" t="s">
        <v>225</v>
      </c>
      <c r="E8" s="31" t="s">
        <v>512</v>
      </c>
      <c r="F8" s="32" t="n">
        <v>35000</v>
      </c>
      <c r="G8" s="33" t="str">
        <f aca="false">IF(ISBLANK(C8),IF(Fill_Example="Yes",F8,""),C8)</f>
        <v/>
      </c>
    </row>
    <row r="9" customFormat="false" ht="21.75" hidden="false" customHeight="true" outlineLevel="0" collapsed="false">
      <c r="B9" s="9" t="s">
        <v>513</v>
      </c>
      <c r="C9" s="37"/>
      <c r="D9" s="30" t="s">
        <v>236</v>
      </c>
      <c r="E9" s="38" t="str">
        <f aca="false">"Type 2 · your figure · Your own rate (your statement shows it; typing it is fine, no upload needed). "&amp;IF(ISNUMBER(Suggest_Mortgage_Rate),"Suggested: "&amp;TEXT(Suggest_Mortgage_Rate,"0.00%")&amp;" · "&amp;Suggest_Mortgage_Rate_Label&amp;". ","No suggestion. ")&amp;"Enter your own figure."&amp;" Allowed: 1% to 8% · steps of 0.05%"</f>
        <v>Type 2 · your figure · Your own rate (your statement shows it; typing it is fine, no upload needed). Suggested: 3.48% · Central Bank of Ireland: average rate on new mortgages, Jul 2026. Enter your own figure. Allowed: 1% to 8% · steps of 0.05%</v>
      </c>
      <c r="F9" s="39" t="n">
        <f aca="false">IF(ISNUMBER(Suggest_Mortgage_Rate),Suggest_Mortgage_Rate,"")</f>
        <v>0.0348</v>
      </c>
      <c r="G9" s="40" t="str">
        <f aca="false">IF(ISBLANK(C9),IF(Fill_Example="Yes",F9,""),C9)</f>
        <v/>
      </c>
    </row>
    <row r="10" customFormat="false" ht="15" hidden="false" customHeight="true" outlineLevel="0" collapsed="false">
      <c r="B10" s="9" t="s">
        <v>237</v>
      </c>
      <c r="C10" s="41"/>
      <c r="D10" s="30" t="s">
        <v>238</v>
      </c>
      <c r="E10" s="31" t="s">
        <v>488</v>
      </c>
      <c r="F10" s="42" t="n">
        <v>30</v>
      </c>
      <c r="G10" s="43" t="str">
        <f aca="false">IF(ISBLANK(C10),IF(Fill_Example="Yes",F10,""),C10)</f>
        <v/>
      </c>
    </row>
    <row r="11" customFormat="false" ht="15" hidden="false" customHeight="true" outlineLevel="0" collapsed="false">
      <c r="B11" s="9" t="s">
        <v>514</v>
      </c>
      <c r="C11" s="41"/>
      <c r="D11" s="30" t="s">
        <v>238</v>
      </c>
      <c r="E11" s="31" t="s">
        <v>242</v>
      </c>
      <c r="F11" s="42" t="n">
        <v>10</v>
      </c>
      <c r="G11" s="43" t="str">
        <f aca="false">IF(ISBLANK(C11),IF(Fill_Example="Yes",F11,""),C11)</f>
        <v/>
      </c>
    </row>
    <row r="12" customFormat="false" ht="21.75" hidden="false" customHeight="true" outlineLevel="0" collapsed="false">
      <c r="B12" s="9" t="s">
        <v>515</v>
      </c>
      <c r="C12" s="37"/>
      <c r="D12" s="30" t="s">
        <v>236</v>
      </c>
      <c r="E12" s="38" t="s">
        <v>516</v>
      </c>
      <c r="F12" s="39" t="n">
        <v>0.02</v>
      </c>
      <c r="G12" s="40" t="str">
        <f aca="false">IF(ISBLANK(C12),IF(Fill_Example="Yes",F12,""),C12)</f>
        <v/>
      </c>
    </row>
    <row r="13" customFormat="false" ht="21.75" hidden="false" customHeight="true" outlineLevel="0" collapsed="false">
      <c r="B13" s="9" t="s">
        <v>517</v>
      </c>
      <c r="C13" s="37"/>
      <c r="D13" s="30" t="s">
        <v>236</v>
      </c>
      <c r="E13" s="38" t="s">
        <v>518</v>
      </c>
      <c r="F13" s="39" t="n">
        <v>0.03</v>
      </c>
      <c r="G13" s="40" t="str">
        <f aca="false">IF(ISBLANK(C13),IF(Fill_Example="Yes",F13,""),C13)</f>
        <v/>
      </c>
    </row>
    <row r="14" customFormat="false" ht="21.75" hidden="false" customHeight="true" outlineLevel="0" collapsed="false">
      <c r="B14" s="9" t="s">
        <v>519</v>
      </c>
      <c r="C14" s="37"/>
      <c r="D14" s="30" t="s">
        <v>236</v>
      </c>
      <c r="E14" s="38" t="s">
        <v>520</v>
      </c>
      <c r="F14" s="39" t="n">
        <v>0.01</v>
      </c>
      <c r="G14" s="40" t="str">
        <f aca="false">IF(ISBLANK(C14),IF(Fill_Example="Yes",F14,""),C14)</f>
        <v/>
      </c>
    </row>
    <row r="15" customFormat="false" ht="21.75" hidden="false" customHeight="true" outlineLevel="0" collapsed="false">
      <c r="B15" s="9" t="s">
        <v>240</v>
      </c>
      <c r="C15" s="29"/>
      <c r="D15" s="30" t="s">
        <v>225</v>
      </c>
      <c r="E15" s="38"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15" s="32" t="str">
        <f aca="false">IF(ISNUMBER(Suggest_Buying_Fees),Suggest_Buying_Fees,"")</f>
        <v/>
      </c>
      <c r="G15" s="33" t="n">
        <f aca="false">IF(ISBLANK(C15),IF(AND(Fill_Example="Yes",ISNUMBER(F15)),F15,0),C15)</f>
        <v>0</v>
      </c>
    </row>
    <row r="16" customFormat="false" ht="21.75" hidden="false" customHeight="true" outlineLevel="0" collapsed="false">
      <c r="B16" s="9" t="s">
        <v>521</v>
      </c>
      <c r="C16" s="37"/>
      <c r="D16" s="30" t="s">
        <v>236</v>
      </c>
      <c r="E16" s="38" t="str">
        <f aca="false">"Type 2 · optional · What your deposit could earn after 33% DIRT if you rent instead. "&amp;IF(ISNUMBER(Suggest_Deposit_Rate),"Suggested: "&amp;TEXT(ROUND(Suggest_Deposit_Rate*(1-DIRT),4),"0.00%")&amp;" after DIRT · "&amp;Suggest_Deposit_Rate_Label&amp;" ("&amp;TEXT(Suggest_Deposit_Rate,"0.00%")&amp;" before DIRT). ","No suggestion. ")&amp;"Leave blank to leave it out (0%)."&amp;" Allowed: 0% to 6% · steps of 0.5%"</f>
        <v>Type 2 · optional · What your deposit could earn after 33% DIRT if you rent instead. Suggested: 1.29% after DIRT · Central Bank of Ireland: average rate on new fixed-term household deposits, Jul 2026 (1.92% before DIRT). Leave blank to leave it out (0%). Allowed: 0% to 6% · steps of 0.5%</v>
      </c>
      <c r="F16" s="39" t="n">
        <f aca="false">IF(ISNUMBER(Suggest_Deposit_Rate),ROUND(Suggest_Deposit_Rate*(1-DIRT),4),"")</f>
        <v>0.0129</v>
      </c>
      <c r="G16" s="40" t="n">
        <f aca="false">IF(ISBLANK(C16),IF(AND(Fill_Example="Yes",ISNUMBER(F16)),F16,0),C16)</f>
        <v>0</v>
      </c>
    </row>
    <row r="17" customFormat="false" ht="15" hidden="false" customHeight="true" outlineLevel="0" collapsed="false">
      <c r="B17" s="9" t="s">
        <v>241</v>
      </c>
      <c r="C17" s="41"/>
      <c r="D17" s="30" t="s">
        <v>238</v>
      </c>
      <c r="E17" s="31" t="s">
        <v>242</v>
      </c>
      <c r="F17" s="42" t="n">
        <v>3</v>
      </c>
      <c r="G17" s="43" t="str">
        <f aca="false">IF(ISBLANK(C17),IF(Fill_Example="Yes",F17,""),C17)</f>
        <v/>
      </c>
    </row>
    <row r="18" customFormat="false" ht="15" hidden="false" customHeight="true" outlineLevel="0" collapsed="false">
      <c r="B18" s="1" t="s">
        <v>522</v>
      </c>
      <c r="C18" s="1" t="str">
        <f aca="false">IF(OR(Home_Price="",Deposit=""),"",MIN(MAX(Deposit,Home_Price*(1-LTV_Max)),Home_Price))</f>
        <v/>
      </c>
      <c r="D18" s="1" t="s">
        <v>225</v>
      </c>
    </row>
    <row r="19" customFormat="false" ht="15" hidden="false" customHeight="true" outlineLevel="0" collapsed="false">
      <c r="B19" s="15" t="s">
        <v>245</v>
      </c>
      <c r="C19" s="27" t="s">
        <v>246</v>
      </c>
      <c r="D19" s="27" t="s">
        <v>247</v>
      </c>
      <c r="E19" s="27" t="s">
        <v>248</v>
      </c>
      <c r="F19" s="16"/>
      <c r="G19" s="16"/>
    </row>
    <row r="20" customFormat="false" ht="17.25" hidden="false" customHeight="true" outlineLevel="0" collapsed="false">
      <c r="B20" s="24" t="s">
        <v>523</v>
      </c>
      <c r="C20" s="44" t="str">
        <f aca="false">IF(Need_1&lt;&gt;"",Need_1,Home_Value-Balance_After)</f>
        <v>Choose your home price to see this</v>
      </c>
      <c r="D20" s="30" t="s">
        <v>225</v>
      </c>
      <c r="E20" s="45" t="s">
        <v>524</v>
      </c>
    </row>
    <row r="21" customFormat="false" ht="17.25" hidden="false" customHeight="true" outlineLevel="0" collapsed="false">
      <c r="B21" s="24" t="s">
        <v>525</v>
      </c>
      <c r="C21" s="44" t="str">
        <f aca="false">IF(Need_2&lt;&gt;"",Need_2,IF(Rent_Growth=0,Monthly_Rent*12*Years,Monthly_Rent*12*((1+Rent_Growth)^Years-1)/Rent_Growth))</f>
        <v>Choose your monthly rent to see this</v>
      </c>
      <c r="D21" s="30" t="s">
        <v>225</v>
      </c>
      <c r="E21" s="45" t="s">
        <v>526</v>
      </c>
    </row>
    <row r="22" customFormat="false" ht="17.25" hidden="false" customHeight="true" outlineLevel="0" collapsed="false">
      <c r="B22" s="24" t="s">
        <v>527</v>
      </c>
      <c r="C22" s="44" t="str">
        <f aca="false">IF(Need_3&lt;&gt;"",Need_3,Interest_Paid+Upkeep+Stamp_Duty+Buying_Fees+Opportunity_Cost)</f>
        <v>Choose your home price to see this</v>
      </c>
      <c r="D22" s="30" t="s">
        <v>225</v>
      </c>
      <c r="E22" s="45" t="s">
        <v>528</v>
      </c>
    </row>
    <row r="23" customFormat="false" ht="15" hidden="false" customHeight="true" outlineLevel="0" collapsed="false">
      <c r="B23" s="9" t="s">
        <v>529</v>
      </c>
      <c r="C23" s="46" t="str">
        <f aca="false">IF(Need_4&lt;&gt;"",Need_4,Home_Price*(1+House_Growth)^Years)</f>
        <v>Choose your home price to see this</v>
      </c>
      <c r="D23" s="30" t="s">
        <v>225</v>
      </c>
      <c r="E23" s="45" t="s">
        <v>530</v>
      </c>
    </row>
    <row r="24" customFormat="false" ht="15" hidden="false" customHeight="true" outlineLevel="0" collapsed="false">
      <c r="B24" s="9" t="s">
        <v>531</v>
      </c>
      <c r="C24" s="46" t="str">
        <f aca="false">IF(Need_5&lt;&gt;"",Need_5,MAX(0,Home_Price-Deposit_Used))</f>
        <v>Choose your home price to see this</v>
      </c>
      <c r="D24" s="30" t="s">
        <v>225</v>
      </c>
      <c r="E24" s="45" t="s">
        <v>532</v>
      </c>
    </row>
    <row r="25" customFormat="false" ht="15" hidden="false" customHeight="true" outlineLevel="0" collapsed="false">
      <c r="B25" s="9" t="s">
        <v>318</v>
      </c>
      <c r="C25" s="46" t="str">
        <f aca="false">IF(Need_6&lt;&gt;"",Need_6,PMT(Mortgage_Rate/12,RentBuy_Term*12,-Loan))</f>
        <v>Choose your home price to see this</v>
      </c>
      <c r="D25" s="30" t="s">
        <v>225</v>
      </c>
      <c r="E25" s="45" t="s">
        <v>533</v>
      </c>
    </row>
    <row r="26" customFormat="false" ht="15" hidden="false" customHeight="true" outlineLevel="0" collapsed="false">
      <c r="B26" s="9" t="s">
        <v>534</v>
      </c>
      <c r="C26" s="46" t="str">
        <f aca="false">IF(Need_7&lt;&gt;"",Need_7,MAX(0,-FV(Mortgage_Rate/12,MIN(Years,RentBuy_Term)*12,-Monthly_Repayment,Loan)))</f>
        <v>Choose your home price to see this</v>
      </c>
      <c r="D26" s="30" t="s">
        <v>225</v>
      </c>
      <c r="E26" s="45" t="s">
        <v>535</v>
      </c>
    </row>
    <row r="27" customFormat="false" ht="15" hidden="false" customHeight="true" outlineLevel="0" collapsed="false">
      <c r="B27" s="9" t="s">
        <v>536</v>
      </c>
      <c r="C27" s="46" t="str">
        <f aca="false">IF(Need_7&lt;&gt;"",Need_7,Monthly_Repayment*MIN(Years,RentBuy_Term)*12-(Loan-Balance_After))</f>
        <v>Choose your home price to see this</v>
      </c>
      <c r="D27" s="30" t="s">
        <v>225</v>
      </c>
      <c r="E27" s="45" t="s">
        <v>537</v>
      </c>
    </row>
    <row r="28" customFormat="false" ht="21.75" hidden="false" customHeight="true" outlineLevel="0" collapsed="false">
      <c r="B28" s="9" t="s">
        <v>538</v>
      </c>
      <c r="C28" s="46" t="str">
        <f aca="false">IF(Need_8&lt;&gt;"",Need_8,IF(House_Growth=0,Home_Price*Upkeep_Rate*Years,Home_Price*Upkeep_Rate*((1+House_Growth)^Years-1)/House_Growth))</f>
        <v>Choose your home price to see this</v>
      </c>
      <c r="D28" s="30" t="s">
        <v>225</v>
      </c>
      <c r="E28" s="45" t="s">
        <v>539</v>
      </c>
    </row>
    <row r="29" customFormat="false" ht="21.75" hidden="false" customHeight="true" outlineLevel="0" collapsed="false">
      <c r="B29" s="9" t="s">
        <v>395</v>
      </c>
      <c r="C29" s="46" t="str">
        <f aca="false">IF(Need_9&lt;&gt;"",Need_9,SD_Rate_1*MIN(Home_Price,SD_Band_1)+SD_Rate_2*MAX(0,MIN(Home_Price,SD_Band_2)-SD_Band_1)+SD_Rate_3*MAX(0,Home_Price-SD_Band_2))</f>
        <v>Choose your home price to see this</v>
      </c>
      <c r="D29" s="30" t="s">
        <v>225</v>
      </c>
      <c r="E29" s="45" t="s">
        <v>256</v>
      </c>
    </row>
    <row r="30" customFormat="false" ht="15" hidden="false" customHeight="true" outlineLevel="0" collapsed="false">
      <c r="B30" s="9" t="s">
        <v>540</v>
      </c>
      <c r="C30" s="46" t="str">
        <f aca="false">IF(Need_10&lt;&gt;"",Need_10,Deposit_Used*((1+Opp_Rate)^Years-1))</f>
        <v>Choose your deposit to see this</v>
      </c>
      <c r="D30" s="30" t="s">
        <v>225</v>
      </c>
      <c r="E30" s="45" t="s">
        <v>541</v>
      </c>
    </row>
    <row r="32" customFormat="false" ht="15" hidden="false" customHeight="true" outlineLevel="0" collapsed="false">
      <c r="B32" s="15" t="s">
        <v>278</v>
      </c>
      <c r="C32" s="16"/>
      <c r="D32" s="16"/>
      <c r="E32" s="16"/>
      <c r="F32" s="16"/>
      <c r="G32" s="16"/>
    </row>
    <row r="33" customFormat="false" ht="27.75" hidden="false" customHeight="true" outlineLevel="0" collapsed="false">
      <c r="B33" s="49" t="s">
        <v>542</v>
      </c>
      <c r="C33" s="49"/>
      <c r="D33" s="49"/>
      <c r="E33" s="49"/>
    </row>
    <row r="34" customFormat="false" ht="27.75" hidden="false" customHeight="true" outlineLevel="0" collapsed="false">
      <c r="B34" s="49" t="s">
        <v>543</v>
      </c>
      <c r="C34" s="49"/>
      <c r="D34" s="49"/>
      <c r="E34" s="49"/>
    </row>
    <row r="35" customFormat="false" ht="27.75" hidden="false" customHeight="true" outlineLevel="0" collapsed="false">
      <c r="B35" s="49" t="s">
        <v>544</v>
      </c>
      <c r="C35" s="49"/>
      <c r="D35" s="49"/>
      <c r="E35" s="49"/>
    </row>
    <row r="36" customFormat="false" ht="13.5" hidden="false" customHeight="true" outlineLevel="0" collapsed="false">
      <c r="B36" s="50" t="s">
        <v>282</v>
      </c>
      <c r="C36" s="50"/>
      <c r="D36" s="50"/>
      <c r="E36" s="50"/>
    </row>
    <row r="37" customFormat="false" ht="13.5" hidden="false" customHeight="true" outlineLevel="0" collapsed="false">
      <c r="B37" s="49" t="s">
        <v>545</v>
      </c>
      <c r="C37" s="49"/>
      <c r="D37" s="49"/>
      <c r="E37" s="49"/>
    </row>
    <row r="38" customFormat="false" ht="27.75" hidden="false" customHeight="true" outlineLevel="0" collapsed="false">
      <c r="B38" s="49" t="s">
        <v>546</v>
      </c>
      <c r="C38" s="49"/>
      <c r="D38" s="49"/>
      <c r="E38" s="49"/>
    </row>
    <row r="40" customFormat="false" ht="15" hidden="false" customHeight="true" outlineLevel="0" collapsed="false">
      <c r="B40" s="15" t="s">
        <v>287</v>
      </c>
      <c r="C40" s="16"/>
      <c r="D40" s="16"/>
      <c r="E40" s="16"/>
      <c r="F40" s="16"/>
      <c r="G40" s="16"/>
    </row>
    <row r="41" customFormat="false" ht="15" hidden="false" customHeight="true" outlineLevel="0" collapsed="false">
      <c r="B41" s="9" t="s">
        <v>288</v>
      </c>
      <c r="C41" s="51" t="str">
        <f aca="false">"Buy a home (deposit goal)"</f>
        <v>Buy a home (deposit goal)</v>
      </c>
      <c r="E41" s="52" t="s">
        <v>289</v>
      </c>
    </row>
    <row r="42" customFormat="false" ht="15" hidden="false" customHeight="true" outlineLevel="0" collapsed="false">
      <c r="B42" s="9" t="s">
        <v>402</v>
      </c>
      <c r="C42" s="53" t="str">
        <f aca="false">IF(Need_11&lt;&gt;"",Need_11,ROUND(Deposit_Used+Stamp_Duty+Buying_Fees,0))</f>
        <v>Choose your home price to see this</v>
      </c>
      <c r="E42" s="52" t="s">
        <v>547</v>
      </c>
    </row>
    <row r="43" customFormat="false" ht="15" hidden="false" customHeight="true" outlineLevel="0" collapsed="false">
      <c r="B43" s="9" t="s">
        <v>294</v>
      </c>
      <c r="C43" s="54" t="str">
        <f aca="false">IF(Need_12&lt;&gt;"",Need_12,Home_Goal_Years)</f>
        <v>Choose your years until you buy to see this</v>
      </c>
      <c r="E43" s="52" t="s">
        <v>295</v>
      </c>
    </row>
    <row r="45" customFormat="false" ht="15" hidden="false" customHeight="true" outlineLevel="0" collapsed="false">
      <c r="B45" s="15" t="s">
        <v>296</v>
      </c>
      <c r="C45" s="16"/>
      <c r="D45" s="16"/>
      <c r="E45" s="16"/>
      <c r="F45" s="16"/>
      <c r="G45" s="16"/>
    </row>
    <row r="46" customFormat="false" ht="15" hidden="false" customHeight="true" outlineLevel="0" collapsed="false">
      <c r="B46" s="55" t="s">
        <v>548</v>
      </c>
      <c r="C46" s="55" t="str">
        <f aca="false">IF(Home_Price="","Choose your home price to see this",IF(Deposit="","Choose your deposit to see this",IF(Mortgage_Rate="","Choose your mortgage rate to see this",IF(RentBuy_Term="","Choose your mortgage term to see this",IF(Years="","Choose your years to compare to see this",IF(House_Growth="","Choose your house price growth to see this",""))))))</f>
        <v>Choose your home price to see this</v>
      </c>
    </row>
    <row r="47" customFormat="false" ht="15" hidden="false" customHeight="true" outlineLevel="0" collapsed="false">
      <c r="B47" s="55" t="s">
        <v>549</v>
      </c>
      <c r="C47" s="55" t="str">
        <f aca="false">IF(Monthly_Rent="","Choose your monthly rent to see this",IF(Years="","Choose your years to compare to see this",IF(Rent_Growth="","Choose your rent rise to see this","")))</f>
        <v>Choose your monthly rent to see this</v>
      </c>
    </row>
    <row r="48" customFormat="false" ht="15" hidden="false" customHeight="true" outlineLevel="0" collapsed="false">
      <c r="B48" s="55" t="s">
        <v>550</v>
      </c>
      <c r="C48" s="55" t="str">
        <f aca="false">IF(Home_Price="","Choose your home price to see this",IF(Deposit="","Choose your deposit to see this",IF(Mortgage_Rate="","Choose your mortgage rate to see this",IF(RentBuy_Term="","Choose your mortgage term to see this",IF(Years="","Choose your years to compare to see this",IF(House_Growth="","Choose your house price growth to see this",IF(Upkeep_Rate="","Choose your upkeep rate to see this",IF(Buying_Fees="","Choose your buying fees to see this",IF(Opp_Rate="","Choose your deposit earnings rate to see this","")))))))))</f>
        <v>Choose your home price to see this</v>
      </c>
    </row>
    <row r="49" customFormat="false" ht="15" hidden="false" customHeight="true" outlineLevel="0" collapsed="false">
      <c r="B49" s="55" t="s">
        <v>551</v>
      </c>
      <c r="C49" s="55" t="str">
        <f aca="false">IF(Home_Price="","Choose your home price to see this",IF(Years="","Choose your years to compare to see this",IF(House_Growth="","Choose your house price growth to see this","")))</f>
        <v>Choose your home price to see this</v>
      </c>
    </row>
    <row r="50" customFormat="false" ht="15" hidden="false" customHeight="true" outlineLevel="0" collapsed="false">
      <c r="B50" s="55" t="s">
        <v>552</v>
      </c>
      <c r="C50" s="55" t="str">
        <f aca="false">IF(Home_Price="","Choose your home price to see this",IF(Deposit="","Choose your deposit to see this",""))</f>
        <v>Choose your home price to see this</v>
      </c>
    </row>
    <row r="51" customFormat="false" ht="15" hidden="false" customHeight="true" outlineLevel="0" collapsed="false">
      <c r="B51" s="55" t="s">
        <v>553</v>
      </c>
      <c r="C51" s="55" t="str">
        <f aca="false">IF(Home_Price="","Choose your home price to see this",IF(Deposit="","Choose your deposit to see this",IF(Mortgage_Rate="","Choose your mortgage rate to see this",IF(RentBuy_Term="","Choose your mortgage term to see this",""))))</f>
        <v>Choose your home price to see this</v>
      </c>
    </row>
    <row r="52" customFormat="false" ht="15" hidden="false" customHeight="true" outlineLevel="0" collapsed="false">
      <c r="B52" s="55" t="s">
        <v>554</v>
      </c>
      <c r="C52" s="55" t="str">
        <f aca="false">IF(Home_Price="","Choose your home price to see this",IF(Deposit="","Choose your deposit to see this",IF(Mortgage_Rate="","Choose your mortgage rate to see this",IF(RentBuy_Term="","Choose your mortgage term to see this",IF(Years="","Choose your years to compare to see this","")))))</f>
        <v>Choose your home price to see this</v>
      </c>
    </row>
    <row r="53" customFormat="false" ht="15" hidden="false" customHeight="true" outlineLevel="0" collapsed="false">
      <c r="B53" s="55" t="s">
        <v>555</v>
      </c>
      <c r="C53" s="55" t="str">
        <f aca="false">IF(Home_Price="","Choose your home price to see this",IF(Years="","Choose your years to compare to see this",IF(House_Growth="","Choose your house price growth to see this",IF(Upkeep_Rate="","Choose your upkeep rate to see this",""))))</f>
        <v>Choose your home price to see this</v>
      </c>
    </row>
    <row r="54" customFormat="false" ht="15" hidden="false" customHeight="true" outlineLevel="0" collapsed="false">
      <c r="B54" s="55" t="s">
        <v>410</v>
      </c>
      <c r="C54" s="55" t="str">
        <f aca="false">IF(Home_Price="","Choose your home price to see this","")</f>
        <v>Choose your home price to see this</v>
      </c>
    </row>
    <row r="55" customFormat="false" ht="15" hidden="false" customHeight="true" outlineLevel="0" collapsed="false">
      <c r="B55" s="55" t="s">
        <v>556</v>
      </c>
      <c r="C55" s="55" t="str">
        <f aca="false">IF(Deposit="","Choose your deposit to see this",IF(Years="","Choose your years to compare to see this",IF(Opp_Rate="","Choose your deposit earnings rate to see this","")))</f>
        <v>Choose your deposit to see this</v>
      </c>
    </row>
    <row r="56" customFormat="false" ht="15" hidden="false" customHeight="true" outlineLevel="0" collapsed="false">
      <c r="B56" s="55" t="s">
        <v>557</v>
      </c>
      <c r="C56" s="55" t="str">
        <f aca="false">IF(Home_Price="","Choose your home price to see this",IF(Deposit="","Choose your deposit to see this",IF(Buying_Fees="","Choose your buying fees to see this","")))</f>
        <v>Choose your home price to see this</v>
      </c>
    </row>
    <row r="57" customFormat="false" ht="15" hidden="false" customHeight="true" outlineLevel="0" collapsed="false">
      <c r="B57" s="55" t="s">
        <v>303</v>
      </c>
      <c r="C57" s="55" t="str">
        <f aca="false">IF(Home_Goal_Years="","Choose your years until you buy to see this","")</f>
        <v>Choose your years until you buy to see this</v>
      </c>
    </row>
    <row r="59" customFormat="false" ht="15" hidden="false" customHeight="true" outlineLevel="0" collapsed="false">
      <c r="B59" s="22" t="s">
        <v>558</v>
      </c>
    </row>
  </sheetData>
  <mergeCells count="6">
    <mergeCell ref="B33:E33"/>
    <mergeCell ref="B34:E34"/>
    <mergeCell ref="B35:E35"/>
    <mergeCell ref="B36:E36"/>
    <mergeCell ref="B37:E37"/>
    <mergeCell ref="B38:E38"/>
  </mergeCells>
  <dataValidations count="12">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15" type="decimal">
      <formula1>0</formula1>
      <formula2>10000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7" type="decimal">
      <formula1>100000</formula1>
      <formula2>10000000</formula2>
    </dataValidation>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7" type="whole">
      <formula1>1</formula1>
      <formula2>30</formula2>
    </dataValidation>
    <dataValidation allowBlank="true" error="Please enter €500 to €50,000 · steps of €50." errorStyle="stop" errorTitle="Outside the allowed range" operator="between" prompt="Your own figure.  Allowed: €500 to €50,000 · steps of €50." promptTitle="Monthly rent" showDropDown="false" showErrorMessage="true" showInputMessage="true" sqref="C6" type="decimal">
      <formula1>500</formula1>
      <formula2>50000</formula2>
    </dataValidation>
    <dataValidation allowBlank="true" error="Please enter at least 10% of the price and no more than the price." errorStyle="stop" errorTitle="Outside the allowed range" operator="between" prompt="Your own figure.  Allowed: at least 10% of the price and no more than the price." promptTitle="Deposit" showDropDown="false" showErrorMessage="true" showInputMessage="true" sqref="C8" type="custom">
      <formula1>AND('C07 Rent vs buy'!Deposit&gt;=Min_Deposit_Pct*'C07 Rent vs buy'!Home_Price,'C07 Rent vs buy'!Deposit&lt;='C07 Rent vs buy'!Home_Price)</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Mortgage rate" showDropDown="false" showErrorMessage="true" showInputMessage="true" sqref="C9" type="decimal">
      <formula1>0.01</formula1>
      <formula2>0.08</formula2>
    </dataValidation>
    <dataValidation allowBlank="true" error="Please enter 5 to 35 · steps of 1." errorStyle="stop" errorTitle="Outside the allowed range" operator="between" prompt="Your own figure.  Allowed: 5 to 35 · steps of 1." promptTitle="Mortgage term" showDropDown="false" showErrorMessage="true" showInputMessage="true" sqref="C10" type="whole">
      <formula1>5</formula1>
      <formula2>35</formula2>
    </dataValidation>
    <dataValidation allowBlank="true" error="Please enter 1 to 30 · steps of 1." errorStyle="stop" errorTitle="Outside the allowed range" operator="between" prompt="Your own figure.  Allowed: 1 to 30 · steps of 1." promptTitle="Years to compare" showDropDown="false" showErrorMessage="true" showInputMessage="true" sqref="C11" type="whole">
      <formula1>1</formula1>
      <formula2>30</formula2>
    </dataValidation>
    <dataValidation allowBlank="true" error="Please enter 0% to 6% · steps of 0.5%." errorStyle="stop" errorTitle="Outside the allowed range" operator="between" prompt="Generally the standard is 2% a year, in line with long-run inflation (house prices can fall as well as rise). Choose what you want to use.  Allowed: 0% to 6% · steps of 0.5%." promptTitle="House prices rise a year" showDropDown="false" showErrorMessage="true" showInputMessage="true" sqref="C12" type="decimal">
      <formula1>0</formula1>
      <formula2>0.06</formula2>
    </dataValidation>
    <dataValidation allowBlank="true" error="Please enter 0% to 8% · steps of 0.5%." errorStyle="stop" errorTitle="Outside the allowed range" operator="between" prompt="Generally the standard is 3% a year (Irish rents have risen faster than prices in recent years). Choose what you want to use.  Allowed: 0% to 8% · steps of 0.5%." promptTitle="Rent rises a year" showDropDown="false" showErrorMessage="true" showInputMessage="true" sqref="C13" type="decimal">
      <formula1>0</formula1>
      <formula2>0.08</formula2>
    </dataValidation>
    <dataValidation allowBlank="true" error="Please enter 0% to 3% · steps of 0.1%." errorStyle="stop" errorTitle="Outside the allowed range" operator="between" prompt="Generally the standard is 1% of the home's value a year for repairs, insurance and maintenance. Choose what you want to use.  Allowed: 0% to 3% · steps of 0.1%." promptTitle="Upkeep a year, % of the home's v" showDropDown="false" showErrorMessage="true" showInputMessage="true" sqref="C14" type="decimal">
      <formula1>0</formula1>
      <formula2>0.03</formula2>
    </dataValidation>
    <dataValidation allowBlank="true" error="Please enter 0% to 6% · steps of 0.5%." errorStyle="stop" errorTitle="Outside the allowed range" operator="between" prompt="Optional: what your deposit could earn after DIRT if you rent. A suggested rate and its source are shown beside this cell (Partner rates, Assumptions sheet). Leave blank for 0%. Allowed: 0% to 6% · steps of 0.5%" promptTitle="What the deposit could earn a ye" showDropDown="false" showErrorMessage="true" showInputMessage="true" sqref="C16" type="decimal">
      <formula1>0</formula1>
      <formula2>0.06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3" t="s">
        <v>559</v>
      </c>
      <c r="E1" s="3" t="s">
        <v>560</v>
      </c>
    </row>
    <row r="2" customFormat="false" ht="15" hidden="false" customHeight="true" outlineLevel="0" collapsed="false">
      <c r="B2" s="24" t="s">
        <v>561</v>
      </c>
      <c r="E2" s="25"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6" t="s">
        <v>562</v>
      </c>
    </row>
    <row r="5" customFormat="false" ht="15" hidden="false" customHeight="true" outlineLevel="0" collapsed="false">
      <c r="B5" s="15" t="s">
        <v>563</v>
      </c>
      <c r="C5" s="27" t="s">
        <v>220</v>
      </c>
      <c r="D5" s="27" t="s">
        <v>221</v>
      </c>
      <c r="E5" s="27" t="s">
        <v>222</v>
      </c>
      <c r="F5" s="28" t="s">
        <v>223</v>
      </c>
      <c r="G5" s="16"/>
    </row>
    <row r="6" customFormat="false" ht="21.75" hidden="false" customHeight="true" outlineLevel="0" collapsed="false">
      <c r="B6" s="9" t="s">
        <v>564</v>
      </c>
      <c r="C6" s="37"/>
      <c r="D6" s="30" t="s">
        <v>236</v>
      </c>
      <c r="E6" s="38" t="s">
        <v>565</v>
      </c>
      <c r="F6" s="39" t="n">
        <v>0.02</v>
      </c>
      <c r="G6" s="40" t="str">
        <f aca="false">IF(ISBLANK(C6),IF(Fill_Example="Yes",F6,""),C6)</f>
        <v/>
      </c>
    </row>
    <row r="7" customFormat="false" ht="27.75" hidden="false" customHeight="true" outlineLevel="0" collapsed="false">
      <c r="B7" s="56" t="s">
        <v>566</v>
      </c>
      <c r="C7" s="56"/>
      <c r="D7" s="56"/>
      <c r="E7" s="56"/>
    </row>
    <row r="9" customFormat="false" ht="15" hidden="false" customHeight="true" outlineLevel="0" collapsed="false">
      <c r="B9" s="15" t="s">
        <v>219</v>
      </c>
      <c r="C9" s="27" t="s">
        <v>220</v>
      </c>
      <c r="D9" s="27" t="s">
        <v>221</v>
      </c>
      <c r="E9" s="27" t="s">
        <v>222</v>
      </c>
      <c r="F9" s="28" t="s">
        <v>223</v>
      </c>
      <c r="G9" s="16"/>
    </row>
    <row r="10" customFormat="false" ht="15" hidden="false" customHeight="true" outlineLevel="0" collapsed="false">
      <c r="B10" s="9" t="s">
        <v>567</v>
      </c>
      <c r="C10" s="29"/>
      <c r="D10" s="30" t="s">
        <v>225</v>
      </c>
      <c r="E10" s="31" t="s">
        <v>568</v>
      </c>
      <c r="F10" s="32" t="n">
        <v>15000</v>
      </c>
      <c r="G10" s="33" t="str">
        <f aca="false">IF(ISBLANK(C10),IF(Fill_Example="Yes",F10,""),C10)</f>
        <v/>
      </c>
    </row>
    <row r="11" customFormat="false" ht="15" hidden="false" customHeight="true" outlineLevel="0" collapsed="false">
      <c r="B11" s="9" t="s">
        <v>569</v>
      </c>
      <c r="C11" s="41"/>
      <c r="D11" s="30" t="s">
        <v>238</v>
      </c>
      <c r="E11" s="31" t="s">
        <v>242</v>
      </c>
      <c r="F11" s="42" t="n">
        <v>3</v>
      </c>
      <c r="G11" s="43" t="str">
        <f aca="false">IF(ISBLANK(C11),IF(Fill_Example="Yes",F11,""),C11)</f>
        <v/>
      </c>
    </row>
    <row r="12" customFormat="false" ht="15" hidden="false" customHeight="true" outlineLevel="0" collapsed="false">
      <c r="B12" s="9" t="s">
        <v>292</v>
      </c>
      <c r="C12" s="29"/>
      <c r="D12" s="30" t="s">
        <v>225</v>
      </c>
      <c r="E12" s="31" t="s">
        <v>570</v>
      </c>
      <c r="F12" s="32" t="n">
        <v>2000</v>
      </c>
      <c r="G12" s="33" t="str">
        <f aca="false">IF(ISBLANK(C12),IF(Fill_Example="Yes",F12,""),C12)</f>
        <v/>
      </c>
    </row>
    <row r="13" customFormat="false" ht="21.75" hidden="false" customHeight="true" outlineLevel="0" collapsed="false">
      <c r="B13" s="9" t="s">
        <v>571</v>
      </c>
      <c r="C13" s="37"/>
      <c r="D13" s="30" t="s">
        <v>236</v>
      </c>
      <c r="E13" s="38" t="s">
        <v>572</v>
      </c>
      <c r="F13" s="39" t="n">
        <v>0.01</v>
      </c>
      <c r="G13" s="40" t="str">
        <f aca="false">IF(ISBLANK(C13),IF(Fill_Example="Yes",F13,""),C13)</f>
        <v/>
      </c>
    </row>
    <row r="15" customFormat="false" ht="15" hidden="false" customHeight="true" outlineLevel="0" collapsed="false">
      <c r="B15" s="15" t="s">
        <v>245</v>
      </c>
      <c r="C15" s="27" t="s">
        <v>246</v>
      </c>
      <c r="D15" s="27" t="s">
        <v>247</v>
      </c>
      <c r="E15" s="27" t="s">
        <v>248</v>
      </c>
      <c r="F15" s="16"/>
      <c r="G15" s="16"/>
    </row>
    <row r="16" customFormat="false" ht="17.25" hidden="false" customHeight="true" outlineLevel="0" collapsed="false">
      <c r="B16" s="24" t="s">
        <v>573</v>
      </c>
      <c r="C16" s="44" t="str">
        <f aca="false">IF(Need_1&lt;&gt;"",Need_1,IF(Inflation_Choice="","Choose your inflation rate to see this",PMT(Monthly_Growth,Years*12,0,-Still_Needed)))</f>
        <v>Choose your inflation rate to see this</v>
      </c>
      <c r="D16" s="30" t="s">
        <v>225</v>
      </c>
      <c r="E16" s="45" t="s">
        <v>574</v>
      </c>
    </row>
    <row r="17" customFormat="false" ht="17.25" hidden="false" customHeight="true" outlineLevel="0" collapsed="false">
      <c r="B17" s="24" t="s">
        <v>575</v>
      </c>
      <c r="C17" s="44" t="str">
        <f aca="false">IF(Need_2&lt;&gt;"",Need_2,IF(Inflation_Choice="","Choose your inflation rate to see this",Goal_Amount*(1+Inflation_Choice)^Years))</f>
        <v>Choose your inflation rate to see this</v>
      </c>
      <c r="D17" s="30" t="s">
        <v>225</v>
      </c>
      <c r="E17" s="45" t="s">
        <v>576</v>
      </c>
    </row>
    <row r="18" customFormat="false" ht="15" hidden="false" customHeight="true" outlineLevel="0" collapsed="false">
      <c r="B18" s="9" t="s">
        <v>577</v>
      </c>
      <c r="C18" s="46" t="str">
        <f aca="false">IF(Need_3&lt;&gt;"",Need_3,Saved*(1+Growth_Rate)^Years)</f>
        <v>Choose your years until the goal to see this</v>
      </c>
      <c r="D18" s="30" t="s">
        <v>225</v>
      </c>
      <c r="E18" s="45" t="s">
        <v>578</v>
      </c>
    </row>
    <row r="19" customFormat="false" ht="15" hidden="false" customHeight="true" outlineLevel="0" collapsed="false">
      <c r="B19" s="9" t="s">
        <v>579</v>
      </c>
      <c r="C19" s="46" t="str">
        <f aca="false">IF(Need_1&lt;&gt;"",Need_1,IF(Inflation_Choice="","Choose your inflation rate to see this",MAX(0,Future_Cost-Saved_Grows_To)))</f>
        <v>Choose your inflation rate to see this</v>
      </c>
      <c r="D19" s="30" t="s">
        <v>225</v>
      </c>
      <c r="E19" s="45" t="s">
        <v>580</v>
      </c>
    </row>
    <row r="20" customFormat="false" ht="15" hidden="false" customHeight="true" outlineLevel="0" collapsed="false">
      <c r="B20" s="9" t="s">
        <v>581</v>
      </c>
      <c r="C20" s="67" t="str">
        <f aca="false">IF(Need_4&lt;&gt;"",Need_4,(1+Growth_Rate)^(1/12)-1)</f>
        <v>Choose your growth rate to see this</v>
      </c>
      <c r="D20" s="30"/>
      <c r="E20" s="45" t="s">
        <v>582</v>
      </c>
    </row>
    <row r="21" customFormat="false" ht="15" hidden="false" customHeight="true" outlineLevel="0" collapsed="false">
      <c r="B21" s="71"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71"/>
      <c r="D21" s="71"/>
      <c r="E21" s="71"/>
    </row>
    <row r="23" customFormat="false" ht="15" hidden="false" customHeight="true" outlineLevel="0" collapsed="false">
      <c r="B23" s="15" t="s">
        <v>278</v>
      </c>
      <c r="C23" s="16"/>
      <c r="D23" s="16"/>
      <c r="E23" s="16"/>
      <c r="F23" s="16"/>
      <c r="G23" s="16"/>
    </row>
    <row r="24" customFormat="false" ht="13.5" hidden="false" customHeight="true" outlineLevel="0" collapsed="false">
      <c r="B24" s="49" t="s">
        <v>583</v>
      </c>
      <c r="C24" s="49"/>
      <c r="D24" s="49"/>
      <c r="E24" s="49"/>
    </row>
    <row r="25" customFormat="false" ht="13.5" hidden="false" customHeight="true" outlineLevel="0" collapsed="false">
      <c r="B25" s="49" t="s">
        <v>584</v>
      </c>
      <c r="C25" s="49"/>
      <c r="D25" s="49"/>
      <c r="E25" s="49"/>
    </row>
    <row r="26" customFormat="false" ht="13.5" hidden="false" customHeight="true" outlineLevel="0" collapsed="false">
      <c r="B26" s="49" t="s">
        <v>585</v>
      </c>
      <c r="C26" s="49"/>
      <c r="D26" s="49"/>
      <c r="E26" s="49"/>
    </row>
    <row r="27" customFormat="false" ht="13.5" hidden="false" customHeight="true" outlineLevel="0" collapsed="false">
      <c r="B27" s="50" t="s">
        <v>282</v>
      </c>
      <c r="C27" s="50"/>
      <c r="D27" s="50"/>
      <c r="E27" s="50"/>
    </row>
    <row r="28" customFormat="false" ht="13.5" hidden="false" customHeight="true" outlineLevel="0" collapsed="false">
      <c r="B28" s="49" t="s">
        <v>586</v>
      </c>
      <c r="C28" s="49"/>
      <c r="D28" s="49"/>
      <c r="E28" s="49"/>
    </row>
    <row r="29" customFormat="false" ht="13.5" hidden="false" customHeight="true" outlineLevel="0" collapsed="false">
      <c r="B29" s="49" t="s">
        <v>587</v>
      </c>
      <c r="C29" s="49"/>
      <c r="D29" s="49"/>
      <c r="E29" s="49"/>
    </row>
    <row r="31" customFormat="false" ht="15" hidden="false" customHeight="true" outlineLevel="0" collapsed="false">
      <c r="B31" s="15" t="s">
        <v>287</v>
      </c>
      <c r="C31" s="16"/>
      <c r="D31" s="16"/>
      <c r="E31" s="16"/>
      <c r="F31" s="16"/>
      <c r="G31" s="16"/>
    </row>
    <row r="32" customFormat="false" ht="15" hidden="false" customHeight="true" outlineLevel="0" collapsed="false">
      <c r="B32" s="9" t="s">
        <v>288</v>
      </c>
      <c r="C32" s="51" t="str">
        <f aca="false">"My goal (spend goal)"</f>
        <v>My goal (spend goal)</v>
      </c>
      <c r="E32" s="52" t="s">
        <v>588</v>
      </c>
    </row>
    <row r="33" customFormat="false" ht="15" hidden="false" customHeight="true" outlineLevel="0" collapsed="false">
      <c r="B33" s="9" t="s">
        <v>589</v>
      </c>
      <c r="C33" s="53" t="str">
        <f aca="false">IF(Need_5&lt;&gt;"",Need_5,Goal_Amount)</f>
        <v>Choose your goal amount to see this</v>
      </c>
      <c r="E33" s="52" t="s">
        <v>590</v>
      </c>
    </row>
    <row r="34" customFormat="false" ht="15" hidden="false" customHeight="true" outlineLevel="0" collapsed="false">
      <c r="B34" s="9" t="s">
        <v>292</v>
      </c>
      <c r="C34" s="53" t="str">
        <f aca="false">IF(Need_6&lt;&gt;"",Need_6,Saved)</f>
        <v>Choose your already saved to see this</v>
      </c>
      <c r="E34" s="52" t="s">
        <v>404</v>
      </c>
    </row>
    <row r="35" customFormat="false" ht="15" hidden="false" customHeight="true" outlineLevel="0" collapsed="false">
      <c r="B35" s="9" t="s">
        <v>294</v>
      </c>
      <c r="C35" s="54" t="str">
        <f aca="false">IF(Need_7&lt;&gt;"",Need_7,Years)</f>
        <v>Choose your years until the goal to see this</v>
      </c>
      <c r="E35" s="52" t="s">
        <v>591</v>
      </c>
    </row>
    <row r="36" customFormat="false" ht="15" hidden="false" customHeight="true" outlineLevel="0" collapsed="false">
      <c r="B36" s="9" t="s">
        <v>592</v>
      </c>
      <c r="C36" s="72" t="str">
        <f aca="false">IF(Inflation_Choice="","Choose an inflation rate first",Inflation_Choice)</f>
        <v>Choose an inflation rate first</v>
      </c>
      <c r="E36" s="52" t="s">
        <v>593</v>
      </c>
    </row>
    <row r="38" customFormat="false" ht="15" hidden="false" customHeight="true" outlineLevel="0" collapsed="false">
      <c r="B38" s="15" t="s">
        <v>296</v>
      </c>
      <c r="C38" s="16"/>
      <c r="D38" s="16"/>
      <c r="E38" s="16"/>
      <c r="F38" s="16"/>
      <c r="G38" s="16"/>
    </row>
    <row r="39" customFormat="false" ht="15" hidden="false" customHeight="true" outlineLevel="0" collapsed="false">
      <c r="B39" s="55" t="s">
        <v>594</v>
      </c>
      <c r="C39" s="55" t="str">
        <f aca="false">IF(Inflation_Choice="","Choose your inflation rate to see this",IF(Goal_Amount="","Choose your goal amount to see this",IF(Years="","Choose your years until the goal to see this",IF(Saved="","Choose your already saved to see this",IF(Growth_Rate="","Choose your growth rate to see this","")))))</f>
        <v>Choose your inflation rate to see this</v>
      </c>
    </row>
    <row r="40" customFormat="false" ht="15" hidden="false" customHeight="true" outlineLevel="0" collapsed="false">
      <c r="B40" s="55" t="s">
        <v>595</v>
      </c>
      <c r="C40" s="55" t="str">
        <f aca="false">IF(Inflation_Choice="","Choose your inflation rate to see this",IF(Goal_Amount="","Choose your goal amount to see this",IF(Years="","Choose your years until the goal to see this","")))</f>
        <v>Choose your inflation rate to see this</v>
      </c>
    </row>
    <row r="41" customFormat="false" ht="15" hidden="false" customHeight="true" outlineLevel="0" collapsed="false">
      <c r="B41" s="55" t="s">
        <v>596</v>
      </c>
      <c r="C41" s="55" t="str">
        <f aca="false">IF(Years="","Choose your years until the goal to see this",IF(Saved="","Choose your already saved to see this",IF(Growth_Rate="","Choose your growth rate to see this","")))</f>
        <v>Choose your years until the goal to see this</v>
      </c>
    </row>
    <row r="42" customFormat="false" ht="15" hidden="false" customHeight="true" outlineLevel="0" collapsed="false">
      <c r="B42" s="55" t="s">
        <v>597</v>
      </c>
      <c r="C42" s="55" t="str">
        <f aca="false">IF(Growth_Rate="","Choose your growth rate to see this","")</f>
        <v>Choose your growth rate to see this</v>
      </c>
    </row>
    <row r="43" customFormat="false" ht="15" hidden="false" customHeight="true" outlineLevel="0" collapsed="false">
      <c r="B43" s="55" t="s">
        <v>598</v>
      </c>
      <c r="C43" s="55" t="str">
        <f aca="false">IF(Goal_Amount="","Choose your goal amount to see this","")</f>
        <v>Choose your goal amount to see this</v>
      </c>
    </row>
    <row r="44" customFormat="false" ht="15" hidden="false" customHeight="true" outlineLevel="0" collapsed="false">
      <c r="B44" s="55" t="s">
        <v>599</v>
      </c>
      <c r="C44" s="55" t="str">
        <f aca="false">IF(Saved="","Choose your already saved to see this","")</f>
        <v>Choose your already saved to see this</v>
      </c>
    </row>
    <row r="45" customFormat="false" ht="15" hidden="false" customHeight="true" outlineLevel="0" collapsed="false">
      <c r="B45" s="55" t="s">
        <v>600</v>
      </c>
      <c r="C45" s="55" t="str">
        <f aca="false">IF(Years="","Choose your years until the goal to see this","")</f>
        <v>Choose your years until the goal to see this</v>
      </c>
    </row>
  </sheetData>
  <mergeCells count="8">
    <mergeCell ref="B7:E7"/>
    <mergeCell ref="B21:E21"/>
    <mergeCell ref="B24:E24"/>
    <mergeCell ref="B25:E25"/>
    <mergeCell ref="B26:E26"/>
    <mergeCell ref="B27:E27"/>
    <mergeCell ref="B28:E28"/>
    <mergeCell ref="B29:E29"/>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500 to €5,000,000 · steps of €500." errorStyle="stop" errorTitle="Outside the allowed range" operator="between" prompt="Your own figure.  Allowed: €500 to €5,000,000 · steps of €500." promptTitle="Goal amount (today's prices)" showDropDown="false" showErrorMessage="true" showInputMessage="true" sqref="C10" type="decimal">
      <formula1>500</formula1>
      <formula2>5000000</formula2>
    </dataValidation>
    <dataValidation allowBlank="true" error="Please enter 1 to 30 · steps of 1." errorStyle="stop" errorTitle="Outside the allowed range" operator="between" prompt="Your own figure.  Allowed: 1 to 30 · steps of 1." promptTitle="Years until the goal" showDropDown="false" showErrorMessage="true" showInputMessage="true" sqref="C11" type="whole">
      <formula1>1</formula1>
      <formula2>30</formula2>
    </dataValidation>
    <dataValidation allowBlank="true" error="Please enter €0 to €2,000,000 · steps of €500." errorStyle="stop" errorTitle="Outside the allowed range" operator="between" prompt="Your own figure.  Allowed: €0 to €2,000,000 · steps of €500." promptTitle="Already saved" showDropDown="false" showErrorMessage="true" showInputMessage="true" sqref="C12" type="decimal">
      <formula1>0</formula1>
      <formula2>2000000</formula2>
    </dataValidation>
    <dataValidation allowBlank="true" error="Please enter 0% to 7% · steps of 0.5%." errorStyle="stop" errorTitle="Outside the allowed range" operator="between" prompt="Generally the standard is 1% a year after DIRT for cash savings (Irish fixed-term deposits about 2% before tax in mid-2026). Choose what you want to use.  Allowed: 0% to 7% · steps of 0.5%." promptTitle="Growth / interest a year (after " showDropDown="false" showErrorMessage="true" showInputMessage="true" sqref="C13" type="decimal">
      <formula1>0</formula1>
      <formula2>0.07</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3" t="s">
        <v>601</v>
      </c>
      <c r="E1" s="3" t="s">
        <v>602</v>
      </c>
    </row>
    <row r="2" customFormat="false" ht="15" hidden="false" customHeight="true" outlineLevel="0" collapsed="false">
      <c r="B2" s="24" t="s">
        <v>603</v>
      </c>
      <c r="E2" s="25"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6" t="s">
        <v>604</v>
      </c>
    </row>
    <row r="5" customFormat="false" ht="15" hidden="false" customHeight="true" outlineLevel="0" collapsed="false">
      <c r="B5" s="15" t="s">
        <v>563</v>
      </c>
      <c r="C5" s="27" t="s">
        <v>220</v>
      </c>
      <c r="D5" s="27" t="s">
        <v>221</v>
      </c>
      <c r="E5" s="27" t="s">
        <v>222</v>
      </c>
      <c r="F5" s="28" t="s">
        <v>223</v>
      </c>
      <c r="G5" s="16"/>
    </row>
    <row r="6" customFormat="false" ht="21.75" hidden="false" customHeight="true" outlineLevel="0" collapsed="false">
      <c r="B6" s="9" t="s">
        <v>564</v>
      </c>
      <c r="C6" s="37"/>
      <c r="D6" s="30" t="s">
        <v>236</v>
      </c>
      <c r="E6" s="38" t="s">
        <v>565</v>
      </c>
      <c r="F6" s="39" t="n">
        <v>0.02</v>
      </c>
      <c r="G6" s="40" t="str">
        <f aca="false">IF(ISBLANK(C6),IF(Fill_Example="Yes",F6,""),C6)</f>
        <v/>
      </c>
    </row>
    <row r="7" customFormat="false" ht="27.75" hidden="false" customHeight="true" outlineLevel="0" collapsed="false">
      <c r="B7" s="56" t="s">
        <v>566</v>
      </c>
      <c r="C7" s="56"/>
      <c r="D7" s="56"/>
      <c r="E7" s="56"/>
    </row>
    <row r="9" customFormat="false" ht="15" hidden="false" customHeight="true" outlineLevel="0" collapsed="false">
      <c r="B9" s="15" t="s">
        <v>219</v>
      </c>
      <c r="C9" s="27" t="s">
        <v>220</v>
      </c>
      <c r="D9" s="27" t="s">
        <v>221</v>
      </c>
      <c r="E9" s="27" t="s">
        <v>222</v>
      </c>
      <c r="F9" s="28" t="s">
        <v>223</v>
      </c>
      <c r="G9" s="16"/>
    </row>
    <row r="10" customFormat="false" ht="15" hidden="false" customHeight="true" outlineLevel="0" collapsed="false">
      <c r="B10" s="9" t="s">
        <v>605</v>
      </c>
      <c r="C10" s="29"/>
      <c r="D10" s="30" t="s">
        <v>225</v>
      </c>
      <c r="E10" s="31" t="s">
        <v>570</v>
      </c>
      <c r="F10" s="32" t="n">
        <v>5000</v>
      </c>
      <c r="G10" s="33" t="str">
        <f aca="false">IF(ISBLANK(C10),IF(Fill_Example="Yes",F10,""),C10)</f>
        <v/>
      </c>
    </row>
    <row r="11" customFormat="false" ht="15" hidden="false" customHeight="true" outlineLevel="0" collapsed="false">
      <c r="B11" s="9" t="s">
        <v>606</v>
      </c>
      <c r="C11" s="29"/>
      <c r="D11" s="30" t="s">
        <v>225</v>
      </c>
      <c r="E11" s="31" t="s">
        <v>607</v>
      </c>
      <c r="F11" s="32" t="n">
        <v>200</v>
      </c>
      <c r="G11" s="33" t="str">
        <f aca="false">IF(ISBLANK(C11),IF(Fill_Example="Yes",F11,""),C11)</f>
        <v/>
      </c>
    </row>
    <row r="12" customFormat="false" ht="21.75" hidden="false" customHeight="true" outlineLevel="0" collapsed="false">
      <c r="B12" s="9" t="s">
        <v>608</v>
      </c>
      <c r="C12" s="37"/>
      <c r="D12" s="30" t="s">
        <v>236</v>
      </c>
      <c r="E12" s="38" t="s">
        <v>609</v>
      </c>
      <c r="F12" s="39" t="n">
        <v>0.05</v>
      </c>
      <c r="G12" s="40" t="str">
        <f aca="false">IF(ISBLANK(C12),IF(Fill_Example="Yes",F12,""),C12)</f>
        <v/>
      </c>
    </row>
    <row r="13" customFormat="false" ht="15" hidden="false" customHeight="true" outlineLevel="0" collapsed="false">
      <c r="B13" s="9" t="s">
        <v>610</v>
      </c>
      <c r="C13" s="41"/>
      <c r="D13" s="30" t="s">
        <v>238</v>
      </c>
      <c r="E13" s="31" t="s">
        <v>611</v>
      </c>
      <c r="F13" s="42" t="n">
        <v>20</v>
      </c>
      <c r="G13" s="43" t="str">
        <f aca="false">IF(ISBLANK(C13),IF(Fill_Example="Yes",F13,""),C13)</f>
        <v/>
      </c>
    </row>
    <row r="15" customFormat="false" ht="15" hidden="false" customHeight="true" outlineLevel="0" collapsed="false">
      <c r="B15" s="15" t="s">
        <v>245</v>
      </c>
      <c r="C15" s="27" t="s">
        <v>246</v>
      </c>
      <c r="D15" s="27" t="s">
        <v>247</v>
      </c>
      <c r="E15" s="27" t="s">
        <v>248</v>
      </c>
      <c r="F15" s="16"/>
      <c r="G15" s="16"/>
    </row>
    <row r="16" customFormat="false" ht="17.25" hidden="false" customHeight="true" outlineLevel="0" collapsed="false">
      <c r="B16" s="24" t="s">
        <v>612</v>
      </c>
      <c r="C16" s="44" t="str">
        <f aca="false">IF(Need_1&lt;&gt;"",Need_1,FV(Monthly_Growth,Years*12,-Monthly_Addition,-Starting_Amount))</f>
        <v>Choose your starting amount to see this</v>
      </c>
      <c r="D16" s="30" t="s">
        <v>225</v>
      </c>
      <c r="E16" s="45" t="s">
        <v>613</v>
      </c>
    </row>
    <row r="17" customFormat="false" ht="17.25" hidden="false" customHeight="true" outlineLevel="0" collapsed="false">
      <c r="B17" s="24" t="s">
        <v>614</v>
      </c>
      <c r="C17" s="44" t="str">
        <f aca="false">IF(Need_2&lt;&gt;"",Need_2,IF(Inflation_Choice="","Choose your inflation rate to see this",Grows_To/(1+Inflation_Choice)^Years))</f>
        <v>Choose your inflation rate to see this</v>
      </c>
      <c r="D17" s="30" t="s">
        <v>225</v>
      </c>
      <c r="E17" s="45" t="s">
        <v>615</v>
      </c>
    </row>
    <row r="18" customFormat="false" ht="15" hidden="false" customHeight="true" outlineLevel="0" collapsed="false">
      <c r="B18" s="9" t="s">
        <v>616</v>
      </c>
      <c r="C18" s="46" t="str">
        <f aca="false">IF(Need_3&lt;&gt;"",Need_3,Starting_Amount+Monthly_Addition*12*Years)</f>
        <v>Choose your starting amount to see this</v>
      </c>
      <c r="D18" s="30" t="s">
        <v>225</v>
      </c>
      <c r="E18" s="45" t="s">
        <v>617</v>
      </c>
    </row>
    <row r="19" customFormat="false" ht="15" hidden="false" customHeight="true" outlineLevel="0" collapsed="false">
      <c r="B19" s="9" t="s">
        <v>618</v>
      </c>
      <c r="C19" s="46" t="str">
        <f aca="false">IF(Need_1&lt;&gt;"",Need_1,Grows_To-Paid_In)</f>
        <v>Choose your starting amount to see this</v>
      </c>
      <c r="D19" s="30" t="s">
        <v>225</v>
      </c>
      <c r="E19" s="45" t="s">
        <v>619</v>
      </c>
    </row>
    <row r="20" customFormat="false" ht="15" hidden="false" customHeight="true" outlineLevel="0" collapsed="false">
      <c r="B20" s="9" t="s">
        <v>581</v>
      </c>
      <c r="C20" s="67" t="str">
        <f aca="false">IF(Need_4&lt;&gt;"",Need_4,(1+Growth_Rate)^(1/12)-1)</f>
        <v>Choose your growth rate to see this</v>
      </c>
      <c r="D20" s="30"/>
      <c r="E20" s="45" t="s">
        <v>582</v>
      </c>
    </row>
    <row r="21" customFormat="false" ht="15" hidden="false" customHeight="true" outlineLevel="0" collapsed="false">
      <c r="B21" s="71"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71"/>
      <c r="D21" s="71"/>
      <c r="E21" s="71"/>
    </row>
    <row r="23" customFormat="false" ht="15" hidden="false" customHeight="true" outlineLevel="0" collapsed="false">
      <c r="B23" s="15" t="s">
        <v>278</v>
      </c>
      <c r="C23" s="16"/>
      <c r="D23" s="16"/>
      <c r="E23" s="16"/>
      <c r="F23" s="16"/>
      <c r="G23" s="16"/>
    </row>
    <row r="24" customFormat="false" ht="27.75" hidden="false" customHeight="true" outlineLevel="0" collapsed="false">
      <c r="B24" s="49" t="s">
        <v>620</v>
      </c>
      <c r="C24" s="49"/>
      <c r="D24" s="49"/>
      <c r="E24" s="49"/>
    </row>
    <row r="25" customFormat="false" ht="13.5" hidden="false" customHeight="true" outlineLevel="0" collapsed="false">
      <c r="B25" s="49" t="s">
        <v>621</v>
      </c>
      <c r="C25" s="49"/>
      <c r="D25" s="49"/>
      <c r="E25" s="49"/>
    </row>
    <row r="26" customFormat="false" ht="13.5" hidden="false" customHeight="true" outlineLevel="0" collapsed="false">
      <c r="B26" s="50" t="s">
        <v>282</v>
      </c>
      <c r="C26" s="50"/>
      <c r="D26" s="50"/>
      <c r="E26" s="50"/>
    </row>
    <row r="27" customFormat="false" ht="13.5" hidden="false" customHeight="true" outlineLevel="0" collapsed="false">
      <c r="B27" s="49" t="s">
        <v>622</v>
      </c>
      <c r="C27" s="49"/>
      <c r="D27" s="49"/>
      <c r="E27" s="49"/>
    </row>
    <row r="28" customFormat="false" ht="13.5" hidden="false" customHeight="true" outlineLevel="0" collapsed="false">
      <c r="B28" s="49" t="s">
        <v>623</v>
      </c>
      <c r="C28" s="49"/>
      <c r="D28" s="49"/>
      <c r="E28" s="49"/>
    </row>
    <row r="30" customFormat="false" ht="15" hidden="false" customHeight="true" outlineLevel="0" collapsed="false">
      <c r="B30" s="15" t="s">
        <v>287</v>
      </c>
      <c r="C30" s="16"/>
      <c r="D30" s="16"/>
      <c r="E30" s="16"/>
      <c r="F30" s="16"/>
      <c r="G30" s="16"/>
    </row>
    <row r="31" customFormat="false" ht="15" hidden="false" customHeight="true" outlineLevel="0" collapsed="false">
      <c r="B31" s="9" t="s">
        <v>288</v>
      </c>
      <c r="C31" s="51" t="str">
        <f aca="false">"Grow my wealth (plan kind pot)"</f>
        <v>Grow my wealth (plan kind pot)</v>
      </c>
      <c r="E31" s="52" t="s">
        <v>624</v>
      </c>
    </row>
    <row r="32" customFormat="false" ht="15" hidden="false" customHeight="true" outlineLevel="0" collapsed="false">
      <c r="B32" s="9" t="s">
        <v>625</v>
      </c>
      <c r="C32" s="53" t="str">
        <f aca="false">IF(Need_1&lt;&gt;"",Need_1,IF(Inflation_Choice="","Choose an inflation rate first",ROUND(Value_Today,0)))</f>
        <v>Choose your starting amount to see this</v>
      </c>
      <c r="E32" s="52" t="s">
        <v>626</v>
      </c>
    </row>
    <row r="33" customFormat="false" ht="15" hidden="false" customHeight="true" outlineLevel="0" collapsed="false">
      <c r="B33" s="9" t="s">
        <v>294</v>
      </c>
      <c r="C33" s="54" t="str">
        <f aca="false">IF(Need_5&lt;&gt;"",Need_5,Years)</f>
        <v>Choose your years to see this</v>
      </c>
      <c r="E33" s="52" t="s">
        <v>591</v>
      </c>
    </row>
    <row r="34" customFormat="false" ht="15" hidden="false" customHeight="true" outlineLevel="0" collapsed="false">
      <c r="B34" s="9" t="s">
        <v>592</v>
      </c>
      <c r="C34" s="72" t="str">
        <f aca="false">IF(Inflation_Choice="","Choose an inflation rate first",Inflation_Choice)</f>
        <v>Choose an inflation rate first</v>
      </c>
      <c r="E34" s="52" t="s">
        <v>593</v>
      </c>
    </row>
    <row r="35" customFormat="false" ht="13.5" hidden="false" customHeight="true" outlineLevel="0" collapsed="false">
      <c r="B35" s="56" t="s">
        <v>627</v>
      </c>
      <c r="C35" s="56"/>
      <c r="D35" s="56"/>
      <c r="E35" s="56"/>
    </row>
    <row r="37" customFormat="false" ht="15" hidden="false" customHeight="true" outlineLevel="0" collapsed="false">
      <c r="B37" s="15" t="s">
        <v>296</v>
      </c>
      <c r="C37" s="16"/>
      <c r="D37" s="16"/>
      <c r="E37" s="16"/>
      <c r="F37" s="16"/>
      <c r="G37" s="16"/>
    </row>
    <row r="38" customFormat="false" ht="15" hidden="false" customHeight="true" outlineLevel="0" collapsed="false">
      <c r="B38" s="55" t="s">
        <v>628</v>
      </c>
      <c r="C38" s="55" t="str">
        <f aca="false">IF(Starting_Amount="","Choose your starting amount to see this",IF(Monthly_Addition="","Choose your monthly addition to see this",IF(Growth_Rate="","Choose your growth rate to see this",IF(Years="","Choose your years to see this",""))))</f>
        <v>Choose your starting amount to see this</v>
      </c>
    </row>
    <row r="39" customFormat="false" ht="15" hidden="false" customHeight="true" outlineLevel="0" collapsed="false">
      <c r="B39" s="55" t="s">
        <v>629</v>
      </c>
      <c r="C39" s="55" t="str">
        <f aca="false">IF(Inflation_Choice="","Choose your inflation rate to see this",IF(Starting_Amount="","Choose your starting amount to see this",IF(Monthly_Addition="","Choose your monthly addition to see this",IF(Growth_Rate="","Choose your growth rate to see this",IF(Years="","Choose your years to see this","")))))</f>
        <v>Choose your inflation rate to see this</v>
      </c>
    </row>
    <row r="40" customFormat="false" ht="15" hidden="false" customHeight="true" outlineLevel="0" collapsed="false">
      <c r="B40" s="55" t="s">
        <v>630</v>
      </c>
      <c r="C40" s="55" t="str">
        <f aca="false">IF(Starting_Amount="","Choose your starting amount to see this",IF(Monthly_Addition="","Choose your monthly addition to see this",IF(Years="","Choose your years to see this","")))</f>
        <v>Choose your starting amount to see this</v>
      </c>
    </row>
    <row r="41" customFormat="false" ht="15" hidden="false" customHeight="true" outlineLevel="0" collapsed="false">
      <c r="B41" s="55" t="s">
        <v>597</v>
      </c>
      <c r="C41" s="55" t="str">
        <f aca="false">IF(Growth_Rate="","Choose your growth rate to see this","")</f>
        <v>Choose your growth rate to see this</v>
      </c>
    </row>
    <row r="42" customFormat="false" ht="15" hidden="false" customHeight="true" outlineLevel="0" collapsed="false">
      <c r="B42" s="55" t="s">
        <v>631</v>
      </c>
      <c r="C42" s="55" t="str">
        <f aca="false">IF(Years="","Choose your years to see this","")</f>
        <v>Choose your years to see this</v>
      </c>
    </row>
  </sheetData>
  <mergeCells count="8">
    <mergeCell ref="B7:E7"/>
    <mergeCell ref="B21:E21"/>
    <mergeCell ref="B24:E24"/>
    <mergeCell ref="B25:E25"/>
    <mergeCell ref="B26:E26"/>
    <mergeCell ref="B27:E27"/>
    <mergeCell ref="B28:E28"/>
    <mergeCell ref="B35:E35"/>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2,000,000 · steps of €500." errorStyle="stop" errorTitle="Outside the allowed range" operator="between" prompt="Your own figure.  Allowed: €0 to €2,000,000 · steps of €500." promptTitle="Starting amount" showDropDown="false" showErrorMessage="true" showInputMessage="true" sqref="C10" type="decimal">
      <formula1>0</formula1>
      <formula2>2000000</formula2>
    </dataValidation>
    <dataValidation allowBlank="true" error="Please enter €0 to €30,000 · steps of €25." errorStyle="stop" errorTitle="Outside the allowed range" operator="between" prompt="Your own figure.  Allowed: €0 to €30,000 · steps of €25." promptTitle="Monthly addition" showDropDown="false" showErrorMessage="true" showInputMessage="true" sqref="C11" type="decimal">
      <formula1>0</formula1>
      <formula2>30000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rate a year" showDropDown="false" showErrorMessage="true" showInputMessage="true" sqref="C12" type="decimal">
      <formula1>0</formula1>
      <formula2>0.08</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3" t="s">
        <v>632</v>
      </c>
      <c r="E1" s="3" t="s">
        <v>633</v>
      </c>
    </row>
    <row r="2" customFormat="false" ht="15" hidden="false" customHeight="true" outlineLevel="0" collapsed="false">
      <c r="B2" s="24" t="s">
        <v>634</v>
      </c>
      <c r="E2" s="25"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6" t="s">
        <v>635</v>
      </c>
    </row>
    <row r="5" customFormat="false" ht="15" hidden="false" customHeight="true" outlineLevel="0" collapsed="false">
      <c r="B5" s="15" t="s">
        <v>563</v>
      </c>
      <c r="C5" s="27" t="s">
        <v>220</v>
      </c>
      <c r="D5" s="27" t="s">
        <v>221</v>
      </c>
      <c r="E5" s="27" t="s">
        <v>222</v>
      </c>
      <c r="F5" s="28" t="s">
        <v>223</v>
      </c>
      <c r="G5" s="16"/>
    </row>
    <row r="6" customFormat="false" ht="21.75" hidden="false" customHeight="true" outlineLevel="0" collapsed="false">
      <c r="B6" s="9" t="s">
        <v>564</v>
      </c>
      <c r="C6" s="37"/>
      <c r="D6" s="30" t="s">
        <v>236</v>
      </c>
      <c r="E6" s="38" t="s">
        <v>565</v>
      </c>
      <c r="F6" s="39" t="n">
        <v>0.02</v>
      </c>
      <c r="G6" s="40" t="str">
        <f aca="false">IF(ISBLANK(C6),IF(Fill_Example="Yes",F6,""),C6)</f>
        <v/>
      </c>
    </row>
    <row r="7" customFormat="false" ht="27.75" hidden="false" customHeight="true" outlineLevel="0" collapsed="false">
      <c r="B7" s="56" t="s">
        <v>566</v>
      </c>
      <c r="C7" s="56"/>
      <c r="D7" s="56"/>
      <c r="E7" s="56"/>
    </row>
    <row r="9" customFormat="false" ht="15" hidden="false" customHeight="true" outlineLevel="0" collapsed="false">
      <c r="B9" s="15" t="s">
        <v>309</v>
      </c>
      <c r="C9" s="16"/>
      <c r="D9" s="16"/>
      <c r="E9" s="16"/>
      <c r="F9" s="16"/>
      <c r="G9" s="16"/>
    </row>
    <row r="10" customFormat="false" ht="27.75" hidden="false" customHeight="true" outlineLevel="0" collapsed="false">
      <c r="B10" s="56" t="s">
        <v>636</v>
      </c>
      <c r="C10" s="56"/>
      <c r="D10" s="56"/>
      <c r="E10" s="56"/>
    </row>
    <row r="11" customFormat="false" ht="15" hidden="false" customHeight="true" outlineLevel="0" collapsed="false">
      <c r="B11" s="9" t="s">
        <v>637</v>
      </c>
      <c r="C11" s="57"/>
      <c r="D11" s="30" t="s">
        <v>225</v>
      </c>
      <c r="E11" s="31" t="s">
        <v>638</v>
      </c>
      <c r="G11" s="55" t="s">
        <v>313</v>
      </c>
    </row>
    <row r="12" customFormat="false" ht="15" hidden="false" customHeight="true" outlineLevel="0" collapsed="false">
      <c r="B12" s="9" t="s">
        <v>639</v>
      </c>
      <c r="C12" s="58"/>
      <c r="D12" s="30" t="s">
        <v>236</v>
      </c>
      <c r="E12" s="31" t="s">
        <v>640</v>
      </c>
      <c r="G12" s="55" t="s">
        <v>313</v>
      </c>
    </row>
    <row r="13" customFormat="false" ht="15" hidden="false" customHeight="true" outlineLevel="0" collapsed="false">
      <c r="B13" s="9" t="s">
        <v>320</v>
      </c>
      <c r="C13" s="60"/>
      <c r="D13" s="30" t="s">
        <v>321</v>
      </c>
      <c r="E13" s="31" t="s">
        <v>322</v>
      </c>
      <c r="G13" s="55" t="s">
        <v>313</v>
      </c>
    </row>
    <row r="15" customFormat="false" ht="15" hidden="false" customHeight="true" outlineLevel="0" collapsed="false">
      <c r="B15" s="15" t="s">
        <v>323</v>
      </c>
      <c r="C15" s="27" t="s">
        <v>220</v>
      </c>
      <c r="D15" s="27" t="s">
        <v>221</v>
      </c>
      <c r="E15" s="27" t="s">
        <v>222</v>
      </c>
      <c r="F15" s="28" t="s">
        <v>223</v>
      </c>
      <c r="G15" s="16"/>
    </row>
    <row r="16" customFormat="false" ht="21.75" hidden="false" customHeight="true" outlineLevel="0" collapsed="false">
      <c r="B16" s="9" t="s">
        <v>641</v>
      </c>
      <c r="C16" s="29"/>
      <c r="D16" s="30" t="s">
        <v>225</v>
      </c>
      <c r="E16" s="31" t="s">
        <v>642</v>
      </c>
      <c r="F16" s="32" t="n">
        <v>10000</v>
      </c>
      <c r="G16" s="33" t="str">
        <f aca="false">IF(ISBLANK(C16),IF(Fill_Example="Yes",F16,""),C16)</f>
        <v/>
      </c>
    </row>
    <row r="17" customFormat="false" ht="21.75" hidden="false" customHeight="true" outlineLevel="0" collapsed="false">
      <c r="B17" s="9" t="s">
        <v>643</v>
      </c>
      <c r="C17" s="37"/>
      <c r="D17" s="30" t="s">
        <v>236</v>
      </c>
      <c r="E17" s="38" t="s">
        <v>609</v>
      </c>
      <c r="F17" s="39" t="n">
        <v>0.05</v>
      </c>
      <c r="G17" s="40" t="str">
        <f aca="false">IF(ISBLANK(C17),IF(Fill_Example="Yes",F17,""),C17)</f>
        <v/>
      </c>
    </row>
    <row r="18" customFormat="false" ht="15" hidden="false" customHeight="true" outlineLevel="0" collapsed="false">
      <c r="B18" s="9" t="s">
        <v>610</v>
      </c>
      <c r="C18" s="41"/>
      <c r="D18" s="30" t="s">
        <v>238</v>
      </c>
      <c r="E18" s="31" t="s">
        <v>611</v>
      </c>
      <c r="F18" s="42" t="n">
        <v>15</v>
      </c>
      <c r="G18" s="43" t="str">
        <f aca="false">IF(ISBLANK(C18),IF(Fill_Example="Yes",F18,""),C18)</f>
        <v/>
      </c>
    </row>
    <row r="19" customFormat="false" ht="21.75" hidden="false" customHeight="true" outlineLevel="0" collapsed="false">
      <c r="B19" s="9" t="s">
        <v>644</v>
      </c>
      <c r="C19" s="37"/>
      <c r="D19" s="30" t="s">
        <v>236</v>
      </c>
      <c r="E19" s="38"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9" s="39" t="n">
        <f aca="false">IF(ISNUMBER(Suggest_Fund_Charges),Suggest_Fund_Charges,"")</f>
        <v>0.01</v>
      </c>
      <c r="G19" s="40" t="str">
        <f aca="false">IF(ISBLANK(C19),IF(Fill_Example="Yes",F19,""),C19)</f>
        <v/>
      </c>
    </row>
    <row r="20" customFormat="false" ht="21.75" hidden="false" customHeight="true" outlineLevel="0" collapsed="false">
      <c r="B20" s="9" t="s">
        <v>645</v>
      </c>
      <c r="C20" s="41"/>
      <c r="D20" s="30" t="s">
        <v>238</v>
      </c>
      <c r="E20" s="38" t="s">
        <v>646</v>
      </c>
      <c r="F20" s="42" t="n">
        <v>5</v>
      </c>
      <c r="G20" s="43" t="str">
        <f aca="false">IF(ISBLANK(C20),IF(Fill_Example="Yes",F20,""),C20)</f>
        <v/>
      </c>
    </row>
    <row r="21" customFormat="false" ht="15" hidden="false" customHeight="true" outlineLevel="0" collapsed="false">
      <c r="B21" s="9" t="s">
        <v>647</v>
      </c>
      <c r="C21" s="34"/>
      <c r="D21" s="30" t="s">
        <v>232</v>
      </c>
      <c r="E21" s="31" t="s">
        <v>648</v>
      </c>
      <c r="F21" s="35" t="s">
        <v>3</v>
      </c>
      <c r="G21" s="36" t="str">
        <f aca="false">IF(ISBLANK(C21),F21,C21)</f>
        <v>No</v>
      </c>
    </row>
    <row r="23" customFormat="false" ht="15" hidden="false" customHeight="true" outlineLevel="0" collapsed="false">
      <c r="B23" s="15" t="s">
        <v>332</v>
      </c>
      <c r="C23" s="16"/>
      <c r="D23" s="16"/>
      <c r="E23" s="16"/>
      <c r="F23" s="16"/>
      <c r="G23" s="16"/>
    </row>
    <row r="24" customFormat="false" ht="15" hidden="false" customHeight="true" outlineLevel="0" collapsed="false">
      <c r="B24" s="9" t="s">
        <v>649</v>
      </c>
      <c r="C24" s="48" t="str">
        <f aca="false">IF(COUNTA(Stmt_Total_Value,Stmt_Charges,Stmt_Statement_Date)&gt;0,"Yes","No")</f>
        <v>No</v>
      </c>
      <c r="D24" s="30"/>
      <c r="E24" s="45" t="s">
        <v>650</v>
      </c>
    </row>
    <row r="25" customFormat="false" ht="15" hidden="false" customHeight="true" outlineLevel="0" collapsed="false">
      <c r="B25" s="9" t="s">
        <v>641</v>
      </c>
      <c r="C25" s="61" t="str">
        <f aca="false">IF(ISBLANK(Stmt_Total_Value),Amount,Stmt_Total_Value)</f>
        <v/>
      </c>
      <c r="D25" s="62" t="str">
        <f aca="false">IF(ISBLANK(Stmt_Total_Value),"Your figure","From your statement")</f>
        <v>Your figure</v>
      </c>
      <c r="E25" s="52" t="s">
        <v>651</v>
      </c>
    </row>
    <row r="26" customFormat="false" ht="15" hidden="false" customHeight="true" outlineLevel="0" collapsed="false">
      <c r="B26" s="9" t="s">
        <v>644</v>
      </c>
      <c r="C26" s="63" t="str">
        <f aca="false">IF(NOT(ISBLANK(Stmt_Charges)),Stmt_Charges,IF(Statement_Uploaded="Yes",0,Yearly_Fees))</f>
        <v/>
      </c>
      <c r="D26" s="62" t="str">
        <f aca="false">IF(NOT(ISBLANK(Stmt_Charges)),"From your statement",IF(Statement_Uploaded="Yes","None shown on your statement","Your figure"))</f>
        <v>Your figure</v>
      </c>
      <c r="E26" s="52" t="s">
        <v>652</v>
      </c>
    </row>
    <row r="27" customFormat="false" ht="21.75" hidden="false" customHeight="true" outlineLevel="0" collapsed="false">
      <c r="B27" s="9" t="s">
        <v>338</v>
      </c>
      <c r="C27" s="48" t="str">
        <f aca="true">IF(ISBLANK(Stmt_Statement_Date),"",IF(TODAY()-Stmt_Statement_Date&gt;Statement_Max_Age_Days,"Needs a look: statement is more than 12 months old","Up to date"))</f>
        <v/>
      </c>
      <c r="D27" s="30"/>
      <c r="E27" s="45" t="s">
        <v>339</v>
      </c>
    </row>
    <row r="29" customFormat="false" ht="15" hidden="false" customHeight="true" outlineLevel="0" collapsed="false">
      <c r="B29" s="15" t="s">
        <v>245</v>
      </c>
      <c r="C29" s="27" t="s">
        <v>246</v>
      </c>
      <c r="D29" s="27" t="s">
        <v>247</v>
      </c>
      <c r="E29" s="27" t="s">
        <v>248</v>
      </c>
      <c r="F29" s="16"/>
      <c r="G29" s="16"/>
    </row>
    <row r="30" customFormat="false" ht="17.25" hidden="false" customHeight="true" outlineLevel="0" collapsed="false">
      <c r="B30" s="24" t="s">
        <v>653</v>
      </c>
      <c r="C30" s="44" t="str">
        <f aca="false">IF(Need_1&lt;&gt;"",Need_1,IF(Adjust_For_Inflation="Yes",Value_Today,Grows_To))</f>
        <v>Choose your growth rate to see this</v>
      </c>
      <c r="D30" s="30" t="s">
        <v>225</v>
      </c>
      <c r="E30" s="45" t="s">
        <v>654</v>
      </c>
    </row>
    <row r="31" customFormat="false" ht="15" hidden="false" customHeight="true" outlineLevel="0" collapsed="false">
      <c r="B31" s="9" t="s">
        <v>655</v>
      </c>
      <c r="C31" s="46" t="str">
        <f aca="false">IF(Need_1&lt;&gt;"",Need_1,Used_Amount*(1+Growth_After_Fees)^Years)</f>
        <v>Choose your growth rate to see this</v>
      </c>
      <c r="D31" s="30" t="s">
        <v>225</v>
      </c>
      <c r="E31" s="45" t="s">
        <v>656</v>
      </c>
    </row>
    <row r="32" customFormat="false" ht="15" hidden="false" customHeight="true" outlineLevel="0" collapsed="false">
      <c r="B32" s="9" t="s">
        <v>614</v>
      </c>
      <c r="C32" s="46" t="str">
        <f aca="false">IF(Need_2&lt;&gt;"",Need_2,IF(Inflation_Choice="","Choose your inflation rate to see this",Grows_To/(1+Inflation_Choice)^Years))</f>
        <v>Choose your inflation rate to see this</v>
      </c>
      <c r="D32" s="30" t="s">
        <v>225</v>
      </c>
      <c r="E32" s="45" t="s">
        <v>615</v>
      </c>
    </row>
    <row r="33" customFormat="false" ht="15" hidden="false" customHeight="true" outlineLevel="0" collapsed="false">
      <c r="B33" s="9" t="s">
        <v>657</v>
      </c>
      <c r="C33" s="46" t="str">
        <f aca="false">IF(Need_3&lt;&gt;"",Need_3,Used_Amount*(1+Growth_After_Fees)^MAX(0,Years-Wait_Years))</f>
        <v>Choose your growth rate to see this</v>
      </c>
      <c r="D33" s="30" t="s">
        <v>225</v>
      </c>
      <c r="E33" s="45" t="s">
        <v>658</v>
      </c>
    </row>
    <row r="34" customFormat="false" ht="21.75" hidden="false" customHeight="true" outlineLevel="0" collapsed="false">
      <c r="B34" s="24" t="s">
        <v>659</v>
      </c>
      <c r="C34" s="44" t="str">
        <f aca="false">IF(Need_3&lt;&gt;"",Need_3,IF(Adjust_For_Inflation="Yes",IF(Inflation_Choice="","Choose your inflation rate to see this",(Grows_To-Value_Start_Later)/(1+Inflation_Choice)^Years),Grows_To-Value_Start_Later))</f>
        <v>Choose your growth rate to see this</v>
      </c>
      <c r="D34" s="30" t="s">
        <v>225</v>
      </c>
      <c r="E34" s="45" t="s">
        <v>660</v>
      </c>
    </row>
    <row r="35" customFormat="false" ht="15" hidden="false" customHeight="true" outlineLevel="0" collapsed="false">
      <c r="B35" s="9" t="s">
        <v>661</v>
      </c>
      <c r="C35" s="46" t="str">
        <f aca="false">IF(Need_1&lt;&gt;"",Need_1,Used_Amount*(1+Growth_Rate)^Years-Grows_To)</f>
        <v>Choose your growth rate to see this</v>
      </c>
      <c r="D35" s="30" t="s">
        <v>225</v>
      </c>
      <c r="E35" s="45" t="s">
        <v>662</v>
      </c>
    </row>
    <row r="36" customFormat="false" ht="15" hidden="false" customHeight="true" outlineLevel="0" collapsed="false">
      <c r="B36" s="9" t="s">
        <v>663</v>
      </c>
      <c r="C36" s="67" t="str">
        <f aca="false">IF(Need_4&lt;&gt;"",Need_4,(1+Growth_Rate)*(1-Used_Yearly_Fees)-1)</f>
        <v>Choose your growth rate to see this</v>
      </c>
      <c r="D36" s="30"/>
      <c r="E36" s="45" t="s">
        <v>664</v>
      </c>
    </row>
    <row r="37" customFormat="false" ht="15" hidden="false" customHeight="true" outlineLevel="0" collapsed="false">
      <c r="B37" s="9" t="s">
        <v>665</v>
      </c>
      <c r="C37" s="67" t="str">
        <f aca="false">IF(Need_5&lt;&gt;"",Need_5,IF(Inflation_Choice="","Choose your inflation rate to see this",(1+Growth_After_Fees)/(1+Inflation_Choice)-1))</f>
        <v>Choose your inflation rate to see this</v>
      </c>
      <c r="D37" s="30"/>
      <c r="E37" s="45" t="s">
        <v>666</v>
      </c>
    </row>
    <row r="38" customFormat="false" ht="15" hidden="false" customHeight="true" outlineLevel="0" collapsed="false">
      <c r="B38" s="71"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8" s="71"/>
      <c r="D38" s="71"/>
      <c r="E38" s="71"/>
    </row>
    <row r="40" customFormat="false" ht="15" hidden="false" customHeight="true" outlineLevel="0" collapsed="false">
      <c r="B40" s="15" t="s">
        <v>278</v>
      </c>
      <c r="C40" s="16"/>
      <c r="D40" s="16"/>
      <c r="E40" s="16"/>
      <c r="F40" s="16"/>
      <c r="G40" s="16"/>
    </row>
    <row r="41" customFormat="false" ht="13.5" hidden="false" customHeight="true" outlineLevel="0" collapsed="false">
      <c r="B41" s="49" t="s">
        <v>667</v>
      </c>
      <c r="C41" s="49"/>
      <c r="D41" s="49"/>
      <c r="E41" s="49"/>
    </row>
    <row r="42" customFormat="false" ht="13.5" hidden="false" customHeight="true" outlineLevel="0" collapsed="false">
      <c r="B42" s="49" t="s">
        <v>668</v>
      </c>
      <c r="C42" s="49"/>
      <c r="D42" s="49"/>
      <c r="E42" s="49"/>
    </row>
    <row r="43" customFormat="false" ht="13.5" hidden="false" customHeight="true" outlineLevel="0" collapsed="false">
      <c r="B43" s="49" t="s">
        <v>669</v>
      </c>
      <c r="C43" s="49"/>
      <c r="D43" s="49"/>
      <c r="E43" s="49"/>
    </row>
    <row r="44" customFormat="false" ht="13.5" hidden="false" customHeight="true" outlineLevel="0" collapsed="false">
      <c r="B44" s="50" t="s">
        <v>282</v>
      </c>
      <c r="C44" s="50"/>
      <c r="D44" s="50"/>
      <c r="E44" s="50"/>
    </row>
    <row r="45" customFormat="false" ht="13.5" hidden="false" customHeight="true" outlineLevel="0" collapsed="false">
      <c r="B45" s="49" t="s">
        <v>670</v>
      </c>
      <c r="C45" s="49"/>
      <c r="D45" s="49"/>
      <c r="E45" s="49"/>
    </row>
    <row r="46" customFormat="false" ht="13.5" hidden="false" customHeight="true" outlineLevel="0" collapsed="false">
      <c r="B46" s="49" t="s">
        <v>671</v>
      </c>
      <c r="C46" s="49"/>
      <c r="D46" s="49"/>
      <c r="E46" s="49"/>
    </row>
    <row r="48" customFormat="false" ht="15" hidden="false" customHeight="true" outlineLevel="0" collapsed="false">
      <c r="B48" s="15" t="s">
        <v>287</v>
      </c>
      <c r="C48" s="16"/>
      <c r="D48" s="16"/>
      <c r="E48" s="16"/>
      <c r="F48" s="16"/>
      <c r="G48" s="16"/>
    </row>
    <row r="49" customFormat="false" ht="15" hidden="false" customHeight="true" outlineLevel="0" collapsed="false">
      <c r="B49" s="9" t="s">
        <v>288</v>
      </c>
      <c r="C49" s="51" t="str">
        <f aca="false">"Grow my wealth (plan kind pot)"</f>
        <v>Grow my wealth (plan kind pot)</v>
      </c>
      <c r="E49" s="52" t="s">
        <v>624</v>
      </c>
    </row>
    <row r="50" customFormat="false" ht="15" hidden="false" customHeight="true" outlineLevel="0" collapsed="false">
      <c r="B50" s="9" t="s">
        <v>625</v>
      </c>
      <c r="C50" s="53" t="str">
        <f aca="false">IF(Need_1&lt;&gt;"",Need_1,IF(Inflation_Choice="","Choose an inflation rate first",ROUND(Value_Today,0)))</f>
        <v>Choose your growth rate to see this</v>
      </c>
      <c r="E50" s="52" t="s">
        <v>626</v>
      </c>
    </row>
    <row r="51" customFormat="false" ht="15" hidden="false" customHeight="true" outlineLevel="0" collapsed="false">
      <c r="B51" s="9" t="s">
        <v>294</v>
      </c>
      <c r="C51" s="54" t="str">
        <f aca="false">IF(Need_6&lt;&gt;"",Need_6,Years)</f>
        <v>Choose your years to see this</v>
      </c>
      <c r="E51" s="52" t="s">
        <v>591</v>
      </c>
    </row>
    <row r="52" customFormat="false" ht="15" hidden="false" customHeight="true" outlineLevel="0" collapsed="false">
      <c r="B52" s="9" t="s">
        <v>592</v>
      </c>
      <c r="C52" s="72" t="str">
        <f aca="false">IF(Inflation_Choice="","Choose an inflation rate first",Inflation_Choice)</f>
        <v>Choose an inflation rate first</v>
      </c>
      <c r="E52" s="52" t="s">
        <v>593</v>
      </c>
    </row>
    <row r="53" customFormat="false" ht="13.5" hidden="false" customHeight="true" outlineLevel="0" collapsed="false">
      <c r="B53" s="56" t="s">
        <v>672</v>
      </c>
      <c r="C53" s="56"/>
      <c r="D53" s="56"/>
      <c r="E53" s="56"/>
    </row>
    <row r="55" customFormat="false" ht="15" hidden="false" customHeight="true" outlineLevel="0" collapsed="false">
      <c r="B55" s="15" t="s">
        <v>296</v>
      </c>
      <c r="C55" s="16"/>
      <c r="D55" s="16"/>
      <c r="E55" s="16"/>
      <c r="F55" s="16"/>
      <c r="G55" s="16"/>
    </row>
    <row r="56" customFormat="false" ht="15" hidden="false" customHeight="true" outlineLevel="0" collapsed="false">
      <c r="B56" s="55" t="s">
        <v>673</v>
      </c>
      <c r="C56" s="55" t="str">
        <f aca="false">IF(Growth_Rate="","Choose your growth rate to see this",IF(Years="","Choose your years to see this",IF(NOT(ISNUMBER(Used_Amount)),IF(Used_Amount="",IF(Amount="","Choose your amount to see this",""),Used_Amount),IF(NOT(ISNUMBER(Used_Yearly_Fees)),IF(Used_Yearly_Fees="",IF(Yearly_Fees="","Choose your yearly fees to see this",""),Used_Yearly_Fees),""))))</f>
        <v>Choose your growth rate to see this</v>
      </c>
    </row>
    <row r="57" customFormat="false" ht="15" hidden="false" customHeight="true" outlineLevel="0" collapsed="false">
      <c r="B57" s="55" t="s">
        <v>674</v>
      </c>
      <c r="C57" s="55" t="str">
        <f aca="false">IF(Inflation_Choice="","Choose your inflation rate to see this",IF(Growth_Rate="","Choose your growth rate to see this",IF(Years="","Choose your years to see this",IF(NOT(ISNUMBER(Used_Amount)),IF(Used_Amount="",IF(Amount="","Choose your amount to see this",""),Used_Amount),IF(NOT(ISNUMBER(Used_Yearly_Fees)),IF(Used_Yearly_Fees="",IF(Yearly_Fees="","Choose your yearly fees to see this",""),Used_Yearly_Fees),"")))))</f>
        <v>Choose your inflation rate to see this</v>
      </c>
    </row>
    <row r="58" customFormat="false" ht="15" hidden="false" customHeight="true" outlineLevel="0" collapsed="false">
      <c r="B58" s="55" t="s">
        <v>675</v>
      </c>
      <c r="C58" s="55" t="str">
        <f aca="false">IF(Growth_Rate="","Choose your growth rate to see this",IF(Years="","Choose your years to see this",IF(Wait_Years="","Choose your years of waiting to see this",IF(NOT(ISNUMBER(Used_Amount)),IF(Used_Amount="",IF(Amount="","Choose your amount to see this",""),Used_Amount),IF(NOT(ISNUMBER(Used_Yearly_Fees)),IF(Used_Yearly_Fees="",IF(Yearly_Fees="","Choose your yearly fees to see this",""),Used_Yearly_Fees),"")))))</f>
        <v>Choose your growth rate to see this</v>
      </c>
    </row>
    <row r="59" customFormat="false" ht="15" hidden="false" customHeight="true" outlineLevel="0" collapsed="false">
      <c r="B59" s="55" t="s">
        <v>676</v>
      </c>
      <c r="C59" s="55" t="str">
        <f aca="false">IF(Growth_Rate="","Choose your growth rate to see this",IF(NOT(ISNUMBER(Used_Yearly_Fees)),IF(Used_Yearly_Fees="",IF(Yearly_Fees="","Choose your yearly fees to see this",""),Used_Yearly_Fees),""))</f>
        <v>Choose your growth rate to see this</v>
      </c>
    </row>
    <row r="60" customFormat="false" ht="15" hidden="false" customHeight="true" outlineLevel="0" collapsed="false">
      <c r="B60" s="55" t="s">
        <v>677</v>
      </c>
      <c r="C60" s="55" t="str">
        <f aca="false">IF(Inflation_Choice="","Choose your inflation rate to see this",IF(Growth_Rate="","Choose your growth rate to see this",IF(NOT(ISNUMBER(Used_Yearly_Fees)),IF(Used_Yearly_Fees="",IF(Yearly_Fees="","Choose your yearly fees to see this",""),Used_Yearly_Fees),"")))</f>
        <v>Choose your inflation rate to see this</v>
      </c>
    </row>
    <row r="61" customFormat="false" ht="15" hidden="false" customHeight="true" outlineLevel="0" collapsed="false">
      <c r="B61" s="55" t="s">
        <v>631</v>
      </c>
      <c r="C61" s="55" t="str">
        <f aca="false">IF(Years="","Choose your years to see this","")</f>
        <v>Choose your years to see this</v>
      </c>
    </row>
    <row r="63" customFormat="false" ht="15" hidden="false" customHeight="true" outlineLevel="0" collapsed="false">
      <c r="B63" s="22" t="s">
        <v>678</v>
      </c>
    </row>
  </sheetData>
  <mergeCells count="10">
    <mergeCell ref="B7:E7"/>
    <mergeCell ref="B10:E10"/>
    <mergeCell ref="B38:E38"/>
    <mergeCell ref="B41:E41"/>
    <mergeCell ref="B42:E42"/>
    <mergeCell ref="B43:E43"/>
    <mergeCell ref="B44:E44"/>
    <mergeCell ref="B45:E45"/>
    <mergeCell ref="B46:E46"/>
    <mergeCell ref="B53:E53"/>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8"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6" type="decimal">
      <formula1>500</formula1>
      <formula2>5000000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rate a year (before fees)" showDropDown="false" showErrorMessage="true" showInputMessage="true" sqref="C17" type="decimal">
      <formula1>0</formula1>
      <formula2>0.08</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05%" promptTitle="Yearly fees" showDropDown="false" showErrorMessage="true" showInputMessage="true" sqref="C19" type="decimal">
      <formula1>0</formula1>
      <formula2>0.03</formula2>
    </dataValidation>
    <dataValidation allowBlank="true" error="Please enter 1 to 20 · steps of 1." errorStyle="stop" errorTitle="Outside the allowed range" operator="between" prompt="Generally the standard is 5 years (an illustration of the cost of waiting). Choose what you want to use.  Allowed: 1 to 10 · steps of 1." promptTitle="Years you might wait before inve" showDropDown="false" showErrorMessage="true" showInputMessage="true" sqref="C20" type="whole">
      <formula1>1</formula1>
      <formula2>20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3" t="s">
        <v>679</v>
      </c>
      <c r="E1" s="3" t="s">
        <v>680</v>
      </c>
    </row>
    <row r="2" customFormat="false" ht="15" hidden="false" customHeight="true" outlineLevel="0" collapsed="false">
      <c r="B2" s="24" t="s">
        <v>681</v>
      </c>
      <c r="E2" s="25"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6" t="s">
        <v>682</v>
      </c>
    </row>
    <row r="5" customFormat="false" ht="15" hidden="false" customHeight="true" outlineLevel="0" collapsed="false">
      <c r="B5" s="15" t="s">
        <v>219</v>
      </c>
      <c r="C5" s="27" t="s">
        <v>220</v>
      </c>
      <c r="D5" s="27" t="s">
        <v>221</v>
      </c>
      <c r="E5" s="27" t="s">
        <v>222</v>
      </c>
      <c r="F5" s="28" t="s">
        <v>223</v>
      </c>
      <c r="G5" s="16"/>
    </row>
    <row r="6" customFormat="false" ht="21.75" hidden="false" customHeight="true" outlineLevel="0" collapsed="false">
      <c r="B6" s="9" t="s">
        <v>683</v>
      </c>
      <c r="C6" s="29"/>
      <c r="D6" s="30" t="s">
        <v>225</v>
      </c>
      <c r="E6" s="31" t="s">
        <v>684</v>
      </c>
      <c r="F6" s="32" t="n">
        <v>2500</v>
      </c>
      <c r="G6" s="33" t="str">
        <f aca="false">IF(ISBLANK(C6),IF(Fill_Example="Yes",F6,""),C6)</f>
        <v/>
      </c>
    </row>
    <row r="7" customFormat="false" ht="21.75" hidden="false" customHeight="true" outlineLevel="0" collapsed="false">
      <c r="B7" s="9" t="s">
        <v>685</v>
      </c>
      <c r="C7" s="41"/>
      <c r="D7" s="30" t="s">
        <v>686</v>
      </c>
      <c r="E7" s="38" t="s">
        <v>687</v>
      </c>
      <c r="F7" s="42" t="n">
        <v>6</v>
      </c>
      <c r="G7" s="43" t="str">
        <f aca="false">IF(ISBLANK(C7),IF(Fill_Example="Yes",F7,""),C7)</f>
        <v/>
      </c>
    </row>
    <row r="8" customFormat="false" ht="15" hidden="false" customHeight="true" outlineLevel="0" collapsed="false">
      <c r="B8" s="9" t="s">
        <v>688</v>
      </c>
      <c r="C8" s="41"/>
      <c r="D8" s="30" t="s">
        <v>238</v>
      </c>
      <c r="E8" s="31" t="s">
        <v>689</v>
      </c>
      <c r="F8" s="42" t="n">
        <v>2</v>
      </c>
      <c r="G8" s="43" t="str">
        <f aca="false">IF(ISBLANK(C8),IF(Fill_Example="Yes",F8,""),C8)</f>
        <v/>
      </c>
    </row>
    <row r="9" customFormat="false" ht="21.75" hidden="false" customHeight="true" outlineLevel="0" collapsed="false">
      <c r="B9" s="9" t="s">
        <v>690</v>
      </c>
      <c r="C9" s="29"/>
      <c r="D9" s="30" t="s">
        <v>225</v>
      </c>
      <c r="E9" s="31" t="s">
        <v>691</v>
      </c>
      <c r="F9" s="32" t="n">
        <v>6250</v>
      </c>
      <c r="G9" s="33" t="str">
        <f aca="false">IF(ISBLANK(C9),IF(Fill_Example="Yes",F9,""),C9)</f>
        <v/>
      </c>
    </row>
    <row r="11" customFormat="false" ht="15" hidden="false" customHeight="true" outlineLevel="0" collapsed="false">
      <c r="B11" s="15" t="s">
        <v>245</v>
      </c>
      <c r="C11" s="27" t="s">
        <v>246</v>
      </c>
      <c r="D11" s="27" t="s">
        <v>247</v>
      </c>
      <c r="E11" s="27" t="s">
        <v>248</v>
      </c>
      <c r="F11" s="16"/>
      <c r="G11" s="16"/>
    </row>
    <row r="12" customFormat="false" ht="23.25" hidden="false" customHeight="true" outlineLevel="0" collapsed="false">
      <c r="B12" s="24" t="s">
        <v>692</v>
      </c>
      <c r="C12" s="73" t="str">
        <f aca="false">IF(Need_1&lt;&gt;"",Need_1,Savings/Essential_Spending)</f>
        <v>Choose your essential monthly spending to see this</v>
      </c>
      <c r="D12" s="66" t="str">
        <f aca="false">IF(Need_1&lt;&gt;"",Need_1,IF(ROUND(Months_Covered,1)=1,"1 month",FIXED(Months_Covered,1)&amp;" months"))</f>
        <v>Choose your essential monthly spending to see this</v>
      </c>
      <c r="E12" s="45" t="s">
        <v>693</v>
      </c>
    </row>
    <row r="13" customFormat="false" ht="17.25" hidden="false" customHeight="true" outlineLevel="0" collapsed="false">
      <c r="B13" s="24" t="s">
        <v>694</v>
      </c>
      <c r="C13" s="44" t="str">
        <f aca="false">IF(Need_2&lt;&gt;"",Need_2,Essential_Spending*Months_Wanted)</f>
        <v>Choose your essential monthly spending to see this</v>
      </c>
      <c r="D13" s="30" t="s">
        <v>225</v>
      </c>
      <c r="E13" s="45" t="s">
        <v>695</v>
      </c>
    </row>
    <row r="14" customFormat="false" ht="17.25" hidden="false" customHeight="true" outlineLevel="0" collapsed="false">
      <c r="B14" s="24" t="s">
        <v>696</v>
      </c>
      <c r="C14" s="44" t="str">
        <f aca="false">IF(Need_3&lt;&gt;"",Need_3,MAX(0,Target-Savings))</f>
        <v>Choose your essential monthly spending to see this</v>
      </c>
      <c r="D14" s="30" t="s">
        <v>225</v>
      </c>
      <c r="E14" s="45" t="s">
        <v>697</v>
      </c>
    </row>
    <row r="16" customFormat="false" ht="15" hidden="false" customHeight="true" outlineLevel="0" collapsed="false">
      <c r="B16" s="15" t="s">
        <v>278</v>
      </c>
      <c r="C16" s="16"/>
      <c r="D16" s="16"/>
      <c r="E16" s="16"/>
      <c r="F16" s="16"/>
      <c r="G16" s="16"/>
    </row>
    <row r="17" customFormat="false" ht="13.5" hidden="false" customHeight="true" outlineLevel="0" collapsed="false">
      <c r="B17" s="49" t="s">
        <v>698</v>
      </c>
      <c r="C17" s="49"/>
      <c r="D17" s="49"/>
      <c r="E17" s="49"/>
    </row>
    <row r="18" customFormat="false" ht="13.5" hidden="false" customHeight="true" outlineLevel="0" collapsed="false">
      <c r="B18" s="50" t="s">
        <v>282</v>
      </c>
      <c r="C18" s="50"/>
      <c r="D18" s="50"/>
      <c r="E18" s="50"/>
    </row>
    <row r="19" customFormat="false" ht="13.5" hidden="false" customHeight="true" outlineLevel="0" collapsed="false">
      <c r="B19" s="49" t="s">
        <v>699</v>
      </c>
      <c r="C19" s="49"/>
      <c r="D19" s="49"/>
      <c r="E19" s="49"/>
    </row>
    <row r="21" customFormat="false" ht="15" hidden="false" customHeight="true" outlineLevel="0" collapsed="false">
      <c r="B21" s="15" t="s">
        <v>287</v>
      </c>
      <c r="C21" s="16"/>
      <c r="D21" s="16"/>
      <c r="E21" s="16"/>
      <c r="F21" s="16"/>
      <c r="G21" s="16"/>
    </row>
    <row r="22" customFormat="false" ht="15" hidden="false" customHeight="true" outlineLevel="0" collapsed="false">
      <c r="B22" s="9" t="s">
        <v>288</v>
      </c>
      <c r="C22" s="51" t="str">
        <f aca="false">IF(Need_3&lt;&gt;"",Need_3,IF(Still_To_Build&gt;0,"Emergency fund (plan kind safety: a reserve, not a spend)","No goal (emergency fund already in place)"))</f>
        <v>Choose your essential monthly spending to see this</v>
      </c>
      <c r="E22" s="52" t="s">
        <v>700</v>
      </c>
    </row>
    <row r="23" customFormat="false" ht="15" hidden="false" customHeight="true" outlineLevel="0" collapsed="false">
      <c r="B23" s="9" t="s">
        <v>625</v>
      </c>
      <c r="C23" s="53" t="str">
        <f aca="false">IF(Need_3&lt;&gt;"",Need_3,IF(Still_To_Build&gt;0,ROUND(Target,0),"—"))</f>
        <v>Choose your essential monthly spending to see this</v>
      </c>
      <c r="E23" s="52" t="s">
        <v>701</v>
      </c>
    </row>
    <row r="24" customFormat="false" ht="15" hidden="false" customHeight="true" outlineLevel="0" collapsed="false">
      <c r="B24" s="9" t="s">
        <v>292</v>
      </c>
      <c r="C24" s="53" t="str">
        <f aca="false">IF(Need_4&lt;&gt;"",Need_4,Savings)</f>
        <v>Choose your easy-access savings to see this</v>
      </c>
      <c r="E24" s="52" t="s">
        <v>702</v>
      </c>
    </row>
    <row r="25" customFormat="false" ht="15" hidden="false" customHeight="true" outlineLevel="0" collapsed="false">
      <c r="B25" s="9" t="s">
        <v>294</v>
      </c>
      <c r="C25" s="54" t="str">
        <f aca="false">IF(Need_5&lt;&gt;"",Need_5,Safety_Goal_Years)</f>
        <v>Choose your years to build the emergency fund to see this</v>
      </c>
      <c r="E25" s="52" t="s">
        <v>703</v>
      </c>
    </row>
    <row r="27" customFormat="false" ht="15" hidden="false" customHeight="true" outlineLevel="0" collapsed="false">
      <c r="B27" s="15" t="s">
        <v>296</v>
      </c>
      <c r="C27" s="16"/>
      <c r="D27" s="16"/>
      <c r="E27" s="16"/>
      <c r="F27" s="16"/>
      <c r="G27" s="16"/>
    </row>
    <row r="28" customFormat="false" ht="15" hidden="false" customHeight="true" outlineLevel="0" collapsed="false">
      <c r="B28" s="55" t="s">
        <v>704</v>
      </c>
      <c r="C28" s="55" t="str">
        <f aca="false">IF(Essential_Spending="","Choose your essential monthly spending to see this",IF(Savings="","Choose your easy-access savings to see this",""))</f>
        <v>Choose your essential monthly spending to see this</v>
      </c>
    </row>
    <row r="29" customFormat="false" ht="15" hidden="false" customHeight="true" outlineLevel="0" collapsed="false">
      <c r="B29" s="55" t="s">
        <v>705</v>
      </c>
      <c r="C29" s="55" t="str">
        <f aca="false">IF(Essential_Spending="","Choose your essential monthly spending to see this",IF(Months_Wanted="","Choose your emergency months to see this",""))</f>
        <v>Choose your essential monthly spending to see this</v>
      </c>
    </row>
    <row r="30" customFormat="false" ht="15" hidden="false" customHeight="true" outlineLevel="0" collapsed="false">
      <c r="B30" s="55" t="s">
        <v>706</v>
      </c>
      <c r="C30" s="55" t="str">
        <f aca="false">IF(Essential_Spending="","Choose your essential monthly spending to see this",IF(Months_Wanted="","Choose your emergency months to see this",IF(Savings="","Choose your easy-access savings to see this","")))</f>
        <v>Choose your essential monthly spending to see this</v>
      </c>
    </row>
    <row r="31" customFormat="false" ht="15" hidden="false" customHeight="true" outlineLevel="0" collapsed="false">
      <c r="B31" s="55" t="s">
        <v>707</v>
      </c>
      <c r="C31" s="55" t="str">
        <f aca="false">IF(Savings="","Choose your easy-access savings to see this","")</f>
        <v>Choose your easy-access savings to see this</v>
      </c>
    </row>
    <row r="32" customFormat="false" ht="15" hidden="false" customHeight="true" outlineLevel="0" collapsed="false">
      <c r="B32" s="55" t="s">
        <v>708</v>
      </c>
      <c r="C32" s="55" t="str">
        <f aca="false">IF(Safety_Goal_Years="","Choose your years to build the emergency fund to see this","")</f>
        <v>Choose your years to build the emergency fund to see this</v>
      </c>
    </row>
  </sheetData>
  <mergeCells count="3">
    <mergeCell ref="B17:E17"/>
    <mergeCell ref="B18:E18"/>
    <mergeCell ref="B19:E19"/>
  </mergeCells>
  <dataValidations count="4">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1 to 12 · steps of 1." errorStyle="stop" errorTitle="Outside the allowed range" operator="between" prompt="Generally the standard is 6 months of essential spending (3 if you have two secure incomes). Choose what you want to use.  Allowed: 3 to 12 · steps of 1." promptTitle="Emergency fund: months" showDropDown="false" showErrorMessage="true" showInputMessage="true" sqref="C7" type="whole">
      <formula1>1</formula1>
      <formula2>12</formula2>
    </dataValidation>
    <dataValidation allowBlank="true" error="Please enter 1 to 10 · steps of 1." errorStyle="stop" errorTitle="Outside the allowed range" operator="between" prompt="Your own figure.  Allowed: 1 to 10 · steps of 1." promptTitle="Build the emergency fund within" showDropDown="false" showErrorMessage="true" showInputMessage="true" sqref="C8" type="whole">
      <formula1>1</formula1>
      <formula2>10</formula2>
    </dataValidation>
    <dataValidation allowBlank="true" error="Please enter €0 to €1,000,000 · steps of €250." errorStyle="stop" errorTitle="Outside the allowed range" operator="between" prompt="Your own figure. In the app it is pre-filled from Your finances: cash.  Allowed: €0 to €1,000,000 · steps of €250." promptTitle="Easy-access savings" showDropDown="false" showErrorMessage="true" showInputMessage="true" sqref="C9" type="decimal">
      <formula1>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3" t="s">
        <v>709</v>
      </c>
      <c r="E1" s="3" t="s">
        <v>710</v>
      </c>
    </row>
    <row r="2" customFormat="false" ht="15" hidden="false" customHeight="true" outlineLevel="0" collapsed="false">
      <c r="B2" s="24" t="s">
        <v>711</v>
      </c>
      <c r="E2" s="25"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6" t="s">
        <v>712</v>
      </c>
    </row>
    <row r="5" customFormat="false" ht="15" hidden="false" customHeight="true" outlineLevel="0" collapsed="false">
      <c r="B5" s="15" t="s">
        <v>563</v>
      </c>
      <c r="C5" s="27" t="s">
        <v>220</v>
      </c>
      <c r="D5" s="27" t="s">
        <v>221</v>
      </c>
      <c r="E5" s="27" t="s">
        <v>222</v>
      </c>
      <c r="F5" s="28" t="s">
        <v>223</v>
      </c>
      <c r="G5" s="16"/>
    </row>
    <row r="6" customFormat="false" ht="21.75" hidden="false" customHeight="true" outlineLevel="0" collapsed="false">
      <c r="B6" s="9" t="s">
        <v>564</v>
      </c>
      <c r="C6" s="37"/>
      <c r="D6" s="30" t="s">
        <v>236</v>
      </c>
      <c r="E6" s="38" t="s">
        <v>565</v>
      </c>
      <c r="F6" s="39" t="n">
        <v>0.02</v>
      </c>
      <c r="G6" s="40" t="str">
        <f aca="false">IF(ISBLANK(C6),IF(Fill_Example="Yes",F6,""),C6)</f>
        <v/>
      </c>
    </row>
    <row r="7" customFormat="false" ht="27.75" hidden="false" customHeight="true" outlineLevel="0" collapsed="false">
      <c r="B7" s="56" t="s">
        <v>566</v>
      </c>
      <c r="C7" s="56"/>
      <c r="D7" s="56"/>
      <c r="E7" s="56"/>
    </row>
    <row r="9" customFormat="false" ht="15" hidden="false" customHeight="true" outlineLevel="0" collapsed="false">
      <c r="B9" s="15" t="s">
        <v>309</v>
      </c>
      <c r="C9" s="16"/>
      <c r="D9" s="16"/>
      <c r="E9" s="16"/>
      <c r="F9" s="16"/>
      <c r="G9" s="16"/>
    </row>
    <row r="10" customFormat="false" ht="27.75" hidden="false" customHeight="true" outlineLevel="0" collapsed="false">
      <c r="B10" s="56" t="s">
        <v>713</v>
      </c>
      <c r="C10" s="56"/>
      <c r="D10" s="56"/>
      <c r="E10" s="56"/>
    </row>
    <row r="11" customFormat="false" ht="15" hidden="false" customHeight="true" outlineLevel="0" collapsed="false">
      <c r="B11" s="9" t="s">
        <v>714</v>
      </c>
      <c r="C11" s="57"/>
      <c r="D11" s="30" t="s">
        <v>225</v>
      </c>
      <c r="E11" s="31" t="s">
        <v>715</v>
      </c>
      <c r="G11" s="55" t="s">
        <v>313</v>
      </c>
    </row>
    <row r="12" customFormat="false" ht="15" hidden="false" customHeight="true" outlineLevel="0" collapsed="false">
      <c r="B12" s="9" t="s">
        <v>716</v>
      </c>
      <c r="C12" s="57"/>
      <c r="D12" s="30" t="s">
        <v>225</v>
      </c>
      <c r="E12" s="31" t="s">
        <v>319</v>
      </c>
      <c r="G12" s="55" t="s">
        <v>313</v>
      </c>
    </row>
    <row r="13" customFormat="false" ht="15" hidden="false" customHeight="true" outlineLevel="0" collapsed="false">
      <c r="B13" s="9" t="s">
        <v>717</v>
      </c>
      <c r="C13" s="57"/>
      <c r="D13" s="30" t="s">
        <v>225</v>
      </c>
      <c r="E13" s="31" t="s">
        <v>319</v>
      </c>
      <c r="G13" s="55" t="s">
        <v>313</v>
      </c>
    </row>
    <row r="14" customFormat="false" ht="15" hidden="false" customHeight="true" outlineLevel="0" collapsed="false">
      <c r="B14" s="9" t="s">
        <v>718</v>
      </c>
      <c r="C14" s="59"/>
      <c r="D14" s="30" t="s">
        <v>719</v>
      </c>
      <c r="E14" s="31" t="s">
        <v>720</v>
      </c>
      <c r="G14" s="55" t="s">
        <v>313</v>
      </c>
    </row>
    <row r="15" customFormat="false" ht="15" hidden="false" customHeight="true" outlineLevel="0" collapsed="false">
      <c r="B15" s="9" t="s">
        <v>721</v>
      </c>
      <c r="C15" s="57"/>
      <c r="D15" s="30" t="s">
        <v>225</v>
      </c>
      <c r="E15" s="31" t="s">
        <v>638</v>
      </c>
      <c r="G15" s="55" t="s">
        <v>313</v>
      </c>
    </row>
    <row r="16" customFormat="false" ht="15" hidden="false" customHeight="true" outlineLevel="0" collapsed="false">
      <c r="B16" s="9" t="s">
        <v>722</v>
      </c>
      <c r="C16" s="74"/>
      <c r="D16" s="30" t="s">
        <v>232</v>
      </c>
      <c r="E16" s="31" t="s">
        <v>723</v>
      </c>
      <c r="G16" s="55" t="s">
        <v>313</v>
      </c>
    </row>
    <row r="17" customFormat="false" ht="15" hidden="false" customHeight="true" outlineLevel="0" collapsed="false">
      <c r="B17" s="9" t="s">
        <v>639</v>
      </c>
      <c r="C17" s="58"/>
      <c r="D17" s="30" t="s">
        <v>236</v>
      </c>
      <c r="E17" s="31" t="s">
        <v>640</v>
      </c>
      <c r="G17" s="55" t="s">
        <v>313</v>
      </c>
    </row>
    <row r="18" customFormat="false" ht="15" hidden="false" customHeight="true" outlineLevel="0" collapsed="false">
      <c r="B18" s="9" t="s">
        <v>320</v>
      </c>
      <c r="C18" s="60"/>
      <c r="D18" s="30" t="s">
        <v>321</v>
      </c>
      <c r="E18" s="31" t="s">
        <v>322</v>
      </c>
      <c r="G18" s="55" t="s">
        <v>313</v>
      </c>
    </row>
    <row r="20" customFormat="false" ht="15" hidden="false" customHeight="true" outlineLevel="0" collapsed="false">
      <c r="B20" s="15" t="s">
        <v>323</v>
      </c>
      <c r="C20" s="27" t="s">
        <v>220</v>
      </c>
      <c r="D20" s="27" t="s">
        <v>221</v>
      </c>
      <c r="E20" s="27" t="s">
        <v>222</v>
      </c>
      <c r="F20" s="28" t="s">
        <v>223</v>
      </c>
      <c r="G20" s="16"/>
    </row>
    <row r="21" customFormat="false" ht="21.75" hidden="false" customHeight="true" outlineLevel="0" collapsed="false">
      <c r="B21" s="9" t="s">
        <v>724</v>
      </c>
      <c r="C21" s="41"/>
      <c r="D21" s="30" t="s">
        <v>719</v>
      </c>
      <c r="E21" s="31" t="s">
        <v>725</v>
      </c>
      <c r="F21" s="42" t="n">
        <v>40</v>
      </c>
      <c r="G21" s="43" t="str">
        <f aca="false">IF(ISBLANK(C21),IF(Fill_Example="Yes",F21,""),C21)</f>
        <v/>
      </c>
    </row>
    <row r="22" customFormat="false" ht="21.75" hidden="false" customHeight="true" outlineLevel="0" collapsed="false">
      <c r="B22" s="9" t="s">
        <v>726</v>
      </c>
      <c r="C22" s="41"/>
      <c r="D22" s="30" t="s">
        <v>719</v>
      </c>
      <c r="E22" s="38" t="s">
        <v>727</v>
      </c>
      <c r="F22" s="42" t="n">
        <v>65</v>
      </c>
      <c r="G22" s="43" t="str">
        <f aca="false">IF(ISBLANK(C22),IF(Fill_Example="Yes",F22,""),C22)</f>
        <v/>
      </c>
    </row>
    <row r="23" customFormat="false" ht="21.75" hidden="false" customHeight="true" outlineLevel="0" collapsed="false">
      <c r="B23" s="9" t="s">
        <v>728</v>
      </c>
      <c r="C23" s="29"/>
      <c r="D23" s="30" t="s">
        <v>225</v>
      </c>
      <c r="E23" s="31" t="s">
        <v>729</v>
      </c>
      <c r="F23" s="32" t="n">
        <v>60000</v>
      </c>
      <c r="G23" s="33" t="str">
        <f aca="false">IF(ISBLANK(C23),IF(Pens_Value_Total&gt;0,Pens_Value_Total,IF(Fill_Example="Yes",F23,"")),C23)</f>
        <v/>
      </c>
    </row>
    <row r="24" customFormat="false" ht="21.75" hidden="false" customHeight="true" outlineLevel="0" collapsed="false">
      <c r="B24" s="9" t="s">
        <v>730</v>
      </c>
      <c r="C24" s="29"/>
      <c r="D24" s="30" t="s">
        <v>225</v>
      </c>
      <c r="E24" s="31" t="s">
        <v>731</v>
      </c>
      <c r="F24" s="32" t="n">
        <v>500</v>
      </c>
      <c r="G24" s="33" t="str">
        <f aca="false">IF(ISBLANK(C24),IF(Pens_Monthly_Total&gt;0,Pens_Monthly_Total,IF(Fill_Example="Yes",F24,"")),C24)</f>
        <v/>
      </c>
    </row>
    <row r="25" customFormat="false" ht="21.75" hidden="false" customHeight="true" outlineLevel="0" collapsed="false">
      <c r="B25" s="9" t="s">
        <v>732</v>
      </c>
      <c r="C25" s="29"/>
      <c r="D25" s="30" t="s">
        <v>225</v>
      </c>
      <c r="E25" s="31" t="s">
        <v>733</v>
      </c>
      <c r="F25" s="32" t="n">
        <v>40000</v>
      </c>
      <c r="G25" s="33" t="str">
        <f aca="false">IF(ISBLANK(C25),IF(Fill_Example="Yes",F25,""),C25)</f>
        <v/>
      </c>
    </row>
    <row r="26" customFormat="false" ht="43.5" hidden="false" customHeight="true" outlineLevel="0" collapsed="false">
      <c r="B26" s="9" t="s">
        <v>734</v>
      </c>
      <c r="C26" s="29"/>
      <c r="D26" s="30" t="s">
        <v>225</v>
      </c>
      <c r="E26" s="38" t="s">
        <v>735</v>
      </c>
      <c r="F26" s="32" t="n">
        <f aca="false">ROUND(State_Pension_Year,0)</f>
        <v>15564</v>
      </c>
      <c r="G26" s="33" t="str">
        <f aca="false">IF(ISBLANK(C26),IF(Fill_Example="Yes",F26,""),C26)</f>
        <v/>
      </c>
    </row>
    <row r="27" customFormat="false" ht="21.75" hidden="false" customHeight="true" outlineLevel="0" collapsed="false">
      <c r="B27" s="9" t="s">
        <v>736</v>
      </c>
      <c r="C27" s="37"/>
      <c r="D27" s="30" t="s">
        <v>236</v>
      </c>
      <c r="E27" s="38" t="s">
        <v>737</v>
      </c>
      <c r="F27" s="39" t="n">
        <v>0.045</v>
      </c>
      <c r="G27" s="40" t="str">
        <f aca="false">IF(ISBLANK(C27),IF(Fill_Example="Yes",F27,""),C27)</f>
        <v/>
      </c>
    </row>
    <row r="28" customFormat="false" ht="21.75" hidden="false" customHeight="true" outlineLevel="0" collapsed="false">
      <c r="B28" s="9" t="s">
        <v>738</v>
      </c>
      <c r="C28" s="37"/>
      <c r="D28" s="30" t="s">
        <v>236</v>
      </c>
      <c r="E28" s="38" t="s">
        <v>739</v>
      </c>
      <c r="F28" s="39" t="n">
        <v>0.03</v>
      </c>
      <c r="G28" s="40" t="str">
        <f aca="false">IF(ISBLANK(C28),IF(Fill_Example="Yes",F28,""),C28)</f>
        <v/>
      </c>
    </row>
    <row r="29" customFormat="false" ht="21.75" hidden="false" customHeight="true" outlineLevel="0" collapsed="false">
      <c r="B29" s="9" t="s">
        <v>740</v>
      </c>
      <c r="C29" s="41"/>
      <c r="D29" s="30"/>
      <c r="E29" s="38" t="s">
        <v>741</v>
      </c>
      <c r="F29" s="42" t="n">
        <v>25</v>
      </c>
      <c r="G29" s="43" t="str">
        <f aca="false">IF(ISBLANK(C29),IF(Fill_Example="Yes",F29,""),C29)</f>
        <v/>
      </c>
    </row>
    <row r="30" customFormat="false" ht="21.75" hidden="false" customHeight="true" outlineLevel="0" collapsed="false">
      <c r="B30" s="9" t="s">
        <v>742</v>
      </c>
      <c r="C30" s="37"/>
      <c r="D30" s="30" t="s">
        <v>236</v>
      </c>
      <c r="E30" s="38"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30" s="39" t="n">
        <f aca="false">IF(ISNUMBER(Suggest_Fund_Charges),Suggest_Fund_Charges,"")</f>
        <v>0.01</v>
      </c>
      <c r="G30" s="40" t="str">
        <f aca="false">IF(ISBLANK(C30),IF(Fill_Example="Yes",F30,""),C30)</f>
        <v/>
      </c>
    </row>
    <row r="31" customFormat="false" ht="21.75" hidden="false" customHeight="true" outlineLevel="0" collapsed="false">
      <c r="B31" s="9" t="s">
        <v>743</v>
      </c>
      <c r="C31" s="37"/>
      <c r="D31" s="30" t="s">
        <v>236</v>
      </c>
      <c r="E31" s="38" t="s">
        <v>744</v>
      </c>
      <c r="F31" s="39" t="n">
        <v>0.25</v>
      </c>
      <c r="G31" s="40" t="str">
        <f aca="false">IF(ISBLANK(C31),IF(Fill_Example="Yes",F31,""),C31)</f>
        <v/>
      </c>
    </row>
    <row r="32" customFormat="false" ht="15" hidden="false" customHeight="true" outlineLevel="0" collapsed="false">
      <c r="B32" s="9" t="s">
        <v>745</v>
      </c>
      <c r="C32" s="41"/>
      <c r="D32" s="30" t="s">
        <v>238</v>
      </c>
      <c r="E32" s="31" t="s">
        <v>746</v>
      </c>
      <c r="F32" s="42" t="n">
        <v>0</v>
      </c>
      <c r="G32" s="43" t="n">
        <f aca="false">IF(ISBLANK(C32),F32,C32)</f>
        <v>0</v>
      </c>
    </row>
    <row r="33" customFormat="false" ht="15" hidden="false" customHeight="true" outlineLevel="0" collapsed="false">
      <c r="B33" s="9" t="s">
        <v>747</v>
      </c>
      <c r="C33" s="29"/>
      <c r="D33" s="30" t="s">
        <v>225</v>
      </c>
      <c r="E33" s="31" t="s">
        <v>386</v>
      </c>
      <c r="F33" s="32" t="n">
        <v>0</v>
      </c>
      <c r="G33" s="33" t="n">
        <f aca="false">IF(ISBLANK(C33),F33,C33)</f>
        <v>0</v>
      </c>
    </row>
    <row r="34" customFormat="false" ht="15" hidden="false" customHeight="true" outlineLevel="0" collapsed="false">
      <c r="B34" s="9" t="s">
        <v>748</v>
      </c>
      <c r="C34" s="29"/>
      <c r="D34" s="30" t="s">
        <v>225</v>
      </c>
      <c r="E34" s="31" t="s">
        <v>749</v>
      </c>
      <c r="F34" s="32" t="n">
        <v>0</v>
      </c>
      <c r="G34" s="33" t="n">
        <f aca="false">IF(ISBLANK(C34),F34,C34)</f>
        <v>0</v>
      </c>
    </row>
    <row r="36" customFormat="false" ht="15" hidden="false" customHeight="true" outlineLevel="0" collapsed="false">
      <c r="B36" s="15" t="s">
        <v>332</v>
      </c>
      <c r="C36" s="16"/>
      <c r="D36" s="16"/>
      <c r="E36" s="16"/>
      <c r="F36" s="16"/>
      <c r="G36" s="16"/>
    </row>
    <row r="37" customFormat="false" ht="15" hidden="false" customHeight="true" outlineLevel="0" collapsed="false">
      <c r="B37" s="9" t="s">
        <v>728</v>
      </c>
      <c r="C37" s="61" t="str">
        <f aca="false">IF(ISBLANK(Stmt_Fund_Value),Pension_Today,Stmt_Fund_Value)</f>
        <v/>
      </c>
      <c r="D37" s="62" t="str">
        <f aca="false">IF(ISBLANK(Stmt_Fund_Value),"Your figure","From your statement")</f>
        <v>Your figure</v>
      </c>
      <c r="E37" s="52" t="s">
        <v>750</v>
      </c>
    </row>
    <row r="38" customFormat="false" ht="15" hidden="false" customHeight="true" outlineLevel="0" collapsed="false">
      <c r="B38" s="9" t="s">
        <v>730</v>
      </c>
      <c r="C38" s="61" t="str">
        <f aca="false">IF(COUNT(Stmt_You_Monthly,Stmt_Employer_Monthly)=0,Monthly_Contribution,SUM(Stmt_You_Monthly,Stmt_Employer_Monthly))</f>
        <v/>
      </c>
      <c r="D38" s="62" t="str">
        <f aca="false">IF(COUNT(Stmt_You_Monthly,Stmt_Employer_Monthly)=0,"Your figure","From your statement")</f>
        <v>Your figure</v>
      </c>
      <c r="E38" s="52" t="s">
        <v>751</v>
      </c>
    </row>
    <row r="39" customFormat="false" ht="15" hidden="false" customHeight="true" outlineLevel="0" collapsed="false">
      <c r="B39" s="9" t="s">
        <v>752</v>
      </c>
      <c r="C39" s="63" t="str">
        <f aca="false">IF(ISBLANK(Stmt_Charges),Growth_Rate,IF(OR(Growth_Rate="",Typical_Pension_Charges=""),"",Growth_Rate+Typical_Pension_Charges-Stmt_Charges))</f>
        <v/>
      </c>
      <c r="D39" s="62" t="str">
        <f aca="false">IF(ISBLANK(Stmt_Charges),"Your figure","Adjusted for your statement's charges")</f>
        <v>Your figure</v>
      </c>
      <c r="E39" s="52" t="s">
        <v>753</v>
      </c>
    </row>
    <row r="40" customFormat="false" ht="21.75" hidden="false" customHeight="true" outlineLevel="0" collapsed="false">
      <c r="B40" s="9" t="s">
        <v>754</v>
      </c>
      <c r="C40" s="48" t="str">
        <f aca="false">IF(Need_1&lt;&gt;"",Need_1,IF(AND(NOT(ISBLANK(Stmt_Projected_Fund)),Stmt_NRA=Retirement_Age+Retire_Later,Save_More=0),"Yes","No"))</f>
        <v>Choose your retirement age to see this</v>
      </c>
      <c r="D40" s="30"/>
      <c r="E40" s="45" t="s">
        <v>755</v>
      </c>
    </row>
    <row r="41" customFormat="false" ht="21.75" hidden="false" customHeight="true" outlineLevel="0" collapsed="false">
      <c r="B41" s="9" t="s">
        <v>338</v>
      </c>
      <c r="C41" s="48" t="str">
        <f aca="true">IF(ISBLANK(Stmt_Statement_Date),"",IF(TODAY()-Stmt_Statement_Date&gt;Statement_Max_Age_Days,"Needs a look: statement is more than 12 months old","Up to date"))</f>
        <v/>
      </c>
      <c r="D41" s="30"/>
      <c r="E41" s="45" t="s">
        <v>339</v>
      </c>
    </row>
    <row r="43" customFormat="false" ht="15" hidden="false" customHeight="true" outlineLevel="0" collapsed="false">
      <c r="B43" s="15" t="s">
        <v>245</v>
      </c>
      <c r="C43" s="27" t="s">
        <v>246</v>
      </c>
      <c r="D43" s="27" t="s">
        <v>247</v>
      </c>
      <c r="E43" s="27" t="s">
        <v>248</v>
      </c>
      <c r="F43" s="16"/>
      <c r="G43" s="16"/>
    </row>
    <row r="44" customFormat="false" ht="17.25" hidden="false" customHeight="true" outlineLevel="0" collapsed="false">
      <c r="B44" s="24" t="s">
        <v>756</v>
      </c>
      <c r="C44" s="44" t="str">
        <f aca="false">IF(Need_2&lt;&gt;"",Need_2,IF(ISNUMBER(Fund_Today),Target_Today-Fund_Today,Fund_Today))</f>
        <v>Choose your age to see this</v>
      </c>
      <c r="D44" s="66" t="str">
        <f aca="false">IF(Need_2&lt;&gt;"",Need_2,IF(ISNUMBER(Gap_Today),IF(Gap_Today&gt;0,"Gap of "&amp;TEXT(Gap_Today,"€#,##0")&amp;" in today's money","On track: no gap"),Gap_Today))</f>
        <v>Choose your age to see this</v>
      </c>
      <c r="E44" s="45" t="s">
        <v>757</v>
      </c>
    </row>
    <row r="45" customFormat="false" ht="17.25" hidden="false" customHeight="true" outlineLevel="0" collapsed="false">
      <c r="B45" s="24" t="s">
        <v>758</v>
      </c>
      <c r="C45" s="44" t="str">
        <f aca="false">IF(Need_3&lt;&gt;"",Need_3,IF(Use_Statement_Projection="Yes",Stmt_Projected_Fund,Calculated_Fund))</f>
        <v>Choose your age to see this</v>
      </c>
      <c r="D45" s="66" t="str">
        <f aca="false">IF(Need_3&lt;&gt;"",Need_3,IF(Use_Statement_Projection="Yes","From your statement","Calculated"))</f>
        <v>Choose your age to see this</v>
      </c>
      <c r="E45" s="45" t="s">
        <v>759</v>
      </c>
    </row>
    <row r="46" customFormat="false" ht="42.75" hidden="false" customHeight="true" outlineLevel="0" collapsed="false">
      <c r="B46" s="24" t="s">
        <v>760</v>
      </c>
      <c r="C46" s="44" t="str">
        <f aca="false">IF(Need_3&lt;&gt;"",Need_3,IF(AND(Use_Statement_Projection="Yes",Stmt_Projection_Today&lt;&gt;"No"),Stmt_Projected_Fund,IF(Inflation_Choice="","Choose your inflation rate to see this",Projected_Fund/(1+Inflation_Choice)^Years_To_Retirement)))</f>
        <v>Choose your age to see this</v>
      </c>
      <c r="D46" s="30" t="s">
        <v>225</v>
      </c>
      <c r="E46" s="45" t="s">
        <v>761</v>
      </c>
    </row>
    <row r="47" customFormat="false" ht="15" hidden="false" customHeight="true" outlineLevel="0" collapsed="false">
      <c r="B47" s="9" t="s">
        <v>762</v>
      </c>
      <c r="C47" s="46" t="str">
        <f aca="false">IF(Need_3&lt;&gt;"",Need_3,Used_Pension_Today*(1+Used_Growth_Rate)^Years_To_Retirement+Contributions_Grow_To)</f>
        <v>Choose your age to see this</v>
      </c>
      <c r="D47" s="30" t="s">
        <v>225</v>
      </c>
      <c r="E47" s="45" t="s">
        <v>763</v>
      </c>
    </row>
    <row r="48" customFormat="false" ht="17.25" hidden="false" customHeight="true" outlineLevel="0" collapsed="false">
      <c r="B48" s="24" t="s">
        <v>764</v>
      </c>
      <c r="C48" s="44" t="str">
        <f aca="false">IF(Need_4&lt;&gt;"",Need_4,MAX(0,Desired_Income-Spend_Less-Other_Income)*Retire_Multiple+Bridge_Years*MIN(Other_Income,MAX(0,Desired_Income-Spend_Less)))</f>
        <v>Choose your retirement age to see this</v>
      </c>
      <c r="D48" s="30" t="s">
        <v>225</v>
      </c>
      <c r="E48" s="45" t="s">
        <v>765</v>
      </c>
    </row>
    <row r="49" customFormat="false" ht="15" hidden="false" customHeight="true" outlineLevel="0" collapsed="false">
      <c r="B49" s="9" t="s">
        <v>766</v>
      </c>
      <c r="C49" s="69" t="str">
        <f aca="false">IF(Need_1&lt;&gt;"",Need_1,MAX(0,State_Pension_Age-(Retirement_Age+Retire_Later)))</f>
        <v>Choose your retirement age to see this</v>
      </c>
      <c r="D49" s="30" t="s">
        <v>238</v>
      </c>
      <c r="E49" s="45" t="s">
        <v>767</v>
      </c>
    </row>
    <row r="50" customFormat="false" ht="15" hidden="false" customHeight="true" outlineLevel="0" collapsed="false">
      <c r="B50" s="9" t="s">
        <v>768</v>
      </c>
      <c r="C50" s="46" t="str">
        <f aca="false">IF(Need_5&lt;&gt;"",Need_5,Projected_Fund*MIN(Lump_Sum_Pct,Lump_Sum_Max_Pct))</f>
        <v>Choose your age to see this</v>
      </c>
      <c r="D50" s="30" t="s">
        <v>225</v>
      </c>
      <c r="E50" s="45" t="s">
        <v>769</v>
      </c>
    </row>
    <row r="51" customFormat="false" ht="15" hidden="false" customHeight="true" outlineLevel="0" collapsed="false">
      <c r="B51" s="9" t="s">
        <v>770</v>
      </c>
      <c r="C51" s="46" t="str">
        <f aca="false">IF(Need_5&lt;&gt;"",Need_5,Lump_Sum_Rate*MAX(0,MIN(Lump_Sum,Lump_Sum_Cap)-Lump_Sum_Tax_Free)+Rate_Higher*MAX(0,Lump_Sum-Lump_Sum_Cap))</f>
        <v>Choose your age to see this</v>
      </c>
      <c r="D51" s="30" t="s">
        <v>225</v>
      </c>
      <c r="E51" s="45" t="s">
        <v>771</v>
      </c>
    </row>
    <row r="52" customFormat="false" ht="15" hidden="false" customHeight="true" outlineLevel="0" collapsed="false">
      <c r="B52" s="9" t="s">
        <v>772</v>
      </c>
      <c r="C52" s="46" t="str">
        <f aca="false">IF(Need_5&lt;&gt;"",Need_5,Lump_Sum-Lump_Sum_Tax)</f>
        <v>Choose your age to see this</v>
      </c>
      <c r="D52" s="30" t="s">
        <v>225</v>
      </c>
      <c r="E52" s="45" t="s">
        <v>773</v>
      </c>
    </row>
    <row r="53" customFormat="false" ht="15" hidden="false" customHeight="true" outlineLevel="0" collapsed="false">
      <c r="B53" s="75" t="s">
        <v>774</v>
      </c>
      <c r="C53" s="76" t="str">
        <f aca="false">IF(Need_1&lt;&gt;"","",IF(Retirement_Age+Retire_Later&lt;Pension_Earliest_Age,"Most pensions can't be taken before 60 (PRSA and personal pensions; occupational schemes from 50 only if you have left that job).",""))</f>
        <v/>
      </c>
      <c r="D53" s="76"/>
      <c r="E53" s="76"/>
    </row>
    <row r="54" customFormat="false" ht="15" hidden="false" customHeight="true" outlineLevel="0" collapsed="false">
      <c r="B54" s="75" t="s">
        <v>774</v>
      </c>
      <c r="C54" s="76" t="str">
        <f aca="false">IF(Need_3&lt;&gt;"","",IF(AND(ISNUMBER(Fund_Today),IF(ISNUMBER(Fund_Today),Fund_Today,0)&gt;SFT_2026),"Your fund in today's money is above the Standard Fund Threshold (€2.2m in 2026, rising to €2.8m by 2029; later years are not set yet): the excess is taxed at "&amp;TEXT(SFT_Tax,"0%")&amp;".",""))</f>
        <v/>
      </c>
      <c r="D54" s="76"/>
      <c r="E54" s="76"/>
    </row>
    <row r="55" customFormat="false" ht="15" hidden="false" customHeight="true" outlineLevel="0" collapsed="false">
      <c r="B55" s="9" t="s">
        <v>775</v>
      </c>
      <c r="C55" s="69" t="str">
        <f aca="false">IF(Need_6&lt;&gt;"",Need_6,MAX(1,Retirement_Age+Retire_Later-Age))</f>
        <v>Choose your age to see this</v>
      </c>
      <c r="D55" s="30" t="s">
        <v>238</v>
      </c>
      <c r="E55" s="45" t="s">
        <v>776</v>
      </c>
    </row>
    <row r="56" customFormat="false" ht="15" hidden="false" customHeight="true" outlineLevel="0" collapsed="false">
      <c r="B56" s="9" t="s">
        <v>777</v>
      </c>
      <c r="C56" s="46" t="str">
        <f aca="false">IF(Need_7&lt;&gt;"",Need_7,Used_Monthly_Contribution+Save_More)</f>
        <v>Choose your monthly contributions to see this</v>
      </c>
      <c r="D56" s="30" t="s">
        <v>225</v>
      </c>
      <c r="E56" s="45" t="s">
        <v>778</v>
      </c>
    </row>
    <row r="57" customFormat="false" ht="21.75" hidden="false" customHeight="true" outlineLevel="0" collapsed="false">
      <c r="B57" s="9" t="s">
        <v>779</v>
      </c>
      <c r="C57" s="46" t="str">
        <f aca="false">IF(Need_8&lt;&gt;"",Need_8,IF(Used_Growth_Rate=Wage,12*Contribution*Years_To_Retirement*(1+Used_Growth_Rate)^(Years_To_Retirement-1),12*Contribution*((1+Used_Growth_Rate)^Years_To_Retirement-(1+Wage)^Years_To_Retirement)/(Used_Growth_Rate-Wage)))</f>
        <v>Choose your age to see this</v>
      </c>
      <c r="D57" s="30" t="s">
        <v>225</v>
      </c>
      <c r="E57" s="45" t="s">
        <v>780</v>
      </c>
    </row>
    <row r="59" customFormat="false" ht="15" hidden="false" customHeight="true" outlineLevel="0" collapsed="false">
      <c r="B59" s="15" t="s">
        <v>278</v>
      </c>
      <c r="C59" s="16"/>
      <c r="D59" s="16"/>
      <c r="E59" s="16"/>
      <c r="F59" s="16"/>
      <c r="G59" s="16"/>
    </row>
    <row r="60" customFormat="false" ht="27.75" hidden="false" customHeight="true" outlineLevel="0" collapsed="false">
      <c r="B60" s="49" t="s">
        <v>781</v>
      </c>
      <c r="C60" s="49"/>
      <c r="D60" s="49"/>
      <c r="E60" s="49"/>
    </row>
    <row r="61" customFormat="false" ht="27.75" hidden="false" customHeight="true" outlineLevel="0" collapsed="false">
      <c r="B61" s="49" t="s">
        <v>782</v>
      </c>
      <c r="C61" s="49"/>
      <c r="D61" s="49"/>
      <c r="E61" s="49"/>
    </row>
    <row r="62" customFormat="false" ht="27.75" hidden="false" customHeight="true" outlineLevel="0" collapsed="false">
      <c r="B62" s="49" t="s">
        <v>783</v>
      </c>
      <c r="C62" s="49"/>
      <c r="D62" s="49"/>
      <c r="E62" s="49"/>
    </row>
    <row r="63" customFormat="false" ht="27.75" hidden="false" customHeight="true" outlineLevel="0" collapsed="false">
      <c r="B63" s="49" t="s">
        <v>784</v>
      </c>
      <c r="C63" s="49"/>
      <c r="D63" s="49"/>
      <c r="E63" s="49"/>
    </row>
    <row r="64" customFormat="false" ht="13.5" hidden="false" customHeight="true" outlineLevel="0" collapsed="false">
      <c r="B64" s="50" t="s">
        <v>282</v>
      </c>
      <c r="C64" s="50"/>
      <c r="D64" s="50"/>
      <c r="E64" s="50"/>
    </row>
    <row r="65" customFormat="false" ht="13.5" hidden="false" customHeight="true" outlineLevel="0" collapsed="false">
      <c r="B65" s="49" t="s">
        <v>785</v>
      </c>
      <c r="C65" s="49"/>
      <c r="D65" s="49"/>
      <c r="E65" s="49"/>
    </row>
    <row r="66" customFormat="false" ht="27.75" hidden="false" customHeight="true" outlineLevel="0" collapsed="false">
      <c r="B66" s="49" t="s">
        <v>786</v>
      </c>
      <c r="C66" s="49"/>
      <c r="D66" s="49"/>
      <c r="E66" s="49"/>
    </row>
    <row r="67" customFormat="false" ht="13.5" hidden="false" customHeight="true" outlineLevel="0" collapsed="false">
      <c r="B67" s="49" t="s">
        <v>787</v>
      </c>
      <c r="C67" s="49"/>
      <c r="D67" s="49"/>
      <c r="E67" s="49"/>
    </row>
    <row r="69" customFormat="false" ht="15" hidden="false" customHeight="true" outlineLevel="0" collapsed="false">
      <c r="B69" s="15" t="s">
        <v>287</v>
      </c>
      <c r="C69" s="16"/>
      <c r="D69" s="16"/>
      <c r="E69" s="16"/>
      <c r="F69" s="16"/>
      <c r="G69" s="16"/>
    </row>
    <row r="70" customFormat="false" ht="15" hidden="false" customHeight="true" outlineLevel="0" collapsed="false">
      <c r="B70" s="9" t="s">
        <v>288</v>
      </c>
      <c r="C70" s="51" t="str">
        <f aca="false">"Update your retirement goal (no new goal)"</f>
        <v>Update your retirement goal (no new goal)</v>
      </c>
      <c r="E70" s="52" t="s">
        <v>788</v>
      </c>
    </row>
    <row r="71" customFormat="false" ht="15" hidden="false" customHeight="true" outlineLevel="0" collapsed="false">
      <c r="B71" s="9" t="s">
        <v>789</v>
      </c>
      <c r="C71" s="53" t="str">
        <f aca="false">IF(Need_9&lt;&gt;"",Need_9,Desired_Income-Spend_Less)</f>
        <v>Choose your desired retirement income to see this</v>
      </c>
      <c r="E71" s="52" t="s">
        <v>790</v>
      </c>
    </row>
    <row r="72" customFormat="false" ht="15" hidden="false" customHeight="true" outlineLevel="0" collapsed="false">
      <c r="B72" s="9" t="s">
        <v>791</v>
      </c>
      <c r="C72" s="54" t="str">
        <f aca="false">IF(Need_1&lt;&gt;"",Need_1,Retirement_Age+Retire_Later)</f>
        <v>Choose your retirement age to see this</v>
      </c>
      <c r="E72" s="52" t="s">
        <v>792</v>
      </c>
    </row>
    <row r="73" customFormat="false" ht="15" hidden="false" customHeight="true" outlineLevel="0" collapsed="false">
      <c r="B73" s="9" t="s">
        <v>592</v>
      </c>
      <c r="C73" s="72" t="str">
        <f aca="false">IF(Inflation_Choice="","Choose an inflation rate first",Inflation_Choice)</f>
        <v>Choose an inflation rate first</v>
      </c>
      <c r="E73" s="52" t="s">
        <v>593</v>
      </c>
    </row>
    <row r="74" customFormat="false" ht="13.5" hidden="false" customHeight="true" outlineLevel="0" collapsed="false">
      <c r="B74" s="56" t="s">
        <v>793</v>
      </c>
      <c r="C74" s="56"/>
      <c r="D74" s="56"/>
      <c r="E74" s="56"/>
    </row>
    <row r="76" customFormat="false" ht="15" hidden="false" customHeight="true" outlineLevel="0" collapsed="false">
      <c r="B76" s="15" t="s">
        <v>296</v>
      </c>
      <c r="C76" s="16"/>
      <c r="D76" s="16"/>
      <c r="E76" s="16"/>
      <c r="F76" s="16"/>
      <c r="G76" s="16"/>
    </row>
    <row r="77" customFormat="false" ht="15" hidden="false" customHeight="true" outlineLevel="0" collapsed="false">
      <c r="B77" s="55" t="s">
        <v>794</v>
      </c>
      <c r="C77" s="55" t="str">
        <f aca="false">IF(AND(ISNUMBER(Age),ISNUMBER(Retirement_Age),N(Retirement_Age)+N(Retire_Later)&lt;=N(Age)),"Choose a retirement age after your age to see this",IF(Retirement_Age="","Choose your retirement age to see this",""))</f>
        <v>Choose your retirement age to see this</v>
      </c>
    </row>
    <row r="78" customFormat="false" ht="15" hidden="false" customHeight="true" outlineLevel="0" collapsed="false">
      <c r="B78" s="55" t="s">
        <v>795</v>
      </c>
      <c r="C78" s="55" t="str">
        <f aca="false">IF(AND(ISNUMBER(Age),ISNUMBER(Retirement_Age),N(Retirement_Age)+N(Retire_Later)&lt;=N(Age)),"Choose a retirement age after your age to see this",IF(Age="","Choose your age to see this",IF(Retirement_Age="","Choose your retirement age to see this",IF(Desired_Income="","Choose your desired retirement income to see this",IF(Other_Income="","Choose your other income (State Pension) to see this",IF(Wage="","Choose your pay rise to see this",IF(Retire_Multiple="","Choose your retirement multiple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age to see this</v>
      </c>
    </row>
    <row r="79" customFormat="false" ht="15" hidden="false" customHeight="true" outlineLevel="0" collapsed="false">
      <c r="B79" s="55" t="s">
        <v>796</v>
      </c>
      <c r="C79" s="55" t="str">
        <f aca="false">IF(AND(ISNUMBER(Age),ISNUMBER(Retirement_Age),N(Retirement_Age)+N(Retire_Later)&lt;=N(Age)),"Choose a retirement age after your age to see this",IF(Age="","Choose your age to see this",IF(Retirement_Age="","Choose your retirement age to see this",IF(Wage="","Choose your pay rise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age to see this</v>
      </c>
    </row>
    <row r="80" customFormat="false" ht="15" hidden="false" customHeight="true" outlineLevel="0" collapsed="false">
      <c r="B80" s="55" t="s">
        <v>797</v>
      </c>
      <c r="C80" s="55" t="str">
        <f aca="false">IF(AND(ISNUMBER(Age),ISNUMBER(Retirement_Age),N(Retirement_Age)+N(Retire_Later)&lt;=N(Age)),"Choose a retirement age after your age to see this",IF(Retirement_Age="","Choose your retirement age to see this",IF(Desired_Income="","Choose your desired retirement income to see this",IF(Other_Income="","Choose your other income (State Pension) to see this",IF(Retire_Multiple="","Choose your retirement multiple to see this","")))))</f>
        <v>Choose your retirement age to see this</v>
      </c>
    </row>
    <row r="81" customFormat="false" ht="15" hidden="false" customHeight="true" outlineLevel="0" collapsed="false">
      <c r="B81" s="55" t="s">
        <v>798</v>
      </c>
      <c r="C81" s="55" t="str">
        <f aca="false">IF(AND(ISNUMBER(Age),ISNUMBER(Retirement_Age),N(Retirement_Age)+N(Retire_Later)&lt;=N(Age)),"Choose a retirement age after your age to see this",IF(Age="","Choose your age to see this",IF(Retirement_Age="","Choose your retirement age to see this",IF(Wage="","Choose your pay rise to see this",IF(Lump_Sum_Pct="","Choose your lump sum share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age to see this</v>
      </c>
    </row>
    <row r="82" customFormat="false" ht="15" hidden="false" customHeight="true" outlineLevel="0" collapsed="false">
      <c r="B82" s="55" t="s">
        <v>799</v>
      </c>
      <c r="C82" s="55" t="str">
        <f aca="false">IF(AND(ISNUMBER(Age),ISNUMBER(Retirement_Age),N(Retirement_Age)+N(Retire_Later)&lt;=N(Age)),"Choose a retirement age after your age to see this",IF(Age="","Choose your age to see this",IF(Retirement_Age="","Choose your retirement age to see this","")))</f>
        <v>Choose your age to see this</v>
      </c>
    </row>
    <row r="83" customFormat="false" ht="15" hidden="false" customHeight="true" outlineLevel="0" collapsed="false">
      <c r="B83" s="55" t="s">
        <v>800</v>
      </c>
      <c r="C83" s="55" t="str">
        <f aca="false">IF(AND(ISNUMBER(Age),ISNUMBER(Retirement_Age),N(Retirement_Age)+N(Retire_Later)&lt;=N(Age)),"Choose a retirement age after your age to see this",IF(NOT(ISNUMBER(Used_Monthly_Contribution)),IF(Used_Monthly_Contribution="",IF(Monthly_Contribution="","Choose your monthly contributions to see this",""),Used_Monthly_Contribution),""))</f>
        <v>Choose your monthly contributions to see this</v>
      </c>
    </row>
    <row r="84" customFormat="false" ht="15" hidden="false" customHeight="true" outlineLevel="0" collapsed="false">
      <c r="B84" s="55" t="s">
        <v>801</v>
      </c>
      <c r="C84" s="55" t="str">
        <f aca="false">IF(AND(ISNUMBER(Age),ISNUMBER(Retirement_Age),N(Retirement_Age)+N(Retire_Later)&lt;=N(Age)),"Choose a retirement age after your age to see this",IF(Age="","Choose your age to see this",IF(Retirement_Age="","Choose your retirement age to see this",IF(Wage="","Choose your pay rise to see this",IF(NOT(ISNUMBER(Used_Monthly_Contribution)),IF(Used_Monthly_Contribution="",IF(Monthly_Contribution="","Choose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age to see this</v>
      </c>
    </row>
    <row r="85" customFormat="false" ht="15" hidden="false" customHeight="true" outlineLevel="0" collapsed="false">
      <c r="B85" s="55" t="s">
        <v>802</v>
      </c>
      <c r="C85" s="55" t="str">
        <f aca="false">IF(AND(ISNUMBER(Age),ISNUMBER(Retirement_Age),N(Retirement_Age)+N(Retire_Later)&lt;=N(Age)),"Choose a retirement age after your age to see this",IF(Desired_Income="","Choose your desired retirement income to see this",""))</f>
        <v>Choose your desired retirement income to see this</v>
      </c>
    </row>
  </sheetData>
  <mergeCells count="13">
    <mergeCell ref="B7:E7"/>
    <mergeCell ref="B10:E10"/>
    <mergeCell ref="C53:E53"/>
    <mergeCell ref="C54:E54"/>
    <mergeCell ref="B60:E60"/>
    <mergeCell ref="B61:E61"/>
    <mergeCell ref="B62:E62"/>
    <mergeCell ref="B63:E63"/>
    <mergeCell ref="B64:E64"/>
    <mergeCell ref="B65:E65"/>
    <mergeCell ref="B66:E66"/>
    <mergeCell ref="B67:E67"/>
    <mergeCell ref="B74:E74"/>
  </mergeCells>
  <dataValidations count="23">
    <dataValidation allowBlank="true" error="Please enter a date (dd/mm/yyyy)." errorStyle="stop" errorTitle="Outside the allowed range" operator="greaterThan" prompt="Unit: date. Allowed: a date (dd/mm/yyyy)." promptTitle="Statement date" showDropDown="false" showErrorMessage="true" showInputMessage="true" sqref="C18"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7"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30" type="decimal">
      <formula1>0</formula1>
      <formula2>0.025</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1"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5" type="decimal">
      <formula1>0</formula1>
      <formula2>100000000</formula2>
    </dataValidation>
    <dataValidation allowBlank="true" error="Please enter €0 to €100,000." errorStyle="stop" errorTitle="Outside the allowed range" operator="between" prompt="Unit: €. Allowed: €0 to €100,000." promptTitle="Your monthly contribution" showDropDown="false" showErrorMessage="true" showInputMessage="true" sqref="C12" type="decimal">
      <formula1>0</formula1>
      <formula2>100000</formula2>
    </dataValidation>
    <dataValidation allowBlank="true" error="Please enter €0 to €100,000." errorStyle="stop" errorTitle="Outside the allowed range" operator="between" prompt="Unit: €. Allowed: €0 to €100,000." promptTitle="Employer monthly contribution" showDropDown="false" showErrorMessage="true" showInputMessage="true" sqref="C13" type="decimal">
      <formula1>0</formula1>
      <formula2>100000</formula2>
    </dataValidation>
    <dataValidation allowBlank="true" error="Please enter 50 to 75." errorStyle="stop" errorTitle="Outside the allowed range" operator="between" prompt="Unit: age. Allowed: 50 to 75." promptTitle="Normal retirement age" showDropDown="false" showErrorMessage="true" showInputMessage="true" sqref="C14" type="whole">
      <formula1>50</formula1>
      <formula2>75</formula2>
    </dataValidation>
    <dataValidation allowBlank="true" error="Please enter Yes or No." errorStyle="stop" errorTitle="Outside the allowed range" operator="between" prompt="Unit: Yes / No. Allowed: Yes or No." promptTitle="Projection is in today's money? " showDropDown="false" showErrorMessage="true" showInputMessage="true" sqref="C16" type="list">
      <formula1>"Yes,No"</formula1>
      <formula2>0</formula2>
    </dataValidation>
    <dataValidation allowBlank="true" error="Please enter 20 to 70 · steps of 1." errorStyle="stop" errorTitle="Outside the allowed range" operator="between" prompt="Your own figure. In the app it is pre-filled from About you: age.  Allowed: 20 to 70 · steps of 1." promptTitle="Your age" showDropDown="false" showErrorMessage="true" showInputMessage="true" sqref="C21" type="whole">
      <formula1>20</formula1>
      <formula2>70</formula2>
    </dataValidation>
    <dataValidation allowBlank="true" error="Please enter 50 to 75 · steps of 1." errorStyle="stop" errorTitle="Outside the allowed range" operator="between" prompt="You can usually draw a pension from 60 (some schemes from 50); State Pension is paid from 66. Choose your own: there is no default.  Allowed: 50 to 75 · steps of 1." promptTitle="Target retirement age" showDropDown="false" showErrorMessage="true" showInputMessage="true" sqref="C22" type="whole">
      <formula1>50</formula1>
      <formula2>75</formula2>
    </dataValidation>
    <dataValidation allowBlank="true" error="Please enter €0 to €15,000,000 · steps of €1,000." errorStyle="stop" errorTitle="Outside the allowed range" operator="between" prompt="Your own figure. In the app it is pre-filled from Your finances / pension statement.  Allowed: €0 to €15,000,000 · steps of €1,000." promptTitle="Pension value today" showDropDown="false" showErrorMessage="true" showInputMessage="true" sqref="C23" type="decimal">
      <formula1>0</formula1>
      <formula2>15000000</formula2>
    </dataValidation>
    <dataValidation allowBlank="true" error="Please enter €0 to €50,000 · steps of €10." errorStyle="stop" errorTitle="Outside the allowed range" operator="between" prompt="Your own figure. In the app it is pre-filled from Your finances / pension statement.  Allowed: €0 to €50,000 · steps of €10." promptTitle="Monthly contributions (you + emp" showDropDown="false" showErrorMessage="true" showInputMessage="true" sqref="C24" type="decimal">
      <formula1>0</formula1>
      <formula2>50000</formula2>
    </dataValidation>
    <dataValidation allowBlank="true" error="Please enter €10,000 to €1,500,000 · steps of €1,000." errorStyle="stop" errorTitle="Outside the allowed range" operator="between" prompt="Your own figure. In the app it is pre-filled from Plan: retirement goal income.  Allowed: €10,000 to €1,500,000 · steps of €1,000." promptTitle="Desired yearly income in retirem" showDropDown="false" showErrorMessage="true" showInputMessage="true" sqref="C25" type="decimal">
      <formula1>10000</formula1>
      <formula2>1500000</formula2>
    </dataValidation>
    <dataValidation allowBlank="true" error="Please enter €0 to €500,000 · steps of €500." errorStyle="stop" errorTitle="Outside the allowed range" operator="between" prompt="Usually between €0 and €15,564 a year: the full State Pension is €299.30 a week (DSP 2026), partial rates are lower and depend on your PRSI record. In the app it is pre-filled from State Pension €15,563.60 × your e Allowed: €0 to €500,000 · steps of €500." promptTitle="Other yearly income from 66, e.g" showDropDown="false" showErrorMessage="true" showInputMessage="true" sqref="C26" type="decimal">
      <formula1>0</formula1>
      <formula2>500000</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25%." promptTitle="Pension growth after charges a y" showDropDown="false" showErrorMessage="true" showInputMessage="true" sqref="C27" type="decimal">
      <formula1>0.01</formula1>
      <formula2>0.07</formula2>
    </dataValidation>
    <dataValidation allowBlank="true" error="Please enter 0% to 6% · steps of 0.25%." errorStyle="stop" errorTitle="Outside the allowed range" operator="between" prompt="Generally the standard is 3% a year (Irish pay has grown about 3%–4% a year recently; LifeMap Standard set). Choose what you want to use.  Allowed: 0% to 6% · steps of 0.25%." promptTitle="Pay rises a year (contributions " showDropDown="false" showErrorMessage="true" showInputMessage="true" sqref="C28" type="decimal">
      <formula1>0</formula1>
      <formula2>0.06</formula2>
    </dataValidation>
    <dataValidation allowBlank="true" error="Please enter 20 to 33 · steps of 1." errorStyle="stop" errorTitle="Outside the allowed range" operator="between" prompt="Generally the standard is 25 times the yearly income you need (about 4% a year). Choose what you want to use.  Allowed: 20 to 33 · steps of 1." promptTitle="Retirement savings target: × the" showDropDown="false" showErrorMessage="true" showInputMessage="true" sqref="C29" type="whole">
      <formula1>20</formula1>
      <formula2>33</formula2>
    </dataValidation>
    <dataValidation allowBlank="true" error="Please enter 0% to 25% · steps of 1%." errorStyle="stop" errorTitle="Outside the allowed range" operator="between" prompt="Generally the standard is 25% of the fund, the most allowed (first €200,000 tax-free, next €300,000 at 20%). Choose what you want to use.  Allowed: 0% to 25% · steps of 1%." promptTitle="Tax-free lump sum you plan to ta" showDropDown="false" showErrorMessage="true" showInputMessage="true" sqref="C31" type="decimal">
      <formula1>0</formula1>
      <formula2>0.25</formula2>
    </dataValidation>
    <dataValidation allowBlank="true" error="Please enter 0 to 5 · steps of 1." errorStyle="stop" errorTitle="Outside the allowed range" operator="between" prompt="Optional: leave blank for none.  Allowed: 0 to 5 · steps of 1." promptTitle="What if: retire later by" showDropDown="false" showErrorMessage="true" showInputMessage="true" sqref="C32" type="whole">
      <formula1>0</formula1>
      <formula2>5</formula2>
    </dataValidation>
    <dataValidation allowBlank="true" error="Please enter €0 to €15,000 · steps of €50." errorStyle="stop" errorTitle="Outside the allowed range" operator="between" prompt="Optional: leave blank for none.  Allowed: €0 to €15,000 · steps of €50." promptTitle="What if: save more each month" showDropDown="false" showErrorMessage="true" showInputMessage="true" sqref="C33" type="decimal">
      <formula1>0</formula1>
      <formula2>15000</formula2>
    </dataValidation>
    <dataValidation allowBlank="true" error="Please enter €0 to €200,000 · steps of €500." errorStyle="stop" errorTitle="Outside the allowed range" operator="between" prompt="Optional: leave blank for none.  Allowed: €0 to €200,000 · steps of €500." promptTitle="What if: spend less in retiremen" showDropDown="false" showErrorMessage="true" showInputMessage="true" sqref="C34" type="decimal">
      <formula1>0</formula1>
      <formula2>200000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3" t="s">
        <v>803</v>
      </c>
      <c r="E1" s="3" t="s">
        <v>804</v>
      </c>
    </row>
    <row r="2" customFormat="false" ht="15" hidden="false" customHeight="true" outlineLevel="0" collapsed="false">
      <c r="B2" s="24" t="s">
        <v>805</v>
      </c>
      <c r="E2" s="25"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6" t="s">
        <v>806</v>
      </c>
    </row>
    <row r="5" customFormat="false" ht="15" hidden="false" customHeight="true" outlineLevel="0" collapsed="false">
      <c r="B5" s="15" t="s">
        <v>563</v>
      </c>
      <c r="C5" s="27" t="s">
        <v>220</v>
      </c>
      <c r="D5" s="27" t="s">
        <v>221</v>
      </c>
      <c r="E5" s="27" t="s">
        <v>222</v>
      </c>
      <c r="F5" s="28" t="s">
        <v>223</v>
      </c>
      <c r="G5" s="16"/>
    </row>
    <row r="6" customFormat="false" ht="21.75" hidden="false" customHeight="true" outlineLevel="0" collapsed="false">
      <c r="B6" s="9" t="s">
        <v>564</v>
      </c>
      <c r="C6" s="37"/>
      <c r="D6" s="30" t="s">
        <v>236</v>
      </c>
      <c r="E6" s="38" t="s">
        <v>565</v>
      </c>
      <c r="F6" s="39" t="n">
        <v>0.02</v>
      </c>
      <c r="G6" s="40" t="str">
        <f aca="false">IF(ISBLANK(C6),IF(Fill_Example="Yes",F6,""),C6)</f>
        <v/>
      </c>
    </row>
    <row r="7" customFormat="false" ht="27.75" hidden="false" customHeight="true" outlineLevel="0" collapsed="false">
      <c r="B7" s="56" t="s">
        <v>566</v>
      </c>
      <c r="C7" s="56"/>
      <c r="D7" s="56"/>
      <c r="E7" s="56"/>
    </row>
    <row r="9" customFormat="false" ht="15" hidden="false" customHeight="true" outlineLevel="0" collapsed="false">
      <c r="B9" s="15" t="s">
        <v>309</v>
      </c>
      <c r="C9" s="16"/>
      <c r="D9" s="16"/>
      <c r="E9" s="16"/>
      <c r="F9" s="16"/>
      <c r="G9" s="16"/>
    </row>
    <row r="10" customFormat="false" ht="27.75" hidden="false" customHeight="true" outlineLevel="0" collapsed="false">
      <c r="B10" s="56" t="s">
        <v>807</v>
      </c>
      <c r="C10" s="56"/>
      <c r="D10" s="56"/>
      <c r="E10" s="56"/>
    </row>
    <row r="11" customFormat="false" ht="15" hidden="false" customHeight="true" outlineLevel="0" collapsed="false">
      <c r="B11" s="9" t="s">
        <v>639</v>
      </c>
      <c r="C11" s="58"/>
      <c r="D11" s="30" t="s">
        <v>236</v>
      </c>
      <c r="E11" s="31" t="s">
        <v>640</v>
      </c>
      <c r="G11" s="55" t="s">
        <v>313</v>
      </c>
    </row>
    <row r="12" customFormat="false" ht="15" hidden="false" customHeight="true" outlineLevel="0" collapsed="false">
      <c r="B12" s="9" t="s">
        <v>320</v>
      </c>
      <c r="C12" s="60"/>
      <c r="D12" s="30" t="s">
        <v>321</v>
      </c>
      <c r="E12" s="31" t="s">
        <v>322</v>
      </c>
      <c r="G12" s="55" t="s">
        <v>313</v>
      </c>
    </row>
    <row r="14" customFormat="false" ht="15" hidden="false" customHeight="true" outlineLevel="0" collapsed="false">
      <c r="B14" s="15" t="s">
        <v>323</v>
      </c>
      <c r="C14" s="27" t="s">
        <v>220</v>
      </c>
      <c r="D14" s="27" t="s">
        <v>221</v>
      </c>
      <c r="E14" s="27" t="s">
        <v>222</v>
      </c>
      <c r="F14" s="28" t="s">
        <v>223</v>
      </c>
      <c r="G14" s="16"/>
    </row>
    <row r="15" customFormat="false" ht="21.75" hidden="false" customHeight="true" outlineLevel="0" collapsed="false">
      <c r="B15" s="9" t="s">
        <v>808</v>
      </c>
      <c r="C15" s="29"/>
      <c r="D15" s="30" t="s">
        <v>225</v>
      </c>
      <c r="E15" s="31" t="s">
        <v>226</v>
      </c>
      <c r="F15" s="32" t="n">
        <v>60000</v>
      </c>
      <c r="G15" s="33" t="str">
        <f aca="false">IF(ISBLANK(C15),IF(Fill_Example="Yes",F15,""),C15)</f>
        <v/>
      </c>
    </row>
    <row r="16" customFormat="false" ht="15" hidden="false" customHeight="true" outlineLevel="0" collapsed="false">
      <c r="B16" s="9" t="s">
        <v>809</v>
      </c>
      <c r="C16" s="37"/>
      <c r="D16" s="30" t="s">
        <v>236</v>
      </c>
      <c r="E16" s="31" t="s">
        <v>810</v>
      </c>
      <c r="F16" s="39" t="n">
        <v>0.02</v>
      </c>
      <c r="G16" s="40" t="str">
        <f aca="false">IF(ISBLANK(C16),IF(Fill_Example="Yes",F16,""),C16)</f>
        <v/>
      </c>
    </row>
    <row r="17" customFormat="false" ht="21.75" hidden="false" customHeight="true" outlineLevel="0" collapsed="false">
      <c r="B17" s="9" t="s">
        <v>775</v>
      </c>
      <c r="C17" s="41"/>
      <c r="D17" s="30" t="s">
        <v>238</v>
      </c>
      <c r="E17" s="31" t="s">
        <v>811</v>
      </c>
      <c r="F17" s="42" t="n">
        <v>25</v>
      </c>
      <c r="G17" s="43" t="str">
        <f aca="false">IF(ISBLANK(C17),IF(Fill_Example="Yes",F17,""),C17)</f>
        <v/>
      </c>
    </row>
    <row r="18" customFormat="false" ht="21.75" hidden="false" customHeight="true" outlineLevel="0" collapsed="false">
      <c r="B18" s="9" t="s">
        <v>812</v>
      </c>
      <c r="C18" s="37"/>
      <c r="D18" s="30" t="s">
        <v>236</v>
      </c>
      <c r="E18" s="38" t="s">
        <v>737</v>
      </c>
      <c r="F18" s="39" t="n">
        <v>0.045</v>
      </c>
      <c r="G18" s="40" t="str">
        <f aca="false">IF(ISBLANK(C18),IF(Fill_Example="Yes",F18,""),C18)</f>
        <v/>
      </c>
    </row>
    <row r="19" customFormat="false" ht="21.75" hidden="false" customHeight="true" outlineLevel="0" collapsed="false">
      <c r="B19" s="9" t="s">
        <v>742</v>
      </c>
      <c r="C19" s="37"/>
      <c r="D19" s="30" t="s">
        <v>236</v>
      </c>
      <c r="E19" s="38"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19" s="39" t="n">
        <f aca="false">IF(ISNUMBER(Suggest_Fund_Charges),Suggest_Fund_Charges,"")</f>
        <v>0.01</v>
      </c>
      <c r="G19" s="40" t="str">
        <f aca="false">IF(ISBLANK(C19),IF(Fill_Example="Yes",F19,""),C19)</f>
        <v/>
      </c>
    </row>
    <row r="20" customFormat="false" ht="33" hidden="false" customHeight="true" outlineLevel="0" collapsed="false">
      <c r="B20" s="9" t="s">
        <v>813</v>
      </c>
      <c r="C20" s="77"/>
      <c r="D20" s="30" t="s">
        <v>814</v>
      </c>
      <c r="E20" s="38" t="s">
        <v>815</v>
      </c>
      <c r="F20" s="78" t="str">
        <f aca="false">TE_Marginal_Rate</f>
        <v>Choose your tax status to see this</v>
      </c>
      <c r="G20" s="79" t="str">
        <f aca="false">IF(ISBLANK(C20),IF(Fill_Example="Yes",F20,""),C20)</f>
        <v/>
      </c>
    </row>
    <row r="21" customFormat="false" ht="21.75" hidden="false" customHeight="true" outlineLevel="0" collapsed="false">
      <c r="B21" s="9" t="s">
        <v>816</v>
      </c>
      <c r="C21" s="41"/>
      <c r="D21" s="30" t="s">
        <v>719</v>
      </c>
      <c r="E21" s="31" t="s">
        <v>817</v>
      </c>
      <c r="F21" s="42" t="n">
        <v>40</v>
      </c>
      <c r="G21" s="43" t="str">
        <f aca="false">IF(ISBLANK(C21),IF(Fill_Example="Yes",F21,""),C21)</f>
        <v/>
      </c>
    </row>
    <row r="22" customFormat="false" ht="15" hidden="false" customHeight="true" outlineLevel="0" collapsed="false">
      <c r="B22" s="9" t="s">
        <v>818</v>
      </c>
      <c r="C22" s="29"/>
      <c r="D22" s="30" t="s">
        <v>225</v>
      </c>
      <c r="E22" s="31" t="s">
        <v>819</v>
      </c>
      <c r="F22" s="32" t="n">
        <v>0</v>
      </c>
      <c r="G22" s="33" t="n">
        <f aca="false">IF(ISBLANK(C22),IF(Pens_Own_Total&gt;0,Pens_Own_Total*12,F22),C22)</f>
        <v>0</v>
      </c>
    </row>
    <row r="24" customFormat="false" ht="15" hidden="false" customHeight="true" outlineLevel="0" collapsed="false">
      <c r="B24" s="15" t="s">
        <v>332</v>
      </c>
      <c r="C24" s="16"/>
      <c r="D24" s="16"/>
      <c r="E24" s="16"/>
      <c r="F24" s="16"/>
      <c r="G24" s="16"/>
    </row>
    <row r="25" customFormat="false" ht="15" hidden="false" customHeight="true" outlineLevel="0" collapsed="false">
      <c r="B25" s="9" t="s">
        <v>820</v>
      </c>
      <c r="C25" s="63" t="str">
        <f aca="false">IF(ISBLANK(Stmt_Charges),Growth_Rate,IF(OR(Growth_Rate="",Typical_Pension_Charges=""),"",Growth_Rate+Typical_Pension_Charges-Stmt_Charges))</f>
        <v/>
      </c>
      <c r="D25" s="62" t="str">
        <f aca="false">IF(ISBLANK(Stmt_Charges),"Your figure","Adjusted for your statement's charges")</f>
        <v>Your figure</v>
      </c>
      <c r="E25" s="52" t="s">
        <v>753</v>
      </c>
    </row>
    <row r="26" customFormat="false" ht="21.75" hidden="false" customHeight="true" outlineLevel="0" collapsed="false">
      <c r="B26" s="9" t="s">
        <v>338</v>
      </c>
      <c r="C26" s="48" t="str">
        <f aca="true">IF(ISBLANK(Stmt_Statement_Date),"",IF(TODAY()-Stmt_Statement_Date&gt;Statement_Max_Age_Days,"Needs a look: statement is more than 12 months old","Up to date"))</f>
        <v/>
      </c>
      <c r="D26" s="30"/>
      <c r="E26" s="45" t="s">
        <v>339</v>
      </c>
    </row>
    <row r="28" customFormat="false" ht="15" hidden="false" customHeight="true" outlineLevel="0" collapsed="false">
      <c r="B28" s="15" t="s">
        <v>245</v>
      </c>
      <c r="C28" s="27" t="s">
        <v>246</v>
      </c>
      <c r="D28" s="27" t="s">
        <v>247</v>
      </c>
      <c r="E28" s="27" t="s">
        <v>248</v>
      </c>
      <c r="F28" s="16"/>
      <c r="G28" s="16"/>
    </row>
    <row r="29" customFormat="false" ht="17.25" hidden="false" customHeight="true" outlineLevel="0" collapsed="false">
      <c r="B29" s="24" t="s">
        <v>821</v>
      </c>
      <c r="C29" s="44" t="str">
        <f aca="false">IF(Need_1&lt;&gt;"",Need_1,FV((1+Used_Growth_Rate)^(1/12)-1,Years*12,-Extra_Per_Month))</f>
        <v>Choose your salary to see this</v>
      </c>
      <c r="D29" s="30" t="s">
        <v>225</v>
      </c>
      <c r="E29" s="45" t="s">
        <v>822</v>
      </c>
    </row>
    <row r="30" customFormat="false" ht="17.25" hidden="false" customHeight="true" outlineLevel="0" collapsed="false">
      <c r="B30" s="24" t="s">
        <v>614</v>
      </c>
      <c r="C30" s="44" t="str">
        <f aca="false">IF(Need_2&lt;&gt;"",Need_2,IF(Inflation_Choice="","Choose your inflation rate to see this",Grows_To/(1+Inflation_Choice)^Years))</f>
        <v>Choose your inflation rate to see this</v>
      </c>
      <c r="D30" s="30" t="s">
        <v>225</v>
      </c>
      <c r="E30" s="45" t="s">
        <v>615</v>
      </c>
    </row>
    <row r="31" customFormat="false" ht="15" hidden="false" customHeight="true" outlineLevel="0" collapsed="false">
      <c r="B31" s="9" t="s">
        <v>823</v>
      </c>
      <c r="C31" s="46" t="str">
        <f aca="false">IF(Need_3&lt;&gt;"",Need_3,Salary*Increase_Pct/12)</f>
        <v>Choose your salary to see this</v>
      </c>
      <c r="D31" s="30" t="s">
        <v>225</v>
      </c>
      <c r="E31" s="45" t="s">
        <v>824</v>
      </c>
    </row>
    <row r="32" customFormat="false" ht="15" hidden="false" customHeight="true" outlineLevel="0" collapsed="false">
      <c r="B32" s="9" t="s">
        <v>825</v>
      </c>
      <c r="C32" s="46" t="str">
        <f aca="false">IF(Need_4&lt;&gt;"",Need_4,Extra_Per_Month-Relief_Per_Month)</f>
        <v>Choose your salary to see this</v>
      </c>
      <c r="D32" s="30" t="s">
        <v>225</v>
      </c>
      <c r="E32" s="45" t="s">
        <v>826</v>
      </c>
    </row>
    <row r="33" customFormat="false" ht="15" hidden="false" customHeight="true" outlineLevel="0" collapsed="false">
      <c r="B33" s="9" t="s">
        <v>827</v>
      </c>
      <c r="C33" s="46" t="str">
        <f aca="false">IF(Need_5&lt;&gt;"",Need_5,LOOKUP(Age,Relief_Age_From,Relief_Age_Pct)*MIN(Salary,Relief_Earnings_Cap))</f>
        <v>Choose your salary to see this</v>
      </c>
      <c r="D33" s="30" t="s">
        <v>225</v>
      </c>
      <c r="E33" s="45" t="s">
        <v>828</v>
      </c>
    </row>
    <row r="34" customFormat="false" ht="15" hidden="false" customHeight="true" outlineLevel="0" collapsed="false">
      <c r="B34" s="9" t="s">
        <v>829</v>
      </c>
      <c r="C34" s="46" t="str">
        <f aca="false">IF(Need_5&lt;&gt;"",Need_5,MAX(0,Relief_Limit_Year-Existing_Pension_Year))</f>
        <v>Choose your salary to see this</v>
      </c>
      <c r="D34" s="30" t="s">
        <v>225</v>
      </c>
      <c r="E34" s="45" t="s">
        <v>830</v>
      </c>
    </row>
    <row r="35" customFormat="false" ht="15" hidden="false" customHeight="true" outlineLevel="0" collapsed="false">
      <c r="B35" s="9" t="s">
        <v>831</v>
      </c>
      <c r="C35" s="46" t="str">
        <f aca="false">IF(Need_6&lt;&gt;"",Need_6,MIN(Extra_Per_Month*12,Relief_Room_Year))</f>
        <v>Choose your salary to see this</v>
      </c>
      <c r="D35" s="30" t="s">
        <v>225</v>
      </c>
      <c r="E35" s="45" t="s">
        <v>832</v>
      </c>
    </row>
    <row r="36" customFormat="false" ht="15" hidden="false" customHeight="true" outlineLevel="0" collapsed="false">
      <c r="B36" s="9" t="s">
        <v>833</v>
      </c>
      <c r="C36" s="46" t="str">
        <f aca="false">IF(Need_4&lt;&gt;"",Need_4,Relieved_Year*Tax_Rate/12)</f>
        <v>Choose your salary to see this</v>
      </c>
      <c r="D36" s="30" t="s">
        <v>225</v>
      </c>
      <c r="E36" s="45" t="s">
        <v>834</v>
      </c>
    </row>
    <row r="38" customFormat="false" ht="15" hidden="false" customHeight="true" outlineLevel="0" collapsed="false">
      <c r="B38" s="15" t="s">
        <v>278</v>
      </c>
      <c r="C38" s="16"/>
      <c r="D38" s="16"/>
      <c r="E38" s="16"/>
      <c r="F38" s="16"/>
      <c r="G38" s="16"/>
    </row>
    <row r="39" customFormat="false" ht="13.5" hidden="false" customHeight="true" outlineLevel="0" collapsed="false">
      <c r="B39" s="49" t="s">
        <v>835</v>
      </c>
      <c r="C39" s="49"/>
      <c r="D39" s="49"/>
      <c r="E39" s="49"/>
    </row>
    <row r="40" customFormat="false" ht="13.5" hidden="false" customHeight="true" outlineLevel="0" collapsed="false">
      <c r="B40" s="49" t="s">
        <v>836</v>
      </c>
      <c r="C40" s="49"/>
      <c r="D40" s="49"/>
      <c r="E40" s="49"/>
    </row>
    <row r="41" customFormat="false" ht="13.5" hidden="false" customHeight="true" outlineLevel="0" collapsed="false">
      <c r="B41" s="50" t="s">
        <v>282</v>
      </c>
      <c r="C41" s="50"/>
      <c r="D41" s="50"/>
      <c r="E41" s="50"/>
    </row>
    <row r="42" customFormat="false" ht="13.5" hidden="false" customHeight="true" outlineLevel="0" collapsed="false">
      <c r="B42" s="49" t="s">
        <v>837</v>
      </c>
      <c r="C42" s="49"/>
      <c r="D42" s="49"/>
      <c r="E42" s="49"/>
    </row>
    <row r="43" customFormat="false" ht="13.5" hidden="false" customHeight="true" outlineLevel="0" collapsed="false">
      <c r="B43" s="49" t="s">
        <v>838</v>
      </c>
      <c r="C43" s="49"/>
      <c r="D43" s="49"/>
      <c r="E43" s="49"/>
    </row>
    <row r="45" customFormat="false" ht="15" hidden="false" customHeight="true" outlineLevel="0" collapsed="false">
      <c r="B45" s="15" t="s">
        <v>287</v>
      </c>
      <c r="C45" s="16"/>
      <c r="D45" s="16"/>
      <c r="E45" s="16"/>
      <c r="F45" s="16"/>
      <c r="G45" s="16"/>
    </row>
    <row r="46" customFormat="false" ht="15" hidden="false" customHeight="true" outlineLevel="0" collapsed="false">
      <c r="B46" s="9" t="s">
        <v>288</v>
      </c>
      <c r="C46" s="51" t="str">
        <f aca="false">"No goal: raise the plan's pension contribution instead"</f>
        <v>No goal: raise the plan's pension contribution instead</v>
      </c>
      <c r="E46" s="52" t="s">
        <v>839</v>
      </c>
    </row>
    <row r="47" customFormat="false" ht="15" hidden="false" customHeight="true" outlineLevel="0" collapsed="false">
      <c r="B47" s="9" t="s">
        <v>840</v>
      </c>
      <c r="C47" s="53" t="str">
        <f aca="false">IF(Need_3&lt;&gt;"",Need_3,Extra_Per_Month)</f>
        <v>Choose your salary to see this</v>
      </c>
      <c r="E47" s="52" t="s">
        <v>841</v>
      </c>
    </row>
    <row r="48" customFormat="false" ht="13.5" hidden="false" customHeight="true" outlineLevel="0" collapsed="false">
      <c r="B48" s="56" t="s">
        <v>842</v>
      </c>
      <c r="C48" s="56"/>
      <c r="D48" s="56"/>
      <c r="E48" s="56"/>
    </row>
    <row r="50" customFormat="false" ht="15" hidden="false" customHeight="true" outlineLevel="0" collapsed="false">
      <c r="B50" s="15" t="s">
        <v>296</v>
      </c>
      <c r="C50" s="16"/>
      <c r="D50" s="16"/>
      <c r="E50" s="16"/>
      <c r="F50" s="16"/>
      <c r="G50" s="16"/>
    </row>
    <row r="51" customFormat="false" ht="15" hidden="false" customHeight="true" outlineLevel="0" collapsed="false">
      <c r="B51" s="55" t="s">
        <v>843</v>
      </c>
      <c r="C51" s="55" t="str">
        <f aca="false">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salary to see this</v>
      </c>
    </row>
    <row r="52" customFormat="false" ht="15" hidden="false" customHeight="true" outlineLevel="0" collapsed="false">
      <c r="B52" s="55" t="s">
        <v>844</v>
      </c>
      <c r="C52" s="55" t="str">
        <f aca="false">IF(Inflation_Choice="","Choose your inflation rate to see this",IF(Salary="","Choose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inflation rate to see this</v>
      </c>
    </row>
    <row r="53" customFormat="false" ht="15" hidden="false" customHeight="true" outlineLevel="0" collapsed="false">
      <c r="B53" s="55" t="s">
        <v>845</v>
      </c>
      <c r="C53" s="55" t="str">
        <f aca="false">IF(Salary="","Choose your salary to see this",IF(Increase_Pct="","Choose your contribution increase to see this",""))</f>
        <v>Choose your salary to see this</v>
      </c>
    </row>
    <row r="54" customFormat="false" ht="15" hidden="false" customHeight="true" outlineLevel="0" collapsed="false">
      <c r="B54" s="55" t="s">
        <v>846</v>
      </c>
      <c r="C54" s="55" t="str">
        <f aca="false">IF(Salary="","Choose your salary to see this",IF(Increase_Pct="","Choose your contribution increase to see this",IF(Tax_Rate="","Choose your tax rate to see this",IF(Age="","Choose your age to see this",""))))</f>
        <v>Choose your salary to see this</v>
      </c>
    </row>
    <row r="55" customFormat="false" ht="15" hidden="false" customHeight="true" outlineLevel="0" collapsed="false">
      <c r="B55" s="55" t="s">
        <v>847</v>
      </c>
      <c r="C55" s="55" t="str">
        <f aca="false">IF(Salary="","Choose your salary to see this",IF(Age="","Choose your age to see this",""))</f>
        <v>Choose your salary to see this</v>
      </c>
    </row>
    <row r="56" customFormat="false" ht="15" hidden="false" customHeight="true" outlineLevel="0" collapsed="false">
      <c r="B56" s="55" t="s">
        <v>848</v>
      </c>
      <c r="C56" s="55" t="str">
        <f aca="false">IF(Salary="","Choose your salary to see this",IF(Increase_Pct="","Choose your contribution increase to see this",IF(Age="","Choose your age to see this","")))</f>
        <v>Choose your salary to see this</v>
      </c>
    </row>
    <row r="58" customFormat="false" ht="15" hidden="false" customHeight="true" outlineLevel="0" collapsed="false">
      <c r="B58" s="22" t="s">
        <v>849</v>
      </c>
    </row>
  </sheetData>
  <mergeCells count="8">
    <mergeCell ref="B7:E7"/>
    <mergeCell ref="B10:E10"/>
    <mergeCell ref="B39:E39"/>
    <mergeCell ref="B40:E40"/>
    <mergeCell ref="B41:E41"/>
    <mergeCell ref="B42:E42"/>
    <mergeCell ref="B43:E43"/>
    <mergeCell ref="B48:E48"/>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19" type="decimal">
      <formula1>0</formula1>
      <formula2>0.025</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showDropDown="false" showErrorMessage="true" showInputMessage="true" sqref="C15" type="decimal">
      <formula1>15000</formula1>
      <formula2>2500000</formula2>
    </dataValidation>
    <dataValidation allowBlank="true" error="Please enter 0.5% to 10% · steps of 0.5%." errorStyle="stop" errorTitle="Outside the allowed range" operator="between" prompt="Your own figure.  Allowed: 0.5% to 10% · steps of 0.5%." promptTitle="Increase contributions by (% of " showDropDown="false" showErrorMessage="true" showInputMessage="true" sqref="C16" type="decimal">
      <formula1>0.005</formula1>
      <formula2>0.1</formula2>
    </dataValidation>
    <dataValidation allowBlank="true" error="Please enter 1 to 45 · steps of 1." errorStyle="stop" errorTitle="Outside the allowed range" operator="between" prompt="Your own figure. In the app it is pre-filled from Plan: retirement age − age.  Allowed: 1 to 45 · steps of 1." promptTitle="Years to retirement" showDropDown="false" showErrorMessage="true" showInputMessage="true" sqref="C17" type="whole">
      <formula1>1</formula1>
      <formula2>45</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3" t="s">
        <v>850</v>
      </c>
      <c r="E1" s="3" t="s">
        <v>851</v>
      </c>
    </row>
    <row r="2" customFormat="false" ht="15" hidden="false" customHeight="true" outlineLevel="0" collapsed="false">
      <c r="B2" s="24" t="s">
        <v>852</v>
      </c>
      <c r="E2" s="25"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6" t="s">
        <v>853</v>
      </c>
    </row>
    <row r="5" customFormat="false" ht="15" hidden="false" customHeight="true" outlineLevel="0" collapsed="false">
      <c r="B5" s="15" t="s">
        <v>563</v>
      </c>
      <c r="C5" s="27" t="s">
        <v>220</v>
      </c>
      <c r="D5" s="27" t="s">
        <v>221</v>
      </c>
      <c r="E5" s="27" t="s">
        <v>222</v>
      </c>
      <c r="F5" s="28" t="s">
        <v>223</v>
      </c>
      <c r="G5" s="16"/>
    </row>
    <row r="6" customFormat="false" ht="21.75" hidden="false" customHeight="true" outlineLevel="0" collapsed="false">
      <c r="B6" s="9" t="s">
        <v>564</v>
      </c>
      <c r="C6" s="37"/>
      <c r="D6" s="30" t="s">
        <v>236</v>
      </c>
      <c r="E6" s="38" t="s">
        <v>565</v>
      </c>
      <c r="F6" s="39" t="n">
        <v>0.02</v>
      </c>
      <c r="G6" s="40" t="str">
        <f aca="false">IF(ISBLANK(C6),IF(Fill_Example="Yes",F6,""),C6)</f>
        <v/>
      </c>
    </row>
    <row r="7" customFormat="false" ht="27.75" hidden="false" customHeight="true" outlineLevel="0" collapsed="false">
      <c r="B7" s="56" t="s">
        <v>566</v>
      </c>
      <c r="C7" s="56"/>
      <c r="D7" s="56"/>
      <c r="E7" s="56"/>
    </row>
    <row r="9" customFormat="false" ht="15" hidden="false" customHeight="true" outlineLevel="0" collapsed="false">
      <c r="B9" s="15" t="s">
        <v>309</v>
      </c>
      <c r="C9" s="16"/>
      <c r="D9" s="16"/>
      <c r="E9" s="16"/>
      <c r="F9" s="16"/>
      <c r="G9" s="16"/>
    </row>
    <row r="10" customFormat="false" ht="27.75" hidden="false" customHeight="true" outlineLevel="0" collapsed="false">
      <c r="B10" s="56" t="s">
        <v>854</v>
      </c>
      <c r="C10" s="56"/>
      <c r="D10" s="56"/>
      <c r="E10" s="56"/>
    </row>
    <row r="11" customFormat="false" ht="15" hidden="false" customHeight="true" outlineLevel="0" collapsed="false">
      <c r="B11" s="9" t="s">
        <v>639</v>
      </c>
      <c r="C11" s="58"/>
      <c r="D11" s="30" t="s">
        <v>236</v>
      </c>
      <c r="E11" s="31" t="s">
        <v>640</v>
      </c>
      <c r="G11" s="55" t="s">
        <v>313</v>
      </c>
    </row>
    <row r="12" customFormat="false" ht="15" hidden="false" customHeight="true" outlineLevel="0" collapsed="false">
      <c r="B12" s="9" t="s">
        <v>320</v>
      </c>
      <c r="C12" s="60"/>
      <c r="D12" s="30" t="s">
        <v>321</v>
      </c>
      <c r="E12" s="31" t="s">
        <v>322</v>
      </c>
      <c r="G12" s="55" t="s">
        <v>313</v>
      </c>
    </row>
    <row r="14" customFormat="false" ht="15" hidden="false" customHeight="true" outlineLevel="0" collapsed="false">
      <c r="B14" s="15" t="s">
        <v>323</v>
      </c>
      <c r="C14" s="27" t="s">
        <v>220</v>
      </c>
      <c r="D14" s="27" t="s">
        <v>221</v>
      </c>
      <c r="E14" s="27" t="s">
        <v>222</v>
      </c>
      <c r="F14" s="28" t="s">
        <v>223</v>
      </c>
      <c r="G14" s="16"/>
    </row>
    <row r="15" customFormat="false" ht="15" hidden="false" customHeight="true" outlineLevel="0" collapsed="false">
      <c r="B15" s="9" t="s">
        <v>855</v>
      </c>
      <c r="C15" s="29"/>
      <c r="D15" s="30" t="s">
        <v>225</v>
      </c>
      <c r="E15" s="31" t="s">
        <v>856</v>
      </c>
      <c r="F15" s="32" t="n">
        <v>200</v>
      </c>
      <c r="G15" s="33" t="str">
        <f aca="false">IF(ISBLANK(C15),IF(Fill_Example="Yes",F15,""),C15)</f>
        <v/>
      </c>
    </row>
    <row r="16" customFormat="false" ht="21.75" hidden="false" customHeight="true" outlineLevel="0" collapsed="false">
      <c r="B16" s="9" t="s">
        <v>857</v>
      </c>
      <c r="C16" s="29"/>
      <c r="D16" s="30" t="s">
        <v>225</v>
      </c>
      <c r="E16" s="31" t="s">
        <v>226</v>
      </c>
      <c r="F16" s="32" t="n">
        <v>60000</v>
      </c>
      <c r="G16" s="33" t="str">
        <f aca="false">IF(ISBLANK(C16),IF(Fill_Example="Yes",F16,""),C16)</f>
        <v/>
      </c>
    </row>
    <row r="17" customFormat="false" ht="21.75" hidden="false" customHeight="true" outlineLevel="0" collapsed="false">
      <c r="B17" s="9" t="s">
        <v>775</v>
      </c>
      <c r="C17" s="41"/>
      <c r="D17" s="30" t="s">
        <v>238</v>
      </c>
      <c r="E17" s="31" t="s">
        <v>858</v>
      </c>
      <c r="F17" s="42" t="n">
        <v>15</v>
      </c>
      <c r="G17" s="43" t="str">
        <f aca="false">IF(ISBLANK(C17),IF(Fill_Example="Yes",F17,""),C17)</f>
        <v/>
      </c>
    </row>
    <row r="18" customFormat="false" ht="21.75" hidden="false" customHeight="true" outlineLevel="0" collapsed="false">
      <c r="B18" s="9" t="s">
        <v>812</v>
      </c>
      <c r="C18" s="37"/>
      <c r="D18" s="30" t="s">
        <v>236</v>
      </c>
      <c r="E18" s="38" t="s">
        <v>737</v>
      </c>
      <c r="F18" s="39" t="n">
        <v>0.045</v>
      </c>
      <c r="G18" s="40" t="str">
        <f aca="false">IF(ISBLANK(C18),IF(Fill_Example="Yes",F18,""),C18)</f>
        <v/>
      </c>
    </row>
    <row r="19" customFormat="false" ht="21.75" hidden="false" customHeight="true" outlineLevel="0" collapsed="false">
      <c r="B19" s="9" t="s">
        <v>742</v>
      </c>
      <c r="C19" s="37"/>
      <c r="D19" s="30" t="s">
        <v>236</v>
      </c>
      <c r="E19" s="38"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19" s="39" t="n">
        <f aca="false">IF(ISNUMBER(Suggest_Fund_Charges),Suggest_Fund_Charges,"")</f>
        <v>0.01</v>
      </c>
      <c r="G19" s="40" t="str">
        <f aca="false">IF(ISBLANK(C19),IF(Fill_Example="Yes",F19,""),C19)</f>
        <v/>
      </c>
    </row>
    <row r="20" customFormat="false" ht="33" hidden="false" customHeight="true" outlineLevel="0" collapsed="false">
      <c r="B20" s="9" t="s">
        <v>813</v>
      </c>
      <c r="C20" s="77"/>
      <c r="D20" s="30" t="s">
        <v>814</v>
      </c>
      <c r="E20" s="38" t="s">
        <v>815</v>
      </c>
      <c r="F20" s="78" t="str">
        <f aca="false">TE_Marginal_Rate</f>
        <v>Choose your tax status to see this</v>
      </c>
      <c r="G20" s="79" t="str">
        <f aca="false">IF(ISBLANK(C20),IF(Fill_Example="Yes",F20,""),C20)</f>
        <v/>
      </c>
    </row>
    <row r="21" customFormat="false" ht="21.75" hidden="false" customHeight="true" outlineLevel="0" collapsed="false">
      <c r="B21" s="9" t="s">
        <v>816</v>
      </c>
      <c r="C21" s="41"/>
      <c r="D21" s="30" t="s">
        <v>719</v>
      </c>
      <c r="E21" s="31" t="s">
        <v>817</v>
      </c>
      <c r="F21" s="42" t="n">
        <v>40</v>
      </c>
      <c r="G21" s="43" t="str">
        <f aca="false">IF(ISBLANK(C21),IF(Fill_Example="Yes",F21,""),C21)</f>
        <v/>
      </c>
    </row>
    <row r="22" customFormat="false" ht="15" hidden="false" customHeight="true" outlineLevel="0" collapsed="false">
      <c r="B22" s="9" t="s">
        <v>818</v>
      </c>
      <c r="C22" s="29"/>
      <c r="D22" s="30" t="s">
        <v>225</v>
      </c>
      <c r="E22" s="31" t="s">
        <v>819</v>
      </c>
      <c r="F22" s="32" t="n">
        <v>0</v>
      </c>
      <c r="G22" s="33" t="n">
        <f aca="false">IF(ISBLANK(C22),IF(Pens_Own_Total&gt;0,Pens_Own_Total*12,F22),C22)</f>
        <v>0</v>
      </c>
    </row>
    <row r="24" customFormat="false" ht="15" hidden="false" customHeight="true" outlineLevel="0" collapsed="false">
      <c r="B24" s="15" t="s">
        <v>332</v>
      </c>
      <c r="C24" s="16"/>
      <c r="D24" s="16"/>
      <c r="E24" s="16"/>
      <c r="F24" s="16"/>
      <c r="G24" s="16"/>
    </row>
    <row r="25" customFormat="false" ht="15" hidden="false" customHeight="true" outlineLevel="0" collapsed="false">
      <c r="B25" s="9" t="s">
        <v>820</v>
      </c>
      <c r="C25" s="63" t="str">
        <f aca="false">IF(ISBLANK(Stmt_Charges),Growth_Rate,IF(OR(Growth_Rate="",Typical_Pension_Charges=""),"",Growth_Rate+Typical_Pension_Charges-Stmt_Charges))</f>
        <v/>
      </c>
      <c r="D25" s="62" t="str">
        <f aca="false">IF(ISBLANK(Stmt_Charges),"Your figure","Adjusted for your statement's charges")</f>
        <v>Your figure</v>
      </c>
      <c r="E25" s="52" t="s">
        <v>753</v>
      </c>
    </row>
    <row r="26" customFormat="false" ht="21.75" hidden="false" customHeight="true" outlineLevel="0" collapsed="false">
      <c r="B26" s="9" t="s">
        <v>338</v>
      </c>
      <c r="C26" s="48" t="str">
        <f aca="true">IF(ISBLANK(Stmt_Statement_Date),"",IF(TODAY()-Stmt_Statement_Date&gt;Statement_Max_Age_Days,"Needs a look: statement is more than 12 months old","Up to date"))</f>
        <v/>
      </c>
      <c r="D26" s="30"/>
      <c r="E26" s="45" t="s">
        <v>339</v>
      </c>
    </row>
    <row r="28" customFormat="false" ht="15" hidden="false" customHeight="true" outlineLevel="0" collapsed="false">
      <c r="B28" s="15" t="s">
        <v>245</v>
      </c>
      <c r="C28" s="27" t="s">
        <v>246</v>
      </c>
      <c r="D28" s="27" t="s">
        <v>247</v>
      </c>
      <c r="E28" s="27" t="s">
        <v>248</v>
      </c>
      <c r="F28" s="16"/>
      <c r="G28" s="16"/>
    </row>
    <row r="29" customFormat="false" ht="17.25" hidden="false" customHeight="true" outlineLevel="0" collapsed="false">
      <c r="B29" s="24" t="s">
        <v>859</v>
      </c>
      <c r="C29" s="44" t="str">
        <f aca="false">IF(Need_1&lt;&gt;"",Need_1,FV((1+Used_Growth_Rate)^(1/12)-1,Years*12,-AVC_Per_Month))</f>
        <v>Choose your AVC per month to see this</v>
      </c>
      <c r="D29" s="30" t="s">
        <v>225</v>
      </c>
      <c r="E29" s="45" t="s">
        <v>860</v>
      </c>
    </row>
    <row r="30" customFormat="false" ht="17.25" hidden="false" customHeight="true" outlineLevel="0" collapsed="false">
      <c r="B30" s="24" t="s">
        <v>614</v>
      </c>
      <c r="C30" s="44" t="str">
        <f aca="false">IF(Need_2&lt;&gt;"",Need_2,IF(Inflation_Choice="","Choose your inflation rate to see this",Grows_To/(1+Inflation_Choice)^Years))</f>
        <v>Choose your inflation rate to see this</v>
      </c>
      <c r="D30" s="30" t="s">
        <v>225</v>
      </c>
      <c r="E30" s="45" t="s">
        <v>615</v>
      </c>
    </row>
    <row r="31" customFormat="false" ht="15" hidden="false" customHeight="true" outlineLevel="0" collapsed="false">
      <c r="B31" s="9" t="s">
        <v>616</v>
      </c>
      <c r="C31" s="46" t="str">
        <f aca="false">IF(Need_3&lt;&gt;"",Need_3,AVC_Per_Month*12*Years)</f>
        <v>Choose your AVC per month to see this</v>
      </c>
      <c r="D31" s="30" t="s">
        <v>225</v>
      </c>
      <c r="E31" s="45" t="s">
        <v>861</v>
      </c>
    </row>
    <row r="32" customFormat="false" ht="15" hidden="false" customHeight="true" outlineLevel="0" collapsed="false">
      <c r="B32" s="9" t="s">
        <v>862</v>
      </c>
      <c r="C32" s="46" t="str">
        <f aca="false">IF(Need_4&lt;&gt;"",Need_4,Net_Cost_Per_Month*12*Years)</f>
        <v>Choose your AVC per month to see this</v>
      </c>
      <c r="D32" s="30" t="s">
        <v>225</v>
      </c>
      <c r="E32" s="45" t="s">
        <v>863</v>
      </c>
    </row>
    <row r="33" customFormat="false" ht="15" hidden="false" customHeight="true" outlineLevel="0" collapsed="false">
      <c r="B33" s="9" t="s">
        <v>864</v>
      </c>
      <c r="C33" s="46" t="str">
        <f aca="false">IF(Need_5&lt;&gt;"",Need_5,AVC_Per_Month-Relief_Per_Month)</f>
        <v>Choose your AVC per month to see this</v>
      </c>
      <c r="D33" s="30" t="s">
        <v>225</v>
      </c>
      <c r="E33" s="45" t="s">
        <v>865</v>
      </c>
    </row>
    <row r="34" customFormat="false" ht="15" hidden="false" customHeight="true" outlineLevel="0" collapsed="false">
      <c r="B34" s="9" t="s">
        <v>827</v>
      </c>
      <c r="C34" s="46" t="str">
        <f aca="false">IF(Need_6&lt;&gt;"",Need_6,LOOKUP(Age,Relief_Age_From,Relief_Age_Pct)*MIN(Salary,Relief_Earnings_Cap))</f>
        <v>Choose your salary to see this</v>
      </c>
      <c r="D34" s="30" t="s">
        <v>225</v>
      </c>
      <c r="E34" s="45" t="s">
        <v>828</v>
      </c>
    </row>
    <row r="35" customFormat="false" ht="15" hidden="false" customHeight="true" outlineLevel="0" collapsed="false">
      <c r="B35" s="9" t="s">
        <v>829</v>
      </c>
      <c r="C35" s="46" t="str">
        <f aca="false">IF(Need_6&lt;&gt;"",Need_6,MAX(0,Relief_Limit_Year-Existing_Pension_Year))</f>
        <v>Choose your salary to see this</v>
      </c>
      <c r="D35" s="30" t="s">
        <v>225</v>
      </c>
      <c r="E35" s="45" t="s">
        <v>830</v>
      </c>
    </row>
    <row r="36" customFormat="false" ht="15" hidden="false" customHeight="true" outlineLevel="0" collapsed="false">
      <c r="B36" s="9" t="s">
        <v>866</v>
      </c>
      <c r="C36" s="46" t="str">
        <f aca="false">IF(Need_7&lt;&gt;"",Need_7,MIN(AVC_Per_Month*12,Relief_Room_Year))</f>
        <v>Choose your AVC per month to see this</v>
      </c>
      <c r="D36" s="30" t="s">
        <v>225</v>
      </c>
      <c r="E36" s="45" t="s">
        <v>867</v>
      </c>
    </row>
    <row r="37" customFormat="false" ht="15" hidden="false" customHeight="true" outlineLevel="0" collapsed="false">
      <c r="B37" s="9" t="s">
        <v>833</v>
      </c>
      <c r="C37" s="46" t="str">
        <f aca="false">IF(Need_5&lt;&gt;"",Need_5,Relieved_Year*Tax_Rate/12)</f>
        <v>Choose your AVC per month to see this</v>
      </c>
      <c r="D37" s="30" t="s">
        <v>225</v>
      </c>
      <c r="E37" s="45" t="s">
        <v>834</v>
      </c>
    </row>
    <row r="39" customFormat="false" ht="15" hidden="false" customHeight="true" outlineLevel="0" collapsed="false">
      <c r="B39" s="15" t="s">
        <v>278</v>
      </c>
      <c r="C39" s="16"/>
      <c r="D39" s="16"/>
      <c r="E39" s="16"/>
      <c r="F39" s="16"/>
      <c r="G39" s="16"/>
    </row>
    <row r="40" customFormat="false" ht="27.75" hidden="false" customHeight="true" outlineLevel="0" collapsed="false">
      <c r="B40" s="49" t="s">
        <v>868</v>
      </c>
      <c r="C40" s="49"/>
      <c r="D40" s="49"/>
      <c r="E40" s="49"/>
    </row>
    <row r="41" customFormat="false" ht="13.5" hidden="false" customHeight="true" outlineLevel="0" collapsed="false">
      <c r="B41" s="50" t="s">
        <v>282</v>
      </c>
      <c r="C41" s="50"/>
      <c r="D41" s="50"/>
      <c r="E41" s="50"/>
    </row>
    <row r="42" customFormat="false" ht="13.5" hidden="false" customHeight="true" outlineLevel="0" collapsed="false">
      <c r="B42" s="49" t="s">
        <v>837</v>
      </c>
      <c r="C42" s="49"/>
      <c r="D42" s="49"/>
      <c r="E42" s="49"/>
    </row>
    <row r="43" customFormat="false" ht="13.5" hidden="false" customHeight="true" outlineLevel="0" collapsed="false">
      <c r="B43" s="49" t="s">
        <v>869</v>
      </c>
      <c r="C43" s="49"/>
      <c r="D43" s="49"/>
      <c r="E43" s="49"/>
    </row>
    <row r="45" customFormat="false" ht="15" hidden="false" customHeight="true" outlineLevel="0" collapsed="false">
      <c r="B45" s="15" t="s">
        <v>287</v>
      </c>
      <c r="C45" s="16"/>
      <c r="D45" s="16"/>
      <c r="E45" s="16"/>
      <c r="F45" s="16"/>
      <c r="G45" s="16"/>
    </row>
    <row r="46" customFormat="false" ht="15" hidden="false" customHeight="true" outlineLevel="0" collapsed="false">
      <c r="B46" s="9" t="s">
        <v>288</v>
      </c>
      <c r="C46" s="51" t="str">
        <f aca="false">"No goal: raise the plan's pension contribution instead"</f>
        <v>No goal: raise the plan's pension contribution instead</v>
      </c>
      <c r="E46" s="52" t="s">
        <v>839</v>
      </c>
    </row>
    <row r="47" customFormat="false" ht="15" hidden="false" customHeight="true" outlineLevel="0" collapsed="false">
      <c r="B47" s="9" t="s">
        <v>840</v>
      </c>
      <c r="C47" s="53" t="str">
        <f aca="false">IF(Need_8&lt;&gt;"",Need_8,AVC_Per_Month)</f>
        <v>Choose your AVC per month to see this</v>
      </c>
      <c r="E47" s="52" t="s">
        <v>870</v>
      </c>
    </row>
    <row r="49" customFormat="false" ht="15" hidden="false" customHeight="true" outlineLevel="0" collapsed="false">
      <c r="B49" s="15" t="s">
        <v>296</v>
      </c>
      <c r="C49" s="16"/>
      <c r="D49" s="16"/>
      <c r="E49" s="16"/>
      <c r="F49" s="16"/>
      <c r="G49" s="16"/>
    </row>
    <row r="50" customFormat="false" ht="15" hidden="false" customHeight="true" outlineLevel="0" collapsed="false">
      <c r="B50" s="55" t="s">
        <v>871</v>
      </c>
      <c r="C50" s="55" t="str">
        <f aca="false">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AVC per month to see this</v>
      </c>
    </row>
    <row r="51" customFormat="false" ht="15" hidden="false" customHeight="true" outlineLevel="0" collapsed="false">
      <c r="B51" s="55" t="s">
        <v>872</v>
      </c>
      <c r="C51" s="55" t="str">
        <f aca="false">IF(Inflation_Choice="","Choose your inflation rate to see this",IF(AVC_Per_Month="","Choose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inflation rate to see this</v>
      </c>
    </row>
    <row r="52" customFormat="false" ht="15" hidden="false" customHeight="true" outlineLevel="0" collapsed="false">
      <c r="B52" s="55" t="s">
        <v>873</v>
      </c>
      <c r="C52" s="55" t="str">
        <f aca="false">IF(AVC_Per_Month="","Choose your AVC per month to see this",IF(Years="","Choose your years to retirement to see this",""))</f>
        <v>Choose your AVC per month to see this</v>
      </c>
    </row>
    <row r="53" customFormat="false" ht="15" hidden="false" customHeight="true" outlineLevel="0" collapsed="false">
      <c r="B53" s="55" t="s">
        <v>874</v>
      </c>
      <c r="C53" s="55" t="str">
        <f aca="false">IF(AVC_Per_Month="","Choose your AVC per month to see this",IF(Salary="","Choose your salary to see this",IF(Years="","Choose your years to retirement to see this",IF(Tax_Rate="","Choose your tax rate to see this",IF(Age="","Choose your age to see this","")))))</f>
        <v>Choose your AVC per month to see this</v>
      </c>
    </row>
    <row r="54" customFormat="false" ht="15" hidden="false" customHeight="true" outlineLevel="0" collapsed="false">
      <c r="B54" s="55" t="s">
        <v>875</v>
      </c>
      <c r="C54" s="55" t="str">
        <f aca="false">IF(AVC_Per_Month="","Choose your AVC per month to see this",IF(Salary="","Choose your salary to see this",IF(Tax_Rate="","Choose your tax rate to see this",IF(Age="","Choose your age to see this",""))))</f>
        <v>Choose your AVC per month to see this</v>
      </c>
    </row>
    <row r="55" customFormat="false" ht="15" hidden="false" customHeight="true" outlineLevel="0" collapsed="false">
      <c r="B55" s="55" t="s">
        <v>847</v>
      </c>
      <c r="C55" s="55" t="str">
        <f aca="false">IF(Salary="","Choose your salary to see this",IF(Age="","Choose your age to see this",""))</f>
        <v>Choose your salary to see this</v>
      </c>
    </row>
    <row r="56" customFormat="false" ht="15" hidden="false" customHeight="true" outlineLevel="0" collapsed="false">
      <c r="B56" s="55" t="s">
        <v>876</v>
      </c>
      <c r="C56" s="55" t="str">
        <f aca="false">IF(AVC_Per_Month="","Choose your AVC per month to see this",IF(Salary="","Choose your salary to see this",IF(Age="","Choose your age to see this","")))</f>
        <v>Choose your AVC per month to see this</v>
      </c>
    </row>
    <row r="57" customFormat="false" ht="15" hidden="false" customHeight="true" outlineLevel="0" collapsed="false">
      <c r="B57" s="55" t="s">
        <v>877</v>
      </c>
      <c r="C57" s="55" t="str">
        <f aca="false">IF(AVC_Per_Month="","Choose your AVC per month to see this","")</f>
        <v>Choose your AVC per month to see this</v>
      </c>
    </row>
  </sheetData>
  <mergeCells count="6">
    <mergeCell ref="B7:E7"/>
    <mergeCell ref="B10:E10"/>
    <mergeCell ref="B40:E40"/>
    <mergeCell ref="B41:E41"/>
    <mergeCell ref="B42:E42"/>
    <mergeCell ref="B43:E43"/>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19" type="decimal">
      <formula1>0</formula1>
      <formula2>0.025</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25 to €20,000 · steps of €25." errorStyle="stop" errorTitle="Outside the allowed range" operator="between" prompt="Your own figure.  Allowed: €25 to €20,000 · steps of €25." promptTitle="AVC per month" showDropDown="false" showErrorMessage="true" showInputMessage="true" sqref="C15" type="decimal">
      <formula1>25</formula1>
      <formula2>20000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for the relief limit)" showDropDown="false" showErrorMessage="true" showInputMessage="true" sqref="C16" type="decimal">
      <formula1>15000</formula1>
      <formula2>2500000</formula2>
    </dataValidation>
    <dataValidation allowBlank="true" error="Please enter 1 to 40 · steps of 1." errorStyle="stop" errorTitle="Outside the allowed range" operator="between" prompt="Your own figure. In the app it is pre-filled from Plan: retirement age − age.  Allowed: 1 to 40 · steps of 1." promptTitle="Years to retirement" showDropDown="false" showErrorMessage="true" showInputMessage="true" sqref="C17" type="whole">
      <formula1>1</formula1>
      <formula2>40</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10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3" t="s">
        <v>878</v>
      </c>
      <c r="E1" s="3" t="s">
        <v>879</v>
      </c>
    </row>
    <row r="2" customFormat="false" ht="15" hidden="false" customHeight="true" outlineLevel="0" collapsed="false">
      <c r="B2" s="24" t="s">
        <v>880</v>
      </c>
      <c r="E2" s="25"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6" t="s">
        <v>881</v>
      </c>
    </row>
    <row r="5" customFormat="false" ht="15" hidden="false" customHeight="true" outlineLevel="0" collapsed="false">
      <c r="B5" s="15" t="s">
        <v>563</v>
      </c>
      <c r="C5" s="27" t="s">
        <v>220</v>
      </c>
      <c r="D5" s="27" t="s">
        <v>221</v>
      </c>
      <c r="E5" s="27" t="s">
        <v>222</v>
      </c>
      <c r="F5" s="28" t="s">
        <v>223</v>
      </c>
      <c r="G5" s="16"/>
    </row>
    <row r="6" customFormat="false" ht="21.75" hidden="false" customHeight="true" outlineLevel="0" collapsed="false">
      <c r="B6" s="9" t="s">
        <v>564</v>
      </c>
      <c r="C6" s="37"/>
      <c r="D6" s="30" t="s">
        <v>236</v>
      </c>
      <c r="E6" s="38" t="s">
        <v>565</v>
      </c>
      <c r="F6" s="39" t="n">
        <v>0.02</v>
      </c>
      <c r="G6" s="40" t="str">
        <f aca="false">IF(ISBLANK(C6),IF(Fill_Example="Yes",F6,""),C6)</f>
        <v/>
      </c>
    </row>
    <row r="7" customFormat="false" ht="27.75" hidden="false" customHeight="true" outlineLevel="0" collapsed="false">
      <c r="B7" s="56" t="s">
        <v>566</v>
      </c>
      <c r="C7" s="56"/>
      <c r="D7" s="56"/>
      <c r="E7" s="56"/>
    </row>
    <row r="9" customFormat="false" ht="15" hidden="false" customHeight="true" outlineLevel="0" collapsed="false">
      <c r="B9" s="15" t="s">
        <v>309</v>
      </c>
      <c r="C9" s="16"/>
      <c r="D9" s="16"/>
      <c r="E9" s="16"/>
      <c r="F9" s="16"/>
      <c r="G9" s="16"/>
    </row>
    <row r="10" customFormat="false" ht="27.75" hidden="false" customHeight="true" outlineLevel="0" collapsed="false">
      <c r="B10" s="56" t="s">
        <v>882</v>
      </c>
      <c r="C10" s="56"/>
      <c r="D10" s="56"/>
      <c r="E10" s="56"/>
    </row>
    <row r="11" customFormat="false" ht="15" hidden="false" customHeight="true" outlineLevel="0" collapsed="false">
      <c r="B11" s="9" t="s">
        <v>721</v>
      </c>
      <c r="C11" s="57"/>
      <c r="D11" s="30" t="s">
        <v>225</v>
      </c>
      <c r="E11" s="31" t="s">
        <v>638</v>
      </c>
      <c r="G11" s="55" t="s">
        <v>313</v>
      </c>
    </row>
    <row r="12" customFormat="false" ht="15" hidden="false" customHeight="true" outlineLevel="0" collapsed="false">
      <c r="B12" s="9" t="s">
        <v>714</v>
      </c>
      <c r="C12" s="57"/>
      <c r="D12" s="30" t="s">
        <v>225</v>
      </c>
      <c r="E12" s="31" t="s">
        <v>715</v>
      </c>
      <c r="G12" s="55" t="s">
        <v>313</v>
      </c>
    </row>
    <row r="13" customFormat="false" ht="15" hidden="false" customHeight="true" outlineLevel="0" collapsed="false">
      <c r="B13" s="9" t="s">
        <v>320</v>
      </c>
      <c r="C13" s="60"/>
      <c r="D13" s="30" t="s">
        <v>321</v>
      </c>
      <c r="E13" s="31" t="s">
        <v>322</v>
      </c>
      <c r="G13" s="55" t="s">
        <v>313</v>
      </c>
    </row>
    <row r="15" customFormat="false" ht="15" hidden="false" customHeight="true" outlineLevel="0" collapsed="false">
      <c r="B15" s="15" t="s">
        <v>323</v>
      </c>
      <c r="C15" s="27" t="s">
        <v>220</v>
      </c>
      <c r="D15" s="27" t="s">
        <v>221</v>
      </c>
      <c r="E15" s="27" t="s">
        <v>222</v>
      </c>
      <c r="F15" s="28" t="s">
        <v>223</v>
      </c>
      <c r="G15" s="16"/>
    </row>
    <row r="16" customFormat="false" ht="21.75" hidden="false" customHeight="true" outlineLevel="0" collapsed="false">
      <c r="B16" s="9" t="s">
        <v>883</v>
      </c>
      <c r="C16" s="29"/>
      <c r="D16" s="30" t="s">
        <v>225</v>
      </c>
      <c r="E16" s="31" t="s">
        <v>884</v>
      </c>
      <c r="F16" s="32" t="n">
        <v>400000</v>
      </c>
      <c r="G16" s="33" t="str">
        <f aca="false">IF(ISBLANK(C16),IF(Fill_Example="Yes",F16,""),C16)</f>
        <v/>
      </c>
    </row>
    <row r="17" customFormat="false" ht="15" hidden="false" customHeight="true" outlineLevel="0" collapsed="false">
      <c r="B17" s="9" t="s">
        <v>885</v>
      </c>
      <c r="C17" s="29"/>
      <c r="D17" s="30" t="s">
        <v>225</v>
      </c>
      <c r="E17" s="31" t="s">
        <v>886</v>
      </c>
      <c r="F17" s="32" t="n">
        <v>24000</v>
      </c>
      <c r="G17" s="33" t="str">
        <f aca="false">IF(ISBLANK(C17),IF(Fill_Example="Yes",F17,""),C17)</f>
        <v/>
      </c>
    </row>
    <row r="18" customFormat="false" ht="21.75" hidden="false" customHeight="true" outlineLevel="0" collapsed="false">
      <c r="B18" s="9" t="s">
        <v>887</v>
      </c>
      <c r="C18" s="37"/>
      <c r="D18" s="30" t="s">
        <v>236</v>
      </c>
      <c r="E18" s="38" t="s">
        <v>888</v>
      </c>
      <c r="F18" s="39" t="n">
        <v>0.0315</v>
      </c>
      <c r="G18" s="40" t="str">
        <f aca="false">IF(ISBLANK(C18),IF(Fill_Example="Yes",F18,""),C18)</f>
        <v/>
      </c>
    </row>
    <row r="19" customFormat="false" ht="21.75" hidden="false" customHeight="true" outlineLevel="0" collapsed="false">
      <c r="B19" s="9" t="s">
        <v>889</v>
      </c>
      <c r="C19" s="34"/>
      <c r="D19" s="30"/>
      <c r="E19" s="38" t="s">
        <v>890</v>
      </c>
      <c r="F19" s="35" t="s">
        <v>891</v>
      </c>
      <c r="G19" s="36" t="str">
        <f aca="false">IF(ISBLANK(C19),IF(Fill_Example="Yes",F19,""),C19)</f>
        <v/>
      </c>
    </row>
    <row r="20" customFormat="false" ht="21.75" hidden="false" customHeight="true" outlineLevel="0" collapsed="false">
      <c r="B20" s="9" t="s">
        <v>892</v>
      </c>
      <c r="C20" s="41"/>
      <c r="D20" s="30" t="s">
        <v>719</v>
      </c>
      <c r="E20" s="38" t="s">
        <v>893</v>
      </c>
      <c r="F20" s="42" t="n">
        <v>66</v>
      </c>
      <c r="G20" s="43" t="str">
        <f aca="false">IF(ISBLANK(C20),IF(Fill_Example="Yes",F20,""),C20)</f>
        <v/>
      </c>
    </row>
    <row r="21" customFormat="false" ht="21.75" hidden="false" customHeight="true" outlineLevel="0" collapsed="false">
      <c r="B21" s="9" t="s">
        <v>894</v>
      </c>
      <c r="C21" s="41"/>
      <c r="D21" s="30" t="s">
        <v>719</v>
      </c>
      <c r="E21" s="38" t="s">
        <v>895</v>
      </c>
      <c r="F21" s="42" t="n">
        <v>90</v>
      </c>
      <c r="G21" s="43" t="str">
        <f aca="false">IF(ISBLANK(C21),IF(Fill_Example="Yes",F21,""),C21)</f>
        <v/>
      </c>
    </row>
    <row r="23" customFormat="false" ht="15" hidden="false" customHeight="true" outlineLevel="0" collapsed="false">
      <c r="B23" s="15" t="s">
        <v>332</v>
      </c>
      <c r="C23" s="16"/>
      <c r="D23" s="16"/>
      <c r="E23" s="16"/>
      <c r="F23" s="16"/>
      <c r="G23" s="16"/>
    </row>
    <row r="24" customFormat="false" ht="15" hidden="false" customHeight="true" outlineLevel="0" collapsed="false">
      <c r="B24" s="9" t="s">
        <v>883</v>
      </c>
      <c r="C24" s="61" t="str">
        <f aca="false">IF(NOT(ISBLANK(Stmt_Projected_Fund)),Stmt_Projected_Fund,IF(NOT(ISBLANK(Stmt_Fund_Value)),Stmt_Fund_Value,Retirement_Savings))</f>
        <v/>
      </c>
      <c r="D24" s="62" t="str">
        <f aca="false">IF(NOT(ISBLANK(Stmt_Projected_Fund)),"From your statement (projected fund)",IF(NOT(ISBLANK(Stmt_Fund_Value)),"From your statement (fund value today)","Your figure"))</f>
        <v>Your figure</v>
      </c>
      <c r="E24" s="52" t="s">
        <v>896</v>
      </c>
    </row>
    <row r="25" customFormat="false" ht="21.75" hidden="false" customHeight="true" outlineLevel="0" collapsed="false">
      <c r="B25" s="9" t="s">
        <v>338</v>
      </c>
      <c r="C25" s="48" t="str">
        <f aca="true">IF(ISBLANK(Stmt_Statement_Date),"",IF(TODAY()-Stmt_Statement_Date&gt;Statement_Max_Age_Days,"Needs a look: statement is more than 12 months old","Up to date"))</f>
        <v/>
      </c>
      <c r="D25" s="30"/>
      <c r="E25" s="45" t="s">
        <v>339</v>
      </c>
    </row>
    <row r="27" customFormat="false" ht="15" hidden="false" customHeight="true" outlineLevel="0" collapsed="false">
      <c r="B27" s="15" t="s">
        <v>245</v>
      </c>
      <c r="C27" s="27" t="s">
        <v>246</v>
      </c>
      <c r="D27" s="27" t="s">
        <v>247</v>
      </c>
      <c r="E27" s="27" t="s">
        <v>248</v>
      </c>
      <c r="F27" s="16"/>
      <c r="G27" s="16"/>
    </row>
    <row r="28" customFormat="false" ht="23.25" hidden="false" customHeight="true" outlineLevel="0" collapsed="false">
      <c r="B28" s="24" t="s">
        <v>897</v>
      </c>
      <c r="C28" s="65" t="str">
        <f aca="false">IF(Need_1&lt;&gt;"",Need_1,IF(Inflation_Choice="","Choose your inflation rate to see this",SUM(W_paid)))</f>
        <v>Choose your inflation rate to see this</v>
      </c>
      <c r="D28" s="66" t="str">
        <f aca="false">IF(Need_1&lt;&gt;"",Need_1,IF(ISNUMBER(Years_Lasting),IF(Years_Lasting&gt;=Cap_Years,Cap_Years&amp;"+ years",IF(Years_Lasting&lt;1,"Less than a year",Years_Lasting&amp;IF(Years_Lasting=1," year"," years"))),"Choose your inflation rate to see this"))</f>
        <v>Choose your inflation rate to see this</v>
      </c>
      <c r="E28" s="45" t="s">
        <v>898</v>
      </c>
    </row>
    <row r="29" customFormat="false" ht="23.25" hidden="false" customHeight="true" outlineLevel="0" collapsed="false">
      <c r="B29" s="24" t="s">
        <v>899</v>
      </c>
      <c r="C29" s="65" t="str">
        <f aca="false">IF(Need_2&lt;&gt;"",Need_2,IF(ISNUMBER(Years_Lasting),IF(Years_Lasting&gt;=Cap_Years,"Beyond "&amp;Plan_To_Age,IF(Years_Lasting&lt;1,"Less than a year",Age_At_Start+Years_Lasting)),"Choose your inflation rate to see this"))</f>
        <v>Choose your inflation rate to see this</v>
      </c>
      <c r="D29" s="66" t="str">
        <f aca="false">IF(Need_2&lt;&gt;"",Need_2,IF(ISNUMBER(Years_Lasting),IF(Years_Lasting&gt;=Cap_Years,"Beyond "&amp;Plan_To_Age&amp;" (your plan-until age)",IF(Years_Lasting&lt;1,"Less than a year after you start",IF(Age_At_Start+Years_Lasting&gt;=Plan_To_Age,"Lasts to your plan age ("&amp;Plan_To_Age&amp;")","Runs out "&amp;(Plan_To_Age-Age_At_Start-Years_Lasting)&amp;" years before your plan age"))),"Choose your inflation rate to see this"))</f>
        <v>Choose your inflation rate to see this</v>
      </c>
      <c r="E29" s="45" t="s">
        <v>900</v>
      </c>
    </row>
    <row r="30" customFormat="false" ht="15" hidden="false" customHeight="true" outlineLevel="0" collapsed="false">
      <c r="B30" s="9" t="s">
        <v>901</v>
      </c>
      <c r="C30" s="80" t="str">
        <f aca="false">IF(Need_3&lt;&gt;"",Need_3,Yearly_Withdrawal/Used_Retirement_Savings)</f>
        <v>Choose your yearly withdrawal to see this</v>
      </c>
      <c r="D30" s="30" t="s">
        <v>236</v>
      </c>
      <c r="E30" s="45" t="s">
        <v>902</v>
      </c>
    </row>
    <row r="31" customFormat="false" ht="15" hidden="false" customHeight="true" outlineLevel="0" collapsed="false">
      <c r="B31" s="15" t="s">
        <v>903</v>
      </c>
      <c r="C31" s="16"/>
      <c r="D31" s="16"/>
      <c r="E31" s="16"/>
      <c r="F31" s="16"/>
      <c r="G31" s="16"/>
    </row>
    <row r="32" customFormat="false" ht="27.75" hidden="false" customHeight="true" outlineLevel="0" collapsed="false">
      <c r="B32" s="81" t="s">
        <v>904</v>
      </c>
      <c r="C32" s="81" t="s">
        <v>905</v>
      </c>
      <c r="D32" s="81" t="s">
        <v>906</v>
      </c>
      <c r="E32" s="81" t="s">
        <v>907</v>
      </c>
      <c r="F32" s="81" t="s">
        <v>908</v>
      </c>
    </row>
    <row r="33" customFormat="false" ht="15" hidden="false" customHeight="true" outlineLevel="0" collapsed="false">
      <c r="B33" s="82" t="n">
        <v>1</v>
      </c>
      <c r="C33" s="83" t="str">
        <f aca="false">IF(Need_1&lt;&gt;"","",Yearly_Withdrawal)</f>
        <v/>
      </c>
      <c r="D33" s="83" t="str">
        <f aca="false">IF(Need_1&lt;&gt;"","",Used_Retirement_Savings)</f>
        <v/>
      </c>
      <c r="E33" s="82" t="str">
        <f aca="false">IF(Need_1&lt;&gt;"","",IF(Withdrawal_Timing="Start of year",IF(D33&gt;=C33,1,0),IF(D33*(1+Growth_Rate)&gt;=C33,1,0)))</f>
        <v/>
      </c>
      <c r="F33" s="83" t="str">
        <f aca="false">IF(Need_1&lt;&gt;"","",IF(E33=1,IF(Withdrawal_Timing="Start of year",(D33-C33)*(1+Growth_Rate),D33*(1+Growth_Rate)-C33),0))</f>
        <v/>
      </c>
    </row>
    <row r="34" customFormat="false" ht="15" hidden="false" customHeight="true" outlineLevel="0" collapsed="false">
      <c r="B34" s="82" t="n">
        <v>2</v>
      </c>
      <c r="C34" s="83" t="str">
        <f aca="false">IF(Need_1&lt;&gt;"","",C33*(1+Inflation_Choice))</f>
        <v/>
      </c>
      <c r="D34" s="83" t="str">
        <f aca="false">IF(Need_1&lt;&gt;"","",F33)</f>
        <v/>
      </c>
      <c r="E34" s="82" t="str">
        <f aca="false">IF(Need_1&lt;&gt;"","",IF(Withdrawal_Timing="Start of year",IF(D34&gt;=C34,1,0),IF(D34*(1+Growth_Rate)&gt;=C34,1,0)))</f>
        <v/>
      </c>
      <c r="F34" s="83" t="str">
        <f aca="false">IF(Need_1&lt;&gt;"","",IF(E34=1,IF(Withdrawal_Timing="Start of year",(D34-C34)*(1+Growth_Rate),D34*(1+Growth_Rate)-C34),0))</f>
        <v/>
      </c>
    </row>
    <row r="35" customFormat="false" ht="15" hidden="false" customHeight="true" outlineLevel="0" collapsed="false">
      <c r="B35" s="82" t="n">
        <v>3</v>
      </c>
      <c r="C35" s="83" t="str">
        <f aca="false">IF(Need_1&lt;&gt;"","",C34*(1+Inflation_Choice))</f>
        <v/>
      </c>
      <c r="D35" s="83" t="str">
        <f aca="false">IF(Need_1&lt;&gt;"","",F34)</f>
        <v/>
      </c>
      <c r="E35" s="82" t="str">
        <f aca="false">IF(Need_1&lt;&gt;"","",IF(Withdrawal_Timing="Start of year",IF(D35&gt;=C35,1,0),IF(D35*(1+Growth_Rate)&gt;=C35,1,0)))</f>
        <v/>
      </c>
      <c r="F35" s="83" t="str">
        <f aca="false">IF(Need_1&lt;&gt;"","",IF(E35=1,IF(Withdrawal_Timing="Start of year",(D35-C35)*(1+Growth_Rate),D35*(1+Growth_Rate)-C35),0))</f>
        <v/>
      </c>
    </row>
    <row r="36" customFormat="false" ht="15" hidden="false" customHeight="true" outlineLevel="0" collapsed="false">
      <c r="B36" s="82" t="n">
        <v>4</v>
      </c>
      <c r="C36" s="83" t="str">
        <f aca="false">IF(Need_1&lt;&gt;"","",C35*(1+Inflation_Choice))</f>
        <v/>
      </c>
      <c r="D36" s="83" t="str">
        <f aca="false">IF(Need_1&lt;&gt;"","",F35)</f>
        <v/>
      </c>
      <c r="E36" s="82" t="str">
        <f aca="false">IF(Need_1&lt;&gt;"","",IF(Withdrawal_Timing="Start of year",IF(D36&gt;=C36,1,0),IF(D36*(1+Growth_Rate)&gt;=C36,1,0)))</f>
        <v/>
      </c>
      <c r="F36" s="83" t="str">
        <f aca="false">IF(Need_1&lt;&gt;"","",IF(E36=1,IF(Withdrawal_Timing="Start of year",(D36-C36)*(1+Growth_Rate),D36*(1+Growth_Rate)-C36),0))</f>
        <v/>
      </c>
    </row>
    <row r="37" customFormat="false" ht="15" hidden="false" customHeight="true" outlineLevel="0" collapsed="false">
      <c r="B37" s="82" t="n">
        <v>5</v>
      </c>
      <c r="C37" s="83" t="str">
        <f aca="false">IF(Need_1&lt;&gt;"","",C36*(1+Inflation_Choice))</f>
        <v/>
      </c>
      <c r="D37" s="83" t="str">
        <f aca="false">IF(Need_1&lt;&gt;"","",F36)</f>
        <v/>
      </c>
      <c r="E37" s="82" t="str">
        <f aca="false">IF(Need_1&lt;&gt;"","",IF(Withdrawal_Timing="Start of year",IF(D37&gt;=C37,1,0),IF(D37*(1+Growth_Rate)&gt;=C37,1,0)))</f>
        <v/>
      </c>
      <c r="F37" s="83" t="str">
        <f aca="false">IF(Need_1&lt;&gt;"","",IF(E37=1,IF(Withdrawal_Timing="Start of year",(D37-C37)*(1+Growth_Rate),D37*(1+Growth_Rate)-C37),0))</f>
        <v/>
      </c>
    </row>
    <row r="38" customFormat="false" ht="15" hidden="false" customHeight="true" outlineLevel="0" collapsed="false">
      <c r="B38" s="82" t="n">
        <v>6</v>
      </c>
      <c r="C38" s="83" t="str">
        <f aca="false">IF(Need_1&lt;&gt;"","",C37*(1+Inflation_Choice))</f>
        <v/>
      </c>
      <c r="D38" s="83" t="str">
        <f aca="false">IF(Need_1&lt;&gt;"","",F37)</f>
        <v/>
      </c>
      <c r="E38" s="82" t="str">
        <f aca="false">IF(Need_1&lt;&gt;"","",IF(Withdrawal_Timing="Start of year",IF(D38&gt;=C38,1,0),IF(D38*(1+Growth_Rate)&gt;=C38,1,0)))</f>
        <v/>
      </c>
      <c r="F38" s="83" t="str">
        <f aca="false">IF(Need_1&lt;&gt;"","",IF(E38=1,IF(Withdrawal_Timing="Start of year",(D38-C38)*(1+Growth_Rate),D38*(1+Growth_Rate)-C38),0))</f>
        <v/>
      </c>
    </row>
    <row r="39" customFormat="false" ht="15" hidden="false" customHeight="true" outlineLevel="0" collapsed="false">
      <c r="B39" s="82" t="n">
        <v>7</v>
      </c>
      <c r="C39" s="83" t="str">
        <f aca="false">IF(Need_1&lt;&gt;"","",C38*(1+Inflation_Choice))</f>
        <v/>
      </c>
      <c r="D39" s="83" t="str">
        <f aca="false">IF(Need_1&lt;&gt;"","",F38)</f>
        <v/>
      </c>
      <c r="E39" s="82" t="str">
        <f aca="false">IF(Need_1&lt;&gt;"","",IF(Withdrawal_Timing="Start of year",IF(D39&gt;=C39,1,0),IF(D39*(1+Growth_Rate)&gt;=C39,1,0)))</f>
        <v/>
      </c>
      <c r="F39" s="83" t="str">
        <f aca="false">IF(Need_1&lt;&gt;"","",IF(E39=1,IF(Withdrawal_Timing="Start of year",(D39-C39)*(1+Growth_Rate),D39*(1+Growth_Rate)-C39),0))</f>
        <v/>
      </c>
    </row>
    <row r="40" customFormat="false" ht="15" hidden="false" customHeight="true" outlineLevel="0" collapsed="false">
      <c r="B40" s="82" t="n">
        <v>8</v>
      </c>
      <c r="C40" s="83" t="str">
        <f aca="false">IF(Need_1&lt;&gt;"","",C39*(1+Inflation_Choice))</f>
        <v/>
      </c>
      <c r="D40" s="83" t="str">
        <f aca="false">IF(Need_1&lt;&gt;"","",F39)</f>
        <v/>
      </c>
      <c r="E40" s="82" t="str">
        <f aca="false">IF(Need_1&lt;&gt;"","",IF(Withdrawal_Timing="Start of year",IF(D40&gt;=C40,1,0),IF(D40*(1+Growth_Rate)&gt;=C40,1,0)))</f>
        <v/>
      </c>
      <c r="F40" s="83" t="str">
        <f aca="false">IF(Need_1&lt;&gt;"","",IF(E40=1,IF(Withdrawal_Timing="Start of year",(D40-C40)*(1+Growth_Rate),D40*(1+Growth_Rate)-C40),0))</f>
        <v/>
      </c>
    </row>
    <row r="41" customFormat="false" ht="15" hidden="false" customHeight="true" outlineLevel="0" collapsed="false">
      <c r="B41" s="82" t="n">
        <v>9</v>
      </c>
      <c r="C41" s="83" t="str">
        <f aca="false">IF(Need_1&lt;&gt;"","",C40*(1+Inflation_Choice))</f>
        <v/>
      </c>
      <c r="D41" s="83" t="str">
        <f aca="false">IF(Need_1&lt;&gt;"","",F40)</f>
        <v/>
      </c>
      <c r="E41" s="82" t="str">
        <f aca="false">IF(Need_1&lt;&gt;"","",IF(Withdrawal_Timing="Start of year",IF(D41&gt;=C41,1,0),IF(D41*(1+Growth_Rate)&gt;=C41,1,0)))</f>
        <v/>
      </c>
      <c r="F41" s="83" t="str">
        <f aca="false">IF(Need_1&lt;&gt;"","",IF(E41=1,IF(Withdrawal_Timing="Start of year",(D41-C41)*(1+Growth_Rate),D41*(1+Growth_Rate)-C41),0))</f>
        <v/>
      </c>
    </row>
    <row r="42" customFormat="false" ht="15" hidden="false" customHeight="true" outlineLevel="0" collapsed="false">
      <c r="B42" s="82" t="n">
        <v>10</v>
      </c>
      <c r="C42" s="83" t="str">
        <f aca="false">IF(Need_1&lt;&gt;"","",C41*(1+Inflation_Choice))</f>
        <v/>
      </c>
      <c r="D42" s="83" t="str">
        <f aca="false">IF(Need_1&lt;&gt;"","",F41)</f>
        <v/>
      </c>
      <c r="E42" s="82" t="str">
        <f aca="false">IF(Need_1&lt;&gt;"","",IF(Withdrawal_Timing="Start of year",IF(D42&gt;=C42,1,0),IF(D42*(1+Growth_Rate)&gt;=C42,1,0)))</f>
        <v/>
      </c>
      <c r="F42" s="83" t="str">
        <f aca="false">IF(Need_1&lt;&gt;"","",IF(E42=1,IF(Withdrawal_Timing="Start of year",(D42-C42)*(1+Growth_Rate),D42*(1+Growth_Rate)-C42),0))</f>
        <v/>
      </c>
    </row>
    <row r="43" customFormat="false" ht="15" hidden="false" customHeight="true" outlineLevel="0" collapsed="false">
      <c r="B43" s="82" t="n">
        <v>11</v>
      </c>
      <c r="C43" s="83" t="str">
        <f aca="false">IF(Need_1&lt;&gt;"","",C42*(1+Inflation_Choice))</f>
        <v/>
      </c>
      <c r="D43" s="83" t="str">
        <f aca="false">IF(Need_1&lt;&gt;"","",F42)</f>
        <v/>
      </c>
      <c r="E43" s="82" t="str">
        <f aca="false">IF(Need_1&lt;&gt;"","",IF(Withdrawal_Timing="Start of year",IF(D43&gt;=C43,1,0),IF(D43*(1+Growth_Rate)&gt;=C43,1,0)))</f>
        <v/>
      </c>
      <c r="F43" s="83" t="str">
        <f aca="false">IF(Need_1&lt;&gt;"","",IF(E43=1,IF(Withdrawal_Timing="Start of year",(D43-C43)*(1+Growth_Rate),D43*(1+Growth_Rate)-C43),0))</f>
        <v/>
      </c>
    </row>
    <row r="44" customFormat="false" ht="15" hidden="false" customHeight="true" outlineLevel="0" collapsed="false">
      <c r="B44" s="82" t="n">
        <v>12</v>
      </c>
      <c r="C44" s="83" t="str">
        <f aca="false">IF(Need_1&lt;&gt;"","",C43*(1+Inflation_Choice))</f>
        <v/>
      </c>
      <c r="D44" s="83" t="str">
        <f aca="false">IF(Need_1&lt;&gt;"","",F43)</f>
        <v/>
      </c>
      <c r="E44" s="82" t="str">
        <f aca="false">IF(Need_1&lt;&gt;"","",IF(Withdrawal_Timing="Start of year",IF(D44&gt;=C44,1,0),IF(D44*(1+Growth_Rate)&gt;=C44,1,0)))</f>
        <v/>
      </c>
      <c r="F44" s="83" t="str">
        <f aca="false">IF(Need_1&lt;&gt;"","",IF(E44=1,IF(Withdrawal_Timing="Start of year",(D44-C44)*(1+Growth_Rate),D44*(1+Growth_Rate)-C44),0))</f>
        <v/>
      </c>
    </row>
    <row r="45" customFormat="false" ht="15" hidden="false" customHeight="true" outlineLevel="0" collapsed="false">
      <c r="B45" s="82" t="n">
        <v>13</v>
      </c>
      <c r="C45" s="83" t="str">
        <f aca="false">IF(Need_1&lt;&gt;"","",C44*(1+Inflation_Choice))</f>
        <v/>
      </c>
      <c r="D45" s="83" t="str">
        <f aca="false">IF(Need_1&lt;&gt;"","",F44)</f>
        <v/>
      </c>
      <c r="E45" s="82" t="str">
        <f aca="false">IF(Need_1&lt;&gt;"","",IF(Withdrawal_Timing="Start of year",IF(D45&gt;=C45,1,0),IF(D45*(1+Growth_Rate)&gt;=C45,1,0)))</f>
        <v/>
      </c>
      <c r="F45" s="83" t="str">
        <f aca="false">IF(Need_1&lt;&gt;"","",IF(E45=1,IF(Withdrawal_Timing="Start of year",(D45-C45)*(1+Growth_Rate),D45*(1+Growth_Rate)-C45),0))</f>
        <v/>
      </c>
    </row>
    <row r="46" customFormat="false" ht="15" hidden="false" customHeight="true" outlineLevel="0" collapsed="false">
      <c r="B46" s="82" t="n">
        <v>14</v>
      </c>
      <c r="C46" s="83" t="str">
        <f aca="false">IF(Need_1&lt;&gt;"","",C45*(1+Inflation_Choice))</f>
        <v/>
      </c>
      <c r="D46" s="83" t="str">
        <f aca="false">IF(Need_1&lt;&gt;"","",F45)</f>
        <v/>
      </c>
      <c r="E46" s="82" t="str">
        <f aca="false">IF(Need_1&lt;&gt;"","",IF(Withdrawal_Timing="Start of year",IF(D46&gt;=C46,1,0),IF(D46*(1+Growth_Rate)&gt;=C46,1,0)))</f>
        <v/>
      </c>
      <c r="F46" s="83" t="str">
        <f aca="false">IF(Need_1&lt;&gt;"","",IF(E46=1,IF(Withdrawal_Timing="Start of year",(D46-C46)*(1+Growth_Rate),D46*(1+Growth_Rate)-C46),0))</f>
        <v/>
      </c>
    </row>
    <row r="47" customFormat="false" ht="15" hidden="false" customHeight="true" outlineLevel="0" collapsed="false">
      <c r="B47" s="82" t="n">
        <v>15</v>
      </c>
      <c r="C47" s="83" t="str">
        <f aca="false">IF(Need_1&lt;&gt;"","",C46*(1+Inflation_Choice))</f>
        <v/>
      </c>
      <c r="D47" s="83" t="str">
        <f aca="false">IF(Need_1&lt;&gt;"","",F46)</f>
        <v/>
      </c>
      <c r="E47" s="82" t="str">
        <f aca="false">IF(Need_1&lt;&gt;"","",IF(Withdrawal_Timing="Start of year",IF(D47&gt;=C47,1,0),IF(D47*(1+Growth_Rate)&gt;=C47,1,0)))</f>
        <v/>
      </c>
      <c r="F47" s="83" t="str">
        <f aca="false">IF(Need_1&lt;&gt;"","",IF(E47=1,IF(Withdrawal_Timing="Start of year",(D47-C47)*(1+Growth_Rate),D47*(1+Growth_Rate)-C47),0))</f>
        <v/>
      </c>
    </row>
    <row r="48" customFormat="false" ht="15" hidden="false" customHeight="true" outlineLevel="0" collapsed="false">
      <c r="B48" s="82" t="n">
        <v>16</v>
      </c>
      <c r="C48" s="83" t="str">
        <f aca="false">IF(Need_1&lt;&gt;"","",C47*(1+Inflation_Choice))</f>
        <v/>
      </c>
      <c r="D48" s="83" t="str">
        <f aca="false">IF(Need_1&lt;&gt;"","",F47)</f>
        <v/>
      </c>
      <c r="E48" s="82" t="str">
        <f aca="false">IF(Need_1&lt;&gt;"","",IF(Withdrawal_Timing="Start of year",IF(D48&gt;=C48,1,0),IF(D48*(1+Growth_Rate)&gt;=C48,1,0)))</f>
        <v/>
      </c>
      <c r="F48" s="83" t="str">
        <f aca="false">IF(Need_1&lt;&gt;"","",IF(E48=1,IF(Withdrawal_Timing="Start of year",(D48-C48)*(1+Growth_Rate),D48*(1+Growth_Rate)-C48),0))</f>
        <v/>
      </c>
    </row>
    <row r="49" customFormat="false" ht="15" hidden="false" customHeight="true" outlineLevel="0" collapsed="false">
      <c r="B49" s="82" t="n">
        <v>17</v>
      </c>
      <c r="C49" s="83" t="str">
        <f aca="false">IF(Need_1&lt;&gt;"","",C48*(1+Inflation_Choice))</f>
        <v/>
      </c>
      <c r="D49" s="83" t="str">
        <f aca="false">IF(Need_1&lt;&gt;"","",F48)</f>
        <v/>
      </c>
      <c r="E49" s="82" t="str">
        <f aca="false">IF(Need_1&lt;&gt;"","",IF(Withdrawal_Timing="Start of year",IF(D49&gt;=C49,1,0),IF(D49*(1+Growth_Rate)&gt;=C49,1,0)))</f>
        <v/>
      </c>
      <c r="F49" s="83" t="str">
        <f aca="false">IF(Need_1&lt;&gt;"","",IF(E49=1,IF(Withdrawal_Timing="Start of year",(D49-C49)*(1+Growth_Rate),D49*(1+Growth_Rate)-C49),0))</f>
        <v/>
      </c>
    </row>
    <row r="50" customFormat="false" ht="15" hidden="false" customHeight="true" outlineLevel="0" collapsed="false">
      <c r="B50" s="82" t="n">
        <v>18</v>
      </c>
      <c r="C50" s="83" t="str">
        <f aca="false">IF(Need_1&lt;&gt;"","",C49*(1+Inflation_Choice))</f>
        <v/>
      </c>
      <c r="D50" s="83" t="str">
        <f aca="false">IF(Need_1&lt;&gt;"","",F49)</f>
        <v/>
      </c>
      <c r="E50" s="82" t="str">
        <f aca="false">IF(Need_1&lt;&gt;"","",IF(Withdrawal_Timing="Start of year",IF(D50&gt;=C50,1,0),IF(D50*(1+Growth_Rate)&gt;=C50,1,0)))</f>
        <v/>
      </c>
      <c r="F50" s="83" t="str">
        <f aca="false">IF(Need_1&lt;&gt;"","",IF(E50=1,IF(Withdrawal_Timing="Start of year",(D50-C50)*(1+Growth_Rate),D50*(1+Growth_Rate)-C50),0))</f>
        <v/>
      </c>
    </row>
    <row r="51" customFormat="false" ht="15" hidden="false" customHeight="true" outlineLevel="0" collapsed="false">
      <c r="B51" s="82" t="n">
        <v>19</v>
      </c>
      <c r="C51" s="83" t="str">
        <f aca="false">IF(Need_1&lt;&gt;"","",C50*(1+Inflation_Choice))</f>
        <v/>
      </c>
      <c r="D51" s="83" t="str">
        <f aca="false">IF(Need_1&lt;&gt;"","",F50)</f>
        <v/>
      </c>
      <c r="E51" s="82" t="str">
        <f aca="false">IF(Need_1&lt;&gt;"","",IF(Withdrawal_Timing="Start of year",IF(D51&gt;=C51,1,0),IF(D51*(1+Growth_Rate)&gt;=C51,1,0)))</f>
        <v/>
      </c>
      <c r="F51" s="83" t="str">
        <f aca="false">IF(Need_1&lt;&gt;"","",IF(E51=1,IF(Withdrawal_Timing="Start of year",(D51-C51)*(1+Growth_Rate),D51*(1+Growth_Rate)-C51),0))</f>
        <v/>
      </c>
    </row>
    <row r="52" customFormat="false" ht="15" hidden="false" customHeight="true" outlineLevel="0" collapsed="false">
      <c r="B52" s="82" t="n">
        <v>20</v>
      </c>
      <c r="C52" s="83" t="str">
        <f aca="false">IF(Need_1&lt;&gt;"","",C51*(1+Inflation_Choice))</f>
        <v/>
      </c>
      <c r="D52" s="83" t="str">
        <f aca="false">IF(Need_1&lt;&gt;"","",F51)</f>
        <v/>
      </c>
      <c r="E52" s="82" t="str">
        <f aca="false">IF(Need_1&lt;&gt;"","",IF(Withdrawal_Timing="Start of year",IF(D52&gt;=C52,1,0),IF(D52*(1+Growth_Rate)&gt;=C52,1,0)))</f>
        <v/>
      </c>
      <c r="F52" s="83" t="str">
        <f aca="false">IF(Need_1&lt;&gt;"","",IF(E52=1,IF(Withdrawal_Timing="Start of year",(D52-C52)*(1+Growth_Rate),D52*(1+Growth_Rate)-C52),0))</f>
        <v/>
      </c>
    </row>
    <row r="53" customFormat="false" ht="15" hidden="false" customHeight="true" outlineLevel="0" collapsed="false">
      <c r="B53" s="82" t="n">
        <v>21</v>
      </c>
      <c r="C53" s="83" t="str">
        <f aca="false">IF(Need_1&lt;&gt;"","",C52*(1+Inflation_Choice))</f>
        <v/>
      </c>
      <c r="D53" s="83" t="str">
        <f aca="false">IF(Need_1&lt;&gt;"","",F52)</f>
        <v/>
      </c>
      <c r="E53" s="82" t="str">
        <f aca="false">IF(Need_1&lt;&gt;"","",IF(Withdrawal_Timing="Start of year",IF(D53&gt;=C53,1,0),IF(D53*(1+Growth_Rate)&gt;=C53,1,0)))</f>
        <v/>
      </c>
      <c r="F53" s="83" t="str">
        <f aca="false">IF(Need_1&lt;&gt;"","",IF(E53=1,IF(Withdrawal_Timing="Start of year",(D53-C53)*(1+Growth_Rate),D53*(1+Growth_Rate)-C53),0))</f>
        <v/>
      </c>
    </row>
    <row r="54" customFormat="false" ht="15" hidden="false" customHeight="true" outlineLevel="0" collapsed="false">
      <c r="B54" s="82" t="n">
        <v>22</v>
      </c>
      <c r="C54" s="83" t="str">
        <f aca="false">IF(Need_1&lt;&gt;"","",C53*(1+Inflation_Choice))</f>
        <v/>
      </c>
      <c r="D54" s="83" t="str">
        <f aca="false">IF(Need_1&lt;&gt;"","",F53)</f>
        <v/>
      </c>
      <c r="E54" s="82" t="str">
        <f aca="false">IF(Need_1&lt;&gt;"","",IF(Withdrawal_Timing="Start of year",IF(D54&gt;=C54,1,0),IF(D54*(1+Growth_Rate)&gt;=C54,1,0)))</f>
        <v/>
      </c>
      <c r="F54" s="83" t="str">
        <f aca="false">IF(Need_1&lt;&gt;"","",IF(E54=1,IF(Withdrawal_Timing="Start of year",(D54-C54)*(1+Growth_Rate),D54*(1+Growth_Rate)-C54),0))</f>
        <v/>
      </c>
    </row>
    <row r="55" customFormat="false" ht="15" hidden="false" customHeight="true" outlineLevel="0" collapsed="false">
      <c r="B55" s="82" t="n">
        <v>23</v>
      </c>
      <c r="C55" s="83" t="str">
        <f aca="false">IF(Need_1&lt;&gt;"","",C54*(1+Inflation_Choice))</f>
        <v/>
      </c>
      <c r="D55" s="83" t="str">
        <f aca="false">IF(Need_1&lt;&gt;"","",F54)</f>
        <v/>
      </c>
      <c r="E55" s="82" t="str">
        <f aca="false">IF(Need_1&lt;&gt;"","",IF(Withdrawal_Timing="Start of year",IF(D55&gt;=C55,1,0),IF(D55*(1+Growth_Rate)&gt;=C55,1,0)))</f>
        <v/>
      </c>
      <c r="F55" s="83" t="str">
        <f aca="false">IF(Need_1&lt;&gt;"","",IF(E55=1,IF(Withdrawal_Timing="Start of year",(D55-C55)*(1+Growth_Rate),D55*(1+Growth_Rate)-C55),0))</f>
        <v/>
      </c>
    </row>
    <row r="56" customFormat="false" ht="15" hidden="false" customHeight="true" outlineLevel="0" collapsed="false">
      <c r="B56" s="82" t="n">
        <v>24</v>
      </c>
      <c r="C56" s="83" t="str">
        <f aca="false">IF(Need_1&lt;&gt;"","",C55*(1+Inflation_Choice))</f>
        <v/>
      </c>
      <c r="D56" s="83" t="str">
        <f aca="false">IF(Need_1&lt;&gt;"","",F55)</f>
        <v/>
      </c>
      <c r="E56" s="82" t="str">
        <f aca="false">IF(Need_1&lt;&gt;"","",IF(Withdrawal_Timing="Start of year",IF(D56&gt;=C56,1,0),IF(D56*(1+Growth_Rate)&gt;=C56,1,0)))</f>
        <v/>
      </c>
      <c r="F56" s="83" t="str">
        <f aca="false">IF(Need_1&lt;&gt;"","",IF(E56=1,IF(Withdrawal_Timing="Start of year",(D56-C56)*(1+Growth_Rate),D56*(1+Growth_Rate)-C56),0))</f>
        <v/>
      </c>
    </row>
    <row r="57" customFormat="false" ht="15" hidden="false" customHeight="true" outlineLevel="0" collapsed="false">
      <c r="B57" s="82" t="n">
        <v>25</v>
      </c>
      <c r="C57" s="83" t="str">
        <f aca="false">IF(Need_1&lt;&gt;"","",C56*(1+Inflation_Choice))</f>
        <v/>
      </c>
      <c r="D57" s="83" t="str">
        <f aca="false">IF(Need_1&lt;&gt;"","",F56)</f>
        <v/>
      </c>
      <c r="E57" s="82" t="str">
        <f aca="false">IF(Need_1&lt;&gt;"","",IF(Withdrawal_Timing="Start of year",IF(D57&gt;=C57,1,0),IF(D57*(1+Growth_Rate)&gt;=C57,1,0)))</f>
        <v/>
      </c>
      <c r="F57" s="83" t="str">
        <f aca="false">IF(Need_1&lt;&gt;"","",IF(E57=1,IF(Withdrawal_Timing="Start of year",(D57-C57)*(1+Growth_Rate),D57*(1+Growth_Rate)-C57),0))</f>
        <v/>
      </c>
    </row>
    <row r="58" customFormat="false" ht="15" hidden="false" customHeight="true" outlineLevel="0" collapsed="false">
      <c r="B58" s="82" t="n">
        <v>26</v>
      </c>
      <c r="C58" s="83" t="str">
        <f aca="false">IF(Need_1&lt;&gt;"","",C57*(1+Inflation_Choice))</f>
        <v/>
      </c>
      <c r="D58" s="83" t="str">
        <f aca="false">IF(Need_1&lt;&gt;"","",F57)</f>
        <v/>
      </c>
      <c r="E58" s="82" t="str">
        <f aca="false">IF(Need_1&lt;&gt;"","",IF(Withdrawal_Timing="Start of year",IF(D58&gt;=C58,1,0),IF(D58*(1+Growth_Rate)&gt;=C58,1,0)))</f>
        <v/>
      </c>
      <c r="F58" s="83" t="str">
        <f aca="false">IF(Need_1&lt;&gt;"","",IF(E58=1,IF(Withdrawal_Timing="Start of year",(D58-C58)*(1+Growth_Rate),D58*(1+Growth_Rate)-C58),0))</f>
        <v/>
      </c>
    </row>
    <row r="59" customFormat="false" ht="15" hidden="false" customHeight="true" outlineLevel="0" collapsed="false">
      <c r="B59" s="82" t="n">
        <v>27</v>
      </c>
      <c r="C59" s="83" t="str">
        <f aca="false">IF(Need_1&lt;&gt;"","",C58*(1+Inflation_Choice))</f>
        <v/>
      </c>
      <c r="D59" s="83" t="str">
        <f aca="false">IF(Need_1&lt;&gt;"","",F58)</f>
        <v/>
      </c>
      <c r="E59" s="82" t="str">
        <f aca="false">IF(Need_1&lt;&gt;"","",IF(Withdrawal_Timing="Start of year",IF(D59&gt;=C59,1,0),IF(D59*(1+Growth_Rate)&gt;=C59,1,0)))</f>
        <v/>
      </c>
      <c r="F59" s="83" t="str">
        <f aca="false">IF(Need_1&lt;&gt;"","",IF(E59=1,IF(Withdrawal_Timing="Start of year",(D59-C59)*(1+Growth_Rate),D59*(1+Growth_Rate)-C59),0))</f>
        <v/>
      </c>
    </row>
    <row r="60" customFormat="false" ht="15" hidden="false" customHeight="true" outlineLevel="0" collapsed="false">
      <c r="B60" s="82" t="n">
        <v>28</v>
      </c>
      <c r="C60" s="83" t="str">
        <f aca="false">IF(Need_1&lt;&gt;"","",C59*(1+Inflation_Choice))</f>
        <v/>
      </c>
      <c r="D60" s="83" t="str">
        <f aca="false">IF(Need_1&lt;&gt;"","",F59)</f>
        <v/>
      </c>
      <c r="E60" s="82" t="str">
        <f aca="false">IF(Need_1&lt;&gt;"","",IF(Withdrawal_Timing="Start of year",IF(D60&gt;=C60,1,0),IF(D60*(1+Growth_Rate)&gt;=C60,1,0)))</f>
        <v/>
      </c>
      <c r="F60" s="83" t="str">
        <f aca="false">IF(Need_1&lt;&gt;"","",IF(E60=1,IF(Withdrawal_Timing="Start of year",(D60-C60)*(1+Growth_Rate),D60*(1+Growth_Rate)-C60),0))</f>
        <v/>
      </c>
    </row>
    <row r="61" customFormat="false" ht="15" hidden="false" customHeight="true" outlineLevel="0" collapsed="false">
      <c r="B61" s="82" t="n">
        <v>29</v>
      </c>
      <c r="C61" s="83" t="str">
        <f aca="false">IF(Need_1&lt;&gt;"","",C60*(1+Inflation_Choice))</f>
        <v/>
      </c>
      <c r="D61" s="83" t="str">
        <f aca="false">IF(Need_1&lt;&gt;"","",F60)</f>
        <v/>
      </c>
      <c r="E61" s="82" t="str">
        <f aca="false">IF(Need_1&lt;&gt;"","",IF(Withdrawal_Timing="Start of year",IF(D61&gt;=C61,1,0),IF(D61*(1+Growth_Rate)&gt;=C61,1,0)))</f>
        <v/>
      </c>
      <c r="F61" s="83" t="str">
        <f aca="false">IF(Need_1&lt;&gt;"","",IF(E61=1,IF(Withdrawal_Timing="Start of year",(D61-C61)*(1+Growth_Rate),D61*(1+Growth_Rate)-C61),0))</f>
        <v/>
      </c>
    </row>
    <row r="62" customFormat="false" ht="15" hidden="false" customHeight="true" outlineLevel="0" collapsed="false">
      <c r="B62" s="82" t="n">
        <v>30</v>
      </c>
      <c r="C62" s="83" t="str">
        <f aca="false">IF(Need_1&lt;&gt;"","",C61*(1+Inflation_Choice))</f>
        <v/>
      </c>
      <c r="D62" s="83" t="str">
        <f aca="false">IF(Need_1&lt;&gt;"","",F61)</f>
        <v/>
      </c>
      <c r="E62" s="82" t="str">
        <f aca="false">IF(Need_1&lt;&gt;"","",IF(Withdrawal_Timing="Start of year",IF(D62&gt;=C62,1,0),IF(D62*(1+Growth_Rate)&gt;=C62,1,0)))</f>
        <v/>
      </c>
      <c r="F62" s="83" t="str">
        <f aca="false">IF(Need_1&lt;&gt;"","",IF(E62=1,IF(Withdrawal_Timing="Start of year",(D62-C62)*(1+Growth_Rate),D62*(1+Growth_Rate)-C62),0))</f>
        <v/>
      </c>
    </row>
    <row r="63" customFormat="false" ht="15" hidden="false" customHeight="true" outlineLevel="0" collapsed="false">
      <c r="B63" s="82" t="n">
        <v>31</v>
      </c>
      <c r="C63" s="83" t="str">
        <f aca="false">IF(Need_1&lt;&gt;"","",C62*(1+Inflation_Choice))</f>
        <v/>
      </c>
      <c r="D63" s="83" t="str">
        <f aca="false">IF(Need_1&lt;&gt;"","",F62)</f>
        <v/>
      </c>
      <c r="E63" s="82" t="str">
        <f aca="false">IF(Need_1&lt;&gt;"","",IF(Withdrawal_Timing="Start of year",IF(D63&gt;=C63,1,0),IF(D63*(1+Growth_Rate)&gt;=C63,1,0)))</f>
        <v/>
      </c>
      <c r="F63" s="83" t="str">
        <f aca="false">IF(Need_1&lt;&gt;"","",IF(E63=1,IF(Withdrawal_Timing="Start of year",(D63-C63)*(1+Growth_Rate),D63*(1+Growth_Rate)-C63),0))</f>
        <v/>
      </c>
    </row>
    <row r="64" customFormat="false" ht="15" hidden="false" customHeight="true" outlineLevel="0" collapsed="false">
      <c r="B64" s="82" t="n">
        <v>32</v>
      </c>
      <c r="C64" s="83" t="str">
        <f aca="false">IF(Need_1&lt;&gt;"","",C63*(1+Inflation_Choice))</f>
        <v/>
      </c>
      <c r="D64" s="83" t="str">
        <f aca="false">IF(Need_1&lt;&gt;"","",F63)</f>
        <v/>
      </c>
      <c r="E64" s="82" t="str">
        <f aca="false">IF(Need_1&lt;&gt;"","",IF(Withdrawal_Timing="Start of year",IF(D64&gt;=C64,1,0),IF(D64*(1+Growth_Rate)&gt;=C64,1,0)))</f>
        <v/>
      </c>
      <c r="F64" s="83" t="str">
        <f aca="false">IF(Need_1&lt;&gt;"","",IF(E64=1,IF(Withdrawal_Timing="Start of year",(D64-C64)*(1+Growth_Rate),D64*(1+Growth_Rate)-C64),0))</f>
        <v/>
      </c>
    </row>
    <row r="65" customFormat="false" ht="15" hidden="false" customHeight="true" outlineLevel="0" collapsed="false">
      <c r="B65" s="82" t="n">
        <v>33</v>
      </c>
      <c r="C65" s="83" t="str">
        <f aca="false">IF(Need_1&lt;&gt;"","",C64*(1+Inflation_Choice))</f>
        <v/>
      </c>
      <c r="D65" s="83" t="str">
        <f aca="false">IF(Need_1&lt;&gt;"","",F64)</f>
        <v/>
      </c>
      <c r="E65" s="82" t="str">
        <f aca="false">IF(Need_1&lt;&gt;"","",IF(Withdrawal_Timing="Start of year",IF(D65&gt;=C65,1,0),IF(D65*(1+Growth_Rate)&gt;=C65,1,0)))</f>
        <v/>
      </c>
      <c r="F65" s="83" t="str">
        <f aca="false">IF(Need_1&lt;&gt;"","",IF(E65=1,IF(Withdrawal_Timing="Start of year",(D65-C65)*(1+Growth_Rate),D65*(1+Growth_Rate)-C65),0))</f>
        <v/>
      </c>
    </row>
    <row r="66" customFormat="false" ht="15" hidden="false" customHeight="true" outlineLevel="0" collapsed="false">
      <c r="B66" s="82" t="n">
        <v>34</v>
      </c>
      <c r="C66" s="83" t="str">
        <f aca="false">IF(Need_1&lt;&gt;"","",C65*(1+Inflation_Choice))</f>
        <v/>
      </c>
      <c r="D66" s="83" t="str">
        <f aca="false">IF(Need_1&lt;&gt;"","",F65)</f>
        <v/>
      </c>
      <c r="E66" s="82" t="str">
        <f aca="false">IF(Need_1&lt;&gt;"","",IF(Withdrawal_Timing="Start of year",IF(D66&gt;=C66,1,0),IF(D66*(1+Growth_Rate)&gt;=C66,1,0)))</f>
        <v/>
      </c>
      <c r="F66" s="83" t="str">
        <f aca="false">IF(Need_1&lt;&gt;"","",IF(E66=1,IF(Withdrawal_Timing="Start of year",(D66-C66)*(1+Growth_Rate),D66*(1+Growth_Rate)-C66),0))</f>
        <v/>
      </c>
    </row>
    <row r="67" customFormat="false" ht="15" hidden="false" customHeight="true" outlineLevel="0" collapsed="false">
      <c r="B67" s="82" t="n">
        <v>35</v>
      </c>
      <c r="C67" s="83" t="str">
        <f aca="false">IF(Need_1&lt;&gt;"","",C66*(1+Inflation_Choice))</f>
        <v/>
      </c>
      <c r="D67" s="83" t="str">
        <f aca="false">IF(Need_1&lt;&gt;"","",F66)</f>
        <v/>
      </c>
      <c r="E67" s="82" t="str">
        <f aca="false">IF(Need_1&lt;&gt;"","",IF(Withdrawal_Timing="Start of year",IF(D67&gt;=C67,1,0),IF(D67*(1+Growth_Rate)&gt;=C67,1,0)))</f>
        <v/>
      </c>
      <c r="F67" s="83" t="str">
        <f aca="false">IF(Need_1&lt;&gt;"","",IF(E67=1,IF(Withdrawal_Timing="Start of year",(D67-C67)*(1+Growth_Rate),D67*(1+Growth_Rate)-C67),0))</f>
        <v/>
      </c>
    </row>
    <row r="68" customFormat="false" ht="15" hidden="false" customHeight="true" outlineLevel="0" collapsed="false">
      <c r="B68" s="82" t="n">
        <v>36</v>
      </c>
      <c r="C68" s="83" t="str">
        <f aca="false">IF(Need_1&lt;&gt;"","",C67*(1+Inflation_Choice))</f>
        <v/>
      </c>
      <c r="D68" s="83" t="str">
        <f aca="false">IF(Need_1&lt;&gt;"","",F67)</f>
        <v/>
      </c>
      <c r="E68" s="82" t="str">
        <f aca="false">IF(Need_1&lt;&gt;"","",IF(Withdrawal_Timing="Start of year",IF(D68&gt;=C68,1,0),IF(D68*(1+Growth_Rate)&gt;=C68,1,0)))</f>
        <v/>
      </c>
      <c r="F68" s="83" t="str">
        <f aca="false">IF(Need_1&lt;&gt;"","",IF(E68=1,IF(Withdrawal_Timing="Start of year",(D68-C68)*(1+Growth_Rate),D68*(1+Growth_Rate)-C68),0))</f>
        <v/>
      </c>
    </row>
    <row r="69" customFormat="false" ht="15" hidden="false" customHeight="true" outlineLevel="0" collapsed="false">
      <c r="B69" s="82" t="n">
        <v>37</v>
      </c>
      <c r="C69" s="83" t="str">
        <f aca="false">IF(Need_1&lt;&gt;"","",C68*(1+Inflation_Choice))</f>
        <v/>
      </c>
      <c r="D69" s="83" t="str">
        <f aca="false">IF(Need_1&lt;&gt;"","",F68)</f>
        <v/>
      </c>
      <c r="E69" s="82" t="str">
        <f aca="false">IF(Need_1&lt;&gt;"","",IF(Withdrawal_Timing="Start of year",IF(D69&gt;=C69,1,0),IF(D69*(1+Growth_Rate)&gt;=C69,1,0)))</f>
        <v/>
      </c>
      <c r="F69" s="83" t="str">
        <f aca="false">IF(Need_1&lt;&gt;"","",IF(E69=1,IF(Withdrawal_Timing="Start of year",(D69-C69)*(1+Growth_Rate),D69*(1+Growth_Rate)-C69),0))</f>
        <v/>
      </c>
    </row>
    <row r="70" customFormat="false" ht="15" hidden="false" customHeight="true" outlineLevel="0" collapsed="false">
      <c r="B70" s="82" t="n">
        <v>38</v>
      </c>
      <c r="C70" s="83" t="str">
        <f aca="false">IF(Need_1&lt;&gt;"","",C69*(1+Inflation_Choice))</f>
        <v/>
      </c>
      <c r="D70" s="83" t="str">
        <f aca="false">IF(Need_1&lt;&gt;"","",F69)</f>
        <v/>
      </c>
      <c r="E70" s="82" t="str">
        <f aca="false">IF(Need_1&lt;&gt;"","",IF(Withdrawal_Timing="Start of year",IF(D70&gt;=C70,1,0),IF(D70*(1+Growth_Rate)&gt;=C70,1,0)))</f>
        <v/>
      </c>
      <c r="F70" s="83" t="str">
        <f aca="false">IF(Need_1&lt;&gt;"","",IF(E70=1,IF(Withdrawal_Timing="Start of year",(D70-C70)*(1+Growth_Rate),D70*(1+Growth_Rate)-C70),0))</f>
        <v/>
      </c>
    </row>
    <row r="71" customFormat="false" ht="15" hidden="false" customHeight="true" outlineLevel="0" collapsed="false">
      <c r="B71" s="82" t="n">
        <v>39</v>
      </c>
      <c r="C71" s="83" t="str">
        <f aca="false">IF(Need_1&lt;&gt;"","",C70*(1+Inflation_Choice))</f>
        <v/>
      </c>
      <c r="D71" s="83" t="str">
        <f aca="false">IF(Need_1&lt;&gt;"","",F70)</f>
        <v/>
      </c>
      <c r="E71" s="82" t="str">
        <f aca="false">IF(Need_1&lt;&gt;"","",IF(Withdrawal_Timing="Start of year",IF(D71&gt;=C71,1,0),IF(D71*(1+Growth_Rate)&gt;=C71,1,0)))</f>
        <v/>
      </c>
      <c r="F71" s="83" t="str">
        <f aca="false">IF(Need_1&lt;&gt;"","",IF(E71=1,IF(Withdrawal_Timing="Start of year",(D71-C71)*(1+Growth_Rate),D71*(1+Growth_Rate)-C71),0))</f>
        <v/>
      </c>
    </row>
    <row r="72" customFormat="false" ht="15" hidden="false" customHeight="true" outlineLevel="0" collapsed="false">
      <c r="B72" s="82" t="n">
        <v>40</v>
      </c>
      <c r="C72" s="83" t="str">
        <f aca="false">IF(Need_1&lt;&gt;"","",C71*(1+Inflation_Choice))</f>
        <v/>
      </c>
      <c r="D72" s="83" t="str">
        <f aca="false">IF(Need_1&lt;&gt;"","",F71)</f>
        <v/>
      </c>
      <c r="E72" s="82" t="str">
        <f aca="false">IF(Need_1&lt;&gt;"","",IF(Withdrawal_Timing="Start of year",IF(D72&gt;=C72,1,0),IF(D72*(1+Growth_Rate)&gt;=C72,1,0)))</f>
        <v/>
      </c>
      <c r="F72" s="83" t="str">
        <f aca="false">IF(Need_1&lt;&gt;"","",IF(E72=1,IF(Withdrawal_Timing="Start of year",(D72-C72)*(1+Growth_Rate),D72*(1+Growth_Rate)-C72),0))</f>
        <v/>
      </c>
    </row>
    <row r="73" customFormat="false" ht="15" hidden="false" customHeight="true" outlineLevel="0" collapsed="false">
      <c r="B73" s="82" t="n">
        <v>41</v>
      </c>
      <c r="C73" s="83" t="str">
        <f aca="false">IF(Need_1&lt;&gt;"","",C72*(1+Inflation_Choice))</f>
        <v/>
      </c>
      <c r="D73" s="83" t="str">
        <f aca="false">IF(Need_1&lt;&gt;"","",F72)</f>
        <v/>
      </c>
      <c r="E73" s="82" t="str">
        <f aca="false">IF(Need_1&lt;&gt;"","",IF(Withdrawal_Timing="Start of year",IF(D73&gt;=C73,1,0),IF(D73*(1+Growth_Rate)&gt;=C73,1,0)))</f>
        <v/>
      </c>
      <c r="F73" s="83" t="str">
        <f aca="false">IF(Need_1&lt;&gt;"","",IF(E73=1,IF(Withdrawal_Timing="Start of year",(D73-C73)*(1+Growth_Rate),D73*(1+Growth_Rate)-C73),0))</f>
        <v/>
      </c>
    </row>
    <row r="74" customFormat="false" ht="15" hidden="false" customHeight="true" outlineLevel="0" collapsed="false">
      <c r="B74" s="82" t="n">
        <v>42</v>
      </c>
      <c r="C74" s="83" t="str">
        <f aca="false">IF(Need_1&lt;&gt;"","",C73*(1+Inflation_Choice))</f>
        <v/>
      </c>
      <c r="D74" s="83" t="str">
        <f aca="false">IF(Need_1&lt;&gt;"","",F73)</f>
        <v/>
      </c>
      <c r="E74" s="82" t="str">
        <f aca="false">IF(Need_1&lt;&gt;"","",IF(Withdrawal_Timing="Start of year",IF(D74&gt;=C74,1,0),IF(D74*(1+Growth_Rate)&gt;=C74,1,0)))</f>
        <v/>
      </c>
      <c r="F74" s="83" t="str">
        <f aca="false">IF(Need_1&lt;&gt;"","",IF(E74=1,IF(Withdrawal_Timing="Start of year",(D74-C74)*(1+Growth_Rate),D74*(1+Growth_Rate)-C74),0))</f>
        <v/>
      </c>
    </row>
    <row r="75" customFormat="false" ht="15" hidden="false" customHeight="true" outlineLevel="0" collapsed="false">
      <c r="B75" s="82" t="n">
        <v>43</v>
      </c>
      <c r="C75" s="83" t="str">
        <f aca="false">IF(Need_1&lt;&gt;"","",C74*(1+Inflation_Choice))</f>
        <v/>
      </c>
      <c r="D75" s="83" t="str">
        <f aca="false">IF(Need_1&lt;&gt;"","",F74)</f>
        <v/>
      </c>
      <c r="E75" s="82" t="str">
        <f aca="false">IF(Need_1&lt;&gt;"","",IF(Withdrawal_Timing="Start of year",IF(D75&gt;=C75,1,0),IF(D75*(1+Growth_Rate)&gt;=C75,1,0)))</f>
        <v/>
      </c>
      <c r="F75" s="83" t="str">
        <f aca="false">IF(Need_1&lt;&gt;"","",IF(E75=1,IF(Withdrawal_Timing="Start of year",(D75-C75)*(1+Growth_Rate),D75*(1+Growth_Rate)-C75),0))</f>
        <v/>
      </c>
    </row>
    <row r="76" customFormat="false" ht="15" hidden="false" customHeight="true" outlineLevel="0" collapsed="false">
      <c r="B76" s="82" t="n">
        <v>44</v>
      </c>
      <c r="C76" s="83" t="str">
        <f aca="false">IF(Need_1&lt;&gt;"","",C75*(1+Inflation_Choice))</f>
        <v/>
      </c>
      <c r="D76" s="83" t="str">
        <f aca="false">IF(Need_1&lt;&gt;"","",F75)</f>
        <v/>
      </c>
      <c r="E76" s="82" t="str">
        <f aca="false">IF(Need_1&lt;&gt;"","",IF(Withdrawal_Timing="Start of year",IF(D76&gt;=C76,1,0),IF(D76*(1+Growth_Rate)&gt;=C76,1,0)))</f>
        <v/>
      </c>
      <c r="F76" s="83" t="str">
        <f aca="false">IF(Need_1&lt;&gt;"","",IF(E76=1,IF(Withdrawal_Timing="Start of year",(D76-C76)*(1+Growth_Rate),D76*(1+Growth_Rate)-C76),0))</f>
        <v/>
      </c>
    </row>
    <row r="77" customFormat="false" ht="15" hidden="false" customHeight="true" outlineLevel="0" collapsed="false">
      <c r="B77" s="82" t="n">
        <v>45</v>
      </c>
      <c r="C77" s="83" t="str">
        <f aca="false">IF(Need_1&lt;&gt;"","",C76*(1+Inflation_Choice))</f>
        <v/>
      </c>
      <c r="D77" s="83" t="str">
        <f aca="false">IF(Need_1&lt;&gt;"","",F76)</f>
        <v/>
      </c>
      <c r="E77" s="82" t="str">
        <f aca="false">IF(Need_1&lt;&gt;"","",IF(Withdrawal_Timing="Start of year",IF(D77&gt;=C77,1,0),IF(D77*(1+Growth_Rate)&gt;=C77,1,0)))</f>
        <v/>
      </c>
      <c r="F77" s="83" t="str">
        <f aca="false">IF(Need_1&lt;&gt;"","",IF(E77=1,IF(Withdrawal_Timing="Start of year",(D77-C77)*(1+Growth_Rate),D77*(1+Growth_Rate)-C77),0))</f>
        <v/>
      </c>
    </row>
    <row r="78" customFormat="false" ht="15" hidden="false" customHeight="true" outlineLevel="0" collapsed="false">
      <c r="B78" s="82" t="n">
        <v>46</v>
      </c>
      <c r="C78" s="83" t="str">
        <f aca="false">IF(Need_1&lt;&gt;"","",C77*(1+Inflation_Choice))</f>
        <v/>
      </c>
      <c r="D78" s="83" t="str">
        <f aca="false">IF(Need_1&lt;&gt;"","",F77)</f>
        <v/>
      </c>
      <c r="E78" s="82" t="str">
        <f aca="false">IF(Need_1&lt;&gt;"","",IF(Withdrawal_Timing="Start of year",IF(D78&gt;=C78,1,0),IF(D78*(1+Growth_Rate)&gt;=C78,1,0)))</f>
        <v/>
      </c>
      <c r="F78" s="83" t="str">
        <f aca="false">IF(Need_1&lt;&gt;"","",IF(E78=1,IF(Withdrawal_Timing="Start of year",(D78-C78)*(1+Growth_Rate),D78*(1+Growth_Rate)-C78),0))</f>
        <v/>
      </c>
    </row>
    <row r="79" customFormat="false" ht="15" hidden="false" customHeight="true" outlineLevel="0" collapsed="false">
      <c r="B79" s="82" t="n">
        <v>47</v>
      </c>
      <c r="C79" s="83" t="str">
        <f aca="false">IF(Need_1&lt;&gt;"","",C78*(1+Inflation_Choice))</f>
        <v/>
      </c>
      <c r="D79" s="83" t="str">
        <f aca="false">IF(Need_1&lt;&gt;"","",F78)</f>
        <v/>
      </c>
      <c r="E79" s="82" t="str">
        <f aca="false">IF(Need_1&lt;&gt;"","",IF(Withdrawal_Timing="Start of year",IF(D79&gt;=C79,1,0),IF(D79*(1+Growth_Rate)&gt;=C79,1,0)))</f>
        <v/>
      </c>
      <c r="F79" s="83" t="str">
        <f aca="false">IF(Need_1&lt;&gt;"","",IF(E79=1,IF(Withdrawal_Timing="Start of year",(D79-C79)*(1+Growth_Rate),D79*(1+Growth_Rate)-C79),0))</f>
        <v/>
      </c>
    </row>
    <row r="80" customFormat="false" ht="15" hidden="false" customHeight="true" outlineLevel="0" collapsed="false">
      <c r="B80" s="82" t="n">
        <v>48</v>
      </c>
      <c r="C80" s="83" t="str">
        <f aca="false">IF(Need_1&lt;&gt;"","",C79*(1+Inflation_Choice))</f>
        <v/>
      </c>
      <c r="D80" s="83" t="str">
        <f aca="false">IF(Need_1&lt;&gt;"","",F79)</f>
        <v/>
      </c>
      <c r="E80" s="82" t="str">
        <f aca="false">IF(Need_1&lt;&gt;"","",IF(Withdrawal_Timing="Start of year",IF(D80&gt;=C80,1,0),IF(D80*(1+Growth_Rate)&gt;=C80,1,0)))</f>
        <v/>
      </c>
      <c r="F80" s="83" t="str">
        <f aca="false">IF(Need_1&lt;&gt;"","",IF(E80=1,IF(Withdrawal_Timing="Start of year",(D80-C80)*(1+Growth_Rate),D80*(1+Growth_Rate)-C80),0))</f>
        <v/>
      </c>
    </row>
    <row r="81" customFormat="false" ht="15" hidden="false" customHeight="true" outlineLevel="0" collapsed="false">
      <c r="B81" s="82" t="n">
        <v>49</v>
      </c>
      <c r="C81" s="83" t="str">
        <f aca="false">IF(Need_1&lt;&gt;"","",C80*(1+Inflation_Choice))</f>
        <v/>
      </c>
      <c r="D81" s="83" t="str">
        <f aca="false">IF(Need_1&lt;&gt;"","",F80)</f>
        <v/>
      </c>
      <c r="E81" s="82" t="str">
        <f aca="false">IF(Need_1&lt;&gt;"","",IF(Withdrawal_Timing="Start of year",IF(D81&gt;=C81,1,0),IF(D81*(1+Growth_Rate)&gt;=C81,1,0)))</f>
        <v/>
      </c>
      <c r="F81" s="83" t="str">
        <f aca="false">IF(Need_1&lt;&gt;"","",IF(E81=1,IF(Withdrawal_Timing="Start of year",(D81-C81)*(1+Growth_Rate),D81*(1+Growth_Rate)-C81),0))</f>
        <v/>
      </c>
    </row>
    <row r="82" customFormat="false" ht="15" hidden="false" customHeight="true" outlineLevel="0" collapsed="false">
      <c r="B82" s="82" t="n">
        <v>50</v>
      </c>
      <c r="C82" s="83" t="str">
        <f aca="false">IF(Need_1&lt;&gt;"","",C81*(1+Inflation_Choice))</f>
        <v/>
      </c>
      <c r="D82" s="83" t="str">
        <f aca="false">IF(Need_1&lt;&gt;"","",F81)</f>
        <v/>
      </c>
      <c r="E82" s="82" t="str">
        <f aca="false">IF(Need_1&lt;&gt;"","",IF(Withdrawal_Timing="Start of year",IF(D82&gt;=C82,1,0),IF(D82*(1+Growth_Rate)&gt;=C82,1,0)))</f>
        <v/>
      </c>
      <c r="F82" s="83" t="str">
        <f aca="false">IF(Need_1&lt;&gt;"","",IF(E82=1,IF(Withdrawal_Timing="Start of year",(D82-C82)*(1+Growth_Rate),D82*(1+Growth_Rate)-C82),0))</f>
        <v/>
      </c>
    </row>
    <row r="83" customFormat="false" ht="15" hidden="false" customHeight="true" outlineLevel="0" collapsed="false">
      <c r="B83" s="82" t="n">
        <v>51</v>
      </c>
      <c r="C83" s="83" t="str">
        <f aca="false">IF(Need_1&lt;&gt;"","",C82*(1+Inflation_Choice))</f>
        <v/>
      </c>
      <c r="D83" s="83" t="str">
        <f aca="false">IF(Need_1&lt;&gt;"","",F82)</f>
        <v/>
      </c>
      <c r="E83" s="82" t="str">
        <f aca="false">IF(Need_1&lt;&gt;"","",IF(Withdrawal_Timing="Start of year",IF(D83&gt;=C83,1,0),IF(D83*(1+Growth_Rate)&gt;=C83,1,0)))</f>
        <v/>
      </c>
      <c r="F83" s="83" t="str">
        <f aca="false">IF(Need_1&lt;&gt;"","",IF(E83=1,IF(Withdrawal_Timing="Start of year",(D83-C83)*(1+Growth_Rate),D83*(1+Growth_Rate)-C83),0))</f>
        <v/>
      </c>
    </row>
    <row r="84" customFormat="false" ht="15" hidden="false" customHeight="true" outlineLevel="0" collapsed="false">
      <c r="B84" s="82" t="n">
        <v>52</v>
      </c>
      <c r="C84" s="83" t="str">
        <f aca="false">IF(Need_1&lt;&gt;"","",C83*(1+Inflation_Choice))</f>
        <v/>
      </c>
      <c r="D84" s="83" t="str">
        <f aca="false">IF(Need_1&lt;&gt;"","",F83)</f>
        <v/>
      </c>
      <c r="E84" s="82" t="str">
        <f aca="false">IF(Need_1&lt;&gt;"","",IF(Withdrawal_Timing="Start of year",IF(D84&gt;=C84,1,0),IF(D84*(1+Growth_Rate)&gt;=C84,1,0)))</f>
        <v/>
      </c>
      <c r="F84" s="83" t="str">
        <f aca="false">IF(Need_1&lt;&gt;"","",IF(E84=1,IF(Withdrawal_Timing="Start of year",(D84-C84)*(1+Growth_Rate),D84*(1+Growth_Rate)-C84),0))</f>
        <v/>
      </c>
    </row>
    <row r="85" customFormat="false" ht="15" hidden="false" customHeight="true" outlineLevel="0" collapsed="false">
      <c r="B85" s="82" t="n">
        <v>53</v>
      </c>
      <c r="C85" s="83" t="str">
        <f aca="false">IF(Need_1&lt;&gt;"","",C84*(1+Inflation_Choice))</f>
        <v/>
      </c>
      <c r="D85" s="83" t="str">
        <f aca="false">IF(Need_1&lt;&gt;"","",F84)</f>
        <v/>
      </c>
      <c r="E85" s="82" t="str">
        <f aca="false">IF(Need_1&lt;&gt;"","",IF(Withdrawal_Timing="Start of year",IF(D85&gt;=C85,1,0),IF(D85*(1+Growth_Rate)&gt;=C85,1,0)))</f>
        <v/>
      </c>
      <c r="F85" s="83" t="str">
        <f aca="false">IF(Need_1&lt;&gt;"","",IF(E85=1,IF(Withdrawal_Timing="Start of year",(D85-C85)*(1+Growth_Rate),D85*(1+Growth_Rate)-C85),0))</f>
        <v/>
      </c>
    </row>
    <row r="86" customFormat="false" ht="15" hidden="false" customHeight="true" outlineLevel="0" collapsed="false">
      <c r="B86" s="82" t="n">
        <v>54</v>
      </c>
      <c r="C86" s="83" t="str">
        <f aca="false">IF(Need_1&lt;&gt;"","",C85*(1+Inflation_Choice))</f>
        <v/>
      </c>
      <c r="D86" s="83" t="str">
        <f aca="false">IF(Need_1&lt;&gt;"","",F85)</f>
        <v/>
      </c>
      <c r="E86" s="82" t="str">
        <f aca="false">IF(Need_1&lt;&gt;"","",IF(Withdrawal_Timing="Start of year",IF(D86&gt;=C86,1,0),IF(D86*(1+Growth_Rate)&gt;=C86,1,0)))</f>
        <v/>
      </c>
      <c r="F86" s="83" t="str">
        <f aca="false">IF(Need_1&lt;&gt;"","",IF(E86=1,IF(Withdrawal_Timing="Start of year",(D86-C86)*(1+Growth_Rate),D86*(1+Growth_Rate)-C86),0))</f>
        <v/>
      </c>
    </row>
    <row r="87" customFormat="false" ht="15" hidden="false" customHeight="true" outlineLevel="0" collapsed="false">
      <c r="B87" s="82" t="n">
        <v>55</v>
      </c>
      <c r="C87" s="83" t="str">
        <f aca="false">IF(Need_1&lt;&gt;"","",C86*(1+Inflation_Choice))</f>
        <v/>
      </c>
      <c r="D87" s="83" t="str">
        <f aca="false">IF(Need_1&lt;&gt;"","",F86)</f>
        <v/>
      </c>
      <c r="E87" s="82" t="str">
        <f aca="false">IF(Need_1&lt;&gt;"","",IF(Withdrawal_Timing="Start of year",IF(D87&gt;=C87,1,0),IF(D87*(1+Growth_Rate)&gt;=C87,1,0)))</f>
        <v/>
      </c>
      <c r="F87" s="83" t="str">
        <f aca="false">IF(Need_1&lt;&gt;"","",IF(E87=1,IF(Withdrawal_Timing="Start of year",(D87-C87)*(1+Growth_Rate),D87*(1+Growth_Rate)-C87),0))</f>
        <v/>
      </c>
    </row>
    <row r="88" customFormat="false" ht="15" hidden="false" customHeight="true" outlineLevel="0" collapsed="false">
      <c r="B88" s="82" t="n">
        <v>56</v>
      </c>
      <c r="C88" s="83" t="str">
        <f aca="false">IF(Need_1&lt;&gt;"","",C87*(1+Inflation_Choice))</f>
        <v/>
      </c>
      <c r="D88" s="83" t="str">
        <f aca="false">IF(Need_1&lt;&gt;"","",F87)</f>
        <v/>
      </c>
      <c r="E88" s="82" t="str">
        <f aca="false">IF(Need_1&lt;&gt;"","",IF(Withdrawal_Timing="Start of year",IF(D88&gt;=C88,1,0),IF(D88*(1+Growth_Rate)&gt;=C88,1,0)))</f>
        <v/>
      </c>
      <c r="F88" s="83" t="str">
        <f aca="false">IF(Need_1&lt;&gt;"","",IF(E88=1,IF(Withdrawal_Timing="Start of year",(D88-C88)*(1+Growth_Rate),D88*(1+Growth_Rate)-C88),0))</f>
        <v/>
      </c>
    </row>
    <row r="89" customFormat="false" ht="15" hidden="false" customHeight="true" outlineLevel="0" collapsed="false">
      <c r="B89" s="82" t="n">
        <v>57</v>
      </c>
      <c r="C89" s="83" t="str">
        <f aca="false">IF(Need_1&lt;&gt;"","",C88*(1+Inflation_Choice))</f>
        <v/>
      </c>
      <c r="D89" s="83" t="str">
        <f aca="false">IF(Need_1&lt;&gt;"","",F88)</f>
        <v/>
      </c>
      <c r="E89" s="82" t="str">
        <f aca="false">IF(Need_1&lt;&gt;"","",IF(Withdrawal_Timing="Start of year",IF(D89&gt;=C89,1,0),IF(D89*(1+Growth_Rate)&gt;=C89,1,0)))</f>
        <v/>
      </c>
      <c r="F89" s="83" t="str">
        <f aca="false">IF(Need_1&lt;&gt;"","",IF(E89=1,IF(Withdrawal_Timing="Start of year",(D89-C89)*(1+Growth_Rate),D89*(1+Growth_Rate)-C89),0))</f>
        <v/>
      </c>
    </row>
    <row r="90" customFormat="false" ht="15" hidden="false" customHeight="true" outlineLevel="0" collapsed="false">
      <c r="B90" s="82" t="n">
        <v>58</v>
      </c>
      <c r="C90" s="83" t="str">
        <f aca="false">IF(Need_1&lt;&gt;"","",C89*(1+Inflation_Choice))</f>
        <v/>
      </c>
      <c r="D90" s="83" t="str">
        <f aca="false">IF(Need_1&lt;&gt;"","",F89)</f>
        <v/>
      </c>
      <c r="E90" s="82" t="str">
        <f aca="false">IF(Need_1&lt;&gt;"","",IF(Withdrawal_Timing="Start of year",IF(D90&gt;=C90,1,0),IF(D90*(1+Growth_Rate)&gt;=C90,1,0)))</f>
        <v/>
      </c>
      <c r="F90" s="83" t="str">
        <f aca="false">IF(Need_1&lt;&gt;"","",IF(E90=1,IF(Withdrawal_Timing="Start of year",(D90-C90)*(1+Growth_Rate),D90*(1+Growth_Rate)-C90),0))</f>
        <v/>
      </c>
    </row>
    <row r="91" customFormat="false" ht="15" hidden="false" customHeight="true" outlineLevel="0" collapsed="false">
      <c r="B91" s="82" t="n">
        <v>59</v>
      </c>
      <c r="C91" s="83" t="str">
        <f aca="false">IF(Need_1&lt;&gt;"","",C90*(1+Inflation_Choice))</f>
        <v/>
      </c>
      <c r="D91" s="83" t="str">
        <f aca="false">IF(Need_1&lt;&gt;"","",F90)</f>
        <v/>
      </c>
      <c r="E91" s="82" t="str">
        <f aca="false">IF(Need_1&lt;&gt;"","",IF(Withdrawal_Timing="Start of year",IF(D91&gt;=C91,1,0),IF(D91*(1+Growth_Rate)&gt;=C91,1,0)))</f>
        <v/>
      </c>
      <c r="F91" s="83" t="str">
        <f aca="false">IF(Need_1&lt;&gt;"","",IF(E91=1,IF(Withdrawal_Timing="Start of year",(D91-C91)*(1+Growth_Rate),D91*(1+Growth_Rate)-C91),0))</f>
        <v/>
      </c>
    </row>
    <row r="92" customFormat="false" ht="15" hidden="false" customHeight="true" outlineLevel="0" collapsed="false">
      <c r="B92" s="82" t="n">
        <v>60</v>
      </c>
      <c r="C92" s="83" t="str">
        <f aca="false">IF(Need_1&lt;&gt;"","",C91*(1+Inflation_Choice))</f>
        <v/>
      </c>
      <c r="D92" s="83" t="str">
        <f aca="false">IF(Need_1&lt;&gt;"","",F91)</f>
        <v/>
      </c>
      <c r="E92" s="82" t="str">
        <f aca="false">IF(Need_1&lt;&gt;"","",IF(Withdrawal_Timing="Start of year",IF(D92&gt;=C92,1,0),IF(D92*(1+Growth_Rate)&gt;=C92,1,0)))</f>
        <v/>
      </c>
      <c r="F92" s="83" t="str">
        <f aca="false">IF(Need_1&lt;&gt;"","",IF(E92=1,IF(Withdrawal_Timing="Start of year",(D92-C92)*(1+Growth_Rate),D92*(1+Growth_Rate)-C92),0))</f>
        <v/>
      </c>
    </row>
    <row r="95" customFormat="false" ht="15" hidden="false" customHeight="true" outlineLevel="0" collapsed="false">
      <c r="B95" s="15" t="s">
        <v>278</v>
      </c>
      <c r="C95" s="16"/>
      <c r="D95" s="16"/>
      <c r="E95" s="16"/>
      <c r="F95" s="16"/>
      <c r="G95" s="16"/>
    </row>
    <row r="96" customFormat="false" ht="27.75" hidden="false" customHeight="true" outlineLevel="0" collapsed="false">
      <c r="B96" s="49" t="s">
        <v>909</v>
      </c>
      <c r="C96" s="49"/>
      <c r="D96" s="49"/>
      <c r="E96" s="49"/>
    </row>
    <row r="97" customFormat="false" ht="13.5" hidden="false" customHeight="true" outlineLevel="0" collapsed="false">
      <c r="B97" s="49" t="s">
        <v>910</v>
      </c>
      <c r="C97" s="49"/>
      <c r="D97" s="49"/>
      <c r="E97" s="49"/>
    </row>
    <row r="98" customFormat="false" ht="13.5" hidden="false" customHeight="true" outlineLevel="0" collapsed="false">
      <c r="B98" s="50" t="s">
        <v>282</v>
      </c>
      <c r="C98" s="50"/>
      <c r="D98" s="50"/>
      <c r="E98" s="50"/>
    </row>
    <row r="99" customFormat="false" ht="13.5" hidden="false" customHeight="true" outlineLevel="0" collapsed="false">
      <c r="B99" s="49" t="s">
        <v>911</v>
      </c>
      <c r="C99" s="49"/>
      <c r="D99" s="49"/>
      <c r="E99" s="49"/>
    </row>
    <row r="100" customFormat="false" ht="13.5" hidden="false" customHeight="true" outlineLevel="0" collapsed="false">
      <c r="B100" s="49" t="s">
        <v>912</v>
      </c>
      <c r="C100" s="49"/>
      <c r="D100" s="49"/>
      <c r="E100" s="49"/>
    </row>
    <row r="101" customFormat="false" ht="13.5" hidden="false" customHeight="true" outlineLevel="0" collapsed="false">
      <c r="B101" s="49" t="s">
        <v>913</v>
      </c>
      <c r="C101" s="49"/>
      <c r="D101" s="49"/>
      <c r="E101" s="49"/>
    </row>
    <row r="103" customFormat="false" ht="15" hidden="false" customHeight="true" outlineLevel="0" collapsed="false">
      <c r="B103" s="15" t="s">
        <v>287</v>
      </c>
      <c r="C103" s="16"/>
      <c r="D103" s="16"/>
      <c r="E103" s="16"/>
      <c r="F103" s="16"/>
      <c r="G103" s="16"/>
    </row>
    <row r="104" customFormat="false" ht="15" hidden="false" customHeight="true" outlineLevel="0" collapsed="false">
      <c r="B104" s="9" t="s">
        <v>288</v>
      </c>
      <c r="C104" s="51" t="str">
        <f aca="false">"No goal"</f>
        <v>No goal</v>
      </c>
      <c r="E104" s="52" t="s">
        <v>477</v>
      </c>
    </row>
    <row r="106" customFormat="false" ht="15" hidden="false" customHeight="true" outlineLevel="0" collapsed="false">
      <c r="B106" s="15" t="s">
        <v>296</v>
      </c>
      <c r="C106" s="16"/>
      <c r="D106" s="16"/>
      <c r="E106" s="16"/>
      <c r="F106" s="16"/>
      <c r="G106" s="16"/>
    </row>
    <row r="107" customFormat="false" ht="15" hidden="false" customHeight="true" outlineLevel="0" collapsed="false">
      <c r="B107" s="55" t="s">
        <v>914</v>
      </c>
      <c r="C107" s="55" t="str">
        <f aca="false">IF(Inflation_Choice="","Choose your inflation rate to see this",IF(Yearly_Withdrawal="","Choose your yearly withdrawal to see this",IF(Growth_Rate="","Choose your growth rate to see this",IF(Withdrawal_Timing="","Choose your withdrawal timing to see this",IF(NOT(ISNUMBER(Used_Retirement_Savings)),IF(Used_Retirement_Savings="",IF(Retirement_Savings="","Choose your retirement savings to see this",""),Used_Retirement_Savings),"")))))</f>
        <v>Choose your inflation rate to see this</v>
      </c>
    </row>
    <row r="108" customFormat="false" ht="15" hidden="false" customHeight="true" outlineLevel="0" collapsed="false">
      <c r="B108" s="55" t="s">
        <v>915</v>
      </c>
      <c r="C108" s="55" t="str">
        <f aca="false">IF(Inflation_Choice="","Choose your inflation rate to see this",IF(Yearly_Withdrawal="","Choose your yearly withdrawal to see this",IF(Growth_Rate="","Choose your growth rate to see this",IF(Withdrawal_Timing="","Choose your withdrawal timing to see this",IF(Age_At_Start="","Choose your retirement age to see this",IF(Plan_To_Age="","Choose your plan-to age to see this",IF(NOT(ISNUMBER(Used_Retirement_Savings)),IF(Used_Retirement_Savings="",IF(Retirement_Savings="","Choose your retirement savings to see this",""),Used_Retirement_Savings),"")))))))</f>
        <v>Choose your inflation rate to see this</v>
      </c>
    </row>
    <row r="109" customFormat="false" ht="15" hidden="false" customHeight="true" outlineLevel="0" collapsed="false">
      <c r="B109" s="55" t="s">
        <v>916</v>
      </c>
      <c r="C109" s="55" t="str">
        <f aca="false">IF(Yearly_Withdrawal="","Choose your yearly withdrawal to see this",IF(NOT(ISNUMBER(Used_Retirement_Savings)),IF(Used_Retirement_Savings="",IF(Retirement_Savings="","Choose your retirement savings to see this",""),Used_Retirement_Savings),""))</f>
        <v>Choose your yearly withdrawal to see this</v>
      </c>
    </row>
  </sheetData>
  <mergeCells count="8">
    <mergeCell ref="B7:E7"/>
    <mergeCell ref="B10:E10"/>
    <mergeCell ref="B96:E96"/>
    <mergeCell ref="B97:E97"/>
    <mergeCell ref="B98:E98"/>
    <mergeCell ref="B99:E99"/>
    <mergeCell ref="B100:E100"/>
    <mergeCell ref="B101:E101"/>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7% · steps of 0.05%." errorStyle="stop" errorTitle="Outside the allowed range" operator="between" prompt="Generally the standard is 3.15% a year after charges once retired (LifeMap Standard set; Cautious 2.8%). Choose what you want to use.  Allowed: 0% to 7% · steps of 0.05%." promptTitle="Growth assumption a year (once r" showDropDown="false" showErrorMessage="true" showInputMessage="true" sqref="C18" type="decimal">
      <formula1>0</formula1>
      <formula2>0.07</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19" type="list">
      <formula1>"Start of year,End of year"</formula1>
      <formula2>0</formula2>
    </dataValidation>
    <dataValidation allowBlank="true" error="Please enter 50 to 90 · steps of 1." errorStyle="stop" errorTitle="Outside the allowed range" operator="between" prompt="You can usually draw a pension from 60 (some schemes from 50); State Pension is paid from 66. Choose your own: there is no default.  Allowed: 50 to 90 · steps of 1." promptTitle="Your age when withdrawals start" showDropDown="false" showErrorMessage="true" showInputMessage="true" sqref="C20" type="whole">
      <formula1>50</formula1>
      <formula2>90</formula2>
    </dataValidation>
    <dataValidation allowBlank="true" error="Please enter 85 to 100 · steps of 1." errorStyle="stop" errorTitle="Outside the allowed range" operator="between" prompt="At 65, average life expectancy in Ireland is about 83 for men and 86 for women (CSO, Irish Life Tables No. 17, 2015–2017). Choose your own: there is no default.  Allowed: 85 to 100 · steps of 1." promptTitle="Plan to age" showDropDown="false" showErrorMessage="true" showInputMessage="true" sqref="C21" type="whole">
      <formula1>85</formula1>
      <formula2>100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I10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3" t="s">
        <v>917</v>
      </c>
      <c r="E1" s="3" t="s">
        <v>918</v>
      </c>
    </row>
    <row r="2" customFormat="false" ht="15" hidden="false" customHeight="true" outlineLevel="0" collapsed="false">
      <c r="B2" s="24" t="s">
        <v>919</v>
      </c>
      <c r="E2" s="25"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6" t="s">
        <v>920</v>
      </c>
    </row>
    <row r="5" customFormat="false" ht="15" hidden="false" customHeight="true" outlineLevel="0" collapsed="false">
      <c r="B5" s="15" t="s">
        <v>563</v>
      </c>
      <c r="C5" s="27" t="s">
        <v>220</v>
      </c>
      <c r="D5" s="27" t="s">
        <v>221</v>
      </c>
      <c r="E5" s="27" t="s">
        <v>222</v>
      </c>
      <c r="F5" s="28" t="s">
        <v>223</v>
      </c>
      <c r="G5" s="16"/>
    </row>
    <row r="6" customFormat="false" ht="21.75" hidden="false" customHeight="true" outlineLevel="0" collapsed="false">
      <c r="B6" s="9" t="s">
        <v>564</v>
      </c>
      <c r="C6" s="37"/>
      <c r="D6" s="30" t="s">
        <v>236</v>
      </c>
      <c r="E6" s="38" t="s">
        <v>565</v>
      </c>
      <c r="F6" s="39" t="n">
        <v>0.02</v>
      </c>
      <c r="G6" s="40" t="str">
        <f aca="false">IF(ISBLANK(C6),IF(Fill_Example="Yes",F6,""),C6)</f>
        <v/>
      </c>
    </row>
    <row r="7" customFormat="false" ht="27.75" hidden="false" customHeight="true" outlineLevel="0" collapsed="false">
      <c r="B7" s="56" t="s">
        <v>566</v>
      </c>
      <c r="C7" s="56"/>
      <c r="D7" s="56"/>
      <c r="E7" s="56"/>
    </row>
    <row r="9" customFormat="false" ht="15" hidden="false" customHeight="true" outlineLevel="0" collapsed="false">
      <c r="B9" s="15" t="s">
        <v>309</v>
      </c>
      <c r="C9" s="16"/>
      <c r="D9" s="16"/>
      <c r="E9" s="16"/>
      <c r="F9" s="16"/>
      <c r="G9" s="16"/>
    </row>
    <row r="10" customFormat="false" ht="27.75" hidden="false" customHeight="true" outlineLevel="0" collapsed="false">
      <c r="B10" s="56" t="s">
        <v>882</v>
      </c>
      <c r="C10" s="56"/>
      <c r="D10" s="56"/>
      <c r="E10" s="56"/>
    </row>
    <row r="11" customFormat="false" ht="15" hidden="false" customHeight="true" outlineLevel="0" collapsed="false">
      <c r="B11" s="9" t="s">
        <v>721</v>
      </c>
      <c r="C11" s="57"/>
      <c r="D11" s="30" t="s">
        <v>225</v>
      </c>
      <c r="E11" s="31" t="s">
        <v>638</v>
      </c>
      <c r="G11" s="55" t="s">
        <v>313</v>
      </c>
    </row>
    <row r="12" customFormat="false" ht="15" hidden="false" customHeight="true" outlineLevel="0" collapsed="false">
      <c r="B12" s="9" t="s">
        <v>714</v>
      </c>
      <c r="C12" s="57"/>
      <c r="D12" s="30" t="s">
        <v>225</v>
      </c>
      <c r="E12" s="31" t="s">
        <v>715</v>
      </c>
      <c r="G12" s="55" t="s">
        <v>313</v>
      </c>
    </row>
    <row r="13" customFormat="false" ht="15" hidden="false" customHeight="true" outlineLevel="0" collapsed="false">
      <c r="B13" s="9" t="s">
        <v>320</v>
      </c>
      <c r="C13" s="60"/>
      <c r="D13" s="30" t="s">
        <v>321</v>
      </c>
      <c r="E13" s="31" t="s">
        <v>322</v>
      </c>
      <c r="G13" s="55" t="s">
        <v>313</v>
      </c>
    </row>
    <row r="15" customFormat="false" ht="15" hidden="false" customHeight="true" outlineLevel="0" collapsed="false">
      <c r="B15" s="15" t="s">
        <v>323</v>
      </c>
      <c r="C15" s="27" t="s">
        <v>220</v>
      </c>
      <c r="D15" s="27" t="s">
        <v>221</v>
      </c>
      <c r="E15" s="27" t="s">
        <v>222</v>
      </c>
      <c r="F15" s="28" t="s">
        <v>223</v>
      </c>
      <c r="G15" s="16"/>
    </row>
    <row r="16" customFormat="false" ht="21.75" hidden="false" customHeight="true" outlineLevel="0" collapsed="false">
      <c r="B16" s="9" t="s">
        <v>883</v>
      </c>
      <c r="C16" s="29"/>
      <c r="D16" s="30" t="s">
        <v>225</v>
      </c>
      <c r="E16" s="31" t="s">
        <v>884</v>
      </c>
      <c r="F16" s="32" t="n">
        <v>400000</v>
      </c>
      <c r="G16" s="33" t="str">
        <f aca="false">IF(ISBLANK(C16),IF(Fill_Example="Yes",F16,""),C16)</f>
        <v/>
      </c>
    </row>
    <row r="17" customFormat="false" ht="15" hidden="false" customHeight="true" outlineLevel="0" collapsed="false">
      <c r="B17" s="9" t="s">
        <v>885</v>
      </c>
      <c r="C17" s="29"/>
      <c r="D17" s="30" t="s">
        <v>225</v>
      </c>
      <c r="E17" s="31" t="s">
        <v>886</v>
      </c>
      <c r="F17" s="32" t="n">
        <v>20000</v>
      </c>
      <c r="G17" s="33" t="str">
        <f aca="false">IF(ISBLANK(C17),IF(Fill_Example="Yes",F17,""),C17)</f>
        <v/>
      </c>
    </row>
    <row r="18" customFormat="false" ht="21.75" hidden="false" customHeight="true" outlineLevel="0" collapsed="false">
      <c r="B18" s="9" t="s">
        <v>921</v>
      </c>
      <c r="C18" s="37"/>
      <c r="D18" s="30" t="s">
        <v>236</v>
      </c>
      <c r="E18" s="38" t="s">
        <v>922</v>
      </c>
      <c r="F18" s="39" t="n">
        <v>0.02</v>
      </c>
      <c r="G18" s="40" t="str">
        <f aca="false">IF(ISBLANK(C18),IF(Fill_Example="Yes",F18,""),C18)</f>
        <v/>
      </c>
    </row>
    <row r="19" customFormat="false" ht="21.75" hidden="false" customHeight="true" outlineLevel="0" collapsed="false">
      <c r="B19" s="9" t="s">
        <v>923</v>
      </c>
      <c r="C19" s="37"/>
      <c r="D19" s="30" t="s">
        <v>236</v>
      </c>
      <c r="E19" s="38" t="s">
        <v>924</v>
      </c>
      <c r="F19" s="39" t="n">
        <v>0.04</v>
      </c>
      <c r="G19" s="40" t="str">
        <f aca="false">IF(ISBLANK(C19),IF(Fill_Example="Yes",F19,""),C19)</f>
        <v/>
      </c>
    </row>
    <row r="20" customFormat="false" ht="21.75" hidden="false" customHeight="true" outlineLevel="0" collapsed="false">
      <c r="B20" s="9" t="s">
        <v>925</v>
      </c>
      <c r="C20" s="37"/>
      <c r="D20" s="30" t="s">
        <v>236</v>
      </c>
      <c r="E20" s="38" t="s">
        <v>926</v>
      </c>
      <c r="F20" s="39" t="n">
        <v>0.06</v>
      </c>
      <c r="G20" s="40" t="str">
        <f aca="false">IF(ISBLANK(C20),IF(Fill_Example="Yes",F20,""),C20)</f>
        <v/>
      </c>
    </row>
    <row r="21" customFormat="false" ht="21.75" hidden="false" customHeight="true" outlineLevel="0" collapsed="false">
      <c r="B21" s="9" t="s">
        <v>889</v>
      </c>
      <c r="C21" s="34"/>
      <c r="D21" s="30"/>
      <c r="E21" s="38" t="s">
        <v>890</v>
      </c>
      <c r="F21" s="35" t="s">
        <v>891</v>
      </c>
      <c r="G21" s="36" t="str">
        <f aca="false">IF(ISBLANK(C21),IF(Fill_Example="Yes",F21,""),C21)</f>
        <v/>
      </c>
    </row>
    <row r="23" customFormat="false" ht="15" hidden="false" customHeight="true" outlineLevel="0" collapsed="false">
      <c r="B23" s="15" t="s">
        <v>332</v>
      </c>
      <c r="C23" s="16"/>
      <c r="D23" s="16"/>
      <c r="E23" s="16"/>
      <c r="F23" s="16"/>
      <c r="G23" s="16"/>
    </row>
    <row r="24" customFormat="false" ht="15" hidden="false" customHeight="true" outlineLevel="0" collapsed="false">
      <c r="B24" s="9" t="s">
        <v>883</v>
      </c>
      <c r="C24" s="61" t="str">
        <f aca="false">IF(NOT(ISBLANK(Stmt_Projected_Fund)),Stmt_Projected_Fund,IF(NOT(ISBLANK(Stmt_Fund_Value)),Stmt_Fund_Value,Retirement_Savings))</f>
        <v/>
      </c>
      <c r="D24" s="62" t="str">
        <f aca="false">IF(NOT(ISBLANK(Stmt_Projected_Fund)),"From your statement (projected fund)",IF(NOT(ISBLANK(Stmt_Fund_Value)),"From your statement (fund value today)","Your figure"))</f>
        <v>Your figure</v>
      </c>
      <c r="E24" s="52" t="s">
        <v>896</v>
      </c>
    </row>
    <row r="25" customFormat="false" ht="21.75" hidden="false" customHeight="true" outlineLevel="0" collapsed="false">
      <c r="B25" s="9" t="s">
        <v>338</v>
      </c>
      <c r="C25" s="48" t="str">
        <f aca="true">IF(ISBLANK(Stmt_Statement_Date),"",IF(TODAY()-Stmt_Statement_Date&gt;Statement_Max_Age_Days,"Needs a look: statement is more than 12 months old","Up to date"))</f>
        <v/>
      </c>
      <c r="D25" s="30"/>
      <c r="E25" s="45" t="s">
        <v>339</v>
      </c>
    </row>
    <row r="27" customFormat="false" ht="15" hidden="false" customHeight="true" outlineLevel="0" collapsed="false">
      <c r="B27" s="15" t="s">
        <v>245</v>
      </c>
      <c r="C27" s="27" t="s">
        <v>246</v>
      </c>
      <c r="D27" s="27" t="s">
        <v>247</v>
      </c>
      <c r="E27" s="27" t="s">
        <v>248</v>
      </c>
      <c r="F27" s="16"/>
      <c r="G27" s="16"/>
    </row>
    <row r="28" customFormat="false" ht="23.25" hidden="false" customHeight="true" outlineLevel="0" collapsed="false">
      <c r="B28" s="24" t="s">
        <v>927</v>
      </c>
      <c r="C28" s="65" t="str">
        <f aca="false">IF(Need_1&lt;&gt;"",Need_1,IF(Inflation_Choice="","Choose your inflation rate to see this",SUM(W_b_paid)))</f>
        <v>Choose your inflation rate to see this</v>
      </c>
      <c r="D28" s="66" t="str">
        <f aca="false">IF(Need_1&lt;&gt;"",Need_1,IF(ISNUMBER(Years_Balanced),IF(Years_Balanced&gt;=Cap_Years,Cap_Years&amp;"+ years",Years_Balanced&amp;IF(Years_Balanced=1," year"," years")),"Choose your inflation rate to see this"))</f>
        <v>Choose your inflation rate to see this</v>
      </c>
      <c r="E28" s="45" t="s">
        <v>928</v>
      </c>
    </row>
    <row r="29" customFormat="false" ht="15" hidden="false" customHeight="true" outlineLevel="0" collapsed="false">
      <c r="B29" s="9" t="s">
        <v>929</v>
      </c>
      <c r="C29" s="69" t="str">
        <f aca="false">IF(Need_1&lt;&gt;"",Need_1,IF(Inflation_Choice="","Choose your inflation rate to see this",SUM(W_c_paid)))</f>
        <v>Choose your inflation rate to see this</v>
      </c>
      <c r="D29" s="70" t="str">
        <f aca="false">IF(Need_1&lt;&gt;"",Need_1,IF(ISNUMBER(Years_Cautious),IF(Years_Cautious&gt;=Cap_Years,Cap_Years&amp;"+ years",Years_Cautious&amp;IF(Years_Cautious=1," year"," years")),"Choose your inflation rate to see this"))</f>
        <v>Choose your inflation rate to see this</v>
      </c>
      <c r="E29" s="45" t="s">
        <v>930</v>
      </c>
    </row>
    <row r="30" customFormat="false" ht="15" hidden="false" customHeight="true" outlineLevel="0" collapsed="false">
      <c r="B30" s="9" t="s">
        <v>931</v>
      </c>
      <c r="C30" s="69" t="str">
        <f aca="false">IF(Need_1&lt;&gt;"",Need_1,IF(Inflation_Choice="","Choose your inflation rate to see this",SUM(W_g_paid)))</f>
        <v>Choose your inflation rate to see this</v>
      </c>
      <c r="D30" s="70" t="str">
        <f aca="false">IF(Need_1&lt;&gt;"",Need_1,IF(ISNUMBER(Years_Growth),IF(Years_Growth&gt;=Cap_Years,Cap_Years&amp;"+ years",Years_Growth&amp;IF(Years_Growth=1," year"," years")),"Choose your inflation rate to see this"))</f>
        <v>Choose your inflation rate to see this</v>
      </c>
      <c r="E30" s="45" t="s">
        <v>932</v>
      </c>
    </row>
    <row r="31" customFormat="false" ht="15" hidden="false" customHeight="true" outlineLevel="0" collapsed="false">
      <c r="B31" s="15" t="s">
        <v>933</v>
      </c>
      <c r="C31" s="16"/>
      <c r="D31" s="16"/>
      <c r="E31" s="16"/>
      <c r="F31" s="16"/>
      <c r="G31" s="16"/>
    </row>
    <row r="32" customFormat="false" ht="27.75" hidden="false" customHeight="true" outlineLevel="0" collapsed="false">
      <c r="B32" s="81" t="s">
        <v>904</v>
      </c>
      <c r="C32" s="81" t="s">
        <v>934</v>
      </c>
      <c r="D32" s="81" t="s">
        <v>935</v>
      </c>
      <c r="E32" s="81" t="s">
        <v>936</v>
      </c>
      <c r="F32" s="81" t="s">
        <v>937</v>
      </c>
      <c r="G32" s="81" t="s">
        <v>938</v>
      </c>
      <c r="H32" s="81" t="s">
        <v>939</v>
      </c>
      <c r="I32" s="81" t="s">
        <v>940</v>
      </c>
    </row>
    <row r="33" customFormat="false" ht="15" hidden="false" customHeight="true" outlineLevel="0" collapsed="false">
      <c r="B33" s="82" t="n">
        <v>1</v>
      </c>
      <c r="C33" s="83" t="str">
        <f aca="false">IF(Need_1&lt;&gt;"","",Yearly_Withdrawal)</f>
        <v/>
      </c>
      <c r="D33" s="83" t="str">
        <f aca="false">IF(Need_1&lt;&gt;"","",Used_Retirement_Savings)</f>
        <v/>
      </c>
      <c r="E33" s="82" t="str">
        <f aca="false">IF(Need_1&lt;&gt;"","",IF(Withdrawal_Timing="Start of year",IF(D33&gt;=C33,1,0),IF(D33*(1+DD_Cautious)&gt;=C33,1,0)))</f>
        <v/>
      </c>
      <c r="F33" s="83" t="str">
        <f aca="false">IF(Need_1&lt;&gt;"","",Used_Retirement_Savings)</f>
        <v/>
      </c>
      <c r="G33" s="82" t="str">
        <f aca="false">IF(Need_1&lt;&gt;"","",IF(Withdrawal_Timing="Start of year",IF(F33&gt;=C33,1,0),IF(F33*(1+DD_Balanced)&gt;=C33,1,0)))</f>
        <v/>
      </c>
      <c r="H33" s="83" t="str">
        <f aca="false">IF(Need_1&lt;&gt;"","",Used_Retirement_Savings)</f>
        <v/>
      </c>
      <c r="I33" s="82" t="str">
        <f aca="false">IF(Need_1&lt;&gt;"","",IF(Withdrawal_Timing="Start of year",IF(H33&gt;=C33,1,0),IF(H33*(1+DD_Growth)&gt;=C33,1,0)))</f>
        <v/>
      </c>
    </row>
    <row r="34" customFormat="false" ht="15" hidden="false" customHeight="true" outlineLevel="0" collapsed="false">
      <c r="B34" s="82" t="n">
        <v>2</v>
      </c>
      <c r="C34" s="83" t="str">
        <f aca="false">IF(Need_1&lt;&gt;"","",C33*(1+Inflation_Choice))</f>
        <v/>
      </c>
      <c r="D34" s="83" t="str">
        <f aca="false">IF(Need_1&lt;&gt;"","",IF(E33=1,IF(Withdrawal_Timing="Start of year",(D33-C33)*(1+DD_Cautious),D33*(1+DD_Cautious)-C33),0))</f>
        <v/>
      </c>
      <c r="E34" s="82" t="str">
        <f aca="false">IF(Need_1&lt;&gt;"","",IF(Withdrawal_Timing="Start of year",IF(D34&gt;=C34,1,0),IF(D34*(1+DD_Cautious)&gt;=C34,1,0)))</f>
        <v/>
      </c>
      <c r="F34" s="83" t="str">
        <f aca="false">IF(Need_1&lt;&gt;"","",IF(G33=1,IF(Withdrawal_Timing="Start of year",(F33-C33)*(1+DD_Balanced),F33*(1+DD_Balanced)-C33),0))</f>
        <v/>
      </c>
      <c r="G34" s="82" t="str">
        <f aca="false">IF(Need_1&lt;&gt;"","",IF(Withdrawal_Timing="Start of year",IF(F34&gt;=C34,1,0),IF(F34*(1+DD_Balanced)&gt;=C34,1,0)))</f>
        <v/>
      </c>
      <c r="H34" s="83" t="str">
        <f aca="false">IF(Need_1&lt;&gt;"","",IF(I33=1,IF(Withdrawal_Timing="Start of year",(H33-C33)*(1+DD_Growth),H33*(1+DD_Growth)-C33),0))</f>
        <v/>
      </c>
      <c r="I34" s="82" t="str">
        <f aca="false">IF(Need_1&lt;&gt;"","",IF(Withdrawal_Timing="Start of year",IF(H34&gt;=C34,1,0),IF(H34*(1+DD_Growth)&gt;=C34,1,0)))</f>
        <v/>
      </c>
    </row>
    <row r="35" customFormat="false" ht="15" hidden="false" customHeight="true" outlineLevel="0" collapsed="false">
      <c r="B35" s="82" t="n">
        <v>3</v>
      </c>
      <c r="C35" s="83" t="str">
        <f aca="false">IF(Need_1&lt;&gt;"","",C34*(1+Inflation_Choice))</f>
        <v/>
      </c>
      <c r="D35" s="83" t="str">
        <f aca="false">IF(Need_1&lt;&gt;"","",IF(E34=1,IF(Withdrawal_Timing="Start of year",(D34-C34)*(1+DD_Cautious),D34*(1+DD_Cautious)-C34),0))</f>
        <v/>
      </c>
      <c r="E35" s="82" t="str">
        <f aca="false">IF(Need_1&lt;&gt;"","",IF(Withdrawal_Timing="Start of year",IF(D35&gt;=C35,1,0),IF(D35*(1+DD_Cautious)&gt;=C35,1,0)))</f>
        <v/>
      </c>
      <c r="F35" s="83" t="str">
        <f aca="false">IF(Need_1&lt;&gt;"","",IF(G34=1,IF(Withdrawal_Timing="Start of year",(F34-C34)*(1+DD_Balanced),F34*(1+DD_Balanced)-C34),0))</f>
        <v/>
      </c>
      <c r="G35" s="82" t="str">
        <f aca="false">IF(Need_1&lt;&gt;"","",IF(Withdrawal_Timing="Start of year",IF(F35&gt;=C35,1,0),IF(F35*(1+DD_Balanced)&gt;=C35,1,0)))</f>
        <v/>
      </c>
      <c r="H35" s="83" t="str">
        <f aca="false">IF(Need_1&lt;&gt;"","",IF(I34=1,IF(Withdrawal_Timing="Start of year",(H34-C34)*(1+DD_Growth),H34*(1+DD_Growth)-C34),0))</f>
        <v/>
      </c>
      <c r="I35" s="82" t="str">
        <f aca="false">IF(Need_1&lt;&gt;"","",IF(Withdrawal_Timing="Start of year",IF(H35&gt;=C35,1,0),IF(H35*(1+DD_Growth)&gt;=C35,1,0)))</f>
        <v/>
      </c>
    </row>
    <row r="36" customFormat="false" ht="15" hidden="false" customHeight="true" outlineLevel="0" collapsed="false">
      <c r="B36" s="82" t="n">
        <v>4</v>
      </c>
      <c r="C36" s="83" t="str">
        <f aca="false">IF(Need_1&lt;&gt;"","",C35*(1+Inflation_Choice))</f>
        <v/>
      </c>
      <c r="D36" s="83" t="str">
        <f aca="false">IF(Need_1&lt;&gt;"","",IF(E35=1,IF(Withdrawal_Timing="Start of year",(D35-C35)*(1+DD_Cautious),D35*(1+DD_Cautious)-C35),0))</f>
        <v/>
      </c>
      <c r="E36" s="82" t="str">
        <f aca="false">IF(Need_1&lt;&gt;"","",IF(Withdrawal_Timing="Start of year",IF(D36&gt;=C36,1,0),IF(D36*(1+DD_Cautious)&gt;=C36,1,0)))</f>
        <v/>
      </c>
      <c r="F36" s="83" t="str">
        <f aca="false">IF(Need_1&lt;&gt;"","",IF(G35=1,IF(Withdrawal_Timing="Start of year",(F35-C35)*(1+DD_Balanced),F35*(1+DD_Balanced)-C35),0))</f>
        <v/>
      </c>
      <c r="G36" s="82" t="str">
        <f aca="false">IF(Need_1&lt;&gt;"","",IF(Withdrawal_Timing="Start of year",IF(F36&gt;=C36,1,0),IF(F36*(1+DD_Balanced)&gt;=C36,1,0)))</f>
        <v/>
      </c>
      <c r="H36" s="83" t="str">
        <f aca="false">IF(Need_1&lt;&gt;"","",IF(I35=1,IF(Withdrawal_Timing="Start of year",(H35-C35)*(1+DD_Growth),H35*(1+DD_Growth)-C35),0))</f>
        <v/>
      </c>
      <c r="I36" s="82" t="str">
        <f aca="false">IF(Need_1&lt;&gt;"","",IF(Withdrawal_Timing="Start of year",IF(H36&gt;=C36,1,0),IF(H36*(1+DD_Growth)&gt;=C36,1,0)))</f>
        <v/>
      </c>
    </row>
    <row r="37" customFormat="false" ht="15" hidden="false" customHeight="true" outlineLevel="0" collapsed="false">
      <c r="B37" s="82" t="n">
        <v>5</v>
      </c>
      <c r="C37" s="83" t="str">
        <f aca="false">IF(Need_1&lt;&gt;"","",C36*(1+Inflation_Choice))</f>
        <v/>
      </c>
      <c r="D37" s="83" t="str">
        <f aca="false">IF(Need_1&lt;&gt;"","",IF(E36=1,IF(Withdrawal_Timing="Start of year",(D36-C36)*(1+DD_Cautious),D36*(1+DD_Cautious)-C36),0))</f>
        <v/>
      </c>
      <c r="E37" s="82" t="str">
        <f aca="false">IF(Need_1&lt;&gt;"","",IF(Withdrawal_Timing="Start of year",IF(D37&gt;=C37,1,0),IF(D37*(1+DD_Cautious)&gt;=C37,1,0)))</f>
        <v/>
      </c>
      <c r="F37" s="83" t="str">
        <f aca="false">IF(Need_1&lt;&gt;"","",IF(G36=1,IF(Withdrawal_Timing="Start of year",(F36-C36)*(1+DD_Balanced),F36*(1+DD_Balanced)-C36),0))</f>
        <v/>
      </c>
      <c r="G37" s="82" t="str">
        <f aca="false">IF(Need_1&lt;&gt;"","",IF(Withdrawal_Timing="Start of year",IF(F37&gt;=C37,1,0),IF(F37*(1+DD_Balanced)&gt;=C37,1,0)))</f>
        <v/>
      </c>
      <c r="H37" s="83" t="str">
        <f aca="false">IF(Need_1&lt;&gt;"","",IF(I36=1,IF(Withdrawal_Timing="Start of year",(H36-C36)*(1+DD_Growth),H36*(1+DD_Growth)-C36),0))</f>
        <v/>
      </c>
      <c r="I37" s="82" t="str">
        <f aca="false">IF(Need_1&lt;&gt;"","",IF(Withdrawal_Timing="Start of year",IF(H37&gt;=C37,1,0),IF(H37*(1+DD_Growth)&gt;=C37,1,0)))</f>
        <v/>
      </c>
    </row>
    <row r="38" customFormat="false" ht="15" hidden="false" customHeight="true" outlineLevel="0" collapsed="false">
      <c r="B38" s="82" t="n">
        <v>6</v>
      </c>
      <c r="C38" s="83" t="str">
        <f aca="false">IF(Need_1&lt;&gt;"","",C37*(1+Inflation_Choice))</f>
        <v/>
      </c>
      <c r="D38" s="83" t="str">
        <f aca="false">IF(Need_1&lt;&gt;"","",IF(E37=1,IF(Withdrawal_Timing="Start of year",(D37-C37)*(1+DD_Cautious),D37*(1+DD_Cautious)-C37),0))</f>
        <v/>
      </c>
      <c r="E38" s="82" t="str">
        <f aca="false">IF(Need_1&lt;&gt;"","",IF(Withdrawal_Timing="Start of year",IF(D38&gt;=C38,1,0),IF(D38*(1+DD_Cautious)&gt;=C38,1,0)))</f>
        <v/>
      </c>
      <c r="F38" s="83" t="str">
        <f aca="false">IF(Need_1&lt;&gt;"","",IF(G37=1,IF(Withdrawal_Timing="Start of year",(F37-C37)*(1+DD_Balanced),F37*(1+DD_Balanced)-C37),0))</f>
        <v/>
      </c>
      <c r="G38" s="82" t="str">
        <f aca="false">IF(Need_1&lt;&gt;"","",IF(Withdrawal_Timing="Start of year",IF(F38&gt;=C38,1,0),IF(F38*(1+DD_Balanced)&gt;=C38,1,0)))</f>
        <v/>
      </c>
      <c r="H38" s="83" t="str">
        <f aca="false">IF(Need_1&lt;&gt;"","",IF(I37=1,IF(Withdrawal_Timing="Start of year",(H37-C37)*(1+DD_Growth),H37*(1+DD_Growth)-C37),0))</f>
        <v/>
      </c>
      <c r="I38" s="82" t="str">
        <f aca="false">IF(Need_1&lt;&gt;"","",IF(Withdrawal_Timing="Start of year",IF(H38&gt;=C38,1,0),IF(H38*(1+DD_Growth)&gt;=C38,1,0)))</f>
        <v/>
      </c>
    </row>
    <row r="39" customFormat="false" ht="15" hidden="false" customHeight="true" outlineLevel="0" collapsed="false">
      <c r="B39" s="82" t="n">
        <v>7</v>
      </c>
      <c r="C39" s="83" t="str">
        <f aca="false">IF(Need_1&lt;&gt;"","",C38*(1+Inflation_Choice))</f>
        <v/>
      </c>
      <c r="D39" s="83" t="str">
        <f aca="false">IF(Need_1&lt;&gt;"","",IF(E38=1,IF(Withdrawal_Timing="Start of year",(D38-C38)*(1+DD_Cautious),D38*(1+DD_Cautious)-C38),0))</f>
        <v/>
      </c>
      <c r="E39" s="82" t="str">
        <f aca="false">IF(Need_1&lt;&gt;"","",IF(Withdrawal_Timing="Start of year",IF(D39&gt;=C39,1,0),IF(D39*(1+DD_Cautious)&gt;=C39,1,0)))</f>
        <v/>
      </c>
      <c r="F39" s="83" t="str">
        <f aca="false">IF(Need_1&lt;&gt;"","",IF(G38=1,IF(Withdrawal_Timing="Start of year",(F38-C38)*(1+DD_Balanced),F38*(1+DD_Balanced)-C38),0))</f>
        <v/>
      </c>
      <c r="G39" s="82" t="str">
        <f aca="false">IF(Need_1&lt;&gt;"","",IF(Withdrawal_Timing="Start of year",IF(F39&gt;=C39,1,0),IF(F39*(1+DD_Balanced)&gt;=C39,1,0)))</f>
        <v/>
      </c>
      <c r="H39" s="83" t="str">
        <f aca="false">IF(Need_1&lt;&gt;"","",IF(I38=1,IF(Withdrawal_Timing="Start of year",(H38-C38)*(1+DD_Growth),H38*(1+DD_Growth)-C38),0))</f>
        <v/>
      </c>
      <c r="I39" s="82" t="str">
        <f aca="false">IF(Need_1&lt;&gt;"","",IF(Withdrawal_Timing="Start of year",IF(H39&gt;=C39,1,0),IF(H39*(1+DD_Growth)&gt;=C39,1,0)))</f>
        <v/>
      </c>
    </row>
    <row r="40" customFormat="false" ht="15" hidden="false" customHeight="true" outlineLevel="0" collapsed="false">
      <c r="B40" s="82" t="n">
        <v>8</v>
      </c>
      <c r="C40" s="83" t="str">
        <f aca="false">IF(Need_1&lt;&gt;"","",C39*(1+Inflation_Choice))</f>
        <v/>
      </c>
      <c r="D40" s="83" t="str">
        <f aca="false">IF(Need_1&lt;&gt;"","",IF(E39=1,IF(Withdrawal_Timing="Start of year",(D39-C39)*(1+DD_Cautious),D39*(1+DD_Cautious)-C39),0))</f>
        <v/>
      </c>
      <c r="E40" s="82" t="str">
        <f aca="false">IF(Need_1&lt;&gt;"","",IF(Withdrawal_Timing="Start of year",IF(D40&gt;=C40,1,0),IF(D40*(1+DD_Cautious)&gt;=C40,1,0)))</f>
        <v/>
      </c>
      <c r="F40" s="83" t="str">
        <f aca="false">IF(Need_1&lt;&gt;"","",IF(G39=1,IF(Withdrawal_Timing="Start of year",(F39-C39)*(1+DD_Balanced),F39*(1+DD_Balanced)-C39),0))</f>
        <v/>
      </c>
      <c r="G40" s="82" t="str">
        <f aca="false">IF(Need_1&lt;&gt;"","",IF(Withdrawal_Timing="Start of year",IF(F40&gt;=C40,1,0),IF(F40*(1+DD_Balanced)&gt;=C40,1,0)))</f>
        <v/>
      </c>
      <c r="H40" s="83" t="str">
        <f aca="false">IF(Need_1&lt;&gt;"","",IF(I39=1,IF(Withdrawal_Timing="Start of year",(H39-C39)*(1+DD_Growth),H39*(1+DD_Growth)-C39),0))</f>
        <v/>
      </c>
      <c r="I40" s="82" t="str">
        <f aca="false">IF(Need_1&lt;&gt;"","",IF(Withdrawal_Timing="Start of year",IF(H40&gt;=C40,1,0),IF(H40*(1+DD_Growth)&gt;=C40,1,0)))</f>
        <v/>
      </c>
    </row>
    <row r="41" customFormat="false" ht="15" hidden="false" customHeight="true" outlineLevel="0" collapsed="false">
      <c r="B41" s="82" t="n">
        <v>9</v>
      </c>
      <c r="C41" s="83" t="str">
        <f aca="false">IF(Need_1&lt;&gt;"","",C40*(1+Inflation_Choice))</f>
        <v/>
      </c>
      <c r="D41" s="83" t="str">
        <f aca="false">IF(Need_1&lt;&gt;"","",IF(E40=1,IF(Withdrawal_Timing="Start of year",(D40-C40)*(1+DD_Cautious),D40*(1+DD_Cautious)-C40),0))</f>
        <v/>
      </c>
      <c r="E41" s="82" t="str">
        <f aca="false">IF(Need_1&lt;&gt;"","",IF(Withdrawal_Timing="Start of year",IF(D41&gt;=C41,1,0),IF(D41*(1+DD_Cautious)&gt;=C41,1,0)))</f>
        <v/>
      </c>
      <c r="F41" s="83" t="str">
        <f aca="false">IF(Need_1&lt;&gt;"","",IF(G40=1,IF(Withdrawal_Timing="Start of year",(F40-C40)*(1+DD_Balanced),F40*(1+DD_Balanced)-C40),0))</f>
        <v/>
      </c>
      <c r="G41" s="82" t="str">
        <f aca="false">IF(Need_1&lt;&gt;"","",IF(Withdrawal_Timing="Start of year",IF(F41&gt;=C41,1,0),IF(F41*(1+DD_Balanced)&gt;=C41,1,0)))</f>
        <v/>
      </c>
      <c r="H41" s="83" t="str">
        <f aca="false">IF(Need_1&lt;&gt;"","",IF(I40=1,IF(Withdrawal_Timing="Start of year",(H40-C40)*(1+DD_Growth),H40*(1+DD_Growth)-C40),0))</f>
        <v/>
      </c>
      <c r="I41" s="82" t="str">
        <f aca="false">IF(Need_1&lt;&gt;"","",IF(Withdrawal_Timing="Start of year",IF(H41&gt;=C41,1,0),IF(H41*(1+DD_Growth)&gt;=C41,1,0)))</f>
        <v/>
      </c>
    </row>
    <row r="42" customFormat="false" ht="15" hidden="false" customHeight="true" outlineLevel="0" collapsed="false">
      <c r="B42" s="82" t="n">
        <v>10</v>
      </c>
      <c r="C42" s="83" t="str">
        <f aca="false">IF(Need_1&lt;&gt;"","",C41*(1+Inflation_Choice))</f>
        <v/>
      </c>
      <c r="D42" s="83" t="str">
        <f aca="false">IF(Need_1&lt;&gt;"","",IF(E41=1,IF(Withdrawal_Timing="Start of year",(D41-C41)*(1+DD_Cautious),D41*(1+DD_Cautious)-C41),0))</f>
        <v/>
      </c>
      <c r="E42" s="82" t="str">
        <f aca="false">IF(Need_1&lt;&gt;"","",IF(Withdrawal_Timing="Start of year",IF(D42&gt;=C42,1,0),IF(D42*(1+DD_Cautious)&gt;=C42,1,0)))</f>
        <v/>
      </c>
      <c r="F42" s="83" t="str">
        <f aca="false">IF(Need_1&lt;&gt;"","",IF(G41=1,IF(Withdrawal_Timing="Start of year",(F41-C41)*(1+DD_Balanced),F41*(1+DD_Balanced)-C41),0))</f>
        <v/>
      </c>
      <c r="G42" s="82" t="str">
        <f aca="false">IF(Need_1&lt;&gt;"","",IF(Withdrawal_Timing="Start of year",IF(F42&gt;=C42,1,0),IF(F42*(1+DD_Balanced)&gt;=C42,1,0)))</f>
        <v/>
      </c>
      <c r="H42" s="83" t="str">
        <f aca="false">IF(Need_1&lt;&gt;"","",IF(I41=1,IF(Withdrawal_Timing="Start of year",(H41-C41)*(1+DD_Growth),H41*(1+DD_Growth)-C41),0))</f>
        <v/>
      </c>
      <c r="I42" s="82" t="str">
        <f aca="false">IF(Need_1&lt;&gt;"","",IF(Withdrawal_Timing="Start of year",IF(H42&gt;=C42,1,0),IF(H42*(1+DD_Growth)&gt;=C42,1,0)))</f>
        <v/>
      </c>
    </row>
    <row r="43" customFormat="false" ht="15" hidden="false" customHeight="true" outlineLevel="0" collapsed="false">
      <c r="B43" s="82" t="n">
        <v>11</v>
      </c>
      <c r="C43" s="83" t="str">
        <f aca="false">IF(Need_1&lt;&gt;"","",C42*(1+Inflation_Choice))</f>
        <v/>
      </c>
      <c r="D43" s="83" t="str">
        <f aca="false">IF(Need_1&lt;&gt;"","",IF(E42=1,IF(Withdrawal_Timing="Start of year",(D42-C42)*(1+DD_Cautious),D42*(1+DD_Cautious)-C42),0))</f>
        <v/>
      </c>
      <c r="E43" s="82" t="str">
        <f aca="false">IF(Need_1&lt;&gt;"","",IF(Withdrawal_Timing="Start of year",IF(D43&gt;=C43,1,0),IF(D43*(1+DD_Cautious)&gt;=C43,1,0)))</f>
        <v/>
      </c>
      <c r="F43" s="83" t="str">
        <f aca="false">IF(Need_1&lt;&gt;"","",IF(G42=1,IF(Withdrawal_Timing="Start of year",(F42-C42)*(1+DD_Balanced),F42*(1+DD_Balanced)-C42),0))</f>
        <v/>
      </c>
      <c r="G43" s="82" t="str">
        <f aca="false">IF(Need_1&lt;&gt;"","",IF(Withdrawal_Timing="Start of year",IF(F43&gt;=C43,1,0),IF(F43*(1+DD_Balanced)&gt;=C43,1,0)))</f>
        <v/>
      </c>
      <c r="H43" s="83" t="str">
        <f aca="false">IF(Need_1&lt;&gt;"","",IF(I42=1,IF(Withdrawal_Timing="Start of year",(H42-C42)*(1+DD_Growth),H42*(1+DD_Growth)-C42),0))</f>
        <v/>
      </c>
      <c r="I43" s="82" t="str">
        <f aca="false">IF(Need_1&lt;&gt;"","",IF(Withdrawal_Timing="Start of year",IF(H43&gt;=C43,1,0),IF(H43*(1+DD_Growth)&gt;=C43,1,0)))</f>
        <v/>
      </c>
    </row>
    <row r="44" customFormat="false" ht="15" hidden="false" customHeight="true" outlineLevel="0" collapsed="false">
      <c r="B44" s="82" t="n">
        <v>12</v>
      </c>
      <c r="C44" s="83" t="str">
        <f aca="false">IF(Need_1&lt;&gt;"","",C43*(1+Inflation_Choice))</f>
        <v/>
      </c>
      <c r="D44" s="83" t="str">
        <f aca="false">IF(Need_1&lt;&gt;"","",IF(E43=1,IF(Withdrawal_Timing="Start of year",(D43-C43)*(1+DD_Cautious),D43*(1+DD_Cautious)-C43),0))</f>
        <v/>
      </c>
      <c r="E44" s="82" t="str">
        <f aca="false">IF(Need_1&lt;&gt;"","",IF(Withdrawal_Timing="Start of year",IF(D44&gt;=C44,1,0),IF(D44*(1+DD_Cautious)&gt;=C44,1,0)))</f>
        <v/>
      </c>
      <c r="F44" s="83" t="str">
        <f aca="false">IF(Need_1&lt;&gt;"","",IF(G43=1,IF(Withdrawal_Timing="Start of year",(F43-C43)*(1+DD_Balanced),F43*(1+DD_Balanced)-C43),0))</f>
        <v/>
      </c>
      <c r="G44" s="82" t="str">
        <f aca="false">IF(Need_1&lt;&gt;"","",IF(Withdrawal_Timing="Start of year",IF(F44&gt;=C44,1,0),IF(F44*(1+DD_Balanced)&gt;=C44,1,0)))</f>
        <v/>
      </c>
      <c r="H44" s="83" t="str">
        <f aca="false">IF(Need_1&lt;&gt;"","",IF(I43=1,IF(Withdrawal_Timing="Start of year",(H43-C43)*(1+DD_Growth),H43*(1+DD_Growth)-C43),0))</f>
        <v/>
      </c>
      <c r="I44" s="82" t="str">
        <f aca="false">IF(Need_1&lt;&gt;"","",IF(Withdrawal_Timing="Start of year",IF(H44&gt;=C44,1,0),IF(H44*(1+DD_Growth)&gt;=C44,1,0)))</f>
        <v/>
      </c>
    </row>
    <row r="45" customFormat="false" ht="15" hidden="false" customHeight="true" outlineLevel="0" collapsed="false">
      <c r="B45" s="82" t="n">
        <v>13</v>
      </c>
      <c r="C45" s="83" t="str">
        <f aca="false">IF(Need_1&lt;&gt;"","",C44*(1+Inflation_Choice))</f>
        <v/>
      </c>
      <c r="D45" s="83" t="str">
        <f aca="false">IF(Need_1&lt;&gt;"","",IF(E44=1,IF(Withdrawal_Timing="Start of year",(D44-C44)*(1+DD_Cautious),D44*(1+DD_Cautious)-C44),0))</f>
        <v/>
      </c>
      <c r="E45" s="82" t="str">
        <f aca="false">IF(Need_1&lt;&gt;"","",IF(Withdrawal_Timing="Start of year",IF(D45&gt;=C45,1,0),IF(D45*(1+DD_Cautious)&gt;=C45,1,0)))</f>
        <v/>
      </c>
      <c r="F45" s="83" t="str">
        <f aca="false">IF(Need_1&lt;&gt;"","",IF(G44=1,IF(Withdrawal_Timing="Start of year",(F44-C44)*(1+DD_Balanced),F44*(1+DD_Balanced)-C44),0))</f>
        <v/>
      </c>
      <c r="G45" s="82" t="str">
        <f aca="false">IF(Need_1&lt;&gt;"","",IF(Withdrawal_Timing="Start of year",IF(F45&gt;=C45,1,0),IF(F45*(1+DD_Balanced)&gt;=C45,1,0)))</f>
        <v/>
      </c>
      <c r="H45" s="83" t="str">
        <f aca="false">IF(Need_1&lt;&gt;"","",IF(I44=1,IF(Withdrawal_Timing="Start of year",(H44-C44)*(1+DD_Growth),H44*(1+DD_Growth)-C44),0))</f>
        <v/>
      </c>
      <c r="I45" s="82" t="str">
        <f aca="false">IF(Need_1&lt;&gt;"","",IF(Withdrawal_Timing="Start of year",IF(H45&gt;=C45,1,0),IF(H45*(1+DD_Growth)&gt;=C45,1,0)))</f>
        <v/>
      </c>
    </row>
    <row r="46" customFormat="false" ht="15" hidden="false" customHeight="true" outlineLevel="0" collapsed="false">
      <c r="B46" s="82" t="n">
        <v>14</v>
      </c>
      <c r="C46" s="83" t="str">
        <f aca="false">IF(Need_1&lt;&gt;"","",C45*(1+Inflation_Choice))</f>
        <v/>
      </c>
      <c r="D46" s="83" t="str">
        <f aca="false">IF(Need_1&lt;&gt;"","",IF(E45=1,IF(Withdrawal_Timing="Start of year",(D45-C45)*(1+DD_Cautious),D45*(1+DD_Cautious)-C45),0))</f>
        <v/>
      </c>
      <c r="E46" s="82" t="str">
        <f aca="false">IF(Need_1&lt;&gt;"","",IF(Withdrawal_Timing="Start of year",IF(D46&gt;=C46,1,0),IF(D46*(1+DD_Cautious)&gt;=C46,1,0)))</f>
        <v/>
      </c>
      <c r="F46" s="83" t="str">
        <f aca="false">IF(Need_1&lt;&gt;"","",IF(G45=1,IF(Withdrawal_Timing="Start of year",(F45-C45)*(1+DD_Balanced),F45*(1+DD_Balanced)-C45),0))</f>
        <v/>
      </c>
      <c r="G46" s="82" t="str">
        <f aca="false">IF(Need_1&lt;&gt;"","",IF(Withdrawal_Timing="Start of year",IF(F46&gt;=C46,1,0),IF(F46*(1+DD_Balanced)&gt;=C46,1,0)))</f>
        <v/>
      </c>
      <c r="H46" s="83" t="str">
        <f aca="false">IF(Need_1&lt;&gt;"","",IF(I45=1,IF(Withdrawal_Timing="Start of year",(H45-C45)*(1+DD_Growth),H45*(1+DD_Growth)-C45),0))</f>
        <v/>
      </c>
      <c r="I46" s="82" t="str">
        <f aca="false">IF(Need_1&lt;&gt;"","",IF(Withdrawal_Timing="Start of year",IF(H46&gt;=C46,1,0),IF(H46*(1+DD_Growth)&gt;=C46,1,0)))</f>
        <v/>
      </c>
    </row>
    <row r="47" customFormat="false" ht="15" hidden="false" customHeight="true" outlineLevel="0" collapsed="false">
      <c r="B47" s="82" t="n">
        <v>15</v>
      </c>
      <c r="C47" s="83" t="str">
        <f aca="false">IF(Need_1&lt;&gt;"","",C46*(1+Inflation_Choice))</f>
        <v/>
      </c>
      <c r="D47" s="83" t="str">
        <f aca="false">IF(Need_1&lt;&gt;"","",IF(E46=1,IF(Withdrawal_Timing="Start of year",(D46-C46)*(1+DD_Cautious),D46*(1+DD_Cautious)-C46),0))</f>
        <v/>
      </c>
      <c r="E47" s="82" t="str">
        <f aca="false">IF(Need_1&lt;&gt;"","",IF(Withdrawal_Timing="Start of year",IF(D47&gt;=C47,1,0),IF(D47*(1+DD_Cautious)&gt;=C47,1,0)))</f>
        <v/>
      </c>
      <c r="F47" s="83" t="str">
        <f aca="false">IF(Need_1&lt;&gt;"","",IF(G46=1,IF(Withdrawal_Timing="Start of year",(F46-C46)*(1+DD_Balanced),F46*(1+DD_Balanced)-C46),0))</f>
        <v/>
      </c>
      <c r="G47" s="82" t="str">
        <f aca="false">IF(Need_1&lt;&gt;"","",IF(Withdrawal_Timing="Start of year",IF(F47&gt;=C47,1,0),IF(F47*(1+DD_Balanced)&gt;=C47,1,0)))</f>
        <v/>
      </c>
      <c r="H47" s="83" t="str">
        <f aca="false">IF(Need_1&lt;&gt;"","",IF(I46=1,IF(Withdrawal_Timing="Start of year",(H46-C46)*(1+DD_Growth),H46*(1+DD_Growth)-C46),0))</f>
        <v/>
      </c>
      <c r="I47" s="82" t="str">
        <f aca="false">IF(Need_1&lt;&gt;"","",IF(Withdrawal_Timing="Start of year",IF(H47&gt;=C47,1,0),IF(H47*(1+DD_Growth)&gt;=C47,1,0)))</f>
        <v/>
      </c>
    </row>
    <row r="48" customFormat="false" ht="15" hidden="false" customHeight="true" outlineLevel="0" collapsed="false">
      <c r="B48" s="82" t="n">
        <v>16</v>
      </c>
      <c r="C48" s="83" t="str">
        <f aca="false">IF(Need_1&lt;&gt;"","",C47*(1+Inflation_Choice))</f>
        <v/>
      </c>
      <c r="D48" s="83" t="str">
        <f aca="false">IF(Need_1&lt;&gt;"","",IF(E47=1,IF(Withdrawal_Timing="Start of year",(D47-C47)*(1+DD_Cautious),D47*(1+DD_Cautious)-C47),0))</f>
        <v/>
      </c>
      <c r="E48" s="82" t="str">
        <f aca="false">IF(Need_1&lt;&gt;"","",IF(Withdrawal_Timing="Start of year",IF(D48&gt;=C48,1,0),IF(D48*(1+DD_Cautious)&gt;=C48,1,0)))</f>
        <v/>
      </c>
      <c r="F48" s="83" t="str">
        <f aca="false">IF(Need_1&lt;&gt;"","",IF(G47=1,IF(Withdrawal_Timing="Start of year",(F47-C47)*(1+DD_Balanced),F47*(1+DD_Balanced)-C47),0))</f>
        <v/>
      </c>
      <c r="G48" s="82" t="str">
        <f aca="false">IF(Need_1&lt;&gt;"","",IF(Withdrawal_Timing="Start of year",IF(F48&gt;=C48,1,0),IF(F48*(1+DD_Balanced)&gt;=C48,1,0)))</f>
        <v/>
      </c>
      <c r="H48" s="83" t="str">
        <f aca="false">IF(Need_1&lt;&gt;"","",IF(I47=1,IF(Withdrawal_Timing="Start of year",(H47-C47)*(1+DD_Growth),H47*(1+DD_Growth)-C47),0))</f>
        <v/>
      </c>
      <c r="I48" s="82" t="str">
        <f aca="false">IF(Need_1&lt;&gt;"","",IF(Withdrawal_Timing="Start of year",IF(H48&gt;=C48,1,0),IF(H48*(1+DD_Growth)&gt;=C48,1,0)))</f>
        <v/>
      </c>
    </row>
    <row r="49" customFormat="false" ht="15" hidden="false" customHeight="true" outlineLevel="0" collapsed="false">
      <c r="B49" s="82" t="n">
        <v>17</v>
      </c>
      <c r="C49" s="83" t="str">
        <f aca="false">IF(Need_1&lt;&gt;"","",C48*(1+Inflation_Choice))</f>
        <v/>
      </c>
      <c r="D49" s="83" t="str">
        <f aca="false">IF(Need_1&lt;&gt;"","",IF(E48=1,IF(Withdrawal_Timing="Start of year",(D48-C48)*(1+DD_Cautious),D48*(1+DD_Cautious)-C48),0))</f>
        <v/>
      </c>
      <c r="E49" s="82" t="str">
        <f aca="false">IF(Need_1&lt;&gt;"","",IF(Withdrawal_Timing="Start of year",IF(D49&gt;=C49,1,0),IF(D49*(1+DD_Cautious)&gt;=C49,1,0)))</f>
        <v/>
      </c>
      <c r="F49" s="83" t="str">
        <f aca="false">IF(Need_1&lt;&gt;"","",IF(G48=1,IF(Withdrawal_Timing="Start of year",(F48-C48)*(1+DD_Balanced),F48*(1+DD_Balanced)-C48),0))</f>
        <v/>
      </c>
      <c r="G49" s="82" t="str">
        <f aca="false">IF(Need_1&lt;&gt;"","",IF(Withdrawal_Timing="Start of year",IF(F49&gt;=C49,1,0),IF(F49*(1+DD_Balanced)&gt;=C49,1,0)))</f>
        <v/>
      </c>
      <c r="H49" s="83" t="str">
        <f aca="false">IF(Need_1&lt;&gt;"","",IF(I48=1,IF(Withdrawal_Timing="Start of year",(H48-C48)*(1+DD_Growth),H48*(1+DD_Growth)-C48),0))</f>
        <v/>
      </c>
      <c r="I49" s="82" t="str">
        <f aca="false">IF(Need_1&lt;&gt;"","",IF(Withdrawal_Timing="Start of year",IF(H49&gt;=C49,1,0),IF(H49*(1+DD_Growth)&gt;=C49,1,0)))</f>
        <v/>
      </c>
    </row>
    <row r="50" customFormat="false" ht="15" hidden="false" customHeight="true" outlineLevel="0" collapsed="false">
      <c r="B50" s="82" t="n">
        <v>18</v>
      </c>
      <c r="C50" s="83" t="str">
        <f aca="false">IF(Need_1&lt;&gt;"","",C49*(1+Inflation_Choice))</f>
        <v/>
      </c>
      <c r="D50" s="83" t="str">
        <f aca="false">IF(Need_1&lt;&gt;"","",IF(E49=1,IF(Withdrawal_Timing="Start of year",(D49-C49)*(1+DD_Cautious),D49*(1+DD_Cautious)-C49),0))</f>
        <v/>
      </c>
      <c r="E50" s="82" t="str">
        <f aca="false">IF(Need_1&lt;&gt;"","",IF(Withdrawal_Timing="Start of year",IF(D50&gt;=C50,1,0),IF(D50*(1+DD_Cautious)&gt;=C50,1,0)))</f>
        <v/>
      </c>
      <c r="F50" s="83" t="str">
        <f aca="false">IF(Need_1&lt;&gt;"","",IF(G49=1,IF(Withdrawal_Timing="Start of year",(F49-C49)*(1+DD_Balanced),F49*(1+DD_Balanced)-C49),0))</f>
        <v/>
      </c>
      <c r="G50" s="82" t="str">
        <f aca="false">IF(Need_1&lt;&gt;"","",IF(Withdrawal_Timing="Start of year",IF(F50&gt;=C50,1,0),IF(F50*(1+DD_Balanced)&gt;=C50,1,0)))</f>
        <v/>
      </c>
      <c r="H50" s="83" t="str">
        <f aca="false">IF(Need_1&lt;&gt;"","",IF(I49=1,IF(Withdrawal_Timing="Start of year",(H49-C49)*(1+DD_Growth),H49*(1+DD_Growth)-C49),0))</f>
        <v/>
      </c>
      <c r="I50" s="82" t="str">
        <f aca="false">IF(Need_1&lt;&gt;"","",IF(Withdrawal_Timing="Start of year",IF(H50&gt;=C50,1,0),IF(H50*(1+DD_Growth)&gt;=C50,1,0)))</f>
        <v/>
      </c>
    </row>
    <row r="51" customFormat="false" ht="15" hidden="false" customHeight="true" outlineLevel="0" collapsed="false">
      <c r="B51" s="82" t="n">
        <v>19</v>
      </c>
      <c r="C51" s="83" t="str">
        <f aca="false">IF(Need_1&lt;&gt;"","",C50*(1+Inflation_Choice))</f>
        <v/>
      </c>
      <c r="D51" s="83" t="str">
        <f aca="false">IF(Need_1&lt;&gt;"","",IF(E50=1,IF(Withdrawal_Timing="Start of year",(D50-C50)*(1+DD_Cautious),D50*(1+DD_Cautious)-C50),0))</f>
        <v/>
      </c>
      <c r="E51" s="82" t="str">
        <f aca="false">IF(Need_1&lt;&gt;"","",IF(Withdrawal_Timing="Start of year",IF(D51&gt;=C51,1,0),IF(D51*(1+DD_Cautious)&gt;=C51,1,0)))</f>
        <v/>
      </c>
      <c r="F51" s="83" t="str">
        <f aca="false">IF(Need_1&lt;&gt;"","",IF(G50=1,IF(Withdrawal_Timing="Start of year",(F50-C50)*(1+DD_Balanced),F50*(1+DD_Balanced)-C50),0))</f>
        <v/>
      </c>
      <c r="G51" s="82" t="str">
        <f aca="false">IF(Need_1&lt;&gt;"","",IF(Withdrawal_Timing="Start of year",IF(F51&gt;=C51,1,0),IF(F51*(1+DD_Balanced)&gt;=C51,1,0)))</f>
        <v/>
      </c>
      <c r="H51" s="83" t="str">
        <f aca="false">IF(Need_1&lt;&gt;"","",IF(I50=1,IF(Withdrawal_Timing="Start of year",(H50-C50)*(1+DD_Growth),H50*(1+DD_Growth)-C50),0))</f>
        <v/>
      </c>
      <c r="I51" s="82" t="str">
        <f aca="false">IF(Need_1&lt;&gt;"","",IF(Withdrawal_Timing="Start of year",IF(H51&gt;=C51,1,0),IF(H51*(1+DD_Growth)&gt;=C51,1,0)))</f>
        <v/>
      </c>
    </row>
    <row r="52" customFormat="false" ht="15" hidden="false" customHeight="true" outlineLevel="0" collapsed="false">
      <c r="B52" s="82" t="n">
        <v>20</v>
      </c>
      <c r="C52" s="83" t="str">
        <f aca="false">IF(Need_1&lt;&gt;"","",C51*(1+Inflation_Choice))</f>
        <v/>
      </c>
      <c r="D52" s="83" t="str">
        <f aca="false">IF(Need_1&lt;&gt;"","",IF(E51=1,IF(Withdrawal_Timing="Start of year",(D51-C51)*(1+DD_Cautious),D51*(1+DD_Cautious)-C51),0))</f>
        <v/>
      </c>
      <c r="E52" s="82" t="str">
        <f aca="false">IF(Need_1&lt;&gt;"","",IF(Withdrawal_Timing="Start of year",IF(D52&gt;=C52,1,0),IF(D52*(1+DD_Cautious)&gt;=C52,1,0)))</f>
        <v/>
      </c>
      <c r="F52" s="83" t="str">
        <f aca="false">IF(Need_1&lt;&gt;"","",IF(G51=1,IF(Withdrawal_Timing="Start of year",(F51-C51)*(1+DD_Balanced),F51*(1+DD_Balanced)-C51),0))</f>
        <v/>
      </c>
      <c r="G52" s="82" t="str">
        <f aca="false">IF(Need_1&lt;&gt;"","",IF(Withdrawal_Timing="Start of year",IF(F52&gt;=C52,1,0),IF(F52*(1+DD_Balanced)&gt;=C52,1,0)))</f>
        <v/>
      </c>
      <c r="H52" s="83" t="str">
        <f aca="false">IF(Need_1&lt;&gt;"","",IF(I51=1,IF(Withdrawal_Timing="Start of year",(H51-C51)*(1+DD_Growth),H51*(1+DD_Growth)-C51),0))</f>
        <v/>
      </c>
      <c r="I52" s="82" t="str">
        <f aca="false">IF(Need_1&lt;&gt;"","",IF(Withdrawal_Timing="Start of year",IF(H52&gt;=C52,1,0),IF(H52*(1+DD_Growth)&gt;=C52,1,0)))</f>
        <v/>
      </c>
    </row>
    <row r="53" customFormat="false" ht="15" hidden="false" customHeight="true" outlineLevel="0" collapsed="false">
      <c r="B53" s="82" t="n">
        <v>21</v>
      </c>
      <c r="C53" s="83" t="str">
        <f aca="false">IF(Need_1&lt;&gt;"","",C52*(1+Inflation_Choice))</f>
        <v/>
      </c>
      <c r="D53" s="83" t="str">
        <f aca="false">IF(Need_1&lt;&gt;"","",IF(E52=1,IF(Withdrawal_Timing="Start of year",(D52-C52)*(1+DD_Cautious),D52*(1+DD_Cautious)-C52),0))</f>
        <v/>
      </c>
      <c r="E53" s="82" t="str">
        <f aca="false">IF(Need_1&lt;&gt;"","",IF(Withdrawal_Timing="Start of year",IF(D53&gt;=C53,1,0),IF(D53*(1+DD_Cautious)&gt;=C53,1,0)))</f>
        <v/>
      </c>
      <c r="F53" s="83" t="str">
        <f aca="false">IF(Need_1&lt;&gt;"","",IF(G52=1,IF(Withdrawal_Timing="Start of year",(F52-C52)*(1+DD_Balanced),F52*(1+DD_Balanced)-C52),0))</f>
        <v/>
      </c>
      <c r="G53" s="82" t="str">
        <f aca="false">IF(Need_1&lt;&gt;"","",IF(Withdrawal_Timing="Start of year",IF(F53&gt;=C53,1,0),IF(F53*(1+DD_Balanced)&gt;=C53,1,0)))</f>
        <v/>
      </c>
      <c r="H53" s="83" t="str">
        <f aca="false">IF(Need_1&lt;&gt;"","",IF(I52=1,IF(Withdrawal_Timing="Start of year",(H52-C52)*(1+DD_Growth),H52*(1+DD_Growth)-C52),0))</f>
        <v/>
      </c>
      <c r="I53" s="82" t="str">
        <f aca="false">IF(Need_1&lt;&gt;"","",IF(Withdrawal_Timing="Start of year",IF(H53&gt;=C53,1,0),IF(H53*(1+DD_Growth)&gt;=C53,1,0)))</f>
        <v/>
      </c>
    </row>
    <row r="54" customFormat="false" ht="15" hidden="false" customHeight="true" outlineLevel="0" collapsed="false">
      <c r="B54" s="82" t="n">
        <v>22</v>
      </c>
      <c r="C54" s="83" t="str">
        <f aca="false">IF(Need_1&lt;&gt;"","",C53*(1+Inflation_Choice))</f>
        <v/>
      </c>
      <c r="D54" s="83" t="str">
        <f aca="false">IF(Need_1&lt;&gt;"","",IF(E53=1,IF(Withdrawal_Timing="Start of year",(D53-C53)*(1+DD_Cautious),D53*(1+DD_Cautious)-C53),0))</f>
        <v/>
      </c>
      <c r="E54" s="82" t="str">
        <f aca="false">IF(Need_1&lt;&gt;"","",IF(Withdrawal_Timing="Start of year",IF(D54&gt;=C54,1,0),IF(D54*(1+DD_Cautious)&gt;=C54,1,0)))</f>
        <v/>
      </c>
      <c r="F54" s="83" t="str">
        <f aca="false">IF(Need_1&lt;&gt;"","",IF(G53=1,IF(Withdrawal_Timing="Start of year",(F53-C53)*(1+DD_Balanced),F53*(1+DD_Balanced)-C53),0))</f>
        <v/>
      </c>
      <c r="G54" s="82" t="str">
        <f aca="false">IF(Need_1&lt;&gt;"","",IF(Withdrawal_Timing="Start of year",IF(F54&gt;=C54,1,0),IF(F54*(1+DD_Balanced)&gt;=C54,1,0)))</f>
        <v/>
      </c>
      <c r="H54" s="83" t="str">
        <f aca="false">IF(Need_1&lt;&gt;"","",IF(I53=1,IF(Withdrawal_Timing="Start of year",(H53-C53)*(1+DD_Growth),H53*(1+DD_Growth)-C53),0))</f>
        <v/>
      </c>
      <c r="I54" s="82" t="str">
        <f aca="false">IF(Need_1&lt;&gt;"","",IF(Withdrawal_Timing="Start of year",IF(H54&gt;=C54,1,0),IF(H54*(1+DD_Growth)&gt;=C54,1,0)))</f>
        <v/>
      </c>
    </row>
    <row r="55" customFormat="false" ht="15" hidden="false" customHeight="true" outlineLevel="0" collapsed="false">
      <c r="B55" s="82" t="n">
        <v>23</v>
      </c>
      <c r="C55" s="83" t="str">
        <f aca="false">IF(Need_1&lt;&gt;"","",C54*(1+Inflation_Choice))</f>
        <v/>
      </c>
      <c r="D55" s="83" t="str">
        <f aca="false">IF(Need_1&lt;&gt;"","",IF(E54=1,IF(Withdrawal_Timing="Start of year",(D54-C54)*(1+DD_Cautious),D54*(1+DD_Cautious)-C54),0))</f>
        <v/>
      </c>
      <c r="E55" s="82" t="str">
        <f aca="false">IF(Need_1&lt;&gt;"","",IF(Withdrawal_Timing="Start of year",IF(D55&gt;=C55,1,0),IF(D55*(1+DD_Cautious)&gt;=C55,1,0)))</f>
        <v/>
      </c>
      <c r="F55" s="83" t="str">
        <f aca="false">IF(Need_1&lt;&gt;"","",IF(G54=1,IF(Withdrawal_Timing="Start of year",(F54-C54)*(1+DD_Balanced),F54*(1+DD_Balanced)-C54),0))</f>
        <v/>
      </c>
      <c r="G55" s="82" t="str">
        <f aca="false">IF(Need_1&lt;&gt;"","",IF(Withdrawal_Timing="Start of year",IF(F55&gt;=C55,1,0),IF(F55*(1+DD_Balanced)&gt;=C55,1,0)))</f>
        <v/>
      </c>
      <c r="H55" s="83" t="str">
        <f aca="false">IF(Need_1&lt;&gt;"","",IF(I54=1,IF(Withdrawal_Timing="Start of year",(H54-C54)*(1+DD_Growth),H54*(1+DD_Growth)-C54),0))</f>
        <v/>
      </c>
      <c r="I55" s="82" t="str">
        <f aca="false">IF(Need_1&lt;&gt;"","",IF(Withdrawal_Timing="Start of year",IF(H55&gt;=C55,1,0),IF(H55*(1+DD_Growth)&gt;=C55,1,0)))</f>
        <v/>
      </c>
    </row>
    <row r="56" customFormat="false" ht="15" hidden="false" customHeight="true" outlineLevel="0" collapsed="false">
      <c r="B56" s="82" t="n">
        <v>24</v>
      </c>
      <c r="C56" s="83" t="str">
        <f aca="false">IF(Need_1&lt;&gt;"","",C55*(1+Inflation_Choice))</f>
        <v/>
      </c>
      <c r="D56" s="83" t="str">
        <f aca="false">IF(Need_1&lt;&gt;"","",IF(E55=1,IF(Withdrawal_Timing="Start of year",(D55-C55)*(1+DD_Cautious),D55*(1+DD_Cautious)-C55),0))</f>
        <v/>
      </c>
      <c r="E56" s="82" t="str">
        <f aca="false">IF(Need_1&lt;&gt;"","",IF(Withdrawal_Timing="Start of year",IF(D56&gt;=C56,1,0),IF(D56*(1+DD_Cautious)&gt;=C56,1,0)))</f>
        <v/>
      </c>
      <c r="F56" s="83" t="str">
        <f aca="false">IF(Need_1&lt;&gt;"","",IF(G55=1,IF(Withdrawal_Timing="Start of year",(F55-C55)*(1+DD_Balanced),F55*(1+DD_Balanced)-C55),0))</f>
        <v/>
      </c>
      <c r="G56" s="82" t="str">
        <f aca="false">IF(Need_1&lt;&gt;"","",IF(Withdrawal_Timing="Start of year",IF(F56&gt;=C56,1,0),IF(F56*(1+DD_Balanced)&gt;=C56,1,0)))</f>
        <v/>
      </c>
      <c r="H56" s="83" t="str">
        <f aca="false">IF(Need_1&lt;&gt;"","",IF(I55=1,IF(Withdrawal_Timing="Start of year",(H55-C55)*(1+DD_Growth),H55*(1+DD_Growth)-C55),0))</f>
        <v/>
      </c>
      <c r="I56" s="82" t="str">
        <f aca="false">IF(Need_1&lt;&gt;"","",IF(Withdrawal_Timing="Start of year",IF(H56&gt;=C56,1,0),IF(H56*(1+DD_Growth)&gt;=C56,1,0)))</f>
        <v/>
      </c>
    </row>
    <row r="57" customFormat="false" ht="15" hidden="false" customHeight="true" outlineLevel="0" collapsed="false">
      <c r="B57" s="82" t="n">
        <v>25</v>
      </c>
      <c r="C57" s="83" t="str">
        <f aca="false">IF(Need_1&lt;&gt;"","",C56*(1+Inflation_Choice))</f>
        <v/>
      </c>
      <c r="D57" s="83" t="str">
        <f aca="false">IF(Need_1&lt;&gt;"","",IF(E56=1,IF(Withdrawal_Timing="Start of year",(D56-C56)*(1+DD_Cautious),D56*(1+DD_Cautious)-C56),0))</f>
        <v/>
      </c>
      <c r="E57" s="82" t="str">
        <f aca="false">IF(Need_1&lt;&gt;"","",IF(Withdrawal_Timing="Start of year",IF(D57&gt;=C57,1,0),IF(D57*(1+DD_Cautious)&gt;=C57,1,0)))</f>
        <v/>
      </c>
      <c r="F57" s="83" t="str">
        <f aca="false">IF(Need_1&lt;&gt;"","",IF(G56=1,IF(Withdrawal_Timing="Start of year",(F56-C56)*(1+DD_Balanced),F56*(1+DD_Balanced)-C56),0))</f>
        <v/>
      </c>
      <c r="G57" s="82" t="str">
        <f aca="false">IF(Need_1&lt;&gt;"","",IF(Withdrawal_Timing="Start of year",IF(F57&gt;=C57,1,0),IF(F57*(1+DD_Balanced)&gt;=C57,1,0)))</f>
        <v/>
      </c>
      <c r="H57" s="83" t="str">
        <f aca="false">IF(Need_1&lt;&gt;"","",IF(I56=1,IF(Withdrawal_Timing="Start of year",(H56-C56)*(1+DD_Growth),H56*(1+DD_Growth)-C56),0))</f>
        <v/>
      </c>
      <c r="I57" s="82" t="str">
        <f aca="false">IF(Need_1&lt;&gt;"","",IF(Withdrawal_Timing="Start of year",IF(H57&gt;=C57,1,0),IF(H57*(1+DD_Growth)&gt;=C57,1,0)))</f>
        <v/>
      </c>
    </row>
    <row r="58" customFormat="false" ht="15" hidden="false" customHeight="true" outlineLevel="0" collapsed="false">
      <c r="B58" s="82" t="n">
        <v>26</v>
      </c>
      <c r="C58" s="83" t="str">
        <f aca="false">IF(Need_1&lt;&gt;"","",C57*(1+Inflation_Choice))</f>
        <v/>
      </c>
      <c r="D58" s="83" t="str">
        <f aca="false">IF(Need_1&lt;&gt;"","",IF(E57=1,IF(Withdrawal_Timing="Start of year",(D57-C57)*(1+DD_Cautious),D57*(1+DD_Cautious)-C57),0))</f>
        <v/>
      </c>
      <c r="E58" s="82" t="str">
        <f aca="false">IF(Need_1&lt;&gt;"","",IF(Withdrawal_Timing="Start of year",IF(D58&gt;=C58,1,0),IF(D58*(1+DD_Cautious)&gt;=C58,1,0)))</f>
        <v/>
      </c>
      <c r="F58" s="83" t="str">
        <f aca="false">IF(Need_1&lt;&gt;"","",IF(G57=1,IF(Withdrawal_Timing="Start of year",(F57-C57)*(1+DD_Balanced),F57*(1+DD_Balanced)-C57),0))</f>
        <v/>
      </c>
      <c r="G58" s="82" t="str">
        <f aca="false">IF(Need_1&lt;&gt;"","",IF(Withdrawal_Timing="Start of year",IF(F58&gt;=C58,1,0),IF(F58*(1+DD_Balanced)&gt;=C58,1,0)))</f>
        <v/>
      </c>
      <c r="H58" s="83" t="str">
        <f aca="false">IF(Need_1&lt;&gt;"","",IF(I57=1,IF(Withdrawal_Timing="Start of year",(H57-C57)*(1+DD_Growth),H57*(1+DD_Growth)-C57),0))</f>
        <v/>
      </c>
      <c r="I58" s="82" t="str">
        <f aca="false">IF(Need_1&lt;&gt;"","",IF(Withdrawal_Timing="Start of year",IF(H58&gt;=C58,1,0),IF(H58*(1+DD_Growth)&gt;=C58,1,0)))</f>
        <v/>
      </c>
    </row>
    <row r="59" customFormat="false" ht="15" hidden="false" customHeight="true" outlineLevel="0" collapsed="false">
      <c r="B59" s="82" t="n">
        <v>27</v>
      </c>
      <c r="C59" s="83" t="str">
        <f aca="false">IF(Need_1&lt;&gt;"","",C58*(1+Inflation_Choice))</f>
        <v/>
      </c>
      <c r="D59" s="83" t="str">
        <f aca="false">IF(Need_1&lt;&gt;"","",IF(E58=1,IF(Withdrawal_Timing="Start of year",(D58-C58)*(1+DD_Cautious),D58*(1+DD_Cautious)-C58),0))</f>
        <v/>
      </c>
      <c r="E59" s="82" t="str">
        <f aca="false">IF(Need_1&lt;&gt;"","",IF(Withdrawal_Timing="Start of year",IF(D59&gt;=C59,1,0),IF(D59*(1+DD_Cautious)&gt;=C59,1,0)))</f>
        <v/>
      </c>
      <c r="F59" s="83" t="str">
        <f aca="false">IF(Need_1&lt;&gt;"","",IF(G58=1,IF(Withdrawal_Timing="Start of year",(F58-C58)*(1+DD_Balanced),F58*(1+DD_Balanced)-C58),0))</f>
        <v/>
      </c>
      <c r="G59" s="82" t="str">
        <f aca="false">IF(Need_1&lt;&gt;"","",IF(Withdrawal_Timing="Start of year",IF(F59&gt;=C59,1,0),IF(F59*(1+DD_Balanced)&gt;=C59,1,0)))</f>
        <v/>
      </c>
      <c r="H59" s="83" t="str">
        <f aca="false">IF(Need_1&lt;&gt;"","",IF(I58=1,IF(Withdrawal_Timing="Start of year",(H58-C58)*(1+DD_Growth),H58*(1+DD_Growth)-C58),0))</f>
        <v/>
      </c>
      <c r="I59" s="82" t="str">
        <f aca="false">IF(Need_1&lt;&gt;"","",IF(Withdrawal_Timing="Start of year",IF(H59&gt;=C59,1,0),IF(H59*(1+DD_Growth)&gt;=C59,1,0)))</f>
        <v/>
      </c>
    </row>
    <row r="60" customFormat="false" ht="15" hidden="false" customHeight="true" outlineLevel="0" collapsed="false">
      <c r="B60" s="82" t="n">
        <v>28</v>
      </c>
      <c r="C60" s="83" t="str">
        <f aca="false">IF(Need_1&lt;&gt;"","",C59*(1+Inflation_Choice))</f>
        <v/>
      </c>
      <c r="D60" s="83" t="str">
        <f aca="false">IF(Need_1&lt;&gt;"","",IF(E59=1,IF(Withdrawal_Timing="Start of year",(D59-C59)*(1+DD_Cautious),D59*(1+DD_Cautious)-C59),0))</f>
        <v/>
      </c>
      <c r="E60" s="82" t="str">
        <f aca="false">IF(Need_1&lt;&gt;"","",IF(Withdrawal_Timing="Start of year",IF(D60&gt;=C60,1,0),IF(D60*(1+DD_Cautious)&gt;=C60,1,0)))</f>
        <v/>
      </c>
      <c r="F60" s="83" t="str">
        <f aca="false">IF(Need_1&lt;&gt;"","",IF(G59=1,IF(Withdrawal_Timing="Start of year",(F59-C59)*(1+DD_Balanced),F59*(1+DD_Balanced)-C59),0))</f>
        <v/>
      </c>
      <c r="G60" s="82" t="str">
        <f aca="false">IF(Need_1&lt;&gt;"","",IF(Withdrawal_Timing="Start of year",IF(F60&gt;=C60,1,0),IF(F60*(1+DD_Balanced)&gt;=C60,1,0)))</f>
        <v/>
      </c>
      <c r="H60" s="83" t="str">
        <f aca="false">IF(Need_1&lt;&gt;"","",IF(I59=1,IF(Withdrawal_Timing="Start of year",(H59-C59)*(1+DD_Growth),H59*(1+DD_Growth)-C59),0))</f>
        <v/>
      </c>
      <c r="I60" s="82" t="str">
        <f aca="false">IF(Need_1&lt;&gt;"","",IF(Withdrawal_Timing="Start of year",IF(H60&gt;=C60,1,0),IF(H60*(1+DD_Growth)&gt;=C60,1,0)))</f>
        <v/>
      </c>
    </row>
    <row r="61" customFormat="false" ht="15" hidden="false" customHeight="true" outlineLevel="0" collapsed="false">
      <c r="B61" s="82" t="n">
        <v>29</v>
      </c>
      <c r="C61" s="83" t="str">
        <f aca="false">IF(Need_1&lt;&gt;"","",C60*(1+Inflation_Choice))</f>
        <v/>
      </c>
      <c r="D61" s="83" t="str">
        <f aca="false">IF(Need_1&lt;&gt;"","",IF(E60=1,IF(Withdrawal_Timing="Start of year",(D60-C60)*(1+DD_Cautious),D60*(1+DD_Cautious)-C60),0))</f>
        <v/>
      </c>
      <c r="E61" s="82" t="str">
        <f aca="false">IF(Need_1&lt;&gt;"","",IF(Withdrawal_Timing="Start of year",IF(D61&gt;=C61,1,0),IF(D61*(1+DD_Cautious)&gt;=C61,1,0)))</f>
        <v/>
      </c>
      <c r="F61" s="83" t="str">
        <f aca="false">IF(Need_1&lt;&gt;"","",IF(G60=1,IF(Withdrawal_Timing="Start of year",(F60-C60)*(1+DD_Balanced),F60*(1+DD_Balanced)-C60),0))</f>
        <v/>
      </c>
      <c r="G61" s="82" t="str">
        <f aca="false">IF(Need_1&lt;&gt;"","",IF(Withdrawal_Timing="Start of year",IF(F61&gt;=C61,1,0),IF(F61*(1+DD_Balanced)&gt;=C61,1,0)))</f>
        <v/>
      </c>
      <c r="H61" s="83" t="str">
        <f aca="false">IF(Need_1&lt;&gt;"","",IF(I60=1,IF(Withdrawal_Timing="Start of year",(H60-C60)*(1+DD_Growth),H60*(1+DD_Growth)-C60),0))</f>
        <v/>
      </c>
      <c r="I61" s="82" t="str">
        <f aca="false">IF(Need_1&lt;&gt;"","",IF(Withdrawal_Timing="Start of year",IF(H61&gt;=C61,1,0),IF(H61*(1+DD_Growth)&gt;=C61,1,0)))</f>
        <v/>
      </c>
    </row>
    <row r="62" customFormat="false" ht="15" hidden="false" customHeight="true" outlineLevel="0" collapsed="false">
      <c r="B62" s="82" t="n">
        <v>30</v>
      </c>
      <c r="C62" s="83" t="str">
        <f aca="false">IF(Need_1&lt;&gt;"","",C61*(1+Inflation_Choice))</f>
        <v/>
      </c>
      <c r="D62" s="83" t="str">
        <f aca="false">IF(Need_1&lt;&gt;"","",IF(E61=1,IF(Withdrawal_Timing="Start of year",(D61-C61)*(1+DD_Cautious),D61*(1+DD_Cautious)-C61),0))</f>
        <v/>
      </c>
      <c r="E62" s="82" t="str">
        <f aca="false">IF(Need_1&lt;&gt;"","",IF(Withdrawal_Timing="Start of year",IF(D62&gt;=C62,1,0),IF(D62*(1+DD_Cautious)&gt;=C62,1,0)))</f>
        <v/>
      </c>
      <c r="F62" s="83" t="str">
        <f aca="false">IF(Need_1&lt;&gt;"","",IF(G61=1,IF(Withdrawal_Timing="Start of year",(F61-C61)*(1+DD_Balanced),F61*(1+DD_Balanced)-C61),0))</f>
        <v/>
      </c>
      <c r="G62" s="82" t="str">
        <f aca="false">IF(Need_1&lt;&gt;"","",IF(Withdrawal_Timing="Start of year",IF(F62&gt;=C62,1,0),IF(F62*(1+DD_Balanced)&gt;=C62,1,0)))</f>
        <v/>
      </c>
      <c r="H62" s="83" t="str">
        <f aca="false">IF(Need_1&lt;&gt;"","",IF(I61=1,IF(Withdrawal_Timing="Start of year",(H61-C61)*(1+DD_Growth),H61*(1+DD_Growth)-C61),0))</f>
        <v/>
      </c>
      <c r="I62" s="82" t="str">
        <f aca="false">IF(Need_1&lt;&gt;"","",IF(Withdrawal_Timing="Start of year",IF(H62&gt;=C62,1,0),IF(H62*(1+DD_Growth)&gt;=C62,1,0)))</f>
        <v/>
      </c>
    </row>
    <row r="63" customFormat="false" ht="15" hidden="false" customHeight="true" outlineLevel="0" collapsed="false">
      <c r="B63" s="82" t="n">
        <v>31</v>
      </c>
      <c r="C63" s="83" t="str">
        <f aca="false">IF(Need_1&lt;&gt;"","",C62*(1+Inflation_Choice))</f>
        <v/>
      </c>
      <c r="D63" s="83" t="str">
        <f aca="false">IF(Need_1&lt;&gt;"","",IF(E62=1,IF(Withdrawal_Timing="Start of year",(D62-C62)*(1+DD_Cautious),D62*(1+DD_Cautious)-C62),0))</f>
        <v/>
      </c>
      <c r="E63" s="82" t="str">
        <f aca="false">IF(Need_1&lt;&gt;"","",IF(Withdrawal_Timing="Start of year",IF(D63&gt;=C63,1,0),IF(D63*(1+DD_Cautious)&gt;=C63,1,0)))</f>
        <v/>
      </c>
      <c r="F63" s="83" t="str">
        <f aca="false">IF(Need_1&lt;&gt;"","",IF(G62=1,IF(Withdrawal_Timing="Start of year",(F62-C62)*(1+DD_Balanced),F62*(1+DD_Balanced)-C62),0))</f>
        <v/>
      </c>
      <c r="G63" s="82" t="str">
        <f aca="false">IF(Need_1&lt;&gt;"","",IF(Withdrawal_Timing="Start of year",IF(F63&gt;=C63,1,0),IF(F63*(1+DD_Balanced)&gt;=C63,1,0)))</f>
        <v/>
      </c>
      <c r="H63" s="83" t="str">
        <f aca="false">IF(Need_1&lt;&gt;"","",IF(I62=1,IF(Withdrawal_Timing="Start of year",(H62-C62)*(1+DD_Growth),H62*(1+DD_Growth)-C62),0))</f>
        <v/>
      </c>
      <c r="I63" s="82" t="str">
        <f aca="false">IF(Need_1&lt;&gt;"","",IF(Withdrawal_Timing="Start of year",IF(H63&gt;=C63,1,0),IF(H63*(1+DD_Growth)&gt;=C63,1,0)))</f>
        <v/>
      </c>
    </row>
    <row r="64" customFormat="false" ht="15" hidden="false" customHeight="true" outlineLevel="0" collapsed="false">
      <c r="B64" s="82" t="n">
        <v>32</v>
      </c>
      <c r="C64" s="83" t="str">
        <f aca="false">IF(Need_1&lt;&gt;"","",C63*(1+Inflation_Choice))</f>
        <v/>
      </c>
      <c r="D64" s="83" t="str">
        <f aca="false">IF(Need_1&lt;&gt;"","",IF(E63=1,IF(Withdrawal_Timing="Start of year",(D63-C63)*(1+DD_Cautious),D63*(1+DD_Cautious)-C63),0))</f>
        <v/>
      </c>
      <c r="E64" s="82" t="str">
        <f aca="false">IF(Need_1&lt;&gt;"","",IF(Withdrawal_Timing="Start of year",IF(D64&gt;=C64,1,0),IF(D64*(1+DD_Cautious)&gt;=C64,1,0)))</f>
        <v/>
      </c>
      <c r="F64" s="83" t="str">
        <f aca="false">IF(Need_1&lt;&gt;"","",IF(G63=1,IF(Withdrawal_Timing="Start of year",(F63-C63)*(1+DD_Balanced),F63*(1+DD_Balanced)-C63),0))</f>
        <v/>
      </c>
      <c r="G64" s="82" t="str">
        <f aca="false">IF(Need_1&lt;&gt;"","",IF(Withdrawal_Timing="Start of year",IF(F64&gt;=C64,1,0),IF(F64*(1+DD_Balanced)&gt;=C64,1,0)))</f>
        <v/>
      </c>
      <c r="H64" s="83" t="str">
        <f aca="false">IF(Need_1&lt;&gt;"","",IF(I63=1,IF(Withdrawal_Timing="Start of year",(H63-C63)*(1+DD_Growth),H63*(1+DD_Growth)-C63),0))</f>
        <v/>
      </c>
      <c r="I64" s="82" t="str">
        <f aca="false">IF(Need_1&lt;&gt;"","",IF(Withdrawal_Timing="Start of year",IF(H64&gt;=C64,1,0),IF(H64*(1+DD_Growth)&gt;=C64,1,0)))</f>
        <v/>
      </c>
    </row>
    <row r="65" customFormat="false" ht="15" hidden="false" customHeight="true" outlineLevel="0" collapsed="false">
      <c r="B65" s="82" t="n">
        <v>33</v>
      </c>
      <c r="C65" s="83" t="str">
        <f aca="false">IF(Need_1&lt;&gt;"","",C64*(1+Inflation_Choice))</f>
        <v/>
      </c>
      <c r="D65" s="83" t="str">
        <f aca="false">IF(Need_1&lt;&gt;"","",IF(E64=1,IF(Withdrawal_Timing="Start of year",(D64-C64)*(1+DD_Cautious),D64*(1+DD_Cautious)-C64),0))</f>
        <v/>
      </c>
      <c r="E65" s="82" t="str">
        <f aca="false">IF(Need_1&lt;&gt;"","",IF(Withdrawal_Timing="Start of year",IF(D65&gt;=C65,1,0),IF(D65*(1+DD_Cautious)&gt;=C65,1,0)))</f>
        <v/>
      </c>
      <c r="F65" s="83" t="str">
        <f aca="false">IF(Need_1&lt;&gt;"","",IF(G64=1,IF(Withdrawal_Timing="Start of year",(F64-C64)*(1+DD_Balanced),F64*(1+DD_Balanced)-C64),0))</f>
        <v/>
      </c>
      <c r="G65" s="82" t="str">
        <f aca="false">IF(Need_1&lt;&gt;"","",IF(Withdrawal_Timing="Start of year",IF(F65&gt;=C65,1,0),IF(F65*(1+DD_Balanced)&gt;=C65,1,0)))</f>
        <v/>
      </c>
      <c r="H65" s="83" t="str">
        <f aca="false">IF(Need_1&lt;&gt;"","",IF(I64=1,IF(Withdrawal_Timing="Start of year",(H64-C64)*(1+DD_Growth),H64*(1+DD_Growth)-C64),0))</f>
        <v/>
      </c>
      <c r="I65" s="82" t="str">
        <f aca="false">IF(Need_1&lt;&gt;"","",IF(Withdrawal_Timing="Start of year",IF(H65&gt;=C65,1,0),IF(H65*(1+DD_Growth)&gt;=C65,1,0)))</f>
        <v/>
      </c>
    </row>
    <row r="66" customFormat="false" ht="15" hidden="false" customHeight="true" outlineLevel="0" collapsed="false">
      <c r="B66" s="82" t="n">
        <v>34</v>
      </c>
      <c r="C66" s="83" t="str">
        <f aca="false">IF(Need_1&lt;&gt;"","",C65*(1+Inflation_Choice))</f>
        <v/>
      </c>
      <c r="D66" s="83" t="str">
        <f aca="false">IF(Need_1&lt;&gt;"","",IF(E65=1,IF(Withdrawal_Timing="Start of year",(D65-C65)*(1+DD_Cautious),D65*(1+DD_Cautious)-C65),0))</f>
        <v/>
      </c>
      <c r="E66" s="82" t="str">
        <f aca="false">IF(Need_1&lt;&gt;"","",IF(Withdrawal_Timing="Start of year",IF(D66&gt;=C66,1,0),IF(D66*(1+DD_Cautious)&gt;=C66,1,0)))</f>
        <v/>
      </c>
      <c r="F66" s="83" t="str">
        <f aca="false">IF(Need_1&lt;&gt;"","",IF(G65=1,IF(Withdrawal_Timing="Start of year",(F65-C65)*(1+DD_Balanced),F65*(1+DD_Balanced)-C65),0))</f>
        <v/>
      </c>
      <c r="G66" s="82" t="str">
        <f aca="false">IF(Need_1&lt;&gt;"","",IF(Withdrawal_Timing="Start of year",IF(F66&gt;=C66,1,0),IF(F66*(1+DD_Balanced)&gt;=C66,1,0)))</f>
        <v/>
      </c>
      <c r="H66" s="83" t="str">
        <f aca="false">IF(Need_1&lt;&gt;"","",IF(I65=1,IF(Withdrawal_Timing="Start of year",(H65-C65)*(1+DD_Growth),H65*(1+DD_Growth)-C65),0))</f>
        <v/>
      </c>
      <c r="I66" s="82" t="str">
        <f aca="false">IF(Need_1&lt;&gt;"","",IF(Withdrawal_Timing="Start of year",IF(H66&gt;=C66,1,0),IF(H66*(1+DD_Growth)&gt;=C66,1,0)))</f>
        <v/>
      </c>
    </row>
    <row r="67" customFormat="false" ht="15" hidden="false" customHeight="true" outlineLevel="0" collapsed="false">
      <c r="B67" s="82" t="n">
        <v>35</v>
      </c>
      <c r="C67" s="83" t="str">
        <f aca="false">IF(Need_1&lt;&gt;"","",C66*(1+Inflation_Choice))</f>
        <v/>
      </c>
      <c r="D67" s="83" t="str">
        <f aca="false">IF(Need_1&lt;&gt;"","",IF(E66=1,IF(Withdrawal_Timing="Start of year",(D66-C66)*(1+DD_Cautious),D66*(1+DD_Cautious)-C66),0))</f>
        <v/>
      </c>
      <c r="E67" s="82" t="str">
        <f aca="false">IF(Need_1&lt;&gt;"","",IF(Withdrawal_Timing="Start of year",IF(D67&gt;=C67,1,0),IF(D67*(1+DD_Cautious)&gt;=C67,1,0)))</f>
        <v/>
      </c>
      <c r="F67" s="83" t="str">
        <f aca="false">IF(Need_1&lt;&gt;"","",IF(G66=1,IF(Withdrawal_Timing="Start of year",(F66-C66)*(1+DD_Balanced),F66*(1+DD_Balanced)-C66),0))</f>
        <v/>
      </c>
      <c r="G67" s="82" t="str">
        <f aca="false">IF(Need_1&lt;&gt;"","",IF(Withdrawal_Timing="Start of year",IF(F67&gt;=C67,1,0),IF(F67*(1+DD_Balanced)&gt;=C67,1,0)))</f>
        <v/>
      </c>
      <c r="H67" s="83" t="str">
        <f aca="false">IF(Need_1&lt;&gt;"","",IF(I66=1,IF(Withdrawal_Timing="Start of year",(H66-C66)*(1+DD_Growth),H66*(1+DD_Growth)-C66),0))</f>
        <v/>
      </c>
      <c r="I67" s="82" t="str">
        <f aca="false">IF(Need_1&lt;&gt;"","",IF(Withdrawal_Timing="Start of year",IF(H67&gt;=C67,1,0),IF(H67*(1+DD_Growth)&gt;=C67,1,0)))</f>
        <v/>
      </c>
    </row>
    <row r="68" customFormat="false" ht="15" hidden="false" customHeight="true" outlineLevel="0" collapsed="false">
      <c r="B68" s="82" t="n">
        <v>36</v>
      </c>
      <c r="C68" s="83" t="str">
        <f aca="false">IF(Need_1&lt;&gt;"","",C67*(1+Inflation_Choice))</f>
        <v/>
      </c>
      <c r="D68" s="83" t="str">
        <f aca="false">IF(Need_1&lt;&gt;"","",IF(E67=1,IF(Withdrawal_Timing="Start of year",(D67-C67)*(1+DD_Cautious),D67*(1+DD_Cautious)-C67),0))</f>
        <v/>
      </c>
      <c r="E68" s="82" t="str">
        <f aca="false">IF(Need_1&lt;&gt;"","",IF(Withdrawal_Timing="Start of year",IF(D68&gt;=C68,1,0),IF(D68*(1+DD_Cautious)&gt;=C68,1,0)))</f>
        <v/>
      </c>
      <c r="F68" s="83" t="str">
        <f aca="false">IF(Need_1&lt;&gt;"","",IF(G67=1,IF(Withdrawal_Timing="Start of year",(F67-C67)*(1+DD_Balanced),F67*(1+DD_Balanced)-C67),0))</f>
        <v/>
      </c>
      <c r="G68" s="82" t="str">
        <f aca="false">IF(Need_1&lt;&gt;"","",IF(Withdrawal_Timing="Start of year",IF(F68&gt;=C68,1,0),IF(F68*(1+DD_Balanced)&gt;=C68,1,0)))</f>
        <v/>
      </c>
      <c r="H68" s="83" t="str">
        <f aca="false">IF(Need_1&lt;&gt;"","",IF(I67=1,IF(Withdrawal_Timing="Start of year",(H67-C67)*(1+DD_Growth),H67*(1+DD_Growth)-C67),0))</f>
        <v/>
      </c>
      <c r="I68" s="82" t="str">
        <f aca="false">IF(Need_1&lt;&gt;"","",IF(Withdrawal_Timing="Start of year",IF(H68&gt;=C68,1,0),IF(H68*(1+DD_Growth)&gt;=C68,1,0)))</f>
        <v/>
      </c>
    </row>
    <row r="69" customFormat="false" ht="15" hidden="false" customHeight="true" outlineLevel="0" collapsed="false">
      <c r="B69" s="82" t="n">
        <v>37</v>
      </c>
      <c r="C69" s="83" t="str">
        <f aca="false">IF(Need_1&lt;&gt;"","",C68*(1+Inflation_Choice))</f>
        <v/>
      </c>
      <c r="D69" s="83" t="str">
        <f aca="false">IF(Need_1&lt;&gt;"","",IF(E68=1,IF(Withdrawal_Timing="Start of year",(D68-C68)*(1+DD_Cautious),D68*(1+DD_Cautious)-C68),0))</f>
        <v/>
      </c>
      <c r="E69" s="82" t="str">
        <f aca="false">IF(Need_1&lt;&gt;"","",IF(Withdrawal_Timing="Start of year",IF(D69&gt;=C69,1,0),IF(D69*(1+DD_Cautious)&gt;=C69,1,0)))</f>
        <v/>
      </c>
      <c r="F69" s="83" t="str">
        <f aca="false">IF(Need_1&lt;&gt;"","",IF(G68=1,IF(Withdrawal_Timing="Start of year",(F68-C68)*(1+DD_Balanced),F68*(1+DD_Balanced)-C68),0))</f>
        <v/>
      </c>
      <c r="G69" s="82" t="str">
        <f aca="false">IF(Need_1&lt;&gt;"","",IF(Withdrawal_Timing="Start of year",IF(F69&gt;=C69,1,0),IF(F69*(1+DD_Balanced)&gt;=C69,1,0)))</f>
        <v/>
      </c>
      <c r="H69" s="83" t="str">
        <f aca="false">IF(Need_1&lt;&gt;"","",IF(I68=1,IF(Withdrawal_Timing="Start of year",(H68-C68)*(1+DD_Growth),H68*(1+DD_Growth)-C68),0))</f>
        <v/>
      </c>
      <c r="I69" s="82" t="str">
        <f aca="false">IF(Need_1&lt;&gt;"","",IF(Withdrawal_Timing="Start of year",IF(H69&gt;=C69,1,0),IF(H69*(1+DD_Growth)&gt;=C69,1,0)))</f>
        <v/>
      </c>
    </row>
    <row r="70" customFormat="false" ht="15" hidden="false" customHeight="true" outlineLevel="0" collapsed="false">
      <c r="B70" s="82" t="n">
        <v>38</v>
      </c>
      <c r="C70" s="83" t="str">
        <f aca="false">IF(Need_1&lt;&gt;"","",C69*(1+Inflation_Choice))</f>
        <v/>
      </c>
      <c r="D70" s="83" t="str">
        <f aca="false">IF(Need_1&lt;&gt;"","",IF(E69=1,IF(Withdrawal_Timing="Start of year",(D69-C69)*(1+DD_Cautious),D69*(1+DD_Cautious)-C69),0))</f>
        <v/>
      </c>
      <c r="E70" s="82" t="str">
        <f aca="false">IF(Need_1&lt;&gt;"","",IF(Withdrawal_Timing="Start of year",IF(D70&gt;=C70,1,0),IF(D70*(1+DD_Cautious)&gt;=C70,1,0)))</f>
        <v/>
      </c>
      <c r="F70" s="83" t="str">
        <f aca="false">IF(Need_1&lt;&gt;"","",IF(G69=1,IF(Withdrawal_Timing="Start of year",(F69-C69)*(1+DD_Balanced),F69*(1+DD_Balanced)-C69),0))</f>
        <v/>
      </c>
      <c r="G70" s="82" t="str">
        <f aca="false">IF(Need_1&lt;&gt;"","",IF(Withdrawal_Timing="Start of year",IF(F70&gt;=C70,1,0),IF(F70*(1+DD_Balanced)&gt;=C70,1,0)))</f>
        <v/>
      </c>
      <c r="H70" s="83" t="str">
        <f aca="false">IF(Need_1&lt;&gt;"","",IF(I69=1,IF(Withdrawal_Timing="Start of year",(H69-C69)*(1+DD_Growth),H69*(1+DD_Growth)-C69),0))</f>
        <v/>
      </c>
      <c r="I70" s="82" t="str">
        <f aca="false">IF(Need_1&lt;&gt;"","",IF(Withdrawal_Timing="Start of year",IF(H70&gt;=C70,1,0),IF(H70*(1+DD_Growth)&gt;=C70,1,0)))</f>
        <v/>
      </c>
    </row>
    <row r="71" customFormat="false" ht="15" hidden="false" customHeight="true" outlineLevel="0" collapsed="false">
      <c r="B71" s="82" t="n">
        <v>39</v>
      </c>
      <c r="C71" s="83" t="str">
        <f aca="false">IF(Need_1&lt;&gt;"","",C70*(1+Inflation_Choice))</f>
        <v/>
      </c>
      <c r="D71" s="83" t="str">
        <f aca="false">IF(Need_1&lt;&gt;"","",IF(E70=1,IF(Withdrawal_Timing="Start of year",(D70-C70)*(1+DD_Cautious),D70*(1+DD_Cautious)-C70),0))</f>
        <v/>
      </c>
      <c r="E71" s="82" t="str">
        <f aca="false">IF(Need_1&lt;&gt;"","",IF(Withdrawal_Timing="Start of year",IF(D71&gt;=C71,1,0),IF(D71*(1+DD_Cautious)&gt;=C71,1,0)))</f>
        <v/>
      </c>
      <c r="F71" s="83" t="str">
        <f aca="false">IF(Need_1&lt;&gt;"","",IF(G70=1,IF(Withdrawal_Timing="Start of year",(F70-C70)*(1+DD_Balanced),F70*(1+DD_Balanced)-C70),0))</f>
        <v/>
      </c>
      <c r="G71" s="82" t="str">
        <f aca="false">IF(Need_1&lt;&gt;"","",IF(Withdrawal_Timing="Start of year",IF(F71&gt;=C71,1,0),IF(F71*(1+DD_Balanced)&gt;=C71,1,0)))</f>
        <v/>
      </c>
      <c r="H71" s="83" t="str">
        <f aca="false">IF(Need_1&lt;&gt;"","",IF(I70=1,IF(Withdrawal_Timing="Start of year",(H70-C70)*(1+DD_Growth),H70*(1+DD_Growth)-C70),0))</f>
        <v/>
      </c>
      <c r="I71" s="82" t="str">
        <f aca="false">IF(Need_1&lt;&gt;"","",IF(Withdrawal_Timing="Start of year",IF(H71&gt;=C71,1,0),IF(H71*(1+DD_Growth)&gt;=C71,1,0)))</f>
        <v/>
      </c>
    </row>
    <row r="72" customFormat="false" ht="15" hidden="false" customHeight="true" outlineLevel="0" collapsed="false">
      <c r="B72" s="82" t="n">
        <v>40</v>
      </c>
      <c r="C72" s="83" t="str">
        <f aca="false">IF(Need_1&lt;&gt;"","",C71*(1+Inflation_Choice))</f>
        <v/>
      </c>
      <c r="D72" s="83" t="str">
        <f aca="false">IF(Need_1&lt;&gt;"","",IF(E71=1,IF(Withdrawal_Timing="Start of year",(D71-C71)*(1+DD_Cautious),D71*(1+DD_Cautious)-C71),0))</f>
        <v/>
      </c>
      <c r="E72" s="82" t="str">
        <f aca="false">IF(Need_1&lt;&gt;"","",IF(Withdrawal_Timing="Start of year",IF(D72&gt;=C72,1,0),IF(D72*(1+DD_Cautious)&gt;=C72,1,0)))</f>
        <v/>
      </c>
      <c r="F72" s="83" t="str">
        <f aca="false">IF(Need_1&lt;&gt;"","",IF(G71=1,IF(Withdrawal_Timing="Start of year",(F71-C71)*(1+DD_Balanced),F71*(1+DD_Balanced)-C71),0))</f>
        <v/>
      </c>
      <c r="G72" s="82" t="str">
        <f aca="false">IF(Need_1&lt;&gt;"","",IF(Withdrawal_Timing="Start of year",IF(F72&gt;=C72,1,0),IF(F72*(1+DD_Balanced)&gt;=C72,1,0)))</f>
        <v/>
      </c>
      <c r="H72" s="83" t="str">
        <f aca="false">IF(Need_1&lt;&gt;"","",IF(I71=1,IF(Withdrawal_Timing="Start of year",(H71-C71)*(1+DD_Growth),H71*(1+DD_Growth)-C71),0))</f>
        <v/>
      </c>
      <c r="I72" s="82" t="str">
        <f aca="false">IF(Need_1&lt;&gt;"","",IF(Withdrawal_Timing="Start of year",IF(H72&gt;=C72,1,0),IF(H72*(1+DD_Growth)&gt;=C72,1,0)))</f>
        <v/>
      </c>
    </row>
    <row r="73" customFormat="false" ht="15" hidden="false" customHeight="true" outlineLevel="0" collapsed="false">
      <c r="B73" s="82" t="n">
        <v>41</v>
      </c>
      <c r="C73" s="83" t="str">
        <f aca="false">IF(Need_1&lt;&gt;"","",C72*(1+Inflation_Choice))</f>
        <v/>
      </c>
      <c r="D73" s="83" t="str">
        <f aca="false">IF(Need_1&lt;&gt;"","",IF(E72=1,IF(Withdrawal_Timing="Start of year",(D72-C72)*(1+DD_Cautious),D72*(1+DD_Cautious)-C72),0))</f>
        <v/>
      </c>
      <c r="E73" s="82" t="str">
        <f aca="false">IF(Need_1&lt;&gt;"","",IF(Withdrawal_Timing="Start of year",IF(D73&gt;=C73,1,0),IF(D73*(1+DD_Cautious)&gt;=C73,1,0)))</f>
        <v/>
      </c>
      <c r="F73" s="83" t="str">
        <f aca="false">IF(Need_1&lt;&gt;"","",IF(G72=1,IF(Withdrawal_Timing="Start of year",(F72-C72)*(1+DD_Balanced),F72*(1+DD_Balanced)-C72),0))</f>
        <v/>
      </c>
      <c r="G73" s="82" t="str">
        <f aca="false">IF(Need_1&lt;&gt;"","",IF(Withdrawal_Timing="Start of year",IF(F73&gt;=C73,1,0),IF(F73*(1+DD_Balanced)&gt;=C73,1,0)))</f>
        <v/>
      </c>
      <c r="H73" s="83" t="str">
        <f aca="false">IF(Need_1&lt;&gt;"","",IF(I72=1,IF(Withdrawal_Timing="Start of year",(H72-C72)*(1+DD_Growth),H72*(1+DD_Growth)-C72),0))</f>
        <v/>
      </c>
      <c r="I73" s="82" t="str">
        <f aca="false">IF(Need_1&lt;&gt;"","",IF(Withdrawal_Timing="Start of year",IF(H73&gt;=C73,1,0),IF(H73*(1+DD_Growth)&gt;=C73,1,0)))</f>
        <v/>
      </c>
    </row>
    <row r="74" customFormat="false" ht="15" hidden="false" customHeight="true" outlineLevel="0" collapsed="false">
      <c r="B74" s="82" t="n">
        <v>42</v>
      </c>
      <c r="C74" s="83" t="str">
        <f aca="false">IF(Need_1&lt;&gt;"","",C73*(1+Inflation_Choice))</f>
        <v/>
      </c>
      <c r="D74" s="83" t="str">
        <f aca="false">IF(Need_1&lt;&gt;"","",IF(E73=1,IF(Withdrawal_Timing="Start of year",(D73-C73)*(1+DD_Cautious),D73*(1+DD_Cautious)-C73),0))</f>
        <v/>
      </c>
      <c r="E74" s="82" t="str">
        <f aca="false">IF(Need_1&lt;&gt;"","",IF(Withdrawal_Timing="Start of year",IF(D74&gt;=C74,1,0),IF(D74*(1+DD_Cautious)&gt;=C74,1,0)))</f>
        <v/>
      </c>
      <c r="F74" s="83" t="str">
        <f aca="false">IF(Need_1&lt;&gt;"","",IF(G73=1,IF(Withdrawal_Timing="Start of year",(F73-C73)*(1+DD_Balanced),F73*(1+DD_Balanced)-C73),0))</f>
        <v/>
      </c>
      <c r="G74" s="82" t="str">
        <f aca="false">IF(Need_1&lt;&gt;"","",IF(Withdrawal_Timing="Start of year",IF(F74&gt;=C74,1,0),IF(F74*(1+DD_Balanced)&gt;=C74,1,0)))</f>
        <v/>
      </c>
      <c r="H74" s="83" t="str">
        <f aca="false">IF(Need_1&lt;&gt;"","",IF(I73=1,IF(Withdrawal_Timing="Start of year",(H73-C73)*(1+DD_Growth),H73*(1+DD_Growth)-C73),0))</f>
        <v/>
      </c>
      <c r="I74" s="82" t="str">
        <f aca="false">IF(Need_1&lt;&gt;"","",IF(Withdrawal_Timing="Start of year",IF(H74&gt;=C74,1,0),IF(H74*(1+DD_Growth)&gt;=C74,1,0)))</f>
        <v/>
      </c>
    </row>
    <row r="75" customFormat="false" ht="15" hidden="false" customHeight="true" outlineLevel="0" collapsed="false">
      <c r="B75" s="82" t="n">
        <v>43</v>
      </c>
      <c r="C75" s="83" t="str">
        <f aca="false">IF(Need_1&lt;&gt;"","",C74*(1+Inflation_Choice))</f>
        <v/>
      </c>
      <c r="D75" s="83" t="str">
        <f aca="false">IF(Need_1&lt;&gt;"","",IF(E74=1,IF(Withdrawal_Timing="Start of year",(D74-C74)*(1+DD_Cautious),D74*(1+DD_Cautious)-C74),0))</f>
        <v/>
      </c>
      <c r="E75" s="82" t="str">
        <f aca="false">IF(Need_1&lt;&gt;"","",IF(Withdrawal_Timing="Start of year",IF(D75&gt;=C75,1,0),IF(D75*(1+DD_Cautious)&gt;=C75,1,0)))</f>
        <v/>
      </c>
      <c r="F75" s="83" t="str">
        <f aca="false">IF(Need_1&lt;&gt;"","",IF(G74=1,IF(Withdrawal_Timing="Start of year",(F74-C74)*(1+DD_Balanced),F74*(1+DD_Balanced)-C74),0))</f>
        <v/>
      </c>
      <c r="G75" s="82" t="str">
        <f aca="false">IF(Need_1&lt;&gt;"","",IF(Withdrawal_Timing="Start of year",IF(F75&gt;=C75,1,0),IF(F75*(1+DD_Balanced)&gt;=C75,1,0)))</f>
        <v/>
      </c>
      <c r="H75" s="83" t="str">
        <f aca="false">IF(Need_1&lt;&gt;"","",IF(I74=1,IF(Withdrawal_Timing="Start of year",(H74-C74)*(1+DD_Growth),H74*(1+DD_Growth)-C74),0))</f>
        <v/>
      </c>
      <c r="I75" s="82" t="str">
        <f aca="false">IF(Need_1&lt;&gt;"","",IF(Withdrawal_Timing="Start of year",IF(H75&gt;=C75,1,0),IF(H75*(1+DD_Growth)&gt;=C75,1,0)))</f>
        <v/>
      </c>
    </row>
    <row r="76" customFormat="false" ht="15" hidden="false" customHeight="true" outlineLevel="0" collapsed="false">
      <c r="B76" s="82" t="n">
        <v>44</v>
      </c>
      <c r="C76" s="83" t="str">
        <f aca="false">IF(Need_1&lt;&gt;"","",C75*(1+Inflation_Choice))</f>
        <v/>
      </c>
      <c r="D76" s="83" t="str">
        <f aca="false">IF(Need_1&lt;&gt;"","",IF(E75=1,IF(Withdrawal_Timing="Start of year",(D75-C75)*(1+DD_Cautious),D75*(1+DD_Cautious)-C75),0))</f>
        <v/>
      </c>
      <c r="E76" s="82" t="str">
        <f aca="false">IF(Need_1&lt;&gt;"","",IF(Withdrawal_Timing="Start of year",IF(D76&gt;=C76,1,0),IF(D76*(1+DD_Cautious)&gt;=C76,1,0)))</f>
        <v/>
      </c>
      <c r="F76" s="83" t="str">
        <f aca="false">IF(Need_1&lt;&gt;"","",IF(G75=1,IF(Withdrawal_Timing="Start of year",(F75-C75)*(1+DD_Balanced),F75*(1+DD_Balanced)-C75),0))</f>
        <v/>
      </c>
      <c r="G76" s="82" t="str">
        <f aca="false">IF(Need_1&lt;&gt;"","",IF(Withdrawal_Timing="Start of year",IF(F76&gt;=C76,1,0),IF(F76*(1+DD_Balanced)&gt;=C76,1,0)))</f>
        <v/>
      </c>
      <c r="H76" s="83" t="str">
        <f aca="false">IF(Need_1&lt;&gt;"","",IF(I75=1,IF(Withdrawal_Timing="Start of year",(H75-C75)*(1+DD_Growth),H75*(1+DD_Growth)-C75),0))</f>
        <v/>
      </c>
      <c r="I76" s="82" t="str">
        <f aca="false">IF(Need_1&lt;&gt;"","",IF(Withdrawal_Timing="Start of year",IF(H76&gt;=C76,1,0),IF(H76*(1+DD_Growth)&gt;=C76,1,0)))</f>
        <v/>
      </c>
    </row>
    <row r="77" customFormat="false" ht="15" hidden="false" customHeight="true" outlineLevel="0" collapsed="false">
      <c r="B77" s="82" t="n">
        <v>45</v>
      </c>
      <c r="C77" s="83" t="str">
        <f aca="false">IF(Need_1&lt;&gt;"","",C76*(1+Inflation_Choice))</f>
        <v/>
      </c>
      <c r="D77" s="83" t="str">
        <f aca="false">IF(Need_1&lt;&gt;"","",IF(E76=1,IF(Withdrawal_Timing="Start of year",(D76-C76)*(1+DD_Cautious),D76*(1+DD_Cautious)-C76),0))</f>
        <v/>
      </c>
      <c r="E77" s="82" t="str">
        <f aca="false">IF(Need_1&lt;&gt;"","",IF(Withdrawal_Timing="Start of year",IF(D77&gt;=C77,1,0),IF(D77*(1+DD_Cautious)&gt;=C77,1,0)))</f>
        <v/>
      </c>
      <c r="F77" s="83" t="str">
        <f aca="false">IF(Need_1&lt;&gt;"","",IF(G76=1,IF(Withdrawal_Timing="Start of year",(F76-C76)*(1+DD_Balanced),F76*(1+DD_Balanced)-C76),0))</f>
        <v/>
      </c>
      <c r="G77" s="82" t="str">
        <f aca="false">IF(Need_1&lt;&gt;"","",IF(Withdrawal_Timing="Start of year",IF(F77&gt;=C77,1,0),IF(F77*(1+DD_Balanced)&gt;=C77,1,0)))</f>
        <v/>
      </c>
      <c r="H77" s="83" t="str">
        <f aca="false">IF(Need_1&lt;&gt;"","",IF(I76=1,IF(Withdrawal_Timing="Start of year",(H76-C76)*(1+DD_Growth),H76*(1+DD_Growth)-C76),0))</f>
        <v/>
      </c>
      <c r="I77" s="82" t="str">
        <f aca="false">IF(Need_1&lt;&gt;"","",IF(Withdrawal_Timing="Start of year",IF(H77&gt;=C77,1,0),IF(H77*(1+DD_Growth)&gt;=C77,1,0)))</f>
        <v/>
      </c>
    </row>
    <row r="78" customFormat="false" ht="15" hidden="false" customHeight="true" outlineLevel="0" collapsed="false">
      <c r="B78" s="82" t="n">
        <v>46</v>
      </c>
      <c r="C78" s="83" t="str">
        <f aca="false">IF(Need_1&lt;&gt;"","",C77*(1+Inflation_Choice))</f>
        <v/>
      </c>
      <c r="D78" s="83" t="str">
        <f aca="false">IF(Need_1&lt;&gt;"","",IF(E77=1,IF(Withdrawal_Timing="Start of year",(D77-C77)*(1+DD_Cautious),D77*(1+DD_Cautious)-C77),0))</f>
        <v/>
      </c>
      <c r="E78" s="82" t="str">
        <f aca="false">IF(Need_1&lt;&gt;"","",IF(Withdrawal_Timing="Start of year",IF(D78&gt;=C78,1,0),IF(D78*(1+DD_Cautious)&gt;=C78,1,0)))</f>
        <v/>
      </c>
      <c r="F78" s="83" t="str">
        <f aca="false">IF(Need_1&lt;&gt;"","",IF(G77=1,IF(Withdrawal_Timing="Start of year",(F77-C77)*(1+DD_Balanced),F77*(1+DD_Balanced)-C77),0))</f>
        <v/>
      </c>
      <c r="G78" s="82" t="str">
        <f aca="false">IF(Need_1&lt;&gt;"","",IF(Withdrawal_Timing="Start of year",IF(F78&gt;=C78,1,0),IF(F78*(1+DD_Balanced)&gt;=C78,1,0)))</f>
        <v/>
      </c>
      <c r="H78" s="83" t="str">
        <f aca="false">IF(Need_1&lt;&gt;"","",IF(I77=1,IF(Withdrawal_Timing="Start of year",(H77-C77)*(1+DD_Growth),H77*(1+DD_Growth)-C77),0))</f>
        <v/>
      </c>
      <c r="I78" s="82" t="str">
        <f aca="false">IF(Need_1&lt;&gt;"","",IF(Withdrawal_Timing="Start of year",IF(H78&gt;=C78,1,0),IF(H78*(1+DD_Growth)&gt;=C78,1,0)))</f>
        <v/>
      </c>
    </row>
    <row r="79" customFormat="false" ht="15" hidden="false" customHeight="true" outlineLevel="0" collapsed="false">
      <c r="B79" s="82" t="n">
        <v>47</v>
      </c>
      <c r="C79" s="83" t="str">
        <f aca="false">IF(Need_1&lt;&gt;"","",C78*(1+Inflation_Choice))</f>
        <v/>
      </c>
      <c r="D79" s="83" t="str">
        <f aca="false">IF(Need_1&lt;&gt;"","",IF(E78=1,IF(Withdrawal_Timing="Start of year",(D78-C78)*(1+DD_Cautious),D78*(1+DD_Cautious)-C78),0))</f>
        <v/>
      </c>
      <c r="E79" s="82" t="str">
        <f aca="false">IF(Need_1&lt;&gt;"","",IF(Withdrawal_Timing="Start of year",IF(D79&gt;=C79,1,0),IF(D79*(1+DD_Cautious)&gt;=C79,1,0)))</f>
        <v/>
      </c>
      <c r="F79" s="83" t="str">
        <f aca="false">IF(Need_1&lt;&gt;"","",IF(G78=1,IF(Withdrawal_Timing="Start of year",(F78-C78)*(1+DD_Balanced),F78*(1+DD_Balanced)-C78),0))</f>
        <v/>
      </c>
      <c r="G79" s="82" t="str">
        <f aca="false">IF(Need_1&lt;&gt;"","",IF(Withdrawal_Timing="Start of year",IF(F79&gt;=C79,1,0),IF(F79*(1+DD_Balanced)&gt;=C79,1,0)))</f>
        <v/>
      </c>
      <c r="H79" s="83" t="str">
        <f aca="false">IF(Need_1&lt;&gt;"","",IF(I78=1,IF(Withdrawal_Timing="Start of year",(H78-C78)*(1+DD_Growth),H78*(1+DD_Growth)-C78),0))</f>
        <v/>
      </c>
      <c r="I79" s="82" t="str">
        <f aca="false">IF(Need_1&lt;&gt;"","",IF(Withdrawal_Timing="Start of year",IF(H79&gt;=C79,1,0),IF(H79*(1+DD_Growth)&gt;=C79,1,0)))</f>
        <v/>
      </c>
    </row>
    <row r="80" customFormat="false" ht="15" hidden="false" customHeight="true" outlineLevel="0" collapsed="false">
      <c r="B80" s="82" t="n">
        <v>48</v>
      </c>
      <c r="C80" s="83" t="str">
        <f aca="false">IF(Need_1&lt;&gt;"","",C79*(1+Inflation_Choice))</f>
        <v/>
      </c>
      <c r="D80" s="83" t="str">
        <f aca="false">IF(Need_1&lt;&gt;"","",IF(E79=1,IF(Withdrawal_Timing="Start of year",(D79-C79)*(1+DD_Cautious),D79*(1+DD_Cautious)-C79),0))</f>
        <v/>
      </c>
      <c r="E80" s="82" t="str">
        <f aca="false">IF(Need_1&lt;&gt;"","",IF(Withdrawal_Timing="Start of year",IF(D80&gt;=C80,1,0),IF(D80*(1+DD_Cautious)&gt;=C80,1,0)))</f>
        <v/>
      </c>
      <c r="F80" s="83" t="str">
        <f aca="false">IF(Need_1&lt;&gt;"","",IF(G79=1,IF(Withdrawal_Timing="Start of year",(F79-C79)*(1+DD_Balanced),F79*(1+DD_Balanced)-C79),0))</f>
        <v/>
      </c>
      <c r="G80" s="82" t="str">
        <f aca="false">IF(Need_1&lt;&gt;"","",IF(Withdrawal_Timing="Start of year",IF(F80&gt;=C80,1,0),IF(F80*(1+DD_Balanced)&gt;=C80,1,0)))</f>
        <v/>
      </c>
      <c r="H80" s="83" t="str">
        <f aca="false">IF(Need_1&lt;&gt;"","",IF(I79=1,IF(Withdrawal_Timing="Start of year",(H79-C79)*(1+DD_Growth),H79*(1+DD_Growth)-C79),0))</f>
        <v/>
      </c>
      <c r="I80" s="82" t="str">
        <f aca="false">IF(Need_1&lt;&gt;"","",IF(Withdrawal_Timing="Start of year",IF(H80&gt;=C80,1,0),IF(H80*(1+DD_Growth)&gt;=C80,1,0)))</f>
        <v/>
      </c>
    </row>
    <row r="81" customFormat="false" ht="15" hidden="false" customHeight="true" outlineLevel="0" collapsed="false">
      <c r="B81" s="82" t="n">
        <v>49</v>
      </c>
      <c r="C81" s="83" t="str">
        <f aca="false">IF(Need_1&lt;&gt;"","",C80*(1+Inflation_Choice))</f>
        <v/>
      </c>
      <c r="D81" s="83" t="str">
        <f aca="false">IF(Need_1&lt;&gt;"","",IF(E80=1,IF(Withdrawal_Timing="Start of year",(D80-C80)*(1+DD_Cautious),D80*(1+DD_Cautious)-C80),0))</f>
        <v/>
      </c>
      <c r="E81" s="82" t="str">
        <f aca="false">IF(Need_1&lt;&gt;"","",IF(Withdrawal_Timing="Start of year",IF(D81&gt;=C81,1,0),IF(D81*(1+DD_Cautious)&gt;=C81,1,0)))</f>
        <v/>
      </c>
      <c r="F81" s="83" t="str">
        <f aca="false">IF(Need_1&lt;&gt;"","",IF(G80=1,IF(Withdrawal_Timing="Start of year",(F80-C80)*(1+DD_Balanced),F80*(1+DD_Balanced)-C80),0))</f>
        <v/>
      </c>
      <c r="G81" s="82" t="str">
        <f aca="false">IF(Need_1&lt;&gt;"","",IF(Withdrawal_Timing="Start of year",IF(F81&gt;=C81,1,0),IF(F81*(1+DD_Balanced)&gt;=C81,1,0)))</f>
        <v/>
      </c>
      <c r="H81" s="83" t="str">
        <f aca="false">IF(Need_1&lt;&gt;"","",IF(I80=1,IF(Withdrawal_Timing="Start of year",(H80-C80)*(1+DD_Growth),H80*(1+DD_Growth)-C80),0))</f>
        <v/>
      </c>
      <c r="I81" s="82" t="str">
        <f aca="false">IF(Need_1&lt;&gt;"","",IF(Withdrawal_Timing="Start of year",IF(H81&gt;=C81,1,0),IF(H81*(1+DD_Growth)&gt;=C81,1,0)))</f>
        <v/>
      </c>
    </row>
    <row r="82" customFormat="false" ht="15" hidden="false" customHeight="true" outlineLevel="0" collapsed="false">
      <c r="B82" s="82" t="n">
        <v>50</v>
      </c>
      <c r="C82" s="83" t="str">
        <f aca="false">IF(Need_1&lt;&gt;"","",C81*(1+Inflation_Choice))</f>
        <v/>
      </c>
      <c r="D82" s="83" t="str">
        <f aca="false">IF(Need_1&lt;&gt;"","",IF(E81=1,IF(Withdrawal_Timing="Start of year",(D81-C81)*(1+DD_Cautious),D81*(1+DD_Cautious)-C81),0))</f>
        <v/>
      </c>
      <c r="E82" s="82" t="str">
        <f aca="false">IF(Need_1&lt;&gt;"","",IF(Withdrawal_Timing="Start of year",IF(D82&gt;=C82,1,0),IF(D82*(1+DD_Cautious)&gt;=C82,1,0)))</f>
        <v/>
      </c>
      <c r="F82" s="83" t="str">
        <f aca="false">IF(Need_1&lt;&gt;"","",IF(G81=1,IF(Withdrawal_Timing="Start of year",(F81-C81)*(1+DD_Balanced),F81*(1+DD_Balanced)-C81),0))</f>
        <v/>
      </c>
      <c r="G82" s="82" t="str">
        <f aca="false">IF(Need_1&lt;&gt;"","",IF(Withdrawal_Timing="Start of year",IF(F82&gt;=C82,1,0),IF(F82*(1+DD_Balanced)&gt;=C82,1,0)))</f>
        <v/>
      </c>
      <c r="H82" s="83" t="str">
        <f aca="false">IF(Need_1&lt;&gt;"","",IF(I81=1,IF(Withdrawal_Timing="Start of year",(H81-C81)*(1+DD_Growth),H81*(1+DD_Growth)-C81),0))</f>
        <v/>
      </c>
      <c r="I82" s="82" t="str">
        <f aca="false">IF(Need_1&lt;&gt;"","",IF(Withdrawal_Timing="Start of year",IF(H82&gt;=C82,1,0),IF(H82*(1+DD_Growth)&gt;=C82,1,0)))</f>
        <v/>
      </c>
    </row>
    <row r="83" customFormat="false" ht="15" hidden="false" customHeight="true" outlineLevel="0" collapsed="false">
      <c r="B83" s="82" t="n">
        <v>51</v>
      </c>
      <c r="C83" s="83" t="str">
        <f aca="false">IF(Need_1&lt;&gt;"","",C82*(1+Inflation_Choice))</f>
        <v/>
      </c>
      <c r="D83" s="83" t="str">
        <f aca="false">IF(Need_1&lt;&gt;"","",IF(E82=1,IF(Withdrawal_Timing="Start of year",(D82-C82)*(1+DD_Cautious),D82*(1+DD_Cautious)-C82),0))</f>
        <v/>
      </c>
      <c r="E83" s="82" t="str">
        <f aca="false">IF(Need_1&lt;&gt;"","",IF(Withdrawal_Timing="Start of year",IF(D83&gt;=C83,1,0),IF(D83*(1+DD_Cautious)&gt;=C83,1,0)))</f>
        <v/>
      </c>
      <c r="F83" s="83" t="str">
        <f aca="false">IF(Need_1&lt;&gt;"","",IF(G82=1,IF(Withdrawal_Timing="Start of year",(F82-C82)*(1+DD_Balanced),F82*(1+DD_Balanced)-C82),0))</f>
        <v/>
      </c>
      <c r="G83" s="82" t="str">
        <f aca="false">IF(Need_1&lt;&gt;"","",IF(Withdrawal_Timing="Start of year",IF(F83&gt;=C83,1,0),IF(F83*(1+DD_Balanced)&gt;=C83,1,0)))</f>
        <v/>
      </c>
      <c r="H83" s="83" t="str">
        <f aca="false">IF(Need_1&lt;&gt;"","",IF(I82=1,IF(Withdrawal_Timing="Start of year",(H82-C82)*(1+DD_Growth),H82*(1+DD_Growth)-C82),0))</f>
        <v/>
      </c>
      <c r="I83" s="82" t="str">
        <f aca="false">IF(Need_1&lt;&gt;"","",IF(Withdrawal_Timing="Start of year",IF(H83&gt;=C83,1,0),IF(H83*(1+DD_Growth)&gt;=C83,1,0)))</f>
        <v/>
      </c>
    </row>
    <row r="84" customFormat="false" ht="15" hidden="false" customHeight="true" outlineLevel="0" collapsed="false">
      <c r="B84" s="82" t="n">
        <v>52</v>
      </c>
      <c r="C84" s="83" t="str">
        <f aca="false">IF(Need_1&lt;&gt;"","",C83*(1+Inflation_Choice))</f>
        <v/>
      </c>
      <c r="D84" s="83" t="str">
        <f aca="false">IF(Need_1&lt;&gt;"","",IF(E83=1,IF(Withdrawal_Timing="Start of year",(D83-C83)*(1+DD_Cautious),D83*(1+DD_Cautious)-C83),0))</f>
        <v/>
      </c>
      <c r="E84" s="82" t="str">
        <f aca="false">IF(Need_1&lt;&gt;"","",IF(Withdrawal_Timing="Start of year",IF(D84&gt;=C84,1,0),IF(D84*(1+DD_Cautious)&gt;=C84,1,0)))</f>
        <v/>
      </c>
      <c r="F84" s="83" t="str">
        <f aca="false">IF(Need_1&lt;&gt;"","",IF(G83=1,IF(Withdrawal_Timing="Start of year",(F83-C83)*(1+DD_Balanced),F83*(1+DD_Balanced)-C83),0))</f>
        <v/>
      </c>
      <c r="G84" s="82" t="str">
        <f aca="false">IF(Need_1&lt;&gt;"","",IF(Withdrawal_Timing="Start of year",IF(F84&gt;=C84,1,0),IF(F84*(1+DD_Balanced)&gt;=C84,1,0)))</f>
        <v/>
      </c>
      <c r="H84" s="83" t="str">
        <f aca="false">IF(Need_1&lt;&gt;"","",IF(I83=1,IF(Withdrawal_Timing="Start of year",(H83-C83)*(1+DD_Growth),H83*(1+DD_Growth)-C83),0))</f>
        <v/>
      </c>
      <c r="I84" s="82" t="str">
        <f aca="false">IF(Need_1&lt;&gt;"","",IF(Withdrawal_Timing="Start of year",IF(H84&gt;=C84,1,0),IF(H84*(1+DD_Growth)&gt;=C84,1,0)))</f>
        <v/>
      </c>
    </row>
    <row r="85" customFormat="false" ht="15" hidden="false" customHeight="true" outlineLevel="0" collapsed="false">
      <c r="B85" s="82" t="n">
        <v>53</v>
      </c>
      <c r="C85" s="83" t="str">
        <f aca="false">IF(Need_1&lt;&gt;"","",C84*(1+Inflation_Choice))</f>
        <v/>
      </c>
      <c r="D85" s="83" t="str">
        <f aca="false">IF(Need_1&lt;&gt;"","",IF(E84=1,IF(Withdrawal_Timing="Start of year",(D84-C84)*(1+DD_Cautious),D84*(1+DD_Cautious)-C84),0))</f>
        <v/>
      </c>
      <c r="E85" s="82" t="str">
        <f aca="false">IF(Need_1&lt;&gt;"","",IF(Withdrawal_Timing="Start of year",IF(D85&gt;=C85,1,0),IF(D85*(1+DD_Cautious)&gt;=C85,1,0)))</f>
        <v/>
      </c>
      <c r="F85" s="83" t="str">
        <f aca="false">IF(Need_1&lt;&gt;"","",IF(G84=1,IF(Withdrawal_Timing="Start of year",(F84-C84)*(1+DD_Balanced),F84*(1+DD_Balanced)-C84),0))</f>
        <v/>
      </c>
      <c r="G85" s="82" t="str">
        <f aca="false">IF(Need_1&lt;&gt;"","",IF(Withdrawal_Timing="Start of year",IF(F85&gt;=C85,1,0),IF(F85*(1+DD_Balanced)&gt;=C85,1,0)))</f>
        <v/>
      </c>
      <c r="H85" s="83" t="str">
        <f aca="false">IF(Need_1&lt;&gt;"","",IF(I84=1,IF(Withdrawal_Timing="Start of year",(H84-C84)*(1+DD_Growth),H84*(1+DD_Growth)-C84),0))</f>
        <v/>
      </c>
      <c r="I85" s="82" t="str">
        <f aca="false">IF(Need_1&lt;&gt;"","",IF(Withdrawal_Timing="Start of year",IF(H85&gt;=C85,1,0),IF(H85*(1+DD_Growth)&gt;=C85,1,0)))</f>
        <v/>
      </c>
    </row>
    <row r="86" customFormat="false" ht="15" hidden="false" customHeight="true" outlineLevel="0" collapsed="false">
      <c r="B86" s="82" t="n">
        <v>54</v>
      </c>
      <c r="C86" s="83" t="str">
        <f aca="false">IF(Need_1&lt;&gt;"","",C85*(1+Inflation_Choice))</f>
        <v/>
      </c>
      <c r="D86" s="83" t="str">
        <f aca="false">IF(Need_1&lt;&gt;"","",IF(E85=1,IF(Withdrawal_Timing="Start of year",(D85-C85)*(1+DD_Cautious),D85*(1+DD_Cautious)-C85),0))</f>
        <v/>
      </c>
      <c r="E86" s="82" t="str">
        <f aca="false">IF(Need_1&lt;&gt;"","",IF(Withdrawal_Timing="Start of year",IF(D86&gt;=C86,1,0),IF(D86*(1+DD_Cautious)&gt;=C86,1,0)))</f>
        <v/>
      </c>
      <c r="F86" s="83" t="str">
        <f aca="false">IF(Need_1&lt;&gt;"","",IF(G85=1,IF(Withdrawal_Timing="Start of year",(F85-C85)*(1+DD_Balanced),F85*(1+DD_Balanced)-C85),0))</f>
        <v/>
      </c>
      <c r="G86" s="82" t="str">
        <f aca="false">IF(Need_1&lt;&gt;"","",IF(Withdrawal_Timing="Start of year",IF(F86&gt;=C86,1,0),IF(F86*(1+DD_Balanced)&gt;=C86,1,0)))</f>
        <v/>
      </c>
      <c r="H86" s="83" t="str">
        <f aca="false">IF(Need_1&lt;&gt;"","",IF(I85=1,IF(Withdrawal_Timing="Start of year",(H85-C85)*(1+DD_Growth),H85*(1+DD_Growth)-C85),0))</f>
        <v/>
      </c>
      <c r="I86" s="82" t="str">
        <f aca="false">IF(Need_1&lt;&gt;"","",IF(Withdrawal_Timing="Start of year",IF(H86&gt;=C86,1,0),IF(H86*(1+DD_Growth)&gt;=C86,1,0)))</f>
        <v/>
      </c>
    </row>
    <row r="87" customFormat="false" ht="15" hidden="false" customHeight="true" outlineLevel="0" collapsed="false">
      <c r="B87" s="82" t="n">
        <v>55</v>
      </c>
      <c r="C87" s="83" t="str">
        <f aca="false">IF(Need_1&lt;&gt;"","",C86*(1+Inflation_Choice))</f>
        <v/>
      </c>
      <c r="D87" s="83" t="str">
        <f aca="false">IF(Need_1&lt;&gt;"","",IF(E86=1,IF(Withdrawal_Timing="Start of year",(D86-C86)*(1+DD_Cautious),D86*(1+DD_Cautious)-C86),0))</f>
        <v/>
      </c>
      <c r="E87" s="82" t="str">
        <f aca="false">IF(Need_1&lt;&gt;"","",IF(Withdrawal_Timing="Start of year",IF(D87&gt;=C87,1,0),IF(D87*(1+DD_Cautious)&gt;=C87,1,0)))</f>
        <v/>
      </c>
      <c r="F87" s="83" t="str">
        <f aca="false">IF(Need_1&lt;&gt;"","",IF(G86=1,IF(Withdrawal_Timing="Start of year",(F86-C86)*(1+DD_Balanced),F86*(1+DD_Balanced)-C86),0))</f>
        <v/>
      </c>
      <c r="G87" s="82" t="str">
        <f aca="false">IF(Need_1&lt;&gt;"","",IF(Withdrawal_Timing="Start of year",IF(F87&gt;=C87,1,0),IF(F87*(1+DD_Balanced)&gt;=C87,1,0)))</f>
        <v/>
      </c>
      <c r="H87" s="83" t="str">
        <f aca="false">IF(Need_1&lt;&gt;"","",IF(I86=1,IF(Withdrawal_Timing="Start of year",(H86-C86)*(1+DD_Growth),H86*(1+DD_Growth)-C86),0))</f>
        <v/>
      </c>
      <c r="I87" s="82" t="str">
        <f aca="false">IF(Need_1&lt;&gt;"","",IF(Withdrawal_Timing="Start of year",IF(H87&gt;=C87,1,0),IF(H87*(1+DD_Growth)&gt;=C87,1,0)))</f>
        <v/>
      </c>
    </row>
    <row r="88" customFormat="false" ht="15" hidden="false" customHeight="true" outlineLevel="0" collapsed="false">
      <c r="B88" s="82" t="n">
        <v>56</v>
      </c>
      <c r="C88" s="83" t="str">
        <f aca="false">IF(Need_1&lt;&gt;"","",C87*(1+Inflation_Choice))</f>
        <v/>
      </c>
      <c r="D88" s="83" t="str">
        <f aca="false">IF(Need_1&lt;&gt;"","",IF(E87=1,IF(Withdrawal_Timing="Start of year",(D87-C87)*(1+DD_Cautious),D87*(1+DD_Cautious)-C87),0))</f>
        <v/>
      </c>
      <c r="E88" s="82" t="str">
        <f aca="false">IF(Need_1&lt;&gt;"","",IF(Withdrawal_Timing="Start of year",IF(D88&gt;=C88,1,0),IF(D88*(1+DD_Cautious)&gt;=C88,1,0)))</f>
        <v/>
      </c>
      <c r="F88" s="83" t="str">
        <f aca="false">IF(Need_1&lt;&gt;"","",IF(G87=1,IF(Withdrawal_Timing="Start of year",(F87-C87)*(1+DD_Balanced),F87*(1+DD_Balanced)-C87),0))</f>
        <v/>
      </c>
      <c r="G88" s="82" t="str">
        <f aca="false">IF(Need_1&lt;&gt;"","",IF(Withdrawal_Timing="Start of year",IF(F88&gt;=C88,1,0),IF(F88*(1+DD_Balanced)&gt;=C88,1,0)))</f>
        <v/>
      </c>
      <c r="H88" s="83" t="str">
        <f aca="false">IF(Need_1&lt;&gt;"","",IF(I87=1,IF(Withdrawal_Timing="Start of year",(H87-C87)*(1+DD_Growth),H87*(1+DD_Growth)-C87),0))</f>
        <v/>
      </c>
      <c r="I88" s="82" t="str">
        <f aca="false">IF(Need_1&lt;&gt;"","",IF(Withdrawal_Timing="Start of year",IF(H88&gt;=C88,1,0),IF(H88*(1+DD_Growth)&gt;=C88,1,0)))</f>
        <v/>
      </c>
    </row>
    <row r="89" customFormat="false" ht="15" hidden="false" customHeight="true" outlineLevel="0" collapsed="false">
      <c r="B89" s="82" t="n">
        <v>57</v>
      </c>
      <c r="C89" s="83" t="str">
        <f aca="false">IF(Need_1&lt;&gt;"","",C88*(1+Inflation_Choice))</f>
        <v/>
      </c>
      <c r="D89" s="83" t="str">
        <f aca="false">IF(Need_1&lt;&gt;"","",IF(E88=1,IF(Withdrawal_Timing="Start of year",(D88-C88)*(1+DD_Cautious),D88*(1+DD_Cautious)-C88),0))</f>
        <v/>
      </c>
      <c r="E89" s="82" t="str">
        <f aca="false">IF(Need_1&lt;&gt;"","",IF(Withdrawal_Timing="Start of year",IF(D89&gt;=C89,1,0),IF(D89*(1+DD_Cautious)&gt;=C89,1,0)))</f>
        <v/>
      </c>
      <c r="F89" s="83" t="str">
        <f aca="false">IF(Need_1&lt;&gt;"","",IF(G88=1,IF(Withdrawal_Timing="Start of year",(F88-C88)*(1+DD_Balanced),F88*(1+DD_Balanced)-C88),0))</f>
        <v/>
      </c>
      <c r="G89" s="82" t="str">
        <f aca="false">IF(Need_1&lt;&gt;"","",IF(Withdrawal_Timing="Start of year",IF(F89&gt;=C89,1,0),IF(F89*(1+DD_Balanced)&gt;=C89,1,0)))</f>
        <v/>
      </c>
      <c r="H89" s="83" t="str">
        <f aca="false">IF(Need_1&lt;&gt;"","",IF(I88=1,IF(Withdrawal_Timing="Start of year",(H88-C88)*(1+DD_Growth),H88*(1+DD_Growth)-C88),0))</f>
        <v/>
      </c>
      <c r="I89" s="82" t="str">
        <f aca="false">IF(Need_1&lt;&gt;"","",IF(Withdrawal_Timing="Start of year",IF(H89&gt;=C89,1,0),IF(H89*(1+DD_Growth)&gt;=C89,1,0)))</f>
        <v/>
      </c>
    </row>
    <row r="90" customFormat="false" ht="15" hidden="false" customHeight="true" outlineLevel="0" collapsed="false">
      <c r="B90" s="82" t="n">
        <v>58</v>
      </c>
      <c r="C90" s="83" t="str">
        <f aca="false">IF(Need_1&lt;&gt;"","",C89*(1+Inflation_Choice))</f>
        <v/>
      </c>
      <c r="D90" s="83" t="str">
        <f aca="false">IF(Need_1&lt;&gt;"","",IF(E89=1,IF(Withdrawal_Timing="Start of year",(D89-C89)*(1+DD_Cautious),D89*(1+DD_Cautious)-C89),0))</f>
        <v/>
      </c>
      <c r="E90" s="82" t="str">
        <f aca="false">IF(Need_1&lt;&gt;"","",IF(Withdrawal_Timing="Start of year",IF(D90&gt;=C90,1,0),IF(D90*(1+DD_Cautious)&gt;=C90,1,0)))</f>
        <v/>
      </c>
      <c r="F90" s="83" t="str">
        <f aca="false">IF(Need_1&lt;&gt;"","",IF(G89=1,IF(Withdrawal_Timing="Start of year",(F89-C89)*(1+DD_Balanced),F89*(1+DD_Balanced)-C89),0))</f>
        <v/>
      </c>
      <c r="G90" s="82" t="str">
        <f aca="false">IF(Need_1&lt;&gt;"","",IF(Withdrawal_Timing="Start of year",IF(F90&gt;=C90,1,0),IF(F90*(1+DD_Balanced)&gt;=C90,1,0)))</f>
        <v/>
      </c>
      <c r="H90" s="83" t="str">
        <f aca="false">IF(Need_1&lt;&gt;"","",IF(I89=1,IF(Withdrawal_Timing="Start of year",(H89-C89)*(1+DD_Growth),H89*(1+DD_Growth)-C89),0))</f>
        <v/>
      </c>
      <c r="I90" s="82" t="str">
        <f aca="false">IF(Need_1&lt;&gt;"","",IF(Withdrawal_Timing="Start of year",IF(H90&gt;=C90,1,0),IF(H90*(1+DD_Growth)&gt;=C90,1,0)))</f>
        <v/>
      </c>
    </row>
    <row r="91" customFormat="false" ht="15" hidden="false" customHeight="true" outlineLevel="0" collapsed="false">
      <c r="B91" s="82" t="n">
        <v>59</v>
      </c>
      <c r="C91" s="83" t="str">
        <f aca="false">IF(Need_1&lt;&gt;"","",C90*(1+Inflation_Choice))</f>
        <v/>
      </c>
      <c r="D91" s="83" t="str">
        <f aca="false">IF(Need_1&lt;&gt;"","",IF(E90=1,IF(Withdrawal_Timing="Start of year",(D90-C90)*(1+DD_Cautious),D90*(1+DD_Cautious)-C90),0))</f>
        <v/>
      </c>
      <c r="E91" s="82" t="str">
        <f aca="false">IF(Need_1&lt;&gt;"","",IF(Withdrawal_Timing="Start of year",IF(D91&gt;=C91,1,0),IF(D91*(1+DD_Cautious)&gt;=C91,1,0)))</f>
        <v/>
      </c>
      <c r="F91" s="83" t="str">
        <f aca="false">IF(Need_1&lt;&gt;"","",IF(G90=1,IF(Withdrawal_Timing="Start of year",(F90-C90)*(1+DD_Balanced),F90*(1+DD_Balanced)-C90),0))</f>
        <v/>
      </c>
      <c r="G91" s="82" t="str">
        <f aca="false">IF(Need_1&lt;&gt;"","",IF(Withdrawal_Timing="Start of year",IF(F91&gt;=C91,1,0),IF(F91*(1+DD_Balanced)&gt;=C91,1,0)))</f>
        <v/>
      </c>
      <c r="H91" s="83" t="str">
        <f aca="false">IF(Need_1&lt;&gt;"","",IF(I90=1,IF(Withdrawal_Timing="Start of year",(H90-C90)*(1+DD_Growth),H90*(1+DD_Growth)-C90),0))</f>
        <v/>
      </c>
      <c r="I91" s="82" t="str">
        <f aca="false">IF(Need_1&lt;&gt;"","",IF(Withdrawal_Timing="Start of year",IF(H91&gt;=C91,1,0),IF(H91*(1+DD_Growth)&gt;=C91,1,0)))</f>
        <v/>
      </c>
    </row>
    <row r="92" customFormat="false" ht="15" hidden="false" customHeight="true" outlineLevel="0" collapsed="false">
      <c r="B92" s="82" t="n">
        <v>60</v>
      </c>
      <c r="C92" s="83" t="str">
        <f aca="false">IF(Need_1&lt;&gt;"","",C91*(1+Inflation_Choice))</f>
        <v/>
      </c>
      <c r="D92" s="83" t="str">
        <f aca="false">IF(Need_1&lt;&gt;"","",IF(E91=1,IF(Withdrawal_Timing="Start of year",(D91-C91)*(1+DD_Cautious),D91*(1+DD_Cautious)-C91),0))</f>
        <v/>
      </c>
      <c r="E92" s="82" t="str">
        <f aca="false">IF(Need_1&lt;&gt;"","",IF(Withdrawal_Timing="Start of year",IF(D92&gt;=C92,1,0),IF(D92*(1+DD_Cautious)&gt;=C92,1,0)))</f>
        <v/>
      </c>
      <c r="F92" s="83" t="str">
        <f aca="false">IF(Need_1&lt;&gt;"","",IF(G91=1,IF(Withdrawal_Timing="Start of year",(F91-C91)*(1+DD_Balanced),F91*(1+DD_Balanced)-C91),0))</f>
        <v/>
      </c>
      <c r="G92" s="82" t="str">
        <f aca="false">IF(Need_1&lt;&gt;"","",IF(Withdrawal_Timing="Start of year",IF(F92&gt;=C92,1,0),IF(F92*(1+DD_Balanced)&gt;=C92,1,0)))</f>
        <v/>
      </c>
      <c r="H92" s="83" t="str">
        <f aca="false">IF(Need_1&lt;&gt;"","",IF(I91=1,IF(Withdrawal_Timing="Start of year",(H91-C91)*(1+DD_Growth),H91*(1+DD_Growth)-C91),0))</f>
        <v/>
      </c>
      <c r="I92" s="82" t="str">
        <f aca="false">IF(Need_1&lt;&gt;"","",IF(Withdrawal_Timing="Start of year",IF(H92&gt;=C92,1,0),IF(H92*(1+DD_Growth)&gt;=C92,1,0)))</f>
        <v/>
      </c>
    </row>
    <row r="95" customFormat="false" ht="15" hidden="false" customHeight="true" outlineLevel="0" collapsed="false">
      <c r="B95" s="15" t="s">
        <v>278</v>
      </c>
      <c r="C95" s="16"/>
      <c r="D95" s="16"/>
      <c r="E95" s="16"/>
      <c r="F95" s="16"/>
      <c r="G95" s="16"/>
    </row>
    <row r="96" customFormat="false" ht="27.75" hidden="false" customHeight="true" outlineLevel="0" collapsed="false">
      <c r="B96" s="49" t="s">
        <v>941</v>
      </c>
      <c r="C96" s="49"/>
      <c r="D96" s="49"/>
      <c r="E96" s="49"/>
    </row>
    <row r="97" customFormat="false" ht="13.5" hidden="false" customHeight="true" outlineLevel="0" collapsed="false">
      <c r="B97" s="49" t="s">
        <v>942</v>
      </c>
      <c r="C97" s="49"/>
      <c r="D97" s="49"/>
      <c r="E97" s="49"/>
    </row>
    <row r="98" customFormat="false" ht="13.5" hidden="false" customHeight="true" outlineLevel="0" collapsed="false">
      <c r="B98" s="50" t="s">
        <v>282</v>
      </c>
      <c r="C98" s="50"/>
      <c r="D98" s="50"/>
      <c r="E98" s="50"/>
    </row>
    <row r="99" customFormat="false" ht="13.5" hidden="false" customHeight="true" outlineLevel="0" collapsed="false">
      <c r="B99" s="49" t="s">
        <v>943</v>
      </c>
      <c r="C99" s="49"/>
      <c r="D99" s="49"/>
      <c r="E99" s="49"/>
    </row>
    <row r="100" customFormat="false" ht="13.5" hidden="false" customHeight="true" outlineLevel="0" collapsed="false">
      <c r="B100" s="49" t="s">
        <v>944</v>
      </c>
      <c r="C100" s="49"/>
      <c r="D100" s="49"/>
      <c r="E100" s="49"/>
    </row>
    <row r="102" customFormat="false" ht="15" hidden="false" customHeight="true" outlineLevel="0" collapsed="false">
      <c r="B102" s="15" t="s">
        <v>287</v>
      </c>
      <c r="C102" s="16"/>
      <c r="D102" s="16"/>
      <c r="E102" s="16"/>
      <c r="F102" s="16"/>
      <c r="G102" s="16"/>
    </row>
    <row r="103" customFormat="false" ht="15" hidden="false" customHeight="true" outlineLevel="0" collapsed="false">
      <c r="B103" s="9" t="s">
        <v>288</v>
      </c>
      <c r="C103" s="51" t="str">
        <f aca="false">"No goal"</f>
        <v>No goal</v>
      </c>
      <c r="E103" s="52" t="s">
        <v>477</v>
      </c>
    </row>
    <row r="105" customFormat="false" ht="15" hidden="false" customHeight="true" outlineLevel="0" collapsed="false">
      <c r="B105" s="15" t="s">
        <v>296</v>
      </c>
      <c r="C105" s="16"/>
      <c r="D105" s="16"/>
      <c r="E105" s="16"/>
      <c r="F105" s="16"/>
      <c r="G105" s="16"/>
    </row>
    <row r="106" customFormat="false" ht="15" hidden="false" customHeight="true" outlineLevel="0" collapsed="false">
      <c r="B106" s="55" t="s">
        <v>945</v>
      </c>
      <c r="C106" s="55" t="str">
        <f aca="false">IF(Inflation_Choice="","Choose your inflation rate to see this",IF(Yearly_Withdrawal="","Choose your yearly withdrawal to see this",IF(DD_Cautious="","Choose your cautious growth rate to see this",IF(DD_Balanced="","Choose your balanced growth rate to see this",IF(DD_Growth="","Choose your growth-style growth rate to see this",IF(Withdrawal_Timing="","Choose your withdrawal timing to see this",IF(NOT(ISNUMBER(Used_Retirement_Savings)),IF(Used_Retirement_Savings="",IF(Retirement_Savings="","Choose your retirement savings to see this",""),Used_Retirement_Savings),"")))))))</f>
        <v>Choose your inflation rate to see this</v>
      </c>
    </row>
  </sheetData>
  <mergeCells count="7">
    <mergeCell ref="B7:E7"/>
    <mergeCell ref="B10:E10"/>
    <mergeCell ref="B96:E96"/>
    <mergeCell ref="B97:E97"/>
    <mergeCell ref="B98:E98"/>
    <mergeCell ref="B99:E99"/>
    <mergeCell ref="B100:E100"/>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8% · steps of 0.5%." errorStyle="stop" errorTitle="Outside the allowed range" operator="between" prompt="Generally the standard is 2% a year for a cautious mix (illustration). Choose what you want to use.  Allowed: 0% to 8% · steps of 0.5%." promptTitle="Cautious: growth a year" showDropDown="false" showErrorMessage="true" showInputMessage="true" sqref="C18" type="decimal">
      <formula1>0</formula1>
      <formula2>0.08</formula2>
    </dataValidation>
    <dataValidation allowBlank="true" error="Please enter 0% to 8% · steps of 0.5%." errorStyle="stop" errorTitle="Outside the allowed range" operator="between" prompt="Generally the standard is 4% a year for a balanced mix (illustration). Choose what you want to use.  Allowed: 0% to 8% · steps of 0.5%." promptTitle="Balanced: growth a year" showDropDown="false" showErrorMessage="true" showInputMessage="true" sqref="C19" type="decimal">
      <formula1>0</formula1>
      <formula2>0.08</formula2>
    </dataValidation>
    <dataValidation allowBlank="true" error="Please enter 0% to 8% · steps of 0.5%." errorStyle="stop" errorTitle="Outside the allowed range" operator="between" prompt="Generally the standard is 6% a year for a growth mix (illustration). Choose what you want to use.  Allowed: 0% to 8% · steps of 0.5%." promptTitle="Growth: growth a year" showDropDown="false" showErrorMessage="true" showInputMessage="true" sqref="C20" type="decimal">
      <formula1>0</formula1>
      <formula2>0.08</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21" type="list">
      <formula1>"Start of year,End of year"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3" t="s">
        <v>946</v>
      </c>
      <c r="E1" s="3" t="s">
        <v>947</v>
      </c>
    </row>
    <row r="2" customFormat="false" ht="15" hidden="false" customHeight="true" outlineLevel="0" collapsed="false">
      <c r="B2" s="24" t="s">
        <v>948</v>
      </c>
      <c r="E2" s="25"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6" t="s">
        <v>949</v>
      </c>
    </row>
    <row r="5" customFormat="false" ht="15" hidden="false" customHeight="true" outlineLevel="0" collapsed="false">
      <c r="B5" s="15" t="s">
        <v>563</v>
      </c>
      <c r="C5" s="27" t="s">
        <v>220</v>
      </c>
      <c r="D5" s="27" t="s">
        <v>221</v>
      </c>
      <c r="E5" s="27" t="s">
        <v>222</v>
      </c>
      <c r="F5" s="28" t="s">
        <v>223</v>
      </c>
      <c r="G5" s="16"/>
    </row>
    <row r="6" customFormat="false" ht="21.75" hidden="false" customHeight="true" outlineLevel="0" collapsed="false">
      <c r="B6" s="9" t="s">
        <v>564</v>
      </c>
      <c r="C6" s="37"/>
      <c r="D6" s="30" t="s">
        <v>236</v>
      </c>
      <c r="E6" s="38" t="s">
        <v>565</v>
      </c>
      <c r="F6" s="39" t="n">
        <v>0.02</v>
      </c>
      <c r="G6" s="40" t="str">
        <f aca="false">IF(ISBLANK(C6),IF(Fill_Example="Yes",F6,""),C6)</f>
        <v/>
      </c>
    </row>
    <row r="7" customFormat="false" ht="27.75" hidden="false" customHeight="true" outlineLevel="0" collapsed="false">
      <c r="B7" s="56" t="s">
        <v>566</v>
      </c>
      <c r="C7" s="56"/>
      <c r="D7" s="56"/>
      <c r="E7" s="56"/>
    </row>
    <row r="9" customFormat="false" ht="15" hidden="false" customHeight="true" outlineLevel="0" collapsed="false">
      <c r="B9" s="15" t="s">
        <v>309</v>
      </c>
      <c r="C9" s="16"/>
      <c r="D9" s="16"/>
      <c r="E9" s="16"/>
      <c r="F9" s="16"/>
      <c r="G9" s="16"/>
    </row>
    <row r="10" customFormat="false" ht="27.75" hidden="false" customHeight="true" outlineLevel="0" collapsed="false">
      <c r="B10" s="56" t="s">
        <v>636</v>
      </c>
      <c r="C10" s="56"/>
      <c r="D10" s="56"/>
      <c r="E10" s="56"/>
    </row>
    <row r="11" customFormat="false" ht="15" hidden="false" customHeight="true" outlineLevel="0" collapsed="false">
      <c r="B11" s="9" t="s">
        <v>637</v>
      </c>
      <c r="C11" s="57"/>
      <c r="D11" s="30" t="s">
        <v>225</v>
      </c>
      <c r="E11" s="31" t="s">
        <v>638</v>
      </c>
      <c r="G11" s="55" t="s">
        <v>313</v>
      </c>
    </row>
    <row r="12" customFormat="false" ht="15" hidden="false" customHeight="true" outlineLevel="0" collapsed="false">
      <c r="B12" s="9" t="s">
        <v>320</v>
      </c>
      <c r="C12" s="60"/>
      <c r="D12" s="30" t="s">
        <v>321</v>
      </c>
      <c r="E12" s="31" t="s">
        <v>322</v>
      </c>
      <c r="G12" s="55" t="s">
        <v>313</v>
      </c>
    </row>
    <row r="14" customFormat="false" ht="15" hidden="false" customHeight="true" outlineLevel="0" collapsed="false">
      <c r="B14" s="15" t="s">
        <v>323</v>
      </c>
      <c r="C14" s="27" t="s">
        <v>220</v>
      </c>
      <c r="D14" s="27" t="s">
        <v>221</v>
      </c>
      <c r="E14" s="27" t="s">
        <v>222</v>
      </c>
      <c r="F14" s="28" t="s">
        <v>223</v>
      </c>
      <c r="G14" s="16"/>
    </row>
    <row r="15" customFormat="false" ht="21.75" hidden="false" customHeight="true" outlineLevel="0" collapsed="false">
      <c r="B15" s="9" t="s">
        <v>641</v>
      </c>
      <c r="C15" s="29"/>
      <c r="D15" s="30" t="s">
        <v>225</v>
      </c>
      <c r="E15" s="31" t="s">
        <v>642</v>
      </c>
      <c r="F15" s="32" t="n">
        <v>20000</v>
      </c>
      <c r="G15" s="33" t="str">
        <f aca="false">IF(ISBLANK(C15),IF(Fill_Example="Yes",F15,""),C15)</f>
        <v/>
      </c>
    </row>
    <row r="16" customFormat="false" ht="21.75" hidden="false" customHeight="true" outlineLevel="0" collapsed="false">
      <c r="B16" s="9" t="s">
        <v>950</v>
      </c>
      <c r="C16" s="37"/>
      <c r="D16" s="30" t="s">
        <v>236</v>
      </c>
      <c r="E16" s="38" t="s">
        <v>951</v>
      </c>
      <c r="F16" s="39" t="n">
        <v>0.05</v>
      </c>
      <c r="G16" s="40" t="str">
        <f aca="false">IF(ISBLANK(C16),IF(Fill_Example="Yes",F16,""),C16)</f>
        <v/>
      </c>
    </row>
    <row r="17" customFormat="false" ht="15" hidden="false" customHeight="true" outlineLevel="0" collapsed="false">
      <c r="B17" s="9" t="s">
        <v>610</v>
      </c>
      <c r="C17" s="41"/>
      <c r="D17" s="30" t="s">
        <v>238</v>
      </c>
      <c r="E17" s="31" t="s">
        <v>611</v>
      </c>
      <c r="F17" s="42" t="n">
        <v>15</v>
      </c>
      <c r="G17" s="43" t="str">
        <f aca="false">IF(ISBLANK(C17),IF(Fill_Example="Yes",F17,""),C17)</f>
        <v/>
      </c>
    </row>
    <row r="19" customFormat="false" ht="15" hidden="false" customHeight="true" outlineLevel="0" collapsed="false">
      <c r="B19" s="15" t="s">
        <v>332</v>
      </c>
      <c r="C19" s="16"/>
      <c r="D19" s="16"/>
      <c r="E19" s="16"/>
      <c r="F19" s="16"/>
      <c r="G19" s="16"/>
    </row>
    <row r="20" customFormat="false" ht="15" hidden="false" customHeight="true" outlineLevel="0" collapsed="false">
      <c r="B20" s="9" t="s">
        <v>641</v>
      </c>
      <c r="C20" s="61" t="str">
        <f aca="false">IF(ISBLANK(Stmt_Total_Value),Amount,Stmt_Total_Value)</f>
        <v/>
      </c>
      <c r="D20" s="62" t="str">
        <f aca="false">IF(ISBLANK(Stmt_Total_Value),"Your figure","From your statement")</f>
        <v>Your figure</v>
      </c>
      <c r="E20" s="52" t="s">
        <v>651</v>
      </c>
    </row>
    <row r="21" customFormat="false" ht="21.75" hidden="false" customHeight="true" outlineLevel="0" collapsed="false">
      <c r="B21" s="9" t="s">
        <v>338</v>
      </c>
      <c r="C21" s="48" t="str">
        <f aca="true">IF(ISBLANK(Stmt_Statement_Date),"",IF(TODAY()-Stmt_Statement_Date&gt;Statement_Max_Age_Days,"Needs a look: statement is more than 12 months old","Up to date"))</f>
        <v/>
      </c>
      <c r="D21" s="30"/>
      <c r="E21" s="45" t="s">
        <v>339</v>
      </c>
    </row>
    <row r="23" customFormat="false" ht="15" hidden="false" customHeight="true" outlineLevel="0" collapsed="false">
      <c r="B23" s="15" t="s">
        <v>245</v>
      </c>
      <c r="C23" s="27" t="s">
        <v>246</v>
      </c>
      <c r="D23" s="27" t="s">
        <v>247</v>
      </c>
      <c r="E23" s="27" t="s">
        <v>248</v>
      </c>
      <c r="F23" s="16"/>
      <c r="G23" s="16"/>
    </row>
    <row r="24" customFormat="false" ht="17.25" hidden="false" customHeight="true" outlineLevel="0" collapsed="false">
      <c r="B24" s="24" t="s">
        <v>952</v>
      </c>
      <c r="C24" s="44" t="str">
        <f aca="false">IF(Need_1&lt;&gt;"",Need_1,IF(Inflation_Choice="","Choose your inflation rate to see this",Future_Value/(1+Inflation_Choice)^Years))</f>
        <v>Choose your inflation rate to see this</v>
      </c>
      <c r="D24" s="30" t="s">
        <v>225</v>
      </c>
      <c r="E24" s="45" t="s">
        <v>953</v>
      </c>
    </row>
    <row r="25" customFormat="false" ht="17.25" hidden="false" customHeight="true" outlineLevel="0" collapsed="false">
      <c r="B25" s="24" t="s">
        <v>954</v>
      </c>
      <c r="C25" s="44" t="str">
        <f aca="false">IF(Need_2&lt;&gt;"",Need_2,Used_Amount*(1+Nominal_Return)^Years)</f>
        <v>Choose your return to see this</v>
      </c>
      <c r="D25" s="30" t="s">
        <v>225</v>
      </c>
      <c r="E25" s="45" t="s">
        <v>955</v>
      </c>
    </row>
    <row r="26" customFormat="false" ht="17.25" hidden="false" customHeight="true" outlineLevel="0" collapsed="false">
      <c r="B26" s="24" t="s">
        <v>956</v>
      </c>
      <c r="C26" s="84" t="str">
        <f aca="false">IF(Need_3&lt;&gt;"",Need_3,IF(Inflation_Choice="","Choose your inflation rate to see this",(1+Nominal_Return)/(1+Inflation_Choice)-1))</f>
        <v>Choose your inflation rate to see this</v>
      </c>
      <c r="D26" s="30"/>
      <c r="E26" s="45" t="s">
        <v>957</v>
      </c>
    </row>
    <row r="27" customFormat="false" ht="15" hidden="false" customHeight="true" outlineLevel="0" collapsed="false">
      <c r="B27" s="71"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7" s="71"/>
      <c r="D27" s="71"/>
      <c r="E27" s="71"/>
    </row>
    <row r="29" customFormat="false" ht="15" hidden="false" customHeight="true" outlineLevel="0" collapsed="false">
      <c r="B29" s="15" t="s">
        <v>278</v>
      </c>
      <c r="C29" s="16"/>
      <c r="D29" s="16"/>
      <c r="E29" s="16"/>
      <c r="F29" s="16"/>
      <c r="G29" s="16"/>
    </row>
    <row r="30" customFormat="false" ht="13.5" hidden="false" customHeight="true" outlineLevel="0" collapsed="false">
      <c r="B30" s="49" t="s">
        <v>958</v>
      </c>
      <c r="C30" s="49"/>
      <c r="D30" s="49"/>
      <c r="E30" s="49"/>
    </row>
    <row r="31" customFormat="false" ht="13.5" hidden="false" customHeight="true" outlineLevel="0" collapsed="false">
      <c r="B31" s="49" t="s">
        <v>959</v>
      </c>
      <c r="C31" s="49"/>
      <c r="D31" s="49"/>
      <c r="E31" s="49"/>
    </row>
    <row r="32" customFormat="false" ht="13.5" hidden="false" customHeight="true" outlineLevel="0" collapsed="false">
      <c r="B32" s="50" t="s">
        <v>282</v>
      </c>
      <c r="C32" s="50"/>
      <c r="D32" s="50"/>
      <c r="E32" s="50"/>
    </row>
    <row r="33" customFormat="false" ht="13.5" hidden="false" customHeight="true" outlineLevel="0" collapsed="false">
      <c r="B33" s="49" t="s">
        <v>960</v>
      </c>
      <c r="C33" s="49"/>
      <c r="D33" s="49"/>
      <c r="E33" s="49"/>
    </row>
    <row r="35" customFormat="false" ht="15" hidden="false" customHeight="true" outlineLevel="0" collapsed="false">
      <c r="B35" s="15" t="s">
        <v>287</v>
      </c>
      <c r="C35" s="16"/>
      <c r="D35" s="16"/>
      <c r="E35" s="16"/>
      <c r="F35" s="16"/>
      <c r="G35" s="16"/>
    </row>
    <row r="36" customFormat="false" ht="15" hidden="false" customHeight="true" outlineLevel="0" collapsed="false">
      <c r="B36" s="9" t="s">
        <v>288</v>
      </c>
      <c r="C36" s="51" t="str">
        <f aca="false">"No goal"</f>
        <v>No goal</v>
      </c>
      <c r="E36" s="52" t="s">
        <v>477</v>
      </c>
    </row>
    <row r="38" customFormat="false" ht="15" hidden="false" customHeight="true" outlineLevel="0" collapsed="false">
      <c r="B38" s="15" t="s">
        <v>296</v>
      </c>
      <c r="C38" s="16"/>
      <c r="D38" s="16"/>
      <c r="E38" s="16"/>
      <c r="F38" s="16"/>
      <c r="G38" s="16"/>
    </row>
    <row r="39" customFormat="false" ht="15" hidden="false" customHeight="true" outlineLevel="0" collapsed="false">
      <c r="B39" s="55" t="s">
        <v>961</v>
      </c>
      <c r="C39" s="55" t="str">
        <f aca="false">IF(Inflation_Choice="","Choose your inflation rate to see this",IF(Nominal_Return="","Choose your return to see this",IF(Years="","Choose your years to see this",IF(NOT(ISNUMBER(Used_Amount)),IF(Used_Amount="",IF(Amount="","Choose your amount to see this",""),Used_Amount),""))))</f>
        <v>Choose your inflation rate to see this</v>
      </c>
    </row>
    <row r="40" customFormat="false" ht="15" hidden="false" customHeight="true" outlineLevel="0" collapsed="false">
      <c r="B40" s="55" t="s">
        <v>962</v>
      </c>
      <c r="C40" s="55" t="str">
        <f aca="false">IF(Nominal_Return="","Choose your return to see this",IF(Years="","Choose your years to see this",IF(NOT(ISNUMBER(Used_Amount)),IF(Used_Amount="",IF(Amount="","Choose your amount to see this",""),Used_Amount),"")))</f>
        <v>Choose your return to see this</v>
      </c>
    </row>
    <row r="41" customFormat="false" ht="15" hidden="false" customHeight="true" outlineLevel="0" collapsed="false">
      <c r="B41" s="55" t="s">
        <v>963</v>
      </c>
      <c r="C41" s="55" t="str">
        <f aca="false">IF(Inflation_Choice="","Choose your inflation rate to see this",IF(Nominal_Return="","Choose your return to see this",""))</f>
        <v>Choose your inflation rate to see this</v>
      </c>
    </row>
  </sheetData>
  <mergeCells count="7">
    <mergeCell ref="B7:E7"/>
    <mergeCell ref="B10:E10"/>
    <mergeCell ref="B27:E27"/>
    <mergeCell ref="B30:E30"/>
    <mergeCell ref="B31:E31"/>
    <mergeCell ref="B32:E32"/>
    <mergeCell ref="B33:E33"/>
  </mergeCells>
  <dataValidations count="6">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5" type="decimal">
      <formula1>500</formula1>
      <formula2>5000000</formula2>
    </dataValidation>
    <dataValidation allowBlank="true" error="Please enter 0% to 10% · steps of 0.25%." errorStyle="stop" errorTitle="Outside the allowed range" operator="between" prompt="Generally the standard is 5% a year before charges and tax for a mixed fund (LifeMap standard, not a forecast). Choose what you want to use.  Allowed: 0% to 10% · steps of 0.25%." promptTitle="Return a year (before inflation)" showDropDown="false" showErrorMessage="true" showInputMessage="true" sqref="C16" type="decimal">
      <formula1>0</formula1>
      <formula2>0.1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3" t="s">
        <v>964</v>
      </c>
      <c r="E1" s="3" t="s">
        <v>965</v>
      </c>
    </row>
    <row r="2" customFormat="false" ht="15" hidden="false" customHeight="true" outlineLevel="0" collapsed="false">
      <c r="B2" s="24" t="s">
        <v>966</v>
      </c>
      <c r="E2" s="25"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6" t="s">
        <v>967</v>
      </c>
    </row>
    <row r="5" customFormat="false" ht="15" hidden="false" customHeight="true" outlineLevel="0" collapsed="false">
      <c r="B5" s="15" t="s">
        <v>563</v>
      </c>
      <c r="C5" s="27" t="s">
        <v>220</v>
      </c>
      <c r="D5" s="27" t="s">
        <v>221</v>
      </c>
      <c r="E5" s="27" t="s">
        <v>222</v>
      </c>
      <c r="F5" s="28" t="s">
        <v>223</v>
      </c>
      <c r="G5" s="16"/>
    </row>
    <row r="6" customFormat="false" ht="21.75" hidden="false" customHeight="true" outlineLevel="0" collapsed="false">
      <c r="B6" s="9" t="s">
        <v>564</v>
      </c>
      <c r="C6" s="37"/>
      <c r="D6" s="30" t="s">
        <v>236</v>
      </c>
      <c r="E6" s="38" t="s">
        <v>565</v>
      </c>
      <c r="F6" s="39" t="n">
        <v>0.02</v>
      </c>
      <c r="G6" s="40" t="str">
        <f aca="false">IF(ISBLANK(C6),IF(Fill_Example="Yes",F6,""),C6)</f>
        <v/>
      </c>
    </row>
    <row r="7" customFormat="false" ht="27.75" hidden="false" customHeight="true" outlineLevel="0" collapsed="false">
      <c r="B7" s="56" t="s">
        <v>566</v>
      </c>
      <c r="C7" s="56"/>
      <c r="D7" s="56"/>
      <c r="E7" s="56"/>
    </row>
    <row r="9" customFormat="false" ht="15" hidden="false" customHeight="true" outlineLevel="0" collapsed="false">
      <c r="B9" s="15" t="s">
        <v>309</v>
      </c>
      <c r="C9" s="16"/>
      <c r="D9" s="16"/>
      <c r="E9" s="16"/>
      <c r="F9" s="16"/>
      <c r="G9" s="16"/>
    </row>
    <row r="10" customFormat="false" ht="27.75" hidden="false" customHeight="true" outlineLevel="0" collapsed="false">
      <c r="B10" s="56" t="s">
        <v>636</v>
      </c>
      <c r="C10" s="56"/>
      <c r="D10" s="56"/>
      <c r="E10" s="56"/>
    </row>
    <row r="11" customFormat="false" ht="15" hidden="false" customHeight="true" outlineLevel="0" collapsed="false">
      <c r="B11" s="9" t="s">
        <v>968</v>
      </c>
      <c r="C11" s="57"/>
      <c r="D11" s="30" t="s">
        <v>225</v>
      </c>
      <c r="E11" s="31" t="s">
        <v>969</v>
      </c>
      <c r="G11" s="55" t="s">
        <v>313</v>
      </c>
    </row>
    <row r="12" customFormat="false" ht="15" hidden="false" customHeight="true" outlineLevel="0" collapsed="false">
      <c r="B12" s="9" t="s">
        <v>639</v>
      </c>
      <c r="C12" s="58"/>
      <c r="D12" s="30" t="s">
        <v>236</v>
      </c>
      <c r="E12" s="31" t="s">
        <v>640</v>
      </c>
      <c r="G12" s="55" t="s">
        <v>313</v>
      </c>
    </row>
    <row r="13" customFormat="false" ht="15" hidden="false" customHeight="true" outlineLevel="0" collapsed="false">
      <c r="B13" s="9" t="s">
        <v>320</v>
      </c>
      <c r="C13" s="60"/>
      <c r="D13" s="30" t="s">
        <v>321</v>
      </c>
      <c r="E13" s="31" t="s">
        <v>322</v>
      </c>
      <c r="G13" s="55" t="s">
        <v>313</v>
      </c>
    </row>
    <row r="15" customFormat="false" ht="15" hidden="false" customHeight="true" outlineLevel="0" collapsed="false">
      <c r="B15" s="15" t="s">
        <v>323</v>
      </c>
      <c r="C15" s="27" t="s">
        <v>220</v>
      </c>
      <c r="D15" s="27" t="s">
        <v>221</v>
      </c>
      <c r="E15" s="27" t="s">
        <v>222</v>
      </c>
      <c r="F15" s="28" t="s">
        <v>223</v>
      </c>
      <c r="G15" s="16"/>
    </row>
    <row r="16" customFormat="false" ht="15" hidden="false" customHeight="true" outlineLevel="0" collapsed="false">
      <c r="B16" s="9" t="s">
        <v>970</v>
      </c>
      <c r="C16" s="29"/>
      <c r="D16" s="30" t="s">
        <v>225</v>
      </c>
      <c r="E16" s="31" t="s">
        <v>971</v>
      </c>
      <c r="F16" s="32" t="n">
        <v>300</v>
      </c>
      <c r="G16" s="33" t="str">
        <f aca="false">IF(ISBLANK(C16),IF(Fill_Example="Yes",F16,""),C16)</f>
        <v/>
      </c>
    </row>
    <row r="17" customFormat="false" ht="15" hidden="false" customHeight="true" outlineLevel="0" collapsed="false">
      <c r="B17" s="9" t="s">
        <v>610</v>
      </c>
      <c r="C17" s="41"/>
      <c r="D17" s="30" t="s">
        <v>238</v>
      </c>
      <c r="E17" s="31" t="s">
        <v>611</v>
      </c>
      <c r="F17" s="42" t="n">
        <v>15</v>
      </c>
      <c r="G17" s="43" t="str">
        <f aca="false">IF(ISBLANK(C17),IF(Fill_Example="Yes",F17,""),C17)</f>
        <v/>
      </c>
    </row>
    <row r="18" customFormat="false" ht="21.75" hidden="false" customHeight="true" outlineLevel="0" collapsed="false">
      <c r="B18" s="9" t="s">
        <v>972</v>
      </c>
      <c r="C18" s="37"/>
      <c r="D18" s="30" t="s">
        <v>236</v>
      </c>
      <c r="E18" s="38" t="s">
        <v>609</v>
      </c>
      <c r="F18" s="39" t="n">
        <v>0.05</v>
      </c>
      <c r="G18" s="40" t="str">
        <f aca="false">IF(ISBLANK(C18),IF(Fill_Example="Yes",F18,""),C18)</f>
        <v/>
      </c>
    </row>
    <row r="19" customFormat="false" ht="21.75" hidden="false" customHeight="true" outlineLevel="0" collapsed="false">
      <c r="B19" s="9" t="s">
        <v>644</v>
      </c>
      <c r="C19" s="37"/>
      <c r="D19" s="30" t="s">
        <v>236</v>
      </c>
      <c r="E19" s="38"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9" s="39" t="n">
        <f aca="false">IF(ISNUMBER(Suggest_Fund_Charges),Suggest_Fund_Charges,"")</f>
        <v>0.01</v>
      </c>
      <c r="G19" s="40" t="str">
        <f aca="false">IF(ISBLANK(C19),IF(Fill_Example="Yes",F19,""),C19)</f>
        <v/>
      </c>
    </row>
    <row r="20" customFormat="false" ht="15" hidden="false" customHeight="true" outlineLevel="0" collapsed="false">
      <c r="B20" s="9" t="s">
        <v>647</v>
      </c>
      <c r="C20" s="34"/>
      <c r="D20" s="30" t="s">
        <v>232</v>
      </c>
      <c r="E20" s="31" t="s">
        <v>648</v>
      </c>
      <c r="F20" s="35" t="s">
        <v>3</v>
      </c>
      <c r="G20" s="36" t="str">
        <f aca="false">IF(ISBLANK(C20),F20,C20)</f>
        <v>No</v>
      </c>
    </row>
    <row r="22" customFormat="false" ht="15" hidden="false" customHeight="true" outlineLevel="0" collapsed="false">
      <c r="B22" s="15" t="s">
        <v>332</v>
      </c>
      <c r="C22" s="16"/>
      <c r="D22" s="16"/>
      <c r="E22" s="16"/>
      <c r="F22" s="16"/>
      <c r="G22" s="16"/>
    </row>
    <row r="23" customFormat="false" ht="15" hidden="false" customHeight="true" outlineLevel="0" collapsed="false">
      <c r="B23" s="9" t="s">
        <v>649</v>
      </c>
      <c r="C23" s="48" t="str">
        <f aca="false">IF(COUNTA(Stmt_Monthly_Invested,Stmt_Charges,Stmt_Statement_Date)&gt;0,"Yes","No")</f>
        <v>No</v>
      </c>
      <c r="D23" s="30"/>
      <c r="E23" s="45" t="s">
        <v>973</v>
      </c>
    </row>
    <row r="24" customFormat="false" ht="15" hidden="false" customHeight="true" outlineLevel="0" collapsed="false">
      <c r="B24" s="9" t="s">
        <v>970</v>
      </c>
      <c r="C24" s="61" t="str">
        <f aca="false">IF(ISBLANK(Stmt_Monthly_Invested),Monthly_Amount,Stmt_Monthly_Invested)</f>
        <v/>
      </c>
      <c r="D24" s="62" t="str">
        <f aca="false">IF(ISBLANK(Stmt_Monthly_Invested),"Your figure","From your statement")</f>
        <v>Your figure</v>
      </c>
      <c r="E24" s="52" t="s">
        <v>974</v>
      </c>
    </row>
    <row r="25" customFormat="false" ht="15" hidden="false" customHeight="true" outlineLevel="0" collapsed="false">
      <c r="B25" s="9" t="s">
        <v>644</v>
      </c>
      <c r="C25" s="63" t="str">
        <f aca="false">IF(NOT(ISBLANK(Stmt_Charges)),Stmt_Charges,IF(Statement_Uploaded="Yes",0,Yearly_Fees))</f>
        <v/>
      </c>
      <c r="D25" s="62" t="str">
        <f aca="false">IF(NOT(ISBLANK(Stmt_Charges)),"From your statement",IF(Statement_Uploaded="Yes","None shown on your statement","Your figure"))</f>
        <v>Your figure</v>
      </c>
      <c r="E25" s="52" t="s">
        <v>652</v>
      </c>
    </row>
    <row r="26" customFormat="false" ht="21.75" hidden="false" customHeight="true" outlineLevel="0" collapsed="false">
      <c r="B26" s="9" t="s">
        <v>338</v>
      </c>
      <c r="C26" s="48" t="str">
        <f aca="true">IF(ISBLANK(Stmt_Statement_Date),"",IF(TODAY()-Stmt_Statement_Date&gt;Statement_Max_Age_Days,"Needs a look: statement is more than 12 months old","Up to date"))</f>
        <v/>
      </c>
      <c r="D26" s="30"/>
      <c r="E26" s="45" t="s">
        <v>339</v>
      </c>
    </row>
    <row r="28" customFormat="false" ht="15" hidden="false" customHeight="true" outlineLevel="0" collapsed="false">
      <c r="B28" s="15" t="s">
        <v>245</v>
      </c>
      <c r="C28" s="27" t="s">
        <v>246</v>
      </c>
      <c r="D28" s="27" t="s">
        <v>247</v>
      </c>
      <c r="E28" s="27" t="s">
        <v>248</v>
      </c>
      <c r="F28" s="16"/>
      <c r="G28" s="16"/>
    </row>
    <row r="29" customFormat="false" ht="17.25" hidden="false" customHeight="true" outlineLevel="0" collapsed="false">
      <c r="B29" s="24" t="s">
        <v>975</v>
      </c>
      <c r="C29" s="44" t="str">
        <f aca="false">IF(Need_1&lt;&gt;"",Need_1,IF(Adjust_For_Inflation="Yes",Value_Today,Value_After_Fees))</f>
        <v>Choose your years to see this</v>
      </c>
      <c r="D29" s="30" t="s">
        <v>225</v>
      </c>
      <c r="E29" s="45" t="s">
        <v>976</v>
      </c>
    </row>
    <row r="30" customFormat="false" ht="15" hidden="false" customHeight="true" outlineLevel="0" collapsed="false">
      <c r="B30" s="9" t="s">
        <v>977</v>
      </c>
      <c r="C30" s="46" t="str">
        <f aca="false">IF(Need_1&lt;&gt;"",Need_1,FV((1+Growth_After_Fees)^(1/12)-1,Years*12,-Used_Monthly_Amount))</f>
        <v>Choose your years to see this</v>
      </c>
      <c r="D30" s="30" t="s">
        <v>225</v>
      </c>
      <c r="E30" s="45" t="s">
        <v>978</v>
      </c>
    </row>
    <row r="31" customFormat="false" ht="15" hidden="false" customHeight="true" outlineLevel="0" collapsed="false">
      <c r="B31" s="9" t="s">
        <v>979</v>
      </c>
      <c r="C31" s="46" t="str">
        <f aca="false">IF(Need_2&lt;&gt;"",Need_2,FV((1+Growth_Rate)^(1/12)-1,Years*12,-Used_Monthly_Amount))</f>
        <v>Choose your years to see this</v>
      </c>
      <c r="D31" s="30" t="s">
        <v>225</v>
      </c>
      <c r="E31" s="45" t="s">
        <v>980</v>
      </c>
    </row>
    <row r="32" customFormat="false" ht="17.25" hidden="false" customHeight="true" outlineLevel="0" collapsed="false">
      <c r="B32" s="24" t="s">
        <v>661</v>
      </c>
      <c r="C32" s="44" t="str">
        <f aca="false">IF(Need_1&lt;&gt;"",Need_1,Value_Before_Fees-Value_After_Fees)</f>
        <v>Choose your years to see this</v>
      </c>
      <c r="D32" s="30" t="s">
        <v>225</v>
      </c>
      <c r="E32" s="45" t="s">
        <v>981</v>
      </c>
    </row>
    <row r="33" customFormat="false" ht="15" hidden="false" customHeight="true" outlineLevel="0" collapsed="false">
      <c r="B33" s="9" t="s">
        <v>616</v>
      </c>
      <c r="C33" s="46" t="str">
        <f aca="false">IF(Need_3&lt;&gt;"",Need_3,Used_Monthly_Amount*12*Years)</f>
        <v>Choose your years to see this</v>
      </c>
      <c r="D33" s="30" t="s">
        <v>225</v>
      </c>
      <c r="E33" s="45" t="s">
        <v>982</v>
      </c>
    </row>
    <row r="34" customFormat="false" ht="15" hidden="false" customHeight="true" outlineLevel="0" collapsed="false">
      <c r="B34" s="9" t="s">
        <v>614</v>
      </c>
      <c r="C34" s="46" t="str">
        <f aca="false">IF(Need_4&lt;&gt;"",Need_4,IF(Inflation_Choice="","Choose your inflation rate to see this",Value_After_Fees/(1+Inflation_Choice)^Years))</f>
        <v>Choose your inflation rate to see this</v>
      </c>
      <c r="D34" s="30" t="s">
        <v>225</v>
      </c>
      <c r="E34" s="45" t="s">
        <v>983</v>
      </c>
    </row>
    <row r="35" customFormat="false" ht="15" hidden="false" customHeight="true" outlineLevel="0" collapsed="false">
      <c r="B35" s="9" t="s">
        <v>663</v>
      </c>
      <c r="C35" s="67" t="str">
        <f aca="false">IF(Need_5&lt;&gt;"",Need_5,(1+Growth_Rate)*(1-Used_Yearly_Fees)-1)</f>
        <v>Choose your growth rate to see this</v>
      </c>
      <c r="D35" s="30"/>
      <c r="E35" s="45" t="s">
        <v>664</v>
      </c>
    </row>
    <row r="36" customFormat="false" ht="15" hidden="false" customHeight="true" outlineLevel="0" collapsed="false">
      <c r="B36" s="9" t="s">
        <v>665</v>
      </c>
      <c r="C36" s="67" t="str">
        <f aca="false">IF(Need_6&lt;&gt;"",Need_6,IF(Inflation_Choice="","Choose your inflation rate to see this",(1+Growth_After_Fees)/(1+Inflation_Choice)-1))</f>
        <v>Choose your inflation rate to see this</v>
      </c>
      <c r="D36" s="30"/>
      <c r="E36" s="45" t="s">
        <v>666</v>
      </c>
    </row>
    <row r="37" customFormat="false" ht="15" hidden="false" customHeight="true" outlineLevel="0" collapsed="false">
      <c r="B37" s="71"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7" s="71"/>
      <c r="D37" s="71"/>
      <c r="E37" s="71"/>
    </row>
    <row r="39" customFormat="false" ht="15" hidden="false" customHeight="true" outlineLevel="0" collapsed="false">
      <c r="B39" s="15" t="s">
        <v>278</v>
      </c>
      <c r="C39" s="16"/>
      <c r="D39" s="16"/>
      <c r="E39" s="16"/>
      <c r="F39" s="16"/>
      <c r="G39" s="16"/>
    </row>
    <row r="40" customFormat="false" ht="27.75" hidden="false" customHeight="true" outlineLevel="0" collapsed="false">
      <c r="B40" s="49" t="s">
        <v>984</v>
      </c>
      <c r="C40" s="49"/>
      <c r="D40" s="49"/>
      <c r="E40" s="49"/>
    </row>
    <row r="41" customFormat="false" ht="13.5" hidden="false" customHeight="true" outlineLevel="0" collapsed="false">
      <c r="B41" s="49" t="s">
        <v>985</v>
      </c>
      <c r="C41" s="49"/>
      <c r="D41" s="49"/>
      <c r="E41" s="49"/>
    </row>
    <row r="42" customFormat="false" ht="13.5" hidden="false" customHeight="true" outlineLevel="0" collapsed="false">
      <c r="B42" s="50" t="s">
        <v>282</v>
      </c>
      <c r="C42" s="50"/>
      <c r="D42" s="50"/>
      <c r="E42" s="50"/>
    </row>
    <row r="43" customFormat="false" ht="13.5" hidden="false" customHeight="true" outlineLevel="0" collapsed="false">
      <c r="B43" s="49" t="s">
        <v>986</v>
      </c>
      <c r="C43" s="49"/>
      <c r="D43" s="49"/>
      <c r="E43" s="49"/>
    </row>
    <row r="45" customFormat="false" ht="15" hidden="false" customHeight="true" outlineLevel="0" collapsed="false">
      <c r="B45" s="15" t="s">
        <v>287</v>
      </c>
      <c r="C45" s="16"/>
      <c r="D45" s="16"/>
      <c r="E45" s="16"/>
      <c r="F45" s="16"/>
      <c r="G45" s="16"/>
    </row>
    <row r="46" customFormat="false" ht="15" hidden="false" customHeight="true" outlineLevel="0" collapsed="false">
      <c r="B46" s="9" t="s">
        <v>288</v>
      </c>
      <c r="C46" s="51" t="str">
        <f aca="false">"Grow my wealth (plan kind pot)"</f>
        <v>Grow my wealth (plan kind pot)</v>
      </c>
      <c r="E46" s="52" t="s">
        <v>624</v>
      </c>
    </row>
    <row r="47" customFormat="false" ht="15" hidden="false" customHeight="true" outlineLevel="0" collapsed="false">
      <c r="B47" s="9" t="s">
        <v>625</v>
      </c>
      <c r="C47" s="53" t="str">
        <f aca="false">IF(Need_1&lt;&gt;"",Need_1,IF(Inflation_Choice="","Choose an inflation rate first",ROUND(Value_Today,0)))</f>
        <v>Choose your years to see this</v>
      </c>
      <c r="E47" s="52" t="s">
        <v>626</v>
      </c>
    </row>
    <row r="48" customFormat="false" ht="15" hidden="false" customHeight="true" outlineLevel="0" collapsed="false">
      <c r="B48" s="9" t="s">
        <v>294</v>
      </c>
      <c r="C48" s="54" t="str">
        <f aca="false">IF(Need_7&lt;&gt;"",Need_7,Years)</f>
        <v>Choose your years to see this</v>
      </c>
      <c r="E48" s="52" t="s">
        <v>591</v>
      </c>
    </row>
    <row r="49" customFormat="false" ht="15" hidden="false" customHeight="true" outlineLevel="0" collapsed="false">
      <c r="B49" s="9" t="s">
        <v>592</v>
      </c>
      <c r="C49" s="72" t="str">
        <f aca="false">IF(Inflation_Choice="","Choose an inflation rate first",Inflation_Choice)</f>
        <v>Choose an inflation rate first</v>
      </c>
      <c r="E49" s="52" t="s">
        <v>593</v>
      </c>
    </row>
    <row r="50" customFormat="false" ht="13.5" hidden="false" customHeight="true" outlineLevel="0" collapsed="false">
      <c r="B50" s="56" t="s">
        <v>987</v>
      </c>
      <c r="C50" s="56"/>
      <c r="D50" s="56"/>
      <c r="E50" s="56"/>
    </row>
    <row r="52" customFormat="false" ht="15" hidden="false" customHeight="true" outlineLevel="0" collapsed="false">
      <c r="B52" s="15" t="s">
        <v>296</v>
      </c>
      <c r="C52" s="16"/>
      <c r="D52" s="16"/>
      <c r="E52" s="16"/>
      <c r="F52" s="16"/>
      <c r="G52" s="16"/>
    </row>
    <row r="53" customFormat="false" ht="15" hidden="false" customHeight="true" outlineLevel="0" collapsed="false">
      <c r="B53" s="55" t="s">
        <v>988</v>
      </c>
      <c r="C53" s="55" t="str">
        <f aca="false">IF(Years="","Choose your years to see this",IF(Growth_Rate="","Choose your growth rate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4" customFormat="false" ht="15" hidden="false" customHeight="true" outlineLevel="0" collapsed="false">
      <c r="B54" s="55" t="s">
        <v>989</v>
      </c>
      <c r="C54" s="55" t="str">
        <f aca="false">IF(Years="","Choose your years to see this",IF(Growth_Rate="","Choose your growth rate to see this",IF(NOT(ISNUMBER(Used_Monthly_Amount)),IF(Used_Monthly_Amount="",IF(Monthly_Amount="","Choose your monthly amount to see this",""),Used_Monthly_Amount),"")))</f>
        <v>Choose your years to see this</v>
      </c>
    </row>
    <row r="55" customFormat="false" ht="15" hidden="false" customHeight="true" outlineLevel="0" collapsed="false">
      <c r="B55" s="55" t="s">
        <v>990</v>
      </c>
      <c r="C55" s="55" t="str">
        <f aca="false">IF(Years="","Choose your years to see this",IF(NOT(ISNUMBER(Used_Monthly_Amount)),IF(Used_Monthly_Amount="",IF(Monthly_Amount="","Choose your monthly amount to see this",""),Used_Monthly_Amount),""))</f>
        <v>Choose your years to see this</v>
      </c>
    </row>
    <row r="56" customFormat="false" ht="15" hidden="false" customHeight="true" outlineLevel="0" collapsed="false">
      <c r="B56" s="55" t="s">
        <v>991</v>
      </c>
      <c r="C56" s="55" t="str">
        <f aca="false">IF(Inflation_Choice="","Choose your inflation rate to see this",IF(Years="","Choose your years to see this",IF(Growth_Rate="","Choose your growth rate to see this",IF(NOT(ISNUMBER(Used_Monthly_Amount)),IF(Used_Monthly_Amount="",IF(Monthly_Amount="","Choose your monthly amount to see this",""),Used_Monthly_Amount),IF(NOT(ISNUMBER(Used_Yearly_Fees)),IF(Used_Yearly_Fees="",IF(Yearly_Fees="","Choose your yearly fees to see this",""),Used_Yearly_Fees),"")))))</f>
        <v>Choose your inflation rate to see this</v>
      </c>
    </row>
    <row r="57" customFormat="false" ht="15" hidden="false" customHeight="true" outlineLevel="0" collapsed="false">
      <c r="B57" s="55" t="s">
        <v>676</v>
      </c>
      <c r="C57" s="55" t="str">
        <f aca="false">IF(Growth_Rate="","Choose your growth rate to see this",IF(NOT(ISNUMBER(Used_Yearly_Fees)),IF(Used_Yearly_Fees="",IF(Yearly_Fees="","Choose your yearly fees to see this",""),Used_Yearly_Fees),""))</f>
        <v>Choose your growth rate to see this</v>
      </c>
    </row>
    <row r="58" customFormat="false" ht="15" hidden="false" customHeight="true" outlineLevel="0" collapsed="false">
      <c r="B58" s="55" t="s">
        <v>677</v>
      </c>
      <c r="C58" s="55" t="str">
        <f aca="false">IF(Inflation_Choice="","Choose your inflation rate to see this",IF(Growth_Rate="","Choose your growth rate to see this",IF(NOT(ISNUMBER(Used_Yearly_Fees)),IF(Used_Yearly_Fees="",IF(Yearly_Fees="","Choose your yearly fees to see this",""),Used_Yearly_Fees),"")))</f>
        <v>Choose your inflation rate to see this</v>
      </c>
    </row>
    <row r="59" customFormat="false" ht="15" hidden="false" customHeight="true" outlineLevel="0" collapsed="false">
      <c r="B59" s="55" t="s">
        <v>631</v>
      </c>
      <c r="C59" s="55" t="str">
        <f aca="false">IF(Years="","Choose your years to see this","")</f>
        <v>Choose your years to see this</v>
      </c>
    </row>
  </sheetData>
  <mergeCells count="8">
    <mergeCell ref="B7:E7"/>
    <mergeCell ref="B10:E10"/>
    <mergeCell ref="B37:E37"/>
    <mergeCell ref="B40:E40"/>
    <mergeCell ref="B41:E41"/>
    <mergeCell ref="B42:E42"/>
    <mergeCell ref="B43:E43"/>
    <mergeCell ref="B50:E50"/>
  </mergeCells>
  <dataValidations count="9">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05%" promptTitle="Yearly fees" showDropDown="false" showErrorMessage="true" showInputMessage="true" sqref="C19" type="decimal">
      <formula1>0</formula1>
      <formula2>0.03</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a year (before fees)" showDropDown="false" showErrorMessage="true" showInputMessage="true" sqref="C18" type="decimal">
      <formula1>0</formula1>
      <formula2>0.08</formula2>
    </dataValidation>
    <dataValidation allowBlank="true" error="Please enter €0 to €1,000,000." errorStyle="stop" errorTitle="Outside the allowed range" operator="between" prompt="Unit: €. Allowed: €0 to €1,000,000." promptTitle="Monthly amount invested" showDropDown="false" showErrorMessage="true" showInputMessage="true" sqref="C11" type="decimal">
      <formula1>0</formula1>
      <formula2>1000000</formula2>
    </dataValidation>
    <dataValidation allowBlank="true" error="Please enter €25 to €50,000 · steps of €25." errorStyle="stop" errorTitle="Outside the allowed range" operator="between" prompt="Your own figure.  Allowed: €25 to €50,000 · steps of €25." promptTitle="Monthly amount" showDropDown="false" showErrorMessage="true" showInputMessage="true" sqref="C16" type="decimal">
      <formula1>25</formula1>
      <formula2>50000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3" t="s">
        <v>992</v>
      </c>
      <c r="E1" s="3" t="s">
        <v>993</v>
      </c>
    </row>
    <row r="2" customFormat="false" ht="15" hidden="false" customHeight="true" outlineLevel="0" collapsed="false">
      <c r="B2" s="24" t="s">
        <v>994</v>
      </c>
      <c r="E2" s="25"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6" t="s">
        <v>995</v>
      </c>
    </row>
    <row r="5" customFormat="false" ht="15" hidden="false" customHeight="true" outlineLevel="0" collapsed="false">
      <c r="B5" s="15" t="s">
        <v>309</v>
      </c>
      <c r="C5" s="16"/>
      <c r="D5" s="16"/>
      <c r="E5" s="16"/>
      <c r="F5" s="16"/>
      <c r="G5" s="16"/>
    </row>
    <row r="6" customFormat="false" ht="27.75" hidden="false" customHeight="true" outlineLevel="0" collapsed="false">
      <c r="B6" s="56" t="s">
        <v>636</v>
      </c>
      <c r="C6" s="56"/>
      <c r="D6" s="56"/>
      <c r="E6" s="56"/>
    </row>
    <row r="7" customFormat="false" ht="15" hidden="false" customHeight="true" outlineLevel="0" collapsed="false">
      <c r="B7" s="9" t="s">
        <v>637</v>
      </c>
      <c r="C7" s="57"/>
      <c r="D7" s="30" t="s">
        <v>225</v>
      </c>
      <c r="E7" s="31" t="s">
        <v>638</v>
      </c>
      <c r="G7" s="55" t="s">
        <v>313</v>
      </c>
    </row>
    <row r="8" customFormat="false" ht="15" hidden="false" customHeight="true" outlineLevel="0" collapsed="false">
      <c r="B8" s="9" t="s">
        <v>639</v>
      </c>
      <c r="C8" s="58"/>
      <c r="D8" s="30" t="s">
        <v>236</v>
      </c>
      <c r="E8" s="31" t="s">
        <v>640</v>
      </c>
      <c r="G8" s="55" t="s">
        <v>313</v>
      </c>
    </row>
    <row r="9" customFormat="false" ht="15" hidden="false" customHeight="true" outlineLevel="0" collapsed="false">
      <c r="B9" s="9" t="s">
        <v>320</v>
      </c>
      <c r="C9" s="60"/>
      <c r="D9" s="30" t="s">
        <v>321</v>
      </c>
      <c r="E9" s="31" t="s">
        <v>322</v>
      </c>
      <c r="G9" s="55" t="s">
        <v>313</v>
      </c>
    </row>
    <row r="11" customFormat="false" ht="15" hidden="false" customHeight="true" outlineLevel="0" collapsed="false">
      <c r="B11" s="15" t="s">
        <v>323</v>
      </c>
      <c r="C11" s="27" t="s">
        <v>220</v>
      </c>
      <c r="D11" s="27" t="s">
        <v>221</v>
      </c>
      <c r="E11" s="27" t="s">
        <v>222</v>
      </c>
      <c r="F11" s="28" t="s">
        <v>223</v>
      </c>
      <c r="G11" s="16"/>
    </row>
    <row r="12" customFormat="false" ht="21.75" hidden="false" customHeight="true" outlineLevel="0" collapsed="false">
      <c r="B12" s="9" t="s">
        <v>996</v>
      </c>
      <c r="C12" s="29"/>
      <c r="D12" s="30" t="s">
        <v>225</v>
      </c>
      <c r="E12" s="31" t="s">
        <v>997</v>
      </c>
      <c r="F12" s="32" t="n">
        <v>50000</v>
      </c>
      <c r="G12" s="33" t="str">
        <f aca="false">IF(ISBLANK(C12),IF(Fill_Example="Yes",F12,""),C12)</f>
        <v/>
      </c>
    </row>
    <row r="13" customFormat="false" ht="15" hidden="false" customHeight="true" outlineLevel="0" collapsed="false">
      <c r="B13" s="9" t="s">
        <v>610</v>
      </c>
      <c r="C13" s="41"/>
      <c r="D13" s="30" t="s">
        <v>238</v>
      </c>
      <c r="E13" s="31" t="s">
        <v>611</v>
      </c>
      <c r="F13" s="42" t="n">
        <v>20</v>
      </c>
      <c r="G13" s="43" t="str">
        <f aca="false">IF(ISBLANK(C13),IF(Fill_Example="Yes",F13,""),C13)</f>
        <v/>
      </c>
    </row>
    <row r="14" customFormat="false" ht="21.75" hidden="false" customHeight="true" outlineLevel="0" collapsed="false">
      <c r="B14" s="9" t="s">
        <v>972</v>
      </c>
      <c r="C14" s="37"/>
      <c r="D14" s="30" t="s">
        <v>236</v>
      </c>
      <c r="E14" s="38" t="s">
        <v>609</v>
      </c>
      <c r="F14" s="39" t="n">
        <v>0.05</v>
      </c>
      <c r="G14" s="40" t="str">
        <f aca="false">IF(ISBLANK(C14),IF(Fill_Example="Yes",F14,""),C14)</f>
        <v/>
      </c>
    </row>
    <row r="15" customFormat="false" ht="21.75" hidden="false" customHeight="true" outlineLevel="0" collapsed="false">
      <c r="B15" s="9" t="s">
        <v>998</v>
      </c>
      <c r="C15" s="37"/>
      <c r="D15" s="30" t="s">
        <v>236</v>
      </c>
      <c r="E15" s="38"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5" s="39" t="n">
        <f aca="false">IF(ISNUMBER(Suggest_Fund_Charges),Suggest_Fund_Charges,"")</f>
        <v>0.01</v>
      </c>
      <c r="G15" s="40" t="str">
        <f aca="false">IF(ISBLANK(C15),IF(Fill_Example="Yes",F15,""),C15)</f>
        <v/>
      </c>
    </row>
    <row r="16" customFormat="false" ht="21.75" hidden="false" customHeight="true" outlineLevel="0" collapsed="false">
      <c r="B16" s="9" t="s">
        <v>999</v>
      </c>
      <c r="C16" s="37"/>
      <c r="D16" s="30" t="s">
        <v>236</v>
      </c>
      <c r="E16" s="38"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6" s="39" t="n">
        <f aca="false">IF(ISNUMBER(Suggest_Fund_Charges),Suggest_Fund_Charges,"")</f>
        <v>0.01</v>
      </c>
      <c r="G16" s="40" t="str">
        <f aca="false">IF(ISBLANK(C16),IF(Fill_Example="Yes",F16,""),C16)</f>
        <v/>
      </c>
    </row>
    <row r="18" customFormat="false" ht="15" hidden="false" customHeight="true" outlineLevel="0" collapsed="false">
      <c r="B18" s="15" t="s">
        <v>332</v>
      </c>
      <c r="C18" s="16"/>
      <c r="D18" s="16"/>
      <c r="E18" s="16"/>
      <c r="F18" s="16"/>
      <c r="G18" s="16"/>
    </row>
    <row r="19" customFormat="false" ht="15" hidden="false" customHeight="true" outlineLevel="0" collapsed="false">
      <c r="B19" s="9" t="s">
        <v>649</v>
      </c>
      <c r="C19" s="48" t="str">
        <f aca="false">IF(COUNTA(Stmt_Total_Value,Stmt_Charges,Stmt_Statement_Date)&gt;0,"Yes","No")</f>
        <v>No</v>
      </c>
      <c r="D19" s="30"/>
      <c r="E19" s="45" t="s">
        <v>650</v>
      </c>
    </row>
    <row r="20" customFormat="false" ht="15" hidden="false" customHeight="true" outlineLevel="0" collapsed="false">
      <c r="B20" s="9" t="s">
        <v>996</v>
      </c>
      <c r="C20" s="61" t="str">
        <f aca="false">IF(ISBLANK(Stmt_Total_Value),Amount_Invested,Stmt_Total_Value)</f>
        <v/>
      </c>
      <c r="D20" s="62" t="str">
        <f aca="false">IF(ISBLANK(Stmt_Total_Value),"Your figure","From your statement")</f>
        <v>Your figure</v>
      </c>
      <c r="E20" s="52" t="s">
        <v>1000</v>
      </c>
    </row>
    <row r="21" customFormat="false" ht="15" hidden="false" customHeight="true" outlineLevel="0" collapsed="false">
      <c r="B21" s="9" t="s">
        <v>1001</v>
      </c>
      <c r="C21" s="63" t="str">
        <f aca="false">IF(NOT(ISBLANK(Stmt_Charges)),Stmt_Charges,IF(Statement_Uploaded="Yes",0,Fee_A))</f>
        <v/>
      </c>
      <c r="D21" s="62" t="str">
        <f aca="false">IF(NOT(ISBLANK(Stmt_Charges)),"From your statement",IF(Statement_Uploaded="Yes","None shown on your statement","Your figure"))</f>
        <v>Your figure</v>
      </c>
      <c r="E21" s="52" t="s">
        <v>1002</v>
      </c>
    </row>
    <row r="22" customFormat="false" ht="21.75" hidden="false" customHeight="true" outlineLevel="0" collapsed="false">
      <c r="B22" s="9" t="s">
        <v>338</v>
      </c>
      <c r="C22" s="48" t="str">
        <f aca="true">IF(ISBLANK(Stmt_Statement_Date),"",IF(TODAY()-Stmt_Statement_Date&gt;Statement_Max_Age_Days,"Needs a look: statement is more than 12 months old","Up to date"))</f>
        <v/>
      </c>
      <c r="D22" s="30"/>
      <c r="E22" s="45" t="s">
        <v>339</v>
      </c>
    </row>
    <row r="24" customFormat="false" ht="15" hidden="false" customHeight="true" outlineLevel="0" collapsed="false">
      <c r="B24" s="15" t="s">
        <v>245</v>
      </c>
      <c r="C24" s="27" t="s">
        <v>246</v>
      </c>
      <c r="D24" s="27" t="s">
        <v>247</v>
      </c>
      <c r="E24" s="27" t="s">
        <v>248</v>
      </c>
      <c r="F24" s="16"/>
      <c r="G24" s="16"/>
    </row>
    <row r="25" customFormat="false" ht="17.25" hidden="false" customHeight="true" outlineLevel="0" collapsed="false">
      <c r="B25" s="24" t="s">
        <v>1003</v>
      </c>
      <c r="C25" s="44" t="str">
        <f aca="false">IF(Need_1&lt;&gt;"",Need_1,ABS(Value_With_Fee_A-Value_With_Fee_B))</f>
        <v>Choose your years to see this</v>
      </c>
      <c r="D25" s="30" t="s">
        <v>225</v>
      </c>
      <c r="E25" s="45" t="s">
        <v>1004</v>
      </c>
    </row>
    <row r="26" customFormat="false" ht="17.25" hidden="false" customHeight="true" outlineLevel="0" collapsed="false">
      <c r="B26" s="24" t="s">
        <v>1005</v>
      </c>
      <c r="C26" s="44" t="str">
        <f aca="false">IF(Need_2&lt;&gt;"",Need_2,Used_Amount_Invested*((1+Growth_Rate)*(1-Used_Fee_A))^Years)</f>
        <v>Choose your years to see this</v>
      </c>
      <c r="D26" s="30" t="s">
        <v>225</v>
      </c>
      <c r="E26" s="45" t="s">
        <v>1006</v>
      </c>
    </row>
    <row r="27" customFormat="false" ht="17.25" hidden="false" customHeight="true" outlineLevel="0" collapsed="false">
      <c r="B27" s="24" t="s">
        <v>1007</v>
      </c>
      <c r="C27" s="44" t="str">
        <f aca="false">IF(Need_3&lt;&gt;"",Need_3,Used_Amount_Invested*((1+Growth_Rate)*(1-Fee_B))^Years)</f>
        <v>Choose your years to see this</v>
      </c>
      <c r="D27" s="30" t="s">
        <v>225</v>
      </c>
      <c r="E27" s="45" t="s">
        <v>1008</v>
      </c>
    </row>
    <row r="28" customFormat="false" ht="15" hidden="false" customHeight="true" outlineLevel="0" collapsed="false">
      <c r="B28" s="9" t="s">
        <v>1009</v>
      </c>
      <c r="C28" s="68" t="str">
        <f aca="false">IF(Need_4&lt;&gt;"",Need_4,ABS(Fee_B-Used_Fee_A))</f>
        <v>Choose your fee B to see this</v>
      </c>
      <c r="D28" s="30" t="s">
        <v>236</v>
      </c>
      <c r="E28" s="45" t="s">
        <v>1010</v>
      </c>
    </row>
    <row r="30" customFormat="false" ht="15" hidden="false" customHeight="true" outlineLevel="0" collapsed="false">
      <c r="B30" s="15" t="s">
        <v>278</v>
      </c>
      <c r="C30" s="16"/>
      <c r="D30" s="16"/>
      <c r="E30" s="16"/>
      <c r="F30" s="16"/>
      <c r="G30" s="16"/>
    </row>
    <row r="31" customFormat="false" ht="13.5" hidden="false" customHeight="true" outlineLevel="0" collapsed="false">
      <c r="B31" s="49" t="s">
        <v>1011</v>
      </c>
      <c r="C31" s="49"/>
      <c r="D31" s="49"/>
      <c r="E31" s="49"/>
    </row>
    <row r="32" customFormat="false" ht="13.5" hidden="false" customHeight="true" outlineLevel="0" collapsed="false">
      <c r="B32" s="50" t="s">
        <v>282</v>
      </c>
      <c r="C32" s="50"/>
      <c r="D32" s="50"/>
      <c r="E32" s="50"/>
    </row>
    <row r="33" customFormat="false" ht="13.5" hidden="false" customHeight="true" outlineLevel="0" collapsed="false">
      <c r="B33" s="49" t="s">
        <v>1012</v>
      </c>
      <c r="C33" s="49"/>
      <c r="D33" s="49"/>
      <c r="E33" s="49"/>
    </row>
    <row r="35" customFormat="false" ht="15" hidden="false" customHeight="true" outlineLevel="0" collapsed="false">
      <c r="B35" s="15" t="s">
        <v>287</v>
      </c>
      <c r="C35" s="16"/>
      <c r="D35" s="16"/>
      <c r="E35" s="16"/>
      <c r="F35" s="16"/>
      <c r="G35" s="16"/>
    </row>
    <row r="36" customFormat="false" ht="15" hidden="false" customHeight="true" outlineLevel="0" collapsed="false">
      <c r="B36" s="9" t="s">
        <v>288</v>
      </c>
      <c r="C36" s="51" t="str">
        <f aca="false">"No goal"</f>
        <v>No goal</v>
      </c>
      <c r="E36" s="52" t="s">
        <v>477</v>
      </c>
    </row>
    <row r="38" customFormat="false" ht="15" hidden="false" customHeight="true" outlineLevel="0" collapsed="false">
      <c r="B38" s="15" t="s">
        <v>296</v>
      </c>
      <c r="C38" s="16"/>
      <c r="D38" s="16"/>
      <c r="E38" s="16"/>
      <c r="F38" s="16"/>
      <c r="G38" s="16"/>
    </row>
    <row r="39" customFormat="false" ht="15" hidden="false" customHeight="true" outlineLevel="0" collapsed="false">
      <c r="B39" s="55" t="s">
        <v>1013</v>
      </c>
      <c r="C39" s="55" t="str">
        <f aca="false">IF(Years="","Choose your years to see this",IF(Growth_Rate="","Choose your growth rate to see this",IF(Fee_B="","Choose your fee B to see this",IF(NOT(ISNUMBER(Used_Amount_Invested)),IF(Used_Amount_Invested="",IF(Amount_Invested="","Choose your amount invested to see this",""),Used_Amount_Invested),IF(NOT(ISNUMBER(Used_Fee_A)),IF(Used_Fee_A="",IF(Fee_A="","Choose your fee A to see this",""),Used_Fee_A),"")))))</f>
        <v>Choose your years to see this</v>
      </c>
    </row>
    <row r="40" customFormat="false" ht="15" hidden="false" customHeight="true" outlineLevel="0" collapsed="false">
      <c r="B40" s="55" t="s">
        <v>1014</v>
      </c>
      <c r="C40" s="55" t="str">
        <f aca="false">IF(Years="","Choose your years to see this",IF(Growth_Rate="","Choose your growth rate to see this",IF(NOT(ISNUMBER(Used_Amount_Invested)),IF(Used_Amount_Invested="",IF(Amount_Invested="","Choose your amount invested to see this",""),Used_Amount_Invested),IF(NOT(ISNUMBER(Used_Fee_A)),IF(Used_Fee_A="",IF(Fee_A="","Choose your fee A to see this",""),Used_Fee_A),""))))</f>
        <v>Choose your years to see this</v>
      </c>
    </row>
    <row r="41" customFormat="false" ht="15" hidden="false" customHeight="true" outlineLevel="0" collapsed="false">
      <c r="B41" s="55" t="s">
        <v>1015</v>
      </c>
      <c r="C41" s="55" t="str">
        <f aca="false">IF(Years="","Choose your years to see this",IF(Growth_Rate="","Choose your growth rate to see this",IF(Fee_B="","Choose your fee B to see this",IF(NOT(ISNUMBER(Used_Amount_Invested)),IF(Used_Amount_Invested="",IF(Amount_Invested="","Choose your amount invested to see this",""),Used_Amount_Invested),""))))</f>
        <v>Choose your years to see this</v>
      </c>
    </row>
    <row r="42" customFormat="false" ht="15" hidden="false" customHeight="true" outlineLevel="0" collapsed="false">
      <c r="B42" s="55" t="s">
        <v>1016</v>
      </c>
      <c r="C42" s="55" t="str">
        <f aca="false">IF(Fee_B="","Choose your fee B to see this",IF(NOT(ISNUMBER(Used_Fee_A)),IF(Used_Fee_A="",IF(Fee_A="","Choose your fee A to see this",""),Used_Fee_A),""))</f>
        <v>Choose your fee B to see this</v>
      </c>
    </row>
  </sheetData>
  <mergeCells count="4">
    <mergeCell ref="B6:E6"/>
    <mergeCell ref="B31:E31"/>
    <mergeCell ref="B32:E32"/>
    <mergeCell ref="B33:E33"/>
  </mergeCells>
  <dataValidations count="8">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8"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a year (before fees)" showDropDown="false" showErrorMessage="true" showInputMessage="true" sqref="C14" type="decimal">
      <formula1>0</formula1>
      <formula2>0.08</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invested" showDropDown="false" showErrorMessage="true" showInputMessage="true" sqref="C12" type="decimal">
      <formula1>1000</formula1>
      <formula2>10000000</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1%" promptTitle="Fee A a year" showDropDown="false" showErrorMessage="true" showInputMessage="true" sqref="C15" type="decimal">
      <formula1>0</formula1>
      <formula2>0.03</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1%" promptTitle="Fee B a year" showDropDown="false" showErrorMessage="true" showInputMessage="true" sqref="C16" type="decimal">
      <formula1>0</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3" t="s">
        <v>1017</v>
      </c>
      <c r="E1" s="3" t="s">
        <v>1018</v>
      </c>
    </row>
    <row r="2" customFormat="false" ht="15" hidden="false" customHeight="true" outlineLevel="0" collapsed="false">
      <c r="B2" s="24" t="s">
        <v>1019</v>
      </c>
      <c r="E2" s="25"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6" t="s">
        <v>1020</v>
      </c>
    </row>
    <row r="5" customFormat="false" ht="15" hidden="false" customHeight="true" outlineLevel="0" collapsed="false">
      <c r="B5" s="15" t="s">
        <v>309</v>
      </c>
      <c r="C5" s="16"/>
      <c r="D5" s="16"/>
      <c r="E5" s="16"/>
      <c r="F5" s="16"/>
      <c r="G5" s="16"/>
    </row>
    <row r="6" customFormat="false" ht="27.75" hidden="false" customHeight="true" outlineLevel="0" collapsed="false">
      <c r="B6" s="56" t="s">
        <v>636</v>
      </c>
      <c r="C6" s="56"/>
      <c r="D6" s="56"/>
      <c r="E6" s="56"/>
    </row>
    <row r="7" customFormat="false" ht="15" hidden="false" customHeight="true" outlineLevel="0" collapsed="false">
      <c r="B7" s="9" t="s">
        <v>637</v>
      </c>
      <c r="C7" s="57"/>
      <c r="D7" s="30" t="s">
        <v>225</v>
      </c>
      <c r="E7" s="31" t="s">
        <v>638</v>
      </c>
      <c r="G7" s="55" t="s">
        <v>313</v>
      </c>
    </row>
    <row r="8" customFormat="false" ht="15" hidden="false" customHeight="true" outlineLevel="0" collapsed="false">
      <c r="B8" s="9" t="s">
        <v>1021</v>
      </c>
      <c r="C8" s="58"/>
      <c r="D8" s="30" t="s">
        <v>236</v>
      </c>
      <c r="E8" s="31" t="s">
        <v>1022</v>
      </c>
      <c r="G8" s="55" t="s">
        <v>313</v>
      </c>
    </row>
    <row r="9" customFormat="false" ht="15" hidden="false" customHeight="true" outlineLevel="0" collapsed="false">
      <c r="B9" s="9" t="s">
        <v>320</v>
      </c>
      <c r="C9" s="60"/>
      <c r="D9" s="30" t="s">
        <v>321</v>
      </c>
      <c r="E9" s="31" t="s">
        <v>322</v>
      </c>
      <c r="G9" s="55" t="s">
        <v>313</v>
      </c>
    </row>
    <row r="11" customFormat="false" ht="15" hidden="false" customHeight="true" outlineLevel="0" collapsed="false">
      <c r="B11" s="15" t="s">
        <v>323</v>
      </c>
      <c r="C11" s="27" t="s">
        <v>220</v>
      </c>
      <c r="D11" s="27" t="s">
        <v>221</v>
      </c>
      <c r="E11" s="27" t="s">
        <v>222</v>
      </c>
      <c r="F11" s="28" t="s">
        <v>223</v>
      </c>
      <c r="G11" s="16"/>
    </row>
    <row r="12" customFormat="false" ht="21.75" hidden="false" customHeight="true" outlineLevel="0" collapsed="false">
      <c r="B12" s="9" t="s">
        <v>641</v>
      </c>
      <c r="C12" s="29"/>
      <c r="D12" s="30" t="s">
        <v>225</v>
      </c>
      <c r="E12" s="31" t="s">
        <v>997</v>
      </c>
      <c r="F12" s="32" t="n">
        <v>20000</v>
      </c>
      <c r="G12" s="33" t="str">
        <f aca="false">IF(ISBLANK(C12),IF(Fill_Example="Yes",F12,""),C12)</f>
        <v/>
      </c>
    </row>
    <row r="13" customFormat="false" ht="15" hidden="false" customHeight="true" outlineLevel="0" collapsed="false">
      <c r="B13" s="9" t="s">
        <v>610</v>
      </c>
      <c r="C13" s="41"/>
      <c r="D13" s="30" t="s">
        <v>238</v>
      </c>
      <c r="E13" s="31" t="s">
        <v>242</v>
      </c>
      <c r="F13" s="42" t="n">
        <v>10</v>
      </c>
      <c r="G13" s="43" t="str">
        <f aca="false">IF(ISBLANK(C13),IF(Fill_Example="Yes",F13,""),C13)</f>
        <v/>
      </c>
    </row>
    <row r="14" customFormat="false" ht="21.75" hidden="false" customHeight="true" outlineLevel="0" collapsed="false">
      <c r="B14" s="9" t="s">
        <v>1023</v>
      </c>
      <c r="C14" s="41"/>
      <c r="D14" s="30" t="s">
        <v>1024</v>
      </c>
      <c r="E14" s="38" t="s">
        <v>1025</v>
      </c>
      <c r="F14" s="42" t="n">
        <v>2</v>
      </c>
      <c r="G14" s="43" t="str">
        <f aca="false">IF(ISBLANK(C14),IF(Fill_Example="Yes",F14,""),C14)</f>
        <v/>
      </c>
    </row>
    <row r="15" customFormat="false" ht="21.75" hidden="false" customHeight="true" outlineLevel="0" collapsed="false">
      <c r="B15" s="9" t="s">
        <v>1026</v>
      </c>
      <c r="C15" s="37"/>
      <c r="D15" s="30" t="s">
        <v>236</v>
      </c>
      <c r="E15" s="38" t="s">
        <v>1027</v>
      </c>
      <c r="F15" s="39" t="n">
        <v>0.02</v>
      </c>
      <c r="G15" s="40" t="str">
        <f aca="false">IF(ISBLANK(C15),IF(Fill_Example="Yes",F15,""),C15)</f>
        <v/>
      </c>
    </row>
    <row r="16" customFormat="false" ht="21.75" hidden="false" customHeight="true" outlineLevel="0" collapsed="false">
      <c r="B16" s="9" t="s">
        <v>1028</v>
      </c>
      <c r="C16" s="37"/>
      <c r="D16" s="30" t="s">
        <v>236</v>
      </c>
      <c r="E16" s="38" t="s">
        <v>1029</v>
      </c>
      <c r="F16" s="39" t="n">
        <v>0.04</v>
      </c>
      <c r="G16" s="40" t="str">
        <f aca="false">IF(ISBLANK(C16),IF(Fill_Example="Yes",F16,""),C16)</f>
        <v/>
      </c>
    </row>
    <row r="17" customFormat="false" ht="21.75" hidden="false" customHeight="true" outlineLevel="0" collapsed="false">
      <c r="B17" s="9" t="s">
        <v>1030</v>
      </c>
      <c r="C17" s="37"/>
      <c r="D17" s="30" t="s">
        <v>236</v>
      </c>
      <c r="E17" s="38" t="s">
        <v>1031</v>
      </c>
      <c r="F17" s="39" t="n">
        <v>0.06</v>
      </c>
      <c r="G17" s="40" t="str">
        <f aca="false">IF(ISBLANK(C17),IF(Fill_Example="Yes",F17,""),C17)</f>
        <v/>
      </c>
    </row>
    <row r="18" customFormat="false" ht="21.75" hidden="false" customHeight="true" outlineLevel="0" collapsed="false">
      <c r="B18" s="9" t="s">
        <v>1032</v>
      </c>
      <c r="C18" s="37"/>
      <c r="D18" s="30" t="s">
        <v>236</v>
      </c>
      <c r="E18" s="38" t="s">
        <v>1033</v>
      </c>
      <c r="F18" s="39" t="n">
        <v>0.05</v>
      </c>
      <c r="G18" s="40" t="str">
        <f aca="false">IF(ISBLANK(C18),IF(Fill_Example="Yes",F18,""),C18)</f>
        <v/>
      </c>
    </row>
    <row r="19" customFormat="false" ht="21.75" hidden="false" customHeight="true" outlineLevel="0" collapsed="false">
      <c r="B19" s="9" t="s">
        <v>1034</v>
      </c>
      <c r="C19" s="37"/>
      <c r="D19" s="30" t="s">
        <v>236</v>
      </c>
      <c r="E19" s="38" t="s">
        <v>1035</v>
      </c>
      <c r="F19" s="39" t="n">
        <v>0.1</v>
      </c>
      <c r="G19" s="40" t="str">
        <f aca="false">IF(ISBLANK(C19),IF(Fill_Example="Yes",F19,""),C19)</f>
        <v/>
      </c>
    </row>
    <row r="20" customFormat="false" ht="21.75" hidden="false" customHeight="true" outlineLevel="0" collapsed="false">
      <c r="B20" s="9" t="s">
        <v>1036</v>
      </c>
      <c r="C20" s="37"/>
      <c r="D20" s="30" t="s">
        <v>236</v>
      </c>
      <c r="E20" s="38" t="s">
        <v>1037</v>
      </c>
      <c r="F20" s="39" t="n">
        <v>0.16</v>
      </c>
      <c r="G20" s="40" t="str">
        <f aca="false">IF(ISBLANK(C20),IF(Fill_Example="Yes",F20,""),C20)</f>
        <v/>
      </c>
    </row>
    <row r="22" customFormat="false" ht="15" hidden="false" customHeight="true" outlineLevel="0" collapsed="false">
      <c r="B22" s="15" t="s">
        <v>332</v>
      </c>
      <c r="C22" s="16"/>
      <c r="D22" s="16"/>
      <c r="E22" s="16"/>
      <c r="F22" s="16"/>
      <c r="G22" s="16"/>
    </row>
    <row r="23" customFormat="false" ht="15" hidden="false" customHeight="true" outlineLevel="0" collapsed="false">
      <c r="B23" s="9" t="s">
        <v>641</v>
      </c>
      <c r="C23" s="61" t="str">
        <f aca="false">IF(ISBLANK(Stmt_Total_Value),Amount,Stmt_Total_Value)</f>
        <v/>
      </c>
      <c r="D23" s="62" t="str">
        <f aca="false">IF(ISBLANK(Stmt_Total_Value),"Your figure","From your statement")</f>
        <v>Your figure</v>
      </c>
      <c r="E23" s="52" t="s">
        <v>651</v>
      </c>
    </row>
    <row r="24" customFormat="false" ht="15" hidden="false" customHeight="true" outlineLevel="0" collapsed="false">
      <c r="B24" s="9" t="s">
        <v>1038</v>
      </c>
      <c r="C24" s="64" t="str">
        <f aca="false">IF(ISBLANK(Stmt_Shares_Pct),Style,IF(Stmt_Shares_Pct&gt;=Shares_For_Growth,3,IF(Stmt_Shares_Pct&gt;=Shares_For_Balanced,2,1)))</f>
        <v/>
      </c>
      <c r="D24" s="62" t="str">
        <f aca="false">IF(ISBLANK(Stmt_Shares_Pct),"Your figure","From your statement (holdings in shares)")</f>
        <v>Your figure</v>
      </c>
      <c r="E24" s="52" t="s">
        <v>1039</v>
      </c>
    </row>
    <row r="25" customFormat="false" ht="21.75" hidden="false" customHeight="true" outlineLevel="0" collapsed="false">
      <c r="B25" s="9" t="s">
        <v>338</v>
      </c>
      <c r="C25" s="48" t="str">
        <f aca="true">IF(ISBLANK(Stmt_Statement_Date),"",IF(TODAY()-Stmt_Statement_Date&gt;Statement_Max_Age_Days,"Needs a look: statement is more than 12 months old","Up to date"))</f>
        <v/>
      </c>
      <c r="D25" s="30"/>
      <c r="E25" s="45" t="s">
        <v>339</v>
      </c>
    </row>
    <row r="27" customFormat="false" ht="15" hidden="false" customHeight="true" outlineLevel="0" collapsed="false">
      <c r="B27" s="15" t="s">
        <v>245</v>
      </c>
      <c r="C27" s="27" t="s">
        <v>246</v>
      </c>
      <c r="D27" s="27" t="s">
        <v>247</v>
      </c>
      <c r="E27" s="27" t="s">
        <v>248</v>
      </c>
      <c r="F27" s="16"/>
      <c r="G27" s="16"/>
    </row>
    <row r="28" customFormat="false" ht="17.25" hidden="false" customHeight="true" outlineLevel="0" collapsed="false">
      <c r="B28" s="24" t="s">
        <v>1040</v>
      </c>
      <c r="C28" s="44" t="str">
        <f aca="false">IF(Need_1&lt;&gt;"",Need_1,Used_Amount*(1+Middle_Growth)^Years)</f>
        <v>Choose your years to see this</v>
      </c>
      <c r="D28" s="66" t="str">
        <f aca="false">IF(Need_1&lt;&gt;"",Need_1,Style_Name&amp;" · middle outcome")</f>
        <v>Choose your years to see this</v>
      </c>
      <c r="E28" s="45" t="s">
        <v>1041</v>
      </c>
    </row>
    <row r="29" customFormat="false" ht="17.25" hidden="false" customHeight="true" outlineLevel="0" collapsed="false">
      <c r="B29" s="24" t="s">
        <v>1042</v>
      </c>
      <c r="C29" s="44" t="str">
        <f aca="false">IF(Need_2&lt;&gt;"",Need_2,Used_Amount*(1+Middle_Growth-Spread)^Years)</f>
        <v>Choose your years to see this</v>
      </c>
      <c r="D29" s="30" t="s">
        <v>225</v>
      </c>
      <c r="E29" s="45" t="s">
        <v>1043</v>
      </c>
    </row>
    <row r="30" customFormat="false" ht="17.25" hidden="false" customHeight="true" outlineLevel="0" collapsed="false">
      <c r="B30" s="24" t="s">
        <v>1044</v>
      </c>
      <c r="C30" s="44" t="str">
        <f aca="false">IF(Need_2&lt;&gt;"",Need_2,Used_Amount*(1+Middle_Growth+Spread)^Years)</f>
        <v>Choose your years to see this</v>
      </c>
      <c r="D30" s="30" t="s">
        <v>225</v>
      </c>
      <c r="E30" s="45" t="s">
        <v>1045</v>
      </c>
    </row>
    <row r="31" customFormat="false" ht="15" hidden="false" customHeight="true" outlineLevel="0" collapsed="false">
      <c r="B31" s="9" t="s">
        <v>1046</v>
      </c>
      <c r="C31" s="68" t="str">
        <f aca="false">IF(Need_3&lt;&gt;"",Need_3,ROUND((Volatility*One_In_20_Z-Middle_Growth)*100,0)/100)</f>
        <v>Choose your cautious growth to see this</v>
      </c>
      <c r="D31" s="30" t="s">
        <v>236</v>
      </c>
      <c r="E31" s="45" t="s">
        <v>1047</v>
      </c>
    </row>
    <row r="32" customFormat="false" ht="15" hidden="false" customHeight="true" outlineLevel="0" collapsed="false">
      <c r="B32" s="9" t="s">
        <v>1038</v>
      </c>
      <c r="C32" s="48" t="str">
        <f aca="false">IF(Need_4&lt;&gt;"",Need_4,IF(OR(Used_Style&lt;1,Used_Style&gt;3,Used_Style&lt;&gt;INT(Used_Style)),"Choose 1, 2 or 3",INDEX(Risk_Names,Used_Style)))</f>
        <v>Choose your investment style to see this</v>
      </c>
      <c r="D32" s="30"/>
      <c r="E32" s="45" t="s">
        <v>1048</v>
      </c>
    </row>
    <row r="33" customFormat="false" ht="15" hidden="false" customHeight="true" outlineLevel="0" collapsed="false">
      <c r="B33" s="9" t="s">
        <v>1049</v>
      </c>
      <c r="C33" s="68" t="str">
        <f aca="false">IF(Need_5&lt;&gt;"",Need_5,CHOOSE(Used_Style,Mu_Cautious,Mu_Balanced,Mu_Growth))</f>
        <v>Choose your cautious growth to see this</v>
      </c>
      <c r="D33" s="30" t="s">
        <v>236</v>
      </c>
      <c r="E33" s="45" t="s">
        <v>1050</v>
      </c>
    </row>
    <row r="34" customFormat="false" ht="15" hidden="false" customHeight="true" outlineLevel="0" collapsed="false">
      <c r="B34" s="9" t="s">
        <v>1051</v>
      </c>
      <c r="C34" s="68" t="str">
        <f aca="false">IF(Need_6&lt;&gt;"",Need_6,CHOOSE(Used_Style,Vol_Cautious,Vol_Balanced,Vol_Growth))</f>
        <v>Choose your cautious volatility to see this</v>
      </c>
      <c r="D34" s="30" t="s">
        <v>236</v>
      </c>
      <c r="E34" s="45" t="s">
        <v>1052</v>
      </c>
    </row>
    <row r="35" customFormat="false" ht="15" hidden="false" customHeight="true" outlineLevel="0" collapsed="false">
      <c r="B35" s="9" t="s">
        <v>1053</v>
      </c>
      <c r="C35" s="67" t="str">
        <f aca="false">IF(Need_7&lt;&gt;"",Need_7,Volatility/SQRT(Years))</f>
        <v>Choose your years to see this</v>
      </c>
      <c r="D35" s="30"/>
      <c r="E35" s="45" t="s">
        <v>1054</v>
      </c>
    </row>
    <row r="37" customFormat="false" ht="15" hidden="false" customHeight="true" outlineLevel="0" collapsed="false">
      <c r="B37" s="15" t="s">
        <v>278</v>
      </c>
      <c r="C37" s="16"/>
      <c r="D37" s="16"/>
      <c r="E37" s="16"/>
      <c r="F37" s="16"/>
      <c r="G37" s="16"/>
    </row>
    <row r="38" customFormat="false" ht="27.75" hidden="false" customHeight="true" outlineLevel="0" collapsed="false">
      <c r="B38" s="49" t="s">
        <v>1055</v>
      </c>
      <c r="C38" s="49"/>
      <c r="D38" s="49"/>
      <c r="E38" s="49"/>
    </row>
    <row r="39" customFormat="false" ht="13.5" hidden="false" customHeight="true" outlineLevel="0" collapsed="false">
      <c r="B39" s="49" t="s">
        <v>1056</v>
      </c>
      <c r="C39" s="49"/>
      <c r="D39" s="49"/>
      <c r="E39" s="49"/>
    </row>
    <row r="40" customFormat="false" ht="13.5" hidden="false" customHeight="true" outlineLevel="0" collapsed="false">
      <c r="B40" s="50" t="s">
        <v>282</v>
      </c>
      <c r="C40" s="50"/>
      <c r="D40" s="50"/>
      <c r="E40" s="50"/>
    </row>
    <row r="41" customFormat="false" ht="13.5" hidden="false" customHeight="true" outlineLevel="0" collapsed="false">
      <c r="B41" s="49" t="s">
        <v>1057</v>
      </c>
      <c r="C41" s="49"/>
      <c r="D41" s="49"/>
      <c r="E41" s="49"/>
    </row>
    <row r="42" customFormat="false" ht="13.5" hidden="false" customHeight="true" outlineLevel="0" collapsed="false">
      <c r="B42" s="49" t="s">
        <v>1058</v>
      </c>
      <c r="C42" s="49"/>
      <c r="D42" s="49"/>
      <c r="E42" s="49"/>
    </row>
    <row r="44" customFormat="false" ht="15" hidden="false" customHeight="true" outlineLevel="0" collapsed="false">
      <c r="B44" s="15" t="s">
        <v>287</v>
      </c>
      <c r="C44" s="16"/>
      <c r="D44" s="16"/>
      <c r="E44" s="16"/>
      <c r="F44" s="16"/>
      <c r="G44" s="16"/>
    </row>
    <row r="45" customFormat="false" ht="15" hidden="false" customHeight="true" outlineLevel="0" collapsed="false">
      <c r="B45" s="9" t="s">
        <v>288</v>
      </c>
      <c r="C45" s="51" t="str">
        <f aca="false">"No goal"</f>
        <v>No goal</v>
      </c>
      <c r="E45" s="52" t="s">
        <v>477</v>
      </c>
    </row>
    <row r="47" customFormat="false" ht="15" hidden="false" customHeight="true" outlineLevel="0" collapsed="false">
      <c r="B47" s="15" t="s">
        <v>296</v>
      </c>
      <c r="C47" s="16"/>
      <c r="D47" s="16"/>
      <c r="E47" s="16"/>
      <c r="F47" s="16"/>
      <c r="G47" s="16"/>
    </row>
    <row r="48" customFormat="false" ht="15" hidden="false" customHeight="true" outlineLevel="0" collapsed="false">
      <c r="B48" s="55" t="s">
        <v>1059</v>
      </c>
      <c r="C48" s="55" t="str">
        <f aca="false">IF(Years="","Choose your years to see this",IF(Mu_Cautious="","Choose your cautious growth to see this",IF(Mu_Balanced="","Choose your balanced growth to see this",IF(Mu_Growth="","Choose your growth-style growth to see this",IF(NOT(ISNUMBER(Used_Amount)),IF(Used_Amount="",IF(Amount="","Choose your amount to see this",""),Used_Amount),IF(NOT(ISNUMBER(Used_Style)),IF(Used_Style="",IF(Style="","Choose your investment style to see this",""),Used_Style),""))))))</f>
        <v>Choose your years to see this</v>
      </c>
    </row>
    <row r="49" customFormat="false" ht="15" hidden="false" customHeight="true" outlineLevel="0" collapsed="false">
      <c r="B49" s="55" t="s">
        <v>1060</v>
      </c>
      <c r="C49" s="55" t="str">
        <f aca="false">IF(Years="","Choose your years to see this",IF(Mu_Cautious="","Choose your cautious growth to see this",IF(Mu_Balanced="","Choose your balanced growth to see this",IF(Mu_Growth="","Choose your growth-style growth to see this",IF(Vol_Cautious="","Choose your cautious volatility to see this",IF(Vol_Balanced="","Choose your balanced volatility to see this",IF(Vol_Growth="","Choose your growth-style volatility to see this",IF(NOT(ISNUMBER(Used_Amount)),IF(Used_Amount="",IF(Amount="","Choose your amount to see this",""),Used_Amount),IF(NOT(ISNUMBER(Used_Style)),IF(Used_Style="",IF(Style="","Choose your investment style to see this",""),Used_Style),"")))))))))</f>
        <v>Choose your years to see this</v>
      </c>
    </row>
    <row r="50" customFormat="false" ht="15" hidden="false" customHeight="true" outlineLevel="0" collapsed="false">
      <c r="B50" s="55" t="s">
        <v>1061</v>
      </c>
      <c r="C50" s="55" t="str">
        <f aca="false">IF(Mu_Cautious="","Choose your cautious growth to see this",IF(Mu_Balanced="","Choose your balanced growth to see this",IF(Mu_Growth="","Choose your growth-style growth to see this",IF(Vol_Cautious="","Choose your cautious volatility to see this",IF(Vol_Balanced="","Choose your balanced volatility to see this",IF(Vol_Growth="","Choose your growth-style volatility to see this",IF(NOT(ISNUMBER(Used_Style)),IF(Used_Style="",IF(Style="","Choose your investment style to see this",""),Used_Style),"")))))))</f>
        <v>Choose your cautious growth to see this</v>
      </c>
    </row>
    <row r="51" customFormat="false" ht="15" hidden="false" customHeight="true" outlineLevel="0" collapsed="false">
      <c r="B51" s="55" t="s">
        <v>1062</v>
      </c>
      <c r="C51" s="55" t="str">
        <f aca="false">IF(NOT(ISNUMBER(Used_Style)),IF(Used_Style="",IF(Style="","Choose your investment style to see this",""),Used_Style),"")</f>
        <v>Choose your investment style to see this</v>
      </c>
    </row>
    <row r="52" customFormat="false" ht="15" hidden="false" customHeight="true" outlineLevel="0" collapsed="false">
      <c r="B52" s="55" t="s">
        <v>1063</v>
      </c>
      <c r="C52" s="55" t="str">
        <f aca="false">IF(Mu_Cautious="","Choose your cautious growth to see this",IF(Mu_Balanced="","Choose your balanced growth to see this",IF(Mu_Growth="","Choose your growth-style growth to see this",IF(NOT(ISNUMBER(Used_Style)),IF(Used_Style="",IF(Style="","Choose your investment style to see this",""),Used_Style),""))))</f>
        <v>Choose your cautious growth to see this</v>
      </c>
    </row>
    <row r="53" customFormat="false" ht="15" hidden="false" customHeight="true" outlineLevel="0" collapsed="false">
      <c r="B53" s="55" t="s">
        <v>1064</v>
      </c>
      <c r="C53" s="55" t="str">
        <f aca="false">IF(Vol_Cautious="","Choose your cautious volatility to see this",IF(Vol_Balanced="","Choose your balanced volatility to see this",IF(Vol_Growth="","Choose your growth-style volatility to see this",IF(NOT(ISNUMBER(Used_Style)),IF(Used_Style="",IF(Style="","Choose your investment style to see this",""),Used_Style),""))))</f>
        <v>Choose your cautious volatility to see this</v>
      </c>
    </row>
    <row r="54" customFormat="false" ht="15" hidden="false" customHeight="true" outlineLevel="0" collapsed="false">
      <c r="B54" s="55" t="s">
        <v>1065</v>
      </c>
      <c r="C54" s="55" t="str">
        <f aca="false">IF(Years="","Choose your years to see this",IF(Vol_Cautious="","Choose your cautious volatility to see this",IF(Vol_Balanced="","Choose your balanced volatility to see this",IF(Vol_Growth="","Choose your growth-style volatility to see this",IF(NOT(ISNUMBER(Used_Style)),IF(Used_Style="",IF(Style="","Choose your investment style to see this",""),Used_Style),"")))))</f>
        <v>Choose your years to see this</v>
      </c>
    </row>
    <row r="56" customFormat="false" ht="15" hidden="false" customHeight="true" outlineLevel="0" collapsed="false">
      <c r="B56" s="22" t="s">
        <v>1066</v>
      </c>
    </row>
  </sheetData>
  <mergeCells count="6">
    <mergeCell ref="B6:E6"/>
    <mergeCell ref="B38:E38"/>
    <mergeCell ref="B39:E39"/>
    <mergeCell ref="B40:E40"/>
    <mergeCell ref="B41:E41"/>
    <mergeCell ref="B42:E42"/>
  </mergeCells>
  <dataValidations count="12">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100%." errorStyle="stop" errorTitle="Outside the allowed range" operator="between" prompt="Unit: %. Allowed: 0% to 100%." promptTitle="Holdings in shares % (if shown)" showDropDown="false" showErrorMessage="true" showInputMessage="true" sqref="C8" type="decimal">
      <formula1>0</formula1>
      <formula2>1</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showDropDown="false" showErrorMessage="true" showInputMessage="true" sqref="C12" type="decimal">
      <formula1>1000</formula1>
      <formula2>10000000</formula2>
    </dataValidation>
    <dataValidation allowBlank="true" error="Please enter 1 to 30 · steps of 1." errorStyle="stop" errorTitle="Outside the allowed range" operator="between" prompt="Your own figure.  Allowed: 1 to 30 · steps of 1." promptTitle="Years" showDropDown="false" showErrorMessage="true" showInputMessage="true" sqref="C13" type="whole">
      <formula1>1</formula1>
      <formula2>30</formula2>
    </dataValidation>
    <dataValidation allowBlank="true" error="Please enter 1 or 2 or 3." errorStyle="stop" errorTitle="Outside the allowed range" operator="between" prompt="Generally the standard is 2 Balanced (an adviser checks your attitude to risk). Choose what you want to use.  Allowed: 1 or 2 or 3." promptTitle="Style: 1 Cautious · 2 Balanced ·" showDropDown="false" showErrorMessage="true" showInputMessage="true" sqref="C14" type="list">
      <formula1>"1,2,3"</formula1>
      <formula2>0</formula2>
    </dataValidation>
    <dataValidation allowBlank="true" error="Please enter 0% to 8% · steps of 0.5%." errorStyle="stop" errorTitle="Outside the allowed range" operator="between" prompt="Generally the standard is 2% a year for Cautious (illustration). Choose what you want to use.  Allowed: 0% to 8% · steps of 0.5%." promptTitle="Cautious: middle growth a year" showDropDown="false" showErrorMessage="true" showInputMessage="true" sqref="C15" type="decimal">
      <formula1>0</formula1>
      <formula2>0.08</formula2>
    </dataValidation>
    <dataValidation allowBlank="true" error="Please enter 0% to 8% · steps of 0.5%." errorStyle="stop" errorTitle="Outside the allowed range" operator="between" prompt="Generally the standard is 4% a year for Balanced (illustration). Choose what you want to use.  Allowed: 0% to 8% · steps of 0.5%." promptTitle="Balanced: middle growth a year" showDropDown="false" showErrorMessage="true" showInputMessage="true" sqref="C16" type="decimal">
      <formula1>0</formula1>
      <formula2>0.08</formula2>
    </dataValidation>
    <dataValidation allowBlank="true" error="Please enter 0% to 8% · steps of 0.5%." errorStyle="stop" errorTitle="Outside the allowed range" operator="between" prompt="Generally the standard is 6% a year for Growth (illustration). Choose what you want to use.  Allowed: 0% to 8% · steps of 0.5%." promptTitle="Growth: middle growth a year" showDropDown="false" showErrorMessage="true" showInputMessage="true" sqref="C17" type="decimal">
      <formula1>0</formula1>
      <formula2>0.08</formula2>
    </dataValidation>
    <dataValidation allowBlank="true" error="Please enter 0% to 25% · steps of 0.5%." errorStyle="stop" errorTitle="Outside the allowed range" operator="between" prompt="Generally the standard is 5% a year for Cautious (illustration). Choose what you want to use.  Allowed: 0% to 25% · steps of 0.5%." promptTitle="Cautious: volatility a year" showDropDown="false" showErrorMessage="true" showInputMessage="true" sqref="C18" type="decimal">
      <formula1>0</formula1>
      <formula2>0.25</formula2>
    </dataValidation>
    <dataValidation allowBlank="true" error="Please enter 0% to 25% · steps of 0.5%." errorStyle="stop" errorTitle="Outside the allowed range" operator="between" prompt="Generally the standard is 10% a year for Balanced (illustration). Choose what you want to use.  Allowed: 0% to 25% · steps of 0.5%." promptTitle="Balanced: volatility a year" showDropDown="false" showErrorMessage="true" showInputMessage="true" sqref="C19" type="decimal">
      <formula1>0</formula1>
      <formula2>0.25</formula2>
    </dataValidation>
    <dataValidation allowBlank="true" error="Please enter 0% to 25% · steps of 0.5%." errorStyle="stop" errorTitle="Outside the allowed range" operator="between" prompt="Generally the standard is 16% a year for Growth (illustration). Choose what you want to use.  Allowed: 0% to 25% · steps of 0.5%." promptTitle="Growth: volatility a year" showDropDown="false" showErrorMessage="true" showInputMessage="true" sqref="C20" type="decimal">
      <formula1>0</formula1>
      <formula2>0.25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3" t="s">
        <v>1067</v>
      </c>
      <c r="E1" s="3" t="s">
        <v>1068</v>
      </c>
    </row>
    <row r="2" customFormat="false" ht="15" hidden="false" customHeight="true" outlineLevel="0" collapsed="false">
      <c r="B2" s="24" t="s">
        <v>1069</v>
      </c>
      <c r="E2" s="25"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6" t="s">
        <v>1070</v>
      </c>
    </row>
    <row r="5" customFormat="false" ht="15" hidden="false" customHeight="true" outlineLevel="0" collapsed="false">
      <c r="B5" s="15" t="s">
        <v>309</v>
      </c>
      <c r="C5" s="16"/>
      <c r="D5" s="16"/>
      <c r="E5" s="16"/>
      <c r="F5" s="16"/>
      <c r="G5" s="16"/>
    </row>
    <row r="6" customFormat="false" ht="27.75" hidden="false" customHeight="true" outlineLevel="0" collapsed="false">
      <c r="B6" s="56" t="s">
        <v>310</v>
      </c>
      <c r="C6" s="56"/>
      <c r="D6" s="56"/>
      <c r="E6" s="56"/>
    </row>
    <row r="7" customFormat="false" ht="15" hidden="false" customHeight="true" outlineLevel="0" collapsed="false">
      <c r="B7" s="9" t="s">
        <v>311</v>
      </c>
      <c r="C7" s="57"/>
      <c r="D7" s="30" t="s">
        <v>225</v>
      </c>
      <c r="E7" s="31" t="s">
        <v>312</v>
      </c>
      <c r="G7" s="55" t="s">
        <v>313</v>
      </c>
    </row>
    <row r="8" customFormat="false" ht="15" hidden="false" customHeight="true" outlineLevel="0" collapsed="false">
      <c r="B8" s="9" t="s">
        <v>320</v>
      </c>
      <c r="C8" s="60"/>
      <c r="D8" s="30" t="s">
        <v>321</v>
      </c>
      <c r="E8" s="31" t="s">
        <v>322</v>
      </c>
      <c r="G8" s="55" t="s">
        <v>313</v>
      </c>
    </row>
    <row r="10" customFormat="false" ht="15" hidden="false" customHeight="true" outlineLevel="0" collapsed="false">
      <c r="B10" s="15" t="s">
        <v>323</v>
      </c>
      <c r="C10" s="27" t="s">
        <v>220</v>
      </c>
      <c r="D10" s="27" t="s">
        <v>221</v>
      </c>
      <c r="E10" s="27" t="s">
        <v>222</v>
      </c>
      <c r="F10" s="28" t="s">
        <v>223</v>
      </c>
      <c r="G10" s="16"/>
    </row>
    <row r="11" customFormat="false" ht="21.75" hidden="false" customHeight="true" outlineLevel="0" collapsed="false">
      <c r="B11" s="9" t="s">
        <v>224</v>
      </c>
      <c r="C11" s="29"/>
      <c r="D11" s="30" t="s">
        <v>225</v>
      </c>
      <c r="E11" s="31" t="s">
        <v>1071</v>
      </c>
      <c r="F11" s="32" t="n">
        <v>60000</v>
      </c>
      <c r="G11" s="33" t="str">
        <f aca="false">IF(ISBLANK(C11),IF(Fill_Example="Yes",F11,""),C11)</f>
        <v/>
      </c>
    </row>
    <row r="12" customFormat="false" ht="21.75" hidden="false" customHeight="true" outlineLevel="0" collapsed="false">
      <c r="B12" s="9" t="s">
        <v>1072</v>
      </c>
      <c r="C12" s="41"/>
      <c r="D12" s="30" t="s">
        <v>238</v>
      </c>
      <c r="E12" s="38" t="s">
        <v>1073</v>
      </c>
      <c r="F12" s="42" t="n">
        <v>15</v>
      </c>
      <c r="G12" s="43" t="str">
        <f aca="false">IF(ISBLANK(C12),IF(Fill_Example="Yes",F12,""),C12)</f>
        <v/>
      </c>
    </row>
    <row r="13" customFormat="false" ht="21.75" hidden="false" customHeight="true" outlineLevel="0" collapsed="false">
      <c r="B13" s="9" t="s">
        <v>1074</v>
      </c>
      <c r="C13" s="37"/>
      <c r="D13" s="30" t="s">
        <v>236</v>
      </c>
      <c r="E13" s="38" t="s">
        <v>1075</v>
      </c>
      <c r="F13" s="39" t="n">
        <v>0.6</v>
      </c>
      <c r="G13" s="40" t="str">
        <f aca="false">IF(ISBLANK(C13),IF(Fill_Example="Yes",F13,""),C13)</f>
        <v/>
      </c>
    </row>
    <row r="14" customFormat="false" ht="21.75" hidden="false" customHeight="true" outlineLevel="0" collapsed="false">
      <c r="B14" s="9" t="s">
        <v>416</v>
      </c>
      <c r="C14" s="29"/>
      <c r="D14" s="30" t="s">
        <v>225</v>
      </c>
      <c r="E14" s="31" t="s">
        <v>1076</v>
      </c>
      <c r="F14" s="32" t="n">
        <v>250000</v>
      </c>
      <c r="G14" s="33" t="str">
        <f aca="false">IF(ISBLANK(C14),IF(Fill_Example="Yes",F14,""),C14)</f>
        <v/>
      </c>
    </row>
    <row r="15" customFormat="false" ht="15" hidden="false" customHeight="true" outlineLevel="0" collapsed="false">
      <c r="B15" s="9" t="s">
        <v>1077</v>
      </c>
      <c r="C15" s="34"/>
      <c r="D15" s="30" t="s">
        <v>232</v>
      </c>
      <c r="E15" s="31" t="s">
        <v>1078</v>
      </c>
      <c r="F15" s="35" t="s">
        <v>234</v>
      </c>
      <c r="G15" s="36" t="str">
        <f aca="false">IF(ISBLANK(C15),IF(Fill_Example="Yes",F15,""),C15)</f>
        <v/>
      </c>
    </row>
    <row r="16" customFormat="false" ht="21.75" hidden="false" customHeight="true" outlineLevel="0" collapsed="false">
      <c r="B16" s="9" t="s">
        <v>1079</v>
      </c>
      <c r="C16" s="29"/>
      <c r="D16" s="30" t="s">
        <v>225</v>
      </c>
      <c r="E16" s="31" t="s">
        <v>1080</v>
      </c>
      <c r="F16" s="32" t="n">
        <v>10000</v>
      </c>
      <c r="G16" s="33" t="str">
        <f aca="false">IF(ISBLANK(C16),IF(Debts_Listed_Total&gt;0,Debts_Listed_Total,IF(Fill_Example="Yes",F16,"")),C16)</f>
        <v/>
      </c>
    </row>
    <row r="17" customFormat="false" ht="21.75" hidden="false" customHeight="true" outlineLevel="0" collapsed="false">
      <c r="B17" s="9" t="s">
        <v>1081</v>
      </c>
      <c r="C17" s="29"/>
      <c r="D17" s="30" t="s">
        <v>225</v>
      </c>
      <c r="E17" s="31" t="s">
        <v>1082</v>
      </c>
      <c r="F17" s="32" t="n">
        <v>20000</v>
      </c>
      <c r="G17" s="33" t="str">
        <f aca="false">IF(ISBLANK(C17),IF(Fill_Example="Yes",F17,""),C17)</f>
        <v/>
      </c>
    </row>
    <row r="18" customFormat="false" ht="15" hidden="false" customHeight="true" outlineLevel="0" collapsed="false">
      <c r="B18" s="9" t="s">
        <v>1083</v>
      </c>
      <c r="C18" s="29"/>
      <c r="D18" s="30" t="s">
        <v>225</v>
      </c>
      <c r="E18" s="31" t="s">
        <v>1084</v>
      </c>
      <c r="F18" s="32" t="n">
        <v>100000</v>
      </c>
      <c r="G18" s="33" t="str">
        <f aca="false">IF(ISBLANK(C18),IF(Cover_Existing_Total&gt;0,Cover_Existing_Total,IF(Fill_Example="Yes",F18,"")),C18)</f>
        <v/>
      </c>
    </row>
    <row r="19" customFormat="false" ht="33" hidden="false" customHeight="true" outlineLevel="0" collapsed="false">
      <c r="B19" s="9" t="s">
        <v>1085</v>
      </c>
      <c r="C19" s="85"/>
      <c r="D19" s="30" t="s">
        <v>1086</v>
      </c>
      <c r="E19" s="38" t="s">
        <v>1087</v>
      </c>
      <c r="F19" s="86" t="n">
        <f aca="false">Survivor_Pension_Week</f>
        <v>259.5</v>
      </c>
      <c r="G19" s="87" t="str">
        <f aca="false">IF(ISBLANK(C19),IF(Fill_Example="Yes",F19,""),C19)</f>
        <v/>
      </c>
    </row>
    <row r="21" customFormat="false" ht="15" hidden="false" customHeight="true" outlineLevel="0" collapsed="false">
      <c r="B21" s="15" t="s">
        <v>332</v>
      </c>
      <c r="C21" s="16"/>
      <c r="D21" s="16"/>
      <c r="E21" s="16"/>
      <c r="F21" s="16"/>
      <c r="G21" s="16"/>
    </row>
    <row r="22" customFormat="false" ht="15" hidden="false" customHeight="true" outlineLevel="0" collapsed="false">
      <c r="B22" s="9" t="s">
        <v>416</v>
      </c>
      <c r="C22" s="61" t="str">
        <f aca="false">IF(ISBLANK(Stmt_Balance),Mortgage_Balance,Stmt_Balance)</f>
        <v/>
      </c>
      <c r="D22" s="62" t="str">
        <f aca="false">IF(ISBLANK(Stmt_Balance),"Your figure","From your statement")</f>
        <v>Your figure</v>
      </c>
      <c r="E22" s="52" t="s">
        <v>422</v>
      </c>
    </row>
    <row r="23" customFormat="false" ht="21.75" hidden="false" customHeight="true" outlineLevel="0" collapsed="false">
      <c r="B23" s="9" t="s">
        <v>338</v>
      </c>
      <c r="C23" s="48" t="str">
        <f aca="true">IF(ISBLANK(Stmt_Statement_Date),"",IF(TODAY()-Stmt_Statement_Date&gt;Statement_Max_Age_Days,"Needs a look: statement is more than 12 months old","Up to date"))</f>
        <v/>
      </c>
      <c r="D23" s="30"/>
      <c r="E23" s="45" t="s">
        <v>339</v>
      </c>
    </row>
    <row r="25" customFormat="false" ht="15" hidden="false" customHeight="true" outlineLevel="0" collapsed="false">
      <c r="B25" s="15" t="s">
        <v>245</v>
      </c>
      <c r="C25" s="27" t="s">
        <v>246</v>
      </c>
      <c r="D25" s="27" t="s">
        <v>247</v>
      </c>
      <c r="E25" s="27" t="s">
        <v>248</v>
      </c>
      <c r="F25" s="16"/>
      <c r="G25" s="16"/>
    </row>
    <row r="26" customFormat="false" ht="17.25" hidden="false" customHeight="true" outlineLevel="0" collapsed="false">
      <c r="B26" s="24" t="s">
        <v>1088</v>
      </c>
      <c r="C26" s="44" t="str">
        <f aca="false">IF(Need_1&lt;&gt;"",Need_1,MAX(0,Income_Need+Debts_To_Clear-Already_Have))</f>
        <v>Choose your gross yearly income to see this</v>
      </c>
      <c r="D26" s="30" t="s">
        <v>225</v>
      </c>
      <c r="E26" s="45" t="s">
        <v>1089</v>
      </c>
    </row>
    <row r="27" customFormat="false" ht="17.25" hidden="false" customHeight="true" outlineLevel="0" collapsed="false">
      <c r="B27" s="24" t="s">
        <v>1090</v>
      </c>
      <c r="C27" s="44" t="str">
        <f aca="false">IF(Need_2&lt;&gt;"",Need_2,MAX(0,Yearly_Income*Life_Replace-Survivor_Pension*Weeks_Per_Year)*Years_Support)</f>
        <v>Choose your gross yearly income to see this</v>
      </c>
      <c r="D27" s="30" t="s">
        <v>225</v>
      </c>
      <c r="E27" s="45" t="s">
        <v>1091</v>
      </c>
    </row>
    <row r="28" customFormat="false" ht="17.25" hidden="false" customHeight="true" outlineLevel="0" collapsed="false">
      <c r="B28" s="24" t="s">
        <v>1092</v>
      </c>
      <c r="C28" s="44" t="str">
        <f aca="false">IF(Need_3&lt;&gt;"",Need_3,IF(Mortgage_Protected="Yes",0,Used_Mortgage_Balance)+Other_Debts)</f>
        <v>Choose your mortgage protection answer to see this</v>
      </c>
      <c r="D28" s="30" t="s">
        <v>225</v>
      </c>
      <c r="E28" s="45" t="s">
        <v>1093</v>
      </c>
    </row>
    <row r="29" customFormat="false" ht="15" hidden="false" customHeight="true" outlineLevel="0" collapsed="false">
      <c r="B29" s="9" t="s">
        <v>1094</v>
      </c>
      <c r="C29" s="46" t="str">
        <f aca="false">IF(Need_4&lt;&gt;"",Need_4,Existing_Cover+Savings)</f>
        <v>Choose your savings &amp; investments to see this</v>
      </c>
      <c r="D29" s="30" t="s">
        <v>225</v>
      </c>
      <c r="E29" s="45" t="s">
        <v>1095</v>
      </c>
    </row>
    <row r="30" customFormat="false" ht="15" hidden="false" customHeight="true" outlineLevel="0" collapsed="false">
      <c r="B30" s="9" t="s">
        <v>1096</v>
      </c>
      <c r="C30" s="46" t="str">
        <f aca="false">IF(Need_5&lt;&gt;"",Need_5,Yearly_Income*Life_Replace*Years_Support)</f>
        <v>Choose your gross yearly income to see this</v>
      </c>
      <c r="D30" s="30" t="s">
        <v>225</v>
      </c>
      <c r="E30" s="45" t="s">
        <v>1097</v>
      </c>
    </row>
    <row r="32" customFormat="false" ht="15" hidden="false" customHeight="true" outlineLevel="0" collapsed="false">
      <c r="B32" s="15" t="s">
        <v>278</v>
      </c>
      <c r="C32" s="16"/>
      <c r="D32" s="16"/>
      <c r="E32" s="16"/>
      <c r="F32" s="16"/>
      <c r="G32" s="16"/>
    </row>
    <row r="33" customFormat="false" ht="13.5" hidden="false" customHeight="true" outlineLevel="0" collapsed="false">
      <c r="B33" s="49" t="s">
        <v>1098</v>
      </c>
      <c r="C33" s="49"/>
      <c r="D33" s="49"/>
      <c r="E33" s="49"/>
    </row>
    <row r="34" customFormat="false" ht="27.75" hidden="false" customHeight="true" outlineLevel="0" collapsed="false">
      <c r="B34" s="49" t="s">
        <v>1099</v>
      </c>
      <c r="C34" s="49"/>
      <c r="D34" s="49"/>
      <c r="E34" s="49"/>
    </row>
    <row r="35" customFormat="false" ht="13.5" hidden="false" customHeight="true" outlineLevel="0" collapsed="false">
      <c r="B35" s="49" t="s">
        <v>1100</v>
      </c>
      <c r="C35" s="49"/>
      <c r="D35" s="49"/>
      <c r="E35" s="49"/>
    </row>
    <row r="36" customFormat="false" ht="13.5" hidden="false" customHeight="true" outlineLevel="0" collapsed="false">
      <c r="B36" s="50" t="s">
        <v>282</v>
      </c>
      <c r="C36" s="50"/>
      <c r="D36" s="50"/>
      <c r="E36" s="50"/>
    </row>
    <row r="37" customFormat="false" ht="13.5" hidden="false" customHeight="true" outlineLevel="0" collapsed="false">
      <c r="B37" s="49" t="s">
        <v>1101</v>
      </c>
      <c r="C37" s="49"/>
      <c r="D37" s="49"/>
      <c r="E37" s="49"/>
    </row>
    <row r="38" customFormat="false" ht="13.5" hidden="false" customHeight="true" outlineLevel="0" collapsed="false">
      <c r="B38" s="49" t="s">
        <v>1102</v>
      </c>
      <c r="C38" s="49"/>
      <c r="D38" s="49"/>
      <c r="E38" s="49"/>
    </row>
    <row r="40" customFormat="false" ht="15" hidden="false" customHeight="true" outlineLevel="0" collapsed="false">
      <c r="B40" s="15" t="s">
        <v>287</v>
      </c>
      <c r="C40" s="16"/>
      <c r="D40" s="16"/>
      <c r="E40" s="16"/>
      <c r="F40" s="16"/>
      <c r="G40" s="16"/>
    </row>
    <row r="41" customFormat="false" ht="15" hidden="false" customHeight="true" outlineLevel="0" collapsed="false">
      <c r="B41" s="9" t="s">
        <v>288</v>
      </c>
      <c r="C41" s="51" t="str">
        <f aca="false">"No goal: record a protection need for the adviser"</f>
        <v>No goal: record a protection need for the adviser</v>
      </c>
      <c r="E41" s="52" t="s">
        <v>1103</v>
      </c>
    </row>
    <row r="42" customFormat="false" ht="15" hidden="false" customHeight="true" outlineLevel="0" collapsed="false">
      <c r="B42" s="9" t="s">
        <v>1104</v>
      </c>
      <c r="C42" s="53" t="str">
        <f aca="false">IF(Need_1&lt;&gt;"",Need_1,Cover_Gap)</f>
        <v>Choose your gross yearly income to see this</v>
      </c>
      <c r="E42" s="52" t="s">
        <v>1105</v>
      </c>
    </row>
    <row r="43" customFormat="false" ht="13.5" hidden="false" customHeight="true" outlineLevel="0" collapsed="false">
      <c r="B43" s="56" t="s">
        <v>1106</v>
      </c>
      <c r="C43" s="56"/>
      <c r="D43" s="56"/>
      <c r="E43" s="56"/>
    </row>
    <row r="45" customFormat="false" ht="15" hidden="false" customHeight="true" outlineLevel="0" collapsed="false">
      <c r="B45" s="15" t="s">
        <v>296</v>
      </c>
      <c r="C45" s="16"/>
      <c r="D45" s="16"/>
      <c r="E45" s="16"/>
      <c r="F45" s="16"/>
      <c r="G45" s="16"/>
    </row>
    <row r="46" customFormat="false" ht="15" hidden="false" customHeight="true" outlineLevel="0" collapsed="false">
      <c r="B46" s="55" t="s">
        <v>1107</v>
      </c>
      <c r="C46" s="55" t="str">
        <f aca="false">IF(Yearly_Income="","Choose your gross yearly income to see this",IF(Years_Support="","Choose your years of support to see this",IF(Life_Replace="","Choose your share of income needed to see this",IF(Mortgage_Protected="","Choose your mortgage protection answer to see this",IF(Other_Debts="","Choose your other debts to see this",IF(Savings="","Choose your savings &amp; investments to see this",IF(Existing_Cover="","Choose your existing life cover to see this",IF(Survivor_Pension="","Choose your survivor's pension to see this",IF(NOT(ISNUMBER(Used_Mortgage_Balance)),IF(Used_Mortgage_Balance="",IF(Mortgage_Balance="","Choose your mortgage balance to see this",""),Used_Mortgage_Balance),"")))))))))</f>
        <v>Choose your gross yearly income to see this</v>
      </c>
    </row>
    <row r="47" customFormat="false" ht="15" hidden="false" customHeight="true" outlineLevel="0" collapsed="false">
      <c r="B47" s="55" t="s">
        <v>1108</v>
      </c>
      <c r="C47" s="55" t="str">
        <f aca="false">IF(Yearly_Income="","Choose your gross yearly income to see this",IF(Years_Support="","Choose your years of support to see this",IF(Life_Replace="","Choose your share of income needed to see this",IF(Survivor_Pension="","Choose your survivor's pension to see this",""))))</f>
        <v>Choose your gross yearly income to see this</v>
      </c>
    </row>
    <row r="48" customFormat="false" ht="15" hidden="false" customHeight="true" outlineLevel="0" collapsed="false">
      <c r="B48" s="55" t="s">
        <v>1109</v>
      </c>
      <c r="C48" s="55" t="str">
        <f aca="false">IF(Mortgage_Protected="","Choose your mortgage protection answer to see this",IF(Other_Debts="","Choose your other debts to see this",IF(NOT(ISNUMBER(Used_Mortgage_Balance)),IF(Used_Mortgage_Balance="",IF(Mortgage_Balance="","Choose your mortgage balance to see this",""),Used_Mortgage_Balance),"")))</f>
        <v>Choose your mortgage protection answer to see this</v>
      </c>
    </row>
    <row r="49" customFormat="false" ht="15" hidden="false" customHeight="true" outlineLevel="0" collapsed="false">
      <c r="B49" s="55" t="s">
        <v>1110</v>
      </c>
      <c r="C49" s="55" t="str">
        <f aca="false">IF(Savings="","Choose your savings &amp; investments to see this",IF(Existing_Cover="","Choose your existing life cover to see this",""))</f>
        <v>Choose your savings &amp; investments to see this</v>
      </c>
    </row>
    <row r="50" customFormat="false" ht="15" hidden="false" customHeight="true" outlineLevel="0" collapsed="false">
      <c r="B50" s="55" t="s">
        <v>1111</v>
      </c>
      <c r="C50" s="55" t="str">
        <f aca="false">IF(Yearly_Income="","Choose your gross yearly income to see this",IF(Years_Support="","Choose your years of support to see this",IF(Life_Replace="","Choose your share of income needed to see this","")))</f>
        <v>Choose your gross yearly income to see this</v>
      </c>
    </row>
  </sheetData>
  <mergeCells count="8">
    <mergeCell ref="B6:E6"/>
    <mergeCell ref="B33:E33"/>
    <mergeCell ref="B34:E34"/>
    <mergeCell ref="B35:E35"/>
    <mergeCell ref="B36:E36"/>
    <mergeCell ref="B37:E37"/>
    <mergeCell ref="B38:E38"/>
    <mergeCell ref="B43:E43"/>
  </mergeCells>
  <dataValidations count="11">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8" type="date">
      <formula1>36526</formula1>
      <formula2>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11" type="decimal">
      <formula1>0</formula1>
      <formula2>3000000</formula2>
    </dataValidation>
    <dataValidation allowBlank="true" error="Please enter 1 to 30 · steps of 1." errorStyle="stop" errorTitle="Outside the allowed range" operator="between" prompt="Generally the standard is until your youngest child is 23. Choose what you want to use.  Allowed: 1 to 30 · steps of 1." promptTitle="Years your family would need sup" showDropDown="false" showErrorMessage="true" showInputMessage="true" sqref="C12" type="whole">
      <formula1>1</formula1>
      <formula2>30</formula2>
    </dataValidation>
    <dataValidation allowBlank="true" error="Please enter 30% to 100% · steps of 5%." errorStyle="stop" errorTitle="Outside the allowed range" operator="between" prompt="Generally the standard is 60% of your income (families usually need less than full pay). Choose what you want to use.  Allowed: 30% to 100% · steps of 5%." promptTitle="Share of your income your family" showDropDown="false" showErrorMessage="true" showInputMessage="true" sqref="C13" type="decimal">
      <formula1>0.3</formula1>
      <formula2>1</formula2>
    </dataValidation>
    <dataValidation allowBlank="true" error="Please enter €0 to €10,000,000 · steps of €5,000." errorStyle="stop" errorTitle="Outside the allowed range" operator="between" prompt="Your own figure. In the app it is pre-filled from Your finances: mortgage balance.  Allowed: €0 to €10,000,000 · steps of €5,000." promptTitle="Mortgage balance" showDropDown="false" showErrorMessage="true" showInputMessage="true" sqref="C14" type="decimal">
      <formula1>0</formula1>
      <formula2>10000000</formula2>
    </dataValidation>
    <dataValidation allowBlank="true" error="Please enter Yes or No." errorStyle="stop" errorTitle="Outside the allowed range" operator="between" prompt="Your own figure.  Allowed: Yes or No." promptTitle="Is the mortgage cleared by mortg" showDropDown="false" showErrorMessage="true" showInputMessage="true" sqref="C15" type="list">
      <formula1>"Yes,No"</formula1>
      <formula2>0</formula2>
    </dataValidation>
    <dataValidation allowBlank="true" error="Please enter €0 to €2,000,000 · steps of €1,000." errorStyle="stop" errorTitle="Outside the allowed range" operator="between" prompt="Your own figure. In the app it is pre-filled from Your finances: debts.  Allowed: €0 to €2,000,000 · steps of €1,000." promptTitle="Other debts" showDropDown="false" showErrorMessage="true" showInputMessage="true" sqref="C16" type="decimal">
      <formula1>0</formula1>
      <formula2>2000000</formula2>
    </dataValidation>
    <dataValidation allowBlank="true" error="Please enter €0 to €10,000,000 · steps of €1,000." errorStyle="stop" errorTitle="Outside the allowed range" operator="between" prompt="Your own figure. In the app it is pre-filled from Your finances: cash + investments.  Allowed: €0 to €10,000,000 · steps of €1,000." promptTitle="Savings &amp; investments" showDropDown="false" showErrorMessage="true" showInputMessage="true" sqref="C17" type="decimal">
      <formula1>0</formula1>
      <formula2>10000000</formula2>
    </dataValidation>
    <dataValidation allowBlank="true" error="Please enter €0 to €20,000,000 · steps of €10,000." errorStyle="stop" errorTitle="Outside the allowed range" operator="between" prompt="Your own figure.  Allowed: €0 to €20,000,000 · steps of €10,000." promptTitle="Existing life cover (incl. throu" showDropDown="false" showErrorMessage="true" showInputMessage="true" sqref="C18" type="decimal">
      <formula1>0</formula1>
      <formula2>20000000</formula2>
    </dataValidation>
    <dataValidation allowBlank="true" error="Please enter €0 to €1,000 · steps of €0.50." errorStyle="stop" errorTitle="Outside the allowed range" operator="between" prompt="Usually between €0 and €299.30 a week: €259.50 under 66, €299.30 at 66+ (DSP 2026; depends on PRSI; cohabitants can qualify for the Bereaved Partner's Pension). Enter your own figure.  Allowed: €0 to €1,000 · steps of €0.50." promptTitle="State survivor's pension a week " showDropDown="false" showErrorMessage="true" showInputMessage="true" sqref="C19" type="decimal">
      <formula1>0</formula1>
      <formula2>1000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3" t="s">
        <v>1112</v>
      </c>
      <c r="E1" s="3" t="s">
        <v>1113</v>
      </c>
    </row>
    <row r="2" customFormat="false" ht="15" hidden="false" customHeight="true" outlineLevel="0" collapsed="false">
      <c r="B2" s="24" t="s">
        <v>1114</v>
      </c>
      <c r="E2" s="25"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6" t="s">
        <v>1115</v>
      </c>
    </row>
    <row r="5" customFormat="false" ht="15" hidden="false" customHeight="true" outlineLevel="0" collapsed="false">
      <c r="B5" s="15" t="s">
        <v>219</v>
      </c>
      <c r="C5" s="27" t="s">
        <v>220</v>
      </c>
      <c r="D5" s="27" t="s">
        <v>221</v>
      </c>
      <c r="E5" s="27" t="s">
        <v>222</v>
      </c>
      <c r="F5" s="28" t="s">
        <v>223</v>
      </c>
      <c r="G5" s="16"/>
    </row>
    <row r="6" customFormat="false" ht="21.75" hidden="false" customHeight="true" outlineLevel="0" collapsed="false">
      <c r="B6" s="9" t="s">
        <v>683</v>
      </c>
      <c r="C6" s="29"/>
      <c r="D6" s="30" t="s">
        <v>225</v>
      </c>
      <c r="E6" s="31" t="s">
        <v>684</v>
      </c>
      <c r="F6" s="32" t="n">
        <v>2500</v>
      </c>
      <c r="G6" s="33" t="str">
        <f aca="false">IF(ISBLANK(C6),IF(Fill_Example="Yes",F6,""),C6)</f>
        <v/>
      </c>
    </row>
    <row r="7" customFormat="false" ht="15" hidden="false" customHeight="true" outlineLevel="0" collapsed="false">
      <c r="B7" s="9" t="s">
        <v>1116</v>
      </c>
      <c r="C7" s="41"/>
      <c r="D7" s="30" t="s">
        <v>686</v>
      </c>
      <c r="E7" s="31" t="s">
        <v>1117</v>
      </c>
      <c r="F7" s="42" t="n">
        <v>3</v>
      </c>
      <c r="G7" s="43" t="str">
        <f aca="false">IF(ISBLANK(C7),IF(Fill_Example="Yes",F7,""),C7)</f>
        <v/>
      </c>
    </row>
    <row r="8" customFormat="false" ht="21.75" hidden="false" customHeight="true" outlineLevel="0" collapsed="false">
      <c r="B8" s="9" t="s">
        <v>690</v>
      </c>
      <c r="C8" s="29"/>
      <c r="D8" s="30" t="s">
        <v>225</v>
      </c>
      <c r="E8" s="31" t="s">
        <v>1118</v>
      </c>
      <c r="F8" s="32" t="n">
        <v>8000</v>
      </c>
      <c r="G8" s="33" t="str">
        <f aca="false">IF(ISBLANK(C8),IF(Fill_Example="Yes",F8,""),C8)</f>
        <v/>
      </c>
    </row>
    <row r="9" customFormat="false" ht="21.75" hidden="false" customHeight="true" outlineLevel="0" collapsed="false">
      <c r="B9" s="9" t="s">
        <v>224</v>
      </c>
      <c r="C9" s="29"/>
      <c r="D9" s="30" t="s">
        <v>225</v>
      </c>
      <c r="E9" s="31" t="s">
        <v>1071</v>
      </c>
      <c r="F9" s="32" t="n">
        <v>60000</v>
      </c>
      <c r="G9" s="33" t="str">
        <f aca="false">IF(ISBLANK(C9),IF(Fill_Example="Yes",F9,""),C9)</f>
        <v/>
      </c>
    </row>
    <row r="10" customFormat="false" ht="21.75" hidden="false" customHeight="true" outlineLevel="0" collapsed="false">
      <c r="B10" s="9" t="s">
        <v>1119</v>
      </c>
      <c r="C10" s="85"/>
      <c r="D10" s="30" t="s">
        <v>1086</v>
      </c>
      <c r="E10" s="38" t="s">
        <v>1120</v>
      </c>
      <c r="F10" s="86" t="n">
        <f aca="false">Illness_Benefit_Week</f>
        <v>254</v>
      </c>
      <c r="G10" s="87" t="str">
        <f aca="false">IF(ISBLANK(C10),IF(Fill_Example="Yes",F10,""),C10)</f>
        <v/>
      </c>
    </row>
    <row r="12" customFormat="false" ht="15" hidden="false" customHeight="true" outlineLevel="0" collapsed="false">
      <c r="B12" s="15" t="s">
        <v>245</v>
      </c>
      <c r="C12" s="27" t="s">
        <v>246</v>
      </c>
      <c r="D12" s="27" t="s">
        <v>247</v>
      </c>
      <c r="E12" s="27" t="s">
        <v>248</v>
      </c>
      <c r="F12" s="16"/>
      <c r="G12" s="16"/>
    </row>
    <row r="13" customFormat="false" ht="23.25" hidden="false" customHeight="true" outlineLevel="0" collapsed="false">
      <c r="B13" s="24" t="s">
        <v>1121</v>
      </c>
      <c r="C13" s="73" t="str">
        <f aca="false">IF(Need_1&lt;&gt;"",Need_1,IF(Monthly_Gap=0,24,MIN(24,Sick_Pay_Months+Savings/Monthly_Gap)))</f>
        <v>Choose your essential monthly spending to see this</v>
      </c>
      <c r="D13" s="66" t="str">
        <f aca="false">IF(Need_1&lt;&gt;"",Need_1,IF(Monthly_Gap=0,"up to 2 years",IF(Sick_Pay_Months+Savings/Monthly_Gap&gt;=24,"up to 2 years",IF(ROUND(Months_Coping,1)=1,"1 month",FIXED(Months_Coping,1)&amp;" months"))))</f>
        <v>Choose your essential monthly spending to see this</v>
      </c>
      <c r="E13" s="45" t="s">
        <v>1122</v>
      </c>
    </row>
    <row r="14" customFormat="false" ht="17.25" hidden="false" customHeight="true" outlineLevel="0" collapsed="false">
      <c r="B14" s="24" t="s">
        <v>1123</v>
      </c>
      <c r="C14" s="44" t="str">
        <f aca="false">IF(Need_2&lt;&gt;"",Need_2,MAX(0,Essential_Spending-Illness_Benefit_Month))</f>
        <v>Choose your essential monthly spending to see this</v>
      </c>
      <c r="D14" s="30" t="s">
        <v>225</v>
      </c>
      <c r="E14" s="45" t="s">
        <v>1124</v>
      </c>
    </row>
    <row r="15" customFormat="false" ht="17.25" hidden="false" customHeight="true" outlineLevel="0" collapsed="false">
      <c r="B15" s="24" t="s">
        <v>1125</v>
      </c>
      <c r="C15" s="44" t="str">
        <f aca="false">IF(Need_3&lt;&gt;"",Need_3,MIN(Monthly_Gap,IP_Max))</f>
        <v>Choose your essential monthly spending to see this</v>
      </c>
      <c r="D15" s="30" t="s">
        <v>225</v>
      </c>
      <c r="E15" s="45" t="s">
        <v>1126</v>
      </c>
    </row>
    <row r="16" customFormat="false" ht="15" hidden="false" customHeight="true" outlineLevel="0" collapsed="false">
      <c r="B16" s="9" t="s">
        <v>1127</v>
      </c>
      <c r="C16" s="46" t="str">
        <f aca="false">IF(Need_4&lt;&gt;"",Need_4,Illness_Benefit*Weeks_Per_Year/12)</f>
        <v>Choose your Illness Benefit amount to see this</v>
      </c>
      <c r="D16" s="30" t="s">
        <v>225</v>
      </c>
      <c r="E16" s="45" t="s">
        <v>1128</v>
      </c>
    </row>
    <row r="17" customFormat="false" ht="23.25" hidden="false" customHeight="true" outlineLevel="0" collapsed="false">
      <c r="B17" s="9" t="s">
        <v>1129</v>
      </c>
      <c r="C17" s="88" t="str">
        <f aca="false">IF(Need_5&lt;&gt;"",Need_5,IF(Monthly_Gap=0,"Not needed",Savings/Monthly_Gap))</f>
        <v>Choose your essential monthly spending to see this</v>
      </c>
      <c r="D17" s="70" t="str">
        <f aca="false">IF(Need_5&lt;&gt;"",Need_5,IF(Savings_Months="Not needed","Not needed while Illness Benefit covers your spending",IF(Savings_Months&gt;=24,"more than 2 years",IF(ROUND(Savings_Months,1)=1,"1 month",FIXED(Savings_Months,1)&amp;" months"))))</f>
        <v>Choose your essential monthly spending to see this</v>
      </c>
      <c r="E17" s="45" t="s">
        <v>1130</v>
      </c>
    </row>
    <row r="18" customFormat="false" ht="15" hidden="false" customHeight="true" outlineLevel="0" collapsed="false">
      <c r="B18" s="9" t="s">
        <v>1131</v>
      </c>
      <c r="C18" s="46" t="str">
        <f aca="false">IF(Need_6&lt;&gt;"",Need_6,MAX(0,Gross_Income*IP_Max_Pct/12-Illness_Benefit_Month))</f>
        <v>Choose your gross yearly income to see this</v>
      </c>
      <c r="D18" s="30" t="s">
        <v>225</v>
      </c>
      <c r="E18" s="45" t="s">
        <v>1132</v>
      </c>
    </row>
    <row r="20" customFormat="false" ht="15" hidden="false" customHeight="true" outlineLevel="0" collapsed="false">
      <c r="B20" s="15" t="s">
        <v>278</v>
      </c>
      <c r="C20" s="16"/>
      <c r="D20" s="16"/>
      <c r="E20" s="16"/>
      <c r="F20" s="16"/>
      <c r="G20" s="16"/>
    </row>
    <row r="21" customFormat="false" ht="27.75" hidden="false" customHeight="true" outlineLevel="0" collapsed="false">
      <c r="B21" s="49" t="s">
        <v>1133</v>
      </c>
      <c r="C21" s="49"/>
      <c r="D21" s="49"/>
      <c r="E21" s="49"/>
    </row>
    <row r="22" customFormat="false" ht="13.5" hidden="false" customHeight="true" outlineLevel="0" collapsed="false">
      <c r="B22" s="49" t="s">
        <v>1134</v>
      </c>
      <c r="C22" s="49"/>
      <c r="D22" s="49"/>
      <c r="E22" s="49"/>
    </row>
    <row r="23" customFormat="false" ht="13.5" hidden="false" customHeight="true" outlineLevel="0" collapsed="false">
      <c r="B23" s="49" t="s">
        <v>1135</v>
      </c>
      <c r="C23" s="49"/>
      <c r="D23" s="49"/>
      <c r="E23" s="49"/>
    </row>
    <row r="24" customFormat="false" ht="13.5" hidden="false" customHeight="true" outlineLevel="0" collapsed="false">
      <c r="B24" s="50" t="s">
        <v>282</v>
      </c>
      <c r="C24" s="50"/>
      <c r="D24" s="50"/>
      <c r="E24" s="50"/>
    </row>
    <row r="25" customFormat="false" ht="13.5" hidden="false" customHeight="true" outlineLevel="0" collapsed="false">
      <c r="B25" s="49" t="s">
        <v>1136</v>
      </c>
      <c r="C25" s="49"/>
      <c r="D25" s="49"/>
      <c r="E25" s="49"/>
    </row>
    <row r="26" customFormat="false" ht="13.5" hidden="false" customHeight="true" outlineLevel="0" collapsed="false">
      <c r="B26" s="49" t="s">
        <v>1137</v>
      </c>
      <c r="C26" s="49"/>
      <c r="D26" s="49"/>
      <c r="E26" s="49"/>
    </row>
    <row r="28" customFormat="false" ht="15" hidden="false" customHeight="true" outlineLevel="0" collapsed="false">
      <c r="B28" s="15" t="s">
        <v>287</v>
      </c>
      <c r="C28" s="16"/>
      <c r="D28" s="16"/>
      <c r="E28" s="16"/>
      <c r="F28" s="16"/>
      <c r="G28" s="16"/>
    </row>
    <row r="29" customFormat="false" ht="15" hidden="false" customHeight="true" outlineLevel="0" collapsed="false">
      <c r="B29" s="9" t="s">
        <v>288</v>
      </c>
      <c r="C29" s="51" t="str">
        <f aca="false">"No goal: record an income protection need for the adviser"</f>
        <v>No goal: record an income protection need for the adviser</v>
      </c>
      <c r="E29" s="52" t="s">
        <v>1138</v>
      </c>
    </row>
    <row r="30" customFormat="false" ht="15" hidden="false" customHeight="true" outlineLevel="0" collapsed="false">
      <c r="B30" s="9" t="s">
        <v>1139</v>
      </c>
      <c r="C30" s="53" t="str">
        <f aca="false">IF(Need_3&lt;&gt;"",Need_3,IP_Needed)</f>
        <v>Choose your essential monthly spending to see this</v>
      </c>
      <c r="E30" s="52" t="s">
        <v>1140</v>
      </c>
    </row>
    <row r="32" customFormat="false" ht="15" hidden="false" customHeight="true" outlineLevel="0" collapsed="false">
      <c r="B32" s="15" t="s">
        <v>296</v>
      </c>
      <c r="C32" s="16"/>
      <c r="D32" s="16"/>
      <c r="E32" s="16"/>
      <c r="F32" s="16"/>
      <c r="G32" s="16"/>
    </row>
    <row r="33" customFormat="false" ht="15" hidden="false" customHeight="true" outlineLevel="0" collapsed="false">
      <c r="B33" s="55" t="s">
        <v>1141</v>
      </c>
      <c r="C33" s="55" t="str">
        <f aca="false">IF(Essential_Spending="","Choose your essential monthly spending to see this",IF(Sick_Pay_Months="","Choose your months of sick pay from your employer's scheme to see this",IF(Savings="","Choose your easy-access savings to see this",IF(Illness_Benefit="","Choose your Illness Benefit amount to see this",""))))</f>
        <v>Choose your essential monthly spending to see this</v>
      </c>
    </row>
    <row r="34" customFormat="false" ht="15" hidden="false" customHeight="true" outlineLevel="0" collapsed="false">
      <c r="B34" s="55" t="s">
        <v>1142</v>
      </c>
      <c r="C34" s="55" t="str">
        <f aca="false">IF(Essential_Spending="","Choose your essential monthly spending to see this",IF(Illness_Benefit="","Choose your Illness Benefit amount to see this",""))</f>
        <v>Choose your essential monthly spending to see this</v>
      </c>
    </row>
    <row r="35" customFormat="false" ht="15" hidden="false" customHeight="true" outlineLevel="0" collapsed="false">
      <c r="B35" s="55" t="s">
        <v>1143</v>
      </c>
      <c r="C35" s="55" t="str">
        <f aca="false">IF(Essential_Spending="","Choose your essential monthly spending to see this",IF(Gross_Income="","Choose your gross yearly income to see this",IF(Illness_Benefit="","Choose your Illness Benefit amount to see this","")))</f>
        <v>Choose your essential monthly spending to see this</v>
      </c>
    </row>
    <row r="36" customFormat="false" ht="15" hidden="false" customHeight="true" outlineLevel="0" collapsed="false">
      <c r="B36" s="55" t="s">
        <v>1144</v>
      </c>
      <c r="C36" s="55" t="str">
        <f aca="false">IF(Illness_Benefit="","Choose your Illness Benefit amount to see this","")</f>
        <v>Choose your Illness Benefit amount to see this</v>
      </c>
    </row>
    <row r="37" customFormat="false" ht="15" hidden="false" customHeight="true" outlineLevel="0" collapsed="false">
      <c r="B37" s="55" t="s">
        <v>1145</v>
      </c>
      <c r="C37" s="55" t="str">
        <f aca="false">IF(Essential_Spending="","Choose your essential monthly spending to see this",IF(Savings="","Choose your easy-access savings to see this",IF(Illness_Benefit="","Choose your Illness Benefit amount to see this","")))</f>
        <v>Choose your essential monthly spending to see this</v>
      </c>
    </row>
    <row r="38" customFormat="false" ht="15" hidden="false" customHeight="true" outlineLevel="0" collapsed="false">
      <c r="B38" s="55" t="s">
        <v>1146</v>
      </c>
      <c r="C38" s="55" t="str">
        <f aca="false">IF(Gross_Income="","Choose your gross yearly income to see this",IF(Illness_Benefit="","Choose your Illness Benefit amount to see this",""))</f>
        <v>Choose your gross yearly income to see this</v>
      </c>
    </row>
  </sheetData>
  <mergeCells count="6">
    <mergeCell ref="B21:E21"/>
    <mergeCell ref="B22:E22"/>
    <mergeCell ref="B23:E23"/>
    <mergeCell ref="B24:E24"/>
    <mergeCell ref="B25:E25"/>
    <mergeCell ref="B26:E26"/>
  </mergeCells>
  <dataValidations count="5">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9" type="decimal">
      <formula1>0</formula1>
      <formula2>3000000</formula2>
    </dataValidation>
    <dataValidation allowBlank="true" error="Please enter 0 to 12 · steps of 1." errorStyle="stop" errorTitle="Outside the allowed range" operator="between" prompt="Your own figure.  Allowed: 0 to 12 · steps of 1." promptTitle="Months of sick pay from your emp" showDropDown="false" showErrorMessage="true" showInputMessage="true" sqref="C7" type="whole">
      <formula1>0</formula1>
      <formula2>12</formula2>
    </dataValidation>
    <dataValidation allowBlank="true" error="Please enter €0 to €2,000,000 · steps of €500." errorStyle="stop" errorTitle="Outside the allowed range" operator="between" prompt="Your own figure. In the app it is pre-filled from Your finances: cash.  Allowed: €0 to €2,000,000 · steps of €500." promptTitle="Easy-access savings" showDropDown="false" showErrorMessage="true" showInputMessage="true" sqref="C8" type="decimal">
      <formula1>0</formula1>
      <formula2>2000000</formula2>
    </dataValidation>
    <dataValidation allowBlank="true" error="Please enter €0 to €500 · steps of €0.50." errorStyle="stop" errorTitle="Outside the allowed range" operator="between" prompt="Usually between €0 and €254 a week (DSP 2026 maximum; lower if you earned under €300 a week; needs enough PRSI). Enter your own figure.  Allowed: €0 to €500 · steps of €0.50." promptTitle="Illness Benefit a week" showDropDown="false" showErrorMessage="true" showInputMessage="true" sqref="C10" type="decimal">
      <formula1>0</formula1>
      <formula2>500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3" t="s">
        <v>1147</v>
      </c>
      <c r="E1" s="3" t="s">
        <v>1148</v>
      </c>
    </row>
    <row r="2" customFormat="false" ht="15" hidden="false" customHeight="true" outlineLevel="0" collapsed="false">
      <c r="B2" s="24" t="s">
        <v>1149</v>
      </c>
      <c r="E2" s="25"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6" t="s">
        <v>1150</v>
      </c>
    </row>
    <row r="5" customFormat="false" ht="15" hidden="false" customHeight="true" outlineLevel="0" collapsed="false">
      <c r="B5" s="15" t="s">
        <v>309</v>
      </c>
      <c r="C5" s="16"/>
      <c r="D5" s="16"/>
      <c r="E5" s="16"/>
      <c r="F5" s="16"/>
      <c r="G5" s="16"/>
    </row>
    <row r="6" customFormat="false" ht="27.75" hidden="false" customHeight="true" outlineLevel="0" collapsed="false">
      <c r="B6" s="56" t="s">
        <v>310</v>
      </c>
      <c r="C6" s="56"/>
      <c r="D6" s="56"/>
      <c r="E6" s="56"/>
    </row>
    <row r="7" customFormat="false" ht="15" hidden="false" customHeight="true" outlineLevel="0" collapsed="false">
      <c r="B7" s="9" t="s">
        <v>311</v>
      </c>
      <c r="C7" s="57"/>
      <c r="D7" s="30" t="s">
        <v>225</v>
      </c>
      <c r="E7" s="31" t="s">
        <v>312</v>
      </c>
      <c r="G7" s="55" t="s">
        <v>313</v>
      </c>
    </row>
    <row r="8" customFormat="false" ht="15" hidden="false" customHeight="true" outlineLevel="0" collapsed="false">
      <c r="B8" s="9" t="s">
        <v>314</v>
      </c>
      <c r="C8" s="58"/>
      <c r="D8" s="30" t="s">
        <v>236</v>
      </c>
      <c r="E8" s="31" t="s">
        <v>315</v>
      </c>
      <c r="G8" s="55" t="s">
        <v>313</v>
      </c>
    </row>
    <row r="9" customFormat="false" ht="15" hidden="false" customHeight="true" outlineLevel="0" collapsed="false">
      <c r="B9" s="9" t="s">
        <v>316</v>
      </c>
      <c r="C9" s="59"/>
      <c r="D9" s="30" t="s">
        <v>238</v>
      </c>
      <c r="E9" s="31" t="s">
        <v>317</v>
      </c>
      <c r="G9" s="55" t="s">
        <v>313</v>
      </c>
    </row>
    <row r="10" customFormat="false" ht="15" hidden="false" customHeight="true" outlineLevel="0" collapsed="false">
      <c r="B10" s="9" t="s">
        <v>318</v>
      </c>
      <c r="C10" s="57"/>
      <c r="D10" s="30" t="s">
        <v>225</v>
      </c>
      <c r="E10" s="31" t="s">
        <v>319</v>
      </c>
      <c r="G10" s="55" t="s">
        <v>313</v>
      </c>
    </row>
    <row r="11" customFormat="false" ht="15" hidden="false" customHeight="true" outlineLevel="0" collapsed="false">
      <c r="B11" s="9" t="s">
        <v>320</v>
      </c>
      <c r="C11" s="60"/>
      <c r="D11" s="30" t="s">
        <v>321</v>
      </c>
      <c r="E11" s="31" t="s">
        <v>322</v>
      </c>
      <c r="G11" s="55" t="s">
        <v>313</v>
      </c>
    </row>
    <row r="13" customFormat="false" ht="15" hidden="false" customHeight="true" outlineLevel="0" collapsed="false">
      <c r="B13" s="15" t="s">
        <v>323</v>
      </c>
      <c r="C13" s="27" t="s">
        <v>220</v>
      </c>
      <c r="D13" s="27" t="s">
        <v>221</v>
      </c>
      <c r="E13" s="27" t="s">
        <v>222</v>
      </c>
      <c r="F13" s="28" t="s">
        <v>223</v>
      </c>
      <c r="G13" s="16"/>
    </row>
    <row r="14" customFormat="false" ht="21.75" hidden="false" customHeight="true" outlineLevel="0" collapsed="false">
      <c r="B14" s="9" t="s">
        <v>416</v>
      </c>
      <c r="C14" s="29"/>
      <c r="D14" s="30" t="s">
        <v>225</v>
      </c>
      <c r="E14" s="31" t="s">
        <v>1151</v>
      </c>
      <c r="F14" s="32" t="n">
        <v>250000</v>
      </c>
      <c r="G14" s="33" t="str">
        <f aca="false">IF(ISBLANK(C14),IF(Fill_Example="Yes",F14,""),C14)</f>
        <v/>
      </c>
    </row>
    <row r="15" customFormat="false" ht="21.75" hidden="false" customHeight="true" outlineLevel="0" collapsed="false">
      <c r="B15" s="9" t="s">
        <v>314</v>
      </c>
      <c r="C15" s="37"/>
      <c r="D15" s="30" t="s">
        <v>236</v>
      </c>
      <c r="E15" s="31"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Allowed: 1% to 8% · steps of 0.05%</v>
      </c>
      <c r="F15" s="39" t="n">
        <f aca="false">IF(ISNUMBER(Suggest_Mortgage_Rate),Suggest_Mortgage_Rate,"")</f>
        <v>0.0348</v>
      </c>
      <c r="G15" s="40" t="str">
        <f aca="false">IF(ISBLANK(C15),IF(Fill_Example="Yes",F15,""),C15)</f>
        <v/>
      </c>
    </row>
    <row r="16" customFormat="false" ht="21.75" hidden="false" customHeight="true" outlineLevel="0" collapsed="false">
      <c r="B16" s="9" t="s">
        <v>418</v>
      </c>
      <c r="C16" s="41"/>
      <c r="D16" s="30" t="s">
        <v>238</v>
      </c>
      <c r="E16" s="31" t="s">
        <v>327</v>
      </c>
      <c r="F16" s="42" t="n">
        <v>25</v>
      </c>
      <c r="G16" s="43" t="str">
        <f aca="false">IF(ISBLANK(C16),IF(Fill_Example="Yes",F16,""),C16)</f>
        <v/>
      </c>
    </row>
    <row r="17" customFormat="false" ht="21.75" hidden="false" customHeight="true" outlineLevel="0" collapsed="false">
      <c r="B17" s="9" t="s">
        <v>328</v>
      </c>
      <c r="C17" s="29"/>
      <c r="D17" s="30" t="s">
        <v>225</v>
      </c>
      <c r="E17" s="31" t="s">
        <v>1152</v>
      </c>
      <c r="F17" s="32" t="n">
        <v>0</v>
      </c>
      <c r="G17" s="33" t="str">
        <f aca="false">IF(ISBLANK(C17),IF(Fill_Example="Yes",F17,""),C17)</f>
        <v/>
      </c>
    </row>
    <row r="19" customFormat="false" ht="15" hidden="false" customHeight="true" outlineLevel="0" collapsed="false">
      <c r="B19" s="15" t="s">
        <v>332</v>
      </c>
      <c r="C19" s="16"/>
      <c r="D19" s="16"/>
      <c r="E19" s="16"/>
      <c r="F19" s="16"/>
      <c r="G19" s="16"/>
    </row>
    <row r="20" customFormat="false" ht="15" hidden="false" customHeight="true" outlineLevel="0" collapsed="false">
      <c r="B20" s="9" t="s">
        <v>416</v>
      </c>
      <c r="C20" s="61" t="str">
        <f aca="false">IF(ISBLANK(Stmt_Balance),Mortgage_Balance,Stmt_Balance)</f>
        <v/>
      </c>
      <c r="D20" s="62" t="str">
        <f aca="false">IF(ISBLANK(Stmt_Balance),"Your figure","From your statement")</f>
        <v>Your figure</v>
      </c>
      <c r="E20" s="52" t="s">
        <v>422</v>
      </c>
    </row>
    <row r="21" customFormat="false" ht="15" hidden="false" customHeight="true" outlineLevel="0" collapsed="false">
      <c r="B21" s="9" t="s">
        <v>314</v>
      </c>
      <c r="C21" s="63" t="str">
        <f aca="false">IF(ISBLANK(Stmt_Rate),Interest_Rate,Stmt_Rate)</f>
        <v/>
      </c>
      <c r="D21" s="62" t="str">
        <f aca="false">IF(ISBLANK(Stmt_Rate),"Your figure","From your statement")</f>
        <v>Your figure</v>
      </c>
      <c r="E21" s="52" t="s">
        <v>334</v>
      </c>
    </row>
    <row r="22" customFormat="false" ht="15" hidden="false" customHeight="true" outlineLevel="0" collapsed="false">
      <c r="B22" s="9" t="s">
        <v>418</v>
      </c>
      <c r="C22" s="64" t="str">
        <f aca="false">IF(ISBLANK(Stmt_Term),Years_Left,Stmt_Term)</f>
        <v/>
      </c>
      <c r="D22" s="62" t="str">
        <f aca="false">IF(ISBLANK(Stmt_Term),"Your figure","From your statement")</f>
        <v>Your figure</v>
      </c>
      <c r="E22" s="52" t="s">
        <v>423</v>
      </c>
    </row>
    <row r="23" customFormat="false" ht="15" hidden="false" customHeight="true" outlineLevel="0" collapsed="false">
      <c r="B23" s="9" t="s">
        <v>336</v>
      </c>
      <c r="C23" s="61" t="str">
        <f aca="false">IF(ISBLANK(Stmt_Repayment),Actual_Repayment,Stmt_Repayment)</f>
        <v/>
      </c>
      <c r="D23" s="62" t="str">
        <f aca="false">IF(ISBLANK(Stmt_Repayment),"Your figure","From your statement")</f>
        <v>Your figure</v>
      </c>
      <c r="E23" s="52" t="s">
        <v>337</v>
      </c>
    </row>
    <row r="24" customFormat="false" ht="21.75" hidden="false" customHeight="true" outlineLevel="0" collapsed="false">
      <c r="B24" s="9" t="s">
        <v>338</v>
      </c>
      <c r="C24" s="48" t="str">
        <f aca="true">IF(ISBLANK(Stmt_Statement_Date),"",IF(TODAY()-Stmt_Statement_Date&gt;Statement_Max_Age_Days,"Needs a look: statement is more than 12 months old","Up to date"))</f>
        <v/>
      </c>
      <c r="D24" s="30"/>
      <c r="E24" s="45" t="s">
        <v>339</v>
      </c>
    </row>
    <row r="26" customFormat="false" ht="15" hidden="false" customHeight="true" outlineLevel="0" collapsed="false">
      <c r="B26" s="15" t="s">
        <v>245</v>
      </c>
      <c r="C26" s="27" t="s">
        <v>246</v>
      </c>
      <c r="D26" s="27" t="s">
        <v>247</v>
      </c>
      <c r="E26" s="27" t="s">
        <v>248</v>
      </c>
      <c r="F26" s="16"/>
      <c r="G26" s="16"/>
    </row>
    <row r="27" customFormat="false" ht="17.25" hidden="false" customHeight="true" outlineLevel="0" collapsed="false">
      <c r="B27" s="24" t="s">
        <v>1153</v>
      </c>
      <c r="C27" s="44" t="str">
        <f aca="false">IF(Need_1&lt;&gt;"",Need_1,Used_Mortgage_Balance)</f>
        <v>Choose your mortgage balance to see this</v>
      </c>
      <c r="D27" s="30" t="s">
        <v>225</v>
      </c>
      <c r="E27" s="45" t="s">
        <v>1154</v>
      </c>
    </row>
    <row r="28" customFormat="false" ht="15" hidden="false" customHeight="true" outlineLevel="0" collapsed="false">
      <c r="B28" s="75" t="s">
        <v>774</v>
      </c>
      <c r="C28" s="76" t="str">
        <f aca="false">IF(Need_2&lt;&gt;"","",IF(Repayment&lt;=Used_Mortgage_Balance*Monthly_Rate,"Your repayment doesn't cover the interest: please check the figures.",""))</f>
        <v/>
      </c>
      <c r="D28" s="76"/>
      <c r="E28" s="76"/>
    </row>
    <row r="29" customFormat="false" ht="17.25" hidden="false" customHeight="true" outlineLevel="0" collapsed="false">
      <c r="B29" s="24" t="s">
        <v>1155</v>
      </c>
      <c r="C29" s="44" t="str">
        <f aca="false">IF(Need_2&lt;&gt;"",Need_2,IF(Warning&lt;&gt;"","—",MAX(0,-FV(Monthly_Rate,MP_Year_1*12,-Repayment,Used_Mortgage_Balance))))</f>
        <v>Choose your mortgage balance to see this</v>
      </c>
      <c r="D29" s="30" t="s">
        <v>225</v>
      </c>
      <c r="E29" s="45" t="s">
        <v>1156</v>
      </c>
    </row>
    <row r="30" customFormat="false" ht="17.25" hidden="false" customHeight="true" outlineLevel="0" collapsed="false">
      <c r="B30" s="24" t="s">
        <v>1157</v>
      </c>
      <c r="C30" s="44" t="str">
        <f aca="false">IF(Need_2&lt;&gt;"",Need_2,IF(Warning&lt;&gt;"","—",MAX(0,-FV(Monthly_Rate,MP_Year_2*12,-Repayment,Used_Mortgage_Balance))))</f>
        <v>Choose your mortgage balance to see this</v>
      </c>
      <c r="D30" s="30" t="s">
        <v>225</v>
      </c>
      <c r="E30" s="45" t="s">
        <v>1158</v>
      </c>
    </row>
    <row r="31" customFormat="false" ht="17.25" hidden="false" customHeight="true" outlineLevel="0" collapsed="false">
      <c r="B31" s="24" t="s">
        <v>1159</v>
      </c>
      <c r="C31" s="44" t="str">
        <f aca="false">IF(Need_2&lt;&gt;"",Need_2,IF(Warning&lt;&gt;"","—",MAX(0,-FV(Monthly_Rate,MP_Year_3*12,-Repayment,Used_Mortgage_Balance))))</f>
        <v>Choose your mortgage balance to see this</v>
      </c>
      <c r="D31" s="30" t="s">
        <v>225</v>
      </c>
      <c r="E31" s="45" t="s">
        <v>1160</v>
      </c>
    </row>
    <row r="32" customFormat="false" ht="15" hidden="false" customHeight="true" outlineLevel="0" collapsed="false">
      <c r="B32" s="9" t="s">
        <v>347</v>
      </c>
      <c r="C32" s="67" t="str">
        <f aca="false">IF(Need_3&lt;&gt;"",Need_3,Used_Interest_Rate/12)</f>
        <v>Choose your interest rate to see this</v>
      </c>
      <c r="D32" s="30"/>
      <c r="E32" s="45" t="s">
        <v>348</v>
      </c>
    </row>
    <row r="33" customFormat="false" ht="15" hidden="false" customHeight="true" outlineLevel="0" collapsed="false">
      <c r="B33" s="9" t="s">
        <v>1161</v>
      </c>
      <c r="C33" s="46" t="str">
        <f aca="false">IF(Need_2&lt;&gt;"",Need_2,IF(Used_Actual_Repayment&gt;0,Used_Actual_Repayment,PMT(Monthly_Rate,Used_Years_Left*12,-Used_Mortgage_Balance)))</f>
        <v>Choose your mortgage balance to see this</v>
      </c>
      <c r="D33" s="30" t="s">
        <v>225</v>
      </c>
      <c r="E33" s="45" t="s">
        <v>433</v>
      </c>
    </row>
    <row r="35" customFormat="false" ht="15" hidden="false" customHeight="true" outlineLevel="0" collapsed="false">
      <c r="B35" s="15" t="s">
        <v>278</v>
      </c>
      <c r="C35" s="16"/>
      <c r="D35" s="16"/>
      <c r="E35" s="16"/>
      <c r="F35" s="16"/>
      <c r="G35" s="16"/>
    </row>
    <row r="36" customFormat="false" ht="13.5" hidden="false" customHeight="true" outlineLevel="0" collapsed="false">
      <c r="B36" s="49" t="s">
        <v>1162</v>
      </c>
      <c r="C36" s="49"/>
      <c r="D36" s="49"/>
      <c r="E36" s="49"/>
    </row>
    <row r="37" customFormat="false" ht="13.5" hidden="false" customHeight="true" outlineLevel="0" collapsed="false">
      <c r="B37" s="50" t="s">
        <v>282</v>
      </c>
      <c r="C37" s="50"/>
      <c r="D37" s="50"/>
      <c r="E37" s="50"/>
    </row>
    <row r="38" customFormat="false" ht="13.5" hidden="false" customHeight="true" outlineLevel="0" collapsed="false">
      <c r="B38" s="49" t="s">
        <v>1163</v>
      </c>
      <c r="C38" s="49"/>
      <c r="D38" s="49"/>
      <c r="E38" s="49"/>
    </row>
    <row r="40" customFormat="false" ht="15" hidden="false" customHeight="true" outlineLevel="0" collapsed="false">
      <c r="B40" s="15" t="s">
        <v>287</v>
      </c>
      <c r="C40" s="16"/>
      <c r="D40" s="16"/>
      <c r="E40" s="16"/>
      <c r="F40" s="16"/>
      <c r="G40" s="16"/>
    </row>
    <row r="41" customFormat="false" ht="15" hidden="false" customHeight="true" outlineLevel="0" collapsed="false">
      <c r="B41" s="9" t="s">
        <v>288</v>
      </c>
      <c r="C41" s="51" t="str">
        <f aca="false">"No goal"</f>
        <v>No goal</v>
      </c>
      <c r="E41" s="52" t="s">
        <v>477</v>
      </c>
    </row>
    <row r="43" customFormat="false" ht="15" hidden="false" customHeight="true" outlineLevel="0" collapsed="false">
      <c r="B43" s="15" t="s">
        <v>296</v>
      </c>
      <c r="C43" s="16"/>
      <c r="D43" s="16"/>
      <c r="E43" s="16"/>
      <c r="F43" s="16"/>
      <c r="G43" s="16"/>
    </row>
    <row r="44" customFormat="false" ht="15" hidden="false" customHeight="true" outlineLevel="0" collapsed="false">
      <c r="B44" s="55" t="s">
        <v>1164</v>
      </c>
      <c r="C44" s="55" t="str">
        <f aca="false">IF(NOT(ISNUMBER(Used_Mortgage_Balance)),IF(Used_Mortgage_Balance="",IF(Mortgage_Balance="","Choose your mortgage balance to see this",""),Used_Mortgage_Balance),"")</f>
        <v>Choose your mortgage balance to see this</v>
      </c>
    </row>
    <row r="45" customFormat="false" ht="15" hidden="false" customHeight="true" outlineLevel="0" collapsed="false">
      <c r="B45" s="55" t="s">
        <v>453</v>
      </c>
      <c r="C45" s="55" t="str">
        <f aca="false">IF(NOT(ISNUMBER(Used_Mortgage_Balance)),IF(Used_Mortgage_Balance="",IF(Mortgage_Balance="","Choose your mortgage balance to see this",""),Used_Mortgage_Balance),IF(NOT(ISNUMBER(Used_Interest_Rate)),IF(Used_Interest_Rate="",IF(Interest_Rate="","Choose your interest rate to see this",""),Used_Interest_Rate),IF(NOT(ISNUMBER(Used_Years_Left)),IF(Used_Years_Left="",IF(Years_Left="","Choose your years left to see this",""),Used_Years_Left),IF(NOT(ISNUMBER(Used_Actual_Repayment)),IF(Used_Actual_Repayment="",IF(Actual_Repayment="","Choose your actual monthly repayment to see this",""),Used_Actual_Repayment),""))))</f>
        <v>Choose your mortgage balance to see this</v>
      </c>
    </row>
    <row r="46" customFormat="false" ht="15" hidden="false" customHeight="true" outlineLevel="0" collapsed="false">
      <c r="B46" s="55" t="s">
        <v>369</v>
      </c>
      <c r="C46" s="55" t="str">
        <f aca="false">IF(NOT(ISNUMBER(Used_Interest_Rate)),IF(Used_Interest_Rate="",IF(Interest_Rate="","Choose your interest rate to see this",""),Used_Interest_Rate),"")</f>
        <v>Choose your interest rate to see this</v>
      </c>
    </row>
  </sheetData>
  <mergeCells count="5">
    <mergeCell ref="B6:E6"/>
    <mergeCell ref="C28:E28"/>
    <mergeCell ref="B36:E36"/>
    <mergeCell ref="B37:E37"/>
    <mergeCell ref="B38:E38"/>
  </mergeCells>
  <dataValidations count="9">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0,000 to €10,000,000 · steps of €5,000." errorStyle="stop" errorTitle="Outside the allowed range" operator="between" prompt="Your own figure. In the app it is pre-filled from Your finances / statement: balance.  Allowed: €20,000 to €10,000,000 · steps of €5,000." promptTitle="Mortgage balance" showDropDown="false" showErrorMessage="true" showInputMessage="true" sqref="C14" type="decimal">
      <formula1>20000</formula1>
      <formula2>10000000</formula2>
    </dataValidation>
    <dataValidation allowBlank="true" error="Please enter €0 to €100,000 · steps of €1." errorStyle="stop" errorTitle="Outside the allowed range" operator="between" prompt="Your own figure. In the app it is pre-filled from Your finances / statement: stated repayment.  Allowed: €0 to €100,000 · steps of €1." promptTitle="Your actual monthly repayment (o" showDropDown="false" showErrorMessage="true" showInputMessage="true" sqref="C17" type="decimal">
      <formula1>0</formula1>
      <formula2>100000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3" t="s">
        <v>1165</v>
      </c>
      <c r="E1" s="3" t="s">
        <v>1166</v>
      </c>
    </row>
    <row r="2" customFormat="false" ht="15" hidden="false" customHeight="true" outlineLevel="0" collapsed="false">
      <c r="B2" s="24" t="s">
        <v>1167</v>
      </c>
      <c r="E2" s="25"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6" t="s">
        <v>1168</v>
      </c>
    </row>
    <row r="5" customFormat="false" ht="15" hidden="false" customHeight="true" outlineLevel="0" collapsed="false">
      <c r="B5" s="15" t="s">
        <v>309</v>
      </c>
      <c r="C5" s="16"/>
      <c r="D5" s="16"/>
      <c r="E5" s="16"/>
      <c r="F5" s="16"/>
      <c r="G5" s="16"/>
    </row>
    <row r="6" customFormat="false" ht="27.75" hidden="false" customHeight="true" outlineLevel="0" collapsed="false">
      <c r="B6" s="56" t="s">
        <v>1169</v>
      </c>
      <c r="C6" s="56"/>
      <c r="D6" s="56"/>
      <c r="E6" s="56"/>
    </row>
    <row r="7" customFormat="false" ht="15" hidden="false" customHeight="true" outlineLevel="0" collapsed="false">
      <c r="B7" s="9" t="s">
        <v>311</v>
      </c>
      <c r="C7" s="57"/>
      <c r="D7" s="30" t="s">
        <v>225</v>
      </c>
      <c r="E7" s="31" t="s">
        <v>312</v>
      </c>
      <c r="G7" s="55" t="s">
        <v>313</v>
      </c>
    </row>
    <row r="8" customFormat="false" ht="15" hidden="false" customHeight="true" outlineLevel="0" collapsed="false">
      <c r="B8" s="9" t="s">
        <v>1170</v>
      </c>
      <c r="C8" s="57"/>
      <c r="D8" s="30" t="s">
        <v>225</v>
      </c>
      <c r="E8" s="31" t="s">
        <v>638</v>
      </c>
      <c r="G8" s="55" t="s">
        <v>313</v>
      </c>
    </row>
    <row r="9" customFormat="false" ht="15" hidden="false" customHeight="true" outlineLevel="0" collapsed="false">
      <c r="B9" s="9" t="s">
        <v>714</v>
      </c>
      <c r="C9" s="57"/>
      <c r="D9" s="30" t="s">
        <v>225</v>
      </c>
      <c r="E9" s="31" t="s">
        <v>715</v>
      </c>
      <c r="G9" s="55" t="s">
        <v>313</v>
      </c>
    </row>
    <row r="10" customFormat="false" ht="15" hidden="false" customHeight="true" outlineLevel="0" collapsed="false">
      <c r="B10" s="9" t="s">
        <v>637</v>
      </c>
      <c r="C10" s="57"/>
      <c r="D10" s="30" t="s">
        <v>225</v>
      </c>
      <c r="E10" s="31" t="s">
        <v>638</v>
      </c>
      <c r="G10" s="55" t="s">
        <v>313</v>
      </c>
    </row>
    <row r="12" customFormat="false" ht="15" hidden="false" customHeight="true" outlineLevel="0" collapsed="false">
      <c r="B12" s="15" t="s">
        <v>323</v>
      </c>
      <c r="C12" s="27" t="s">
        <v>220</v>
      </c>
      <c r="D12" s="27" t="s">
        <v>221</v>
      </c>
      <c r="E12" s="27" t="s">
        <v>222</v>
      </c>
      <c r="F12" s="28" t="s">
        <v>223</v>
      </c>
      <c r="G12" s="16"/>
    </row>
    <row r="13" customFormat="false" ht="21.75" hidden="false" customHeight="true" outlineLevel="0" collapsed="false">
      <c r="B13" s="9" t="s">
        <v>1171</v>
      </c>
      <c r="C13" s="29"/>
      <c r="D13" s="30" t="s">
        <v>225</v>
      </c>
      <c r="E13" s="31" t="s">
        <v>1172</v>
      </c>
      <c r="F13" s="32" t="n">
        <v>15000</v>
      </c>
      <c r="G13" s="33" t="str">
        <f aca="false">IF(ISBLANK(C13),IF(Fill_Example="Yes",F13,""),C13)</f>
        <v/>
      </c>
    </row>
    <row r="14" customFormat="false" ht="21.75" hidden="false" customHeight="true" outlineLevel="0" collapsed="false">
      <c r="B14" s="9" t="s">
        <v>56</v>
      </c>
      <c r="C14" s="29"/>
      <c r="D14" s="30" t="s">
        <v>225</v>
      </c>
      <c r="E14" s="31" t="s">
        <v>1173</v>
      </c>
      <c r="F14" s="32" t="n">
        <v>10000</v>
      </c>
      <c r="G14" s="33" t="str">
        <f aca="false">IF(ISBLANK(C14),IF(Fill_Example="Yes",F14,""),C14)</f>
        <v/>
      </c>
    </row>
    <row r="15" customFormat="false" ht="21.75" hidden="false" customHeight="true" outlineLevel="0" collapsed="false">
      <c r="B15" s="9" t="s">
        <v>1174</v>
      </c>
      <c r="C15" s="29"/>
      <c r="D15" s="30" t="s">
        <v>225</v>
      </c>
      <c r="E15" s="31" t="s">
        <v>1175</v>
      </c>
      <c r="F15" s="32" t="n">
        <v>60000</v>
      </c>
      <c r="G15" s="33" t="str">
        <f aca="false">IF(ISBLANK(C15),IF(Pens_Value_Total&gt;0,Pens_Value_Total,IF(Fill_Example="Yes",F15,"")),C15)</f>
        <v/>
      </c>
    </row>
    <row r="16" customFormat="false" ht="21.75" hidden="false" customHeight="true" outlineLevel="0" collapsed="false">
      <c r="B16" s="9" t="s">
        <v>1176</v>
      </c>
      <c r="C16" s="29"/>
      <c r="D16" s="30" t="s">
        <v>225</v>
      </c>
      <c r="E16" s="31" t="s">
        <v>1177</v>
      </c>
      <c r="F16" s="32" t="n">
        <v>350000</v>
      </c>
      <c r="G16" s="33" t="str">
        <f aca="false">IF(ISBLANK(C16),IF(Fill_Example="Yes",F16,""),C16)</f>
        <v/>
      </c>
    </row>
    <row r="17" customFormat="false" ht="21.75" hidden="false" customHeight="true" outlineLevel="0" collapsed="false">
      <c r="B17" s="9" t="s">
        <v>531</v>
      </c>
      <c r="C17" s="29"/>
      <c r="D17" s="30" t="s">
        <v>225</v>
      </c>
      <c r="E17" s="31" t="s">
        <v>1178</v>
      </c>
      <c r="F17" s="32" t="n">
        <v>250000</v>
      </c>
      <c r="G17" s="33" t="str">
        <f aca="false">IF(ISBLANK(C17),IF(Fill_Example="Yes",F17,""),C17)</f>
        <v/>
      </c>
    </row>
    <row r="18" customFormat="false" ht="21.75" hidden="false" customHeight="true" outlineLevel="0" collapsed="false">
      <c r="B18" s="9" t="s">
        <v>1179</v>
      </c>
      <c r="C18" s="29"/>
      <c r="D18" s="30" t="s">
        <v>225</v>
      </c>
      <c r="E18" s="31" t="s">
        <v>1180</v>
      </c>
      <c r="F18" s="32" t="n">
        <v>8000</v>
      </c>
      <c r="G18" s="33" t="str">
        <f aca="false">IF(ISBLANK(C18),IF(Debts_Listed_Total&gt;0,Debts_Listed_Total,IF(Fill_Example="Yes",F18,"")),C18)</f>
        <v/>
      </c>
    </row>
    <row r="20" customFormat="false" ht="15" hidden="false" customHeight="true" outlineLevel="0" collapsed="false">
      <c r="B20" s="15" t="s">
        <v>332</v>
      </c>
      <c r="C20" s="16"/>
      <c r="D20" s="16"/>
      <c r="E20" s="16"/>
      <c r="F20" s="16"/>
      <c r="G20" s="16"/>
    </row>
    <row r="21" customFormat="false" ht="15" hidden="false" customHeight="true" outlineLevel="0" collapsed="false">
      <c r="B21" s="9" t="s">
        <v>531</v>
      </c>
      <c r="C21" s="61" t="str">
        <f aca="false">IF(ISBLANK(Stmt_Mortgage_Balance),Mortgage,Stmt_Mortgage_Balance)</f>
        <v/>
      </c>
      <c r="D21" s="62" t="str">
        <f aca="false">IF(ISBLANK(Stmt_Mortgage_Balance),"Your figure","From your statement")</f>
        <v>Your figure</v>
      </c>
      <c r="E21" s="52" t="s">
        <v>1181</v>
      </c>
    </row>
    <row r="22" customFormat="false" ht="15" hidden="false" customHeight="true" outlineLevel="0" collapsed="false">
      <c r="B22" s="9" t="s">
        <v>1176</v>
      </c>
      <c r="C22" s="61" t="str">
        <f aca="false">IF(ISBLANK(Stmt_Property_Value),Property,Stmt_Property_Value)</f>
        <v/>
      </c>
      <c r="D22" s="62" t="str">
        <f aca="false">IF(ISBLANK(Stmt_Property_Value),"Your figure","From your statement")</f>
        <v>Your figure</v>
      </c>
      <c r="E22" s="52" t="s">
        <v>1182</v>
      </c>
    </row>
    <row r="23" customFormat="false" ht="15" hidden="false" customHeight="true" outlineLevel="0" collapsed="false">
      <c r="B23" s="9" t="s">
        <v>1174</v>
      </c>
      <c r="C23" s="61" t="str">
        <f aca="false">IF(ISBLANK(Stmt_Pension_Value),Pensions,Stmt_Pension_Value)</f>
        <v/>
      </c>
      <c r="D23" s="62" t="str">
        <f aca="false">IF(ISBLANK(Stmt_Pension_Value),"Your figure","From your statement")</f>
        <v>Your figure</v>
      </c>
      <c r="E23" s="52" t="s">
        <v>1183</v>
      </c>
    </row>
    <row r="24" customFormat="false" ht="15" hidden="false" customHeight="true" outlineLevel="0" collapsed="false">
      <c r="B24" s="9" t="s">
        <v>56</v>
      </c>
      <c r="C24" s="61" t="str">
        <f aca="false">IF(ISBLANK(Stmt_Investment_Value),Investments,Stmt_Investment_Value)</f>
        <v/>
      </c>
      <c r="D24" s="62" t="str">
        <f aca="false">IF(ISBLANK(Stmt_Investment_Value),"Your figure","From your statement")</f>
        <v>Your figure</v>
      </c>
      <c r="E24" s="52" t="s">
        <v>1184</v>
      </c>
    </row>
    <row r="26" customFormat="false" ht="15" hidden="false" customHeight="true" outlineLevel="0" collapsed="false">
      <c r="B26" s="15" t="s">
        <v>245</v>
      </c>
      <c r="C26" s="27" t="s">
        <v>246</v>
      </c>
      <c r="D26" s="27" t="s">
        <v>247</v>
      </c>
      <c r="E26" s="27" t="s">
        <v>248</v>
      </c>
      <c r="F26" s="16"/>
      <c r="G26" s="16"/>
    </row>
    <row r="27" customFormat="false" ht="17.25" hidden="false" customHeight="true" outlineLevel="0" collapsed="false">
      <c r="B27" s="24" t="s">
        <v>1185</v>
      </c>
      <c r="C27" s="44" t="str">
        <f aca="false">IF(Need_1&lt;&gt;"",Need_1,You_Own-You_Owe)</f>
        <v>Choose your savings to see this</v>
      </c>
      <c r="D27" s="30" t="s">
        <v>225</v>
      </c>
      <c r="E27" s="45" t="s">
        <v>1186</v>
      </c>
    </row>
    <row r="28" customFormat="false" ht="17.25" hidden="false" customHeight="true" outlineLevel="0" collapsed="false">
      <c r="B28" s="24" t="s">
        <v>1187</v>
      </c>
      <c r="C28" s="44" t="str">
        <f aca="false">IF(Need_2&lt;&gt;"",Need_2,Savings+Used_Investments+Used_Pensions+Used_Property)</f>
        <v>Choose your savings to see this</v>
      </c>
      <c r="D28" s="30" t="s">
        <v>225</v>
      </c>
      <c r="E28" s="45" t="s">
        <v>1188</v>
      </c>
    </row>
    <row r="29" customFormat="false" ht="17.25" hidden="false" customHeight="true" outlineLevel="0" collapsed="false">
      <c r="B29" s="24" t="s">
        <v>1189</v>
      </c>
      <c r="C29" s="44" t="str">
        <f aca="false">IF(Need_3&lt;&gt;"",Need_3,Used_Mortgage+Other_Loans)</f>
        <v>Choose your other loans to see this</v>
      </c>
      <c r="D29" s="30" t="s">
        <v>225</v>
      </c>
      <c r="E29" s="45" t="s">
        <v>1190</v>
      </c>
    </row>
    <row r="31" customFormat="false" ht="15" hidden="false" customHeight="true" outlineLevel="0" collapsed="false">
      <c r="B31" s="15" t="s">
        <v>278</v>
      </c>
      <c r="C31" s="16"/>
      <c r="D31" s="16"/>
      <c r="E31" s="16"/>
      <c r="F31" s="16"/>
      <c r="G31" s="16"/>
    </row>
    <row r="32" customFormat="false" ht="13.5" hidden="false" customHeight="true" outlineLevel="0" collapsed="false">
      <c r="B32" s="49" t="s">
        <v>1191</v>
      </c>
      <c r="C32" s="49"/>
      <c r="D32" s="49"/>
      <c r="E32" s="49"/>
    </row>
    <row r="33" customFormat="false" ht="13.5" hidden="false" customHeight="true" outlineLevel="0" collapsed="false">
      <c r="B33" s="50" t="s">
        <v>282</v>
      </c>
      <c r="C33" s="50"/>
      <c r="D33" s="50"/>
      <c r="E33" s="50"/>
    </row>
    <row r="34" customFormat="false" ht="13.5" hidden="false" customHeight="true" outlineLevel="0" collapsed="false">
      <c r="B34" s="49" t="s">
        <v>1192</v>
      </c>
      <c r="C34" s="49"/>
      <c r="D34" s="49"/>
      <c r="E34" s="49"/>
    </row>
    <row r="36" customFormat="false" ht="15" hidden="false" customHeight="true" outlineLevel="0" collapsed="false">
      <c r="B36" s="15" t="s">
        <v>287</v>
      </c>
      <c r="C36" s="16"/>
      <c r="D36" s="16"/>
      <c r="E36" s="16"/>
      <c r="F36" s="16"/>
      <c r="G36" s="16"/>
    </row>
    <row r="37" customFormat="false" ht="15" hidden="false" customHeight="true" outlineLevel="0" collapsed="false">
      <c r="B37" s="9" t="s">
        <v>288</v>
      </c>
      <c r="C37" s="51" t="str">
        <f aca="false">"No goal"</f>
        <v>No goal</v>
      </c>
      <c r="E37" s="52" t="s">
        <v>477</v>
      </c>
    </row>
    <row r="39" customFormat="false" ht="15" hidden="false" customHeight="true" outlineLevel="0" collapsed="false">
      <c r="B39" s="15" t="s">
        <v>296</v>
      </c>
      <c r="C39" s="16"/>
      <c r="D39" s="16"/>
      <c r="E39" s="16"/>
      <c r="F39" s="16"/>
      <c r="G39" s="16"/>
    </row>
    <row r="40" customFormat="false" ht="15" hidden="false" customHeight="true" outlineLevel="0" collapsed="false">
      <c r="B40" s="55" t="s">
        <v>1193</v>
      </c>
      <c r="C40" s="55" t="str">
        <f aca="false">IF(Savings="","Choose your savings to see this",IF(Other_Loans="","Choose your other loans to see this",IF(NOT(ISNUMBER(Used_Mortgage)),IF(Used_Mortgage="",IF(Mortgage="","Choose your mortgage to see this",""),Used_Mortgage),IF(NOT(ISNUMBER(Used_Property)),IF(Used_Property="",IF(Property="","Choose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1" customFormat="false" ht="15" hidden="false" customHeight="true" outlineLevel="0" collapsed="false">
      <c r="B41" s="55" t="s">
        <v>1194</v>
      </c>
      <c r="C41" s="55" t="str">
        <f aca="false">IF(Savings="","Choose your savings to see this",IF(NOT(ISNUMBER(Used_Property)),IF(Used_Property="",IF(Property="","Choose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2" customFormat="false" ht="15" hidden="false" customHeight="true" outlineLevel="0" collapsed="false">
      <c r="B42" s="55" t="s">
        <v>1195</v>
      </c>
      <c r="C42" s="55" t="str">
        <f aca="false">IF(Other_Loans="","Choose your other loans to see this",IF(NOT(ISNUMBER(Used_Mortgage)),IF(Used_Mortgage="",IF(Mortgage="","Choose your mortgage to see this",""),Used_Mortgage),""))</f>
        <v>Choose your other loans to see this</v>
      </c>
    </row>
  </sheetData>
  <mergeCells count="4">
    <mergeCell ref="B6:E6"/>
    <mergeCell ref="B32:E32"/>
    <mergeCell ref="B33:E33"/>
    <mergeCell ref="B34:E34"/>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0" type="decimal">
      <formula1>0</formula1>
      <formula2>100000000</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9" type="decimal">
      <formula1>0</formula1>
      <formula2>50000000</formula2>
    </dataValidation>
    <dataValidation allowBlank="true" error="Please enter €0 to €100,000,000." errorStyle="stop" errorTitle="Outside the allowed range" operator="between" prompt="Unit: €. Allowed: €0 to €100,000,000." promptTitle="Property value (valuation)" showDropDown="false" showErrorMessage="true" showInputMessage="true" sqref="C8" type="decimal">
      <formula1>0</formula1>
      <formula2>100000000</formula2>
    </dataValidation>
    <dataValidation allowBlank="true" error="Please enter €0 to €10,000,000 · steps of €500." errorStyle="stop" errorTitle="Outside the allowed range" operator="between" prompt="Your own figure. In the app it is pre-filled from Your finances: cash.  Allowed: €0 to €10,000,000 · steps of €500." promptTitle="Savings" showDropDown="false" showErrorMessage="true" showInputMessage="true" sqref="C13" type="decimal">
      <formula1>0</formula1>
      <formula2>10000000</formula2>
    </dataValidation>
    <dataValidation allowBlank="true" error="Please enter €0 to €20,000,000 · steps of €1,000." errorStyle="stop" errorTitle="Outside the allowed range" operator="between" prompt="Your own figure. In the app it is pre-filled from Your finances: investments.  Allowed: €0 to €20,000,000 · steps of €1,000." promptTitle="Investments" showDropDown="false" showErrorMessage="true" showInputMessage="true" sqref="C14" type="decimal">
      <formula1>0</formula1>
      <formula2>20000000</formula2>
    </dataValidation>
    <dataValidation allowBlank="true" error="Please enter €0 to €30,000,000 · steps of €1,000." errorStyle="stop" errorTitle="Outside the allowed range" operator="between" prompt="Your own figure. In the app it is pre-filled from Your finances: pension.  Allowed: €0 to €30,000,000 · steps of €1,000." promptTitle="Pensions" showDropDown="false" showErrorMessage="true" showInputMessage="true" sqref="C15" type="decimal">
      <formula1>0</formula1>
      <formula2>30000000</formula2>
    </dataValidation>
    <dataValidation allowBlank="true" error="Please enter €0 to €50,000,000 · steps of €5,000." errorStyle="stop" errorTitle="Outside the allowed range" operator="between" prompt="Your own figure. In the app it is pre-filled from Your finances: home + other property.  Allowed: €0 to €50,000,000 · steps of €5,000." promptTitle="Property value" showDropDown="false" showErrorMessage="true" showInputMessage="true" sqref="C16" type="decimal">
      <formula1>0</formula1>
      <formula2>50000000</formula2>
    </dataValidation>
    <dataValidation allowBlank="true" error="Please enter €0 to €30,000,000 · steps of €5,000." errorStyle="stop" errorTitle="Outside the allowed range" operator="between" prompt="Your own figure. In the app it is pre-filled from Your finances: mortgage balance.  Allowed: €0 to €30,000,000 · steps of €5,000." promptTitle="Mortgage" showDropDown="false" showErrorMessage="true" showInputMessage="true" sqref="C17" type="decimal">
      <formula1>0</formula1>
      <formula2>30000000</formula2>
    </dataValidation>
    <dataValidation allowBlank="true" error="Please enter €0 to €5,000,000 · steps of €500." errorStyle="stop" errorTitle="Outside the allowed range" operator="between" prompt="Your own figure. In the app it is pre-filled from Your finances: debts.  Allowed: €0 to €5,000,000 · steps of €500." promptTitle="Other loans" showDropDown="false" showErrorMessage="true" showInputMessage="true" sqref="C18" type="decimal">
      <formula1>0</formula1>
      <formula2>5000000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3" t="s">
        <v>1196</v>
      </c>
      <c r="E1" s="3" t="s">
        <v>1197</v>
      </c>
    </row>
    <row r="2" customFormat="false" ht="15" hidden="false" customHeight="true" outlineLevel="0" collapsed="false">
      <c r="B2" s="24" t="s">
        <v>1198</v>
      </c>
      <c r="E2" s="25"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6" t="s">
        <v>1199</v>
      </c>
    </row>
    <row r="5" customFormat="false" ht="15" hidden="false" customHeight="true" outlineLevel="0" collapsed="false">
      <c r="B5" s="15" t="s">
        <v>219</v>
      </c>
      <c r="C5" s="27" t="s">
        <v>220</v>
      </c>
      <c r="D5" s="27" t="s">
        <v>221</v>
      </c>
      <c r="E5" s="27" t="s">
        <v>222</v>
      </c>
      <c r="F5" s="28" t="s">
        <v>223</v>
      </c>
      <c r="G5" s="16"/>
    </row>
    <row r="6" customFormat="false" ht="15" hidden="false" customHeight="true" outlineLevel="0" collapsed="false">
      <c r="B6" s="9" t="s">
        <v>1200</v>
      </c>
      <c r="C6" s="29"/>
      <c r="D6" s="30" t="s">
        <v>225</v>
      </c>
      <c r="E6" s="31" t="s">
        <v>1201</v>
      </c>
      <c r="F6" s="32" t="n">
        <v>3500</v>
      </c>
      <c r="G6" s="33" t="str">
        <f aca="false">IF(ISBLANK(C6),IF(Fill_Example="Yes",F6,""),C6)</f>
        <v/>
      </c>
    </row>
    <row r="7" customFormat="false" ht="21.75" hidden="false" customHeight="true" outlineLevel="0" collapsed="false">
      <c r="B7" s="9" t="s">
        <v>1202</v>
      </c>
      <c r="C7" s="29"/>
      <c r="D7" s="30" t="s">
        <v>225</v>
      </c>
      <c r="E7" s="31" t="s">
        <v>1203</v>
      </c>
      <c r="F7" s="32" t="n">
        <v>2000</v>
      </c>
      <c r="G7" s="33" t="str">
        <f aca="false">IF(ISBLANK(C7),IF(Fill_Example="Yes",F7,""),C7)</f>
        <v/>
      </c>
    </row>
    <row r="8" customFormat="false" ht="15" hidden="false" customHeight="true" outlineLevel="0" collapsed="false">
      <c r="B8" s="9" t="s">
        <v>1204</v>
      </c>
      <c r="C8" s="29"/>
      <c r="D8" s="30" t="s">
        <v>225</v>
      </c>
      <c r="E8" s="31" t="s">
        <v>1205</v>
      </c>
      <c r="F8" s="32" t="n">
        <v>800</v>
      </c>
      <c r="G8" s="33" t="str">
        <f aca="false">IF(ISBLANK(C8),IF(Fill_Example="Yes",F8,""),C8)</f>
        <v/>
      </c>
    </row>
    <row r="9" customFormat="false" ht="21.75" hidden="false" customHeight="true" outlineLevel="0" collapsed="false">
      <c r="B9" s="9" t="s">
        <v>1206</v>
      </c>
      <c r="C9" s="29"/>
      <c r="D9" s="30" t="s">
        <v>225</v>
      </c>
      <c r="E9" s="31" t="s">
        <v>1207</v>
      </c>
      <c r="F9" s="32" t="n">
        <v>200</v>
      </c>
      <c r="G9" s="33" t="str">
        <f aca="false">IF(ISBLANK(C9),IF(Debts_Pay_Total&gt;0,Debts_Pay_Total,IF(Fill_Example="Yes",F9,"")),C9)</f>
        <v/>
      </c>
    </row>
    <row r="11" customFormat="false" ht="15" hidden="false" customHeight="true" outlineLevel="0" collapsed="false">
      <c r="B11" s="15" t="s">
        <v>332</v>
      </c>
      <c r="C11" s="16"/>
      <c r="D11" s="16"/>
      <c r="E11" s="16"/>
      <c r="F11" s="16"/>
      <c r="G11" s="16"/>
    </row>
    <row r="12" customFormat="false" ht="15" hidden="false" customHeight="true" outlineLevel="0" collapsed="false">
      <c r="B12" s="9" t="s">
        <v>1208</v>
      </c>
      <c r="C12" s="61" t="str">
        <f aca="false">IF(Take_Home="",TE_Take_Home_Month,Take_Home)</f>
        <v>Choose your tax status to see this</v>
      </c>
      <c r="D12" s="62" t="str">
        <f aca="false">IF(Take_Home="","From the Tax engine","Your figure")</f>
        <v>From the Tax engine</v>
      </c>
      <c r="E12" s="52" t="s">
        <v>1209</v>
      </c>
    </row>
    <row r="14" customFormat="false" ht="15" hidden="false" customHeight="true" outlineLevel="0" collapsed="false">
      <c r="B14" s="15" t="s">
        <v>245</v>
      </c>
      <c r="C14" s="27" t="s">
        <v>246</v>
      </c>
      <c r="D14" s="27" t="s">
        <v>247</v>
      </c>
      <c r="E14" s="27" t="s">
        <v>248</v>
      </c>
      <c r="F14" s="16"/>
      <c r="G14" s="16"/>
    </row>
    <row r="15" customFormat="false" ht="17.25" hidden="false" customHeight="true" outlineLevel="0" collapsed="false">
      <c r="B15" s="24" t="s">
        <v>1210</v>
      </c>
      <c r="C15" s="44" t="str">
        <f aca="false">IF(Need_1&lt;&gt;"",Need_1,Used_Take_Home-Essentials-Lifestyle-Debt_Repayments)</f>
        <v>Choose your essentials to see this</v>
      </c>
      <c r="D15" s="66" t="str">
        <f aca="false">IF(Need_1&lt;&gt;"",Need_1,IF(Surplus&gt;0,"About "&amp;ROUND(Surplus/Used_Take_Home*100,0)&amp;"% of take-home is free for goals",IF(Surplus=0,"Nothing left over this month","Spending is above income")))</f>
        <v>Choose your essentials to see this</v>
      </c>
      <c r="E15" s="45" t="s">
        <v>1211</v>
      </c>
    </row>
    <row r="16" customFormat="false" ht="17.25" hidden="false" customHeight="true" outlineLevel="0" collapsed="false">
      <c r="B16" s="24" t="s">
        <v>1212</v>
      </c>
      <c r="C16" s="44" t="str">
        <f aca="false">IF(Need_2&lt;&gt;"",Need_2,Essentials+Lifestyle+Debt_Repayments)</f>
        <v>Choose your essentials to see this</v>
      </c>
      <c r="D16" s="30" t="s">
        <v>225</v>
      </c>
      <c r="E16" s="45" t="s">
        <v>1213</v>
      </c>
    </row>
    <row r="18" customFormat="false" ht="15" hidden="false" customHeight="true" outlineLevel="0" collapsed="false">
      <c r="B18" s="15" t="s">
        <v>278</v>
      </c>
      <c r="C18" s="16"/>
      <c r="D18" s="16"/>
      <c r="E18" s="16"/>
      <c r="F18" s="16"/>
      <c r="G18" s="16"/>
    </row>
    <row r="19" customFormat="false" ht="13.5" hidden="false" customHeight="true" outlineLevel="0" collapsed="false">
      <c r="B19" s="49" t="s">
        <v>1214</v>
      </c>
      <c r="C19" s="49"/>
      <c r="D19" s="49"/>
      <c r="E19" s="49"/>
    </row>
    <row r="20" customFormat="false" ht="13.5" hidden="false" customHeight="true" outlineLevel="0" collapsed="false">
      <c r="B20" s="50" t="s">
        <v>282</v>
      </c>
      <c r="C20" s="50"/>
      <c r="D20" s="50"/>
      <c r="E20" s="50"/>
    </row>
    <row r="21" customFormat="false" ht="13.5" hidden="false" customHeight="true" outlineLevel="0" collapsed="false">
      <c r="B21" s="49" t="s">
        <v>1215</v>
      </c>
      <c r="C21" s="49"/>
      <c r="D21" s="49"/>
      <c r="E21" s="49"/>
    </row>
    <row r="23" customFormat="false" ht="15" hidden="false" customHeight="true" outlineLevel="0" collapsed="false">
      <c r="B23" s="15" t="s">
        <v>287</v>
      </c>
      <c r="C23" s="16"/>
      <c r="D23" s="16"/>
      <c r="E23" s="16"/>
      <c r="F23" s="16"/>
      <c r="G23" s="16"/>
    </row>
    <row r="24" customFormat="false" ht="15" hidden="false" customHeight="true" outlineLevel="0" collapsed="false">
      <c r="B24" s="9" t="s">
        <v>288</v>
      </c>
      <c r="C24" s="51" t="str">
        <f aca="false">IF(Need_1&lt;&gt;"",Need_1,IF(Surplus&gt;0,"Save my surplus (plan kind pot)","No goal"))</f>
        <v>Choose your essentials to see this</v>
      </c>
      <c r="E24" s="52" t="s">
        <v>1216</v>
      </c>
    </row>
    <row r="25" customFormat="false" ht="15" hidden="false" customHeight="true" outlineLevel="0" collapsed="false">
      <c r="B25" s="9" t="s">
        <v>1217</v>
      </c>
      <c r="C25" s="53" t="str">
        <f aca="false">IF(Need_1&lt;&gt;"",Need_1,IF(Surplus&gt;0,ROUND(Surplus*12,0),"—"))</f>
        <v>Choose your essentials to see this</v>
      </c>
      <c r="E25" s="52" t="s">
        <v>1218</v>
      </c>
    </row>
    <row r="26" customFormat="false" ht="15" hidden="false" customHeight="true" outlineLevel="0" collapsed="false">
      <c r="B26" s="9" t="s">
        <v>294</v>
      </c>
      <c r="C26" s="54" t="str">
        <f aca="false">IF(Need_1&lt;&gt;"",Need_1,IF(Surplus&gt;0,1,"—"))</f>
        <v>Choose your essentials to see this</v>
      </c>
      <c r="E26" s="52" t="s">
        <v>1219</v>
      </c>
    </row>
    <row r="28" customFormat="false" ht="15" hidden="false" customHeight="true" outlineLevel="0" collapsed="false">
      <c r="B28" s="15" t="s">
        <v>296</v>
      </c>
      <c r="C28" s="16"/>
      <c r="D28" s="16"/>
      <c r="E28" s="16"/>
      <c r="F28" s="16"/>
      <c r="G28" s="16"/>
    </row>
    <row r="29" customFormat="false" ht="15" hidden="false" customHeight="true" outlineLevel="0" collapsed="false">
      <c r="B29" s="55" t="s">
        <v>1220</v>
      </c>
      <c r="C29" s="55" t="str">
        <f aca="false">IF(Essentials="","Choose your essentials to see this",IF(Lifestyle="","Choose your lifestyle spending to see this",IF(Debt_Repayments="","Choose your debt repayments to see this",IF(NOT(ISNUMBER(Used_Take_Home)),IF(Used_Take_Home="","Choose your take-home pay per month to see this",Used_Take_Home),""))))</f>
        <v>Choose your essentials to see this</v>
      </c>
    </row>
    <row r="30" customFormat="false" ht="15" hidden="false" customHeight="true" outlineLevel="0" collapsed="false">
      <c r="B30" s="55" t="s">
        <v>1221</v>
      </c>
      <c r="C30" s="55" t="str">
        <f aca="false">IF(Essentials="","Choose your essentials to see this",IF(Lifestyle="","Choose your lifestyle spending to see this",IF(Debt_Repayments="","Choose your debt repayments to see this","")))</f>
        <v>Choose your essentials to see this</v>
      </c>
    </row>
  </sheetData>
  <mergeCells count="3">
    <mergeCell ref="B19:E19"/>
    <mergeCell ref="B20:E20"/>
    <mergeCell ref="B21:E21"/>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200000</formula2>
    </dataValidation>
    <dataValidation allowBlank="true" error="Please enter €0 to €150,000 · steps of €50." errorStyle="stop" errorTitle="Outside the allowed range" operator="between" prompt="Your own figure. In the app it is pre-filled from Your finances: costs + one-offs ÷ 12 + mortgage.  Allowed: €0 to €150,000 · steps of €50." promptTitle="Essentials (rent/mortgage, bills" showDropDown="false" showErrorMessage="true" showInputMessage="true" sqref="C7" type="decimal">
      <formula1>0</formula1>
      <formula2>150000</formula2>
    </dataValidation>
    <dataValidation allowBlank="true" error="Please enter €0 to €100,000 · steps of €50." errorStyle="stop" errorTitle="Outside the allowed range" operator="between" prompt="Your own figure.  Allowed: €0 to €100,000 · steps of €50." promptTitle="Lifestyle spending" showDropDown="false" showErrorMessage="true" showInputMessage="true" sqref="C8" type="decimal">
      <formula1>0</formula1>
      <formula2>100000</formula2>
    </dataValidation>
    <dataValidation allowBlank="true" error="Please enter €0 to €50,000 · steps of €25." errorStyle="stop" errorTitle="Outside the allowed range" operator="between" prompt="Your own figure. In the app it is pre-filled from Your finances: debt repayments.  Allowed: €0 to €50,000 · steps of €25." promptTitle="Debt repayments" showDropDown="false" showErrorMessage="true" showInputMessage="true" sqref="C9" type="decimal">
      <formula1>0</formula1>
      <formula2>50000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3" t="s">
        <v>1222</v>
      </c>
      <c r="E1" s="3" t="s">
        <v>1223</v>
      </c>
    </row>
    <row r="2" customFormat="false" ht="15" hidden="false" customHeight="true" outlineLevel="0" collapsed="false">
      <c r="B2" s="24" t="s">
        <v>1224</v>
      </c>
      <c r="E2" s="25"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6" t="s">
        <v>1225</v>
      </c>
    </row>
    <row r="5" customFormat="false" ht="15" hidden="false" customHeight="true" outlineLevel="0" collapsed="false">
      <c r="B5" s="15" t="s">
        <v>219</v>
      </c>
      <c r="C5" s="27" t="s">
        <v>220</v>
      </c>
      <c r="D5" s="27" t="s">
        <v>221</v>
      </c>
      <c r="E5" s="27" t="s">
        <v>222</v>
      </c>
      <c r="F5" s="28" t="s">
        <v>223</v>
      </c>
      <c r="G5" s="16"/>
    </row>
    <row r="6" customFormat="false" ht="15" hidden="false" customHeight="true" outlineLevel="0" collapsed="false">
      <c r="B6" s="9" t="s">
        <v>1200</v>
      </c>
      <c r="C6" s="29"/>
      <c r="D6" s="30" t="s">
        <v>225</v>
      </c>
      <c r="E6" s="31" t="s">
        <v>1201</v>
      </c>
      <c r="F6" s="32" t="n">
        <v>3500</v>
      </c>
      <c r="G6" s="33" t="str">
        <f aca="false">IF(ISBLANK(C6),IF(Fill_Example="Yes",F6,""),C6)</f>
        <v/>
      </c>
    </row>
    <row r="7" customFormat="false" ht="21.75" hidden="false" customHeight="true" outlineLevel="0" collapsed="false">
      <c r="B7" s="9" t="s">
        <v>1226</v>
      </c>
      <c r="C7" s="37"/>
      <c r="D7" s="30" t="s">
        <v>236</v>
      </c>
      <c r="E7" s="38" t="s">
        <v>1227</v>
      </c>
      <c r="F7" s="39" t="n">
        <v>0.5</v>
      </c>
      <c r="G7" s="40" t="str">
        <f aca="false">IF(ISBLANK(C7),IF(Fill_Example="Yes",F7,""),C7)</f>
        <v/>
      </c>
    </row>
    <row r="8" customFormat="false" ht="21.75" hidden="false" customHeight="true" outlineLevel="0" collapsed="false">
      <c r="B8" s="9" t="s">
        <v>1228</v>
      </c>
      <c r="C8" s="37"/>
      <c r="D8" s="30" t="s">
        <v>236</v>
      </c>
      <c r="E8" s="38" t="s">
        <v>1229</v>
      </c>
      <c r="F8" s="39" t="n">
        <v>0.3</v>
      </c>
      <c r="G8" s="40" t="str">
        <f aca="false">IF(ISBLANK(C8),IF(Fill_Example="Yes",F8,""),C8)</f>
        <v/>
      </c>
    </row>
    <row r="9" customFormat="false" ht="21.75" hidden="false" customHeight="true" outlineLevel="0" collapsed="false">
      <c r="B9" s="9" t="s">
        <v>1230</v>
      </c>
      <c r="C9" s="37"/>
      <c r="D9" s="30" t="s">
        <v>236</v>
      </c>
      <c r="E9" s="38" t="s">
        <v>1231</v>
      </c>
      <c r="F9" s="39" t="n">
        <v>0.2</v>
      </c>
      <c r="G9" s="40" t="str">
        <f aca="false">IF(ISBLANK(C9),IF(Fill_Example="Yes",F9,""),C9)</f>
        <v/>
      </c>
    </row>
    <row r="11" customFormat="false" ht="15" hidden="false" customHeight="true" outlineLevel="0" collapsed="false">
      <c r="B11" s="15" t="s">
        <v>332</v>
      </c>
      <c r="C11" s="16"/>
      <c r="D11" s="16"/>
      <c r="E11" s="16"/>
      <c r="F11" s="16"/>
      <c r="G11" s="16"/>
    </row>
    <row r="12" customFormat="false" ht="15" hidden="false" customHeight="true" outlineLevel="0" collapsed="false">
      <c r="B12" s="9" t="s">
        <v>1208</v>
      </c>
      <c r="C12" s="61" t="str">
        <f aca="false">IF(Take_Home="",TE_Take_Home_Month,Take_Home)</f>
        <v>Choose your tax status to see this</v>
      </c>
      <c r="D12" s="62" t="str">
        <f aca="false">IF(Take_Home="","From the Tax engine","Your figure")</f>
        <v>From the Tax engine</v>
      </c>
      <c r="E12" s="52" t="s">
        <v>1209</v>
      </c>
    </row>
    <row r="14" customFormat="false" ht="15" hidden="false" customHeight="true" outlineLevel="0" collapsed="false">
      <c r="B14" s="15" t="s">
        <v>245</v>
      </c>
      <c r="C14" s="27" t="s">
        <v>246</v>
      </c>
      <c r="D14" s="27" t="s">
        <v>247</v>
      </c>
      <c r="E14" s="27" t="s">
        <v>248</v>
      </c>
      <c r="F14" s="16"/>
      <c r="G14" s="16"/>
    </row>
    <row r="15" customFormat="false" ht="15" hidden="false" customHeight="true" outlineLevel="0" collapsed="false">
      <c r="B15" s="75" t="s">
        <v>774</v>
      </c>
      <c r="C15" s="76" t="str">
        <f aca="false">IF(Need_1&lt;&gt;"","",IF(ROUND(Budget_Needs+Budget_Wants+Budget_Save,6)&lt;&gt;1,"Your shares add up to "&amp;TEXT(Budget_Needs+Budget_Wants+Budget_Save,"0%")&amp;", not 100%.",""))</f>
        <v/>
      </c>
      <c r="D15" s="76"/>
      <c r="E15" s="76"/>
    </row>
    <row r="16" customFormat="false" ht="17.25" hidden="false" customHeight="true" outlineLevel="0" collapsed="false">
      <c r="B16" s="24" t="s">
        <v>1232</v>
      </c>
      <c r="C16" s="44" t="str">
        <f aca="false">IF(Need_2&lt;&gt;"",Need_2,Used_Take_Home*Budget_Save)</f>
        <v>Choose your share for savings to see this</v>
      </c>
      <c r="D16" s="30" t="s">
        <v>225</v>
      </c>
      <c r="E16" s="45" t="s">
        <v>1233</v>
      </c>
    </row>
    <row r="17" customFormat="false" ht="17.25" hidden="false" customHeight="true" outlineLevel="0" collapsed="false">
      <c r="B17" s="24" t="s">
        <v>1234</v>
      </c>
      <c r="C17" s="44" t="str">
        <f aca="false">IF(Need_3&lt;&gt;"",Need_3,Used_Take_Home*Budget_Needs)</f>
        <v>Choose your share for needs to see this</v>
      </c>
      <c r="D17" s="30" t="s">
        <v>225</v>
      </c>
      <c r="E17" s="45" t="s">
        <v>1235</v>
      </c>
    </row>
    <row r="18" customFormat="false" ht="17.25" hidden="false" customHeight="true" outlineLevel="0" collapsed="false">
      <c r="B18" s="24" t="s">
        <v>1236</v>
      </c>
      <c r="C18" s="44" t="str">
        <f aca="false">IF(Need_4&lt;&gt;"",Need_4,Used_Take_Home*Budget_Wants)</f>
        <v>Choose your share for wants to see this</v>
      </c>
      <c r="D18" s="30" t="s">
        <v>225</v>
      </c>
      <c r="E18" s="45" t="s">
        <v>1237</v>
      </c>
    </row>
    <row r="20" customFormat="false" ht="15" hidden="false" customHeight="true" outlineLevel="0" collapsed="false">
      <c r="B20" s="15" t="s">
        <v>278</v>
      </c>
      <c r="C20" s="16"/>
      <c r="D20" s="16"/>
      <c r="E20" s="16"/>
      <c r="F20" s="16"/>
      <c r="G20" s="16"/>
    </row>
    <row r="21" customFormat="false" ht="13.5" hidden="false" customHeight="true" outlineLevel="0" collapsed="false">
      <c r="B21" s="49" t="s">
        <v>1238</v>
      </c>
      <c r="C21" s="49"/>
      <c r="D21" s="49"/>
      <c r="E21" s="49"/>
    </row>
    <row r="22" customFormat="false" ht="13.5" hidden="false" customHeight="true" outlineLevel="0" collapsed="false">
      <c r="B22" s="50" t="s">
        <v>282</v>
      </c>
      <c r="C22" s="50"/>
      <c r="D22" s="50"/>
      <c r="E22" s="50"/>
    </row>
    <row r="23" customFormat="false" ht="13.5" hidden="false" customHeight="true" outlineLevel="0" collapsed="false">
      <c r="B23" s="49" t="s">
        <v>1239</v>
      </c>
      <c r="C23" s="49"/>
      <c r="D23" s="49"/>
      <c r="E23" s="49"/>
    </row>
    <row r="25" customFormat="false" ht="15" hidden="false" customHeight="true" outlineLevel="0" collapsed="false">
      <c r="B25" s="15" t="s">
        <v>287</v>
      </c>
      <c r="C25" s="16"/>
      <c r="D25" s="16"/>
      <c r="E25" s="16"/>
      <c r="F25" s="16"/>
      <c r="G25" s="16"/>
    </row>
    <row r="26" customFormat="false" ht="15" hidden="false" customHeight="true" outlineLevel="0" collapsed="false">
      <c r="B26" s="9" t="s">
        <v>288</v>
      </c>
      <c r="C26" s="51" t="str">
        <f aca="false">"No goal"</f>
        <v>No goal</v>
      </c>
      <c r="E26" s="52" t="s">
        <v>477</v>
      </c>
    </row>
    <row r="28" customFormat="false" ht="15" hidden="false" customHeight="true" outlineLevel="0" collapsed="false">
      <c r="B28" s="15" t="s">
        <v>296</v>
      </c>
      <c r="C28" s="16"/>
      <c r="D28" s="16"/>
      <c r="E28" s="16"/>
      <c r="F28" s="16"/>
      <c r="G28" s="16"/>
    </row>
    <row r="29" customFormat="false" ht="15" hidden="false" customHeight="true" outlineLevel="0" collapsed="false">
      <c r="B29" s="55" t="s">
        <v>1240</v>
      </c>
      <c r="C29" s="55" t="str">
        <f aca="false">IF(Budget_Needs="","Choose your share for needs to see this",IF(Budget_Wants="","Choose your share for wants to see this",IF(Budget_Save="","Choose your share for savings to see this","")))</f>
        <v>Choose your share for needs to see this</v>
      </c>
    </row>
    <row r="30" customFormat="false" ht="15" hidden="false" customHeight="true" outlineLevel="0" collapsed="false">
      <c r="B30" s="55" t="s">
        <v>1241</v>
      </c>
      <c r="C30" s="55" t="str">
        <f aca="false">IF(Budget_Save="","Choose your share for savings to see this",IF(NOT(ISNUMBER(Used_Take_Home)),IF(Used_Take_Home="","Choose your take-home pay per month to see this",Used_Take_Home),""))</f>
        <v>Choose your share for savings to see this</v>
      </c>
    </row>
    <row r="31" customFormat="false" ht="15" hidden="false" customHeight="true" outlineLevel="0" collapsed="false">
      <c r="B31" s="55" t="s">
        <v>1242</v>
      </c>
      <c r="C31" s="55" t="str">
        <f aca="false">IF(Budget_Needs="","Choose your share for needs to see this",IF(NOT(ISNUMBER(Used_Take_Home)),IF(Used_Take_Home="","Choose your take-home pay per month to see this",Used_Take_Home),""))</f>
        <v>Choose your share for needs to see this</v>
      </c>
    </row>
    <row r="32" customFormat="false" ht="15" hidden="false" customHeight="true" outlineLevel="0" collapsed="false">
      <c r="B32" s="55" t="s">
        <v>1243</v>
      </c>
      <c r="C32" s="55" t="str">
        <f aca="false">IF(Budget_Wants="","Choose your share for wants to see this",IF(NOT(ISNUMBER(Used_Take_Home)),IF(Used_Take_Home="","Choose your take-home pay per month to see this",Used_Take_Home),""))</f>
        <v>Choose your share for wants to see this</v>
      </c>
    </row>
  </sheetData>
  <mergeCells count="4">
    <mergeCell ref="C15:E15"/>
    <mergeCell ref="B21:E21"/>
    <mergeCell ref="B22:E22"/>
    <mergeCell ref="B23:E23"/>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200000</formula2>
    </dataValidation>
    <dataValidation allowBlank="true" error="Please enter 0% to 100% · steps of 5%." errorStyle="stop" errorTitle="Outside the allowed range" operator="between" prompt="Generally the standard is 50% for needs (the 50/30/20 rule of thumb). Choose what you want to use.  Allowed: 0% to 100% · steps of 5%." promptTitle="Share for needs" showDropDown="false" showErrorMessage="true" showInputMessage="true" sqref="C7" type="decimal">
      <formula1>0</formula1>
      <formula2>1</formula2>
    </dataValidation>
    <dataValidation allowBlank="true" error="Please enter 0% to 100% · steps of 5%." errorStyle="stop" errorTitle="Outside the allowed range" operator="between" prompt="Generally the standard is 30% for wants (the 50/30/20 rule of thumb). Choose what you want to use.  Allowed: 0% to 100% · steps of 5%." promptTitle="Share for wants" showDropDown="false" showErrorMessage="true" showInputMessage="true" sqref="C8" type="decimal">
      <formula1>0</formula1>
      <formula2>1</formula2>
    </dataValidation>
    <dataValidation allowBlank="true" error="Please enter 0% to 100% · steps of 5%." errorStyle="stop" errorTitle="Outside the allowed range" operator="between" prompt="Generally the standard is 20% for savings and debt (the 50/30/20 rule of thumb). Choose what you want to use.  Allowed: 0% to 100% · steps of 5%." promptTitle="Share for savings and debt" showDropDown="false" showErrorMessage="true" showInputMessage="true" sqref="C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3" t="s">
        <v>1244</v>
      </c>
      <c r="E1" s="3" t="s">
        <v>1245</v>
      </c>
    </row>
    <row r="2" customFormat="false" ht="15" hidden="false" customHeight="true" outlineLevel="0" collapsed="false">
      <c r="B2" s="24" t="s">
        <v>1246</v>
      </c>
      <c r="E2" s="25"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6" t="s">
        <v>1247</v>
      </c>
    </row>
    <row r="5" customFormat="false" ht="15" hidden="false" customHeight="true" outlineLevel="0" collapsed="false">
      <c r="B5" s="15" t="s">
        <v>219</v>
      </c>
      <c r="C5" s="27" t="s">
        <v>220</v>
      </c>
      <c r="D5" s="27" t="s">
        <v>221</v>
      </c>
      <c r="E5" s="27" t="s">
        <v>222</v>
      </c>
      <c r="F5" s="28" t="s">
        <v>223</v>
      </c>
      <c r="G5" s="16"/>
    </row>
    <row r="6" customFormat="false" ht="21.75" hidden="false" customHeight="true" outlineLevel="0" collapsed="false">
      <c r="B6" s="9" t="s">
        <v>1248</v>
      </c>
      <c r="C6" s="29"/>
      <c r="D6" s="30" t="s">
        <v>225</v>
      </c>
      <c r="E6" s="31" t="s">
        <v>1249</v>
      </c>
      <c r="F6" s="32" t="n">
        <v>5000</v>
      </c>
      <c r="G6" s="33" t="str">
        <f aca="false">IF(ISBLANK(C6),IF(Fill_Example="Yes",F6,""),C6)</f>
        <v/>
      </c>
    </row>
    <row r="7" customFormat="false" ht="33" hidden="false" customHeight="true" outlineLevel="0" collapsed="false">
      <c r="B7" s="9" t="s">
        <v>1250</v>
      </c>
      <c r="C7" s="37"/>
      <c r="D7" s="30" t="s">
        <v>236</v>
      </c>
      <c r="E7" s="38" t="str">
        <f aca="false">"Type 2 · your figure · Your card's APR: your statement shows it. New credit cards can't charge more than "&amp;TEXT(Card_APR_Cap,"0%")&amp;" APR (Central Bank); some older cards are higher. "&amp;IF(ISNUMBER(Suggest_Card_APR),"Suggested: "&amp;TEXT(Suggest_Card_APR,"0.00%")&amp;" · "&amp;Suggest_Card_APR_Label&amp;". ","")&amp;"Enter your own figure."&amp;" Allowed: 0% to 35% · steps of 0.5%"</f>
        <v>Type 2 · your figure · Your card's APR: your statement shows it. New credit cards can't charge more than 23% APR (Central Bank); some older cards are higher. Enter your own figure. Allowed: 0% to 35% · steps of 0.5%</v>
      </c>
      <c r="F7" s="39" t="str">
        <f aca="false">IF(ISNUMBER(Suggest_Card_APR),Suggest_Card_APR,"")</f>
        <v/>
      </c>
      <c r="G7" s="40" t="str">
        <f aca="false">IF(ISBLANK(C7),IF(Fill_Example="Yes",F7,""),C7)</f>
        <v/>
      </c>
    </row>
    <row r="8" customFormat="false" ht="21.75" hidden="false" customHeight="true" outlineLevel="0" collapsed="false">
      <c r="B8" s="9" t="s">
        <v>1251</v>
      </c>
      <c r="C8" s="29"/>
      <c r="D8" s="30" t="s">
        <v>225</v>
      </c>
      <c r="E8" s="31" t="s">
        <v>1252</v>
      </c>
      <c r="F8" s="32" t="n">
        <v>250</v>
      </c>
      <c r="G8" s="33" t="str">
        <f aca="false">IF(ISBLANK(C8),IF(Fill_Example="Yes",F8,""),C8)</f>
        <v/>
      </c>
    </row>
    <row r="9" customFormat="false" ht="15" hidden="false" customHeight="true" outlineLevel="0" collapsed="false">
      <c r="B9" s="9" t="s">
        <v>1253</v>
      </c>
      <c r="C9" s="29"/>
      <c r="D9" s="30" t="s">
        <v>225</v>
      </c>
      <c r="E9" s="31" t="s">
        <v>1254</v>
      </c>
      <c r="F9" s="32" t="n">
        <v>0</v>
      </c>
      <c r="G9" s="33" t="n">
        <f aca="false">IF(ISBLANK(C9),F9,C9)</f>
        <v>0</v>
      </c>
    </row>
    <row r="11" customFormat="false" ht="15" hidden="false" customHeight="true" outlineLevel="0" collapsed="false">
      <c r="B11" s="15" t="s">
        <v>245</v>
      </c>
      <c r="C11" s="27" t="s">
        <v>246</v>
      </c>
      <c r="D11" s="27" t="s">
        <v>247</v>
      </c>
      <c r="E11" s="27" t="s">
        <v>248</v>
      </c>
      <c r="F11" s="16"/>
      <c r="G11" s="16"/>
    </row>
    <row r="12" customFormat="false" ht="17.25" hidden="false" customHeight="true" outlineLevel="0" collapsed="false">
      <c r="B12" s="24" t="s">
        <v>1255</v>
      </c>
      <c r="C12" s="65" t="str">
        <f aca="false">IF(Need_1&lt;&gt;"",Need_1,IF(Payment&lt;=Balance*Monthly_Rate,"Never",ROUNDUP(ROUND(NPER(Monthly_Rate,-Payment,Balance),6),0)))</f>
        <v>Choose your balance to see this</v>
      </c>
      <c r="D12" s="66" t="str">
        <f aca="false">IF(Need_1&lt;&gt;"",Need_1,IF(Months_To_Clear="Never","Never at this repayment",IF(Months_To_Clear&gt;Cap_Months,"Payment too low to clear this debt in a reasonable time (over 100 years)",IF(INT(Months_To_Clear/12)=0,MOD(Months_To_Clear,12)&amp;IF(MOD(Months_To_Clear,12)=1," month"," months"),INT(Months_To_Clear/12)&amp;IF(INT(Months_To_Clear/12)=1," year"," years")&amp;IF(MOD(Months_To_Clear,12)=0,""," "&amp;MOD(Months_To_Clear,12)&amp;IF(MOD(Months_To_Clear,12)=1," month"," months"))))))</f>
        <v>Choose your balance to see this</v>
      </c>
      <c r="E12" s="45" t="s">
        <v>1256</v>
      </c>
    </row>
    <row r="13" customFormat="false" ht="17.25" hidden="false" customHeight="true" outlineLevel="0" collapsed="false">
      <c r="B13" s="24" t="s">
        <v>343</v>
      </c>
      <c r="C13" s="44" t="str">
        <f aca="false">IF(Need_1&lt;&gt;"",Need_1,IF(Months_To_Clear="Never","—",Payment*(Months_To_Clear-1)+Final_Payment-Balance))</f>
        <v>Choose your balance to see this</v>
      </c>
      <c r="D13" s="30" t="s">
        <v>225</v>
      </c>
      <c r="E13" s="45" t="s">
        <v>1257</v>
      </c>
    </row>
    <row r="14" customFormat="false" ht="15" hidden="false" customHeight="true" outlineLevel="0" collapsed="false">
      <c r="B14" s="9" t="s">
        <v>1258</v>
      </c>
      <c r="C14" s="67" t="str">
        <f aca="false">IF(Need_2&lt;&gt;"",Need_2,(1+APR)^(1/12)-1)</f>
        <v>Choose your interest rate (APR) to see this</v>
      </c>
      <c r="D14" s="30"/>
      <c r="E14" s="45" t="s">
        <v>1259</v>
      </c>
    </row>
    <row r="15" customFormat="false" ht="15" hidden="false" customHeight="true" outlineLevel="0" collapsed="false">
      <c r="B15" s="9" t="s">
        <v>1260</v>
      </c>
      <c r="C15" s="46" t="str">
        <f aca="false">IF(Need_3&lt;&gt;"",Need_3,Monthly_Payment+Extra_Payment)</f>
        <v>Choose your monthly payment to see this</v>
      </c>
      <c r="D15" s="30" t="s">
        <v>225</v>
      </c>
      <c r="E15" s="45" t="s">
        <v>1261</v>
      </c>
    </row>
    <row r="16" customFormat="false" ht="15" hidden="false" customHeight="true" outlineLevel="0" collapsed="false">
      <c r="B16" s="9" t="s">
        <v>351</v>
      </c>
      <c r="C16" s="46" t="str">
        <f aca="false">IF(Need_1&lt;&gt;"",Need_1,IF(Months_To_Clear="Never","—",-FV(Monthly_Rate,Months_To_Clear-1,-Payment,Balance)*(1+Monthly_Rate)))</f>
        <v>Choose your balance to see this</v>
      </c>
      <c r="D16" s="30" t="s">
        <v>225</v>
      </c>
      <c r="E16" s="45" t="s">
        <v>1262</v>
      </c>
    </row>
    <row r="18" customFormat="false" ht="15" hidden="false" customHeight="true" outlineLevel="0" collapsed="false">
      <c r="B18" s="15" t="s">
        <v>278</v>
      </c>
      <c r="C18" s="16"/>
      <c r="D18" s="16"/>
      <c r="E18" s="16"/>
      <c r="F18" s="16"/>
      <c r="G18" s="16"/>
    </row>
    <row r="19" customFormat="false" ht="13.5" hidden="false" customHeight="true" outlineLevel="0" collapsed="false">
      <c r="B19" s="49" t="s">
        <v>1263</v>
      </c>
      <c r="C19" s="49"/>
      <c r="D19" s="49"/>
      <c r="E19" s="49"/>
    </row>
    <row r="20" customFormat="false" ht="13.5" hidden="false" customHeight="true" outlineLevel="0" collapsed="false">
      <c r="B20" s="49" t="s">
        <v>1264</v>
      </c>
      <c r="C20" s="49"/>
      <c r="D20" s="49"/>
      <c r="E20" s="49"/>
    </row>
    <row r="21" customFormat="false" ht="13.5" hidden="false" customHeight="true" outlineLevel="0" collapsed="false">
      <c r="B21" s="50" t="s">
        <v>282</v>
      </c>
      <c r="C21" s="50"/>
      <c r="D21" s="50"/>
      <c r="E21" s="50"/>
    </row>
    <row r="22" customFormat="false" ht="27.75" hidden="false" customHeight="true" outlineLevel="0" collapsed="false">
      <c r="B22" s="49" t="s">
        <v>362</v>
      </c>
      <c r="C22" s="49"/>
      <c r="D22" s="49"/>
      <c r="E22" s="49"/>
    </row>
    <row r="23" customFormat="false" ht="13.5" hidden="false" customHeight="true" outlineLevel="0" collapsed="false">
      <c r="B23" s="49" t="s">
        <v>1265</v>
      </c>
      <c r="C23" s="49"/>
      <c r="D23" s="49"/>
      <c r="E23" s="49"/>
    </row>
    <row r="24" customFormat="false" ht="27.75" hidden="false" customHeight="true" outlineLevel="0" collapsed="false">
      <c r="B24" s="49" t="s">
        <v>364</v>
      </c>
      <c r="C24" s="49"/>
      <c r="D24" s="49"/>
      <c r="E24" s="49"/>
    </row>
    <row r="25" customFormat="false" ht="13.5" hidden="false" customHeight="true" outlineLevel="0" collapsed="false">
      <c r="B25" s="49" t="s">
        <v>286</v>
      </c>
      <c r="C25" s="49"/>
      <c r="D25" s="49"/>
      <c r="E25" s="49"/>
    </row>
    <row r="27" customFormat="false" ht="15" hidden="false" customHeight="true" outlineLevel="0" collapsed="false">
      <c r="B27" s="15" t="s">
        <v>287</v>
      </c>
      <c r="C27" s="16"/>
      <c r="D27" s="16"/>
      <c r="E27" s="16"/>
      <c r="F27" s="16"/>
      <c r="G27" s="16"/>
    </row>
    <row r="28" customFormat="false" ht="15" hidden="false" customHeight="true" outlineLevel="0" collapsed="false">
      <c r="B28" s="9" t="s">
        <v>288</v>
      </c>
      <c r="C28" s="51" t="str">
        <f aca="false">"No goal (the plan already repays this debt)"</f>
        <v>No goal (the plan already repays this debt)</v>
      </c>
      <c r="E28" s="52" t="s">
        <v>1266</v>
      </c>
    </row>
    <row r="29" customFormat="false" ht="13.5" hidden="false" customHeight="true" outlineLevel="0" collapsed="false">
      <c r="B29" s="56" t="s">
        <v>1267</v>
      </c>
      <c r="C29" s="56"/>
      <c r="D29" s="56"/>
      <c r="E29" s="56"/>
    </row>
    <row r="31" customFormat="false" ht="15" hidden="false" customHeight="true" outlineLevel="0" collapsed="false">
      <c r="B31" s="15" t="s">
        <v>296</v>
      </c>
      <c r="C31" s="16"/>
      <c r="D31" s="16"/>
      <c r="E31" s="16"/>
      <c r="F31" s="16"/>
      <c r="G31" s="16"/>
    </row>
    <row r="32" customFormat="false" ht="15" hidden="false" customHeight="true" outlineLevel="0" collapsed="false">
      <c r="B32" s="55" t="s">
        <v>1268</v>
      </c>
      <c r="C32" s="55" t="str">
        <f aca="false">IF(Balance="","Choose your balance to see this",IF(APR="","Choose your interest rate (APR) to see this",IF(Monthly_Payment="","Choose your monthly payment to see this","")))</f>
        <v>Choose your balance to see this</v>
      </c>
    </row>
    <row r="33" customFormat="false" ht="15" hidden="false" customHeight="true" outlineLevel="0" collapsed="false">
      <c r="B33" s="55" t="s">
        <v>1269</v>
      </c>
      <c r="C33" s="55" t="str">
        <f aca="false">IF(APR="","Choose your interest rate (APR) to see this","")</f>
        <v>Choose your interest rate (APR) to see this</v>
      </c>
    </row>
    <row r="34" customFormat="false" ht="15" hidden="false" customHeight="true" outlineLevel="0" collapsed="false">
      <c r="B34" s="55" t="s">
        <v>1270</v>
      </c>
      <c r="C34" s="55" t="str">
        <f aca="false">IF(Monthly_Payment="","Choose your monthly payment to see this","")</f>
        <v>Choose your monthly payment to see this</v>
      </c>
    </row>
  </sheetData>
  <mergeCells count="8">
    <mergeCell ref="B19:E19"/>
    <mergeCell ref="B20:E20"/>
    <mergeCell ref="B21:E21"/>
    <mergeCell ref="B22:E22"/>
    <mergeCell ref="B23:E23"/>
    <mergeCell ref="B24:E24"/>
    <mergeCell ref="B25:E25"/>
    <mergeCell ref="B29:E29"/>
  </mergeCells>
  <dataValidations count="4">
    <dataValidation allowBlank="true" error="Please enter €100 to €1,000,000 · steps of €100." errorStyle="stop" errorTitle="Outside the allowed range" operator="between" prompt="Your own figure. In the app it is pre-filled from Your finances: the debt that takes longest to clear.  Allowed: €100 to €1,000,000 · steps of €100." promptTitle="Balance" showDropDown="false" showErrorMessage="true" showInputMessage="true" sqref="C6" type="decimal">
      <formula1>100</formula1>
      <formula2>1000000</formula2>
    </dataValidation>
    <dataValidation allowBlank="true" error="Please enter 0% to 35% · steps of 0.5%." errorStyle="stop" errorTitle="Outside the allowed range" operator="between" prompt="Your card's APR: your statement shows it. New credit cards can't charge more than 23% APR (Central Bank); some older cards are higher. Allowed: 0% to 35% · steps of 0.5%" promptTitle="Interest (APR)" showDropDown="false" showErrorMessage="true" showInputMessage="true" sqref="C7" type="decimal">
      <formula1>0</formula1>
      <formula2>0.35</formula2>
    </dataValidation>
    <dataValidation allowBlank="true" error="Please enter €10 to €50,000 · steps of €10." errorStyle="stop" errorTitle="Outside the allowed range" operator="between" prompt="Your own figure. In the app it is pre-filled from Your finances: that debt's repayment.  Allowed: €10 to €50,000 · steps of €10." promptTitle="Monthly payment" showDropDown="false" showErrorMessage="true" showInputMessage="true" sqref="C8" type="decimal">
      <formula1>10</formula1>
      <formula2>50000</formula2>
    </dataValidation>
    <dataValidation allowBlank="true" error="Please enter €0 to €10,000 · steps of €10." errorStyle="stop" errorTitle="Outside the allowed range" operator="between" prompt="Optional: leave blank for none.  Allowed: €0 to €10,000 · steps of €10." promptTitle="What if: pay extra each month" showDropDown="false" showErrorMessage="true" showInputMessage="true" sqref="C9" type="decimal">
      <formula1>0</formula1>
      <formula2>10000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3" t="s">
        <v>1271</v>
      </c>
      <c r="E1" s="3" t="s">
        <v>1272</v>
      </c>
    </row>
    <row r="2" customFormat="false" ht="15" hidden="false" customHeight="true" outlineLevel="0" collapsed="false">
      <c r="B2" s="24" t="s">
        <v>1273</v>
      </c>
      <c r="E2" s="25"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6" t="s">
        <v>1274</v>
      </c>
    </row>
    <row r="5" customFormat="false" ht="15" hidden="false" customHeight="true" outlineLevel="0" collapsed="false">
      <c r="B5" s="15" t="s">
        <v>219</v>
      </c>
      <c r="C5" s="27" t="s">
        <v>220</v>
      </c>
      <c r="D5" s="27" t="s">
        <v>221</v>
      </c>
      <c r="E5" s="27" t="s">
        <v>222</v>
      </c>
      <c r="F5" s="28" t="s">
        <v>223</v>
      </c>
      <c r="G5" s="16"/>
    </row>
    <row r="6" customFormat="false" ht="15" hidden="false" customHeight="true" outlineLevel="0" collapsed="false">
      <c r="B6" s="9" t="s">
        <v>1275</v>
      </c>
      <c r="C6" s="29"/>
      <c r="D6" s="30" t="s">
        <v>225</v>
      </c>
      <c r="E6" s="31" t="s">
        <v>1276</v>
      </c>
      <c r="F6" s="32" t="n">
        <v>15000</v>
      </c>
      <c r="G6" s="33" t="str">
        <f aca="false">IF(ISBLANK(C6),IF(Fill_Example="Yes",F6,""),C6)</f>
        <v/>
      </c>
    </row>
    <row r="7" customFormat="false" ht="21.75" hidden="false" customHeight="true" outlineLevel="0" collapsed="false">
      <c r="B7" s="9" t="s">
        <v>1250</v>
      </c>
      <c r="C7" s="37"/>
      <c r="D7" s="30" t="s">
        <v>236</v>
      </c>
      <c r="E7" s="38" t="str">
        <f aca="false">"Type 2 · your figure · Your loan's APR: your loan agreement shows it. "&amp;IF(ISNUMBER(Suggest_Loan_APR),"Suggested: "&amp;TEXT(Suggest_Loan_APR,"0.00%")&amp;" · "&amp;Suggest_Loan_APR_Label&amp;". ","No suggestion. ")&amp;"Enter your own figure."&amp;" Allowed: 0% to 25% · steps of 0.25%"</f>
        <v>Type 2 · your figure · Your loan's APR: your loan agreement shows it. Suggested: 6.72% · Central Bank of Ireland: average rate on new consumer loans, Jul 2026. Enter your own figure. Allowed: 0% to 25% · steps of 0.25%</v>
      </c>
      <c r="F7" s="39" t="n">
        <f aca="false">IF(ISNUMBER(Suggest_Loan_APR),Suggest_Loan_APR,"")</f>
        <v>0.0672</v>
      </c>
      <c r="G7" s="40" t="str">
        <f aca="false">IF(ISBLANK(C7),IF(Fill_Example="Yes",F7,""),C7)</f>
        <v/>
      </c>
    </row>
    <row r="8" customFormat="false" ht="15" hidden="false" customHeight="true" outlineLevel="0" collapsed="false">
      <c r="B8" s="9" t="s">
        <v>610</v>
      </c>
      <c r="C8" s="41"/>
      <c r="D8" s="30" t="s">
        <v>238</v>
      </c>
      <c r="E8" s="31" t="s">
        <v>689</v>
      </c>
      <c r="F8" s="42" t="n">
        <v>5</v>
      </c>
      <c r="G8" s="43" t="str">
        <f aca="false">IF(ISBLANK(C8),IF(Fill_Example="Yes",F8,""),C8)</f>
        <v/>
      </c>
    </row>
    <row r="10" customFormat="false" ht="15" hidden="false" customHeight="true" outlineLevel="0" collapsed="false">
      <c r="B10" s="15" t="s">
        <v>245</v>
      </c>
      <c r="C10" s="27" t="s">
        <v>246</v>
      </c>
      <c r="D10" s="27" t="s">
        <v>247</v>
      </c>
      <c r="E10" s="27" t="s">
        <v>248</v>
      </c>
      <c r="F10" s="16"/>
      <c r="G10" s="16"/>
    </row>
    <row r="11" customFormat="false" ht="17.25" hidden="false" customHeight="true" outlineLevel="0" collapsed="false">
      <c r="B11" s="24" t="s">
        <v>318</v>
      </c>
      <c r="C11" s="44" t="str">
        <f aca="false">IF(Need_1&lt;&gt;"",Need_1,PMT(Monthly_Rate,Years*12,-Loan_Amount))</f>
        <v>Choose your loan amount to see this</v>
      </c>
      <c r="D11" s="30" t="s">
        <v>225</v>
      </c>
      <c r="E11" s="45" t="s">
        <v>1277</v>
      </c>
    </row>
    <row r="12" customFormat="false" ht="17.25" hidden="false" customHeight="true" outlineLevel="0" collapsed="false">
      <c r="B12" s="24" t="s">
        <v>343</v>
      </c>
      <c r="C12" s="44" t="str">
        <f aca="false">IF(Need_1&lt;&gt;"",Need_1,Total_Repaid-Loan_Amount)</f>
        <v>Choose your loan amount to see this</v>
      </c>
      <c r="D12" s="30" t="s">
        <v>225</v>
      </c>
      <c r="E12" s="45" t="s">
        <v>1278</v>
      </c>
    </row>
    <row r="13" customFormat="false" ht="15" hidden="false" customHeight="true" outlineLevel="0" collapsed="false">
      <c r="B13" s="9" t="s">
        <v>345</v>
      </c>
      <c r="C13" s="46" t="str">
        <f aca="false">IF(Need_1&lt;&gt;"",Need_1,Monthly_Repayment*Years*12)</f>
        <v>Choose your loan amount to see this</v>
      </c>
      <c r="D13" s="30" t="s">
        <v>225</v>
      </c>
      <c r="E13" s="45" t="s">
        <v>1279</v>
      </c>
    </row>
    <row r="14" customFormat="false" ht="15" hidden="false" customHeight="true" outlineLevel="0" collapsed="false">
      <c r="B14" s="9" t="s">
        <v>1258</v>
      </c>
      <c r="C14" s="67" t="str">
        <f aca="false">IF(Need_2&lt;&gt;"",Need_2,(1+APR)^(1/12)-1)</f>
        <v>Choose your interest rate (APR) to see this</v>
      </c>
      <c r="D14" s="30"/>
      <c r="E14" s="45" t="s">
        <v>1259</v>
      </c>
    </row>
    <row r="16" customFormat="false" ht="15" hidden="false" customHeight="true" outlineLevel="0" collapsed="false">
      <c r="B16" s="15" t="s">
        <v>278</v>
      </c>
      <c r="C16" s="16"/>
      <c r="D16" s="16"/>
      <c r="E16" s="16"/>
      <c r="F16" s="16"/>
      <c r="G16" s="16"/>
    </row>
    <row r="17" customFormat="false" ht="13.5" hidden="false" customHeight="true" outlineLevel="0" collapsed="false">
      <c r="B17" s="49" t="s">
        <v>1280</v>
      </c>
      <c r="C17" s="49"/>
      <c r="D17" s="49"/>
      <c r="E17" s="49"/>
    </row>
    <row r="18" customFormat="false" ht="13.5" hidden="false" customHeight="true" outlineLevel="0" collapsed="false">
      <c r="B18" s="49" t="s">
        <v>1281</v>
      </c>
      <c r="C18" s="49"/>
      <c r="D18" s="49"/>
      <c r="E18" s="49"/>
    </row>
    <row r="19" customFormat="false" ht="13.5" hidden="false" customHeight="true" outlineLevel="0" collapsed="false">
      <c r="B19" s="50" t="s">
        <v>282</v>
      </c>
      <c r="C19" s="50"/>
      <c r="D19" s="50"/>
      <c r="E19" s="50"/>
    </row>
    <row r="20" customFormat="false" ht="13.5" hidden="false" customHeight="true" outlineLevel="0" collapsed="false">
      <c r="B20" s="49" t="s">
        <v>286</v>
      </c>
      <c r="C20" s="49"/>
      <c r="D20" s="49"/>
      <c r="E20" s="49"/>
    </row>
    <row r="22" customFormat="false" ht="15" hidden="false" customHeight="true" outlineLevel="0" collapsed="false">
      <c r="B22" s="15" t="s">
        <v>287</v>
      </c>
      <c r="C22" s="16"/>
      <c r="D22" s="16"/>
      <c r="E22" s="16"/>
      <c r="F22" s="16"/>
      <c r="G22" s="16"/>
    </row>
    <row r="23" customFormat="false" ht="15" hidden="false" customHeight="true" outlineLevel="0" collapsed="false">
      <c r="B23" s="9" t="s">
        <v>288</v>
      </c>
      <c r="C23" s="51" t="str">
        <f aca="false">"No goal"</f>
        <v>No goal</v>
      </c>
      <c r="E23" s="52" t="s">
        <v>477</v>
      </c>
    </row>
    <row r="25" customFormat="false" ht="15" hidden="false" customHeight="true" outlineLevel="0" collapsed="false">
      <c r="B25" s="15" t="s">
        <v>296</v>
      </c>
      <c r="C25" s="16"/>
      <c r="D25" s="16"/>
      <c r="E25" s="16"/>
      <c r="F25" s="16"/>
      <c r="G25" s="16"/>
    </row>
    <row r="26" customFormat="false" ht="15" hidden="false" customHeight="true" outlineLevel="0" collapsed="false">
      <c r="B26" s="55" t="s">
        <v>1282</v>
      </c>
      <c r="C26" s="55" t="str">
        <f aca="false">IF(Loan_Amount="","Choose your loan amount to see this",IF(APR="","Choose your interest rate (APR) to see this",IF(Years="","Choose your years to see this","")))</f>
        <v>Choose your loan amount to see this</v>
      </c>
    </row>
    <row r="27" customFormat="false" ht="15" hidden="false" customHeight="true" outlineLevel="0" collapsed="false">
      <c r="B27" s="55" t="s">
        <v>1269</v>
      </c>
      <c r="C27" s="55" t="str">
        <f aca="false">IF(APR="","Choose your interest rate (APR) to see this","")</f>
        <v>Choose your interest rate (APR) to see this</v>
      </c>
    </row>
    <row r="29" customFormat="false" ht="15" hidden="false" customHeight="true" outlineLevel="0" collapsed="false">
      <c r="B29" s="22" t="s">
        <v>1283</v>
      </c>
    </row>
  </sheetData>
  <mergeCells count="4">
    <mergeCell ref="B17:E17"/>
    <mergeCell ref="B18:E18"/>
    <mergeCell ref="B19:E19"/>
    <mergeCell ref="B20:E20"/>
  </mergeCells>
  <dataValidations count="3">
    <dataValidation allowBlank="true" error="Please enter €500 to €1,000,000 · steps of €500." errorStyle="stop" errorTitle="Outside the allowed range" operator="between" prompt="Your own figure.  Allowed: €500 to €1,000,000 · steps of €500." promptTitle="Loan amount" showDropDown="false" showErrorMessage="true" showInputMessage="true" sqref="C6" type="decimal">
      <formula1>500</formula1>
      <formula2>1000000</formula2>
    </dataValidation>
    <dataValidation allowBlank="true" error="Please enter 0% to 25% · steps of 0.25%." errorStyle="stop" errorTitle="Outside the allowed range" operator="between" prompt="Your loan's APR: your loan agreement shows it. A suggested rate and its source are shown beside this cell (Partner rates, Assumptions sheet). Allowed: 0% to 25% · steps of 0.5%" promptTitle="Interest (APR)" showDropDown="false" showErrorMessage="true" showInputMessage="true" sqref="C7" type="decimal">
      <formula1>0</formula1>
      <formula2>0.25</formula2>
    </dataValidation>
    <dataValidation allowBlank="true" error="Please enter 1 to 10 · steps of 1." errorStyle="stop" errorTitle="Outside the allowed range" operator="between" prompt="Your own figure.  Allowed: 1 to 10 · steps of 1." promptTitle="Years" showDropDown="false" showErrorMessage="true" showInputMessage="true" sqref="C8" type="whole">
      <formula1>1</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U1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6"/>
    <col collapsed="false" customWidth="true" hidden="false" outlineLevel="0" max="3" min="3" style="1" width="16"/>
    <col collapsed="false" customWidth="true" hidden="false" outlineLevel="0" max="4" min="4" style="1" width="12"/>
    <col collapsed="false" customWidth="true" hidden="false" outlineLevel="0" max="5" min="5" style="1" width="38"/>
    <col collapsed="false" customWidth="true" hidden="false" outlineLevel="0" max="7" min="6" style="1" width="16"/>
    <col collapsed="false" customWidth="true" hidden="false" outlineLevel="0" max="8" min="8" style="1" width="8"/>
    <col collapsed="false" customWidth="true" hidden="false" outlineLevel="0" max="9" min="9" style="1" width="40"/>
    <col collapsed="false" customWidth="true" hidden="false" outlineLevel="0" max="12" min="10" style="1" width="14"/>
  </cols>
  <sheetData>
    <row r="1" customFormat="false" ht="17.35" hidden="false" customHeight="false" outlineLevel="0" collapsed="false">
      <c r="B1" s="89" t="s">
        <v>1284</v>
      </c>
    </row>
    <row r="2" customFormat="false" ht="61.5" hidden="false" customHeight="true" outlineLevel="0" collapsed="false">
      <c r="B2" s="90" t="s">
        <v>1285</v>
      </c>
      <c r="C2" s="90"/>
      <c r="D2" s="90"/>
      <c r="E2" s="90"/>
      <c r="F2" s="90"/>
      <c r="G2" s="90"/>
      <c r="H2" s="90"/>
      <c r="I2" s="90"/>
    </row>
    <row r="4" customFormat="false" ht="15" hidden="false" customHeight="false" outlineLevel="0" collapsed="false">
      <c r="B4" s="91" t="s">
        <v>1286</v>
      </c>
      <c r="C4" s="91" t="s">
        <v>220</v>
      </c>
      <c r="D4" s="91" t="s">
        <v>221</v>
      </c>
      <c r="E4" s="91" t="s">
        <v>1287</v>
      </c>
      <c r="F4" s="91" t="s">
        <v>1288</v>
      </c>
      <c r="G4" s="91" t="s">
        <v>1289</v>
      </c>
      <c r="H4" s="91" t="s">
        <v>1290</v>
      </c>
    </row>
    <row r="5" customFormat="false" ht="15" hidden="false" customHeight="false" outlineLevel="0" collapsed="false">
      <c r="B5" s="1" t="s">
        <v>724</v>
      </c>
      <c r="C5" s="92"/>
      <c r="D5" s="1" t="s">
        <v>719</v>
      </c>
      <c r="E5" s="22" t="s">
        <v>1291</v>
      </c>
      <c r="F5" s="22" t="n">
        <v>38</v>
      </c>
      <c r="G5" s="93" t="n">
        <f aca="false">IF(ISBLANK(C5),IF(AND(Fill_Example="Yes",F5&lt;&gt;""),F5,0),C5)</f>
        <v>0</v>
      </c>
      <c r="H5" s="93" t="n">
        <f aca="false">IF(ISBLANK(C5),IF(AND(Fill_Example="Yes",F5&lt;&gt;""),1,0),1)</f>
        <v>0</v>
      </c>
    </row>
    <row r="6" customFormat="false" ht="15" hidden="false" customHeight="false" outlineLevel="0" collapsed="false">
      <c r="B6" s="1" t="s">
        <v>1292</v>
      </c>
      <c r="C6" s="92"/>
      <c r="E6" s="22" t="s">
        <v>1293</v>
      </c>
      <c r="F6" s="22" t="s">
        <v>234</v>
      </c>
      <c r="G6" s="93" t="str">
        <f aca="false">IF(ISBLANK(C6),IF(Fill_Example="Yes",F6,""),C6)</f>
        <v/>
      </c>
      <c r="H6" s="93" t="n">
        <f aca="false">IF(G6="",0,1)</f>
        <v>0</v>
      </c>
    </row>
    <row r="7" customFormat="false" ht="15" hidden="false" customHeight="false" outlineLevel="0" collapsed="false">
      <c r="B7" s="1" t="s">
        <v>1294</v>
      </c>
      <c r="C7" s="92"/>
      <c r="E7" s="22" t="s">
        <v>1295</v>
      </c>
      <c r="F7" s="22"/>
      <c r="G7" s="93" t="str">
        <f aca="false">IF(ISBLANK(C7),IF(Fill_Example="Yes",F7,""),C7)</f>
        <v/>
      </c>
      <c r="H7" s="93" t="n">
        <f aca="false">IF(G7="",0,1)</f>
        <v>0</v>
      </c>
    </row>
    <row r="8" customFormat="false" ht="15" hidden="false" customHeight="false" outlineLevel="0" collapsed="false">
      <c r="B8" s="1" t="s">
        <v>1296</v>
      </c>
      <c r="C8" s="92"/>
      <c r="D8" s="1" t="s">
        <v>1297</v>
      </c>
      <c r="E8" s="22" t="s">
        <v>1298</v>
      </c>
      <c r="F8" s="22" t="n">
        <v>2</v>
      </c>
      <c r="G8" s="93" t="n">
        <f aca="false">IF(ISBLANK(C8),IF(AND(Fill_Example="Yes",F8&lt;&gt;""),F8,0),C8)</f>
        <v>0</v>
      </c>
      <c r="H8" s="93" t="n">
        <f aca="false">IF(ISBLANK(C8),IF(AND(Fill_Example="Yes",F8&lt;&gt;""),1,0),1)</f>
        <v>0</v>
      </c>
    </row>
    <row r="9" customFormat="false" ht="15" hidden="false" customHeight="false" outlineLevel="0" collapsed="false">
      <c r="B9" s="1" t="s">
        <v>1299</v>
      </c>
      <c r="C9" s="92"/>
      <c r="D9" s="1" t="s">
        <v>719</v>
      </c>
      <c r="E9" s="22" t="s">
        <v>1300</v>
      </c>
      <c r="F9" s="22" t="n">
        <v>63</v>
      </c>
      <c r="G9" s="93" t="n">
        <f aca="false">IF(ISBLANK(C9),IF(AND(Fill_Example="Yes",F9&lt;&gt;""),F9,0),C9)</f>
        <v>0</v>
      </c>
      <c r="H9" s="93" t="n">
        <f aca="false">IF(ISBLANK(C9),IF(AND(Fill_Example="Yes",F9&lt;&gt;""),1,0),1)</f>
        <v>0</v>
      </c>
    </row>
    <row r="10" customFormat="false" ht="15" hidden="false" customHeight="false" outlineLevel="0" collapsed="false">
      <c r="B10" s="1" t="s">
        <v>1301</v>
      </c>
      <c r="C10" s="92"/>
      <c r="D10" s="1" t="s">
        <v>719</v>
      </c>
      <c r="E10" s="22" t="s">
        <v>1302</v>
      </c>
      <c r="F10" s="22" t="n">
        <v>66</v>
      </c>
      <c r="G10" s="93" t="n">
        <f aca="false">IF(ISBLANK(C10),IF(AND(Fill_Example="Yes",F10&lt;&gt;""),F10,0),C10)</f>
        <v>0</v>
      </c>
      <c r="H10" s="93" t="n">
        <f aca="false">IF(ISBLANK(C10),IF(AND(Fill_Example="Yes",F10&lt;&gt;""),1,0),1)</f>
        <v>0</v>
      </c>
    </row>
    <row r="11" customFormat="false" ht="15" hidden="false" customHeight="false" outlineLevel="0" collapsed="false">
      <c r="B11" s="1" t="s">
        <v>1303</v>
      </c>
      <c r="C11" s="92"/>
      <c r="D11" s="1" t="s">
        <v>1304</v>
      </c>
      <c r="E11" s="22" t="s">
        <v>1305</v>
      </c>
      <c r="F11" s="94" t="n">
        <f aca="false">Set_infl</f>
        <v>0.02</v>
      </c>
      <c r="G11" s="93" t="n">
        <f aca="false">IF(ISBLANK(C11),IF(AND(Fill_Example="Yes",F11&lt;&gt;""),F11,0),C11)</f>
        <v>0</v>
      </c>
      <c r="H11" s="93" t="n">
        <f aca="false">IF(ISBLANK(C11),IF(AND(Fill_Example="Yes",F11&lt;&gt;""),1,0),1)</f>
        <v>0</v>
      </c>
    </row>
    <row r="12" customFormat="false" ht="15" hidden="false" customHeight="false" outlineLevel="0" collapsed="false">
      <c r="B12" s="1" t="s">
        <v>1306</v>
      </c>
      <c r="C12" s="92"/>
      <c r="E12" s="22" t="s">
        <v>1307</v>
      </c>
      <c r="F12" s="22" t="s">
        <v>1308</v>
      </c>
      <c r="G12" s="93" t="str">
        <f aca="false">IF(ISBLANK(C12),IF(Fill_Example="Yes",F12,""),C12)</f>
        <v/>
      </c>
      <c r="H12" s="93" t="n">
        <f aca="false">IF(G12="",0,1)</f>
        <v>0</v>
      </c>
    </row>
    <row r="13" customFormat="false" ht="15" hidden="false" customHeight="false" outlineLevel="0" collapsed="false">
      <c r="B13" s="1" t="s">
        <v>1309</v>
      </c>
      <c r="C13" s="92"/>
      <c r="D13" s="1" t="s">
        <v>1310</v>
      </c>
      <c r="E13" s="22" t="s">
        <v>1311</v>
      </c>
      <c r="F13" s="22" t="n">
        <v>2</v>
      </c>
      <c r="G13" s="93" t="n">
        <f aca="false">IF(ISBLANK(C13),IF(AND(Fill_Example="Yes",F13&lt;&gt;""),F13,0),C13)</f>
        <v>0</v>
      </c>
      <c r="H13" s="93" t="n">
        <f aca="false">IF(ISBLANK(C13),IF(AND(Fill_Example="Yes",F13&lt;&gt;""),1,0),1)</f>
        <v>0</v>
      </c>
    </row>
    <row r="14" customFormat="false" ht="15" hidden="false" customHeight="false" outlineLevel="0" collapsed="false">
      <c r="B14" s="1" t="s">
        <v>1312</v>
      </c>
      <c r="C14" s="92"/>
      <c r="D14" s="1" t="s">
        <v>1313</v>
      </c>
      <c r="E14" s="22" t="s">
        <v>1314</v>
      </c>
      <c r="F14" s="22"/>
      <c r="G14" s="93" t="n">
        <f aca="false">IF(ISBLANK(C14),IF(AND(Fill_Example="Yes",F14&lt;&gt;""),F14,0),C14)</f>
        <v>0</v>
      </c>
      <c r="H14" s="93" t="n">
        <f aca="false">IF(ISBLANK(C14),IF(AND(Fill_Example="Yes",F14&lt;&gt;""),1,0),1)</f>
        <v>0</v>
      </c>
    </row>
    <row r="15" customFormat="false" ht="15" hidden="false" customHeight="false" outlineLevel="0" collapsed="false">
      <c r="B15" s="1" t="s">
        <v>1315</v>
      </c>
      <c r="C15" s="92"/>
      <c r="E15" s="22" t="s">
        <v>1316</v>
      </c>
      <c r="F15" s="22"/>
      <c r="G15" s="93" t="str">
        <f aca="false">IF(ISBLANK(C15),IF(Fill_Example="Yes",F15,""),C15)</f>
        <v/>
      </c>
      <c r="H15" s="93" t="n">
        <f aca="false">IF(G15="",0,1)</f>
        <v>0</v>
      </c>
    </row>
    <row r="16" customFormat="false" ht="15" hidden="false" customHeight="false" outlineLevel="0" collapsed="false">
      <c r="B16" s="1" t="s">
        <v>1317</v>
      </c>
      <c r="C16" s="92"/>
      <c r="D16" s="1" t="s">
        <v>1313</v>
      </c>
      <c r="E16" s="22" t="s">
        <v>1318</v>
      </c>
      <c r="F16" s="22" t="n">
        <v>0</v>
      </c>
      <c r="G16" s="93" t="n">
        <f aca="false">IF(ISBLANK(C16),IF(AND(Fill_Example="Yes",F16&lt;&gt;""),F16,0),C16)</f>
        <v>0</v>
      </c>
      <c r="H16" s="93" t="n">
        <f aca="false">IF(ISBLANK(C16),IF(AND(Fill_Example="Yes",F16&lt;&gt;""),1,0),1)</f>
        <v>0</v>
      </c>
    </row>
    <row r="17" customFormat="false" ht="15" hidden="false" customHeight="false" outlineLevel="0" collapsed="false">
      <c r="B17" s="1" t="s">
        <v>1319</v>
      </c>
      <c r="C17" s="92"/>
      <c r="E17" s="22" t="s">
        <v>1320</v>
      </c>
      <c r="F17" s="22" t="s">
        <v>3</v>
      </c>
      <c r="G17" s="93" t="str">
        <f aca="false">IF(ISBLANK(C17),IF(Fill_Example="Yes",F17,""),C17)</f>
        <v/>
      </c>
      <c r="H17" s="93" t="n">
        <f aca="false">IF(G17="",0,1)</f>
        <v>0</v>
      </c>
    </row>
    <row r="18" customFormat="false" ht="15" hidden="false" customHeight="false" outlineLevel="0" collapsed="false">
      <c r="B18" s="1" t="s">
        <v>1321</v>
      </c>
      <c r="C18" s="92"/>
      <c r="E18" s="22" t="s">
        <v>1322</v>
      </c>
      <c r="F18" s="22" t="s">
        <v>3</v>
      </c>
      <c r="G18" s="93" t="str">
        <f aca="false">IF(ISBLANK(C18),IF(Fill_Example="Yes",F18,""),C18)</f>
        <v/>
      </c>
      <c r="H18" s="93" t="n">
        <f aca="false">IF(G18="",0,1)</f>
        <v>0</v>
      </c>
    </row>
    <row r="19" customFormat="false" ht="15" hidden="false" customHeight="false" outlineLevel="0" collapsed="false">
      <c r="B19" s="1" t="s">
        <v>1323</v>
      </c>
      <c r="C19" s="92"/>
      <c r="E19" s="22" t="s">
        <v>1324</v>
      </c>
      <c r="F19" s="22" t="s">
        <v>3</v>
      </c>
      <c r="G19" s="93" t="str">
        <f aca="false">IF(ISBLANK(C19),IF(Fill_Example="Yes",F19,""),C19)</f>
        <v/>
      </c>
      <c r="H19" s="93" t="n">
        <f aca="false">IF(G19="",0,1)</f>
        <v>0</v>
      </c>
    </row>
    <row r="21" customFormat="false" ht="15" hidden="false" customHeight="false" outlineLevel="0" collapsed="false">
      <c r="B21" s="91" t="s">
        <v>1325</v>
      </c>
      <c r="C21" s="91" t="s">
        <v>220</v>
      </c>
      <c r="D21" s="91" t="s">
        <v>221</v>
      </c>
      <c r="E21" s="91" t="s">
        <v>1287</v>
      </c>
      <c r="F21" s="91" t="s">
        <v>1288</v>
      </c>
      <c r="G21" s="91" t="s">
        <v>1289</v>
      </c>
      <c r="H21" s="91" t="s">
        <v>1290</v>
      </c>
    </row>
    <row r="22" customFormat="false" ht="15" hidden="false" customHeight="false" outlineLevel="0" collapsed="false">
      <c r="B22" s="1" t="s">
        <v>1326</v>
      </c>
      <c r="C22" s="92"/>
      <c r="D22" s="1" t="s">
        <v>1327</v>
      </c>
      <c r="E22" s="22" t="s">
        <v>1328</v>
      </c>
      <c r="F22" s="22"/>
      <c r="G22" s="93" t="n">
        <f aca="false">IF(ISBLANK(C22),IF(AND(Fill_Example="Yes",F22&lt;&gt;""),F22,0),C22)</f>
        <v>0</v>
      </c>
      <c r="H22" s="93" t="n">
        <f aca="false">IF(ISBLANK(C22),IF(AND(Fill_Example="Yes",F22&lt;&gt;""),1,0),1)</f>
        <v>0</v>
      </c>
    </row>
    <row r="23" customFormat="false" ht="15" hidden="false" customHeight="false" outlineLevel="0" collapsed="false">
      <c r="B23" s="1" t="s">
        <v>1329</v>
      </c>
      <c r="C23" s="92"/>
      <c r="D23" s="1" t="s">
        <v>1313</v>
      </c>
      <c r="E23" s="22" t="s">
        <v>1330</v>
      </c>
      <c r="F23" s="22" t="n">
        <v>0</v>
      </c>
      <c r="G23" s="93" t="n">
        <f aca="false">IF(ISBLANK(C23),IF(AND(Fill_Example="Yes",F23&lt;&gt;""),F23,0),C23)</f>
        <v>0</v>
      </c>
      <c r="H23" s="93" t="n">
        <f aca="false">IF(ISBLANK(C23),IF(AND(Fill_Example="Yes",F23&lt;&gt;""),1,0),1)</f>
        <v>0</v>
      </c>
    </row>
    <row r="24" customFormat="false" ht="15" hidden="false" customHeight="false" outlineLevel="0" collapsed="false">
      <c r="B24" s="1" t="s">
        <v>1331</v>
      </c>
      <c r="C24" s="92"/>
      <c r="D24" s="1" t="s">
        <v>225</v>
      </c>
      <c r="E24" s="22" t="s">
        <v>1332</v>
      </c>
      <c r="F24" s="22" t="n">
        <v>0</v>
      </c>
      <c r="G24" s="93" t="n">
        <f aca="false">IF(ISBLANK(C24),IF(AND(Fill_Example="Yes",F24&lt;&gt;""),F24,0),C24)</f>
        <v>0</v>
      </c>
      <c r="H24" s="93" t="n">
        <f aca="false">IF(ISBLANK(C24),IF(AND(Fill_Example="Yes",F24&lt;&gt;""),1,0),1)</f>
        <v>0</v>
      </c>
    </row>
    <row r="26" customFormat="false" ht="15" hidden="false" customHeight="false" outlineLevel="0" collapsed="false">
      <c r="B26" s="91" t="s">
        <v>1333</v>
      </c>
      <c r="C26" s="91" t="s">
        <v>220</v>
      </c>
      <c r="D26" s="91" t="s">
        <v>221</v>
      </c>
      <c r="E26" s="91" t="s">
        <v>1287</v>
      </c>
      <c r="F26" s="91" t="s">
        <v>1288</v>
      </c>
      <c r="G26" s="91" t="s">
        <v>1289</v>
      </c>
      <c r="H26" s="91" t="s">
        <v>1290</v>
      </c>
    </row>
    <row r="27" customFormat="false" ht="15" hidden="false" customHeight="false" outlineLevel="0" collapsed="false">
      <c r="B27" s="1" t="s">
        <v>1334</v>
      </c>
      <c r="C27" s="92"/>
      <c r="E27" s="22" t="s">
        <v>1335</v>
      </c>
      <c r="F27" s="22" t="s">
        <v>1336</v>
      </c>
      <c r="G27" s="93" t="str">
        <f aca="false">IF(ISBLANK(C27),IF(Fill_Example="Yes",F27,""),C27)</f>
        <v/>
      </c>
      <c r="H27" s="93" t="n">
        <f aca="false">IF(G27="",0,1)</f>
        <v>0</v>
      </c>
    </row>
    <row r="28" customFormat="false" ht="15" hidden="false" customHeight="false" outlineLevel="0" collapsed="false">
      <c r="B28" s="1" t="s">
        <v>224</v>
      </c>
      <c r="C28" s="92"/>
      <c r="D28" s="1" t="s">
        <v>225</v>
      </c>
      <c r="E28" s="22" t="s">
        <v>1337</v>
      </c>
      <c r="F28" s="22" t="n">
        <v>58000</v>
      </c>
      <c r="G28" s="93" t="n">
        <f aca="false">IF(ISBLANK(C28),IF(AND(Fill_Example="Yes",F28&lt;&gt;""),F28,0),C28)</f>
        <v>0</v>
      </c>
      <c r="H28" s="93" t="n">
        <f aca="false">IF(ISBLANK(C28),IF(AND(Fill_Example="Yes",F28&lt;&gt;""),1,0),1)</f>
        <v>0</v>
      </c>
    </row>
    <row r="29" customFormat="false" ht="15" hidden="false" customHeight="false" outlineLevel="0" collapsed="false">
      <c r="B29" s="1" t="s">
        <v>227</v>
      </c>
      <c r="C29" s="92"/>
      <c r="D29" s="1" t="s">
        <v>225</v>
      </c>
      <c r="E29" s="22" t="s">
        <v>1338</v>
      </c>
      <c r="F29" s="22" t="n">
        <v>22000</v>
      </c>
      <c r="G29" s="93" t="n">
        <f aca="false">IF(ISBLANK(C29),IF(AND(Fill_Example="Yes",F29&lt;&gt;""),F29,0),C29)</f>
        <v>0</v>
      </c>
      <c r="H29" s="93" t="n">
        <f aca="false">IF(ISBLANK(C29),IF(AND(Fill_Example="Yes",F29&lt;&gt;""),1,0),1)</f>
        <v>0</v>
      </c>
    </row>
    <row r="30" customFormat="false" ht="15" hidden="false" customHeight="false" outlineLevel="0" collapsed="false">
      <c r="B30" s="1" t="s">
        <v>1339</v>
      </c>
      <c r="C30" s="92"/>
      <c r="D30" s="1" t="s">
        <v>719</v>
      </c>
      <c r="E30" s="22" t="s">
        <v>1340</v>
      </c>
      <c r="F30" s="22" t="n">
        <v>37</v>
      </c>
      <c r="G30" s="93" t="n">
        <f aca="false">IF(ISBLANK(C30),IF(AND(Fill_Example="Yes",F30&lt;&gt;""),F30,0),C30)</f>
        <v>0</v>
      </c>
      <c r="H30" s="93" t="n">
        <f aca="false">IF(ISBLANK(C30),IF(AND(Fill_Example="Yes",F30&lt;&gt;""),1,0),1)</f>
        <v>0</v>
      </c>
    </row>
    <row r="31" customFormat="false" ht="15" hidden="false" customHeight="false" outlineLevel="0" collapsed="false">
      <c r="B31" s="1" t="s">
        <v>1341</v>
      </c>
      <c r="C31" s="92"/>
      <c r="D31" s="1" t="s">
        <v>1313</v>
      </c>
      <c r="E31" s="22" t="s">
        <v>1342</v>
      </c>
      <c r="F31" s="22" t="n">
        <v>0</v>
      </c>
      <c r="G31" s="93" t="n">
        <f aca="false">IF(ISBLANK(C31),IF(AND(Fill_Example="Yes",F31&lt;&gt;""),F31,0),C31)</f>
        <v>0</v>
      </c>
      <c r="H31" s="93" t="n">
        <f aca="false">IF(ISBLANK(C31),IF(AND(Fill_Example="Yes",F31&lt;&gt;""),1,0),1)</f>
        <v>0</v>
      </c>
    </row>
    <row r="32" customFormat="false" ht="15" hidden="false" customHeight="false" outlineLevel="0" collapsed="false">
      <c r="B32" s="1" t="s">
        <v>1343</v>
      </c>
      <c r="C32" s="92"/>
      <c r="D32" s="1" t="s">
        <v>1313</v>
      </c>
      <c r="E32" s="22" t="s">
        <v>1344</v>
      </c>
      <c r="F32" s="22" t="n">
        <v>3600</v>
      </c>
      <c r="G32" s="93" t="n">
        <f aca="false">IF(ISBLANK(C32),IF(AND(Fill_Example="Yes",F32&lt;&gt;""),F32,0),C32)</f>
        <v>0</v>
      </c>
      <c r="H32" s="93" t="n">
        <f aca="false">IF(ISBLANK(C32),IF(AND(Fill_Example="Yes",F32&lt;&gt;""),1,0),1)</f>
        <v>0</v>
      </c>
    </row>
    <row r="33" customFormat="false" ht="15" hidden="false" customHeight="false" outlineLevel="0" collapsed="false">
      <c r="B33" s="1" t="s">
        <v>1345</v>
      </c>
      <c r="C33" s="92"/>
      <c r="D33" s="1" t="s">
        <v>225</v>
      </c>
      <c r="E33" s="22" t="s">
        <v>1346</v>
      </c>
      <c r="F33" s="22" t="n">
        <v>1800</v>
      </c>
      <c r="G33" s="93" t="n">
        <f aca="false">IF(ISBLANK(C33),IF(AND(Fill_Example="Yes",F33&lt;&gt;""),F33,0),C33)</f>
        <v>0</v>
      </c>
      <c r="H33" s="93" t="n">
        <f aca="false">IF(ISBLANK(C33),IF(AND(Fill_Example="Yes",F33&lt;&gt;""),1,0),1)</f>
        <v>0</v>
      </c>
    </row>
    <row r="34" customFormat="false" ht="15" hidden="false" customHeight="false" outlineLevel="0" collapsed="false">
      <c r="B34" s="1" t="s">
        <v>1347</v>
      </c>
      <c r="C34" s="92"/>
      <c r="D34" s="1" t="s">
        <v>1313</v>
      </c>
      <c r="E34" s="22" t="s">
        <v>1348</v>
      </c>
      <c r="F34" s="22" t="n">
        <v>0</v>
      </c>
      <c r="G34" s="93" t="n">
        <f aca="false">IF(ISBLANK(C34),IF(AND(Fill_Example="Yes",F34&lt;&gt;""),F34,0),C34)</f>
        <v>0</v>
      </c>
      <c r="H34" s="93" t="n">
        <f aca="false">IF(ISBLANK(C34),IF(AND(Fill_Example="Yes",F34&lt;&gt;""),1,0),1)</f>
        <v>0</v>
      </c>
    </row>
    <row r="35" customFormat="false" ht="15" hidden="false" customHeight="false" outlineLevel="0" collapsed="false">
      <c r="B35" s="1" t="s">
        <v>1349</v>
      </c>
      <c r="C35" s="92"/>
      <c r="E35" s="22" t="s">
        <v>1350</v>
      </c>
      <c r="F35" s="22" t="s">
        <v>1351</v>
      </c>
      <c r="G35" s="93" t="str">
        <f aca="false">IF(ISBLANK(C35),IF(Fill_Example="Yes",F35,""),C35)</f>
        <v/>
      </c>
      <c r="H35" s="93" t="n">
        <f aca="false">IF(G35="",0,1)</f>
        <v>0</v>
      </c>
    </row>
    <row r="36" customFormat="false" ht="15" hidden="false" customHeight="false" outlineLevel="0" collapsed="false">
      <c r="B36" s="1" t="s">
        <v>529</v>
      </c>
      <c r="C36" s="92"/>
      <c r="D36" s="1" t="s">
        <v>225</v>
      </c>
      <c r="E36" s="22" t="s">
        <v>1352</v>
      </c>
      <c r="F36" s="22" t="n">
        <v>420000</v>
      </c>
      <c r="G36" s="93" t="n">
        <f aca="false">IF(ISBLANK(C36),IF(AND(Fill_Example="Yes",F36&lt;&gt;""),F36,0),C36)</f>
        <v>0</v>
      </c>
      <c r="H36" s="93" t="n">
        <f aca="false">IF(ISBLANK(C36),IF(AND(Fill_Example="Yes",F36&lt;&gt;""),1,0),1)</f>
        <v>0</v>
      </c>
    </row>
    <row r="37" customFormat="false" ht="15" hidden="false" customHeight="false" outlineLevel="0" collapsed="false">
      <c r="B37" s="1" t="s">
        <v>1353</v>
      </c>
      <c r="C37" s="92"/>
      <c r="D37" s="1" t="s">
        <v>225</v>
      </c>
      <c r="E37" s="22" t="s">
        <v>1354</v>
      </c>
      <c r="F37" s="22" t="n">
        <v>9000</v>
      </c>
      <c r="G37" s="93" t="n">
        <f aca="false">IF(ISBLANK(C37),IF(AND(Fill_Example="Yes",F37&lt;&gt;""),F37,0),C37)</f>
        <v>0</v>
      </c>
      <c r="H37" s="93" t="n">
        <f aca="false">IF(ISBLANK(C37),IF(AND(Fill_Example="Yes",F37&lt;&gt;""),1,0),1)</f>
        <v>0</v>
      </c>
    </row>
    <row r="38" customFormat="false" ht="15" hidden="false" customHeight="false" outlineLevel="0" collapsed="false">
      <c r="B38" s="1" t="s">
        <v>56</v>
      </c>
      <c r="C38" s="92"/>
      <c r="D38" s="1" t="s">
        <v>225</v>
      </c>
      <c r="E38" s="22" t="s">
        <v>1355</v>
      </c>
      <c r="F38" s="22" t="n">
        <v>6200</v>
      </c>
      <c r="G38" s="93" t="n">
        <f aca="false">IF(ISBLANK(C38),IF(AND(Fill_Example="Yes",F38&lt;&gt;""),F38,0),C38)</f>
        <v>0</v>
      </c>
      <c r="H38" s="93" t="n">
        <f aca="false">IF(ISBLANK(C38),IF(AND(Fill_Example="Yes",F38&lt;&gt;""),1,0),1)</f>
        <v>0</v>
      </c>
    </row>
    <row r="39" customFormat="false" ht="15" hidden="false" customHeight="false" outlineLevel="0" collapsed="false">
      <c r="B39" s="1" t="s">
        <v>1356</v>
      </c>
      <c r="C39" s="92"/>
      <c r="D39" s="1" t="s">
        <v>225</v>
      </c>
      <c r="E39" s="22" t="s">
        <v>1357</v>
      </c>
      <c r="F39" s="22" t="n">
        <v>203700</v>
      </c>
      <c r="G39" s="93" t="n">
        <f aca="false">IF(ISBLANK(C39),IF(AND(Fill_Example="Yes",F39&lt;&gt;""),F39,0),C39)</f>
        <v>0</v>
      </c>
      <c r="H39" s="93" t="n">
        <f aca="false">IF(ISBLANK(C39),IF(AND(Fill_Example="Yes",F39&lt;&gt;""),1,0),1)</f>
        <v>0</v>
      </c>
    </row>
    <row r="40" customFormat="false" ht="15" hidden="false" customHeight="false" outlineLevel="0" collapsed="false">
      <c r="B40" s="1" t="s">
        <v>1358</v>
      </c>
      <c r="C40" s="92"/>
      <c r="D40" s="1" t="s">
        <v>236</v>
      </c>
      <c r="E40" s="22" t="s">
        <v>1359</v>
      </c>
      <c r="F40" s="22" t="n">
        <v>3.85</v>
      </c>
      <c r="G40" s="93" t="n">
        <f aca="false">IF(ISBLANK(C40),IF(AND(Fill_Example="Yes",F40&lt;&gt;""),F40,0),C40)</f>
        <v>0</v>
      </c>
      <c r="H40" s="93" t="n">
        <f aca="false">IF(ISBLANK(C40),IF(AND(Fill_Example="Yes",F40&lt;&gt;""),1,0),1)</f>
        <v>0</v>
      </c>
    </row>
    <row r="41" customFormat="false" ht="15" hidden="false" customHeight="false" outlineLevel="0" collapsed="false">
      <c r="B41" s="1" t="s">
        <v>1360</v>
      </c>
      <c r="C41" s="92"/>
      <c r="D41" s="1" t="s">
        <v>1313</v>
      </c>
      <c r="E41" s="22" t="s">
        <v>1361</v>
      </c>
      <c r="F41" s="22" t="n">
        <v>1180</v>
      </c>
      <c r="G41" s="93" t="n">
        <f aca="false">IF(ISBLANK(C41),IF(AND(Fill_Example="Yes",F41&lt;&gt;""),F41,0),C41)</f>
        <v>0</v>
      </c>
      <c r="H41" s="93" t="n">
        <f aca="false">IF(ISBLANK(C41),IF(AND(Fill_Example="Yes",F41&lt;&gt;""),1,0),1)</f>
        <v>0</v>
      </c>
    </row>
    <row r="42" customFormat="false" ht="15" hidden="false" customHeight="false" outlineLevel="0" collapsed="false">
      <c r="B42" s="1" t="s">
        <v>1362</v>
      </c>
      <c r="C42" s="92"/>
      <c r="D42" s="1" t="s">
        <v>238</v>
      </c>
      <c r="E42" s="22" t="s">
        <v>1363</v>
      </c>
      <c r="F42" s="22" t="n">
        <v>21</v>
      </c>
      <c r="G42" s="93" t="n">
        <f aca="false">IF(ISBLANK(C42),IF(AND(Fill_Example="Yes",F42&lt;&gt;""),F42,0),C42)</f>
        <v>0</v>
      </c>
      <c r="H42" s="93" t="n">
        <f aca="false">IF(ISBLANK(C42),IF(AND(Fill_Example="Yes",F42&lt;&gt;""),1,0),1)</f>
        <v>0</v>
      </c>
    </row>
    <row r="43" customFormat="false" ht="15" hidden="false" customHeight="false" outlineLevel="0" collapsed="false">
      <c r="B43" s="1" t="s">
        <v>1364</v>
      </c>
      <c r="C43" s="92"/>
      <c r="D43" s="1" t="s">
        <v>225</v>
      </c>
      <c r="E43" s="22" t="s">
        <v>1365</v>
      </c>
      <c r="F43" s="22" t="n">
        <v>400</v>
      </c>
      <c r="G43" s="93" t="n">
        <f aca="false">IF(COUNT(Cards_Owed_Rng)&gt;0,SUM(Cards_Owed_Rng),IF(ISBLANK(C43),IF(AND(Fill_Example="Yes",F43&lt;&gt;""),F43,0),C43))</f>
        <v>0</v>
      </c>
      <c r="H43" s="93" t="n">
        <f aca="false">IF(COUNT(Cards_Owed_Rng)&gt;0,1,IF(ISBLANK(C43),IF(AND(Fill_Example="Yes",F43&lt;&gt;""),1,0),1))</f>
        <v>0</v>
      </c>
    </row>
    <row r="44" customFormat="false" ht="15" hidden="false" customHeight="false" outlineLevel="0" collapsed="false">
      <c r="B44" s="1" t="s">
        <v>1366</v>
      </c>
      <c r="C44" s="92"/>
      <c r="D44" s="1" t="s">
        <v>1313</v>
      </c>
      <c r="E44" s="22" t="s">
        <v>1367</v>
      </c>
      <c r="F44" s="22" t="n">
        <v>40</v>
      </c>
      <c r="G44" s="93" t="n">
        <f aca="false">IF(COUNT(Cards_Pay_Rng)&gt;0,SUM(Cards_Pay_Rng),IF(ISBLANK(C44),IF(AND(Fill_Example="Yes",F44&lt;&gt;""),F44,0),C44))</f>
        <v>0</v>
      </c>
      <c r="H44" s="93" t="n">
        <f aca="false">IF(COUNT(Cards_Pay_Rng)&gt;0,1,IF(ISBLANK(C44),IF(AND(Fill_Example="Yes",F44&lt;&gt;""),1,0),1))</f>
        <v>0</v>
      </c>
    </row>
    <row r="45" customFormat="false" ht="15" hidden="false" customHeight="false" outlineLevel="0" collapsed="false">
      <c r="B45" s="1" t="s">
        <v>1368</v>
      </c>
      <c r="C45" s="92"/>
      <c r="D45" s="1" t="s">
        <v>236</v>
      </c>
      <c r="E45" s="22" t="s">
        <v>1369</v>
      </c>
      <c r="F45" s="22"/>
      <c r="G45" s="93" t="n">
        <f aca="false">IF(ISNUMBER(Cards_Rate_Avg),ROUND(Cards_Rate_Avg*100,4),IF(ISBLANK(C45),IF(AND(Fill_Example="Yes",F45&lt;&gt;""),F45,0),C45))</f>
        <v>0</v>
      </c>
      <c r="H45" s="93" t="n">
        <f aca="false">IF(ISBLANK(C45),IF(AND(Fill_Example="Yes",F45&lt;&gt;""),1,0),1)</f>
        <v>0</v>
      </c>
    </row>
    <row r="46" customFormat="false" ht="15" hidden="false" customHeight="false" outlineLevel="0" collapsed="false">
      <c r="B46" s="1" t="s">
        <v>1370</v>
      </c>
      <c r="C46" s="92"/>
      <c r="D46" s="1" t="s">
        <v>225</v>
      </c>
      <c r="E46" s="22" t="s">
        <v>1371</v>
      </c>
      <c r="F46" s="22" t="n">
        <v>3500</v>
      </c>
      <c r="G46" s="93" t="n">
        <f aca="false">IF(COUNT(Loans_Owed_Rng)&gt;0,SUM(Loans_Owed_Rng),IF(ISBLANK(C46),IF(AND(Fill_Example="Yes",F46&lt;&gt;""),F46,0),C46))</f>
        <v>0</v>
      </c>
      <c r="H46" s="93" t="n">
        <f aca="false">IF(COUNT(Loans_Owed_Rng)&gt;0,1,IF(ISBLANK(C46),IF(AND(Fill_Example="Yes",F46&lt;&gt;""),1,0),1))</f>
        <v>0</v>
      </c>
    </row>
    <row r="47" customFormat="false" ht="15" hidden="false" customHeight="false" outlineLevel="0" collapsed="false">
      <c r="B47" s="1" t="s">
        <v>1372</v>
      </c>
      <c r="C47" s="92"/>
      <c r="D47" s="1" t="s">
        <v>1313</v>
      </c>
      <c r="E47" s="22" t="s">
        <v>1373</v>
      </c>
      <c r="F47" s="22" t="n">
        <v>100</v>
      </c>
      <c r="G47" s="93" t="n">
        <f aca="false">IF(COUNT(Loans_Pay_Rng)&gt;0,SUM(Loans_Pay_Rng),IF(ISBLANK(C47),IF(AND(Fill_Example="Yes",F47&lt;&gt;""),F47,0),C47))</f>
        <v>0</v>
      </c>
      <c r="H47" s="93" t="n">
        <f aca="false">IF(COUNT(Loans_Pay_Rng)&gt;0,1,IF(ISBLANK(C47),IF(AND(Fill_Example="Yes",F47&lt;&gt;""),1,0),1))</f>
        <v>0</v>
      </c>
    </row>
    <row r="48" customFormat="false" ht="15" hidden="false" customHeight="false" outlineLevel="0" collapsed="false">
      <c r="B48" s="1" t="s">
        <v>1374</v>
      </c>
      <c r="C48" s="92"/>
      <c r="D48" s="1" t="s">
        <v>236</v>
      </c>
      <c r="E48" s="22" t="s">
        <v>1375</v>
      </c>
      <c r="F48" s="22"/>
      <c r="G48" s="93" t="n">
        <f aca="false">IF(ISNUMBER(Loans_Rate_Avg),ROUND(Loans_Rate_Avg*100,4),IF(ISBLANK(C48),IF(AND(Fill_Example="Yes",F48&lt;&gt;""),F48,0),C48))</f>
        <v>0</v>
      </c>
      <c r="H48" s="93" t="n">
        <f aca="false">IF(ISBLANK(C48),IF(AND(Fill_Example="Yes",F48&lt;&gt;""),1,0),1)</f>
        <v>0</v>
      </c>
    </row>
    <row r="49" customFormat="false" ht="15" hidden="false" customHeight="false" outlineLevel="0" collapsed="false">
      <c r="B49" s="1" t="s">
        <v>1376</v>
      </c>
      <c r="C49" s="92"/>
      <c r="D49" s="1" t="s">
        <v>225</v>
      </c>
      <c r="E49" s="22" t="s">
        <v>1377</v>
      </c>
      <c r="F49" s="22" t="n">
        <v>0</v>
      </c>
      <c r="G49" s="93" t="n">
        <f aca="false">IF(ISBLANK(C49),IF(AND(Fill_Example="Yes",F49&lt;&gt;""),F49,0),C49)</f>
        <v>0</v>
      </c>
      <c r="H49" s="93" t="n">
        <f aca="false">IF(ISBLANK(C49),IF(AND(Fill_Example="Yes",F49&lt;&gt;""),1,0),1)</f>
        <v>0</v>
      </c>
    </row>
    <row r="50" customFormat="false" ht="15" hidden="false" customHeight="false" outlineLevel="0" collapsed="false">
      <c r="B50" s="1" t="s">
        <v>1378</v>
      </c>
      <c r="C50" s="92"/>
      <c r="D50" s="1" t="s">
        <v>1313</v>
      </c>
      <c r="E50" s="22" t="s">
        <v>1379</v>
      </c>
      <c r="F50" s="22" t="n">
        <v>0</v>
      </c>
      <c r="G50" s="93" t="n">
        <f aca="false">IF(ISBLANK(C50),IF(AND(Fill_Example="Yes",F50&lt;&gt;""),F50,0),C50)</f>
        <v>0</v>
      </c>
      <c r="H50" s="93" t="n">
        <f aca="false">IF(ISBLANK(C50),IF(AND(Fill_Example="Yes",F50&lt;&gt;""),1,0),1)</f>
        <v>0</v>
      </c>
    </row>
    <row r="51" customFormat="false" ht="15" hidden="false" customHeight="false" outlineLevel="0" collapsed="false">
      <c r="B51" s="1" t="s">
        <v>1380</v>
      </c>
      <c r="C51" s="92"/>
      <c r="D51" s="1" t="s">
        <v>225</v>
      </c>
      <c r="E51" s="22" t="s">
        <v>1381</v>
      </c>
      <c r="F51" s="22" t="n">
        <v>72000</v>
      </c>
      <c r="G51" s="93" t="n">
        <f aca="false">IF(COUNT(Pens_Value_Rng)&gt;0,SUM(Pens_Value_Rng),IF(ISBLANK(C51),IF(AND(Fill_Example="Yes",F51&lt;&gt;""),F51,0),C51))</f>
        <v>0</v>
      </c>
      <c r="H51" s="93" t="n">
        <f aca="false">IF(COUNT(Pens_Value_Rng)&gt;0,1,IF(ISBLANK(C51),IF(AND(Fill_Example="Yes",F51&lt;&gt;""),1,0),1))</f>
        <v>0</v>
      </c>
    </row>
    <row r="52" customFormat="false" ht="15" hidden="false" customHeight="false" outlineLevel="0" collapsed="false">
      <c r="B52" s="1" t="s">
        <v>1382</v>
      </c>
      <c r="C52" s="92"/>
      <c r="D52" s="1" t="s">
        <v>1313</v>
      </c>
      <c r="E52" s="22" t="s">
        <v>1383</v>
      </c>
      <c r="F52" s="22" t="n">
        <v>520</v>
      </c>
      <c r="G52" s="93" t="n">
        <f aca="false">IF(COUNT(Pens_Monthly_Rng)&gt;0,SUM(Pens_Monthly_Rng),IF(ISBLANK(C52),IF(AND(Fill_Example="Yes",F52&lt;&gt;""),F52,0),C52))</f>
        <v>0</v>
      </c>
      <c r="H52" s="93" t="n">
        <f aca="false">IF(COUNT(Pens_Monthly_Rng)&gt;0,1,IF(ISBLANK(C52),IF(AND(Fill_Example="Yes",F52&lt;&gt;""),1,0),1))</f>
        <v>0</v>
      </c>
    </row>
    <row r="53" customFormat="false" ht="15" hidden="false" customHeight="false" outlineLevel="0" collapsed="false">
      <c r="B53" s="1" t="s">
        <v>1384</v>
      </c>
      <c r="C53" s="92"/>
      <c r="D53" s="1" t="s">
        <v>1313</v>
      </c>
      <c r="E53" s="22" t="s">
        <v>1385</v>
      </c>
      <c r="F53" s="22"/>
      <c r="G53" s="93" t="n">
        <f aca="false">IF(COUNT(Pens_Monthly_Rng)&gt;0,IF(Pens_OwnGiven=1,Pens_Own_Total,0),IF(ISBLANK(C53),IF(AND(Fill_Example="Yes",F53&lt;&gt;""),F53,0),C53))</f>
        <v>0</v>
      </c>
      <c r="H53" s="93" t="n">
        <f aca="false">IF(COUNT(Pens_Monthly_Rng)&gt;0,Pens_OwnGiven,IF(ISBLANK(C53),IF(AND(Fill_Example="Yes",F53&lt;&gt;""),1,0),1))</f>
        <v>0</v>
      </c>
    </row>
    <row r="54" customFormat="false" ht="15" hidden="false" customHeight="false" outlineLevel="0" collapsed="false">
      <c r="B54" s="1" t="s">
        <v>1386</v>
      </c>
      <c r="C54" s="92"/>
      <c r="D54" s="1" t="s">
        <v>236</v>
      </c>
      <c r="E54" s="22" t="s">
        <v>1387</v>
      </c>
      <c r="F54" s="22"/>
      <c r="G54" s="93" t="n">
        <f aca="false">IF(ISBLANK(C54),IF(AND(Fill_Example="Yes",F54&lt;&gt;""),F54,0),C54)</f>
        <v>0</v>
      </c>
      <c r="H54" s="93" t="n">
        <f aca="false">IF(ISBLANK(C54),IF(AND(Fill_Example="Yes",F54&lt;&gt;""),1,0),1)</f>
        <v>0</v>
      </c>
    </row>
    <row r="55" customFormat="false" ht="15" hidden="false" customHeight="false" outlineLevel="0" collapsed="false">
      <c r="B55" s="1" t="s">
        <v>1388</v>
      </c>
      <c r="C55" s="92"/>
      <c r="E55" s="22" t="s">
        <v>1389</v>
      </c>
      <c r="F55" s="22"/>
      <c r="G55" s="93" t="str">
        <f aca="false">IF(ISBLANK(C55),IF(Fill_Example="Yes",F55,""),C55)</f>
        <v/>
      </c>
      <c r="H55" s="93" t="n">
        <f aca="false">IF(G55="",0,1)</f>
        <v>0</v>
      </c>
    </row>
    <row r="56" customFormat="false" ht="15" hidden="false" customHeight="false" outlineLevel="0" collapsed="false">
      <c r="B56" s="1" t="s">
        <v>1390</v>
      </c>
      <c r="C56" s="92"/>
      <c r="E56" s="22" t="s">
        <v>1391</v>
      </c>
      <c r="F56" s="22" t="s">
        <v>1392</v>
      </c>
      <c r="G56" s="93" t="str">
        <f aca="false">IF(ISBLANK(C56),IF(Fill_Example="Yes",F56,""),C56)</f>
        <v/>
      </c>
      <c r="H56" s="93" t="n">
        <f aca="false">IF(G56="",0,1)</f>
        <v>0</v>
      </c>
    </row>
    <row r="57" customFormat="false" ht="15" hidden="false" customHeight="false" outlineLevel="0" collapsed="false">
      <c r="B57" s="1" t="s">
        <v>1393</v>
      </c>
      <c r="C57" s="92"/>
      <c r="D57" s="1" t="s">
        <v>238</v>
      </c>
      <c r="E57" s="22" t="s">
        <v>1394</v>
      </c>
      <c r="F57" s="22"/>
      <c r="G57" s="93" t="n">
        <f aca="false">IF(ISBLANK(C57),IF(AND(Fill_Example="Yes",F57&lt;&gt;""),F57,0),C57)</f>
        <v>0</v>
      </c>
      <c r="H57" s="93" t="n">
        <f aca="false">IF(ISBLANK(C57),IF(AND(Fill_Example="Yes",F57&lt;&gt;""),1,0),1)</f>
        <v>0</v>
      </c>
    </row>
    <row r="58" customFormat="false" ht="15" hidden="false" customHeight="false" outlineLevel="0" collapsed="false">
      <c r="B58" s="1" t="s">
        <v>1395</v>
      </c>
      <c r="C58" s="92"/>
      <c r="E58" s="22" t="s">
        <v>1396</v>
      </c>
      <c r="F58" s="22"/>
      <c r="G58" s="93" t="str">
        <f aca="false">IF(ISBLANK(C58),IF(Fill_Example="Yes",F58,""),C58)</f>
        <v/>
      </c>
      <c r="H58" s="93" t="n">
        <f aca="false">IF(G58="",0,1)</f>
        <v>0</v>
      </c>
    </row>
    <row r="59" customFormat="false" ht="15" hidden="false" customHeight="false" outlineLevel="0" collapsed="false">
      <c r="B59" s="1" t="s">
        <v>1397</v>
      </c>
      <c r="C59" s="92"/>
      <c r="E59" s="22" t="s">
        <v>1398</v>
      </c>
      <c r="F59" s="22" t="s">
        <v>234</v>
      </c>
      <c r="G59" s="93" t="str">
        <f aca="false">IF(ISBLANK(C59),IF(Fill_Example="Yes",F59,""),C59)</f>
        <v/>
      </c>
      <c r="H59" s="93" t="n">
        <f aca="false">IF(G59="",0,1)</f>
        <v>0</v>
      </c>
    </row>
    <row r="60" customFormat="false" ht="15" hidden="false" customHeight="false" outlineLevel="0" collapsed="false">
      <c r="B60" s="1" t="s">
        <v>1399</v>
      </c>
      <c r="C60" s="92"/>
      <c r="E60" s="22" t="s">
        <v>1400</v>
      </c>
      <c r="F60" s="22" t="s">
        <v>3</v>
      </c>
      <c r="G60" s="93" t="str">
        <f aca="false">IF(ISBLANK(C60),IF(Fill_Example="Yes",F60,""),C60)</f>
        <v/>
      </c>
      <c r="H60" s="93" t="n">
        <f aca="false">IF(G60="",0,1)</f>
        <v>0</v>
      </c>
    </row>
    <row r="61" customFormat="false" ht="15" hidden="false" customHeight="false" outlineLevel="0" collapsed="false">
      <c r="B61" s="1" t="s">
        <v>1401</v>
      </c>
      <c r="C61" s="92"/>
      <c r="E61" s="22" t="s">
        <v>1402</v>
      </c>
      <c r="F61" s="22" t="s">
        <v>1403</v>
      </c>
      <c r="G61" s="93" t="str">
        <f aca="false">IF(ISBLANK(C61),IF(Fill_Example="Yes",F61,""),C61)</f>
        <v/>
      </c>
      <c r="H61" s="93" t="n">
        <f aca="false">IF(G61="",0,1)</f>
        <v>0</v>
      </c>
    </row>
    <row r="62" customFormat="false" ht="15" hidden="false" customHeight="false" outlineLevel="0" collapsed="false">
      <c r="B62" s="1" t="s">
        <v>1404</v>
      </c>
      <c r="C62" s="92"/>
      <c r="E62" s="22" t="s">
        <v>1405</v>
      </c>
      <c r="F62" s="22" t="s">
        <v>234</v>
      </c>
      <c r="G62" s="93" t="str">
        <f aca="false">IF(ISBLANK(C62),IF(Fill_Example="Yes",F62,""),C62)</f>
        <v/>
      </c>
      <c r="H62" s="93" t="n">
        <f aca="false">IF(G62="",0,1)</f>
        <v>0</v>
      </c>
    </row>
    <row r="63" customFormat="false" ht="15" hidden="false" customHeight="false" outlineLevel="0" collapsed="false">
      <c r="B63" s="1" t="s">
        <v>1406</v>
      </c>
      <c r="C63" s="92"/>
      <c r="E63" s="22" t="s">
        <v>1407</v>
      </c>
      <c r="F63" s="22" t="s">
        <v>234</v>
      </c>
      <c r="G63" s="93" t="str">
        <f aca="false">IF(ISBLANK(C63),IF(Fill_Example="Yes",F63,""),C63)</f>
        <v/>
      </c>
      <c r="H63" s="93" t="n">
        <f aca="false">IF(G63="",0,1)</f>
        <v>0</v>
      </c>
    </row>
    <row r="65" customFormat="false" ht="15" hidden="false" customHeight="false" outlineLevel="0" collapsed="false">
      <c r="B65" s="91" t="s">
        <v>1408</v>
      </c>
      <c r="C65" s="91" t="s">
        <v>220</v>
      </c>
      <c r="D65" s="91" t="s">
        <v>221</v>
      </c>
      <c r="E65" s="91" t="s">
        <v>1287</v>
      </c>
      <c r="F65" s="91" t="s">
        <v>1288</v>
      </c>
      <c r="G65" s="91" t="s">
        <v>1289</v>
      </c>
      <c r="H65" s="91" t="s">
        <v>1290</v>
      </c>
    </row>
    <row r="66" customFormat="false" ht="15" hidden="false" customHeight="false" outlineLevel="0" collapsed="false">
      <c r="B66" s="1" t="s">
        <v>1409</v>
      </c>
      <c r="C66" s="92"/>
      <c r="D66" s="1" t="s">
        <v>1304</v>
      </c>
      <c r="E66" s="22" t="s">
        <v>1410</v>
      </c>
      <c r="F66" s="94" t="n">
        <f aca="false">Set_inv</f>
        <v>0.026</v>
      </c>
      <c r="G66" s="93" t="str">
        <f aca="false">IF(ISBLANK(C66),IF(AND(Fill_Example="Yes",F66&lt;&gt;""),F66,""),C66)</f>
        <v/>
      </c>
      <c r="H66" s="93" t="n">
        <f aca="false">IF(G66="",0,1)</f>
        <v>0</v>
      </c>
    </row>
    <row r="67" customFormat="false" ht="15" hidden="false" customHeight="false" outlineLevel="0" collapsed="false">
      <c r="B67" s="1" t="s">
        <v>1411</v>
      </c>
      <c r="C67" s="92"/>
      <c r="D67" s="1" t="s">
        <v>1304</v>
      </c>
      <c r="E67" s="22" t="s">
        <v>1412</v>
      </c>
      <c r="F67" s="94" t="n">
        <f aca="false">Set_cash</f>
        <v>0.01</v>
      </c>
      <c r="G67" s="93" t="str">
        <f aca="false">IF(ISBLANK(C67),IF(AND(Fill_Example="Yes",F67&lt;&gt;""),F67,""),C67)</f>
        <v/>
      </c>
      <c r="H67" s="93" t="n">
        <f aca="false">IF(G67="",0,1)</f>
        <v>0</v>
      </c>
    </row>
    <row r="68" customFormat="false" ht="15" hidden="false" customHeight="false" outlineLevel="0" collapsed="false">
      <c r="B68" s="1" t="s">
        <v>1413</v>
      </c>
      <c r="C68" s="92"/>
      <c r="D68" s="1" t="s">
        <v>1304</v>
      </c>
      <c r="E68" s="22" t="s">
        <v>1414</v>
      </c>
      <c r="F68" s="94" t="n">
        <f aca="false">Set_pen</f>
        <v>0.045</v>
      </c>
      <c r="G68" s="93" t="str">
        <f aca="false">IF(ISBLANK(C68),IF(AND(Fill_Example="Yes",F68&lt;&gt;""),F68,""),C68)</f>
        <v/>
      </c>
      <c r="H68" s="93" t="n">
        <f aca="false">IF(G68="",0,1)</f>
        <v>0</v>
      </c>
    </row>
    <row r="69" customFormat="false" ht="15" hidden="false" customHeight="false" outlineLevel="0" collapsed="false">
      <c r="B69" s="1" t="s">
        <v>1415</v>
      </c>
      <c r="C69" s="92"/>
      <c r="D69" s="1" t="s">
        <v>1304</v>
      </c>
      <c r="E69" s="22" t="s">
        <v>1416</v>
      </c>
      <c r="F69" s="94" t="n">
        <f aca="false">Set_penRet</f>
        <v>0.0315</v>
      </c>
      <c r="G69" s="93" t="str">
        <f aca="false">IF(ISBLANK(C69),IF(AND(Fill_Example="Yes",F69&lt;&gt;""),F69,""),C69)</f>
        <v/>
      </c>
      <c r="H69" s="93" t="n">
        <f aca="false">IF(G69="",0,1)</f>
        <v>0</v>
      </c>
    </row>
    <row r="70" customFormat="false" ht="15" hidden="false" customHeight="false" outlineLevel="0" collapsed="false">
      <c r="B70" s="1" t="s">
        <v>1417</v>
      </c>
      <c r="C70" s="92"/>
      <c r="D70" s="1" t="s">
        <v>1304</v>
      </c>
      <c r="E70" s="22" t="s">
        <v>1418</v>
      </c>
      <c r="F70" s="94" t="n">
        <f aca="false">Set_wage</f>
        <v>0.03</v>
      </c>
      <c r="G70" s="93" t="str">
        <f aca="false">IF(ISBLANK(C70),IF(AND(Fill_Example="Yes",F70&lt;&gt;""),F70,""),C70)</f>
        <v/>
      </c>
      <c r="H70" s="93" t="n">
        <f aca="false">IF(G70="",0,1)</f>
        <v>0</v>
      </c>
    </row>
    <row r="71" customFormat="false" ht="15" hidden="false" customHeight="false" outlineLevel="0" collapsed="false">
      <c r="B71" s="1" t="s">
        <v>1419</v>
      </c>
      <c r="C71" s="92"/>
      <c r="E71" s="22" t="s">
        <v>1420</v>
      </c>
      <c r="F71" s="22" t="str">
        <f aca="false">Set_bands</f>
        <v>prices</v>
      </c>
      <c r="G71" s="93" t="str">
        <f aca="false">IF(ISBLANK(C71),IF(AND(Fill_Example="Yes",F71&lt;&gt;""),F71,""),C71)</f>
        <v/>
      </c>
      <c r="H71" s="93" t="n">
        <f aca="false">IF(G71="",0,1)</f>
        <v>0</v>
      </c>
    </row>
    <row r="72" customFormat="false" ht="15" hidden="false" customHeight="false" outlineLevel="0" collapsed="false">
      <c r="B72" s="1" t="s">
        <v>1421</v>
      </c>
      <c r="C72" s="92"/>
      <c r="E72" s="22" t="s">
        <v>1422</v>
      </c>
      <c r="F72" s="22" t="str">
        <f aca="false">Set_spGrow</f>
        <v>prices</v>
      </c>
      <c r="G72" s="93" t="str">
        <f aca="false">IF(ISBLANK(C72),IF(AND(Fill_Example="Yes",F72&lt;&gt;""),F72,""),C72)</f>
        <v/>
      </c>
      <c r="H72" s="93" t="n">
        <f aca="false">IF(G72="",0,1)</f>
        <v>0</v>
      </c>
    </row>
    <row r="73" customFormat="false" ht="15" hidden="false" customHeight="false" outlineLevel="0" collapsed="false">
      <c r="B73" s="1" t="s">
        <v>1423</v>
      </c>
      <c r="C73" s="92"/>
      <c r="D73" s="1" t="s">
        <v>1304</v>
      </c>
      <c r="E73" s="22" t="s">
        <v>1424</v>
      </c>
      <c r="F73" s="94" t="n">
        <f aca="false">IF(In_work="Self-employed",1,Set_ownShare)</f>
        <v>0.5</v>
      </c>
      <c r="G73" s="93" t="str">
        <f aca="false">IF(ISBLANK(C73),IF(AND(Fill_Example="Yes",F73&lt;&gt;""),F73,""),C73)</f>
        <v/>
      </c>
      <c r="H73" s="93" t="n">
        <f aca="false">IF(G73="",0,1)</f>
        <v>0</v>
      </c>
    </row>
    <row r="74" customFormat="false" ht="15" hidden="false" customHeight="false" outlineLevel="0" collapsed="false">
      <c r="B74" s="1" t="s">
        <v>1425</v>
      </c>
      <c r="C74" s="92"/>
      <c r="D74" s="1" t="s">
        <v>1304</v>
      </c>
      <c r="E74" s="22" t="s">
        <v>1426</v>
      </c>
      <c r="F74" s="94" t="n">
        <f aca="false">Set_retireSpend</f>
        <v>0.8</v>
      </c>
      <c r="G74" s="93" t="str">
        <f aca="false">IF(ISBLANK(C74),IF(AND(Fill_Example="Yes",F74&lt;&gt;""),F74,""),C74)</f>
        <v/>
      </c>
      <c r="H74" s="93" t="n">
        <f aca="false">IF(G74="",0,1)</f>
        <v>0</v>
      </c>
    </row>
    <row r="75" customFormat="false" ht="15" hidden="false" customHeight="false" outlineLevel="0" collapsed="false">
      <c r="B75" s="1" t="s">
        <v>1427</v>
      </c>
      <c r="C75" s="92"/>
      <c r="D75" s="1" t="s">
        <v>1304</v>
      </c>
      <c r="E75" s="22" t="s">
        <v>1428</v>
      </c>
      <c r="F75" s="94" t="n">
        <f aca="false">Set_lumpSum</f>
        <v>0.25</v>
      </c>
      <c r="G75" s="93" t="str">
        <f aca="false">IF(ISBLANK(C75),IF(AND(Fill_Example="Yes",F75&lt;&gt;""),F75,""),C75)</f>
        <v/>
      </c>
      <c r="H75" s="93" t="n">
        <f aca="false">IF(G75="",0,1)</f>
        <v>0</v>
      </c>
    </row>
    <row r="76" customFormat="false" ht="15" hidden="false" customHeight="false" outlineLevel="0" collapsed="false">
      <c r="B76" s="1" t="s">
        <v>1429</v>
      </c>
      <c r="C76" s="92"/>
      <c r="E76" s="22" t="s">
        <v>1430</v>
      </c>
      <c r="F76" s="22" t="str">
        <f aca="false">Set_drawRule</f>
        <v>spread</v>
      </c>
      <c r="G76" s="93" t="str">
        <f aca="false">IF(ISBLANK(C76),IF(AND(Fill_Example="Yes",F76&lt;&gt;""),F76,""),C76)</f>
        <v/>
      </c>
      <c r="H76" s="93" t="n">
        <f aca="false">IF(G76="",0,1)</f>
        <v>0</v>
      </c>
    </row>
    <row r="77" customFormat="false" ht="15" hidden="false" customHeight="false" outlineLevel="0" collapsed="false">
      <c r="B77" s="1" t="s">
        <v>1431</v>
      </c>
      <c r="C77" s="92"/>
      <c r="D77" s="1" t="s">
        <v>225</v>
      </c>
      <c r="E77" s="22" t="s">
        <v>1432</v>
      </c>
      <c r="F77" s="22"/>
      <c r="G77" s="93" t="str">
        <f aca="false">IF(ISBLANK(C77),IF(AND(Fill_Example="Yes",F77&lt;&gt;""),F77,""),C77)</f>
        <v/>
      </c>
      <c r="H77" s="93" t="n">
        <f aca="false">IF(G77="",0,1)</f>
        <v>0</v>
      </c>
    </row>
    <row r="78" customFormat="false" ht="15" hidden="false" customHeight="false" outlineLevel="0" collapsed="false">
      <c r="B78" s="1" t="s">
        <v>1433</v>
      </c>
      <c r="C78" s="92"/>
      <c r="D78" s="1" t="s">
        <v>686</v>
      </c>
      <c r="E78" s="22" t="s">
        <v>1434</v>
      </c>
      <c r="F78" s="22" t="n">
        <f aca="false">IF(AS_TwoSecure=1,Set_safetyMonthsTwo,Set_safetyMonths)</f>
        <v>6</v>
      </c>
      <c r="G78" s="93" t="str">
        <f aca="false">IF(ISBLANK(C78),IF(AND(Fill_Example="Yes",F78&lt;&gt;""),F78,""),C78)</f>
        <v/>
      </c>
      <c r="H78" s="93" t="n">
        <f aca="false">IF(G78="",0,1)</f>
        <v>0</v>
      </c>
    </row>
    <row r="79" customFormat="false" ht="15" hidden="false" customHeight="false" outlineLevel="0" collapsed="false">
      <c r="B79" s="1" t="s">
        <v>1435</v>
      </c>
      <c r="C79" s="92"/>
      <c r="D79" s="1" t="s">
        <v>238</v>
      </c>
      <c r="E79" s="22" t="s">
        <v>1436</v>
      </c>
      <c r="F79" s="22" t="n">
        <f aca="false">Set_cashYears</f>
        <v>5</v>
      </c>
      <c r="G79" s="93" t="str">
        <f aca="false">IF(ISBLANK(C79),IF(AND(Fill_Example="Yes",F79&lt;&gt;""),F79,""),C79)</f>
        <v/>
      </c>
      <c r="H79" s="93" t="n">
        <f aca="false">IF(G79="",0,1)</f>
        <v>0</v>
      </c>
    </row>
    <row r="80" customFormat="false" ht="15" hidden="false" customHeight="false" outlineLevel="0" collapsed="false">
      <c r="B80" s="1" t="s">
        <v>1437</v>
      </c>
      <c r="C80" s="92"/>
      <c r="D80" s="1" t="s">
        <v>1304</v>
      </c>
      <c r="E80" s="22" t="s">
        <v>1438</v>
      </c>
      <c r="F80" s="94" t="n">
        <f aca="false">Set_investShare</f>
        <v>0.4</v>
      </c>
      <c r="G80" s="93" t="str">
        <f aca="false">IF(ISBLANK(C80),IF(AND(Fill_Example="Yes",F80&lt;&gt;""),F80,""),C80)</f>
        <v/>
      </c>
      <c r="H80" s="93" t="n">
        <f aca="false">IF(G80="",0,1)</f>
        <v>0</v>
      </c>
    </row>
    <row r="81" customFormat="false" ht="15" hidden="false" customHeight="false" outlineLevel="0" collapsed="false">
      <c r="B81" s="1" t="s">
        <v>1439</v>
      </c>
      <c r="C81" s="92"/>
      <c r="D81" s="1" t="s">
        <v>1304</v>
      </c>
      <c r="E81" s="22" t="s">
        <v>1440</v>
      </c>
      <c r="F81" s="94" t="n">
        <f aca="false">Set_saveShare</f>
        <v>0.5</v>
      </c>
      <c r="G81" s="93" t="str">
        <f aca="false">IF(ISBLANK(C81),IF(AND(Fill_Example="Yes",F81&lt;&gt;""),F81,""),C81)</f>
        <v/>
      </c>
      <c r="H81" s="93" t="n">
        <f aca="false">IF(G81="",0,1)</f>
        <v>0</v>
      </c>
    </row>
    <row r="82" customFormat="false" ht="15" hidden="false" customHeight="false" outlineLevel="0" collapsed="false">
      <c r="B82" s="1" t="s">
        <v>1441</v>
      </c>
      <c r="C82" s="92"/>
      <c r="D82" s="1" t="s">
        <v>1313</v>
      </c>
      <c r="E82" s="22" t="s">
        <v>1442</v>
      </c>
      <c r="F82" s="95" t="n">
        <f aca="false">Set_noAnswer</f>
        <v>300</v>
      </c>
      <c r="G82" s="93" t="str">
        <f aca="false">IF(ISBLANK(C82),IF(AND(Fill_Example="Yes",F82&lt;&gt;""),F82,""),C82)</f>
        <v/>
      </c>
      <c r="H82" s="93" t="n">
        <f aca="false">IF(G82="",0,1)</f>
        <v>0</v>
      </c>
    </row>
    <row r="83" customFormat="false" ht="15" hidden="false" customHeight="false" outlineLevel="0" collapsed="false">
      <c r="B83" s="1" t="s">
        <v>1443</v>
      </c>
      <c r="C83" s="92"/>
      <c r="D83" s="1" t="s">
        <v>719</v>
      </c>
      <c r="E83" s="22" t="s">
        <v>1444</v>
      </c>
      <c r="F83" s="22" t="n">
        <v>95</v>
      </c>
      <c r="G83" s="93" t="str">
        <f aca="false">IF(ISBLANK(C83),IF(AND(Fill_Example="Yes",F83&lt;&gt;""),F83,""),C83)</f>
        <v/>
      </c>
      <c r="H83" s="93" t="n">
        <f aca="false">IF(G83="",0,1)</f>
        <v>0</v>
      </c>
    </row>
    <row r="84" customFormat="false" ht="15" hidden="false" customHeight="false" outlineLevel="0" collapsed="false">
      <c r="B84" s="1" t="s">
        <v>1445</v>
      </c>
      <c r="C84" s="92"/>
      <c r="D84" s="1" t="s">
        <v>1446</v>
      </c>
      <c r="E84" s="22" t="s">
        <v>1447</v>
      </c>
      <c r="F84" s="22" t="n">
        <f aca="true">IF(TODAY()&gt;DATE(2026,9,30),2027,2026)</f>
        <v>2027</v>
      </c>
      <c r="G84" s="93" t="str">
        <f aca="false">IF(ISBLANK(C84),IF(AND(Fill_Example="Yes",F84&lt;&gt;""),F84,""),C84)</f>
        <v/>
      </c>
      <c r="H84" s="93" t="n">
        <f aca="false">IF(G84="",0,1)</f>
        <v>0</v>
      </c>
    </row>
    <row r="85" customFormat="false" ht="15" hidden="false" customHeight="false" outlineLevel="0" collapsed="false">
      <c r="B85" s="1" t="s">
        <v>1448</v>
      </c>
      <c r="C85" s="92"/>
      <c r="D85" s="1" t="s">
        <v>1304</v>
      </c>
      <c r="E85" s="22" t="s">
        <v>1449</v>
      </c>
      <c r="F85" s="22" t="n">
        <v>0.0375</v>
      </c>
      <c r="G85" s="93" t="str">
        <f aca="false">IF(ISBLANK(C85),IF(AND(Fill_Example="Yes",F85&lt;&gt;""),F85,""),C85)</f>
        <v/>
      </c>
      <c r="H85" s="93" t="n">
        <f aca="false">IF(G85="",0,1)</f>
        <v>0</v>
      </c>
    </row>
    <row r="86" customFormat="false" ht="15" hidden="false" customHeight="false" outlineLevel="0" collapsed="false">
      <c r="B86" s="1" t="s">
        <v>1450</v>
      </c>
      <c r="C86" s="92"/>
      <c r="D86" s="1" t="s">
        <v>1304</v>
      </c>
      <c r="E86" s="22" t="s">
        <v>1451</v>
      </c>
      <c r="F86" s="22" t="n">
        <v>0.2</v>
      </c>
      <c r="G86" s="93" t="str">
        <f aca="false">IF(ISBLANK(C86),IF(AND(Fill_Example="Yes",F86&lt;&gt;""),F86,""),C86)</f>
        <v/>
      </c>
      <c r="H86" s="93" t="n">
        <f aca="false">IF(G86="",0,1)</f>
        <v>0</v>
      </c>
    </row>
    <row r="87" customFormat="false" ht="15" hidden="false" customHeight="false" outlineLevel="0" collapsed="false">
      <c r="B87" s="1" t="s">
        <v>1452</v>
      </c>
      <c r="C87" s="92"/>
      <c r="D87" s="1" t="s">
        <v>1304</v>
      </c>
      <c r="E87" s="22" t="s">
        <v>1453</v>
      </c>
      <c r="F87" s="22" t="n">
        <v>0.08</v>
      </c>
      <c r="G87" s="93" t="str">
        <f aca="false">IF(ISBLANK(C87),IF(AND(Fill_Example="Yes",F87&lt;&gt;""),F87,""),C87)</f>
        <v/>
      </c>
      <c r="H87" s="93" t="n">
        <f aca="false">IF(G87="",0,1)</f>
        <v>0</v>
      </c>
    </row>
    <row r="88" customFormat="false" ht="15" hidden="false" customHeight="false" outlineLevel="0" collapsed="false">
      <c r="B88" s="1" t="s">
        <v>1454</v>
      </c>
      <c r="C88" s="92"/>
      <c r="D88" s="1" t="s">
        <v>1086</v>
      </c>
      <c r="E88" s="22" t="s">
        <v>1455</v>
      </c>
      <c r="F88" s="22"/>
      <c r="G88" s="93" t="str">
        <f aca="false">IF(ISBLANK(C88),IF(AND(Fill_Example="Yes",F88&lt;&gt;""),F88,""),C88)</f>
        <v/>
      </c>
      <c r="H88" s="93" t="n">
        <f aca="false">IF(G88="",0,1)</f>
        <v>0</v>
      </c>
    </row>
    <row r="89" customFormat="false" ht="15" hidden="false" customHeight="false" outlineLevel="0" collapsed="false">
      <c r="B89" s="1" t="s">
        <v>1456</v>
      </c>
      <c r="C89" s="92"/>
      <c r="D89" s="1" t="s">
        <v>1086</v>
      </c>
      <c r="E89" s="22" t="s">
        <v>1457</v>
      </c>
      <c r="F89" s="22" t="n">
        <v>239.44</v>
      </c>
      <c r="G89" s="93" t="str">
        <f aca="false">IF(ISBLANK(C89),IF(AND(Fill_Example="Yes",F89&lt;&gt;""),F89,""),C89)</f>
        <v/>
      </c>
      <c r="H89" s="93" t="n">
        <f aca="false">IF(G89="",0,1)</f>
        <v>0</v>
      </c>
    </row>
    <row r="90" customFormat="false" ht="15" hidden="false" customHeight="false" outlineLevel="0" collapsed="false">
      <c r="B90" s="1" t="s">
        <v>1458</v>
      </c>
      <c r="C90" s="92"/>
      <c r="D90" s="1" t="s">
        <v>238</v>
      </c>
      <c r="E90" s="22" t="s">
        <v>1459</v>
      </c>
      <c r="F90" s="22"/>
      <c r="G90" s="93" t="str">
        <f aca="false">IF(ISBLANK(C90),IF(AND(Fill_Example="Yes",F90&lt;&gt;""),F90,""),C90)</f>
        <v/>
      </c>
      <c r="H90" s="93" t="n">
        <f aca="false">IF(G90="",0,1)</f>
        <v>0</v>
      </c>
    </row>
    <row r="91" customFormat="false" ht="15" hidden="false" customHeight="false" outlineLevel="0" collapsed="false">
      <c r="B91" s="1" t="s">
        <v>1460</v>
      </c>
      <c r="C91" s="92"/>
      <c r="D91" s="1" t="s">
        <v>1304</v>
      </c>
      <c r="E91" s="22" t="s">
        <v>1461</v>
      </c>
      <c r="F91" s="22"/>
      <c r="G91" s="93" t="str">
        <f aca="false">IF(ISBLANK(C91),IF(AND(Fill_Example="Yes",F91&lt;&gt;""),F91,""),C91)</f>
        <v/>
      </c>
      <c r="H91" s="93" t="n">
        <f aca="false">IF(G91="",0,1)</f>
        <v>0</v>
      </c>
    </row>
    <row r="93" customFormat="false" ht="61.5" hidden="false" customHeight="true" outlineLevel="0" collapsed="false">
      <c r="B93" s="96" t="s">
        <v>1462</v>
      </c>
      <c r="C93" s="96" t="s">
        <v>1463</v>
      </c>
      <c r="D93" s="96" t="s">
        <v>1464</v>
      </c>
      <c r="E93" s="96" t="s">
        <v>1465</v>
      </c>
      <c r="F93" s="96" t="s">
        <v>1466</v>
      </c>
      <c r="G93" s="96" t="s">
        <v>381</v>
      </c>
      <c r="H93" s="96" t="s">
        <v>1467</v>
      </c>
      <c r="I93" s="96" t="s">
        <v>1468</v>
      </c>
      <c r="J93" s="96" t="s">
        <v>1469</v>
      </c>
      <c r="N93" s="91" t="s">
        <v>1470</v>
      </c>
      <c r="O93" s="91" t="s">
        <v>1471</v>
      </c>
      <c r="P93" s="91" t="s">
        <v>1472</v>
      </c>
      <c r="Q93" s="91" t="s">
        <v>1473</v>
      </c>
      <c r="R93" s="91" t="s">
        <v>1474</v>
      </c>
      <c r="S93" s="91" t="s">
        <v>1475</v>
      </c>
      <c r="T93" s="91" t="s">
        <v>1476</v>
      </c>
      <c r="U93" s="91" t="s">
        <v>1477</v>
      </c>
    </row>
    <row r="94" customFormat="false" ht="15" hidden="false" customHeight="false" outlineLevel="0" collapsed="false">
      <c r="B94" s="1" t="s">
        <v>1478</v>
      </c>
      <c r="C94" s="92"/>
      <c r="D94" s="92"/>
      <c r="E94" s="92"/>
      <c r="F94" s="92"/>
      <c r="G94" s="92"/>
      <c r="H94" s="92"/>
      <c r="I94" s="92"/>
      <c r="J94" s="92"/>
      <c r="N94" s="93" t="str">
        <f aca="false">IF(ISBLANK(C94),IF(Fill_Example="Yes","edu",""),C94)</f>
        <v/>
      </c>
      <c r="O94" s="93" t="str">
        <f aca="false">IF(ISBLANK(D94),IFERROR(INDEX(Goal_Titles,MATCH(N94,Goal_Keys,0)),""),D94)</f>
        <v/>
      </c>
      <c r="P94" s="93" t="n">
        <f aca="false">IF(ISBLANK(E94),IF(AND(ISBLANK(C94),Fill_Example="Yes"),48,MIN(89,In_age+IFERROR(INDEX(Goal_DefYrs,MATCH(N94,Goal_Keys,0)),0))),E94)</f>
        <v>0</v>
      </c>
      <c r="Q94" s="93" t="n">
        <f aca="false">IF(ISBLANK(F94),IF(AND(ISBLANK(C94),Fill_Example="Yes"),50000,IFERROR(INDEX(Goal_DefAmt,MATCH(N94,Goal_Keys,0)),0)),F94)</f>
        <v>0</v>
      </c>
      <c r="R94" s="93" t="n">
        <f aca="false">IF(ISBLANK(G94),IF(AND(ISBLANK(C94),Fill_Example="Yes"),0,0),G94)</f>
        <v>0</v>
      </c>
      <c r="S94" s="93" t="str">
        <f aca="false">IF(ISBLANK(H94),IF(AND(ISBLANK(C94),Fill_Example="Yes"),"Must have","Must have"),H94)</f>
        <v>Must have</v>
      </c>
      <c r="T94" s="93" t="str">
        <f aca="false">IF(ISBLANK(I94),"",I94)</f>
        <v/>
      </c>
      <c r="U94" s="93" t="str">
        <f aca="false">IF(ISBLANK(J94),IF(AND(ISBLANK(C94),Fill_Example="Yes"),"No","No"),J94)</f>
        <v>No</v>
      </c>
    </row>
    <row r="95" customFormat="false" ht="15" hidden="false" customHeight="false" outlineLevel="0" collapsed="false">
      <c r="B95" s="1" t="s">
        <v>1479</v>
      </c>
      <c r="C95" s="92"/>
      <c r="D95" s="92"/>
      <c r="E95" s="92"/>
      <c r="F95" s="92"/>
      <c r="G95" s="92"/>
      <c r="H95" s="92"/>
      <c r="I95" s="92"/>
      <c r="J95" s="92"/>
      <c r="N95" s="93" t="str">
        <f aca="false">IF(ISBLANK(C95),IF(Fill_Example="Yes","travel",""),C95)</f>
        <v/>
      </c>
      <c r="O95" s="93" t="str">
        <f aca="false">IF(ISBLANK(D95),IFERROR(INDEX(Goal_Titles,MATCH(N95,Goal_Keys,0)),""),D95)</f>
        <v/>
      </c>
      <c r="P95" s="93" t="n">
        <f aca="false">IF(ISBLANK(E95),IF(AND(ISBLANK(C95),Fill_Example="Yes"),41,MIN(89,In_age+IFERROR(INDEX(Goal_DefYrs,MATCH(N95,Goal_Keys,0)),0))),E95)</f>
        <v>0</v>
      </c>
      <c r="Q95" s="93" t="n">
        <f aca="false">IF(ISBLANK(F95),IF(AND(ISBLANK(C95),Fill_Example="Yes"),12000,IFERROR(INDEX(Goal_DefAmt,MATCH(N95,Goal_Keys,0)),0)),F95)</f>
        <v>0</v>
      </c>
      <c r="R95" s="93" t="n">
        <f aca="false">IF(ISBLANK(G95),IF(AND(ISBLANK(C95),Fill_Example="Yes"),0,0),G95)</f>
        <v>0</v>
      </c>
      <c r="S95" s="93" t="str">
        <f aca="false">IF(ISBLANK(H95),IF(AND(ISBLANK(C95),Fill_Example="Yes"),"Must have","Must have"),H95)</f>
        <v>Must have</v>
      </c>
      <c r="T95" s="93" t="str">
        <f aca="false">IF(ISBLANK(I95),"",I95)</f>
        <v/>
      </c>
      <c r="U95" s="93" t="str">
        <f aca="false">IF(ISBLANK(J95),IF(AND(ISBLANK(C95),Fill_Example="Yes"),"No","No"),J95)</f>
        <v>No</v>
      </c>
    </row>
    <row r="96" customFormat="false" ht="15" hidden="false" customHeight="false" outlineLevel="0" collapsed="false">
      <c r="B96" s="1" t="s">
        <v>1480</v>
      </c>
      <c r="C96" s="92"/>
      <c r="D96" s="92"/>
      <c r="E96" s="92"/>
      <c r="F96" s="92"/>
      <c r="G96" s="92"/>
      <c r="H96" s="92"/>
      <c r="I96" s="92"/>
      <c r="J96" s="92"/>
      <c r="N96" s="93" t="str">
        <f aca="false">IF(ISBLANK(C96),IF(Fill_Example="Yes","mfree",""),C96)</f>
        <v/>
      </c>
      <c r="O96" s="93" t="str">
        <f aca="false">IF(ISBLANK(D96),IFERROR(INDEX(Goal_Titles,MATCH(N96,Goal_Keys,0)),""),D96)</f>
        <v/>
      </c>
      <c r="P96" s="93" t="n">
        <f aca="false">IF(ISBLANK(E96),IF(AND(ISBLANK(C96),Fill_Example="Yes"),55,MIN(89,In_age+IFERROR(INDEX(Goal_DefYrs,MATCH(N96,Goal_Keys,0)),0))),E96)</f>
        <v>0</v>
      </c>
      <c r="Q96" s="93" t="n">
        <f aca="false">IF(ISBLANK(F96),IF(AND(ISBLANK(C96),Fill_Example="Yes"),150000,IFERROR(INDEX(Goal_DefAmt,MATCH(N96,Goal_Keys,0)),0)),F96)</f>
        <v>0</v>
      </c>
      <c r="R96" s="93" t="n">
        <f aca="false">IF(ISBLANK(G96),IF(AND(ISBLANK(C96),Fill_Example="Yes"),0,0),G96)</f>
        <v>0</v>
      </c>
      <c r="S96" s="93" t="str">
        <f aca="false">IF(ISBLANK(H96),IF(AND(ISBLANK(C96),Fill_Example="Yes"),"Must have","Must have"),H96)</f>
        <v>Must have</v>
      </c>
      <c r="T96" s="93" t="str">
        <f aca="false">IF(ISBLANK(I96),"",I96)</f>
        <v/>
      </c>
      <c r="U96" s="93" t="str">
        <f aca="false">IF(ISBLANK(J96),IF(AND(ISBLANK(C96),Fill_Example="Yes"),"No","No"),J96)</f>
        <v>No</v>
      </c>
    </row>
    <row r="97" customFormat="false" ht="15" hidden="false" customHeight="false" outlineLevel="0" collapsed="false">
      <c r="B97" s="1" t="s">
        <v>1481</v>
      </c>
      <c r="C97" s="92"/>
      <c r="D97" s="92"/>
      <c r="E97" s="92"/>
      <c r="F97" s="92"/>
      <c r="G97" s="92"/>
      <c r="H97" s="92"/>
      <c r="I97" s="92"/>
      <c r="J97" s="92"/>
      <c r="N97" s="93" t="str">
        <f aca="false">IF(ISBLANK(C97),IF(Fill_Example="Yes","safety",""),C97)</f>
        <v/>
      </c>
      <c r="O97" s="93" t="str">
        <f aca="false">IF(ISBLANK(D97),IFERROR(INDEX(Goal_Titles,MATCH(N97,Goal_Keys,0)),""),D97)</f>
        <v/>
      </c>
      <c r="P97" s="93" t="n">
        <f aca="false">IF(ISBLANK(E97),IF(AND(ISBLANK(C97),Fill_Example="Yes"),40,MIN(89,In_age+IFERROR(INDEX(Goal_DefYrs,MATCH(N97,Goal_Keys,0)),0))),E97)</f>
        <v>0</v>
      </c>
      <c r="Q97" s="93" t="n">
        <f aca="false">IF(ISBLANK(F97),IF(AND(ISBLANK(C97),Fill_Example="Yes"),15000,IFERROR(INDEX(Goal_DefAmt,MATCH(N97,Goal_Keys,0)),0)),F97)</f>
        <v>0</v>
      </c>
      <c r="R97" s="93" t="n">
        <f aca="false">IF(ISBLANK(G97),IF(AND(ISBLANK(C97),Fill_Example="Yes"),5000,0),G97)</f>
        <v>0</v>
      </c>
      <c r="S97" s="93" t="str">
        <f aca="false">IF(ISBLANK(H97),IF(AND(ISBLANK(C97),Fill_Example="Yes"),"Must have","Must have"),H97)</f>
        <v>Must have</v>
      </c>
      <c r="T97" s="93" t="str">
        <f aca="false">IF(ISBLANK(I97),"",I97)</f>
        <v/>
      </c>
      <c r="U97" s="93" t="str">
        <f aca="false">IF(ISBLANK(J97),IF(AND(ISBLANK(C97),Fill_Example="Yes"),"No","No"),J97)</f>
        <v>No</v>
      </c>
    </row>
    <row r="98" customFormat="false" ht="15" hidden="false" customHeight="false" outlineLevel="0" collapsed="false">
      <c r="B98" s="1" t="s">
        <v>1482</v>
      </c>
      <c r="C98" s="92"/>
      <c r="D98" s="92"/>
      <c r="E98" s="92"/>
      <c r="F98" s="92"/>
      <c r="G98" s="92"/>
      <c r="H98" s="92"/>
      <c r="I98" s="92"/>
      <c r="J98" s="92"/>
      <c r="N98" s="93" t="str">
        <f aca="false">IF(ISBLANK(C98),IF(Fill_Example="Yes","retire",""),C98)</f>
        <v/>
      </c>
      <c r="O98" s="93" t="str">
        <f aca="false">IF(ISBLANK(D98),IFERROR(INDEX(Goal_Titles,MATCH(N98,Goal_Keys,0)),""),D98)</f>
        <v/>
      </c>
      <c r="P98" s="93" t="n">
        <f aca="false">IF(ISBLANK(E98),IF(AND(ISBLANK(C98),Fill_Example="Yes"),63,MIN(89,In_age+IFERROR(INDEX(Goal_DefYrs,MATCH(N98,Goal_Keys,0)),0))),E98)</f>
        <v>0</v>
      </c>
      <c r="Q98" s="93" t="n">
        <f aca="false">IF(ISBLANK(F98),IF(AND(ISBLANK(C98),Fill_Example="Yes"),46000,IFERROR(INDEX(Goal_DefAmt,MATCH(N98,Goal_Keys,0)),0)),F98)</f>
        <v>0</v>
      </c>
      <c r="R98" s="93" t="n">
        <f aca="false">IF(ISBLANK(G98),IF(AND(ISBLANK(C98),Fill_Example="Yes"),0,0),G98)</f>
        <v>0</v>
      </c>
      <c r="S98" s="93" t="str">
        <f aca="false">IF(ISBLANK(H98),IF(AND(ISBLANK(C98),Fill_Example="Yes"),"Must have","Must have"),H98)</f>
        <v>Must have</v>
      </c>
      <c r="T98" s="93" t="str">
        <f aca="false">IF(ISBLANK(I98),"",I98)</f>
        <v/>
      </c>
      <c r="U98" s="93" t="str">
        <f aca="false">IF(ISBLANK(J98),IF(AND(ISBLANK(C98),Fill_Example="Yes"),"No","No"),J98)</f>
        <v>No</v>
      </c>
    </row>
    <row r="99" customFormat="false" ht="15" hidden="false" customHeight="false" outlineLevel="0" collapsed="false">
      <c r="B99" s="1" t="s">
        <v>1483</v>
      </c>
      <c r="C99" s="92"/>
      <c r="D99" s="92"/>
      <c r="E99" s="92"/>
      <c r="F99" s="92"/>
      <c r="G99" s="92"/>
      <c r="H99" s="92"/>
      <c r="I99" s="92"/>
      <c r="J99" s="92"/>
      <c r="N99" s="93" t="str">
        <f aca="false">IF(ISBLANK(C99),IF(Fill_Example="Yes","",""),C99)</f>
        <v/>
      </c>
      <c r="O99" s="93" t="str">
        <f aca="false">IF(ISBLANK(D99),IFERROR(INDEX(Goal_Titles,MATCH(N99,Goal_Keys,0)),""),D99)</f>
        <v/>
      </c>
      <c r="P99" s="93" t="n">
        <f aca="false">IF(ISBLANK(E99),IF(AND(ISBLANK(C99),Fill_Example="Yes"),0,MIN(89,In_age+IFERROR(INDEX(Goal_DefYrs,MATCH(N99,Goal_Keys,0)),0))),E99)</f>
        <v>0</v>
      </c>
      <c r="Q99" s="93" t="n">
        <f aca="false">IF(ISBLANK(F99),IF(AND(ISBLANK(C99),Fill_Example="Yes"),0,IFERROR(INDEX(Goal_DefAmt,MATCH(N99,Goal_Keys,0)),0)),F99)</f>
        <v>0</v>
      </c>
      <c r="R99" s="93" t="n">
        <f aca="false">IF(ISBLANK(G99),IF(AND(ISBLANK(C99),Fill_Example="Yes"),0,0),G99)</f>
        <v>0</v>
      </c>
      <c r="S99" s="93" t="str">
        <f aca="false">IF(ISBLANK(H99),IF(AND(ISBLANK(C99),Fill_Example="Yes"),"Must have","Must have"),H99)</f>
        <v>Must have</v>
      </c>
      <c r="T99" s="93" t="str">
        <f aca="false">IF(ISBLANK(I99),"",I99)</f>
        <v/>
      </c>
      <c r="U99" s="93" t="str">
        <f aca="false">IF(ISBLANK(J99),IF(AND(ISBLANK(C99),Fill_Example="Yes"),"No","No"),J99)</f>
        <v>No</v>
      </c>
    </row>
    <row r="100" customFormat="false" ht="15" hidden="false" customHeight="false" outlineLevel="0" collapsed="false">
      <c r="B100" s="1" t="s">
        <v>1484</v>
      </c>
      <c r="C100" s="92"/>
      <c r="D100" s="92"/>
      <c r="E100" s="92"/>
      <c r="F100" s="92"/>
      <c r="G100" s="92"/>
      <c r="H100" s="92"/>
      <c r="I100" s="92"/>
      <c r="J100" s="92"/>
      <c r="N100" s="93" t="str">
        <f aca="false">IF(ISBLANK(C100),IF(Fill_Example="Yes","",""),C100)</f>
        <v/>
      </c>
      <c r="O100" s="93" t="str">
        <f aca="false">IF(ISBLANK(D100),IFERROR(INDEX(Goal_Titles,MATCH(N100,Goal_Keys,0)),""),D100)</f>
        <v/>
      </c>
      <c r="P100" s="93" t="n">
        <f aca="false">IF(ISBLANK(E100),IF(AND(ISBLANK(C100),Fill_Example="Yes"),0,MIN(89,In_age+IFERROR(INDEX(Goal_DefYrs,MATCH(N100,Goal_Keys,0)),0))),E100)</f>
        <v>0</v>
      </c>
      <c r="Q100" s="93" t="n">
        <f aca="false">IF(ISBLANK(F100),IF(AND(ISBLANK(C100),Fill_Example="Yes"),0,IFERROR(INDEX(Goal_DefAmt,MATCH(N100,Goal_Keys,0)),0)),F100)</f>
        <v>0</v>
      </c>
      <c r="R100" s="93" t="n">
        <f aca="false">IF(ISBLANK(G100),IF(AND(ISBLANK(C100),Fill_Example="Yes"),0,0),G100)</f>
        <v>0</v>
      </c>
      <c r="S100" s="93" t="str">
        <f aca="false">IF(ISBLANK(H100),IF(AND(ISBLANK(C100),Fill_Example="Yes"),"Must have","Must have"),H100)</f>
        <v>Must have</v>
      </c>
      <c r="T100" s="93" t="str">
        <f aca="false">IF(ISBLANK(I100),"",I100)</f>
        <v/>
      </c>
      <c r="U100" s="93" t="str">
        <f aca="false">IF(ISBLANK(J100),IF(AND(ISBLANK(C100),Fill_Example="Yes"),"No","No"),J100)</f>
        <v>No</v>
      </c>
    </row>
    <row r="101" customFormat="false" ht="15" hidden="false" customHeight="false" outlineLevel="0" collapsed="false">
      <c r="B101" s="1" t="s">
        <v>1485</v>
      </c>
      <c r="C101" s="92"/>
      <c r="D101" s="92"/>
      <c r="E101" s="92"/>
      <c r="F101" s="92"/>
      <c r="G101" s="92"/>
      <c r="H101" s="92"/>
      <c r="I101" s="92"/>
      <c r="J101" s="92"/>
      <c r="N101" s="93" t="str">
        <f aca="false">IF(ISBLANK(C101),IF(Fill_Example="Yes","",""),C101)</f>
        <v/>
      </c>
      <c r="O101" s="93" t="str">
        <f aca="false">IF(ISBLANK(D101),IFERROR(INDEX(Goal_Titles,MATCH(N101,Goal_Keys,0)),""),D101)</f>
        <v/>
      </c>
      <c r="P101" s="93" t="n">
        <f aca="false">IF(ISBLANK(E101),IF(AND(ISBLANK(C101),Fill_Example="Yes"),0,MIN(89,In_age+IFERROR(INDEX(Goal_DefYrs,MATCH(N101,Goal_Keys,0)),0))),E101)</f>
        <v>0</v>
      </c>
      <c r="Q101" s="93" t="n">
        <f aca="false">IF(ISBLANK(F101),IF(AND(ISBLANK(C101),Fill_Example="Yes"),0,IFERROR(INDEX(Goal_DefAmt,MATCH(N101,Goal_Keys,0)),0)),F101)</f>
        <v>0</v>
      </c>
      <c r="R101" s="93" t="n">
        <f aca="false">IF(ISBLANK(G101),IF(AND(ISBLANK(C101),Fill_Example="Yes"),0,0),G101)</f>
        <v>0</v>
      </c>
      <c r="S101" s="93" t="str">
        <f aca="false">IF(ISBLANK(H101),IF(AND(ISBLANK(C101),Fill_Example="Yes"),"Must have","Must have"),H101)</f>
        <v>Must have</v>
      </c>
      <c r="T101" s="93" t="str">
        <f aca="false">IF(ISBLANK(I101),"",I101)</f>
        <v/>
      </c>
      <c r="U101" s="93" t="str">
        <f aca="false">IF(ISBLANK(J101),IF(AND(ISBLANK(C101),Fill_Example="Yes"),"No","No"),J101)</f>
        <v>No</v>
      </c>
    </row>
    <row r="102" customFormat="false" ht="15" hidden="false" customHeight="false" outlineLevel="0" collapsed="false">
      <c r="B102" s="1" t="s">
        <v>1486</v>
      </c>
      <c r="C102" s="92"/>
      <c r="D102" s="92"/>
      <c r="E102" s="92"/>
      <c r="F102" s="92"/>
      <c r="G102" s="92"/>
      <c r="H102" s="92"/>
      <c r="I102" s="92"/>
      <c r="J102" s="92"/>
      <c r="N102" s="93" t="str">
        <f aca="false">IF(ISBLANK(C102),IF(Fill_Example="Yes","",""),C102)</f>
        <v/>
      </c>
      <c r="O102" s="93" t="str">
        <f aca="false">IF(ISBLANK(D102),IFERROR(INDEX(Goal_Titles,MATCH(N102,Goal_Keys,0)),""),D102)</f>
        <v/>
      </c>
      <c r="P102" s="93" t="n">
        <f aca="false">IF(ISBLANK(E102),IF(AND(ISBLANK(C102),Fill_Example="Yes"),0,MIN(89,In_age+IFERROR(INDEX(Goal_DefYrs,MATCH(N102,Goal_Keys,0)),0))),E102)</f>
        <v>0</v>
      </c>
      <c r="Q102" s="93" t="n">
        <f aca="false">IF(ISBLANK(F102),IF(AND(ISBLANK(C102),Fill_Example="Yes"),0,IFERROR(INDEX(Goal_DefAmt,MATCH(N102,Goal_Keys,0)),0)),F102)</f>
        <v>0</v>
      </c>
      <c r="R102" s="93" t="n">
        <f aca="false">IF(ISBLANK(G102),IF(AND(ISBLANK(C102),Fill_Example="Yes"),0,0),G102)</f>
        <v>0</v>
      </c>
      <c r="S102" s="93" t="str">
        <f aca="false">IF(ISBLANK(H102),IF(AND(ISBLANK(C102),Fill_Example="Yes"),"Must have","Must have"),H102)</f>
        <v>Must have</v>
      </c>
      <c r="T102" s="93" t="str">
        <f aca="false">IF(ISBLANK(I102),"",I102)</f>
        <v/>
      </c>
      <c r="U102" s="93" t="str">
        <f aca="false">IF(ISBLANK(J102),IF(AND(ISBLANK(C102),Fill_Example="Yes"),"No","No"),J102)</f>
        <v>No</v>
      </c>
    </row>
    <row r="103" customFormat="false" ht="15" hidden="false" customHeight="false" outlineLevel="0" collapsed="false">
      <c r="B103" s="1" t="s">
        <v>1487</v>
      </c>
      <c r="C103" s="92"/>
      <c r="D103" s="92"/>
      <c r="E103" s="92"/>
      <c r="F103" s="92"/>
      <c r="G103" s="92"/>
      <c r="H103" s="92"/>
      <c r="I103" s="92"/>
      <c r="J103" s="92"/>
      <c r="N103" s="93" t="str">
        <f aca="false">IF(ISBLANK(C103),IF(Fill_Example="Yes","",""),C103)</f>
        <v/>
      </c>
      <c r="O103" s="93" t="str">
        <f aca="false">IF(ISBLANK(D103),IFERROR(INDEX(Goal_Titles,MATCH(N103,Goal_Keys,0)),""),D103)</f>
        <v/>
      </c>
      <c r="P103" s="93" t="n">
        <f aca="false">IF(ISBLANK(E103),IF(AND(ISBLANK(C103),Fill_Example="Yes"),0,MIN(89,In_age+IFERROR(INDEX(Goal_DefYrs,MATCH(N103,Goal_Keys,0)),0))),E103)</f>
        <v>0</v>
      </c>
      <c r="Q103" s="93" t="n">
        <f aca="false">IF(ISBLANK(F103),IF(AND(ISBLANK(C103),Fill_Example="Yes"),0,IFERROR(INDEX(Goal_DefAmt,MATCH(N103,Goal_Keys,0)),0)),F103)</f>
        <v>0</v>
      </c>
      <c r="R103" s="93" t="n">
        <f aca="false">IF(ISBLANK(G103),IF(AND(ISBLANK(C103),Fill_Example="Yes"),0,0),G103)</f>
        <v>0</v>
      </c>
      <c r="S103" s="93" t="str">
        <f aca="false">IF(ISBLANK(H103),IF(AND(ISBLANK(C103),Fill_Example="Yes"),"Must have","Must have"),H103)</f>
        <v>Must have</v>
      </c>
      <c r="T103" s="93" t="str">
        <f aca="false">IF(ISBLANK(I103),"",I103)</f>
        <v/>
      </c>
      <c r="U103" s="93" t="str">
        <f aca="false">IF(ISBLANK(J103),IF(AND(ISBLANK(C103),Fill_Example="Yes"),"No","No"),J103)</f>
        <v>No</v>
      </c>
    </row>
  </sheetData>
  <mergeCells count="1">
    <mergeCell ref="B2: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BT2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09" topLeftCell="C210" activePane="bottomRight" state="frozen"/>
      <selection pane="topLeft" activeCell="A1" activeCellId="0" sqref="A1"/>
      <selection pane="topRight" activeCell="C1" activeCellId="0" sqref="C1"/>
      <selection pane="bottomLeft" activeCell="A210" activeCellId="0" sqref="A210"/>
      <selection pane="bottomRight" activeCell="A1" activeCellId="0" sqref="A1"/>
    </sheetView>
  </sheetViews>
  <sheetFormatPr defaultColWidth="8.5390625" defaultRowHeight="15" zeroHeight="false" outlineLevelRow="0" outlineLevelCol="0"/>
  <cols>
    <col collapsed="false" customWidth="true" hidden="false" outlineLevel="0" max="2" min="2" style="1" width="6"/>
    <col collapsed="false" customWidth="true" hidden="false" outlineLevel="0" max="4" min="3" style="1" width="7"/>
    <col collapsed="false" customWidth="true" hidden="false" outlineLevel="0" max="6" min="5" style="1" width="11"/>
    <col collapsed="false" customWidth="true" hidden="false" outlineLevel="0" max="7" min="7" style="1" width="7"/>
    <col collapsed="false" customWidth="true" hidden="false" outlineLevel="0" max="20" min="8" style="1" width="11"/>
    <col collapsed="false" customWidth="true" hidden="false" outlineLevel="0" max="21" min="21" style="1" width="7"/>
    <col collapsed="false" customWidth="true" hidden="false" outlineLevel="0" max="32" min="22" style="1" width="11"/>
    <col collapsed="false" customWidth="true" hidden="false" outlineLevel="0" max="33" min="33" style="1" width="7"/>
    <col collapsed="false" customWidth="true" hidden="false" outlineLevel="0" max="50" min="34" style="1" width="11"/>
    <col collapsed="false" customWidth="true" hidden="false" outlineLevel="0" max="51" min="51" style="1" width="7"/>
    <col collapsed="false" customWidth="true" hidden="false" outlineLevel="0" max="72" min="52" style="1" width="11"/>
  </cols>
  <sheetData>
    <row r="1" customFormat="false" ht="17.35" hidden="false" customHeight="false" outlineLevel="0" collapsed="false">
      <c r="B1" s="89" t="s">
        <v>1488</v>
      </c>
    </row>
    <row r="3" customFormat="false" ht="15" hidden="false" customHeight="false" outlineLevel="0" collapsed="false">
      <c r="B3" s="91" t="s">
        <v>1489</v>
      </c>
      <c r="C3" s="91" t="s">
        <v>1490</v>
      </c>
      <c r="D3" s="91" t="s">
        <v>1491</v>
      </c>
    </row>
    <row r="4" customFormat="false" ht="15" hidden="false" customHeight="false" outlineLevel="0" collapsed="false">
      <c r="B4" s="1" t="s">
        <v>1492</v>
      </c>
      <c r="C4" s="97" t="n">
        <f aca="false">Band_Single</f>
        <v>44000</v>
      </c>
      <c r="D4" s="22" t="s">
        <v>1493</v>
      </c>
    </row>
    <row r="5" customFormat="false" ht="15" hidden="false" customHeight="false" outlineLevel="0" collapsed="false">
      <c r="B5" s="1" t="s">
        <v>1494</v>
      </c>
      <c r="C5" s="97" t="n">
        <f aca="false">Band_Single_Parent</f>
        <v>48000</v>
      </c>
      <c r="D5" s="22" t="s">
        <v>1495</v>
      </c>
    </row>
    <row r="6" customFormat="false" ht="15" hidden="false" customHeight="false" outlineLevel="0" collapsed="false">
      <c r="B6" s="1" t="s">
        <v>1496</v>
      </c>
      <c r="C6" s="97" t="n">
        <f aca="false">Band_Married</f>
        <v>53000</v>
      </c>
      <c r="D6" s="22" t="s">
        <v>1497</v>
      </c>
    </row>
    <row r="7" customFormat="false" ht="15" hidden="false" customHeight="false" outlineLevel="0" collapsed="false">
      <c r="B7" s="1" t="s">
        <v>1498</v>
      </c>
      <c r="C7" s="97" t="n">
        <f aca="false">Band_Second_Earner_Max</f>
        <v>35000</v>
      </c>
      <c r="D7" s="22" t="s">
        <v>1499</v>
      </c>
    </row>
    <row r="8" customFormat="false" ht="15" hidden="false" customHeight="false" outlineLevel="0" collapsed="false">
      <c r="B8" s="1" t="s">
        <v>1500</v>
      </c>
      <c r="C8" s="98" t="n">
        <f aca="false">Rate_Standard</f>
        <v>0.2</v>
      </c>
      <c r="D8" s="22" t="s">
        <v>1501</v>
      </c>
    </row>
    <row r="9" customFormat="false" ht="15" hidden="false" customHeight="false" outlineLevel="0" collapsed="false">
      <c r="B9" s="1" t="s">
        <v>1502</v>
      </c>
      <c r="C9" s="98" t="n">
        <f aca="false">Rate_Higher</f>
        <v>0.4</v>
      </c>
      <c r="D9" s="22" t="s">
        <v>1503</v>
      </c>
    </row>
    <row r="10" customFormat="false" ht="15" hidden="false" customHeight="false" outlineLevel="0" collapsed="false">
      <c r="B10" s="1" t="s">
        <v>1504</v>
      </c>
      <c r="C10" s="97" t="n">
        <f aca="false">Credit_Personal_Single</f>
        <v>2000</v>
      </c>
      <c r="D10" s="22" t="s">
        <v>1505</v>
      </c>
    </row>
    <row r="11" customFormat="false" ht="15" hidden="false" customHeight="false" outlineLevel="0" collapsed="false">
      <c r="B11" s="1" t="s">
        <v>1506</v>
      </c>
      <c r="C11" s="97" t="n">
        <f aca="false">Credit_Personal_Married</f>
        <v>4000</v>
      </c>
      <c r="D11" s="22" t="s">
        <v>1507</v>
      </c>
    </row>
    <row r="12" customFormat="false" ht="15" hidden="false" customHeight="false" outlineLevel="0" collapsed="false">
      <c r="B12" s="1" t="s">
        <v>1508</v>
      </c>
      <c r="C12" s="97" t="n">
        <f aca="false">Credit_PAYE</f>
        <v>2000</v>
      </c>
      <c r="D12" s="22" t="s">
        <v>1509</v>
      </c>
    </row>
    <row r="13" customFormat="false" ht="15" hidden="false" customHeight="false" outlineLevel="0" collapsed="false">
      <c r="B13" s="1" t="s">
        <v>1510</v>
      </c>
      <c r="C13" s="99" t="n">
        <v>0.2</v>
      </c>
      <c r="D13" s="22" t="s">
        <v>1511</v>
      </c>
    </row>
    <row r="14" customFormat="false" ht="15" hidden="false" customHeight="false" outlineLevel="0" collapsed="false">
      <c r="B14" s="1" t="s">
        <v>1512</v>
      </c>
      <c r="C14" s="97" t="n">
        <f aca="false">Credit_Rent_Single</f>
        <v>1000</v>
      </c>
      <c r="D14" s="22" t="s">
        <v>1513</v>
      </c>
    </row>
    <row r="15" customFormat="false" ht="15" hidden="false" customHeight="false" outlineLevel="0" collapsed="false">
      <c r="B15" s="1" t="s">
        <v>1514</v>
      </c>
      <c r="C15" s="97" t="n">
        <f aca="false">Credit_Rent_Joint</f>
        <v>2000</v>
      </c>
      <c r="D15" s="22" t="s">
        <v>1515</v>
      </c>
    </row>
    <row r="16" customFormat="false" ht="15" hidden="false" customHeight="false" outlineLevel="0" collapsed="false">
      <c r="B16" s="1" t="s">
        <v>1516</v>
      </c>
      <c r="C16" s="99" t="n">
        <v>2028</v>
      </c>
      <c r="D16" s="22" t="s">
        <v>1517</v>
      </c>
    </row>
    <row r="17" customFormat="false" ht="15" hidden="false" customHeight="false" outlineLevel="0" collapsed="false">
      <c r="B17" s="1" t="s">
        <v>1518</v>
      </c>
      <c r="C17" s="97" t="n">
        <f aca="false">Credit_SPCCC</f>
        <v>1900</v>
      </c>
      <c r="D17" s="22" t="s">
        <v>1519</v>
      </c>
    </row>
    <row r="18" customFormat="false" ht="15" hidden="false" customHeight="false" outlineLevel="0" collapsed="false">
      <c r="B18" s="1" t="s">
        <v>1520</v>
      </c>
      <c r="C18" s="97" t="n">
        <f aca="false">Credit_Home_Carer</f>
        <v>1950</v>
      </c>
      <c r="D18" s="22" t="s">
        <v>1521</v>
      </c>
    </row>
    <row r="19" customFormat="false" ht="15" hidden="false" customHeight="false" outlineLevel="0" collapsed="false">
      <c r="B19" s="1" t="s">
        <v>1522</v>
      </c>
      <c r="C19" s="99" t="n">
        <v>7200</v>
      </c>
      <c r="D19" s="22" t="s">
        <v>1523</v>
      </c>
    </row>
    <row r="20" customFormat="false" ht="15" hidden="false" customHeight="false" outlineLevel="0" collapsed="false">
      <c r="B20" s="1" t="s">
        <v>1524</v>
      </c>
      <c r="C20" s="99" t="n">
        <v>65</v>
      </c>
      <c r="D20" s="22" t="s">
        <v>1525</v>
      </c>
    </row>
    <row r="21" customFormat="false" ht="15" hidden="false" customHeight="false" outlineLevel="0" collapsed="false">
      <c r="B21" s="1" t="s">
        <v>1526</v>
      </c>
      <c r="C21" s="99" t="n">
        <v>245</v>
      </c>
      <c r="D21" s="22" t="s">
        <v>1527</v>
      </c>
    </row>
    <row r="22" customFormat="false" ht="15" hidden="false" customHeight="false" outlineLevel="0" collapsed="false">
      <c r="B22" s="1" t="s">
        <v>1528</v>
      </c>
      <c r="C22" s="99" t="n">
        <v>18000</v>
      </c>
      <c r="D22" s="22" t="s">
        <v>1529</v>
      </c>
    </row>
    <row r="23" customFormat="false" ht="15" hidden="false" customHeight="false" outlineLevel="0" collapsed="false">
      <c r="B23" s="1" t="s">
        <v>1530</v>
      </c>
      <c r="C23" s="99" t="n">
        <v>36000</v>
      </c>
      <c r="D23" s="22" t="s">
        <v>1531</v>
      </c>
    </row>
    <row r="24" customFormat="false" ht="15" hidden="false" customHeight="false" outlineLevel="0" collapsed="false">
      <c r="B24" s="1" t="s">
        <v>1532</v>
      </c>
      <c r="C24" s="99" t="n">
        <v>0.4</v>
      </c>
      <c r="D24" s="22" t="s">
        <v>1533</v>
      </c>
    </row>
    <row r="25" customFormat="false" ht="15" hidden="false" customHeight="false" outlineLevel="0" collapsed="false">
      <c r="B25" s="1" t="s">
        <v>1534</v>
      </c>
      <c r="C25" s="97" t="n">
        <f aca="false">USC_Exempt</f>
        <v>13000</v>
      </c>
      <c r="D25" s="22" t="s">
        <v>1535</v>
      </c>
    </row>
    <row r="26" customFormat="false" ht="15" hidden="false" customHeight="false" outlineLevel="0" collapsed="false">
      <c r="B26" s="1" t="s">
        <v>1536</v>
      </c>
      <c r="C26" s="97" t="n">
        <f aca="false">USC_Band_1</f>
        <v>12012</v>
      </c>
      <c r="D26" s="22" t="s">
        <v>1537</v>
      </c>
    </row>
    <row r="27" customFormat="false" ht="15" hidden="false" customHeight="false" outlineLevel="0" collapsed="false">
      <c r="B27" s="1" t="s">
        <v>1538</v>
      </c>
      <c r="C27" s="97" t="n">
        <f aca="false">USC_Band_2</f>
        <v>28700</v>
      </c>
      <c r="D27" s="22" t="s">
        <v>1539</v>
      </c>
    </row>
    <row r="28" customFormat="false" ht="15" hidden="false" customHeight="false" outlineLevel="0" collapsed="false">
      <c r="B28" s="1" t="s">
        <v>1540</v>
      </c>
      <c r="C28" s="97" t="n">
        <f aca="false">USC_Band_3</f>
        <v>70044</v>
      </c>
      <c r="D28" s="22" t="s">
        <v>1541</v>
      </c>
    </row>
    <row r="29" customFormat="false" ht="15" hidden="false" customHeight="false" outlineLevel="0" collapsed="false">
      <c r="B29" s="1" t="s">
        <v>1542</v>
      </c>
      <c r="C29" s="100" t="n">
        <f aca="false">USC_Rate_1</f>
        <v>0.005</v>
      </c>
      <c r="D29" s="22" t="s">
        <v>1543</v>
      </c>
    </row>
    <row r="30" customFormat="false" ht="15" hidden="false" customHeight="false" outlineLevel="0" collapsed="false">
      <c r="B30" s="1" t="s">
        <v>1544</v>
      </c>
      <c r="C30" s="100" t="n">
        <f aca="false">USC_Rate_2</f>
        <v>0.02</v>
      </c>
      <c r="D30" s="22" t="s">
        <v>1545</v>
      </c>
    </row>
    <row r="31" customFormat="false" ht="15" hidden="false" customHeight="false" outlineLevel="0" collapsed="false">
      <c r="B31" s="1" t="s">
        <v>1546</v>
      </c>
      <c r="C31" s="100" t="n">
        <f aca="false">USC_Rate_3</f>
        <v>0.03</v>
      </c>
      <c r="D31" s="22" t="s">
        <v>1547</v>
      </c>
    </row>
    <row r="32" customFormat="false" ht="15" hidden="false" customHeight="false" outlineLevel="0" collapsed="false">
      <c r="B32" s="1" t="s">
        <v>1548</v>
      </c>
      <c r="C32" s="100" t="n">
        <f aca="false">USC_Rate_4</f>
        <v>0.08</v>
      </c>
      <c r="D32" s="22" t="s">
        <v>1549</v>
      </c>
    </row>
    <row r="33" customFormat="false" ht="15" hidden="false" customHeight="false" outlineLevel="0" collapsed="false">
      <c r="B33" s="1" t="s">
        <v>1550</v>
      </c>
      <c r="C33" s="99" t="n">
        <v>70</v>
      </c>
      <c r="D33" s="22" t="s">
        <v>1551</v>
      </c>
    </row>
    <row r="34" customFormat="false" ht="15" hidden="false" customHeight="false" outlineLevel="0" collapsed="false">
      <c r="B34" s="1" t="s">
        <v>1552</v>
      </c>
      <c r="C34" s="99" t="n">
        <v>60000</v>
      </c>
      <c r="D34" s="22" t="s">
        <v>1553</v>
      </c>
    </row>
    <row r="35" customFormat="false" ht="15" hidden="false" customHeight="false" outlineLevel="0" collapsed="false">
      <c r="B35" s="1" t="s">
        <v>1554</v>
      </c>
      <c r="C35" s="99" t="n">
        <v>12012</v>
      </c>
      <c r="D35" s="22" t="s">
        <v>1555</v>
      </c>
    </row>
    <row r="36" customFormat="false" ht="15" hidden="false" customHeight="false" outlineLevel="0" collapsed="false">
      <c r="B36" s="1" t="s">
        <v>1556</v>
      </c>
      <c r="C36" s="99" t="n">
        <v>0.005</v>
      </c>
      <c r="D36" s="22" t="s">
        <v>1557</v>
      </c>
    </row>
    <row r="37" customFormat="false" ht="15" hidden="false" customHeight="false" outlineLevel="0" collapsed="false">
      <c r="B37" s="1" t="s">
        <v>1558</v>
      </c>
      <c r="C37" s="99" t="n">
        <v>0.02</v>
      </c>
      <c r="D37" s="22" t="s">
        <v>1559</v>
      </c>
    </row>
    <row r="38" customFormat="false" ht="15" hidden="false" customHeight="false" outlineLevel="0" collapsed="false">
      <c r="B38" s="1" t="s">
        <v>1560</v>
      </c>
      <c r="C38" s="99" t="n">
        <v>0.03</v>
      </c>
      <c r="D38" s="22" t="s">
        <v>1561</v>
      </c>
    </row>
    <row r="39" customFormat="false" ht="15" hidden="false" customHeight="false" outlineLevel="0" collapsed="false">
      <c r="B39" s="1" t="s">
        <v>1562</v>
      </c>
      <c r="C39" s="99" t="n">
        <v>100000</v>
      </c>
      <c r="D39" s="22" t="s">
        <v>1563</v>
      </c>
    </row>
    <row r="40" customFormat="false" ht="15" hidden="false" customHeight="false" outlineLevel="0" collapsed="false">
      <c r="B40" s="1" t="s">
        <v>1564</v>
      </c>
      <c r="C40" s="99" t="n">
        <v>0.042</v>
      </c>
      <c r="D40" s="22" t="s">
        <v>1565</v>
      </c>
    </row>
    <row r="41" customFormat="false" ht="15" hidden="false" customHeight="false" outlineLevel="0" collapsed="false">
      <c r="B41" s="1" t="s">
        <v>1566</v>
      </c>
      <c r="C41" s="99" t="n">
        <v>0.0435</v>
      </c>
      <c r="D41" s="22" t="s">
        <v>1567</v>
      </c>
    </row>
    <row r="42" customFormat="false" ht="15" hidden="false" customHeight="false" outlineLevel="0" collapsed="false">
      <c r="B42" s="1" t="s">
        <v>1568</v>
      </c>
      <c r="C42" s="99" t="n">
        <v>0.045</v>
      </c>
      <c r="D42" s="22" t="s">
        <v>1569</v>
      </c>
    </row>
    <row r="43" customFormat="false" ht="15" hidden="false" customHeight="false" outlineLevel="0" collapsed="false">
      <c r="B43" s="1" t="s">
        <v>1570</v>
      </c>
      <c r="C43" s="99" t="n">
        <v>0.047</v>
      </c>
      <c r="D43" s="22" t="s">
        <v>1571</v>
      </c>
    </row>
    <row r="44" customFormat="false" ht="15" hidden="false" customHeight="false" outlineLevel="0" collapsed="false">
      <c r="B44" s="1" t="s">
        <v>1572</v>
      </c>
      <c r="C44" s="99" t="n">
        <v>24321</v>
      </c>
      <c r="D44" s="22" t="s">
        <v>1573</v>
      </c>
    </row>
    <row r="45" customFormat="false" ht="15" hidden="false" customHeight="false" outlineLevel="0" collapsed="false">
      <c r="B45" s="1" t="s">
        <v>1574</v>
      </c>
      <c r="C45" s="99" t="n">
        <v>24333</v>
      </c>
      <c r="D45" s="22" t="s">
        <v>1575</v>
      </c>
    </row>
    <row r="46" customFormat="false" ht="15" hidden="false" customHeight="false" outlineLevel="0" collapsed="false">
      <c r="B46" s="1" t="s">
        <v>1576</v>
      </c>
      <c r="C46" s="99" t="n">
        <v>24345</v>
      </c>
      <c r="D46" s="22" t="s">
        <v>1577</v>
      </c>
    </row>
    <row r="47" customFormat="false" ht="15" hidden="false" customHeight="false" outlineLevel="0" collapsed="false">
      <c r="B47" s="1" t="s">
        <v>1578</v>
      </c>
      <c r="C47" s="97" t="n">
        <f aca="false">PRSI_Free_Week</f>
        <v>352</v>
      </c>
      <c r="D47" s="22" t="s">
        <v>1579</v>
      </c>
    </row>
    <row r="48" customFormat="false" ht="15" hidden="false" customHeight="false" outlineLevel="0" collapsed="false">
      <c r="B48" s="1" t="s">
        <v>1580</v>
      </c>
      <c r="C48" s="97" t="n">
        <f aca="false">PRSI_Credit_Max</f>
        <v>12</v>
      </c>
      <c r="D48" s="22" t="s">
        <v>1581</v>
      </c>
    </row>
    <row r="49" customFormat="false" ht="15" hidden="false" customHeight="false" outlineLevel="0" collapsed="false">
      <c r="B49" s="1" t="s">
        <v>1582</v>
      </c>
      <c r="C49" s="97" t="n">
        <f aca="false">PRSI_Credit_Top</f>
        <v>424</v>
      </c>
      <c r="D49" s="22" t="s">
        <v>1583</v>
      </c>
    </row>
    <row r="50" customFormat="false" ht="15" hidden="false" customHeight="false" outlineLevel="0" collapsed="false">
      <c r="B50" s="1" t="s">
        <v>1584</v>
      </c>
      <c r="C50" s="101" t="n">
        <f aca="false">PRSI_Credit_Taper</f>
        <v>6</v>
      </c>
      <c r="D50" s="22" t="s">
        <v>1585</v>
      </c>
    </row>
    <row r="51" customFormat="false" ht="15" hidden="false" customHeight="false" outlineLevel="0" collapsed="false">
      <c r="B51" s="1" t="s">
        <v>1586</v>
      </c>
      <c r="C51" s="99" t="n">
        <v>66</v>
      </c>
      <c r="D51" s="22" t="s">
        <v>1587</v>
      </c>
    </row>
    <row r="52" customFormat="false" ht="15" hidden="false" customHeight="false" outlineLevel="0" collapsed="false">
      <c r="B52" s="1" t="s">
        <v>1588</v>
      </c>
      <c r="C52" s="99" t="n">
        <v>5000</v>
      </c>
      <c r="D52" s="22" t="s">
        <v>1589</v>
      </c>
    </row>
    <row r="53" customFormat="false" ht="15" hidden="false" customHeight="false" outlineLevel="0" collapsed="false">
      <c r="B53" s="1" t="s">
        <v>1590</v>
      </c>
      <c r="C53" s="99" t="n">
        <v>650</v>
      </c>
      <c r="D53" s="22" t="s">
        <v>1591</v>
      </c>
    </row>
    <row r="54" customFormat="false" ht="15" hidden="false" customHeight="false" outlineLevel="0" collapsed="false">
      <c r="B54" s="1" t="s">
        <v>1592</v>
      </c>
      <c r="C54" s="99" t="n">
        <v>5000</v>
      </c>
      <c r="D54" s="22" t="s">
        <v>1593</v>
      </c>
    </row>
    <row r="55" customFormat="false" ht="15" hidden="false" customHeight="false" outlineLevel="0" collapsed="false">
      <c r="B55" s="1" t="s">
        <v>1594</v>
      </c>
      <c r="C55" s="99" t="n">
        <v>30</v>
      </c>
      <c r="D55" s="22" t="s">
        <v>1595</v>
      </c>
    </row>
    <row r="56" customFormat="false" ht="15" hidden="false" customHeight="false" outlineLevel="0" collapsed="false">
      <c r="C56" s="99" t="n">
        <v>0.15</v>
      </c>
      <c r="D56" s="22" t="s">
        <v>1596</v>
      </c>
    </row>
    <row r="57" customFormat="false" ht="15" hidden="false" customHeight="false" outlineLevel="0" collapsed="false">
      <c r="B57" s="1" t="s">
        <v>1597</v>
      </c>
      <c r="C57" s="99" t="n">
        <v>40</v>
      </c>
      <c r="D57" s="22" t="s">
        <v>1598</v>
      </c>
    </row>
    <row r="58" customFormat="false" ht="15" hidden="false" customHeight="false" outlineLevel="0" collapsed="false">
      <c r="C58" s="99" t="n">
        <v>0.2</v>
      </c>
      <c r="D58" s="22" t="s">
        <v>1599</v>
      </c>
    </row>
    <row r="59" customFormat="false" ht="15" hidden="false" customHeight="false" outlineLevel="0" collapsed="false">
      <c r="B59" s="1" t="s">
        <v>1600</v>
      </c>
      <c r="C59" s="99" t="n">
        <v>50</v>
      </c>
      <c r="D59" s="22" t="s">
        <v>1601</v>
      </c>
    </row>
    <row r="60" customFormat="false" ht="15" hidden="false" customHeight="false" outlineLevel="0" collapsed="false">
      <c r="C60" s="99" t="n">
        <v>0.25</v>
      </c>
      <c r="D60" s="22" t="s">
        <v>1602</v>
      </c>
    </row>
    <row r="61" customFormat="false" ht="15" hidden="false" customHeight="false" outlineLevel="0" collapsed="false">
      <c r="B61" s="1" t="s">
        <v>1603</v>
      </c>
      <c r="C61" s="99" t="n">
        <v>55</v>
      </c>
      <c r="D61" s="22" t="s">
        <v>1604</v>
      </c>
    </row>
    <row r="62" customFormat="false" ht="15" hidden="false" customHeight="false" outlineLevel="0" collapsed="false">
      <c r="C62" s="99" t="n">
        <v>0.3</v>
      </c>
      <c r="D62" s="22" t="s">
        <v>1605</v>
      </c>
    </row>
    <row r="63" customFormat="false" ht="15" hidden="false" customHeight="false" outlineLevel="0" collapsed="false">
      <c r="B63" s="1" t="s">
        <v>1606</v>
      </c>
      <c r="C63" s="99" t="n">
        <v>60</v>
      </c>
      <c r="D63" s="22" t="s">
        <v>1607</v>
      </c>
    </row>
    <row r="64" customFormat="false" ht="15" hidden="false" customHeight="false" outlineLevel="0" collapsed="false">
      <c r="C64" s="99" t="n">
        <v>0.35</v>
      </c>
      <c r="D64" s="22" t="s">
        <v>1608</v>
      </c>
    </row>
    <row r="65" customFormat="false" ht="15" hidden="false" customHeight="false" outlineLevel="0" collapsed="false">
      <c r="B65" s="1" t="s">
        <v>1609</v>
      </c>
      <c r="C65" s="99" t="n">
        <v>0.4</v>
      </c>
      <c r="D65" s="22" t="s">
        <v>1610</v>
      </c>
    </row>
    <row r="66" customFormat="false" ht="15" hidden="false" customHeight="false" outlineLevel="0" collapsed="false">
      <c r="B66" s="1" t="s">
        <v>1611</v>
      </c>
      <c r="C66" s="97" t="n">
        <f aca="false">Relief_Earnings_Cap</f>
        <v>115000</v>
      </c>
      <c r="D66" s="22" t="s">
        <v>1612</v>
      </c>
    </row>
    <row r="67" customFormat="false" ht="15" hidden="false" customHeight="false" outlineLevel="0" collapsed="false">
      <c r="B67" s="1" t="s">
        <v>1613</v>
      </c>
      <c r="C67" s="98" t="n">
        <f aca="false">Lump_Sum_Max_Pct</f>
        <v>0.25</v>
      </c>
      <c r="D67" s="22" t="s">
        <v>1614</v>
      </c>
    </row>
    <row r="68" customFormat="false" ht="15" hidden="false" customHeight="false" outlineLevel="0" collapsed="false">
      <c r="B68" s="1" t="s">
        <v>1615</v>
      </c>
      <c r="C68" s="97" t="n">
        <f aca="false">Lump_Sum_Tax_Free</f>
        <v>200000</v>
      </c>
      <c r="D68" s="22" t="s">
        <v>1616</v>
      </c>
    </row>
    <row r="69" customFormat="false" ht="15" hidden="false" customHeight="false" outlineLevel="0" collapsed="false">
      <c r="B69" s="1" t="s">
        <v>1617</v>
      </c>
      <c r="C69" s="97" t="n">
        <f aca="false">Lump_Sum_Cap</f>
        <v>500000</v>
      </c>
      <c r="D69" s="22" t="s">
        <v>1618</v>
      </c>
    </row>
    <row r="70" customFormat="false" ht="15" hidden="false" customHeight="false" outlineLevel="0" collapsed="false">
      <c r="B70" s="1" t="s">
        <v>1619</v>
      </c>
      <c r="C70" s="98" t="n">
        <f aca="false">Lump_Sum_Rate</f>
        <v>0.2</v>
      </c>
      <c r="D70" s="22" t="s">
        <v>1620</v>
      </c>
    </row>
    <row r="71" customFormat="false" ht="15" hidden="false" customHeight="false" outlineLevel="0" collapsed="false">
      <c r="B71" s="1" t="s">
        <v>1621</v>
      </c>
      <c r="C71" s="97" t="n">
        <f aca="false">SFT_2026</f>
        <v>2200000</v>
      </c>
      <c r="D71" s="22" t="s">
        <v>1622</v>
      </c>
    </row>
    <row r="72" customFormat="false" ht="15" hidden="false" customHeight="false" outlineLevel="0" collapsed="false">
      <c r="B72" s="1" t="s">
        <v>1623</v>
      </c>
      <c r="C72" s="99" t="n">
        <v>2400000</v>
      </c>
      <c r="D72" s="22" t="s">
        <v>1624</v>
      </c>
    </row>
    <row r="73" customFormat="false" ht="15" hidden="false" customHeight="false" outlineLevel="0" collapsed="false">
      <c r="B73" s="1" t="s">
        <v>1625</v>
      </c>
      <c r="C73" s="99" t="n">
        <v>2600000</v>
      </c>
      <c r="D73" s="22" t="s">
        <v>1626</v>
      </c>
    </row>
    <row r="74" customFormat="false" ht="15" hidden="false" customHeight="false" outlineLevel="0" collapsed="false">
      <c r="B74" s="1" t="s">
        <v>1627</v>
      </c>
      <c r="C74" s="99" t="n">
        <v>2800000</v>
      </c>
      <c r="D74" s="22" t="s">
        <v>1628</v>
      </c>
    </row>
    <row r="75" customFormat="false" ht="15" hidden="false" customHeight="false" outlineLevel="0" collapsed="false">
      <c r="B75" s="1" t="s">
        <v>1629</v>
      </c>
      <c r="C75" s="98" t="n">
        <f aca="false">SFT_Tax</f>
        <v>0.4</v>
      </c>
      <c r="D75" s="22" t="s">
        <v>1630</v>
      </c>
    </row>
    <row r="76" customFormat="false" ht="15" hidden="false" customHeight="false" outlineLevel="0" collapsed="false">
      <c r="B76" s="1" t="s">
        <v>1631</v>
      </c>
      <c r="C76" s="99" t="n">
        <v>0.04</v>
      </c>
      <c r="D76" s="22" t="s">
        <v>1632</v>
      </c>
    </row>
    <row r="77" customFormat="false" ht="15" hidden="false" customHeight="false" outlineLevel="0" collapsed="false">
      <c r="B77" s="1" t="s">
        <v>1633</v>
      </c>
      <c r="C77" s="99" t="n">
        <v>0.05</v>
      </c>
      <c r="D77" s="22" t="s">
        <v>1634</v>
      </c>
    </row>
    <row r="78" customFormat="false" ht="15" hidden="false" customHeight="false" outlineLevel="0" collapsed="false">
      <c r="B78" s="1" t="s">
        <v>1635</v>
      </c>
      <c r="C78" s="99" t="n">
        <v>0.06</v>
      </c>
      <c r="D78" s="22" t="s">
        <v>1636</v>
      </c>
    </row>
    <row r="79" customFormat="false" ht="15" hidden="false" customHeight="false" outlineLevel="0" collapsed="false">
      <c r="B79" s="1" t="s">
        <v>1637</v>
      </c>
      <c r="C79" s="99" t="n">
        <v>2000000</v>
      </c>
      <c r="D79" s="22" t="s">
        <v>1638</v>
      </c>
    </row>
    <row r="80" customFormat="false" ht="15" hidden="false" customHeight="false" outlineLevel="0" collapsed="false">
      <c r="B80" s="1" t="s">
        <v>1639</v>
      </c>
      <c r="C80" s="99" t="n">
        <v>60</v>
      </c>
      <c r="D80" s="22" t="s">
        <v>1640</v>
      </c>
    </row>
    <row r="81" customFormat="false" ht="15" hidden="false" customHeight="false" outlineLevel="0" collapsed="false">
      <c r="B81" s="1" t="s">
        <v>1641</v>
      </c>
      <c r="C81" s="102" t="n">
        <f aca="false">State_Pension_Week</f>
        <v>299.3</v>
      </c>
      <c r="D81" s="22" t="s">
        <v>1642</v>
      </c>
    </row>
    <row r="82" customFormat="false" ht="15" hidden="false" customHeight="false" outlineLevel="0" collapsed="false">
      <c r="B82" s="1" t="s">
        <v>1643</v>
      </c>
      <c r="C82" s="99" t="n">
        <v>52</v>
      </c>
      <c r="D82" s="22" t="s">
        <v>1644</v>
      </c>
    </row>
    <row r="83" customFormat="false" ht="15" hidden="false" customHeight="false" outlineLevel="0" collapsed="false">
      <c r="B83" s="1" t="s">
        <v>1645</v>
      </c>
      <c r="C83" s="101" t="n">
        <f aca="false">State_Pension_Age</f>
        <v>66</v>
      </c>
      <c r="D83" s="22" t="s">
        <v>1646</v>
      </c>
    </row>
    <row r="84" customFormat="false" ht="15" hidden="false" customHeight="false" outlineLevel="0" collapsed="false">
      <c r="B84" s="1" t="s">
        <v>1647</v>
      </c>
      <c r="C84" s="99" t="n">
        <v>10</v>
      </c>
      <c r="D84" s="22" t="s">
        <v>1648</v>
      </c>
    </row>
    <row r="85" customFormat="false" ht="15" hidden="false" customHeight="false" outlineLevel="0" collapsed="false">
      <c r="B85" s="1" t="s">
        <v>1649</v>
      </c>
      <c r="C85" s="99" t="n">
        <v>268.4</v>
      </c>
      <c r="D85" s="22" t="s">
        <v>1650</v>
      </c>
    </row>
    <row r="86" customFormat="false" ht="15" hidden="false" customHeight="false" outlineLevel="0" collapsed="false">
      <c r="B86" s="1" t="s">
        <v>1651</v>
      </c>
      <c r="C86" s="99" t="n">
        <v>199.4</v>
      </c>
      <c r="D86" s="22" t="s">
        <v>1652</v>
      </c>
    </row>
    <row r="87" customFormat="false" ht="15" hidden="false" customHeight="false" outlineLevel="0" collapsed="false">
      <c r="B87" s="1" t="s">
        <v>1653</v>
      </c>
      <c r="C87" s="99" t="n">
        <v>40</v>
      </c>
      <c r="D87" s="22" t="s">
        <v>1654</v>
      </c>
    </row>
    <row r="88" customFormat="false" ht="15" hidden="false" customHeight="false" outlineLevel="0" collapsed="false">
      <c r="B88" s="1" t="s">
        <v>1655</v>
      </c>
      <c r="C88" s="99" t="n">
        <v>10</v>
      </c>
      <c r="D88" s="22" t="s">
        <v>1656</v>
      </c>
    </row>
    <row r="89" customFormat="false" ht="15" hidden="false" customHeight="false" outlineLevel="0" collapsed="false">
      <c r="B89" s="1" t="s">
        <v>1657</v>
      </c>
      <c r="C89" s="99" t="n">
        <v>23</v>
      </c>
      <c r="D89" s="22" t="s">
        <v>1658</v>
      </c>
    </row>
    <row r="90" customFormat="false" ht="15" hidden="false" customHeight="false" outlineLevel="0" collapsed="false">
      <c r="B90" s="1" t="s">
        <v>1659</v>
      </c>
      <c r="C90" s="99" t="n">
        <v>60</v>
      </c>
      <c r="D90" s="22" t="s">
        <v>1660</v>
      </c>
    </row>
    <row r="91" customFormat="false" ht="15" hidden="false" customHeight="false" outlineLevel="0" collapsed="false">
      <c r="B91" s="1" t="s">
        <v>1661</v>
      </c>
      <c r="C91" s="99" t="n">
        <v>20000</v>
      </c>
      <c r="D91" s="22" t="s">
        <v>1662</v>
      </c>
    </row>
    <row r="92" customFormat="false" ht="15" hidden="false" customHeight="false" outlineLevel="0" collapsed="false">
      <c r="B92" s="1" t="s">
        <v>1663</v>
      </c>
      <c r="C92" s="99" t="n">
        <v>80000</v>
      </c>
      <c r="D92" s="22" t="s">
        <v>1664</v>
      </c>
    </row>
    <row r="93" customFormat="false" ht="15" hidden="false" customHeight="false" outlineLevel="0" collapsed="false">
      <c r="B93" s="1" t="s">
        <v>1665</v>
      </c>
      <c r="C93" s="99" t="n">
        <v>0.015</v>
      </c>
      <c r="D93" s="22" t="s">
        <v>1666</v>
      </c>
    </row>
    <row r="94" customFormat="false" ht="15" hidden="false" customHeight="false" outlineLevel="0" collapsed="false">
      <c r="B94" s="1" t="s">
        <v>1667</v>
      </c>
      <c r="C94" s="99" t="n">
        <v>0.015</v>
      </c>
      <c r="D94" s="22" t="s">
        <v>1668</v>
      </c>
    </row>
    <row r="95" customFormat="false" ht="15" hidden="false" customHeight="false" outlineLevel="0" collapsed="false">
      <c r="B95" s="1" t="s">
        <v>1669</v>
      </c>
      <c r="C95" s="99" t="n">
        <v>0.005</v>
      </c>
      <c r="D95" s="22" t="s">
        <v>1670</v>
      </c>
    </row>
    <row r="96" customFormat="false" ht="15" hidden="false" customHeight="false" outlineLevel="0" collapsed="false">
      <c r="B96" s="1" t="s">
        <v>1671</v>
      </c>
      <c r="C96" s="99" t="n">
        <v>50</v>
      </c>
      <c r="D96" s="22" t="s">
        <v>1672</v>
      </c>
    </row>
    <row r="97" customFormat="false" ht="15" hidden="false" customHeight="false" outlineLevel="0" collapsed="false">
      <c r="B97" s="1" t="s">
        <v>1673</v>
      </c>
      <c r="C97" s="99" t="n">
        <v>200</v>
      </c>
      <c r="D97" s="22" t="s">
        <v>1674</v>
      </c>
    </row>
    <row r="98" customFormat="false" ht="15" hidden="false" customHeight="false" outlineLevel="0" collapsed="false">
      <c r="B98" s="1" t="s">
        <v>1675</v>
      </c>
      <c r="C98" s="99" t="n">
        <v>500</v>
      </c>
      <c r="D98" s="22" t="s">
        <v>1676</v>
      </c>
    </row>
    <row r="99" customFormat="false" ht="15" hidden="false" customHeight="false" outlineLevel="0" collapsed="false">
      <c r="B99" s="1" t="s">
        <v>1677</v>
      </c>
      <c r="C99" s="99" t="n">
        <v>1000</v>
      </c>
      <c r="D99" s="22" t="s">
        <v>1678</v>
      </c>
    </row>
    <row r="100" customFormat="false" ht="15" hidden="false" customHeight="false" outlineLevel="0" collapsed="false">
      <c r="B100" s="1" t="s">
        <v>1679</v>
      </c>
      <c r="C100" s="99" t="n">
        <v>0.33</v>
      </c>
      <c r="D100" s="22" t="s">
        <v>1680</v>
      </c>
    </row>
    <row r="101" customFormat="false" ht="15" hidden="false" customHeight="false" outlineLevel="0" collapsed="false">
      <c r="B101" s="1" t="s">
        <v>1681</v>
      </c>
      <c r="C101" s="99" t="n">
        <v>500</v>
      </c>
      <c r="D101" s="22" t="s">
        <v>1682</v>
      </c>
    </row>
    <row r="102" customFormat="false" ht="15" hidden="false" customHeight="false" outlineLevel="0" collapsed="false">
      <c r="B102" s="1" t="s">
        <v>1683</v>
      </c>
      <c r="C102" s="99" t="n">
        <v>0.02</v>
      </c>
      <c r="D102" s="22" t="s">
        <v>1684</v>
      </c>
    </row>
    <row r="103" customFormat="false" ht="15" hidden="false" customHeight="false" outlineLevel="0" collapsed="false">
      <c r="B103" s="1" t="s">
        <v>1685</v>
      </c>
      <c r="C103" s="99" t="n">
        <v>95</v>
      </c>
      <c r="D103" s="22" t="s">
        <v>1686</v>
      </c>
    </row>
    <row r="104" customFormat="false" ht="15" hidden="false" customHeight="false" outlineLevel="0" collapsed="false">
      <c r="B104" s="1" t="s">
        <v>1687</v>
      </c>
      <c r="C104" s="99" t="n">
        <v>70</v>
      </c>
      <c r="D104" s="22" t="s">
        <v>1688</v>
      </c>
    </row>
    <row r="106" customFormat="false" ht="15" hidden="false" customHeight="false" outlineLevel="0" collapsed="false">
      <c r="B106" s="91" t="s">
        <v>1689</v>
      </c>
      <c r="C106" s="91" t="s">
        <v>1490</v>
      </c>
      <c r="D106" s="91" t="s">
        <v>1491</v>
      </c>
    </row>
    <row r="107" customFormat="false" ht="15" hidden="false" customHeight="false" outlineLevel="0" collapsed="false">
      <c r="B107" s="1" t="s">
        <v>1690</v>
      </c>
      <c r="C107" s="99" t="n">
        <f aca="false">IF(In_assumeSet="Cautious",1,0)</f>
        <v>0</v>
      </c>
      <c r="D107" s="22"/>
    </row>
    <row r="108" customFormat="false" ht="15" hidden="false" customHeight="false" outlineLevel="0" collapsed="false">
      <c r="B108" s="1" t="s">
        <v>1691</v>
      </c>
      <c r="C108" s="100" t="n">
        <f aca="false">IF(Has_infl=1,In_infl,Set_infl)</f>
        <v>0.02</v>
      </c>
      <c r="D108" s="22" t="s">
        <v>1692</v>
      </c>
    </row>
    <row r="109" customFormat="false" ht="15" hidden="false" customHeight="false" outlineLevel="0" collapsed="false">
      <c r="B109" s="1" t="s">
        <v>1693</v>
      </c>
      <c r="C109" s="100" t="n">
        <f aca="false">IF(Has_a_wage=1,In_a_wage,IF(AS_Cautious=1,Set_wage_Cautious,Set_wage))</f>
        <v>0.03</v>
      </c>
      <c r="D109" s="22"/>
    </row>
    <row r="110" customFormat="false" ht="15" hidden="false" customHeight="false" outlineLevel="0" collapsed="false">
      <c r="B110" s="1" t="s">
        <v>1694</v>
      </c>
      <c r="C110" s="100" t="n">
        <f aca="false">IF(Has_a_cash=1,In_a_cash,IF(AS_Cautious=1,Set_cash_Cautious,Set_cash))</f>
        <v>0.01</v>
      </c>
      <c r="D110" s="22"/>
    </row>
    <row r="111" customFormat="false" ht="15" hidden="false" customHeight="false" outlineLevel="0" collapsed="false">
      <c r="B111" s="1" t="s">
        <v>1695</v>
      </c>
      <c r="C111" s="100" t="n">
        <f aca="false">IF(Has_a_inv=1,In_a_inv,IF(AS_Cautious=1,Set_inv_Cautious,Set_inv))</f>
        <v>0.026</v>
      </c>
      <c r="D111" s="22"/>
    </row>
    <row r="112" customFormat="false" ht="15" hidden="false" customHeight="false" outlineLevel="0" collapsed="false">
      <c r="B112" s="1" t="s">
        <v>1696</v>
      </c>
      <c r="C112" s="100" t="n">
        <f aca="false">IF(Has_a_pen=1,In_a_pen,IF(AS_Cautious=1,Set_pen_Cautious,Set_pen))</f>
        <v>0.045</v>
      </c>
      <c r="D112" s="22"/>
    </row>
    <row r="113" customFormat="false" ht="15" hidden="false" customHeight="false" outlineLevel="0" collapsed="false">
      <c r="B113" s="1" t="s">
        <v>1697</v>
      </c>
      <c r="C113" s="100" t="n">
        <f aca="false">IF(Has_a_penRet=1,In_a_penRet,IF(AS_Cautious=1,Set_penRet_Cautious,Set_penRet))</f>
        <v>0.0315</v>
      </c>
      <c r="D113" s="22"/>
    </row>
    <row r="114" customFormat="false" ht="15" hidden="false" customHeight="false" outlineLevel="0" collapsed="false">
      <c r="B114" s="1" t="s">
        <v>1698</v>
      </c>
      <c r="C114" s="99" t="n">
        <f aca="false">IF(Has_a_mortRate=1,In_a_mortRate,0.0375)</f>
        <v>0.0375</v>
      </c>
      <c r="D114" s="22" t="s">
        <v>1699</v>
      </c>
    </row>
    <row r="115" customFormat="false" ht="15" hidden="false" customHeight="false" outlineLevel="0" collapsed="false">
      <c r="B115" s="1" t="s">
        <v>1700</v>
      </c>
      <c r="C115" s="99" t="n">
        <f aca="false">IF(Has_a_cardRate=1,In_a_cardRate,0.2)</f>
        <v>0.2</v>
      </c>
      <c r="D115" s="22" t="s">
        <v>1701</v>
      </c>
    </row>
    <row r="116" customFormat="false" ht="15" hidden="false" customHeight="false" outlineLevel="0" collapsed="false">
      <c r="B116" s="1" t="s">
        <v>1702</v>
      </c>
      <c r="C116" s="99" t="n">
        <f aca="false">IF(Has_a_loanRate=1,In_a_loanRate,0.08)</f>
        <v>0.08</v>
      </c>
      <c r="D116" s="22" t="s">
        <v>1703</v>
      </c>
    </row>
    <row r="117" customFormat="false" ht="15" hidden="false" customHeight="false" outlineLevel="0" collapsed="false">
      <c r="B117" s="1" t="s">
        <v>1704</v>
      </c>
      <c r="C117" s="99" t="n">
        <f aca="false">IF(Has_a_planEnd=1,In_a_planEnd,IF(In_partner="Yes",95,90))</f>
        <v>90</v>
      </c>
      <c r="D117" s="22" t="s">
        <v>1705</v>
      </c>
    </row>
    <row r="118" customFormat="false" ht="15" hidden="false" customHeight="false" outlineLevel="0" collapsed="false">
      <c r="B118" s="1" t="s">
        <v>1706</v>
      </c>
      <c r="C118" s="99" t="n">
        <f aca="true">IF(Has_a_startYear=1,In_a_startYear,IF(TODAY()&gt;DATE(2026,9,30),2027,2026))</f>
        <v>2027</v>
      </c>
      <c r="D118" s="22"/>
    </row>
    <row r="119" customFormat="false" ht="15" hidden="false" customHeight="false" outlineLevel="0" collapsed="false">
      <c r="B119" s="1" t="s">
        <v>1707</v>
      </c>
      <c r="C119" s="99" t="n">
        <f aca="false">IF(AND(In_partner="Yes",In_income&gt;0,In_pIncome&gt;0,In_work="Employed"),1,0)</f>
        <v>0</v>
      </c>
      <c r="D119" s="22"/>
    </row>
    <row r="120" customFormat="false" ht="15" hidden="false" customHeight="false" outlineLevel="0" collapsed="false">
      <c r="B120" s="1" t="s">
        <v>1433</v>
      </c>
      <c r="C120" s="99" t="n">
        <f aca="false">IF(Has_a_safetyMonths=1,In_a_safetyMonths,IF(AS_TwoSecure=1,Set_safetyMonthsTwo,Set_safetyMonths))</f>
        <v>6</v>
      </c>
      <c r="D120" s="22"/>
    </row>
    <row r="121" customFormat="false" ht="15" hidden="false" customHeight="false" outlineLevel="0" collapsed="false">
      <c r="B121" s="1" t="s">
        <v>1708</v>
      </c>
      <c r="C121" s="99" t="n">
        <f aca="false">IF(Has_a_cashYears=1,In_a_cashYears,Set_cashYears)</f>
        <v>5</v>
      </c>
      <c r="D121" s="22"/>
    </row>
    <row r="122" customFormat="false" ht="15" hidden="false" customHeight="false" outlineLevel="0" collapsed="false">
      <c r="B122" s="1" t="s">
        <v>1439</v>
      </c>
      <c r="C122" s="100" t="n">
        <f aca="false">IF(Has_a_saveShare=1,In_a_saveShare,Set_saveShare)</f>
        <v>0.5</v>
      </c>
      <c r="D122" s="22"/>
    </row>
    <row r="123" customFormat="false" ht="15" hidden="false" customHeight="false" outlineLevel="0" collapsed="false">
      <c r="B123" s="1" t="s">
        <v>1441</v>
      </c>
      <c r="C123" s="103" t="n">
        <f aca="false">IF(Has_a_noAnswer=1,In_a_noAnswer,Set_noAnswer)</f>
        <v>300</v>
      </c>
      <c r="D123" s="22"/>
    </row>
    <row r="124" customFormat="false" ht="15" hidden="false" customHeight="false" outlineLevel="0" collapsed="false">
      <c r="B124" s="1" t="s">
        <v>1709</v>
      </c>
      <c r="C124" s="100" t="n">
        <f aca="false">IF(Has_a_investShare=1,In_a_investShare,Set_investShare)</f>
        <v>0.4</v>
      </c>
      <c r="D124" s="22"/>
    </row>
    <row r="125" customFormat="false" ht="15" hidden="false" customHeight="false" outlineLevel="0" collapsed="false">
      <c r="B125" s="1" t="s">
        <v>1710</v>
      </c>
      <c r="C125" s="100" t="n">
        <f aca="false">IF(Has_a_lumpSum=1,In_a_lumpSum,Set_lumpSum)</f>
        <v>0.25</v>
      </c>
      <c r="D125" s="22"/>
    </row>
    <row r="126" customFormat="false" ht="15" hidden="false" customHeight="false" outlineLevel="0" collapsed="false">
      <c r="B126" s="1" t="s">
        <v>1711</v>
      </c>
      <c r="C126" s="99" t="str">
        <f aca="false">IF(Has_a_drawRule=1,In_a_drawRule,Set_drawRule)</f>
        <v>spread</v>
      </c>
      <c r="D126" s="22"/>
    </row>
    <row r="127" customFormat="false" ht="15" hidden="false" customHeight="false" outlineLevel="0" collapsed="false">
      <c r="B127" s="1" t="s">
        <v>1712</v>
      </c>
      <c r="C127" s="99" t="n">
        <f aca="false">IF(Has_a_drawFixed=1,In_a_drawFixed,20000)</f>
        <v>20000</v>
      </c>
      <c r="D127" s="22"/>
    </row>
    <row r="128" customFormat="false" ht="15" hidden="false" customHeight="false" outlineLevel="0" collapsed="false">
      <c r="B128" s="1" t="s">
        <v>1713</v>
      </c>
      <c r="C128" s="99" t="str">
        <f aca="false">IF(Has_a_bands=1,In_a_bands,Set_bands)</f>
        <v>prices</v>
      </c>
      <c r="D128" s="22"/>
    </row>
    <row r="129" customFormat="false" ht="15" hidden="false" customHeight="false" outlineLevel="0" collapsed="false">
      <c r="B129" s="1" t="s">
        <v>1714</v>
      </c>
      <c r="C129" s="99" t="str">
        <f aca="false">IF(Has_a_spGrow=1,In_a_spGrow,Set_spGrow)</f>
        <v>prices</v>
      </c>
      <c r="D129" s="22"/>
    </row>
    <row r="130" customFormat="false" ht="15" hidden="false" customHeight="false" outlineLevel="0" collapsed="false">
      <c r="B130" s="1" t="s">
        <v>1715</v>
      </c>
      <c r="C130" s="100" t="n">
        <f aca="false">IF(Has_a_retireSpend=1,In_a_retireSpend,Set_retireSpend)</f>
        <v>0.8</v>
      </c>
      <c r="D130" s="22"/>
    </row>
    <row r="131" customFormat="false" ht="15" hidden="false" customHeight="false" outlineLevel="0" collapsed="false">
      <c r="B131" s="1" t="s">
        <v>1716</v>
      </c>
      <c r="C131" s="100" t="n">
        <f aca="false">IF(Has_a_ownShare=1,In_a_ownShare,IF(In_work="Self-employed",1,Set_ownShare))</f>
        <v>0.5</v>
      </c>
      <c r="D131" s="22"/>
    </row>
    <row r="132" customFormat="false" ht="15" hidden="false" customHeight="false" outlineLevel="0" collapsed="false">
      <c r="B132" s="1" t="s">
        <v>1717</v>
      </c>
      <c r="C132" s="99" t="n">
        <f aca="false">IF(Has_a_penChg=1,In_a_penChg,0.01)</f>
        <v>0.01</v>
      </c>
      <c r="D132" s="22"/>
    </row>
    <row r="133" customFormat="false" ht="15" hidden="false" customHeight="false" outlineLevel="0" collapsed="false">
      <c r="B133" s="1" t="s">
        <v>1718</v>
      </c>
      <c r="C133" s="99" t="str">
        <f aca="false">IF(In_sp="","Not sure",In_sp)</f>
        <v>Not sure</v>
      </c>
      <c r="D133" s="22"/>
    </row>
    <row r="134" customFormat="false" ht="15" hidden="false" customHeight="false" outlineLevel="0" collapsed="false">
      <c r="B134" s="1" t="s">
        <v>1719</v>
      </c>
      <c r="C134" s="99" t="n">
        <f aca="false">IF(Has_a_spWeek=1,In_a_spWeek,PR_SPweek*IF(AS_SpOwn="Partly",0.6,0.8))</f>
        <v>239.44</v>
      </c>
      <c r="D134" s="22"/>
    </row>
    <row r="135" customFormat="false" ht="15" hidden="false" customHeight="false" outlineLevel="0" collapsed="false">
      <c r="B135" s="1" t="s">
        <v>1720</v>
      </c>
      <c r="C135" s="99" t="str">
        <f aca="false">IF(In_pSp="","Not sure",In_pSp)</f>
        <v>Not sure</v>
      </c>
      <c r="D135" s="22"/>
    </row>
    <row r="136" customFormat="false" ht="15" hidden="false" customHeight="false" outlineLevel="0" collapsed="false">
      <c r="B136" s="1" t="s">
        <v>1721</v>
      </c>
      <c r="C136" s="99" t="n">
        <f aca="false">IF(Has_a_pSpWeek=1,In_a_pSpWeek,PR_SPweek*IF(AS_PSpOwn="Own partial",0.6,0.8))</f>
        <v>239.44</v>
      </c>
      <c r="D136" s="22"/>
    </row>
    <row r="137" customFormat="false" ht="15" hidden="false" customHeight="false" outlineLevel="0" collapsed="false">
      <c r="B137" s="1" t="s">
        <v>1722</v>
      </c>
      <c r="C137" s="99" t="n">
        <f aca="false">PR_SPweek*PR_Weeks</f>
        <v>15563.6</v>
      </c>
      <c r="D137" s="22"/>
    </row>
    <row r="139" customFormat="false" ht="15" hidden="false" customHeight="false" outlineLevel="0" collapsed="false">
      <c r="B139" s="91" t="s">
        <v>1723</v>
      </c>
      <c r="C139" s="91" t="s">
        <v>1490</v>
      </c>
      <c r="D139" s="91" t="s">
        <v>1491</v>
      </c>
    </row>
    <row r="140" customFormat="false" ht="15" hidden="false" customHeight="false" outlineLevel="0" collapsed="false">
      <c r="B140" s="1" t="s">
        <v>724</v>
      </c>
      <c r="C140" s="99" t="n">
        <f aca="false">In_age</f>
        <v>0</v>
      </c>
      <c r="D140" s="22"/>
    </row>
    <row r="141" customFormat="false" ht="15" hidden="false" customHeight="false" outlineLevel="0" collapsed="false">
      <c r="B141" s="1" t="s">
        <v>791</v>
      </c>
      <c r="C141" s="99" t="n">
        <f aca="false">In_retireAge</f>
        <v>0</v>
      </c>
      <c r="D141" s="22"/>
    </row>
    <row r="142" customFormat="false" ht="15" hidden="false" customHeight="false" outlineLevel="0" collapsed="false">
      <c r="B142" s="1" t="s">
        <v>1724</v>
      </c>
      <c r="C142" s="99" t="n">
        <f aca="false">IF(In_partner="Yes",1,0)</f>
        <v>0</v>
      </c>
      <c r="D142" s="22"/>
    </row>
    <row r="143" customFormat="false" ht="15" hidden="false" customHeight="false" outlineLevel="0" collapsed="false">
      <c r="B143" s="1" t="s">
        <v>1725</v>
      </c>
      <c r="C143" s="99" t="n">
        <f aca="false">IF(AND(F_Partner=1,In_married="Yes"),1,0)</f>
        <v>0</v>
      </c>
      <c r="D143" s="22"/>
    </row>
    <row r="144" customFormat="false" ht="15" hidden="false" customHeight="false" outlineLevel="0" collapsed="false">
      <c r="B144" s="1" t="s">
        <v>1726</v>
      </c>
      <c r="C144" s="99" t="n">
        <f aca="false">IF(In_work="Not working",0,In_income)</f>
        <v>0</v>
      </c>
      <c r="D144" s="22"/>
    </row>
    <row r="145" customFormat="false" ht="15" hidden="false" customHeight="false" outlineLevel="0" collapsed="false">
      <c r="B145" s="1" t="s">
        <v>1727</v>
      </c>
      <c r="C145" s="99" t="n">
        <f aca="false">IF(F_Partner=1,In_pIncome,0)</f>
        <v>0</v>
      </c>
      <c r="D145" s="22"/>
    </row>
    <row r="146" customFormat="false" ht="15" hidden="false" customHeight="false" outlineLevel="0" collapsed="false">
      <c r="B146" s="1" t="s">
        <v>1339</v>
      </c>
      <c r="C146" s="99" t="n">
        <f aca="false">In_pAge</f>
        <v>0</v>
      </c>
      <c r="D146" s="22"/>
    </row>
    <row r="147" customFormat="false" ht="15" hidden="false" customHeight="false" outlineLevel="0" collapsed="false">
      <c r="B147" s="1" t="s">
        <v>1728</v>
      </c>
      <c r="C147" s="99" t="n">
        <f aca="false">IF(Has_pRet=1,In_pRet,0)</f>
        <v>0</v>
      </c>
      <c r="D147" s="22"/>
    </row>
    <row r="148" customFormat="false" ht="15" hidden="false" customHeight="false" outlineLevel="0" collapsed="false">
      <c r="B148" s="1" t="s">
        <v>1729</v>
      </c>
      <c r="C148" s="99" t="n">
        <f aca="false">In_otherM</f>
        <v>0</v>
      </c>
      <c r="D148" s="22"/>
    </row>
    <row r="149" customFormat="false" ht="15" hidden="false" customHeight="false" outlineLevel="0" collapsed="false">
      <c r="B149" s="1" t="s">
        <v>1730</v>
      </c>
      <c r="C149" s="99" t="n">
        <f aca="false">In_costsM</f>
        <v>0</v>
      </c>
      <c r="D149" s="22"/>
    </row>
    <row r="150" customFormat="false" ht="15" hidden="false" customHeight="false" outlineLevel="0" collapsed="false">
      <c r="B150" s="1" t="s">
        <v>1731</v>
      </c>
      <c r="C150" s="99" t="n">
        <f aca="false">In_oneOffY</f>
        <v>0</v>
      </c>
      <c r="D150" s="22"/>
    </row>
    <row r="151" customFormat="false" ht="15" hidden="false" customHeight="false" outlineLevel="0" collapsed="false">
      <c r="B151" s="1" t="s">
        <v>1732</v>
      </c>
      <c r="C151" s="99" t="n">
        <f aca="false">In_cash</f>
        <v>0</v>
      </c>
      <c r="D151" s="22"/>
    </row>
    <row r="152" customFormat="false" ht="15" hidden="false" customHeight="false" outlineLevel="0" collapsed="false">
      <c r="B152" s="1" t="s">
        <v>56</v>
      </c>
      <c r="C152" s="99" t="n">
        <f aca="false">In_invest</f>
        <v>0</v>
      </c>
      <c r="D152" s="22"/>
    </row>
    <row r="153" customFormat="false" ht="15" hidden="false" customHeight="false" outlineLevel="0" collapsed="false">
      <c r="B153" s="1" t="s">
        <v>1733</v>
      </c>
      <c r="C153" s="99" t="n">
        <f aca="false">In_rentM</f>
        <v>0</v>
      </c>
      <c r="D153" s="22"/>
    </row>
    <row r="154" customFormat="false" ht="15" hidden="false" customHeight="false" outlineLevel="0" collapsed="false">
      <c r="B154" s="1" t="s">
        <v>1734</v>
      </c>
      <c r="C154" s="99" t="n">
        <f aca="false">IF(In_home="Own with mortgage",1,0)</f>
        <v>0</v>
      </c>
      <c r="D154" s="22"/>
    </row>
    <row r="155" customFormat="false" ht="15" hidden="false" customHeight="false" outlineLevel="0" collapsed="false">
      <c r="B155" s="1" t="s">
        <v>1735</v>
      </c>
      <c r="C155" s="99" t="n">
        <f aca="false">IF(In_mortRate&gt;0,In_mortRate/100,AS_MortRate)</f>
        <v>0.0375</v>
      </c>
      <c r="D155" s="22"/>
    </row>
    <row r="156" customFormat="false" ht="15" hidden="false" customHeight="false" outlineLevel="0" collapsed="false">
      <c r="B156" s="1" t="s">
        <v>1736</v>
      </c>
      <c r="C156" s="99" t="n">
        <f aca="false">IF(F_MortOn=1,In_mortPayM,0)</f>
        <v>0</v>
      </c>
      <c r="D156" s="22"/>
    </row>
    <row r="157" customFormat="false" ht="15" hidden="false" customHeight="false" outlineLevel="0" collapsed="false">
      <c r="B157" s="1" t="s">
        <v>1356</v>
      </c>
      <c r="C157" s="99" t="n">
        <f aca="false">IF(F_MortOn=1,In_mortBal,0)</f>
        <v>0</v>
      </c>
      <c r="D157" s="22"/>
    </row>
    <row r="158" customFormat="false" ht="15" hidden="false" customHeight="false" outlineLevel="0" collapsed="false">
      <c r="B158" s="1" t="s">
        <v>1737</v>
      </c>
      <c r="C158" s="99" t="n">
        <f aca="false">IF(F_MortOn=1,IF(F_MStated&lt;&gt;0,F_MStated,IF(F_MortBal&gt;0,IF(F_MR/12&lt;&gt;0,F_MortBal*(F_MR/12)/(1-(1+F_MR/12)^-MAX(1,ROUND(IF(In_mortYears&lt;&gt;0,In_mortYears,25)*12,0))),F_MortBal/MAX(1,ROUND(IF(In_mortYears&lt;&gt;0,In_mortYears,25)*12,0))),0)),0)</f>
        <v>0</v>
      </c>
      <c r="D158" s="22"/>
    </row>
    <row r="159" customFormat="false" ht="15" hidden="false" customHeight="false" outlineLevel="0" collapsed="false">
      <c r="B159" s="1" t="s">
        <v>1738</v>
      </c>
      <c r="C159" s="99" t="n">
        <f aca="false">IF(AND(F_MortOn=1,F_MStated=0),1,0)</f>
        <v>0</v>
      </c>
      <c r="D159" s="22"/>
    </row>
    <row r="160" customFormat="false" ht="15" hidden="false" customHeight="false" outlineLevel="0" collapsed="false">
      <c r="B160" s="1" t="s">
        <v>1739</v>
      </c>
      <c r="C160" s="99" t="n">
        <f aca="false">IF(AND(F_MortOn=1,F_MStated&gt;0,F_MortBal&gt;0,In_mortYears&gt;0,F_MStated&lt;IF(F_MR/12&lt;&gt;0,F_MortBal*(F_MR/12)/(1-(1+F_MR/12)^-MAX(1,ROUND(In_mortYears*12,0))),F_MortBal/MAX(1,ROUND(In_mortYears*12,0)))-1),1,0)</f>
        <v>0</v>
      </c>
      <c r="D160" s="22"/>
    </row>
    <row r="162" customFormat="false" ht="15" hidden="false" customHeight="false" outlineLevel="0" collapsed="false">
      <c r="B162" s="91" t="s">
        <v>1740</v>
      </c>
      <c r="C162" s="91" t="s">
        <v>1490</v>
      </c>
      <c r="D162" s="91" t="s">
        <v>1491</v>
      </c>
    </row>
    <row r="163" customFormat="false" ht="15" hidden="false" customHeight="false" outlineLevel="0" collapsed="false">
      <c r="B163" s="1" t="s">
        <v>1741</v>
      </c>
      <c r="C163" s="99" t="n">
        <f aca="false">Mort2_Bal</f>
        <v>0</v>
      </c>
      <c r="D163" s="22"/>
    </row>
    <row r="164" customFormat="false" ht="15" hidden="false" customHeight="false" outlineLevel="0" collapsed="false">
      <c r="B164" s="1" t="s">
        <v>1742</v>
      </c>
      <c r="C164" s="99" t="n">
        <f aca="false">Mort2_Pay</f>
        <v>0</v>
      </c>
      <c r="D164" s="22"/>
    </row>
    <row r="165" customFormat="false" ht="15" hidden="false" customHeight="false" outlineLevel="0" collapsed="false">
      <c r="B165" s="1" t="s">
        <v>1743</v>
      </c>
      <c r="C165" s="104" t="n">
        <f aca="false">Mort2_Rate</f>
        <v>0</v>
      </c>
      <c r="D165" s="22"/>
    </row>
    <row r="166" customFormat="false" ht="15" hidden="false" customHeight="false" outlineLevel="0" collapsed="false">
      <c r="B166" s="1" t="s">
        <v>1744</v>
      </c>
      <c r="C166" s="99" t="n">
        <f aca="false">IF(In_cardRate&gt;0,In_cardRate/100,AS_CardRate)</f>
        <v>0.2</v>
      </c>
      <c r="D166" s="22"/>
    </row>
    <row r="167" customFormat="false" ht="15" hidden="false" customHeight="false" outlineLevel="0" collapsed="false">
      <c r="B167" s="1" t="s">
        <v>1745</v>
      </c>
      <c r="C167" s="99" t="n">
        <f aca="false">IF(In_loanRate&gt;0,In_loanRate/100,AS_LoanRate)</f>
        <v>0.08</v>
      </c>
      <c r="D167" s="22"/>
    </row>
    <row r="168" customFormat="false" ht="15" hidden="false" customHeight="false" outlineLevel="0" collapsed="false">
      <c r="B168" s="1" t="s">
        <v>1746</v>
      </c>
      <c r="C168" s="99" t="n">
        <f aca="false">In_loanBal+In_debt</f>
        <v>0</v>
      </c>
      <c r="D168" s="22"/>
    </row>
    <row r="169" customFormat="false" ht="15" hidden="false" customHeight="false" outlineLevel="0" collapsed="false">
      <c r="B169" s="1" t="s">
        <v>1747</v>
      </c>
      <c r="C169" s="99" t="n">
        <f aca="false">IF(M2_Bal&gt;0,IF(D_lB0&gt;0,(D_lB0*D_lR0+M2_Bal*M2_Rate)/(D_lB0+M2_Bal),M2_Rate),D_lR0)</f>
        <v>0.08</v>
      </c>
      <c r="D169" s="22"/>
    </row>
    <row r="170" customFormat="false" ht="15" hidden="false" customHeight="false" outlineLevel="0" collapsed="false">
      <c r="B170" s="1" t="s">
        <v>1748</v>
      </c>
      <c r="C170" s="99" t="n">
        <f aca="false">In_cardBal</f>
        <v>0</v>
      </c>
      <c r="D170" s="22"/>
    </row>
    <row r="171" customFormat="false" ht="15" hidden="false" customHeight="false" outlineLevel="0" collapsed="false">
      <c r="B171" s="1" t="s">
        <v>1749</v>
      </c>
      <c r="C171" s="99" t="n">
        <f aca="false">D_lB0+M2_Bal</f>
        <v>0</v>
      </c>
      <c r="D171" s="22"/>
    </row>
    <row r="172" customFormat="false" ht="15" hidden="false" customHeight="false" outlineLevel="0" collapsed="false">
      <c r="B172" s="1" t="s">
        <v>1750</v>
      </c>
      <c r="C172" s="99" t="n">
        <f aca="false">In_loanPayM+In_debtPayM+M2_Pay</f>
        <v>0</v>
      </c>
      <c r="D172" s="22"/>
    </row>
    <row r="173" customFormat="false" ht="15" hidden="false" customHeight="false" outlineLevel="0" collapsed="false">
      <c r="B173" s="1" t="s">
        <v>1751</v>
      </c>
      <c r="C173" s="99" t="n">
        <f aca="false">(1+D_cR)^(1/12)-1</f>
        <v>0.0153094704997312</v>
      </c>
      <c r="D173" s="22"/>
    </row>
    <row r="174" customFormat="false" ht="15" hidden="false" customHeight="false" outlineLevel="0" collapsed="false">
      <c r="B174" s="1" t="s">
        <v>1752</v>
      </c>
      <c r="C174" s="99" t="n">
        <f aca="false">(1+D_lR)^(1/12)-1</f>
        <v>0.00643403011000343</v>
      </c>
      <c r="D174" s="22"/>
    </row>
    <row r="175" customFormat="false" ht="15" hidden="false" customHeight="false" outlineLevel="0" collapsed="false">
      <c r="B175" s="1" t="s">
        <v>1753</v>
      </c>
      <c r="C175" s="99" t="n">
        <f aca="false">IF(AND(F_CardBal&gt;0,In_cardPayM&gt;F_CardBal*D_iC),1,0)</f>
        <v>0</v>
      </c>
      <c r="D175" s="22"/>
    </row>
    <row r="176" customFormat="false" ht="15" hidden="false" customHeight="false" outlineLevel="0" collapsed="false">
      <c r="B176" s="1" t="s">
        <v>1754</v>
      </c>
      <c r="C176" s="99" t="n">
        <f aca="false">IF(AND(F_LoanBal&gt;0,D_lp&gt;F_LoanBal*D_iL),1,0)</f>
        <v>0</v>
      </c>
      <c r="D176" s="22"/>
    </row>
    <row r="177" customFormat="false" ht="15" hidden="false" customHeight="false" outlineLevel="0" collapsed="false">
      <c r="B177" s="1" t="s">
        <v>1755</v>
      </c>
      <c r="C177" s="99" t="n">
        <f aca="false">IF(F_CardBal&gt;0,IF(D_okC=1,In_cardPayM,IF(D_iC&lt;&gt;0,F_CardBal*D_iC/(1-(1+D_iC)^-60),F_CardBal/60)),0)</f>
        <v>0</v>
      </c>
      <c r="D177" s="22"/>
    </row>
    <row r="178" customFormat="false" ht="15" hidden="false" customHeight="false" outlineLevel="0" collapsed="false">
      <c r="B178" s="1" t="s">
        <v>1756</v>
      </c>
      <c r="C178" s="99" t="n">
        <f aca="false">IF(F_LoanBal&gt;0,IF(D_okL=1,D_lp,IF(D_iL&lt;&gt;0,F_LoanBal*D_iL/(1-(1+D_iL)^-60),F_LoanBal/60)),0)</f>
        <v>0</v>
      </c>
      <c r="D178" s="22"/>
    </row>
    <row r="179" customFormat="false" ht="15" hidden="false" customHeight="false" outlineLevel="0" collapsed="false">
      <c r="B179" s="1" t="s">
        <v>1757</v>
      </c>
      <c r="C179" s="99" t="n">
        <f aca="false">IF(AND(F_CardBal&gt;0,D_okC=0),1,0)</f>
        <v>0</v>
      </c>
      <c r="D179" s="22"/>
    </row>
    <row r="180" customFormat="false" ht="15" hidden="false" customHeight="false" outlineLevel="0" collapsed="false">
      <c r="B180" s="1" t="s">
        <v>1758</v>
      </c>
      <c r="C180" s="99" t="n">
        <f aca="false">IF(AND(F_LoanBal&gt;0,D_okL=0),1,0)</f>
        <v>0</v>
      </c>
      <c r="D180" s="22"/>
    </row>
    <row r="181" customFormat="false" ht="15" hidden="false" customHeight="false" outlineLevel="0" collapsed="false">
      <c r="B181" s="1" t="s">
        <v>1759</v>
      </c>
      <c r="C181" s="99" t="n">
        <f aca="false">F_CardBal+F_LoanBal</f>
        <v>0</v>
      </c>
      <c r="D181" s="22"/>
    </row>
    <row r="182" customFormat="false" ht="15" hidden="false" customHeight="false" outlineLevel="0" collapsed="false">
      <c r="B182" s="1" t="s">
        <v>1760</v>
      </c>
      <c r="C182" s="99" t="n">
        <f aca="false">F_CardPayM+F_LoanPayM</f>
        <v>0</v>
      </c>
      <c r="D182" s="22"/>
    </row>
    <row r="183" customFormat="false" ht="15" hidden="false" customHeight="false" outlineLevel="0" collapsed="false">
      <c r="B183" s="1" t="s">
        <v>1761</v>
      </c>
      <c r="C183" s="99" t="n">
        <f aca="false">F_CostsM+F_MortPayM+IF(F_Debt&gt;0,F_DebtPayM,0)</f>
        <v>0</v>
      </c>
      <c r="D183" s="22"/>
    </row>
    <row r="185" customFormat="false" ht="15" hidden="false" customHeight="false" outlineLevel="0" collapsed="false">
      <c r="B185" s="91" t="s">
        <v>1762</v>
      </c>
      <c r="C185" s="91" t="s">
        <v>1490</v>
      </c>
      <c r="D185" s="91" t="s">
        <v>1491</v>
      </c>
    </row>
    <row r="186" customFormat="false" ht="15" hidden="false" customHeight="false" outlineLevel="0" collapsed="false">
      <c r="B186" s="1" t="s">
        <v>1763</v>
      </c>
      <c r="C186" s="99" t="n">
        <f aca="false">IF(AND(In_work&lt;&gt;"Not working",F_Income&gt;0),In_pensionM,0)</f>
        <v>0</v>
      </c>
      <c r="D186" s="22"/>
    </row>
    <row r="187" customFormat="false" ht="15" hidden="false" customHeight="false" outlineLevel="0" collapsed="false">
      <c r="B187" s="1" t="s">
        <v>1764</v>
      </c>
      <c r="C187" s="99" t="n">
        <f aca="false">IF(Has_pensionOwnM=1,MIN(F_PenM,In_pensionOwnM),F_PenM*AS_OwnShare)</f>
        <v>0</v>
      </c>
      <c r="D187" s="22"/>
    </row>
    <row r="188" customFormat="false" ht="15" hidden="false" customHeight="false" outlineLevel="0" collapsed="false">
      <c r="B188" s="1" t="s">
        <v>1765</v>
      </c>
      <c r="C188" s="104" t="n">
        <f aca="false">AS_Pen+IF(Has_penChg=1,AS_PenChgTyp-In_penChg/100,0)</f>
        <v>0.045</v>
      </c>
      <c r="D188" s="22"/>
    </row>
    <row r="189" customFormat="false" ht="15" hidden="false" customHeight="false" outlineLevel="0" collapsed="false">
      <c r="B189" s="1" t="s">
        <v>1766</v>
      </c>
      <c r="C189" s="99" t="str">
        <f aca="false">IF(Has_spYears=1,In_spYears,IF(Has_a_spYears=1,In_a_spYears,""))</f>
        <v/>
      </c>
      <c r="D189" s="22"/>
    </row>
    <row r="190" customFormat="false" ht="15" hidden="false" customHeight="false" outlineLevel="0" collapsed="false">
      <c r="B190" s="1" t="s">
        <v>1767</v>
      </c>
      <c r="C190" s="99" t="n">
        <f aca="false">IF(F_YrsSP&lt;&gt;"",IF(F_YrsSP&lt;PR_SPmin,0,MIN(1,F_YrsSP/PR_SPfull)),IF(In_sp="Expect full",1,MIN(1,AS_SpWeek/PR_SPweek)))</f>
        <v>0.8</v>
      </c>
      <c r="D190" s="22"/>
    </row>
    <row r="191" customFormat="false" ht="15" hidden="false" customHeight="false" outlineLevel="0" collapsed="false">
      <c r="B191" s="1" t="s">
        <v>1768</v>
      </c>
      <c r="C191" s="99" t="str">
        <f aca="false">IF(F_Partner=1,AS_PSpOwn,"None")</f>
        <v>None</v>
      </c>
      <c r="D191" s="22"/>
    </row>
    <row r="192" customFormat="false" ht="15" hidden="false" customHeight="false" outlineLevel="0" collapsed="false">
      <c r="B192" s="1" t="s">
        <v>1769</v>
      </c>
      <c r="C192" s="99" t="n">
        <f aca="false">IF(F_PSpO="Qualified adult increase",1,0)</f>
        <v>0</v>
      </c>
      <c r="D192" s="22"/>
    </row>
    <row r="193" customFormat="false" ht="15" hidden="false" customHeight="false" outlineLevel="0" collapsed="false">
      <c r="B193" s="1" t="s">
        <v>1770</v>
      </c>
      <c r="C193" s="99" t="n">
        <f aca="false">IF(F_PSpO="Own full",1,IF(OR(F_PSpO="Own partial",F_PSpO="Not sure"),MIN(1,AS_PSpWeek/PR_SPweek),0))</f>
        <v>0</v>
      </c>
      <c r="D193" s="22"/>
    </row>
    <row r="194" customFormat="false" ht="15" hidden="false" customHeight="false" outlineLevel="0" collapsed="false">
      <c r="B194" s="1" t="s">
        <v>1771</v>
      </c>
      <c r="C194" s="99" t="n">
        <f aca="false">IF(AND(In_work="Employed",In_age&gt;=PR_AEageMin,In_age&lt;=PR_AEageMax,F_Income&gt;PR_AEearnMin,F_PenM=0,In_ae&lt;&gt;"No"),1,0)</f>
        <v>0</v>
      </c>
      <c r="D194" s="22"/>
    </row>
    <row r="195" customFormat="false" ht="15" hidden="false" customHeight="false" outlineLevel="0" collapsed="false">
      <c r="B195" s="1" t="s">
        <v>1772</v>
      </c>
      <c r="C195" s="99" t="n">
        <f aca="false">IF(AND(In_credRent="Yes",In_home="Rent"),1,0)</f>
        <v>0</v>
      </c>
      <c r="D195" s="22"/>
    </row>
    <row r="196" customFormat="false" ht="15" hidden="false" customHeight="false" outlineLevel="0" collapsed="false">
      <c r="B196" s="1" t="s">
        <v>1773</v>
      </c>
      <c r="C196" s="99" t="n">
        <f aca="false">IF(AND(In_credLone="Yes",In_deps&gt;0,F_Partner=0),1,0)</f>
        <v>0</v>
      </c>
      <c r="D196" s="22"/>
    </row>
    <row r="197" customFormat="false" ht="15" hidden="false" customHeight="false" outlineLevel="0" collapsed="false">
      <c r="B197" s="1" t="s">
        <v>1774</v>
      </c>
      <c r="C197" s="99" t="n">
        <f aca="false">IF(AND(In_credCarer="Yes",F_Partner=1,In_married="Yes"),1,0)</f>
        <v>0</v>
      </c>
      <c r="D197" s="22"/>
    </row>
    <row r="198" customFormat="false" ht="15" hidden="false" customHeight="false" outlineLevel="0" collapsed="false">
      <c r="B198" s="1" t="s">
        <v>1775</v>
      </c>
      <c r="C198" s="99" t="n">
        <f aca="false">In_pension+IF(WI_Retire=1,In_wiL,0)</f>
        <v>0</v>
      </c>
      <c r="D198" s="22"/>
    </row>
    <row r="199" customFormat="false" ht="15" hidden="false" customHeight="false" outlineLevel="0" collapsed="false">
      <c r="B199" s="1" t="s">
        <v>1776</v>
      </c>
      <c r="C199" s="99" t="n">
        <f aca="false">MAX(F_R,PR_Earliest)</f>
        <v>60</v>
      </c>
      <c r="D199" s="22"/>
    </row>
    <row r="200" customFormat="false" ht="15" hidden="false" customHeight="false" outlineLevel="0" collapsed="false">
      <c r="B200" s="1" t="s">
        <v>1777</v>
      </c>
      <c r="C200" s="99" t="n">
        <f aca="false">AS_End-F_Age</f>
        <v>90</v>
      </c>
      <c r="D200" s="22"/>
    </row>
    <row r="201" customFormat="false" ht="15" hidden="false" customHeight="false" outlineLevel="0" collapsed="false">
      <c r="B201" s="1" t="s">
        <v>1778</v>
      </c>
      <c r="C201" s="99" t="n">
        <f aca="false">IF(In_work="Self-employed",1,0)</f>
        <v>0</v>
      </c>
      <c r="D201" s="22"/>
    </row>
    <row r="202" customFormat="false" ht="15" hidden="false" customHeight="false" outlineLevel="0" collapsed="false">
      <c r="B202" s="1" t="s">
        <v>1779</v>
      </c>
      <c r="C202" s="99" t="n">
        <f aca="false">IF(AND(In_wiGoal&gt;0,INDEX(Goal_Kind_List,MAX(1,In_wiGoal))="retire"),1,0)</f>
        <v>0</v>
      </c>
      <c r="D202" s="22" t="s">
        <v>1780</v>
      </c>
    </row>
    <row r="203" customFormat="false" ht="15" hidden="false" customHeight="false" outlineLevel="0" collapsed="false">
      <c r="B203" s="1" t="s">
        <v>1781</v>
      </c>
      <c r="C203" s="99" t="n">
        <f aca="false">In_wiM</f>
        <v>0</v>
      </c>
      <c r="D203" s="22"/>
    </row>
    <row r="204" customFormat="false" ht="15" hidden="false" customHeight="false" outlineLevel="0" collapsed="false">
      <c r="B204" s="1" t="s">
        <v>1782</v>
      </c>
      <c r="C204" s="99" t="n">
        <f aca="false">In_wiL</f>
        <v>0</v>
      </c>
      <c r="D204" s="22"/>
    </row>
    <row r="208" customFormat="false" ht="108.95" hidden="false" customHeight="false" outlineLevel="0" collapsed="false">
      <c r="A208" s="91" t="s">
        <v>1783</v>
      </c>
      <c r="B208" s="96" t="s">
        <v>1784</v>
      </c>
      <c r="C208" s="96" t="s">
        <v>724</v>
      </c>
      <c r="D208" s="96" t="s">
        <v>904</v>
      </c>
      <c r="E208" s="96" t="s">
        <v>1785</v>
      </c>
      <c r="F208" s="96" t="s">
        <v>1786</v>
      </c>
      <c r="G208" s="96" t="s">
        <v>1787</v>
      </c>
      <c r="H208" s="96" t="s">
        <v>1788</v>
      </c>
      <c r="I208" s="96" t="s">
        <v>1789</v>
      </c>
      <c r="J208" s="96" t="s">
        <v>1790</v>
      </c>
      <c r="K208" s="96" t="s">
        <v>1791</v>
      </c>
      <c r="L208" s="96" t="s">
        <v>1792</v>
      </c>
      <c r="M208" s="96" t="s">
        <v>1793</v>
      </c>
      <c r="N208" s="96" t="s">
        <v>1794</v>
      </c>
      <c r="O208" s="96" t="s">
        <v>1795</v>
      </c>
      <c r="P208" s="96" t="s">
        <v>1796</v>
      </c>
      <c r="Q208" s="96" t="s">
        <v>1797</v>
      </c>
      <c r="R208" s="96" t="s">
        <v>1798</v>
      </c>
      <c r="S208" s="96" t="s">
        <v>1799</v>
      </c>
      <c r="T208" s="96" t="s">
        <v>1800</v>
      </c>
      <c r="U208" s="96" t="s">
        <v>1801</v>
      </c>
      <c r="V208" s="96" t="s">
        <v>1802</v>
      </c>
      <c r="W208" s="96" t="s">
        <v>1803</v>
      </c>
      <c r="X208" s="96" t="s">
        <v>1804</v>
      </c>
      <c r="Y208" s="96" t="s">
        <v>1805</v>
      </c>
      <c r="Z208" s="96" t="s">
        <v>1806</v>
      </c>
      <c r="AA208" s="96" t="s">
        <v>1807</v>
      </c>
      <c r="AB208" s="96" t="s">
        <v>1808</v>
      </c>
      <c r="AC208" s="96" t="s">
        <v>1809</v>
      </c>
      <c r="AD208" s="96" t="s">
        <v>1810</v>
      </c>
      <c r="AE208" s="96" t="s">
        <v>1811</v>
      </c>
      <c r="AF208" s="96" t="s">
        <v>1812</v>
      </c>
      <c r="AG208" s="96" t="s">
        <v>1339</v>
      </c>
      <c r="AH208" s="96" t="s">
        <v>1813</v>
      </c>
      <c r="AI208" s="96" t="s">
        <v>1814</v>
      </c>
      <c r="AJ208" s="96" t="s">
        <v>1815</v>
      </c>
      <c r="AK208" s="96" t="s">
        <v>1816</v>
      </c>
      <c r="AL208" s="96" t="s">
        <v>1817</v>
      </c>
      <c r="AM208" s="96" t="s">
        <v>1818</v>
      </c>
      <c r="AN208" s="96" t="s">
        <v>1819</v>
      </c>
      <c r="AO208" s="96" t="s">
        <v>1820</v>
      </c>
      <c r="AP208" s="96" t="s">
        <v>1821</v>
      </c>
      <c r="AQ208" s="96" t="s">
        <v>1822</v>
      </c>
      <c r="AR208" s="96" t="s">
        <v>1823</v>
      </c>
      <c r="AS208" s="96" t="s">
        <v>1824</v>
      </c>
      <c r="AT208" s="96" t="s">
        <v>1825</v>
      </c>
      <c r="AU208" s="96" t="s">
        <v>1826</v>
      </c>
      <c r="AV208" s="96" t="s">
        <v>1827</v>
      </c>
      <c r="AW208" s="96" t="s">
        <v>1828</v>
      </c>
      <c r="AX208" s="96" t="s">
        <v>1829</v>
      </c>
      <c r="AY208" s="96" t="s">
        <v>1830</v>
      </c>
      <c r="AZ208" s="96" t="s">
        <v>1831</v>
      </c>
      <c r="BA208" s="96" t="s">
        <v>1832</v>
      </c>
      <c r="BB208" s="96" t="s">
        <v>1833</v>
      </c>
      <c r="BC208" s="96" t="s">
        <v>1834</v>
      </c>
      <c r="BD208" s="96" t="s">
        <v>1835</v>
      </c>
      <c r="BE208" s="96" t="s">
        <v>1836</v>
      </c>
      <c r="BF208" s="96" t="s">
        <v>1837</v>
      </c>
      <c r="BG208" s="96" t="s">
        <v>1838</v>
      </c>
      <c r="BH208" s="96" t="s">
        <v>1839</v>
      </c>
      <c r="BI208" s="96" t="s">
        <v>1840</v>
      </c>
      <c r="BJ208" s="96" t="s">
        <v>1841</v>
      </c>
      <c r="BK208" s="96" t="s">
        <v>1842</v>
      </c>
      <c r="BL208" s="96" t="s">
        <v>1843</v>
      </c>
      <c r="BM208" s="96" t="s">
        <v>1844</v>
      </c>
      <c r="BN208" s="96" t="s">
        <v>1845</v>
      </c>
      <c r="BO208" s="96" t="s">
        <v>1846</v>
      </c>
      <c r="BP208" s="96" t="s">
        <v>1847</v>
      </c>
      <c r="BQ208" s="96" t="s">
        <v>1848</v>
      </c>
      <c r="BR208" s="96" t="s">
        <v>1849</v>
      </c>
      <c r="BS208" s="96" t="s">
        <v>1850</v>
      </c>
      <c r="BT208" s="96" t="s">
        <v>1851</v>
      </c>
    </row>
    <row r="209" customFormat="false" ht="15" hidden="false" customHeight="false" outlineLevel="0" collapsed="false">
      <c r="A209" s="1" t="s">
        <v>1852</v>
      </c>
      <c r="AD209" s="105" t="n">
        <f aca="false">F_Pension0</f>
        <v>0</v>
      </c>
    </row>
    <row r="210" customFormat="false" ht="15" hidden="false" customHeight="false" outlineLevel="0" collapsed="false">
      <c r="B210" s="1" t="n">
        <v>0</v>
      </c>
      <c r="C210" s="1" t="n">
        <f aca="false">F_Age+B210</f>
        <v>0</v>
      </c>
      <c r="D210" s="1" t="n">
        <f aca="false">AS_Year0+B210</f>
        <v>2027</v>
      </c>
      <c r="E210" s="106" t="n">
        <f aca="false">(1+AS_Infl)^B210</f>
        <v>1</v>
      </c>
      <c r="F210" s="106" t="n">
        <f aca="false">(1+AS_Wage)^B210</f>
        <v>1</v>
      </c>
      <c r="G210" s="1" t="n">
        <f aca="false">IF(C210&lt;F_R,1,0)</f>
        <v>0</v>
      </c>
      <c r="H210" s="106" t="n">
        <f aca="false">IF(AS_Bands="flat",1,E210)</f>
        <v>1</v>
      </c>
      <c r="I210" s="106" t="n">
        <f aca="false">IF(AS_SpGrow="pay",F210,IF(AS_SpGrow="flat",1,E210))</f>
        <v>1</v>
      </c>
      <c r="J210" s="106" t="n">
        <f aca="false">(12*PR_PRSIr0+(PR_PRSIr1-PR_PRSIr0)*MAX(0,MIN(12,D210*12+12-PR_PRSIt1))+(PR_PRSIr2-PR_PRSIr1)*MAX(0,MIN(12,D210*12+12-PR_PRSIt2))+(PR_PRSIr3-PR_PRSIr2)*MAX(0,MIN(12,D210*12+12-PR_PRSIt3)))/12</f>
        <v>0.043875</v>
      </c>
      <c r="K210" s="1" t="n">
        <f aca="false">IF(G210=1,F_Income*F210,0)</f>
        <v>0</v>
      </c>
      <c r="L210" s="1" t="n">
        <f aca="false">IF(G210=1,(F_Own+In_penExtra)*12*F210,0)</f>
        <v>0</v>
      </c>
      <c r="M210" s="1" t="n">
        <f aca="false">IF(G210=1,(F_PenM+In_penExtra)*12*F210,0)</f>
        <v>0</v>
      </c>
      <c r="N210" s="107" t="n">
        <f aca="false">IF(C210&lt;PR_RelA1,PR_RelP1,IF(C210&lt;PR_RelA2,PR_RelP2,IF(C210&lt;PR_RelA3,PR_RelP3,IF(C210&lt;PR_RelA4,PR_RelP4,IF(C210&lt;PR_RelA5,PR_RelP5,PR_RelP6)))))</f>
        <v>0.15</v>
      </c>
      <c r="O210" s="1" t="n">
        <f aca="false">IF(G210=1,MIN(L210/H210,N210*MIN(K210/H210,PR_EarnCap))*H210,0)</f>
        <v>0</v>
      </c>
      <c r="P210" s="1" t="n">
        <f aca="false">IF(AND(G210=1,F_AE=1),MIN(K210/H210,PR_AEcap)*H210,0)</f>
        <v>0</v>
      </c>
      <c r="Q210" s="1" t="n">
        <f aca="false">IF(G210=1,IF(WI_Retire=1,MAX(0,M210+WI_M*12),M210)+(PR_AEee+PR_AEer+PR_AEst)*P210,0)</f>
        <v>0</v>
      </c>
      <c r="R210" s="1" t="n">
        <f aca="false">L210+PR_AEee*P210</f>
        <v>0</v>
      </c>
      <c r="S210" s="1" t="n">
        <f aca="false">AD209</f>
        <v>0</v>
      </c>
      <c r="T210" s="1" t="n">
        <f aca="false">IF(D210&lt;=2026,PR_SFT2026,IF(D210=2027,PR_SFT2027,IF(D210=2028,PR_SFT2028,IF(D210=2029,PR_SFT2029,PR_SFT2029*(1+AS_Infl)^(D210-2029)))))</f>
        <v>2400000</v>
      </c>
      <c r="U210" s="1" t="n">
        <f aca="false">IF(AND(G210=0,C210=F_V),1,0)</f>
        <v>0</v>
      </c>
      <c r="V210" s="1" t="n">
        <f aca="false">IF(U210=1,PR_SFTrate*MAX(0,S210-T210),0)</f>
        <v>0</v>
      </c>
      <c r="W210" s="1" t="n">
        <f aca="false">S210-V210</f>
        <v>0</v>
      </c>
      <c r="X210" s="1" t="n">
        <f aca="false">IF(AND(U210=1,AS_LumpPct&gt;0),W210*MIN(AS_LumpPct,PR_LSmax),0)</f>
        <v>0</v>
      </c>
      <c r="Y210" s="1" t="n">
        <f aca="false">X210-(PR_LSrate*MAX(0,MIN(X210,PR_LScap)-PR_LSfree)+PR_r2*MAX(0,X210-PR_LScap))</f>
        <v>0</v>
      </c>
      <c r="Z210" s="1" t="n">
        <f aca="false">W210-X210</f>
        <v>0</v>
      </c>
      <c r="AA210" s="107" t="n">
        <f aca="false">IF(C210&gt;=61,IF(Z210&gt;PR_ARFbig,PR_ARFbigRate,IF(C210&gt;=71,PR_ARF71,PR_ARF61)),0)</f>
        <v>0</v>
      </c>
      <c r="AB210" s="1" t="n">
        <f aca="false">IF(AS_DrawRule="min",Z210*AA210,IF(AS_DrawRule="fixed",MAX(AS_DrawFixed*E210,Z210*AA210),Z210*MAX(1/MAX(1,AS_End-C210+1),AA210)))</f>
        <v>0</v>
      </c>
      <c r="AC210" s="1" t="n">
        <f aca="false">IF(AND(G210=0,C210&gt;=F_V),MIN(Z210,AB210),0)</f>
        <v>0</v>
      </c>
      <c r="AD210" s="1" t="n">
        <f aca="false">IF(G210=1,S210*(1+F_PenG)+Q210,IF(C210&lt;F_V,S210*(1+F_PenG),(Z210-AC210)*(1+AS_PenRet)))</f>
        <v>0</v>
      </c>
      <c r="AE210" s="1" t="n">
        <f aca="false">IF(C210&gt;=PR_SPage,AS_SP*F_SpF*I210+IF(C210&gt;=80,PR_Over80*PR_Weeks*I210,0),0)</f>
        <v>0</v>
      </c>
      <c r="AF210" s="1" t="n">
        <f aca="false">(F_OtherM+F_RentM)*12*E210</f>
        <v>0</v>
      </c>
      <c r="AG210" s="1" t="n">
        <f aca="false">F_PAge+B210</f>
        <v>0</v>
      </c>
      <c r="AH210" s="1" t="n">
        <f aca="false">IF(AND(F_Partner=1,F_PAge&gt;0,AG210&lt;IF(F_PRet&gt;0,F_PRet,66)),F_PIncome*F210,0)</f>
        <v>0</v>
      </c>
      <c r="AI210" s="1" t="n">
        <f aca="false">IF(AND(F_Partner=1,AG210&gt;=66,F_PSpQA=0),AS_SP*F_PSpF*I210,0)</f>
        <v>0</v>
      </c>
      <c r="AJ210" s="1" t="n">
        <f aca="false">IF(AND(F_Partner=1,F_PSpQA=1,C210&gt;=PR_SPage,AH210=0),IF(AG210&gt;=66,PR_QA66,PR_QAunder)*PR_Weeks*I210,0)</f>
        <v>0</v>
      </c>
      <c r="AK210" s="1" t="n">
        <f aca="false">AE210+AJ210</f>
        <v>0</v>
      </c>
      <c r="AL210" s="1" t="n">
        <f aca="false">K210/H210</f>
        <v>0</v>
      </c>
      <c r="AM210" s="1" t="n">
        <f aca="false">AK210/H210</f>
        <v>0</v>
      </c>
      <c r="AN210" s="1" t="n">
        <f aca="false">AC210/H210</f>
        <v>0</v>
      </c>
      <c r="AO210" s="1" t="n">
        <f aca="false">AF210/H210</f>
        <v>0</v>
      </c>
      <c r="AP210" s="1" t="n">
        <f aca="false">O210/H210</f>
        <v>0</v>
      </c>
      <c r="AQ210" s="1" t="n">
        <f aca="false">AH210/H210</f>
        <v>0</v>
      </c>
      <c r="AR210" s="1" t="n">
        <f aca="false">AI210/H210</f>
        <v>0</v>
      </c>
      <c r="AS210" s="1" t="n">
        <f aca="false">MAX(0,AL210+AN210+AO210+AM210-AP210)</f>
        <v>0</v>
      </c>
      <c r="AT210" s="1" t="n">
        <f aca="false">MAX(0,AQ210+AR210)</f>
        <v>0</v>
      </c>
      <c r="AU210" s="1" t="n">
        <f aca="false">MIN(PR_PAYE,PR_PAYEcap*(AL210+AN210+AM210))</f>
        <v>0</v>
      </c>
      <c r="AV210" s="1" t="n">
        <f aca="false">MIN(PR_PAYE,PR_PAYEcap*(AQ210+AR210))</f>
        <v>0</v>
      </c>
      <c r="AW210" s="1" t="n">
        <f aca="false">IF(C210&gt;=PR_AgeCrAge,PR_AgeCr,0)</f>
        <v>0</v>
      </c>
      <c r="AX210" s="1" t="n">
        <f aca="false">IF(AG210&gt;=PR_AgeCrAge,PR_AgeCr,0)</f>
        <v>0</v>
      </c>
      <c r="AY210" s="1" t="n">
        <f aca="false">IF(AND(F_RentCred=1,D210&lt;=PR_RentLast),1,0)</f>
        <v>0</v>
      </c>
      <c r="AZ210" s="1" t="n">
        <f aca="false">AS210+AT210</f>
        <v>0</v>
      </c>
      <c r="BA210" s="1" t="n">
        <f aca="false">PR_PersonalM+AU210+AV210+AW210+AX210+IF(AY210=1,PR_RentJoint,0)</f>
        <v>4000</v>
      </c>
      <c r="BB210" s="1" t="n">
        <f aca="false">PR_BandM+MIN(MIN(AS210,AT210),PR_Uplift)</f>
        <v>53000</v>
      </c>
      <c r="BC210" s="1" t="n">
        <f aca="false">MAX(0,PR_r1*MIN(AZ210,BB210)+PR_r2*MAX(0,AZ210-BB210)-BA210)</f>
        <v>0</v>
      </c>
      <c r="BD210" s="1" t="n">
        <f aca="false">MAX(0,PR_HomeCarer-MAX(0,MIN(AS210,AT210)-PR_HCLimit)/2)</f>
        <v>1950</v>
      </c>
      <c r="BE210" s="1" t="n">
        <f aca="false">IF(F_Carer=1,MIN(BC210,MAX(0,PR_r1*MIN(AZ210,PR_BandM)+PR_r2*MAX(0,AZ210-PR_BandM)-BA210-BD210)),BC210)</f>
        <v>0</v>
      </c>
      <c r="BF210" s="1" t="n">
        <f aca="false">IF(OR(C210&gt;=PR_AgeCrAge,AG210&gt;=PR_AgeCrAge),IF(AZ210&lt;=PR_AgeExM,0,MIN(BE210,PR_AgeMarg*(AZ210-PR_AgeExM))),BE210)</f>
        <v>0</v>
      </c>
      <c r="BG210" s="1" t="n">
        <f aca="false">MAX(0,PR_r1*MIN(AS210,IF(F_Spccc=1,PR_BandSPCCC,PR_Band))+PR_r2*MAX(0,AS210-IF(F_Spccc=1,PR_BandSPCCC,PR_Band))-(PR_Personal+AU210+AW210+IF(F_Spccc=1,PR_SPCCC,0)+IF(AY210=1,PR_Rent,0)))</f>
        <v>0</v>
      </c>
      <c r="BH210" s="1" t="n">
        <f aca="false">IF(C210&gt;=PR_AgeCrAge,IF(AS210&lt;=PR_AgeEx,0,MIN(BG210,PR_AgeMarg*(AS210-PR_AgeEx))),BG210)</f>
        <v>0</v>
      </c>
      <c r="BI210" s="1" t="n">
        <f aca="false">IF(F_Partner=1,MAX(0,PR_r1*MIN(AT210,PR_Band)+PR_r2*MAX(0,AT210-PR_Band)-(PR_Personal+AV210+AX210+IF(AND(AY210=1,AT210&gt;0),PR_Rent,0))),0)</f>
        <v>0</v>
      </c>
      <c r="BJ210" s="1" t="n">
        <f aca="false">IF(AG210&gt;=PR_AgeCrAge,IF(AT210&lt;=PR_AgeEx,0,MIN(BI210,PR_AgeMarg*(AT210-PR_AgeEx))),BI210)</f>
        <v>0</v>
      </c>
      <c r="BK210" s="1" t="n">
        <f aca="false">IF(F_Partner=1,IF(F_Married=1,BF210,BH210+BJ210),BH210)</f>
        <v>0</v>
      </c>
      <c r="BL210" s="1" t="n">
        <f aca="false">AL210+AN210+AO210</f>
        <v>0</v>
      </c>
      <c r="BM210" s="1" t="n">
        <f aca="false">IF(BL210&lt;=PR_USCex,0,IF(IF(AND(C210&gt;=PR_USCredAge,BL210&lt;=PR_USCredMax),1,0)=1,PR_USCr1*MIN(BL210,PR_USCredB1)+PR_USCredR2*MAX(0,BL210-PR_USCredB1),PR_USCr1*MIN(BL210,PR_USCb1)+PR_USCr2*MAX(0,MIN(BL210,PR_USCb2)-PR_USCb1)+PR_USCr3*MAX(0,MIN(BL210,PR_USCb3)-PR_USCb2)+PR_USCr4*MAX(0,BL210-PR_USCb3)))+IF(F_SelfEmp=1,PR_USCse*MAX(0,AL210-PR_USCseOver),0)</f>
        <v>0</v>
      </c>
      <c r="BN210" s="1" t="n">
        <f aca="false">AQ210</f>
        <v>0</v>
      </c>
      <c r="BO210" s="1" t="n">
        <f aca="false">IF(F_Partner=1,IF(BN210&lt;=PR_USCex,0,IF(IF(AND(AG210&gt;=PR_USCredAge,BN210&lt;=PR_USCredMax),1,0)=1,PR_USCr1*MIN(BN210,PR_USCredB1)+PR_USCredR2*MAX(0,BN210-PR_USCredB1),PR_USCr1*MIN(BN210,PR_USCb1)+PR_USCr2*MAX(0,MIN(BN210,PR_USCb2)-PR_USCb1)+PR_USCr3*MAX(0,MIN(BN210,PR_USCb3)-PR_USCb2)+PR_USCr4*MAX(0,BN210-PR_USCb3))),0)</f>
        <v>0</v>
      </c>
      <c r="BP210" s="1" t="n">
        <f aca="false">IF(C210&lt;PR_PRSIend,IF(F_SelfEmp=1,IF(AL210&gt;PR_PRSIsMinInc,MAX(PR_PRSIsMin,AL210*J210),0),IF(AL210/52&lt;=PR_PRSIfree,0,MAX(0,(AL210/52*J210-IF(AL210/52&lt;=PR_PRSIcreditTo,MAX(0,PR_PRSIcreditMax-(AL210/52-(PR_PRSIfree+0.01))/PR_PRSItaper),0))*52)))+J210*AN210+IF(AO210&gt;PR_PRSIunearned,J210*AO210,0),0)</f>
        <v>0</v>
      </c>
      <c r="BQ210" s="1" t="n">
        <f aca="false">IF(AND(F_Partner=1,AG210&lt;PR_PRSIend),IF(AQ210/52&lt;=PR_PRSIfree,0,MAX(0,(AQ210/52*J210-IF(AQ210/52&lt;=PR_PRSIcreditTo,MAX(0,PR_PRSIcreditMax-(AQ210/52-(PR_PRSIfree+0.01))/PR_PRSItaper),0))*52)),0)</f>
        <v>0</v>
      </c>
      <c r="BR210" s="1" t="n">
        <f aca="false">BK210+BM210+BO210+BP210+BQ210</f>
        <v>0</v>
      </c>
      <c r="BS210" s="1" t="n">
        <f aca="false">BR210*H210</f>
        <v>0</v>
      </c>
      <c r="BT210" s="1" t="n">
        <f aca="false">K210+AK210+AC210+AF210+AH210+AI210</f>
        <v>0</v>
      </c>
    </row>
    <row r="211" customFormat="false" ht="15" hidden="false" customHeight="false" outlineLevel="0" collapsed="false">
      <c r="B211" s="1" t="n">
        <v>1</v>
      </c>
      <c r="C211" s="1" t="n">
        <f aca="false">F_Age+B211</f>
        <v>1</v>
      </c>
      <c r="D211" s="1" t="n">
        <f aca="false">AS_Year0+B211</f>
        <v>2028</v>
      </c>
      <c r="E211" s="106" t="n">
        <f aca="false">(1+AS_Infl)^B211</f>
        <v>1.02</v>
      </c>
      <c r="F211" s="106" t="n">
        <f aca="false">(1+AS_Wage)^B211</f>
        <v>1.03</v>
      </c>
      <c r="G211" s="1" t="n">
        <f aca="false">IF(C211&lt;F_R,1,0)</f>
        <v>0</v>
      </c>
      <c r="H211" s="106" t="n">
        <f aca="false">IF(AS_Bands="flat",1,E211)</f>
        <v>1.02</v>
      </c>
      <c r="I211" s="106" t="n">
        <f aca="false">IF(AS_SpGrow="pay",F211,IF(AS_SpGrow="flat",1,E211))</f>
        <v>1.02</v>
      </c>
      <c r="J211" s="106" t="n">
        <f aca="false">(12*PR_PRSIr0+(PR_PRSIr1-PR_PRSIr0)*MAX(0,MIN(12,D211*12+12-PR_PRSIt1))+(PR_PRSIr2-PR_PRSIr1)*MAX(0,MIN(12,D211*12+12-PR_PRSIt2))+(PR_PRSIr3-PR_PRSIr2)*MAX(0,MIN(12,D211*12+12-PR_PRSIt3)))/12</f>
        <v>0.0455</v>
      </c>
      <c r="K211" s="1" t="n">
        <f aca="false">IF(G211=1,F_Income*F211,0)</f>
        <v>0</v>
      </c>
      <c r="L211" s="1" t="n">
        <f aca="false">IF(G211=1,(F_Own+In_penExtra)*12*F211,0)</f>
        <v>0</v>
      </c>
      <c r="M211" s="1" t="n">
        <f aca="false">IF(G211=1,(F_PenM+In_penExtra)*12*F211,0)</f>
        <v>0</v>
      </c>
      <c r="N211" s="107" t="n">
        <f aca="false">IF(C211&lt;PR_RelA1,PR_RelP1,IF(C211&lt;PR_RelA2,PR_RelP2,IF(C211&lt;PR_RelA3,PR_RelP3,IF(C211&lt;PR_RelA4,PR_RelP4,IF(C211&lt;PR_RelA5,PR_RelP5,PR_RelP6)))))</f>
        <v>0.15</v>
      </c>
      <c r="O211" s="1" t="n">
        <f aca="false">IF(G211=1,MIN(L211/H211,N211*MIN(K211/H211,PR_EarnCap))*H211,0)</f>
        <v>0</v>
      </c>
      <c r="P211" s="1" t="n">
        <f aca="false">IF(AND(G211=1,F_AE=1),MIN(K211/H211,PR_AEcap)*H211,0)</f>
        <v>0</v>
      </c>
      <c r="Q211" s="1" t="n">
        <f aca="false">IF(G211=1,IF(WI_Retire=1,MAX(0,M211+WI_M*12),M211)+(PR_AEee+PR_AEer+PR_AEst)*P211,0)</f>
        <v>0</v>
      </c>
      <c r="R211" s="1" t="n">
        <f aca="false">L211+PR_AEee*P211</f>
        <v>0</v>
      </c>
      <c r="S211" s="1" t="n">
        <f aca="false">AD210</f>
        <v>0</v>
      </c>
      <c r="T211" s="1" t="n">
        <f aca="false">IF(D211&lt;=2026,PR_SFT2026,IF(D211=2027,PR_SFT2027,IF(D211=2028,PR_SFT2028,IF(D211=2029,PR_SFT2029,PR_SFT2029*(1+AS_Infl)^(D211-2029)))))</f>
        <v>2600000</v>
      </c>
      <c r="U211" s="1" t="n">
        <f aca="false">IF(AND(G211=0,C211=F_V),1,0)</f>
        <v>0</v>
      </c>
      <c r="V211" s="1" t="n">
        <f aca="false">IF(U211=1,PR_SFTrate*MAX(0,S211-T211),0)</f>
        <v>0</v>
      </c>
      <c r="W211" s="1" t="n">
        <f aca="false">S211-V211</f>
        <v>0</v>
      </c>
      <c r="X211" s="1" t="n">
        <f aca="false">IF(AND(U211=1,AS_LumpPct&gt;0),W211*MIN(AS_LumpPct,PR_LSmax),0)</f>
        <v>0</v>
      </c>
      <c r="Y211" s="1" t="n">
        <f aca="false">X211-(PR_LSrate*MAX(0,MIN(X211,PR_LScap)-PR_LSfree)+PR_r2*MAX(0,X211-PR_LScap))</f>
        <v>0</v>
      </c>
      <c r="Z211" s="1" t="n">
        <f aca="false">W211-X211</f>
        <v>0</v>
      </c>
      <c r="AA211" s="107" t="n">
        <f aca="false">IF(C211&gt;=61,IF(Z211&gt;PR_ARFbig,PR_ARFbigRate,IF(C211&gt;=71,PR_ARF71,PR_ARF61)),0)</f>
        <v>0</v>
      </c>
      <c r="AB211" s="1" t="n">
        <f aca="false">IF(AS_DrawRule="min",Z211*AA211,IF(AS_DrawRule="fixed",MAX(AS_DrawFixed*E211,Z211*AA211),Z211*MAX(1/MAX(1,AS_End-C211+1),AA211)))</f>
        <v>0</v>
      </c>
      <c r="AC211" s="1" t="n">
        <f aca="false">IF(AND(G211=0,C211&gt;=F_V),MIN(Z211,AB211),0)</f>
        <v>0</v>
      </c>
      <c r="AD211" s="1" t="n">
        <f aca="false">IF(G211=1,S211*(1+F_PenG)+Q211,IF(C211&lt;F_V,S211*(1+F_PenG),(Z211-AC211)*(1+AS_PenRet)))</f>
        <v>0</v>
      </c>
      <c r="AE211" s="1" t="n">
        <f aca="false">IF(C211&gt;=PR_SPage,AS_SP*F_SpF*I211+IF(C211&gt;=80,PR_Over80*PR_Weeks*I211,0),0)</f>
        <v>0</v>
      </c>
      <c r="AF211" s="1" t="n">
        <f aca="false">(F_OtherM+F_RentM)*12*E211</f>
        <v>0</v>
      </c>
      <c r="AG211" s="1" t="n">
        <f aca="false">F_PAge+B211</f>
        <v>1</v>
      </c>
      <c r="AH211" s="1" t="n">
        <f aca="false">IF(AND(F_Partner=1,F_PAge&gt;0,AG211&lt;IF(F_PRet&gt;0,F_PRet,66)),F_PIncome*F211,0)</f>
        <v>0</v>
      </c>
      <c r="AI211" s="1" t="n">
        <f aca="false">IF(AND(F_Partner=1,AG211&gt;=66,F_PSpQA=0),AS_SP*F_PSpF*I211,0)</f>
        <v>0</v>
      </c>
      <c r="AJ211" s="1" t="n">
        <f aca="false">IF(AND(F_Partner=1,F_PSpQA=1,C211&gt;=PR_SPage,AH211=0),IF(AG211&gt;=66,PR_QA66,PR_QAunder)*PR_Weeks*I211,0)</f>
        <v>0</v>
      </c>
      <c r="AK211" s="1" t="n">
        <f aca="false">AE211+AJ211</f>
        <v>0</v>
      </c>
      <c r="AL211" s="1" t="n">
        <f aca="false">K211/H211</f>
        <v>0</v>
      </c>
      <c r="AM211" s="1" t="n">
        <f aca="false">AK211/H211</f>
        <v>0</v>
      </c>
      <c r="AN211" s="1" t="n">
        <f aca="false">AC211/H211</f>
        <v>0</v>
      </c>
      <c r="AO211" s="1" t="n">
        <f aca="false">AF211/H211</f>
        <v>0</v>
      </c>
      <c r="AP211" s="1" t="n">
        <f aca="false">O211/H211</f>
        <v>0</v>
      </c>
      <c r="AQ211" s="1" t="n">
        <f aca="false">AH211/H211</f>
        <v>0</v>
      </c>
      <c r="AR211" s="1" t="n">
        <f aca="false">AI211/H211</f>
        <v>0</v>
      </c>
      <c r="AS211" s="1" t="n">
        <f aca="false">MAX(0,AL211+AN211+AO211+AM211-AP211)</f>
        <v>0</v>
      </c>
      <c r="AT211" s="1" t="n">
        <f aca="false">MAX(0,AQ211+AR211)</f>
        <v>0</v>
      </c>
      <c r="AU211" s="1" t="n">
        <f aca="false">MIN(PR_PAYE,PR_PAYEcap*(AL211+AN211+AM211))</f>
        <v>0</v>
      </c>
      <c r="AV211" s="1" t="n">
        <f aca="false">MIN(PR_PAYE,PR_PAYEcap*(AQ211+AR211))</f>
        <v>0</v>
      </c>
      <c r="AW211" s="1" t="n">
        <f aca="false">IF(C211&gt;=PR_AgeCrAge,PR_AgeCr,0)</f>
        <v>0</v>
      </c>
      <c r="AX211" s="1" t="n">
        <f aca="false">IF(AG211&gt;=PR_AgeCrAge,PR_AgeCr,0)</f>
        <v>0</v>
      </c>
      <c r="AY211" s="1" t="n">
        <f aca="false">IF(AND(F_RentCred=1,D211&lt;=PR_RentLast),1,0)</f>
        <v>0</v>
      </c>
      <c r="AZ211" s="1" t="n">
        <f aca="false">AS211+AT211</f>
        <v>0</v>
      </c>
      <c r="BA211" s="1" t="n">
        <f aca="false">PR_PersonalM+AU211+AV211+AW211+AX211+IF(AY211=1,PR_RentJoint,0)</f>
        <v>4000</v>
      </c>
      <c r="BB211" s="1" t="n">
        <f aca="false">PR_BandM+MIN(MIN(AS211,AT211),PR_Uplift)</f>
        <v>53000</v>
      </c>
      <c r="BC211" s="1" t="n">
        <f aca="false">MAX(0,PR_r1*MIN(AZ211,BB211)+PR_r2*MAX(0,AZ211-BB211)-BA211)</f>
        <v>0</v>
      </c>
      <c r="BD211" s="1" t="n">
        <f aca="false">MAX(0,PR_HomeCarer-MAX(0,MIN(AS211,AT211)-PR_HCLimit)/2)</f>
        <v>1950</v>
      </c>
      <c r="BE211" s="1" t="n">
        <f aca="false">IF(F_Carer=1,MIN(BC211,MAX(0,PR_r1*MIN(AZ211,PR_BandM)+PR_r2*MAX(0,AZ211-PR_BandM)-BA211-BD211)),BC211)</f>
        <v>0</v>
      </c>
      <c r="BF211" s="1" t="n">
        <f aca="false">IF(OR(C211&gt;=PR_AgeCrAge,AG211&gt;=PR_AgeCrAge),IF(AZ211&lt;=PR_AgeExM,0,MIN(BE211,PR_AgeMarg*(AZ211-PR_AgeExM))),BE211)</f>
        <v>0</v>
      </c>
      <c r="BG211" s="1" t="n">
        <f aca="false">MAX(0,PR_r1*MIN(AS211,IF(F_Spccc=1,PR_BandSPCCC,PR_Band))+PR_r2*MAX(0,AS211-IF(F_Spccc=1,PR_BandSPCCC,PR_Band))-(PR_Personal+AU211+AW211+IF(F_Spccc=1,PR_SPCCC,0)+IF(AY211=1,PR_Rent,0)))</f>
        <v>0</v>
      </c>
      <c r="BH211" s="1" t="n">
        <f aca="false">IF(C211&gt;=PR_AgeCrAge,IF(AS211&lt;=PR_AgeEx,0,MIN(BG211,PR_AgeMarg*(AS211-PR_AgeEx))),BG211)</f>
        <v>0</v>
      </c>
      <c r="BI211" s="1" t="n">
        <f aca="false">IF(F_Partner=1,MAX(0,PR_r1*MIN(AT211,PR_Band)+PR_r2*MAX(0,AT211-PR_Band)-(PR_Personal+AV211+AX211+IF(AND(AY211=1,AT211&gt;0),PR_Rent,0))),0)</f>
        <v>0</v>
      </c>
      <c r="BJ211" s="1" t="n">
        <f aca="false">IF(AG211&gt;=PR_AgeCrAge,IF(AT211&lt;=PR_AgeEx,0,MIN(BI211,PR_AgeMarg*(AT211-PR_AgeEx))),BI211)</f>
        <v>0</v>
      </c>
      <c r="BK211" s="1" t="n">
        <f aca="false">IF(F_Partner=1,IF(F_Married=1,BF211,BH211+BJ211),BH211)</f>
        <v>0</v>
      </c>
      <c r="BL211" s="1" t="n">
        <f aca="false">AL211+AN211+AO211</f>
        <v>0</v>
      </c>
      <c r="BM211" s="1" t="n">
        <f aca="false">IF(BL211&lt;=PR_USCex,0,IF(IF(AND(C211&gt;=PR_USCredAge,BL211&lt;=PR_USCredMax),1,0)=1,PR_USCr1*MIN(BL211,PR_USCredB1)+PR_USCredR2*MAX(0,BL211-PR_USCredB1),PR_USCr1*MIN(BL211,PR_USCb1)+PR_USCr2*MAX(0,MIN(BL211,PR_USCb2)-PR_USCb1)+PR_USCr3*MAX(0,MIN(BL211,PR_USCb3)-PR_USCb2)+PR_USCr4*MAX(0,BL211-PR_USCb3)))+IF(F_SelfEmp=1,PR_USCse*MAX(0,AL211-PR_USCseOver),0)</f>
        <v>0</v>
      </c>
      <c r="BN211" s="1" t="n">
        <f aca="false">AQ211</f>
        <v>0</v>
      </c>
      <c r="BO211" s="1" t="n">
        <f aca="false">IF(F_Partner=1,IF(BN211&lt;=PR_USCex,0,IF(IF(AND(AG211&gt;=PR_USCredAge,BN211&lt;=PR_USCredMax),1,0)=1,PR_USCr1*MIN(BN211,PR_USCredB1)+PR_USCredR2*MAX(0,BN211-PR_USCredB1),PR_USCr1*MIN(BN211,PR_USCb1)+PR_USCr2*MAX(0,MIN(BN211,PR_USCb2)-PR_USCb1)+PR_USCr3*MAX(0,MIN(BN211,PR_USCb3)-PR_USCb2)+PR_USCr4*MAX(0,BN211-PR_USCb3))),0)</f>
        <v>0</v>
      </c>
      <c r="BP211" s="1" t="n">
        <f aca="false">IF(C211&lt;PR_PRSIend,IF(F_SelfEmp=1,IF(AL211&gt;PR_PRSIsMinInc,MAX(PR_PRSIsMin,AL211*J211),0),IF(AL211/52&lt;=PR_PRSIfree,0,MAX(0,(AL211/52*J211-IF(AL211/52&lt;=PR_PRSIcreditTo,MAX(0,PR_PRSIcreditMax-(AL211/52-(PR_PRSIfree+0.01))/PR_PRSItaper),0))*52)))+J211*AN211+IF(AO211&gt;PR_PRSIunearned,J211*AO211,0),0)</f>
        <v>0</v>
      </c>
      <c r="BQ211" s="1" t="n">
        <f aca="false">IF(AND(F_Partner=1,AG211&lt;PR_PRSIend),IF(AQ211/52&lt;=PR_PRSIfree,0,MAX(0,(AQ211/52*J211-IF(AQ211/52&lt;=PR_PRSIcreditTo,MAX(0,PR_PRSIcreditMax-(AQ211/52-(PR_PRSIfree+0.01))/PR_PRSItaper),0))*52)),0)</f>
        <v>0</v>
      </c>
      <c r="BR211" s="1" t="n">
        <f aca="false">BK211+BM211+BO211+BP211+BQ211</f>
        <v>0</v>
      </c>
      <c r="BS211" s="1" t="n">
        <f aca="false">BR211*H211</f>
        <v>0</v>
      </c>
      <c r="BT211" s="1" t="n">
        <f aca="false">K211+AK211+AC211+AF211+AH211+AI211</f>
        <v>0</v>
      </c>
    </row>
    <row r="212" customFormat="false" ht="15" hidden="false" customHeight="false" outlineLevel="0" collapsed="false">
      <c r="B212" s="1" t="n">
        <v>2</v>
      </c>
      <c r="C212" s="1" t="n">
        <f aca="false">F_Age+B212</f>
        <v>2</v>
      </c>
      <c r="D212" s="1" t="n">
        <f aca="false">AS_Year0+B212</f>
        <v>2029</v>
      </c>
      <c r="E212" s="106" t="n">
        <f aca="false">(1+AS_Infl)^B212</f>
        <v>1.0404</v>
      </c>
      <c r="F212" s="106" t="n">
        <f aca="false">(1+AS_Wage)^B212</f>
        <v>1.0609</v>
      </c>
      <c r="G212" s="1" t="n">
        <f aca="false">IF(C212&lt;F_R,1,0)</f>
        <v>0</v>
      </c>
      <c r="H212" s="106" t="n">
        <f aca="false">IF(AS_Bands="flat",1,E212)</f>
        <v>1.0404</v>
      </c>
      <c r="I212" s="106" t="n">
        <f aca="false">IF(AS_SpGrow="pay",F212,IF(AS_SpGrow="flat",1,E212))</f>
        <v>1.0404</v>
      </c>
      <c r="J212" s="106" t="n">
        <f aca="false">(12*PR_PRSIr0+(PR_PRSIr1-PR_PRSIr0)*MAX(0,MIN(12,D212*12+12-PR_PRSIt1))+(PR_PRSIr2-PR_PRSIr1)*MAX(0,MIN(12,D212*12+12-PR_PRSIt2))+(PR_PRSIr3-PR_PRSIr2)*MAX(0,MIN(12,D212*12+12-PR_PRSIt3)))/12</f>
        <v>0.047</v>
      </c>
      <c r="K212" s="1" t="n">
        <f aca="false">IF(G212=1,F_Income*F212,0)</f>
        <v>0</v>
      </c>
      <c r="L212" s="1" t="n">
        <f aca="false">IF(G212=1,(F_Own+In_penExtra)*12*F212,0)</f>
        <v>0</v>
      </c>
      <c r="M212" s="1" t="n">
        <f aca="false">IF(G212=1,(F_PenM+In_penExtra)*12*F212,0)</f>
        <v>0</v>
      </c>
      <c r="N212" s="107" t="n">
        <f aca="false">IF(C212&lt;PR_RelA1,PR_RelP1,IF(C212&lt;PR_RelA2,PR_RelP2,IF(C212&lt;PR_RelA3,PR_RelP3,IF(C212&lt;PR_RelA4,PR_RelP4,IF(C212&lt;PR_RelA5,PR_RelP5,PR_RelP6)))))</f>
        <v>0.15</v>
      </c>
      <c r="O212" s="1" t="n">
        <f aca="false">IF(G212=1,MIN(L212/H212,N212*MIN(K212/H212,PR_EarnCap))*H212,0)</f>
        <v>0</v>
      </c>
      <c r="P212" s="1" t="n">
        <f aca="false">IF(AND(G212=1,F_AE=1),MIN(K212/H212,PR_AEcap)*H212,0)</f>
        <v>0</v>
      </c>
      <c r="Q212" s="1" t="n">
        <f aca="false">IF(G212=1,IF(WI_Retire=1,MAX(0,M212+WI_M*12),M212)+(PR_AEee+PR_AEer+PR_AEst)*P212,0)</f>
        <v>0</v>
      </c>
      <c r="R212" s="1" t="n">
        <f aca="false">L212+PR_AEee*P212</f>
        <v>0</v>
      </c>
      <c r="S212" s="1" t="n">
        <f aca="false">AD211</f>
        <v>0</v>
      </c>
      <c r="T212" s="1" t="n">
        <f aca="false">IF(D212&lt;=2026,PR_SFT2026,IF(D212=2027,PR_SFT2027,IF(D212=2028,PR_SFT2028,IF(D212=2029,PR_SFT2029,PR_SFT2029*(1+AS_Infl)^(D212-2029)))))</f>
        <v>2800000</v>
      </c>
      <c r="U212" s="1" t="n">
        <f aca="false">IF(AND(G212=0,C212=F_V),1,0)</f>
        <v>0</v>
      </c>
      <c r="V212" s="1" t="n">
        <f aca="false">IF(U212=1,PR_SFTrate*MAX(0,S212-T212),0)</f>
        <v>0</v>
      </c>
      <c r="W212" s="1" t="n">
        <f aca="false">S212-V212</f>
        <v>0</v>
      </c>
      <c r="X212" s="1" t="n">
        <f aca="false">IF(AND(U212=1,AS_LumpPct&gt;0),W212*MIN(AS_LumpPct,PR_LSmax),0)</f>
        <v>0</v>
      </c>
      <c r="Y212" s="1" t="n">
        <f aca="false">X212-(PR_LSrate*MAX(0,MIN(X212,PR_LScap)-PR_LSfree)+PR_r2*MAX(0,X212-PR_LScap))</f>
        <v>0</v>
      </c>
      <c r="Z212" s="1" t="n">
        <f aca="false">W212-X212</f>
        <v>0</v>
      </c>
      <c r="AA212" s="107" t="n">
        <f aca="false">IF(C212&gt;=61,IF(Z212&gt;PR_ARFbig,PR_ARFbigRate,IF(C212&gt;=71,PR_ARF71,PR_ARF61)),0)</f>
        <v>0</v>
      </c>
      <c r="AB212" s="1" t="n">
        <f aca="false">IF(AS_DrawRule="min",Z212*AA212,IF(AS_DrawRule="fixed",MAX(AS_DrawFixed*E212,Z212*AA212),Z212*MAX(1/MAX(1,AS_End-C212+1),AA212)))</f>
        <v>0</v>
      </c>
      <c r="AC212" s="1" t="n">
        <f aca="false">IF(AND(G212=0,C212&gt;=F_V),MIN(Z212,AB212),0)</f>
        <v>0</v>
      </c>
      <c r="AD212" s="1" t="n">
        <f aca="false">IF(G212=1,S212*(1+F_PenG)+Q212,IF(C212&lt;F_V,S212*(1+F_PenG),(Z212-AC212)*(1+AS_PenRet)))</f>
        <v>0</v>
      </c>
      <c r="AE212" s="1" t="n">
        <f aca="false">IF(C212&gt;=PR_SPage,AS_SP*F_SpF*I212+IF(C212&gt;=80,PR_Over80*PR_Weeks*I212,0),0)</f>
        <v>0</v>
      </c>
      <c r="AF212" s="1" t="n">
        <f aca="false">(F_OtherM+F_RentM)*12*E212</f>
        <v>0</v>
      </c>
      <c r="AG212" s="1" t="n">
        <f aca="false">F_PAge+B212</f>
        <v>2</v>
      </c>
      <c r="AH212" s="1" t="n">
        <f aca="false">IF(AND(F_Partner=1,F_PAge&gt;0,AG212&lt;IF(F_PRet&gt;0,F_PRet,66)),F_PIncome*F212,0)</f>
        <v>0</v>
      </c>
      <c r="AI212" s="1" t="n">
        <f aca="false">IF(AND(F_Partner=1,AG212&gt;=66,F_PSpQA=0),AS_SP*F_PSpF*I212,0)</f>
        <v>0</v>
      </c>
      <c r="AJ212" s="1" t="n">
        <f aca="false">IF(AND(F_Partner=1,F_PSpQA=1,C212&gt;=PR_SPage,AH212=0),IF(AG212&gt;=66,PR_QA66,PR_QAunder)*PR_Weeks*I212,0)</f>
        <v>0</v>
      </c>
      <c r="AK212" s="1" t="n">
        <f aca="false">AE212+AJ212</f>
        <v>0</v>
      </c>
      <c r="AL212" s="1" t="n">
        <f aca="false">K212/H212</f>
        <v>0</v>
      </c>
      <c r="AM212" s="1" t="n">
        <f aca="false">AK212/H212</f>
        <v>0</v>
      </c>
      <c r="AN212" s="1" t="n">
        <f aca="false">AC212/H212</f>
        <v>0</v>
      </c>
      <c r="AO212" s="1" t="n">
        <f aca="false">AF212/H212</f>
        <v>0</v>
      </c>
      <c r="AP212" s="1" t="n">
        <f aca="false">O212/H212</f>
        <v>0</v>
      </c>
      <c r="AQ212" s="1" t="n">
        <f aca="false">AH212/H212</f>
        <v>0</v>
      </c>
      <c r="AR212" s="1" t="n">
        <f aca="false">AI212/H212</f>
        <v>0</v>
      </c>
      <c r="AS212" s="1" t="n">
        <f aca="false">MAX(0,AL212+AN212+AO212+AM212-AP212)</f>
        <v>0</v>
      </c>
      <c r="AT212" s="1" t="n">
        <f aca="false">MAX(0,AQ212+AR212)</f>
        <v>0</v>
      </c>
      <c r="AU212" s="1" t="n">
        <f aca="false">MIN(PR_PAYE,PR_PAYEcap*(AL212+AN212+AM212))</f>
        <v>0</v>
      </c>
      <c r="AV212" s="1" t="n">
        <f aca="false">MIN(PR_PAYE,PR_PAYEcap*(AQ212+AR212))</f>
        <v>0</v>
      </c>
      <c r="AW212" s="1" t="n">
        <f aca="false">IF(C212&gt;=PR_AgeCrAge,PR_AgeCr,0)</f>
        <v>0</v>
      </c>
      <c r="AX212" s="1" t="n">
        <f aca="false">IF(AG212&gt;=PR_AgeCrAge,PR_AgeCr,0)</f>
        <v>0</v>
      </c>
      <c r="AY212" s="1" t="n">
        <f aca="false">IF(AND(F_RentCred=1,D212&lt;=PR_RentLast),1,0)</f>
        <v>0</v>
      </c>
      <c r="AZ212" s="1" t="n">
        <f aca="false">AS212+AT212</f>
        <v>0</v>
      </c>
      <c r="BA212" s="1" t="n">
        <f aca="false">PR_PersonalM+AU212+AV212+AW212+AX212+IF(AY212=1,PR_RentJoint,0)</f>
        <v>4000</v>
      </c>
      <c r="BB212" s="1" t="n">
        <f aca="false">PR_BandM+MIN(MIN(AS212,AT212),PR_Uplift)</f>
        <v>53000</v>
      </c>
      <c r="BC212" s="1" t="n">
        <f aca="false">MAX(0,PR_r1*MIN(AZ212,BB212)+PR_r2*MAX(0,AZ212-BB212)-BA212)</f>
        <v>0</v>
      </c>
      <c r="BD212" s="1" t="n">
        <f aca="false">MAX(0,PR_HomeCarer-MAX(0,MIN(AS212,AT212)-PR_HCLimit)/2)</f>
        <v>1950</v>
      </c>
      <c r="BE212" s="1" t="n">
        <f aca="false">IF(F_Carer=1,MIN(BC212,MAX(0,PR_r1*MIN(AZ212,PR_BandM)+PR_r2*MAX(0,AZ212-PR_BandM)-BA212-BD212)),BC212)</f>
        <v>0</v>
      </c>
      <c r="BF212" s="1" t="n">
        <f aca="false">IF(OR(C212&gt;=PR_AgeCrAge,AG212&gt;=PR_AgeCrAge),IF(AZ212&lt;=PR_AgeExM,0,MIN(BE212,PR_AgeMarg*(AZ212-PR_AgeExM))),BE212)</f>
        <v>0</v>
      </c>
      <c r="BG212" s="1" t="n">
        <f aca="false">MAX(0,PR_r1*MIN(AS212,IF(F_Spccc=1,PR_BandSPCCC,PR_Band))+PR_r2*MAX(0,AS212-IF(F_Spccc=1,PR_BandSPCCC,PR_Band))-(PR_Personal+AU212+AW212+IF(F_Spccc=1,PR_SPCCC,0)+IF(AY212=1,PR_Rent,0)))</f>
        <v>0</v>
      </c>
      <c r="BH212" s="1" t="n">
        <f aca="false">IF(C212&gt;=PR_AgeCrAge,IF(AS212&lt;=PR_AgeEx,0,MIN(BG212,PR_AgeMarg*(AS212-PR_AgeEx))),BG212)</f>
        <v>0</v>
      </c>
      <c r="BI212" s="1" t="n">
        <f aca="false">IF(F_Partner=1,MAX(0,PR_r1*MIN(AT212,PR_Band)+PR_r2*MAX(0,AT212-PR_Band)-(PR_Personal+AV212+AX212+IF(AND(AY212=1,AT212&gt;0),PR_Rent,0))),0)</f>
        <v>0</v>
      </c>
      <c r="BJ212" s="1" t="n">
        <f aca="false">IF(AG212&gt;=PR_AgeCrAge,IF(AT212&lt;=PR_AgeEx,0,MIN(BI212,PR_AgeMarg*(AT212-PR_AgeEx))),BI212)</f>
        <v>0</v>
      </c>
      <c r="BK212" s="1" t="n">
        <f aca="false">IF(F_Partner=1,IF(F_Married=1,BF212,BH212+BJ212),BH212)</f>
        <v>0</v>
      </c>
      <c r="BL212" s="1" t="n">
        <f aca="false">AL212+AN212+AO212</f>
        <v>0</v>
      </c>
      <c r="BM212" s="1" t="n">
        <f aca="false">IF(BL212&lt;=PR_USCex,0,IF(IF(AND(C212&gt;=PR_USCredAge,BL212&lt;=PR_USCredMax),1,0)=1,PR_USCr1*MIN(BL212,PR_USCredB1)+PR_USCredR2*MAX(0,BL212-PR_USCredB1),PR_USCr1*MIN(BL212,PR_USCb1)+PR_USCr2*MAX(0,MIN(BL212,PR_USCb2)-PR_USCb1)+PR_USCr3*MAX(0,MIN(BL212,PR_USCb3)-PR_USCb2)+PR_USCr4*MAX(0,BL212-PR_USCb3)))+IF(F_SelfEmp=1,PR_USCse*MAX(0,AL212-PR_USCseOver),0)</f>
        <v>0</v>
      </c>
      <c r="BN212" s="1" t="n">
        <f aca="false">AQ212</f>
        <v>0</v>
      </c>
      <c r="BO212" s="1" t="n">
        <f aca="false">IF(F_Partner=1,IF(BN212&lt;=PR_USCex,0,IF(IF(AND(AG212&gt;=PR_USCredAge,BN212&lt;=PR_USCredMax),1,0)=1,PR_USCr1*MIN(BN212,PR_USCredB1)+PR_USCredR2*MAX(0,BN212-PR_USCredB1),PR_USCr1*MIN(BN212,PR_USCb1)+PR_USCr2*MAX(0,MIN(BN212,PR_USCb2)-PR_USCb1)+PR_USCr3*MAX(0,MIN(BN212,PR_USCb3)-PR_USCb2)+PR_USCr4*MAX(0,BN212-PR_USCb3))),0)</f>
        <v>0</v>
      </c>
      <c r="BP212" s="1" t="n">
        <f aca="false">IF(C212&lt;PR_PRSIend,IF(F_SelfEmp=1,IF(AL212&gt;PR_PRSIsMinInc,MAX(PR_PRSIsMin,AL212*J212),0),IF(AL212/52&lt;=PR_PRSIfree,0,MAX(0,(AL212/52*J212-IF(AL212/52&lt;=PR_PRSIcreditTo,MAX(0,PR_PRSIcreditMax-(AL212/52-(PR_PRSIfree+0.01))/PR_PRSItaper),0))*52)))+J212*AN212+IF(AO212&gt;PR_PRSIunearned,J212*AO212,0),0)</f>
        <v>0</v>
      </c>
      <c r="BQ212" s="1" t="n">
        <f aca="false">IF(AND(F_Partner=1,AG212&lt;PR_PRSIend),IF(AQ212/52&lt;=PR_PRSIfree,0,MAX(0,(AQ212/52*J212-IF(AQ212/52&lt;=PR_PRSIcreditTo,MAX(0,PR_PRSIcreditMax-(AQ212/52-(PR_PRSIfree+0.01))/PR_PRSItaper),0))*52)),0)</f>
        <v>0</v>
      </c>
      <c r="BR212" s="1" t="n">
        <f aca="false">BK212+BM212+BO212+BP212+BQ212</f>
        <v>0</v>
      </c>
      <c r="BS212" s="1" t="n">
        <f aca="false">BR212*H212</f>
        <v>0</v>
      </c>
      <c r="BT212" s="1" t="n">
        <f aca="false">K212+AK212+AC212+AF212+AH212+AI212</f>
        <v>0</v>
      </c>
    </row>
    <row r="213" customFormat="false" ht="15" hidden="false" customHeight="false" outlineLevel="0" collapsed="false">
      <c r="B213" s="1" t="n">
        <v>3</v>
      </c>
      <c r="C213" s="1" t="n">
        <f aca="false">F_Age+B213</f>
        <v>3</v>
      </c>
      <c r="D213" s="1" t="n">
        <f aca="false">AS_Year0+B213</f>
        <v>2030</v>
      </c>
      <c r="E213" s="106" t="n">
        <f aca="false">(1+AS_Infl)^B213</f>
        <v>1.061208</v>
      </c>
      <c r="F213" s="106" t="n">
        <f aca="false">(1+AS_Wage)^B213</f>
        <v>1.092727</v>
      </c>
      <c r="G213" s="1" t="n">
        <f aca="false">IF(C213&lt;F_R,1,0)</f>
        <v>0</v>
      </c>
      <c r="H213" s="106" t="n">
        <f aca="false">IF(AS_Bands="flat",1,E213)</f>
        <v>1.061208</v>
      </c>
      <c r="I213" s="106" t="n">
        <f aca="false">IF(AS_SpGrow="pay",F213,IF(AS_SpGrow="flat",1,E213))</f>
        <v>1.061208</v>
      </c>
      <c r="J213" s="106" t="n">
        <f aca="false">(12*PR_PRSIr0+(PR_PRSIr1-PR_PRSIr0)*MAX(0,MIN(12,D213*12+12-PR_PRSIt1))+(PR_PRSIr2-PR_PRSIr1)*MAX(0,MIN(12,D213*12+12-PR_PRSIt2))+(PR_PRSIr3-PR_PRSIr2)*MAX(0,MIN(12,D213*12+12-PR_PRSIt3)))/12</f>
        <v>0.047</v>
      </c>
      <c r="K213" s="1" t="n">
        <f aca="false">IF(G213=1,F_Income*F213,0)</f>
        <v>0</v>
      </c>
      <c r="L213" s="1" t="n">
        <f aca="false">IF(G213=1,(F_Own+In_penExtra)*12*F213,0)</f>
        <v>0</v>
      </c>
      <c r="M213" s="1" t="n">
        <f aca="false">IF(G213=1,(F_PenM+In_penExtra)*12*F213,0)</f>
        <v>0</v>
      </c>
      <c r="N213" s="107" t="n">
        <f aca="false">IF(C213&lt;PR_RelA1,PR_RelP1,IF(C213&lt;PR_RelA2,PR_RelP2,IF(C213&lt;PR_RelA3,PR_RelP3,IF(C213&lt;PR_RelA4,PR_RelP4,IF(C213&lt;PR_RelA5,PR_RelP5,PR_RelP6)))))</f>
        <v>0.15</v>
      </c>
      <c r="O213" s="1" t="n">
        <f aca="false">IF(G213=1,MIN(L213/H213,N213*MIN(K213/H213,PR_EarnCap))*H213,0)</f>
        <v>0</v>
      </c>
      <c r="P213" s="1" t="n">
        <f aca="false">IF(AND(G213=1,F_AE=1),MIN(K213/H213,PR_AEcap)*H213,0)</f>
        <v>0</v>
      </c>
      <c r="Q213" s="1" t="n">
        <f aca="false">IF(G213=1,IF(WI_Retire=1,MAX(0,M213+WI_M*12),M213)+(PR_AEee+PR_AEer+PR_AEst)*P213,0)</f>
        <v>0</v>
      </c>
      <c r="R213" s="1" t="n">
        <f aca="false">L213+PR_AEee*P213</f>
        <v>0</v>
      </c>
      <c r="S213" s="1" t="n">
        <f aca="false">AD212</f>
        <v>0</v>
      </c>
      <c r="T213" s="1" t="n">
        <f aca="false">IF(D213&lt;=2026,PR_SFT2026,IF(D213=2027,PR_SFT2027,IF(D213=2028,PR_SFT2028,IF(D213=2029,PR_SFT2029,PR_SFT2029*(1+AS_Infl)^(D213-2029)))))</f>
        <v>2856000</v>
      </c>
      <c r="U213" s="1" t="n">
        <f aca="false">IF(AND(G213=0,C213=F_V),1,0)</f>
        <v>0</v>
      </c>
      <c r="V213" s="1" t="n">
        <f aca="false">IF(U213=1,PR_SFTrate*MAX(0,S213-T213),0)</f>
        <v>0</v>
      </c>
      <c r="W213" s="1" t="n">
        <f aca="false">S213-V213</f>
        <v>0</v>
      </c>
      <c r="X213" s="1" t="n">
        <f aca="false">IF(AND(U213=1,AS_LumpPct&gt;0),W213*MIN(AS_LumpPct,PR_LSmax),0)</f>
        <v>0</v>
      </c>
      <c r="Y213" s="1" t="n">
        <f aca="false">X213-(PR_LSrate*MAX(0,MIN(X213,PR_LScap)-PR_LSfree)+PR_r2*MAX(0,X213-PR_LScap))</f>
        <v>0</v>
      </c>
      <c r="Z213" s="1" t="n">
        <f aca="false">W213-X213</f>
        <v>0</v>
      </c>
      <c r="AA213" s="107" t="n">
        <f aca="false">IF(C213&gt;=61,IF(Z213&gt;PR_ARFbig,PR_ARFbigRate,IF(C213&gt;=71,PR_ARF71,PR_ARF61)),0)</f>
        <v>0</v>
      </c>
      <c r="AB213" s="1" t="n">
        <f aca="false">IF(AS_DrawRule="min",Z213*AA213,IF(AS_DrawRule="fixed",MAX(AS_DrawFixed*E213,Z213*AA213),Z213*MAX(1/MAX(1,AS_End-C213+1),AA213)))</f>
        <v>0</v>
      </c>
      <c r="AC213" s="1" t="n">
        <f aca="false">IF(AND(G213=0,C213&gt;=F_V),MIN(Z213,AB213),0)</f>
        <v>0</v>
      </c>
      <c r="AD213" s="1" t="n">
        <f aca="false">IF(G213=1,S213*(1+F_PenG)+Q213,IF(C213&lt;F_V,S213*(1+F_PenG),(Z213-AC213)*(1+AS_PenRet)))</f>
        <v>0</v>
      </c>
      <c r="AE213" s="1" t="n">
        <f aca="false">IF(C213&gt;=PR_SPage,AS_SP*F_SpF*I213+IF(C213&gt;=80,PR_Over80*PR_Weeks*I213,0),0)</f>
        <v>0</v>
      </c>
      <c r="AF213" s="1" t="n">
        <f aca="false">(F_OtherM+F_RentM)*12*E213</f>
        <v>0</v>
      </c>
      <c r="AG213" s="1" t="n">
        <f aca="false">F_PAge+B213</f>
        <v>3</v>
      </c>
      <c r="AH213" s="1" t="n">
        <f aca="false">IF(AND(F_Partner=1,F_PAge&gt;0,AG213&lt;IF(F_PRet&gt;0,F_PRet,66)),F_PIncome*F213,0)</f>
        <v>0</v>
      </c>
      <c r="AI213" s="1" t="n">
        <f aca="false">IF(AND(F_Partner=1,AG213&gt;=66,F_PSpQA=0),AS_SP*F_PSpF*I213,0)</f>
        <v>0</v>
      </c>
      <c r="AJ213" s="1" t="n">
        <f aca="false">IF(AND(F_Partner=1,F_PSpQA=1,C213&gt;=PR_SPage,AH213=0),IF(AG213&gt;=66,PR_QA66,PR_QAunder)*PR_Weeks*I213,0)</f>
        <v>0</v>
      </c>
      <c r="AK213" s="1" t="n">
        <f aca="false">AE213+AJ213</f>
        <v>0</v>
      </c>
      <c r="AL213" s="1" t="n">
        <f aca="false">K213/H213</f>
        <v>0</v>
      </c>
      <c r="AM213" s="1" t="n">
        <f aca="false">AK213/H213</f>
        <v>0</v>
      </c>
      <c r="AN213" s="1" t="n">
        <f aca="false">AC213/H213</f>
        <v>0</v>
      </c>
      <c r="AO213" s="1" t="n">
        <f aca="false">AF213/H213</f>
        <v>0</v>
      </c>
      <c r="AP213" s="1" t="n">
        <f aca="false">O213/H213</f>
        <v>0</v>
      </c>
      <c r="AQ213" s="1" t="n">
        <f aca="false">AH213/H213</f>
        <v>0</v>
      </c>
      <c r="AR213" s="1" t="n">
        <f aca="false">AI213/H213</f>
        <v>0</v>
      </c>
      <c r="AS213" s="1" t="n">
        <f aca="false">MAX(0,AL213+AN213+AO213+AM213-AP213)</f>
        <v>0</v>
      </c>
      <c r="AT213" s="1" t="n">
        <f aca="false">MAX(0,AQ213+AR213)</f>
        <v>0</v>
      </c>
      <c r="AU213" s="1" t="n">
        <f aca="false">MIN(PR_PAYE,PR_PAYEcap*(AL213+AN213+AM213))</f>
        <v>0</v>
      </c>
      <c r="AV213" s="1" t="n">
        <f aca="false">MIN(PR_PAYE,PR_PAYEcap*(AQ213+AR213))</f>
        <v>0</v>
      </c>
      <c r="AW213" s="1" t="n">
        <f aca="false">IF(C213&gt;=PR_AgeCrAge,PR_AgeCr,0)</f>
        <v>0</v>
      </c>
      <c r="AX213" s="1" t="n">
        <f aca="false">IF(AG213&gt;=PR_AgeCrAge,PR_AgeCr,0)</f>
        <v>0</v>
      </c>
      <c r="AY213" s="1" t="n">
        <f aca="false">IF(AND(F_RentCred=1,D213&lt;=PR_RentLast),1,0)</f>
        <v>0</v>
      </c>
      <c r="AZ213" s="1" t="n">
        <f aca="false">AS213+AT213</f>
        <v>0</v>
      </c>
      <c r="BA213" s="1" t="n">
        <f aca="false">PR_PersonalM+AU213+AV213+AW213+AX213+IF(AY213=1,PR_RentJoint,0)</f>
        <v>4000</v>
      </c>
      <c r="BB213" s="1" t="n">
        <f aca="false">PR_BandM+MIN(MIN(AS213,AT213),PR_Uplift)</f>
        <v>53000</v>
      </c>
      <c r="BC213" s="1" t="n">
        <f aca="false">MAX(0,PR_r1*MIN(AZ213,BB213)+PR_r2*MAX(0,AZ213-BB213)-BA213)</f>
        <v>0</v>
      </c>
      <c r="BD213" s="1" t="n">
        <f aca="false">MAX(0,PR_HomeCarer-MAX(0,MIN(AS213,AT213)-PR_HCLimit)/2)</f>
        <v>1950</v>
      </c>
      <c r="BE213" s="1" t="n">
        <f aca="false">IF(F_Carer=1,MIN(BC213,MAX(0,PR_r1*MIN(AZ213,PR_BandM)+PR_r2*MAX(0,AZ213-PR_BandM)-BA213-BD213)),BC213)</f>
        <v>0</v>
      </c>
      <c r="BF213" s="1" t="n">
        <f aca="false">IF(OR(C213&gt;=PR_AgeCrAge,AG213&gt;=PR_AgeCrAge),IF(AZ213&lt;=PR_AgeExM,0,MIN(BE213,PR_AgeMarg*(AZ213-PR_AgeExM))),BE213)</f>
        <v>0</v>
      </c>
      <c r="BG213" s="1" t="n">
        <f aca="false">MAX(0,PR_r1*MIN(AS213,IF(F_Spccc=1,PR_BandSPCCC,PR_Band))+PR_r2*MAX(0,AS213-IF(F_Spccc=1,PR_BandSPCCC,PR_Band))-(PR_Personal+AU213+AW213+IF(F_Spccc=1,PR_SPCCC,0)+IF(AY213=1,PR_Rent,0)))</f>
        <v>0</v>
      </c>
      <c r="BH213" s="1" t="n">
        <f aca="false">IF(C213&gt;=PR_AgeCrAge,IF(AS213&lt;=PR_AgeEx,0,MIN(BG213,PR_AgeMarg*(AS213-PR_AgeEx))),BG213)</f>
        <v>0</v>
      </c>
      <c r="BI213" s="1" t="n">
        <f aca="false">IF(F_Partner=1,MAX(0,PR_r1*MIN(AT213,PR_Band)+PR_r2*MAX(0,AT213-PR_Band)-(PR_Personal+AV213+AX213+IF(AND(AY213=1,AT213&gt;0),PR_Rent,0))),0)</f>
        <v>0</v>
      </c>
      <c r="BJ213" s="1" t="n">
        <f aca="false">IF(AG213&gt;=PR_AgeCrAge,IF(AT213&lt;=PR_AgeEx,0,MIN(BI213,PR_AgeMarg*(AT213-PR_AgeEx))),BI213)</f>
        <v>0</v>
      </c>
      <c r="BK213" s="1" t="n">
        <f aca="false">IF(F_Partner=1,IF(F_Married=1,BF213,BH213+BJ213),BH213)</f>
        <v>0</v>
      </c>
      <c r="BL213" s="1" t="n">
        <f aca="false">AL213+AN213+AO213</f>
        <v>0</v>
      </c>
      <c r="BM213" s="1" t="n">
        <f aca="false">IF(BL213&lt;=PR_USCex,0,IF(IF(AND(C213&gt;=PR_USCredAge,BL213&lt;=PR_USCredMax),1,0)=1,PR_USCr1*MIN(BL213,PR_USCredB1)+PR_USCredR2*MAX(0,BL213-PR_USCredB1),PR_USCr1*MIN(BL213,PR_USCb1)+PR_USCr2*MAX(0,MIN(BL213,PR_USCb2)-PR_USCb1)+PR_USCr3*MAX(0,MIN(BL213,PR_USCb3)-PR_USCb2)+PR_USCr4*MAX(0,BL213-PR_USCb3)))+IF(F_SelfEmp=1,PR_USCse*MAX(0,AL213-PR_USCseOver),0)</f>
        <v>0</v>
      </c>
      <c r="BN213" s="1" t="n">
        <f aca="false">AQ213</f>
        <v>0</v>
      </c>
      <c r="BO213" s="1" t="n">
        <f aca="false">IF(F_Partner=1,IF(BN213&lt;=PR_USCex,0,IF(IF(AND(AG213&gt;=PR_USCredAge,BN213&lt;=PR_USCredMax),1,0)=1,PR_USCr1*MIN(BN213,PR_USCredB1)+PR_USCredR2*MAX(0,BN213-PR_USCredB1),PR_USCr1*MIN(BN213,PR_USCb1)+PR_USCr2*MAX(0,MIN(BN213,PR_USCb2)-PR_USCb1)+PR_USCr3*MAX(0,MIN(BN213,PR_USCb3)-PR_USCb2)+PR_USCr4*MAX(0,BN213-PR_USCb3))),0)</f>
        <v>0</v>
      </c>
      <c r="BP213" s="1" t="n">
        <f aca="false">IF(C213&lt;PR_PRSIend,IF(F_SelfEmp=1,IF(AL213&gt;PR_PRSIsMinInc,MAX(PR_PRSIsMin,AL213*J213),0),IF(AL213/52&lt;=PR_PRSIfree,0,MAX(0,(AL213/52*J213-IF(AL213/52&lt;=PR_PRSIcreditTo,MAX(0,PR_PRSIcreditMax-(AL213/52-(PR_PRSIfree+0.01))/PR_PRSItaper),0))*52)))+J213*AN213+IF(AO213&gt;PR_PRSIunearned,J213*AO213,0),0)</f>
        <v>0</v>
      </c>
      <c r="BQ213" s="1" t="n">
        <f aca="false">IF(AND(F_Partner=1,AG213&lt;PR_PRSIend),IF(AQ213/52&lt;=PR_PRSIfree,0,MAX(0,(AQ213/52*J213-IF(AQ213/52&lt;=PR_PRSIcreditTo,MAX(0,PR_PRSIcreditMax-(AQ213/52-(PR_PRSIfree+0.01))/PR_PRSItaper),0))*52)),0)</f>
        <v>0</v>
      </c>
      <c r="BR213" s="1" t="n">
        <f aca="false">BK213+BM213+BO213+BP213+BQ213</f>
        <v>0</v>
      </c>
      <c r="BS213" s="1" t="n">
        <f aca="false">BR213*H213</f>
        <v>0</v>
      </c>
      <c r="BT213" s="1" t="n">
        <f aca="false">K213+AK213+AC213+AF213+AH213+AI213</f>
        <v>0</v>
      </c>
    </row>
    <row r="214" customFormat="false" ht="15" hidden="false" customHeight="false" outlineLevel="0" collapsed="false">
      <c r="B214" s="1" t="n">
        <v>4</v>
      </c>
      <c r="C214" s="1" t="n">
        <f aca="false">F_Age+B214</f>
        <v>4</v>
      </c>
      <c r="D214" s="1" t="n">
        <f aca="false">AS_Year0+B214</f>
        <v>2031</v>
      </c>
      <c r="E214" s="106" t="n">
        <f aca="false">(1+AS_Infl)^B214</f>
        <v>1.08243216</v>
      </c>
      <c r="F214" s="106" t="n">
        <f aca="false">(1+AS_Wage)^B214</f>
        <v>1.12550881</v>
      </c>
      <c r="G214" s="1" t="n">
        <f aca="false">IF(C214&lt;F_R,1,0)</f>
        <v>0</v>
      </c>
      <c r="H214" s="106" t="n">
        <f aca="false">IF(AS_Bands="flat",1,E214)</f>
        <v>1.08243216</v>
      </c>
      <c r="I214" s="106" t="n">
        <f aca="false">IF(AS_SpGrow="pay",F214,IF(AS_SpGrow="flat",1,E214))</f>
        <v>1.08243216</v>
      </c>
      <c r="J214" s="106" t="n">
        <f aca="false">(12*PR_PRSIr0+(PR_PRSIr1-PR_PRSIr0)*MAX(0,MIN(12,D214*12+12-PR_PRSIt1))+(PR_PRSIr2-PR_PRSIr1)*MAX(0,MIN(12,D214*12+12-PR_PRSIt2))+(PR_PRSIr3-PR_PRSIr2)*MAX(0,MIN(12,D214*12+12-PR_PRSIt3)))/12</f>
        <v>0.047</v>
      </c>
      <c r="K214" s="1" t="n">
        <f aca="false">IF(G214=1,F_Income*F214,0)</f>
        <v>0</v>
      </c>
      <c r="L214" s="1" t="n">
        <f aca="false">IF(G214=1,(F_Own+In_penExtra)*12*F214,0)</f>
        <v>0</v>
      </c>
      <c r="M214" s="1" t="n">
        <f aca="false">IF(G214=1,(F_PenM+In_penExtra)*12*F214,0)</f>
        <v>0</v>
      </c>
      <c r="N214" s="107" t="n">
        <f aca="false">IF(C214&lt;PR_RelA1,PR_RelP1,IF(C214&lt;PR_RelA2,PR_RelP2,IF(C214&lt;PR_RelA3,PR_RelP3,IF(C214&lt;PR_RelA4,PR_RelP4,IF(C214&lt;PR_RelA5,PR_RelP5,PR_RelP6)))))</f>
        <v>0.15</v>
      </c>
      <c r="O214" s="1" t="n">
        <f aca="false">IF(G214=1,MIN(L214/H214,N214*MIN(K214/H214,PR_EarnCap))*H214,0)</f>
        <v>0</v>
      </c>
      <c r="P214" s="1" t="n">
        <f aca="false">IF(AND(G214=1,F_AE=1),MIN(K214/H214,PR_AEcap)*H214,0)</f>
        <v>0</v>
      </c>
      <c r="Q214" s="1" t="n">
        <f aca="false">IF(G214=1,IF(WI_Retire=1,MAX(0,M214+WI_M*12),M214)+(PR_AEee+PR_AEer+PR_AEst)*P214,0)</f>
        <v>0</v>
      </c>
      <c r="R214" s="1" t="n">
        <f aca="false">L214+PR_AEee*P214</f>
        <v>0</v>
      </c>
      <c r="S214" s="1" t="n">
        <f aca="false">AD213</f>
        <v>0</v>
      </c>
      <c r="T214" s="1" t="n">
        <f aca="false">IF(D214&lt;=2026,PR_SFT2026,IF(D214=2027,PR_SFT2027,IF(D214=2028,PR_SFT2028,IF(D214=2029,PR_SFT2029,PR_SFT2029*(1+AS_Infl)^(D214-2029)))))</f>
        <v>2913120</v>
      </c>
      <c r="U214" s="1" t="n">
        <f aca="false">IF(AND(G214=0,C214=F_V),1,0)</f>
        <v>0</v>
      </c>
      <c r="V214" s="1" t="n">
        <f aca="false">IF(U214=1,PR_SFTrate*MAX(0,S214-T214),0)</f>
        <v>0</v>
      </c>
      <c r="W214" s="1" t="n">
        <f aca="false">S214-V214</f>
        <v>0</v>
      </c>
      <c r="X214" s="1" t="n">
        <f aca="false">IF(AND(U214=1,AS_LumpPct&gt;0),W214*MIN(AS_LumpPct,PR_LSmax),0)</f>
        <v>0</v>
      </c>
      <c r="Y214" s="1" t="n">
        <f aca="false">X214-(PR_LSrate*MAX(0,MIN(X214,PR_LScap)-PR_LSfree)+PR_r2*MAX(0,X214-PR_LScap))</f>
        <v>0</v>
      </c>
      <c r="Z214" s="1" t="n">
        <f aca="false">W214-X214</f>
        <v>0</v>
      </c>
      <c r="AA214" s="107" t="n">
        <f aca="false">IF(C214&gt;=61,IF(Z214&gt;PR_ARFbig,PR_ARFbigRate,IF(C214&gt;=71,PR_ARF71,PR_ARF61)),0)</f>
        <v>0</v>
      </c>
      <c r="AB214" s="1" t="n">
        <f aca="false">IF(AS_DrawRule="min",Z214*AA214,IF(AS_DrawRule="fixed",MAX(AS_DrawFixed*E214,Z214*AA214),Z214*MAX(1/MAX(1,AS_End-C214+1),AA214)))</f>
        <v>0</v>
      </c>
      <c r="AC214" s="1" t="n">
        <f aca="false">IF(AND(G214=0,C214&gt;=F_V),MIN(Z214,AB214),0)</f>
        <v>0</v>
      </c>
      <c r="AD214" s="1" t="n">
        <f aca="false">IF(G214=1,S214*(1+F_PenG)+Q214,IF(C214&lt;F_V,S214*(1+F_PenG),(Z214-AC214)*(1+AS_PenRet)))</f>
        <v>0</v>
      </c>
      <c r="AE214" s="1" t="n">
        <f aca="false">IF(C214&gt;=PR_SPage,AS_SP*F_SpF*I214+IF(C214&gt;=80,PR_Over80*PR_Weeks*I214,0),0)</f>
        <v>0</v>
      </c>
      <c r="AF214" s="1" t="n">
        <f aca="false">(F_OtherM+F_RentM)*12*E214</f>
        <v>0</v>
      </c>
      <c r="AG214" s="1" t="n">
        <f aca="false">F_PAge+B214</f>
        <v>4</v>
      </c>
      <c r="AH214" s="1" t="n">
        <f aca="false">IF(AND(F_Partner=1,F_PAge&gt;0,AG214&lt;IF(F_PRet&gt;0,F_PRet,66)),F_PIncome*F214,0)</f>
        <v>0</v>
      </c>
      <c r="AI214" s="1" t="n">
        <f aca="false">IF(AND(F_Partner=1,AG214&gt;=66,F_PSpQA=0),AS_SP*F_PSpF*I214,0)</f>
        <v>0</v>
      </c>
      <c r="AJ214" s="1" t="n">
        <f aca="false">IF(AND(F_Partner=1,F_PSpQA=1,C214&gt;=PR_SPage,AH214=0),IF(AG214&gt;=66,PR_QA66,PR_QAunder)*PR_Weeks*I214,0)</f>
        <v>0</v>
      </c>
      <c r="AK214" s="1" t="n">
        <f aca="false">AE214+AJ214</f>
        <v>0</v>
      </c>
      <c r="AL214" s="1" t="n">
        <f aca="false">K214/H214</f>
        <v>0</v>
      </c>
      <c r="AM214" s="1" t="n">
        <f aca="false">AK214/H214</f>
        <v>0</v>
      </c>
      <c r="AN214" s="1" t="n">
        <f aca="false">AC214/H214</f>
        <v>0</v>
      </c>
      <c r="AO214" s="1" t="n">
        <f aca="false">AF214/H214</f>
        <v>0</v>
      </c>
      <c r="AP214" s="1" t="n">
        <f aca="false">O214/H214</f>
        <v>0</v>
      </c>
      <c r="AQ214" s="1" t="n">
        <f aca="false">AH214/H214</f>
        <v>0</v>
      </c>
      <c r="AR214" s="1" t="n">
        <f aca="false">AI214/H214</f>
        <v>0</v>
      </c>
      <c r="AS214" s="1" t="n">
        <f aca="false">MAX(0,AL214+AN214+AO214+AM214-AP214)</f>
        <v>0</v>
      </c>
      <c r="AT214" s="1" t="n">
        <f aca="false">MAX(0,AQ214+AR214)</f>
        <v>0</v>
      </c>
      <c r="AU214" s="1" t="n">
        <f aca="false">MIN(PR_PAYE,PR_PAYEcap*(AL214+AN214+AM214))</f>
        <v>0</v>
      </c>
      <c r="AV214" s="1" t="n">
        <f aca="false">MIN(PR_PAYE,PR_PAYEcap*(AQ214+AR214))</f>
        <v>0</v>
      </c>
      <c r="AW214" s="1" t="n">
        <f aca="false">IF(C214&gt;=PR_AgeCrAge,PR_AgeCr,0)</f>
        <v>0</v>
      </c>
      <c r="AX214" s="1" t="n">
        <f aca="false">IF(AG214&gt;=PR_AgeCrAge,PR_AgeCr,0)</f>
        <v>0</v>
      </c>
      <c r="AY214" s="1" t="n">
        <f aca="false">IF(AND(F_RentCred=1,D214&lt;=PR_RentLast),1,0)</f>
        <v>0</v>
      </c>
      <c r="AZ214" s="1" t="n">
        <f aca="false">AS214+AT214</f>
        <v>0</v>
      </c>
      <c r="BA214" s="1" t="n">
        <f aca="false">PR_PersonalM+AU214+AV214+AW214+AX214+IF(AY214=1,PR_RentJoint,0)</f>
        <v>4000</v>
      </c>
      <c r="BB214" s="1" t="n">
        <f aca="false">PR_BandM+MIN(MIN(AS214,AT214),PR_Uplift)</f>
        <v>53000</v>
      </c>
      <c r="BC214" s="1" t="n">
        <f aca="false">MAX(0,PR_r1*MIN(AZ214,BB214)+PR_r2*MAX(0,AZ214-BB214)-BA214)</f>
        <v>0</v>
      </c>
      <c r="BD214" s="1" t="n">
        <f aca="false">MAX(0,PR_HomeCarer-MAX(0,MIN(AS214,AT214)-PR_HCLimit)/2)</f>
        <v>1950</v>
      </c>
      <c r="BE214" s="1" t="n">
        <f aca="false">IF(F_Carer=1,MIN(BC214,MAX(0,PR_r1*MIN(AZ214,PR_BandM)+PR_r2*MAX(0,AZ214-PR_BandM)-BA214-BD214)),BC214)</f>
        <v>0</v>
      </c>
      <c r="BF214" s="1" t="n">
        <f aca="false">IF(OR(C214&gt;=PR_AgeCrAge,AG214&gt;=PR_AgeCrAge),IF(AZ214&lt;=PR_AgeExM,0,MIN(BE214,PR_AgeMarg*(AZ214-PR_AgeExM))),BE214)</f>
        <v>0</v>
      </c>
      <c r="BG214" s="1" t="n">
        <f aca="false">MAX(0,PR_r1*MIN(AS214,IF(F_Spccc=1,PR_BandSPCCC,PR_Band))+PR_r2*MAX(0,AS214-IF(F_Spccc=1,PR_BandSPCCC,PR_Band))-(PR_Personal+AU214+AW214+IF(F_Spccc=1,PR_SPCCC,0)+IF(AY214=1,PR_Rent,0)))</f>
        <v>0</v>
      </c>
      <c r="BH214" s="1" t="n">
        <f aca="false">IF(C214&gt;=PR_AgeCrAge,IF(AS214&lt;=PR_AgeEx,0,MIN(BG214,PR_AgeMarg*(AS214-PR_AgeEx))),BG214)</f>
        <v>0</v>
      </c>
      <c r="BI214" s="1" t="n">
        <f aca="false">IF(F_Partner=1,MAX(0,PR_r1*MIN(AT214,PR_Band)+PR_r2*MAX(0,AT214-PR_Band)-(PR_Personal+AV214+AX214+IF(AND(AY214=1,AT214&gt;0),PR_Rent,0))),0)</f>
        <v>0</v>
      </c>
      <c r="BJ214" s="1" t="n">
        <f aca="false">IF(AG214&gt;=PR_AgeCrAge,IF(AT214&lt;=PR_AgeEx,0,MIN(BI214,PR_AgeMarg*(AT214-PR_AgeEx))),BI214)</f>
        <v>0</v>
      </c>
      <c r="BK214" s="1" t="n">
        <f aca="false">IF(F_Partner=1,IF(F_Married=1,BF214,BH214+BJ214),BH214)</f>
        <v>0</v>
      </c>
      <c r="BL214" s="1" t="n">
        <f aca="false">AL214+AN214+AO214</f>
        <v>0</v>
      </c>
      <c r="BM214" s="1" t="n">
        <f aca="false">IF(BL214&lt;=PR_USCex,0,IF(IF(AND(C214&gt;=PR_USCredAge,BL214&lt;=PR_USCredMax),1,0)=1,PR_USCr1*MIN(BL214,PR_USCredB1)+PR_USCredR2*MAX(0,BL214-PR_USCredB1),PR_USCr1*MIN(BL214,PR_USCb1)+PR_USCr2*MAX(0,MIN(BL214,PR_USCb2)-PR_USCb1)+PR_USCr3*MAX(0,MIN(BL214,PR_USCb3)-PR_USCb2)+PR_USCr4*MAX(0,BL214-PR_USCb3)))+IF(F_SelfEmp=1,PR_USCse*MAX(0,AL214-PR_USCseOver),0)</f>
        <v>0</v>
      </c>
      <c r="BN214" s="1" t="n">
        <f aca="false">AQ214</f>
        <v>0</v>
      </c>
      <c r="BO214" s="1" t="n">
        <f aca="false">IF(F_Partner=1,IF(BN214&lt;=PR_USCex,0,IF(IF(AND(AG214&gt;=PR_USCredAge,BN214&lt;=PR_USCredMax),1,0)=1,PR_USCr1*MIN(BN214,PR_USCredB1)+PR_USCredR2*MAX(0,BN214-PR_USCredB1),PR_USCr1*MIN(BN214,PR_USCb1)+PR_USCr2*MAX(0,MIN(BN214,PR_USCb2)-PR_USCb1)+PR_USCr3*MAX(0,MIN(BN214,PR_USCb3)-PR_USCb2)+PR_USCr4*MAX(0,BN214-PR_USCb3))),0)</f>
        <v>0</v>
      </c>
      <c r="BP214" s="1" t="n">
        <f aca="false">IF(C214&lt;PR_PRSIend,IF(F_SelfEmp=1,IF(AL214&gt;PR_PRSIsMinInc,MAX(PR_PRSIsMin,AL214*J214),0),IF(AL214/52&lt;=PR_PRSIfree,0,MAX(0,(AL214/52*J214-IF(AL214/52&lt;=PR_PRSIcreditTo,MAX(0,PR_PRSIcreditMax-(AL214/52-(PR_PRSIfree+0.01))/PR_PRSItaper),0))*52)))+J214*AN214+IF(AO214&gt;PR_PRSIunearned,J214*AO214,0),0)</f>
        <v>0</v>
      </c>
      <c r="BQ214" s="1" t="n">
        <f aca="false">IF(AND(F_Partner=1,AG214&lt;PR_PRSIend),IF(AQ214/52&lt;=PR_PRSIfree,0,MAX(0,(AQ214/52*J214-IF(AQ214/52&lt;=PR_PRSIcreditTo,MAX(0,PR_PRSIcreditMax-(AQ214/52-(PR_PRSIfree+0.01))/PR_PRSItaper),0))*52)),0)</f>
        <v>0</v>
      </c>
      <c r="BR214" s="1" t="n">
        <f aca="false">BK214+BM214+BO214+BP214+BQ214</f>
        <v>0</v>
      </c>
      <c r="BS214" s="1" t="n">
        <f aca="false">BR214*H214</f>
        <v>0</v>
      </c>
      <c r="BT214" s="1" t="n">
        <f aca="false">K214+AK214+AC214+AF214+AH214+AI214</f>
        <v>0</v>
      </c>
    </row>
    <row r="215" customFormat="false" ht="15" hidden="false" customHeight="false" outlineLevel="0" collapsed="false">
      <c r="B215" s="1" t="n">
        <v>5</v>
      </c>
      <c r="C215" s="1" t="n">
        <f aca="false">F_Age+B215</f>
        <v>5</v>
      </c>
      <c r="D215" s="1" t="n">
        <f aca="false">AS_Year0+B215</f>
        <v>2032</v>
      </c>
      <c r="E215" s="106" t="n">
        <f aca="false">(1+AS_Infl)^B215</f>
        <v>1.1040808032</v>
      </c>
      <c r="F215" s="106" t="n">
        <f aca="false">(1+AS_Wage)^B215</f>
        <v>1.1592740743</v>
      </c>
      <c r="G215" s="1" t="n">
        <f aca="false">IF(C215&lt;F_R,1,0)</f>
        <v>0</v>
      </c>
      <c r="H215" s="106" t="n">
        <f aca="false">IF(AS_Bands="flat",1,E215)</f>
        <v>1.1040808032</v>
      </c>
      <c r="I215" s="106" t="n">
        <f aca="false">IF(AS_SpGrow="pay",F215,IF(AS_SpGrow="flat",1,E215))</f>
        <v>1.1040808032</v>
      </c>
      <c r="J215" s="106" t="n">
        <f aca="false">(12*PR_PRSIr0+(PR_PRSIr1-PR_PRSIr0)*MAX(0,MIN(12,D215*12+12-PR_PRSIt1))+(PR_PRSIr2-PR_PRSIr1)*MAX(0,MIN(12,D215*12+12-PR_PRSIt2))+(PR_PRSIr3-PR_PRSIr2)*MAX(0,MIN(12,D215*12+12-PR_PRSIt3)))/12</f>
        <v>0.047</v>
      </c>
      <c r="K215" s="1" t="n">
        <f aca="false">IF(G215=1,F_Income*F215,0)</f>
        <v>0</v>
      </c>
      <c r="L215" s="1" t="n">
        <f aca="false">IF(G215=1,(F_Own+In_penExtra)*12*F215,0)</f>
        <v>0</v>
      </c>
      <c r="M215" s="1" t="n">
        <f aca="false">IF(G215=1,(F_PenM+In_penExtra)*12*F215,0)</f>
        <v>0</v>
      </c>
      <c r="N215" s="107" t="n">
        <f aca="false">IF(C215&lt;PR_RelA1,PR_RelP1,IF(C215&lt;PR_RelA2,PR_RelP2,IF(C215&lt;PR_RelA3,PR_RelP3,IF(C215&lt;PR_RelA4,PR_RelP4,IF(C215&lt;PR_RelA5,PR_RelP5,PR_RelP6)))))</f>
        <v>0.15</v>
      </c>
      <c r="O215" s="1" t="n">
        <f aca="false">IF(G215=1,MIN(L215/H215,N215*MIN(K215/H215,PR_EarnCap))*H215,0)</f>
        <v>0</v>
      </c>
      <c r="P215" s="1" t="n">
        <f aca="false">IF(AND(G215=1,F_AE=1),MIN(K215/H215,PR_AEcap)*H215,0)</f>
        <v>0</v>
      </c>
      <c r="Q215" s="1" t="n">
        <f aca="false">IF(G215=1,IF(WI_Retire=1,MAX(0,M215+WI_M*12),M215)+(PR_AEee+PR_AEer+PR_AEst)*P215,0)</f>
        <v>0</v>
      </c>
      <c r="R215" s="1" t="n">
        <f aca="false">L215+PR_AEee*P215</f>
        <v>0</v>
      </c>
      <c r="S215" s="1" t="n">
        <f aca="false">AD214</f>
        <v>0</v>
      </c>
      <c r="T215" s="1" t="n">
        <f aca="false">IF(D215&lt;=2026,PR_SFT2026,IF(D215=2027,PR_SFT2027,IF(D215=2028,PR_SFT2028,IF(D215=2029,PR_SFT2029,PR_SFT2029*(1+AS_Infl)^(D215-2029)))))</f>
        <v>2971382.4</v>
      </c>
      <c r="U215" s="1" t="n">
        <f aca="false">IF(AND(G215=0,C215=F_V),1,0)</f>
        <v>0</v>
      </c>
      <c r="V215" s="1" t="n">
        <f aca="false">IF(U215=1,PR_SFTrate*MAX(0,S215-T215),0)</f>
        <v>0</v>
      </c>
      <c r="W215" s="1" t="n">
        <f aca="false">S215-V215</f>
        <v>0</v>
      </c>
      <c r="X215" s="1" t="n">
        <f aca="false">IF(AND(U215=1,AS_LumpPct&gt;0),W215*MIN(AS_LumpPct,PR_LSmax),0)</f>
        <v>0</v>
      </c>
      <c r="Y215" s="1" t="n">
        <f aca="false">X215-(PR_LSrate*MAX(0,MIN(X215,PR_LScap)-PR_LSfree)+PR_r2*MAX(0,X215-PR_LScap))</f>
        <v>0</v>
      </c>
      <c r="Z215" s="1" t="n">
        <f aca="false">W215-X215</f>
        <v>0</v>
      </c>
      <c r="AA215" s="107" t="n">
        <f aca="false">IF(C215&gt;=61,IF(Z215&gt;PR_ARFbig,PR_ARFbigRate,IF(C215&gt;=71,PR_ARF71,PR_ARF61)),0)</f>
        <v>0</v>
      </c>
      <c r="AB215" s="1" t="n">
        <f aca="false">IF(AS_DrawRule="min",Z215*AA215,IF(AS_DrawRule="fixed",MAX(AS_DrawFixed*E215,Z215*AA215),Z215*MAX(1/MAX(1,AS_End-C215+1),AA215)))</f>
        <v>0</v>
      </c>
      <c r="AC215" s="1" t="n">
        <f aca="false">IF(AND(G215=0,C215&gt;=F_V),MIN(Z215,AB215),0)</f>
        <v>0</v>
      </c>
      <c r="AD215" s="1" t="n">
        <f aca="false">IF(G215=1,S215*(1+F_PenG)+Q215,IF(C215&lt;F_V,S215*(1+F_PenG),(Z215-AC215)*(1+AS_PenRet)))</f>
        <v>0</v>
      </c>
      <c r="AE215" s="1" t="n">
        <f aca="false">IF(C215&gt;=PR_SPage,AS_SP*F_SpF*I215+IF(C215&gt;=80,PR_Over80*PR_Weeks*I215,0),0)</f>
        <v>0</v>
      </c>
      <c r="AF215" s="1" t="n">
        <f aca="false">(F_OtherM+F_RentM)*12*E215</f>
        <v>0</v>
      </c>
      <c r="AG215" s="1" t="n">
        <f aca="false">F_PAge+B215</f>
        <v>5</v>
      </c>
      <c r="AH215" s="1" t="n">
        <f aca="false">IF(AND(F_Partner=1,F_PAge&gt;0,AG215&lt;IF(F_PRet&gt;0,F_PRet,66)),F_PIncome*F215,0)</f>
        <v>0</v>
      </c>
      <c r="AI215" s="1" t="n">
        <f aca="false">IF(AND(F_Partner=1,AG215&gt;=66,F_PSpQA=0),AS_SP*F_PSpF*I215,0)</f>
        <v>0</v>
      </c>
      <c r="AJ215" s="1" t="n">
        <f aca="false">IF(AND(F_Partner=1,F_PSpQA=1,C215&gt;=PR_SPage,AH215=0),IF(AG215&gt;=66,PR_QA66,PR_QAunder)*PR_Weeks*I215,0)</f>
        <v>0</v>
      </c>
      <c r="AK215" s="1" t="n">
        <f aca="false">AE215+AJ215</f>
        <v>0</v>
      </c>
      <c r="AL215" s="1" t="n">
        <f aca="false">K215/H215</f>
        <v>0</v>
      </c>
      <c r="AM215" s="1" t="n">
        <f aca="false">AK215/H215</f>
        <v>0</v>
      </c>
      <c r="AN215" s="1" t="n">
        <f aca="false">AC215/H215</f>
        <v>0</v>
      </c>
      <c r="AO215" s="1" t="n">
        <f aca="false">AF215/H215</f>
        <v>0</v>
      </c>
      <c r="AP215" s="1" t="n">
        <f aca="false">O215/H215</f>
        <v>0</v>
      </c>
      <c r="AQ215" s="1" t="n">
        <f aca="false">AH215/H215</f>
        <v>0</v>
      </c>
      <c r="AR215" s="1" t="n">
        <f aca="false">AI215/H215</f>
        <v>0</v>
      </c>
      <c r="AS215" s="1" t="n">
        <f aca="false">MAX(0,AL215+AN215+AO215+AM215-AP215)</f>
        <v>0</v>
      </c>
      <c r="AT215" s="1" t="n">
        <f aca="false">MAX(0,AQ215+AR215)</f>
        <v>0</v>
      </c>
      <c r="AU215" s="1" t="n">
        <f aca="false">MIN(PR_PAYE,PR_PAYEcap*(AL215+AN215+AM215))</f>
        <v>0</v>
      </c>
      <c r="AV215" s="1" t="n">
        <f aca="false">MIN(PR_PAYE,PR_PAYEcap*(AQ215+AR215))</f>
        <v>0</v>
      </c>
      <c r="AW215" s="1" t="n">
        <f aca="false">IF(C215&gt;=PR_AgeCrAge,PR_AgeCr,0)</f>
        <v>0</v>
      </c>
      <c r="AX215" s="1" t="n">
        <f aca="false">IF(AG215&gt;=PR_AgeCrAge,PR_AgeCr,0)</f>
        <v>0</v>
      </c>
      <c r="AY215" s="1" t="n">
        <f aca="false">IF(AND(F_RentCred=1,D215&lt;=PR_RentLast),1,0)</f>
        <v>0</v>
      </c>
      <c r="AZ215" s="1" t="n">
        <f aca="false">AS215+AT215</f>
        <v>0</v>
      </c>
      <c r="BA215" s="1" t="n">
        <f aca="false">PR_PersonalM+AU215+AV215+AW215+AX215+IF(AY215=1,PR_RentJoint,0)</f>
        <v>4000</v>
      </c>
      <c r="BB215" s="1" t="n">
        <f aca="false">PR_BandM+MIN(MIN(AS215,AT215),PR_Uplift)</f>
        <v>53000</v>
      </c>
      <c r="BC215" s="1" t="n">
        <f aca="false">MAX(0,PR_r1*MIN(AZ215,BB215)+PR_r2*MAX(0,AZ215-BB215)-BA215)</f>
        <v>0</v>
      </c>
      <c r="BD215" s="1" t="n">
        <f aca="false">MAX(0,PR_HomeCarer-MAX(0,MIN(AS215,AT215)-PR_HCLimit)/2)</f>
        <v>1950</v>
      </c>
      <c r="BE215" s="1" t="n">
        <f aca="false">IF(F_Carer=1,MIN(BC215,MAX(0,PR_r1*MIN(AZ215,PR_BandM)+PR_r2*MAX(0,AZ215-PR_BandM)-BA215-BD215)),BC215)</f>
        <v>0</v>
      </c>
      <c r="BF215" s="1" t="n">
        <f aca="false">IF(OR(C215&gt;=PR_AgeCrAge,AG215&gt;=PR_AgeCrAge),IF(AZ215&lt;=PR_AgeExM,0,MIN(BE215,PR_AgeMarg*(AZ215-PR_AgeExM))),BE215)</f>
        <v>0</v>
      </c>
      <c r="BG215" s="1" t="n">
        <f aca="false">MAX(0,PR_r1*MIN(AS215,IF(F_Spccc=1,PR_BandSPCCC,PR_Band))+PR_r2*MAX(0,AS215-IF(F_Spccc=1,PR_BandSPCCC,PR_Band))-(PR_Personal+AU215+AW215+IF(F_Spccc=1,PR_SPCCC,0)+IF(AY215=1,PR_Rent,0)))</f>
        <v>0</v>
      </c>
      <c r="BH215" s="1" t="n">
        <f aca="false">IF(C215&gt;=PR_AgeCrAge,IF(AS215&lt;=PR_AgeEx,0,MIN(BG215,PR_AgeMarg*(AS215-PR_AgeEx))),BG215)</f>
        <v>0</v>
      </c>
      <c r="BI215" s="1" t="n">
        <f aca="false">IF(F_Partner=1,MAX(0,PR_r1*MIN(AT215,PR_Band)+PR_r2*MAX(0,AT215-PR_Band)-(PR_Personal+AV215+AX215+IF(AND(AY215=1,AT215&gt;0),PR_Rent,0))),0)</f>
        <v>0</v>
      </c>
      <c r="BJ215" s="1" t="n">
        <f aca="false">IF(AG215&gt;=PR_AgeCrAge,IF(AT215&lt;=PR_AgeEx,0,MIN(BI215,PR_AgeMarg*(AT215-PR_AgeEx))),BI215)</f>
        <v>0</v>
      </c>
      <c r="BK215" s="1" t="n">
        <f aca="false">IF(F_Partner=1,IF(F_Married=1,BF215,BH215+BJ215),BH215)</f>
        <v>0</v>
      </c>
      <c r="BL215" s="1" t="n">
        <f aca="false">AL215+AN215+AO215</f>
        <v>0</v>
      </c>
      <c r="BM215" s="1" t="n">
        <f aca="false">IF(BL215&lt;=PR_USCex,0,IF(IF(AND(C215&gt;=PR_USCredAge,BL215&lt;=PR_USCredMax),1,0)=1,PR_USCr1*MIN(BL215,PR_USCredB1)+PR_USCredR2*MAX(0,BL215-PR_USCredB1),PR_USCr1*MIN(BL215,PR_USCb1)+PR_USCr2*MAX(0,MIN(BL215,PR_USCb2)-PR_USCb1)+PR_USCr3*MAX(0,MIN(BL215,PR_USCb3)-PR_USCb2)+PR_USCr4*MAX(0,BL215-PR_USCb3)))+IF(F_SelfEmp=1,PR_USCse*MAX(0,AL215-PR_USCseOver),0)</f>
        <v>0</v>
      </c>
      <c r="BN215" s="1" t="n">
        <f aca="false">AQ215</f>
        <v>0</v>
      </c>
      <c r="BO215" s="1" t="n">
        <f aca="false">IF(F_Partner=1,IF(BN215&lt;=PR_USCex,0,IF(IF(AND(AG215&gt;=PR_USCredAge,BN215&lt;=PR_USCredMax),1,0)=1,PR_USCr1*MIN(BN215,PR_USCredB1)+PR_USCredR2*MAX(0,BN215-PR_USCredB1),PR_USCr1*MIN(BN215,PR_USCb1)+PR_USCr2*MAX(0,MIN(BN215,PR_USCb2)-PR_USCb1)+PR_USCr3*MAX(0,MIN(BN215,PR_USCb3)-PR_USCb2)+PR_USCr4*MAX(0,BN215-PR_USCb3))),0)</f>
        <v>0</v>
      </c>
      <c r="BP215" s="1" t="n">
        <f aca="false">IF(C215&lt;PR_PRSIend,IF(F_SelfEmp=1,IF(AL215&gt;PR_PRSIsMinInc,MAX(PR_PRSIsMin,AL215*J215),0),IF(AL215/52&lt;=PR_PRSIfree,0,MAX(0,(AL215/52*J215-IF(AL215/52&lt;=PR_PRSIcreditTo,MAX(0,PR_PRSIcreditMax-(AL215/52-(PR_PRSIfree+0.01))/PR_PRSItaper),0))*52)))+J215*AN215+IF(AO215&gt;PR_PRSIunearned,J215*AO215,0),0)</f>
        <v>0</v>
      </c>
      <c r="BQ215" s="1" t="n">
        <f aca="false">IF(AND(F_Partner=1,AG215&lt;PR_PRSIend),IF(AQ215/52&lt;=PR_PRSIfree,0,MAX(0,(AQ215/52*J215-IF(AQ215/52&lt;=PR_PRSIcreditTo,MAX(0,PR_PRSIcreditMax-(AQ215/52-(PR_PRSIfree+0.01))/PR_PRSItaper),0))*52)),0)</f>
        <v>0</v>
      </c>
      <c r="BR215" s="1" t="n">
        <f aca="false">BK215+BM215+BO215+BP215+BQ215</f>
        <v>0</v>
      </c>
      <c r="BS215" s="1" t="n">
        <f aca="false">BR215*H215</f>
        <v>0</v>
      </c>
      <c r="BT215" s="1" t="n">
        <f aca="false">K215+AK215+AC215+AF215+AH215+AI215</f>
        <v>0</v>
      </c>
    </row>
    <row r="216" customFormat="false" ht="15" hidden="false" customHeight="false" outlineLevel="0" collapsed="false">
      <c r="B216" s="1" t="n">
        <v>6</v>
      </c>
      <c r="C216" s="1" t="n">
        <f aca="false">F_Age+B216</f>
        <v>6</v>
      </c>
      <c r="D216" s="1" t="n">
        <f aca="false">AS_Year0+B216</f>
        <v>2033</v>
      </c>
      <c r="E216" s="106" t="n">
        <f aca="false">(1+AS_Infl)^B216</f>
        <v>1.126162419264</v>
      </c>
      <c r="F216" s="106" t="n">
        <f aca="false">(1+AS_Wage)^B216</f>
        <v>1.194052296529</v>
      </c>
      <c r="G216" s="1" t="n">
        <f aca="false">IF(C216&lt;F_R,1,0)</f>
        <v>0</v>
      </c>
      <c r="H216" s="106" t="n">
        <f aca="false">IF(AS_Bands="flat",1,E216)</f>
        <v>1.126162419264</v>
      </c>
      <c r="I216" s="106" t="n">
        <f aca="false">IF(AS_SpGrow="pay",F216,IF(AS_SpGrow="flat",1,E216))</f>
        <v>1.126162419264</v>
      </c>
      <c r="J216" s="106" t="n">
        <f aca="false">(12*PR_PRSIr0+(PR_PRSIr1-PR_PRSIr0)*MAX(0,MIN(12,D216*12+12-PR_PRSIt1))+(PR_PRSIr2-PR_PRSIr1)*MAX(0,MIN(12,D216*12+12-PR_PRSIt2))+(PR_PRSIr3-PR_PRSIr2)*MAX(0,MIN(12,D216*12+12-PR_PRSIt3)))/12</f>
        <v>0.047</v>
      </c>
      <c r="K216" s="1" t="n">
        <f aca="false">IF(G216=1,F_Income*F216,0)</f>
        <v>0</v>
      </c>
      <c r="L216" s="1" t="n">
        <f aca="false">IF(G216=1,(F_Own+In_penExtra)*12*F216,0)</f>
        <v>0</v>
      </c>
      <c r="M216" s="1" t="n">
        <f aca="false">IF(G216=1,(F_PenM+In_penExtra)*12*F216,0)</f>
        <v>0</v>
      </c>
      <c r="N216" s="107" t="n">
        <f aca="false">IF(C216&lt;PR_RelA1,PR_RelP1,IF(C216&lt;PR_RelA2,PR_RelP2,IF(C216&lt;PR_RelA3,PR_RelP3,IF(C216&lt;PR_RelA4,PR_RelP4,IF(C216&lt;PR_RelA5,PR_RelP5,PR_RelP6)))))</f>
        <v>0.15</v>
      </c>
      <c r="O216" s="1" t="n">
        <f aca="false">IF(G216=1,MIN(L216/H216,N216*MIN(K216/H216,PR_EarnCap))*H216,0)</f>
        <v>0</v>
      </c>
      <c r="P216" s="1" t="n">
        <f aca="false">IF(AND(G216=1,F_AE=1),MIN(K216/H216,PR_AEcap)*H216,0)</f>
        <v>0</v>
      </c>
      <c r="Q216" s="1" t="n">
        <f aca="false">IF(G216=1,IF(WI_Retire=1,MAX(0,M216+WI_M*12),M216)+(PR_AEee+PR_AEer+PR_AEst)*P216,0)</f>
        <v>0</v>
      </c>
      <c r="R216" s="1" t="n">
        <f aca="false">L216+PR_AEee*P216</f>
        <v>0</v>
      </c>
      <c r="S216" s="1" t="n">
        <f aca="false">AD215</f>
        <v>0</v>
      </c>
      <c r="T216" s="1" t="n">
        <f aca="false">IF(D216&lt;=2026,PR_SFT2026,IF(D216=2027,PR_SFT2027,IF(D216=2028,PR_SFT2028,IF(D216=2029,PR_SFT2029,PR_SFT2029*(1+AS_Infl)^(D216-2029)))))</f>
        <v>3030810.048</v>
      </c>
      <c r="U216" s="1" t="n">
        <f aca="false">IF(AND(G216=0,C216=F_V),1,0)</f>
        <v>0</v>
      </c>
      <c r="V216" s="1" t="n">
        <f aca="false">IF(U216=1,PR_SFTrate*MAX(0,S216-T216),0)</f>
        <v>0</v>
      </c>
      <c r="W216" s="1" t="n">
        <f aca="false">S216-V216</f>
        <v>0</v>
      </c>
      <c r="X216" s="1" t="n">
        <f aca="false">IF(AND(U216=1,AS_LumpPct&gt;0),W216*MIN(AS_LumpPct,PR_LSmax),0)</f>
        <v>0</v>
      </c>
      <c r="Y216" s="1" t="n">
        <f aca="false">X216-(PR_LSrate*MAX(0,MIN(X216,PR_LScap)-PR_LSfree)+PR_r2*MAX(0,X216-PR_LScap))</f>
        <v>0</v>
      </c>
      <c r="Z216" s="1" t="n">
        <f aca="false">W216-X216</f>
        <v>0</v>
      </c>
      <c r="AA216" s="107" t="n">
        <f aca="false">IF(C216&gt;=61,IF(Z216&gt;PR_ARFbig,PR_ARFbigRate,IF(C216&gt;=71,PR_ARF71,PR_ARF61)),0)</f>
        <v>0</v>
      </c>
      <c r="AB216" s="1" t="n">
        <f aca="false">IF(AS_DrawRule="min",Z216*AA216,IF(AS_DrawRule="fixed",MAX(AS_DrawFixed*E216,Z216*AA216),Z216*MAX(1/MAX(1,AS_End-C216+1),AA216)))</f>
        <v>0</v>
      </c>
      <c r="AC216" s="1" t="n">
        <f aca="false">IF(AND(G216=0,C216&gt;=F_V),MIN(Z216,AB216),0)</f>
        <v>0</v>
      </c>
      <c r="AD216" s="1" t="n">
        <f aca="false">IF(G216=1,S216*(1+F_PenG)+Q216,IF(C216&lt;F_V,S216*(1+F_PenG),(Z216-AC216)*(1+AS_PenRet)))</f>
        <v>0</v>
      </c>
      <c r="AE216" s="1" t="n">
        <f aca="false">IF(C216&gt;=PR_SPage,AS_SP*F_SpF*I216+IF(C216&gt;=80,PR_Over80*PR_Weeks*I216,0),0)</f>
        <v>0</v>
      </c>
      <c r="AF216" s="1" t="n">
        <f aca="false">(F_OtherM+F_RentM)*12*E216</f>
        <v>0</v>
      </c>
      <c r="AG216" s="1" t="n">
        <f aca="false">F_PAge+B216</f>
        <v>6</v>
      </c>
      <c r="AH216" s="1" t="n">
        <f aca="false">IF(AND(F_Partner=1,F_PAge&gt;0,AG216&lt;IF(F_PRet&gt;0,F_PRet,66)),F_PIncome*F216,0)</f>
        <v>0</v>
      </c>
      <c r="AI216" s="1" t="n">
        <f aca="false">IF(AND(F_Partner=1,AG216&gt;=66,F_PSpQA=0),AS_SP*F_PSpF*I216,0)</f>
        <v>0</v>
      </c>
      <c r="AJ216" s="1" t="n">
        <f aca="false">IF(AND(F_Partner=1,F_PSpQA=1,C216&gt;=PR_SPage,AH216=0),IF(AG216&gt;=66,PR_QA66,PR_QAunder)*PR_Weeks*I216,0)</f>
        <v>0</v>
      </c>
      <c r="AK216" s="1" t="n">
        <f aca="false">AE216+AJ216</f>
        <v>0</v>
      </c>
      <c r="AL216" s="1" t="n">
        <f aca="false">K216/H216</f>
        <v>0</v>
      </c>
      <c r="AM216" s="1" t="n">
        <f aca="false">AK216/H216</f>
        <v>0</v>
      </c>
      <c r="AN216" s="1" t="n">
        <f aca="false">AC216/H216</f>
        <v>0</v>
      </c>
      <c r="AO216" s="1" t="n">
        <f aca="false">AF216/H216</f>
        <v>0</v>
      </c>
      <c r="AP216" s="1" t="n">
        <f aca="false">O216/H216</f>
        <v>0</v>
      </c>
      <c r="AQ216" s="1" t="n">
        <f aca="false">AH216/H216</f>
        <v>0</v>
      </c>
      <c r="AR216" s="1" t="n">
        <f aca="false">AI216/H216</f>
        <v>0</v>
      </c>
      <c r="AS216" s="1" t="n">
        <f aca="false">MAX(0,AL216+AN216+AO216+AM216-AP216)</f>
        <v>0</v>
      </c>
      <c r="AT216" s="1" t="n">
        <f aca="false">MAX(0,AQ216+AR216)</f>
        <v>0</v>
      </c>
      <c r="AU216" s="1" t="n">
        <f aca="false">MIN(PR_PAYE,PR_PAYEcap*(AL216+AN216+AM216))</f>
        <v>0</v>
      </c>
      <c r="AV216" s="1" t="n">
        <f aca="false">MIN(PR_PAYE,PR_PAYEcap*(AQ216+AR216))</f>
        <v>0</v>
      </c>
      <c r="AW216" s="1" t="n">
        <f aca="false">IF(C216&gt;=PR_AgeCrAge,PR_AgeCr,0)</f>
        <v>0</v>
      </c>
      <c r="AX216" s="1" t="n">
        <f aca="false">IF(AG216&gt;=PR_AgeCrAge,PR_AgeCr,0)</f>
        <v>0</v>
      </c>
      <c r="AY216" s="1" t="n">
        <f aca="false">IF(AND(F_RentCred=1,D216&lt;=PR_RentLast),1,0)</f>
        <v>0</v>
      </c>
      <c r="AZ216" s="1" t="n">
        <f aca="false">AS216+AT216</f>
        <v>0</v>
      </c>
      <c r="BA216" s="1" t="n">
        <f aca="false">PR_PersonalM+AU216+AV216+AW216+AX216+IF(AY216=1,PR_RentJoint,0)</f>
        <v>4000</v>
      </c>
      <c r="BB216" s="1" t="n">
        <f aca="false">PR_BandM+MIN(MIN(AS216,AT216),PR_Uplift)</f>
        <v>53000</v>
      </c>
      <c r="BC216" s="1" t="n">
        <f aca="false">MAX(0,PR_r1*MIN(AZ216,BB216)+PR_r2*MAX(0,AZ216-BB216)-BA216)</f>
        <v>0</v>
      </c>
      <c r="BD216" s="1" t="n">
        <f aca="false">MAX(0,PR_HomeCarer-MAX(0,MIN(AS216,AT216)-PR_HCLimit)/2)</f>
        <v>1950</v>
      </c>
      <c r="BE216" s="1" t="n">
        <f aca="false">IF(F_Carer=1,MIN(BC216,MAX(0,PR_r1*MIN(AZ216,PR_BandM)+PR_r2*MAX(0,AZ216-PR_BandM)-BA216-BD216)),BC216)</f>
        <v>0</v>
      </c>
      <c r="BF216" s="1" t="n">
        <f aca="false">IF(OR(C216&gt;=PR_AgeCrAge,AG216&gt;=PR_AgeCrAge),IF(AZ216&lt;=PR_AgeExM,0,MIN(BE216,PR_AgeMarg*(AZ216-PR_AgeExM))),BE216)</f>
        <v>0</v>
      </c>
      <c r="BG216" s="1" t="n">
        <f aca="false">MAX(0,PR_r1*MIN(AS216,IF(F_Spccc=1,PR_BandSPCCC,PR_Band))+PR_r2*MAX(0,AS216-IF(F_Spccc=1,PR_BandSPCCC,PR_Band))-(PR_Personal+AU216+AW216+IF(F_Spccc=1,PR_SPCCC,0)+IF(AY216=1,PR_Rent,0)))</f>
        <v>0</v>
      </c>
      <c r="BH216" s="1" t="n">
        <f aca="false">IF(C216&gt;=PR_AgeCrAge,IF(AS216&lt;=PR_AgeEx,0,MIN(BG216,PR_AgeMarg*(AS216-PR_AgeEx))),BG216)</f>
        <v>0</v>
      </c>
      <c r="BI216" s="1" t="n">
        <f aca="false">IF(F_Partner=1,MAX(0,PR_r1*MIN(AT216,PR_Band)+PR_r2*MAX(0,AT216-PR_Band)-(PR_Personal+AV216+AX216+IF(AND(AY216=1,AT216&gt;0),PR_Rent,0))),0)</f>
        <v>0</v>
      </c>
      <c r="BJ216" s="1" t="n">
        <f aca="false">IF(AG216&gt;=PR_AgeCrAge,IF(AT216&lt;=PR_AgeEx,0,MIN(BI216,PR_AgeMarg*(AT216-PR_AgeEx))),BI216)</f>
        <v>0</v>
      </c>
      <c r="BK216" s="1" t="n">
        <f aca="false">IF(F_Partner=1,IF(F_Married=1,BF216,BH216+BJ216),BH216)</f>
        <v>0</v>
      </c>
      <c r="BL216" s="1" t="n">
        <f aca="false">AL216+AN216+AO216</f>
        <v>0</v>
      </c>
      <c r="BM216" s="1" t="n">
        <f aca="false">IF(BL216&lt;=PR_USCex,0,IF(IF(AND(C216&gt;=PR_USCredAge,BL216&lt;=PR_USCredMax),1,0)=1,PR_USCr1*MIN(BL216,PR_USCredB1)+PR_USCredR2*MAX(0,BL216-PR_USCredB1),PR_USCr1*MIN(BL216,PR_USCb1)+PR_USCr2*MAX(0,MIN(BL216,PR_USCb2)-PR_USCb1)+PR_USCr3*MAX(0,MIN(BL216,PR_USCb3)-PR_USCb2)+PR_USCr4*MAX(0,BL216-PR_USCb3)))+IF(F_SelfEmp=1,PR_USCse*MAX(0,AL216-PR_USCseOver),0)</f>
        <v>0</v>
      </c>
      <c r="BN216" s="1" t="n">
        <f aca="false">AQ216</f>
        <v>0</v>
      </c>
      <c r="BO216" s="1" t="n">
        <f aca="false">IF(F_Partner=1,IF(BN216&lt;=PR_USCex,0,IF(IF(AND(AG216&gt;=PR_USCredAge,BN216&lt;=PR_USCredMax),1,0)=1,PR_USCr1*MIN(BN216,PR_USCredB1)+PR_USCredR2*MAX(0,BN216-PR_USCredB1),PR_USCr1*MIN(BN216,PR_USCb1)+PR_USCr2*MAX(0,MIN(BN216,PR_USCb2)-PR_USCb1)+PR_USCr3*MAX(0,MIN(BN216,PR_USCb3)-PR_USCb2)+PR_USCr4*MAX(0,BN216-PR_USCb3))),0)</f>
        <v>0</v>
      </c>
      <c r="BP216" s="1" t="n">
        <f aca="false">IF(C216&lt;PR_PRSIend,IF(F_SelfEmp=1,IF(AL216&gt;PR_PRSIsMinInc,MAX(PR_PRSIsMin,AL216*J216),0),IF(AL216/52&lt;=PR_PRSIfree,0,MAX(0,(AL216/52*J216-IF(AL216/52&lt;=PR_PRSIcreditTo,MAX(0,PR_PRSIcreditMax-(AL216/52-(PR_PRSIfree+0.01))/PR_PRSItaper),0))*52)))+J216*AN216+IF(AO216&gt;PR_PRSIunearned,J216*AO216,0),0)</f>
        <v>0</v>
      </c>
      <c r="BQ216" s="1" t="n">
        <f aca="false">IF(AND(F_Partner=1,AG216&lt;PR_PRSIend),IF(AQ216/52&lt;=PR_PRSIfree,0,MAX(0,(AQ216/52*J216-IF(AQ216/52&lt;=PR_PRSIcreditTo,MAX(0,PR_PRSIcreditMax-(AQ216/52-(PR_PRSIfree+0.01))/PR_PRSItaper),0))*52)),0)</f>
        <v>0</v>
      </c>
      <c r="BR216" s="1" t="n">
        <f aca="false">BK216+BM216+BO216+BP216+BQ216</f>
        <v>0</v>
      </c>
      <c r="BS216" s="1" t="n">
        <f aca="false">BR216*H216</f>
        <v>0</v>
      </c>
      <c r="BT216" s="1" t="n">
        <f aca="false">K216+AK216+AC216+AF216+AH216+AI216</f>
        <v>0</v>
      </c>
    </row>
    <row r="217" customFormat="false" ht="15" hidden="false" customHeight="false" outlineLevel="0" collapsed="false">
      <c r="B217" s="1" t="n">
        <v>7</v>
      </c>
      <c r="C217" s="1" t="n">
        <f aca="false">F_Age+B217</f>
        <v>7</v>
      </c>
      <c r="D217" s="1" t="n">
        <f aca="false">AS_Year0+B217</f>
        <v>2034</v>
      </c>
      <c r="E217" s="106" t="n">
        <f aca="false">(1+AS_Infl)^B217</f>
        <v>1.14868566764928</v>
      </c>
      <c r="F217" s="106" t="n">
        <f aca="false">(1+AS_Wage)^B217</f>
        <v>1.22987386542487</v>
      </c>
      <c r="G217" s="1" t="n">
        <f aca="false">IF(C217&lt;F_R,1,0)</f>
        <v>0</v>
      </c>
      <c r="H217" s="106" t="n">
        <f aca="false">IF(AS_Bands="flat",1,E217)</f>
        <v>1.14868566764928</v>
      </c>
      <c r="I217" s="106" t="n">
        <f aca="false">IF(AS_SpGrow="pay",F217,IF(AS_SpGrow="flat",1,E217))</f>
        <v>1.14868566764928</v>
      </c>
      <c r="J217" s="106" t="n">
        <f aca="false">(12*PR_PRSIr0+(PR_PRSIr1-PR_PRSIr0)*MAX(0,MIN(12,D217*12+12-PR_PRSIt1))+(PR_PRSIr2-PR_PRSIr1)*MAX(0,MIN(12,D217*12+12-PR_PRSIt2))+(PR_PRSIr3-PR_PRSIr2)*MAX(0,MIN(12,D217*12+12-PR_PRSIt3)))/12</f>
        <v>0.047</v>
      </c>
      <c r="K217" s="1" t="n">
        <f aca="false">IF(G217=1,F_Income*F217,0)</f>
        <v>0</v>
      </c>
      <c r="L217" s="1" t="n">
        <f aca="false">IF(G217=1,(F_Own+In_penExtra)*12*F217,0)</f>
        <v>0</v>
      </c>
      <c r="M217" s="1" t="n">
        <f aca="false">IF(G217=1,(F_PenM+In_penExtra)*12*F217,0)</f>
        <v>0</v>
      </c>
      <c r="N217" s="107" t="n">
        <f aca="false">IF(C217&lt;PR_RelA1,PR_RelP1,IF(C217&lt;PR_RelA2,PR_RelP2,IF(C217&lt;PR_RelA3,PR_RelP3,IF(C217&lt;PR_RelA4,PR_RelP4,IF(C217&lt;PR_RelA5,PR_RelP5,PR_RelP6)))))</f>
        <v>0.15</v>
      </c>
      <c r="O217" s="1" t="n">
        <f aca="false">IF(G217=1,MIN(L217/H217,N217*MIN(K217/H217,PR_EarnCap))*H217,0)</f>
        <v>0</v>
      </c>
      <c r="P217" s="1" t="n">
        <f aca="false">IF(AND(G217=1,F_AE=1),MIN(K217/H217,PR_AEcap)*H217,0)</f>
        <v>0</v>
      </c>
      <c r="Q217" s="1" t="n">
        <f aca="false">IF(G217=1,IF(WI_Retire=1,MAX(0,M217+WI_M*12),M217)+(PR_AEee+PR_AEer+PR_AEst)*P217,0)</f>
        <v>0</v>
      </c>
      <c r="R217" s="1" t="n">
        <f aca="false">L217+PR_AEee*P217</f>
        <v>0</v>
      </c>
      <c r="S217" s="1" t="n">
        <f aca="false">AD216</f>
        <v>0</v>
      </c>
      <c r="T217" s="1" t="n">
        <f aca="false">IF(D217&lt;=2026,PR_SFT2026,IF(D217=2027,PR_SFT2027,IF(D217=2028,PR_SFT2028,IF(D217=2029,PR_SFT2029,PR_SFT2029*(1+AS_Infl)^(D217-2029)))))</f>
        <v>3091426.24896</v>
      </c>
      <c r="U217" s="1" t="n">
        <f aca="false">IF(AND(G217=0,C217=F_V),1,0)</f>
        <v>0</v>
      </c>
      <c r="V217" s="1" t="n">
        <f aca="false">IF(U217=1,PR_SFTrate*MAX(0,S217-T217),0)</f>
        <v>0</v>
      </c>
      <c r="W217" s="1" t="n">
        <f aca="false">S217-V217</f>
        <v>0</v>
      </c>
      <c r="X217" s="1" t="n">
        <f aca="false">IF(AND(U217=1,AS_LumpPct&gt;0),W217*MIN(AS_LumpPct,PR_LSmax),0)</f>
        <v>0</v>
      </c>
      <c r="Y217" s="1" t="n">
        <f aca="false">X217-(PR_LSrate*MAX(0,MIN(X217,PR_LScap)-PR_LSfree)+PR_r2*MAX(0,X217-PR_LScap))</f>
        <v>0</v>
      </c>
      <c r="Z217" s="1" t="n">
        <f aca="false">W217-X217</f>
        <v>0</v>
      </c>
      <c r="AA217" s="107" t="n">
        <f aca="false">IF(C217&gt;=61,IF(Z217&gt;PR_ARFbig,PR_ARFbigRate,IF(C217&gt;=71,PR_ARF71,PR_ARF61)),0)</f>
        <v>0</v>
      </c>
      <c r="AB217" s="1" t="n">
        <f aca="false">IF(AS_DrawRule="min",Z217*AA217,IF(AS_DrawRule="fixed",MAX(AS_DrawFixed*E217,Z217*AA217),Z217*MAX(1/MAX(1,AS_End-C217+1),AA217)))</f>
        <v>0</v>
      </c>
      <c r="AC217" s="1" t="n">
        <f aca="false">IF(AND(G217=0,C217&gt;=F_V),MIN(Z217,AB217),0)</f>
        <v>0</v>
      </c>
      <c r="AD217" s="1" t="n">
        <f aca="false">IF(G217=1,S217*(1+F_PenG)+Q217,IF(C217&lt;F_V,S217*(1+F_PenG),(Z217-AC217)*(1+AS_PenRet)))</f>
        <v>0</v>
      </c>
      <c r="AE217" s="1" t="n">
        <f aca="false">IF(C217&gt;=PR_SPage,AS_SP*F_SpF*I217+IF(C217&gt;=80,PR_Over80*PR_Weeks*I217,0),0)</f>
        <v>0</v>
      </c>
      <c r="AF217" s="1" t="n">
        <f aca="false">(F_OtherM+F_RentM)*12*E217</f>
        <v>0</v>
      </c>
      <c r="AG217" s="1" t="n">
        <f aca="false">F_PAge+B217</f>
        <v>7</v>
      </c>
      <c r="AH217" s="1" t="n">
        <f aca="false">IF(AND(F_Partner=1,F_PAge&gt;0,AG217&lt;IF(F_PRet&gt;0,F_PRet,66)),F_PIncome*F217,0)</f>
        <v>0</v>
      </c>
      <c r="AI217" s="1" t="n">
        <f aca="false">IF(AND(F_Partner=1,AG217&gt;=66,F_PSpQA=0),AS_SP*F_PSpF*I217,0)</f>
        <v>0</v>
      </c>
      <c r="AJ217" s="1" t="n">
        <f aca="false">IF(AND(F_Partner=1,F_PSpQA=1,C217&gt;=PR_SPage,AH217=0),IF(AG217&gt;=66,PR_QA66,PR_QAunder)*PR_Weeks*I217,0)</f>
        <v>0</v>
      </c>
      <c r="AK217" s="1" t="n">
        <f aca="false">AE217+AJ217</f>
        <v>0</v>
      </c>
      <c r="AL217" s="1" t="n">
        <f aca="false">K217/H217</f>
        <v>0</v>
      </c>
      <c r="AM217" s="1" t="n">
        <f aca="false">AK217/H217</f>
        <v>0</v>
      </c>
      <c r="AN217" s="1" t="n">
        <f aca="false">AC217/H217</f>
        <v>0</v>
      </c>
      <c r="AO217" s="1" t="n">
        <f aca="false">AF217/H217</f>
        <v>0</v>
      </c>
      <c r="AP217" s="1" t="n">
        <f aca="false">O217/H217</f>
        <v>0</v>
      </c>
      <c r="AQ217" s="1" t="n">
        <f aca="false">AH217/H217</f>
        <v>0</v>
      </c>
      <c r="AR217" s="1" t="n">
        <f aca="false">AI217/H217</f>
        <v>0</v>
      </c>
      <c r="AS217" s="1" t="n">
        <f aca="false">MAX(0,AL217+AN217+AO217+AM217-AP217)</f>
        <v>0</v>
      </c>
      <c r="AT217" s="1" t="n">
        <f aca="false">MAX(0,AQ217+AR217)</f>
        <v>0</v>
      </c>
      <c r="AU217" s="1" t="n">
        <f aca="false">MIN(PR_PAYE,PR_PAYEcap*(AL217+AN217+AM217))</f>
        <v>0</v>
      </c>
      <c r="AV217" s="1" t="n">
        <f aca="false">MIN(PR_PAYE,PR_PAYEcap*(AQ217+AR217))</f>
        <v>0</v>
      </c>
      <c r="AW217" s="1" t="n">
        <f aca="false">IF(C217&gt;=PR_AgeCrAge,PR_AgeCr,0)</f>
        <v>0</v>
      </c>
      <c r="AX217" s="1" t="n">
        <f aca="false">IF(AG217&gt;=PR_AgeCrAge,PR_AgeCr,0)</f>
        <v>0</v>
      </c>
      <c r="AY217" s="1" t="n">
        <f aca="false">IF(AND(F_RentCred=1,D217&lt;=PR_RentLast),1,0)</f>
        <v>0</v>
      </c>
      <c r="AZ217" s="1" t="n">
        <f aca="false">AS217+AT217</f>
        <v>0</v>
      </c>
      <c r="BA217" s="1" t="n">
        <f aca="false">PR_PersonalM+AU217+AV217+AW217+AX217+IF(AY217=1,PR_RentJoint,0)</f>
        <v>4000</v>
      </c>
      <c r="BB217" s="1" t="n">
        <f aca="false">PR_BandM+MIN(MIN(AS217,AT217),PR_Uplift)</f>
        <v>53000</v>
      </c>
      <c r="BC217" s="1" t="n">
        <f aca="false">MAX(0,PR_r1*MIN(AZ217,BB217)+PR_r2*MAX(0,AZ217-BB217)-BA217)</f>
        <v>0</v>
      </c>
      <c r="BD217" s="1" t="n">
        <f aca="false">MAX(0,PR_HomeCarer-MAX(0,MIN(AS217,AT217)-PR_HCLimit)/2)</f>
        <v>1950</v>
      </c>
      <c r="BE217" s="1" t="n">
        <f aca="false">IF(F_Carer=1,MIN(BC217,MAX(0,PR_r1*MIN(AZ217,PR_BandM)+PR_r2*MAX(0,AZ217-PR_BandM)-BA217-BD217)),BC217)</f>
        <v>0</v>
      </c>
      <c r="BF217" s="1" t="n">
        <f aca="false">IF(OR(C217&gt;=PR_AgeCrAge,AG217&gt;=PR_AgeCrAge),IF(AZ217&lt;=PR_AgeExM,0,MIN(BE217,PR_AgeMarg*(AZ217-PR_AgeExM))),BE217)</f>
        <v>0</v>
      </c>
      <c r="BG217" s="1" t="n">
        <f aca="false">MAX(0,PR_r1*MIN(AS217,IF(F_Spccc=1,PR_BandSPCCC,PR_Band))+PR_r2*MAX(0,AS217-IF(F_Spccc=1,PR_BandSPCCC,PR_Band))-(PR_Personal+AU217+AW217+IF(F_Spccc=1,PR_SPCCC,0)+IF(AY217=1,PR_Rent,0)))</f>
        <v>0</v>
      </c>
      <c r="BH217" s="1" t="n">
        <f aca="false">IF(C217&gt;=PR_AgeCrAge,IF(AS217&lt;=PR_AgeEx,0,MIN(BG217,PR_AgeMarg*(AS217-PR_AgeEx))),BG217)</f>
        <v>0</v>
      </c>
      <c r="BI217" s="1" t="n">
        <f aca="false">IF(F_Partner=1,MAX(0,PR_r1*MIN(AT217,PR_Band)+PR_r2*MAX(0,AT217-PR_Band)-(PR_Personal+AV217+AX217+IF(AND(AY217=1,AT217&gt;0),PR_Rent,0))),0)</f>
        <v>0</v>
      </c>
      <c r="BJ217" s="1" t="n">
        <f aca="false">IF(AG217&gt;=PR_AgeCrAge,IF(AT217&lt;=PR_AgeEx,0,MIN(BI217,PR_AgeMarg*(AT217-PR_AgeEx))),BI217)</f>
        <v>0</v>
      </c>
      <c r="BK217" s="1" t="n">
        <f aca="false">IF(F_Partner=1,IF(F_Married=1,BF217,BH217+BJ217),BH217)</f>
        <v>0</v>
      </c>
      <c r="BL217" s="1" t="n">
        <f aca="false">AL217+AN217+AO217</f>
        <v>0</v>
      </c>
      <c r="BM217" s="1" t="n">
        <f aca="false">IF(BL217&lt;=PR_USCex,0,IF(IF(AND(C217&gt;=PR_USCredAge,BL217&lt;=PR_USCredMax),1,0)=1,PR_USCr1*MIN(BL217,PR_USCredB1)+PR_USCredR2*MAX(0,BL217-PR_USCredB1),PR_USCr1*MIN(BL217,PR_USCb1)+PR_USCr2*MAX(0,MIN(BL217,PR_USCb2)-PR_USCb1)+PR_USCr3*MAX(0,MIN(BL217,PR_USCb3)-PR_USCb2)+PR_USCr4*MAX(0,BL217-PR_USCb3)))+IF(F_SelfEmp=1,PR_USCse*MAX(0,AL217-PR_USCseOver),0)</f>
        <v>0</v>
      </c>
      <c r="BN217" s="1" t="n">
        <f aca="false">AQ217</f>
        <v>0</v>
      </c>
      <c r="BO217" s="1" t="n">
        <f aca="false">IF(F_Partner=1,IF(BN217&lt;=PR_USCex,0,IF(IF(AND(AG217&gt;=PR_USCredAge,BN217&lt;=PR_USCredMax),1,0)=1,PR_USCr1*MIN(BN217,PR_USCredB1)+PR_USCredR2*MAX(0,BN217-PR_USCredB1),PR_USCr1*MIN(BN217,PR_USCb1)+PR_USCr2*MAX(0,MIN(BN217,PR_USCb2)-PR_USCb1)+PR_USCr3*MAX(0,MIN(BN217,PR_USCb3)-PR_USCb2)+PR_USCr4*MAX(0,BN217-PR_USCb3))),0)</f>
        <v>0</v>
      </c>
      <c r="BP217" s="1" t="n">
        <f aca="false">IF(C217&lt;PR_PRSIend,IF(F_SelfEmp=1,IF(AL217&gt;PR_PRSIsMinInc,MAX(PR_PRSIsMin,AL217*J217),0),IF(AL217/52&lt;=PR_PRSIfree,0,MAX(0,(AL217/52*J217-IF(AL217/52&lt;=PR_PRSIcreditTo,MAX(0,PR_PRSIcreditMax-(AL217/52-(PR_PRSIfree+0.01))/PR_PRSItaper),0))*52)))+J217*AN217+IF(AO217&gt;PR_PRSIunearned,J217*AO217,0),0)</f>
        <v>0</v>
      </c>
      <c r="BQ217" s="1" t="n">
        <f aca="false">IF(AND(F_Partner=1,AG217&lt;PR_PRSIend),IF(AQ217/52&lt;=PR_PRSIfree,0,MAX(0,(AQ217/52*J217-IF(AQ217/52&lt;=PR_PRSIcreditTo,MAX(0,PR_PRSIcreditMax-(AQ217/52-(PR_PRSIfree+0.01))/PR_PRSItaper),0))*52)),0)</f>
        <v>0</v>
      </c>
      <c r="BR217" s="1" t="n">
        <f aca="false">BK217+BM217+BO217+BP217+BQ217</f>
        <v>0</v>
      </c>
      <c r="BS217" s="1" t="n">
        <f aca="false">BR217*H217</f>
        <v>0</v>
      </c>
      <c r="BT217" s="1" t="n">
        <f aca="false">K217+AK217+AC217+AF217+AH217+AI217</f>
        <v>0</v>
      </c>
    </row>
    <row r="218" customFormat="false" ht="15" hidden="false" customHeight="false" outlineLevel="0" collapsed="false">
      <c r="B218" s="1" t="n">
        <v>8</v>
      </c>
      <c r="C218" s="1" t="n">
        <f aca="false">F_Age+B218</f>
        <v>8</v>
      </c>
      <c r="D218" s="1" t="n">
        <f aca="false">AS_Year0+B218</f>
        <v>2035</v>
      </c>
      <c r="E218" s="106" t="n">
        <f aca="false">(1+AS_Infl)^B218</f>
        <v>1.17165938100227</v>
      </c>
      <c r="F218" s="106" t="n">
        <f aca="false">(1+AS_Wage)^B218</f>
        <v>1.26677008138762</v>
      </c>
      <c r="G218" s="1" t="n">
        <f aca="false">IF(C218&lt;F_R,1,0)</f>
        <v>0</v>
      </c>
      <c r="H218" s="106" t="n">
        <f aca="false">IF(AS_Bands="flat",1,E218)</f>
        <v>1.17165938100227</v>
      </c>
      <c r="I218" s="106" t="n">
        <f aca="false">IF(AS_SpGrow="pay",F218,IF(AS_SpGrow="flat",1,E218))</f>
        <v>1.17165938100227</v>
      </c>
      <c r="J218" s="106" t="n">
        <f aca="false">(12*PR_PRSIr0+(PR_PRSIr1-PR_PRSIr0)*MAX(0,MIN(12,D218*12+12-PR_PRSIt1))+(PR_PRSIr2-PR_PRSIr1)*MAX(0,MIN(12,D218*12+12-PR_PRSIt2))+(PR_PRSIr3-PR_PRSIr2)*MAX(0,MIN(12,D218*12+12-PR_PRSIt3)))/12</f>
        <v>0.047</v>
      </c>
      <c r="K218" s="1" t="n">
        <f aca="false">IF(G218=1,F_Income*F218,0)</f>
        <v>0</v>
      </c>
      <c r="L218" s="1" t="n">
        <f aca="false">IF(G218=1,(F_Own+In_penExtra)*12*F218,0)</f>
        <v>0</v>
      </c>
      <c r="M218" s="1" t="n">
        <f aca="false">IF(G218=1,(F_PenM+In_penExtra)*12*F218,0)</f>
        <v>0</v>
      </c>
      <c r="N218" s="107" t="n">
        <f aca="false">IF(C218&lt;PR_RelA1,PR_RelP1,IF(C218&lt;PR_RelA2,PR_RelP2,IF(C218&lt;PR_RelA3,PR_RelP3,IF(C218&lt;PR_RelA4,PR_RelP4,IF(C218&lt;PR_RelA5,PR_RelP5,PR_RelP6)))))</f>
        <v>0.15</v>
      </c>
      <c r="O218" s="1" t="n">
        <f aca="false">IF(G218=1,MIN(L218/H218,N218*MIN(K218/H218,PR_EarnCap))*H218,0)</f>
        <v>0</v>
      </c>
      <c r="P218" s="1" t="n">
        <f aca="false">IF(AND(G218=1,F_AE=1),MIN(K218/H218,PR_AEcap)*H218,0)</f>
        <v>0</v>
      </c>
      <c r="Q218" s="1" t="n">
        <f aca="false">IF(G218=1,IF(WI_Retire=1,MAX(0,M218+WI_M*12),M218)+(PR_AEee+PR_AEer+PR_AEst)*P218,0)</f>
        <v>0</v>
      </c>
      <c r="R218" s="1" t="n">
        <f aca="false">L218+PR_AEee*P218</f>
        <v>0</v>
      </c>
      <c r="S218" s="1" t="n">
        <f aca="false">AD217</f>
        <v>0</v>
      </c>
      <c r="T218" s="1" t="n">
        <f aca="false">IF(D218&lt;=2026,PR_SFT2026,IF(D218=2027,PR_SFT2027,IF(D218=2028,PR_SFT2028,IF(D218=2029,PR_SFT2029,PR_SFT2029*(1+AS_Infl)^(D218-2029)))))</f>
        <v>3153254.7739392</v>
      </c>
      <c r="U218" s="1" t="n">
        <f aca="false">IF(AND(G218=0,C218=F_V),1,0)</f>
        <v>0</v>
      </c>
      <c r="V218" s="1" t="n">
        <f aca="false">IF(U218=1,PR_SFTrate*MAX(0,S218-T218),0)</f>
        <v>0</v>
      </c>
      <c r="W218" s="1" t="n">
        <f aca="false">S218-V218</f>
        <v>0</v>
      </c>
      <c r="X218" s="1" t="n">
        <f aca="false">IF(AND(U218=1,AS_LumpPct&gt;0),W218*MIN(AS_LumpPct,PR_LSmax),0)</f>
        <v>0</v>
      </c>
      <c r="Y218" s="1" t="n">
        <f aca="false">X218-(PR_LSrate*MAX(0,MIN(X218,PR_LScap)-PR_LSfree)+PR_r2*MAX(0,X218-PR_LScap))</f>
        <v>0</v>
      </c>
      <c r="Z218" s="1" t="n">
        <f aca="false">W218-X218</f>
        <v>0</v>
      </c>
      <c r="AA218" s="107" t="n">
        <f aca="false">IF(C218&gt;=61,IF(Z218&gt;PR_ARFbig,PR_ARFbigRate,IF(C218&gt;=71,PR_ARF71,PR_ARF61)),0)</f>
        <v>0</v>
      </c>
      <c r="AB218" s="1" t="n">
        <f aca="false">IF(AS_DrawRule="min",Z218*AA218,IF(AS_DrawRule="fixed",MAX(AS_DrawFixed*E218,Z218*AA218),Z218*MAX(1/MAX(1,AS_End-C218+1),AA218)))</f>
        <v>0</v>
      </c>
      <c r="AC218" s="1" t="n">
        <f aca="false">IF(AND(G218=0,C218&gt;=F_V),MIN(Z218,AB218),0)</f>
        <v>0</v>
      </c>
      <c r="AD218" s="1" t="n">
        <f aca="false">IF(G218=1,S218*(1+F_PenG)+Q218,IF(C218&lt;F_V,S218*(1+F_PenG),(Z218-AC218)*(1+AS_PenRet)))</f>
        <v>0</v>
      </c>
      <c r="AE218" s="1" t="n">
        <f aca="false">IF(C218&gt;=PR_SPage,AS_SP*F_SpF*I218+IF(C218&gt;=80,PR_Over80*PR_Weeks*I218,0),0)</f>
        <v>0</v>
      </c>
      <c r="AF218" s="1" t="n">
        <f aca="false">(F_OtherM+F_RentM)*12*E218</f>
        <v>0</v>
      </c>
      <c r="AG218" s="1" t="n">
        <f aca="false">F_PAge+B218</f>
        <v>8</v>
      </c>
      <c r="AH218" s="1" t="n">
        <f aca="false">IF(AND(F_Partner=1,F_PAge&gt;0,AG218&lt;IF(F_PRet&gt;0,F_PRet,66)),F_PIncome*F218,0)</f>
        <v>0</v>
      </c>
      <c r="AI218" s="1" t="n">
        <f aca="false">IF(AND(F_Partner=1,AG218&gt;=66,F_PSpQA=0),AS_SP*F_PSpF*I218,0)</f>
        <v>0</v>
      </c>
      <c r="AJ218" s="1" t="n">
        <f aca="false">IF(AND(F_Partner=1,F_PSpQA=1,C218&gt;=PR_SPage,AH218=0),IF(AG218&gt;=66,PR_QA66,PR_QAunder)*PR_Weeks*I218,0)</f>
        <v>0</v>
      </c>
      <c r="AK218" s="1" t="n">
        <f aca="false">AE218+AJ218</f>
        <v>0</v>
      </c>
      <c r="AL218" s="1" t="n">
        <f aca="false">K218/H218</f>
        <v>0</v>
      </c>
      <c r="AM218" s="1" t="n">
        <f aca="false">AK218/H218</f>
        <v>0</v>
      </c>
      <c r="AN218" s="1" t="n">
        <f aca="false">AC218/H218</f>
        <v>0</v>
      </c>
      <c r="AO218" s="1" t="n">
        <f aca="false">AF218/H218</f>
        <v>0</v>
      </c>
      <c r="AP218" s="1" t="n">
        <f aca="false">O218/H218</f>
        <v>0</v>
      </c>
      <c r="AQ218" s="1" t="n">
        <f aca="false">AH218/H218</f>
        <v>0</v>
      </c>
      <c r="AR218" s="1" t="n">
        <f aca="false">AI218/H218</f>
        <v>0</v>
      </c>
      <c r="AS218" s="1" t="n">
        <f aca="false">MAX(0,AL218+AN218+AO218+AM218-AP218)</f>
        <v>0</v>
      </c>
      <c r="AT218" s="1" t="n">
        <f aca="false">MAX(0,AQ218+AR218)</f>
        <v>0</v>
      </c>
      <c r="AU218" s="1" t="n">
        <f aca="false">MIN(PR_PAYE,PR_PAYEcap*(AL218+AN218+AM218))</f>
        <v>0</v>
      </c>
      <c r="AV218" s="1" t="n">
        <f aca="false">MIN(PR_PAYE,PR_PAYEcap*(AQ218+AR218))</f>
        <v>0</v>
      </c>
      <c r="AW218" s="1" t="n">
        <f aca="false">IF(C218&gt;=PR_AgeCrAge,PR_AgeCr,0)</f>
        <v>0</v>
      </c>
      <c r="AX218" s="1" t="n">
        <f aca="false">IF(AG218&gt;=PR_AgeCrAge,PR_AgeCr,0)</f>
        <v>0</v>
      </c>
      <c r="AY218" s="1" t="n">
        <f aca="false">IF(AND(F_RentCred=1,D218&lt;=PR_RentLast),1,0)</f>
        <v>0</v>
      </c>
      <c r="AZ218" s="1" t="n">
        <f aca="false">AS218+AT218</f>
        <v>0</v>
      </c>
      <c r="BA218" s="1" t="n">
        <f aca="false">PR_PersonalM+AU218+AV218+AW218+AX218+IF(AY218=1,PR_RentJoint,0)</f>
        <v>4000</v>
      </c>
      <c r="BB218" s="1" t="n">
        <f aca="false">PR_BandM+MIN(MIN(AS218,AT218),PR_Uplift)</f>
        <v>53000</v>
      </c>
      <c r="BC218" s="1" t="n">
        <f aca="false">MAX(0,PR_r1*MIN(AZ218,BB218)+PR_r2*MAX(0,AZ218-BB218)-BA218)</f>
        <v>0</v>
      </c>
      <c r="BD218" s="1" t="n">
        <f aca="false">MAX(0,PR_HomeCarer-MAX(0,MIN(AS218,AT218)-PR_HCLimit)/2)</f>
        <v>1950</v>
      </c>
      <c r="BE218" s="1" t="n">
        <f aca="false">IF(F_Carer=1,MIN(BC218,MAX(0,PR_r1*MIN(AZ218,PR_BandM)+PR_r2*MAX(0,AZ218-PR_BandM)-BA218-BD218)),BC218)</f>
        <v>0</v>
      </c>
      <c r="BF218" s="1" t="n">
        <f aca="false">IF(OR(C218&gt;=PR_AgeCrAge,AG218&gt;=PR_AgeCrAge),IF(AZ218&lt;=PR_AgeExM,0,MIN(BE218,PR_AgeMarg*(AZ218-PR_AgeExM))),BE218)</f>
        <v>0</v>
      </c>
      <c r="BG218" s="1" t="n">
        <f aca="false">MAX(0,PR_r1*MIN(AS218,IF(F_Spccc=1,PR_BandSPCCC,PR_Band))+PR_r2*MAX(0,AS218-IF(F_Spccc=1,PR_BandSPCCC,PR_Band))-(PR_Personal+AU218+AW218+IF(F_Spccc=1,PR_SPCCC,0)+IF(AY218=1,PR_Rent,0)))</f>
        <v>0</v>
      </c>
      <c r="BH218" s="1" t="n">
        <f aca="false">IF(C218&gt;=PR_AgeCrAge,IF(AS218&lt;=PR_AgeEx,0,MIN(BG218,PR_AgeMarg*(AS218-PR_AgeEx))),BG218)</f>
        <v>0</v>
      </c>
      <c r="BI218" s="1" t="n">
        <f aca="false">IF(F_Partner=1,MAX(0,PR_r1*MIN(AT218,PR_Band)+PR_r2*MAX(0,AT218-PR_Band)-(PR_Personal+AV218+AX218+IF(AND(AY218=1,AT218&gt;0),PR_Rent,0))),0)</f>
        <v>0</v>
      </c>
      <c r="BJ218" s="1" t="n">
        <f aca="false">IF(AG218&gt;=PR_AgeCrAge,IF(AT218&lt;=PR_AgeEx,0,MIN(BI218,PR_AgeMarg*(AT218-PR_AgeEx))),BI218)</f>
        <v>0</v>
      </c>
      <c r="BK218" s="1" t="n">
        <f aca="false">IF(F_Partner=1,IF(F_Married=1,BF218,BH218+BJ218),BH218)</f>
        <v>0</v>
      </c>
      <c r="BL218" s="1" t="n">
        <f aca="false">AL218+AN218+AO218</f>
        <v>0</v>
      </c>
      <c r="BM218" s="1" t="n">
        <f aca="false">IF(BL218&lt;=PR_USCex,0,IF(IF(AND(C218&gt;=PR_USCredAge,BL218&lt;=PR_USCredMax),1,0)=1,PR_USCr1*MIN(BL218,PR_USCredB1)+PR_USCredR2*MAX(0,BL218-PR_USCredB1),PR_USCr1*MIN(BL218,PR_USCb1)+PR_USCr2*MAX(0,MIN(BL218,PR_USCb2)-PR_USCb1)+PR_USCr3*MAX(0,MIN(BL218,PR_USCb3)-PR_USCb2)+PR_USCr4*MAX(0,BL218-PR_USCb3)))+IF(F_SelfEmp=1,PR_USCse*MAX(0,AL218-PR_USCseOver),0)</f>
        <v>0</v>
      </c>
      <c r="BN218" s="1" t="n">
        <f aca="false">AQ218</f>
        <v>0</v>
      </c>
      <c r="BO218" s="1" t="n">
        <f aca="false">IF(F_Partner=1,IF(BN218&lt;=PR_USCex,0,IF(IF(AND(AG218&gt;=PR_USCredAge,BN218&lt;=PR_USCredMax),1,0)=1,PR_USCr1*MIN(BN218,PR_USCredB1)+PR_USCredR2*MAX(0,BN218-PR_USCredB1),PR_USCr1*MIN(BN218,PR_USCb1)+PR_USCr2*MAX(0,MIN(BN218,PR_USCb2)-PR_USCb1)+PR_USCr3*MAX(0,MIN(BN218,PR_USCb3)-PR_USCb2)+PR_USCr4*MAX(0,BN218-PR_USCb3))),0)</f>
        <v>0</v>
      </c>
      <c r="BP218" s="1" t="n">
        <f aca="false">IF(C218&lt;PR_PRSIend,IF(F_SelfEmp=1,IF(AL218&gt;PR_PRSIsMinInc,MAX(PR_PRSIsMin,AL218*J218),0),IF(AL218/52&lt;=PR_PRSIfree,0,MAX(0,(AL218/52*J218-IF(AL218/52&lt;=PR_PRSIcreditTo,MAX(0,PR_PRSIcreditMax-(AL218/52-(PR_PRSIfree+0.01))/PR_PRSItaper),0))*52)))+J218*AN218+IF(AO218&gt;PR_PRSIunearned,J218*AO218,0),0)</f>
        <v>0</v>
      </c>
      <c r="BQ218" s="1" t="n">
        <f aca="false">IF(AND(F_Partner=1,AG218&lt;PR_PRSIend),IF(AQ218/52&lt;=PR_PRSIfree,0,MAX(0,(AQ218/52*J218-IF(AQ218/52&lt;=PR_PRSIcreditTo,MAX(0,PR_PRSIcreditMax-(AQ218/52-(PR_PRSIfree+0.01))/PR_PRSItaper),0))*52)),0)</f>
        <v>0</v>
      </c>
      <c r="BR218" s="1" t="n">
        <f aca="false">BK218+BM218+BO218+BP218+BQ218</f>
        <v>0</v>
      </c>
      <c r="BS218" s="1" t="n">
        <f aca="false">BR218*H218</f>
        <v>0</v>
      </c>
      <c r="BT218" s="1" t="n">
        <f aca="false">K218+AK218+AC218+AF218+AH218+AI218</f>
        <v>0</v>
      </c>
    </row>
    <row r="219" customFormat="false" ht="15" hidden="false" customHeight="false" outlineLevel="0" collapsed="false">
      <c r="B219" s="1" t="n">
        <v>9</v>
      </c>
      <c r="C219" s="1" t="n">
        <f aca="false">F_Age+B219</f>
        <v>9</v>
      </c>
      <c r="D219" s="1" t="n">
        <f aca="false">AS_Year0+B219</f>
        <v>2036</v>
      </c>
      <c r="E219" s="106" t="n">
        <f aca="false">(1+AS_Infl)^B219</f>
        <v>1.19509256862231</v>
      </c>
      <c r="F219" s="106" t="n">
        <f aca="false">(1+AS_Wage)^B219</f>
        <v>1.30477318382925</v>
      </c>
      <c r="G219" s="1" t="n">
        <f aca="false">IF(C219&lt;F_R,1,0)</f>
        <v>0</v>
      </c>
      <c r="H219" s="106" t="n">
        <f aca="false">IF(AS_Bands="flat",1,E219)</f>
        <v>1.19509256862231</v>
      </c>
      <c r="I219" s="106" t="n">
        <f aca="false">IF(AS_SpGrow="pay",F219,IF(AS_SpGrow="flat",1,E219))</f>
        <v>1.19509256862231</v>
      </c>
      <c r="J219" s="106" t="n">
        <f aca="false">(12*PR_PRSIr0+(PR_PRSIr1-PR_PRSIr0)*MAX(0,MIN(12,D219*12+12-PR_PRSIt1))+(PR_PRSIr2-PR_PRSIr1)*MAX(0,MIN(12,D219*12+12-PR_PRSIt2))+(PR_PRSIr3-PR_PRSIr2)*MAX(0,MIN(12,D219*12+12-PR_PRSIt3)))/12</f>
        <v>0.047</v>
      </c>
      <c r="K219" s="1" t="n">
        <f aca="false">IF(G219=1,F_Income*F219,0)</f>
        <v>0</v>
      </c>
      <c r="L219" s="1" t="n">
        <f aca="false">IF(G219=1,(F_Own+In_penExtra)*12*F219,0)</f>
        <v>0</v>
      </c>
      <c r="M219" s="1" t="n">
        <f aca="false">IF(G219=1,(F_PenM+In_penExtra)*12*F219,0)</f>
        <v>0</v>
      </c>
      <c r="N219" s="107" t="n">
        <f aca="false">IF(C219&lt;PR_RelA1,PR_RelP1,IF(C219&lt;PR_RelA2,PR_RelP2,IF(C219&lt;PR_RelA3,PR_RelP3,IF(C219&lt;PR_RelA4,PR_RelP4,IF(C219&lt;PR_RelA5,PR_RelP5,PR_RelP6)))))</f>
        <v>0.15</v>
      </c>
      <c r="O219" s="1" t="n">
        <f aca="false">IF(G219=1,MIN(L219/H219,N219*MIN(K219/H219,PR_EarnCap))*H219,0)</f>
        <v>0</v>
      </c>
      <c r="P219" s="1" t="n">
        <f aca="false">IF(AND(G219=1,F_AE=1),MIN(K219/H219,PR_AEcap)*H219,0)</f>
        <v>0</v>
      </c>
      <c r="Q219" s="1" t="n">
        <f aca="false">IF(G219=1,IF(WI_Retire=1,MAX(0,M219+WI_M*12),M219)+(PR_AEee+PR_AEer+PR_AEst)*P219,0)</f>
        <v>0</v>
      </c>
      <c r="R219" s="1" t="n">
        <f aca="false">L219+PR_AEee*P219</f>
        <v>0</v>
      </c>
      <c r="S219" s="1" t="n">
        <f aca="false">AD218</f>
        <v>0</v>
      </c>
      <c r="T219" s="1" t="n">
        <f aca="false">IF(D219&lt;=2026,PR_SFT2026,IF(D219=2027,PR_SFT2027,IF(D219=2028,PR_SFT2028,IF(D219=2029,PR_SFT2029,PR_SFT2029*(1+AS_Infl)^(D219-2029)))))</f>
        <v>3216319.86941798</v>
      </c>
      <c r="U219" s="1" t="n">
        <f aca="false">IF(AND(G219=0,C219=F_V),1,0)</f>
        <v>0</v>
      </c>
      <c r="V219" s="1" t="n">
        <f aca="false">IF(U219=1,PR_SFTrate*MAX(0,S219-T219),0)</f>
        <v>0</v>
      </c>
      <c r="W219" s="1" t="n">
        <f aca="false">S219-V219</f>
        <v>0</v>
      </c>
      <c r="X219" s="1" t="n">
        <f aca="false">IF(AND(U219=1,AS_LumpPct&gt;0),W219*MIN(AS_LumpPct,PR_LSmax),0)</f>
        <v>0</v>
      </c>
      <c r="Y219" s="1" t="n">
        <f aca="false">X219-(PR_LSrate*MAX(0,MIN(X219,PR_LScap)-PR_LSfree)+PR_r2*MAX(0,X219-PR_LScap))</f>
        <v>0</v>
      </c>
      <c r="Z219" s="1" t="n">
        <f aca="false">W219-X219</f>
        <v>0</v>
      </c>
      <c r="AA219" s="107" t="n">
        <f aca="false">IF(C219&gt;=61,IF(Z219&gt;PR_ARFbig,PR_ARFbigRate,IF(C219&gt;=71,PR_ARF71,PR_ARF61)),0)</f>
        <v>0</v>
      </c>
      <c r="AB219" s="1" t="n">
        <f aca="false">IF(AS_DrawRule="min",Z219*AA219,IF(AS_DrawRule="fixed",MAX(AS_DrawFixed*E219,Z219*AA219),Z219*MAX(1/MAX(1,AS_End-C219+1),AA219)))</f>
        <v>0</v>
      </c>
      <c r="AC219" s="1" t="n">
        <f aca="false">IF(AND(G219=0,C219&gt;=F_V),MIN(Z219,AB219),0)</f>
        <v>0</v>
      </c>
      <c r="AD219" s="1" t="n">
        <f aca="false">IF(G219=1,S219*(1+F_PenG)+Q219,IF(C219&lt;F_V,S219*(1+F_PenG),(Z219-AC219)*(1+AS_PenRet)))</f>
        <v>0</v>
      </c>
      <c r="AE219" s="1" t="n">
        <f aca="false">IF(C219&gt;=PR_SPage,AS_SP*F_SpF*I219+IF(C219&gt;=80,PR_Over80*PR_Weeks*I219,0),0)</f>
        <v>0</v>
      </c>
      <c r="AF219" s="1" t="n">
        <f aca="false">(F_OtherM+F_RentM)*12*E219</f>
        <v>0</v>
      </c>
      <c r="AG219" s="1" t="n">
        <f aca="false">F_PAge+B219</f>
        <v>9</v>
      </c>
      <c r="AH219" s="1" t="n">
        <f aca="false">IF(AND(F_Partner=1,F_PAge&gt;0,AG219&lt;IF(F_PRet&gt;0,F_PRet,66)),F_PIncome*F219,0)</f>
        <v>0</v>
      </c>
      <c r="AI219" s="1" t="n">
        <f aca="false">IF(AND(F_Partner=1,AG219&gt;=66,F_PSpQA=0),AS_SP*F_PSpF*I219,0)</f>
        <v>0</v>
      </c>
      <c r="AJ219" s="1" t="n">
        <f aca="false">IF(AND(F_Partner=1,F_PSpQA=1,C219&gt;=PR_SPage,AH219=0),IF(AG219&gt;=66,PR_QA66,PR_QAunder)*PR_Weeks*I219,0)</f>
        <v>0</v>
      </c>
      <c r="AK219" s="1" t="n">
        <f aca="false">AE219+AJ219</f>
        <v>0</v>
      </c>
      <c r="AL219" s="1" t="n">
        <f aca="false">K219/H219</f>
        <v>0</v>
      </c>
      <c r="AM219" s="1" t="n">
        <f aca="false">AK219/H219</f>
        <v>0</v>
      </c>
      <c r="AN219" s="1" t="n">
        <f aca="false">AC219/H219</f>
        <v>0</v>
      </c>
      <c r="AO219" s="1" t="n">
        <f aca="false">AF219/H219</f>
        <v>0</v>
      </c>
      <c r="AP219" s="1" t="n">
        <f aca="false">O219/H219</f>
        <v>0</v>
      </c>
      <c r="AQ219" s="1" t="n">
        <f aca="false">AH219/H219</f>
        <v>0</v>
      </c>
      <c r="AR219" s="1" t="n">
        <f aca="false">AI219/H219</f>
        <v>0</v>
      </c>
      <c r="AS219" s="1" t="n">
        <f aca="false">MAX(0,AL219+AN219+AO219+AM219-AP219)</f>
        <v>0</v>
      </c>
      <c r="AT219" s="1" t="n">
        <f aca="false">MAX(0,AQ219+AR219)</f>
        <v>0</v>
      </c>
      <c r="AU219" s="1" t="n">
        <f aca="false">MIN(PR_PAYE,PR_PAYEcap*(AL219+AN219+AM219))</f>
        <v>0</v>
      </c>
      <c r="AV219" s="1" t="n">
        <f aca="false">MIN(PR_PAYE,PR_PAYEcap*(AQ219+AR219))</f>
        <v>0</v>
      </c>
      <c r="AW219" s="1" t="n">
        <f aca="false">IF(C219&gt;=PR_AgeCrAge,PR_AgeCr,0)</f>
        <v>0</v>
      </c>
      <c r="AX219" s="1" t="n">
        <f aca="false">IF(AG219&gt;=PR_AgeCrAge,PR_AgeCr,0)</f>
        <v>0</v>
      </c>
      <c r="AY219" s="1" t="n">
        <f aca="false">IF(AND(F_RentCred=1,D219&lt;=PR_RentLast),1,0)</f>
        <v>0</v>
      </c>
      <c r="AZ219" s="1" t="n">
        <f aca="false">AS219+AT219</f>
        <v>0</v>
      </c>
      <c r="BA219" s="1" t="n">
        <f aca="false">PR_PersonalM+AU219+AV219+AW219+AX219+IF(AY219=1,PR_RentJoint,0)</f>
        <v>4000</v>
      </c>
      <c r="BB219" s="1" t="n">
        <f aca="false">PR_BandM+MIN(MIN(AS219,AT219),PR_Uplift)</f>
        <v>53000</v>
      </c>
      <c r="BC219" s="1" t="n">
        <f aca="false">MAX(0,PR_r1*MIN(AZ219,BB219)+PR_r2*MAX(0,AZ219-BB219)-BA219)</f>
        <v>0</v>
      </c>
      <c r="BD219" s="1" t="n">
        <f aca="false">MAX(0,PR_HomeCarer-MAX(0,MIN(AS219,AT219)-PR_HCLimit)/2)</f>
        <v>1950</v>
      </c>
      <c r="BE219" s="1" t="n">
        <f aca="false">IF(F_Carer=1,MIN(BC219,MAX(0,PR_r1*MIN(AZ219,PR_BandM)+PR_r2*MAX(0,AZ219-PR_BandM)-BA219-BD219)),BC219)</f>
        <v>0</v>
      </c>
      <c r="BF219" s="1" t="n">
        <f aca="false">IF(OR(C219&gt;=PR_AgeCrAge,AG219&gt;=PR_AgeCrAge),IF(AZ219&lt;=PR_AgeExM,0,MIN(BE219,PR_AgeMarg*(AZ219-PR_AgeExM))),BE219)</f>
        <v>0</v>
      </c>
      <c r="BG219" s="1" t="n">
        <f aca="false">MAX(0,PR_r1*MIN(AS219,IF(F_Spccc=1,PR_BandSPCCC,PR_Band))+PR_r2*MAX(0,AS219-IF(F_Spccc=1,PR_BandSPCCC,PR_Band))-(PR_Personal+AU219+AW219+IF(F_Spccc=1,PR_SPCCC,0)+IF(AY219=1,PR_Rent,0)))</f>
        <v>0</v>
      </c>
      <c r="BH219" s="1" t="n">
        <f aca="false">IF(C219&gt;=PR_AgeCrAge,IF(AS219&lt;=PR_AgeEx,0,MIN(BG219,PR_AgeMarg*(AS219-PR_AgeEx))),BG219)</f>
        <v>0</v>
      </c>
      <c r="BI219" s="1" t="n">
        <f aca="false">IF(F_Partner=1,MAX(0,PR_r1*MIN(AT219,PR_Band)+PR_r2*MAX(0,AT219-PR_Band)-(PR_Personal+AV219+AX219+IF(AND(AY219=1,AT219&gt;0),PR_Rent,0))),0)</f>
        <v>0</v>
      </c>
      <c r="BJ219" s="1" t="n">
        <f aca="false">IF(AG219&gt;=PR_AgeCrAge,IF(AT219&lt;=PR_AgeEx,0,MIN(BI219,PR_AgeMarg*(AT219-PR_AgeEx))),BI219)</f>
        <v>0</v>
      </c>
      <c r="BK219" s="1" t="n">
        <f aca="false">IF(F_Partner=1,IF(F_Married=1,BF219,BH219+BJ219),BH219)</f>
        <v>0</v>
      </c>
      <c r="BL219" s="1" t="n">
        <f aca="false">AL219+AN219+AO219</f>
        <v>0</v>
      </c>
      <c r="BM219" s="1" t="n">
        <f aca="false">IF(BL219&lt;=PR_USCex,0,IF(IF(AND(C219&gt;=PR_USCredAge,BL219&lt;=PR_USCredMax),1,0)=1,PR_USCr1*MIN(BL219,PR_USCredB1)+PR_USCredR2*MAX(0,BL219-PR_USCredB1),PR_USCr1*MIN(BL219,PR_USCb1)+PR_USCr2*MAX(0,MIN(BL219,PR_USCb2)-PR_USCb1)+PR_USCr3*MAX(0,MIN(BL219,PR_USCb3)-PR_USCb2)+PR_USCr4*MAX(0,BL219-PR_USCb3)))+IF(F_SelfEmp=1,PR_USCse*MAX(0,AL219-PR_USCseOver),0)</f>
        <v>0</v>
      </c>
      <c r="BN219" s="1" t="n">
        <f aca="false">AQ219</f>
        <v>0</v>
      </c>
      <c r="BO219" s="1" t="n">
        <f aca="false">IF(F_Partner=1,IF(BN219&lt;=PR_USCex,0,IF(IF(AND(AG219&gt;=PR_USCredAge,BN219&lt;=PR_USCredMax),1,0)=1,PR_USCr1*MIN(BN219,PR_USCredB1)+PR_USCredR2*MAX(0,BN219-PR_USCredB1),PR_USCr1*MIN(BN219,PR_USCb1)+PR_USCr2*MAX(0,MIN(BN219,PR_USCb2)-PR_USCb1)+PR_USCr3*MAX(0,MIN(BN219,PR_USCb3)-PR_USCb2)+PR_USCr4*MAX(0,BN219-PR_USCb3))),0)</f>
        <v>0</v>
      </c>
      <c r="BP219" s="1" t="n">
        <f aca="false">IF(C219&lt;PR_PRSIend,IF(F_SelfEmp=1,IF(AL219&gt;PR_PRSIsMinInc,MAX(PR_PRSIsMin,AL219*J219),0),IF(AL219/52&lt;=PR_PRSIfree,0,MAX(0,(AL219/52*J219-IF(AL219/52&lt;=PR_PRSIcreditTo,MAX(0,PR_PRSIcreditMax-(AL219/52-(PR_PRSIfree+0.01))/PR_PRSItaper),0))*52)))+J219*AN219+IF(AO219&gt;PR_PRSIunearned,J219*AO219,0),0)</f>
        <v>0</v>
      </c>
      <c r="BQ219" s="1" t="n">
        <f aca="false">IF(AND(F_Partner=1,AG219&lt;PR_PRSIend),IF(AQ219/52&lt;=PR_PRSIfree,0,MAX(0,(AQ219/52*J219-IF(AQ219/52&lt;=PR_PRSIcreditTo,MAX(0,PR_PRSIcreditMax-(AQ219/52-(PR_PRSIfree+0.01))/PR_PRSItaper),0))*52)),0)</f>
        <v>0</v>
      </c>
      <c r="BR219" s="1" t="n">
        <f aca="false">BK219+BM219+BO219+BP219+BQ219</f>
        <v>0</v>
      </c>
      <c r="BS219" s="1" t="n">
        <f aca="false">BR219*H219</f>
        <v>0</v>
      </c>
      <c r="BT219" s="1" t="n">
        <f aca="false">K219+AK219+AC219+AF219+AH219+AI219</f>
        <v>0</v>
      </c>
    </row>
    <row r="220" customFormat="false" ht="15" hidden="false" customHeight="false" outlineLevel="0" collapsed="false">
      <c r="B220" s="1" t="n">
        <v>10</v>
      </c>
      <c r="C220" s="1" t="n">
        <f aca="false">F_Age+B220</f>
        <v>10</v>
      </c>
      <c r="D220" s="1" t="n">
        <f aca="false">AS_Year0+B220</f>
        <v>2037</v>
      </c>
      <c r="E220" s="106" t="n">
        <f aca="false">(1+AS_Infl)^B220</f>
        <v>1.21899441999476</v>
      </c>
      <c r="F220" s="106" t="n">
        <f aca="false">(1+AS_Wage)^B220</f>
        <v>1.34391637934412</v>
      </c>
      <c r="G220" s="1" t="n">
        <f aca="false">IF(C220&lt;F_R,1,0)</f>
        <v>0</v>
      </c>
      <c r="H220" s="106" t="n">
        <f aca="false">IF(AS_Bands="flat",1,E220)</f>
        <v>1.21899441999476</v>
      </c>
      <c r="I220" s="106" t="n">
        <f aca="false">IF(AS_SpGrow="pay",F220,IF(AS_SpGrow="flat",1,E220))</f>
        <v>1.21899441999476</v>
      </c>
      <c r="J220" s="106" t="n">
        <f aca="false">(12*PR_PRSIr0+(PR_PRSIr1-PR_PRSIr0)*MAX(0,MIN(12,D220*12+12-PR_PRSIt1))+(PR_PRSIr2-PR_PRSIr1)*MAX(0,MIN(12,D220*12+12-PR_PRSIt2))+(PR_PRSIr3-PR_PRSIr2)*MAX(0,MIN(12,D220*12+12-PR_PRSIt3)))/12</f>
        <v>0.047</v>
      </c>
      <c r="K220" s="1" t="n">
        <f aca="false">IF(G220=1,F_Income*F220,0)</f>
        <v>0</v>
      </c>
      <c r="L220" s="1" t="n">
        <f aca="false">IF(G220=1,(F_Own+In_penExtra)*12*F220,0)</f>
        <v>0</v>
      </c>
      <c r="M220" s="1" t="n">
        <f aca="false">IF(G220=1,(F_PenM+In_penExtra)*12*F220,0)</f>
        <v>0</v>
      </c>
      <c r="N220" s="107" t="n">
        <f aca="false">IF(C220&lt;PR_RelA1,PR_RelP1,IF(C220&lt;PR_RelA2,PR_RelP2,IF(C220&lt;PR_RelA3,PR_RelP3,IF(C220&lt;PR_RelA4,PR_RelP4,IF(C220&lt;PR_RelA5,PR_RelP5,PR_RelP6)))))</f>
        <v>0.15</v>
      </c>
      <c r="O220" s="1" t="n">
        <f aca="false">IF(G220=1,MIN(L220/H220,N220*MIN(K220/H220,PR_EarnCap))*H220,0)</f>
        <v>0</v>
      </c>
      <c r="P220" s="1" t="n">
        <f aca="false">IF(AND(G220=1,F_AE=1),MIN(K220/H220,PR_AEcap)*H220,0)</f>
        <v>0</v>
      </c>
      <c r="Q220" s="1" t="n">
        <f aca="false">IF(G220=1,IF(WI_Retire=1,MAX(0,M220+WI_M*12),M220)+(PR_AEee+PR_AEer+PR_AEst)*P220,0)</f>
        <v>0</v>
      </c>
      <c r="R220" s="1" t="n">
        <f aca="false">L220+PR_AEee*P220</f>
        <v>0</v>
      </c>
      <c r="S220" s="1" t="n">
        <f aca="false">AD219</f>
        <v>0</v>
      </c>
      <c r="T220" s="1" t="n">
        <f aca="false">IF(D220&lt;=2026,PR_SFT2026,IF(D220=2027,PR_SFT2027,IF(D220=2028,PR_SFT2028,IF(D220=2029,PR_SFT2029,PR_SFT2029*(1+AS_Infl)^(D220-2029)))))</f>
        <v>3280646.26680634</v>
      </c>
      <c r="U220" s="1" t="n">
        <f aca="false">IF(AND(G220=0,C220=F_V),1,0)</f>
        <v>0</v>
      </c>
      <c r="V220" s="1" t="n">
        <f aca="false">IF(U220=1,PR_SFTrate*MAX(0,S220-T220),0)</f>
        <v>0</v>
      </c>
      <c r="W220" s="1" t="n">
        <f aca="false">S220-V220</f>
        <v>0</v>
      </c>
      <c r="X220" s="1" t="n">
        <f aca="false">IF(AND(U220=1,AS_LumpPct&gt;0),W220*MIN(AS_LumpPct,PR_LSmax),0)</f>
        <v>0</v>
      </c>
      <c r="Y220" s="1" t="n">
        <f aca="false">X220-(PR_LSrate*MAX(0,MIN(X220,PR_LScap)-PR_LSfree)+PR_r2*MAX(0,X220-PR_LScap))</f>
        <v>0</v>
      </c>
      <c r="Z220" s="1" t="n">
        <f aca="false">W220-X220</f>
        <v>0</v>
      </c>
      <c r="AA220" s="107" t="n">
        <f aca="false">IF(C220&gt;=61,IF(Z220&gt;PR_ARFbig,PR_ARFbigRate,IF(C220&gt;=71,PR_ARF71,PR_ARF61)),0)</f>
        <v>0</v>
      </c>
      <c r="AB220" s="1" t="n">
        <f aca="false">IF(AS_DrawRule="min",Z220*AA220,IF(AS_DrawRule="fixed",MAX(AS_DrawFixed*E220,Z220*AA220),Z220*MAX(1/MAX(1,AS_End-C220+1),AA220)))</f>
        <v>0</v>
      </c>
      <c r="AC220" s="1" t="n">
        <f aca="false">IF(AND(G220=0,C220&gt;=F_V),MIN(Z220,AB220),0)</f>
        <v>0</v>
      </c>
      <c r="AD220" s="1" t="n">
        <f aca="false">IF(G220=1,S220*(1+F_PenG)+Q220,IF(C220&lt;F_V,S220*(1+F_PenG),(Z220-AC220)*(1+AS_PenRet)))</f>
        <v>0</v>
      </c>
      <c r="AE220" s="1" t="n">
        <f aca="false">IF(C220&gt;=PR_SPage,AS_SP*F_SpF*I220+IF(C220&gt;=80,PR_Over80*PR_Weeks*I220,0),0)</f>
        <v>0</v>
      </c>
      <c r="AF220" s="1" t="n">
        <f aca="false">(F_OtherM+F_RentM)*12*E220</f>
        <v>0</v>
      </c>
      <c r="AG220" s="1" t="n">
        <f aca="false">F_PAge+B220</f>
        <v>10</v>
      </c>
      <c r="AH220" s="1" t="n">
        <f aca="false">IF(AND(F_Partner=1,F_PAge&gt;0,AG220&lt;IF(F_PRet&gt;0,F_PRet,66)),F_PIncome*F220,0)</f>
        <v>0</v>
      </c>
      <c r="AI220" s="1" t="n">
        <f aca="false">IF(AND(F_Partner=1,AG220&gt;=66,F_PSpQA=0),AS_SP*F_PSpF*I220,0)</f>
        <v>0</v>
      </c>
      <c r="AJ220" s="1" t="n">
        <f aca="false">IF(AND(F_Partner=1,F_PSpQA=1,C220&gt;=PR_SPage,AH220=0),IF(AG220&gt;=66,PR_QA66,PR_QAunder)*PR_Weeks*I220,0)</f>
        <v>0</v>
      </c>
      <c r="AK220" s="1" t="n">
        <f aca="false">AE220+AJ220</f>
        <v>0</v>
      </c>
      <c r="AL220" s="1" t="n">
        <f aca="false">K220/H220</f>
        <v>0</v>
      </c>
      <c r="AM220" s="1" t="n">
        <f aca="false">AK220/H220</f>
        <v>0</v>
      </c>
      <c r="AN220" s="1" t="n">
        <f aca="false">AC220/H220</f>
        <v>0</v>
      </c>
      <c r="AO220" s="1" t="n">
        <f aca="false">AF220/H220</f>
        <v>0</v>
      </c>
      <c r="AP220" s="1" t="n">
        <f aca="false">O220/H220</f>
        <v>0</v>
      </c>
      <c r="AQ220" s="1" t="n">
        <f aca="false">AH220/H220</f>
        <v>0</v>
      </c>
      <c r="AR220" s="1" t="n">
        <f aca="false">AI220/H220</f>
        <v>0</v>
      </c>
      <c r="AS220" s="1" t="n">
        <f aca="false">MAX(0,AL220+AN220+AO220+AM220-AP220)</f>
        <v>0</v>
      </c>
      <c r="AT220" s="1" t="n">
        <f aca="false">MAX(0,AQ220+AR220)</f>
        <v>0</v>
      </c>
      <c r="AU220" s="1" t="n">
        <f aca="false">MIN(PR_PAYE,PR_PAYEcap*(AL220+AN220+AM220))</f>
        <v>0</v>
      </c>
      <c r="AV220" s="1" t="n">
        <f aca="false">MIN(PR_PAYE,PR_PAYEcap*(AQ220+AR220))</f>
        <v>0</v>
      </c>
      <c r="AW220" s="1" t="n">
        <f aca="false">IF(C220&gt;=PR_AgeCrAge,PR_AgeCr,0)</f>
        <v>0</v>
      </c>
      <c r="AX220" s="1" t="n">
        <f aca="false">IF(AG220&gt;=PR_AgeCrAge,PR_AgeCr,0)</f>
        <v>0</v>
      </c>
      <c r="AY220" s="1" t="n">
        <f aca="false">IF(AND(F_RentCred=1,D220&lt;=PR_RentLast),1,0)</f>
        <v>0</v>
      </c>
      <c r="AZ220" s="1" t="n">
        <f aca="false">AS220+AT220</f>
        <v>0</v>
      </c>
      <c r="BA220" s="1" t="n">
        <f aca="false">PR_PersonalM+AU220+AV220+AW220+AX220+IF(AY220=1,PR_RentJoint,0)</f>
        <v>4000</v>
      </c>
      <c r="BB220" s="1" t="n">
        <f aca="false">PR_BandM+MIN(MIN(AS220,AT220),PR_Uplift)</f>
        <v>53000</v>
      </c>
      <c r="BC220" s="1" t="n">
        <f aca="false">MAX(0,PR_r1*MIN(AZ220,BB220)+PR_r2*MAX(0,AZ220-BB220)-BA220)</f>
        <v>0</v>
      </c>
      <c r="BD220" s="1" t="n">
        <f aca="false">MAX(0,PR_HomeCarer-MAX(0,MIN(AS220,AT220)-PR_HCLimit)/2)</f>
        <v>1950</v>
      </c>
      <c r="BE220" s="1" t="n">
        <f aca="false">IF(F_Carer=1,MIN(BC220,MAX(0,PR_r1*MIN(AZ220,PR_BandM)+PR_r2*MAX(0,AZ220-PR_BandM)-BA220-BD220)),BC220)</f>
        <v>0</v>
      </c>
      <c r="BF220" s="1" t="n">
        <f aca="false">IF(OR(C220&gt;=PR_AgeCrAge,AG220&gt;=PR_AgeCrAge),IF(AZ220&lt;=PR_AgeExM,0,MIN(BE220,PR_AgeMarg*(AZ220-PR_AgeExM))),BE220)</f>
        <v>0</v>
      </c>
      <c r="BG220" s="1" t="n">
        <f aca="false">MAX(0,PR_r1*MIN(AS220,IF(F_Spccc=1,PR_BandSPCCC,PR_Band))+PR_r2*MAX(0,AS220-IF(F_Spccc=1,PR_BandSPCCC,PR_Band))-(PR_Personal+AU220+AW220+IF(F_Spccc=1,PR_SPCCC,0)+IF(AY220=1,PR_Rent,0)))</f>
        <v>0</v>
      </c>
      <c r="BH220" s="1" t="n">
        <f aca="false">IF(C220&gt;=PR_AgeCrAge,IF(AS220&lt;=PR_AgeEx,0,MIN(BG220,PR_AgeMarg*(AS220-PR_AgeEx))),BG220)</f>
        <v>0</v>
      </c>
      <c r="BI220" s="1" t="n">
        <f aca="false">IF(F_Partner=1,MAX(0,PR_r1*MIN(AT220,PR_Band)+PR_r2*MAX(0,AT220-PR_Band)-(PR_Personal+AV220+AX220+IF(AND(AY220=1,AT220&gt;0),PR_Rent,0))),0)</f>
        <v>0</v>
      </c>
      <c r="BJ220" s="1" t="n">
        <f aca="false">IF(AG220&gt;=PR_AgeCrAge,IF(AT220&lt;=PR_AgeEx,0,MIN(BI220,PR_AgeMarg*(AT220-PR_AgeEx))),BI220)</f>
        <v>0</v>
      </c>
      <c r="BK220" s="1" t="n">
        <f aca="false">IF(F_Partner=1,IF(F_Married=1,BF220,BH220+BJ220),BH220)</f>
        <v>0</v>
      </c>
      <c r="BL220" s="1" t="n">
        <f aca="false">AL220+AN220+AO220</f>
        <v>0</v>
      </c>
      <c r="BM220" s="1" t="n">
        <f aca="false">IF(BL220&lt;=PR_USCex,0,IF(IF(AND(C220&gt;=PR_USCredAge,BL220&lt;=PR_USCredMax),1,0)=1,PR_USCr1*MIN(BL220,PR_USCredB1)+PR_USCredR2*MAX(0,BL220-PR_USCredB1),PR_USCr1*MIN(BL220,PR_USCb1)+PR_USCr2*MAX(0,MIN(BL220,PR_USCb2)-PR_USCb1)+PR_USCr3*MAX(0,MIN(BL220,PR_USCb3)-PR_USCb2)+PR_USCr4*MAX(0,BL220-PR_USCb3)))+IF(F_SelfEmp=1,PR_USCse*MAX(0,AL220-PR_USCseOver),0)</f>
        <v>0</v>
      </c>
      <c r="BN220" s="1" t="n">
        <f aca="false">AQ220</f>
        <v>0</v>
      </c>
      <c r="BO220" s="1" t="n">
        <f aca="false">IF(F_Partner=1,IF(BN220&lt;=PR_USCex,0,IF(IF(AND(AG220&gt;=PR_USCredAge,BN220&lt;=PR_USCredMax),1,0)=1,PR_USCr1*MIN(BN220,PR_USCredB1)+PR_USCredR2*MAX(0,BN220-PR_USCredB1),PR_USCr1*MIN(BN220,PR_USCb1)+PR_USCr2*MAX(0,MIN(BN220,PR_USCb2)-PR_USCb1)+PR_USCr3*MAX(0,MIN(BN220,PR_USCb3)-PR_USCb2)+PR_USCr4*MAX(0,BN220-PR_USCb3))),0)</f>
        <v>0</v>
      </c>
      <c r="BP220" s="1" t="n">
        <f aca="false">IF(C220&lt;PR_PRSIend,IF(F_SelfEmp=1,IF(AL220&gt;PR_PRSIsMinInc,MAX(PR_PRSIsMin,AL220*J220),0),IF(AL220/52&lt;=PR_PRSIfree,0,MAX(0,(AL220/52*J220-IF(AL220/52&lt;=PR_PRSIcreditTo,MAX(0,PR_PRSIcreditMax-(AL220/52-(PR_PRSIfree+0.01))/PR_PRSItaper),0))*52)))+J220*AN220+IF(AO220&gt;PR_PRSIunearned,J220*AO220,0),0)</f>
        <v>0</v>
      </c>
      <c r="BQ220" s="1" t="n">
        <f aca="false">IF(AND(F_Partner=1,AG220&lt;PR_PRSIend),IF(AQ220/52&lt;=PR_PRSIfree,0,MAX(0,(AQ220/52*J220-IF(AQ220/52&lt;=PR_PRSIcreditTo,MAX(0,PR_PRSIcreditMax-(AQ220/52-(PR_PRSIfree+0.01))/PR_PRSItaper),0))*52)),0)</f>
        <v>0</v>
      </c>
      <c r="BR220" s="1" t="n">
        <f aca="false">BK220+BM220+BO220+BP220+BQ220</f>
        <v>0</v>
      </c>
      <c r="BS220" s="1" t="n">
        <f aca="false">BR220*H220</f>
        <v>0</v>
      </c>
      <c r="BT220" s="1" t="n">
        <f aca="false">K220+AK220+AC220+AF220+AH220+AI220</f>
        <v>0</v>
      </c>
    </row>
    <row r="221" customFormat="false" ht="15" hidden="false" customHeight="false" outlineLevel="0" collapsed="false">
      <c r="B221" s="1" t="n">
        <v>11</v>
      </c>
      <c r="C221" s="1" t="n">
        <f aca="false">F_Age+B221</f>
        <v>11</v>
      </c>
      <c r="D221" s="1" t="n">
        <f aca="false">AS_Year0+B221</f>
        <v>2038</v>
      </c>
      <c r="E221" s="106" t="n">
        <f aca="false">(1+AS_Infl)^B221</f>
        <v>1.24337430839465</v>
      </c>
      <c r="F221" s="106" t="n">
        <f aca="false">(1+AS_Wage)^B221</f>
        <v>1.38423387072445</v>
      </c>
      <c r="G221" s="1" t="n">
        <f aca="false">IF(C221&lt;F_R,1,0)</f>
        <v>0</v>
      </c>
      <c r="H221" s="106" t="n">
        <f aca="false">IF(AS_Bands="flat",1,E221)</f>
        <v>1.24337430839465</v>
      </c>
      <c r="I221" s="106" t="n">
        <f aca="false">IF(AS_SpGrow="pay",F221,IF(AS_SpGrow="flat",1,E221))</f>
        <v>1.24337430839465</v>
      </c>
      <c r="J221" s="106" t="n">
        <f aca="false">(12*PR_PRSIr0+(PR_PRSIr1-PR_PRSIr0)*MAX(0,MIN(12,D221*12+12-PR_PRSIt1))+(PR_PRSIr2-PR_PRSIr1)*MAX(0,MIN(12,D221*12+12-PR_PRSIt2))+(PR_PRSIr3-PR_PRSIr2)*MAX(0,MIN(12,D221*12+12-PR_PRSIt3)))/12</f>
        <v>0.047</v>
      </c>
      <c r="K221" s="1" t="n">
        <f aca="false">IF(G221=1,F_Income*F221,0)</f>
        <v>0</v>
      </c>
      <c r="L221" s="1" t="n">
        <f aca="false">IF(G221=1,(F_Own+In_penExtra)*12*F221,0)</f>
        <v>0</v>
      </c>
      <c r="M221" s="1" t="n">
        <f aca="false">IF(G221=1,(F_PenM+In_penExtra)*12*F221,0)</f>
        <v>0</v>
      </c>
      <c r="N221" s="107" t="n">
        <f aca="false">IF(C221&lt;PR_RelA1,PR_RelP1,IF(C221&lt;PR_RelA2,PR_RelP2,IF(C221&lt;PR_RelA3,PR_RelP3,IF(C221&lt;PR_RelA4,PR_RelP4,IF(C221&lt;PR_RelA5,PR_RelP5,PR_RelP6)))))</f>
        <v>0.15</v>
      </c>
      <c r="O221" s="1" t="n">
        <f aca="false">IF(G221=1,MIN(L221/H221,N221*MIN(K221/H221,PR_EarnCap))*H221,0)</f>
        <v>0</v>
      </c>
      <c r="P221" s="1" t="n">
        <f aca="false">IF(AND(G221=1,F_AE=1),MIN(K221/H221,PR_AEcap)*H221,0)</f>
        <v>0</v>
      </c>
      <c r="Q221" s="1" t="n">
        <f aca="false">IF(G221=1,IF(WI_Retire=1,MAX(0,M221+WI_M*12),M221)+(PR_AEee+PR_AEer+PR_AEst)*P221,0)</f>
        <v>0</v>
      </c>
      <c r="R221" s="1" t="n">
        <f aca="false">L221+PR_AEee*P221</f>
        <v>0</v>
      </c>
      <c r="S221" s="1" t="n">
        <f aca="false">AD220</f>
        <v>0</v>
      </c>
      <c r="T221" s="1" t="n">
        <f aca="false">IF(D221&lt;=2026,PR_SFT2026,IF(D221=2027,PR_SFT2027,IF(D221=2028,PR_SFT2028,IF(D221=2029,PR_SFT2029,PR_SFT2029*(1+AS_Infl)^(D221-2029)))))</f>
        <v>3346259.19214247</v>
      </c>
      <c r="U221" s="1" t="n">
        <f aca="false">IF(AND(G221=0,C221=F_V),1,0)</f>
        <v>0</v>
      </c>
      <c r="V221" s="1" t="n">
        <f aca="false">IF(U221=1,PR_SFTrate*MAX(0,S221-T221),0)</f>
        <v>0</v>
      </c>
      <c r="W221" s="1" t="n">
        <f aca="false">S221-V221</f>
        <v>0</v>
      </c>
      <c r="X221" s="1" t="n">
        <f aca="false">IF(AND(U221=1,AS_LumpPct&gt;0),W221*MIN(AS_LumpPct,PR_LSmax),0)</f>
        <v>0</v>
      </c>
      <c r="Y221" s="1" t="n">
        <f aca="false">X221-(PR_LSrate*MAX(0,MIN(X221,PR_LScap)-PR_LSfree)+PR_r2*MAX(0,X221-PR_LScap))</f>
        <v>0</v>
      </c>
      <c r="Z221" s="1" t="n">
        <f aca="false">W221-X221</f>
        <v>0</v>
      </c>
      <c r="AA221" s="107" t="n">
        <f aca="false">IF(C221&gt;=61,IF(Z221&gt;PR_ARFbig,PR_ARFbigRate,IF(C221&gt;=71,PR_ARF71,PR_ARF61)),0)</f>
        <v>0</v>
      </c>
      <c r="AB221" s="1" t="n">
        <f aca="false">IF(AS_DrawRule="min",Z221*AA221,IF(AS_DrawRule="fixed",MAX(AS_DrawFixed*E221,Z221*AA221),Z221*MAX(1/MAX(1,AS_End-C221+1),AA221)))</f>
        <v>0</v>
      </c>
      <c r="AC221" s="1" t="n">
        <f aca="false">IF(AND(G221=0,C221&gt;=F_V),MIN(Z221,AB221),0)</f>
        <v>0</v>
      </c>
      <c r="AD221" s="1" t="n">
        <f aca="false">IF(G221=1,S221*(1+F_PenG)+Q221,IF(C221&lt;F_V,S221*(1+F_PenG),(Z221-AC221)*(1+AS_PenRet)))</f>
        <v>0</v>
      </c>
      <c r="AE221" s="1" t="n">
        <f aca="false">IF(C221&gt;=PR_SPage,AS_SP*F_SpF*I221+IF(C221&gt;=80,PR_Over80*PR_Weeks*I221,0),0)</f>
        <v>0</v>
      </c>
      <c r="AF221" s="1" t="n">
        <f aca="false">(F_OtherM+F_RentM)*12*E221</f>
        <v>0</v>
      </c>
      <c r="AG221" s="1" t="n">
        <f aca="false">F_PAge+B221</f>
        <v>11</v>
      </c>
      <c r="AH221" s="1" t="n">
        <f aca="false">IF(AND(F_Partner=1,F_PAge&gt;0,AG221&lt;IF(F_PRet&gt;0,F_PRet,66)),F_PIncome*F221,0)</f>
        <v>0</v>
      </c>
      <c r="AI221" s="1" t="n">
        <f aca="false">IF(AND(F_Partner=1,AG221&gt;=66,F_PSpQA=0),AS_SP*F_PSpF*I221,0)</f>
        <v>0</v>
      </c>
      <c r="AJ221" s="1" t="n">
        <f aca="false">IF(AND(F_Partner=1,F_PSpQA=1,C221&gt;=PR_SPage,AH221=0),IF(AG221&gt;=66,PR_QA66,PR_QAunder)*PR_Weeks*I221,0)</f>
        <v>0</v>
      </c>
      <c r="AK221" s="1" t="n">
        <f aca="false">AE221+AJ221</f>
        <v>0</v>
      </c>
      <c r="AL221" s="1" t="n">
        <f aca="false">K221/H221</f>
        <v>0</v>
      </c>
      <c r="AM221" s="1" t="n">
        <f aca="false">AK221/H221</f>
        <v>0</v>
      </c>
      <c r="AN221" s="1" t="n">
        <f aca="false">AC221/H221</f>
        <v>0</v>
      </c>
      <c r="AO221" s="1" t="n">
        <f aca="false">AF221/H221</f>
        <v>0</v>
      </c>
      <c r="AP221" s="1" t="n">
        <f aca="false">O221/H221</f>
        <v>0</v>
      </c>
      <c r="AQ221" s="1" t="n">
        <f aca="false">AH221/H221</f>
        <v>0</v>
      </c>
      <c r="AR221" s="1" t="n">
        <f aca="false">AI221/H221</f>
        <v>0</v>
      </c>
      <c r="AS221" s="1" t="n">
        <f aca="false">MAX(0,AL221+AN221+AO221+AM221-AP221)</f>
        <v>0</v>
      </c>
      <c r="AT221" s="1" t="n">
        <f aca="false">MAX(0,AQ221+AR221)</f>
        <v>0</v>
      </c>
      <c r="AU221" s="1" t="n">
        <f aca="false">MIN(PR_PAYE,PR_PAYEcap*(AL221+AN221+AM221))</f>
        <v>0</v>
      </c>
      <c r="AV221" s="1" t="n">
        <f aca="false">MIN(PR_PAYE,PR_PAYEcap*(AQ221+AR221))</f>
        <v>0</v>
      </c>
      <c r="AW221" s="1" t="n">
        <f aca="false">IF(C221&gt;=PR_AgeCrAge,PR_AgeCr,0)</f>
        <v>0</v>
      </c>
      <c r="AX221" s="1" t="n">
        <f aca="false">IF(AG221&gt;=PR_AgeCrAge,PR_AgeCr,0)</f>
        <v>0</v>
      </c>
      <c r="AY221" s="1" t="n">
        <f aca="false">IF(AND(F_RentCred=1,D221&lt;=PR_RentLast),1,0)</f>
        <v>0</v>
      </c>
      <c r="AZ221" s="1" t="n">
        <f aca="false">AS221+AT221</f>
        <v>0</v>
      </c>
      <c r="BA221" s="1" t="n">
        <f aca="false">PR_PersonalM+AU221+AV221+AW221+AX221+IF(AY221=1,PR_RentJoint,0)</f>
        <v>4000</v>
      </c>
      <c r="BB221" s="1" t="n">
        <f aca="false">PR_BandM+MIN(MIN(AS221,AT221),PR_Uplift)</f>
        <v>53000</v>
      </c>
      <c r="BC221" s="1" t="n">
        <f aca="false">MAX(0,PR_r1*MIN(AZ221,BB221)+PR_r2*MAX(0,AZ221-BB221)-BA221)</f>
        <v>0</v>
      </c>
      <c r="BD221" s="1" t="n">
        <f aca="false">MAX(0,PR_HomeCarer-MAX(0,MIN(AS221,AT221)-PR_HCLimit)/2)</f>
        <v>1950</v>
      </c>
      <c r="BE221" s="1" t="n">
        <f aca="false">IF(F_Carer=1,MIN(BC221,MAX(0,PR_r1*MIN(AZ221,PR_BandM)+PR_r2*MAX(0,AZ221-PR_BandM)-BA221-BD221)),BC221)</f>
        <v>0</v>
      </c>
      <c r="BF221" s="1" t="n">
        <f aca="false">IF(OR(C221&gt;=PR_AgeCrAge,AG221&gt;=PR_AgeCrAge),IF(AZ221&lt;=PR_AgeExM,0,MIN(BE221,PR_AgeMarg*(AZ221-PR_AgeExM))),BE221)</f>
        <v>0</v>
      </c>
      <c r="BG221" s="1" t="n">
        <f aca="false">MAX(0,PR_r1*MIN(AS221,IF(F_Spccc=1,PR_BandSPCCC,PR_Band))+PR_r2*MAX(0,AS221-IF(F_Spccc=1,PR_BandSPCCC,PR_Band))-(PR_Personal+AU221+AW221+IF(F_Spccc=1,PR_SPCCC,0)+IF(AY221=1,PR_Rent,0)))</f>
        <v>0</v>
      </c>
      <c r="BH221" s="1" t="n">
        <f aca="false">IF(C221&gt;=PR_AgeCrAge,IF(AS221&lt;=PR_AgeEx,0,MIN(BG221,PR_AgeMarg*(AS221-PR_AgeEx))),BG221)</f>
        <v>0</v>
      </c>
      <c r="BI221" s="1" t="n">
        <f aca="false">IF(F_Partner=1,MAX(0,PR_r1*MIN(AT221,PR_Band)+PR_r2*MAX(0,AT221-PR_Band)-(PR_Personal+AV221+AX221+IF(AND(AY221=1,AT221&gt;0),PR_Rent,0))),0)</f>
        <v>0</v>
      </c>
      <c r="BJ221" s="1" t="n">
        <f aca="false">IF(AG221&gt;=PR_AgeCrAge,IF(AT221&lt;=PR_AgeEx,0,MIN(BI221,PR_AgeMarg*(AT221-PR_AgeEx))),BI221)</f>
        <v>0</v>
      </c>
      <c r="BK221" s="1" t="n">
        <f aca="false">IF(F_Partner=1,IF(F_Married=1,BF221,BH221+BJ221),BH221)</f>
        <v>0</v>
      </c>
      <c r="BL221" s="1" t="n">
        <f aca="false">AL221+AN221+AO221</f>
        <v>0</v>
      </c>
      <c r="BM221" s="1" t="n">
        <f aca="false">IF(BL221&lt;=PR_USCex,0,IF(IF(AND(C221&gt;=PR_USCredAge,BL221&lt;=PR_USCredMax),1,0)=1,PR_USCr1*MIN(BL221,PR_USCredB1)+PR_USCredR2*MAX(0,BL221-PR_USCredB1),PR_USCr1*MIN(BL221,PR_USCb1)+PR_USCr2*MAX(0,MIN(BL221,PR_USCb2)-PR_USCb1)+PR_USCr3*MAX(0,MIN(BL221,PR_USCb3)-PR_USCb2)+PR_USCr4*MAX(0,BL221-PR_USCb3)))+IF(F_SelfEmp=1,PR_USCse*MAX(0,AL221-PR_USCseOver),0)</f>
        <v>0</v>
      </c>
      <c r="BN221" s="1" t="n">
        <f aca="false">AQ221</f>
        <v>0</v>
      </c>
      <c r="BO221" s="1" t="n">
        <f aca="false">IF(F_Partner=1,IF(BN221&lt;=PR_USCex,0,IF(IF(AND(AG221&gt;=PR_USCredAge,BN221&lt;=PR_USCredMax),1,0)=1,PR_USCr1*MIN(BN221,PR_USCredB1)+PR_USCredR2*MAX(0,BN221-PR_USCredB1),PR_USCr1*MIN(BN221,PR_USCb1)+PR_USCr2*MAX(0,MIN(BN221,PR_USCb2)-PR_USCb1)+PR_USCr3*MAX(0,MIN(BN221,PR_USCb3)-PR_USCb2)+PR_USCr4*MAX(0,BN221-PR_USCb3))),0)</f>
        <v>0</v>
      </c>
      <c r="BP221" s="1" t="n">
        <f aca="false">IF(C221&lt;PR_PRSIend,IF(F_SelfEmp=1,IF(AL221&gt;PR_PRSIsMinInc,MAX(PR_PRSIsMin,AL221*J221),0),IF(AL221/52&lt;=PR_PRSIfree,0,MAX(0,(AL221/52*J221-IF(AL221/52&lt;=PR_PRSIcreditTo,MAX(0,PR_PRSIcreditMax-(AL221/52-(PR_PRSIfree+0.01))/PR_PRSItaper),0))*52)))+J221*AN221+IF(AO221&gt;PR_PRSIunearned,J221*AO221,0),0)</f>
        <v>0</v>
      </c>
      <c r="BQ221" s="1" t="n">
        <f aca="false">IF(AND(F_Partner=1,AG221&lt;PR_PRSIend),IF(AQ221/52&lt;=PR_PRSIfree,0,MAX(0,(AQ221/52*J221-IF(AQ221/52&lt;=PR_PRSIcreditTo,MAX(0,PR_PRSIcreditMax-(AQ221/52-(PR_PRSIfree+0.01))/PR_PRSItaper),0))*52)),0)</f>
        <v>0</v>
      </c>
      <c r="BR221" s="1" t="n">
        <f aca="false">BK221+BM221+BO221+BP221+BQ221</f>
        <v>0</v>
      </c>
      <c r="BS221" s="1" t="n">
        <f aca="false">BR221*H221</f>
        <v>0</v>
      </c>
      <c r="BT221" s="1" t="n">
        <f aca="false">K221+AK221+AC221+AF221+AH221+AI221</f>
        <v>0</v>
      </c>
    </row>
    <row r="222" customFormat="false" ht="15" hidden="false" customHeight="false" outlineLevel="0" collapsed="false">
      <c r="B222" s="1" t="n">
        <v>12</v>
      </c>
      <c r="C222" s="1" t="n">
        <f aca="false">F_Age+B222</f>
        <v>12</v>
      </c>
      <c r="D222" s="1" t="n">
        <f aca="false">AS_Year0+B222</f>
        <v>2039</v>
      </c>
      <c r="E222" s="106" t="n">
        <f aca="false">(1+AS_Infl)^B222</f>
        <v>1.26824179456255</v>
      </c>
      <c r="F222" s="106" t="n">
        <f aca="false">(1+AS_Wage)^B222</f>
        <v>1.42576088684618</v>
      </c>
      <c r="G222" s="1" t="n">
        <f aca="false">IF(C222&lt;F_R,1,0)</f>
        <v>0</v>
      </c>
      <c r="H222" s="106" t="n">
        <f aca="false">IF(AS_Bands="flat",1,E222)</f>
        <v>1.26824179456255</v>
      </c>
      <c r="I222" s="106" t="n">
        <f aca="false">IF(AS_SpGrow="pay",F222,IF(AS_SpGrow="flat",1,E222))</f>
        <v>1.26824179456255</v>
      </c>
      <c r="J222" s="106" t="n">
        <f aca="false">(12*PR_PRSIr0+(PR_PRSIr1-PR_PRSIr0)*MAX(0,MIN(12,D222*12+12-PR_PRSIt1))+(PR_PRSIr2-PR_PRSIr1)*MAX(0,MIN(12,D222*12+12-PR_PRSIt2))+(PR_PRSIr3-PR_PRSIr2)*MAX(0,MIN(12,D222*12+12-PR_PRSIt3)))/12</f>
        <v>0.047</v>
      </c>
      <c r="K222" s="1" t="n">
        <f aca="false">IF(G222=1,F_Income*F222,0)</f>
        <v>0</v>
      </c>
      <c r="L222" s="1" t="n">
        <f aca="false">IF(G222=1,(F_Own+In_penExtra)*12*F222,0)</f>
        <v>0</v>
      </c>
      <c r="M222" s="1" t="n">
        <f aca="false">IF(G222=1,(F_PenM+In_penExtra)*12*F222,0)</f>
        <v>0</v>
      </c>
      <c r="N222" s="107" t="n">
        <f aca="false">IF(C222&lt;PR_RelA1,PR_RelP1,IF(C222&lt;PR_RelA2,PR_RelP2,IF(C222&lt;PR_RelA3,PR_RelP3,IF(C222&lt;PR_RelA4,PR_RelP4,IF(C222&lt;PR_RelA5,PR_RelP5,PR_RelP6)))))</f>
        <v>0.15</v>
      </c>
      <c r="O222" s="1" t="n">
        <f aca="false">IF(G222=1,MIN(L222/H222,N222*MIN(K222/H222,PR_EarnCap))*H222,0)</f>
        <v>0</v>
      </c>
      <c r="P222" s="1" t="n">
        <f aca="false">IF(AND(G222=1,F_AE=1),MIN(K222/H222,PR_AEcap)*H222,0)</f>
        <v>0</v>
      </c>
      <c r="Q222" s="1" t="n">
        <f aca="false">IF(G222=1,IF(WI_Retire=1,MAX(0,M222+WI_M*12),M222)+(PR_AEee+PR_AEer+PR_AEst)*P222,0)</f>
        <v>0</v>
      </c>
      <c r="R222" s="1" t="n">
        <f aca="false">L222+PR_AEee*P222</f>
        <v>0</v>
      </c>
      <c r="S222" s="1" t="n">
        <f aca="false">AD221</f>
        <v>0</v>
      </c>
      <c r="T222" s="1" t="n">
        <f aca="false">IF(D222&lt;=2026,PR_SFT2026,IF(D222=2027,PR_SFT2027,IF(D222=2028,PR_SFT2028,IF(D222=2029,PR_SFT2029,PR_SFT2029*(1+AS_Infl)^(D222-2029)))))</f>
        <v>3413184.37598532</v>
      </c>
      <c r="U222" s="1" t="n">
        <f aca="false">IF(AND(G222=0,C222=F_V),1,0)</f>
        <v>0</v>
      </c>
      <c r="V222" s="1" t="n">
        <f aca="false">IF(U222=1,PR_SFTrate*MAX(0,S222-T222),0)</f>
        <v>0</v>
      </c>
      <c r="W222" s="1" t="n">
        <f aca="false">S222-V222</f>
        <v>0</v>
      </c>
      <c r="X222" s="1" t="n">
        <f aca="false">IF(AND(U222=1,AS_LumpPct&gt;0),W222*MIN(AS_LumpPct,PR_LSmax),0)</f>
        <v>0</v>
      </c>
      <c r="Y222" s="1" t="n">
        <f aca="false">X222-(PR_LSrate*MAX(0,MIN(X222,PR_LScap)-PR_LSfree)+PR_r2*MAX(0,X222-PR_LScap))</f>
        <v>0</v>
      </c>
      <c r="Z222" s="1" t="n">
        <f aca="false">W222-X222</f>
        <v>0</v>
      </c>
      <c r="AA222" s="107" t="n">
        <f aca="false">IF(C222&gt;=61,IF(Z222&gt;PR_ARFbig,PR_ARFbigRate,IF(C222&gt;=71,PR_ARF71,PR_ARF61)),0)</f>
        <v>0</v>
      </c>
      <c r="AB222" s="1" t="n">
        <f aca="false">IF(AS_DrawRule="min",Z222*AA222,IF(AS_DrawRule="fixed",MAX(AS_DrawFixed*E222,Z222*AA222),Z222*MAX(1/MAX(1,AS_End-C222+1),AA222)))</f>
        <v>0</v>
      </c>
      <c r="AC222" s="1" t="n">
        <f aca="false">IF(AND(G222=0,C222&gt;=F_V),MIN(Z222,AB222),0)</f>
        <v>0</v>
      </c>
      <c r="AD222" s="1" t="n">
        <f aca="false">IF(G222=1,S222*(1+F_PenG)+Q222,IF(C222&lt;F_V,S222*(1+F_PenG),(Z222-AC222)*(1+AS_PenRet)))</f>
        <v>0</v>
      </c>
      <c r="AE222" s="1" t="n">
        <f aca="false">IF(C222&gt;=PR_SPage,AS_SP*F_SpF*I222+IF(C222&gt;=80,PR_Over80*PR_Weeks*I222,0),0)</f>
        <v>0</v>
      </c>
      <c r="AF222" s="1" t="n">
        <f aca="false">(F_OtherM+F_RentM)*12*E222</f>
        <v>0</v>
      </c>
      <c r="AG222" s="1" t="n">
        <f aca="false">F_PAge+B222</f>
        <v>12</v>
      </c>
      <c r="AH222" s="1" t="n">
        <f aca="false">IF(AND(F_Partner=1,F_PAge&gt;0,AG222&lt;IF(F_PRet&gt;0,F_PRet,66)),F_PIncome*F222,0)</f>
        <v>0</v>
      </c>
      <c r="AI222" s="1" t="n">
        <f aca="false">IF(AND(F_Partner=1,AG222&gt;=66,F_PSpQA=0),AS_SP*F_PSpF*I222,0)</f>
        <v>0</v>
      </c>
      <c r="AJ222" s="1" t="n">
        <f aca="false">IF(AND(F_Partner=1,F_PSpQA=1,C222&gt;=PR_SPage,AH222=0),IF(AG222&gt;=66,PR_QA66,PR_QAunder)*PR_Weeks*I222,0)</f>
        <v>0</v>
      </c>
      <c r="AK222" s="1" t="n">
        <f aca="false">AE222+AJ222</f>
        <v>0</v>
      </c>
      <c r="AL222" s="1" t="n">
        <f aca="false">K222/H222</f>
        <v>0</v>
      </c>
      <c r="AM222" s="1" t="n">
        <f aca="false">AK222/H222</f>
        <v>0</v>
      </c>
      <c r="AN222" s="1" t="n">
        <f aca="false">AC222/H222</f>
        <v>0</v>
      </c>
      <c r="AO222" s="1" t="n">
        <f aca="false">AF222/H222</f>
        <v>0</v>
      </c>
      <c r="AP222" s="1" t="n">
        <f aca="false">O222/H222</f>
        <v>0</v>
      </c>
      <c r="AQ222" s="1" t="n">
        <f aca="false">AH222/H222</f>
        <v>0</v>
      </c>
      <c r="AR222" s="1" t="n">
        <f aca="false">AI222/H222</f>
        <v>0</v>
      </c>
      <c r="AS222" s="1" t="n">
        <f aca="false">MAX(0,AL222+AN222+AO222+AM222-AP222)</f>
        <v>0</v>
      </c>
      <c r="AT222" s="1" t="n">
        <f aca="false">MAX(0,AQ222+AR222)</f>
        <v>0</v>
      </c>
      <c r="AU222" s="1" t="n">
        <f aca="false">MIN(PR_PAYE,PR_PAYEcap*(AL222+AN222+AM222))</f>
        <v>0</v>
      </c>
      <c r="AV222" s="1" t="n">
        <f aca="false">MIN(PR_PAYE,PR_PAYEcap*(AQ222+AR222))</f>
        <v>0</v>
      </c>
      <c r="AW222" s="1" t="n">
        <f aca="false">IF(C222&gt;=PR_AgeCrAge,PR_AgeCr,0)</f>
        <v>0</v>
      </c>
      <c r="AX222" s="1" t="n">
        <f aca="false">IF(AG222&gt;=PR_AgeCrAge,PR_AgeCr,0)</f>
        <v>0</v>
      </c>
      <c r="AY222" s="1" t="n">
        <f aca="false">IF(AND(F_RentCred=1,D222&lt;=PR_RentLast),1,0)</f>
        <v>0</v>
      </c>
      <c r="AZ222" s="1" t="n">
        <f aca="false">AS222+AT222</f>
        <v>0</v>
      </c>
      <c r="BA222" s="1" t="n">
        <f aca="false">PR_PersonalM+AU222+AV222+AW222+AX222+IF(AY222=1,PR_RentJoint,0)</f>
        <v>4000</v>
      </c>
      <c r="BB222" s="1" t="n">
        <f aca="false">PR_BandM+MIN(MIN(AS222,AT222),PR_Uplift)</f>
        <v>53000</v>
      </c>
      <c r="BC222" s="1" t="n">
        <f aca="false">MAX(0,PR_r1*MIN(AZ222,BB222)+PR_r2*MAX(0,AZ222-BB222)-BA222)</f>
        <v>0</v>
      </c>
      <c r="BD222" s="1" t="n">
        <f aca="false">MAX(0,PR_HomeCarer-MAX(0,MIN(AS222,AT222)-PR_HCLimit)/2)</f>
        <v>1950</v>
      </c>
      <c r="BE222" s="1" t="n">
        <f aca="false">IF(F_Carer=1,MIN(BC222,MAX(0,PR_r1*MIN(AZ222,PR_BandM)+PR_r2*MAX(0,AZ222-PR_BandM)-BA222-BD222)),BC222)</f>
        <v>0</v>
      </c>
      <c r="BF222" s="1" t="n">
        <f aca="false">IF(OR(C222&gt;=PR_AgeCrAge,AG222&gt;=PR_AgeCrAge),IF(AZ222&lt;=PR_AgeExM,0,MIN(BE222,PR_AgeMarg*(AZ222-PR_AgeExM))),BE222)</f>
        <v>0</v>
      </c>
      <c r="BG222" s="1" t="n">
        <f aca="false">MAX(0,PR_r1*MIN(AS222,IF(F_Spccc=1,PR_BandSPCCC,PR_Band))+PR_r2*MAX(0,AS222-IF(F_Spccc=1,PR_BandSPCCC,PR_Band))-(PR_Personal+AU222+AW222+IF(F_Spccc=1,PR_SPCCC,0)+IF(AY222=1,PR_Rent,0)))</f>
        <v>0</v>
      </c>
      <c r="BH222" s="1" t="n">
        <f aca="false">IF(C222&gt;=PR_AgeCrAge,IF(AS222&lt;=PR_AgeEx,0,MIN(BG222,PR_AgeMarg*(AS222-PR_AgeEx))),BG222)</f>
        <v>0</v>
      </c>
      <c r="BI222" s="1" t="n">
        <f aca="false">IF(F_Partner=1,MAX(0,PR_r1*MIN(AT222,PR_Band)+PR_r2*MAX(0,AT222-PR_Band)-(PR_Personal+AV222+AX222+IF(AND(AY222=1,AT222&gt;0),PR_Rent,0))),0)</f>
        <v>0</v>
      </c>
      <c r="BJ222" s="1" t="n">
        <f aca="false">IF(AG222&gt;=PR_AgeCrAge,IF(AT222&lt;=PR_AgeEx,0,MIN(BI222,PR_AgeMarg*(AT222-PR_AgeEx))),BI222)</f>
        <v>0</v>
      </c>
      <c r="BK222" s="1" t="n">
        <f aca="false">IF(F_Partner=1,IF(F_Married=1,BF222,BH222+BJ222),BH222)</f>
        <v>0</v>
      </c>
      <c r="BL222" s="1" t="n">
        <f aca="false">AL222+AN222+AO222</f>
        <v>0</v>
      </c>
      <c r="BM222" s="1" t="n">
        <f aca="false">IF(BL222&lt;=PR_USCex,0,IF(IF(AND(C222&gt;=PR_USCredAge,BL222&lt;=PR_USCredMax),1,0)=1,PR_USCr1*MIN(BL222,PR_USCredB1)+PR_USCredR2*MAX(0,BL222-PR_USCredB1),PR_USCr1*MIN(BL222,PR_USCb1)+PR_USCr2*MAX(0,MIN(BL222,PR_USCb2)-PR_USCb1)+PR_USCr3*MAX(0,MIN(BL222,PR_USCb3)-PR_USCb2)+PR_USCr4*MAX(0,BL222-PR_USCb3)))+IF(F_SelfEmp=1,PR_USCse*MAX(0,AL222-PR_USCseOver),0)</f>
        <v>0</v>
      </c>
      <c r="BN222" s="1" t="n">
        <f aca="false">AQ222</f>
        <v>0</v>
      </c>
      <c r="BO222" s="1" t="n">
        <f aca="false">IF(F_Partner=1,IF(BN222&lt;=PR_USCex,0,IF(IF(AND(AG222&gt;=PR_USCredAge,BN222&lt;=PR_USCredMax),1,0)=1,PR_USCr1*MIN(BN222,PR_USCredB1)+PR_USCredR2*MAX(0,BN222-PR_USCredB1),PR_USCr1*MIN(BN222,PR_USCb1)+PR_USCr2*MAX(0,MIN(BN222,PR_USCb2)-PR_USCb1)+PR_USCr3*MAX(0,MIN(BN222,PR_USCb3)-PR_USCb2)+PR_USCr4*MAX(0,BN222-PR_USCb3))),0)</f>
        <v>0</v>
      </c>
      <c r="BP222" s="1" t="n">
        <f aca="false">IF(C222&lt;PR_PRSIend,IF(F_SelfEmp=1,IF(AL222&gt;PR_PRSIsMinInc,MAX(PR_PRSIsMin,AL222*J222),0),IF(AL222/52&lt;=PR_PRSIfree,0,MAX(0,(AL222/52*J222-IF(AL222/52&lt;=PR_PRSIcreditTo,MAX(0,PR_PRSIcreditMax-(AL222/52-(PR_PRSIfree+0.01))/PR_PRSItaper),0))*52)))+J222*AN222+IF(AO222&gt;PR_PRSIunearned,J222*AO222,0),0)</f>
        <v>0</v>
      </c>
      <c r="BQ222" s="1" t="n">
        <f aca="false">IF(AND(F_Partner=1,AG222&lt;PR_PRSIend),IF(AQ222/52&lt;=PR_PRSIfree,0,MAX(0,(AQ222/52*J222-IF(AQ222/52&lt;=PR_PRSIcreditTo,MAX(0,PR_PRSIcreditMax-(AQ222/52-(PR_PRSIfree+0.01))/PR_PRSItaper),0))*52)),0)</f>
        <v>0</v>
      </c>
      <c r="BR222" s="1" t="n">
        <f aca="false">BK222+BM222+BO222+BP222+BQ222</f>
        <v>0</v>
      </c>
      <c r="BS222" s="1" t="n">
        <f aca="false">BR222*H222</f>
        <v>0</v>
      </c>
      <c r="BT222" s="1" t="n">
        <f aca="false">K222+AK222+AC222+AF222+AH222+AI222</f>
        <v>0</v>
      </c>
    </row>
    <row r="223" customFormat="false" ht="15" hidden="false" customHeight="false" outlineLevel="0" collapsed="false">
      <c r="B223" s="1" t="n">
        <v>13</v>
      </c>
      <c r="C223" s="1" t="n">
        <f aca="false">F_Age+B223</f>
        <v>13</v>
      </c>
      <c r="D223" s="1" t="n">
        <f aca="false">AS_Year0+B223</f>
        <v>2040</v>
      </c>
      <c r="E223" s="106" t="n">
        <f aca="false">(1+AS_Infl)^B223</f>
        <v>1.2936066304538</v>
      </c>
      <c r="F223" s="106" t="n">
        <f aca="false">(1+AS_Wage)^B223</f>
        <v>1.46853371345156</v>
      </c>
      <c r="G223" s="1" t="n">
        <f aca="false">IF(C223&lt;F_R,1,0)</f>
        <v>0</v>
      </c>
      <c r="H223" s="106" t="n">
        <f aca="false">IF(AS_Bands="flat",1,E223)</f>
        <v>1.2936066304538</v>
      </c>
      <c r="I223" s="106" t="n">
        <f aca="false">IF(AS_SpGrow="pay",F223,IF(AS_SpGrow="flat",1,E223))</f>
        <v>1.2936066304538</v>
      </c>
      <c r="J223" s="106" t="n">
        <f aca="false">(12*PR_PRSIr0+(PR_PRSIr1-PR_PRSIr0)*MAX(0,MIN(12,D223*12+12-PR_PRSIt1))+(PR_PRSIr2-PR_PRSIr1)*MAX(0,MIN(12,D223*12+12-PR_PRSIt2))+(PR_PRSIr3-PR_PRSIr2)*MAX(0,MIN(12,D223*12+12-PR_PRSIt3)))/12</f>
        <v>0.047</v>
      </c>
      <c r="K223" s="1" t="n">
        <f aca="false">IF(G223=1,F_Income*F223,0)</f>
        <v>0</v>
      </c>
      <c r="L223" s="1" t="n">
        <f aca="false">IF(G223=1,(F_Own+In_penExtra)*12*F223,0)</f>
        <v>0</v>
      </c>
      <c r="M223" s="1" t="n">
        <f aca="false">IF(G223=1,(F_PenM+In_penExtra)*12*F223,0)</f>
        <v>0</v>
      </c>
      <c r="N223" s="107" t="n">
        <f aca="false">IF(C223&lt;PR_RelA1,PR_RelP1,IF(C223&lt;PR_RelA2,PR_RelP2,IF(C223&lt;PR_RelA3,PR_RelP3,IF(C223&lt;PR_RelA4,PR_RelP4,IF(C223&lt;PR_RelA5,PR_RelP5,PR_RelP6)))))</f>
        <v>0.15</v>
      </c>
      <c r="O223" s="1" t="n">
        <f aca="false">IF(G223=1,MIN(L223/H223,N223*MIN(K223/H223,PR_EarnCap))*H223,0)</f>
        <v>0</v>
      </c>
      <c r="P223" s="1" t="n">
        <f aca="false">IF(AND(G223=1,F_AE=1),MIN(K223/H223,PR_AEcap)*H223,0)</f>
        <v>0</v>
      </c>
      <c r="Q223" s="1" t="n">
        <f aca="false">IF(G223=1,IF(WI_Retire=1,MAX(0,M223+WI_M*12),M223)+(PR_AEee+PR_AEer+PR_AEst)*P223,0)</f>
        <v>0</v>
      </c>
      <c r="R223" s="1" t="n">
        <f aca="false">L223+PR_AEee*P223</f>
        <v>0</v>
      </c>
      <c r="S223" s="1" t="n">
        <f aca="false">AD222</f>
        <v>0</v>
      </c>
      <c r="T223" s="1" t="n">
        <f aca="false">IF(D223&lt;=2026,PR_SFT2026,IF(D223=2027,PR_SFT2027,IF(D223=2028,PR_SFT2028,IF(D223=2029,PR_SFT2029,PR_SFT2029*(1+AS_Infl)^(D223-2029)))))</f>
        <v>3481448.06350503</v>
      </c>
      <c r="U223" s="1" t="n">
        <f aca="false">IF(AND(G223=0,C223=F_V),1,0)</f>
        <v>0</v>
      </c>
      <c r="V223" s="1" t="n">
        <f aca="false">IF(U223=1,PR_SFTrate*MAX(0,S223-T223),0)</f>
        <v>0</v>
      </c>
      <c r="W223" s="1" t="n">
        <f aca="false">S223-V223</f>
        <v>0</v>
      </c>
      <c r="X223" s="1" t="n">
        <f aca="false">IF(AND(U223=1,AS_LumpPct&gt;0),W223*MIN(AS_LumpPct,PR_LSmax),0)</f>
        <v>0</v>
      </c>
      <c r="Y223" s="1" t="n">
        <f aca="false">X223-(PR_LSrate*MAX(0,MIN(X223,PR_LScap)-PR_LSfree)+PR_r2*MAX(0,X223-PR_LScap))</f>
        <v>0</v>
      </c>
      <c r="Z223" s="1" t="n">
        <f aca="false">W223-X223</f>
        <v>0</v>
      </c>
      <c r="AA223" s="107" t="n">
        <f aca="false">IF(C223&gt;=61,IF(Z223&gt;PR_ARFbig,PR_ARFbigRate,IF(C223&gt;=71,PR_ARF71,PR_ARF61)),0)</f>
        <v>0</v>
      </c>
      <c r="AB223" s="1" t="n">
        <f aca="false">IF(AS_DrawRule="min",Z223*AA223,IF(AS_DrawRule="fixed",MAX(AS_DrawFixed*E223,Z223*AA223),Z223*MAX(1/MAX(1,AS_End-C223+1),AA223)))</f>
        <v>0</v>
      </c>
      <c r="AC223" s="1" t="n">
        <f aca="false">IF(AND(G223=0,C223&gt;=F_V),MIN(Z223,AB223),0)</f>
        <v>0</v>
      </c>
      <c r="AD223" s="1" t="n">
        <f aca="false">IF(G223=1,S223*(1+F_PenG)+Q223,IF(C223&lt;F_V,S223*(1+F_PenG),(Z223-AC223)*(1+AS_PenRet)))</f>
        <v>0</v>
      </c>
      <c r="AE223" s="1" t="n">
        <f aca="false">IF(C223&gt;=PR_SPage,AS_SP*F_SpF*I223+IF(C223&gt;=80,PR_Over80*PR_Weeks*I223,0),0)</f>
        <v>0</v>
      </c>
      <c r="AF223" s="1" t="n">
        <f aca="false">(F_OtherM+F_RentM)*12*E223</f>
        <v>0</v>
      </c>
      <c r="AG223" s="1" t="n">
        <f aca="false">F_PAge+B223</f>
        <v>13</v>
      </c>
      <c r="AH223" s="1" t="n">
        <f aca="false">IF(AND(F_Partner=1,F_PAge&gt;0,AG223&lt;IF(F_PRet&gt;0,F_PRet,66)),F_PIncome*F223,0)</f>
        <v>0</v>
      </c>
      <c r="AI223" s="1" t="n">
        <f aca="false">IF(AND(F_Partner=1,AG223&gt;=66,F_PSpQA=0),AS_SP*F_PSpF*I223,0)</f>
        <v>0</v>
      </c>
      <c r="AJ223" s="1" t="n">
        <f aca="false">IF(AND(F_Partner=1,F_PSpQA=1,C223&gt;=PR_SPage,AH223=0),IF(AG223&gt;=66,PR_QA66,PR_QAunder)*PR_Weeks*I223,0)</f>
        <v>0</v>
      </c>
      <c r="AK223" s="1" t="n">
        <f aca="false">AE223+AJ223</f>
        <v>0</v>
      </c>
      <c r="AL223" s="1" t="n">
        <f aca="false">K223/H223</f>
        <v>0</v>
      </c>
      <c r="AM223" s="1" t="n">
        <f aca="false">AK223/H223</f>
        <v>0</v>
      </c>
      <c r="AN223" s="1" t="n">
        <f aca="false">AC223/H223</f>
        <v>0</v>
      </c>
      <c r="AO223" s="1" t="n">
        <f aca="false">AF223/H223</f>
        <v>0</v>
      </c>
      <c r="AP223" s="1" t="n">
        <f aca="false">O223/H223</f>
        <v>0</v>
      </c>
      <c r="AQ223" s="1" t="n">
        <f aca="false">AH223/H223</f>
        <v>0</v>
      </c>
      <c r="AR223" s="1" t="n">
        <f aca="false">AI223/H223</f>
        <v>0</v>
      </c>
      <c r="AS223" s="1" t="n">
        <f aca="false">MAX(0,AL223+AN223+AO223+AM223-AP223)</f>
        <v>0</v>
      </c>
      <c r="AT223" s="1" t="n">
        <f aca="false">MAX(0,AQ223+AR223)</f>
        <v>0</v>
      </c>
      <c r="AU223" s="1" t="n">
        <f aca="false">MIN(PR_PAYE,PR_PAYEcap*(AL223+AN223+AM223))</f>
        <v>0</v>
      </c>
      <c r="AV223" s="1" t="n">
        <f aca="false">MIN(PR_PAYE,PR_PAYEcap*(AQ223+AR223))</f>
        <v>0</v>
      </c>
      <c r="AW223" s="1" t="n">
        <f aca="false">IF(C223&gt;=PR_AgeCrAge,PR_AgeCr,0)</f>
        <v>0</v>
      </c>
      <c r="AX223" s="1" t="n">
        <f aca="false">IF(AG223&gt;=PR_AgeCrAge,PR_AgeCr,0)</f>
        <v>0</v>
      </c>
      <c r="AY223" s="1" t="n">
        <f aca="false">IF(AND(F_RentCred=1,D223&lt;=PR_RentLast),1,0)</f>
        <v>0</v>
      </c>
      <c r="AZ223" s="1" t="n">
        <f aca="false">AS223+AT223</f>
        <v>0</v>
      </c>
      <c r="BA223" s="1" t="n">
        <f aca="false">PR_PersonalM+AU223+AV223+AW223+AX223+IF(AY223=1,PR_RentJoint,0)</f>
        <v>4000</v>
      </c>
      <c r="BB223" s="1" t="n">
        <f aca="false">PR_BandM+MIN(MIN(AS223,AT223),PR_Uplift)</f>
        <v>53000</v>
      </c>
      <c r="BC223" s="1" t="n">
        <f aca="false">MAX(0,PR_r1*MIN(AZ223,BB223)+PR_r2*MAX(0,AZ223-BB223)-BA223)</f>
        <v>0</v>
      </c>
      <c r="BD223" s="1" t="n">
        <f aca="false">MAX(0,PR_HomeCarer-MAX(0,MIN(AS223,AT223)-PR_HCLimit)/2)</f>
        <v>1950</v>
      </c>
      <c r="BE223" s="1" t="n">
        <f aca="false">IF(F_Carer=1,MIN(BC223,MAX(0,PR_r1*MIN(AZ223,PR_BandM)+PR_r2*MAX(0,AZ223-PR_BandM)-BA223-BD223)),BC223)</f>
        <v>0</v>
      </c>
      <c r="BF223" s="1" t="n">
        <f aca="false">IF(OR(C223&gt;=PR_AgeCrAge,AG223&gt;=PR_AgeCrAge),IF(AZ223&lt;=PR_AgeExM,0,MIN(BE223,PR_AgeMarg*(AZ223-PR_AgeExM))),BE223)</f>
        <v>0</v>
      </c>
      <c r="BG223" s="1" t="n">
        <f aca="false">MAX(0,PR_r1*MIN(AS223,IF(F_Spccc=1,PR_BandSPCCC,PR_Band))+PR_r2*MAX(0,AS223-IF(F_Spccc=1,PR_BandSPCCC,PR_Band))-(PR_Personal+AU223+AW223+IF(F_Spccc=1,PR_SPCCC,0)+IF(AY223=1,PR_Rent,0)))</f>
        <v>0</v>
      </c>
      <c r="BH223" s="1" t="n">
        <f aca="false">IF(C223&gt;=PR_AgeCrAge,IF(AS223&lt;=PR_AgeEx,0,MIN(BG223,PR_AgeMarg*(AS223-PR_AgeEx))),BG223)</f>
        <v>0</v>
      </c>
      <c r="BI223" s="1" t="n">
        <f aca="false">IF(F_Partner=1,MAX(0,PR_r1*MIN(AT223,PR_Band)+PR_r2*MAX(0,AT223-PR_Band)-(PR_Personal+AV223+AX223+IF(AND(AY223=1,AT223&gt;0),PR_Rent,0))),0)</f>
        <v>0</v>
      </c>
      <c r="BJ223" s="1" t="n">
        <f aca="false">IF(AG223&gt;=PR_AgeCrAge,IF(AT223&lt;=PR_AgeEx,0,MIN(BI223,PR_AgeMarg*(AT223-PR_AgeEx))),BI223)</f>
        <v>0</v>
      </c>
      <c r="BK223" s="1" t="n">
        <f aca="false">IF(F_Partner=1,IF(F_Married=1,BF223,BH223+BJ223),BH223)</f>
        <v>0</v>
      </c>
      <c r="BL223" s="1" t="n">
        <f aca="false">AL223+AN223+AO223</f>
        <v>0</v>
      </c>
      <c r="BM223" s="1" t="n">
        <f aca="false">IF(BL223&lt;=PR_USCex,0,IF(IF(AND(C223&gt;=PR_USCredAge,BL223&lt;=PR_USCredMax),1,0)=1,PR_USCr1*MIN(BL223,PR_USCredB1)+PR_USCredR2*MAX(0,BL223-PR_USCredB1),PR_USCr1*MIN(BL223,PR_USCb1)+PR_USCr2*MAX(0,MIN(BL223,PR_USCb2)-PR_USCb1)+PR_USCr3*MAX(0,MIN(BL223,PR_USCb3)-PR_USCb2)+PR_USCr4*MAX(0,BL223-PR_USCb3)))+IF(F_SelfEmp=1,PR_USCse*MAX(0,AL223-PR_USCseOver),0)</f>
        <v>0</v>
      </c>
      <c r="BN223" s="1" t="n">
        <f aca="false">AQ223</f>
        <v>0</v>
      </c>
      <c r="BO223" s="1" t="n">
        <f aca="false">IF(F_Partner=1,IF(BN223&lt;=PR_USCex,0,IF(IF(AND(AG223&gt;=PR_USCredAge,BN223&lt;=PR_USCredMax),1,0)=1,PR_USCr1*MIN(BN223,PR_USCredB1)+PR_USCredR2*MAX(0,BN223-PR_USCredB1),PR_USCr1*MIN(BN223,PR_USCb1)+PR_USCr2*MAX(0,MIN(BN223,PR_USCb2)-PR_USCb1)+PR_USCr3*MAX(0,MIN(BN223,PR_USCb3)-PR_USCb2)+PR_USCr4*MAX(0,BN223-PR_USCb3))),0)</f>
        <v>0</v>
      </c>
      <c r="BP223" s="1" t="n">
        <f aca="false">IF(C223&lt;PR_PRSIend,IF(F_SelfEmp=1,IF(AL223&gt;PR_PRSIsMinInc,MAX(PR_PRSIsMin,AL223*J223),0),IF(AL223/52&lt;=PR_PRSIfree,0,MAX(0,(AL223/52*J223-IF(AL223/52&lt;=PR_PRSIcreditTo,MAX(0,PR_PRSIcreditMax-(AL223/52-(PR_PRSIfree+0.01))/PR_PRSItaper),0))*52)))+J223*AN223+IF(AO223&gt;PR_PRSIunearned,J223*AO223,0),0)</f>
        <v>0</v>
      </c>
      <c r="BQ223" s="1" t="n">
        <f aca="false">IF(AND(F_Partner=1,AG223&lt;PR_PRSIend),IF(AQ223/52&lt;=PR_PRSIfree,0,MAX(0,(AQ223/52*J223-IF(AQ223/52&lt;=PR_PRSIcreditTo,MAX(0,PR_PRSIcreditMax-(AQ223/52-(PR_PRSIfree+0.01))/PR_PRSItaper),0))*52)),0)</f>
        <v>0</v>
      </c>
      <c r="BR223" s="1" t="n">
        <f aca="false">BK223+BM223+BO223+BP223+BQ223</f>
        <v>0</v>
      </c>
      <c r="BS223" s="1" t="n">
        <f aca="false">BR223*H223</f>
        <v>0</v>
      </c>
      <c r="BT223" s="1" t="n">
        <f aca="false">K223+AK223+AC223+AF223+AH223+AI223</f>
        <v>0</v>
      </c>
    </row>
    <row r="224" customFormat="false" ht="15" hidden="false" customHeight="false" outlineLevel="0" collapsed="false">
      <c r="B224" s="1" t="n">
        <v>14</v>
      </c>
      <c r="C224" s="1" t="n">
        <f aca="false">F_Age+B224</f>
        <v>14</v>
      </c>
      <c r="D224" s="1" t="n">
        <f aca="false">AS_Year0+B224</f>
        <v>2041</v>
      </c>
      <c r="E224" s="106" t="n">
        <f aca="false">(1+AS_Infl)^B224</f>
        <v>1.31947876306287</v>
      </c>
      <c r="F224" s="106" t="n">
        <f aca="false">(1+AS_Wage)^B224</f>
        <v>1.51258972485511</v>
      </c>
      <c r="G224" s="1" t="n">
        <f aca="false">IF(C224&lt;F_R,1,0)</f>
        <v>0</v>
      </c>
      <c r="H224" s="106" t="n">
        <f aca="false">IF(AS_Bands="flat",1,E224)</f>
        <v>1.31947876306287</v>
      </c>
      <c r="I224" s="106" t="n">
        <f aca="false">IF(AS_SpGrow="pay",F224,IF(AS_SpGrow="flat",1,E224))</f>
        <v>1.31947876306287</v>
      </c>
      <c r="J224" s="106" t="n">
        <f aca="false">(12*PR_PRSIr0+(PR_PRSIr1-PR_PRSIr0)*MAX(0,MIN(12,D224*12+12-PR_PRSIt1))+(PR_PRSIr2-PR_PRSIr1)*MAX(0,MIN(12,D224*12+12-PR_PRSIt2))+(PR_PRSIr3-PR_PRSIr2)*MAX(0,MIN(12,D224*12+12-PR_PRSIt3)))/12</f>
        <v>0.047</v>
      </c>
      <c r="K224" s="1" t="n">
        <f aca="false">IF(G224=1,F_Income*F224,0)</f>
        <v>0</v>
      </c>
      <c r="L224" s="1" t="n">
        <f aca="false">IF(G224=1,(F_Own+In_penExtra)*12*F224,0)</f>
        <v>0</v>
      </c>
      <c r="M224" s="1" t="n">
        <f aca="false">IF(G224=1,(F_PenM+In_penExtra)*12*F224,0)</f>
        <v>0</v>
      </c>
      <c r="N224" s="107" t="n">
        <f aca="false">IF(C224&lt;PR_RelA1,PR_RelP1,IF(C224&lt;PR_RelA2,PR_RelP2,IF(C224&lt;PR_RelA3,PR_RelP3,IF(C224&lt;PR_RelA4,PR_RelP4,IF(C224&lt;PR_RelA5,PR_RelP5,PR_RelP6)))))</f>
        <v>0.15</v>
      </c>
      <c r="O224" s="1" t="n">
        <f aca="false">IF(G224=1,MIN(L224/H224,N224*MIN(K224/H224,PR_EarnCap))*H224,0)</f>
        <v>0</v>
      </c>
      <c r="P224" s="1" t="n">
        <f aca="false">IF(AND(G224=1,F_AE=1),MIN(K224/H224,PR_AEcap)*H224,0)</f>
        <v>0</v>
      </c>
      <c r="Q224" s="1" t="n">
        <f aca="false">IF(G224=1,IF(WI_Retire=1,MAX(0,M224+WI_M*12),M224)+(PR_AEee+PR_AEer+PR_AEst)*P224,0)</f>
        <v>0</v>
      </c>
      <c r="R224" s="1" t="n">
        <f aca="false">L224+PR_AEee*P224</f>
        <v>0</v>
      </c>
      <c r="S224" s="1" t="n">
        <f aca="false">AD223</f>
        <v>0</v>
      </c>
      <c r="T224" s="1" t="n">
        <f aca="false">IF(D224&lt;=2026,PR_SFT2026,IF(D224=2027,PR_SFT2027,IF(D224=2028,PR_SFT2028,IF(D224=2029,PR_SFT2029,PR_SFT2029*(1+AS_Infl)^(D224-2029)))))</f>
        <v>3551077.02477513</v>
      </c>
      <c r="U224" s="1" t="n">
        <f aca="false">IF(AND(G224=0,C224=F_V),1,0)</f>
        <v>0</v>
      </c>
      <c r="V224" s="1" t="n">
        <f aca="false">IF(U224=1,PR_SFTrate*MAX(0,S224-T224),0)</f>
        <v>0</v>
      </c>
      <c r="W224" s="1" t="n">
        <f aca="false">S224-V224</f>
        <v>0</v>
      </c>
      <c r="X224" s="1" t="n">
        <f aca="false">IF(AND(U224=1,AS_LumpPct&gt;0),W224*MIN(AS_LumpPct,PR_LSmax),0)</f>
        <v>0</v>
      </c>
      <c r="Y224" s="1" t="n">
        <f aca="false">X224-(PR_LSrate*MAX(0,MIN(X224,PR_LScap)-PR_LSfree)+PR_r2*MAX(0,X224-PR_LScap))</f>
        <v>0</v>
      </c>
      <c r="Z224" s="1" t="n">
        <f aca="false">W224-X224</f>
        <v>0</v>
      </c>
      <c r="AA224" s="107" t="n">
        <f aca="false">IF(C224&gt;=61,IF(Z224&gt;PR_ARFbig,PR_ARFbigRate,IF(C224&gt;=71,PR_ARF71,PR_ARF61)),0)</f>
        <v>0</v>
      </c>
      <c r="AB224" s="1" t="n">
        <f aca="false">IF(AS_DrawRule="min",Z224*AA224,IF(AS_DrawRule="fixed",MAX(AS_DrawFixed*E224,Z224*AA224),Z224*MAX(1/MAX(1,AS_End-C224+1),AA224)))</f>
        <v>0</v>
      </c>
      <c r="AC224" s="1" t="n">
        <f aca="false">IF(AND(G224=0,C224&gt;=F_V),MIN(Z224,AB224),0)</f>
        <v>0</v>
      </c>
      <c r="AD224" s="1" t="n">
        <f aca="false">IF(G224=1,S224*(1+F_PenG)+Q224,IF(C224&lt;F_V,S224*(1+F_PenG),(Z224-AC224)*(1+AS_PenRet)))</f>
        <v>0</v>
      </c>
      <c r="AE224" s="1" t="n">
        <f aca="false">IF(C224&gt;=PR_SPage,AS_SP*F_SpF*I224+IF(C224&gt;=80,PR_Over80*PR_Weeks*I224,0),0)</f>
        <v>0</v>
      </c>
      <c r="AF224" s="1" t="n">
        <f aca="false">(F_OtherM+F_RentM)*12*E224</f>
        <v>0</v>
      </c>
      <c r="AG224" s="1" t="n">
        <f aca="false">F_PAge+B224</f>
        <v>14</v>
      </c>
      <c r="AH224" s="1" t="n">
        <f aca="false">IF(AND(F_Partner=1,F_PAge&gt;0,AG224&lt;IF(F_PRet&gt;0,F_PRet,66)),F_PIncome*F224,0)</f>
        <v>0</v>
      </c>
      <c r="AI224" s="1" t="n">
        <f aca="false">IF(AND(F_Partner=1,AG224&gt;=66,F_PSpQA=0),AS_SP*F_PSpF*I224,0)</f>
        <v>0</v>
      </c>
      <c r="AJ224" s="1" t="n">
        <f aca="false">IF(AND(F_Partner=1,F_PSpQA=1,C224&gt;=PR_SPage,AH224=0),IF(AG224&gt;=66,PR_QA66,PR_QAunder)*PR_Weeks*I224,0)</f>
        <v>0</v>
      </c>
      <c r="AK224" s="1" t="n">
        <f aca="false">AE224+AJ224</f>
        <v>0</v>
      </c>
      <c r="AL224" s="1" t="n">
        <f aca="false">K224/H224</f>
        <v>0</v>
      </c>
      <c r="AM224" s="1" t="n">
        <f aca="false">AK224/H224</f>
        <v>0</v>
      </c>
      <c r="AN224" s="1" t="n">
        <f aca="false">AC224/H224</f>
        <v>0</v>
      </c>
      <c r="AO224" s="1" t="n">
        <f aca="false">AF224/H224</f>
        <v>0</v>
      </c>
      <c r="AP224" s="1" t="n">
        <f aca="false">O224/H224</f>
        <v>0</v>
      </c>
      <c r="AQ224" s="1" t="n">
        <f aca="false">AH224/H224</f>
        <v>0</v>
      </c>
      <c r="AR224" s="1" t="n">
        <f aca="false">AI224/H224</f>
        <v>0</v>
      </c>
      <c r="AS224" s="1" t="n">
        <f aca="false">MAX(0,AL224+AN224+AO224+AM224-AP224)</f>
        <v>0</v>
      </c>
      <c r="AT224" s="1" t="n">
        <f aca="false">MAX(0,AQ224+AR224)</f>
        <v>0</v>
      </c>
      <c r="AU224" s="1" t="n">
        <f aca="false">MIN(PR_PAYE,PR_PAYEcap*(AL224+AN224+AM224))</f>
        <v>0</v>
      </c>
      <c r="AV224" s="1" t="n">
        <f aca="false">MIN(PR_PAYE,PR_PAYEcap*(AQ224+AR224))</f>
        <v>0</v>
      </c>
      <c r="AW224" s="1" t="n">
        <f aca="false">IF(C224&gt;=PR_AgeCrAge,PR_AgeCr,0)</f>
        <v>0</v>
      </c>
      <c r="AX224" s="1" t="n">
        <f aca="false">IF(AG224&gt;=PR_AgeCrAge,PR_AgeCr,0)</f>
        <v>0</v>
      </c>
      <c r="AY224" s="1" t="n">
        <f aca="false">IF(AND(F_RentCred=1,D224&lt;=PR_RentLast),1,0)</f>
        <v>0</v>
      </c>
      <c r="AZ224" s="1" t="n">
        <f aca="false">AS224+AT224</f>
        <v>0</v>
      </c>
      <c r="BA224" s="1" t="n">
        <f aca="false">PR_PersonalM+AU224+AV224+AW224+AX224+IF(AY224=1,PR_RentJoint,0)</f>
        <v>4000</v>
      </c>
      <c r="BB224" s="1" t="n">
        <f aca="false">PR_BandM+MIN(MIN(AS224,AT224),PR_Uplift)</f>
        <v>53000</v>
      </c>
      <c r="BC224" s="1" t="n">
        <f aca="false">MAX(0,PR_r1*MIN(AZ224,BB224)+PR_r2*MAX(0,AZ224-BB224)-BA224)</f>
        <v>0</v>
      </c>
      <c r="BD224" s="1" t="n">
        <f aca="false">MAX(0,PR_HomeCarer-MAX(0,MIN(AS224,AT224)-PR_HCLimit)/2)</f>
        <v>1950</v>
      </c>
      <c r="BE224" s="1" t="n">
        <f aca="false">IF(F_Carer=1,MIN(BC224,MAX(0,PR_r1*MIN(AZ224,PR_BandM)+PR_r2*MAX(0,AZ224-PR_BandM)-BA224-BD224)),BC224)</f>
        <v>0</v>
      </c>
      <c r="BF224" s="1" t="n">
        <f aca="false">IF(OR(C224&gt;=PR_AgeCrAge,AG224&gt;=PR_AgeCrAge),IF(AZ224&lt;=PR_AgeExM,0,MIN(BE224,PR_AgeMarg*(AZ224-PR_AgeExM))),BE224)</f>
        <v>0</v>
      </c>
      <c r="BG224" s="1" t="n">
        <f aca="false">MAX(0,PR_r1*MIN(AS224,IF(F_Spccc=1,PR_BandSPCCC,PR_Band))+PR_r2*MAX(0,AS224-IF(F_Spccc=1,PR_BandSPCCC,PR_Band))-(PR_Personal+AU224+AW224+IF(F_Spccc=1,PR_SPCCC,0)+IF(AY224=1,PR_Rent,0)))</f>
        <v>0</v>
      </c>
      <c r="BH224" s="1" t="n">
        <f aca="false">IF(C224&gt;=PR_AgeCrAge,IF(AS224&lt;=PR_AgeEx,0,MIN(BG224,PR_AgeMarg*(AS224-PR_AgeEx))),BG224)</f>
        <v>0</v>
      </c>
      <c r="BI224" s="1" t="n">
        <f aca="false">IF(F_Partner=1,MAX(0,PR_r1*MIN(AT224,PR_Band)+PR_r2*MAX(0,AT224-PR_Band)-(PR_Personal+AV224+AX224+IF(AND(AY224=1,AT224&gt;0),PR_Rent,0))),0)</f>
        <v>0</v>
      </c>
      <c r="BJ224" s="1" t="n">
        <f aca="false">IF(AG224&gt;=PR_AgeCrAge,IF(AT224&lt;=PR_AgeEx,0,MIN(BI224,PR_AgeMarg*(AT224-PR_AgeEx))),BI224)</f>
        <v>0</v>
      </c>
      <c r="BK224" s="1" t="n">
        <f aca="false">IF(F_Partner=1,IF(F_Married=1,BF224,BH224+BJ224),BH224)</f>
        <v>0</v>
      </c>
      <c r="BL224" s="1" t="n">
        <f aca="false">AL224+AN224+AO224</f>
        <v>0</v>
      </c>
      <c r="BM224" s="1" t="n">
        <f aca="false">IF(BL224&lt;=PR_USCex,0,IF(IF(AND(C224&gt;=PR_USCredAge,BL224&lt;=PR_USCredMax),1,0)=1,PR_USCr1*MIN(BL224,PR_USCredB1)+PR_USCredR2*MAX(0,BL224-PR_USCredB1),PR_USCr1*MIN(BL224,PR_USCb1)+PR_USCr2*MAX(0,MIN(BL224,PR_USCb2)-PR_USCb1)+PR_USCr3*MAX(0,MIN(BL224,PR_USCb3)-PR_USCb2)+PR_USCr4*MAX(0,BL224-PR_USCb3)))+IF(F_SelfEmp=1,PR_USCse*MAX(0,AL224-PR_USCseOver),0)</f>
        <v>0</v>
      </c>
      <c r="BN224" s="1" t="n">
        <f aca="false">AQ224</f>
        <v>0</v>
      </c>
      <c r="BO224" s="1" t="n">
        <f aca="false">IF(F_Partner=1,IF(BN224&lt;=PR_USCex,0,IF(IF(AND(AG224&gt;=PR_USCredAge,BN224&lt;=PR_USCredMax),1,0)=1,PR_USCr1*MIN(BN224,PR_USCredB1)+PR_USCredR2*MAX(0,BN224-PR_USCredB1),PR_USCr1*MIN(BN224,PR_USCb1)+PR_USCr2*MAX(0,MIN(BN224,PR_USCb2)-PR_USCb1)+PR_USCr3*MAX(0,MIN(BN224,PR_USCb3)-PR_USCb2)+PR_USCr4*MAX(0,BN224-PR_USCb3))),0)</f>
        <v>0</v>
      </c>
      <c r="BP224" s="1" t="n">
        <f aca="false">IF(C224&lt;PR_PRSIend,IF(F_SelfEmp=1,IF(AL224&gt;PR_PRSIsMinInc,MAX(PR_PRSIsMin,AL224*J224),0),IF(AL224/52&lt;=PR_PRSIfree,0,MAX(0,(AL224/52*J224-IF(AL224/52&lt;=PR_PRSIcreditTo,MAX(0,PR_PRSIcreditMax-(AL224/52-(PR_PRSIfree+0.01))/PR_PRSItaper),0))*52)))+J224*AN224+IF(AO224&gt;PR_PRSIunearned,J224*AO224,0),0)</f>
        <v>0</v>
      </c>
      <c r="BQ224" s="1" t="n">
        <f aca="false">IF(AND(F_Partner=1,AG224&lt;PR_PRSIend),IF(AQ224/52&lt;=PR_PRSIfree,0,MAX(0,(AQ224/52*J224-IF(AQ224/52&lt;=PR_PRSIcreditTo,MAX(0,PR_PRSIcreditMax-(AQ224/52-(PR_PRSIfree+0.01))/PR_PRSItaper),0))*52)),0)</f>
        <v>0</v>
      </c>
      <c r="BR224" s="1" t="n">
        <f aca="false">BK224+BM224+BO224+BP224+BQ224</f>
        <v>0</v>
      </c>
      <c r="BS224" s="1" t="n">
        <f aca="false">BR224*H224</f>
        <v>0</v>
      </c>
      <c r="BT224" s="1" t="n">
        <f aca="false">K224+AK224+AC224+AF224+AH224+AI224</f>
        <v>0</v>
      </c>
    </row>
    <row r="225" customFormat="false" ht="15" hidden="false" customHeight="false" outlineLevel="0" collapsed="false">
      <c r="B225" s="1" t="n">
        <v>15</v>
      </c>
      <c r="C225" s="1" t="n">
        <f aca="false">F_Age+B225</f>
        <v>15</v>
      </c>
      <c r="D225" s="1" t="n">
        <f aca="false">AS_Year0+B225</f>
        <v>2042</v>
      </c>
      <c r="E225" s="106" t="n">
        <f aca="false">(1+AS_Infl)^B225</f>
        <v>1.34586833832413</v>
      </c>
      <c r="F225" s="106" t="n">
        <f aca="false">(1+AS_Wage)^B225</f>
        <v>1.55796741660077</v>
      </c>
      <c r="G225" s="1" t="n">
        <f aca="false">IF(C225&lt;F_R,1,0)</f>
        <v>0</v>
      </c>
      <c r="H225" s="106" t="n">
        <f aca="false">IF(AS_Bands="flat",1,E225)</f>
        <v>1.34586833832413</v>
      </c>
      <c r="I225" s="106" t="n">
        <f aca="false">IF(AS_SpGrow="pay",F225,IF(AS_SpGrow="flat",1,E225))</f>
        <v>1.34586833832413</v>
      </c>
      <c r="J225" s="106" t="n">
        <f aca="false">(12*PR_PRSIr0+(PR_PRSIr1-PR_PRSIr0)*MAX(0,MIN(12,D225*12+12-PR_PRSIt1))+(PR_PRSIr2-PR_PRSIr1)*MAX(0,MIN(12,D225*12+12-PR_PRSIt2))+(PR_PRSIr3-PR_PRSIr2)*MAX(0,MIN(12,D225*12+12-PR_PRSIt3)))/12</f>
        <v>0.047</v>
      </c>
      <c r="K225" s="1" t="n">
        <f aca="false">IF(G225=1,F_Income*F225,0)</f>
        <v>0</v>
      </c>
      <c r="L225" s="1" t="n">
        <f aca="false">IF(G225=1,(F_Own+In_penExtra)*12*F225,0)</f>
        <v>0</v>
      </c>
      <c r="M225" s="1" t="n">
        <f aca="false">IF(G225=1,(F_PenM+In_penExtra)*12*F225,0)</f>
        <v>0</v>
      </c>
      <c r="N225" s="107" t="n">
        <f aca="false">IF(C225&lt;PR_RelA1,PR_RelP1,IF(C225&lt;PR_RelA2,PR_RelP2,IF(C225&lt;PR_RelA3,PR_RelP3,IF(C225&lt;PR_RelA4,PR_RelP4,IF(C225&lt;PR_RelA5,PR_RelP5,PR_RelP6)))))</f>
        <v>0.15</v>
      </c>
      <c r="O225" s="1" t="n">
        <f aca="false">IF(G225=1,MIN(L225/H225,N225*MIN(K225/H225,PR_EarnCap))*H225,0)</f>
        <v>0</v>
      </c>
      <c r="P225" s="1" t="n">
        <f aca="false">IF(AND(G225=1,F_AE=1),MIN(K225/H225,PR_AEcap)*H225,0)</f>
        <v>0</v>
      </c>
      <c r="Q225" s="1" t="n">
        <f aca="false">IF(G225=1,IF(WI_Retire=1,MAX(0,M225+WI_M*12),M225)+(PR_AEee+PR_AEer+PR_AEst)*P225,0)</f>
        <v>0</v>
      </c>
      <c r="R225" s="1" t="n">
        <f aca="false">L225+PR_AEee*P225</f>
        <v>0</v>
      </c>
      <c r="S225" s="1" t="n">
        <f aca="false">AD224</f>
        <v>0</v>
      </c>
      <c r="T225" s="1" t="n">
        <f aca="false">IF(D225&lt;=2026,PR_SFT2026,IF(D225=2027,PR_SFT2027,IF(D225=2028,PR_SFT2028,IF(D225=2029,PR_SFT2029,PR_SFT2029*(1+AS_Infl)^(D225-2029)))))</f>
        <v>3622098.56527063</v>
      </c>
      <c r="U225" s="1" t="n">
        <f aca="false">IF(AND(G225=0,C225=F_V),1,0)</f>
        <v>0</v>
      </c>
      <c r="V225" s="1" t="n">
        <f aca="false">IF(U225=1,PR_SFTrate*MAX(0,S225-T225),0)</f>
        <v>0</v>
      </c>
      <c r="W225" s="1" t="n">
        <f aca="false">S225-V225</f>
        <v>0</v>
      </c>
      <c r="X225" s="1" t="n">
        <f aca="false">IF(AND(U225=1,AS_LumpPct&gt;0),W225*MIN(AS_LumpPct,PR_LSmax),0)</f>
        <v>0</v>
      </c>
      <c r="Y225" s="1" t="n">
        <f aca="false">X225-(PR_LSrate*MAX(0,MIN(X225,PR_LScap)-PR_LSfree)+PR_r2*MAX(0,X225-PR_LScap))</f>
        <v>0</v>
      </c>
      <c r="Z225" s="1" t="n">
        <f aca="false">W225-X225</f>
        <v>0</v>
      </c>
      <c r="AA225" s="107" t="n">
        <f aca="false">IF(C225&gt;=61,IF(Z225&gt;PR_ARFbig,PR_ARFbigRate,IF(C225&gt;=71,PR_ARF71,PR_ARF61)),0)</f>
        <v>0</v>
      </c>
      <c r="AB225" s="1" t="n">
        <f aca="false">IF(AS_DrawRule="min",Z225*AA225,IF(AS_DrawRule="fixed",MAX(AS_DrawFixed*E225,Z225*AA225),Z225*MAX(1/MAX(1,AS_End-C225+1),AA225)))</f>
        <v>0</v>
      </c>
      <c r="AC225" s="1" t="n">
        <f aca="false">IF(AND(G225=0,C225&gt;=F_V),MIN(Z225,AB225),0)</f>
        <v>0</v>
      </c>
      <c r="AD225" s="1" t="n">
        <f aca="false">IF(G225=1,S225*(1+F_PenG)+Q225,IF(C225&lt;F_V,S225*(1+F_PenG),(Z225-AC225)*(1+AS_PenRet)))</f>
        <v>0</v>
      </c>
      <c r="AE225" s="1" t="n">
        <f aca="false">IF(C225&gt;=PR_SPage,AS_SP*F_SpF*I225+IF(C225&gt;=80,PR_Over80*PR_Weeks*I225,0),0)</f>
        <v>0</v>
      </c>
      <c r="AF225" s="1" t="n">
        <f aca="false">(F_OtherM+F_RentM)*12*E225</f>
        <v>0</v>
      </c>
      <c r="AG225" s="1" t="n">
        <f aca="false">F_PAge+B225</f>
        <v>15</v>
      </c>
      <c r="AH225" s="1" t="n">
        <f aca="false">IF(AND(F_Partner=1,F_PAge&gt;0,AG225&lt;IF(F_PRet&gt;0,F_PRet,66)),F_PIncome*F225,0)</f>
        <v>0</v>
      </c>
      <c r="AI225" s="1" t="n">
        <f aca="false">IF(AND(F_Partner=1,AG225&gt;=66,F_PSpQA=0),AS_SP*F_PSpF*I225,0)</f>
        <v>0</v>
      </c>
      <c r="AJ225" s="1" t="n">
        <f aca="false">IF(AND(F_Partner=1,F_PSpQA=1,C225&gt;=PR_SPage,AH225=0),IF(AG225&gt;=66,PR_QA66,PR_QAunder)*PR_Weeks*I225,0)</f>
        <v>0</v>
      </c>
      <c r="AK225" s="1" t="n">
        <f aca="false">AE225+AJ225</f>
        <v>0</v>
      </c>
      <c r="AL225" s="1" t="n">
        <f aca="false">K225/H225</f>
        <v>0</v>
      </c>
      <c r="AM225" s="1" t="n">
        <f aca="false">AK225/H225</f>
        <v>0</v>
      </c>
      <c r="AN225" s="1" t="n">
        <f aca="false">AC225/H225</f>
        <v>0</v>
      </c>
      <c r="AO225" s="1" t="n">
        <f aca="false">AF225/H225</f>
        <v>0</v>
      </c>
      <c r="AP225" s="1" t="n">
        <f aca="false">O225/H225</f>
        <v>0</v>
      </c>
      <c r="AQ225" s="1" t="n">
        <f aca="false">AH225/H225</f>
        <v>0</v>
      </c>
      <c r="AR225" s="1" t="n">
        <f aca="false">AI225/H225</f>
        <v>0</v>
      </c>
      <c r="AS225" s="1" t="n">
        <f aca="false">MAX(0,AL225+AN225+AO225+AM225-AP225)</f>
        <v>0</v>
      </c>
      <c r="AT225" s="1" t="n">
        <f aca="false">MAX(0,AQ225+AR225)</f>
        <v>0</v>
      </c>
      <c r="AU225" s="1" t="n">
        <f aca="false">MIN(PR_PAYE,PR_PAYEcap*(AL225+AN225+AM225))</f>
        <v>0</v>
      </c>
      <c r="AV225" s="1" t="n">
        <f aca="false">MIN(PR_PAYE,PR_PAYEcap*(AQ225+AR225))</f>
        <v>0</v>
      </c>
      <c r="AW225" s="1" t="n">
        <f aca="false">IF(C225&gt;=PR_AgeCrAge,PR_AgeCr,0)</f>
        <v>0</v>
      </c>
      <c r="AX225" s="1" t="n">
        <f aca="false">IF(AG225&gt;=PR_AgeCrAge,PR_AgeCr,0)</f>
        <v>0</v>
      </c>
      <c r="AY225" s="1" t="n">
        <f aca="false">IF(AND(F_RentCred=1,D225&lt;=PR_RentLast),1,0)</f>
        <v>0</v>
      </c>
      <c r="AZ225" s="1" t="n">
        <f aca="false">AS225+AT225</f>
        <v>0</v>
      </c>
      <c r="BA225" s="1" t="n">
        <f aca="false">PR_PersonalM+AU225+AV225+AW225+AX225+IF(AY225=1,PR_RentJoint,0)</f>
        <v>4000</v>
      </c>
      <c r="BB225" s="1" t="n">
        <f aca="false">PR_BandM+MIN(MIN(AS225,AT225),PR_Uplift)</f>
        <v>53000</v>
      </c>
      <c r="BC225" s="1" t="n">
        <f aca="false">MAX(0,PR_r1*MIN(AZ225,BB225)+PR_r2*MAX(0,AZ225-BB225)-BA225)</f>
        <v>0</v>
      </c>
      <c r="BD225" s="1" t="n">
        <f aca="false">MAX(0,PR_HomeCarer-MAX(0,MIN(AS225,AT225)-PR_HCLimit)/2)</f>
        <v>1950</v>
      </c>
      <c r="BE225" s="1" t="n">
        <f aca="false">IF(F_Carer=1,MIN(BC225,MAX(0,PR_r1*MIN(AZ225,PR_BandM)+PR_r2*MAX(0,AZ225-PR_BandM)-BA225-BD225)),BC225)</f>
        <v>0</v>
      </c>
      <c r="BF225" s="1" t="n">
        <f aca="false">IF(OR(C225&gt;=PR_AgeCrAge,AG225&gt;=PR_AgeCrAge),IF(AZ225&lt;=PR_AgeExM,0,MIN(BE225,PR_AgeMarg*(AZ225-PR_AgeExM))),BE225)</f>
        <v>0</v>
      </c>
      <c r="BG225" s="1" t="n">
        <f aca="false">MAX(0,PR_r1*MIN(AS225,IF(F_Spccc=1,PR_BandSPCCC,PR_Band))+PR_r2*MAX(0,AS225-IF(F_Spccc=1,PR_BandSPCCC,PR_Band))-(PR_Personal+AU225+AW225+IF(F_Spccc=1,PR_SPCCC,0)+IF(AY225=1,PR_Rent,0)))</f>
        <v>0</v>
      </c>
      <c r="BH225" s="1" t="n">
        <f aca="false">IF(C225&gt;=PR_AgeCrAge,IF(AS225&lt;=PR_AgeEx,0,MIN(BG225,PR_AgeMarg*(AS225-PR_AgeEx))),BG225)</f>
        <v>0</v>
      </c>
      <c r="BI225" s="1" t="n">
        <f aca="false">IF(F_Partner=1,MAX(0,PR_r1*MIN(AT225,PR_Band)+PR_r2*MAX(0,AT225-PR_Band)-(PR_Personal+AV225+AX225+IF(AND(AY225=1,AT225&gt;0),PR_Rent,0))),0)</f>
        <v>0</v>
      </c>
      <c r="BJ225" s="1" t="n">
        <f aca="false">IF(AG225&gt;=PR_AgeCrAge,IF(AT225&lt;=PR_AgeEx,0,MIN(BI225,PR_AgeMarg*(AT225-PR_AgeEx))),BI225)</f>
        <v>0</v>
      </c>
      <c r="BK225" s="1" t="n">
        <f aca="false">IF(F_Partner=1,IF(F_Married=1,BF225,BH225+BJ225),BH225)</f>
        <v>0</v>
      </c>
      <c r="BL225" s="1" t="n">
        <f aca="false">AL225+AN225+AO225</f>
        <v>0</v>
      </c>
      <c r="BM225" s="1" t="n">
        <f aca="false">IF(BL225&lt;=PR_USCex,0,IF(IF(AND(C225&gt;=PR_USCredAge,BL225&lt;=PR_USCredMax),1,0)=1,PR_USCr1*MIN(BL225,PR_USCredB1)+PR_USCredR2*MAX(0,BL225-PR_USCredB1),PR_USCr1*MIN(BL225,PR_USCb1)+PR_USCr2*MAX(0,MIN(BL225,PR_USCb2)-PR_USCb1)+PR_USCr3*MAX(0,MIN(BL225,PR_USCb3)-PR_USCb2)+PR_USCr4*MAX(0,BL225-PR_USCb3)))+IF(F_SelfEmp=1,PR_USCse*MAX(0,AL225-PR_USCseOver),0)</f>
        <v>0</v>
      </c>
      <c r="BN225" s="1" t="n">
        <f aca="false">AQ225</f>
        <v>0</v>
      </c>
      <c r="BO225" s="1" t="n">
        <f aca="false">IF(F_Partner=1,IF(BN225&lt;=PR_USCex,0,IF(IF(AND(AG225&gt;=PR_USCredAge,BN225&lt;=PR_USCredMax),1,0)=1,PR_USCr1*MIN(BN225,PR_USCredB1)+PR_USCredR2*MAX(0,BN225-PR_USCredB1),PR_USCr1*MIN(BN225,PR_USCb1)+PR_USCr2*MAX(0,MIN(BN225,PR_USCb2)-PR_USCb1)+PR_USCr3*MAX(0,MIN(BN225,PR_USCb3)-PR_USCb2)+PR_USCr4*MAX(0,BN225-PR_USCb3))),0)</f>
        <v>0</v>
      </c>
      <c r="BP225" s="1" t="n">
        <f aca="false">IF(C225&lt;PR_PRSIend,IF(F_SelfEmp=1,IF(AL225&gt;PR_PRSIsMinInc,MAX(PR_PRSIsMin,AL225*J225),0),IF(AL225/52&lt;=PR_PRSIfree,0,MAX(0,(AL225/52*J225-IF(AL225/52&lt;=PR_PRSIcreditTo,MAX(0,PR_PRSIcreditMax-(AL225/52-(PR_PRSIfree+0.01))/PR_PRSItaper),0))*52)))+J225*AN225+IF(AO225&gt;PR_PRSIunearned,J225*AO225,0),0)</f>
        <v>0</v>
      </c>
      <c r="BQ225" s="1" t="n">
        <f aca="false">IF(AND(F_Partner=1,AG225&lt;PR_PRSIend),IF(AQ225/52&lt;=PR_PRSIfree,0,MAX(0,(AQ225/52*J225-IF(AQ225/52&lt;=PR_PRSIcreditTo,MAX(0,PR_PRSIcreditMax-(AQ225/52-(PR_PRSIfree+0.01))/PR_PRSItaper),0))*52)),0)</f>
        <v>0</v>
      </c>
      <c r="BR225" s="1" t="n">
        <f aca="false">BK225+BM225+BO225+BP225+BQ225</f>
        <v>0</v>
      </c>
      <c r="BS225" s="1" t="n">
        <f aca="false">BR225*H225</f>
        <v>0</v>
      </c>
      <c r="BT225" s="1" t="n">
        <f aca="false">K225+AK225+AC225+AF225+AH225+AI225</f>
        <v>0</v>
      </c>
    </row>
    <row r="226" customFormat="false" ht="15" hidden="false" customHeight="false" outlineLevel="0" collapsed="false">
      <c r="B226" s="1" t="n">
        <v>16</v>
      </c>
      <c r="C226" s="1" t="n">
        <f aca="false">F_Age+B226</f>
        <v>16</v>
      </c>
      <c r="D226" s="1" t="n">
        <f aca="false">AS_Year0+B226</f>
        <v>2043</v>
      </c>
      <c r="E226" s="106" t="n">
        <f aca="false">(1+AS_Infl)^B226</f>
        <v>1.37278570509061</v>
      </c>
      <c r="F226" s="106" t="n">
        <f aca="false">(1+AS_Wage)^B226</f>
        <v>1.60470643909879</v>
      </c>
      <c r="G226" s="1" t="n">
        <f aca="false">IF(C226&lt;F_R,1,0)</f>
        <v>0</v>
      </c>
      <c r="H226" s="106" t="n">
        <f aca="false">IF(AS_Bands="flat",1,E226)</f>
        <v>1.37278570509061</v>
      </c>
      <c r="I226" s="106" t="n">
        <f aca="false">IF(AS_SpGrow="pay",F226,IF(AS_SpGrow="flat",1,E226))</f>
        <v>1.37278570509061</v>
      </c>
      <c r="J226" s="106" t="n">
        <f aca="false">(12*PR_PRSIr0+(PR_PRSIr1-PR_PRSIr0)*MAX(0,MIN(12,D226*12+12-PR_PRSIt1))+(PR_PRSIr2-PR_PRSIr1)*MAX(0,MIN(12,D226*12+12-PR_PRSIt2))+(PR_PRSIr3-PR_PRSIr2)*MAX(0,MIN(12,D226*12+12-PR_PRSIt3)))/12</f>
        <v>0.047</v>
      </c>
      <c r="K226" s="1" t="n">
        <f aca="false">IF(G226=1,F_Income*F226,0)</f>
        <v>0</v>
      </c>
      <c r="L226" s="1" t="n">
        <f aca="false">IF(G226=1,(F_Own+In_penExtra)*12*F226,0)</f>
        <v>0</v>
      </c>
      <c r="M226" s="1" t="n">
        <f aca="false">IF(G226=1,(F_PenM+In_penExtra)*12*F226,0)</f>
        <v>0</v>
      </c>
      <c r="N226" s="107" t="n">
        <f aca="false">IF(C226&lt;PR_RelA1,PR_RelP1,IF(C226&lt;PR_RelA2,PR_RelP2,IF(C226&lt;PR_RelA3,PR_RelP3,IF(C226&lt;PR_RelA4,PR_RelP4,IF(C226&lt;PR_RelA5,PR_RelP5,PR_RelP6)))))</f>
        <v>0.15</v>
      </c>
      <c r="O226" s="1" t="n">
        <f aca="false">IF(G226=1,MIN(L226/H226,N226*MIN(K226/H226,PR_EarnCap))*H226,0)</f>
        <v>0</v>
      </c>
      <c r="P226" s="1" t="n">
        <f aca="false">IF(AND(G226=1,F_AE=1),MIN(K226/H226,PR_AEcap)*H226,0)</f>
        <v>0</v>
      </c>
      <c r="Q226" s="1" t="n">
        <f aca="false">IF(G226=1,IF(WI_Retire=1,MAX(0,M226+WI_M*12),M226)+(PR_AEee+PR_AEer+PR_AEst)*P226,0)</f>
        <v>0</v>
      </c>
      <c r="R226" s="1" t="n">
        <f aca="false">L226+PR_AEee*P226</f>
        <v>0</v>
      </c>
      <c r="S226" s="1" t="n">
        <f aca="false">AD225</f>
        <v>0</v>
      </c>
      <c r="T226" s="1" t="n">
        <f aca="false">IF(D226&lt;=2026,PR_SFT2026,IF(D226=2027,PR_SFT2027,IF(D226=2028,PR_SFT2028,IF(D226=2029,PR_SFT2029,PR_SFT2029*(1+AS_Infl)^(D226-2029)))))</f>
        <v>3694540.53657604</v>
      </c>
      <c r="U226" s="1" t="n">
        <f aca="false">IF(AND(G226=0,C226=F_V),1,0)</f>
        <v>0</v>
      </c>
      <c r="V226" s="1" t="n">
        <f aca="false">IF(U226=1,PR_SFTrate*MAX(0,S226-T226),0)</f>
        <v>0</v>
      </c>
      <c r="W226" s="1" t="n">
        <f aca="false">S226-V226</f>
        <v>0</v>
      </c>
      <c r="X226" s="1" t="n">
        <f aca="false">IF(AND(U226=1,AS_LumpPct&gt;0),W226*MIN(AS_LumpPct,PR_LSmax),0)</f>
        <v>0</v>
      </c>
      <c r="Y226" s="1" t="n">
        <f aca="false">X226-(PR_LSrate*MAX(0,MIN(X226,PR_LScap)-PR_LSfree)+PR_r2*MAX(0,X226-PR_LScap))</f>
        <v>0</v>
      </c>
      <c r="Z226" s="1" t="n">
        <f aca="false">W226-X226</f>
        <v>0</v>
      </c>
      <c r="AA226" s="107" t="n">
        <f aca="false">IF(C226&gt;=61,IF(Z226&gt;PR_ARFbig,PR_ARFbigRate,IF(C226&gt;=71,PR_ARF71,PR_ARF61)),0)</f>
        <v>0</v>
      </c>
      <c r="AB226" s="1" t="n">
        <f aca="false">IF(AS_DrawRule="min",Z226*AA226,IF(AS_DrawRule="fixed",MAX(AS_DrawFixed*E226,Z226*AA226),Z226*MAX(1/MAX(1,AS_End-C226+1),AA226)))</f>
        <v>0</v>
      </c>
      <c r="AC226" s="1" t="n">
        <f aca="false">IF(AND(G226=0,C226&gt;=F_V),MIN(Z226,AB226),0)</f>
        <v>0</v>
      </c>
      <c r="AD226" s="1" t="n">
        <f aca="false">IF(G226=1,S226*(1+F_PenG)+Q226,IF(C226&lt;F_V,S226*(1+F_PenG),(Z226-AC226)*(1+AS_PenRet)))</f>
        <v>0</v>
      </c>
      <c r="AE226" s="1" t="n">
        <f aca="false">IF(C226&gt;=PR_SPage,AS_SP*F_SpF*I226+IF(C226&gt;=80,PR_Over80*PR_Weeks*I226,0),0)</f>
        <v>0</v>
      </c>
      <c r="AF226" s="1" t="n">
        <f aca="false">(F_OtherM+F_RentM)*12*E226</f>
        <v>0</v>
      </c>
      <c r="AG226" s="1" t="n">
        <f aca="false">F_PAge+B226</f>
        <v>16</v>
      </c>
      <c r="AH226" s="1" t="n">
        <f aca="false">IF(AND(F_Partner=1,F_PAge&gt;0,AG226&lt;IF(F_PRet&gt;0,F_PRet,66)),F_PIncome*F226,0)</f>
        <v>0</v>
      </c>
      <c r="AI226" s="1" t="n">
        <f aca="false">IF(AND(F_Partner=1,AG226&gt;=66,F_PSpQA=0),AS_SP*F_PSpF*I226,0)</f>
        <v>0</v>
      </c>
      <c r="AJ226" s="1" t="n">
        <f aca="false">IF(AND(F_Partner=1,F_PSpQA=1,C226&gt;=PR_SPage,AH226=0),IF(AG226&gt;=66,PR_QA66,PR_QAunder)*PR_Weeks*I226,0)</f>
        <v>0</v>
      </c>
      <c r="AK226" s="1" t="n">
        <f aca="false">AE226+AJ226</f>
        <v>0</v>
      </c>
      <c r="AL226" s="1" t="n">
        <f aca="false">K226/H226</f>
        <v>0</v>
      </c>
      <c r="AM226" s="1" t="n">
        <f aca="false">AK226/H226</f>
        <v>0</v>
      </c>
      <c r="AN226" s="1" t="n">
        <f aca="false">AC226/H226</f>
        <v>0</v>
      </c>
      <c r="AO226" s="1" t="n">
        <f aca="false">AF226/H226</f>
        <v>0</v>
      </c>
      <c r="AP226" s="1" t="n">
        <f aca="false">O226/H226</f>
        <v>0</v>
      </c>
      <c r="AQ226" s="1" t="n">
        <f aca="false">AH226/H226</f>
        <v>0</v>
      </c>
      <c r="AR226" s="1" t="n">
        <f aca="false">AI226/H226</f>
        <v>0</v>
      </c>
      <c r="AS226" s="1" t="n">
        <f aca="false">MAX(0,AL226+AN226+AO226+AM226-AP226)</f>
        <v>0</v>
      </c>
      <c r="AT226" s="1" t="n">
        <f aca="false">MAX(0,AQ226+AR226)</f>
        <v>0</v>
      </c>
      <c r="AU226" s="1" t="n">
        <f aca="false">MIN(PR_PAYE,PR_PAYEcap*(AL226+AN226+AM226))</f>
        <v>0</v>
      </c>
      <c r="AV226" s="1" t="n">
        <f aca="false">MIN(PR_PAYE,PR_PAYEcap*(AQ226+AR226))</f>
        <v>0</v>
      </c>
      <c r="AW226" s="1" t="n">
        <f aca="false">IF(C226&gt;=PR_AgeCrAge,PR_AgeCr,0)</f>
        <v>0</v>
      </c>
      <c r="AX226" s="1" t="n">
        <f aca="false">IF(AG226&gt;=PR_AgeCrAge,PR_AgeCr,0)</f>
        <v>0</v>
      </c>
      <c r="AY226" s="1" t="n">
        <f aca="false">IF(AND(F_RentCred=1,D226&lt;=PR_RentLast),1,0)</f>
        <v>0</v>
      </c>
      <c r="AZ226" s="1" t="n">
        <f aca="false">AS226+AT226</f>
        <v>0</v>
      </c>
      <c r="BA226" s="1" t="n">
        <f aca="false">PR_PersonalM+AU226+AV226+AW226+AX226+IF(AY226=1,PR_RentJoint,0)</f>
        <v>4000</v>
      </c>
      <c r="BB226" s="1" t="n">
        <f aca="false">PR_BandM+MIN(MIN(AS226,AT226),PR_Uplift)</f>
        <v>53000</v>
      </c>
      <c r="BC226" s="1" t="n">
        <f aca="false">MAX(0,PR_r1*MIN(AZ226,BB226)+PR_r2*MAX(0,AZ226-BB226)-BA226)</f>
        <v>0</v>
      </c>
      <c r="BD226" s="1" t="n">
        <f aca="false">MAX(0,PR_HomeCarer-MAX(0,MIN(AS226,AT226)-PR_HCLimit)/2)</f>
        <v>1950</v>
      </c>
      <c r="BE226" s="1" t="n">
        <f aca="false">IF(F_Carer=1,MIN(BC226,MAX(0,PR_r1*MIN(AZ226,PR_BandM)+PR_r2*MAX(0,AZ226-PR_BandM)-BA226-BD226)),BC226)</f>
        <v>0</v>
      </c>
      <c r="BF226" s="1" t="n">
        <f aca="false">IF(OR(C226&gt;=PR_AgeCrAge,AG226&gt;=PR_AgeCrAge),IF(AZ226&lt;=PR_AgeExM,0,MIN(BE226,PR_AgeMarg*(AZ226-PR_AgeExM))),BE226)</f>
        <v>0</v>
      </c>
      <c r="BG226" s="1" t="n">
        <f aca="false">MAX(0,PR_r1*MIN(AS226,IF(F_Spccc=1,PR_BandSPCCC,PR_Band))+PR_r2*MAX(0,AS226-IF(F_Spccc=1,PR_BandSPCCC,PR_Band))-(PR_Personal+AU226+AW226+IF(F_Spccc=1,PR_SPCCC,0)+IF(AY226=1,PR_Rent,0)))</f>
        <v>0</v>
      </c>
      <c r="BH226" s="1" t="n">
        <f aca="false">IF(C226&gt;=PR_AgeCrAge,IF(AS226&lt;=PR_AgeEx,0,MIN(BG226,PR_AgeMarg*(AS226-PR_AgeEx))),BG226)</f>
        <v>0</v>
      </c>
      <c r="BI226" s="1" t="n">
        <f aca="false">IF(F_Partner=1,MAX(0,PR_r1*MIN(AT226,PR_Band)+PR_r2*MAX(0,AT226-PR_Band)-(PR_Personal+AV226+AX226+IF(AND(AY226=1,AT226&gt;0),PR_Rent,0))),0)</f>
        <v>0</v>
      </c>
      <c r="BJ226" s="1" t="n">
        <f aca="false">IF(AG226&gt;=PR_AgeCrAge,IF(AT226&lt;=PR_AgeEx,0,MIN(BI226,PR_AgeMarg*(AT226-PR_AgeEx))),BI226)</f>
        <v>0</v>
      </c>
      <c r="BK226" s="1" t="n">
        <f aca="false">IF(F_Partner=1,IF(F_Married=1,BF226,BH226+BJ226),BH226)</f>
        <v>0</v>
      </c>
      <c r="BL226" s="1" t="n">
        <f aca="false">AL226+AN226+AO226</f>
        <v>0</v>
      </c>
      <c r="BM226" s="1" t="n">
        <f aca="false">IF(BL226&lt;=PR_USCex,0,IF(IF(AND(C226&gt;=PR_USCredAge,BL226&lt;=PR_USCredMax),1,0)=1,PR_USCr1*MIN(BL226,PR_USCredB1)+PR_USCredR2*MAX(0,BL226-PR_USCredB1),PR_USCr1*MIN(BL226,PR_USCb1)+PR_USCr2*MAX(0,MIN(BL226,PR_USCb2)-PR_USCb1)+PR_USCr3*MAX(0,MIN(BL226,PR_USCb3)-PR_USCb2)+PR_USCr4*MAX(0,BL226-PR_USCb3)))+IF(F_SelfEmp=1,PR_USCse*MAX(0,AL226-PR_USCseOver),0)</f>
        <v>0</v>
      </c>
      <c r="BN226" s="1" t="n">
        <f aca="false">AQ226</f>
        <v>0</v>
      </c>
      <c r="BO226" s="1" t="n">
        <f aca="false">IF(F_Partner=1,IF(BN226&lt;=PR_USCex,0,IF(IF(AND(AG226&gt;=PR_USCredAge,BN226&lt;=PR_USCredMax),1,0)=1,PR_USCr1*MIN(BN226,PR_USCredB1)+PR_USCredR2*MAX(0,BN226-PR_USCredB1),PR_USCr1*MIN(BN226,PR_USCb1)+PR_USCr2*MAX(0,MIN(BN226,PR_USCb2)-PR_USCb1)+PR_USCr3*MAX(0,MIN(BN226,PR_USCb3)-PR_USCb2)+PR_USCr4*MAX(0,BN226-PR_USCb3))),0)</f>
        <v>0</v>
      </c>
      <c r="BP226" s="1" t="n">
        <f aca="false">IF(C226&lt;PR_PRSIend,IF(F_SelfEmp=1,IF(AL226&gt;PR_PRSIsMinInc,MAX(PR_PRSIsMin,AL226*J226),0),IF(AL226/52&lt;=PR_PRSIfree,0,MAX(0,(AL226/52*J226-IF(AL226/52&lt;=PR_PRSIcreditTo,MAX(0,PR_PRSIcreditMax-(AL226/52-(PR_PRSIfree+0.01))/PR_PRSItaper),0))*52)))+J226*AN226+IF(AO226&gt;PR_PRSIunearned,J226*AO226,0),0)</f>
        <v>0</v>
      </c>
      <c r="BQ226" s="1" t="n">
        <f aca="false">IF(AND(F_Partner=1,AG226&lt;PR_PRSIend),IF(AQ226/52&lt;=PR_PRSIfree,0,MAX(0,(AQ226/52*J226-IF(AQ226/52&lt;=PR_PRSIcreditTo,MAX(0,PR_PRSIcreditMax-(AQ226/52-(PR_PRSIfree+0.01))/PR_PRSItaper),0))*52)),0)</f>
        <v>0</v>
      </c>
      <c r="BR226" s="1" t="n">
        <f aca="false">BK226+BM226+BO226+BP226+BQ226</f>
        <v>0</v>
      </c>
      <c r="BS226" s="1" t="n">
        <f aca="false">BR226*H226</f>
        <v>0</v>
      </c>
      <c r="BT226" s="1" t="n">
        <f aca="false">K226+AK226+AC226+AF226+AH226+AI226</f>
        <v>0</v>
      </c>
    </row>
    <row r="227" customFormat="false" ht="15" hidden="false" customHeight="false" outlineLevel="0" collapsed="false">
      <c r="B227" s="1" t="n">
        <v>17</v>
      </c>
      <c r="C227" s="1" t="n">
        <f aca="false">F_Age+B227</f>
        <v>17</v>
      </c>
      <c r="D227" s="1" t="n">
        <f aca="false">AS_Year0+B227</f>
        <v>2044</v>
      </c>
      <c r="E227" s="106" t="n">
        <f aca="false">(1+AS_Infl)^B227</f>
        <v>1.40024141919242</v>
      </c>
      <c r="F227" s="106" t="n">
        <f aca="false">(1+AS_Wage)^B227</f>
        <v>1.65284763227175</v>
      </c>
      <c r="G227" s="1" t="n">
        <f aca="false">IF(C227&lt;F_R,1,0)</f>
        <v>0</v>
      </c>
      <c r="H227" s="106" t="n">
        <f aca="false">IF(AS_Bands="flat",1,E227)</f>
        <v>1.40024141919242</v>
      </c>
      <c r="I227" s="106" t="n">
        <f aca="false">IF(AS_SpGrow="pay",F227,IF(AS_SpGrow="flat",1,E227))</f>
        <v>1.40024141919242</v>
      </c>
      <c r="J227" s="106" t="n">
        <f aca="false">(12*PR_PRSIr0+(PR_PRSIr1-PR_PRSIr0)*MAX(0,MIN(12,D227*12+12-PR_PRSIt1))+(PR_PRSIr2-PR_PRSIr1)*MAX(0,MIN(12,D227*12+12-PR_PRSIt2))+(PR_PRSIr3-PR_PRSIr2)*MAX(0,MIN(12,D227*12+12-PR_PRSIt3)))/12</f>
        <v>0.047</v>
      </c>
      <c r="K227" s="1" t="n">
        <f aca="false">IF(G227=1,F_Income*F227,0)</f>
        <v>0</v>
      </c>
      <c r="L227" s="1" t="n">
        <f aca="false">IF(G227=1,(F_Own+In_penExtra)*12*F227,0)</f>
        <v>0</v>
      </c>
      <c r="M227" s="1" t="n">
        <f aca="false">IF(G227=1,(F_PenM+In_penExtra)*12*F227,0)</f>
        <v>0</v>
      </c>
      <c r="N227" s="107" t="n">
        <f aca="false">IF(C227&lt;PR_RelA1,PR_RelP1,IF(C227&lt;PR_RelA2,PR_RelP2,IF(C227&lt;PR_RelA3,PR_RelP3,IF(C227&lt;PR_RelA4,PR_RelP4,IF(C227&lt;PR_RelA5,PR_RelP5,PR_RelP6)))))</f>
        <v>0.15</v>
      </c>
      <c r="O227" s="1" t="n">
        <f aca="false">IF(G227=1,MIN(L227/H227,N227*MIN(K227/H227,PR_EarnCap))*H227,0)</f>
        <v>0</v>
      </c>
      <c r="P227" s="1" t="n">
        <f aca="false">IF(AND(G227=1,F_AE=1),MIN(K227/H227,PR_AEcap)*H227,0)</f>
        <v>0</v>
      </c>
      <c r="Q227" s="1" t="n">
        <f aca="false">IF(G227=1,IF(WI_Retire=1,MAX(0,M227+WI_M*12),M227)+(PR_AEee+PR_AEer+PR_AEst)*P227,0)</f>
        <v>0</v>
      </c>
      <c r="R227" s="1" t="n">
        <f aca="false">L227+PR_AEee*P227</f>
        <v>0</v>
      </c>
      <c r="S227" s="1" t="n">
        <f aca="false">AD226</f>
        <v>0</v>
      </c>
      <c r="T227" s="1" t="n">
        <f aca="false">IF(D227&lt;=2026,PR_SFT2026,IF(D227=2027,PR_SFT2027,IF(D227=2028,PR_SFT2028,IF(D227=2029,PR_SFT2029,PR_SFT2029*(1+AS_Infl)^(D227-2029)))))</f>
        <v>3768431.34730756</v>
      </c>
      <c r="U227" s="1" t="n">
        <f aca="false">IF(AND(G227=0,C227=F_V),1,0)</f>
        <v>0</v>
      </c>
      <c r="V227" s="1" t="n">
        <f aca="false">IF(U227=1,PR_SFTrate*MAX(0,S227-T227),0)</f>
        <v>0</v>
      </c>
      <c r="W227" s="1" t="n">
        <f aca="false">S227-V227</f>
        <v>0</v>
      </c>
      <c r="X227" s="1" t="n">
        <f aca="false">IF(AND(U227=1,AS_LumpPct&gt;0),W227*MIN(AS_LumpPct,PR_LSmax),0)</f>
        <v>0</v>
      </c>
      <c r="Y227" s="1" t="n">
        <f aca="false">X227-(PR_LSrate*MAX(0,MIN(X227,PR_LScap)-PR_LSfree)+PR_r2*MAX(0,X227-PR_LScap))</f>
        <v>0</v>
      </c>
      <c r="Z227" s="1" t="n">
        <f aca="false">W227-X227</f>
        <v>0</v>
      </c>
      <c r="AA227" s="107" t="n">
        <f aca="false">IF(C227&gt;=61,IF(Z227&gt;PR_ARFbig,PR_ARFbigRate,IF(C227&gt;=71,PR_ARF71,PR_ARF61)),0)</f>
        <v>0</v>
      </c>
      <c r="AB227" s="1" t="n">
        <f aca="false">IF(AS_DrawRule="min",Z227*AA227,IF(AS_DrawRule="fixed",MAX(AS_DrawFixed*E227,Z227*AA227),Z227*MAX(1/MAX(1,AS_End-C227+1),AA227)))</f>
        <v>0</v>
      </c>
      <c r="AC227" s="1" t="n">
        <f aca="false">IF(AND(G227=0,C227&gt;=F_V),MIN(Z227,AB227),0)</f>
        <v>0</v>
      </c>
      <c r="AD227" s="1" t="n">
        <f aca="false">IF(G227=1,S227*(1+F_PenG)+Q227,IF(C227&lt;F_V,S227*(1+F_PenG),(Z227-AC227)*(1+AS_PenRet)))</f>
        <v>0</v>
      </c>
      <c r="AE227" s="1" t="n">
        <f aca="false">IF(C227&gt;=PR_SPage,AS_SP*F_SpF*I227+IF(C227&gt;=80,PR_Over80*PR_Weeks*I227,0),0)</f>
        <v>0</v>
      </c>
      <c r="AF227" s="1" t="n">
        <f aca="false">(F_OtherM+F_RentM)*12*E227</f>
        <v>0</v>
      </c>
      <c r="AG227" s="1" t="n">
        <f aca="false">F_PAge+B227</f>
        <v>17</v>
      </c>
      <c r="AH227" s="1" t="n">
        <f aca="false">IF(AND(F_Partner=1,F_PAge&gt;0,AG227&lt;IF(F_PRet&gt;0,F_PRet,66)),F_PIncome*F227,0)</f>
        <v>0</v>
      </c>
      <c r="AI227" s="1" t="n">
        <f aca="false">IF(AND(F_Partner=1,AG227&gt;=66,F_PSpQA=0),AS_SP*F_PSpF*I227,0)</f>
        <v>0</v>
      </c>
      <c r="AJ227" s="1" t="n">
        <f aca="false">IF(AND(F_Partner=1,F_PSpQA=1,C227&gt;=PR_SPage,AH227=0),IF(AG227&gt;=66,PR_QA66,PR_QAunder)*PR_Weeks*I227,0)</f>
        <v>0</v>
      </c>
      <c r="AK227" s="1" t="n">
        <f aca="false">AE227+AJ227</f>
        <v>0</v>
      </c>
      <c r="AL227" s="1" t="n">
        <f aca="false">K227/H227</f>
        <v>0</v>
      </c>
      <c r="AM227" s="1" t="n">
        <f aca="false">AK227/H227</f>
        <v>0</v>
      </c>
      <c r="AN227" s="1" t="n">
        <f aca="false">AC227/H227</f>
        <v>0</v>
      </c>
      <c r="AO227" s="1" t="n">
        <f aca="false">AF227/H227</f>
        <v>0</v>
      </c>
      <c r="AP227" s="1" t="n">
        <f aca="false">O227/H227</f>
        <v>0</v>
      </c>
      <c r="AQ227" s="1" t="n">
        <f aca="false">AH227/H227</f>
        <v>0</v>
      </c>
      <c r="AR227" s="1" t="n">
        <f aca="false">AI227/H227</f>
        <v>0</v>
      </c>
      <c r="AS227" s="1" t="n">
        <f aca="false">MAX(0,AL227+AN227+AO227+AM227-AP227)</f>
        <v>0</v>
      </c>
      <c r="AT227" s="1" t="n">
        <f aca="false">MAX(0,AQ227+AR227)</f>
        <v>0</v>
      </c>
      <c r="AU227" s="1" t="n">
        <f aca="false">MIN(PR_PAYE,PR_PAYEcap*(AL227+AN227+AM227))</f>
        <v>0</v>
      </c>
      <c r="AV227" s="1" t="n">
        <f aca="false">MIN(PR_PAYE,PR_PAYEcap*(AQ227+AR227))</f>
        <v>0</v>
      </c>
      <c r="AW227" s="1" t="n">
        <f aca="false">IF(C227&gt;=PR_AgeCrAge,PR_AgeCr,0)</f>
        <v>0</v>
      </c>
      <c r="AX227" s="1" t="n">
        <f aca="false">IF(AG227&gt;=PR_AgeCrAge,PR_AgeCr,0)</f>
        <v>0</v>
      </c>
      <c r="AY227" s="1" t="n">
        <f aca="false">IF(AND(F_RentCred=1,D227&lt;=PR_RentLast),1,0)</f>
        <v>0</v>
      </c>
      <c r="AZ227" s="1" t="n">
        <f aca="false">AS227+AT227</f>
        <v>0</v>
      </c>
      <c r="BA227" s="1" t="n">
        <f aca="false">PR_PersonalM+AU227+AV227+AW227+AX227+IF(AY227=1,PR_RentJoint,0)</f>
        <v>4000</v>
      </c>
      <c r="BB227" s="1" t="n">
        <f aca="false">PR_BandM+MIN(MIN(AS227,AT227),PR_Uplift)</f>
        <v>53000</v>
      </c>
      <c r="BC227" s="1" t="n">
        <f aca="false">MAX(0,PR_r1*MIN(AZ227,BB227)+PR_r2*MAX(0,AZ227-BB227)-BA227)</f>
        <v>0</v>
      </c>
      <c r="BD227" s="1" t="n">
        <f aca="false">MAX(0,PR_HomeCarer-MAX(0,MIN(AS227,AT227)-PR_HCLimit)/2)</f>
        <v>1950</v>
      </c>
      <c r="BE227" s="1" t="n">
        <f aca="false">IF(F_Carer=1,MIN(BC227,MAX(0,PR_r1*MIN(AZ227,PR_BandM)+PR_r2*MAX(0,AZ227-PR_BandM)-BA227-BD227)),BC227)</f>
        <v>0</v>
      </c>
      <c r="BF227" s="1" t="n">
        <f aca="false">IF(OR(C227&gt;=PR_AgeCrAge,AG227&gt;=PR_AgeCrAge),IF(AZ227&lt;=PR_AgeExM,0,MIN(BE227,PR_AgeMarg*(AZ227-PR_AgeExM))),BE227)</f>
        <v>0</v>
      </c>
      <c r="BG227" s="1" t="n">
        <f aca="false">MAX(0,PR_r1*MIN(AS227,IF(F_Spccc=1,PR_BandSPCCC,PR_Band))+PR_r2*MAX(0,AS227-IF(F_Spccc=1,PR_BandSPCCC,PR_Band))-(PR_Personal+AU227+AW227+IF(F_Spccc=1,PR_SPCCC,0)+IF(AY227=1,PR_Rent,0)))</f>
        <v>0</v>
      </c>
      <c r="BH227" s="1" t="n">
        <f aca="false">IF(C227&gt;=PR_AgeCrAge,IF(AS227&lt;=PR_AgeEx,0,MIN(BG227,PR_AgeMarg*(AS227-PR_AgeEx))),BG227)</f>
        <v>0</v>
      </c>
      <c r="BI227" s="1" t="n">
        <f aca="false">IF(F_Partner=1,MAX(0,PR_r1*MIN(AT227,PR_Band)+PR_r2*MAX(0,AT227-PR_Band)-(PR_Personal+AV227+AX227+IF(AND(AY227=1,AT227&gt;0),PR_Rent,0))),0)</f>
        <v>0</v>
      </c>
      <c r="BJ227" s="1" t="n">
        <f aca="false">IF(AG227&gt;=PR_AgeCrAge,IF(AT227&lt;=PR_AgeEx,0,MIN(BI227,PR_AgeMarg*(AT227-PR_AgeEx))),BI227)</f>
        <v>0</v>
      </c>
      <c r="BK227" s="1" t="n">
        <f aca="false">IF(F_Partner=1,IF(F_Married=1,BF227,BH227+BJ227),BH227)</f>
        <v>0</v>
      </c>
      <c r="BL227" s="1" t="n">
        <f aca="false">AL227+AN227+AO227</f>
        <v>0</v>
      </c>
      <c r="BM227" s="1" t="n">
        <f aca="false">IF(BL227&lt;=PR_USCex,0,IF(IF(AND(C227&gt;=PR_USCredAge,BL227&lt;=PR_USCredMax),1,0)=1,PR_USCr1*MIN(BL227,PR_USCredB1)+PR_USCredR2*MAX(0,BL227-PR_USCredB1),PR_USCr1*MIN(BL227,PR_USCb1)+PR_USCr2*MAX(0,MIN(BL227,PR_USCb2)-PR_USCb1)+PR_USCr3*MAX(0,MIN(BL227,PR_USCb3)-PR_USCb2)+PR_USCr4*MAX(0,BL227-PR_USCb3)))+IF(F_SelfEmp=1,PR_USCse*MAX(0,AL227-PR_USCseOver),0)</f>
        <v>0</v>
      </c>
      <c r="BN227" s="1" t="n">
        <f aca="false">AQ227</f>
        <v>0</v>
      </c>
      <c r="BO227" s="1" t="n">
        <f aca="false">IF(F_Partner=1,IF(BN227&lt;=PR_USCex,0,IF(IF(AND(AG227&gt;=PR_USCredAge,BN227&lt;=PR_USCredMax),1,0)=1,PR_USCr1*MIN(BN227,PR_USCredB1)+PR_USCredR2*MAX(0,BN227-PR_USCredB1),PR_USCr1*MIN(BN227,PR_USCb1)+PR_USCr2*MAX(0,MIN(BN227,PR_USCb2)-PR_USCb1)+PR_USCr3*MAX(0,MIN(BN227,PR_USCb3)-PR_USCb2)+PR_USCr4*MAX(0,BN227-PR_USCb3))),0)</f>
        <v>0</v>
      </c>
      <c r="BP227" s="1" t="n">
        <f aca="false">IF(C227&lt;PR_PRSIend,IF(F_SelfEmp=1,IF(AL227&gt;PR_PRSIsMinInc,MAX(PR_PRSIsMin,AL227*J227),0),IF(AL227/52&lt;=PR_PRSIfree,0,MAX(0,(AL227/52*J227-IF(AL227/52&lt;=PR_PRSIcreditTo,MAX(0,PR_PRSIcreditMax-(AL227/52-(PR_PRSIfree+0.01))/PR_PRSItaper),0))*52)))+J227*AN227+IF(AO227&gt;PR_PRSIunearned,J227*AO227,0),0)</f>
        <v>0</v>
      </c>
      <c r="BQ227" s="1" t="n">
        <f aca="false">IF(AND(F_Partner=1,AG227&lt;PR_PRSIend),IF(AQ227/52&lt;=PR_PRSIfree,0,MAX(0,(AQ227/52*J227-IF(AQ227/52&lt;=PR_PRSIcreditTo,MAX(0,PR_PRSIcreditMax-(AQ227/52-(PR_PRSIfree+0.01))/PR_PRSItaper),0))*52)),0)</f>
        <v>0</v>
      </c>
      <c r="BR227" s="1" t="n">
        <f aca="false">BK227+BM227+BO227+BP227+BQ227</f>
        <v>0</v>
      </c>
      <c r="BS227" s="1" t="n">
        <f aca="false">BR227*H227</f>
        <v>0</v>
      </c>
      <c r="BT227" s="1" t="n">
        <f aca="false">K227+AK227+AC227+AF227+AH227+AI227</f>
        <v>0</v>
      </c>
    </row>
    <row r="228" customFormat="false" ht="15" hidden="false" customHeight="false" outlineLevel="0" collapsed="false">
      <c r="B228" s="1" t="n">
        <v>18</v>
      </c>
      <c r="C228" s="1" t="n">
        <f aca="false">F_Age+B228</f>
        <v>18</v>
      </c>
      <c r="D228" s="1" t="n">
        <f aca="false">AS_Year0+B228</f>
        <v>2045</v>
      </c>
      <c r="E228" s="106" t="n">
        <f aca="false">(1+AS_Infl)^B228</f>
        <v>1.42824624757627</v>
      </c>
      <c r="F228" s="106" t="n">
        <f aca="false">(1+AS_Wage)^B228</f>
        <v>1.7024330612399</v>
      </c>
      <c r="G228" s="1" t="n">
        <f aca="false">IF(C228&lt;F_R,1,0)</f>
        <v>0</v>
      </c>
      <c r="H228" s="106" t="n">
        <f aca="false">IF(AS_Bands="flat",1,E228)</f>
        <v>1.42824624757627</v>
      </c>
      <c r="I228" s="106" t="n">
        <f aca="false">IF(AS_SpGrow="pay",F228,IF(AS_SpGrow="flat",1,E228))</f>
        <v>1.42824624757627</v>
      </c>
      <c r="J228" s="106" t="n">
        <f aca="false">(12*PR_PRSIr0+(PR_PRSIr1-PR_PRSIr0)*MAX(0,MIN(12,D228*12+12-PR_PRSIt1))+(PR_PRSIr2-PR_PRSIr1)*MAX(0,MIN(12,D228*12+12-PR_PRSIt2))+(PR_PRSIr3-PR_PRSIr2)*MAX(0,MIN(12,D228*12+12-PR_PRSIt3)))/12</f>
        <v>0.047</v>
      </c>
      <c r="K228" s="1" t="n">
        <f aca="false">IF(G228=1,F_Income*F228,0)</f>
        <v>0</v>
      </c>
      <c r="L228" s="1" t="n">
        <f aca="false">IF(G228=1,(F_Own+In_penExtra)*12*F228,0)</f>
        <v>0</v>
      </c>
      <c r="M228" s="1" t="n">
        <f aca="false">IF(G228=1,(F_PenM+In_penExtra)*12*F228,0)</f>
        <v>0</v>
      </c>
      <c r="N228" s="107" t="n">
        <f aca="false">IF(C228&lt;PR_RelA1,PR_RelP1,IF(C228&lt;PR_RelA2,PR_RelP2,IF(C228&lt;PR_RelA3,PR_RelP3,IF(C228&lt;PR_RelA4,PR_RelP4,IF(C228&lt;PR_RelA5,PR_RelP5,PR_RelP6)))))</f>
        <v>0.15</v>
      </c>
      <c r="O228" s="1" t="n">
        <f aca="false">IF(G228=1,MIN(L228/H228,N228*MIN(K228/H228,PR_EarnCap))*H228,0)</f>
        <v>0</v>
      </c>
      <c r="P228" s="1" t="n">
        <f aca="false">IF(AND(G228=1,F_AE=1),MIN(K228/H228,PR_AEcap)*H228,0)</f>
        <v>0</v>
      </c>
      <c r="Q228" s="1" t="n">
        <f aca="false">IF(G228=1,IF(WI_Retire=1,MAX(0,M228+WI_M*12),M228)+(PR_AEee+PR_AEer+PR_AEst)*P228,0)</f>
        <v>0</v>
      </c>
      <c r="R228" s="1" t="n">
        <f aca="false">L228+PR_AEee*P228</f>
        <v>0</v>
      </c>
      <c r="S228" s="1" t="n">
        <f aca="false">AD227</f>
        <v>0</v>
      </c>
      <c r="T228" s="1" t="n">
        <f aca="false">IF(D228&lt;=2026,PR_SFT2026,IF(D228=2027,PR_SFT2027,IF(D228=2028,PR_SFT2028,IF(D228=2029,PR_SFT2029,PR_SFT2029*(1+AS_Infl)^(D228-2029)))))</f>
        <v>3843799.97425372</v>
      </c>
      <c r="U228" s="1" t="n">
        <f aca="false">IF(AND(G228=0,C228=F_V),1,0)</f>
        <v>0</v>
      </c>
      <c r="V228" s="1" t="n">
        <f aca="false">IF(U228=1,PR_SFTrate*MAX(0,S228-T228),0)</f>
        <v>0</v>
      </c>
      <c r="W228" s="1" t="n">
        <f aca="false">S228-V228</f>
        <v>0</v>
      </c>
      <c r="X228" s="1" t="n">
        <f aca="false">IF(AND(U228=1,AS_LumpPct&gt;0),W228*MIN(AS_LumpPct,PR_LSmax),0)</f>
        <v>0</v>
      </c>
      <c r="Y228" s="1" t="n">
        <f aca="false">X228-(PR_LSrate*MAX(0,MIN(X228,PR_LScap)-PR_LSfree)+PR_r2*MAX(0,X228-PR_LScap))</f>
        <v>0</v>
      </c>
      <c r="Z228" s="1" t="n">
        <f aca="false">W228-X228</f>
        <v>0</v>
      </c>
      <c r="AA228" s="107" t="n">
        <f aca="false">IF(C228&gt;=61,IF(Z228&gt;PR_ARFbig,PR_ARFbigRate,IF(C228&gt;=71,PR_ARF71,PR_ARF61)),0)</f>
        <v>0</v>
      </c>
      <c r="AB228" s="1" t="n">
        <f aca="false">IF(AS_DrawRule="min",Z228*AA228,IF(AS_DrawRule="fixed",MAX(AS_DrawFixed*E228,Z228*AA228),Z228*MAX(1/MAX(1,AS_End-C228+1),AA228)))</f>
        <v>0</v>
      </c>
      <c r="AC228" s="1" t="n">
        <f aca="false">IF(AND(G228=0,C228&gt;=F_V),MIN(Z228,AB228),0)</f>
        <v>0</v>
      </c>
      <c r="AD228" s="1" t="n">
        <f aca="false">IF(G228=1,S228*(1+F_PenG)+Q228,IF(C228&lt;F_V,S228*(1+F_PenG),(Z228-AC228)*(1+AS_PenRet)))</f>
        <v>0</v>
      </c>
      <c r="AE228" s="1" t="n">
        <f aca="false">IF(C228&gt;=PR_SPage,AS_SP*F_SpF*I228+IF(C228&gt;=80,PR_Over80*PR_Weeks*I228,0),0)</f>
        <v>0</v>
      </c>
      <c r="AF228" s="1" t="n">
        <f aca="false">(F_OtherM+F_RentM)*12*E228</f>
        <v>0</v>
      </c>
      <c r="AG228" s="1" t="n">
        <f aca="false">F_PAge+B228</f>
        <v>18</v>
      </c>
      <c r="AH228" s="1" t="n">
        <f aca="false">IF(AND(F_Partner=1,F_PAge&gt;0,AG228&lt;IF(F_PRet&gt;0,F_PRet,66)),F_PIncome*F228,0)</f>
        <v>0</v>
      </c>
      <c r="AI228" s="1" t="n">
        <f aca="false">IF(AND(F_Partner=1,AG228&gt;=66,F_PSpQA=0),AS_SP*F_PSpF*I228,0)</f>
        <v>0</v>
      </c>
      <c r="AJ228" s="1" t="n">
        <f aca="false">IF(AND(F_Partner=1,F_PSpQA=1,C228&gt;=PR_SPage,AH228=0),IF(AG228&gt;=66,PR_QA66,PR_QAunder)*PR_Weeks*I228,0)</f>
        <v>0</v>
      </c>
      <c r="AK228" s="1" t="n">
        <f aca="false">AE228+AJ228</f>
        <v>0</v>
      </c>
      <c r="AL228" s="1" t="n">
        <f aca="false">K228/H228</f>
        <v>0</v>
      </c>
      <c r="AM228" s="1" t="n">
        <f aca="false">AK228/H228</f>
        <v>0</v>
      </c>
      <c r="AN228" s="1" t="n">
        <f aca="false">AC228/H228</f>
        <v>0</v>
      </c>
      <c r="AO228" s="1" t="n">
        <f aca="false">AF228/H228</f>
        <v>0</v>
      </c>
      <c r="AP228" s="1" t="n">
        <f aca="false">O228/H228</f>
        <v>0</v>
      </c>
      <c r="AQ228" s="1" t="n">
        <f aca="false">AH228/H228</f>
        <v>0</v>
      </c>
      <c r="AR228" s="1" t="n">
        <f aca="false">AI228/H228</f>
        <v>0</v>
      </c>
      <c r="AS228" s="1" t="n">
        <f aca="false">MAX(0,AL228+AN228+AO228+AM228-AP228)</f>
        <v>0</v>
      </c>
      <c r="AT228" s="1" t="n">
        <f aca="false">MAX(0,AQ228+AR228)</f>
        <v>0</v>
      </c>
      <c r="AU228" s="1" t="n">
        <f aca="false">MIN(PR_PAYE,PR_PAYEcap*(AL228+AN228+AM228))</f>
        <v>0</v>
      </c>
      <c r="AV228" s="1" t="n">
        <f aca="false">MIN(PR_PAYE,PR_PAYEcap*(AQ228+AR228))</f>
        <v>0</v>
      </c>
      <c r="AW228" s="1" t="n">
        <f aca="false">IF(C228&gt;=PR_AgeCrAge,PR_AgeCr,0)</f>
        <v>0</v>
      </c>
      <c r="AX228" s="1" t="n">
        <f aca="false">IF(AG228&gt;=PR_AgeCrAge,PR_AgeCr,0)</f>
        <v>0</v>
      </c>
      <c r="AY228" s="1" t="n">
        <f aca="false">IF(AND(F_RentCred=1,D228&lt;=PR_RentLast),1,0)</f>
        <v>0</v>
      </c>
      <c r="AZ228" s="1" t="n">
        <f aca="false">AS228+AT228</f>
        <v>0</v>
      </c>
      <c r="BA228" s="1" t="n">
        <f aca="false">PR_PersonalM+AU228+AV228+AW228+AX228+IF(AY228=1,PR_RentJoint,0)</f>
        <v>4000</v>
      </c>
      <c r="BB228" s="1" t="n">
        <f aca="false">PR_BandM+MIN(MIN(AS228,AT228),PR_Uplift)</f>
        <v>53000</v>
      </c>
      <c r="BC228" s="1" t="n">
        <f aca="false">MAX(0,PR_r1*MIN(AZ228,BB228)+PR_r2*MAX(0,AZ228-BB228)-BA228)</f>
        <v>0</v>
      </c>
      <c r="BD228" s="1" t="n">
        <f aca="false">MAX(0,PR_HomeCarer-MAX(0,MIN(AS228,AT228)-PR_HCLimit)/2)</f>
        <v>1950</v>
      </c>
      <c r="BE228" s="1" t="n">
        <f aca="false">IF(F_Carer=1,MIN(BC228,MAX(0,PR_r1*MIN(AZ228,PR_BandM)+PR_r2*MAX(0,AZ228-PR_BandM)-BA228-BD228)),BC228)</f>
        <v>0</v>
      </c>
      <c r="BF228" s="1" t="n">
        <f aca="false">IF(OR(C228&gt;=PR_AgeCrAge,AG228&gt;=PR_AgeCrAge),IF(AZ228&lt;=PR_AgeExM,0,MIN(BE228,PR_AgeMarg*(AZ228-PR_AgeExM))),BE228)</f>
        <v>0</v>
      </c>
      <c r="BG228" s="1" t="n">
        <f aca="false">MAX(0,PR_r1*MIN(AS228,IF(F_Spccc=1,PR_BandSPCCC,PR_Band))+PR_r2*MAX(0,AS228-IF(F_Spccc=1,PR_BandSPCCC,PR_Band))-(PR_Personal+AU228+AW228+IF(F_Spccc=1,PR_SPCCC,0)+IF(AY228=1,PR_Rent,0)))</f>
        <v>0</v>
      </c>
      <c r="BH228" s="1" t="n">
        <f aca="false">IF(C228&gt;=PR_AgeCrAge,IF(AS228&lt;=PR_AgeEx,0,MIN(BG228,PR_AgeMarg*(AS228-PR_AgeEx))),BG228)</f>
        <v>0</v>
      </c>
      <c r="BI228" s="1" t="n">
        <f aca="false">IF(F_Partner=1,MAX(0,PR_r1*MIN(AT228,PR_Band)+PR_r2*MAX(0,AT228-PR_Band)-(PR_Personal+AV228+AX228+IF(AND(AY228=1,AT228&gt;0),PR_Rent,0))),0)</f>
        <v>0</v>
      </c>
      <c r="BJ228" s="1" t="n">
        <f aca="false">IF(AG228&gt;=PR_AgeCrAge,IF(AT228&lt;=PR_AgeEx,0,MIN(BI228,PR_AgeMarg*(AT228-PR_AgeEx))),BI228)</f>
        <v>0</v>
      </c>
      <c r="BK228" s="1" t="n">
        <f aca="false">IF(F_Partner=1,IF(F_Married=1,BF228,BH228+BJ228),BH228)</f>
        <v>0</v>
      </c>
      <c r="BL228" s="1" t="n">
        <f aca="false">AL228+AN228+AO228</f>
        <v>0</v>
      </c>
      <c r="BM228" s="1" t="n">
        <f aca="false">IF(BL228&lt;=PR_USCex,0,IF(IF(AND(C228&gt;=PR_USCredAge,BL228&lt;=PR_USCredMax),1,0)=1,PR_USCr1*MIN(BL228,PR_USCredB1)+PR_USCredR2*MAX(0,BL228-PR_USCredB1),PR_USCr1*MIN(BL228,PR_USCb1)+PR_USCr2*MAX(0,MIN(BL228,PR_USCb2)-PR_USCb1)+PR_USCr3*MAX(0,MIN(BL228,PR_USCb3)-PR_USCb2)+PR_USCr4*MAX(0,BL228-PR_USCb3)))+IF(F_SelfEmp=1,PR_USCse*MAX(0,AL228-PR_USCseOver),0)</f>
        <v>0</v>
      </c>
      <c r="BN228" s="1" t="n">
        <f aca="false">AQ228</f>
        <v>0</v>
      </c>
      <c r="BO228" s="1" t="n">
        <f aca="false">IF(F_Partner=1,IF(BN228&lt;=PR_USCex,0,IF(IF(AND(AG228&gt;=PR_USCredAge,BN228&lt;=PR_USCredMax),1,0)=1,PR_USCr1*MIN(BN228,PR_USCredB1)+PR_USCredR2*MAX(0,BN228-PR_USCredB1),PR_USCr1*MIN(BN228,PR_USCb1)+PR_USCr2*MAX(0,MIN(BN228,PR_USCb2)-PR_USCb1)+PR_USCr3*MAX(0,MIN(BN228,PR_USCb3)-PR_USCb2)+PR_USCr4*MAX(0,BN228-PR_USCb3))),0)</f>
        <v>0</v>
      </c>
      <c r="BP228" s="1" t="n">
        <f aca="false">IF(C228&lt;PR_PRSIend,IF(F_SelfEmp=1,IF(AL228&gt;PR_PRSIsMinInc,MAX(PR_PRSIsMin,AL228*J228),0),IF(AL228/52&lt;=PR_PRSIfree,0,MAX(0,(AL228/52*J228-IF(AL228/52&lt;=PR_PRSIcreditTo,MAX(0,PR_PRSIcreditMax-(AL228/52-(PR_PRSIfree+0.01))/PR_PRSItaper),0))*52)))+J228*AN228+IF(AO228&gt;PR_PRSIunearned,J228*AO228,0),0)</f>
        <v>0</v>
      </c>
      <c r="BQ228" s="1" t="n">
        <f aca="false">IF(AND(F_Partner=1,AG228&lt;PR_PRSIend),IF(AQ228/52&lt;=PR_PRSIfree,0,MAX(0,(AQ228/52*J228-IF(AQ228/52&lt;=PR_PRSIcreditTo,MAX(0,PR_PRSIcreditMax-(AQ228/52-(PR_PRSIfree+0.01))/PR_PRSItaper),0))*52)),0)</f>
        <v>0</v>
      </c>
      <c r="BR228" s="1" t="n">
        <f aca="false">BK228+BM228+BO228+BP228+BQ228</f>
        <v>0</v>
      </c>
      <c r="BS228" s="1" t="n">
        <f aca="false">BR228*H228</f>
        <v>0</v>
      </c>
      <c r="BT228" s="1" t="n">
        <f aca="false">K228+AK228+AC228+AF228+AH228+AI228</f>
        <v>0</v>
      </c>
    </row>
    <row r="229" customFormat="false" ht="15" hidden="false" customHeight="false" outlineLevel="0" collapsed="false">
      <c r="B229" s="1" t="n">
        <v>19</v>
      </c>
      <c r="C229" s="1" t="n">
        <f aca="false">F_Age+B229</f>
        <v>19</v>
      </c>
      <c r="D229" s="1" t="n">
        <f aca="false">AS_Year0+B229</f>
        <v>2046</v>
      </c>
      <c r="E229" s="106" t="n">
        <f aca="false">(1+AS_Infl)^B229</f>
        <v>1.4568111725278</v>
      </c>
      <c r="F229" s="106" t="n">
        <f aca="false">(1+AS_Wage)^B229</f>
        <v>1.7535060530771</v>
      </c>
      <c r="G229" s="1" t="n">
        <f aca="false">IF(C229&lt;F_R,1,0)</f>
        <v>0</v>
      </c>
      <c r="H229" s="106" t="n">
        <f aca="false">IF(AS_Bands="flat",1,E229)</f>
        <v>1.4568111725278</v>
      </c>
      <c r="I229" s="106" t="n">
        <f aca="false">IF(AS_SpGrow="pay",F229,IF(AS_SpGrow="flat",1,E229))</f>
        <v>1.4568111725278</v>
      </c>
      <c r="J229" s="106" t="n">
        <f aca="false">(12*PR_PRSIr0+(PR_PRSIr1-PR_PRSIr0)*MAX(0,MIN(12,D229*12+12-PR_PRSIt1))+(PR_PRSIr2-PR_PRSIr1)*MAX(0,MIN(12,D229*12+12-PR_PRSIt2))+(PR_PRSIr3-PR_PRSIr2)*MAX(0,MIN(12,D229*12+12-PR_PRSIt3)))/12</f>
        <v>0.047</v>
      </c>
      <c r="K229" s="1" t="n">
        <f aca="false">IF(G229=1,F_Income*F229,0)</f>
        <v>0</v>
      </c>
      <c r="L229" s="1" t="n">
        <f aca="false">IF(G229=1,(F_Own+In_penExtra)*12*F229,0)</f>
        <v>0</v>
      </c>
      <c r="M229" s="1" t="n">
        <f aca="false">IF(G229=1,(F_PenM+In_penExtra)*12*F229,0)</f>
        <v>0</v>
      </c>
      <c r="N229" s="107" t="n">
        <f aca="false">IF(C229&lt;PR_RelA1,PR_RelP1,IF(C229&lt;PR_RelA2,PR_RelP2,IF(C229&lt;PR_RelA3,PR_RelP3,IF(C229&lt;PR_RelA4,PR_RelP4,IF(C229&lt;PR_RelA5,PR_RelP5,PR_RelP6)))))</f>
        <v>0.15</v>
      </c>
      <c r="O229" s="1" t="n">
        <f aca="false">IF(G229=1,MIN(L229/H229,N229*MIN(K229/H229,PR_EarnCap))*H229,0)</f>
        <v>0</v>
      </c>
      <c r="P229" s="1" t="n">
        <f aca="false">IF(AND(G229=1,F_AE=1),MIN(K229/H229,PR_AEcap)*H229,0)</f>
        <v>0</v>
      </c>
      <c r="Q229" s="1" t="n">
        <f aca="false">IF(G229=1,IF(WI_Retire=1,MAX(0,M229+WI_M*12),M229)+(PR_AEee+PR_AEer+PR_AEst)*P229,0)</f>
        <v>0</v>
      </c>
      <c r="R229" s="1" t="n">
        <f aca="false">L229+PR_AEee*P229</f>
        <v>0</v>
      </c>
      <c r="S229" s="1" t="n">
        <f aca="false">AD228</f>
        <v>0</v>
      </c>
      <c r="T229" s="1" t="n">
        <f aca="false">IF(D229&lt;=2026,PR_SFT2026,IF(D229=2027,PR_SFT2027,IF(D229=2028,PR_SFT2028,IF(D229=2029,PR_SFT2029,PR_SFT2029*(1+AS_Infl)^(D229-2029)))))</f>
        <v>3920675.97373879</v>
      </c>
      <c r="U229" s="1" t="n">
        <f aca="false">IF(AND(G229=0,C229=F_V),1,0)</f>
        <v>0</v>
      </c>
      <c r="V229" s="1" t="n">
        <f aca="false">IF(U229=1,PR_SFTrate*MAX(0,S229-T229),0)</f>
        <v>0</v>
      </c>
      <c r="W229" s="1" t="n">
        <f aca="false">S229-V229</f>
        <v>0</v>
      </c>
      <c r="X229" s="1" t="n">
        <f aca="false">IF(AND(U229=1,AS_LumpPct&gt;0),W229*MIN(AS_LumpPct,PR_LSmax),0)</f>
        <v>0</v>
      </c>
      <c r="Y229" s="1" t="n">
        <f aca="false">X229-(PR_LSrate*MAX(0,MIN(X229,PR_LScap)-PR_LSfree)+PR_r2*MAX(0,X229-PR_LScap))</f>
        <v>0</v>
      </c>
      <c r="Z229" s="1" t="n">
        <f aca="false">W229-X229</f>
        <v>0</v>
      </c>
      <c r="AA229" s="107" t="n">
        <f aca="false">IF(C229&gt;=61,IF(Z229&gt;PR_ARFbig,PR_ARFbigRate,IF(C229&gt;=71,PR_ARF71,PR_ARF61)),0)</f>
        <v>0</v>
      </c>
      <c r="AB229" s="1" t="n">
        <f aca="false">IF(AS_DrawRule="min",Z229*AA229,IF(AS_DrawRule="fixed",MAX(AS_DrawFixed*E229,Z229*AA229),Z229*MAX(1/MAX(1,AS_End-C229+1),AA229)))</f>
        <v>0</v>
      </c>
      <c r="AC229" s="1" t="n">
        <f aca="false">IF(AND(G229=0,C229&gt;=F_V),MIN(Z229,AB229),0)</f>
        <v>0</v>
      </c>
      <c r="AD229" s="1" t="n">
        <f aca="false">IF(G229=1,S229*(1+F_PenG)+Q229,IF(C229&lt;F_V,S229*(1+F_PenG),(Z229-AC229)*(1+AS_PenRet)))</f>
        <v>0</v>
      </c>
      <c r="AE229" s="1" t="n">
        <f aca="false">IF(C229&gt;=PR_SPage,AS_SP*F_SpF*I229+IF(C229&gt;=80,PR_Over80*PR_Weeks*I229,0),0)</f>
        <v>0</v>
      </c>
      <c r="AF229" s="1" t="n">
        <f aca="false">(F_OtherM+F_RentM)*12*E229</f>
        <v>0</v>
      </c>
      <c r="AG229" s="1" t="n">
        <f aca="false">F_PAge+B229</f>
        <v>19</v>
      </c>
      <c r="AH229" s="1" t="n">
        <f aca="false">IF(AND(F_Partner=1,F_PAge&gt;0,AG229&lt;IF(F_PRet&gt;0,F_PRet,66)),F_PIncome*F229,0)</f>
        <v>0</v>
      </c>
      <c r="AI229" s="1" t="n">
        <f aca="false">IF(AND(F_Partner=1,AG229&gt;=66,F_PSpQA=0),AS_SP*F_PSpF*I229,0)</f>
        <v>0</v>
      </c>
      <c r="AJ229" s="1" t="n">
        <f aca="false">IF(AND(F_Partner=1,F_PSpQA=1,C229&gt;=PR_SPage,AH229=0),IF(AG229&gt;=66,PR_QA66,PR_QAunder)*PR_Weeks*I229,0)</f>
        <v>0</v>
      </c>
      <c r="AK229" s="1" t="n">
        <f aca="false">AE229+AJ229</f>
        <v>0</v>
      </c>
      <c r="AL229" s="1" t="n">
        <f aca="false">K229/H229</f>
        <v>0</v>
      </c>
      <c r="AM229" s="1" t="n">
        <f aca="false">AK229/H229</f>
        <v>0</v>
      </c>
      <c r="AN229" s="1" t="n">
        <f aca="false">AC229/H229</f>
        <v>0</v>
      </c>
      <c r="AO229" s="1" t="n">
        <f aca="false">AF229/H229</f>
        <v>0</v>
      </c>
      <c r="AP229" s="1" t="n">
        <f aca="false">O229/H229</f>
        <v>0</v>
      </c>
      <c r="AQ229" s="1" t="n">
        <f aca="false">AH229/H229</f>
        <v>0</v>
      </c>
      <c r="AR229" s="1" t="n">
        <f aca="false">AI229/H229</f>
        <v>0</v>
      </c>
      <c r="AS229" s="1" t="n">
        <f aca="false">MAX(0,AL229+AN229+AO229+AM229-AP229)</f>
        <v>0</v>
      </c>
      <c r="AT229" s="1" t="n">
        <f aca="false">MAX(0,AQ229+AR229)</f>
        <v>0</v>
      </c>
      <c r="AU229" s="1" t="n">
        <f aca="false">MIN(PR_PAYE,PR_PAYEcap*(AL229+AN229+AM229))</f>
        <v>0</v>
      </c>
      <c r="AV229" s="1" t="n">
        <f aca="false">MIN(PR_PAYE,PR_PAYEcap*(AQ229+AR229))</f>
        <v>0</v>
      </c>
      <c r="AW229" s="1" t="n">
        <f aca="false">IF(C229&gt;=PR_AgeCrAge,PR_AgeCr,0)</f>
        <v>0</v>
      </c>
      <c r="AX229" s="1" t="n">
        <f aca="false">IF(AG229&gt;=PR_AgeCrAge,PR_AgeCr,0)</f>
        <v>0</v>
      </c>
      <c r="AY229" s="1" t="n">
        <f aca="false">IF(AND(F_RentCred=1,D229&lt;=PR_RentLast),1,0)</f>
        <v>0</v>
      </c>
      <c r="AZ229" s="1" t="n">
        <f aca="false">AS229+AT229</f>
        <v>0</v>
      </c>
      <c r="BA229" s="1" t="n">
        <f aca="false">PR_PersonalM+AU229+AV229+AW229+AX229+IF(AY229=1,PR_RentJoint,0)</f>
        <v>4000</v>
      </c>
      <c r="BB229" s="1" t="n">
        <f aca="false">PR_BandM+MIN(MIN(AS229,AT229),PR_Uplift)</f>
        <v>53000</v>
      </c>
      <c r="BC229" s="1" t="n">
        <f aca="false">MAX(0,PR_r1*MIN(AZ229,BB229)+PR_r2*MAX(0,AZ229-BB229)-BA229)</f>
        <v>0</v>
      </c>
      <c r="BD229" s="1" t="n">
        <f aca="false">MAX(0,PR_HomeCarer-MAX(0,MIN(AS229,AT229)-PR_HCLimit)/2)</f>
        <v>1950</v>
      </c>
      <c r="BE229" s="1" t="n">
        <f aca="false">IF(F_Carer=1,MIN(BC229,MAX(0,PR_r1*MIN(AZ229,PR_BandM)+PR_r2*MAX(0,AZ229-PR_BandM)-BA229-BD229)),BC229)</f>
        <v>0</v>
      </c>
      <c r="BF229" s="1" t="n">
        <f aca="false">IF(OR(C229&gt;=PR_AgeCrAge,AG229&gt;=PR_AgeCrAge),IF(AZ229&lt;=PR_AgeExM,0,MIN(BE229,PR_AgeMarg*(AZ229-PR_AgeExM))),BE229)</f>
        <v>0</v>
      </c>
      <c r="BG229" s="1" t="n">
        <f aca="false">MAX(0,PR_r1*MIN(AS229,IF(F_Spccc=1,PR_BandSPCCC,PR_Band))+PR_r2*MAX(0,AS229-IF(F_Spccc=1,PR_BandSPCCC,PR_Band))-(PR_Personal+AU229+AW229+IF(F_Spccc=1,PR_SPCCC,0)+IF(AY229=1,PR_Rent,0)))</f>
        <v>0</v>
      </c>
      <c r="BH229" s="1" t="n">
        <f aca="false">IF(C229&gt;=PR_AgeCrAge,IF(AS229&lt;=PR_AgeEx,0,MIN(BG229,PR_AgeMarg*(AS229-PR_AgeEx))),BG229)</f>
        <v>0</v>
      </c>
      <c r="BI229" s="1" t="n">
        <f aca="false">IF(F_Partner=1,MAX(0,PR_r1*MIN(AT229,PR_Band)+PR_r2*MAX(0,AT229-PR_Band)-(PR_Personal+AV229+AX229+IF(AND(AY229=1,AT229&gt;0),PR_Rent,0))),0)</f>
        <v>0</v>
      </c>
      <c r="BJ229" s="1" t="n">
        <f aca="false">IF(AG229&gt;=PR_AgeCrAge,IF(AT229&lt;=PR_AgeEx,0,MIN(BI229,PR_AgeMarg*(AT229-PR_AgeEx))),BI229)</f>
        <v>0</v>
      </c>
      <c r="BK229" s="1" t="n">
        <f aca="false">IF(F_Partner=1,IF(F_Married=1,BF229,BH229+BJ229),BH229)</f>
        <v>0</v>
      </c>
      <c r="BL229" s="1" t="n">
        <f aca="false">AL229+AN229+AO229</f>
        <v>0</v>
      </c>
      <c r="BM229" s="1" t="n">
        <f aca="false">IF(BL229&lt;=PR_USCex,0,IF(IF(AND(C229&gt;=PR_USCredAge,BL229&lt;=PR_USCredMax),1,0)=1,PR_USCr1*MIN(BL229,PR_USCredB1)+PR_USCredR2*MAX(0,BL229-PR_USCredB1),PR_USCr1*MIN(BL229,PR_USCb1)+PR_USCr2*MAX(0,MIN(BL229,PR_USCb2)-PR_USCb1)+PR_USCr3*MAX(0,MIN(BL229,PR_USCb3)-PR_USCb2)+PR_USCr4*MAX(0,BL229-PR_USCb3)))+IF(F_SelfEmp=1,PR_USCse*MAX(0,AL229-PR_USCseOver),0)</f>
        <v>0</v>
      </c>
      <c r="BN229" s="1" t="n">
        <f aca="false">AQ229</f>
        <v>0</v>
      </c>
      <c r="BO229" s="1" t="n">
        <f aca="false">IF(F_Partner=1,IF(BN229&lt;=PR_USCex,0,IF(IF(AND(AG229&gt;=PR_USCredAge,BN229&lt;=PR_USCredMax),1,0)=1,PR_USCr1*MIN(BN229,PR_USCredB1)+PR_USCredR2*MAX(0,BN229-PR_USCredB1),PR_USCr1*MIN(BN229,PR_USCb1)+PR_USCr2*MAX(0,MIN(BN229,PR_USCb2)-PR_USCb1)+PR_USCr3*MAX(0,MIN(BN229,PR_USCb3)-PR_USCb2)+PR_USCr4*MAX(0,BN229-PR_USCb3))),0)</f>
        <v>0</v>
      </c>
      <c r="BP229" s="1" t="n">
        <f aca="false">IF(C229&lt;PR_PRSIend,IF(F_SelfEmp=1,IF(AL229&gt;PR_PRSIsMinInc,MAX(PR_PRSIsMin,AL229*J229),0),IF(AL229/52&lt;=PR_PRSIfree,0,MAX(0,(AL229/52*J229-IF(AL229/52&lt;=PR_PRSIcreditTo,MAX(0,PR_PRSIcreditMax-(AL229/52-(PR_PRSIfree+0.01))/PR_PRSItaper),0))*52)))+J229*AN229+IF(AO229&gt;PR_PRSIunearned,J229*AO229,0),0)</f>
        <v>0</v>
      </c>
      <c r="BQ229" s="1" t="n">
        <f aca="false">IF(AND(F_Partner=1,AG229&lt;PR_PRSIend),IF(AQ229/52&lt;=PR_PRSIfree,0,MAX(0,(AQ229/52*J229-IF(AQ229/52&lt;=PR_PRSIcreditTo,MAX(0,PR_PRSIcreditMax-(AQ229/52-(PR_PRSIfree+0.01))/PR_PRSItaper),0))*52)),0)</f>
        <v>0</v>
      </c>
      <c r="BR229" s="1" t="n">
        <f aca="false">BK229+BM229+BO229+BP229+BQ229</f>
        <v>0</v>
      </c>
      <c r="BS229" s="1" t="n">
        <f aca="false">BR229*H229</f>
        <v>0</v>
      </c>
      <c r="BT229" s="1" t="n">
        <f aca="false">K229+AK229+AC229+AF229+AH229+AI229</f>
        <v>0</v>
      </c>
    </row>
    <row r="230" customFormat="false" ht="15" hidden="false" customHeight="false" outlineLevel="0" collapsed="false">
      <c r="B230" s="1" t="n">
        <v>20</v>
      </c>
      <c r="C230" s="1" t="n">
        <f aca="false">F_Age+B230</f>
        <v>20</v>
      </c>
      <c r="D230" s="1" t="n">
        <f aca="false">AS_Year0+B230</f>
        <v>2047</v>
      </c>
      <c r="E230" s="106" t="n">
        <f aca="false">(1+AS_Infl)^B230</f>
        <v>1.48594739597836</v>
      </c>
      <c r="F230" s="106" t="n">
        <f aca="false">(1+AS_Wage)^B230</f>
        <v>1.80611123466941</v>
      </c>
      <c r="G230" s="1" t="n">
        <f aca="false">IF(C230&lt;F_R,1,0)</f>
        <v>0</v>
      </c>
      <c r="H230" s="106" t="n">
        <f aca="false">IF(AS_Bands="flat",1,E230)</f>
        <v>1.48594739597836</v>
      </c>
      <c r="I230" s="106" t="n">
        <f aca="false">IF(AS_SpGrow="pay",F230,IF(AS_SpGrow="flat",1,E230))</f>
        <v>1.48594739597836</v>
      </c>
      <c r="J230" s="106" t="n">
        <f aca="false">(12*PR_PRSIr0+(PR_PRSIr1-PR_PRSIr0)*MAX(0,MIN(12,D230*12+12-PR_PRSIt1))+(PR_PRSIr2-PR_PRSIr1)*MAX(0,MIN(12,D230*12+12-PR_PRSIt2))+(PR_PRSIr3-PR_PRSIr2)*MAX(0,MIN(12,D230*12+12-PR_PRSIt3)))/12</f>
        <v>0.047</v>
      </c>
      <c r="K230" s="1" t="n">
        <f aca="false">IF(G230=1,F_Income*F230,0)</f>
        <v>0</v>
      </c>
      <c r="L230" s="1" t="n">
        <f aca="false">IF(G230=1,(F_Own+In_penExtra)*12*F230,0)</f>
        <v>0</v>
      </c>
      <c r="M230" s="1" t="n">
        <f aca="false">IF(G230=1,(F_PenM+In_penExtra)*12*F230,0)</f>
        <v>0</v>
      </c>
      <c r="N230" s="107" t="n">
        <f aca="false">IF(C230&lt;PR_RelA1,PR_RelP1,IF(C230&lt;PR_RelA2,PR_RelP2,IF(C230&lt;PR_RelA3,PR_RelP3,IF(C230&lt;PR_RelA4,PR_RelP4,IF(C230&lt;PR_RelA5,PR_RelP5,PR_RelP6)))))</f>
        <v>0.15</v>
      </c>
      <c r="O230" s="1" t="n">
        <f aca="false">IF(G230=1,MIN(L230/H230,N230*MIN(K230/H230,PR_EarnCap))*H230,0)</f>
        <v>0</v>
      </c>
      <c r="P230" s="1" t="n">
        <f aca="false">IF(AND(G230=1,F_AE=1),MIN(K230/H230,PR_AEcap)*H230,0)</f>
        <v>0</v>
      </c>
      <c r="Q230" s="1" t="n">
        <f aca="false">IF(G230=1,IF(WI_Retire=1,MAX(0,M230+WI_M*12),M230)+(PR_AEee+PR_AEer+PR_AEst)*P230,0)</f>
        <v>0</v>
      </c>
      <c r="R230" s="1" t="n">
        <f aca="false">L230+PR_AEee*P230</f>
        <v>0</v>
      </c>
      <c r="S230" s="1" t="n">
        <f aca="false">AD229</f>
        <v>0</v>
      </c>
      <c r="T230" s="1" t="n">
        <f aca="false">IF(D230&lt;=2026,PR_SFT2026,IF(D230=2027,PR_SFT2027,IF(D230=2028,PR_SFT2028,IF(D230=2029,PR_SFT2029,PR_SFT2029*(1+AS_Infl)^(D230-2029)))))</f>
        <v>3999089.49321357</v>
      </c>
      <c r="U230" s="1" t="n">
        <f aca="false">IF(AND(G230=0,C230=F_V),1,0)</f>
        <v>0</v>
      </c>
      <c r="V230" s="1" t="n">
        <f aca="false">IF(U230=1,PR_SFTrate*MAX(0,S230-T230),0)</f>
        <v>0</v>
      </c>
      <c r="W230" s="1" t="n">
        <f aca="false">S230-V230</f>
        <v>0</v>
      </c>
      <c r="X230" s="1" t="n">
        <f aca="false">IF(AND(U230=1,AS_LumpPct&gt;0),W230*MIN(AS_LumpPct,PR_LSmax),0)</f>
        <v>0</v>
      </c>
      <c r="Y230" s="1" t="n">
        <f aca="false">X230-(PR_LSrate*MAX(0,MIN(X230,PR_LScap)-PR_LSfree)+PR_r2*MAX(0,X230-PR_LScap))</f>
        <v>0</v>
      </c>
      <c r="Z230" s="1" t="n">
        <f aca="false">W230-X230</f>
        <v>0</v>
      </c>
      <c r="AA230" s="107" t="n">
        <f aca="false">IF(C230&gt;=61,IF(Z230&gt;PR_ARFbig,PR_ARFbigRate,IF(C230&gt;=71,PR_ARF71,PR_ARF61)),0)</f>
        <v>0</v>
      </c>
      <c r="AB230" s="1" t="n">
        <f aca="false">IF(AS_DrawRule="min",Z230*AA230,IF(AS_DrawRule="fixed",MAX(AS_DrawFixed*E230,Z230*AA230),Z230*MAX(1/MAX(1,AS_End-C230+1),AA230)))</f>
        <v>0</v>
      </c>
      <c r="AC230" s="1" t="n">
        <f aca="false">IF(AND(G230=0,C230&gt;=F_V),MIN(Z230,AB230),0)</f>
        <v>0</v>
      </c>
      <c r="AD230" s="1" t="n">
        <f aca="false">IF(G230=1,S230*(1+F_PenG)+Q230,IF(C230&lt;F_V,S230*(1+F_PenG),(Z230-AC230)*(1+AS_PenRet)))</f>
        <v>0</v>
      </c>
      <c r="AE230" s="1" t="n">
        <f aca="false">IF(C230&gt;=PR_SPage,AS_SP*F_SpF*I230+IF(C230&gt;=80,PR_Over80*PR_Weeks*I230,0),0)</f>
        <v>0</v>
      </c>
      <c r="AF230" s="1" t="n">
        <f aca="false">(F_OtherM+F_RentM)*12*E230</f>
        <v>0</v>
      </c>
      <c r="AG230" s="1" t="n">
        <f aca="false">F_PAge+B230</f>
        <v>20</v>
      </c>
      <c r="AH230" s="1" t="n">
        <f aca="false">IF(AND(F_Partner=1,F_PAge&gt;0,AG230&lt;IF(F_PRet&gt;0,F_PRet,66)),F_PIncome*F230,0)</f>
        <v>0</v>
      </c>
      <c r="AI230" s="1" t="n">
        <f aca="false">IF(AND(F_Partner=1,AG230&gt;=66,F_PSpQA=0),AS_SP*F_PSpF*I230,0)</f>
        <v>0</v>
      </c>
      <c r="AJ230" s="1" t="n">
        <f aca="false">IF(AND(F_Partner=1,F_PSpQA=1,C230&gt;=PR_SPage,AH230=0),IF(AG230&gt;=66,PR_QA66,PR_QAunder)*PR_Weeks*I230,0)</f>
        <v>0</v>
      </c>
      <c r="AK230" s="1" t="n">
        <f aca="false">AE230+AJ230</f>
        <v>0</v>
      </c>
      <c r="AL230" s="1" t="n">
        <f aca="false">K230/H230</f>
        <v>0</v>
      </c>
      <c r="AM230" s="1" t="n">
        <f aca="false">AK230/H230</f>
        <v>0</v>
      </c>
      <c r="AN230" s="1" t="n">
        <f aca="false">AC230/H230</f>
        <v>0</v>
      </c>
      <c r="AO230" s="1" t="n">
        <f aca="false">AF230/H230</f>
        <v>0</v>
      </c>
      <c r="AP230" s="1" t="n">
        <f aca="false">O230/H230</f>
        <v>0</v>
      </c>
      <c r="AQ230" s="1" t="n">
        <f aca="false">AH230/H230</f>
        <v>0</v>
      </c>
      <c r="AR230" s="1" t="n">
        <f aca="false">AI230/H230</f>
        <v>0</v>
      </c>
      <c r="AS230" s="1" t="n">
        <f aca="false">MAX(0,AL230+AN230+AO230+AM230-AP230)</f>
        <v>0</v>
      </c>
      <c r="AT230" s="1" t="n">
        <f aca="false">MAX(0,AQ230+AR230)</f>
        <v>0</v>
      </c>
      <c r="AU230" s="1" t="n">
        <f aca="false">MIN(PR_PAYE,PR_PAYEcap*(AL230+AN230+AM230))</f>
        <v>0</v>
      </c>
      <c r="AV230" s="1" t="n">
        <f aca="false">MIN(PR_PAYE,PR_PAYEcap*(AQ230+AR230))</f>
        <v>0</v>
      </c>
      <c r="AW230" s="1" t="n">
        <f aca="false">IF(C230&gt;=PR_AgeCrAge,PR_AgeCr,0)</f>
        <v>0</v>
      </c>
      <c r="AX230" s="1" t="n">
        <f aca="false">IF(AG230&gt;=PR_AgeCrAge,PR_AgeCr,0)</f>
        <v>0</v>
      </c>
      <c r="AY230" s="1" t="n">
        <f aca="false">IF(AND(F_RentCred=1,D230&lt;=PR_RentLast),1,0)</f>
        <v>0</v>
      </c>
      <c r="AZ230" s="1" t="n">
        <f aca="false">AS230+AT230</f>
        <v>0</v>
      </c>
      <c r="BA230" s="1" t="n">
        <f aca="false">PR_PersonalM+AU230+AV230+AW230+AX230+IF(AY230=1,PR_RentJoint,0)</f>
        <v>4000</v>
      </c>
      <c r="BB230" s="1" t="n">
        <f aca="false">PR_BandM+MIN(MIN(AS230,AT230),PR_Uplift)</f>
        <v>53000</v>
      </c>
      <c r="BC230" s="1" t="n">
        <f aca="false">MAX(0,PR_r1*MIN(AZ230,BB230)+PR_r2*MAX(0,AZ230-BB230)-BA230)</f>
        <v>0</v>
      </c>
      <c r="BD230" s="1" t="n">
        <f aca="false">MAX(0,PR_HomeCarer-MAX(0,MIN(AS230,AT230)-PR_HCLimit)/2)</f>
        <v>1950</v>
      </c>
      <c r="BE230" s="1" t="n">
        <f aca="false">IF(F_Carer=1,MIN(BC230,MAX(0,PR_r1*MIN(AZ230,PR_BandM)+PR_r2*MAX(0,AZ230-PR_BandM)-BA230-BD230)),BC230)</f>
        <v>0</v>
      </c>
      <c r="BF230" s="1" t="n">
        <f aca="false">IF(OR(C230&gt;=PR_AgeCrAge,AG230&gt;=PR_AgeCrAge),IF(AZ230&lt;=PR_AgeExM,0,MIN(BE230,PR_AgeMarg*(AZ230-PR_AgeExM))),BE230)</f>
        <v>0</v>
      </c>
      <c r="BG230" s="1" t="n">
        <f aca="false">MAX(0,PR_r1*MIN(AS230,IF(F_Spccc=1,PR_BandSPCCC,PR_Band))+PR_r2*MAX(0,AS230-IF(F_Spccc=1,PR_BandSPCCC,PR_Band))-(PR_Personal+AU230+AW230+IF(F_Spccc=1,PR_SPCCC,0)+IF(AY230=1,PR_Rent,0)))</f>
        <v>0</v>
      </c>
      <c r="BH230" s="1" t="n">
        <f aca="false">IF(C230&gt;=PR_AgeCrAge,IF(AS230&lt;=PR_AgeEx,0,MIN(BG230,PR_AgeMarg*(AS230-PR_AgeEx))),BG230)</f>
        <v>0</v>
      </c>
      <c r="BI230" s="1" t="n">
        <f aca="false">IF(F_Partner=1,MAX(0,PR_r1*MIN(AT230,PR_Band)+PR_r2*MAX(0,AT230-PR_Band)-(PR_Personal+AV230+AX230+IF(AND(AY230=1,AT230&gt;0),PR_Rent,0))),0)</f>
        <v>0</v>
      </c>
      <c r="BJ230" s="1" t="n">
        <f aca="false">IF(AG230&gt;=PR_AgeCrAge,IF(AT230&lt;=PR_AgeEx,0,MIN(BI230,PR_AgeMarg*(AT230-PR_AgeEx))),BI230)</f>
        <v>0</v>
      </c>
      <c r="BK230" s="1" t="n">
        <f aca="false">IF(F_Partner=1,IF(F_Married=1,BF230,BH230+BJ230),BH230)</f>
        <v>0</v>
      </c>
      <c r="BL230" s="1" t="n">
        <f aca="false">AL230+AN230+AO230</f>
        <v>0</v>
      </c>
      <c r="BM230" s="1" t="n">
        <f aca="false">IF(BL230&lt;=PR_USCex,0,IF(IF(AND(C230&gt;=PR_USCredAge,BL230&lt;=PR_USCredMax),1,0)=1,PR_USCr1*MIN(BL230,PR_USCredB1)+PR_USCredR2*MAX(0,BL230-PR_USCredB1),PR_USCr1*MIN(BL230,PR_USCb1)+PR_USCr2*MAX(0,MIN(BL230,PR_USCb2)-PR_USCb1)+PR_USCr3*MAX(0,MIN(BL230,PR_USCb3)-PR_USCb2)+PR_USCr4*MAX(0,BL230-PR_USCb3)))+IF(F_SelfEmp=1,PR_USCse*MAX(0,AL230-PR_USCseOver),0)</f>
        <v>0</v>
      </c>
      <c r="BN230" s="1" t="n">
        <f aca="false">AQ230</f>
        <v>0</v>
      </c>
      <c r="BO230" s="1" t="n">
        <f aca="false">IF(F_Partner=1,IF(BN230&lt;=PR_USCex,0,IF(IF(AND(AG230&gt;=PR_USCredAge,BN230&lt;=PR_USCredMax),1,0)=1,PR_USCr1*MIN(BN230,PR_USCredB1)+PR_USCredR2*MAX(0,BN230-PR_USCredB1),PR_USCr1*MIN(BN230,PR_USCb1)+PR_USCr2*MAX(0,MIN(BN230,PR_USCb2)-PR_USCb1)+PR_USCr3*MAX(0,MIN(BN230,PR_USCb3)-PR_USCb2)+PR_USCr4*MAX(0,BN230-PR_USCb3))),0)</f>
        <v>0</v>
      </c>
      <c r="BP230" s="1" t="n">
        <f aca="false">IF(C230&lt;PR_PRSIend,IF(F_SelfEmp=1,IF(AL230&gt;PR_PRSIsMinInc,MAX(PR_PRSIsMin,AL230*J230),0),IF(AL230/52&lt;=PR_PRSIfree,0,MAX(0,(AL230/52*J230-IF(AL230/52&lt;=PR_PRSIcreditTo,MAX(0,PR_PRSIcreditMax-(AL230/52-(PR_PRSIfree+0.01))/PR_PRSItaper),0))*52)))+J230*AN230+IF(AO230&gt;PR_PRSIunearned,J230*AO230,0),0)</f>
        <v>0</v>
      </c>
      <c r="BQ230" s="1" t="n">
        <f aca="false">IF(AND(F_Partner=1,AG230&lt;PR_PRSIend),IF(AQ230/52&lt;=PR_PRSIfree,0,MAX(0,(AQ230/52*J230-IF(AQ230/52&lt;=PR_PRSIcreditTo,MAX(0,PR_PRSIcreditMax-(AQ230/52-(PR_PRSIfree+0.01))/PR_PRSItaper),0))*52)),0)</f>
        <v>0</v>
      </c>
      <c r="BR230" s="1" t="n">
        <f aca="false">BK230+BM230+BO230+BP230+BQ230</f>
        <v>0</v>
      </c>
      <c r="BS230" s="1" t="n">
        <f aca="false">BR230*H230</f>
        <v>0</v>
      </c>
      <c r="BT230" s="1" t="n">
        <f aca="false">K230+AK230+AC230+AF230+AH230+AI230</f>
        <v>0</v>
      </c>
    </row>
    <row r="231" customFormat="false" ht="15" hidden="false" customHeight="false" outlineLevel="0" collapsed="false">
      <c r="B231" s="1" t="n">
        <v>21</v>
      </c>
      <c r="C231" s="1" t="n">
        <f aca="false">F_Age+B231</f>
        <v>21</v>
      </c>
      <c r="D231" s="1" t="n">
        <f aca="false">AS_Year0+B231</f>
        <v>2048</v>
      </c>
      <c r="E231" s="106" t="n">
        <f aca="false">(1+AS_Infl)^B231</f>
        <v>1.51566634389792</v>
      </c>
      <c r="F231" s="106" t="n">
        <f aca="false">(1+AS_Wage)^B231</f>
        <v>1.8602945717095</v>
      </c>
      <c r="G231" s="1" t="n">
        <f aca="false">IF(C231&lt;F_R,1,0)</f>
        <v>0</v>
      </c>
      <c r="H231" s="106" t="n">
        <f aca="false">IF(AS_Bands="flat",1,E231)</f>
        <v>1.51566634389792</v>
      </c>
      <c r="I231" s="106" t="n">
        <f aca="false">IF(AS_SpGrow="pay",F231,IF(AS_SpGrow="flat",1,E231))</f>
        <v>1.51566634389792</v>
      </c>
      <c r="J231" s="106" t="n">
        <f aca="false">(12*PR_PRSIr0+(PR_PRSIr1-PR_PRSIr0)*MAX(0,MIN(12,D231*12+12-PR_PRSIt1))+(PR_PRSIr2-PR_PRSIr1)*MAX(0,MIN(12,D231*12+12-PR_PRSIt2))+(PR_PRSIr3-PR_PRSIr2)*MAX(0,MIN(12,D231*12+12-PR_PRSIt3)))/12</f>
        <v>0.047</v>
      </c>
      <c r="K231" s="1" t="n">
        <f aca="false">IF(G231=1,F_Income*F231,0)</f>
        <v>0</v>
      </c>
      <c r="L231" s="1" t="n">
        <f aca="false">IF(G231=1,(F_Own+In_penExtra)*12*F231,0)</f>
        <v>0</v>
      </c>
      <c r="M231" s="1" t="n">
        <f aca="false">IF(G231=1,(F_PenM+In_penExtra)*12*F231,0)</f>
        <v>0</v>
      </c>
      <c r="N231" s="107" t="n">
        <f aca="false">IF(C231&lt;PR_RelA1,PR_RelP1,IF(C231&lt;PR_RelA2,PR_RelP2,IF(C231&lt;PR_RelA3,PR_RelP3,IF(C231&lt;PR_RelA4,PR_RelP4,IF(C231&lt;PR_RelA5,PR_RelP5,PR_RelP6)))))</f>
        <v>0.15</v>
      </c>
      <c r="O231" s="1" t="n">
        <f aca="false">IF(G231=1,MIN(L231/H231,N231*MIN(K231/H231,PR_EarnCap))*H231,0)</f>
        <v>0</v>
      </c>
      <c r="P231" s="1" t="n">
        <f aca="false">IF(AND(G231=1,F_AE=1),MIN(K231/H231,PR_AEcap)*H231,0)</f>
        <v>0</v>
      </c>
      <c r="Q231" s="1" t="n">
        <f aca="false">IF(G231=1,IF(WI_Retire=1,MAX(0,M231+WI_M*12),M231)+(PR_AEee+PR_AEer+PR_AEst)*P231,0)</f>
        <v>0</v>
      </c>
      <c r="R231" s="1" t="n">
        <f aca="false">L231+PR_AEee*P231</f>
        <v>0</v>
      </c>
      <c r="S231" s="1" t="n">
        <f aca="false">AD230</f>
        <v>0</v>
      </c>
      <c r="T231" s="1" t="n">
        <f aca="false">IF(D231&lt;=2026,PR_SFT2026,IF(D231=2027,PR_SFT2027,IF(D231=2028,PR_SFT2028,IF(D231=2029,PR_SFT2029,PR_SFT2029*(1+AS_Infl)^(D231-2029)))))</f>
        <v>4079071.28307784</v>
      </c>
      <c r="U231" s="1" t="n">
        <f aca="false">IF(AND(G231=0,C231=F_V),1,0)</f>
        <v>0</v>
      </c>
      <c r="V231" s="1" t="n">
        <f aca="false">IF(U231=1,PR_SFTrate*MAX(0,S231-T231),0)</f>
        <v>0</v>
      </c>
      <c r="W231" s="1" t="n">
        <f aca="false">S231-V231</f>
        <v>0</v>
      </c>
      <c r="X231" s="1" t="n">
        <f aca="false">IF(AND(U231=1,AS_LumpPct&gt;0),W231*MIN(AS_LumpPct,PR_LSmax),0)</f>
        <v>0</v>
      </c>
      <c r="Y231" s="1" t="n">
        <f aca="false">X231-(PR_LSrate*MAX(0,MIN(X231,PR_LScap)-PR_LSfree)+PR_r2*MAX(0,X231-PR_LScap))</f>
        <v>0</v>
      </c>
      <c r="Z231" s="1" t="n">
        <f aca="false">W231-X231</f>
        <v>0</v>
      </c>
      <c r="AA231" s="107" t="n">
        <f aca="false">IF(C231&gt;=61,IF(Z231&gt;PR_ARFbig,PR_ARFbigRate,IF(C231&gt;=71,PR_ARF71,PR_ARF61)),0)</f>
        <v>0</v>
      </c>
      <c r="AB231" s="1" t="n">
        <f aca="false">IF(AS_DrawRule="min",Z231*AA231,IF(AS_DrawRule="fixed",MAX(AS_DrawFixed*E231,Z231*AA231),Z231*MAX(1/MAX(1,AS_End-C231+1),AA231)))</f>
        <v>0</v>
      </c>
      <c r="AC231" s="1" t="n">
        <f aca="false">IF(AND(G231=0,C231&gt;=F_V),MIN(Z231,AB231),0)</f>
        <v>0</v>
      </c>
      <c r="AD231" s="1" t="n">
        <f aca="false">IF(G231=1,S231*(1+F_PenG)+Q231,IF(C231&lt;F_V,S231*(1+F_PenG),(Z231-AC231)*(1+AS_PenRet)))</f>
        <v>0</v>
      </c>
      <c r="AE231" s="1" t="n">
        <f aca="false">IF(C231&gt;=PR_SPage,AS_SP*F_SpF*I231+IF(C231&gt;=80,PR_Over80*PR_Weeks*I231,0),0)</f>
        <v>0</v>
      </c>
      <c r="AF231" s="1" t="n">
        <f aca="false">(F_OtherM+F_RentM)*12*E231</f>
        <v>0</v>
      </c>
      <c r="AG231" s="1" t="n">
        <f aca="false">F_PAge+B231</f>
        <v>21</v>
      </c>
      <c r="AH231" s="1" t="n">
        <f aca="false">IF(AND(F_Partner=1,F_PAge&gt;0,AG231&lt;IF(F_PRet&gt;0,F_PRet,66)),F_PIncome*F231,0)</f>
        <v>0</v>
      </c>
      <c r="AI231" s="1" t="n">
        <f aca="false">IF(AND(F_Partner=1,AG231&gt;=66,F_PSpQA=0),AS_SP*F_PSpF*I231,0)</f>
        <v>0</v>
      </c>
      <c r="AJ231" s="1" t="n">
        <f aca="false">IF(AND(F_Partner=1,F_PSpQA=1,C231&gt;=PR_SPage,AH231=0),IF(AG231&gt;=66,PR_QA66,PR_QAunder)*PR_Weeks*I231,0)</f>
        <v>0</v>
      </c>
      <c r="AK231" s="1" t="n">
        <f aca="false">AE231+AJ231</f>
        <v>0</v>
      </c>
      <c r="AL231" s="1" t="n">
        <f aca="false">K231/H231</f>
        <v>0</v>
      </c>
      <c r="AM231" s="1" t="n">
        <f aca="false">AK231/H231</f>
        <v>0</v>
      </c>
      <c r="AN231" s="1" t="n">
        <f aca="false">AC231/H231</f>
        <v>0</v>
      </c>
      <c r="AO231" s="1" t="n">
        <f aca="false">AF231/H231</f>
        <v>0</v>
      </c>
      <c r="AP231" s="1" t="n">
        <f aca="false">O231/H231</f>
        <v>0</v>
      </c>
      <c r="AQ231" s="1" t="n">
        <f aca="false">AH231/H231</f>
        <v>0</v>
      </c>
      <c r="AR231" s="1" t="n">
        <f aca="false">AI231/H231</f>
        <v>0</v>
      </c>
      <c r="AS231" s="1" t="n">
        <f aca="false">MAX(0,AL231+AN231+AO231+AM231-AP231)</f>
        <v>0</v>
      </c>
      <c r="AT231" s="1" t="n">
        <f aca="false">MAX(0,AQ231+AR231)</f>
        <v>0</v>
      </c>
      <c r="AU231" s="1" t="n">
        <f aca="false">MIN(PR_PAYE,PR_PAYEcap*(AL231+AN231+AM231))</f>
        <v>0</v>
      </c>
      <c r="AV231" s="1" t="n">
        <f aca="false">MIN(PR_PAYE,PR_PAYEcap*(AQ231+AR231))</f>
        <v>0</v>
      </c>
      <c r="AW231" s="1" t="n">
        <f aca="false">IF(C231&gt;=PR_AgeCrAge,PR_AgeCr,0)</f>
        <v>0</v>
      </c>
      <c r="AX231" s="1" t="n">
        <f aca="false">IF(AG231&gt;=PR_AgeCrAge,PR_AgeCr,0)</f>
        <v>0</v>
      </c>
      <c r="AY231" s="1" t="n">
        <f aca="false">IF(AND(F_RentCred=1,D231&lt;=PR_RentLast),1,0)</f>
        <v>0</v>
      </c>
      <c r="AZ231" s="1" t="n">
        <f aca="false">AS231+AT231</f>
        <v>0</v>
      </c>
      <c r="BA231" s="1" t="n">
        <f aca="false">PR_PersonalM+AU231+AV231+AW231+AX231+IF(AY231=1,PR_RentJoint,0)</f>
        <v>4000</v>
      </c>
      <c r="BB231" s="1" t="n">
        <f aca="false">PR_BandM+MIN(MIN(AS231,AT231),PR_Uplift)</f>
        <v>53000</v>
      </c>
      <c r="BC231" s="1" t="n">
        <f aca="false">MAX(0,PR_r1*MIN(AZ231,BB231)+PR_r2*MAX(0,AZ231-BB231)-BA231)</f>
        <v>0</v>
      </c>
      <c r="BD231" s="1" t="n">
        <f aca="false">MAX(0,PR_HomeCarer-MAX(0,MIN(AS231,AT231)-PR_HCLimit)/2)</f>
        <v>1950</v>
      </c>
      <c r="BE231" s="1" t="n">
        <f aca="false">IF(F_Carer=1,MIN(BC231,MAX(0,PR_r1*MIN(AZ231,PR_BandM)+PR_r2*MAX(0,AZ231-PR_BandM)-BA231-BD231)),BC231)</f>
        <v>0</v>
      </c>
      <c r="BF231" s="1" t="n">
        <f aca="false">IF(OR(C231&gt;=PR_AgeCrAge,AG231&gt;=PR_AgeCrAge),IF(AZ231&lt;=PR_AgeExM,0,MIN(BE231,PR_AgeMarg*(AZ231-PR_AgeExM))),BE231)</f>
        <v>0</v>
      </c>
      <c r="BG231" s="1" t="n">
        <f aca="false">MAX(0,PR_r1*MIN(AS231,IF(F_Spccc=1,PR_BandSPCCC,PR_Band))+PR_r2*MAX(0,AS231-IF(F_Spccc=1,PR_BandSPCCC,PR_Band))-(PR_Personal+AU231+AW231+IF(F_Spccc=1,PR_SPCCC,0)+IF(AY231=1,PR_Rent,0)))</f>
        <v>0</v>
      </c>
      <c r="BH231" s="1" t="n">
        <f aca="false">IF(C231&gt;=PR_AgeCrAge,IF(AS231&lt;=PR_AgeEx,0,MIN(BG231,PR_AgeMarg*(AS231-PR_AgeEx))),BG231)</f>
        <v>0</v>
      </c>
      <c r="BI231" s="1" t="n">
        <f aca="false">IF(F_Partner=1,MAX(0,PR_r1*MIN(AT231,PR_Band)+PR_r2*MAX(0,AT231-PR_Band)-(PR_Personal+AV231+AX231+IF(AND(AY231=1,AT231&gt;0),PR_Rent,0))),0)</f>
        <v>0</v>
      </c>
      <c r="BJ231" s="1" t="n">
        <f aca="false">IF(AG231&gt;=PR_AgeCrAge,IF(AT231&lt;=PR_AgeEx,0,MIN(BI231,PR_AgeMarg*(AT231-PR_AgeEx))),BI231)</f>
        <v>0</v>
      </c>
      <c r="BK231" s="1" t="n">
        <f aca="false">IF(F_Partner=1,IF(F_Married=1,BF231,BH231+BJ231),BH231)</f>
        <v>0</v>
      </c>
      <c r="BL231" s="1" t="n">
        <f aca="false">AL231+AN231+AO231</f>
        <v>0</v>
      </c>
      <c r="BM231" s="1" t="n">
        <f aca="false">IF(BL231&lt;=PR_USCex,0,IF(IF(AND(C231&gt;=PR_USCredAge,BL231&lt;=PR_USCredMax),1,0)=1,PR_USCr1*MIN(BL231,PR_USCredB1)+PR_USCredR2*MAX(0,BL231-PR_USCredB1),PR_USCr1*MIN(BL231,PR_USCb1)+PR_USCr2*MAX(0,MIN(BL231,PR_USCb2)-PR_USCb1)+PR_USCr3*MAX(0,MIN(BL231,PR_USCb3)-PR_USCb2)+PR_USCr4*MAX(0,BL231-PR_USCb3)))+IF(F_SelfEmp=1,PR_USCse*MAX(0,AL231-PR_USCseOver),0)</f>
        <v>0</v>
      </c>
      <c r="BN231" s="1" t="n">
        <f aca="false">AQ231</f>
        <v>0</v>
      </c>
      <c r="BO231" s="1" t="n">
        <f aca="false">IF(F_Partner=1,IF(BN231&lt;=PR_USCex,0,IF(IF(AND(AG231&gt;=PR_USCredAge,BN231&lt;=PR_USCredMax),1,0)=1,PR_USCr1*MIN(BN231,PR_USCredB1)+PR_USCredR2*MAX(0,BN231-PR_USCredB1),PR_USCr1*MIN(BN231,PR_USCb1)+PR_USCr2*MAX(0,MIN(BN231,PR_USCb2)-PR_USCb1)+PR_USCr3*MAX(0,MIN(BN231,PR_USCb3)-PR_USCb2)+PR_USCr4*MAX(0,BN231-PR_USCb3))),0)</f>
        <v>0</v>
      </c>
      <c r="BP231" s="1" t="n">
        <f aca="false">IF(C231&lt;PR_PRSIend,IF(F_SelfEmp=1,IF(AL231&gt;PR_PRSIsMinInc,MAX(PR_PRSIsMin,AL231*J231),0),IF(AL231/52&lt;=PR_PRSIfree,0,MAX(0,(AL231/52*J231-IF(AL231/52&lt;=PR_PRSIcreditTo,MAX(0,PR_PRSIcreditMax-(AL231/52-(PR_PRSIfree+0.01))/PR_PRSItaper),0))*52)))+J231*AN231+IF(AO231&gt;PR_PRSIunearned,J231*AO231,0),0)</f>
        <v>0</v>
      </c>
      <c r="BQ231" s="1" t="n">
        <f aca="false">IF(AND(F_Partner=1,AG231&lt;PR_PRSIend),IF(AQ231/52&lt;=PR_PRSIfree,0,MAX(0,(AQ231/52*J231-IF(AQ231/52&lt;=PR_PRSIcreditTo,MAX(0,PR_PRSIcreditMax-(AQ231/52-(PR_PRSIfree+0.01))/PR_PRSItaper),0))*52)),0)</f>
        <v>0</v>
      </c>
      <c r="BR231" s="1" t="n">
        <f aca="false">BK231+BM231+BO231+BP231+BQ231</f>
        <v>0</v>
      </c>
      <c r="BS231" s="1" t="n">
        <f aca="false">BR231*H231</f>
        <v>0</v>
      </c>
      <c r="BT231" s="1" t="n">
        <f aca="false">K231+AK231+AC231+AF231+AH231+AI231</f>
        <v>0</v>
      </c>
    </row>
    <row r="232" customFormat="false" ht="15" hidden="false" customHeight="false" outlineLevel="0" collapsed="false">
      <c r="B232" s="1" t="n">
        <v>22</v>
      </c>
      <c r="C232" s="1" t="n">
        <f aca="false">F_Age+B232</f>
        <v>22</v>
      </c>
      <c r="D232" s="1" t="n">
        <f aca="false">AS_Year0+B232</f>
        <v>2049</v>
      </c>
      <c r="E232" s="106" t="n">
        <f aca="false">(1+AS_Infl)^B232</f>
        <v>1.54597967077588</v>
      </c>
      <c r="F232" s="106" t="n">
        <f aca="false">(1+AS_Wage)^B232</f>
        <v>1.91610340886078</v>
      </c>
      <c r="G232" s="1" t="n">
        <f aca="false">IF(C232&lt;F_R,1,0)</f>
        <v>0</v>
      </c>
      <c r="H232" s="106" t="n">
        <f aca="false">IF(AS_Bands="flat",1,E232)</f>
        <v>1.54597967077588</v>
      </c>
      <c r="I232" s="106" t="n">
        <f aca="false">IF(AS_SpGrow="pay",F232,IF(AS_SpGrow="flat",1,E232))</f>
        <v>1.54597967077588</v>
      </c>
      <c r="J232" s="106" t="n">
        <f aca="false">(12*PR_PRSIr0+(PR_PRSIr1-PR_PRSIr0)*MAX(0,MIN(12,D232*12+12-PR_PRSIt1))+(PR_PRSIr2-PR_PRSIr1)*MAX(0,MIN(12,D232*12+12-PR_PRSIt2))+(PR_PRSIr3-PR_PRSIr2)*MAX(0,MIN(12,D232*12+12-PR_PRSIt3)))/12</f>
        <v>0.047</v>
      </c>
      <c r="K232" s="1" t="n">
        <f aca="false">IF(G232=1,F_Income*F232,0)</f>
        <v>0</v>
      </c>
      <c r="L232" s="1" t="n">
        <f aca="false">IF(G232=1,(F_Own+In_penExtra)*12*F232,0)</f>
        <v>0</v>
      </c>
      <c r="M232" s="1" t="n">
        <f aca="false">IF(G232=1,(F_PenM+In_penExtra)*12*F232,0)</f>
        <v>0</v>
      </c>
      <c r="N232" s="107" t="n">
        <f aca="false">IF(C232&lt;PR_RelA1,PR_RelP1,IF(C232&lt;PR_RelA2,PR_RelP2,IF(C232&lt;PR_RelA3,PR_RelP3,IF(C232&lt;PR_RelA4,PR_RelP4,IF(C232&lt;PR_RelA5,PR_RelP5,PR_RelP6)))))</f>
        <v>0.15</v>
      </c>
      <c r="O232" s="1" t="n">
        <f aca="false">IF(G232=1,MIN(L232/H232,N232*MIN(K232/H232,PR_EarnCap))*H232,0)</f>
        <v>0</v>
      </c>
      <c r="P232" s="1" t="n">
        <f aca="false">IF(AND(G232=1,F_AE=1),MIN(K232/H232,PR_AEcap)*H232,0)</f>
        <v>0</v>
      </c>
      <c r="Q232" s="1" t="n">
        <f aca="false">IF(G232=1,IF(WI_Retire=1,MAX(0,M232+WI_M*12),M232)+(PR_AEee+PR_AEer+PR_AEst)*P232,0)</f>
        <v>0</v>
      </c>
      <c r="R232" s="1" t="n">
        <f aca="false">L232+PR_AEee*P232</f>
        <v>0</v>
      </c>
      <c r="S232" s="1" t="n">
        <f aca="false">AD231</f>
        <v>0</v>
      </c>
      <c r="T232" s="1" t="n">
        <f aca="false">IF(D232&lt;=2026,PR_SFT2026,IF(D232=2027,PR_SFT2027,IF(D232=2028,PR_SFT2028,IF(D232=2029,PR_SFT2029,PR_SFT2029*(1+AS_Infl)^(D232-2029)))))</f>
        <v>4160652.70873939</v>
      </c>
      <c r="U232" s="1" t="n">
        <f aca="false">IF(AND(G232=0,C232=F_V),1,0)</f>
        <v>0</v>
      </c>
      <c r="V232" s="1" t="n">
        <f aca="false">IF(U232=1,PR_SFTrate*MAX(0,S232-T232),0)</f>
        <v>0</v>
      </c>
      <c r="W232" s="1" t="n">
        <f aca="false">S232-V232</f>
        <v>0</v>
      </c>
      <c r="X232" s="1" t="n">
        <f aca="false">IF(AND(U232=1,AS_LumpPct&gt;0),W232*MIN(AS_LumpPct,PR_LSmax),0)</f>
        <v>0</v>
      </c>
      <c r="Y232" s="1" t="n">
        <f aca="false">X232-(PR_LSrate*MAX(0,MIN(X232,PR_LScap)-PR_LSfree)+PR_r2*MAX(0,X232-PR_LScap))</f>
        <v>0</v>
      </c>
      <c r="Z232" s="1" t="n">
        <f aca="false">W232-X232</f>
        <v>0</v>
      </c>
      <c r="AA232" s="107" t="n">
        <f aca="false">IF(C232&gt;=61,IF(Z232&gt;PR_ARFbig,PR_ARFbigRate,IF(C232&gt;=71,PR_ARF71,PR_ARF61)),0)</f>
        <v>0</v>
      </c>
      <c r="AB232" s="1" t="n">
        <f aca="false">IF(AS_DrawRule="min",Z232*AA232,IF(AS_DrawRule="fixed",MAX(AS_DrawFixed*E232,Z232*AA232),Z232*MAX(1/MAX(1,AS_End-C232+1),AA232)))</f>
        <v>0</v>
      </c>
      <c r="AC232" s="1" t="n">
        <f aca="false">IF(AND(G232=0,C232&gt;=F_V),MIN(Z232,AB232),0)</f>
        <v>0</v>
      </c>
      <c r="AD232" s="1" t="n">
        <f aca="false">IF(G232=1,S232*(1+F_PenG)+Q232,IF(C232&lt;F_V,S232*(1+F_PenG),(Z232-AC232)*(1+AS_PenRet)))</f>
        <v>0</v>
      </c>
      <c r="AE232" s="1" t="n">
        <f aca="false">IF(C232&gt;=PR_SPage,AS_SP*F_SpF*I232+IF(C232&gt;=80,PR_Over80*PR_Weeks*I232,0),0)</f>
        <v>0</v>
      </c>
      <c r="AF232" s="1" t="n">
        <f aca="false">(F_OtherM+F_RentM)*12*E232</f>
        <v>0</v>
      </c>
      <c r="AG232" s="1" t="n">
        <f aca="false">F_PAge+B232</f>
        <v>22</v>
      </c>
      <c r="AH232" s="1" t="n">
        <f aca="false">IF(AND(F_Partner=1,F_PAge&gt;0,AG232&lt;IF(F_PRet&gt;0,F_PRet,66)),F_PIncome*F232,0)</f>
        <v>0</v>
      </c>
      <c r="AI232" s="1" t="n">
        <f aca="false">IF(AND(F_Partner=1,AG232&gt;=66,F_PSpQA=0),AS_SP*F_PSpF*I232,0)</f>
        <v>0</v>
      </c>
      <c r="AJ232" s="1" t="n">
        <f aca="false">IF(AND(F_Partner=1,F_PSpQA=1,C232&gt;=PR_SPage,AH232=0),IF(AG232&gt;=66,PR_QA66,PR_QAunder)*PR_Weeks*I232,0)</f>
        <v>0</v>
      </c>
      <c r="AK232" s="1" t="n">
        <f aca="false">AE232+AJ232</f>
        <v>0</v>
      </c>
      <c r="AL232" s="1" t="n">
        <f aca="false">K232/H232</f>
        <v>0</v>
      </c>
      <c r="AM232" s="1" t="n">
        <f aca="false">AK232/H232</f>
        <v>0</v>
      </c>
      <c r="AN232" s="1" t="n">
        <f aca="false">AC232/H232</f>
        <v>0</v>
      </c>
      <c r="AO232" s="1" t="n">
        <f aca="false">AF232/H232</f>
        <v>0</v>
      </c>
      <c r="AP232" s="1" t="n">
        <f aca="false">O232/H232</f>
        <v>0</v>
      </c>
      <c r="AQ232" s="1" t="n">
        <f aca="false">AH232/H232</f>
        <v>0</v>
      </c>
      <c r="AR232" s="1" t="n">
        <f aca="false">AI232/H232</f>
        <v>0</v>
      </c>
      <c r="AS232" s="1" t="n">
        <f aca="false">MAX(0,AL232+AN232+AO232+AM232-AP232)</f>
        <v>0</v>
      </c>
      <c r="AT232" s="1" t="n">
        <f aca="false">MAX(0,AQ232+AR232)</f>
        <v>0</v>
      </c>
      <c r="AU232" s="1" t="n">
        <f aca="false">MIN(PR_PAYE,PR_PAYEcap*(AL232+AN232+AM232))</f>
        <v>0</v>
      </c>
      <c r="AV232" s="1" t="n">
        <f aca="false">MIN(PR_PAYE,PR_PAYEcap*(AQ232+AR232))</f>
        <v>0</v>
      </c>
      <c r="AW232" s="1" t="n">
        <f aca="false">IF(C232&gt;=PR_AgeCrAge,PR_AgeCr,0)</f>
        <v>0</v>
      </c>
      <c r="AX232" s="1" t="n">
        <f aca="false">IF(AG232&gt;=PR_AgeCrAge,PR_AgeCr,0)</f>
        <v>0</v>
      </c>
      <c r="AY232" s="1" t="n">
        <f aca="false">IF(AND(F_RentCred=1,D232&lt;=PR_RentLast),1,0)</f>
        <v>0</v>
      </c>
      <c r="AZ232" s="1" t="n">
        <f aca="false">AS232+AT232</f>
        <v>0</v>
      </c>
      <c r="BA232" s="1" t="n">
        <f aca="false">PR_PersonalM+AU232+AV232+AW232+AX232+IF(AY232=1,PR_RentJoint,0)</f>
        <v>4000</v>
      </c>
      <c r="BB232" s="1" t="n">
        <f aca="false">PR_BandM+MIN(MIN(AS232,AT232),PR_Uplift)</f>
        <v>53000</v>
      </c>
      <c r="BC232" s="1" t="n">
        <f aca="false">MAX(0,PR_r1*MIN(AZ232,BB232)+PR_r2*MAX(0,AZ232-BB232)-BA232)</f>
        <v>0</v>
      </c>
      <c r="BD232" s="1" t="n">
        <f aca="false">MAX(0,PR_HomeCarer-MAX(0,MIN(AS232,AT232)-PR_HCLimit)/2)</f>
        <v>1950</v>
      </c>
      <c r="BE232" s="1" t="n">
        <f aca="false">IF(F_Carer=1,MIN(BC232,MAX(0,PR_r1*MIN(AZ232,PR_BandM)+PR_r2*MAX(0,AZ232-PR_BandM)-BA232-BD232)),BC232)</f>
        <v>0</v>
      </c>
      <c r="BF232" s="1" t="n">
        <f aca="false">IF(OR(C232&gt;=PR_AgeCrAge,AG232&gt;=PR_AgeCrAge),IF(AZ232&lt;=PR_AgeExM,0,MIN(BE232,PR_AgeMarg*(AZ232-PR_AgeExM))),BE232)</f>
        <v>0</v>
      </c>
      <c r="BG232" s="1" t="n">
        <f aca="false">MAX(0,PR_r1*MIN(AS232,IF(F_Spccc=1,PR_BandSPCCC,PR_Band))+PR_r2*MAX(0,AS232-IF(F_Spccc=1,PR_BandSPCCC,PR_Band))-(PR_Personal+AU232+AW232+IF(F_Spccc=1,PR_SPCCC,0)+IF(AY232=1,PR_Rent,0)))</f>
        <v>0</v>
      </c>
      <c r="BH232" s="1" t="n">
        <f aca="false">IF(C232&gt;=PR_AgeCrAge,IF(AS232&lt;=PR_AgeEx,0,MIN(BG232,PR_AgeMarg*(AS232-PR_AgeEx))),BG232)</f>
        <v>0</v>
      </c>
      <c r="BI232" s="1" t="n">
        <f aca="false">IF(F_Partner=1,MAX(0,PR_r1*MIN(AT232,PR_Band)+PR_r2*MAX(0,AT232-PR_Band)-(PR_Personal+AV232+AX232+IF(AND(AY232=1,AT232&gt;0),PR_Rent,0))),0)</f>
        <v>0</v>
      </c>
      <c r="BJ232" s="1" t="n">
        <f aca="false">IF(AG232&gt;=PR_AgeCrAge,IF(AT232&lt;=PR_AgeEx,0,MIN(BI232,PR_AgeMarg*(AT232-PR_AgeEx))),BI232)</f>
        <v>0</v>
      </c>
      <c r="BK232" s="1" t="n">
        <f aca="false">IF(F_Partner=1,IF(F_Married=1,BF232,BH232+BJ232),BH232)</f>
        <v>0</v>
      </c>
      <c r="BL232" s="1" t="n">
        <f aca="false">AL232+AN232+AO232</f>
        <v>0</v>
      </c>
      <c r="BM232" s="1" t="n">
        <f aca="false">IF(BL232&lt;=PR_USCex,0,IF(IF(AND(C232&gt;=PR_USCredAge,BL232&lt;=PR_USCredMax),1,0)=1,PR_USCr1*MIN(BL232,PR_USCredB1)+PR_USCredR2*MAX(0,BL232-PR_USCredB1),PR_USCr1*MIN(BL232,PR_USCb1)+PR_USCr2*MAX(0,MIN(BL232,PR_USCb2)-PR_USCb1)+PR_USCr3*MAX(0,MIN(BL232,PR_USCb3)-PR_USCb2)+PR_USCr4*MAX(0,BL232-PR_USCb3)))+IF(F_SelfEmp=1,PR_USCse*MAX(0,AL232-PR_USCseOver),0)</f>
        <v>0</v>
      </c>
      <c r="BN232" s="1" t="n">
        <f aca="false">AQ232</f>
        <v>0</v>
      </c>
      <c r="BO232" s="1" t="n">
        <f aca="false">IF(F_Partner=1,IF(BN232&lt;=PR_USCex,0,IF(IF(AND(AG232&gt;=PR_USCredAge,BN232&lt;=PR_USCredMax),1,0)=1,PR_USCr1*MIN(BN232,PR_USCredB1)+PR_USCredR2*MAX(0,BN232-PR_USCredB1),PR_USCr1*MIN(BN232,PR_USCb1)+PR_USCr2*MAX(0,MIN(BN232,PR_USCb2)-PR_USCb1)+PR_USCr3*MAX(0,MIN(BN232,PR_USCb3)-PR_USCb2)+PR_USCr4*MAX(0,BN232-PR_USCb3))),0)</f>
        <v>0</v>
      </c>
      <c r="BP232" s="1" t="n">
        <f aca="false">IF(C232&lt;PR_PRSIend,IF(F_SelfEmp=1,IF(AL232&gt;PR_PRSIsMinInc,MAX(PR_PRSIsMin,AL232*J232),0),IF(AL232/52&lt;=PR_PRSIfree,0,MAX(0,(AL232/52*J232-IF(AL232/52&lt;=PR_PRSIcreditTo,MAX(0,PR_PRSIcreditMax-(AL232/52-(PR_PRSIfree+0.01))/PR_PRSItaper),0))*52)))+J232*AN232+IF(AO232&gt;PR_PRSIunearned,J232*AO232,0),0)</f>
        <v>0</v>
      </c>
      <c r="BQ232" s="1" t="n">
        <f aca="false">IF(AND(F_Partner=1,AG232&lt;PR_PRSIend),IF(AQ232/52&lt;=PR_PRSIfree,0,MAX(0,(AQ232/52*J232-IF(AQ232/52&lt;=PR_PRSIcreditTo,MAX(0,PR_PRSIcreditMax-(AQ232/52-(PR_PRSIfree+0.01))/PR_PRSItaper),0))*52)),0)</f>
        <v>0</v>
      </c>
      <c r="BR232" s="1" t="n">
        <f aca="false">BK232+BM232+BO232+BP232+BQ232</f>
        <v>0</v>
      </c>
      <c r="BS232" s="1" t="n">
        <f aca="false">BR232*H232</f>
        <v>0</v>
      </c>
      <c r="BT232" s="1" t="n">
        <f aca="false">K232+AK232+AC232+AF232+AH232+AI232</f>
        <v>0</v>
      </c>
    </row>
    <row r="233" customFormat="false" ht="15" hidden="false" customHeight="false" outlineLevel="0" collapsed="false">
      <c r="B233" s="1" t="n">
        <v>23</v>
      </c>
      <c r="C233" s="1" t="n">
        <f aca="false">F_Age+B233</f>
        <v>23</v>
      </c>
      <c r="D233" s="1" t="n">
        <f aca="false">AS_Year0+B233</f>
        <v>2050</v>
      </c>
      <c r="E233" s="106" t="n">
        <f aca="false">(1+AS_Infl)^B233</f>
        <v>1.5768992641914</v>
      </c>
      <c r="F233" s="106" t="n">
        <f aca="false">(1+AS_Wage)^B233</f>
        <v>1.97358651112661</v>
      </c>
      <c r="G233" s="1" t="n">
        <f aca="false">IF(C233&lt;F_R,1,0)</f>
        <v>0</v>
      </c>
      <c r="H233" s="106" t="n">
        <f aca="false">IF(AS_Bands="flat",1,E233)</f>
        <v>1.5768992641914</v>
      </c>
      <c r="I233" s="106" t="n">
        <f aca="false">IF(AS_SpGrow="pay",F233,IF(AS_SpGrow="flat",1,E233))</f>
        <v>1.5768992641914</v>
      </c>
      <c r="J233" s="106" t="n">
        <f aca="false">(12*PR_PRSIr0+(PR_PRSIr1-PR_PRSIr0)*MAX(0,MIN(12,D233*12+12-PR_PRSIt1))+(PR_PRSIr2-PR_PRSIr1)*MAX(0,MIN(12,D233*12+12-PR_PRSIt2))+(PR_PRSIr3-PR_PRSIr2)*MAX(0,MIN(12,D233*12+12-PR_PRSIt3)))/12</f>
        <v>0.047</v>
      </c>
      <c r="K233" s="1" t="n">
        <f aca="false">IF(G233=1,F_Income*F233,0)</f>
        <v>0</v>
      </c>
      <c r="L233" s="1" t="n">
        <f aca="false">IF(G233=1,(F_Own+In_penExtra)*12*F233,0)</f>
        <v>0</v>
      </c>
      <c r="M233" s="1" t="n">
        <f aca="false">IF(G233=1,(F_PenM+In_penExtra)*12*F233,0)</f>
        <v>0</v>
      </c>
      <c r="N233" s="107" t="n">
        <f aca="false">IF(C233&lt;PR_RelA1,PR_RelP1,IF(C233&lt;PR_RelA2,PR_RelP2,IF(C233&lt;PR_RelA3,PR_RelP3,IF(C233&lt;PR_RelA4,PR_RelP4,IF(C233&lt;PR_RelA5,PR_RelP5,PR_RelP6)))))</f>
        <v>0.15</v>
      </c>
      <c r="O233" s="1" t="n">
        <f aca="false">IF(G233=1,MIN(L233/H233,N233*MIN(K233/H233,PR_EarnCap))*H233,0)</f>
        <v>0</v>
      </c>
      <c r="P233" s="1" t="n">
        <f aca="false">IF(AND(G233=1,F_AE=1),MIN(K233/H233,PR_AEcap)*H233,0)</f>
        <v>0</v>
      </c>
      <c r="Q233" s="1" t="n">
        <f aca="false">IF(G233=1,IF(WI_Retire=1,MAX(0,M233+WI_M*12),M233)+(PR_AEee+PR_AEer+PR_AEst)*P233,0)</f>
        <v>0</v>
      </c>
      <c r="R233" s="1" t="n">
        <f aca="false">L233+PR_AEee*P233</f>
        <v>0</v>
      </c>
      <c r="S233" s="1" t="n">
        <f aca="false">AD232</f>
        <v>0</v>
      </c>
      <c r="T233" s="1" t="n">
        <f aca="false">IF(D233&lt;=2026,PR_SFT2026,IF(D233=2027,PR_SFT2027,IF(D233=2028,PR_SFT2028,IF(D233=2029,PR_SFT2029,PR_SFT2029*(1+AS_Infl)^(D233-2029)))))</f>
        <v>4243865.76291418</v>
      </c>
      <c r="U233" s="1" t="n">
        <f aca="false">IF(AND(G233=0,C233=F_V),1,0)</f>
        <v>0</v>
      </c>
      <c r="V233" s="1" t="n">
        <f aca="false">IF(U233=1,PR_SFTrate*MAX(0,S233-T233),0)</f>
        <v>0</v>
      </c>
      <c r="W233" s="1" t="n">
        <f aca="false">S233-V233</f>
        <v>0</v>
      </c>
      <c r="X233" s="1" t="n">
        <f aca="false">IF(AND(U233=1,AS_LumpPct&gt;0),W233*MIN(AS_LumpPct,PR_LSmax),0)</f>
        <v>0</v>
      </c>
      <c r="Y233" s="1" t="n">
        <f aca="false">X233-(PR_LSrate*MAX(0,MIN(X233,PR_LScap)-PR_LSfree)+PR_r2*MAX(0,X233-PR_LScap))</f>
        <v>0</v>
      </c>
      <c r="Z233" s="1" t="n">
        <f aca="false">W233-X233</f>
        <v>0</v>
      </c>
      <c r="AA233" s="107" t="n">
        <f aca="false">IF(C233&gt;=61,IF(Z233&gt;PR_ARFbig,PR_ARFbigRate,IF(C233&gt;=71,PR_ARF71,PR_ARF61)),0)</f>
        <v>0</v>
      </c>
      <c r="AB233" s="1" t="n">
        <f aca="false">IF(AS_DrawRule="min",Z233*AA233,IF(AS_DrawRule="fixed",MAX(AS_DrawFixed*E233,Z233*AA233),Z233*MAX(1/MAX(1,AS_End-C233+1),AA233)))</f>
        <v>0</v>
      </c>
      <c r="AC233" s="1" t="n">
        <f aca="false">IF(AND(G233=0,C233&gt;=F_V),MIN(Z233,AB233),0)</f>
        <v>0</v>
      </c>
      <c r="AD233" s="1" t="n">
        <f aca="false">IF(G233=1,S233*(1+F_PenG)+Q233,IF(C233&lt;F_V,S233*(1+F_PenG),(Z233-AC233)*(1+AS_PenRet)))</f>
        <v>0</v>
      </c>
      <c r="AE233" s="1" t="n">
        <f aca="false">IF(C233&gt;=PR_SPage,AS_SP*F_SpF*I233+IF(C233&gt;=80,PR_Over80*PR_Weeks*I233,0),0)</f>
        <v>0</v>
      </c>
      <c r="AF233" s="1" t="n">
        <f aca="false">(F_OtherM+F_RentM)*12*E233</f>
        <v>0</v>
      </c>
      <c r="AG233" s="1" t="n">
        <f aca="false">F_PAge+B233</f>
        <v>23</v>
      </c>
      <c r="AH233" s="1" t="n">
        <f aca="false">IF(AND(F_Partner=1,F_PAge&gt;0,AG233&lt;IF(F_PRet&gt;0,F_PRet,66)),F_PIncome*F233,0)</f>
        <v>0</v>
      </c>
      <c r="AI233" s="1" t="n">
        <f aca="false">IF(AND(F_Partner=1,AG233&gt;=66,F_PSpQA=0),AS_SP*F_PSpF*I233,0)</f>
        <v>0</v>
      </c>
      <c r="AJ233" s="1" t="n">
        <f aca="false">IF(AND(F_Partner=1,F_PSpQA=1,C233&gt;=PR_SPage,AH233=0),IF(AG233&gt;=66,PR_QA66,PR_QAunder)*PR_Weeks*I233,0)</f>
        <v>0</v>
      </c>
      <c r="AK233" s="1" t="n">
        <f aca="false">AE233+AJ233</f>
        <v>0</v>
      </c>
      <c r="AL233" s="1" t="n">
        <f aca="false">K233/H233</f>
        <v>0</v>
      </c>
      <c r="AM233" s="1" t="n">
        <f aca="false">AK233/H233</f>
        <v>0</v>
      </c>
      <c r="AN233" s="1" t="n">
        <f aca="false">AC233/H233</f>
        <v>0</v>
      </c>
      <c r="AO233" s="1" t="n">
        <f aca="false">AF233/H233</f>
        <v>0</v>
      </c>
      <c r="AP233" s="1" t="n">
        <f aca="false">O233/H233</f>
        <v>0</v>
      </c>
      <c r="AQ233" s="1" t="n">
        <f aca="false">AH233/H233</f>
        <v>0</v>
      </c>
      <c r="AR233" s="1" t="n">
        <f aca="false">AI233/H233</f>
        <v>0</v>
      </c>
      <c r="AS233" s="1" t="n">
        <f aca="false">MAX(0,AL233+AN233+AO233+AM233-AP233)</f>
        <v>0</v>
      </c>
      <c r="AT233" s="1" t="n">
        <f aca="false">MAX(0,AQ233+AR233)</f>
        <v>0</v>
      </c>
      <c r="AU233" s="1" t="n">
        <f aca="false">MIN(PR_PAYE,PR_PAYEcap*(AL233+AN233+AM233))</f>
        <v>0</v>
      </c>
      <c r="AV233" s="1" t="n">
        <f aca="false">MIN(PR_PAYE,PR_PAYEcap*(AQ233+AR233))</f>
        <v>0</v>
      </c>
      <c r="AW233" s="1" t="n">
        <f aca="false">IF(C233&gt;=PR_AgeCrAge,PR_AgeCr,0)</f>
        <v>0</v>
      </c>
      <c r="AX233" s="1" t="n">
        <f aca="false">IF(AG233&gt;=PR_AgeCrAge,PR_AgeCr,0)</f>
        <v>0</v>
      </c>
      <c r="AY233" s="1" t="n">
        <f aca="false">IF(AND(F_RentCred=1,D233&lt;=PR_RentLast),1,0)</f>
        <v>0</v>
      </c>
      <c r="AZ233" s="1" t="n">
        <f aca="false">AS233+AT233</f>
        <v>0</v>
      </c>
      <c r="BA233" s="1" t="n">
        <f aca="false">PR_PersonalM+AU233+AV233+AW233+AX233+IF(AY233=1,PR_RentJoint,0)</f>
        <v>4000</v>
      </c>
      <c r="BB233" s="1" t="n">
        <f aca="false">PR_BandM+MIN(MIN(AS233,AT233),PR_Uplift)</f>
        <v>53000</v>
      </c>
      <c r="BC233" s="1" t="n">
        <f aca="false">MAX(0,PR_r1*MIN(AZ233,BB233)+PR_r2*MAX(0,AZ233-BB233)-BA233)</f>
        <v>0</v>
      </c>
      <c r="BD233" s="1" t="n">
        <f aca="false">MAX(0,PR_HomeCarer-MAX(0,MIN(AS233,AT233)-PR_HCLimit)/2)</f>
        <v>1950</v>
      </c>
      <c r="BE233" s="1" t="n">
        <f aca="false">IF(F_Carer=1,MIN(BC233,MAX(0,PR_r1*MIN(AZ233,PR_BandM)+PR_r2*MAX(0,AZ233-PR_BandM)-BA233-BD233)),BC233)</f>
        <v>0</v>
      </c>
      <c r="BF233" s="1" t="n">
        <f aca="false">IF(OR(C233&gt;=PR_AgeCrAge,AG233&gt;=PR_AgeCrAge),IF(AZ233&lt;=PR_AgeExM,0,MIN(BE233,PR_AgeMarg*(AZ233-PR_AgeExM))),BE233)</f>
        <v>0</v>
      </c>
      <c r="BG233" s="1" t="n">
        <f aca="false">MAX(0,PR_r1*MIN(AS233,IF(F_Spccc=1,PR_BandSPCCC,PR_Band))+PR_r2*MAX(0,AS233-IF(F_Spccc=1,PR_BandSPCCC,PR_Band))-(PR_Personal+AU233+AW233+IF(F_Spccc=1,PR_SPCCC,0)+IF(AY233=1,PR_Rent,0)))</f>
        <v>0</v>
      </c>
      <c r="BH233" s="1" t="n">
        <f aca="false">IF(C233&gt;=PR_AgeCrAge,IF(AS233&lt;=PR_AgeEx,0,MIN(BG233,PR_AgeMarg*(AS233-PR_AgeEx))),BG233)</f>
        <v>0</v>
      </c>
      <c r="BI233" s="1" t="n">
        <f aca="false">IF(F_Partner=1,MAX(0,PR_r1*MIN(AT233,PR_Band)+PR_r2*MAX(0,AT233-PR_Band)-(PR_Personal+AV233+AX233+IF(AND(AY233=1,AT233&gt;0),PR_Rent,0))),0)</f>
        <v>0</v>
      </c>
      <c r="BJ233" s="1" t="n">
        <f aca="false">IF(AG233&gt;=PR_AgeCrAge,IF(AT233&lt;=PR_AgeEx,0,MIN(BI233,PR_AgeMarg*(AT233-PR_AgeEx))),BI233)</f>
        <v>0</v>
      </c>
      <c r="BK233" s="1" t="n">
        <f aca="false">IF(F_Partner=1,IF(F_Married=1,BF233,BH233+BJ233),BH233)</f>
        <v>0</v>
      </c>
      <c r="BL233" s="1" t="n">
        <f aca="false">AL233+AN233+AO233</f>
        <v>0</v>
      </c>
      <c r="BM233" s="1" t="n">
        <f aca="false">IF(BL233&lt;=PR_USCex,0,IF(IF(AND(C233&gt;=PR_USCredAge,BL233&lt;=PR_USCredMax),1,0)=1,PR_USCr1*MIN(BL233,PR_USCredB1)+PR_USCredR2*MAX(0,BL233-PR_USCredB1),PR_USCr1*MIN(BL233,PR_USCb1)+PR_USCr2*MAX(0,MIN(BL233,PR_USCb2)-PR_USCb1)+PR_USCr3*MAX(0,MIN(BL233,PR_USCb3)-PR_USCb2)+PR_USCr4*MAX(0,BL233-PR_USCb3)))+IF(F_SelfEmp=1,PR_USCse*MAX(0,AL233-PR_USCseOver),0)</f>
        <v>0</v>
      </c>
      <c r="BN233" s="1" t="n">
        <f aca="false">AQ233</f>
        <v>0</v>
      </c>
      <c r="BO233" s="1" t="n">
        <f aca="false">IF(F_Partner=1,IF(BN233&lt;=PR_USCex,0,IF(IF(AND(AG233&gt;=PR_USCredAge,BN233&lt;=PR_USCredMax),1,0)=1,PR_USCr1*MIN(BN233,PR_USCredB1)+PR_USCredR2*MAX(0,BN233-PR_USCredB1),PR_USCr1*MIN(BN233,PR_USCb1)+PR_USCr2*MAX(0,MIN(BN233,PR_USCb2)-PR_USCb1)+PR_USCr3*MAX(0,MIN(BN233,PR_USCb3)-PR_USCb2)+PR_USCr4*MAX(0,BN233-PR_USCb3))),0)</f>
        <v>0</v>
      </c>
      <c r="BP233" s="1" t="n">
        <f aca="false">IF(C233&lt;PR_PRSIend,IF(F_SelfEmp=1,IF(AL233&gt;PR_PRSIsMinInc,MAX(PR_PRSIsMin,AL233*J233),0),IF(AL233/52&lt;=PR_PRSIfree,0,MAX(0,(AL233/52*J233-IF(AL233/52&lt;=PR_PRSIcreditTo,MAX(0,PR_PRSIcreditMax-(AL233/52-(PR_PRSIfree+0.01))/PR_PRSItaper),0))*52)))+J233*AN233+IF(AO233&gt;PR_PRSIunearned,J233*AO233,0),0)</f>
        <v>0</v>
      </c>
      <c r="BQ233" s="1" t="n">
        <f aca="false">IF(AND(F_Partner=1,AG233&lt;PR_PRSIend),IF(AQ233/52&lt;=PR_PRSIfree,0,MAX(0,(AQ233/52*J233-IF(AQ233/52&lt;=PR_PRSIcreditTo,MAX(0,PR_PRSIcreditMax-(AQ233/52-(PR_PRSIfree+0.01))/PR_PRSItaper),0))*52)),0)</f>
        <v>0</v>
      </c>
      <c r="BR233" s="1" t="n">
        <f aca="false">BK233+BM233+BO233+BP233+BQ233</f>
        <v>0</v>
      </c>
      <c r="BS233" s="1" t="n">
        <f aca="false">BR233*H233</f>
        <v>0</v>
      </c>
      <c r="BT233" s="1" t="n">
        <f aca="false">K233+AK233+AC233+AF233+AH233+AI233</f>
        <v>0</v>
      </c>
    </row>
    <row r="234" customFormat="false" ht="15" hidden="false" customHeight="false" outlineLevel="0" collapsed="false">
      <c r="B234" s="1" t="n">
        <v>24</v>
      </c>
      <c r="C234" s="1" t="n">
        <f aca="false">F_Age+B234</f>
        <v>24</v>
      </c>
      <c r="D234" s="1" t="n">
        <f aca="false">AS_Year0+B234</f>
        <v>2051</v>
      </c>
      <c r="E234" s="106" t="n">
        <f aca="false">(1+AS_Infl)^B234</f>
        <v>1.60843724947523</v>
      </c>
      <c r="F234" s="106" t="n">
        <f aca="false">(1+AS_Wage)^B234</f>
        <v>2.0327941064604</v>
      </c>
      <c r="G234" s="1" t="n">
        <f aca="false">IF(C234&lt;F_R,1,0)</f>
        <v>0</v>
      </c>
      <c r="H234" s="106" t="n">
        <f aca="false">IF(AS_Bands="flat",1,E234)</f>
        <v>1.60843724947523</v>
      </c>
      <c r="I234" s="106" t="n">
        <f aca="false">IF(AS_SpGrow="pay",F234,IF(AS_SpGrow="flat",1,E234))</f>
        <v>1.60843724947523</v>
      </c>
      <c r="J234" s="106" t="n">
        <f aca="false">(12*PR_PRSIr0+(PR_PRSIr1-PR_PRSIr0)*MAX(0,MIN(12,D234*12+12-PR_PRSIt1))+(PR_PRSIr2-PR_PRSIr1)*MAX(0,MIN(12,D234*12+12-PR_PRSIt2))+(PR_PRSIr3-PR_PRSIr2)*MAX(0,MIN(12,D234*12+12-PR_PRSIt3)))/12</f>
        <v>0.047</v>
      </c>
      <c r="K234" s="1" t="n">
        <f aca="false">IF(G234=1,F_Income*F234,0)</f>
        <v>0</v>
      </c>
      <c r="L234" s="1" t="n">
        <f aca="false">IF(G234=1,(F_Own+In_penExtra)*12*F234,0)</f>
        <v>0</v>
      </c>
      <c r="M234" s="1" t="n">
        <f aca="false">IF(G234=1,(F_PenM+In_penExtra)*12*F234,0)</f>
        <v>0</v>
      </c>
      <c r="N234" s="107" t="n">
        <f aca="false">IF(C234&lt;PR_RelA1,PR_RelP1,IF(C234&lt;PR_RelA2,PR_RelP2,IF(C234&lt;PR_RelA3,PR_RelP3,IF(C234&lt;PR_RelA4,PR_RelP4,IF(C234&lt;PR_RelA5,PR_RelP5,PR_RelP6)))))</f>
        <v>0.15</v>
      </c>
      <c r="O234" s="1" t="n">
        <f aca="false">IF(G234=1,MIN(L234/H234,N234*MIN(K234/H234,PR_EarnCap))*H234,0)</f>
        <v>0</v>
      </c>
      <c r="P234" s="1" t="n">
        <f aca="false">IF(AND(G234=1,F_AE=1),MIN(K234/H234,PR_AEcap)*H234,0)</f>
        <v>0</v>
      </c>
      <c r="Q234" s="1" t="n">
        <f aca="false">IF(G234=1,IF(WI_Retire=1,MAX(0,M234+WI_M*12),M234)+(PR_AEee+PR_AEer+PR_AEst)*P234,0)</f>
        <v>0</v>
      </c>
      <c r="R234" s="1" t="n">
        <f aca="false">L234+PR_AEee*P234</f>
        <v>0</v>
      </c>
      <c r="S234" s="1" t="n">
        <f aca="false">AD233</f>
        <v>0</v>
      </c>
      <c r="T234" s="1" t="n">
        <f aca="false">IF(D234&lt;=2026,PR_SFT2026,IF(D234=2027,PR_SFT2027,IF(D234=2028,PR_SFT2028,IF(D234=2029,PR_SFT2029,PR_SFT2029*(1+AS_Infl)^(D234-2029)))))</f>
        <v>4328743.07817247</v>
      </c>
      <c r="U234" s="1" t="n">
        <f aca="false">IF(AND(G234=0,C234=F_V),1,0)</f>
        <v>0</v>
      </c>
      <c r="V234" s="1" t="n">
        <f aca="false">IF(U234=1,PR_SFTrate*MAX(0,S234-T234),0)</f>
        <v>0</v>
      </c>
      <c r="W234" s="1" t="n">
        <f aca="false">S234-V234</f>
        <v>0</v>
      </c>
      <c r="X234" s="1" t="n">
        <f aca="false">IF(AND(U234=1,AS_LumpPct&gt;0),W234*MIN(AS_LumpPct,PR_LSmax),0)</f>
        <v>0</v>
      </c>
      <c r="Y234" s="1" t="n">
        <f aca="false">X234-(PR_LSrate*MAX(0,MIN(X234,PR_LScap)-PR_LSfree)+PR_r2*MAX(0,X234-PR_LScap))</f>
        <v>0</v>
      </c>
      <c r="Z234" s="1" t="n">
        <f aca="false">W234-X234</f>
        <v>0</v>
      </c>
      <c r="AA234" s="107" t="n">
        <f aca="false">IF(C234&gt;=61,IF(Z234&gt;PR_ARFbig,PR_ARFbigRate,IF(C234&gt;=71,PR_ARF71,PR_ARF61)),0)</f>
        <v>0</v>
      </c>
      <c r="AB234" s="1" t="n">
        <f aca="false">IF(AS_DrawRule="min",Z234*AA234,IF(AS_DrawRule="fixed",MAX(AS_DrawFixed*E234,Z234*AA234),Z234*MAX(1/MAX(1,AS_End-C234+1),AA234)))</f>
        <v>0</v>
      </c>
      <c r="AC234" s="1" t="n">
        <f aca="false">IF(AND(G234=0,C234&gt;=F_V),MIN(Z234,AB234),0)</f>
        <v>0</v>
      </c>
      <c r="AD234" s="1" t="n">
        <f aca="false">IF(G234=1,S234*(1+F_PenG)+Q234,IF(C234&lt;F_V,S234*(1+F_PenG),(Z234-AC234)*(1+AS_PenRet)))</f>
        <v>0</v>
      </c>
      <c r="AE234" s="1" t="n">
        <f aca="false">IF(C234&gt;=PR_SPage,AS_SP*F_SpF*I234+IF(C234&gt;=80,PR_Over80*PR_Weeks*I234,0),0)</f>
        <v>0</v>
      </c>
      <c r="AF234" s="1" t="n">
        <f aca="false">(F_OtherM+F_RentM)*12*E234</f>
        <v>0</v>
      </c>
      <c r="AG234" s="1" t="n">
        <f aca="false">F_PAge+B234</f>
        <v>24</v>
      </c>
      <c r="AH234" s="1" t="n">
        <f aca="false">IF(AND(F_Partner=1,F_PAge&gt;0,AG234&lt;IF(F_PRet&gt;0,F_PRet,66)),F_PIncome*F234,0)</f>
        <v>0</v>
      </c>
      <c r="AI234" s="1" t="n">
        <f aca="false">IF(AND(F_Partner=1,AG234&gt;=66,F_PSpQA=0),AS_SP*F_PSpF*I234,0)</f>
        <v>0</v>
      </c>
      <c r="AJ234" s="1" t="n">
        <f aca="false">IF(AND(F_Partner=1,F_PSpQA=1,C234&gt;=PR_SPage,AH234=0),IF(AG234&gt;=66,PR_QA66,PR_QAunder)*PR_Weeks*I234,0)</f>
        <v>0</v>
      </c>
      <c r="AK234" s="1" t="n">
        <f aca="false">AE234+AJ234</f>
        <v>0</v>
      </c>
      <c r="AL234" s="1" t="n">
        <f aca="false">K234/H234</f>
        <v>0</v>
      </c>
      <c r="AM234" s="1" t="n">
        <f aca="false">AK234/H234</f>
        <v>0</v>
      </c>
      <c r="AN234" s="1" t="n">
        <f aca="false">AC234/H234</f>
        <v>0</v>
      </c>
      <c r="AO234" s="1" t="n">
        <f aca="false">AF234/H234</f>
        <v>0</v>
      </c>
      <c r="AP234" s="1" t="n">
        <f aca="false">O234/H234</f>
        <v>0</v>
      </c>
      <c r="AQ234" s="1" t="n">
        <f aca="false">AH234/H234</f>
        <v>0</v>
      </c>
      <c r="AR234" s="1" t="n">
        <f aca="false">AI234/H234</f>
        <v>0</v>
      </c>
      <c r="AS234" s="1" t="n">
        <f aca="false">MAX(0,AL234+AN234+AO234+AM234-AP234)</f>
        <v>0</v>
      </c>
      <c r="AT234" s="1" t="n">
        <f aca="false">MAX(0,AQ234+AR234)</f>
        <v>0</v>
      </c>
      <c r="AU234" s="1" t="n">
        <f aca="false">MIN(PR_PAYE,PR_PAYEcap*(AL234+AN234+AM234))</f>
        <v>0</v>
      </c>
      <c r="AV234" s="1" t="n">
        <f aca="false">MIN(PR_PAYE,PR_PAYEcap*(AQ234+AR234))</f>
        <v>0</v>
      </c>
      <c r="AW234" s="1" t="n">
        <f aca="false">IF(C234&gt;=PR_AgeCrAge,PR_AgeCr,0)</f>
        <v>0</v>
      </c>
      <c r="AX234" s="1" t="n">
        <f aca="false">IF(AG234&gt;=PR_AgeCrAge,PR_AgeCr,0)</f>
        <v>0</v>
      </c>
      <c r="AY234" s="1" t="n">
        <f aca="false">IF(AND(F_RentCred=1,D234&lt;=PR_RentLast),1,0)</f>
        <v>0</v>
      </c>
      <c r="AZ234" s="1" t="n">
        <f aca="false">AS234+AT234</f>
        <v>0</v>
      </c>
      <c r="BA234" s="1" t="n">
        <f aca="false">PR_PersonalM+AU234+AV234+AW234+AX234+IF(AY234=1,PR_RentJoint,0)</f>
        <v>4000</v>
      </c>
      <c r="BB234" s="1" t="n">
        <f aca="false">PR_BandM+MIN(MIN(AS234,AT234),PR_Uplift)</f>
        <v>53000</v>
      </c>
      <c r="BC234" s="1" t="n">
        <f aca="false">MAX(0,PR_r1*MIN(AZ234,BB234)+PR_r2*MAX(0,AZ234-BB234)-BA234)</f>
        <v>0</v>
      </c>
      <c r="BD234" s="1" t="n">
        <f aca="false">MAX(0,PR_HomeCarer-MAX(0,MIN(AS234,AT234)-PR_HCLimit)/2)</f>
        <v>1950</v>
      </c>
      <c r="BE234" s="1" t="n">
        <f aca="false">IF(F_Carer=1,MIN(BC234,MAX(0,PR_r1*MIN(AZ234,PR_BandM)+PR_r2*MAX(0,AZ234-PR_BandM)-BA234-BD234)),BC234)</f>
        <v>0</v>
      </c>
      <c r="BF234" s="1" t="n">
        <f aca="false">IF(OR(C234&gt;=PR_AgeCrAge,AG234&gt;=PR_AgeCrAge),IF(AZ234&lt;=PR_AgeExM,0,MIN(BE234,PR_AgeMarg*(AZ234-PR_AgeExM))),BE234)</f>
        <v>0</v>
      </c>
      <c r="BG234" s="1" t="n">
        <f aca="false">MAX(0,PR_r1*MIN(AS234,IF(F_Spccc=1,PR_BandSPCCC,PR_Band))+PR_r2*MAX(0,AS234-IF(F_Spccc=1,PR_BandSPCCC,PR_Band))-(PR_Personal+AU234+AW234+IF(F_Spccc=1,PR_SPCCC,0)+IF(AY234=1,PR_Rent,0)))</f>
        <v>0</v>
      </c>
      <c r="BH234" s="1" t="n">
        <f aca="false">IF(C234&gt;=PR_AgeCrAge,IF(AS234&lt;=PR_AgeEx,0,MIN(BG234,PR_AgeMarg*(AS234-PR_AgeEx))),BG234)</f>
        <v>0</v>
      </c>
      <c r="BI234" s="1" t="n">
        <f aca="false">IF(F_Partner=1,MAX(0,PR_r1*MIN(AT234,PR_Band)+PR_r2*MAX(0,AT234-PR_Band)-(PR_Personal+AV234+AX234+IF(AND(AY234=1,AT234&gt;0),PR_Rent,0))),0)</f>
        <v>0</v>
      </c>
      <c r="BJ234" s="1" t="n">
        <f aca="false">IF(AG234&gt;=PR_AgeCrAge,IF(AT234&lt;=PR_AgeEx,0,MIN(BI234,PR_AgeMarg*(AT234-PR_AgeEx))),BI234)</f>
        <v>0</v>
      </c>
      <c r="BK234" s="1" t="n">
        <f aca="false">IF(F_Partner=1,IF(F_Married=1,BF234,BH234+BJ234),BH234)</f>
        <v>0</v>
      </c>
      <c r="BL234" s="1" t="n">
        <f aca="false">AL234+AN234+AO234</f>
        <v>0</v>
      </c>
      <c r="BM234" s="1" t="n">
        <f aca="false">IF(BL234&lt;=PR_USCex,0,IF(IF(AND(C234&gt;=PR_USCredAge,BL234&lt;=PR_USCredMax),1,0)=1,PR_USCr1*MIN(BL234,PR_USCredB1)+PR_USCredR2*MAX(0,BL234-PR_USCredB1),PR_USCr1*MIN(BL234,PR_USCb1)+PR_USCr2*MAX(0,MIN(BL234,PR_USCb2)-PR_USCb1)+PR_USCr3*MAX(0,MIN(BL234,PR_USCb3)-PR_USCb2)+PR_USCr4*MAX(0,BL234-PR_USCb3)))+IF(F_SelfEmp=1,PR_USCse*MAX(0,AL234-PR_USCseOver),0)</f>
        <v>0</v>
      </c>
      <c r="BN234" s="1" t="n">
        <f aca="false">AQ234</f>
        <v>0</v>
      </c>
      <c r="BO234" s="1" t="n">
        <f aca="false">IF(F_Partner=1,IF(BN234&lt;=PR_USCex,0,IF(IF(AND(AG234&gt;=PR_USCredAge,BN234&lt;=PR_USCredMax),1,0)=1,PR_USCr1*MIN(BN234,PR_USCredB1)+PR_USCredR2*MAX(0,BN234-PR_USCredB1),PR_USCr1*MIN(BN234,PR_USCb1)+PR_USCr2*MAX(0,MIN(BN234,PR_USCb2)-PR_USCb1)+PR_USCr3*MAX(0,MIN(BN234,PR_USCb3)-PR_USCb2)+PR_USCr4*MAX(0,BN234-PR_USCb3))),0)</f>
        <v>0</v>
      </c>
      <c r="BP234" s="1" t="n">
        <f aca="false">IF(C234&lt;PR_PRSIend,IF(F_SelfEmp=1,IF(AL234&gt;PR_PRSIsMinInc,MAX(PR_PRSIsMin,AL234*J234),0),IF(AL234/52&lt;=PR_PRSIfree,0,MAX(0,(AL234/52*J234-IF(AL234/52&lt;=PR_PRSIcreditTo,MAX(0,PR_PRSIcreditMax-(AL234/52-(PR_PRSIfree+0.01))/PR_PRSItaper),0))*52)))+J234*AN234+IF(AO234&gt;PR_PRSIunearned,J234*AO234,0),0)</f>
        <v>0</v>
      </c>
      <c r="BQ234" s="1" t="n">
        <f aca="false">IF(AND(F_Partner=1,AG234&lt;PR_PRSIend),IF(AQ234/52&lt;=PR_PRSIfree,0,MAX(0,(AQ234/52*J234-IF(AQ234/52&lt;=PR_PRSIcreditTo,MAX(0,PR_PRSIcreditMax-(AQ234/52-(PR_PRSIfree+0.01))/PR_PRSItaper),0))*52)),0)</f>
        <v>0</v>
      </c>
      <c r="BR234" s="1" t="n">
        <f aca="false">BK234+BM234+BO234+BP234+BQ234</f>
        <v>0</v>
      </c>
      <c r="BS234" s="1" t="n">
        <f aca="false">BR234*H234</f>
        <v>0</v>
      </c>
      <c r="BT234" s="1" t="n">
        <f aca="false">K234+AK234+AC234+AF234+AH234+AI234</f>
        <v>0</v>
      </c>
    </row>
    <row r="235" customFormat="false" ht="15" hidden="false" customHeight="false" outlineLevel="0" collapsed="false">
      <c r="B235" s="1" t="n">
        <v>25</v>
      </c>
      <c r="C235" s="1" t="n">
        <f aca="false">F_Age+B235</f>
        <v>25</v>
      </c>
      <c r="D235" s="1" t="n">
        <f aca="false">AS_Year0+B235</f>
        <v>2052</v>
      </c>
      <c r="E235" s="106" t="n">
        <f aca="false">(1+AS_Infl)^B235</f>
        <v>1.64060599446473</v>
      </c>
      <c r="F235" s="106" t="n">
        <f aca="false">(1+AS_Wage)^B235</f>
        <v>2.09377792965422</v>
      </c>
      <c r="G235" s="1" t="n">
        <f aca="false">IF(C235&lt;F_R,1,0)</f>
        <v>0</v>
      </c>
      <c r="H235" s="106" t="n">
        <f aca="false">IF(AS_Bands="flat",1,E235)</f>
        <v>1.64060599446473</v>
      </c>
      <c r="I235" s="106" t="n">
        <f aca="false">IF(AS_SpGrow="pay",F235,IF(AS_SpGrow="flat",1,E235))</f>
        <v>1.64060599446473</v>
      </c>
      <c r="J235" s="106" t="n">
        <f aca="false">(12*PR_PRSIr0+(PR_PRSIr1-PR_PRSIr0)*MAX(0,MIN(12,D235*12+12-PR_PRSIt1))+(PR_PRSIr2-PR_PRSIr1)*MAX(0,MIN(12,D235*12+12-PR_PRSIt2))+(PR_PRSIr3-PR_PRSIr2)*MAX(0,MIN(12,D235*12+12-PR_PRSIt3)))/12</f>
        <v>0.047</v>
      </c>
      <c r="K235" s="1" t="n">
        <f aca="false">IF(G235=1,F_Income*F235,0)</f>
        <v>0</v>
      </c>
      <c r="L235" s="1" t="n">
        <f aca="false">IF(G235=1,(F_Own+In_penExtra)*12*F235,0)</f>
        <v>0</v>
      </c>
      <c r="M235" s="1" t="n">
        <f aca="false">IF(G235=1,(F_PenM+In_penExtra)*12*F235,0)</f>
        <v>0</v>
      </c>
      <c r="N235" s="107" t="n">
        <f aca="false">IF(C235&lt;PR_RelA1,PR_RelP1,IF(C235&lt;PR_RelA2,PR_RelP2,IF(C235&lt;PR_RelA3,PR_RelP3,IF(C235&lt;PR_RelA4,PR_RelP4,IF(C235&lt;PR_RelA5,PR_RelP5,PR_RelP6)))))</f>
        <v>0.15</v>
      </c>
      <c r="O235" s="1" t="n">
        <f aca="false">IF(G235=1,MIN(L235/H235,N235*MIN(K235/H235,PR_EarnCap))*H235,0)</f>
        <v>0</v>
      </c>
      <c r="P235" s="1" t="n">
        <f aca="false">IF(AND(G235=1,F_AE=1),MIN(K235/H235,PR_AEcap)*H235,0)</f>
        <v>0</v>
      </c>
      <c r="Q235" s="1" t="n">
        <f aca="false">IF(G235=1,IF(WI_Retire=1,MAX(0,M235+WI_M*12),M235)+(PR_AEee+PR_AEer+PR_AEst)*P235,0)</f>
        <v>0</v>
      </c>
      <c r="R235" s="1" t="n">
        <f aca="false">L235+PR_AEee*P235</f>
        <v>0</v>
      </c>
      <c r="S235" s="1" t="n">
        <f aca="false">AD234</f>
        <v>0</v>
      </c>
      <c r="T235" s="1" t="n">
        <f aca="false">IF(D235&lt;=2026,PR_SFT2026,IF(D235=2027,PR_SFT2027,IF(D235=2028,PR_SFT2028,IF(D235=2029,PR_SFT2029,PR_SFT2029*(1+AS_Infl)^(D235-2029)))))</f>
        <v>4415317.93973592</v>
      </c>
      <c r="U235" s="1" t="n">
        <f aca="false">IF(AND(G235=0,C235=F_V),1,0)</f>
        <v>0</v>
      </c>
      <c r="V235" s="1" t="n">
        <f aca="false">IF(U235=1,PR_SFTrate*MAX(0,S235-T235),0)</f>
        <v>0</v>
      </c>
      <c r="W235" s="1" t="n">
        <f aca="false">S235-V235</f>
        <v>0</v>
      </c>
      <c r="X235" s="1" t="n">
        <f aca="false">IF(AND(U235=1,AS_LumpPct&gt;0),W235*MIN(AS_LumpPct,PR_LSmax),0)</f>
        <v>0</v>
      </c>
      <c r="Y235" s="1" t="n">
        <f aca="false">X235-(PR_LSrate*MAX(0,MIN(X235,PR_LScap)-PR_LSfree)+PR_r2*MAX(0,X235-PR_LScap))</f>
        <v>0</v>
      </c>
      <c r="Z235" s="1" t="n">
        <f aca="false">W235-X235</f>
        <v>0</v>
      </c>
      <c r="AA235" s="107" t="n">
        <f aca="false">IF(C235&gt;=61,IF(Z235&gt;PR_ARFbig,PR_ARFbigRate,IF(C235&gt;=71,PR_ARF71,PR_ARF61)),0)</f>
        <v>0</v>
      </c>
      <c r="AB235" s="1" t="n">
        <f aca="false">IF(AS_DrawRule="min",Z235*AA235,IF(AS_DrawRule="fixed",MAX(AS_DrawFixed*E235,Z235*AA235),Z235*MAX(1/MAX(1,AS_End-C235+1),AA235)))</f>
        <v>0</v>
      </c>
      <c r="AC235" s="1" t="n">
        <f aca="false">IF(AND(G235=0,C235&gt;=F_V),MIN(Z235,AB235),0)</f>
        <v>0</v>
      </c>
      <c r="AD235" s="1" t="n">
        <f aca="false">IF(G235=1,S235*(1+F_PenG)+Q235,IF(C235&lt;F_V,S235*(1+F_PenG),(Z235-AC235)*(1+AS_PenRet)))</f>
        <v>0</v>
      </c>
      <c r="AE235" s="1" t="n">
        <f aca="false">IF(C235&gt;=PR_SPage,AS_SP*F_SpF*I235+IF(C235&gt;=80,PR_Over80*PR_Weeks*I235,0),0)</f>
        <v>0</v>
      </c>
      <c r="AF235" s="1" t="n">
        <f aca="false">(F_OtherM+F_RentM)*12*E235</f>
        <v>0</v>
      </c>
      <c r="AG235" s="1" t="n">
        <f aca="false">F_PAge+B235</f>
        <v>25</v>
      </c>
      <c r="AH235" s="1" t="n">
        <f aca="false">IF(AND(F_Partner=1,F_PAge&gt;0,AG235&lt;IF(F_PRet&gt;0,F_PRet,66)),F_PIncome*F235,0)</f>
        <v>0</v>
      </c>
      <c r="AI235" s="1" t="n">
        <f aca="false">IF(AND(F_Partner=1,AG235&gt;=66,F_PSpQA=0),AS_SP*F_PSpF*I235,0)</f>
        <v>0</v>
      </c>
      <c r="AJ235" s="1" t="n">
        <f aca="false">IF(AND(F_Partner=1,F_PSpQA=1,C235&gt;=PR_SPage,AH235=0),IF(AG235&gt;=66,PR_QA66,PR_QAunder)*PR_Weeks*I235,0)</f>
        <v>0</v>
      </c>
      <c r="AK235" s="1" t="n">
        <f aca="false">AE235+AJ235</f>
        <v>0</v>
      </c>
      <c r="AL235" s="1" t="n">
        <f aca="false">K235/H235</f>
        <v>0</v>
      </c>
      <c r="AM235" s="1" t="n">
        <f aca="false">AK235/H235</f>
        <v>0</v>
      </c>
      <c r="AN235" s="1" t="n">
        <f aca="false">AC235/H235</f>
        <v>0</v>
      </c>
      <c r="AO235" s="1" t="n">
        <f aca="false">AF235/H235</f>
        <v>0</v>
      </c>
      <c r="AP235" s="1" t="n">
        <f aca="false">O235/H235</f>
        <v>0</v>
      </c>
      <c r="AQ235" s="1" t="n">
        <f aca="false">AH235/H235</f>
        <v>0</v>
      </c>
      <c r="AR235" s="1" t="n">
        <f aca="false">AI235/H235</f>
        <v>0</v>
      </c>
      <c r="AS235" s="1" t="n">
        <f aca="false">MAX(0,AL235+AN235+AO235+AM235-AP235)</f>
        <v>0</v>
      </c>
      <c r="AT235" s="1" t="n">
        <f aca="false">MAX(0,AQ235+AR235)</f>
        <v>0</v>
      </c>
      <c r="AU235" s="1" t="n">
        <f aca="false">MIN(PR_PAYE,PR_PAYEcap*(AL235+AN235+AM235))</f>
        <v>0</v>
      </c>
      <c r="AV235" s="1" t="n">
        <f aca="false">MIN(PR_PAYE,PR_PAYEcap*(AQ235+AR235))</f>
        <v>0</v>
      </c>
      <c r="AW235" s="1" t="n">
        <f aca="false">IF(C235&gt;=PR_AgeCrAge,PR_AgeCr,0)</f>
        <v>0</v>
      </c>
      <c r="AX235" s="1" t="n">
        <f aca="false">IF(AG235&gt;=PR_AgeCrAge,PR_AgeCr,0)</f>
        <v>0</v>
      </c>
      <c r="AY235" s="1" t="n">
        <f aca="false">IF(AND(F_RentCred=1,D235&lt;=PR_RentLast),1,0)</f>
        <v>0</v>
      </c>
      <c r="AZ235" s="1" t="n">
        <f aca="false">AS235+AT235</f>
        <v>0</v>
      </c>
      <c r="BA235" s="1" t="n">
        <f aca="false">PR_PersonalM+AU235+AV235+AW235+AX235+IF(AY235=1,PR_RentJoint,0)</f>
        <v>4000</v>
      </c>
      <c r="BB235" s="1" t="n">
        <f aca="false">PR_BandM+MIN(MIN(AS235,AT235),PR_Uplift)</f>
        <v>53000</v>
      </c>
      <c r="BC235" s="1" t="n">
        <f aca="false">MAX(0,PR_r1*MIN(AZ235,BB235)+PR_r2*MAX(0,AZ235-BB235)-BA235)</f>
        <v>0</v>
      </c>
      <c r="BD235" s="1" t="n">
        <f aca="false">MAX(0,PR_HomeCarer-MAX(0,MIN(AS235,AT235)-PR_HCLimit)/2)</f>
        <v>1950</v>
      </c>
      <c r="BE235" s="1" t="n">
        <f aca="false">IF(F_Carer=1,MIN(BC235,MAX(0,PR_r1*MIN(AZ235,PR_BandM)+PR_r2*MAX(0,AZ235-PR_BandM)-BA235-BD235)),BC235)</f>
        <v>0</v>
      </c>
      <c r="BF235" s="1" t="n">
        <f aca="false">IF(OR(C235&gt;=PR_AgeCrAge,AG235&gt;=PR_AgeCrAge),IF(AZ235&lt;=PR_AgeExM,0,MIN(BE235,PR_AgeMarg*(AZ235-PR_AgeExM))),BE235)</f>
        <v>0</v>
      </c>
      <c r="BG235" s="1" t="n">
        <f aca="false">MAX(0,PR_r1*MIN(AS235,IF(F_Spccc=1,PR_BandSPCCC,PR_Band))+PR_r2*MAX(0,AS235-IF(F_Spccc=1,PR_BandSPCCC,PR_Band))-(PR_Personal+AU235+AW235+IF(F_Spccc=1,PR_SPCCC,0)+IF(AY235=1,PR_Rent,0)))</f>
        <v>0</v>
      </c>
      <c r="BH235" s="1" t="n">
        <f aca="false">IF(C235&gt;=PR_AgeCrAge,IF(AS235&lt;=PR_AgeEx,0,MIN(BG235,PR_AgeMarg*(AS235-PR_AgeEx))),BG235)</f>
        <v>0</v>
      </c>
      <c r="BI235" s="1" t="n">
        <f aca="false">IF(F_Partner=1,MAX(0,PR_r1*MIN(AT235,PR_Band)+PR_r2*MAX(0,AT235-PR_Band)-(PR_Personal+AV235+AX235+IF(AND(AY235=1,AT235&gt;0),PR_Rent,0))),0)</f>
        <v>0</v>
      </c>
      <c r="BJ235" s="1" t="n">
        <f aca="false">IF(AG235&gt;=PR_AgeCrAge,IF(AT235&lt;=PR_AgeEx,0,MIN(BI235,PR_AgeMarg*(AT235-PR_AgeEx))),BI235)</f>
        <v>0</v>
      </c>
      <c r="BK235" s="1" t="n">
        <f aca="false">IF(F_Partner=1,IF(F_Married=1,BF235,BH235+BJ235),BH235)</f>
        <v>0</v>
      </c>
      <c r="BL235" s="1" t="n">
        <f aca="false">AL235+AN235+AO235</f>
        <v>0</v>
      </c>
      <c r="BM235" s="1" t="n">
        <f aca="false">IF(BL235&lt;=PR_USCex,0,IF(IF(AND(C235&gt;=PR_USCredAge,BL235&lt;=PR_USCredMax),1,0)=1,PR_USCr1*MIN(BL235,PR_USCredB1)+PR_USCredR2*MAX(0,BL235-PR_USCredB1),PR_USCr1*MIN(BL235,PR_USCb1)+PR_USCr2*MAX(0,MIN(BL235,PR_USCb2)-PR_USCb1)+PR_USCr3*MAX(0,MIN(BL235,PR_USCb3)-PR_USCb2)+PR_USCr4*MAX(0,BL235-PR_USCb3)))+IF(F_SelfEmp=1,PR_USCse*MAX(0,AL235-PR_USCseOver),0)</f>
        <v>0</v>
      </c>
      <c r="BN235" s="1" t="n">
        <f aca="false">AQ235</f>
        <v>0</v>
      </c>
      <c r="BO235" s="1" t="n">
        <f aca="false">IF(F_Partner=1,IF(BN235&lt;=PR_USCex,0,IF(IF(AND(AG235&gt;=PR_USCredAge,BN235&lt;=PR_USCredMax),1,0)=1,PR_USCr1*MIN(BN235,PR_USCredB1)+PR_USCredR2*MAX(0,BN235-PR_USCredB1),PR_USCr1*MIN(BN235,PR_USCb1)+PR_USCr2*MAX(0,MIN(BN235,PR_USCb2)-PR_USCb1)+PR_USCr3*MAX(0,MIN(BN235,PR_USCb3)-PR_USCb2)+PR_USCr4*MAX(0,BN235-PR_USCb3))),0)</f>
        <v>0</v>
      </c>
      <c r="BP235" s="1" t="n">
        <f aca="false">IF(C235&lt;PR_PRSIend,IF(F_SelfEmp=1,IF(AL235&gt;PR_PRSIsMinInc,MAX(PR_PRSIsMin,AL235*J235),0),IF(AL235/52&lt;=PR_PRSIfree,0,MAX(0,(AL235/52*J235-IF(AL235/52&lt;=PR_PRSIcreditTo,MAX(0,PR_PRSIcreditMax-(AL235/52-(PR_PRSIfree+0.01))/PR_PRSItaper),0))*52)))+J235*AN235+IF(AO235&gt;PR_PRSIunearned,J235*AO235,0),0)</f>
        <v>0</v>
      </c>
      <c r="BQ235" s="1" t="n">
        <f aca="false">IF(AND(F_Partner=1,AG235&lt;PR_PRSIend),IF(AQ235/52&lt;=PR_PRSIfree,0,MAX(0,(AQ235/52*J235-IF(AQ235/52&lt;=PR_PRSIcreditTo,MAX(0,PR_PRSIcreditMax-(AQ235/52-(PR_PRSIfree+0.01))/PR_PRSItaper),0))*52)),0)</f>
        <v>0</v>
      </c>
      <c r="BR235" s="1" t="n">
        <f aca="false">BK235+BM235+BO235+BP235+BQ235</f>
        <v>0</v>
      </c>
      <c r="BS235" s="1" t="n">
        <f aca="false">BR235*H235</f>
        <v>0</v>
      </c>
      <c r="BT235" s="1" t="n">
        <f aca="false">K235+AK235+AC235+AF235+AH235+AI235</f>
        <v>0</v>
      </c>
    </row>
    <row r="236" customFormat="false" ht="15" hidden="false" customHeight="false" outlineLevel="0" collapsed="false">
      <c r="B236" s="1" t="n">
        <v>26</v>
      </c>
      <c r="C236" s="1" t="n">
        <f aca="false">F_Age+B236</f>
        <v>26</v>
      </c>
      <c r="D236" s="1" t="n">
        <f aca="false">AS_Year0+B236</f>
        <v>2053</v>
      </c>
      <c r="E236" s="106" t="n">
        <f aca="false">(1+AS_Infl)^B236</f>
        <v>1.67341811435403</v>
      </c>
      <c r="F236" s="106" t="n">
        <f aca="false">(1+AS_Wage)^B236</f>
        <v>2.15659126754384</v>
      </c>
      <c r="G236" s="1" t="n">
        <f aca="false">IF(C236&lt;F_R,1,0)</f>
        <v>0</v>
      </c>
      <c r="H236" s="106" t="n">
        <f aca="false">IF(AS_Bands="flat",1,E236)</f>
        <v>1.67341811435403</v>
      </c>
      <c r="I236" s="106" t="n">
        <f aca="false">IF(AS_SpGrow="pay",F236,IF(AS_SpGrow="flat",1,E236))</f>
        <v>1.67341811435403</v>
      </c>
      <c r="J236" s="106" t="n">
        <f aca="false">(12*PR_PRSIr0+(PR_PRSIr1-PR_PRSIr0)*MAX(0,MIN(12,D236*12+12-PR_PRSIt1))+(PR_PRSIr2-PR_PRSIr1)*MAX(0,MIN(12,D236*12+12-PR_PRSIt2))+(PR_PRSIr3-PR_PRSIr2)*MAX(0,MIN(12,D236*12+12-PR_PRSIt3)))/12</f>
        <v>0.047</v>
      </c>
      <c r="K236" s="1" t="n">
        <f aca="false">IF(G236=1,F_Income*F236,0)</f>
        <v>0</v>
      </c>
      <c r="L236" s="1" t="n">
        <f aca="false">IF(G236=1,(F_Own+In_penExtra)*12*F236,0)</f>
        <v>0</v>
      </c>
      <c r="M236" s="1" t="n">
        <f aca="false">IF(G236=1,(F_PenM+In_penExtra)*12*F236,0)</f>
        <v>0</v>
      </c>
      <c r="N236" s="107" t="n">
        <f aca="false">IF(C236&lt;PR_RelA1,PR_RelP1,IF(C236&lt;PR_RelA2,PR_RelP2,IF(C236&lt;PR_RelA3,PR_RelP3,IF(C236&lt;PR_RelA4,PR_RelP4,IF(C236&lt;PR_RelA5,PR_RelP5,PR_RelP6)))))</f>
        <v>0.15</v>
      </c>
      <c r="O236" s="1" t="n">
        <f aca="false">IF(G236=1,MIN(L236/H236,N236*MIN(K236/H236,PR_EarnCap))*H236,0)</f>
        <v>0</v>
      </c>
      <c r="P236" s="1" t="n">
        <f aca="false">IF(AND(G236=1,F_AE=1),MIN(K236/H236,PR_AEcap)*H236,0)</f>
        <v>0</v>
      </c>
      <c r="Q236" s="1" t="n">
        <f aca="false">IF(G236=1,IF(WI_Retire=1,MAX(0,M236+WI_M*12),M236)+(PR_AEee+PR_AEer+PR_AEst)*P236,0)</f>
        <v>0</v>
      </c>
      <c r="R236" s="1" t="n">
        <f aca="false">L236+PR_AEee*P236</f>
        <v>0</v>
      </c>
      <c r="S236" s="1" t="n">
        <f aca="false">AD235</f>
        <v>0</v>
      </c>
      <c r="T236" s="1" t="n">
        <f aca="false">IF(D236&lt;=2026,PR_SFT2026,IF(D236=2027,PR_SFT2027,IF(D236=2028,PR_SFT2028,IF(D236=2029,PR_SFT2029,PR_SFT2029*(1+AS_Infl)^(D236-2029)))))</f>
        <v>4503624.29853063</v>
      </c>
      <c r="U236" s="1" t="n">
        <f aca="false">IF(AND(G236=0,C236=F_V),1,0)</f>
        <v>0</v>
      </c>
      <c r="V236" s="1" t="n">
        <f aca="false">IF(U236=1,PR_SFTrate*MAX(0,S236-T236),0)</f>
        <v>0</v>
      </c>
      <c r="W236" s="1" t="n">
        <f aca="false">S236-V236</f>
        <v>0</v>
      </c>
      <c r="X236" s="1" t="n">
        <f aca="false">IF(AND(U236=1,AS_LumpPct&gt;0),W236*MIN(AS_LumpPct,PR_LSmax),0)</f>
        <v>0</v>
      </c>
      <c r="Y236" s="1" t="n">
        <f aca="false">X236-(PR_LSrate*MAX(0,MIN(X236,PR_LScap)-PR_LSfree)+PR_r2*MAX(0,X236-PR_LScap))</f>
        <v>0</v>
      </c>
      <c r="Z236" s="1" t="n">
        <f aca="false">W236-X236</f>
        <v>0</v>
      </c>
      <c r="AA236" s="107" t="n">
        <f aca="false">IF(C236&gt;=61,IF(Z236&gt;PR_ARFbig,PR_ARFbigRate,IF(C236&gt;=71,PR_ARF71,PR_ARF61)),0)</f>
        <v>0</v>
      </c>
      <c r="AB236" s="1" t="n">
        <f aca="false">IF(AS_DrawRule="min",Z236*AA236,IF(AS_DrawRule="fixed",MAX(AS_DrawFixed*E236,Z236*AA236),Z236*MAX(1/MAX(1,AS_End-C236+1),AA236)))</f>
        <v>0</v>
      </c>
      <c r="AC236" s="1" t="n">
        <f aca="false">IF(AND(G236=0,C236&gt;=F_V),MIN(Z236,AB236),0)</f>
        <v>0</v>
      </c>
      <c r="AD236" s="1" t="n">
        <f aca="false">IF(G236=1,S236*(1+F_PenG)+Q236,IF(C236&lt;F_V,S236*(1+F_PenG),(Z236-AC236)*(1+AS_PenRet)))</f>
        <v>0</v>
      </c>
      <c r="AE236" s="1" t="n">
        <f aca="false">IF(C236&gt;=PR_SPage,AS_SP*F_SpF*I236+IF(C236&gt;=80,PR_Over80*PR_Weeks*I236,0),0)</f>
        <v>0</v>
      </c>
      <c r="AF236" s="1" t="n">
        <f aca="false">(F_OtherM+F_RentM)*12*E236</f>
        <v>0</v>
      </c>
      <c r="AG236" s="1" t="n">
        <f aca="false">F_PAge+B236</f>
        <v>26</v>
      </c>
      <c r="AH236" s="1" t="n">
        <f aca="false">IF(AND(F_Partner=1,F_PAge&gt;0,AG236&lt;IF(F_PRet&gt;0,F_PRet,66)),F_PIncome*F236,0)</f>
        <v>0</v>
      </c>
      <c r="AI236" s="1" t="n">
        <f aca="false">IF(AND(F_Partner=1,AG236&gt;=66,F_PSpQA=0),AS_SP*F_PSpF*I236,0)</f>
        <v>0</v>
      </c>
      <c r="AJ236" s="1" t="n">
        <f aca="false">IF(AND(F_Partner=1,F_PSpQA=1,C236&gt;=PR_SPage,AH236=0),IF(AG236&gt;=66,PR_QA66,PR_QAunder)*PR_Weeks*I236,0)</f>
        <v>0</v>
      </c>
      <c r="AK236" s="1" t="n">
        <f aca="false">AE236+AJ236</f>
        <v>0</v>
      </c>
      <c r="AL236" s="1" t="n">
        <f aca="false">K236/H236</f>
        <v>0</v>
      </c>
      <c r="AM236" s="1" t="n">
        <f aca="false">AK236/H236</f>
        <v>0</v>
      </c>
      <c r="AN236" s="1" t="n">
        <f aca="false">AC236/H236</f>
        <v>0</v>
      </c>
      <c r="AO236" s="1" t="n">
        <f aca="false">AF236/H236</f>
        <v>0</v>
      </c>
      <c r="AP236" s="1" t="n">
        <f aca="false">O236/H236</f>
        <v>0</v>
      </c>
      <c r="AQ236" s="1" t="n">
        <f aca="false">AH236/H236</f>
        <v>0</v>
      </c>
      <c r="AR236" s="1" t="n">
        <f aca="false">AI236/H236</f>
        <v>0</v>
      </c>
      <c r="AS236" s="1" t="n">
        <f aca="false">MAX(0,AL236+AN236+AO236+AM236-AP236)</f>
        <v>0</v>
      </c>
      <c r="AT236" s="1" t="n">
        <f aca="false">MAX(0,AQ236+AR236)</f>
        <v>0</v>
      </c>
      <c r="AU236" s="1" t="n">
        <f aca="false">MIN(PR_PAYE,PR_PAYEcap*(AL236+AN236+AM236))</f>
        <v>0</v>
      </c>
      <c r="AV236" s="1" t="n">
        <f aca="false">MIN(PR_PAYE,PR_PAYEcap*(AQ236+AR236))</f>
        <v>0</v>
      </c>
      <c r="AW236" s="1" t="n">
        <f aca="false">IF(C236&gt;=PR_AgeCrAge,PR_AgeCr,0)</f>
        <v>0</v>
      </c>
      <c r="AX236" s="1" t="n">
        <f aca="false">IF(AG236&gt;=PR_AgeCrAge,PR_AgeCr,0)</f>
        <v>0</v>
      </c>
      <c r="AY236" s="1" t="n">
        <f aca="false">IF(AND(F_RentCred=1,D236&lt;=PR_RentLast),1,0)</f>
        <v>0</v>
      </c>
      <c r="AZ236" s="1" t="n">
        <f aca="false">AS236+AT236</f>
        <v>0</v>
      </c>
      <c r="BA236" s="1" t="n">
        <f aca="false">PR_PersonalM+AU236+AV236+AW236+AX236+IF(AY236=1,PR_RentJoint,0)</f>
        <v>4000</v>
      </c>
      <c r="BB236" s="1" t="n">
        <f aca="false">PR_BandM+MIN(MIN(AS236,AT236),PR_Uplift)</f>
        <v>53000</v>
      </c>
      <c r="BC236" s="1" t="n">
        <f aca="false">MAX(0,PR_r1*MIN(AZ236,BB236)+PR_r2*MAX(0,AZ236-BB236)-BA236)</f>
        <v>0</v>
      </c>
      <c r="BD236" s="1" t="n">
        <f aca="false">MAX(0,PR_HomeCarer-MAX(0,MIN(AS236,AT236)-PR_HCLimit)/2)</f>
        <v>1950</v>
      </c>
      <c r="BE236" s="1" t="n">
        <f aca="false">IF(F_Carer=1,MIN(BC236,MAX(0,PR_r1*MIN(AZ236,PR_BandM)+PR_r2*MAX(0,AZ236-PR_BandM)-BA236-BD236)),BC236)</f>
        <v>0</v>
      </c>
      <c r="BF236" s="1" t="n">
        <f aca="false">IF(OR(C236&gt;=PR_AgeCrAge,AG236&gt;=PR_AgeCrAge),IF(AZ236&lt;=PR_AgeExM,0,MIN(BE236,PR_AgeMarg*(AZ236-PR_AgeExM))),BE236)</f>
        <v>0</v>
      </c>
      <c r="BG236" s="1" t="n">
        <f aca="false">MAX(0,PR_r1*MIN(AS236,IF(F_Spccc=1,PR_BandSPCCC,PR_Band))+PR_r2*MAX(0,AS236-IF(F_Spccc=1,PR_BandSPCCC,PR_Band))-(PR_Personal+AU236+AW236+IF(F_Spccc=1,PR_SPCCC,0)+IF(AY236=1,PR_Rent,0)))</f>
        <v>0</v>
      </c>
      <c r="BH236" s="1" t="n">
        <f aca="false">IF(C236&gt;=PR_AgeCrAge,IF(AS236&lt;=PR_AgeEx,0,MIN(BG236,PR_AgeMarg*(AS236-PR_AgeEx))),BG236)</f>
        <v>0</v>
      </c>
      <c r="BI236" s="1" t="n">
        <f aca="false">IF(F_Partner=1,MAX(0,PR_r1*MIN(AT236,PR_Band)+PR_r2*MAX(0,AT236-PR_Band)-(PR_Personal+AV236+AX236+IF(AND(AY236=1,AT236&gt;0),PR_Rent,0))),0)</f>
        <v>0</v>
      </c>
      <c r="BJ236" s="1" t="n">
        <f aca="false">IF(AG236&gt;=PR_AgeCrAge,IF(AT236&lt;=PR_AgeEx,0,MIN(BI236,PR_AgeMarg*(AT236-PR_AgeEx))),BI236)</f>
        <v>0</v>
      </c>
      <c r="BK236" s="1" t="n">
        <f aca="false">IF(F_Partner=1,IF(F_Married=1,BF236,BH236+BJ236),BH236)</f>
        <v>0</v>
      </c>
      <c r="BL236" s="1" t="n">
        <f aca="false">AL236+AN236+AO236</f>
        <v>0</v>
      </c>
      <c r="BM236" s="1" t="n">
        <f aca="false">IF(BL236&lt;=PR_USCex,0,IF(IF(AND(C236&gt;=PR_USCredAge,BL236&lt;=PR_USCredMax),1,0)=1,PR_USCr1*MIN(BL236,PR_USCredB1)+PR_USCredR2*MAX(0,BL236-PR_USCredB1),PR_USCr1*MIN(BL236,PR_USCb1)+PR_USCr2*MAX(0,MIN(BL236,PR_USCb2)-PR_USCb1)+PR_USCr3*MAX(0,MIN(BL236,PR_USCb3)-PR_USCb2)+PR_USCr4*MAX(0,BL236-PR_USCb3)))+IF(F_SelfEmp=1,PR_USCse*MAX(0,AL236-PR_USCseOver),0)</f>
        <v>0</v>
      </c>
      <c r="BN236" s="1" t="n">
        <f aca="false">AQ236</f>
        <v>0</v>
      </c>
      <c r="BO236" s="1" t="n">
        <f aca="false">IF(F_Partner=1,IF(BN236&lt;=PR_USCex,0,IF(IF(AND(AG236&gt;=PR_USCredAge,BN236&lt;=PR_USCredMax),1,0)=1,PR_USCr1*MIN(BN236,PR_USCredB1)+PR_USCredR2*MAX(0,BN236-PR_USCredB1),PR_USCr1*MIN(BN236,PR_USCb1)+PR_USCr2*MAX(0,MIN(BN236,PR_USCb2)-PR_USCb1)+PR_USCr3*MAX(0,MIN(BN236,PR_USCb3)-PR_USCb2)+PR_USCr4*MAX(0,BN236-PR_USCb3))),0)</f>
        <v>0</v>
      </c>
      <c r="BP236" s="1" t="n">
        <f aca="false">IF(C236&lt;PR_PRSIend,IF(F_SelfEmp=1,IF(AL236&gt;PR_PRSIsMinInc,MAX(PR_PRSIsMin,AL236*J236),0),IF(AL236/52&lt;=PR_PRSIfree,0,MAX(0,(AL236/52*J236-IF(AL236/52&lt;=PR_PRSIcreditTo,MAX(0,PR_PRSIcreditMax-(AL236/52-(PR_PRSIfree+0.01))/PR_PRSItaper),0))*52)))+J236*AN236+IF(AO236&gt;PR_PRSIunearned,J236*AO236,0),0)</f>
        <v>0</v>
      </c>
      <c r="BQ236" s="1" t="n">
        <f aca="false">IF(AND(F_Partner=1,AG236&lt;PR_PRSIend),IF(AQ236/52&lt;=PR_PRSIfree,0,MAX(0,(AQ236/52*J236-IF(AQ236/52&lt;=PR_PRSIcreditTo,MAX(0,PR_PRSIcreditMax-(AQ236/52-(PR_PRSIfree+0.01))/PR_PRSItaper),0))*52)),0)</f>
        <v>0</v>
      </c>
      <c r="BR236" s="1" t="n">
        <f aca="false">BK236+BM236+BO236+BP236+BQ236</f>
        <v>0</v>
      </c>
      <c r="BS236" s="1" t="n">
        <f aca="false">BR236*H236</f>
        <v>0</v>
      </c>
      <c r="BT236" s="1" t="n">
        <f aca="false">K236+AK236+AC236+AF236+AH236+AI236</f>
        <v>0</v>
      </c>
    </row>
    <row r="237" customFormat="false" ht="15" hidden="false" customHeight="false" outlineLevel="0" collapsed="false">
      <c r="B237" s="1" t="n">
        <v>27</v>
      </c>
      <c r="C237" s="1" t="n">
        <f aca="false">F_Age+B237</f>
        <v>27</v>
      </c>
      <c r="D237" s="1" t="n">
        <f aca="false">AS_Year0+B237</f>
        <v>2054</v>
      </c>
      <c r="E237" s="106" t="n">
        <f aca="false">(1+AS_Infl)^B237</f>
        <v>1.70688647664111</v>
      </c>
      <c r="F237" s="106" t="n">
        <f aca="false">(1+AS_Wage)^B237</f>
        <v>2.22128900557016</v>
      </c>
      <c r="G237" s="1" t="n">
        <f aca="false">IF(C237&lt;F_R,1,0)</f>
        <v>0</v>
      </c>
      <c r="H237" s="106" t="n">
        <f aca="false">IF(AS_Bands="flat",1,E237)</f>
        <v>1.70688647664111</v>
      </c>
      <c r="I237" s="106" t="n">
        <f aca="false">IF(AS_SpGrow="pay",F237,IF(AS_SpGrow="flat",1,E237))</f>
        <v>1.70688647664111</v>
      </c>
      <c r="J237" s="106" t="n">
        <f aca="false">(12*PR_PRSIr0+(PR_PRSIr1-PR_PRSIr0)*MAX(0,MIN(12,D237*12+12-PR_PRSIt1))+(PR_PRSIr2-PR_PRSIr1)*MAX(0,MIN(12,D237*12+12-PR_PRSIt2))+(PR_PRSIr3-PR_PRSIr2)*MAX(0,MIN(12,D237*12+12-PR_PRSIt3)))/12</f>
        <v>0.047</v>
      </c>
      <c r="K237" s="1" t="n">
        <f aca="false">IF(G237=1,F_Income*F237,0)</f>
        <v>0</v>
      </c>
      <c r="L237" s="1" t="n">
        <f aca="false">IF(G237=1,(F_Own+In_penExtra)*12*F237,0)</f>
        <v>0</v>
      </c>
      <c r="M237" s="1" t="n">
        <f aca="false">IF(G237=1,(F_PenM+In_penExtra)*12*F237,0)</f>
        <v>0</v>
      </c>
      <c r="N237" s="107" t="n">
        <f aca="false">IF(C237&lt;PR_RelA1,PR_RelP1,IF(C237&lt;PR_RelA2,PR_RelP2,IF(C237&lt;PR_RelA3,PR_RelP3,IF(C237&lt;PR_RelA4,PR_RelP4,IF(C237&lt;PR_RelA5,PR_RelP5,PR_RelP6)))))</f>
        <v>0.15</v>
      </c>
      <c r="O237" s="1" t="n">
        <f aca="false">IF(G237=1,MIN(L237/H237,N237*MIN(K237/H237,PR_EarnCap))*H237,0)</f>
        <v>0</v>
      </c>
      <c r="P237" s="1" t="n">
        <f aca="false">IF(AND(G237=1,F_AE=1),MIN(K237/H237,PR_AEcap)*H237,0)</f>
        <v>0</v>
      </c>
      <c r="Q237" s="1" t="n">
        <f aca="false">IF(G237=1,IF(WI_Retire=1,MAX(0,M237+WI_M*12),M237)+(PR_AEee+PR_AEer+PR_AEst)*P237,0)</f>
        <v>0</v>
      </c>
      <c r="R237" s="1" t="n">
        <f aca="false">L237+PR_AEee*P237</f>
        <v>0</v>
      </c>
      <c r="S237" s="1" t="n">
        <f aca="false">AD236</f>
        <v>0</v>
      </c>
      <c r="T237" s="1" t="n">
        <f aca="false">IF(D237&lt;=2026,PR_SFT2026,IF(D237=2027,PR_SFT2027,IF(D237=2028,PR_SFT2028,IF(D237=2029,PR_SFT2029,PR_SFT2029*(1+AS_Infl)^(D237-2029)))))</f>
        <v>4593696.78450125</v>
      </c>
      <c r="U237" s="1" t="n">
        <f aca="false">IF(AND(G237=0,C237=F_V),1,0)</f>
        <v>0</v>
      </c>
      <c r="V237" s="1" t="n">
        <f aca="false">IF(U237=1,PR_SFTrate*MAX(0,S237-T237),0)</f>
        <v>0</v>
      </c>
      <c r="W237" s="1" t="n">
        <f aca="false">S237-V237</f>
        <v>0</v>
      </c>
      <c r="X237" s="1" t="n">
        <f aca="false">IF(AND(U237=1,AS_LumpPct&gt;0),W237*MIN(AS_LumpPct,PR_LSmax),0)</f>
        <v>0</v>
      </c>
      <c r="Y237" s="1" t="n">
        <f aca="false">X237-(PR_LSrate*MAX(0,MIN(X237,PR_LScap)-PR_LSfree)+PR_r2*MAX(0,X237-PR_LScap))</f>
        <v>0</v>
      </c>
      <c r="Z237" s="1" t="n">
        <f aca="false">W237-X237</f>
        <v>0</v>
      </c>
      <c r="AA237" s="107" t="n">
        <f aca="false">IF(C237&gt;=61,IF(Z237&gt;PR_ARFbig,PR_ARFbigRate,IF(C237&gt;=71,PR_ARF71,PR_ARF61)),0)</f>
        <v>0</v>
      </c>
      <c r="AB237" s="1" t="n">
        <f aca="false">IF(AS_DrawRule="min",Z237*AA237,IF(AS_DrawRule="fixed",MAX(AS_DrawFixed*E237,Z237*AA237),Z237*MAX(1/MAX(1,AS_End-C237+1),AA237)))</f>
        <v>0</v>
      </c>
      <c r="AC237" s="1" t="n">
        <f aca="false">IF(AND(G237=0,C237&gt;=F_V),MIN(Z237,AB237),0)</f>
        <v>0</v>
      </c>
      <c r="AD237" s="1" t="n">
        <f aca="false">IF(G237=1,S237*(1+F_PenG)+Q237,IF(C237&lt;F_V,S237*(1+F_PenG),(Z237-AC237)*(1+AS_PenRet)))</f>
        <v>0</v>
      </c>
      <c r="AE237" s="1" t="n">
        <f aca="false">IF(C237&gt;=PR_SPage,AS_SP*F_SpF*I237+IF(C237&gt;=80,PR_Over80*PR_Weeks*I237,0),0)</f>
        <v>0</v>
      </c>
      <c r="AF237" s="1" t="n">
        <f aca="false">(F_OtherM+F_RentM)*12*E237</f>
        <v>0</v>
      </c>
      <c r="AG237" s="1" t="n">
        <f aca="false">F_PAge+B237</f>
        <v>27</v>
      </c>
      <c r="AH237" s="1" t="n">
        <f aca="false">IF(AND(F_Partner=1,F_PAge&gt;0,AG237&lt;IF(F_PRet&gt;0,F_PRet,66)),F_PIncome*F237,0)</f>
        <v>0</v>
      </c>
      <c r="AI237" s="1" t="n">
        <f aca="false">IF(AND(F_Partner=1,AG237&gt;=66,F_PSpQA=0),AS_SP*F_PSpF*I237,0)</f>
        <v>0</v>
      </c>
      <c r="AJ237" s="1" t="n">
        <f aca="false">IF(AND(F_Partner=1,F_PSpQA=1,C237&gt;=PR_SPage,AH237=0),IF(AG237&gt;=66,PR_QA66,PR_QAunder)*PR_Weeks*I237,0)</f>
        <v>0</v>
      </c>
      <c r="AK237" s="1" t="n">
        <f aca="false">AE237+AJ237</f>
        <v>0</v>
      </c>
      <c r="AL237" s="1" t="n">
        <f aca="false">K237/H237</f>
        <v>0</v>
      </c>
      <c r="AM237" s="1" t="n">
        <f aca="false">AK237/H237</f>
        <v>0</v>
      </c>
      <c r="AN237" s="1" t="n">
        <f aca="false">AC237/H237</f>
        <v>0</v>
      </c>
      <c r="AO237" s="1" t="n">
        <f aca="false">AF237/H237</f>
        <v>0</v>
      </c>
      <c r="AP237" s="1" t="n">
        <f aca="false">O237/H237</f>
        <v>0</v>
      </c>
      <c r="AQ237" s="1" t="n">
        <f aca="false">AH237/H237</f>
        <v>0</v>
      </c>
      <c r="AR237" s="1" t="n">
        <f aca="false">AI237/H237</f>
        <v>0</v>
      </c>
      <c r="AS237" s="1" t="n">
        <f aca="false">MAX(0,AL237+AN237+AO237+AM237-AP237)</f>
        <v>0</v>
      </c>
      <c r="AT237" s="1" t="n">
        <f aca="false">MAX(0,AQ237+AR237)</f>
        <v>0</v>
      </c>
      <c r="AU237" s="1" t="n">
        <f aca="false">MIN(PR_PAYE,PR_PAYEcap*(AL237+AN237+AM237))</f>
        <v>0</v>
      </c>
      <c r="AV237" s="1" t="n">
        <f aca="false">MIN(PR_PAYE,PR_PAYEcap*(AQ237+AR237))</f>
        <v>0</v>
      </c>
      <c r="AW237" s="1" t="n">
        <f aca="false">IF(C237&gt;=PR_AgeCrAge,PR_AgeCr,0)</f>
        <v>0</v>
      </c>
      <c r="AX237" s="1" t="n">
        <f aca="false">IF(AG237&gt;=PR_AgeCrAge,PR_AgeCr,0)</f>
        <v>0</v>
      </c>
      <c r="AY237" s="1" t="n">
        <f aca="false">IF(AND(F_RentCred=1,D237&lt;=PR_RentLast),1,0)</f>
        <v>0</v>
      </c>
      <c r="AZ237" s="1" t="n">
        <f aca="false">AS237+AT237</f>
        <v>0</v>
      </c>
      <c r="BA237" s="1" t="n">
        <f aca="false">PR_PersonalM+AU237+AV237+AW237+AX237+IF(AY237=1,PR_RentJoint,0)</f>
        <v>4000</v>
      </c>
      <c r="BB237" s="1" t="n">
        <f aca="false">PR_BandM+MIN(MIN(AS237,AT237),PR_Uplift)</f>
        <v>53000</v>
      </c>
      <c r="BC237" s="1" t="n">
        <f aca="false">MAX(0,PR_r1*MIN(AZ237,BB237)+PR_r2*MAX(0,AZ237-BB237)-BA237)</f>
        <v>0</v>
      </c>
      <c r="BD237" s="1" t="n">
        <f aca="false">MAX(0,PR_HomeCarer-MAX(0,MIN(AS237,AT237)-PR_HCLimit)/2)</f>
        <v>1950</v>
      </c>
      <c r="BE237" s="1" t="n">
        <f aca="false">IF(F_Carer=1,MIN(BC237,MAX(0,PR_r1*MIN(AZ237,PR_BandM)+PR_r2*MAX(0,AZ237-PR_BandM)-BA237-BD237)),BC237)</f>
        <v>0</v>
      </c>
      <c r="BF237" s="1" t="n">
        <f aca="false">IF(OR(C237&gt;=PR_AgeCrAge,AG237&gt;=PR_AgeCrAge),IF(AZ237&lt;=PR_AgeExM,0,MIN(BE237,PR_AgeMarg*(AZ237-PR_AgeExM))),BE237)</f>
        <v>0</v>
      </c>
      <c r="BG237" s="1" t="n">
        <f aca="false">MAX(0,PR_r1*MIN(AS237,IF(F_Spccc=1,PR_BandSPCCC,PR_Band))+PR_r2*MAX(0,AS237-IF(F_Spccc=1,PR_BandSPCCC,PR_Band))-(PR_Personal+AU237+AW237+IF(F_Spccc=1,PR_SPCCC,0)+IF(AY237=1,PR_Rent,0)))</f>
        <v>0</v>
      </c>
      <c r="BH237" s="1" t="n">
        <f aca="false">IF(C237&gt;=PR_AgeCrAge,IF(AS237&lt;=PR_AgeEx,0,MIN(BG237,PR_AgeMarg*(AS237-PR_AgeEx))),BG237)</f>
        <v>0</v>
      </c>
      <c r="BI237" s="1" t="n">
        <f aca="false">IF(F_Partner=1,MAX(0,PR_r1*MIN(AT237,PR_Band)+PR_r2*MAX(0,AT237-PR_Band)-(PR_Personal+AV237+AX237+IF(AND(AY237=1,AT237&gt;0),PR_Rent,0))),0)</f>
        <v>0</v>
      </c>
      <c r="BJ237" s="1" t="n">
        <f aca="false">IF(AG237&gt;=PR_AgeCrAge,IF(AT237&lt;=PR_AgeEx,0,MIN(BI237,PR_AgeMarg*(AT237-PR_AgeEx))),BI237)</f>
        <v>0</v>
      </c>
      <c r="BK237" s="1" t="n">
        <f aca="false">IF(F_Partner=1,IF(F_Married=1,BF237,BH237+BJ237),BH237)</f>
        <v>0</v>
      </c>
      <c r="BL237" s="1" t="n">
        <f aca="false">AL237+AN237+AO237</f>
        <v>0</v>
      </c>
      <c r="BM237" s="1" t="n">
        <f aca="false">IF(BL237&lt;=PR_USCex,0,IF(IF(AND(C237&gt;=PR_USCredAge,BL237&lt;=PR_USCredMax),1,0)=1,PR_USCr1*MIN(BL237,PR_USCredB1)+PR_USCredR2*MAX(0,BL237-PR_USCredB1),PR_USCr1*MIN(BL237,PR_USCb1)+PR_USCr2*MAX(0,MIN(BL237,PR_USCb2)-PR_USCb1)+PR_USCr3*MAX(0,MIN(BL237,PR_USCb3)-PR_USCb2)+PR_USCr4*MAX(0,BL237-PR_USCb3)))+IF(F_SelfEmp=1,PR_USCse*MAX(0,AL237-PR_USCseOver),0)</f>
        <v>0</v>
      </c>
      <c r="BN237" s="1" t="n">
        <f aca="false">AQ237</f>
        <v>0</v>
      </c>
      <c r="BO237" s="1" t="n">
        <f aca="false">IF(F_Partner=1,IF(BN237&lt;=PR_USCex,0,IF(IF(AND(AG237&gt;=PR_USCredAge,BN237&lt;=PR_USCredMax),1,0)=1,PR_USCr1*MIN(BN237,PR_USCredB1)+PR_USCredR2*MAX(0,BN237-PR_USCredB1),PR_USCr1*MIN(BN237,PR_USCb1)+PR_USCr2*MAX(0,MIN(BN237,PR_USCb2)-PR_USCb1)+PR_USCr3*MAX(0,MIN(BN237,PR_USCb3)-PR_USCb2)+PR_USCr4*MAX(0,BN237-PR_USCb3))),0)</f>
        <v>0</v>
      </c>
      <c r="BP237" s="1" t="n">
        <f aca="false">IF(C237&lt;PR_PRSIend,IF(F_SelfEmp=1,IF(AL237&gt;PR_PRSIsMinInc,MAX(PR_PRSIsMin,AL237*J237),0),IF(AL237/52&lt;=PR_PRSIfree,0,MAX(0,(AL237/52*J237-IF(AL237/52&lt;=PR_PRSIcreditTo,MAX(0,PR_PRSIcreditMax-(AL237/52-(PR_PRSIfree+0.01))/PR_PRSItaper),0))*52)))+J237*AN237+IF(AO237&gt;PR_PRSIunearned,J237*AO237,0),0)</f>
        <v>0</v>
      </c>
      <c r="BQ237" s="1" t="n">
        <f aca="false">IF(AND(F_Partner=1,AG237&lt;PR_PRSIend),IF(AQ237/52&lt;=PR_PRSIfree,0,MAX(0,(AQ237/52*J237-IF(AQ237/52&lt;=PR_PRSIcreditTo,MAX(0,PR_PRSIcreditMax-(AQ237/52-(PR_PRSIfree+0.01))/PR_PRSItaper),0))*52)),0)</f>
        <v>0</v>
      </c>
      <c r="BR237" s="1" t="n">
        <f aca="false">BK237+BM237+BO237+BP237+BQ237</f>
        <v>0</v>
      </c>
      <c r="BS237" s="1" t="n">
        <f aca="false">BR237*H237</f>
        <v>0</v>
      </c>
      <c r="BT237" s="1" t="n">
        <f aca="false">K237+AK237+AC237+AF237+AH237+AI237</f>
        <v>0</v>
      </c>
    </row>
    <row r="238" customFormat="false" ht="15" hidden="false" customHeight="false" outlineLevel="0" collapsed="false">
      <c r="B238" s="1" t="n">
        <v>28</v>
      </c>
      <c r="C238" s="1" t="n">
        <f aca="false">F_Age+B238</f>
        <v>28</v>
      </c>
      <c r="D238" s="1" t="n">
        <f aca="false">AS_Year0+B238</f>
        <v>2055</v>
      </c>
      <c r="E238" s="106" t="n">
        <f aca="false">(1+AS_Infl)^B238</f>
        <v>1.74102420617393</v>
      </c>
      <c r="F238" s="106" t="n">
        <f aca="false">(1+AS_Wage)^B238</f>
        <v>2.28792767573726</v>
      </c>
      <c r="G238" s="1" t="n">
        <f aca="false">IF(C238&lt;F_R,1,0)</f>
        <v>0</v>
      </c>
      <c r="H238" s="106" t="n">
        <f aca="false">IF(AS_Bands="flat",1,E238)</f>
        <v>1.74102420617393</v>
      </c>
      <c r="I238" s="106" t="n">
        <f aca="false">IF(AS_SpGrow="pay",F238,IF(AS_SpGrow="flat",1,E238))</f>
        <v>1.74102420617393</v>
      </c>
      <c r="J238" s="106" t="n">
        <f aca="false">(12*PR_PRSIr0+(PR_PRSIr1-PR_PRSIr0)*MAX(0,MIN(12,D238*12+12-PR_PRSIt1))+(PR_PRSIr2-PR_PRSIr1)*MAX(0,MIN(12,D238*12+12-PR_PRSIt2))+(PR_PRSIr3-PR_PRSIr2)*MAX(0,MIN(12,D238*12+12-PR_PRSIt3)))/12</f>
        <v>0.047</v>
      </c>
      <c r="K238" s="1" t="n">
        <f aca="false">IF(G238=1,F_Income*F238,0)</f>
        <v>0</v>
      </c>
      <c r="L238" s="1" t="n">
        <f aca="false">IF(G238=1,(F_Own+In_penExtra)*12*F238,0)</f>
        <v>0</v>
      </c>
      <c r="M238" s="1" t="n">
        <f aca="false">IF(G238=1,(F_PenM+In_penExtra)*12*F238,0)</f>
        <v>0</v>
      </c>
      <c r="N238" s="107" t="n">
        <f aca="false">IF(C238&lt;PR_RelA1,PR_RelP1,IF(C238&lt;PR_RelA2,PR_RelP2,IF(C238&lt;PR_RelA3,PR_RelP3,IF(C238&lt;PR_RelA4,PR_RelP4,IF(C238&lt;PR_RelA5,PR_RelP5,PR_RelP6)))))</f>
        <v>0.15</v>
      </c>
      <c r="O238" s="1" t="n">
        <f aca="false">IF(G238=1,MIN(L238/H238,N238*MIN(K238/H238,PR_EarnCap))*H238,0)</f>
        <v>0</v>
      </c>
      <c r="P238" s="1" t="n">
        <f aca="false">IF(AND(G238=1,F_AE=1),MIN(K238/H238,PR_AEcap)*H238,0)</f>
        <v>0</v>
      </c>
      <c r="Q238" s="1" t="n">
        <f aca="false">IF(G238=1,IF(WI_Retire=1,MAX(0,M238+WI_M*12),M238)+(PR_AEee+PR_AEer+PR_AEst)*P238,0)</f>
        <v>0</v>
      </c>
      <c r="R238" s="1" t="n">
        <f aca="false">L238+PR_AEee*P238</f>
        <v>0</v>
      </c>
      <c r="S238" s="1" t="n">
        <f aca="false">AD237</f>
        <v>0</v>
      </c>
      <c r="T238" s="1" t="n">
        <f aca="false">IF(D238&lt;=2026,PR_SFT2026,IF(D238=2027,PR_SFT2027,IF(D238=2028,PR_SFT2028,IF(D238=2029,PR_SFT2029,PR_SFT2029*(1+AS_Infl)^(D238-2029)))))</f>
        <v>4685570.72019127</v>
      </c>
      <c r="U238" s="1" t="n">
        <f aca="false">IF(AND(G238=0,C238=F_V),1,0)</f>
        <v>0</v>
      </c>
      <c r="V238" s="1" t="n">
        <f aca="false">IF(U238=1,PR_SFTrate*MAX(0,S238-T238),0)</f>
        <v>0</v>
      </c>
      <c r="W238" s="1" t="n">
        <f aca="false">S238-V238</f>
        <v>0</v>
      </c>
      <c r="X238" s="1" t="n">
        <f aca="false">IF(AND(U238=1,AS_LumpPct&gt;0),W238*MIN(AS_LumpPct,PR_LSmax),0)</f>
        <v>0</v>
      </c>
      <c r="Y238" s="1" t="n">
        <f aca="false">X238-(PR_LSrate*MAX(0,MIN(X238,PR_LScap)-PR_LSfree)+PR_r2*MAX(0,X238-PR_LScap))</f>
        <v>0</v>
      </c>
      <c r="Z238" s="1" t="n">
        <f aca="false">W238-X238</f>
        <v>0</v>
      </c>
      <c r="AA238" s="107" t="n">
        <f aca="false">IF(C238&gt;=61,IF(Z238&gt;PR_ARFbig,PR_ARFbigRate,IF(C238&gt;=71,PR_ARF71,PR_ARF61)),0)</f>
        <v>0</v>
      </c>
      <c r="AB238" s="1" t="n">
        <f aca="false">IF(AS_DrawRule="min",Z238*AA238,IF(AS_DrawRule="fixed",MAX(AS_DrawFixed*E238,Z238*AA238),Z238*MAX(1/MAX(1,AS_End-C238+1),AA238)))</f>
        <v>0</v>
      </c>
      <c r="AC238" s="1" t="n">
        <f aca="false">IF(AND(G238=0,C238&gt;=F_V),MIN(Z238,AB238),0)</f>
        <v>0</v>
      </c>
      <c r="AD238" s="1" t="n">
        <f aca="false">IF(G238=1,S238*(1+F_PenG)+Q238,IF(C238&lt;F_V,S238*(1+F_PenG),(Z238-AC238)*(1+AS_PenRet)))</f>
        <v>0</v>
      </c>
      <c r="AE238" s="1" t="n">
        <f aca="false">IF(C238&gt;=PR_SPage,AS_SP*F_SpF*I238+IF(C238&gt;=80,PR_Over80*PR_Weeks*I238,0),0)</f>
        <v>0</v>
      </c>
      <c r="AF238" s="1" t="n">
        <f aca="false">(F_OtherM+F_RentM)*12*E238</f>
        <v>0</v>
      </c>
      <c r="AG238" s="1" t="n">
        <f aca="false">F_PAge+B238</f>
        <v>28</v>
      </c>
      <c r="AH238" s="1" t="n">
        <f aca="false">IF(AND(F_Partner=1,F_PAge&gt;0,AG238&lt;IF(F_PRet&gt;0,F_PRet,66)),F_PIncome*F238,0)</f>
        <v>0</v>
      </c>
      <c r="AI238" s="1" t="n">
        <f aca="false">IF(AND(F_Partner=1,AG238&gt;=66,F_PSpQA=0),AS_SP*F_PSpF*I238,0)</f>
        <v>0</v>
      </c>
      <c r="AJ238" s="1" t="n">
        <f aca="false">IF(AND(F_Partner=1,F_PSpQA=1,C238&gt;=PR_SPage,AH238=0),IF(AG238&gt;=66,PR_QA66,PR_QAunder)*PR_Weeks*I238,0)</f>
        <v>0</v>
      </c>
      <c r="AK238" s="1" t="n">
        <f aca="false">AE238+AJ238</f>
        <v>0</v>
      </c>
      <c r="AL238" s="1" t="n">
        <f aca="false">K238/H238</f>
        <v>0</v>
      </c>
      <c r="AM238" s="1" t="n">
        <f aca="false">AK238/H238</f>
        <v>0</v>
      </c>
      <c r="AN238" s="1" t="n">
        <f aca="false">AC238/H238</f>
        <v>0</v>
      </c>
      <c r="AO238" s="1" t="n">
        <f aca="false">AF238/H238</f>
        <v>0</v>
      </c>
      <c r="AP238" s="1" t="n">
        <f aca="false">O238/H238</f>
        <v>0</v>
      </c>
      <c r="AQ238" s="1" t="n">
        <f aca="false">AH238/H238</f>
        <v>0</v>
      </c>
      <c r="AR238" s="1" t="n">
        <f aca="false">AI238/H238</f>
        <v>0</v>
      </c>
      <c r="AS238" s="1" t="n">
        <f aca="false">MAX(0,AL238+AN238+AO238+AM238-AP238)</f>
        <v>0</v>
      </c>
      <c r="AT238" s="1" t="n">
        <f aca="false">MAX(0,AQ238+AR238)</f>
        <v>0</v>
      </c>
      <c r="AU238" s="1" t="n">
        <f aca="false">MIN(PR_PAYE,PR_PAYEcap*(AL238+AN238+AM238))</f>
        <v>0</v>
      </c>
      <c r="AV238" s="1" t="n">
        <f aca="false">MIN(PR_PAYE,PR_PAYEcap*(AQ238+AR238))</f>
        <v>0</v>
      </c>
      <c r="AW238" s="1" t="n">
        <f aca="false">IF(C238&gt;=PR_AgeCrAge,PR_AgeCr,0)</f>
        <v>0</v>
      </c>
      <c r="AX238" s="1" t="n">
        <f aca="false">IF(AG238&gt;=PR_AgeCrAge,PR_AgeCr,0)</f>
        <v>0</v>
      </c>
      <c r="AY238" s="1" t="n">
        <f aca="false">IF(AND(F_RentCred=1,D238&lt;=PR_RentLast),1,0)</f>
        <v>0</v>
      </c>
      <c r="AZ238" s="1" t="n">
        <f aca="false">AS238+AT238</f>
        <v>0</v>
      </c>
      <c r="BA238" s="1" t="n">
        <f aca="false">PR_PersonalM+AU238+AV238+AW238+AX238+IF(AY238=1,PR_RentJoint,0)</f>
        <v>4000</v>
      </c>
      <c r="BB238" s="1" t="n">
        <f aca="false">PR_BandM+MIN(MIN(AS238,AT238),PR_Uplift)</f>
        <v>53000</v>
      </c>
      <c r="BC238" s="1" t="n">
        <f aca="false">MAX(0,PR_r1*MIN(AZ238,BB238)+PR_r2*MAX(0,AZ238-BB238)-BA238)</f>
        <v>0</v>
      </c>
      <c r="BD238" s="1" t="n">
        <f aca="false">MAX(0,PR_HomeCarer-MAX(0,MIN(AS238,AT238)-PR_HCLimit)/2)</f>
        <v>1950</v>
      </c>
      <c r="BE238" s="1" t="n">
        <f aca="false">IF(F_Carer=1,MIN(BC238,MAX(0,PR_r1*MIN(AZ238,PR_BandM)+PR_r2*MAX(0,AZ238-PR_BandM)-BA238-BD238)),BC238)</f>
        <v>0</v>
      </c>
      <c r="BF238" s="1" t="n">
        <f aca="false">IF(OR(C238&gt;=PR_AgeCrAge,AG238&gt;=PR_AgeCrAge),IF(AZ238&lt;=PR_AgeExM,0,MIN(BE238,PR_AgeMarg*(AZ238-PR_AgeExM))),BE238)</f>
        <v>0</v>
      </c>
      <c r="BG238" s="1" t="n">
        <f aca="false">MAX(0,PR_r1*MIN(AS238,IF(F_Spccc=1,PR_BandSPCCC,PR_Band))+PR_r2*MAX(0,AS238-IF(F_Spccc=1,PR_BandSPCCC,PR_Band))-(PR_Personal+AU238+AW238+IF(F_Spccc=1,PR_SPCCC,0)+IF(AY238=1,PR_Rent,0)))</f>
        <v>0</v>
      </c>
      <c r="BH238" s="1" t="n">
        <f aca="false">IF(C238&gt;=PR_AgeCrAge,IF(AS238&lt;=PR_AgeEx,0,MIN(BG238,PR_AgeMarg*(AS238-PR_AgeEx))),BG238)</f>
        <v>0</v>
      </c>
      <c r="BI238" s="1" t="n">
        <f aca="false">IF(F_Partner=1,MAX(0,PR_r1*MIN(AT238,PR_Band)+PR_r2*MAX(0,AT238-PR_Band)-(PR_Personal+AV238+AX238+IF(AND(AY238=1,AT238&gt;0),PR_Rent,0))),0)</f>
        <v>0</v>
      </c>
      <c r="BJ238" s="1" t="n">
        <f aca="false">IF(AG238&gt;=PR_AgeCrAge,IF(AT238&lt;=PR_AgeEx,0,MIN(BI238,PR_AgeMarg*(AT238-PR_AgeEx))),BI238)</f>
        <v>0</v>
      </c>
      <c r="BK238" s="1" t="n">
        <f aca="false">IF(F_Partner=1,IF(F_Married=1,BF238,BH238+BJ238),BH238)</f>
        <v>0</v>
      </c>
      <c r="BL238" s="1" t="n">
        <f aca="false">AL238+AN238+AO238</f>
        <v>0</v>
      </c>
      <c r="BM238" s="1" t="n">
        <f aca="false">IF(BL238&lt;=PR_USCex,0,IF(IF(AND(C238&gt;=PR_USCredAge,BL238&lt;=PR_USCredMax),1,0)=1,PR_USCr1*MIN(BL238,PR_USCredB1)+PR_USCredR2*MAX(0,BL238-PR_USCredB1),PR_USCr1*MIN(BL238,PR_USCb1)+PR_USCr2*MAX(0,MIN(BL238,PR_USCb2)-PR_USCb1)+PR_USCr3*MAX(0,MIN(BL238,PR_USCb3)-PR_USCb2)+PR_USCr4*MAX(0,BL238-PR_USCb3)))+IF(F_SelfEmp=1,PR_USCse*MAX(0,AL238-PR_USCseOver),0)</f>
        <v>0</v>
      </c>
      <c r="BN238" s="1" t="n">
        <f aca="false">AQ238</f>
        <v>0</v>
      </c>
      <c r="BO238" s="1" t="n">
        <f aca="false">IF(F_Partner=1,IF(BN238&lt;=PR_USCex,0,IF(IF(AND(AG238&gt;=PR_USCredAge,BN238&lt;=PR_USCredMax),1,0)=1,PR_USCr1*MIN(BN238,PR_USCredB1)+PR_USCredR2*MAX(0,BN238-PR_USCredB1),PR_USCr1*MIN(BN238,PR_USCb1)+PR_USCr2*MAX(0,MIN(BN238,PR_USCb2)-PR_USCb1)+PR_USCr3*MAX(0,MIN(BN238,PR_USCb3)-PR_USCb2)+PR_USCr4*MAX(0,BN238-PR_USCb3))),0)</f>
        <v>0</v>
      </c>
      <c r="BP238" s="1" t="n">
        <f aca="false">IF(C238&lt;PR_PRSIend,IF(F_SelfEmp=1,IF(AL238&gt;PR_PRSIsMinInc,MAX(PR_PRSIsMin,AL238*J238),0),IF(AL238/52&lt;=PR_PRSIfree,0,MAX(0,(AL238/52*J238-IF(AL238/52&lt;=PR_PRSIcreditTo,MAX(0,PR_PRSIcreditMax-(AL238/52-(PR_PRSIfree+0.01))/PR_PRSItaper),0))*52)))+J238*AN238+IF(AO238&gt;PR_PRSIunearned,J238*AO238,0),0)</f>
        <v>0</v>
      </c>
      <c r="BQ238" s="1" t="n">
        <f aca="false">IF(AND(F_Partner=1,AG238&lt;PR_PRSIend),IF(AQ238/52&lt;=PR_PRSIfree,0,MAX(0,(AQ238/52*J238-IF(AQ238/52&lt;=PR_PRSIcreditTo,MAX(0,PR_PRSIcreditMax-(AQ238/52-(PR_PRSIfree+0.01))/PR_PRSItaper),0))*52)),0)</f>
        <v>0</v>
      </c>
      <c r="BR238" s="1" t="n">
        <f aca="false">BK238+BM238+BO238+BP238+BQ238</f>
        <v>0</v>
      </c>
      <c r="BS238" s="1" t="n">
        <f aca="false">BR238*H238</f>
        <v>0</v>
      </c>
      <c r="BT238" s="1" t="n">
        <f aca="false">K238+AK238+AC238+AF238+AH238+AI238</f>
        <v>0</v>
      </c>
    </row>
    <row r="239" customFormat="false" ht="15" hidden="false" customHeight="false" outlineLevel="0" collapsed="false">
      <c r="B239" s="1" t="n">
        <v>29</v>
      </c>
      <c r="C239" s="1" t="n">
        <f aca="false">F_Age+B239</f>
        <v>29</v>
      </c>
      <c r="D239" s="1" t="n">
        <f aca="false">AS_Year0+B239</f>
        <v>2056</v>
      </c>
      <c r="E239" s="106" t="n">
        <f aca="false">(1+AS_Infl)^B239</f>
        <v>1.77584469029741</v>
      </c>
      <c r="F239" s="106" t="n">
        <f aca="false">(1+AS_Wage)^B239</f>
        <v>2.35656550600938</v>
      </c>
      <c r="G239" s="1" t="n">
        <f aca="false">IF(C239&lt;F_R,1,0)</f>
        <v>0</v>
      </c>
      <c r="H239" s="106" t="n">
        <f aca="false">IF(AS_Bands="flat",1,E239)</f>
        <v>1.77584469029741</v>
      </c>
      <c r="I239" s="106" t="n">
        <f aca="false">IF(AS_SpGrow="pay",F239,IF(AS_SpGrow="flat",1,E239))</f>
        <v>1.77584469029741</v>
      </c>
      <c r="J239" s="106" t="n">
        <f aca="false">(12*PR_PRSIr0+(PR_PRSIr1-PR_PRSIr0)*MAX(0,MIN(12,D239*12+12-PR_PRSIt1))+(PR_PRSIr2-PR_PRSIr1)*MAX(0,MIN(12,D239*12+12-PR_PRSIt2))+(PR_PRSIr3-PR_PRSIr2)*MAX(0,MIN(12,D239*12+12-PR_PRSIt3)))/12</f>
        <v>0.047</v>
      </c>
      <c r="K239" s="1" t="n">
        <f aca="false">IF(G239=1,F_Income*F239,0)</f>
        <v>0</v>
      </c>
      <c r="L239" s="1" t="n">
        <f aca="false">IF(G239=1,(F_Own+In_penExtra)*12*F239,0)</f>
        <v>0</v>
      </c>
      <c r="M239" s="1" t="n">
        <f aca="false">IF(G239=1,(F_PenM+In_penExtra)*12*F239,0)</f>
        <v>0</v>
      </c>
      <c r="N239" s="107" t="n">
        <f aca="false">IF(C239&lt;PR_RelA1,PR_RelP1,IF(C239&lt;PR_RelA2,PR_RelP2,IF(C239&lt;PR_RelA3,PR_RelP3,IF(C239&lt;PR_RelA4,PR_RelP4,IF(C239&lt;PR_RelA5,PR_RelP5,PR_RelP6)))))</f>
        <v>0.15</v>
      </c>
      <c r="O239" s="1" t="n">
        <f aca="false">IF(G239=1,MIN(L239/H239,N239*MIN(K239/H239,PR_EarnCap))*H239,0)</f>
        <v>0</v>
      </c>
      <c r="P239" s="1" t="n">
        <f aca="false">IF(AND(G239=1,F_AE=1),MIN(K239/H239,PR_AEcap)*H239,0)</f>
        <v>0</v>
      </c>
      <c r="Q239" s="1" t="n">
        <f aca="false">IF(G239=1,IF(WI_Retire=1,MAX(0,M239+WI_M*12),M239)+(PR_AEee+PR_AEer+PR_AEst)*P239,0)</f>
        <v>0</v>
      </c>
      <c r="R239" s="1" t="n">
        <f aca="false">L239+PR_AEee*P239</f>
        <v>0</v>
      </c>
      <c r="S239" s="1" t="n">
        <f aca="false">AD238</f>
        <v>0</v>
      </c>
      <c r="T239" s="1" t="n">
        <f aca="false">IF(D239&lt;=2026,PR_SFT2026,IF(D239=2027,PR_SFT2027,IF(D239=2028,PR_SFT2028,IF(D239=2029,PR_SFT2029,PR_SFT2029*(1+AS_Infl)^(D239-2029)))))</f>
        <v>4779282.1345951</v>
      </c>
      <c r="U239" s="1" t="n">
        <f aca="false">IF(AND(G239=0,C239=F_V),1,0)</f>
        <v>0</v>
      </c>
      <c r="V239" s="1" t="n">
        <f aca="false">IF(U239=1,PR_SFTrate*MAX(0,S239-T239),0)</f>
        <v>0</v>
      </c>
      <c r="W239" s="1" t="n">
        <f aca="false">S239-V239</f>
        <v>0</v>
      </c>
      <c r="X239" s="1" t="n">
        <f aca="false">IF(AND(U239=1,AS_LumpPct&gt;0),W239*MIN(AS_LumpPct,PR_LSmax),0)</f>
        <v>0</v>
      </c>
      <c r="Y239" s="1" t="n">
        <f aca="false">X239-(PR_LSrate*MAX(0,MIN(X239,PR_LScap)-PR_LSfree)+PR_r2*MAX(0,X239-PR_LScap))</f>
        <v>0</v>
      </c>
      <c r="Z239" s="1" t="n">
        <f aca="false">W239-X239</f>
        <v>0</v>
      </c>
      <c r="AA239" s="107" t="n">
        <f aca="false">IF(C239&gt;=61,IF(Z239&gt;PR_ARFbig,PR_ARFbigRate,IF(C239&gt;=71,PR_ARF71,PR_ARF61)),0)</f>
        <v>0</v>
      </c>
      <c r="AB239" s="1" t="n">
        <f aca="false">IF(AS_DrawRule="min",Z239*AA239,IF(AS_DrawRule="fixed",MAX(AS_DrawFixed*E239,Z239*AA239),Z239*MAX(1/MAX(1,AS_End-C239+1),AA239)))</f>
        <v>0</v>
      </c>
      <c r="AC239" s="1" t="n">
        <f aca="false">IF(AND(G239=0,C239&gt;=F_V),MIN(Z239,AB239),0)</f>
        <v>0</v>
      </c>
      <c r="AD239" s="1" t="n">
        <f aca="false">IF(G239=1,S239*(1+F_PenG)+Q239,IF(C239&lt;F_V,S239*(1+F_PenG),(Z239-AC239)*(1+AS_PenRet)))</f>
        <v>0</v>
      </c>
      <c r="AE239" s="1" t="n">
        <f aca="false">IF(C239&gt;=PR_SPage,AS_SP*F_SpF*I239+IF(C239&gt;=80,PR_Over80*PR_Weeks*I239,0),0)</f>
        <v>0</v>
      </c>
      <c r="AF239" s="1" t="n">
        <f aca="false">(F_OtherM+F_RentM)*12*E239</f>
        <v>0</v>
      </c>
      <c r="AG239" s="1" t="n">
        <f aca="false">F_PAge+B239</f>
        <v>29</v>
      </c>
      <c r="AH239" s="1" t="n">
        <f aca="false">IF(AND(F_Partner=1,F_PAge&gt;0,AG239&lt;IF(F_PRet&gt;0,F_PRet,66)),F_PIncome*F239,0)</f>
        <v>0</v>
      </c>
      <c r="AI239" s="1" t="n">
        <f aca="false">IF(AND(F_Partner=1,AG239&gt;=66,F_PSpQA=0),AS_SP*F_PSpF*I239,0)</f>
        <v>0</v>
      </c>
      <c r="AJ239" s="1" t="n">
        <f aca="false">IF(AND(F_Partner=1,F_PSpQA=1,C239&gt;=PR_SPage,AH239=0),IF(AG239&gt;=66,PR_QA66,PR_QAunder)*PR_Weeks*I239,0)</f>
        <v>0</v>
      </c>
      <c r="AK239" s="1" t="n">
        <f aca="false">AE239+AJ239</f>
        <v>0</v>
      </c>
      <c r="AL239" s="1" t="n">
        <f aca="false">K239/H239</f>
        <v>0</v>
      </c>
      <c r="AM239" s="1" t="n">
        <f aca="false">AK239/H239</f>
        <v>0</v>
      </c>
      <c r="AN239" s="1" t="n">
        <f aca="false">AC239/H239</f>
        <v>0</v>
      </c>
      <c r="AO239" s="1" t="n">
        <f aca="false">AF239/H239</f>
        <v>0</v>
      </c>
      <c r="AP239" s="1" t="n">
        <f aca="false">O239/H239</f>
        <v>0</v>
      </c>
      <c r="AQ239" s="1" t="n">
        <f aca="false">AH239/H239</f>
        <v>0</v>
      </c>
      <c r="AR239" s="1" t="n">
        <f aca="false">AI239/H239</f>
        <v>0</v>
      </c>
      <c r="AS239" s="1" t="n">
        <f aca="false">MAX(0,AL239+AN239+AO239+AM239-AP239)</f>
        <v>0</v>
      </c>
      <c r="AT239" s="1" t="n">
        <f aca="false">MAX(0,AQ239+AR239)</f>
        <v>0</v>
      </c>
      <c r="AU239" s="1" t="n">
        <f aca="false">MIN(PR_PAYE,PR_PAYEcap*(AL239+AN239+AM239))</f>
        <v>0</v>
      </c>
      <c r="AV239" s="1" t="n">
        <f aca="false">MIN(PR_PAYE,PR_PAYEcap*(AQ239+AR239))</f>
        <v>0</v>
      </c>
      <c r="AW239" s="1" t="n">
        <f aca="false">IF(C239&gt;=PR_AgeCrAge,PR_AgeCr,0)</f>
        <v>0</v>
      </c>
      <c r="AX239" s="1" t="n">
        <f aca="false">IF(AG239&gt;=PR_AgeCrAge,PR_AgeCr,0)</f>
        <v>0</v>
      </c>
      <c r="AY239" s="1" t="n">
        <f aca="false">IF(AND(F_RentCred=1,D239&lt;=PR_RentLast),1,0)</f>
        <v>0</v>
      </c>
      <c r="AZ239" s="1" t="n">
        <f aca="false">AS239+AT239</f>
        <v>0</v>
      </c>
      <c r="BA239" s="1" t="n">
        <f aca="false">PR_PersonalM+AU239+AV239+AW239+AX239+IF(AY239=1,PR_RentJoint,0)</f>
        <v>4000</v>
      </c>
      <c r="BB239" s="1" t="n">
        <f aca="false">PR_BandM+MIN(MIN(AS239,AT239),PR_Uplift)</f>
        <v>53000</v>
      </c>
      <c r="BC239" s="1" t="n">
        <f aca="false">MAX(0,PR_r1*MIN(AZ239,BB239)+PR_r2*MAX(0,AZ239-BB239)-BA239)</f>
        <v>0</v>
      </c>
      <c r="BD239" s="1" t="n">
        <f aca="false">MAX(0,PR_HomeCarer-MAX(0,MIN(AS239,AT239)-PR_HCLimit)/2)</f>
        <v>1950</v>
      </c>
      <c r="BE239" s="1" t="n">
        <f aca="false">IF(F_Carer=1,MIN(BC239,MAX(0,PR_r1*MIN(AZ239,PR_BandM)+PR_r2*MAX(0,AZ239-PR_BandM)-BA239-BD239)),BC239)</f>
        <v>0</v>
      </c>
      <c r="BF239" s="1" t="n">
        <f aca="false">IF(OR(C239&gt;=PR_AgeCrAge,AG239&gt;=PR_AgeCrAge),IF(AZ239&lt;=PR_AgeExM,0,MIN(BE239,PR_AgeMarg*(AZ239-PR_AgeExM))),BE239)</f>
        <v>0</v>
      </c>
      <c r="BG239" s="1" t="n">
        <f aca="false">MAX(0,PR_r1*MIN(AS239,IF(F_Spccc=1,PR_BandSPCCC,PR_Band))+PR_r2*MAX(0,AS239-IF(F_Spccc=1,PR_BandSPCCC,PR_Band))-(PR_Personal+AU239+AW239+IF(F_Spccc=1,PR_SPCCC,0)+IF(AY239=1,PR_Rent,0)))</f>
        <v>0</v>
      </c>
      <c r="BH239" s="1" t="n">
        <f aca="false">IF(C239&gt;=PR_AgeCrAge,IF(AS239&lt;=PR_AgeEx,0,MIN(BG239,PR_AgeMarg*(AS239-PR_AgeEx))),BG239)</f>
        <v>0</v>
      </c>
      <c r="BI239" s="1" t="n">
        <f aca="false">IF(F_Partner=1,MAX(0,PR_r1*MIN(AT239,PR_Band)+PR_r2*MAX(0,AT239-PR_Band)-(PR_Personal+AV239+AX239+IF(AND(AY239=1,AT239&gt;0),PR_Rent,0))),0)</f>
        <v>0</v>
      </c>
      <c r="BJ239" s="1" t="n">
        <f aca="false">IF(AG239&gt;=PR_AgeCrAge,IF(AT239&lt;=PR_AgeEx,0,MIN(BI239,PR_AgeMarg*(AT239-PR_AgeEx))),BI239)</f>
        <v>0</v>
      </c>
      <c r="BK239" s="1" t="n">
        <f aca="false">IF(F_Partner=1,IF(F_Married=1,BF239,BH239+BJ239),BH239)</f>
        <v>0</v>
      </c>
      <c r="BL239" s="1" t="n">
        <f aca="false">AL239+AN239+AO239</f>
        <v>0</v>
      </c>
      <c r="BM239" s="1" t="n">
        <f aca="false">IF(BL239&lt;=PR_USCex,0,IF(IF(AND(C239&gt;=PR_USCredAge,BL239&lt;=PR_USCredMax),1,0)=1,PR_USCr1*MIN(BL239,PR_USCredB1)+PR_USCredR2*MAX(0,BL239-PR_USCredB1),PR_USCr1*MIN(BL239,PR_USCb1)+PR_USCr2*MAX(0,MIN(BL239,PR_USCb2)-PR_USCb1)+PR_USCr3*MAX(0,MIN(BL239,PR_USCb3)-PR_USCb2)+PR_USCr4*MAX(0,BL239-PR_USCb3)))+IF(F_SelfEmp=1,PR_USCse*MAX(0,AL239-PR_USCseOver),0)</f>
        <v>0</v>
      </c>
      <c r="BN239" s="1" t="n">
        <f aca="false">AQ239</f>
        <v>0</v>
      </c>
      <c r="BO239" s="1" t="n">
        <f aca="false">IF(F_Partner=1,IF(BN239&lt;=PR_USCex,0,IF(IF(AND(AG239&gt;=PR_USCredAge,BN239&lt;=PR_USCredMax),1,0)=1,PR_USCr1*MIN(BN239,PR_USCredB1)+PR_USCredR2*MAX(0,BN239-PR_USCredB1),PR_USCr1*MIN(BN239,PR_USCb1)+PR_USCr2*MAX(0,MIN(BN239,PR_USCb2)-PR_USCb1)+PR_USCr3*MAX(0,MIN(BN239,PR_USCb3)-PR_USCb2)+PR_USCr4*MAX(0,BN239-PR_USCb3))),0)</f>
        <v>0</v>
      </c>
      <c r="BP239" s="1" t="n">
        <f aca="false">IF(C239&lt;PR_PRSIend,IF(F_SelfEmp=1,IF(AL239&gt;PR_PRSIsMinInc,MAX(PR_PRSIsMin,AL239*J239),0),IF(AL239/52&lt;=PR_PRSIfree,0,MAX(0,(AL239/52*J239-IF(AL239/52&lt;=PR_PRSIcreditTo,MAX(0,PR_PRSIcreditMax-(AL239/52-(PR_PRSIfree+0.01))/PR_PRSItaper),0))*52)))+J239*AN239+IF(AO239&gt;PR_PRSIunearned,J239*AO239,0),0)</f>
        <v>0</v>
      </c>
      <c r="BQ239" s="1" t="n">
        <f aca="false">IF(AND(F_Partner=1,AG239&lt;PR_PRSIend),IF(AQ239/52&lt;=PR_PRSIfree,0,MAX(0,(AQ239/52*J239-IF(AQ239/52&lt;=PR_PRSIcreditTo,MAX(0,PR_PRSIcreditMax-(AQ239/52-(PR_PRSIfree+0.01))/PR_PRSItaper),0))*52)),0)</f>
        <v>0</v>
      </c>
      <c r="BR239" s="1" t="n">
        <f aca="false">BK239+BM239+BO239+BP239+BQ239</f>
        <v>0</v>
      </c>
      <c r="BS239" s="1" t="n">
        <f aca="false">BR239*H239</f>
        <v>0</v>
      </c>
      <c r="BT239" s="1" t="n">
        <f aca="false">K239+AK239+AC239+AF239+AH239+AI239</f>
        <v>0</v>
      </c>
    </row>
    <row r="240" customFormat="false" ht="15" hidden="false" customHeight="false" outlineLevel="0" collapsed="false">
      <c r="B240" s="1" t="n">
        <v>30</v>
      </c>
      <c r="C240" s="1" t="n">
        <f aca="false">F_Age+B240</f>
        <v>30</v>
      </c>
      <c r="D240" s="1" t="n">
        <f aca="false">AS_Year0+B240</f>
        <v>2057</v>
      </c>
      <c r="E240" s="106" t="n">
        <f aca="false">(1+AS_Infl)^B240</f>
        <v>1.81136158410335</v>
      </c>
      <c r="F240" s="106" t="n">
        <f aca="false">(1+AS_Wage)^B240</f>
        <v>2.42726247118966</v>
      </c>
      <c r="G240" s="1" t="n">
        <f aca="false">IF(C240&lt;F_R,1,0)</f>
        <v>0</v>
      </c>
      <c r="H240" s="106" t="n">
        <f aca="false">IF(AS_Bands="flat",1,E240)</f>
        <v>1.81136158410335</v>
      </c>
      <c r="I240" s="106" t="n">
        <f aca="false">IF(AS_SpGrow="pay",F240,IF(AS_SpGrow="flat",1,E240))</f>
        <v>1.81136158410335</v>
      </c>
      <c r="J240" s="106" t="n">
        <f aca="false">(12*PR_PRSIr0+(PR_PRSIr1-PR_PRSIr0)*MAX(0,MIN(12,D240*12+12-PR_PRSIt1))+(PR_PRSIr2-PR_PRSIr1)*MAX(0,MIN(12,D240*12+12-PR_PRSIt2))+(PR_PRSIr3-PR_PRSIr2)*MAX(0,MIN(12,D240*12+12-PR_PRSIt3)))/12</f>
        <v>0.047</v>
      </c>
      <c r="K240" s="1" t="n">
        <f aca="false">IF(G240=1,F_Income*F240,0)</f>
        <v>0</v>
      </c>
      <c r="L240" s="1" t="n">
        <f aca="false">IF(G240=1,(F_Own+In_penExtra)*12*F240,0)</f>
        <v>0</v>
      </c>
      <c r="M240" s="1" t="n">
        <f aca="false">IF(G240=1,(F_PenM+In_penExtra)*12*F240,0)</f>
        <v>0</v>
      </c>
      <c r="N240" s="107" t="n">
        <f aca="false">IF(C240&lt;PR_RelA1,PR_RelP1,IF(C240&lt;PR_RelA2,PR_RelP2,IF(C240&lt;PR_RelA3,PR_RelP3,IF(C240&lt;PR_RelA4,PR_RelP4,IF(C240&lt;PR_RelA5,PR_RelP5,PR_RelP6)))))</f>
        <v>0.2</v>
      </c>
      <c r="O240" s="1" t="n">
        <f aca="false">IF(G240=1,MIN(L240/H240,N240*MIN(K240/H240,PR_EarnCap))*H240,0)</f>
        <v>0</v>
      </c>
      <c r="P240" s="1" t="n">
        <f aca="false">IF(AND(G240=1,F_AE=1),MIN(K240/H240,PR_AEcap)*H240,0)</f>
        <v>0</v>
      </c>
      <c r="Q240" s="1" t="n">
        <f aca="false">IF(G240=1,IF(WI_Retire=1,MAX(0,M240+WI_M*12),M240)+(PR_AEee+PR_AEer+PR_AEst)*P240,0)</f>
        <v>0</v>
      </c>
      <c r="R240" s="1" t="n">
        <f aca="false">L240+PR_AEee*P240</f>
        <v>0</v>
      </c>
      <c r="S240" s="1" t="n">
        <f aca="false">AD239</f>
        <v>0</v>
      </c>
      <c r="T240" s="1" t="n">
        <f aca="false">IF(D240&lt;=2026,PR_SFT2026,IF(D240=2027,PR_SFT2027,IF(D240=2028,PR_SFT2028,IF(D240=2029,PR_SFT2029,PR_SFT2029*(1+AS_Infl)^(D240-2029)))))</f>
        <v>4874867.777287</v>
      </c>
      <c r="U240" s="1" t="n">
        <f aca="false">IF(AND(G240=0,C240=F_V),1,0)</f>
        <v>0</v>
      </c>
      <c r="V240" s="1" t="n">
        <f aca="false">IF(U240=1,PR_SFTrate*MAX(0,S240-T240),0)</f>
        <v>0</v>
      </c>
      <c r="W240" s="1" t="n">
        <f aca="false">S240-V240</f>
        <v>0</v>
      </c>
      <c r="X240" s="1" t="n">
        <f aca="false">IF(AND(U240=1,AS_LumpPct&gt;0),W240*MIN(AS_LumpPct,PR_LSmax),0)</f>
        <v>0</v>
      </c>
      <c r="Y240" s="1" t="n">
        <f aca="false">X240-(PR_LSrate*MAX(0,MIN(X240,PR_LScap)-PR_LSfree)+PR_r2*MAX(0,X240-PR_LScap))</f>
        <v>0</v>
      </c>
      <c r="Z240" s="1" t="n">
        <f aca="false">W240-X240</f>
        <v>0</v>
      </c>
      <c r="AA240" s="107" t="n">
        <f aca="false">IF(C240&gt;=61,IF(Z240&gt;PR_ARFbig,PR_ARFbigRate,IF(C240&gt;=71,PR_ARF71,PR_ARF61)),0)</f>
        <v>0</v>
      </c>
      <c r="AB240" s="1" t="n">
        <f aca="false">IF(AS_DrawRule="min",Z240*AA240,IF(AS_DrawRule="fixed",MAX(AS_DrawFixed*E240,Z240*AA240),Z240*MAX(1/MAX(1,AS_End-C240+1),AA240)))</f>
        <v>0</v>
      </c>
      <c r="AC240" s="1" t="n">
        <f aca="false">IF(AND(G240=0,C240&gt;=F_V),MIN(Z240,AB240),0)</f>
        <v>0</v>
      </c>
      <c r="AD240" s="1" t="n">
        <f aca="false">IF(G240=1,S240*(1+F_PenG)+Q240,IF(C240&lt;F_V,S240*(1+F_PenG),(Z240-AC240)*(1+AS_PenRet)))</f>
        <v>0</v>
      </c>
      <c r="AE240" s="1" t="n">
        <f aca="false">IF(C240&gt;=PR_SPage,AS_SP*F_SpF*I240+IF(C240&gt;=80,PR_Over80*PR_Weeks*I240,0),0)</f>
        <v>0</v>
      </c>
      <c r="AF240" s="1" t="n">
        <f aca="false">(F_OtherM+F_RentM)*12*E240</f>
        <v>0</v>
      </c>
      <c r="AG240" s="1" t="n">
        <f aca="false">F_PAge+B240</f>
        <v>30</v>
      </c>
      <c r="AH240" s="1" t="n">
        <f aca="false">IF(AND(F_Partner=1,F_PAge&gt;0,AG240&lt;IF(F_PRet&gt;0,F_PRet,66)),F_PIncome*F240,0)</f>
        <v>0</v>
      </c>
      <c r="AI240" s="1" t="n">
        <f aca="false">IF(AND(F_Partner=1,AG240&gt;=66,F_PSpQA=0),AS_SP*F_PSpF*I240,0)</f>
        <v>0</v>
      </c>
      <c r="AJ240" s="1" t="n">
        <f aca="false">IF(AND(F_Partner=1,F_PSpQA=1,C240&gt;=PR_SPage,AH240=0),IF(AG240&gt;=66,PR_QA66,PR_QAunder)*PR_Weeks*I240,0)</f>
        <v>0</v>
      </c>
      <c r="AK240" s="1" t="n">
        <f aca="false">AE240+AJ240</f>
        <v>0</v>
      </c>
      <c r="AL240" s="1" t="n">
        <f aca="false">K240/H240</f>
        <v>0</v>
      </c>
      <c r="AM240" s="1" t="n">
        <f aca="false">AK240/H240</f>
        <v>0</v>
      </c>
      <c r="AN240" s="1" t="n">
        <f aca="false">AC240/H240</f>
        <v>0</v>
      </c>
      <c r="AO240" s="1" t="n">
        <f aca="false">AF240/H240</f>
        <v>0</v>
      </c>
      <c r="AP240" s="1" t="n">
        <f aca="false">O240/H240</f>
        <v>0</v>
      </c>
      <c r="AQ240" s="1" t="n">
        <f aca="false">AH240/H240</f>
        <v>0</v>
      </c>
      <c r="AR240" s="1" t="n">
        <f aca="false">AI240/H240</f>
        <v>0</v>
      </c>
      <c r="AS240" s="1" t="n">
        <f aca="false">MAX(0,AL240+AN240+AO240+AM240-AP240)</f>
        <v>0</v>
      </c>
      <c r="AT240" s="1" t="n">
        <f aca="false">MAX(0,AQ240+AR240)</f>
        <v>0</v>
      </c>
      <c r="AU240" s="1" t="n">
        <f aca="false">MIN(PR_PAYE,PR_PAYEcap*(AL240+AN240+AM240))</f>
        <v>0</v>
      </c>
      <c r="AV240" s="1" t="n">
        <f aca="false">MIN(PR_PAYE,PR_PAYEcap*(AQ240+AR240))</f>
        <v>0</v>
      </c>
      <c r="AW240" s="1" t="n">
        <f aca="false">IF(C240&gt;=PR_AgeCrAge,PR_AgeCr,0)</f>
        <v>0</v>
      </c>
      <c r="AX240" s="1" t="n">
        <f aca="false">IF(AG240&gt;=PR_AgeCrAge,PR_AgeCr,0)</f>
        <v>0</v>
      </c>
      <c r="AY240" s="1" t="n">
        <f aca="false">IF(AND(F_RentCred=1,D240&lt;=PR_RentLast),1,0)</f>
        <v>0</v>
      </c>
      <c r="AZ240" s="1" t="n">
        <f aca="false">AS240+AT240</f>
        <v>0</v>
      </c>
      <c r="BA240" s="1" t="n">
        <f aca="false">PR_PersonalM+AU240+AV240+AW240+AX240+IF(AY240=1,PR_RentJoint,0)</f>
        <v>4000</v>
      </c>
      <c r="BB240" s="1" t="n">
        <f aca="false">PR_BandM+MIN(MIN(AS240,AT240),PR_Uplift)</f>
        <v>53000</v>
      </c>
      <c r="BC240" s="1" t="n">
        <f aca="false">MAX(0,PR_r1*MIN(AZ240,BB240)+PR_r2*MAX(0,AZ240-BB240)-BA240)</f>
        <v>0</v>
      </c>
      <c r="BD240" s="1" t="n">
        <f aca="false">MAX(0,PR_HomeCarer-MAX(0,MIN(AS240,AT240)-PR_HCLimit)/2)</f>
        <v>1950</v>
      </c>
      <c r="BE240" s="1" t="n">
        <f aca="false">IF(F_Carer=1,MIN(BC240,MAX(0,PR_r1*MIN(AZ240,PR_BandM)+PR_r2*MAX(0,AZ240-PR_BandM)-BA240-BD240)),BC240)</f>
        <v>0</v>
      </c>
      <c r="BF240" s="1" t="n">
        <f aca="false">IF(OR(C240&gt;=PR_AgeCrAge,AG240&gt;=PR_AgeCrAge),IF(AZ240&lt;=PR_AgeExM,0,MIN(BE240,PR_AgeMarg*(AZ240-PR_AgeExM))),BE240)</f>
        <v>0</v>
      </c>
      <c r="BG240" s="1" t="n">
        <f aca="false">MAX(0,PR_r1*MIN(AS240,IF(F_Spccc=1,PR_BandSPCCC,PR_Band))+PR_r2*MAX(0,AS240-IF(F_Spccc=1,PR_BandSPCCC,PR_Band))-(PR_Personal+AU240+AW240+IF(F_Spccc=1,PR_SPCCC,0)+IF(AY240=1,PR_Rent,0)))</f>
        <v>0</v>
      </c>
      <c r="BH240" s="1" t="n">
        <f aca="false">IF(C240&gt;=PR_AgeCrAge,IF(AS240&lt;=PR_AgeEx,0,MIN(BG240,PR_AgeMarg*(AS240-PR_AgeEx))),BG240)</f>
        <v>0</v>
      </c>
      <c r="BI240" s="1" t="n">
        <f aca="false">IF(F_Partner=1,MAX(0,PR_r1*MIN(AT240,PR_Band)+PR_r2*MAX(0,AT240-PR_Band)-(PR_Personal+AV240+AX240+IF(AND(AY240=1,AT240&gt;0),PR_Rent,0))),0)</f>
        <v>0</v>
      </c>
      <c r="BJ240" s="1" t="n">
        <f aca="false">IF(AG240&gt;=PR_AgeCrAge,IF(AT240&lt;=PR_AgeEx,0,MIN(BI240,PR_AgeMarg*(AT240-PR_AgeEx))),BI240)</f>
        <v>0</v>
      </c>
      <c r="BK240" s="1" t="n">
        <f aca="false">IF(F_Partner=1,IF(F_Married=1,BF240,BH240+BJ240),BH240)</f>
        <v>0</v>
      </c>
      <c r="BL240" s="1" t="n">
        <f aca="false">AL240+AN240+AO240</f>
        <v>0</v>
      </c>
      <c r="BM240" s="1" t="n">
        <f aca="false">IF(BL240&lt;=PR_USCex,0,IF(IF(AND(C240&gt;=PR_USCredAge,BL240&lt;=PR_USCredMax),1,0)=1,PR_USCr1*MIN(BL240,PR_USCredB1)+PR_USCredR2*MAX(0,BL240-PR_USCredB1),PR_USCr1*MIN(BL240,PR_USCb1)+PR_USCr2*MAX(0,MIN(BL240,PR_USCb2)-PR_USCb1)+PR_USCr3*MAX(0,MIN(BL240,PR_USCb3)-PR_USCb2)+PR_USCr4*MAX(0,BL240-PR_USCb3)))+IF(F_SelfEmp=1,PR_USCse*MAX(0,AL240-PR_USCseOver),0)</f>
        <v>0</v>
      </c>
      <c r="BN240" s="1" t="n">
        <f aca="false">AQ240</f>
        <v>0</v>
      </c>
      <c r="BO240" s="1" t="n">
        <f aca="false">IF(F_Partner=1,IF(BN240&lt;=PR_USCex,0,IF(IF(AND(AG240&gt;=PR_USCredAge,BN240&lt;=PR_USCredMax),1,0)=1,PR_USCr1*MIN(BN240,PR_USCredB1)+PR_USCredR2*MAX(0,BN240-PR_USCredB1),PR_USCr1*MIN(BN240,PR_USCb1)+PR_USCr2*MAX(0,MIN(BN240,PR_USCb2)-PR_USCb1)+PR_USCr3*MAX(0,MIN(BN240,PR_USCb3)-PR_USCb2)+PR_USCr4*MAX(0,BN240-PR_USCb3))),0)</f>
        <v>0</v>
      </c>
      <c r="BP240" s="1" t="n">
        <f aca="false">IF(C240&lt;PR_PRSIend,IF(F_SelfEmp=1,IF(AL240&gt;PR_PRSIsMinInc,MAX(PR_PRSIsMin,AL240*J240),0),IF(AL240/52&lt;=PR_PRSIfree,0,MAX(0,(AL240/52*J240-IF(AL240/52&lt;=PR_PRSIcreditTo,MAX(0,PR_PRSIcreditMax-(AL240/52-(PR_PRSIfree+0.01))/PR_PRSItaper),0))*52)))+J240*AN240+IF(AO240&gt;PR_PRSIunearned,J240*AO240,0),0)</f>
        <v>0</v>
      </c>
      <c r="BQ240" s="1" t="n">
        <f aca="false">IF(AND(F_Partner=1,AG240&lt;PR_PRSIend),IF(AQ240/52&lt;=PR_PRSIfree,0,MAX(0,(AQ240/52*J240-IF(AQ240/52&lt;=PR_PRSIcreditTo,MAX(0,PR_PRSIcreditMax-(AQ240/52-(PR_PRSIfree+0.01))/PR_PRSItaper),0))*52)),0)</f>
        <v>0</v>
      </c>
      <c r="BR240" s="1" t="n">
        <f aca="false">BK240+BM240+BO240+BP240+BQ240</f>
        <v>0</v>
      </c>
      <c r="BS240" s="1" t="n">
        <f aca="false">BR240*H240</f>
        <v>0</v>
      </c>
      <c r="BT240" s="1" t="n">
        <f aca="false">K240+AK240+AC240+AF240+AH240+AI240</f>
        <v>0</v>
      </c>
    </row>
    <row r="241" customFormat="false" ht="15" hidden="false" customHeight="false" outlineLevel="0" collapsed="false">
      <c r="B241" s="1" t="n">
        <v>31</v>
      </c>
      <c r="C241" s="1" t="n">
        <f aca="false">F_Age+B241</f>
        <v>31</v>
      </c>
      <c r="D241" s="1" t="n">
        <f aca="false">AS_Year0+B241</f>
        <v>2058</v>
      </c>
      <c r="E241" s="106" t="n">
        <f aca="false">(1+AS_Infl)^B241</f>
        <v>1.84758881578542</v>
      </c>
      <c r="F241" s="106" t="n">
        <f aca="false">(1+AS_Wage)^B241</f>
        <v>2.50008034532535</v>
      </c>
      <c r="G241" s="1" t="n">
        <f aca="false">IF(C241&lt;F_R,1,0)</f>
        <v>0</v>
      </c>
      <c r="H241" s="106" t="n">
        <f aca="false">IF(AS_Bands="flat",1,E241)</f>
        <v>1.84758881578542</v>
      </c>
      <c r="I241" s="106" t="n">
        <f aca="false">IF(AS_SpGrow="pay",F241,IF(AS_SpGrow="flat",1,E241))</f>
        <v>1.84758881578542</v>
      </c>
      <c r="J241" s="106" t="n">
        <f aca="false">(12*PR_PRSIr0+(PR_PRSIr1-PR_PRSIr0)*MAX(0,MIN(12,D241*12+12-PR_PRSIt1))+(PR_PRSIr2-PR_PRSIr1)*MAX(0,MIN(12,D241*12+12-PR_PRSIt2))+(PR_PRSIr3-PR_PRSIr2)*MAX(0,MIN(12,D241*12+12-PR_PRSIt3)))/12</f>
        <v>0.047</v>
      </c>
      <c r="K241" s="1" t="n">
        <f aca="false">IF(G241=1,F_Income*F241,0)</f>
        <v>0</v>
      </c>
      <c r="L241" s="1" t="n">
        <f aca="false">IF(G241=1,(F_Own+In_penExtra)*12*F241,0)</f>
        <v>0</v>
      </c>
      <c r="M241" s="1" t="n">
        <f aca="false">IF(G241=1,(F_PenM+In_penExtra)*12*F241,0)</f>
        <v>0</v>
      </c>
      <c r="N241" s="107" t="n">
        <f aca="false">IF(C241&lt;PR_RelA1,PR_RelP1,IF(C241&lt;PR_RelA2,PR_RelP2,IF(C241&lt;PR_RelA3,PR_RelP3,IF(C241&lt;PR_RelA4,PR_RelP4,IF(C241&lt;PR_RelA5,PR_RelP5,PR_RelP6)))))</f>
        <v>0.2</v>
      </c>
      <c r="O241" s="1" t="n">
        <f aca="false">IF(G241=1,MIN(L241/H241,N241*MIN(K241/H241,PR_EarnCap))*H241,0)</f>
        <v>0</v>
      </c>
      <c r="P241" s="1" t="n">
        <f aca="false">IF(AND(G241=1,F_AE=1),MIN(K241/H241,PR_AEcap)*H241,0)</f>
        <v>0</v>
      </c>
      <c r="Q241" s="1" t="n">
        <f aca="false">IF(G241=1,IF(WI_Retire=1,MAX(0,M241+WI_M*12),M241)+(PR_AEee+PR_AEer+PR_AEst)*P241,0)</f>
        <v>0</v>
      </c>
      <c r="R241" s="1" t="n">
        <f aca="false">L241+PR_AEee*P241</f>
        <v>0</v>
      </c>
      <c r="S241" s="1" t="n">
        <f aca="false">AD240</f>
        <v>0</v>
      </c>
      <c r="T241" s="1" t="n">
        <f aca="false">IF(D241&lt;=2026,PR_SFT2026,IF(D241=2027,PR_SFT2027,IF(D241=2028,PR_SFT2028,IF(D241=2029,PR_SFT2029,PR_SFT2029*(1+AS_Infl)^(D241-2029)))))</f>
        <v>4972365.13283274</v>
      </c>
      <c r="U241" s="1" t="n">
        <f aca="false">IF(AND(G241=0,C241=F_V),1,0)</f>
        <v>0</v>
      </c>
      <c r="V241" s="1" t="n">
        <f aca="false">IF(U241=1,PR_SFTrate*MAX(0,S241-T241),0)</f>
        <v>0</v>
      </c>
      <c r="W241" s="1" t="n">
        <f aca="false">S241-V241</f>
        <v>0</v>
      </c>
      <c r="X241" s="1" t="n">
        <f aca="false">IF(AND(U241=1,AS_LumpPct&gt;0),W241*MIN(AS_LumpPct,PR_LSmax),0)</f>
        <v>0</v>
      </c>
      <c r="Y241" s="1" t="n">
        <f aca="false">X241-(PR_LSrate*MAX(0,MIN(X241,PR_LScap)-PR_LSfree)+PR_r2*MAX(0,X241-PR_LScap))</f>
        <v>0</v>
      </c>
      <c r="Z241" s="1" t="n">
        <f aca="false">W241-X241</f>
        <v>0</v>
      </c>
      <c r="AA241" s="107" t="n">
        <f aca="false">IF(C241&gt;=61,IF(Z241&gt;PR_ARFbig,PR_ARFbigRate,IF(C241&gt;=71,PR_ARF71,PR_ARF61)),0)</f>
        <v>0</v>
      </c>
      <c r="AB241" s="1" t="n">
        <f aca="false">IF(AS_DrawRule="min",Z241*AA241,IF(AS_DrawRule="fixed",MAX(AS_DrawFixed*E241,Z241*AA241),Z241*MAX(1/MAX(1,AS_End-C241+1),AA241)))</f>
        <v>0</v>
      </c>
      <c r="AC241" s="1" t="n">
        <f aca="false">IF(AND(G241=0,C241&gt;=F_V),MIN(Z241,AB241),0)</f>
        <v>0</v>
      </c>
      <c r="AD241" s="1" t="n">
        <f aca="false">IF(G241=1,S241*(1+F_PenG)+Q241,IF(C241&lt;F_V,S241*(1+F_PenG),(Z241-AC241)*(1+AS_PenRet)))</f>
        <v>0</v>
      </c>
      <c r="AE241" s="1" t="n">
        <f aca="false">IF(C241&gt;=PR_SPage,AS_SP*F_SpF*I241+IF(C241&gt;=80,PR_Over80*PR_Weeks*I241,0),0)</f>
        <v>0</v>
      </c>
      <c r="AF241" s="1" t="n">
        <f aca="false">(F_OtherM+F_RentM)*12*E241</f>
        <v>0</v>
      </c>
      <c r="AG241" s="1" t="n">
        <f aca="false">F_PAge+B241</f>
        <v>31</v>
      </c>
      <c r="AH241" s="1" t="n">
        <f aca="false">IF(AND(F_Partner=1,F_PAge&gt;0,AG241&lt;IF(F_PRet&gt;0,F_PRet,66)),F_PIncome*F241,0)</f>
        <v>0</v>
      </c>
      <c r="AI241" s="1" t="n">
        <f aca="false">IF(AND(F_Partner=1,AG241&gt;=66,F_PSpQA=0),AS_SP*F_PSpF*I241,0)</f>
        <v>0</v>
      </c>
      <c r="AJ241" s="1" t="n">
        <f aca="false">IF(AND(F_Partner=1,F_PSpQA=1,C241&gt;=PR_SPage,AH241=0),IF(AG241&gt;=66,PR_QA66,PR_QAunder)*PR_Weeks*I241,0)</f>
        <v>0</v>
      </c>
      <c r="AK241" s="1" t="n">
        <f aca="false">AE241+AJ241</f>
        <v>0</v>
      </c>
      <c r="AL241" s="1" t="n">
        <f aca="false">K241/H241</f>
        <v>0</v>
      </c>
      <c r="AM241" s="1" t="n">
        <f aca="false">AK241/H241</f>
        <v>0</v>
      </c>
      <c r="AN241" s="1" t="n">
        <f aca="false">AC241/H241</f>
        <v>0</v>
      </c>
      <c r="AO241" s="1" t="n">
        <f aca="false">AF241/H241</f>
        <v>0</v>
      </c>
      <c r="AP241" s="1" t="n">
        <f aca="false">O241/H241</f>
        <v>0</v>
      </c>
      <c r="AQ241" s="1" t="n">
        <f aca="false">AH241/H241</f>
        <v>0</v>
      </c>
      <c r="AR241" s="1" t="n">
        <f aca="false">AI241/H241</f>
        <v>0</v>
      </c>
      <c r="AS241" s="1" t="n">
        <f aca="false">MAX(0,AL241+AN241+AO241+AM241-AP241)</f>
        <v>0</v>
      </c>
      <c r="AT241" s="1" t="n">
        <f aca="false">MAX(0,AQ241+AR241)</f>
        <v>0</v>
      </c>
      <c r="AU241" s="1" t="n">
        <f aca="false">MIN(PR_PAYE,PR_PAYEcap*(AL241+AN241+AM241))</f>
        <v>0</v>
      </c>
      <c r="AV241" s="1" t="n">
        <f aca="false">MIN(PR_PAYE,PR_PAYEcap*(AQ241+AR241))</f>
        <v>0</v>
      </c>
      <c r="AW241" s="1" t="n">
        <f aca="false">IF(C241&gt;=PR_AgeCrAge,PR_AgeCr,0)</f>
        <v>0</v>
      </c>
      <c r="AX241" s="1" t="n">
        <f aca="false">IF(AG241&gt;=PR_AgeCrAge,PR_AgeCr,0)</f>
        <v>0</v>
      </c>
      <c r="AY241" s="1" t="n">
        <f aca="false">IF(AND(F_RentCred=1,D241&lt;=PR_RentLast),1,0)</f>
        <v>0</v>
      </c>
      <c r="AZ241" s="1" t="n">
        <f aca="false">AS241+AT241</f>
        <v>0</v>
      </c>
      <c r="BA241" s="1" t="n">
        <f aca="false">PR_PersonalM+AU241+AV241+AW241+AX241+IF(AY241=1,PR_RentJoint,0)</f>
        <v>4000</v>
      </c>
      <c r="BB241" s="1" t="n">
        <f aca="false">PR_BandM+MIN(MIN(AS241,AT241),PR_Uplift)</f>
        <v>53000</v>
      </c>
      <c r="BC241" s="1" t="n">
        <f aca="false">MAX(0,PR_r1*MIN(AZ241,BB241)+PR_r2*MAX(0,AZ241-BB241)-BA241)</f>
        <v>0</v>
      </c>
      <c r="BD241" s="1" t="n">
        <f aca="false">MAX(0,PR_HomeCarer-MAX(0,MIN(AS241,AT241)-PR_HCLimit)/2)</f>
        <v>1950</v>
      </c>
      <c r="BE241" s="1" t="n">
        <f aca="false">IF(F_Carer=1,MIN(BC241,MAX(0,PR_r1*MIN(AZ241,PR_BandM)+PR_r2*MAX(0,AZ241-PR_BandM)-BA241-BD241)),BC241)</f>
        <v>0</v>
      </c>
      <c r="BF241" s="1" t="n">
        <f aca="false">IF(OR(C241&gt;=PR_AgeCrAge,AG241&gt;=PR_AgeCrAge),IF(AZ241&lt;=PR_AgeExM,0,MIN(BE241,PR_AgeMarg*(AZ241-PR_AgeExM))),BE241)</f>
        <v>0</v>
      </c>
      <c r="BG241" s="1" t="n">
        <f aca="false">MAX(0,PR_r1*MIN(AS241,IF(F_Spccc=1,PR_BandSPCCC,PR_Band))+PR_r2*MAX(0,AS241-IF(F_Spccc=1,PR_BandSPCCC,PR_Band))-(PR_Personal+AU241+AW241+IF(F_Spccc=1,PR_SPCCC,0)+IF(AY241=1,PR_Rent,0)))</f>
        <v>0</v>
      </c>
      <c r="BH241" s="1" t="n">
        <f aca="false">IF(C241&gt;=PR_AgeCrAge,IF(AS241&lt;=PR_AgeEx,0,MIN(BG241,PR_AgeMarg*(AS241-PR_AgeEx))),BG241)</f>
        <v>0</v>
      </c>
      <c r="BI241" s="1" t="n">
        <f aca="false">IF(F_Partner=1,MAX(0,PR_r1*MIN(AT241,PR_Band)+PR_r2*MAX(0,AT241-PR_Band)-(PR_Personal+AV241+AX241+IF(AND(AY241=1,AT241&gt;0),PR_Rent,0))),0)</f>
        <v>0</v>
      </c>
      <c r="BJ241" s="1" t="n">
        <f aca="false">IF(AG241&gt;=PR_AgeCrAge,IF(AT241&lt;=PR_AgeEx,0,MIN(BI241,PR_AgeMarg*(AT241-PR_AgeEx))),BI241)</f>
        <v>0</v>
      </c>
      <c r="BK241" s="1" t="n">
        <f aca="false">IF(F_Partner=1,IF(F_Married=1,BF241,BH241+BJ241),BH241)</f>
        <v>0</v>
      </c>
      <c r="BL241" s="1" t="n">
        <f aca="false">AL241+AN241+AO241</f>
        <v>0</v>
      </c>
      <c r="BM241" s="1" t="n">
        <f aca="false">IF(BL241&lt;=PR_USCex,0,IF(IF(AND(C241&gt;=PR_USCredAge,BL241&lt;=PR_USCredMax),1,0)=1,PR_USCr1*MIN(BL241,PR_USCredB1)+PR_USCredR2*MAX(0,BL241-PR_USCredB1),PR_USCr1*MIN(BL241,PR_USCb1)+PR_USCr2*MAX(0,MIN(BL241,PR_USCb2)-PR_USCb1)+PR_USCr3*MAX(0,MIN(BL241,PR_USCb3)-PR_USCb2)+PR_USCr4*MAX(0,BL241-PR_USCb3)))+IF(F_SelfEmp=1,PR_USCse*MAX(0,AL241-PR_USCseOver),0)</f>
        <v>0</v>
      </c>
      <c r="BN241" s="1" t="n">
        <f aca="false">AQ241</f>
        <v>0</v>
      </c>
      <c r="BO241" s="1" t="n">
        <f aca="false">IF(F_Partner=1,IF(BN241&lt;=PR_USCex,0,IF(IF(AND(AG241&gt;=PR_USCredAge,BN241&lt;=PR_USCredMax),1,0)=1,PR_USCr1*MIN(BN241,PR_USCredB1)+PR_USCredR2*MAX(0,BN241-PR_USCredB1),PR_USCr1*MIN(BN241,PR_USCb1)+PR_USCr2*MAX(0,MIN(BN241,PR_USCb2)-PR_USCb1)+PR_USCr3*MAX(0,MIN(BN241,PR_USCb3)-PR_USCb2)+PR_USCr4*MAX(0,BN241-PR_USCb3))),0)</f>
        <v>0</v>
      </c>
      <c r="BP241" s="1" t="n">
        <f aca="false">IF(C241&lt;PR_PRSIend,IF(F_SelfEmp=1,IF(AL241&gt;PR_PRSIsMinInc,MAX(PR_PRSIsMin,AL241*J241),0),IF(AL241/52&lt;=PR_PRSIfree,0,MAX(0,(AL241/52*J241-IF(AL241/52&lt;=PR_PRSIcreditTo,MAX(0,PR_PRSIcreditMax-(AL241/52-(PR_PRSIfree+0.01))/PR_PRSItaper),0))*52)))+J241*AN241+IF(AO241&gt;PR_PRSIunearned,J241*AO241,0),0)</f>
        <v>0</v>
      </c>
      <c r="BQ241" s="1" t="n">
        <f aca="false">IF(AND(F_Partner=1,AG241&lt;PR_PRSIend),IF(AQ241/52&lt;=PR_PRSIfree,0,MAX(0,(AQ241/52*J241-IF(AQ241/52&lt;=PR_PRSIcreditTo,MAX(0,PR_PRSIcreditMax-(AQ241/52-(PR_PRSIfree+0.01))/PR_PRSItaper),0))*52)),0)</f>
        <v>0</v>
      </c>
      <c r="BR241" s="1" t="n">
        <f aca="false">BK241+BM241+BO241+BP241+BQ241</f>
        <v>0</v>
      </c>
      <c r="BS241" s="1" t="n">
        <f aca="false">BR241*H241</f>
        <v>0</v>
      </c>
      <c r="BT241" s="1" t="n">
        <f aca="false">K241+AK241+AC241+AF241+AH241+AI241</f>
        <v>0</v>
      </c>
    </row>
    <row r="242" customFormat="false" ht="15" hidden="false" customHeight="false" outlineLevel="0" collapsed="false">
      <c r="B242" s="1" t="n">
        <v>32</v>
      </c>
      <c r="C242" s="1" t="n">
        <f aca="false">F_Age+B242</f>
        <v>32</v>
      </c>
      <c r="D242" s="1" t="n">
        <f aca="false">AS_Year0+B242</f>
        <v>2059</v>
      </c>
      <c r="E242" s="106" t="n">
        <f aca="false">(1+AS_Infl)^B242</f>
        <v>1.88454059210113</v>
      </c>
      <c r="F242" s="106" t="n">
        <f aca="false">(1+AS_Wage)^B242</f>
        <v>2.57508275568511</v>
      </c>
      <c r="G242" s="1" t="n">
        <f aca="false">IF(C242&lt;F_R,1,0)</f>
        <v>0</v>
      </c>
      <c r="H242" s="106" t="n">
        <f aca="false">IF(AS_Bands="flat",1,E242)</f>
        <v>1.88454059210113</v>
      </c>
      <c r="I242" s="106" t="n">
        <f aca="false">IF(AS_SpGrow="pay",F242,IF(AS_SpGrow="flat",1,E242))</f>
        <v>1.88454059210113</v>
      </c>
      <c r="J242" s="106" t="n">
        <f aca="false">(12*PR_PRSIr0+(PR_PRSIr1-PR_PRSIr0)*MAX(0,MIN(12,D242*12+12-PR_PRSIt1))+(PR_PRSIr2-PR_PRSIr1)*MAX(0,MIN(12,D242*12+12-PR_PRSIt2))+(PR_PRSIr3-PR_PRSIr2)*MAX(0,MIN(12,D242*12+12-PR_PRSIt3)))/12</f>
        <v>0.047</v>
      </c>
      <c r="K242" s="1" t="n">
        <f aca="false">IF(G242=1,F_Income*F242,0)</f>
        <v>0</v>
      </c>
      <c r="L242" s="1" t="n">
        <f aca="false">IF(G242=1,(F_Own+In_penExtra)*12*F242,0)</f>
        <v>0</v>
      </c>
      <c r="M242" s="1" t="n">
        <f aca="false">IF(G242=1,(F_PenM+In_penExtra)*12*F242,0)</f>
        <v>0</v>
      </c>
      <c r="N242" s="107" t="n">
        <f aca="false">IF(C242&lt;PR_RelA1,PR_RelP1,IF(C242&lt;PR_RelA2,PR_RelP2,IF(C242&lt;PR_RelA3,PR_RelP3,IF(C242&lt;PR_RelA4,PR_RelP4,IF(C242&lt;PR_RelA5,PR_RelP5,PR_RelP6)))))</f>
        <v>0.2</v>
      </c>
      <c r="O242" s="1" t="n">
        <f aca="false">IF(G242=1,MIN(L242/H242,N242*MIN(K242/H242,PR_EarnCap))*H242,0)</f>
        <v>0</v>
      </c>
      <c r="P242" s="1" t="n">
        <f aca="false">IF(AND(G242=1,F_AE=1),MIN(K242/H242,PR_AEcap)*H242,0)</f>
        <v>0</v>
      </c>
      <c r="Q242" s="1" t="n">
        <f aca="false">IF(G242=1,IF(WI_Retire=1,MAX(0,M242+WI_M*12),M242)+(PR_AEee+PR_AEer+PR_AEst)*P242,0)</f>
        <v>0</v>
      </c>
      <c r="R242" s="1" t="n">
        <f aca="false">L242+PR_AEee*P242</f>
        <v>0</v>
      </c>
      <c r="S242" s="1" t="n">
        <f aca="false">AD241</f>
        <v>0</v>
      </c>
      <c r="T242" s="1" t="n">
        <f aca="false">IF(D242&lt;=2026,PR_SFT2026,IF(D242=2027,PR_SFT2027,IF(D242=2028,PR_SFT2028,IF(D242=2029,PR_SFT2029,PR_SFT2029*(1+AS_Infl)^(D242-2029)))))</f>
        <v>5071812.43548939</v>
      </c>
      <c r="U242" s="1" t="n">
        <f aca="false">IF(AND(G242=0,C242=F_V),1,0)</f>
        <v>0</v>
      </c>
      <c r="V242" s="1" t="n">
        <f aca="false">IF(U242=1,PR_SFTrate*MAX(0,S242-T242),0)</f>
        <v>0</v>
      </c>
      <c r="W242" s="1" t="n">
        <f aca="false">S242-V242</f>
        <v>0</v>
      </c>
      <c r="X242" s="1" t="n">
        <f aca="false">IF(AND(U242=1,AS_LumpPct&gt;0),W242*MIN(AS_LumpPct,PR_LSmax),0)</f>
        <v>0</v>
      </c>
      <c r="Y242" s="1" t="n">
        <f aca="false">X242-(PR_LSrate*MAX(0,MIN(X242,PR_LScap)-PR_LSfree)+PR_r2*MAX(0,X242-PR_LScap))</f>
        <v>0</v>
      </c>
      <c r="Z242" s="1" t="n">
        <f aca="false">W242-X242</f>
        <v>0</v>
      </c>
      <c r="AA242" s="107" t="n">
        <f aca="false">IF(C242&gt;=61,IF(Z242&gt;PR_ARFbig,PR_ARFbigRate,IF(C242&gt;=71,PR_ARF71,PR_ARF61)),0)</f>
        <v>0</v>
      </c>
      <c r="AB242" s="1" t="n">
        <f aca="false">IF(AS_DrawRule="min",Z242*AA242,IF(AS_DrawRule="fixed",MAX(AS_DrawFixed*E242,Z242*AA242),Z242*MAX(1/MAX(1,AS_End-C242+1),AA242)))</f>
        <v>0</v>
      </c>
      <c r="AC242" s="1" t="n">
        <f aca="false">IF(AND(G242=0,C242&gt;=F_V),MIN(Z242,AB242),0)</f>
        <v>0</v>
      </c>
      <c r="AD242" s="1" t="n">
        <f aca="false">IF(G242=1,S242*(1+F_PenG)+Q242,IF(C242&lt;F_V,S242*(1+F_PenG),(Z242-AC242)*(1+AS_PenRet)))</f>
        <v>0</v>
      </c>
      <c r="AE242" s="1" t="n">
        <f aca="false">IF(C242&gt;=PR_SPage,AS_SP*F_SpF*I242+IF(C242&gt;=80,PR_Over80*PR_Weeks*I242,0),0)</f>
        <v>0</v>
      </c>
      <c r="AF242" s="1" t="n">
        <f aca="false">(F_OtherM+F_RentM)*12*E242</f>
        <v>0</v>
      </c>
      <c r="AG242" s="1" t="n">
        <f aca="false">F_PAge+B242</f>
        <v>32</v>
      </c>
      <c r="AH242" s="1" t="n">
        <f aca="false">IF(AND(F_Partner=1,F_PAge&gt;0,AG242&lt;IF(F_PRet&gt;0,F_PRet,66)),F_PIncome*F242,0)</f>
        <v>0</v>
      </c>
      <c r="AI242" s="1" t="n">
        <f aca="false">IF(AND(F_Partner=1,AG242&gt;=66,F_PSpQA=0),AS_SP*F_PSpF*I242,0)</f>
        <v>0</v>
      </c>
      <c r="AJ242" s="1" t="n">
        <f aca="false">IF(AND(F_Partner=1,F_PSpQA=1,C242&gt;=PR_SPage,AH242=0),IF(AG242&gt;=66,PR_QA66,PR_QAunder)*PR_Weeks*I242,0)</f>
        <v>0</v>
      </c>
      <c r="AK242" s="1" t="n">
        <f aca="false">AE242+AJ242</f>
        <v>0</v>
      </c>
      <c r="AL242" s="1" t="n">
        <f aca="false">K242/H242</f>
        <v>0</v>
      </c>
      <c r="AM242" s="1" t="n">
        <f aca="false">AK242/H242</f>
        <v>0</v>
      </c>
      <c r="AN242" s="1" t="n">
        <f aca="false">AC242/H242</f>
        <v>0</v>
      </c>
      <c r="AO242" s="1" t="n">
        <f aca="false">AF242/H242</f>
        <v>0</v>
      </c>
      <c r="AP242" s="1" t="n">
        <f aca="false">O242/H242</f>
        <v>0</v>
      </c>
      <c r="AQ242" s="1" t="n">
        <f aca="false">AH242/H242</f>
        <v>0</v>
      </c>
      <c r="AR242" s="1" t="n">
        <f aca="false">AI242/H242</f>
        <v>0</v>
      </c>
      <c r="AS242" s="1" t="n">
        <f aca="false">MAX(0,AL242+AN242+AO242+AM242-AP242)</f>
        <v>0</v>
      </c>
      <c r="AT242" s="1" t="n">
        <f aca="false">MAX(0,AQ242+AR242)</f>
        <v>0</v>
      </c>
      <c r="AU242" s="1" t="n">
        <f aca="false">MIN(PR_PAYE,PR_PAYEcap*(AL242+AN242+AM242))</f>
        <v>0</v>
      </c>
      <c r="AV242" s="1" t="n">
        <f aca="false">MIN(PR_PAYE,PR_PAYEcap*(AQ242+AR242))</f>
        <v>0</v>
      </c>
      <c r="AW242" s="1" t="n">
        <f aca="false">IF(C242&gt;=PR_AgeCrAge,PR_AgeCr,0)</f>
        <v>0</v>
      </c>
      <c r="AX242" s="1" t="n">
        <f aca="false">IF(AG242&gt;=PR_AgeCrAge,PR_AgeCr,0)</f>
        <v>0</v>
      </c>
      <c r="AY242" s="1" t="n">
        <f aca="false">IF(AND(F_RentCred=1,D242&lt;=PR_RentLast),1,0)</f>
        <v>0</v>
      </c>
      <c r="AZ242" s="1" t="n">
        <f aca="false">AS242+AT242</f>
        <v>0</v>
      </c>
      <c r="BA242" s="1" t="n">
        <f aca="false">PR_PersonalM+AU242+AV242+AW242+AX242+IF(AY242=1,PR_RentJoint,0)</f>
        <v>4000</v>
      </c>
      <c r="BB242" s="1" t="n">
        <f aca="false">PR_BandM+MIN(MIN(AS242,AT242),PR_Uplift)</f>
        <v>53000</v>
      </c>
      <c r="BC242" s="1" t="n">
        <f aca="false">MAX(0,PR_r1*MIN(AZ242,BB242)+PR_r2*MAX(0,AZ242-BB242)-BA242)</f>
        <v>0</v>
      </c>
      <c r="BD242" s="1" t="n">
        <f aca="false">MAX(0,PR_HomeCarer-MAX(0,MIN(AS242,AT242)-PR_HCLimit)/2)</f>
        <v>1950</v>
      </c>
      <c r="BE242" s="1" t="n">
        <f aca="false">IF(F_Carer=1,MIN(BC242,MAX(0,PR_r1*MIN(AZ242,PR_BandM)+PR_r2*MAX(0,AZ242-PR_BandM)-BA242-BD242)),BC242)</f>
        <v>0</v>
      </c>
      <c r="BF242" s="1" t="n">
        <f aca="false">IF(OR(C242&gt;=PR_AgeCrAge,AG242&gt;=PR_AgeCrAge),IF(AZ242&lt;=PR_AgeExM,0,MIN(BE242,PR_AgeMarg*(AZ242-PR_AgeExM))),BE242)</f>
        <v>0</v>
      </c>
      <c r="BG242" s="1" t="n">
        <f aca="false">MAX(0,PR_r1*MIN(AS242,IF(F_Spccc=1,PR_BandSPCCC,PR_Band))+PR_r2*MAX(0,AS242-IF(F_Spccc=1,PR_BandSPCCC,PR_Band))-(PR_Personal+AU242+AW242+IF(F_Spccc=1,PR_SPCCC,0)+IF(AY242=1,PR_Rent,0)))</f>
        <v>0</v>
      </c>
      <c r="BH242" s="1" t="n">
        <f aca="false">IF(C242&gt;=PR_AgeCrAge,IF(AS242&lt;=PR_AgeEx,0,MIN(BG242,PR_AgeMarg*(AS242-PR_AgeEx))),BG242)</f>
        <v>0</v>
      </c>
      <c r="BI242" s="1" t="n">
        <f aca="false">IF(F_Partner=1,MAX(0,PR_r1*MIN(AT242,PR_Band)+PR_r2*MAX(0,AT242-PR_Band)-(PR_Personal+AV242+AX242+IF(AND(AY242=1,AT242&gt;0),PR_Rent,0))),0)</f>
        <v>0</v>
      </c>
      <c r="BJ242" s="1" t="n">
        <f aca="false">IF(AG242&gt;=PR_AgeCrAge,IF(AT242&lt;=PR_AgeEx,0,MIN(BI242,PR_AgeMarg*(AT242-PR_AgeEx))),BI242)</f>
        <v>0</v>
      </c>
      <c r="BK242" s="1" t="n">
        <f aca="false">IF(F_Partner=1,IF(F_Married=1,BF242,BH242+BJ242),BH242)</f>
        <v>0</v>
      </c>
      <c r="BL242" s="1" t="n">
        <f aca="false">AL242+AN242+AO242</f>
        <v>0</v>
      </c>
      <c r="BM242" s="1" t="n">
        <f aca="false">IF(BL242&lt;=PR_USCex,0,IF(IF(AND(C242&gt;=PR_USCredAge,BL242&lt;=PR_USCredMax),1,0)=1,PR_USCr1*MIN(BL242,PR_USCredB1)+PR_USCredR2*MAX(0,BL242-PR_USCredB1),PR_USCr1*MIN(BL242,PR_USCb1)+PR_USCr2*MAX(0,MIN(BL242,PR_USCb2)-PR_USCb1)+PR_USCr3*MAX(0,MIN(BL242,PR_USCb3)-PR_USCb2)+PR_USCr4*MAX(0,BL242-PR_USCb3)))+IF(F_SelfEmp=1,PR_USCse*MAX(0,AL242-PR_USCseOver),0)</f>
        <v>0</v>
      </c>
      <c r="BN242" s="1" t="n">
        <f aca="false">AQ242</f>
        <v>0</v>
      </c>
      <c r="BO242" s="1" t="n">
        <f aca="false">IF(F_Partner=1,IF(BN242&lt;=PR_USCex,0,IF(IF(AND(AG242&gt;=PR_USCredAge,BN242&lt;=PR_USCredMax),1,0)=1,PR_USCr1*MIN(BN242,PR_USCredB1)+PR_USCredR2*MAX(0,BN242-PR_USCredB1),PR_USCr1*MIN(BN242,PR_USCb1)+PR_USCr2*MAX(0,MIN(BN242,PR_USCb2)-PR_USCb1)+PR_USCr3*MAX(0,MIN(BN242,PR_USCb3)-PR_USCb2)+PR_USCr4*MAX(0,BN242-PR_USCb3))),0)</f>
        <v>0</v>
      </c>
      <c r="BP242" s="1" t="n">
        <f aca="false">IF(C242&lt;PR_PRSIend,IF(F_SelfEmp=1,IF(AL242&gt;PR_PRSIsMinInc,MAX(PR_PRSIsMin,AL242*J242),0),IF(AL242/52&lt;=PR_PRSIfree,0,MAX(0,(AL242/52*J242-IF(AL242/52&lt;=PR_PRSIcreditTo,MAX(0,PR_PRSIcreditMax-(AL242/52-(PR_PRSIfree+0.01))/PR_PRSItaper),0))*52)))+J242*AN242+IF(AO242&gt;PR_PRSIunearned,J242*AO242,0),0)</f>
        <v>0</v>
      </c>
      <c r="BQ242" s="1" t="n">
        <f aca="false">IF(AND(F_Partner=1,AG242&lt;PR_PRSIend),IF(AQ242/52&lt;=PR_PRSIfree,0,MAX(0,(AQ242/52*J242-IF(AQ242/52&lt;=PR_PRSIcreditTo,MAX(0,PR_PRSIcreditMax-(AQ242/52-(PR_PRSIfree+0.01))/PR_PRSItaper),0))*52)),0)</f>
        <v>0</v>
      </c>
      <c r="BR242" s="1" t="n">
        <f aca="false">BK242+BM242+BO242+BP242+BQ242</f>
        <v>0</v>
      </c>
      <c r="BS242" s="1" t="n">
        <f aca="false">BR242*H242</f>
        <v>0</v>
      </c>
      <c r="BT242" s="1" t="n">
        <f aca="false">K242+AK242+AC242+AF242+AH242+AI242</f>
        <v>0</v>
      </c>
    </row>
    <row r="243" customFormat="false" ht="15" hidden="false" customHeight="false" outlineLevel="0" collapsed="false">
      <c r="B243" s="1" t="n">
        <v>33</v>
      </c>
      <c r="C243" s="1" t="n">
        <f aca="false">F_Age+B243</f>
        <v>33</v>
      </c>
      <c r="D243" s="1" t="n">
        <f aca="false">AS_Year0+B243</f>
        <v>2060</v>
      </c>
      <c r="E243" s="106" t="n">
        <f aca="false">(1+AS_Infl)^B243</f>
        <v>1.92223140394315</v>
      </c>
      <c r="F243" s="106" t="n">
        <f aca="false">(1+AS_Wage)^B243</f>
        <v>2.65233523835567</v>
      </c>
      <c r="G243" s="1" t="n">
        <f aca="false">IF(C243&lt;F_R,1,0)</f>
        <v>0</v>
      </c>
      <c r="H243" s="106" t="n">
        <f aca="false">IF(AS_Bands="flat",1,E243)</f>
        <v>1.92223140394315</v>
      </c>
      <c r="I243" s="106" t="n">
        <f aca="false">IF(AS_SpGrow="pay",F243,IF(AS_SpGrow="flat",1,E243))</f>
        <v>1.92223140394315</v>
      </c>
      <c r="J243" s="106" t="n">
        <f aca="false">(12*PR_PRSIr0+(PR_PRSIr1-PR_PRSIr0)*MAX(0,MIN(12,D243*12+12-PR_PRSIt1))+(PR_PRSIr2-PR_PRSIr1)*MAX(0,MIN(12,D243*12+12-PR_PRSIt2))+(PR_PRSIr3-PR_PRSIr2)*MAX(0,MIN(12,D243*12+12-PR_PRSIt3)))/12</f>
        <v>0.047</v>
      </c>
      <c r="K243" s="1" t="n">
        <f aca="false">IF(G243=1,F_Income*F243,0)</f>
        <v>0</v>
      </c>
      <c r="L243" s="1" t="n">
        <f aca="false">IF(G243=1,(F_Own+In_penExtra)*12*F243,0)</f>
        <v>0</v>
      </c>
      <c r="M243" s="1" t="n">
        <f aca="false">IF(G243=1,(F_PenM+In_penExtra)*12*F243,0)</f>
        <v>0</v>
      </c>
      <c r="N243" s="107" t="n">
        <f aca="false">IF(C243&lt;PR_RelA1,PR_RelP1,IF(C243&lt;PR_RelA2,PR_RelP2,IF(C243&lt;PR_RelA3,PR_RelP3,IF(C243&lt;PR_RelA4,PR_RelP4,IF(C243&lt;PR_RelA5,PR_RelP5,PR_RelP6)))))</f>
        <v>0.2</v>
      </c>
      <c r="O243" s="1" t="n">
        <f aca="false">IF(G243=1,MIN(L243/H243,N243*MIN(K243/H243,PR_EarnCap))*H243,0)</f>
        <v>0</v>
      </c>
      <c r="P243" s="1" t="n">
        <f aca="false">IF(AND(G243=1,F_AE=1),MIN(K243/H243,PR_AEcap)*H243,0)</f>
        <v>0</v>
      </c>
      <c r="Q243" s="1" t="n">
        <f aca="false">IF(G243=1,IF(WI_Retire=1,MAX(0,M243+WI_M*12),M243)+(PR_AEee+PR_AEer+PR_AEst)*P243,0)</f>
        <v>0</v>
      </c>
      <c r="R243" s="1" t="n">
        <f aca="false">L243+PR_AEee*P243</f>
        <v>0</v>
      </c>
      <c r="S243" s="1" t="n">
        <f aca="false">AD242</f>
        <v>0</v>
      </c>
      <c r="T243" s="1" t="n">
        <f aca="false">IF(D243&lt;=2026,PR_SFT2026,IF(D243=2027,PR_SFT2027,IF(D243=2028,PR_SFT2028,IF(D243=2029,PR_SFT2029,PR_SFT2029*(1+AS_Infl)^(D243-2029)))))</f>
        <v>5173248.68419918</v>
      </c>
      <c r="U243" s="1" t="n">
        <f aca="false">IF(AND(G243=0,C243=F_V),1,0)</f>
        <v>0</v>
      </c>
      <c r="V243" s="1" t="n">
        <f aca="false">IF(U243=1,PR_SFTrate*MAX(0,S243-T243),0)</f>
        <v>0</v>
      </c>
      <c r="W243" s="1" t="n">
        <f aca="false">S243-V243</f>
        <v>0</v>
      </c>
      <c r="X243" s="1" t="n">
        <f aca="false">IF(AND(U243=1,AS_LumpPct&gt;0),W243*MIN(AS_LumpPct,PR_LSmax),0)</f>
        <v>0</v>
      </c>
      <c r="Y243" s="1" t="n">
        <f aca="false">X243-(PR_LSrate*MAX(0,MIN(X243,PR_LScap)-PR_LSfree)+PR_r2*MAX(0,X243-PR_LScap))</f>
        <v>0</v>
      </c>
      <c r="Z243" s="1" t="n">
        <f aca="false">W243-X243</f>
        <v>0</v>
      </c>
      <c r="AA243" s="107" t="n">
        <f aca="false">IF(C243&gt;=61,IF(Z243&gt;PR_ARFbig,PR_ARFbigRate,IF(C243&gt;=71,PR_ARF71,PR_ARF61)),0)</f>
        <v>0</v>
      </c>
      <c r="AB243" s="1" t="n">
        <f aca="false">IF(AS_DrawRule="min",Z243*AA243,IF(AS_DrawRule="fixed",MAX(AS_DrawFixed*E243,Z243*AA243),Z243*MAX(1/MAX(1,AS_End-C243+1),AA243)))</f>
        <v>0</v>
      </c>
      <c r="AC243" s="1" t="n">
        <f aca="false">IF(AND(G243=0,C243&gt;=F_V),MIN(Z243,AB243),0)</f>
        <v>0</v>
      </c>
      <c r="AD243" s="1" t="n">
        <f aca="false">IF(G243=1,S243*(1+F_PenG)+Q243,IF(C243&lt;F_V,S243*(1+F_PenG),(Z243-AC243)*(1+AS_PenRet)))</f>
        <v>0</v>
      </c>
      <c r="AE243" s="1" t="n">
        <f aca="false">IF(C243&gt;=PR_SPage,AS_SP*F_SpF*I243+IF(C243&gt;=80,PR_Over80*PR_Weeks*I243,0),0)</f>
        <v>0</v>
      </c>
      <c r="AF243" s="1" t="n">
        <f aca="false">(F_OtherM+F_RentM)*12*E243</f>
        <v>0</v>
      </c>
      <c r="AG243" s="1" t="n">
        <f aca="false">F_PAge+B243</f>
        <v>33</v>
      </c>
      <c r="AH243" s="1" t="n">
        <f aca="false">IF(AND(F_Partner=1,F_PAge&gt;0,AG243&lt;IF(F_PRet&gt;0,F_PRet,66)),F_PIncome*F243,0)</f>
        <v>0</v>
      </c>
      <c r="AI243" s="1" t="n">
        <f aca="false">IF(AND(F_Partner=1,AG243&gt;=66,F_PSpQA=0),AS_SP*F_PSpF*I243,0)</f>
        <v>0</v>
      </c>
      <c r="AJ243" s="1" t="n">
        <f aca="false">IF(AND(F_Partner=1,F_PSpQA=1,C243&gt;=PR_SPage,AH243=0),IF(AG243&gt;=66,PR_QA66,PR_QAunder)*PR_Weeks*I243,0)</f>
        <v>0</v>
      </c>
      <c r="AK243" s="1" t="n">
        <f aca="false">AE243+AJ243</f>
        <v>0</v>
      </c>
      <c r="AL243" s="1" t="n">
        <f aca="false">K243/H243</f>
        <v>0</v>
      </c>
      <c r="AM243" s="1" t="n">
        <f aca="false">AK243/H243</f>
        <v>0</v>
      </c>
      <c r="AN243" s="1" t="n">
        <f aca="false">AC243/H243</f>
        <v>0</v>
      </c>
      <c r="AO243" s="1" t="n">
        <f aca="false">AF243/H243</f>
        <v>0</v>
      </c>
      <c r="AP243" s="1" t="n">
        <f aca="false">O243/H243</f>
        <v>0</v>
      </c>
      <c r="AQ243" s="1" t="n">
        <f aca="false">AH243/H243</f>
        <v>0</v>
      </c>
      <c r="AR243" s="1" t="n">
        <f aca="false">AI243/H243</f>
        <v>0</v>
      </c>
      <c r="AS243" s="1" t="n">
        <f aca="false">MAX(0,AL243+AN243+AO243+AM243-AP243)</f>
        <v>0</v>
      </c>
      <c r="AT243" s="1" t="n">
        <f aca="false">MAX(0,AQ243+AR243)</f>
        <v>0</v>
      </c>
      <c r="AU243" s="1" t="n">
        <f aca="false">MIN(PR_PAYE,PR_PAYEcap*(AL243+AN243+AM243))</f>
        <v>0</v>
      </c>
      <c r="AV243" s="1" t="n">
        <f aca="false">MIN(PR_PAYE,PR_PAYEcap*(AQ243+AR243))</f>
        <v>0</v>
      </c>
      <c r="AW243" s="1" t="n">
        <f aca="false">IF(C243&gt;=PR_AgeCrAge,PR_AgeCr,0)</f>
        <v>0</v>
      </c>
      <c r="AX243" s="1" t="n">
        <f aca="false">IF(AG243&gt;=PR_AgeCrAge,PR_AgeCr,0)</f>
        <v>0</v>
      </c>
      <c r="AY243" s="1" t="n">
        <f aca="false">IF(AND(F_RentCred=1,D243&lt;=PR_RentLast),1,0)</f>
        <v>0</v>
      </c>
      <c r="AZ243" s="1" t="n">
        <f aca="false">AS243+AT243</f>
        <v>0</v>
      </c>
      <c r="BA243" s="1" t="n">
        <f aca="false">PR_PersonalM+AU243+AV243+AW243+AX243+IF(AY243=1,PR_RentJoint,0)</f>
        <v>4000</v>
      </c>
      <c r="BB243" s="1" t="n">
        <f aca="false">PR_BandM+MIN(MIN(AS243,AT243),PR_Uplift)</f>
        <v>53000</v>
      </c>
      <c r="BC243" s="1" t="n">
        <f aca="false">MAX(0,PR_r1*MIN(AZ243,BB243)+PR_r2*MAX(0,AZ243-BB243)-BA243)</f>
        <v>0</v>
      </c>
      <c r="BD243" s="1" t="n">
        <f aca="false">MAX(0,PR_HomeCarer-MAX(0,MIN(AS243,AT243)-PR_HCLimit)/2)</f>
        <v>1950</v>
      </c>
      <c r="BE243" s="1" t="n">
        <f aca="false">IF(F_Carer=1,MIN(BC243,MAX(0,PR_r1*MIN(AZ243,PR_BandM)+PR_r2*MAX(0,AZ243-PR_BandM)-BA243-BD243)),BC243)</f>
        <v>0</v>
      </c>
      <c r="BF243" s="1" t="n">
        <f aca="false">IF(OR(C243&gt;=PR_AgeCrAge,AG243&gt;=PR_AgeCrAge),IF(AZ243&lt;=PR_AgeExM,0,MIN(BE243,PR_AgeMarg*(AZ243-PR_AgeExM))),BE243)</f>
        <v>0</v>
      </c>
      <c r="BG243" s="1" t="n">
        <f aca="false">MAX(0,PR_r1*MIN(AS243,IF(F_Spccc=1,PR_BandSPCCC,PR_Band))+PR_r2*MAX(0,AS243-IF(F_Spccc=1,PR_BandSPCCC,PR_Band))-(PR_Personal+AU243+AW243+IF(F_Spccc=1,PR_SPCCC,0)+IF(AY243=1,PR_Rent,0)))</f>
        <v>0</v>
      </c>
      <c r="BH243" s="1" t="n">
        <f aca="false">IF(C243&gt;=PR_AgeCrAge,IF(AS243&lt;=PR_AgeEx,0,MIN(BG243,PR_AgeMarg*(AS243-PR_AgeEx))),BG243)</f>
        <v>0</v>
      </c>
      <c r="BI243" s="1" t="n">
        <f aca="false">IF(F_Partner=1,MAX(0,PR_r1*MIN(AT243,PR_Band)+PR_r2*MAX(0,AT243-PR_Band)-(PR_Personal+AV243+AX243+IF(AND(AY243=1,AT243&gt;0),PR_Rent,0))),0)</f>
        <v>0</v>
      </c>
      <c r="BJ243" s="1" t="n">
        <f aca="false">IF(AG243&gt;=PR_AgeCrAge,IF(AT243&lt;=PR_AgeEx,0,MIN(BI243,PR_AgeMarg*(AT243-PR_AgeEx))),BI243)</f>
        <v>0</v>
      </c>
      <c r="BK243" s="1" t="n">
        <f aca="false">IF(F_Partner=1,IF(F_Married=1,BF243,BH243+BJ243),BH243)</f>
        <v>0</v>
      </c>
      <c r="BL243" s="1" t="n">
        <f aca="false">AL243+AN243+AO243</f>
        <v>0</v>
      </c>
      <c r="BM243" s="1" t="n">
        <f aca="false">IF(BL243&lt;=PR_USCex,0,IF(IF(AND(C243&gt;=PR_USCredAge,BL243&lt;=PR_USCredMax),1,0)=1,PR_USCr1*MIN(BL243,PR_USCredB1)+PR_USCredR2*MAX(0,BL243-PR_USCredB1),PR_USCr1*MIN(BL243,PR_USCb1)+PR_USCr2*MAX(0,MIN(BL243,PR_USCb2)-PR_USCb1)+PR_USCr3*MAX(0,MIN(BL243,PR_USCb3)-PR_USCb2)+PR_USCr4*MAX(0,BL243-PR_USCb3)))+IF(F_SelfEmp=1,PR_USCse*MAX(0,AL243-PR_USCseOver),0)</f>
        <v>0</v>
      </c>
      <c r="BN243" s="1" t="n">
        <f aca="false">AQ243</f>
        <v>0</v>
      </c>
      <c r="BO243" s="1" t="n">
        <f aca="false">IF(F_Partner=1,IF(BN243&lt;=PR_USCex,0,IF(IF(AND(AG243&gt;=PR_USCredAge,BN243&lt;=PR_USCredMax),1,0)=1,PR_USCr1*MIN(BN243,PR_USCredB1)+PR_USCredR2*MAX(0,BN243-PR_USCredB1),PR_USCr1*MIN(BN243,PR_USCb1)+PR_USCr2*MAX(0,MIN(BN243,PR_USCb2)-PR_USCb1)+PR_USCr3*MAX(0,MIN(BN243,PR_USCb3)-PR_USCb2)+PR_USCr4*MAX(0,BN243-PR_USCb3))),0)</f>
        <v>0</v>
      </c>
      <c r="BP243" s="1" t="n">
        <f aca="false">IF(C243&lt;PR_PRSIend,IF(F_SelfEmp=1,IF(AL243&gt;PR_PRSIsMinInc,MAX(PR_PRSIsMin,AL243*J243),0),IF(AL243/52&lt;=PR_PRSIfree,0,MAX(0,(AL243/52*J243-IF(AL243/52&lt;=PR_PRSIcreditTo,MAX(0,PR_PRSIcreditMax-(AL243/52-(PR_PRSIfree+0.01))/PR_PRSItaper),0))*52)))+J243*AN243+IF(AO243&gt;PR_PRSIunearned,J243*AO243,0),0)</f>
        <v>0</v>
      </c>
      <c r="BQ243" s="1" t="n">
        <f aca="false">IF(AND(F_Partner=1,AG243&lt;PR_PRSIend),IF(AQ243/52&lt;=PR_PRSIfree,0,MAX(0,(AQ243/52*J243-IF(AQ243/52&lt;=PR_PRSIcreditTo,MAX(0,PR_PRSIcreditMax-(AQ243/52-(PR_PRSIfree+0.01))/PR_PRSItaper),0))*52)),0)</f>
        <v>0</v>
      </c>
      <c r="BR243" s="1" t="n">
        <f aca="false">BK243+BM243+BO243+BP243+BQ243</f>
        <v>0</v>
      </c>
      <c r="BS243" s="1" t="n">
        <f aca="false">BR243*H243</f>
        <v>0</v>
      </c>
      <c r="BT243" s="1" t="n">
        <f aca="false">K243+AK243+AC243+AF243+AH243+AI243</f>
        <v>0</v>
      </c>
    </row>
    <row r="244" customFormat="false" ht="15" hidden="false" customHeight="false" outlineLevel="0" collapsed="false">
      <c r="B244" s="1" t="n">
        <v>34</v>
      </c>
      <c r="C244" s="1" t="n">
        <f aca="false">F_Age+B244</f>
        <v>34</v>
      </c>
      <c r="D244" s="1" t="n">
        <f aca="false">AS_Year0+B244</f>
        <v>2061</v>
      </c>
      <c r="E244" s="106" t="n">
        <f aca="false">(1+AS_Infl)^B244</f>
        <v>1.96067603202202</v>
      </c>
      <c r="F244" s="106" t="n">
        <f aca="false">(1+AS_Wage)^B244</f>
        <v>2.73190529550634</v>
      </c>
      <c r="G244" s="1" t="n">
        <f aca="false">IF(C244&lt;F_R,1,0)</f>
        <v>0</v>
      </c>
      <c r="H244" s="106" t="n">
        <f aca="false">IF(AS_Bands="flat",1,E244)</f>
        <v>1.96067603202202</v>
      </c>
      <c r="I244" s="106" t="n">
        <f aca="false">IF(AS_SpGrow="pay",F244,IF(AS_SpGrow="flat",1,E244))</f>
        <v>1.96067603202202</v>
      </c>
      <c r="J244" s="106" t="n">
        <f aca="false">(12*PR_PRSIr0+(PR_PRSIr1-PR_PRSIr0)*MAX(0,MIN(12,D244*12+12-PR_PRSIt1))+(PR_PRSIr2-PR_PRSIr1)*MAX(0,MIN(12,D244*12+12-PR_PRSIt2))+(PR_PRSIr3-PR_PRSIr2)*MAX(0,MIN(12,D244*12+12-PR_PRSIt3)))/12</f>
        <v>0.047</v>
      </c>
      <c r="K244" s="1" t="n">
        <f aca="false">IF(G244=1,F_Income*F244,0)</f>
        <v>0</v>
      </c>
      <c r="L244" s="1" t="n">
        <f aca="false">IF(G244=1,(F_Own+In_penExtra)*12*F244,0)</f>
        <v>0</v>
      </c>
      <c r="M244" s="1" t="n">
        <f aca="false">IF(G244=1,(F_PenM+In_penExtra)*12*F244,0)</f>
        <v>0</v>
      </c>
      <c r="N244" s="107" t="n">
        <f aca="false">IF(C244&lt;PR_RelA1,PR_RelP1,IF(C244&lt;PR_RelA2,PR_RelP2,IF(C244&lt;PR_RelA3,PR_RelP3,IF(C244&lt;PR_RelA4,PR_RelP4,IF(C244&lt;PR_RelA5,PR_RelP5,PR_RelP6)))))</f>
        <v>0.2</v>
      </c>
      <c r="O244" s="1" t="n">
        <f aca="false">IF(G244=1,MIN(L244/H244,N244*MIN(K244/H244,PR_EarnCap))*H244,0)</f>
        <v>0</v>
      </c>
      <c r="P244" s="1" t="n">
        <f aca="false">IF(AND(G244=1,F_AE=1),MIN(K244/H244,PR_AEcap)*H244,0)</f>
        <v>0</v>
      </c>
      <c r="Q244" s="1" t="n">
        <f aca="false">IF(G244=1,IF(WI_Retire=1,MAX(0,M244+WI_M*12),M244)+(PR_AEee+PR_AEer+PR_AEst)*P244,0)</f>
        <v>0</v>
      </c>
      <c r="R244" s="1" t="n">
        <f aca="false">L244+PR_AEee*P244</f>
        <v>0</v>
      </c>
      <c r="S244" s="1" t="n">
        <f aca="false">AD243</f>
        <v>0</v>
      </c>
      <c r="T244" s="1" t="n">
        <f aca="false">IF(D244&lt;=2026,PR_SFT2026,IF(D244=2027,PR_SFT2027,IF(D244=2028,PR_SFT2028,IF(D244=2029,PR_SFT2029,PR_SFT2029*(1+AS_Infl)^(D244-2029)))))</f>
        <v>5276713.65788316</v>
      </c>
      <c r="U244" s="1" t="n">
        <f aca="false">IF(AND(G244=0,C244=F_V),1,0)</f>
        <v>0</v>
      </c>
      <c r="V244" s="1" t="n">
        <f aca="false">IF(U244=1,PR_SFTrate*MAX(0,S244-T244),0)</f>
        <v>0</v>
      </c>
      <c r="W244" s="1" t="n">
        <f aca="false">S244-V244</f>
        <v>0</v>
      </c>
      <c r="X244" s="1" t="n">
        <f aca="false">IF(AND(U244=1,AS_LumpPct&gt;0),W244*MIN(AS_LumpPct,PR_LSmax),0)</f>
        <v>0</v>
      </c>
      <c r="Y244" s="1" t="n">
        <f aca="false">X244-(PR_LSrate*MAX(0,MIN(X244,PR_LScap)-PR_LSfree)+PR_r2*MAX(0,X244-PR_LScap))</f>
        <v>0</v>
      </c>
      <c r="Z244" s="1" t="n">
        <f aca="false">W244-X244</f>
        <v>0</v>
      </c>
      <c r="AA244" s="107" t="n">
        <f aca="false">IF(C244&gt;=61,IF(Z244&gt;PR_ARFbig,PR_ARFbigRate,IF(C244&gt;=71,PR_ARF71,PR_ARF61)),0)</f>
        <v>0</v>
      </c>
      <c r="AB244" s="1" t="n">
        <f aca="false">IF(AS_DrawRule="min",Z244*AA244,IF(AS_DrawRule="fixed",MAX(AS_DrawFixed*E244,Z244*AA244),Z244*MAX(1/MAX(1,AS_End-C244+1),AA244)))</f>
        <v>0</v>
      </c>
      <c r="AC244" s="1" t="n">
        <f aca="false">IF(AND(G244=0,C244&gt;=F_V),MIN(Z244,AB244),0)</f>
        <v>0</v>
      </c>
      <c r="AD244" s="1" t="n">
        <f aca="false">IF(G244=1,S244*(1+F_PenG)+Q244,IF(C244&lt;F_V,S244*(1+F_PenG),(Z244-AC244)*(1+AS_PenRet)))</f>
        <v>0</v>
      </c>
      <c r="AE244" s="1" t="n">
        <f aca="false">IF(C244&gt;=PR_SPage,AS_SP*F_SpF*I244+IF(C244&gt;=80,PR_Over80*PR_Weeks*I244,0),0)</f>
        <v>0</v>
      </c>
      <c r="AF244" s="1" t="n">
        <f aca="false">(F_OtherM+F_RentM)*12*E244</f>
        <v>0</v>
      </c>
      <c r="AG244" s="1" t="n">
        <f aca="false">F_PAge+B244</f>
        <v>34</v>
      </c>
      <c r="AH244" s="1" t="n">
        <f aca="false">IF(AND(F_Partner=1,F_PAge&gt;0,AG244&lt;IF(F_PRet&gt;0,F_PRet,66)),F_PIncome*F244,0)</f>
        <v>0</v>
      </c>
      <c r="AI244" s="1" t="n">
        <f aca="false">IF(AND(F_Partner=1,AG244&gt;=66,F_PSpQA=0),AS_SP*F_PSpF*I244,0)</f>
        <v>0</v>
      </c>
      <c r="AJ244" s="1" t="n">
        <f aca="false">IF(AND(F_Partner=1,F_PSpQA=1,C244&gt;=PR_SPage,AH244=0),IF(AG244&gt;=66,PR_QA66,PR_QAunder)*PR_Weeks*I244,0)</f>
        <v>0</v>
      </c>
      <c r="AK244" s="1" t="n">
        <f aca="false">AE244+AJ244</f>
        <v>0</v>
      </c>
      <c r="AL244" s="1" t="n">
        <f aca="false">K244/H244</f>
        <v>0</v>
      </c>
      <c r="AM244" s="1" t="n">
        <f aca="false">AK244/H244</f>
        <v>0</v>
      </c>
      <c r="AN244" s="1" t="n">
        <f aca="false">AC244/H244</f>
        <v>0</v>
      </c>
      <c r="AO244" s="1" t="n">
        <f aca="false">AF244/H244</f>
        <v>0</v>
      </c>
      <c r="AP244" s="1" t="n">
        <f aca="false">O244/H244</f>
        <v>0</v>
      </c>
      <c r="AQ244" s="1" t="n">
        <f aca="false">AH244/H244</f>
        <v>0</v>
      </c>
      <c r="AR244" s="1" t="n">
        <f aca="false">AI244/H244</f>
        <v>0</v>
      </c>
      <c r="AS244" s="1" t="n">
        <f aca="false">MAX(0,AL244+AN244+AO244+AM244-AP244)</f>
        <v>0</v>
      </c>
      <c r="AT244" s="1" t="n">
        <f aca="false">MAX(0,AQ244+AR244)</f>
        <v>0</v>
      </c>
      <c r="AU244" s="1" t="n">
        <f aca="false">MIN(PR_PAYE,PR_PAYEcap*(AL244+AN244+AM244))</f>
        <v>0</v>
      </c>
      <c r="AV244" s="1" t="n">
        <f aca="false">MIN(PR_PAYE,PR_PAYEcap*(AQ244+AR244))</f>
        <v>0</v>
      </c>
      <c r="AW244" s="1" t="n">
        <f aca="false">IF(C244&gt;=PR_AgeCrAge,PR_AgeCr,0)</f>
        <v>0</v>
      </c>
      <c r="AX244" s="1" t="n">
        <f aca="false">IF(AG244&gt;=PR_AgeCrAge,PR_AgeCr,0)</f>
        <v>0</v>
      </c>
      <c r="AY244" s="1" t="n">
        <f aca="false">IF(AND(F_RentCred=1,D244&lt;=PR_RentLast),1,0)</f>
        <v>0</v>
      </c>
      <c r="AZ244" s="1" t="n">
        <f aca="false">AS244+AT244</f>
        <v>0</v>
      </c>
      <c r="BA244" s="1" t="n">
        <f aca="false">PR_PersonalM+AU244+AV244+AW244+AX244+IF(AY244=1,PR_RentJoint,0)</f>
        <v>4000</v>
      </c>
      <c r="BB244" s="1" t="n">
        <f aca="false">PR_BandM+MIN(MIN(AS244,AT244),PR_Uplift)</f>
        <v>53000</v>
      </c>
      <c r="BC244" s="1" t="n">
        <f aca="false">MAX(0,PR_r1*MIN(AZ244,BB244)+PR_r2*MAX(0,AZ244-BB244)-BA244)</f>
        <v>0</v>
      </c>
      <c r="BD244" s="1" t="n">
        <f aca="false">MAX(0,PR_HomeCarer-MAX(0,MIN(AS244,AT244)-PR_HCLimit)/2)</f>
        <v>1950</v>
      </c>
      <c r="BE244" s="1" t="n">
        <f aca="false">IF(F_Carer=1,MIN(BC244,MAX(0,PR_r1*MIN(AZ244,PR_BandM)+PR_r2*MAX(0,AZ244-PR_BandM)-BA244-BD244)),BC244)</f>
        <v>0</v>
      </c>
      <c r="BF244" s="1" t="n">
        <f aca="false">IF(OR(C244&gt;=PR_AgeCrAge,AG244&gt;=PR_AgeCrAge),IF(AZ244&lt;=PR_AgeExM,0,MIN(BE244,PR_AgeMarg*(AZ244-PR_AgeExM))),BE244)</f>
        <v>0</v>
      </c>
      <c r="BG244" s="1" t="n">
        <f aca="false">MAX(0,PR_r1*MIN(AS244,IF(F_Spccc=1,PR_BandSPCCC,PR_Band))+PR_r2*MAX(0,AS244-IF(F_Spccc=1,PR_BandSPCCC,PR_Band))-(PR_Personal+AU244+AW244+IF(F_Spccc=1,PR_SPCCC,0)+IF(AY244=1,PR_Rent,0)))</f>
        <v>0</v>
      </c>
      <c r="BH244" s="1" t="n">
        <f aca="false">IF(C244&gt;=PR_AgeCrAge,IF(AS244&lt;=PR_AgeEx,0,MIN(BG244,PR_AgeMarg*(AS244-PR_AgeEx))),BG244)</f>
        <v>0</v>
      </c>
      <c r="BI244" s="1" t="n">
        <f aca="false">IF(F_Partner=1,MAX(0,PR_r1*MIN(AT244,PR_Band)+PR_r2*MAX(0,AT244-PR_Band)-(PR_Personal+AV244+AX244+IF(AND(AY244=1,AT244&gt;0),PR_Rent,0))),0)</f>
        <v>0</v>
      </c>
      <c r="BJ244" s="1" t="n">
        <f aca="false">IF(AG244&gt;=PR_AgeCrAge,IF(AT244&lt;=PR_AgeEx,0,MIN(BI244,PR_AgeMarg*(AT244-PR_AgeEx))),BI244)</f>
        <v>0</v>
      </c>
      <c r="BK244" s="1" t="n">
        <f aca="false">IF(F_Partner=1,IF(F_Married=1,BF244,BH244+BJ244),BH244)</f>
        <v>0</v>
      </c>
      <c r="BL244" s="1" t="n">
        <f aca="false">AL244+AN244+AO244</f>
        <v>0</v>
      </c>
      <c r="BM244" s="1" t="n">
        <f aca="false">IF(BL244&lt;=PR_USCex,0,IF(IF(AND(C244&gt;=PR_USCredAge,BL244&lt;=PR_USCredMax),1,0)=1,PR_USCr1*MIN(BL244,PR_USCredB1)+PR_USCredR2*MAX(0,BL244-PR_USCredB1),PR_USCr1*MIN(BL244,PR_USCb1)+PR_USCr2*MAX(0,MIN(BL244,PR_USCb2)-PR_USCb1)+PR_USCr3*MAX(0,MIN(BL244,PR_USCb3)-PR_USCb2)+PR_USCr4*MAX(0,BL244-PR_USCb3)))+IF(F_SelfEmp=1,PR_USCse*MAX(0,AL244-PR_USCseOver),0)</f>
        <v>0</v>
      </c>
      <c r="BN244" s="1" t="n">
        <f aca="false">AQ244</f>
        <v>0</v>
      </c>
      <c r="BO244" s="1" t="n">
        <f aca="false">IF(F_Partner=1,IF(BN244&lt;=PR_USCex,0,IF(IF(AND(AG244&gt;=PR_USCredAge,BN244&lt;=PR_USCredMax),1,0)=1,PR_USCr1*MIN(BN244,PR_USCredB1)+PR_USCredR2*MAX(0,BN244-PR_USCredB1),PR_USCr1*MIN(BN244,PR_USCb1)+PR_USCr2*MAX(0,MIN(BN244,PR_USCb2)-PR_USCb1)+PR_USCr3*MAX(0,MIN(BN244,PR_USCb3)-PR_USCb2)+PR_USCr4*MAX(0,BN244-PR_USCb3))),0)</f>
        <v>0</v>
      </c>
      <c r="BP244" s="1" t="n">
        <f aca="false">IF(C244&lt;PR_PRSIend,IF(F_SelfEmp=1,IF(AL244&gt;PR_PRSIsMinInc,MAX(PR_PRSIsMin,AL244*J244),0),IF(AL244/52&lt;=PR_PRSIfree,0,MAX(0,(AL244/52*J244-IF(AL244/52&lt;=PR_PRSIcreditTo,MAX(0,PR_PRSIcreditMax-(AL244/52-(PR_PRSIfree+0.01))/PR_PRSItaper),0))*52)))+J244*AN244+IF(AO244&gt;PR_PRSIunearned,J244*AO244,0),0)</f>
        <v>0</v>
      </c>
      <c r="BQ244" s="1" t="n">
        <f aca="false">IF(AND(F_Partner=1,AG244&lt;PR_PRSIend),IF(AQ244/52&lt;=PR_PRSIfree,0,MAX(0,(AQ244/52*J244-IF(AQ244/52&lt;=PR_PRSIcreditTo,MAX(0,PR_PRSIcreditMax-(AQ244/52-(PR_PRSIfree+0.01))/PR_PRSItaper),0))*52)),0)</f>
        <v>0</v>
      </c>
      <c r="BR244" s="1" t="n">
        <f aca="false">BK244+BM244+BO244+BP244+BQ244</f>
        <v>0</v>
      </c>
      <c r="BS244" s="1" t="n">
        <f aca="false">BR244*H244</f>
        <v>0</v>
      </c>
      <c r="BT244" s="1" t="n">
        <f aca="false">K244+AK244+AC244+AF244+AH244+AI244</f>
        <v>0</v>
      </c>
    </row>
    <row r="245" customFormat="false" ht="15" hidden="false" customHeight="false" outlineLevel="0" collapsed="false">
      <c r="B245" s="1" t="n">
        <v>35</v>
      </c>
      <c r="C245" s="1" t="n">
        <f aca="false">F_Age+B245</f>
        <v>35</v>
      </c>
      <c r="D245" s="1" t="n">
        <f aca="false">AS_Year0+B245</f>
        <v>2062</v>
      </c>
      <c r="E245" s="106" t="n">
        <f aca="false">(1+AS_Infl)^B245</f>
        <v>1.99988955266246</v>
      </c>
      <c r="F245" s="106" t="n">
        <f aca="false">(1+AS_Wage)^B245</f>
        <v>2.81386245437153</v>
      </c>
      <c r="G245" s="1" t="n">
        <f aca="false">IF(C245&lt;F_R,1,0)</f>
        <v>0</v>
      </c>
      <c r="H245" s="106" t="n">
        <f aca="false">IF(AS_Bands="flat",1,E245)</f>
        <v>1.99988955266246</v>
      </c>
      <c r="I245" s="106" t="n">
        <f aca="false">IF(AS_SpGrow="pay",F245,IF(AS_SpGrow="flat",1,E245))</f>
        <v>1.99988955266246</v>
      </c>
      <c r="J245" s="106" t="n">
        <f aca="false">(12*PR_PRSIr0+(PR_PRSIr1-PR_PRSIr0)*MAX(0,MIN(12,D245*12+12-PR_PRSIt1))+(PR_PRSIr2-PR_PRSIr1)*MAX(0,MIN(12,D245*12+12-PR_PRSIt2))+(PR_PRSIr3-PR_PRSIr2)*MAX(0,MIN(12,D245*12+12-PR_PRSIt3)))/12</f>
        <v>0.047</v>
      </c>
      <c r="K245" s="1" t="n">
        <f aca="false">IF(G245=1,F_Income*F245,0)</f>
        <v>0</v>
      </c>
      <c r="L245" s="1" t="n">
        <f aca="false">IF(G245=1,(F_Own+In_penExtra)*12*F245,0)</f>
        <v>0</v>
      </c>
      <c r="M245" s="1" t="n">
        <f aca="false">IF(G245=1,(F_PenM+In_penExtra)*12*F245,0)</f>
        <v>0</v>
      </c>
      <c r="N245" s="107" t="n">
        <f aca="false">IF(C245&lt;PR_RelA1,PR_RelP1,IF(C245&lt;PR_RelA2,PR_RelP2,IF(C245&lt;PR_RelA3,PR_RelP3,IF(C245&lt;PR_RelA4,PR_RelP4,IF(C245&lt;PR_RelA5,PR_RelP5,PR_RelP6)))))</f>
        <v>0.2</v>
      </c>
      <c r="O245" s="1" t="n">
        <f aca="false">IF(G245=1,MIN(L245/H245,N245*MIN(K245/H245,PR_EarnCap))*H245,0)</f>
        <v>0</v>
      </c>
      <c r="P245" s="1" t="n">
        <f aca="false">IF(AND(G245=1,F_AE=1),MIN(K245/H245,PR_AEcap)*H245,0)</f>
        <v>0</v>
      </c>
      <c r="Q245" s="1" t="n">
        <f aca="false">IF(G245=1,IF(WI_Retire=1,MAX(0,M245+WI_M*12),M245)+(PR_AEee+PR_AEer+PR_AEst)*P245,0)</f>
        <v>0</v>
      </c>
      <c r="R245" s="1" t="n">
        <f aca="false">L245+PR_AEee*P245</f>
        <v>0</v>
      </c>
      <c r="S245" s="1" t="n">
        <f aca="false">AD244</f>
        <v>0</v>
      </c>
      <c r="T245" s="1" t="n">
        <f aca="false">IF(D245&lt;=2026,PR_SFT2026,IF(D245=2027,PR_SFT2027,IF(D245=2028,PR_SFT2028,IF(D245=2029,PR_SFT2029,PR_SFT2029*(1+AS_Infl)^(D245-2029)))))</f>
        <v>5382247.93104083</v>
      </c>
      <c r="U245" s="1" t="n">
        <f aca="false">IF(AND(G245=0,C245=F_V),1,0)</f>
        <v>0</v>
      </c>
      <c r="V245" s="1" t="n">
        <f aca="false">IF(U245=1,PR_SFTrate*MAX(0,S245-T245),0)</f>
        <v>0</v>
      </c>
      <c r="W245" s="1" t="n">
        <f aca="false">S245-V245</f>
        <v>0</v>
      </c>
      <c r="X245" s="1" t="n">
        <f aca="false">IF(AND(U245=1,AS_LumpPct&gt;0),W245*MIN(AS_LumpPct,PR_LSmax),0)</f>
        <v>0</v>
      </c>
      <c r="Y245" s="1" t="n">
        <f aca="false">X245-(PR_LSrate*MAX(0,MIN(X245,PR_LScap)-PR_LSfree)+PR_r2*MAX(0,X245-PR_LScap))</f>
        <v>0</v>
      </c>
      <c r="Z245" s="1" t="n">
        <f aca="false">W245-X245</f>
        <v>0</v>
      </c>
      <c r="AA245" s="107" t="n">
        <f aca="false">IF(C245&gt;=61,IF(Z245&gt;PR_ARFbig,PR_ARFbigRate,IF(C245&gt;=71,PR_ARF71,PR_ARF61)),0)</f>
        <v>0</v>
      </c>
      <c r="AB245" s="1" t="n">
        <f aca="false">IF(AS_DrawRule="min",Z245*AA245,IF(AS_DrawRule="fixed",MAX(AS_DrawFixed*E245,Z245*AA245),Z245*MAX(1/MAX(1,AS_End-C245+1),AA245)))</f>
        <v>0</v>
      </c>
      <c r="AC245" s="1" t="n">
        <f aca="false">IF(AND(G245=0,C245&gt;=F_V),MIN(Z245,AB245),0)</f>
        <v>0</v>
      </c>
      <c r="AD245" s="1" t="n">
        <f aca="false">IF(G245=1,S245*(1+F_PenG)+Q245,IF(C245&lt;F_V,S245*(1+F_PenG),(Z245-AC245)*(1+AS_PenRet)))</f>
        <v>0</v>
      </c>
      <c r="AE245" s="1" t="n">
        <f aca="false">IF(C245&gt;=PR_SPage,AS_SP*F_SpF*I245+IF(C245&gt;=80,PR_Over80*PR_Weeks*I245,0),0)</f>
        <v>0</v>
      </c>
      <c r="AF245" s="1" t="n">
        <f aca="false">(F_OtherM+F_RentM)*12*E245</f>
        <v>0</v>
      </c>
      <c r="AG245" s="1" t="n">
        <f aca="false">F_PAge+B245</f>
        <v>35</v>
      </c>
      <c r="AH245" s="1" t="n">
        <f aca="false">IF(AND(F_Partner=1,F_PAge&gt;0,AG245&lt;IF(F_PRet&gt;0,F_PRet,66)),F_PIncome*F245,0)</f>
        <v>0</v>
      </c>
      <c r="AI245" s="1" t="n">
        <f aca="false">IF(AND(F_Partner=1,AG245&gt;=66,F_PSpQA=0),AS_SP*F_PSpF*I245,0)</f>
        <v>0</v>
      </c>
      <c r="AJ245" s="1" t="n">
        <f aca="false">IF(AND(F_Partner=1,F_PSpQA=1,C245&gt;=PR_SPage,AH245=0),IF(AG245&gt;=66,PR_QA66,PR_QAunder)*PR_Weeks*I245,0)</f>
        <v>0</v>
      </c>
      <c r="AK245" s="1" t="n">
        <f aca="false">AE245+AJ245</f>
        <v>0</v>
      </c>
      <c r="AL245" s="1" t="n">
        <f aca="false">K245/H245</f>
        <v>0</v>
      </c>
      <c r="AM245" s="1" t="n">
        <f aca="false">AK245/H245</f>
        <v>0</v>
      </c>
      <c r="AN245" s="1" t="n">
        <f aca="false">AC245/H245</f>
        <v>0</v>
      </c>
      <c r="AO245" s="1" t="n">
        <f aca="false">AF245/H245</f>
        <v>0</v>
      </c>
      <c r="AP245" s="1" t="n">
        <f aca="false">O245/H245</f>
        <v>0</v>
      </c>
      <c r="AQ245" s="1" t="n">
        <f aca="false">AH245/H245</f>
        <v>0</v>
      </c>
      <c r="AR245" s="1" t="n">
        <f aca="false">AI245/H245</f>
        <v>0</v>
      </c>
      <c r="AS245" s="1" t="n">
        <f aca="false">MAX(0,AL245+AN245+AO245+AM245-AP245)</f>
        <v>0</v>
      </c>
      <c r="AT245" s="1" t="n">
        <f aca="false">MAX(0,AQ245+AR245)</f>
        <v>0</v>
      </c>
      <c r="AU245" s="1" t="n">
        <f aca="false">MIN(PR_PAYE,PR_PAYEcap*(AL245+AN245+AM245))</f>
        <v>0</v>
      </c>
      <c r="AV245" s="1" t="n">
        <f aca="false">MIN(PR_PAYE,PR_PAYEcap*(AQ245+AR245))</f>
        <v>0</v>
      </c>
      <c r="AW245" s="1" t="n">
        <f aca="false">IF(C245&gt;=PR_AgeCrAge,PR_AgeCr,0)</f>
        <v>0</v>
      </c>
      <c r="AX245" s="1" t="n">
        <f aca="false">IF(AG245&gt;=PR_AgeCrAge,PR_AgeCr,0)</f>
        <v>0</v>
      </c>
      <c r="AY245" s="1" t="n">
        <f aca="false">IF(AND(F_RentCred=1,D245&lt;=PR_RentLast),1,0)</f>
        <v>0</v>
      </c>
      <c r="AZ245" s="1" t="n">
        <f aca="false">AS245+AT245</f>
        <v>0</v>
      </c>
      <c r="BA245" s="1" t="n">
        <f aca="false">PR_PersonalM+AU245+AV245+AW245+AX245+IF(AY245=1,PR_RentJoint,0)</f>
        <v>4000</v>
      </c>
      <c r="BB245" s="1" t="n">
        <f aca="false">PR_BandM+MIN(MIN(AS245,AT245),PR_Uplift)</f>
        <v>53000</v>
      </c>
      <c r="BC245" s="1" t="n">
        <f aca="false">MAX(0,PR_r1*MIN(AZ245,BB245)+PR_r2*MAX(0,AZ245-BB245)-BA245)</f>
        <v>0</v>
      </c>
      <c r="BD245" s="1" t="n">
        <f aca="false">MAX(0,PR_HomeCarer-MAX(0,MIN(AS245,AT245)-PR_HCLimit)/2)</f>
        <v>1950</v>
      </c>
      <c r="BE245" s="1" t="n">
        <f aca="false">IF(F_Carer=1,MIN(BC245,MAX(0,PR_r1*MIN(AZ245,PR_BandM)+PR_r2*MAX(0,AZ245-PR_BandM)-BA245-BD245)),BC245)</f>
        <v>0</v>
      </c>
      <c r="BF245" s="1" t="n">
        <f aca="false">IF(OR(C245&gt;=PR_AgeCrAge,AG245&gt;=PR_AgeCrAge),IF(AZ245&lt;=PR_AgeExM,0,MIN(BE245,PR_AgeMarg*(AZ245-PR_AgeExM))),BE245)</f>
        <v>0</v>
      </c>
      <c r="BG245" s="1" t="n">
        <f aca="false">MAX(0,PR_r1*MIN(AS245,IF(F_Spccc=1,PR_BandSPCCC,PR_Band))+PR_r2*MAX(0,AS245-IF(F_Spccc=1,PR_BandSPCCC,PR_Band))-(PR_Personal+AU245+AW245+IF(F_Spccc=1,PR_SPCCC,0)+IF(AY245=1,PR_Rent,0)))</f>
        <v>0</v>
      </c>
      <c r="BH245" s="1" t="n">
        <f aca="false">IF(C245&gt;=PR_AgeCrAge,IF(AS245&lt;=PR_AgeEx,0,MIN(BG245,PR_AgeMarg*(AS245-PR_AgeEx))),BG245)</f>
        <v>0</v>
      </c>
      <c r="BI245" s="1" t="n">
        <f aca="false">IF(F_Partner=1,MAX(0,PR_r1*MIN(AT245,PR_Band)+PR_r2*MAX(0,AT245-PR_Band)-(PR_Personal+AV245+AX245+IF(AND(AY245=1,AT245&gt;0),PR_Rent,0))),0)</f>
        <v>0</v>
      </c>
      <c r="BJ245" s="1" t="n">
        <f aca="false">IF(AG245&gt;=PR_AgeCrAge,IF(AT245&lt;=PR_AgeEx,0,MIN(BI245,PR_AgeMarg*(AT245-PR_AgeEx))),BI245)</f>
        <v>0</v>
      </c>
      <c r="BK245" s="1" t="n">
        <f aca="false">IF(F_Partner=1,IF(F_Married=1,BF245,BH245+BJ245),BH245)</f>
        <v>0</v>
      </c>
      <c r="BL245" s="1" t="n">
        <f aca="false">AL245+AN245+AO245</f>
        <v>0</v>
      </c>
      <c r="BM245" s="1" t="n">
        <f aca="false">IF(BL245&lt;=PR_USCex,0,IF(IF(AND(C245&gt;=PR_USCredAge,BL245&lt;=PR_USCredMax),1,0)=1,PR_USCr1*MIN(BL245,PR_USCredB1)+PR_USCredR2*MAX(0,BL245-PR_USCredB1),PR_USCr1*MIN(BL245,PR_USCb1)+PR_USCr2*MAX(0,MIN(BL245,PR_USCb2)-PR_USCb1)+PR_USCr3*MAX(0,MIN(BL245,PR_USCb3)-PR_USCb2)+PR_USCr4*MAX(0,BL245-PR_USCb3)))+IF(F_SelfEmp=1,PR_USCse*MAX(0,AL245-PR_USCseOver),0)</f>
        <v>0</v>
      </c>
      <c r="BN245" s="1" t="n">
        <f aca="false">AQ245</f>
        <v>0</v>
      </c>
      <c r="BO245" s="1" t="n">
        <f aca="false">IF(F_Partner=1,IF(BN245&lt;=PR_USCex,0,IF(IF(AND(AG245&gt;=PR_USCredAge,BN245&lt;=PR_USCredMax),1,0)=1,PR_USCr1*MIN(BN245,PR_USCredB1)+PR_USCredR2*MAX(0,BN245-PR_USCredB1),PR_USCr1*MIN(BN245,PR_USCb1)+PR_USCr2*MAX(0,MIN(BN245,PR_USCb2)-PR_USCb1)+PR_USCr3*MAX(0,MIN(BN245,PR_USCb3)-PR_USCb2)+PR_USCr4*MAX(0,BN245-PR_USCb3))),0)</f>
        <v>0</v>
      </c>
      <c r="BP245" s="1" t="n">
        <f aca="false">IF(C245&lt;PR_PRSIend,IF(F_SelfEmp=1,IF(AL245&gt;PR_PRSIsMinInc,MAX(PR_PRSIsMin,AL245*J245),0),IF(AL245/52&lt;=PR_PRSIfree,0,MAX(0,(AL245/52*J245-IF(AL245/52&lt;=PR_PRSIcreditTo,MAX(0,PR_PRSIcreditMax-(AL245/52-(PR_PRSIfree+0.01))/PR_PRSItaper),0))*52)))+J245*AN245+IF(AO245&gt;PR_PRSIunearned,J245*AO245,0),0)</f>
        <v>0</v>
      </c>
      <c r="BQ245" s="1" t="n">
        <f aca="false">IF(AND(F_Partner=1,AG245&lt;PR_PRSIend),IF(AQ245/52&lt;=PR_PRSIfree,0,MAX(0,(AQ245/52*J245-IF(AQ245/52&lt;=PR_PRSIcreditTo,MAX(0,PR_PRSIcreditMax-(AQ245/52-(PR_PRSIfree+0.01))/PR_PRSItaper),0))*52)),0)</f>
        <v>0</v>
      </c>
      <c r="BR245" s="1" t="n">
        <f aca="false">BK245+BM245+BO245+BP245+BQ245</f>
        <v>0</v>
      </c>
      <c r="BS245" s="1" t="n">
        <f aca="false">BR245*H245</f>
        <v>0</v>
      </c>
      <c r="BT245" s="1" t="n">
        <f aca="false">K245+AK245+AC245+AF245+AH245+AI245</f>
        <v>0</v>
      </c>
    </row>
    <row r="246" customFormat="false" ht="15" hidden="false" customHeight="false" outlineLevel="0" collapsed="false">
      <c r="B246" s="1" t="n">
        <v>36</v>
      </c>
      <c r="C246" s="1" t="n">
        <f aca="false">F_Age+B246</f>
        <v>36</v>
      </c>
      <c r="D246" s="1" t="n">
        <f aca="false">AS_Year0+B246</f>
        <v>2063</v>
      </c>
      <c r="E246" s="106" t="n">
        <f aca="false">(1+AS_Infl)^B246</f>
        <v>2.03988734371571</v>
      </c>
      <c r="F246" s="106" t="n">
        <f aca="false">(1+AS_Wage)^B246</f>
        <v>2.89827832800267</v>
      </c>
      <c r="G246" s="1" t="n">
        <f aca="false">IF(C246&lt;F_R,1,0)</f>
        <v>0</v>
      </c>
      <c r="H246" s="106" t="n">
        <f aca="false">IF(AS_Bands="flat",1,E246)</f>
        <v>2.03988734371571</v>
      </c>
      <c r="I246" s="106" t="n">
        <f aca="false">IF(AS_SpGrow="pay",F246,IF(AS_SpGrow="flat",1,E246))</f>
        <v>2.03988734371571</v>
      </c>
      <c r="J246" s="106" t="n">
        <f aca="false">(12*PR_PRSIr0+(PR_PRSIr1-PR_PRSIr0)*MAX(0,MIN(12,D246*12+12-PR_PRSIt1))+(PR_PRSIr2-PR_PRSIr1)*MAX(0,MIN(12,D246*12+12-PR_PRSIt2))+(PR_PRSIr3-PR_PRSIr2)*MAX(0,MIN(12,D246*12+12-PR_PRSIt3)))/12</f>
        <v>0.047</v>
      </c>
      <c r="K246" s="1" t="n">
        <f aca="false">IF(G246=1,F_Income*F246,0)</f>
        <v>0</v>
      </c>
      <c r="L246" s="1" t="n">
        <f aca="false">IF(G246=1,(F_Own+In_penExtra)*12*F246,0)</f>
        <v>0</v>
      </c>
      <c r="M246" s="1" t="n">
        <f aca="false">IF(G246=1,(F_PenM+In_penExtra)*12*F246,0)</f>
        <v>0</v>
      </c>
      <c r="N246" s="107" t="n">
        <f aca="false">IF(C246&lt;PR_RelA1,PR_RelP1,IF(C246&lt;PR_RelA2,PR_RelP2,IF(C246&lt;PR_RelA3,PR_RelP3,IF(C246&lt;PR_RelA4,PR_RelP4,IF(C246&lt;PR_RelA5,PR_RelP5,PR_RelP6)))))</f>
        <v>0.2</v>
      </c>
      <c r="O246" s="1" t="n">
        <f aca="false">IF(G246=1,MIN(L246/H246,N246*MIN(K246/H246,PR_EarnCap))*H246,0)</f>
        <v>0</v>
      </c>
      <c r="P246" s="1" t="n">
        <f aca="false">IF(AND(G246=1,F_AE=1),MIN(K246/H246,PR_AEcap)*H246,0)</f>
        <v>0</v>
      </c>
      <c r="Q246" s="1" t="n">
        <f aca="false">IF(G246=1,IF(WI_Retire=1,MAX(0,M246+WI_M*12),M246)+(PR_AEee+PR_AEer+PR_AEst)*P246,0)</f>
        <v>0</v>
      </c>
      <c r="R246" s="1" t="n">
        <f aca="false">L246+PR_AEee*P246</f>
        <v>0</v>
      </c>
      <c r="S246" s="1" t="n">
        <f aca="false">AD245</f>
        <v>0</v>
      </c>
      <c r="T246" s="1" t="n">
        <f aca="false">IF(D246&lt;=2026,PR_SFT2026,IF(D246=2027,PR_SFT2027,IF(D246=2028,PR_SFT2028,IF(D246=2029,PR_SFT2029,PR_SFT2029*(1+AS_Infl)^(D246-2029)))))</f>
        <v>5489892.88966165</v>
      </c>
      <c r="U246" s="1" t="n">
        <f aca="false">IF(AND(G246=0,C246=F_V),1,0)</f>
        <v>0</v>
      </c>
      <c r="V246" s="1" t="n">
        <f aca="false">IF(U246=1,PR_SFTrate*MAX(0,S246-T246),0)</f>
        <v>0</v>
      </c>
      <c r="W246" s="1" t="n">
        <f aca="false">S246-V246</f>
        <v>0</v>
      </c>
      <c r="X246" s="1" t="n">
        <f aca="false">IF(AND(U246=1,AS_LumpPct&gt;0),W246*MIN(AS_LumpPct,PR_LSmax),0)</f>
        <v>0</v>
      </c>
      <c r="Y246" s="1" t="n">
        <f aca="false">X246-(PR_LSrate*MAX(0,MIN(X246,PR_LScap)-PR_LSfree)+PR_r2*MAX(0,X246-PR_LScap))</f>
        <v>0</v>
      </c>
      <c r="Z246" s="1" t="n">
        <f aca="false">W246-X246</f>
        <v>0</v>
      </c>
      <c r="AA246" s="107" t="n">
        <f aca="false">IF(C246&gt;=61,IF(Z246&gt;PR_ARFbig,PR_ARFbigRate,IF(C246&gt;=71,PR_ARF71,PR_ARF61)),0)</f>
        <v>0</v>
      </c>
      <c r="AB246" s="1" t="n">
        <f aca="false">IF(AS_DrawRule="min",Z246*AA246,IF(AS_DrawRule="fixed",MAX(AS_DrawFixed*E246,Z246*AA246),Z246*MAX(1/MAX(1,AS_End-C246+1),AA246)))</f>
        <v>0</v>
      </c>
      <c r="AC246" s="1" t="n">
        <f aca="false">IF(AND(G246=0,C246&gt;=F_V),MIN(Z246,AB246),0)</f>
        <v>0</v>
      </c>
      <c r="AD246" s="1" t="n">
        <f aca="false">IF(G246=1,S246*(1+F_PenG)+Q246,IF(C246&lt;F_V,S246*(1+F_PenG),(Z246-AC246)*(1+AS_PenRet)))</f>
        <v>0</v>
      </c>
      <c r="AE246" s="1" t="n">
        <f aca="false">IF(C246&gt;=PR_SPage,AS_SP*F_SpF*I246+IF(C246&gt;=80,PR_Over80*PR_Weeks*I246,0),0)</f>
        <v>0</v>
      </c>
      <c r="AF246" s="1" t="n">
        <f aca="false">(F_OtherM+F_RentM)*12*E246</f>
        <v>0</v>
      </c>
      <c r="AG246" s="1" t="n">
        <f aca="false">F_PAge+B246</f>
        <v>36</v>
      </c>
      <c r="AH246" s="1" t="n">
        <f aca="false">IF(AND(F_Partner=1,F_PAge&gt;0,AG246&lt;IF(F_PRet&gt;0,F_PRet,66)),F_PIncome*F246,0)</f>
        <v>0</v>
      </c>
      <c r="AI246" s="1" t="n">
        <f aca="false">IF(AND(F_Partner=1,AG246&gt;=66,F_PSpQA=0),AS_SP*F_PSpF*I246,0)</f>
        <v>0</v>
      </c>
      <c r="AJ246" s="1" t="n">
        <f aca="false">IF(AND(F_Partner=1,F_PSpQA=1,C246&gt;=PR_SPage,AH246=0),IF(AG246&gt;=66,PR_QA66,PR_QAunder)*PR_Weeks*I246,0)</f>
        <v>0</v>
      </c>
      <c r="AK246" s="1" t="n">
        <f aca="false">AE246+AJ246</f>
        <v>0</v>
      </c>
      <c r="AL246" s="1" t="n">
        <f aca="false">K246/H246</f>
        <v>0</v>
      </c>
      <c r="AM246" s="1" t="n">
        <f aca="false">AK246/H246</f>
        <v>0</v>
      </c>
      <c r="AN246" s="1" t="n">
        <f aca="false">AC246/H246</f>
        <v>0</v>
      </c>
      <c r="AO246" s="1" t="n">
        <f aca="false">AF246/H246</f>
        <v>0</v>
      </c>
      <c r="AP246" s="1" t="n">
        <f aca="false">O246/H246</f>
        <v>0</v>
      </c>
      <c r="AQ246" s="1" t="n">
        <f aca="false">AH246/H246</f>
        <v>0</v>
      </c>
      <c r="AR246" s="1" t="n">
        <f aca="false">AI246/H246</f>
        <v>0</v>
      </c>
      <c r="AS246" s="1" t="n">
        <f aca="false">MAX(0,AL246+AN246+AO246+AM246-AP246)</f>
        <v>0</v>
      </c>
      <c r="AT246" s="1" t="n">
        <f aca="false">MAX(0,AQ246+AR246)</f>
        <v>0</v>
      </c>
      <c r="AU246" s="1" t="n">
        <f aca="false">MIN(PR_PAYE,PR_PAYEcap*(AL246+AN246+AM246))</f>
        <v>0</v>
      </c>
      <c r="AV246" s="1" t="n">
        <f aca="false">MIN(PR_PAYE,PR_PAYEcap*(AQ246+AR246))</f>
        <v>0</v>
      </c>
      <c r="AW246" s="1" t="n">
        <f aca="false">IF(C246&gt;=PR_AgeCrAge,PR_AgeCr,0)</f>
        <v>0</v>
      </c>
      <c r="AX246" s="1" t="n">
        <f aca="false">IF(AG246&gt;=PR_AgeCrAge,PR_AgeCr,0)</f>
        <v>0</v>
      </c>
      <c r="AY246" s="1" t="n">
        <f aca="false">IF(AND(F_RentCred=1,D246&lt;=PR_RentLast),1,0)</f>
        <v>0</v>
      </c>
      <c r="AZ246" s="1" t="n">
        <f aca="false">AS246+AT246</f>
        <v>0</v>
      </c>
      <c r="BA246" s="1" t="n">
        <f aca="false">PR_PersonalM+AU246+AV246+AW246+AX246+IF(AY246=1,PR_RentJoint,0)</f>
        <v>4000</v>
      </c>
      <c r="BB246" s="1" t="n">
        <f aca="false">PR_BandM+MIN(MIN(AS246,AT246),PR_Uplift)</f>
        <v>53000</v>
      </c>
      <c r="BC246" s="1" t="n">
        <f aca="false">MAX(0,PR_r1*MIN(AZ246,BB246)+PR_r2*MAX(0,AZ246-BB246)-BA246)</f>
        <v>0</v>
      </c>
      <c r="BD246" s="1" t="n">
        <f aca="false">MAX(0,PR_HomeCarer-MAX(0,MIN(AS246,AT246)-PR_HCLimit)/2)</f>
        <v>1950</v>
      </c>
      <c r="BE246" s="1" t="n">
        <f aca="false">IF(F_Carer=1,MIN(BC246,MAX(0,PR_r1*MIN(AZ246,PR_BandM)+PR_r2*MAX(0,AZ246-PR_BandM)-BA246-BD246)),BC246)</f>
        <v>0</v>
      </c>
      <c r="BF246" s="1" t="n">
        <f aca="false">IF(OR(C246&gt;=PR_AgeCrAge,AG246&gt;=PR_AgeCrAge),IF(AZ246&lt;=PR_AgeExM,0,MIN(BE246,PR_AgeMarg*(AZ246-PR_AgeExM))),BE246)</f>
        <v>0</v>
      </c>
      <c r="BG246" s="1" t="n">
        <f aca="false">MAX(0,PR_r1*MIN(AS246,IF(F_Spccc=1,PR_BandSPCCC,PR_Band))+PR_r2*MAX(0,AS246-IF(F_Spccc=1,PR_BandSPCCC,PR_Band))-(PR_Personal+AU246+AW246+IF(F_Spccc=1,PR_SPCCC,0)+IF(AY246=1,PR_Rent,0)))</f>
        <v>0</v>
      </c>
      <c r="BH246" s="1" t="n">
        <f aca="false">IF(C246&gt;=PR_AgeCrAge,IF(AS246&lt;=PR_AgeEx,0,MIN(BG246,PR_AgeMarg*(AS246-PR_AgeEx))),BG246)</f>
        <v>0</v>
      </c>
      <c r="BI246" s="1" t="n">
        <f aca="false">IF(F_Partner=1,MAX(0,PR_r1*MIN(AT246,PR_Band)+PR_r2*MAX(0,AT246-PR_Band)-(PR_Personal+AV246+AX246+IF(AND(AY246=1,AT246&gt;0),PR_Rent,0))),0)</f>
        <v>0</v>
      </c>
      <c r="BJ246" s="1" t="n">
        <f aca="false">IF(AG246&gt;=PR_AgeCrAge,IF(AT246&lt;=PR_AgeEx,0,MIN(BI246,PR_AgeMarg*(AT246-PR_AgeEx))),BI246)</f>
        <v>0</v>
      </c>
      <c r="BK246" s="1" t="n">
        <f aca="false">IF(F_Partner=1,IF(F_Married=1,BF246,BH246+BJ246),BH246)</f>
        <v>0</v>
      </c>
      <c r="BL246" s="1" t="n">
        <f aca="false">AL246+AN246+AO246</f>
        <v>0</v>
      </c>
      <c r="BM246" s="1" t="n">
        <f aca="false">IF(BL246&lt;=PR_USCex,0,IF(IF(AND(C246&gt;=PR_USCredAge,BL246&lt;=PR_USCredMax),1,0)=1,PR_USCr1*MIN(BL246,PR_USCredB1)+PR_USCredR2*MAX(0,BL246-PR_USCredB1),PR_USCr1*MIN(BL246,PR_USCb1)+PR_USCr2*MAX(0,MIN(BL246,PR_USCb2)-PR_USCb1)+PR_USCr3*MAX(0,MIN(BL246,PR_USCb3)-PR_USCb2)+PR_USCr4*MAX(0,BL246-PR_USCb3)))+IF(F_SelfEmp=1,PR_USCse*MAX(0,AL246-PR_USCseOver),0)</f>
        <v>0</v>
      </c>
      <c r="BN246" s="1" t="n">
        <f aca="false">AQ246</f>
        <v>0</v>
      </c>
      <c r="BO246" s="1" t="n">
        <f aca="false">IF(F_Partner=1,IF(BN246&lt;=PR_USCex,0,IF(IF(AND(AG246&gt;=PR_USCredAge,BN246&lt;=PR_USCredMax),1,0)=1,PR_USCr1*MIN(BN246,PR_USCredB1)+PR_USCredR2*MAX(0,BN246-PR_USCredB1),PR_USCr1*MIN(BN246,PR_USCb1)+PR_USCr2*MAX(0,MIN(BN246,PR_USCb2)-PR_USCb1)+PR_USCr3*MAX(0,MIN(BN246,PR_USCb3)-PR_USCb2)+PR_USCr4*MAX(0,BN246-PR_USCb3))),0)</f>
        <v>0</v>
      </c>
      <c r="BP246" s="1" t="n">
        <f aca="false">IF(C246&lt;PR_PRSIend,IF(F_SelfEmp=1,IF(AL246&gt;PR_PRSIsMinInc,MAX(PR_PRSIsMin,AL246*J246),0),IF(AL246/52&lt;=PR_PRSIfree,0,MAX(0,(AL246/52*J246-IF(AL246/52&lt;=PR_PRSIcreditTo,MAX(0,PR_PRSIcreditMax-(AL246/52-(PR_PRSIfree+0.01))/PR_PRSItaper),0))*52)))+J246*AN246+IF(AO246&gt;PR_PRSIunearned,J246*AO246,0),0)</f>
        <v>0</v>
      </c>
      <c r="BQ246" s="1" t="n">
        <f aca="false">IF(AND(F_Partner=1,AG246&lt;PR_PRSIend),IF(AQ246/52&lt;=PR_PRSIfree,0,MAX(0,(AQ246/52*J246-IF(AQ246/52&lt;=PR_PRSIcreditTo,MAX(0,PR_PRSIcreditMax-(AQ246/52-(PR_PRSIfree+0.01))/PR_PRSItaper),0))*52)),0)</f>
        <v>0</v>
      </c>
      <c r="BR246" s="1" t="n">
        <f aca="false">BK246+BM246+BO246+BP246+BQ246</f>
        <v>0</v>
      </c>
      <c r="BS246" s="1" t="n">
        <f aca="false">BR246*H246</f>
        <v>0</v>
      </c>
      <c r="BT246" s="1" t="n">
        <f aca="false">K246+AK246+AC246+AF246+AH246+AI246</f>
        <v>0</v>
      </c>
    </row>
    <row r="247" customFormat="false" ht="15" hidden="false" customHeight="false" outlineLevel="0" collapsed="false">
      <c r="B247" s="1" t="n">
        <v>37</v>
      </c>
      <c r="C247" s="1" t="n">
        <f aca="false">F_Age+B247</f>
        <v>37</v>
      </c>
      <c r="D247" s="1" t="n">
        <f aca="false">AS_Year0+B247</f>
        <v>2064</v>
      </c>
      <c r="E247" s="106" t="n">
        <f aca="false">(1+AS_Infl)^B247</f>
        <v>2.08068509059002</v>
      </c>
      <c r="F247" s="106" t="n">
        <f aca="false">(1+AS_Wage)^B247</f>
        <v>2.98522667784275</v>
      </c>
      <c r="G247" s="1" t="n">
        <f aca="false">IF(C247&lt;F_R,1,0)</f>
        <v>0</v>
      </c>
      <c r="H247" s="106" t="n">
        <f aca="false">IF(AS_Bands="flat",1,E247)</f>
        <v>2.08068509059002</v>
      </c>
      <c r="I247" s="106" t="n">
        <f aca="false">IF(AS_SpGrow="pay",F247,IF(AS_SpGrow="flat",1,E247))</f>
        <v>2.08068509059002</v>
      </c>
      <c r="J247" s="106" t="n">
        <f aca="false">(12*PR_PRSIr0+(PR_PRSIr1-PR_PRSIr0)*MAX(0,MIN(12,D247*12+12-PR_PRSIt1))+(PR_PRSIr2-PR_PRSIr1)*MAX(0,MIN(12,D247*12+12-PR_PRSIt2))+(PR_PRSIr3-PR_PRSIr2)*MAX(0,MIN(12,D247*12+12-PR_PRSIt3)))/12</f>
        <v>0.047</v>
      </c>
      <c r="K247" s="1" t="n">
        <f aca="false">IF(G247=1,F_Income*F247,0)</f>
        <v>0</v>
      </c>
      <c r="L247" s="1" t="n">
        <f aca="false">IF(G247=1,(F_Own+In_penExtra)*12*F247,0)</f>
        <v>0</v>
      </c>
      <c r="M247" s="1" t="n">
        <f aca="false">IF(G247=1,(F_PenM+In_penExtra)*12*F247,0)</f>
        <v>0</v>
      </c>
      <c r="N247" s="107" t="n">
        <f aca="false">IF(C247&lt;PR_RelA1,PR_RelP1,IF(C247&lt;PR_RelA2,PR_RelP2,IF(C247&lt;PR_RelA3,PR_RelP3,IF(C247&lt;PR_RelA4,PR_RelP4,IF(C247&lt;PR_RelA5,PR_RelP5,PR_RelP6)))))</f>
        <v>0.2</v>
      </c>
      <c r="O247" s="1" t="n">
        <f aca="false">IF(G247=1,MIN(L247/H247,N247*MIN(K247/H247,PR_EarnCap))*H247,0)</f>
        <v>0</v>
      </c>
      <c r="P247" s="1" t="n">
        <f aca="false">IF(AND(G247=1,F_AE=1),MIN(K247/H247,PR_AEcap)*H247,0)</f>
        <v>0</v>
      </c>
      <c r="Q247" s="1" t="n">
        <f aca="false">IF(G247=1,IF(WI_Retire=1,MAX(0,M247+WI_M*12),M247)+(PR_AEee+PR_AEer+PR_AEst)*P247,0)</f>
        <v>0</v>
      </c>
      <c r="R247" s="1" t="n">
        <f aca="false">L247+PR_AEee*P247</f>
        <v>0</v>
      </c>
      <c r="S247" s="1" t="n">
        <f aca="false">AD246</f>
        <v>0</v>
      </c>
      <c r="T247" s="1" t="n">
        <f aca="false">IF(D247&lt;=2026,PR_SFT2026,IF(D247=2027,PR_SFT2027,IF(D247=2028,PR_SFT2028,IF(D247=2029,PR_SFT2029,PR_SFT2029*(1+AS_Infl)^(D247-2029)))))</f>
        <v>5599690.74745488</v>
      </c>
      <c r="U247" s="1" t="n">
        <f aca="false">IF(AND(G247=0,C247=F_V),1,0)</f>
        <v>0</v>
      </c>
      <c r="V247" s="1" t="n">
        <f aca="false">IF(U247=1,PR_SFTrate*MAX(0,S247-T247),0)</f>
        <v>0</v>
      </c>
      <c r="W247" s="1" t="n">
        <f aca="false">S247-V247</f>
        <v>0</v>
      </c>
      <c r="X247" s="1" t="n">
        <f aca="false">IF(AND(U247=1,AS_LumpPct&gt;0),W247*MIN(AS_LumpPct,PR_LSmax),0)</f>
        <v>0</v>
      </c>
      <c r="Y247" s="1" t="n">
        <f aca="false">X247-(PR_LSrate*MAX(0,MIN(X247,PR_LScap)-PR_LSfree)+PR_r2*MAX(0,X247-PR_LScap))</f>
        <v>0</v>
      </c>
      <c r="Z247" s="1" t="n">
        <f aca="false">W247-X247</f>
        <v>0</v>
      </c>
      <c r="AA247" s="107" t="n">
        <f aca="false">IF(C247&gt;=61,IF(Z247&gt;PR_ARFbig,PR_ARFbigRate,IF(C247&gt;=71,PR_ARF71,PR_ARF61)),0)</f>
        <v>0</v>
      </c>
      <c r="AB247" s="1" t="n">
        <f aca="false">IF(AS_DrawRule="min",Z247*AA247,IF(AS_DrawRule="fixed",MAX(AS_DrawFixed*E247,Z247*AA247),Z247*MAX(1/MAX(1,AS_End-C247+1),AA247)))</f>
        <v>0</v>
      </c>
      <c r="AC247" s="1" t="n">
        <f aca="false">IF(AND(G247=0,C247&gt;=F_V),MIN(Z247,AB247),0)</f>
        <v>0</v>
      </c>
      <c r="AD247" s="1" t="n">
        <f aca="false">IF(G247=1,S247*(1+F_PenG)+Q247,IF(C247&lt;F_V,S247*(1+F_PenG),(Z247-AC247)*(1+AS_PenRet)))</f>
        <v>0</v>
      </c>
      <c r="AE247" s="1" t="n">
        <f aca="false">IF(C247&gt;=PR_SPage,AS_SP*F_SpF*I247+IF(C247&gt;=80,PR_Over80*PR_Weeks*I247,0),0)</f>
        <v>0</v>
      </c>
      <c r="AF247" s="1" t="n">
        <f aca="false">(F_OtherM+F_RentM)*12*E247</f>
        <v>0</v>
      </c>
      <c r="AG247" s="1" t="n">
        <f aca="false">F_PAge+B247</f>
        <v>37</v>
      </c>
      <c r="AH247" s="1" t="n">
        <f aca="false">IF(AND(F_Partner=1,F_PAge&gt;0,AG247&lt;IF(F_PRet&gt;0,F_PRet,66)),F_PIncome*F247,0)</f>
        <v>0</v>
      </c>
      <c r="AI247" s="1" t="n">
        <f aca="false">IF(AND(F_Partner=1,AG247&gt;=66,F_PSpQA=0),AS_SP*F_PSpF*I247,0)</f>
        <v>0</v>
      </c>
      <c r="AJ247" s="1" t="n">
        <f aca="false">IF(AND(F_Partner=1,F_PSpQA=1,C247&gt;=PR_SPage,AH247=0),IF(AG247&gt;=66,PR_QA66,PR_QAunder)*PR_Weeks*I247,0)</f>
        <v>0</v>
      </c>
      <c r="AK247" s="1" t="n">
        <f aca="false">AE247+AJ247</f>
        <v>0</v>
      </c>
      <c r="AL247" s="1" t="n">
        <f aca="false">K247/H247</f>
        <v>0</v>
      </c>
      <c r="AM247" s="1" t="n">
        <f aca="false">AK247/H247</f>
        <v>0</v>
      </c>
      <c r="AN247" s="1" t="n">
        <f aca="false">AC247/H247</f>
        <v>0</v>
      </c>
      <c r="AO247" s="1" t="n">
        <f aca="false">AF247/H247</f>
        <v>0</v>
      </c>
      <c r="AP247" s="1" t="n">
        <f aca="false">O247/H247</f>
        <v>0</v>
      </c>
      <c r="AQ247" s="1" t="n">
        <f aca="false">AH247/H247</f>
        <v>0</v>
      </c>
      <c r="AR247" s="1" t="n">
        <f aca="false">AI247/H247</f>
        <v>0</v>
      </c>
      <c r="AS247" s="1" t="n">
        <f aca="false">MAX(0,AL247+AN247+AO247+AM247-AP247)</f>
        <v>0</v>
      </c>
      <c r="AT247" s="1" t="n">
        <f aca="false">MAX(0,AQ247+AR247)</f>
        <v>0</v>
      </c>
      <c r="AU247" s="1" t="n">
        <f aca="false">MIN(PR_PAYE,PR_PAYEcap*(AL247+AN247+AM247))</f>
        <v>0</v>
      </c>
      <c r="AV247" s="1" t="n">
        <f aca="false">MIN(PR_PAYE,PR_PAYEcap*(AQ247+AR247))</f>
        <v>0</v>
      </c>
      <c r="AW247" s="1" t="n">
        <f aca="false">IF(C247&gt;=PR_AgeCrAge,PR_AgeCr,0)</f>
        <v>0</v>
      </c>
      <c r="AX247" s="1" t="n">
        <f aca="false">IF(AG247&gt;=PR_AgeCrAge,PR_AgeCr,0)</f>
        <v>0</v>
      </c>
      <c r="AY247" s="1" t="n">
        <f aca="false">IF(AND(F_RentCred=1,D247&lt;=PR_RentLast),1,0)</f>
        <v>0</v>
      </c>
      <c r="AZ247" s="1" t="n">
        <f aca="false">AS247+AT247</f>
        <v>0</v>
      </c>
      <c r="BA247" s="1" t="n">
        <f aca="false">PR_PersonalM+AU247+AV247+AW247+AX247+IF(AY247=1,PR_RentJoint,0)</f>
        <v>4000</v>
      </c>
      <c r="BB247" s="1" t="n">
        <f aca="false">PR_BandM+MIN(MIN(AS247,AT247),PR_Uplift)</f>
        <v>53000</v>
      </c>
      <c r="BC247" s="1" t="n">
        <f aca="false">MAX(0,PR_r1*MIN(AZ247,BB247)+PR_r2*MAX(0,AZ247-BB247)-BA247)</f>
        <v>0</v>
      </c>
      <c r="BD247" s="1" t="n">
        <f aca="false">MAX(0,PR_HomeCarer-MAX(0,MIN(AS247,AT247)-PR_HCLimit)/2)</f>
        <v>1950</v>
      </c>
      <c r="BE247" s="1" t="n">
        <f aca="false">IF(F_Carer=1,MIN(BC247,MAX(0,PR_r1*MIN(AZ247,PR_BandM)+PR_r2*MAX(0,AZ247-PR_BandM)-BA247-BD247)),BC247)</f>
        <v>0</v>
      </c>
      <c r="BF247" s="1" t="n">
        <f aca="false">IF(OR(C247&gt;=PR_AgeCrAge,AG247&gt;=PR_AgeCrAge),IF(AZ247&lt;=PR_AgeExM,0,MIN(BE247,PR_AgeMarg*(AZ247-PR_AgeExM))),BE247)</f>
        <v>0</v>
      </c>
      <c r="BG247" s="1" t="n">
        <f aca="false">MAX(0,PR_r1*MIN(AS247,IF(F_Spccc=1,PR_BandSPCCC,PR_Band))+PR_r2*MAX(0,AS247-IF(F_Spccc=1,PR_BandSPCCC,PR_Band))-(PR_Personal+AU247+AW247+IF(F_Spccc=1,PR_SPCCC,0)+IF(AY247=1,PR_Rent,0)))</f>
        <v>0</v>
      </c>
      <c r="BH247" s="1" t="n">
        <f aca="false">IF(C247&gt;=PR_AgeCrAge,IF(AS247&lt;=PR_AgeEx,0,MIN(BG247,PR_AgeMarg*(AS247-PR_AgeEx))),BG247)</f>
        <v>0</v>
      </c>
      <c r="BI247" s="1" t="n">
        <f aca="false">IF(F_Partner=1,MAX(0,PR_r1*MIN(AT247,PR_Band)+PR_r2*MAX(0,AT247-PR_Band)-(PR_Personal+AV247+AX247+IF(AND(AY247=1,AT247&gt;0),PR_Rent,0))),0)</f>
        <v>0</v>
      </c>
      <c r="BJ247" s="1" t="n">
        <f aca="false">IF(AG247&gt;=PR_AgeCrAge,IF(AT247&lt;=PR_AgeEx,0,MIN(BI247,PR_AgeMarg*(AT247-PR_AgeEx))),BI247)</f>
        <v>0</v>
      </c>
      <c r="BK247" s="1" t="n">
        <f aca="false">IF(F_Partner=1,IF(F_Married=1,BF247,BH247+BJ247),BH247)</f>
        <v>0</v>
      </c>
      <c r="BL247" s="1" t="n">
        <f aca="false">AL247+AN247+AO247</f>
        <v>0</v>
      </c>
      <c r="BM247" s="1" t="n">
        <f aca="false">IF(BL247&lt;=PR_USCex,0,IF(IF(AND(C247&gt;=PR_USCredAge,BL247&lt;=PR_USCredMax),1,0)=1,PR_USCr1*MIN(BL247,PR_USCredB1)+PR_USCredR2*MAX(0,BL247-PR_USCredB1),PR_USCr1*MIN(BL247,PR_USCb1)+PR_USCr2*MAX(0,MIN(BL247,PR_USCb2)-PR_USCb1)+PR_USCr3*MAX(0,MIN(BL247,PR_USCb3)-PR_USCb2)+PR_USCr4*MAX(0,BL247-PR_USCb3)))+IF(F_SelfEmp=1,PR_USCse*MAX(0,AL247-PR_USCseOver),0)</f>
        <v>0</v>
      </c>
      <c r="BN247" s="1" t="n">
        <f aca="false">AQ247</f>
        <v>0</v>
      </c>
      <c r="BO247" s="1" t="n">
        <f aca="false">IF(F_Partner=1,IF(BN247&lt;=PR_USCex,0,IF(IF(AND(AG247&gt;=PR_USCredAge,BN247&lt;=PR_USCredMax),1,0)=1,PR_USCr1*MIN(BN247,PR_USCredB1)+PR_USCredR2*MAX(0,BN247-PR_USCredB1),PR_USCr1*MIN(BN247,PR_USCb1)+PR_USCr2*MAX(0,MIN(BN247,PR_USCb2)-PR_USCb1)+PR_USCr3*MAX(0,MIN(BN247,PR_USCb3)-PR_USCb2)+PR_USCr4*MAX(0,BN247-PR_USCb3))),0)</f>
        <v>0</v>
      </c>
      <c r="BP247" s="1" t="n">
        <f aca="false">IF(C247&lt;PR_PRSIend,IF(F_SelfEmp=1,IF(AL247&gt;PR_PRSIsMinInc,MAX(PR_PRSIsMin,AL247*J247),0),IF(AL247/52&lt;=PR_PRSIfree,0,MAX(0,(AL247/52*J247-IF(AL247/52&lt;=PR_PRSIcreditTo,MAX(0,PR_PRSIcreditMax-(AL247/52-(PR_PRSIfree+0.01))/PR_PRSItaper),0))*52)))+J247*AN247+IF(AO247&gt;PR_PRSIunearned,J247*AO247,0),0)</f>
        <v>0</v>
      </c>
      <c r="BQ247" s="1" t="n">
        <f aca="false">IF(AND(F_Partner=1,AG247&lt;PR_PRSIend),IF(AQ247/52&lt;=PR_PRSIfree,0,MAX(0,(AQ247/52*J247-IF(AQ247/52&lt;=PR_PRSIcreditTo,MAX(0,PR_PRSIcreditMax-(AQ247/52-(PR_PRSIfree+0.01))/PR_PRSItaper),0))*52)),0)</f>
        <v>0</v>
      </c>
      <c r="BR247" s="1" t="n">
        <f aca="false">BK247+BM247+BO247+BP247+BQ247</f>
        <v>0</v>
      </c>
      <c r="BS247" s="1" t="n">
        <f aca="false">BR247*H247</f>
        <v>0</v>
      </c>
      <c r="BT247" s="1" t="n">
        <f aca="false">K247+AK247+AC247+AF247+AH247+AI247</f>
        <v>0</v>
      </c>
    </row>
    <row r="248" customFormat="false" ht="15" hidden="false" customHeight="false" outlineLevel="0" collapsed="false">
      <c r="B248" s="1" t="n">
        <v>38</v>
      </c>
      <c r="C248" s="1" t="n">
        <f aca="false">F_Age+B248</f>
        <v>38</v>
      </c>
      <c r="D248" s="1" t="n">
        <f aca="false">AS_Year0+B248</f>
        <v>2065</v>
      </c>
      <c r="E248" s="106" t="n">
        <f aca="false">(1+AS_Infl)^B248</f>
        <v>2.12229879240182</v>
      </c>
      <c r="F248" s="106" t="n">
        <f aca="false">(1+AS_Wage)^B248</f>
        <v>3.07478347817804</v>
      </c>
      <c r="G248" s="1" t="n">
        <f aca="false">IF(C248&lt;F_R,1,0)</f>
        <v>0</v>
      </c>
      <c r="H248" s="106" t="n">
        <f aca="false">IF(AS_Bands="flat",1,E248)</f>
        <v>2.12229879240182</v>
      </c>
      <c r="I248" s="106" t="n">
        <f aca="false">IF(AS_SpGrow="pay",F248,IF(AS_SpGrow="flat",1,E248))</f>
        <v>2.12229879240182</v>
      </c>
      <c r="J248" s="106" t="n">
        <f aca="false">(12*PR_PRSIr0+(PR_PRSIr1-PR_PRSIr0)*MAX(0,MIN(12,D248*12+12-PR_PRSIt1))+(PR_PRSIr2-PR_PRSIr1)*MAX(0,MIN(12,D248*12+12-PR_PRSIt2))+(PR_PRSIr3-PR_PRSIr2)*MAX(0,MIN(12,D248*12+12-PR_PRSIt3)))/12</f>
        <v>0.047</v>
      </c>
      <c r="K248" s="1" t="n">
        <f aca="false">IF(G248=1,F_Income*F248,0)</f>
        <v>0</v>
      </c>
      <c r="L248" s="1" t="n">
        <f aca="false">IF(G248=1,(F_Own+In_penExtra)*12*F248,0)</f>
        <v>0</v>
      </c>
      <c r="M248" s="1" t="n">
        <f aca="false">IF(G248=1,(F_PenM+In_penExtra)*12*F248,0)</f>
        <v>0</v>
      </c>
      <c r="N248" s="107" t="n">
        <f aca="false">IF(C248&lt;PR_RelA1,PR_RelP1,IF(C248&lt;PR_RelA2,PR_RelP2,IF(C248&lt;PR_RelA3,PR_RelP3,IF(C248&lt;PR_RelA4,PR_RelP4,IF(C248&lt;PR_RelA5,PR_RelP5,PR_RelP6)))))</f>
        <v>0.2</v>
      </c>
      <c r="O248" s="1" t="n">
        <f aca="false">IF(G248=1,MIN(L248/H248,N248*MIN(K248/H248,PR_EarnCap))*H248,0)</f>
        <v>0</v>
      </c>
      <c r="P248" s="1" t="n">
        <f aca="false">IF(AND(G248=1,F_AE=1),MIN(K248/H248,PR_AEcap)*H248,0)</f>
        <v>0</v>
      </c>
      <c r="Q248" s="1" t="n">
        <f aca="false">IF(G248=1,IF(WI_Retire=1,MAX(0,M248+WI_M*12),M248)+(PR_AEee+PR_AEer+PR_AEst)*P248,0)</f>
        <v>0</v>
      </c>
      <c r="R248" s="1" t="n">
        <f aca="false">L248+PR_AEee*P248</f>
        <v>0</v>
      </c>
      <c r="S248" s="1" t="n">
        <f aca="false">AD247</f>
        <v>0</v>
      </c>
      <c r="T248" s="1" t="n">
        <f aca="false">IF(D248&lt;=2026,PR_SFT2026,IF(D248=2027,PR_SFT2027,IF(D248=2028,PR_SFT2028,IF(D248=2029,PR_SFT2029,PR_SFT2029*(1+AS_Infl)^(D248-2029)))))</f>
        <v>5711684.56240398</v>
      </c>
      <c r="U248" s="1" t="n">
        <f aca="false">IF(AND(G248=0,C248=F_V),1,0)</f>
        <v>0</v>
      </c>
      <c r="V248" s="1" t="n">
        <f aca="false">IF(U248=1,PR_SFTrate*MAX(0,S248-T248),0)</f>
        <v>0</v>
      </c>
      <c r="W248" s="1" t="n">
        <f aca="false">S248-V248</f>
        <v>0</v>
      </c>
      <c r="X248" s="1" t="n">
        <f aca="false">IF(AND(U248=1,AS_LumpPct&gt;0),W248*MIN(AS_LumpPct,PR_LSmax),0)</f>
        <v>0</v>
      </c>
      <c r="Y248" s="1" t="n">
        <f aca="false">X248-(PR_LSrate*MAX(0,MIN(X248,PR_LScap)-PR_LSfree)+PR_r2*MAX(0,X248-PR_LScap))</f>
        <v>0</v>
      </c>
      <c r="Z248" s="1" t="n">
        <f aca="false">W248-X248</f>
        <v>0</v>
      </c>
      <c r="AA248" s="107" t="n">
        <f aca="false">IF(C248&gt;=61,IF(Z248&gt;PR_ARFbig,PR_ARFbigRate,IF(C248&gt;=71,PR_ARF71,PR_ARF61)),0)</f>
        <v>0</v>
      </c>
      <c r="AB248" s="1" t="n">
        <f aca="false">IF(AS_DrawRule="min",Z248*AA248,IF(AS_DrawRule="fixed",MAX(AS_DrawFixed*E248,Z248*AA248),Z248*MAX(1/MAX(1,AS_End-C248+1),AA248)))</f>
        <v>0</v>
      </c>
      <c r="AC248" s="1" t="n">
        <f aca="false">IF(AND(G248=0,C248&gt;=F_V),MIN(Z248,AB248),0)</f>
        <v>0</v>
      </c>
      <c r="AD248" s="1" t="n">
        <f aca="false">IF(G248=1,S248*(1+F_PenG)+Q248,IF(C248&lt;F_V,S248*(1+F_PenG),(Z248-AC248)*(1+AS_PenRet)))</f>
        <v>0</v>
      </c>
      <c r="AE248" s="1" t="n">
        <f aca="false">IF(C248&gt;=PR_SPage,AS_SP*F_SpF*I248+IF(C248&gt;=80,PR_Over80*PR_Weeks*I248,0),0)</f>
        <v>0</v>
      </c>
      <c r="AF248" s="1" t="n">
        <f aca="false">(F_OtherM+F_RentM)*12*E248</f>
        <v>0</v>
      </c>
      <c r="AG248" s="1" t="n">
        <f aca="false">F_PAge+B248</f>
        <v>38</v>
      </c>
      <c r="AH248" s="1" t="n">
        <f aca="false">IF(AND(F_Partner=1,F_PAge&gt;0,AG248&lt;IF(F_PRet&gt;0,F_PRet,66)),F_PIncome*F248,0)</f>
        <v>0</v>
      </c>
      <c r="AI248" s="1" t="n">
        <f aca="false">IF(AND(F_Partner=1,AG248&gt;=66,F_PSpQA=0),AS_SP*F_PSpF*I248,0)</f>
        <v>0</v>
      </c>
      <c r="AJ248" s="1" t="n">
        <f aca="false">IF(AND(F_Partner=1,F_PSpQA=1,C248&gt;=PR_SPage,AH248=0),IF(AG248&gt;=66,PR_QA66,PR_QAunder)*PR_Weeks*I248,0)</f>
        <v>0</v>
      </c>
      <c r="AK248" s="1" t="n">
        <f aca="false">AE248+AJ248</f>
        <v>0</v>
      </c>
      <c r="AL248" s="1" t="n">
        <f aca="false">K248/H248</f>
        <v>0</v>
      </c>
      <c r="AM248" s="1" t="n">
        <f aca="false">AK248/H248</f>
        <v>0</v>
      </c>
      <c r="AN248" s="1" t="n">
        <f aca="false">AC248/H248</f>
        <v>0</v>
      </c>
      <c r="AO248" s="1" t="n">
        <f aca="false">AF248/H248</f>
        <v>0</v>
      </c>
      <c r="AP248" s="1" t="n">
        <f aca="false">O248/H248</f>
        <v>0</v>
      </c>
      <c r="AQ248" s="1" t="n">
        <f aca="false">AH248/H248</f>
        <v>0</v>
      </c>
      <c r="AR248" s="1" t="n">
        <f aca="false">AI248/H248</f>
        <v>0</v>
      </c>
      <c r="AS248" s="1" t="n">
        <f aca="false">MAX(0,AL248+AN248+AO248+AM248-AP248)</f>
        <v>0</v>
      </c>
      <c r="AT248" s="1" t="n">
        <f aca="false">MAX(0,AQ248+AR248)</f>
        <v>0</v>
      </c>
      <c r="AU248" s="1" t="n">
        <f aca="false">MIN(PR_PAYE,PR_PAYEcap*(AL248+AN248+AM248))</f>
        <v>0</v>
      </c>
      <c r="AV248" s="1" t="n">
        <f aca="false">MIN(PR_PAYE,PR_PAYEcap*(AQ248+AR248))</f>
        <v>0</v>
      </c>
      <c r="AW248" s="1" t="n">
        <f aca="false">IF(C248&gt;=PR_AgeCrAge,PR_AgeCr,0)</f>
        <v>0</v>
      </c>
      <c r="AX248" s="1" t="n">
        <f aca="false">IF(AG248&gt;=PR_AgeCrAge,PR_AgeCr,0)</f>
        <v>0</v>
      </c>
      <c r="AY248" s="1" t="n">
        <f aca="false">IF(AND(F_RentCred=1,D248&lt;=PR_RentLast),1,0)</f>
        <v>0</v>
      </c>
      <c r="AZ248" s="1" t="n">
        <f aca="false">AS248+AT248</f>
        <v>0</v>
      </c>
      <c r="BA248" s="1" t="n">
        <f aca="false">PR_PersonalM+AU248+AV248+AW248+AX248+IF(AY248=1,PR_RentJoint,0)</f>
        <v>4000</v>
      </c>
      <c r="BB248" s="1" t="n">
        <f aca="false">PR_BandM+MIN(MIN(AS248,AT248),PR_Uplift)</f>
        <v>53000</v>
      </c>
      <c r="BC248" s="1" t="n">
        <f aca="false">MAX(0,PR_r1*MIN(AZ248,BB248)+PR_r2*MAX(0,AZ248-BB248)-BA248)</f>
        <v>0</v>
      </c>
      <c r="BD248" s="1" t="n">
        <f aca="false">MAX(0,PR_HomeCarer-MAX(0,MIN(AS248,AT248)-PR_HCLimit)/2)</f>
        <v>1950</v>
      </c>
      <c r="BE248" s="1" t="n">
        <f aca="false">IF(F_Carer=1,MIN(BC248,MAX(0,PR_r1*MIN(AZ248,PR_BandM)+PR_r2*MAX(0,AZ248-PR_BandM)-BA248-BD248)),BC248)</f>
        <v>0</v>
      </c>
      <c r="BF248" s="1" t="n">
        <f aca="false">IF(OR(C248&gt;=PR_AgeCrAge,AG248&gt;=PR_AgeCrAge),IF(AZ248&lt;=PR_AgeExM,0,MIN(BE248,PR_AgeMarg*(AZ248-PR_AgeExM))),BE248)</f>
        <v>0</v>
      </c>
      <c r="BG248" s="1" t="n">
        <f aca="false">MAX(0,PR_r1*MIN(AS248,IF(F_Spccc=1,PR_BandSPCCC,PR_Band))+PR_r2*MAX(0,AS248-IF(F_Spccc=1,PR_BandSPCCC,PR_Band))-(PR_Personal+AU248+AW248+IF(F_Spccc=1,PR_SPCCC,0)+IF(AY248=1,PR_Rent,0)))</f>
        <v>0</v>
      </c>
      <c r="BH248" s="1" t="n">
        <f aca="false">IF(C248&gt;=PR_AgeCrAge,IF(AS248&lt;=PR_AgeEx,0,MIN(BG248,PR_AgeMarg*(AS248-PR_AgeEx))),BG248)</f>
        <v>0</v>
      </c>
      <c r="BI248" s="1" t="n">
        <f aca="false">IF(F_Partner=1,MAX(0,PR_r1*MIN(AT248,PR_Band)+PR_r2*MAX(0,AT248-PR_Band)-(PR_Personal+AV248+AX248+IF(AND(AY248=1,AT248&gt;0),PR_Rent,0))),0)</f>
        <v>0</v>
      </c>
      <c r="BJ248" s="1" t="n">
        <f aca="false">IF(AG248&gt;=PR_AgeCrAge,IF(AT248&lt;=PR_AgeEx,0,MIN(BI248,PR_AgeMarg*(AT248-PR_AgeEx))),BI248)</f>
        <v>0</v>
      </c>
      <c r="BK248" s="1" t="n">
        <f aca="false">IF(F_Partner=1,IF(F_Married=1,BF248,BH248+BJ248),BH248)</f>
        <v>0</v>
      </c>
      <c r="BL248" s="1" t="n">
        <f aca="false">AL248+AN248+AO248</f>
        <v>0</v>
      </c>
      <c r="BM248" s="1" t="n">
        <f aca="false">IF(BL248&lt;=PR_USCex,0,IF(IF(AND(C248&gt;=PR_USCredAge,BL248&lt;=PR_USCredMax),1,0)=1,PR_USCr1*MIN(BL248,PR_USCredB1)+PR_USCredR2*MAX(0,BL248-PR_USCredB1),PR_USCr1*MIN(BL248,PR_USCb1)+PR_USCr2*MAX(0,MIN(BL248,PR_USCb2)-PR_USCb1)+PR_USCr3*MAX(0,MIN(BL248,PR_USCb3)-PR_USCb2)+PR_USCr4*MAX(0,BL248-PR_USCb3)))+IF(F_SelfEmp=1,PR_USCse*MAX(0,AL248-PR_USCseOver),0)</f>
        <v>0</v>
      </c>
      <c r="BN248" s="1" t="n">
        <f aca="false">AQ248</f>
        <v>0</v>
      </c>
      <c r="BO248" s="1" t="n">
        <f aca="false">IF(F_Partner=1,IF(BN248&lt;=PR_USCex,0,IF(IF(AND(AG248&gt;=PR_USCredAge,BN248&lt;=PR_USCredMax),1,0)=1,PR_USCr1*MIN(BN248,PR_USCredB1)+PR_USCredR2*MAX(0,BN248-PR_USCredB1),PR_USCr1*MIN(BN248,PR_USCb1)+PR_USCr2*MAX(0,MIN(BN248,PR_USCb2)-PR_USCb1)+PR_USCr3*MAX(0,MIN(BN248,PR_USCb3)-PR_USCb2)+PR_USCr4*MAX(0,BN248-PR_USCb3))),0)</f>
        <v>0</v>
      </c>
      <c r="BP248" s="1" t="n">
        <f aca="false">IF(C248&lt;PR_PRSIend,IF(F_SelfEmp=1,IF(AL248&gt;PR_PRSIsMinInc,MAX(PR_PRSIsMin,AL248*J248),0),IF(AL248/52&lt;=PR_PRSIfree,0,MAX(0,(AL248/52*J248-IF(AL248/52&lt;=PR_PRSIcreditTo,MAX(0,PR_PRSIcreditMax-(AL248/52-(PR_PRSIfree+0.01))/PR_PRSItaper),0))*52)))+J248*AN248+IF(AO248&gt;PR_PRSIunearned,J248*AO248,0),0)</f>
        <v>0</v>
      </c>
      <c r="BQ248" s="1" t="n">
        <f aca="false">IF(AND(F_Partner=1,AG248&lt;PR_PRSIend),IF(AQ248/52&lt;=PR_PRSIfree,0,MAX(0,(AQ248/52*J248-IF(AQ248/52&lt;=PR_PRSIcreditTo,MAX(0,PR_PRSIcreditMax-(AQ248/52-(PR_PRSIfree+0.01))/PR_PRSItaper),0))*52)),0)</f>
        <v>0</v>
      </c>
      <c r="BR248" s="1" t="n">
        <f aca="false">BK248+BM248+BO248+BP248+BQ248</f>
        <v>0</v>
      </c>
      <c r="BS248" s="1" t="n">
        <f aca="false">BR248*H248</f>
        <v>0</v>
      </c>
      <c r="BT248" s="1" t="n">
        <f aca="false">K248+AK248+AC248+AF248+AH248+AI248</f>
        <v>0</v>
      </c>
    </row>
    <row r="249" customFormat="false" ht="15" hidden="false" customHeight="false" outlineLevel="0" collapsed="false">
      <c r="B249" s="1" t="n">
        <v>39</v>
      </c>
      <c r="C249" s="1" t="n">
        <f aca="false">F_Age+B249</f>
        <v>39</v>
      </c>
      <c r="D249" s="1" t="n">
        <f aca="false">AS_Year0+B249</f>
        <v>2066</v>
      </c>
      <c r="E249" s="106" t="n">
        <f aca="false">(1+AS_Infl)^B249</f>
        <v>2.16474476824986</v>
      </c>
      <c r="F249" s="106" t="n">
        <f aca="false">(1+AS_Wage)^B249</f>
        <v>3.16702698252338</v>
      </c>
      <c r="G249" s="1" t="n">
        <f aca="false">IF(C249&lt;F_R,1,0)</f>
        <v>0</v>
      </c>
      <c r="H249" s="106" t="n">
        <f aca="false">IF(AS_Bands="flat",1,E249)</f>
        <v>2.16474476824986</v>
      </c>
      <c r="I249" s="106" t="n">
        <f aca="false">IF(AS_SpGrow="pay",F249,IF(AS_SpGrow="flat",1,E249))</f>
        <v>2.16474476824986</v>
      </c>
      <c r="J249" s="106" t="n">
        <f aca="false">(12*PR_PRSIr0+(PR_PRSIr1-PR_PRSIr0)*MAX(0,MIN(12,D249*12+12-PR_PRSIt1))+(PR_PRSIr2-PR_PRSIr1)*MAX(0,MIN(12,D249*12+12-PR_PRSIt2))+(PR_PRSIr3-PR_PRSIr2)*MAX(0,MIN(12,D249*12+12-PR_PRSIt3)))/12</f>
        <v>0.047</v>
      </c>
      <c r="K249" s="1" t="n">
        <f aca="false">IF(G249=1,F_Income*F249,0)</f>
        <v>0</v>
      </c>
      <c r="L249" s="1" t="n">
        <f aca="false">IF(G249=1,(F_Own+In_penExtra)*12*F249,0)</f>
        <v>0</v>
      </c>
      <c r="M249" s="1" t="n">
        <f aca="false">IF(G249=1,(F_PenM+In_penExtra)*12*F249,0)</f>
        <v>0</v>
      </c>
      <c r="N249" s="107" t="n">
        <f aca="false">IF(C249&lt;PR_RelA1,PR_RelP1,IF(C249&lt;PR_RelA2,PR_RelP2,IF(C249&lt;PR_RelA3,PR_RelP3,IF(C249&lt;PR_RelA4,PR_RelP4,IF(C249&lt;PR_RelA5,PR_RelP5,PR_RelP6)))))</f>
        <v>0.2</v>
      </c>
      <c r="O249" s="1" t="n">
        <f aca="false">IF(G249=1,MIN(L249/H249,N249*MIN(K249/H249,PR_EarnCap))*H249,0)</f>
        <v>0</v>
      </c>
      <c r="P249" s="1" t="n">
        <f aca="false">IF(AND(G249=1,F_AE=1),MIN(K249/H249,PR_AEcap)*H249,0)</f>
        <v>0</v>
      </c>
      <c r="Q249" s="1" t="n">
        <f aca="false">IF(G249=1,IF(WI_Retire=1,MAX(0,M249+WI_M*12),M249)+(PR_AEee+PR_AEer+PR_AEst)*P249,0)</f>
        <v>0</v>
      </c>
      <c r="R249" s="1" t="n">
        <f aca="false">L249+PR_AEee*P249</f>
        <v>0</v>
      </c>
      <c r="S249" s="1" t="n">
        <f aca="false">AD248</f>
        <v>0</v>
      </c>
      <c r="T249" s="1" t="n">
        <f aca="false">IF(D249&lt;=2026,PR_SFT2026,IF(D249=2027,PR_SFT2027,IF(D249=2028,PR_SFT2028,IF(D249=2029,PR_SFT2029,PR_SFT2029*(1+AS_Infl)^(D249-2029)))))</f>
        <v>5825918.25365206</v>
      </c>
      <c r="U249" s="1" t="n">
        <f aca="false">IF(AND(G249=0,C249=F_V),1,0)</f>
        <v>0</v>
      </c>
      <c r="V249" s="1" t="n">
        <f aca="false">IF(U249=1,PR_SFTrate*MAX(0,S249-T249),0)</f>
        <v>0</v>
      </c>
      <c r="W249" s="1" t="n">
        <f aca="false">S249-V249</f>
        <v>0</v>
      </c>
      <c r="X249" s="1" t="n">
        <f aca="false">IF(AND(U249=1,AS_LumpPct&gt;0),W249*MIN(AS_LumpPct,PR_LSmax),0)</f>
        <v>0</v>
      </c>
      <c r="Y249" s="1" t="n">
        <f aca="false">X249-(PR_LSrate*MAX(0,MIN(X249,PR_LScap)-PR_LSfree)+PR_r2*MAX(0,X249-PR_LScap))</f>
        <v>0</v>
      </c>
      <c r="Z249" s="1" t="n">
        <f aca="false">W249-X249</f>
        <v>0</v>
      </c>
      <c r="AA249" s="107" t="n">
        <f aca="false">IF(C249&gt;=61,IF(Z249&gt;PR_ARFbig,PR_ARFbigRate,IF(C249&gt;=71,PR_ARF71,PR_ARF61)),0)</f>
        <v>0</v>
      </c>
      <c r="AB249" s="1" t="n">
        <f aca="false">IF(AS_DrawRule="min",Z249*AA249,IF(AS_DrawRule="fixed",MAX(AS_DrawFixed*E249,Z249*AA249),Z249*MAX(1/MAX(1,AS_End-C249+1),AA249)))</f>
        <v>0</v>
      </c>
      <c r="AC249" s="1" t="n">
        <f aca="false">IF(AND(G249=0,C249&gt;=F_V),MIN(Z249,AB249),0)</f>
        <v>0</v>
      </c>
      <c r="AD249" s="1" t="n">
        <f aca="false">IF(G249=1,S249*(1+F_PenG)+Q249,IF(C249&lt;F_V,S249*(1+F_PenG),(Z249-AC249)*(1+AS_PenRet)))</f>
        <v>0</v>
      </c>
      <c r="AE249" s="1" t="n">
        <f aca="false">IF(C249&gt;=PR_SPage,AS_SP*F_SpF*I249+IF(C249&gt;=80,PR_Over80*PR_Weeks*I249,0),0)</f>
        <v>0</v>
      </c>
      <c r="AF249" s="1" t="n">
        <f aca="false">(F_OtherM+F_RentM)*12*E249</f>
        <v>0</v>
      </c>
      <c r="AG249" s="1" t="n">
        <f aca="false">F_PAge+B249</f>
        <v>39</v>
      </c>
      <c r="AH249" s="1" t="n">
        <f aca="false">IF(AND(F_Partner=1,F_PAge&gt;0,AG249&lt;IF(F_PRet&gt;0,F_PRet,66)),F_PIncome*F249,0)</f>
        <v>0</v>
      </c>
      <c r="AI249" s="1" t="n">
        <f aca="false">IF(AND(F_Partner=1,AG249&gt;=66,F_PSpQA=0),AS_SP*F_PSpF*I249,0)</f>
        <v>0</v>
      </c>
      <c r="AJ249" s="1" t="n">
        <f aca="false">IF(AND(F_Partner=1,F_PSpQA=1,C249&gt;=PR_SPage,AH249=0),IF(AG249&gt;=66,PR_QA66,PR_QAunder)*PR_Weeks*I249,0)</f>
        <v>0</v>
      </c>
      <c r="AK249" s="1" t="n">
        <f aca="false">AE249+AJ249</f>
        <v>0</v>
      </c>
      <c r="AL249" s="1" t="n">
        <f aca="false">K249/H249</f>
        <v>0</v>
      </c>
      <c r="AM249" s="1" t="n">
        <f aca="false">AK249/H249</f>
        <v>0</v>
      </c>
      <c r="AN249" s="1" t="n">
        <f aca="false">AC249/H249</f>
        <v>0</v>
      </c>
      <c r="AO249" s="1" t="n">
        <f aca="false">AF249/H249</f>
        <v>0</v>
      </c>
      <c r="AP249" s="1" t="n">
        <f aca="false">O249/H249</f>
        <v>0</v>
      </c>
      <c r="AQ249" s="1" t="n">
        <f aca="false">AH249/H249</f>
        <v>0</v>
      </c>
      <c r="AR249" s="1" t="n">
        <f aca="false">AI249/H249</f>
        <v>0</v>
      </c>
      <c r="AS249" s="1" t="n">
        <f aca="false">MAX(0,AL249+AN249+AO249+AM249-AP249)</f>
        <v>0</v>
      </c>
      <c r="AT249" s="1" t="n">
        <f aca="false">MAX(0,AQ249+AR249)</f>
        <v>0</v>
      </c>
      <c r="AU249" s="1" t="n">
        <f aca="false">MIN(PR_PAYE,PR_PAYEcap*(AL249+AN249+AM249))</f>
        <v>0</v>
      </c>
      <c r="AV249" s="1" t="n">
        <f aca="false">MIN(PR_PAYE,PR_PAYEcap*(AQ249+AR249))</f>
        <v>0</v>
      </c>
      <c r="AW249" s="1" t="n">
        <f aca="false">IF(C249&gt;=PR_AgeCrAge,PR_AgeCr,0)</f>
        <v>0</v>
      </c>
      <c r="AX249" s="1" t="n">
        <f aca="false">IF(AG249&gt;=PR_AgeCrAge,PR_AgeCr,0)</f>
        <v>0</v>
      </c>
      <c r="AY249" s="1" t="n">
        <f aca="false">IF(AND(F_RentCred=1,D249&lt;=PR_RentLast),1,0)</f>
        <v>0</v>
      </c>
      <c r="AZ249" s="1" t="n">
        <f aca="false">AS249+AT249</f>
        <v>0</v>
      </c>
      <c r="BA249" s="1" t="n">
        <f aca="false">PR_PersonalM+AU249+AV249+AW249+AX249+IF(AY249=1,PR_RentJoint,0)</f>
        <v>4000</v>
      </c>
      <c r="BB249" s="1" t="n">
        <f aca="false">PR_BandM+MIN(MIN(AS249,AT249),PR_Uplift)</f>
        <v>53000</v>
      </c>
      <c r="BC249" s="1" t="n">
        <f aca="false">MAX(0,PR_r1*MIN(AZ249,BB249)+PR_r2*MAX(0,AZ249-BB249)-BA249)</f>
        <v>0</v>
      </c>
      <c r="BD249" s="1" t="n">
        <f aca="false">MAX(0,PR_HomeCarer-MAX(0,MIN(AS249,AT249)-PR_HCLimit)/2)</f>
        <v>1950</v>
      </c>
      <c r="BE249" s="1" t="n">
        <f aca="false">IF(F_Carer=1,MIN(BC249,MAX(0,PR_r1*MIN(AZ249,PR_BandM)+PR_r2*MAX(0,AZ249-PR_BandM)-BA249-BD249)),BC249)</f>
        <v>0</v>
      </c>
      <c r="BF249" s="1" t="n">
        <f aca="false">IF(OR(C249&gt;=PR_AgeCrAge,AG249&gt;=PR_AgeCrAge),IF(AZ249&lt;=PR_AgeExM,0,MIN(BE249,PR_AgeMarg*(AZ249-PR_AgeExM))),BE249)</f>
        <v>0</v>
      </c>
      <c r="BG249" s="1" t="n">
        <f aca="false">MAX(0,PR_r1*MIN(AS249,IF(F_Spccc=1,PR_BandSPCCC,PR_Band))+PR_r2*MAX(0,AS249-IF(F_Spccc=1,PR_BandSPCCC,PR_Band))-(PR_Personal+AU249+AW249+IF(F_Spccc=1,PR_SPCCC,0)+IF(AY249=1,PR_Rent,0)))</f>
        <v>0</v>
      </c>
      <c r="BH249" s="1" t="n">
        <f aca="false">IF(C249&gt;=PR_AgeCrAge,IF(AS249&lt;=PR_AgeEx,0,MIN(BG249,PR_AgeMarg*(AS249-PR_AgeEx))),BG249)</f>
        <v>0</v>
      </c>
      <c r="BI249" s="1" t="n">
        <f aca="false">IF(F_Partner=1,MAX(0,PR_r1*MIN(AT249,PR_Band)+PR_r2*MAX(0,AT249-PR_Band)-(PR_Personal+AV249+AX249+IF(AND(AY249=1,AT249&gt;0),PR_Rent,0))),0)</f>
        <v>0</v>
      </c>
      <c r="BJ249" s="1" t="n">
        <f aca="false">IF(AG249&gt;=PR_AgeCrAge,IF(AT249&lt;=PR_AgeEx,0,MIN(BI249,PR_AgeMarg*(AT249-PR_AgeEx))),BI249)</f>
        <v>0</v>
      </c>
      <c r="BK249" s="1" t="n">
        <f aca="false">IF(F_Partner=1,IF(F_Married=1,BF249,BH249+BJ249),BH249)</f>
        <v>0</v>
      </c>
      <c r="BL249" s="1" t="n">
        <f aca="false">AL249+AN249+AO249</f>
        <v>0</v>
      </c>
      <c r="BM249" s="1" t="n">
        <f aca="false">IF(BL249&lt;=PR_USCex,0,IF(IF(AND(C249&gt;=PR_USCredAge,BL249&lt;=PR_USCredMax),1,0)=1,PR_USCr1*MIN(BL249,PR_USCredB1)+PR_USCredR2*MAX(0,BL249-PR_USCredB1),PR_USCr1*MIN(BL249,PR_USCb1)+PR_USCr2*MAX(0,MIN(BL249,PR_USCb2)-PR_USCb1)+PR_USCr3*MAX(0,MIN(BL249,PR_USCb3)-PR_USCb2)+PR_USCr4*MAX(0,BL249-PR_USCb3)))+IF(F_SelfEmp=1,PR_USCse*MAX(0,AL249-PR_USCseOver),0)</f>
        <v>0</v>
      </c>
      <c r="BN249" s="1" t="n">
        <f aca="false">AQ249</f>
        <v>0</v>
      </c>
      <c r="BO249" s="1" t="n">
        <f aca="false">IF(F_Partner=1,IF(BN249&lt;=PR_USCex,0,IF(IF(AND(AG249&gt;=PR_USCredAge,BN249&lt;=PR_USCredMax),1,0)=1,PR_USCr1*MIN(BN249,PR_USCredB1)+PR_USCredR2*MAX(0,BN249-PR_USCredB1),PR_USCr1*MIN(BN249,PR_USCb1)+PR_USCr2*MAX(0,MIN(BN249,PR_USCb2)-PR_USCb1)+PR_USCr3*MAX(0,MIN(BN249,PR_USCb3)-PR_USCb2)+PR_USCr4*MAX(0,BN249-PR_USCb3))),0)</f>
        <v>0</v>
      </c>
      <c r="BP249" s="1" t="n">
        <f aca="false">IF(C249&lt;PR_PRSIend,IF(F_SelfEmp=1,IF(AL249&gt;PR_PRSIsMinInc,MAX(PR_PRSIsMin,AL249*J249),0),IF(AL249/52&lt;=PR_PRSIfree,0,MAX(0,(AL249/52*J249-IF(AL249/52&lt;=PR_PRSIcreditTo,MAX(0,PR_PRSIcreditMax-(AL249/52-(PR_PRSIfree+0.01))/PR_PRSItaper),0))*52)))+J249*AN249+IF(AO249&gt;PR_PRSIunearned,J249*AO249,0),0)</f>
        <v>0</v>
      </c>
      <c r="BQ249" s="1" t="n">
        <f aca="false">IF(AND(F_Partner=1,AG249&lt;PR_PRSIend),IF(AQ249/52&lt;=PR_PRSIfree,0,MAX(0,(AQ249/52*J249-IF(AQ249/52&lt;=PR_PRSIcreditTo,MAX(0,PR_PRSIcreditMax-(AQ249/52-(PR_PRSIfree+0.01))/PR_PRSItaper),0))*52)),0)</f>
        <v>0</v>
      </c>
      <c r="BR249" s="1" t="n">
        <f aca="false">BK249+BM249+BO249+BP249+BQ249</f>
        <v>0</v>
      </c>
      <c r="BS249" s="1" t="n">
        <f aca="false">BR249*H249</f>
        <v>0</v>
      </c>
      <c r="BT249" s="1" t="n">
        <f aca="false">K249+AK249+AC249+AF249+AH249+AI249</f>
        <v>0</v>
      </c>
    </row>
    <row r="250" customFormat="false" ht="15" hidden="false" customHeight="false" outlineLevel="0" collapsed="false">
      <c r="B250" s="1" t="n">
        <v>40</v>
      </c>
      <c r="C250" s="1" t="n">
        <f aca="false">F_Age+B250</f>
        <v>40</v>
      </c>
      <c r="D250" s="1" t="n">
        <f aca="false">AS_Year0+B250</f>
        <v>2067</v>
      </c>
      <c r="E250" s="106" t="n">
        <f aca="false">(1+AS_Infl)^B250</f>
        <v>2.20803966361485</v>
      </c>
      <c r="F250" s="106" t="n">
        <f aca="false">(1+AS_Wage)^B250</f>
        <v>3.26203779199908</v>
      </c>
      <c r="G250" s="1" t="n">
        <f aca="false">IF(C250&lt;F_R,1,0)</f>
        <v>0</v>
      </c>
      <c r="H250" s="106" t="n">
        <f aca="false">IF(AS_Bands="flat",1,E250)</f>
        <v>2.20803966361485</v>
      </c>
      <c r="I250" s="106" t="n">
        <f aca="false">IF(AS_SpGrow="pay",F250,IF(AS_SpGrow="flat",1,E250))</f>
        <v>2.20803966361485</v>
      </c>
      <c r="J250" s="106" t="n">
        <f aca="false">(12*PR_PRSIr0+(PR_PRSIr1-PR_PRSIr0)*MAX(0,MIN(12,D250*12+12-PR_PRSIt1))+(PR_PRSIr2-PR_PRSIr1)*MAX(0,MIN(12,D250*12+12-PR_PRSIt2))+(PR_PRSIr3-PR_PRSIr2)*MAX(0,MIN(12,D250*12+12-PR_PRSIt3)))/12</f>
        <v>0.047</v>
      </c>
      <c r="K250" s="1" t="n">
        <f aca="false">IF(G250=1,F_Income*F250,0)</f>
        <v>0</v>
      </c>
      <c r="L250" s="1" t="n">
        <f aca="false">IF(G250=1,(F_Own+In_penExtra)*12*F250,0)</f>
        <v>0</v>
      </c>
      <c r="M250" s="1" t="n">
        <f aca="false">IF(G250=1,(F_PenM+In_penExtra)*12*F250,0)</f>
        <v>0</v>
      </c>
      <c r="N250" s="107" t="n">
        <f aca="false">IF(C250&lt;PR_RelA1,PR_RelP1,IF(C250&lt;PR_RelA2,PR_RelP2,IF(C250&lt;PR_RelA3,PR_RelP3,IF(C250&lt;PR_RelA4,PR_RelP4,IF(C250&lt;PR_RelA5,PR_RelP5,PR_RelP6)))))</f>
        <v>0.25</v>
      </c>
      <c r="O250" s="1" t="n">
        <f aca="false">IF(G250=1,MIN(L250/H250,N250*MIN(K250/H250,PR_EarnCap))*H250,0)</f>
        <v>0</v>
      </c>
      <c r="P250" s="1" t="n">
        <f aca="false">IF(AND(G250=1,F_AE=1),MIN(K250/H250,PR_AEcap)*H250,0)</f>
        <v>0</v>
      </c>
      <c r="Q250" s="1" t="n">
        <f aca="false">IF(G250=1,IF(WI_Retire=1,MAX(0,M250+WI_M*12),M250)+(PR_AEee+PR_AEer+PR_AEst)*P250,0)</f>
        <v>0</v>
      </c>
      <c r="R250" s="1" t="n">
        <f aca="false">L250+PR_AEee*P250</f>
        <v>0</v>
      </c>
      <c r="S250" s="1" t="n">
        <f aca="false">AD249</f>
        <v>0</v>
      </c>
      <c r="T250" s="1" t="n">
        <f aca="false">IF(D250&lt;=2026,PR_SFT2026,IF(D250=2027,PR_SFT2027,IF(D250=2028,PR_SFT2028,IF(D250=2029,PR_SFT2029,PR_SFT2029*(1+AS_Infl)^(D250-2029)))))</f>
        <v>5942436.6187251</v>
      </c>
      <c r="U250" s="1" t="n">
        <f aca="false">IF(AND(G250=0,C250=F_V),1,0)</f>
        <v>0</v>
      </c>
      <c r="V250" s="1" t="n">
        <f aca="false">IF(U250=1,PR_SFTrate*MAX(0,S250-T250),0)</f>
        <v>0</v>
      </c>
      <c r="W250" s="1" t="n">
        <f aca="false">S250-V250</f>
        <v>0</v>
      </c>
      <c r="X250" s="1" t="n">
        <f aca="false">IF(AND(U250=1,AS_LumpPct&gt;0),W250*MIN(AS_LumpPct,PR_LSmax),0)</f>
        <v>0</v>
      </c>
      <c r="Y250" s="1" t="n">
        <f aca="false">X250-(PR_LSrate*MAX(0,MIN(X250,PR_LScap)-PR_LSfree)+PR_r2*MAX(0,X250-PR_LScap))</f>
        <v>0</v>
      </c>
      <c r="Z250" s="1" t="n">
        <f aca="false">W250-X250</f>
        <v>0</v>
      </c>
      <c r="AA250" s="107" t="n">
        <f aca="false">IF(C250&gt;=61,IF(Z250&gt;PR_ARFbig,PR_ARFbigRate,IF(C250&gt;=71,PR_ARF71,PR_ARF61)),0)</f>
        <v>0</v>
      </c>
      <c r="AB250" s="1" t="n">
        <f aca="false">IF(AS_DrawRule="min",Z250*AA250,IF(AS_DrawRule="fixed",MAX(AS_DrawFixed*E250,Z250*AA250),Z250*MAX(1/MAX(1,AS_End-C250+1),AA250)))</f>
        <v>0</v>
      </c>
      <c r="AC250" s="1" t="n">
        <f aca="false">IF(AND(G250=0,C250&gt;=F_V),MIN(Z250,AB250),0)</f>
        <v>0</v>
      </c>
      <c r="AD250" s="1" t="n">
        <f aca="false">IF(G250=1,S250*(1+F_PenG)+Q250,IF(C250&lt;F_V,S250*(1+F_PenG),(Z250-AC250)*(1+AS_PenRet)))</f>
        <v>0</v>
      </c>
      <c r="AE250" s="1" t="n">
        <f aca="false">IF(C250&gt;=PR_SPage,AS_SP*F_SpF*I250+IF(C250&gt;=80,PR_Over80*PR_Weeks*I250,0),0)</f>
        <v>0</v>
      </c>
      <c r="AF250" s="1" t="n">
        <f aca="false">(F_OtherM+F_RentM)*12*E250</f>
        <v>0</v>
      </c>
      <c r="AG250" s="1" t="n">
        <f aca="false">F_PAge+B250</f>
        <v>40</v>
      </c>
      <c r="AH250" s="1" t="n">
        <f aca="false">IF(AND(F_Partner=1,F_PAge&gt;0,AG250&lt;IF(F_PRet&gt;0,F_PRet,66)),F_PIncome*F250,0)</f>
        <v>0</v>
      </c>
      <c r="AI250" s="1" t="n">
        <f aca="false">IF(AND(F_Partner=1,AG250&gt;=66,F_PSpQA=0),AS_SP*F_PSpF*I250,0)</f>
        <v>0</v>
      </c>
      <c r="AJ250" s="1" t="n">
        <f aca="false">IF(AND(F_Partner=1,F_PSpQA=1,C250&gt;=PR_SPage,AH250=0),IF(AG250&gt;=66,PR_QA66,PR_QAunder)*PR_Weeks*I250,0)</f>
        <v>0</v>
      </c>
      <c r="AK250" s="1" t="n">
        <f aca="false">AE250+AJ250</f>
        <v>0</v>
      </c>
      <c r="AL250" s="1" t="n">
        <f aca="false">K250/H250</f>
        <v>0</v>
      </c>
      <c r="AM250" s="1" t="n">
        <f aca="false">AK250/H250</f>
        <v>0</v>
      </c>
      <c r="AN250" s="1" t="n">
        <f aca="false">AC250/H250</f>
        <v>0</v>
      </c>
      <c r="AO250" s="1" t="n">
        <f aca="false">AF250/H250</f>
        <v>0</v>
      </c>
      <c r="AP250" s="1" t="n">
        <f aca="false">O250/H250</f>
        <v>0</v>
      </c>
      <c r="AQ250" s="1" t="n">
        <f aca="false">AH250/H250</f>
        <v>0</v>
      </c>
      <c r="AR250" s="1" t="n">
        <f aca="false">AI250/H250</f>
        <v>0</v>
      </c>
      <c r="AS250" s="1" t="n">
        <f aca="false">MAX(0,AL250+AN250+AO250+AM250-AP250)</f>
        <v>0</v>
      </c>
      <c r="AT250" s="1" t="n">
        <f aca="false">MAX(0,AQ250+AR250)</f>
        <v>0</v>
      </c>
      <c r="AU250" s="1" t="n">
        <f aca="false">MIN(PR_PAYE,PR_PAYEcap*(AL250+AN250+AM250))</f>
        <v>0</v>
      </c>
      <c r="AV250" s="1" t="n">
        <f aca="false">MIN(PR_PAYE,PR_PAYEcap*(AQ250+AR250))</f>
        <v>0</v>
      </c>
      <c r="AW250" s="1" t="n">
        <f aca="false">IF(C250&gt;=PR_AgeCrAge,PR_AgeCr,0)</f>
        <v>0</v>
      </c>
      <c r="AX250" s="1" t="n">
        <f aca="false">IF(AG250&gt;=PR_AgeCrAge,PR_AgeCr,0)</f>
        <v>0</v>
      </c>
      <c r="AY250" s="1" t="n">
        <f aca="false">IF(AND(F_RentCred=1,D250&lt;=PR_RentLast),1,0)</f>
        <v>0</v>
      </c>
      <c r="AZ250" s="1" t="n">
        <f aca="false">AS250+AT250</f>
        <v>0</v>
      </c>
      <c r="BA250" s="1" t="n">
        <f aca="false">PR_PersonalM+AU250+AV250+AW250+AX250+IF(AY250=1,PR_RentJoint,0)</f>
        <v>4000</v>
      </c>
      <c r="BB250" s="1" t="n">
        <f aca="false">PR_BandM+MIN(MIN(AS250,AT250),PR_Uplift)</f>
        <v>53000</v>
      </c>
      <c r="BC250" s="1" t="n">
        <f aca="false">MAX(0,PR_r1*MIN(AZ250,BB250)+PR_r2*MAX(0,AZ250-BB250)-BA250)</f>
        <v>0</v>
      </c>
      <c r="BD250" s="1" t="n">
        <f aca="false">MAX(0,PR_HomeCarer-MAX(0,MIN(AS250,AT250)-PR_HCLimit)/2)</f>
        <v>1950</v>
      </c>
      <c r="BE250" s="1" t="n">
        <f aca="false">IF(F_Carer=1,MIN(BC250,MAX(0,PR_r1*MIN(AZ250,PR_BandM)+PR_r2*MAX(0,AZ250-PR_BandM)-BA250-BD250)),BC250)</f>
        <v>0</v>
      </c>
      <c r="BF250" s="1" t="n">
        <f aca="false">IF(OR(C250&gt;=PR_AgeCrAge,AG250&gt;=PR_AgeCrAge),IF(AZ250&lt;=PR_AgeExM,0,MIN(BE250,PR_AgeMarg*(AZ250-PR_AgeExM))),BE250)</f>
        <v>0</v>
      </c>
      <c r="BG250" s="1" t="n">
        <f aca="false">MAX(0,PR_r1*MIN(AS250,IF(F_Spccc=1,PR_BandSPCCC,PR_Band))+PR_r2*MAX(0,AS250-IF(F_Spccc=1,PR_BandSPCCC,PR_Band))-(PR_Personal+AU250+AW250+IF(F_Spccc=1,PR_SPCCC,0)+IF(AY250=1,PR_Rent,0)))</f>
        <v>0</v>
      </c>
      <c r="BH250" s="1" t="n">
        <f aca="false">IF(C250&gt;=PR_AgeCrAge,IF(AS250&lt;=PR_AgeEx,0,MIN(BG250,PR_AgeMarg*(AS250-PR_AgeEx))),BG250)</f>
        <v>0</v>
      </c>
      <c r="BI250" s="1" t="n">
        <f aca="false">IF(F_Partner=1,MAX(0,PR_r1*MIN(AT250,PR_Band)+PR_r2*MAX(0,AT250-PR_Band)-(PR_Personal+AV250+AX250+IF(AND(AY250=1,AT250&gt;0),PR_Rent,0))),0)</f>
        <v>0</v>
      </c>
      <c r="BJ250" s="1" t="n">
        <f aca="false">IF(AG250&gt;=PR_AgeCrAge,IF(AT250&lt;=PR_AgeEx,0,MIN(BI250,PR_AgeMarg*(AT250-PR_AgeEx))),BI250)</f>
        <v>0</v>
      </c>
      <c r="BK250" s="1" t="n">
        <f aca="false">IF(F_Partner=1,IF(F_Married=1,BF250,BH250+BJ250),BH250)</f>
        <v>0</v>
      </c>
      <c r="BL250" s="1" t="n">
        <f aca="false">AL250+AN250+AO250</f>
        <v>0</v>
      </c>
      <c r="BM250" s="1" t="n">
        <f aca="false">IF(BL250&lt;=PR_USCex,0,IF(IF(AND(C250&gt;=PR_USCredAge,BL250&lt;=PR_USCredMax),1,0)=1,PR_USCr1*MIN(BL250,PR_USCredB1)+PR_USCredR2*MAX(0,BL250-PR_USCredB1),PR_USCr1*MIN(BL250,PR_USCb1)+PR_USCr2*MAX(0,MIN(BL250,PR_USCb2)-PR_USCb1)+PR_USCr3*MAX(0,MIN(BL250,PR_USCb3)-PR_USCb2)+PR_USCr4*MAX(0,BL250-PR_USCb3)))+IF(F_SelfEmp=1,PR_USCse*MAX(0,AL250-PR_USCseOver),0)</f>
        <v>0</v>
      </c>
      <c r="BN250" s="1" t="n">
        <f aca="false">AQ250</f>
        <v>0</v>
      </c>
      <c r="BO250" s="1" t="n">
        <f aca="false">IF(F_Partner=1,IF(BN250&lt;=PR_USCex,0,IF(IF(AND(AG250&gt;=PR_USCredAge,BN250&lt;=PR_USCredMax),1,0)=1,PR_USCr1*MIN(BN250,PR_USCredB1)+PR_USCredR2*MAX(0,BN250-PR_USCredB1),PR_USCr1*MIN(BN250,PR_USCb1)+PR_USCr2*MAX(0,MIN(BN250,PR_USCb2)-PR_USCb1)+PR_USCr3*MAX(0,MIN(BN250,PR_USCb3)-PR_USCb2)+PR_USCr4*MAX(0,BN250-PR_USCb3))),0)</f>
        <v>0</v>
      </c>
      <c r="BP250" s="1" t="n">
        <f aca="false">IF(C250&lt;PR_PRSIend,IF(F_SelfEmp=1,IF(AL250&gt;PR_PRSIsMinInc,MAX(PR_PRSIsMin,AL250*J250),0),IF(AL250/52&lt;=PR_PRSIfree,0,MAX(0,(AL250/52*J250-IF(AL250/52&lt;=PR_PRSIcreditTo,MAX(0,PR_PRSIcreditMax-(AL250/52-(PR_PRSIfree+0.01))/PR_PRSItaper),0))*52)))+J250*AN250+IF(AO250&gt;PR_PRSIunearned,J250*AO250,0),0)</f>
        <v>0</v>
      </c>
      <c r="BQ250" s="1" t="n">
        <f aca="false">IF(AND(F_Partner=1,AG250&lt;PR_PRSIend),IF(AQ250/52&lt;=PR_PRSIfree,0,MAX(0,(AQ250/52*J250-IF(AQ250/52&lt;=PR_PRSIcreditTo,MAX(0,PR_PRSIcreditMax-(AQ250/52-(PR_PRSIfree+0.01))/PR_PRSItaper),0))*52)),0)</f>
        <v>0</v>
      </c>
      <c r="BR250" s="1" t="n">
        <f aca="false">BK250+BM250+BO250+BP250+BQ250</f>
        <v>0</v>
      </c>
      <c r="BS250" s="1" t="n">
        <f aca="false">BR250*H250</f>
        <v>0</v>
      </c>
      <c r="BT250" s="1" t="n">
        <f aca="false">K250+AK250+AC250+AF250+AH250+AI250</f>
        <v>0</v>
      </c>
    </row>
    <row r="251" customFormat="false" ht="15" hidden="false" customHeight="false" outlineLevel="0" collapsed="false">
      <c r="B251" s="1" t="n">
        <v>41</v>
      </c>
      <c r="C251" s="1" t="n">
        <f aca="false">F_Age+B251</f>
        <v>41</v>
      </c>
      <c r="D251" s="1" t="n">
        <f aca="false">AS_Year0+B251</f>
        <v>2068</v>
      </c>
      <c r="E251" s="106" t="n">
        <f aca="false">(1+AS_Infl)^B251</f>
        <v>2.25220045688715</v>
      </c>
      <c r="F251" s="106" t="n">
        <f aca="false">(1+AS_Wage)^B251</f>
        <v>3.35989892575905</v>
      </c>
      <c r="G251" s="1" t="n">
        <f aca="false">IF(C251&lt;F_R,1,0)</f>
        <v>0</v>
      </c>
      <c r="H251" s="106" t="n">
        <f aca="false">IF(AS_Bands="flat",1,E251)</f>
        <v>2.25220045688715</v>
      </c>
      <c r="I251" s="106" t="n">
        <f aca="false">IF(AS_SpGrow="pay",F251,IF(AS_SpGrow="flat",1,E251))</f>
        <v>2.25220045688715</v>
      </c>
      <c r="J251" s="106" t="n">
        <f aca="false">(12*PR_PRSIr0+(PR_PRSIr1-PR_PRSIr0)*MAX(0,MIN(12,D251*12+12-PR_PRSIt1))+(PR_PRSIr2-PR_PRSIr1)*MAX(0,MIN(12,D251*12+12-PR_PRSIt2))+(PR_PRSIr3-PR_PRSIr2)*MAX(0,MIN(12,D251*12+12-PR_PRSIt3)))/12</f>
        <v>0.047</v>
      </c>
      <c r="K251" s="1" t="n">
        <f aca="false">IF(G251=1,F_Income*F251,0)</f>
        <v>0</v>
      </c>
      <c r="L251" s="1" t="n">
        <f aca="false">IF(G251=1,(F_Own+In_penExtra)*12*F251,0)</f>
        <v>0</v>
      </c>
      <c r="M251" s="1" t="n">
        <f aca="false">IF(G251=1,(F_PenM+In_penExtra)*12*F251,0)</f>
        <v>0</v>
      </c>
      <c r="N251" s="107" t="n">
        <f aca="false">IF(C251&lt;PR_RelA1,PR_RelP1,IF(C251&lt;PR_RelA2,PR_RelP2,IF(C251&lt;PR_RelA3,PR_RelP3,IF(C251&lt;PR_RelA4,PR_RelP4,IF(C251&lt;PR_RelA5,PR_RelP5,PR_RelP6)))))</f>
        <v>0.25</v>
      </c>
      <c r="O251" s="1" t="n">
        <f aca="false">IF(G251=1,MIN(L251/H251,N251*MIN(K251/H251,PR_EarnCap))*H251,0)</f>
        <v>0</v>
      </c>
      <c r="P251" s="1" t="n">
        <f aca="false">IF(AND(G251=1,F_AE=1),MIN(K251/H251,PR_AEcap)*H251,0)</f>
        <v>0</v>
      </c>
      <c r="Q251" s="1" t="n">
        <f aca="false">IF(G251=1,IF(WI_Retire=1,MAX(0,M251+WI_M*12),M251)+(PR_AEee+PR_AEer+PR_AEst)*P251,0)</f>
        <v>0</v>
      </c>
      <c r="R251" s="1" t="n">
        <f aca="false">L251+PR_AEee*P251</f>
        <v>0</v>
      </c>
      <c r="S251" s="1" t="n">
        <f aca="false">AD250</f>
        <v>0</v>
      </c>
      <c r="T251" s="1" t="n">
        <f aca="false">IF(D251&lt;=2026,PR_SFT2026,IF(D251=2027,PR_SFT2027,IF(D251=2028,PR_SFT2028,IF(D251=2029,PR_SFT2029,PR_SFT2029*(1+AS_Infl)^(D251-2029)))))</f>
        <v>6061285.3510996</v>
      </c>
      <c r="U251" s="1" t="n">
        <f aca="false">IF(AND(G251=0,C251=F_V),1,0)</f>
        <v>0</v>
      </c>
      <c r="V251" s="1" t="n">
        <f aca="false">IF(U251=1,PR_SFTrate*MAX(0,S251-T251),0)</f>
        <v>0</v>
      </c>
      <c r="W251" s="1" t="n">
        <f aca="false">S251-V251</f>
        <v>0</v>
      </c>
      <c r="X251" s="1" t="n">
        <f aca="false">IF(AND(U251=1,AS_LumpPct&gt;0),W251*MIN(AS_LumpPct,PR_LSmax),0)</f>
        <v>0</v>
      </c>
      <c r="Y251" s="1" t="n">
        <f aca="false">X251-(PR_LSrate*MAX(0,MIN(X251,PR_LScap)-PR_LSfree)+PR_r2*MAX(0,X251-PR_LScap))</f>
        <v>0</v>
      </c>
      <c r="Z251" s="1" t="n">
        <f aca="false">W251-X251</f>
        <v>0</v>
      </c>
      <c r="AA251" s="107" t="n">
        <f aca="false">IF(C251&gt;=61,IF(Z251&gt;PR_ARFbig,PR_ARFbigRate,IF(C251&gt;=71,PR_ARF71,PR_ARF61)),0)</f>
        <v>0</v>
      </c>
      <c r="AB251" s="1" t="n">
        <f aca="false">IF(AS_DrawRule="min",Z251*AA251,IF(AS_DrawRule="fixed",MAX(AS_DrawFixed*E251,Z251*AA251),Z251*MAX(1/MAX(1,AS_End-C251+1),AA251)))</f>
        <v>0</v>
      </c>
      <c r="AC251" s="1" t="n">
        <f aca="false">IF(AND(G251=0,C251&gt;=F_V),MIN(Z251,AB251),0)</f>
        <v>0</v>
      </c>
      <c r="AD251" s="1" t="n">
        <f aca="false">IF(G251=1,S251*(1+F_PenG)+Q251,IF(C251&lt;F_V,S251*(1+F_PenG),(Z251-AC251)*(1+AS_PenRet)))</f>
        <v>0</v>
      </c>
      <c r="AE251" s="1" t="n">
        <f aca="false">IF(C251&gt;=PR_SPage,AS_SP*F_SpF*I251+IF(C251&gt;=80,PR_Over80*PR_Weeks*I251,0),0)</f>
        <v>0</v>
      </c>
      <c r="AF251" s="1" t="n">
        <f aca="false">(F_OtherM+F_RentM)*12*E251</f>
        <v>0</v>
      </c>
      <c r="AG251" s="1" t="n">
        <f aca="false">F_PAge+B251</f>
        <v>41</v>
      </c>
      <c r="AH251" s="1" t="n">
        <f aca="false">IF(AND(F_Partner=1,F_PAge&gt;0,AG251&lt;IF(F_PRet&gt;0,F_PRet,66)),F_PIncome*F251,0)</f>
        <v>0</v>
      </c>
      <c r="AI251" s="1" t="n">
        <f aca="false">IF(AND(F_Partner=1,AG251&gt;=66,F_PSpQA=0),AS_SP*F_PSpF*I251,0)</f>
        <v>0</v>
      </c>
      <c r="AJ251" s="1" t="n">
        <f aca="false">IF(AND(F_Partner=1,F_PSpQA=1,C251&gt;=PR_SPage,AH251=0),IF(AG251&gt;=66,PR_QA66,PR_QAunder)*PR_Weeks*I251,0)</f>
        <v>0</v>
      </c>
      <c r="AK251" s="1" t="n">
        <f aca="false">AE251+AJ251</f>
        <v>0</v>
      </c>
      <c r="AL251" s="1" t="n">
        <f aca="false">K251/H251</f>
        <v>0</v>
      </c>
      <c r="AM251" s="1" t="n">
        <f aca="false">AK251/H251</f>
        <v>0</v>
      </c>
      <c r="AN251" s="1" t="n">
        <f aca="false">AC251/H251</f>
        <v>0</v>
      </c>
      <c r="AO251" s="1" t="n">
        <f aca="false">AF251/H251</f>
        <v>0</v>
      </c>
      <c r="AP251" s="1" t="n">
        <f aca="false">O251/H251</f>
        <v>0</v>
      </c>
      <c r="AQ251" s="1" t="n">
        <f aca="false">AH251/H251</f>
        <v>0</v>
      </c>
      <c r="AR251" s="1" t="n">
        <f aca="false">AI251/H251</f>
        <v>0</v>
      </c>
      <c r="AS251" s="1" t="n">
        <f aca="false">MAX(0,AL251+AN251+AO251+AM251-AP251)</f>
        <v>0</v>
      </c>
      <c r="AT251" s="1" t="n">
        <f aca="false">MAX(0,AQ251+AR251)</f>
        <v>0</v>
      </c>
      <c r="AU251" s="1" t="n">
        <f aca="false">MIN(PR_PAYE,PR_PAYEcap*(AL251+AN251+AM251))</f>
        <v>0</v>
      </c>
      <c r="AV251" s="1" t="n">
        <f aca="false">MIN(PR_PAYE,PR_PAYEcap*(AQ251+AR251))</f>
        <v>0</v>
      </c>
      <c r="AW251" s="1" t="n">
        <f aca="false">IF(C251&gt;=PR_AgeCrAge,PR_AgeCr,0)</f>
        <v>0</v>
      </c>
      <c r="AX251" s="1" t="n">
        <f aca="false">IF(AG251&gt;=PR_AgeCrAge,PR_AgeCr,0)</f>
        <v>0</v>
      </c>
      <c r="AY251" s="1" t="n">
        <f aca="false">IF(AND(F_RentCred=1,D251&lt;=PR_RentLast),1,0)</f>
        <v>0</v>
      </c>
      <c r="AZ251" s="1" t="n">
        <f aca="false">AS251+AT251</f>
        <v>0</v>
      </c>
      <c r="BA251" s="1" t="n">
        <f aca="false">PR_PersonalM+AU251+AV251+AW251+AX251+IF(AY251=1,PR_RentJoint,0)</f>
        <v>4000</v>
      </c>
      <c r="BB251" s="1" t="n">
        <f aca="false">PR_BandM+MIN(MIN(AS251,AT251),PR_Uplift)</f>
        <v>53000</v>
      </c>
      <c r="BC251" s="1" t="n">
        <f aca="false">MAX(0,PR_r1*MIN(AZ251,BB251)+PR_r2*MAX(0,AZ251-BB251)-BA251)</f>
        <v>0</v>
      </c>
      <c r="BD251" s="1" t="n">
        <f aca="false">MAX(0,PR_HomeCarer-MAX(0,MIN(AS251,AT251)-PR_HCLimit)/2)</f>
        <v>1950</v>
      </c>
      <c r="BE251" s="1" t="n">
        <f aca="false">IF(F_Carer=1,MIN(BC251,MAX(0,PR_r1*MIN(AZ251,PR_BandM)+PR_r2*MAX(0,AZ251-PR_BandM)-BA251-BD251)),BC251)</f>
        <v>0</v>
      </c>
      <c r="BF251" s="1" t="n">
        <f aca="false">IF(OR(C251&gt;=PR_AgeCrAge,AG251&gt;=PR_AgeCrAge),IF(AZ251&lt;=PR_AgeExM,0,MIN(BE251,PR_AgeMarg*(AZ251-PR_AgeExM))),BE251)</f>
        <v>0</v>
      </c>
      <c r="BG251" s="1" t="n">
        <f aca="false">MAX(0,PR_r1*MIN(AS251,IF(F_Spccc=1,PR_BandSPCCC,PR_Band))+PR_r2*MAX(0,AS251-IF(F_Spccc=1,PR_BandSPCCC,PR_Band))-(PR_Personal+AU251+AW251+IF(F_Spccc=1,PR_SPCCC,0)+IF(AY251=1,PR_Rent,0)))</f>
        <v>0</v>
      </c>
      <c r="BH251" s="1" t="n">
        <f aca="false">IF(C251&gt;=PR_AgeCrAge,IF(AS251&lt;=PR_AgeEx,0,MIN(BG251,PR_AgeMarg*(AS251-PR_AgeEx))),BG251)</f>
        <v>0</v>
      </c>
      <c r="BI251" s="1" t="n">
        <f aca="false">IF(F_Partner=1,MAX(0,PR_r1*MIN(AT251,PR_Band)+PR_r2*MAX(0,AT251-PR_Band)-(PR_Personal+AV251+AX251+IF(AND(AY251=1,AT251&gt;0),PR_Rent,0))),0)</f>
        <v>0</v>
      </c>
      <c r="BJ251" s="1" t="n">
        <f aca="false">IF(AG251&gt;=PR_AgeCrAge,IF(AT251&lt;=PR_AgeEx,0,MIN(BI251,PR_AgeMarg*(AT251-PR_AgeEx))),BI251)</f>
        <v>0</v>
      </c>
      <c r="BK251" s="1" t="n">
        <f aca="false">IF(F_Partner=1,IF(F_Married=1,BF251,BH251+BJ251),BH251)</f>
        <v>0</v>
      </c>
      <c r="BL251" s="1" t="n">
        <f aca="false">AL251+AN251+AO251</f>
        <v>0</v>
      </c>
      <c r="BM251" s="1" t="n">
        <f aca="false">IF(BL251&lt;=PR_USCex,0,IF(IF(AND(C251&gt;=PR_USCredAge,BL251&lt;=PR_USCredMax),1,0)=1,PR_USCr1*MIN(BL251,PR_USCredB1)+PR_USCredR2*MAX(0,BL251-PR_USCredB1),PR_USCr1*MIN(BL251,PR_USCb1)+PR_USCr2*MAX(0,MIN(BL251,PR_USCb2)-PR_USCb1)+PR_USCr3*MAX(0,MIN(BL251,PR_USCb3)-PR_USCb2)+PR_USCr4*MAX(0,BL251-PR_USCb3)))+IF(F_SelfEmp=1,PR_USCse*MAX(0,AL251-PR_USCseOver),0)</f>
        <v>0</v>
      </c>
      <c r="BN251" s="1" t="n">
        <f aca="false">AQ251</f>
        <v>0</v>
      </c>
      <c r="BO251" s="1" t="n">
        <f aca="false">IF(F_Partner=1,IF(BN251&lt;=PR_USCex,0,IF(IF(AND(AG251&gt;=PR_USCredAge,BN251&lt;=PR_USCredMax),1,0)=1,PR_USCr1*MIN(BN251,PR_USCredB1)+PR_USCredR2*MAX(0,BN251-PR_USCredB1),PR_USCr1*MIN(BN251,PR_USCb1)+PR_USCr2*MAX(0,MIN(BN251,PR_USCb2)-PR_USCb1)+PR_USCr3*MAX(0,MIN(BN251,PR_USCb3)-PR_USCb2)+PR_USCr4*MAX(0,BN251-PR_USCb3))),0)</f>
        <v>0</v>
      </c>
      <c r="BP251" s="1" t="n">
        <f aca="false">IF(C251&lt;PR_PRSIend,IF(F_SelfEmp=1,IF(AL251&gt;PR_PRSIsMinInc,MAX(PR_PRSIsMin,AL251*J251),0),IF(AL251/52&lt;=PR_PRSIfree,0,MAX(0,(AL251/52*J251-IF(AL251/52&lt;=PR_PRSIcreditTo,MAX(0,PR_PRSIcreditMax-(AL251/52-(PR_PRSIfree+0.01))/PR_PRSItaper),0))*52)))+J251*AN251+IF(AO251&gt;PR_PRSIunearned,J251*AO251,0),0)</f>
        <v>0</v>
      </c>
      <c r="BQ251" s="1" t="n">
        <f aca="false">IF(AND(F_Partner=1,AG251&lt;PR_PRSIend),IF(AQ251/52&lt;=PR_PRSIfree,0,MAX(0,(AQ251/52*J251-IF(AQ251/52&lt;=PR_PRSIcreditTo,MAX(0,PR_PRSIcreditMax-(AQ251/52-(PR_PRSIfree+0.01))/PR_PRSItaper),0))*52)),0)</f>
        <v>0</v>
      </c>
      <c r="BR251" s="1" t="n">
        <f aca="false">BK251+BM251+BO251+BP251+BQ251</f>
        <v>0</v>
      </c>
      <c r="BS251" s="1" t="n">
        <f aca="false">BR251*H251</f>
        <v>0</v>
      </c>
      <c r="BT251" s="1" t="n">
        <f aca="false">K251+AK251+AC251+AF251+AH251+AI251</f>
        <v>0</v>
      </c>
    </row>
    <row r="252" customFormat="false" ht="15" hidden="false" customHeight="false" outlineLevel="0" collapsed="false">
      <c r="B252" s="1" t="n">
        <v>42</v>
      </c>
      <c r="C252" s="1" t="n">
        <f aca="false">F_Age+B252</f>
        <v>42</v>
      </c>
      <c r="D252" s="1" t="n">
        <f aca="false">AS_Year0+B252</f>
        <v>2069</v>
      </c>
      <c r="E252" s="106" t="n">
        <f aca="false">(1+AS_Infl)^B252</f>
        <v>2.29724446602489</v>
      </c>
      <c r="F252" s="106" t="n">
        <f aca="false">(1+AS_Wage)^B252</f>
        <v>3.46069589353182</v>
      </c>
      <c r="G252" s="1" t="n">
        <f aca="false">IF(C252&lt;F_R,1,0)</f>
        <v>0</v>
      </c>
      <c r="H252" s="106" t="n">
        <f aca="false">IF(AS_Bands="flat",1,E252)</f>
        <v>2.29724446602489</v>
      </c>
      <c r="I252" s="106" t="n">
        <f aca="false">IF(AS_SpGrow="pay",F252,IF(AS_SpGrow="flat",1,E252))</f>
        <v>2.29724446602489</v>
      </c>
      <c r="J252" s="106" t="n">
        <f aca="false">(12*PR_PRSIr0+(PR_PRSIr1-PR_PRSIr0)*MAX(0,MIN(12,D252*12+12-PR_PRSIt1))+(PR_PRSIr2-PR_PRSIr1)*MAX(0,MIN(12,D252*12+12-PR_PRSIt2))+(PR_PRSIr3-PR_PRSIr2)*MAX(0,MIN(12,D252*12+12-PR_PRSIt3)))/12</f>
        <v>0.047</v>
      </c>
      <c r="K252" s="1" t="n">
        <f aca="false">IF(G252=1,F_Income*F252,0)</f>
        <v>0</v>
      </c>
      <c r="L252" s="1" t="n">
        <f aca="false">IF(G252=1,(F_Own+In_penExtra)*12*F252,0)</f>
        <v>0</v>
      </c>
      <c r="M252" s="1" t="n">
        <f aca="false">IF(G252=1,(F_PenM+In_penExtra)*12*F252,0)</f>
        <v>0</v>
      </c>
      <c r="N252" s="107" t="n">
        <f aca="false">IF(C252&lt;PR_RelA1,PR_RelP1,IF(C252&lt;PR_RelA2,PR_RelP2,IF(C252&lt;PR_RelA3,PR_RelP3,IF(C252&lt;PR_RelA4,PR_RelP4,IF(C252&lt;PR_RelA5,PR_RelP5,PR_RelP6)))))</f>
        <v>0.25</v>
      </c>
      <c r="O252" s="1" t="n">
        <f aca="false">IF(G252=1,MIN(L252/H252,N252*MIN(K252/H252,PR_EarnCap))*H252,0)</f>
        <v>0</v>
      </c>
      <c r="P252" s="1" t="n">
        <f aca="false">IF(AND(G252=1,F_AE=1),MIN(K252/H252,PR_AEcap)*H252,0)</f>
        <v>0</v>
      </c>
      <c r="Q252" s="1" t="n">
        <f aca="false">IF(G252=1,IF(WI_Retire=1,MAX(0,M252+WI_M*12),M252)+(PR_AEee+PR_AEer+PR_AEst)*P252,0)</f>
        <v>0</v>
      </c>
      <c r="R252" s="1" t="n">
        <f aca="false">L252+PR_AEee*P252</f>
        <v>0</v>
      </c>
      <c r="S252" s="1" t="n">
        <f aca="false">AD251</f>
        <v>0</v>
      </c>
      <c r="T252" s="1" t="n">
        <f aca="false">IF(D252&lt;=2026,PR_SFT2026,IF(D252=2027,PR_SFT2027,IF(D252=2028,PR_SFT2028,IF(D252=2029,PR_SFT2029,PR_SFT2029*(1+AS_Infl)^(D252-2029)))))</f>
        <v>6182511.05812159</v>
      </c>
      <c r="U252" s="1" t="n">
        <f aca="false">IF(AND(G252=0,C252=F_V),1,0)</f>
        <v>0</v>
      </c>
      <c r="V252" s="1" t="n">
        <f aca="false">IF(U252=1,PR_SFTrate*MAX(0,S252-T252),0)</f>
        <v>0</v>
      </c>
      <c r="W252" s="1" t="n">
        <f aca="false">S252-V252</f>
        <v>0</v>
      </c>
      <c r="X252" s="1" t="n">
        <f aca="false">IF(AND(U252=1,AS_LumpPct&gt;0),W252*MIN(AS_LumpPct,PR_LSmax),0)</f>
        <v>0</v>
      </c>
      <c r="Y252" s="1" t="n">
        <f aca="false">X252-(PR_LSrate*MAX(0,MIN(X252,PR_LScap)-PR_LSfree)+PR_r2*MAX(0,X252-PR_LScap))</f>
        <v>0</v>
      </c>
      <c r="Z252" s="1" t="n">
        <f aca="false">W252-X252</f>
        <v>0</v>
      </c>
      <c r="AA252" s="107" t="n">
        <f aca="false">IF(C252&gt;=61,IF(Z252&gt;PR_ARFbig,PR_ARFbigRate,IF(C252&gt;=71,PR_ARF71,PR_ARF61)),0)</f>
        <v>0</v>
      </c>
      <c r="AB252" s="1" t="n">
        <f aca="false">IF(AS_DrawRule="min",Z252*AA252,IF(AS_DrawRule="fixed",MAX(AS_DrawFixed*E252,Z252*AA252),Z252*MAX(1/MAX(1,AS_End-C252+1),AA252)))</f>
        <v>0</v>
      </c>
      <c r="AC252" s="1" t="n">
        <f aca="false">IF(AND(G252=0,C252&gt;=F_V),MIN(Z252,AB252),0)</f>
        <v>0</v>
      </c>
      <c r="AD252" s="1" t="n">
        <f aca="false">IF(G252=1,S252*(1+F_PenG)+Q252,IF(C252&lt;F_V,S252*(1+F_PenG),(Z252-AC252)*(1+AS_PenRet)))</f>
        <v>0</v>
      </c>
      <c r="AE252" s="1" t="n">
        <f aca="false">IF(C252&gt;=PR_SPage,AS_SP*F_SpF*I252+IF(C252&gt;=80,PR_Over80*PR_Weeks*I252,0),0)</f>
        <v>0</v>
      </c>
      <c r="AF252" s="1" t="n">
        <f aca="false">(F_OtherM+F_RentM)*12*E252</f>
        <v>0</v>
      </c>
      <c r="AG252" s="1" t="n">
        <f aca="false">F_PAge+B252</f>
        <v>42</v>
      </c>
      <c r="AH252" s="1" t="n">
        <f aca="false">IF(AND(F_Partner=1,F_PAge&gt;0,AG252&lt;IF(F_PRet&gt;0,F_PRet,66)),F_PIncome*F252,0)</f>
        <v>0</v>
      </c>
      <c r="AI252" s="1" t="n">
        <f aca="false">IF(AND(F_Partner=1,AG252&gt;=66,F_PSpQA=0),AS_SP*F_PSpF*I252,0)</f>
        <v>0</v>
      </c>
      <c r="AJ252" s="1" t="n">
        <f aca="false">IF(AND(F_Partner=1,F_PSpQA=1,C252&gt;=PR_SPage,AH252=0),IF(AG252&gt;=66,PR_QA66,PR_QAunder)*PR_Weeks*I252,0)</f>
        <v>0</v>
      </c>
      <c r="AK252" s="1" t="n">
        <f aca="false">AE252+AJ252</f>
        <v>0</v>
      </c>
      <c r="AL252" s="1" t="n">
        <f aca="false">K252/H252</f>
        <v>0</v>
      </c>
      <c r="AM252" s="1" t="n">
        <f aca="false">AK252/H252</f>
        <v>0</v>
      </c>
      <c r="AN252" s="1" t="n">
        <f aca="false">AC252/H252</f>
        <v>0</v>
      </c>
      <c r="AO252" s="1" t="n">
        <f aca="false">AF252/H252</f>
        <v>0</v>
      </c>
      <c r="AP252" s="1" t="n">
        <f aca="false">O252/H252</f>
        <v>0</v>
      </c>
      <c r="AQ252" s="1" t="n">
        <f aca="false">AH252/H252</f>
        <v>0</v>
      </c>
      <c r="AR252" s="1" t="n">
        <f aca="false">AI252/H252</f>
        <v>0</v>
      </c>
      <c r="AS252" s="1" t="n">
        <f aca="false">MAX(0,AL252+AN252+AO252+AM252-AP252)</f>
        <v>0</v>
      </c>
      <c r="AT252" s="1" t="n">
        <f aca="false">MAX(0,AQ252+AR252)</f>
        <v>0</v>
      </c>
      <c r="AU252" s="1" t="n">
        <f aca="false">MIN(PR_PAYE,PR_PAYEcap*(AL252+AN252+AM252))</f>
        <v>0</v>
      </c>
      <c r="AV252" s="1" t="n">
        <f aca="false">MIN(PR_PAYE,PR_PAYEcap*(AQ252+AR252))</f>
        <v>0</v>
      </c>
      <c r="AW252" s="1" t="n">
        <f aca="false">IF(C252&gt;=PR_AgeCrAge,PR_AgeCr,0)</f>
        <v>0</v>
      </c>
      <c r="AX252" s="1" t="n">
        <f aca="false">IF(AG252&gt;=PR_AgeCrAge,PR_AgeCr,0)</f>
        <v>0</v>
      </c>
      <c r="AY252" s="1" t="n">
        <f aca="false">IF(AND(F_RentCred=1,D252&lt;=PR_RentLast),1,0)</f>
        <v>0</v>
      </c>
      <c r="AZ252" s="1" t="n">
        <f aca="false">AS252+AT252</f>
        <v>0</v>
      </c>
      <c r="BA252" s="1" t="n">
        <f aca="false">PR_PersonalM+AU252+AV252+AW252+AX252+IF(AY252=1,PR_RentJoint,0)</f>
        <v>4000</v>
      </c>
      <c r="BB252" s="1" t="n">
        <f aca="false">PR_BandM+MIN(MIN(AS252,AT252),PR_Uplift)</f>
        <v>53000</v>
      </c>
      <c r="BC252" s="1" t="n">
        <f aca="false">MAX(0,PR_r1*MIN(AZ252,BB252)+PR_r2*MAX(0,AZ252-BB252)-BA252)</f>
        <v>0</v>
      </c>
      <c r="BD252" s="1" t="n">
        <f aca="false">MAX(0,PR_HomeCarer-MAX(0,MIN(AS252,AT252)-PR_HCLimit)/2)</f>
        <v>1950</v>
      </c>
      <c r="BE252" s="1" t="n">
        <f aca="false">IF(F_Carer=1,MIN(BC252,MAX(0,PR_r1*MIN(AZ252,PR_BandM)+PR_r2*MAX(0,AZ252-PR_BandM)-BA252-BD252)),BC252)</f>
        <v>0</v>
      </c>
      <c r="BF252" s="1" t="n">
        <f aca="false">IF(OR(C252&gt;=PR_AgeCrAge,AG252&gt;=PR_AgeCrAge),IF(AZ252&lt;=PR_AgeExM,0,MIN(BE252,PR_AgeMarg*(AZ252-PR_AgeExM))),BE252)</f>
        <v>0</v>
      </c>
      <c r="BG252" s="1" t="n">
        <f aca="false">MAX(0,PR_r1*MIN(AS252,IF(F_Spccc=1,PR_BandSPCCC,PR_Band))+PR_r2*MAX(0,AS252-IF(F_Spccc=1,PR_BandSPCCC,PR_Band))-(PR_Personal+AU252+AW252+IF(F_Spccc=1,PR_SPCCC,0)+IF(AY252=1,PR_Rent,0)))</f>
        <v>0</v>
      </c>
      <c r="BH252" s="1" t="n">
        <f aca="false">IF(C252&gt;=PR_AgeCrAge,IF(AS252&lt;=PR_AgeEx,0,MIN(BG252,PR_AgeMarg*(AS252-PR_AgeEx))),BG252)</f>
        <v>0</v>
      </c>
      <c r="BI252" s="1" t="n">
        <f aca="false">IF(F_Partner=1,MAX(0,PR_r1*MIN(AT252,PR_Band)+PR_r2*MAX(0,AT252-PR_Band)-(PR_Personal+AV252+AX252+IF(AND(AY252=1,AT252&gt;0),PR_Rent,0))),0)</f>
        <v>0</v>
      </c>
      <c r="BJ252" s="1" t="n">
        <f aca="false">IF(AG252&gt;=PR_AgeCrAge,IF(AT252&lt;=PR_AgeEx,0,MIN(BI252,PR_AgeMarg*(AT252-PR_AgeEx))),BI252)</f>
        <v>0</v>
      </c>
      <c r="BK252" s="1" t="n">
        <f aca="false">IF(F_Partner=1,IF(F_Married=1,BF252,BH252+BJ252),BH252)</f>
        <v>0</v>
      </c>
      <c r="BL252" s="1" t="n">
        <f aca="false">AL252+AN252+AO252</f>
        <v>0</v>
      </c>
      <c r="BM252" s="1" t="n">
        <f aca="false">IF(BL252&lt;=PR_USCex,0,IF(IF(AND(C252&gt;=PR_USCredAge,BL252&lt;=PR_USCredMax),1,0)=1,PR_USCr1*MIN(BL252,PR_USCredB1)+PR_USCredR2*MAX(0,BL252-PR_USCredB1),PR_USCr1*MIN(BL252,PR_USCb1)+PR_USCr2*MAX(0,MIN(BL252,PR_USCb2)-PR_USCb1)+PR_USCr3*MAX(0,MIN(BL252,PR_USCb3)-PR_USCb2)+PR_USCr4*MAX(0,BL252-PR_USCb3)))+IF(F_SelfEmp=1,PR_USCse*MAX(0,AL252-PR_USCseOver),0)</f>
        <v>0</v>
      </c>
      <c r="BN252" s="1" t="n">
        <f aca="false">AQ252</f>
        <v>0</v>
      </c>
      <c r="BO252" s="1" t="n">
        <f aca="false">IF(F_Partner=1,IF(BN252&lt;=PR_USCex,0,IF(IF(AND(AG252&gt;=PR_USCredAge,BN252&lt;=PR_USCredMax),1,0)=1,PR_USCr1*MIN(BN252,PR_USCredB1)+PR_USCredR2*MAX(0,BN252-PR_USCredB1),PR_USCr1*MIN(BN252,PR_USCb1)+PR_USCr2*MAX(0,MIN(BN252,PR_USCb2)-PR_USCb1)+PR_USCr3*MAX(0,MIN(BN252,PR_USCb3)-PR_USCb2)+PR_USCr4*MAX(0,BN252-PR_USCb3))),0)</f>
        <v>0</v>
      </c>
      <c r="BP252" s="1" t="n">
        <f aca="false">IF(C252&lt;PR_PRSIend,IF(F_SelfEmp=1,IF(AL252&gt;PR_PRSIsMinInc,MAX(PR_PRSIsMin,AL252*J252),0),IF(AL252/52&lt;=PR_PRSIfree,0,MAX(0,(AL252/52*J252-IF(AL252/52&lt;=PR_PRSIcreditTo,MAX(0,PR_PRSIcreditMax-(AL252/52-(PR_PRSIfree+0.01))/PR_PRSItaper),0))*52)))+J252*AN252+IF(AO252&gt;PR_PRSIunearned,J252*AO252,0),0)</f>
        <v>0</v>
      </c>
      <c r="BQ252" s="1" t="n">
        <f aca="false">IF(AND(F_Partner=1,AG252&lt;PR_PRSIend),IF(AQ252/52&lt;=PR_PRSIfree,0,MAX(0,(AQ252/52*J252-IF(AQ252/52&lt;=PR_PRSIcreditTo,MAX(0,PR_PRSIcreditMax-(AQ252/52-(PR_PRSIfree+0.01))/PR_PRSItaper),0))*52)),0)</f>
        <v>0</v>
      </c>
      <c r="BR252" s="1" t="n">
        <f aca="false">BK252+BM252+BO252+BP252+BQ252</f>
        <v>0</v>
      </c>
      <c r="BS252" s="1" t="n">
        <f aca="false">BR252*H252</f>
        <v>0</v>
      </c>
      <c r="BT252" s="1" t="n">
        <f aca="false">K252+AK252+AC252+AF252+AH252+AI252</f>
        <v>0</v>
      </c>
    </row>
    <row r="253" customFormat="false" ht="15" hidden="false" customHeight="false" outlineLevel="0" collapsed="false">
      <c r="B253" s="1" t="n">
        <v>43</v>
      </c>
      <c r="C253" s="1" t="n">
        <f aca="false">F_Age+B253</f>
        <v>43</v>
      </c>
      <c r="D253" s="1" t="n">
        <f aca="false">AS_Year0+B253</f>
        <v>2070</v>
      </c>
      <c r="E253" s="106" t="n">
        <f aca="false">(1+AS_Infl)^B253</f>
        <v>2.34318935534539</v>
      </c>
      <c r="F253" s="106" t="n">
        <f aca="false">(1+AS_Wage)^B253</f>
        <v>3.56451677033778</v>
      </c>
      <c r="G253" s="1" t="n">
        <f aca="false">IF(C253&lt;F_R,1,0)</f>
        <v>0</v>
      </c>
      <c r="H253" s="106" t="n">
        <f aca="false">IF(AS_Bands="flat",1,E253)</f>
        <v>2.34318935534539</v>
      </c>
      <c r="I253" s="106" t="n">
        <f aca="false">IF(AS_SpGrow="pay",F253,IF(AS_SpGrow="flat",1,E253))</f>
        <v>2.34318935534539</v>
      </c>
      <c r="J253" s="106" t="n">
        <f aca="false">(12*PR_PRSIr0+(PR_PRSIr1-PR_PRSIr0)*MAX(0,MIN(12,D253*12+12-PR_PRSIt1))+(PR_PRSIr2-PR_PRSIr1)*MAX(0,MIN(12,D253*12+12-PR_PRSIt2))+(PR_PRSIr3-PR_PRSIr2)*MAX(0,MIN(12,D253*12+12-PR_PRSIt3)))/12</f>
        <v>0.047</v>
      </c>
      <c r="K253" s="1" t="n">
        <f aca="false">IF(G253=1,F_Income*F253,0)</f>
        <v>0</v>
      </c>
      <c r="L253" s="1" t="n">
        <f aca="false">IF(G253=1,(F_Own+In_penExtra)*12*F253,0)</f>
        <v>0</v>
      </c>
      <c r="M253" s="1" t="n">
        <f aca="false">IF(G253=1,(F_PenM+In_penExtra)*12*F253,0)</f>
        <v>0</v>
      </c>
      <c r="N253" s="107" t="n">
        <f aca="false">IF(C253&lt;PR_RelA1,PR_RelP1,IF(C253&lt;PR_RelA2,PR_RelP2,IF(C253&lt;PR_RelA3,PR_RelP3,IF(C253&lt;PR_RelA4,PR_RelP4,IF(C253&lt;PR_RelA5,PR_RelP5,PR_RelP6)))))</f>
        <v>0.25</v>
      </c>
      <c r="O253" s="1" t="n">
        <f aca="false">IF(G253=1,MIN(L253/H253,N253*MIN(K253/H253,PR_EarnCap))*H253,0)</f>
        <v>0</v>
      </c>
      <c r="P253" s="1" t="n">
        <f aca="false">IF(AND(G253=1,F_AE=1),MIN(K253/H253,PR_AEcap)*H253,0)</f>
        <v>0</v>
      </c>
      <c r="Q253" s="1" t="n">
        <f aca="false">IF(G253=1,IF(WI_Retire=1,MAX(0,M253+WI_M*12),M253)+(PR_AEee+PR_AEer+PR_AEst)*P253,0)</f>
        <v>0</v>
      </c>
      <c r="R253" s="1" t="n">
        <f aca="false">L253+PR_AEee*P253</f>
        <v>0</v>
      </c>
      <c r="S253" s="1" t="n">
        <f aca="false">AD252</f>
        <v>0</v>
      </c>
      <c r="T253" s="1" t="n">
        <f aca="false">IF(D253&lt;=2026,PR_SFT2026,IF(D253=2027,PR_SFT2027,IF(D253=2028,PR_SFT2028,IF(D253=2029,PR_SFT2029,PR_SFT2029*(1+AS_Infl)^(D253-2029)))))</f>
        <v>6306161.27928402</v>
      </c>
      <c r="U253" s="1" t="n">
        <f aca="false">IF(AND(G253=0,C253=F_V),1,0)</f>
        <v>0</v>
      </c>
      <c r="V253" s="1" t="n">
        <f aca="false">IF(U253=1,PR_SFTrate*MAX(0,S253-T253),0)</f>
        <v>0</v>
      </c>
      <c r="W253" s="1" t="n">
        <f aca="false">S253-V253</f>
        <v>0</v>
      </c>
      <c r="X253" s="1" t="n">
        <f aca="false">IF(AND(U253=1,AS_LumpPct&gt;0),W253*MIN(AS_LumpPct,PR_LSmax),0)</f>
        <v>0</v>
      </c>
      <c r="Y253" s="1" t="n">
        <f aca="false">X253-(PR_LSrate*MAX(0,MIN(X253,PR_LScap)-PR_LSfree)+PR_r2*MAX(0,X253-PR_LScap))</f>
        <v>0</v>
      </c>
      <c r="Z253" s="1" t="n">
        <f aca="false">W253-X253</f>
        <v>0</v>
      </c>
      <c r="AA253" s="107" t="n">
        <f aca="false">IF(C253&gt;=61,IF(Z253&gt;PR_ARFbig,PR_ARFbigRate,IF(C253&gt;=71,PR_ARF71,PR_ARF61)),0)</f>
        <v>0</v>
      </c>
      <c r="AB253" s="1" t="n">
        <f aca="false">IF(AS_DrawRule="min",Z253*AA253,IF(AS_DrawRule="fixed",MAX(AS_DrawFixed*E253,Z253*AA253),Z253*MAX(1/MAX(1,AS_End-C253+1),AA253)))</f>
        <v>0</v>
      </c>
      <c r="AC253" s="1" t="n">
        <f aca="false">IF(AND(G253=0,C253&gt;=F_V),MIN(Z253,AB253),0)</f>
        <v>0</v>
      </c>
      <c r="AD253" s="1" t="n">
        <f aca="false">IF(G253=1,S253*(1+F_PenG)+Q253,IF(C253&lt;F_V,S253*(1+F_PenG),(Z253-AC253)*(1+AS_PenRet)))</f>
        <v>0</v>
      </c>
      <c r="AE253" s="1" t="n">
        <f aca="false">IF(C253&gt;=PR_SPage,AS_SP*F_SpF*I253+IF(C253&gt;=80,PR_Over80*PR_Weeks*I253,0),0)</f>
        <v>0</v>
      </c>
      <c r="AF253" s="1" t="n">
        <f aca="false">(F_OtherM+F_RentM)*12*E253</f>
        <v>0</v>
      </c>
      <c r="AG253" s="1" t="n">
        <f aca="false">F_PAge+B253</f>
        <v>43</v>
      </c>
      <c r="AH253" s="1" t="n">
        <f aca="false">IF(AND(F_Partner=1,F_PAge&gt;0,AG253&lt;IF(F_PRet&gt;0,F_PRet,66)),F_PIncome*F253,0)</f>
        <v>0</v>
      </c>
      <c r="AI253" s="1" t="n">
        <f aca="false">IF(AND(F_Partner=1,AG253&gt;=66,F_PSpQA=0),AS_SP*F_PSpF*I253,0)</f>
        <v>0</v>
      </c>
      <c r="AJ253" s="1" t="n">
        <f aca="false">IF(AND(F_Partner=1,F_PSpQA=1,C253&gt;=PR_SPage,AH253=0),IF(AG253&gt;=66,PR_QA66,PR_QAunder)*PR_Weeks*I253,0)</f>
        <v>0</v>
      </c>
      <c r="AK253" s="1" t="n">
        <f aca="false">AE253+AJ253</f>
        <v>0</v>
      </c>
      <c r="AL253" s="1" t="n">
        <f aca="false">K253/H253</f>
        <v>0</v>
      </c>
      <c r="AM253" s="1" t="n">
        <f aca="false">AK253/H253</f>
        <v>0</v>
      </c>
      <c r="AN253" s="1" t="n">
        <f aca="false">AC253/H253</f>
        <v>0</v>
      </c>
      <c r="AO253" s="1" t="n">
        <f aca="false">AF253/H253</f>
        <v>0</v>
      </c>
      <c r="AP253" s="1" t="n">
        <f aca="false">O253/H253</f>
        <v>0</v>
      </c>
      <c r="AQ253" s="1" t="n">
        <f aca="false">AH253/H253</f>
        <v>0</v>
      </c>
      <c r="AR253" s="1" t="n">
        <f aca="false">AI253/H253</f>
        <v>0</v>
      </c>
      <c r="AS253" s="1" t="n">
        <f aca="false">MAX(0,AL253+AN253+AO253+AM253-AP253)</f>
        <v>0</v>
      </c>
      <c r="AT253" s="1" t="n">
        <f aca="false">MAX(0,AQ253+AR253)</f>
        <v>0</v>
      </c>
      <c r="AU253" s="1" t="n">
        <f aca="false">MIN(PR_PAYE,PR_PAYEcap*(AL253+AN253+AM253))</f>
        <v>0</v>
      </c>
      <c r="AV253" s="1" t="n">
        <f aca="false">MIN(PR_PAYE,PR_PAYEcap*(AQ253+AR253))</f>
        <v>0</v>
      </c>
      <c r="AW253" s="1" t="n">
        <f aca="false">IF(C253&gt;=PR_AgeCrAge,PR_AgeCr,0)</f>
        <v>0</v>
      </c>
      <c r="AX253" s="1" t="n">
        <f aca="false">IF(AG253&gt;=PR_AgeCrAge,PR_AgeCr,0)</f>
        <v>0</v>
      </c>
      <c r="AY253" s="1" t="n">
        <f aca="false">IF(AND(F_RentCred=1,D253&lt;=PR_RentLast),1,0)</f>
        <v>0</v>
      </c>
      <c r="AZ253" s="1" t="n">
        <f aca="false">AS253+AT253</f>
        <v>0</v>
      </c>
      <c r="BA253" s="1" t="n">
        <f aca="false">PR_PersonalM+AU253+AV253+AW253+AX253+IF(AY253=1,PR_RentJoint,0)</f>
        <v>4000</v>
      </c>
      <c r="BB253" s="1" t="n">
        <f aca="false">PR_BandM+MIN(MIN(AS253,AT253),PR_Uplift)</f>
        <v>53000</v>
      </c>
      <c r="BC253" s="1" t="n">
        <f aca="false">MAX(0,PR_r1*MIN(AZ253,BB253)+PR_r2*MAX(0,AZ253-BB253)-BA253)</f>
        <v>0</v>
      </c>
      <c r="BD253" s="1" t="n">
        <f aca="false">MAX(0,PR_HomeCarer-MAX(0,MIN(AS253,AT253)-PR_HCLimit)/2)</f>
        <v>1950</v>
      </c>
      <c r="BE253" s="1" t="n">
        <f aca="false">IF(F_Carer=1,MIN(BC253,MAX(0,PR_r1*MIN(AZ253,PR_BandM)+PR_r2*MAX(0,AZ253-PR_BandM)-BA253-BD253)),BC253)</f>
        <v>0</v>
      </c>
      <c r="BF253" s="1" t="n">
        <f aca="false">IF(OR(C253&gt;=PR_AgeCrAge,AG253&gt;=PR_AgeCrAge),IF(AZ253&lt;=PR_AgeExM,0,MIN(BE253,PR_AgeMarg*(AZ253-PR_AgeExM))),BE253)</f>
        <v>0</v>
      </c>
      <c r="BG253" s="1" t="n">
        <f aca="false">MAX(0,PR_r1*MIN(AS253,IF(F_Spccc=1,PR_BandSPCCC,PR_Band))+PR_r2*MAX(0,AS253-IF(F_Spccc=1,PR_BandSPCCC,PR_Band))-(PR_Personal+AU253+AW253+IF(F_Spccc=1,PR_SPCCC,0)+IF(AY253=1,PR_Rent,0)))</f>
        <v>0</v>
      </c>
      <c r="BH253" s="1" t="n">
        <f aca="false">IF(C253&gt;=PR_AgeCrAge,IF(AS253&lt;=PR_AgeEx,0,MIN(BG253,PR_AgeMarg*(AS253-PR_AgeEx))),BG253)</f>
        <v>0</v>
      </c>
      <c r="BI253" s="1" t="n">
        <f aca="false">IF(F_Partner=1,MAX(0,PR_r1*MIN(AT253,PR_Band)+PR_r2*MAX(0,AT253-PR_Band)-(PR_Personal+AV253+AX253+IF(AND(AY253=1,AT253&gt;0),PR_Rent,0))),0)</f>
        <v>0</v>
      </c>
      <c r="BJ253" s="1" t="n">
        <f aca="false">IF(AG253&gt;=PR_AgeCrAge,IF(AT253&lt;=PR_AgeEx,0,MIN(BI253,PR_AgeMarg*(AT253-PR_AgeEx))),BI253)</f>
        <v>0</v>
      </c>
      <c r="BK253" s="1" t="n">
        <f aca="false">IF(F_Partner=1,IF(F_Married=1,BF253,BH253+BJ253),BH253)</f>
        <v>0</v>
      </c>
      <c r="BL253" s="1" t="n">
        <f aca="false">AL253+AN253+AO253</f>
        <v>0</v>
      </c>
      <c r="BM253" s="1" t="n">
        <f aca="false">IF(BL253&lt;=PR_USCex,0,IF(IF(AND(C253&gt;=PR_USCredAge,BL253&lt;=PR_USCredMax),1,0)=1,PR_USCr1*MIN(BL253,PR_USCredB1)+PR_USCredR2*MAX(0,BL253-PR_USCredB1),PR_USCr1*MIN(BL253,PR_USCb1)+PR_USCr2*MAX(0,MIN(BL253,PR_USCb2)-PR_USCb1)+PR_USCr3*MAX(0,MIN(BL253,PR_USCb3)-PR_USCb2)+PR_USCr4*MAX(0,BL253-PR_USCb3)))+IF(F_SelfEmp=1,PR_USCse*MAX(0,AL253-PR_USCseOver),0)</f>
        <v>0</v>
      </c>
      <c r="BN253" s="1" t="n">
        <f aca="false">AQ253</f>
        <v>0</v>
      </c>
      <c r="BO253" s="1" t="n">
        <f aca="false">IF(F_Partner=1,IF(BN253&lt;=PR_USCex,0,IF(IF(AND(AG253&gt;=PR_USCredAge,BN253&lt;=PR_USCredMax),1,0)=1,PR_USCr1*MIN(BN253,PR_USCredB1)+PR_USCredR2*MAX(0,BN253-PR_USCredB1),PR_USCr1*MIN(BN253,PR_USCb1)+PR_USCr2*MAX(0,MIN(BN253,PR_USCb2)-PR_USCb1)+PR_USCr3*MAX(0,MIN(BN253,PR_USCb3)-PR_USCb2)+PR_USCr4*MAX(0,BN253-PR_USCb3))),0)</f>
        <v>0</v>
      </c>
      <c r="BP253" s="1" t="n">
        <f aca="false">IF(C253&lt;PR_PRSIend,IF(F_SelfEmp=1,IF(AL253&gt;PR_PRSIsMinInc,MAX(PR_PRSIsMin,AL253*J253),0),IF(AL253/52&lt;=PR_PRSIfree,0,MAX(0,(AL253/52*J253-IF(AL253/52&lt;=PR_PRSIcreditTo,MAX(0,PR_PRSIcreditMax-(AL253/52-(PR_PRSIfree+0.01))/PR_PRSItaper),0))*52)))+J253*AN253+IF(AO253&gt;PR_PRSIunearned,J253*AO253,0),0)</f>
        <v>0</v>
      </c>
      <c r="BQ253" s="1" t="n">
        <f aca="false">IF(AND(F_Partner=1,AG253&lt;PR_PRSIend),IF(AQ253/52&lt;=PR_PRSIfree,0,MAX(0,(AQ253/52*J253-IF(AQ253/52&lt;=PR_PRSIcreditTo,MAX(0,PR_PRSIcreditMax-(AQ253/52-(PR_PRSIfree+0.01))/PR_PRSItaper),0))*52)),0)</f>
        <v>0</v>
      </c>
      <c r="BR253" s="1" t="n">
        <f aca="false">BK253+BM253+BO253+BP253+BQ253</f>
        <v>0</v>
      </c>
      <c r="BS253" s="1" t="n">
        <f aca="false">BR253*H253</f>
        <v>0</v>
      </c>
      <c r="BT253" s="1" t="n">
        <f aca="false">K253+AK253+AC253+AF253+AH253+AI253</f>
        <v>0</v>
      </c>
    </row>
    <row r="254" customFormat="false" ht="15" hidden="false" customHeight="false" outlineLevel="0" collapsed="false">
      <c r="B254" s="1" t="n">
        <v>44</v>
      </c>
      <c r="C254" s="1" t="n">
        <f aca="false">F_Age+B254</f>
        <v>44</v>
      </c>
      <c r="D254" s="1" t="n">
        <f aca="false">AS_Year0+B254</f>
        <v>2071</v>
      </c>
      <c r="E254" s="106" t="n">
        <f aca="false">(1+AS_Infl)^B254</f>
        <v>2.3900531424523</v>
      </c>
      <c r="F254" s="106" t="n">
        <f aca="false">(1+AS_Wage)^B254</f>
        <v>3.67145227344791</v>
      </c>
      <c r="G254" s="1" t="n">
        <f aca="false">IF(C254&lt;F_R,1,0)</f>
        <v>0</v>
      </c>
      <c r="H254" s="106" t="n">
        <f aca="false">IF(AS_Bands="flat",1,E254)</f>
        <v>2.3900531424523</v>
      </c>
      <c r="I254" s="106" t="n">
        <f aca="false">IF(AS_SpGrow="pay",F254,IF(AS_SpGrow="flat",1,E254))</f>
        <v>2.3900531424523</v>
      </c>
      <c r="J254" s="106" t="n">
        <f aca="false">(12*PR_PRSIr0+(PR_PRSIr1-PR_PRSIr0)*MAX(0,MIN(12,D254*12+12-PR_PRSIt1))+(PR_PRSIr2-PR_PRSIr1)*MAX(0,MIN(12,D254*12+12-PR_PRSIt2))+(PR_PRSIr3-PR_PRSIr2)*MAX(0,MIN(12,D254*12+12-PR_PRSIt3)))/12</f>
        <v>0.047</v>
      </c>
      <c r="K254" s="1" t="n">
        <f aca="false">IF(G254=1,F_Income*F254,0)</f>
        <v>0</v>
      </c>
      <c r="L254" s="1" t="n">
        <f aca="false">IF(G254=1,(F_Own+In_penExtra)*12*F254,0)</f>
        <v>0</v>
      </c>
      <c r="M254" s="1" t="n">
        <f aca="false">IF(G254=1,(F_PenM+In_penExtra)*12*F254,0)</f>
        <v>0</v>
      </c>
      <c r="N254" s="107" t="n">
        <f aca="false">IF(C254&lt;PR_RelA1,PR_RelP1,IF(C254&lt;PR_RelA2,PR_RelP2,IF(C254&lt;PR_RelA3,PR_RelP3,IF(C254&lt;PR_RelA4,PR_RelP4,IF(C254&lt;PR_RelA5,PR_RelP5,PR_RelP6)))))</f>
        <v>0.25</v>
      </c>
      <c r="O254" s="1" t="n">
        <f aca="false">IF(G254=1,MIN(L254/H254,N254*MIN(K254/H254,PR_EarnCap))*H254,0)</f>
        <v>0</v>
      </c>
      <c r="P254" s="1" t="n">
        <f aca="false">IF(AND(G254=1,F_AE=1),MIN(K254/H254,PR_AEcap)*H254,0)</f>
        <v>0</v>
      </c>
      <c r="Q254" s="1" t="n">
        <f aca="false">IF(G254=1,IF(WI_Retire=1,MAX(0,M254+WI_M*12),M254)+(PR_AEee+PR_AEer+PR_AEst)*P254,0)</f>
        <v>0</v>
      </c>
      <c r="R254" s="1" t="n">
        <f aca="false">L254+PR_AEee*P254</f>
        <v>0</v>
      </c>
      <c r="S254" s="1" t="n">
        <f aca="false">AD253</f>
        <v>0</v>
      </c>
      <c r="T254" s="1" t="n">
        <f aca="false">IF(D254&lt;=2026,PR_SFT2026,IF(D254=2027,PR_SFT2027,IF(D254=2028,PR_SFT2028,IF(D254=2029,PR_SFT2029,PR_SFT2029*(1+AS_Infl)^(D254-2029)))))</f>
        <v>6432284.5048697</v>
      </c>
      <c r="U254" s="1" t="n">
        <f aca="false">IF(AND(G254=0,C254=F_V),1,0)</f>
        <v>0</v>
      </c>
      <c r="V254" s="1" t="n">
        <f aca="false">IF(U254=1,PR_SFTrate*MAX(0,S254-T254),0)</f>
        <v>0</v>
      </c>
      <c r="W254" s="1" t="n">
        <f aca="false">S254-V254</f>
        <v>0</v>
      </c>
      <c r="X254" s="1" t="n">
        <f aca="false">IF(AND(U254=1,AS_LumpPct&gt;0),W254*MIN(AS_LumpPct,PR_LSmax),0)</f>
        <v>0</v>
      </c>
      <c r="Y254" s="1" t="n">
        <f aca="false">X254-(PR_LSrate*MAX(0,MIN(X254,PR_LScap)-PR_LSfree)+PR_r2*MAX(0,X254-PR_LScap))</f>
        <v>0</v>
      </c>
      <c r="Z254" s="1" t="n">
        <f aca="false">W254-X254</f>
        <v>0</v>
      </c>
      <c r="AA254" s="107" t="n">
        <f aca="false">IF(C254&gt;=61,IF(Z254&gt;PR_ARFbig,PR_ARFbigRate,IF(C254&gt;=71,PR_ARF71,PR_ARF61)),0)</f>
        <v>0</v>
      </c>
      <c r="AB254" s="1" t="n">
        <f aca="false">IF(AS_DrawRule="min",Z254*AA254,IF(AS_DrawRule="fixed",MAX(AS_DrawFixed*E254,Z254*AA254),Z254*MAX(1/MAX(1,AS_End-C254+1),AA254)))</f>
        <v>0</v>
      </c>
      <c r="AC254" s="1" t="n">
        <f aca="false">IF(AND(G254=0,C254&gt;=F_V),MIN(Z254,AB254),0)</f>
        <v>0</v>
      </c>
      <c r="AD254" s="1" t="n">
        <f aca="false">IF(G254=1,S254*(1+F_PenG)+Q254,IF(C254&lt;F_V,S254*(1+F_PenG),(Z254-AC254)*(1+AS_PenRet)))</f>
        <v>0</v>
      </c>
      <c r="AE254" s="1" t="n">
        <f aca="false">IF(C254&gt;=PR_SPage,AS_SP*F_SpF*I254+IF(C254&gt;=80,PR_Over80*PR_Weeks*I254,0),0)</f>
        <v>0</v>
      </c>
      <c r="AF254" s="1" t="n">
        <f aca="false">(F_OtherM+F_RentM)*12*E254</f>
        <v>0</v>
      </c>
      <c r="AG254" s="1" t="n">
        <f aca="false">F_PAge+B254</f>
        <v>44</v>
      </c>
      <c r="AH254" s="1" t="n">
        <f aca="false">IF(AND(F_Partner=1,F_PAge&gt;0,AG254&lt;IF(F_PRet&gt;0,F_PRet,66)),F_PIncome*F254,0)</f>
        <v>0</v>
      </c>
      <c r="AI254" s="1" t="n">
        <f aca="false">IF(AND(F_Partner=1,AG254&gt;=66,F_PSpQA=0),AS_SP*F_PSpF*I254,0)</f>
        <v>0</v>
      </c>
      <c r="AJ254" s="1" t="n">
        <f aca="false">IF(AND(F_Partner=1,F_PSpQA=1,C254&gt;=PR_SPage,AH254=0),IF(AG254&gt;=66,PR_QA66,PR_QAunder)*PR_Weeks*I254,0)</f>
        <v>0</v>
      </c>
      <c r="AK254" s="1" t="n">
        <f aca="false">AE254+AJ254</f>
        <v>0</v>
      </c>
      <c r="AL254" s="1" t="n">
        <f aca="false">K254/H254</f>
        <v>0</v>
      </c>
      <c r="AM254" s="1" t="n">
        <f aca="false">AK254/H254</f>
        <v>0</v>
      </c>
      <c r="AN254" s="1" t="n">
        <f aca="false">AC254/H254</f>
        <v>0</v>
      </c>
      <c r="AO254" s="1" t="n">
        <f aca="false">AF254/H254</f>
        <v>0</v>
      </c>
      <c r="AP254" s="1" t="n">
        <f aca="false">O254/H254</f>
        <v>0</v>
      </c>
      <c r="AQ254" s="1" t="n">
        <f aca="false">AH254/H254</f>
        <v>0</v>
      </c>
      <c r="AR254" s="1" t="n">
        <f aca="false">AI254/H254</f>
        <v>0</v>
      </c>
      <c r="AS254" s="1" t="n">
        <f aca="false">MAX(0,AL254+AN254+AO254+AM254-AP254)</f>
        <v>0</v>
      </c>
      <c r="AT254" s="1" t="n">
        <f aca="false">MAX(0,AQ254+AR254)</f>
        <v>0</v>
      </c>
      <c r="AU254" s="1" t="n">
        <f aca="false">MIN(PR_PAYE,PR_PAYEcap*(AL254+AN254+AM254))</f>
        <v>0</v>
      </c>
      <c r="AV254" s="1" t="n">
        <f aca="false">MIN(PR_PAYE,PR_PAYEcap*(AQ254+AR254))</f>
        <v>0</v>
      </c>
      <c r="AW254" s="1" t="n">
        <f aca="false">IF(C254&gt;=PR_AgeCrAge,PR_AgeCr,0)</f>
        <v>0</v>
      </c>
      <c r="AX254" s="1" t="n">
        <f aca="false">IF(AG254&gt;=PR_AgeCrAge,PR_AgeCr,0)</f>
        <v>0</v>
      </c>
      <c r="AY254" s="1" t="n">
        <f aca="false">IF(AND(F_RentCred=1,D254&lt;=PR_RentLast),1,0)</f>
        <v>0</v>
      </c>
      <c r="AZ254" s="1" t="n">
        <f aca="false">AS254+AT254</f>
        <v>0</v>
      </c>
      <c r="BA254" s="1" t="n">
        <f aca="false">PR_PersonalM+AU254+AV254+AW254+AX254+IF(AY254=1,PR_RentJoint,0)</f>
        <v>4000</v>
      </c>
      <c r="BB254" s="1" t="n">
        <f aca="false">PR_BandM+MIN(MIN(AS254,AT254),PR_Uplift)</f>
        <v>53000</v>
      </c>
      <c r="BC254" s="1" t="n">
        <f aca="false">MAX(0,PR_r1*MIN(AZ254,BB254)+PR_r2*MAX(0,AZ254-BB254)-BA254)</f>
        <v>0</v>
      </c>
      <c r="BD254" s="1" t="n">
        <f aca="false">MAX(0,PR_HomeCarer-MAX(0,MIN(AS254,AT254)-PR_HCLimit)/2)</f>
        <v>1950</v>
      </c>
      <c r="BE254" s="1" t="n">
        <f aca="false">IF(F_Carer=1,MIN(BC254,MAX(0,PR_r1*MIN(AZ254,PR_BandM)+PR_r2*MAX(0,AZ254-PR_BandM)-BA254-BD254)),BC254)</f>
        <v>0</v>
      </c>
      <c r="BF254" s="1" t="n">
        <f aca="false">IF(OR(C254&gt;=PR_AgeCrAge,AG254&gt;=PR_AgeCrAge),IF(AZ254&lt;=PR_AgeExM,0,MIN(BE254,PR_AgeMarg*(AZ254-PR_AgeExM))),BE254)</f>
        <v>0</v>
      </c>
      <c r="BG254" s="1" t="n">
        <f aca="false">MAX(0,PR_r1*MIN(AS254,IF(F_Spccc=1,PR_BandSPCCC,PR_Band))+PR_r2*MAX(0,AS254-IF(F_Spccc=1,PR_BandSPCCC,PR_Band))-(PR_Personal+AU254+AW254+IF(F_Spccc=1,PR_SPCCC,0)+IF(AY254=1,PR_Rent,0)))</f>
        <v>0</v>
      </c>
      <c r="BH254" s="1" t="n">
        <f aca="false">IF(C254&gt;=PR_AgeCrAge,IF(AS254&lt;=PR_AgeEx,0,MIN(BG254,PR_AgeMarg*(AS254-PR_AgeEx))),BG254)</f>
        <v>0</v>
      </c>
      <c r="BI254" s="1" t="n">
        <f aca="false">IF(F_Partner=1,MAX(0,PR_r1*MIN(AT254,PR_Band)+PR_r2*MAX(0,AT254-PR_Band)-(PR_Personal+AV254+AX254+IF(AND(AY254=1,AT254&gt;0),PR_Rent,0))),0)</f>
        <v>0</v>
      </c>
      <c r="BJ254" s="1" t="n">
        <f aca="false">IF(AG254&gt;=PR_AgeCrAge,IF(AT254&lt;=PR_AgeEx,0,MIN(BI254,PR_AgeMarg*(AT254-PR_AgeEx))),BI254)</f>
        <v>0</v>
      </c>
      <c r="BK254" s="1" t="n">
        <f aca="false">IF(F_Partner=1,IF(F_Married=1,BF254,BH254+BJ254),BH254)</f>
        <v>0</v>
      </c>
      <c r="BL254" s="1" t="n">
        <f aca="false">AL254+AN254+AO254</f>
        <v>0</v>
      </c>
      <c r="BM254" s="1" t="n">
        <f aca="false">IF(BL254&lt;=PR_USCex,0,IF(IF(AND(C254&gt;=PR_USCredAge,BL254&lt;=PR_USCredMax),1,0)=1,PR_USCr1*MIN(BL254,PR_USCredB1)+PR_USCredR2*MAX(0,BL254-PR_USCredB1),PR_USCr1*MIN(BL254,PR_USCb1)+PR_USCr2*MAX(0,MIN(BL254,PR_USCb2)-PR_USCb1)+PR_USCr3*MAX(0,MIN(BL254,PR_USCb3)-PR_USCb2)+PR_USCr4*MAX(0,BL254-PR_USCb3)))+IF(F_SelfEmp=1,PR_USCse*MAX(0,AL254-PR_USCseOver),0)</f>
        <v>0</v>
      </c>
      <c r="BN254" s="1" t="n">
        <f aca="false">AQ254</f>
        <v>0</v>
      </c>
      <c r="BO254" s="1" t="n">
        <f aca="false">IF(F_Partner=1,IF(BN254&lt;=PR_USCex,0,IF(IF(AND(AG254&gt;=PR_USCredAge,BN254&lt;=PR_USCredMax),1,0)=1,PR_USCr1*MIN(BN254,PR_USCredB1)+PR_USCredR2*MAX(0,BN254-PR_USCredB1),PR_USCr1*MIN(BN254,PR_USCb1)+PR_USCr2*MAX(0,MIN(BN254,PR_USCb2)-PR_USCb1)+PR_USCr3*MAX(0,MIN(BN254,PR_USCb3)-PR_USCb2)+PR_USCr4*MAX(0,BN254-PR_USCb3))),0)</f>
        <v>0</v>
      </c>
      <c r="BP254" s="1" t="n">
        <f aca="false">IF(C254&lt;PR_PRSIend,IF(F_SelfEmp=1,IF(AL254&gt;PR_PRSIsMinInc,MAX(PR_PRSIsMin,AL254*J254),0),IF(AL254/52&lt;=PR_PRSIfree,0,MAX(0,(AL254/52*J254-IF(AL254/52&lt;=PR_PRSIcreditTo,MAX(0,PR_PRSIcreditMax-(AL254/52-(PR_PRSIfree+0.01))/PR_PRSItaper),0))*52)))+J254*AN254+IF(AO254&gt;PR_PRSIunearned,J254*AO254,0),0)</f>
        <v>0</v>
      </c>
      <c r="BQ254" s="1" t="n">
        <f aca="false">IF(AND(F_Partner=1,AG254&lt;PR_PRSIend),IF(AQ254/52&lt;=PR_PRSIfree,0,MAX(0,(AQ254/52*J254-IF(AQ254/52&lt;=PR_PRSIcreditTo,MAX(0,PR_PRSIcreditMax-(AQ254/52-(PR_PRSIfree+0.01))/PR_PRSItaper),0))*52)),0)</f>
        <v>0</v>
      </c>
      <c r="BR254" s="1" t="n">
        <f aca="false">BK254+BM254+BO254+BP254+BQ254</f>
        <v>0</v>
      </c>
      <c r="BS254" s="1" t="n">
        <f aca="false">BR254*H254</f>
        <v>0</v>
      </c>
      <c r="BT254" s="1" t="n">
        <f aca="false">K254+AK254+AC254+AF254+AH254+AI254</f>
        <v>0</v>
      </c>
    </row>
    <row r="255" customFormat="false" ht="15" hidden="false" customHeight="false" outlineLevel="0" collapsed="false">
      <c r="B255" s="1" t="n">
        <v>45</v>
      </c>
      <c r="C255" s="1" t="n">
        <f aca="false">F_Age+B255</f>
        <v>45</v>
      </c>
      <c r="D255" s="1" t="n">
        <f aca="false">AS_Year0+B255</f>
        <v>2072</v>
      </c>
      <c r="E255" s="106" t="n">
        <f aca="false">(1+AS_Infl)^B255</f>
        <v>2.43785420530135</v>
      </c>
      <c r="F255" s="106" t="n">
        <f aca="false">(1+AS_Wage)^B255</f>
        <v>3.78159584165135</v>
      </c>
      <c r="G255" s="1" t="n">
        <f aca="false">IF(C255&lt;F_R,1,0)</f>
        <v>0</v>
      </c>
      <c r="H255" s="106" t="n">
        <f aca="false">IF(AS_Bands="flat",1,E255)</f>
        <v>2.43785420530135</v>
      </c>
      <c r="I255" s="106" t="n">
        <f aca="false">IF(AS_SpGrow="pay",F255,IF(AS_SpGrow="flat",1,E255))</f>
        <v>2.43785420530135</v>
      </c>
      <c r="J255" s="106" t="n">
        <f aca="false">(12*PR_PRSIr0+(PR_PRSIr1-PR_PRSIr0)*MAX(0,MIN(12,D255*12+12-PR_PRSIt1))+(PR_PRSIr2-PR_PRSIr1)*MAX(0,MIN(12,D255*12+12-PR_PRSIt2))+(PR_PRSIr3-PR_PRSIr2)*MAX(0,MIN(12,D255*12+12-PR_PRSIt3)))/12</f>
        <v>0.047</v>
      </c>
      <c r="K255" s="1" t="n">
        <f aca="false">IF(G255=1,F_Income*F255,0)</f>
        <v>0</v>
      </c>
      <c r="L255" s="1" t="n">
        <f aca="false">IF(G255=1,(F_Own+In_penExtra)*12*F255,0)</f>
        <v>0</v>
      </c>
      <c r="M255" s="1" t="n">
        <f aca="false">IF(G255=1,(F_PenM+In_penExtra)*12*F255,0)</f>
        <v>0</v>
      </c>
      <c r="N255" s="107" t="n">
        <f aca="false">IF(C255&lt;PR_RelA1,PR_RelP1,IF(C255&lt;PR_RelA2,PR_RelP2,IF(C255&lt;PR_RelA3,PR_RelP3,IF(C255&lt;PR_RelA4,PR_RelP4,IF(C255&lt;PR_RelA5,PR_RelP5,PR_RelP6)))))</f>
        <v>0.25</v>
      </c>
      <c r="O255" s="1" t="n">
        <f aca="false">IF(G255=1,MIN(L255/H255,N255*MIN(K255/H255,PR_EarnCap))*H255,0)</f>
        <v>0</v>
      </c>
      <c r="P255" s="1" t="n">
        <f aca="false">IF(AND(G255=1,F_AE=1),MIN(K255/H255,PR_AEcap)*H255,0)</f>
        <v>0</v>
      </c>
      <c r="Q255" s="1" t="n">
        <f aca="false">IF(G255=1,IF(WI_Retire=1,MAX(0,M255+WI_M*12),M255)+(PR_AEee+PR_AEer+PR_AEst)*P255,0)</f>
        <v>0</v>
      </c>
      <c r="R255" s="1" t="n">
        <f aca="false">L255+PR_AEee*P255</f>
        <v>0</v>
      </c>
      <c r="S255" s="1" t="n">
        <f aca="false">AD254</f>
        <v>0</v>
      </c>
      <c r="T255" s="1" t="n">
        <f aca="false">IF(D255&lt;=2026,PR_SFT2026,IF(D255=2027,PR_SFT2027,IF(D255=2028,PR_SFT2028,IF(D255=2029,PR_SFT2029,PR_SFT2029*(1+AS_Infl)^(D255-2029)))))</f>
        <v>6560930.1949671</v>
      </c>
      <c r="U255" s="1" t="n">
        <f aca="false">IF(AND(G255=0,C255=F_V),1,0)</f>
        <v>0</v>
      </c>
      <c r="V255" s="1" t="n">
        <f aca="false">IF(U255=1,PR_SFTrate*MAX(0,S255-T255),0)</f>
        <v>0</v>
      </c>
      <c r="W255" s="1" t="n">
        <f aca="false">S255-V255</f>
        <v>0</v>
      </c>
      <c r="X255" s="1" t="n">
        <f aca="false">IF(AND(U255=1,AS_LumpPct&gt;0),W255*MIN(AS_LumpPct,PR_LSmax),0)</f>
        <v>0</v>
      </c>
      <c r="Y255" s="1" t="n">
        <f aca="false">X255-(PR_LSrate*MAX(0,MIN(X255,PR_LScap)-PR_LSfree)+PR_r2*MAX(0,X255-PR_LScap))</f>
        <v>0</v>
      </c>
      <c r="Z255" s="1" t="n">
        <f aca="false">W255-X255</f>
        <v>0</v>
      </c>
      <c r="AA255" s="107" t="n">
        <f aca="false">IF(C255&gt;=61,IF(Z255&gt;PR_ARFbig,PR_ARFbigRate,IF(C255&gt;=71,PR_ARF71,PR_ARF61)),0)</f>
        <v>0</v>
      </c>
      <c r="AB255" s="1" t="n">
        <f aca="false">IF(AS_DrawRule="min",Z255*AA255,IF(AS_DrawRule="fixed",MAX(AS_DrawFixed*E255,Z255*AA255),Z255*MAX(1/MAX(1,AS_End-C255+1),AA255)))</f>
        <v>0</v>
      </c>
      <c r="AC255" s="1" t="n">
        <f aca="false">IF(AND(G255=0,C255&gt;=F_V),MIN(Z255,AB255),0)</f>
        <v>0</v>
      </c>
      <c r="AD255" s="1" t="n">
        <f aca="false">IF(G255=1,S255*(1+F_PenG)+Q255,IF(C255&lt;F_V,S255*(1+F_PenG),(Z255-AC255)*(1+AS_PenRet)))</f>
        <v>0</v>
      </c>
      <c r="AE255" s="1" t="n">
        <f aca="false">IF(C255&gt;=PR_SPage,AS_SP*F_SpF*I255+IF(C255&gt;=80,PR_Over80*PR_Weeks*I255,0),0)</f>
        <v>0</v>
      </c>
      <c r="AF255" s="1" t="n">
        <f aca="false">(F_OtherM+F_RentM)*12*E255</f>
        <v>0</v>
      </c>
      <c r="AG255" s="1" t="n">
        <f aca="false">F_PAge+B255</f>
        <v>45</v>
      </c>
      <c r="AH255" s="1" t="n">
        <f aca="false">IF(AND(F_Partner=1,F_PAge&gt;0,AG255&lt;IF(F_PRet&gt;0,F_PRet,66)),F_PIncome*F255,0)</f>
        <v>0</v>
      </c>
      <c r="AI255" s="1" t="n">
        <f aca="false">IF(AND(F_Partner=1,AG255&gt;=66,F_PSpQA=0),AS_SP*F_PSpF*I255,0)</f>
        <v>0</v>
      </c>
      <c r="AJ255" s="1" t="n">
        <f aca="false">IF(AND(F_Partner=1,F_PSpQA=1,C255&gt;=PR_SPage,AH255=0),IF(AG255&gt;=66,PR_QA66,PR_QAunder)*PR_Weeks*I255,0)</f>
        <v>0</v>
      </c>
      <c r="AK255" s="1" t="n">
        <f aca="false">AE255+AJ255</f>
        <v>0</v>
      </c>
      <c r="AL255" s="1" t="n">
        <f aca="false">K255/H255</f>
        <v>0</v>
      </c>
      <c r="AM255" s="1" t="n">
        <f aca="false">AK255/H255</f>
        <v>0</v>
      </c>
      <c r="AN255" s="1" t="n">
        <f aca="false">AC255/H255</f>
        <v>0</v>
      </c>
      <c r="AO255" s="1" t="n">
        <f aca="false">AF255/H255</f>
        <v>0</v>
      </c>
      <c r="AP255" s="1" t="n">
        <f aca="false">O255/H255</f>
        <v>0</v>
      </c>
      <c r="AQ255" s="1" t="n">
        <f aca="false">AH255/H255</f>
        <v>0</v>
      </c>
      <c r="AR255" s="1" t="n">
        <f aca="false">AI255/H255</f>
        <v>0</v>
      </c>
      <c r="AS255" s="1" t="n">
        <f aca="false">MAX(0,AL255+AN255+AO255+AM255-AP255)</f>
        <v>0</v>
      </c>
      <c r="AT255" s="1" t="n">
        <f aca="false">MAX(0,AQ255+AR255)</f>
        <v>0</v>
      </c>
      <c r="AU255" s="1" t="n">
        <f aca="false">MIN(PR_PAYE,PR_PAYEcap*(AL255+AN255+AM255))</f>
        <v>0</v>
      </c>
      <c r="AV255" s="1" t="n">
        <f aca="false">MIN(PR_PAYE,PR_PAYEcap*(AQ255+AR255))</f>
        <v>0</v>
      </c>
      <c r="AW255" s="1" t="n">
        <f aca="false">IF(C255&gt;=PR_AgeCrAge,PR_AgeCr,0)</f>
        <v>0</v>
      </c>
      <c r="AX255" s="1" t="n">
        <f aca="false">IF(AG255&gt;=PR_AgeCrAge,PR_AgeCr,0)</f>
        <v>0</v>
      </c>
      <c r="AY255" s="1" t="n">
        <f aca="false">IF(AND(F_RentCred=1,D255&lt;=PR_RentLast),1,0)</f>
        <v>0</v>
      </c>
      <c r="AZ255" s="1" t="n">
        <f aca="false">AS255+AT255</f>
        <v>0</v>
      </c>
      <c r="BA255" s="1" t="n">
        <f aca="false">PR_PersonalM+AU255+AV255+AW255+AX255+IF(AY255=1,PR_RentJoint,0)</f>
        <v>4000</v>
      </c>
      <c r="BB255" s="1" t="n">
        <f aca="false">PR_BandM+MIN(MIN(AS255,AT255),PR_Uplift)</f>
        <v>53000</v>
      </c>
      <c r="BC255" s="1" t="n">
        <f aca="false">MAX(0,PR_r1*MIN(AZ255,BB255)+PR_r2*MAX(0,AZ255-BB255)-BA255)</f>
        <v>0</v>
      </c>
      <c r="BD255" s="1" t="n">
        <f aca="false">MAX(0,PR_HomeCarer-MAX(0,MIN(AS255,AT255)-PR_HCLimit)/2)</f>
        <v>1950</v>
      </c>
      <c r="BE255" s="1" t="n">
        <f aca="false">IF(F_Carer=1,MIN(BC255,MAX(0,PR_r1*MIN(AZ255,PR_BandM)+PR_r2*MAX(0,AZ255-PR_BandM)-BA255-BD255)),BC255)</f>
        <v>0</v>
      </c>
      <c r="BF255" s="1" t="n">
        <f aca="false">IF(OR(C255&gt;=PR_AgeCrAge,AG255&gt;=PR_AgeCrAge),IF(AZ255&lt;=PR_AgeExM,0,MIN(BE255,PR_AgeMarg*(AZ255-PR_AgeExM))),BE255)</f>
        <v>0</v>
      </c>
      <c r="BG255" s="1" t="n">
        <f aca="false">MAX(0,PR_r1*MIN(AS255,IF(F_Spccc=1,PR_BandSPCCC,PR_Band))+PR_r2*MAX(0,AS255-IF(F_Spccc=1,PR_BandSPCCC,PR_Band))-(PR_Personal+AU255+AW255+IF(F_Spccc=1,PR_SPCCC,0)+IF(AY255=1,PR_Rent,0)))</f>
        <v>0</v>
      </c>
      <c r="BH255" s="1" t="n">
        <f aca="false">IF(C255&gt;=PR_AgeCrAge,IF(AS255&lt;=PR_AgeEx,0,MIN(BG255,PR_AgeMarg*(AS255-PR_AgeEx))),BG255)</f>
        <v>0</v>
      </c>
      <c r="BI255" s="1" t="n">
        <f aca="false">IF(F_Partner=1,MAX(0,PR_r1*MIN(AT255,PR_Band)+PR_r2*MAX(0,AT255-PR_Band)-(PR_Personal+AV255+AX255+IF(AND(AY255=1,AT255&gt;0),PR_Rent,0))),0)</f>
        <v>0</v>
      </c>
      <c r="BJ255" s="1" t="n">
        <f aca="false">IF(AG255&gt;=PR_AgeCrAge,IF(AT255&lt;=PR_AgeEx,0,MIN(BI255,PR_AgeMarg*(AT255-PR_AgeEx))),BI255)</f>
        <v>0</v>
      </c>
      <c r="BK255" s="1" t="n">
        <f aca="false">IF(F_Partner=1,IF(F_Married=1,BF255,BH255+BJ255),BH255)</f>
        <v>0</v>
      </c>
      <c r="BL255" s="1" t="n">
        <f aca="false">AL255+AN255+AO255</f>
        <v>0</v>
      </c>
      <c r="BM255" s="1" t="n">
        <f aca="false">IF(BL255&lt;=PR_USCex,0,IF(IF(AND(C255&gt;=PR_USCredAge,BL255&lt;=PR_USCredMax),1,0)=1,PR_USCr1*MIN(BL255,PR_USCredB1)+PR_USCredR2*MAX(0,BL255-PR_USCredB1),PR_USCr1*MIN(BL255,PR_USCb1)+PR_USCr2*MAX(0,MIN(BL255,PR_USCb2)-PR_USCb1)+PR_USCr3*MAX(0,MIN(BL255,PR_USCb3)-PR_USCb2)+PR_USCr4*MAX(0,BL255-PR_USCb3)))+IF(F_SelfEmp=1,PR_USCse*MAX(0,AL255-PR_USCseOver),0)</f>
        <v>0</v>
      </c>
      <c r="BN255" s="1" t="n">
        <f aca="false">AQ255</f>
        <v>0</v>
      </c>
      <c r="BO255" s="1" t="n">
        <f aca="false">IF(F_Partner=1,IF(BN255&lt;=PR_USCex,0,IF(IF(AND(AG255&gt;=PR_USCredAge,BN255&lt;=PR_USCredMax),1,0)=1,PR_USCr1*MIN(BN255,PR_USCredB1)+PR_USCredR2*MAX(0,BN255-PR_USCredB1),PR_USCr1*MIN(BN255,PR_USCb1)+PR_USCr2*MAX(0,MIN(BN255,PR_USCb2)-PR_USCb1)+PR_USCr3*MAX(0,MIN(BN255,PR_USCb3)-PR_USCb2)+PR_USCr4*MAX(0,BN255-PR_USCb3))),0)</f>
        <v>0</v>
      </c>
      <c r="BP255" s="1" t="n">
        <f aca="false">IF(C255&lt;PR_PRSIend,IF(F_SelfEmp=1,IF(AL255&gt;PR_PRSIsMinInc,MAX(PR_PRSIsMin,AL255*J255),0),IF(AL255/52&lt;=PR_PRSIfree,0,MAX(0,(AL255/52*J255-IF(AL255/52&lt;=PR_PRSIcreditTo,MAX(0,PR_PRSIcreditMax-(AL255/52-(PR_PRSIfree+0.01))/PR_PRSItaper),0))*52)))+J255*AN255+IF(AO255&gt;PR_PRSIunearned,J255*AO255,0),0)</f>
        <v>0</v>
      </c>
      <c r="BQ255" s="1" t="n">
        <f aca="false">IF(AND(F_Partner=1,AG255&lt;PR_PRSIend),IF(AQ255/52&lt;=PR_PRSIfree,0,MAX(0,(AQ255/52*J255-IF(AQ255/52&lt;=PR_PRSIcreditTo,MAX(0,PR_PRSIcreditMax-(AQ255/52-(PR_PRSIfree+0.01))/PR_PRSItaper),0))*52)),0)</f>
        <v>0</v>
      </c>
      <c r="BR255" s="1" t="n">
        <f aca="false">BK255+BM255+BO255+BP255+BQ255</f>
        <v>0</v>
      </c>
      <c r="BS255" s="1" t="n">
        <f aca="false">BR255*H255</f>
        <v>0</v>
      </c>
      <c r="BT255" s="1" t="n">
        <f aca="false">K255+AK255+AC255+AF255+AH255+AI255</f>
        <v>0</v>
      </c>
    </row>
    <row r="256" customFormat="false" ht="15" hidden="false" customHeight="false" outlineLevel="0" collapsed="false">
      <c r="B256" s="1" t="n">
        <v>46</v>
      </c>
      <c r="C256" s="1" t="n">
        <f aca="false">F_Age+B256</f>
        <v>46</v>
      </c>
      <c r="D256" s="1" t="n">
        <f aca="false">AS_Year0+B256</f>
        <v>2073</v>
      </c>
      <c r="E256" s="106" t="n">
        <f aca="false">(1+AS_Infl)^B256</f>
        <v>2.48661128940737</v>
      </c>
      <c r="F256" s="106" t="n">
        <f aca="false">(1+AS_Wage)^B256</f>
        <v>3.89504371690089</v>
      </c>
      <c r="G256" s="1" t="n">
        <f aca="false">IF(C256&lt;F_R,1,0)</f>
        <v>0</v>
      </c>
      <c r="H256" s="106" t="n">
        <f aca="false">IF(AS_Bands="flat",1,E256)</f>
        <v>2.48661128940737</v>
      </c>
      <c r="I256" s="106" t="n">
        <f aca="false">IF(AS_SpGrow="pay",F256,IF(AS_SpGrow="flat",1,E256))</f>
        <v>2.48661128940737</v>
      </c>
      <c r="J256" s="106" t="n">
        <f aca="false">(12*PR_PRSIr0+(PR_PRSIr1-PR_PRSIr0)*MAX(0,MIN(12,D256*12+12-PR_PRSIt1))+(PR_PRSIr2-PR_PRSIr1)*MAX(0,MIN(12,D256*12+12-PR_PRSIt2))+(PR_PRSIr3-PR_PRSIr2)*MAX(0,MIN(12,D256*12+12-PR_PRSIt3)))/12</f>
        <v>0.047</v>
      </c>
      <c r="K256" s="1" t="n">
        <f aca="false">IF(G256=1,F_Income*F256,0)</f>
        <v>0</v>
      </c>
      <c r="L256" s="1" t="n">
        <f aca="false">IF(G256=1,(F_Own+In_penExtra)*12*F256,0)</f>
        <v>0</v>
      </c>
      <c r="M256" s="1" t="n">
        <f aca="false">IF(G256=1,(F_PenM+In_penExtra)*12*F256,0)</f>
        <v>0</v>
      </c>
      <c r="N256" s="107" t="n">
        <f aca="false">IF(C256&lt;PR_RelA1,PR_RelP1,IF(C256&lt;PR_RelA2,PR_RelP2,IF(C256&lt;PR_RelA3,PR_RelP3,IF(C256&lt;PR_RelA4,PR_RelP4,IF(C256&lt;PR_RelA5,PR_RelP5,PR_RelP6)))))</f>
        <v>0.25</v>
      </c>
      <c r="O256" s="1" t="n">
        <f aca="false">IF(G256=1,MIN(L256/H256,N256*MIN(K256/H256,PR_EarnCap))*H256,0)</f>
        <v>0</v>
      </c>
      <c r="P256" s="1" t="n">
        <f aca="false">IF(AND(G256=1,F_AE=1),MIN(K256/H256,PR_AEcap)*H256,0)</f>
        <v>0</v>
      </c>
      <c r="Q256" s="1" t="n">
        <f aca="false">IF(G256=1,IF(WI_Retire=1,MAX(0,M256+WI_M*12),M256)+(PR_AEee+PR_AEer+PR_AEst)*P256,0)</f>
        <v>0</v>
      </c>
      <c r="R256" s="1" t="n">
        <f aca="false">L256+PR_AEee*P256</f>
        <v>0</v>
      </c>
      <c r="S256" s="1" t="n">
        <f aca="false">AD255</f>
        <v>0</v>
      </c>
      <c r="T256" s="1" t="n">
        <f aca="false">IF(D256&lt;=2026,PR_SFT2026,IF(D256=2027,PR_SFT2027,IF(D256=2028,PR_SFT2028,IF(D256=2029,PR_SFT2029,PR_SFT2029*(1+AS_Infl)^(D256-2029)))))</f>
        <v>6692148.79886644</v>
      </c>
      <c r="U256" s="1" t="n">
        <f aca="false">IF(AND(G256=0,C256=F_V),1,0)</f>
        <v>0</v>
      </c>
      <c r="V256" s="1" t="n">
        <f aca="false">IF(U256=1,PR_SFTrate*MAX(0,S256-T256),0)</f>
        <v>0</v>
      </c>
      <c r="W256" s="1" t="n">
        <f aca="false">S256-V256</f>
        <v>0</v>
      </c>
      <c r="X256" s="1" t="n">
        <f aca="false">IF(AND(U256=1,AS_LumpPct&gt;0),W256*MIN(AS_LumpPct,PR_LSmax),0)</f>
        <v>0</v>
      </c>
      <c r="Y256" s="1" t="n">
        <f aca="false">X256-(PR_LSrate*MAX(0,MIN(X256,PR_LScap)-PR_LSfree)+PR_r2*MAX(0,X256-PR_LScap))</f>
        <v>0</v>
      </c>
      <c r="Z256" s="1" t="n">
        <f aca="false">W256-X256</f>
        <v>0</v>
      </c>
      <c r="AA256" s="107" t="n">
        <f aca="false">IF(C256&gt;=61,IF(Z256&gt;PR_ARFbig,PR_ARFbigRate,IF(C256&gt;=71,PR_ARF71,PR_ARF61)),0)</f>
        <v>0</v>
      </c>
      <c r="AB256" s="1" t="n">
        <f aca="false">IF(AS_DrawRule="min",Z256*AA256,IF(AS_DrawRule="fixed",MAX(AS_DrawFixed*E256,Z256*AA256),Z256*MAX(1/MAX(1,AS_End-C256+1),AA256)))</f>
        <v>0</v>
      </c>
      <c r="AC256" s="1" t="n">
        <f aca="false">IF(AND(G256=0,C256&gt;=F_V),MIN(Z256,AB256),0)</f>
        <v>0</v>
      </c>
      <c r="AD256" s="1" t="n">
        <f aca="false">IF(G256=1,S256*(1+F_PenG)+Q256,IF(C256&lt;F_V,S256*(1+F_PenG),(Z256-AC256)*(1+AS_PenRet)))</f>
        <v>0</v>
      </c>
      <c r="AE256" s="1" t="n">
        <f aca="false">IF(C256&gt;=PR_SPage,AS_SP*F_SpF*I256+IF(C256&gt;=80,PR_Over80*PR_Weeks*I256,0),0)</f>
        <v>0</v>
      </c>
      <c r="AF256" s="1" t="n">
        <f aca="false">(F_OtherM+F_RentM)*12*E256</f>
        <v>0</v>
      </c>
      <c r="AG256" s="1" t="n">
        <f aca="false">F_PAge+B256</f>
        <v>46</v>
      </c>
      <c r="AH256" s="1" t="n">
        <f aca="false">IF(AND(F_Partner=1,F_PAge&gt;0,AG256&lt;IF(F_PRet&gt;0,F_PRet,66)),F_PIncome*F256,0)</f>
        <v>0</v>
      </c>
      <c r="AI256" s="1" t="n">
        <f aca="false">IF(AND(F_Partner=1,AG256&gt;=66,F_PSpQA=0),AS_SP*F_PSpF*I256,0)</f>
        <v>0</v>
      </c>
      <c r="AJ256" s="1" t="n">
        <f aca="false">IF(AND(F_Partner=1,F_PSpQA=1,C256&gt;=PR_SPage,AH256=0),IF(AG256&gt;=66,PR_QA66,PR_QAunder)*PR_Weeks*I256,0)</f>
        <v>0</v>
      </c>
      <c r="AK256" s="1" t="n">
        <f aca="false">AE256+AJ256</f>
        <v>0</v>
      </c>
      <c r="AL256" s="1" t="n">
        <f aca="false">K256/H256</f>
        <v>0</v>
      </c>
      <c r="AM256" s="1" t="n">
        <f aca="false">AK256/H256</f>
        <v>0</v>
      </c>
      <c r="AN256" s="1" t="n">
        <f aca="false">AC256/H256</f>
        <v>0</v>
      </c>
      <c r="AO256" s="1" t="n">
        <f aca="false">AF256/H256</f>
        <v>0</v>
      </c>
      <c r="AP256" s="1" t="n">
        <f aca="false">O256/H256</f>
        <v>0</v>
      </c>
      <c r="AQ256" s="1" t="n">
        <f aca="false">AH256/H256</f>
        <v>0</v>
      </c>
      <c r="AR256" s="1" t="n">
        <f aca="false">AI256/H256</f>
        <v>0</v>
      </c>
      <c r="AS256" s="1" t="n">
        <f aca="false">MAX(0,AL256+AN256+AO256+AM256-AP256)</f>
        <v>0</v>
      </c>
      <c r="AT256" s="1" t="n">
        <f aca="false">MAX(0,AQ256+AR256)</f>
        <v>0</v>
      </c>
      <c r="AU256" s="1" t="n">
        <f aca="false">MIN(PR_PAYE,PR_PAYEcap*(AL256+AN256+AM256))</f>
        <v>0</v>
      </c>
      <c r="AV256" s="1" t="n">
        <f aca="false">MIN(PR_PAYE,PR_PAYEcap*(AQ256+AR256))</f>
        <v>0</v>
      </c>
      <c r="AW256" s="1" t="n">
        <f aca="false">IF(C256&gt;=PR_AgeCrAge,PR_AgeCr,0)</f>
        <v>0</v>
      </c>
      <c r="AX256" s="1" t="n">
        <f aca="false">IF(AG256&gt;=PR_AgeCrAge,PR_AgeCr,0)</f>
        <v>0</v>
      </c>
      <c r="AY256" s="1" t="n">
        <f aca="false">IF(AND(F_RentCred=1,D256&lt;=PR_RentLast),1,0)</f>
        <v>0</v>
      </c>
      <c r="AZ256" s="1" t="n">
        <f aca="false">AS256+AT256</f>
        <v>0</v>
      </c>
      <c r="BA256" s="1" t="n">
        <f aca="false">PR_PersonalM+AU256+AV256+AW256+AX256+IF(AY256=1,PR_RentJoint,0)</f>
        <v>4000</v>
      </c>
      <c r="BB256" s="1" t="n">
        <f aca="false">PR_BandM+MIN(MIN(AS256,AT256),PR_Uplift)</f>
        <v>53000</v>
      </c>
      <c r="BC256" s="1" t="n">
        <f aca="false">MAX(0,PR_r1*MIN(AZ256,BB256)+PR_r2*MAX(0,AZ256-BB256)-BA256)</f>
        <v>0</v>
      </c>
      <c r="BD256" s="1" t="n">
        <f aca="false">MAX(0,PR_HomeCarer-MAX(0,MIN(AS256,AT256)-PR_HCLimit)/2)</f>
        <v>1950</v>
      </c>
      <c r="BE256" s="1" t="n">
        <f aca="false">IF(F_Carer=1,MIN(BC256,MAX(0,PR_r1*MIN(AZ256,PR_BandM)+PR_r2*MAX(0,AZ256-PR_BandM)-BA256-BD256)),BC256)</f>
        <v>0</v>
      </c>
      <c r="BF256" s="1" t="n">
        <f aca="false">IF(OR(C256&gt;=PR_AgeCrAge,AG256&gt;=PR_AgeCrAge),IF(AZ256&lt;=PR_AgeExM,0,MIN(BE256,PR_AgeMarg*(AZ256-PR_AgeExM))),BE256)</f>
        <v>0</v>
      </c>
      <c r="BG256" s="1" t="n">
        <f aca="false">MAX(0,PR_r1*MIN(AS256,IF(F_Spccc=1,PR_BandSPCCC,PR_Band))+PR_r2*MAX(0,AS256-IF(F_Spccc=1,PR_BandSPCCC,PR_Band))-(PR_Personal+AU256+AW256+IF(F_Spccc=1,PR_SPCCC,0)+IF(AY256=1,PR_Rent,0)))</f>
        <v>0</v>
      </c>
      <c r="BH256" s="1" t="n">
        <f aca="false">IF(C256&gt;=PR_AgeCrAge,IF(AS256&lt;=PR_AgeEx,0,MIN(BG256,PR_AgeMarg*(AS256-PR_AgeEx))),BG256)</f>
        <v>0</v>
      </c>
      <c r="BI256" s="1" t="n">
        <f aca="false">IF(F_Partner=1,MAX(0,PR_r1*MIN(AT256,PR_Band)+PR_r2*MAX(0,AT256-PR_Band)-(PR_Personal+AV256+AX256+IF(AND(AY256=1,AT256&gt;0),PR_Rent,0))),0)</f>
        <v>0</v>
      </c>
      <c r="BJ256" s="1" t="n">
        <f aca="false">IF(AG256&gt;=PR_AgeCrAge,IF(AT256&lt;=PR_AgeEx,0,MIN(BI256,PR_AgeMarg*(AT256-PR_AgeEx))),BI256)</f>
        <v>0</v>
      </c>
      <c r="BK256" s="1" t="n">
        <f aca="false">IF(F_Partner=1,IF(F_Married=1,BF256,BH256+BJ256),BH256)</f>
        <v>0</v>
      </c>
      <c r="BL256" s="1" t="n">
        <f aca="false">AL256+AN256+AO256</f>
        <v>0</v>
      </c>
      <c r="BM256" s="1" t="n">
        <f aca="false">IF(BL256&lt;=PR_USCex,0,IF(IF(AND(C256&gt;=PR_USCredAge,BL256&lt;=PR_USCredMax),1,0)=1,PR_USCr1*MIN(BL256,PR_USCredB1)+PR_USCredR2*MAX(0,BL256-PR_USCredB1),PR_USCr1*MIN(BL256,PR_USCb1)+PR_USCr2*MAX(0,MIN(BL256,PR_USCb2)-PR_USCb1)+PR_USCr3*MAX(0,MIN(BL256,PR_USCb3)-PR_USCb2)+PR_USCr4*MAX(0,BL256-PR_USCb3)))+IF(F_SelfEmp=1,PR_USCse*MAX(0,AL256-PR_USCseOver),0)</f>
        <v>0</v>
      </c>
      <c r="BN256" s="1" t="n">
        <f aca="false">AQ256</f>
        <v>0</v>
      </c>
      <c r="BO256" s="1" t="n">
        <f aca="false">IF(F_Partner=1,IF(BN256&lt;=PR_USCex,0,IF(IF(AND(AG256&gt;=PR_USCredAge,BN256&lt;=PR_USCredMax),1,0)=1,PR_USCr1*MIN(BN256,PR_USCredB1)+PR_USCredR2*MAX(0,BN256-PR_USCredB1),PR_USCr1*MIN(BN256,PR_USCb1)+PR_USCr2*MAX(0,MIN(BN256,PR_USCb2)-PR_USCb1)+PR_USCr3*MAX(0,MIN(BN256,PR_USCb3)-PR_USCb2)+PR_USCr4*MAX(0,BN256-PR_USCb3))),0)</f>
        <v>0</v>
      </c>
      <c r="BP256" s="1" t="n">
        <f aca="false">IF(C256&lt;PR_PRSIend,IF(F_SelfEmp=1,IF(AL256&gt;PR_PRSIsMinInc,MAX(PR_PRSIsMin,AL256*J256),0),IF(AL256/52&lt;=PR_PRSIfree,0,MAX(0,(AL256/52*J256-IF(AL256/52&lt;=PR_PRSIcreditTo,MAX(0,PR_PRSIcreditMax-(AL256/52-(PR_PRSIfree+0.01))/PR_PRSItaper),0))*52)))+J256*AN256+IF(AO256&gt;PR_PRSIunearned,J256*AO256,0),0)</f>
        <v>0</v>
      </c>
      <c r="BQ256" s="1" t="n">
        <f aca="false">IF(AND(F_Partner=1,AG256&lt;PR_PRSIend),IF(AQ256/52&lt;=PR_PRSIfree,0,MAX(0,(AQ256/52*J256-IF(AQ256/52&lt;=PR_PRSIcreditTo,MAX(0,PR_PRSIcreditMax-(AQ256/52-(PR_PRSIfree+0.01))/PR_PRSItaper),0))*52)),0)</f>
        <v>0</v>
      </c>
      <c r="BR256" s="1" t="n">
        <f aca="false">BK256+BM256+BO256+BP256+BQ256</f>
        <v>0</v>
      </c>
      <c r="BS256" s="1" t="n">
        <f aca="false">BR256*H256</f>
        <v>0</v>
      </c>
      <c r="BT256" s="1" t="n">
        <f aca="false">K256+AK256+AC256+AF256+AH256+AI256</f>
        <v>0</v>
      </c>
    </row>
    <row r="257" customFormat="false" ht="15" hidden="false" customHeight="false" outlineLevel="0" collapsed="false">
      <c r="B257" s="1" t="n">
        <v>47</v>
      </c>
      <c r="C257" s="1" t="n">
        <f aca="false">F_Age+B257</f>
        <v>47</v>
      </c>
      <c r="D257" s="1" t="n">
        <f aca="false">AS_Year0+B257</f>
        <v>2074</v>
      </c>
      <c r="E257" s="106" t="n">
        <f aca="false">(1+AS_Infl)^B257</f>
        <v>2.53634351519552</v>
      </c>
      <c r="F257" s="106" t="n">
        <f aca="false">(1+AS_Wage)^B257</f>
        <v>4.01189502840791</v>
      </c>
      <c r="G257" s="1" t="n">
        <f aca="false">IF(C257&lt;F_R,1,0)</f>
        <v>0</v>
      </c>
      <c r="H257" s="106" t="n">
        <f aca="false">IF(AS_Bands="flat",1,E257)</f>
        <v>2.53634351519552</v>
      </c>
      <c r="I257" s="106" t="n">
        <f aca="false">IF(AS_SpGrow="pay",F257,IF(AS_SpGrow="flat",1,E257))</f>
        <v>2.53634351519552</v>
      </c>
      <c r="J257" s="106" t="n">
        <f aca="false">(12*PR_PRSIr0+(PR_PRSIr1-PR_PRSIr0)*MAX(0,MIN(12,D257*12+12-PR_PRSIt1))+(PR_PRSIr2-PR_PRSIr1)*MAX(0,MIN(12,D257*12+12-PR_PRSIt2))+(PR_PRSIr3-PR_PRSIr2)*MAX(0,MIN(12,D257*12+12-PR_PRSIt3)))/12</f>
        <v>0.047</v>
      </c>
      <c r="K257" s="1" t="n">
        <f aca="false">IF(G257=1,F_Income*F257,0)</f>
        <v>0</v>
      </c>
      <c r="L257" s="1" t="n">
        <f aca="false">IF(G257=1,(F_Own+In_penExtra)*12*F257,0)</f>
        <v>0</v>
      </c>
      <c r="M257" s="1" t="n">
        <f aca="false">IF(G257=1,(F_PenM+In_penExtra)*12*F257,0)</f>
        <v>0</v>
      </c>
      <c r="N257" s="107" t="n">
        <f aca="false">IF(C257&lt;PR_RelA1,PR_RelP1,IF(C257&lt;PR_RelA2,PR_RelP2,IF(C257&lt;PR_RelA3,PR_RelP3,IF(C257&lt;PR_RelA4,PR_RelP4,IF(C257&lt;PR_RelA5,PR_RelP5,PR_RelP6)))))</f>
        <v>0.25</v>
      </c>
      <c r="O257" s="1" t="n">
        <f aca="false">IF(G257=1,MIN(L257/H257,N257*MIN(K257/H257,PR_EarnCap))*H257,0)</f>
        <v>0</v>
      </c>
      <c r="P257" s="1" t="n">
        <f aca="false">IF(AND(G257=1,F_AE=1),MIN(K257/H257,PR_AEcap)*H257,0)</f>
        <v>0</v>
      </c>
      <c r="Q257" s="1" t="n">
        <f aca="false">IF(G257=1,IF(WI_Retire=1,MAX(0,M257+WI_M*12),M257)+(PR_AEee+PR_AEer+PR_AEst)*P257,0)</f>
        <v>0</v>
      </c>
      <c r="R257" s="1" t="n">
        <f aca="false">L257+PR_AEee*P257</f>
        <v>0</v>
      </c>
      <c r="S257" s="1" t="n">
        <f aca="false">AD256</f>
        <v>0</v>
      </c>
      <c r="T257" s="1" t="n">
        <f aca="false">IF(D257&lt;=2026,PR_SFT2026,IF(D257=2027,PR_SFT2027,IF(D257=2028,PR_SFT2028,IF(D257=2029,PR_SFT2029,PR_SFT2029*(1+AS_Infl)^(D257-2029)))))</f>
        <v>6825991.77484377</v>
      </c>
      <c r="U257" s="1" t="n">
        <f aca="false">IF(AND(G257=0,C257=F_V),1,0)</f>
        <v>0</v>
      </c>
      <c r="V257" s="1" t="n">
        <f aca="false">IF(U257=1,PR_SFTrate*MAX(0,S257-T257),0)</f>
        <v>0</v>
      </c>
      <c r="W257" s="1" t="n">
        <f aca="false">S257-V257</f>
        <v>0</v>
      </c>
      <c r="X257" s="1" t="n">
        <f aca="false">IF(AND(U257=1,AS_LumpPct&gt;0),W257*MIN(AS_LumpPct,PR_LSmax),0)</f>
        <v>0</v>
      </c>
      <c r="Y257" s="1" t="n">
        <f aca="false">X257-(PR_LSrate*MAX(0,MIN(X257,PR_LScap)-PR_LSfree)+PR_r2*MAX(0,X257-PR_LScap))</f>
        <v>0</v>
      </c>
      <c r="Z257" s="1" t="n">
        <f aca="false">W257-X257</f>
        <v>0</v>
      </c>
      <c r="AA257" s="107" t="n">
        <f aca="false">IF(C257&gt;=61,IF(Z257&gt;PR_ARFbig,PR_ARFbigRate,IF(C257&gt;=71,PR_ARF71,PR_ARF61)),0)</f>
        <v>0</v>
      </c>
      <c r="AB257" s="1" t="n">
        <f aca="false">IF(AS_DrawRule="min",Z257*AA257,IF(AS_DrawRule="fixed",MAX(AS_DrawFixed*E257,Z257*AA257),Z257*MAX(1/MAX(1,AS_End-C257+1),AA257)))</f>
        <v>0</v>
      </c>
      <c r="AC257" s="1" t="n">
        <f aca="false">IF(AND(G257=0,C257&gt;=F_V),MIN(Z257,AB257),0)</f>
        <v>0</v>
      </c>
      <c r="AD257" s="1" t="n">
        <f aca="false">IF(G257=1,S257*(1+F_PenG)+Q257,IF(C257&lt;F_V,S257*(1+F_PenG),(Z257-AC257)*(1+AS_PenRet)))</f>
        <v>0</v>
      </c>
      <c r="AE257" s="1" t="n">
        <f aca="false">IF(C257&gt;=PR_SPage,AS_SP*F_SpF*I257+IF(C257&gt;=80,PR_Over80*PR_Weeks*I257,0),0)</f>
        <v>0</v>
      </c>
      <c r="AF257" s="1" t="n">
        <f aca="false">(F_OtherM+F_RentM)*12*E257</f>
        <v>0</v>
      </c>
      <c r="AG257" s="1" t="n">
        <f aca="false">F_PAge+B257</f>
        <v>47</v>
      </c>
      <c r="AH257" s="1" t="n">
        <f aca="false">IF(AND(F_Partner=1,F_PAge&gt;0,AG257&lt;IF(F_PRet&gt;0,F_PRet,66)),F_PIncome*F257,0)</f>
        <v>0</v>
      </c>
      <c r="AI257" s="1" t="n">
        <f aca="false">IF(AND(F_Partner=1,AG257&gt;=66,F_PSpQA=0),AS_SP*F_PSpF*I257,0)</f>
        <v>0</v>
      </c>
      <c r="AJ257" s="1" t="n">
        <f aca="false">IF(AND(F_Partner=1,F_PSpQA=1,C257&gt;=PR_SPage,AH257=0),IF(AG257&gt;=66,PR_QA66,PR_QAunder)*PR_Weeks*I257,0)</f>
        <v>0</v>
      </c>
      <c r="AK257" s="1" t="n">
        <f aca="false">AE257+AJ257</f>
        <v>0</v>
      </c>
      <c r="AL257" s="1" t="n">
        <f aca="false">K257/H257</f>
        <v>0</v>
      </c>
      <c r="AM257" s="1" t="n">
        <f aca="false">AK257/H257</f>
        <v>0</v>
      </c>
      <c r="AN257" s="1" t="n">
        <f aca="false">AC257/H257</f>
        <v>0</v>
      </c>
      <c r="AO257" s="1" t="n">
        <f aca="false">AF257/H257</f>
        <v>0</v>
      </c>
      <c r="AP257" s="1" t="n">
        <f aca="false">O257/H257</f>
        <v>0</v>
      </c>
      <c r="AQ257" s="1" t="n">
        <f aca="false">AH257/H257</f>
        <v>0</v>
      </c>
      <c r="AR257" s="1" t="n">
        <f aca="false">AI257/H257</f>
        <v>0</v>
      </c>
      <c r="AS257" s="1" t="n">
        <f aca="false">MAX(0,AL257+AN257+AO257+AM257-AP257)</f>
        <v>0</v>
      </c>
      <c r="AT257" s="1" t="n">
        <f aca="false">MAX(0,AQ257+AR257)</f>
        <v>0</v>
      </c>
      <c r="AU257" s="1" t="n">
        <f aca="false">MIN(PR_PAYE,PR_PAYEcap*(AL257+AN257+AM257))</f>
        <v>0</v>
      </c>
      <c r="AV257" s="1" t="n">
        <f aca="false">MIN(PR_PAYE,PR_PAYEcap*(AQ257+AR257))</f>
        <v>0</v>
      </c>
      <c r="AW257" s="1" t="n">
        <f aca="false">IF(C257&gt;=PR_AgeCrAge,PR_AgeCr,0)</f>
        <v>0</v>
      </c>
      <c r="AX257" s="1" t="n">
        <f aca="false">IF(AG257&gt;=PR_AgeCrAge,PR_AgeCr,0)</f>
        <v>0</v>
      </c>
      <c r="AY257" s="1" t="n">
        <f aca="false">IF(AND(F_RentCred=1,D257&lt;=PR_RentLast),1,0)</f>
        <v>0</v>
      </c>
      <c r="AZ257" s="1" t="n">
        <f aca="false">AS257+AT257</f>
        <v>0</v>
      </c>
      <c r="BA257" s="1" t="n">
        <f aca="false">PR_PersonalM+AU257+AV257+AW257+AX257+IF(AY257=1,PR_RentJoint,0)</f>
        <v>4000</v>
      </c>
      <c r="BB257" s="1" t="n">
        <f aca="false">PR_BandM+MIN(MIN(AS257,AT257),PR_Uplift)</f>
        <v>53000</v>
      </c>
      <c r="BC257" s="1" t="n">
        <f aca="false">MAX(0,PR_r1*MIN(AZ257,BB257)+PR_r2*MAX(0,AZ257-BB257)-BA257)</f>
        <v>0</v>
      </c>
      <c r="BD257" s="1" t="n">
        <f aca="false">MAX(0,PR_HomeCarer-MAX(0,MIN(AS257,AT257)-PR_HCLimit)/2)</f>
        <v>1950</v>
      </c>
      <c r="BE257" s="1" t="n">
        <f aca="false">IF(F_Carer=1,MIN(BC257,MAX(0,PR_r1*MIN(AZ257,PR_BandM)+PR_r2*MAX(0,AZ257-PR_BandM)-BA257-BD257)),BC257)</f>
        <v>0</v>
      </c>
      <c r="BF257" s="1" t="n">
        <f aca="false">IF(OR(C257&gt;=PR_AgeCrAge,AG257&gt;=PR_AgeCrAge),IF(AZ257&lt;=PR_AgeExM,0,MIN(BE257,PR_AgeMarg*(AZ257-PR_AgeExM))),BE257)</f>
        <v>0</v>
      </c>
      <c r="BG257" s="1" t="n">
        <f aca="false">MAX(0,PR_r1*MIN(AS257,IF(F_Spccc=1,PR_BandSPCCC,PR_Band))+PR_r2*MAX(0,AS257-IF(F_Spccc=1,PR_BandSPCCC,PR_Band))-(PR_Personal+AU257+AW257+IF(F_Spccc=1,PR_SPCCC,0)+IF(AY257=1,PR_Rent,0)))</f>
        <v>0</v>
      </c>
      <c r="BH257" s="1" t="n">
        <f aca="false">IF(C257&gt;=PR_AgeCrAge,IF(AS257&lt;=PR_AgeEx,0,MIN(BG257,PR_AgeMarg*(AS257-PR_AgeEx))),BG257)</f>
        <v>0</v>
      </c>
      <c r="BI257" s="1" t="n">
        <f aca="false">IF(F_Partner=1,MAX(0,PR_r1*MIN(AT257,PR_Band)+PR_r2*MAX(0,AT257-PR_Band)-(PR_Personal+AV257+AX257+IF(AND(AY257=1,AT257&gt;0),PR_Rent,0))),0)</f>
        <v>0</v>
      </c>
      <c r="BJ257" s="1" t="n">
        <f aca="false">IF(AG257&gt;=PR_AgeCrAge,IF(AT257&lt;=PR_AgeEx,0,MIN(BI257,PR_AgeMarg*(AT257-PR_AgeEx))),BI257)</f>
        <v>0</v>
      </c>
      <c r="BK257" s="1" t="n">
        <f aca="false">IF(F_Partner=1,IF(F_Married=1,BF257,BH257+BJ257),BH257)</f>
        <v>0</v>
      </c>
      <c r="BL257" s="1" t="n">
        <f aca="false">AL257+AN257+AO257</f>
        <v>0</v>
      </c>
      <c r="BM257" s="1" t="n">
        <f aca="false">IF(BL257&lt;=PR_USCex,0,IF(IF(AND(C257&gt;=PR_USCredAge,BL257&lt;=PR_USCredMax),1,0)=1,PR_USCr1*MIN(BL257,PR_USCredB1)+PR_USCredR2*MAX(0,BL257-PR_USCredB1),PR_USCr1*MIN(BL257,PR_USCb1)+PR_USCr2*MAX(0,MIN(BL257,PR_USCb2)-PR_USCb1)+PR_USCr3*MAX(0,MIN(BL257,PR_USCb3)-PR_USCb2)+PR_USCr4*MAX(0,BL257-PR_USCb3)))+IF(F_SelfEmp=1,PR_USCse*MAX(0,AL257-PR_USCseOver),0)</f>
        <v>0</v>
      </c>
      <c r="BN257" s="1" t="n">
        <f aca="false">AQ257</f>
        <v>0</v>
      </c>
      <c r="BO257" s="1" t="n">
        <f aca="false">IF(F_Partner=1,IF(BN257&lt;=PR_USCex,0,IF(IF(AND(AG257&gt;=PR_USCredAge,BN257&lt;=PR_USCredMax),1,0)=1,PR_USCr1*MIN(BN257,PR_USCredB1)+PR_USCredR2*MAX(0,BN257-PR_USCredB1),PR_USCr1*MIN(BN257,PR_USCb1)+PR_USCr2*MAX(0,MIN(BN257,PR_USCb2)-PR_USCb1)+PR_USCr3*MAX(0,MIN(BN257,PR_USCb3)-PR_USCb2)+PR_USCr4*MAX(0,BN257-PR_USCb3))),0)</f>
        <v>0</v>
      </c>
      <c r="BP257" s="1" t="n">
        <f aca="false">IF(C257&lt;PR_PRSIend,IF(F_SelfEmp=1,IF(AL257&gt;PR_PRSIsMinInc,MAX(PR_PRSIsMin,AL257*J257),0),IF(AL257/52&lt;=PR_PRSIfree,0,MAX(0,(AL257/52*J257-IF(AL257/52&lt;=PR_PRSIcreditTo,MAX(0,PR_PRSIcreditMax-(AL257/52-(PR_PRSIfree+0.01))/PR_PRSItaper),0))*52)))+J257*AN257+IF(AO257&gt;PR_PRSIunearned,J257*AO257,0),0)</f>
        <v>0</v>
      </c>
      <c r="BQ257" s="1" t="n">
        <f aca="false">IF(AND(F_Partner=1,AG257&lt;PR_PRSIend),IF(AQ257/52&lt;=PR_PRSIfree,0,MAX(0,(AQ257/52*J257-IF(AQ257/52&lt;=PR_PRSIcreditTo,MAX(0,PR_PRSIcreditMax-(AQ257/52-(PR_PRSIfree+0.01))/PR_PRSItaper),0))*52)),0)</f>
        <v>0</v>
      </c>
      <c r="BR257" s="1" t="n">
        <f aca="false">BK257+BM257+BO257+BP257+BQ257</f>
        <v>0</v>
      </c>
      <c r="BS257" s="1" t="n">
        <f aca="false">BR257*H257</f>
        <v>0</v>
      </c>
      <c r="BT257" s="1" t="n">
        <f aca="false">K257+AK257+AC257+AF257+AH257+AI257</f>
        <v>0</v>
      </c>
    </row>
    <row r="258" customFormat="false" ht="15" hidden="false" customHeight="false" outlineLevel="0" collapsed="false">
      <c r="B258" s="1" t="n">
        <v>48</v>
      </c>
      <c r="C258" s="1" t="n">
        <f aca="false">F_Age+B258</f>
        <v>48</v>
      </c>
      <c r="D258" s="1" t="n">
        <f aca="false">AS_Year0+B258</f>
        <v>2075</v>
      </c>
      <c r="E258" s="106" t="n">
        <f aca="false">(1+AS_Infl)^B258</f>
        <v>2.58707038549943</v>
      </c>
      <c r="F258" s="106" t="n">
        <f aca="false">(1+AS_Wage)^B258</f>
        <v>4.13225187926015</v>
      </c>
      <c r="G258" s="1" t="n">
        <f aca="false">IF(C258&lt;F_R,1,0)</f>
        <v>0</v>
      </c>
      <c r="H258" s="106" t="n">
        <f aca="false">IF(AS_Bands="flat",1,E258)</f>
        <v>2.58707038549943</v>
      </c>
      <c r="I258" s="106" t="n">
        <f aca="false">IF(AS_SpGrow="pay",F258,IF(AS_SpGrow="flat",1,E258))</f>
        <v>2.58707038549943</v>
      </c>
      <c r="J258" s="106" t="n">
        <f aca="false">(12*PR_PRSIr0+(PR_PRSIr1-PR_PRSIr0)*MAX(0,MIN(12,D258*12+12-PR_PRSIt1))+(PR_PRSIr2-PR_PRSIr1)*MAX(0,MIN(12,D258*12+12-PR_PRSIt2))+(PR_PRSIr3-PR_PRSIr2)*MAX(0,MIN(12,D258*12+12-PR_PRSIt3)))/12</f>
        <v>0.047</v>
      </c>
      <c r="K258" s="1" t="n">
        <f aca="false">IF(G258=1,F_Income*F258,0)</f>
        <v>0</v>
      </c>
      <c r="L258" s="1" t="n">
        <f aca="false">IF(G258=1,(F_Own+In_penExtra)*12*F258,0)</f>
        <v>0</v>
      </c>
      <c r="M258" s="1" t="n">
        <f aca="false">IF(G258=1,(F_PenM+In_penExtra)*12*F258,0)</f>
        <v>0</v>
      </c>
      <c r="N258" s="107" t="n">
        <f aca="false">IF(C258&lt;PR_RelA1,PR_RelP1,IF(C258&lt;PR_RelA2,PR_RelP2,IF(C258&lt;PR_RelA3,PR_RelP3,IF(C258&lt;PR_RelA4,PR_RelP4,IF(C258&lt;PR_RelA5,PR_RelP5,PR_RelP6)))))</f>
        <v>0.25</v>
      </c>
      <c r="O258" s="1" t="n">
        <f aca="false">IF(G258=1,MIN(L258/H258,N258*MIN(K258/H258,PR_EarnCap))*H258,0)</f>
        <v>0</v>
      </c>
      <c r="P258" s="1" t="n">
        <f aca="false">IF(AND(G258=1,F_AE=1),MIN(K258/H258,PR_AEcap)*H258,0)</f>
        <v>0</v>
      </c>
      <c r="Q258" s="1" t="n">
        <f aca="false">IF(G258=1,IF(WI_Retire=1,MAX(0,M258+WI_M*12),M258)+(PR_AEee+PR_AEer+PR_AEst)*P258,0)</f>
        <v>0</v>
      </c>
      <c r="R258" s="1" t="n">
        <f aca="false">L258+PR_AEee*P258</f>
        <v>0</v>
      </c>
      <c r="S258" s="1" t="n">
        <f aca="false">AD257</f>
        <v>0</v>
      </c>
      <c r="T258" s="1" t="n">
        <f aca="false">IF(D258&lt;=2026,PR_SFT2026,IF(D258=2027,PR_SFT2027,IF(D258=2028,PR_SFT2028,IF(D258=2029,PR_SFT2029,PR_SFT2029*(1+AS_Infl)^(D258-2029)))))</f>
        <v>6962511.61034064</v>
      </c>
      <c r="U258" s="1" t="n">
        <f aca="false">IF(AND(G258=0,C258=F_V),1,0)</f>
        <v>0</v>
      </c>
      <c r="V258" s="1" t="n">
        <f aca="false">IF(U258=1,PR_SFTrate*MAX(0,S258-T258),0)</f>
        <v>0</v>
      </c>
      <c r="W258" s="1" t="n">
        <f aca="false">S258-V258</f>
        <v>0</v>
      </c>
      <c r="X258" s="1" t="n">
        <f aca="false">IF(AND(U258=1,AS_LumpPct&gt;0),W258*MIN(AS_LumpPct,PR_LSmax),0)</f>
        <v>0</v>
      </c>
      <c r="Y258" s="1" t="n">
        <f aca="false">X258-(PR_LSrate*MAX(0,MIN(X258,PR_LScap)-PR_LSfree)+PR_r2*MAX(0,X258-PR_LScap))</f>
        <v>0</v>
      </c>
      <c r="Z258" s="1" t="n">
        <f aca="false">W258-X258</f>
        <v>0</v>
      </c>
      <c r="AA258" s="107" t="n">
        <f aca="false">IF(C258&gt;=61,IF(Z258&gt;PR_ARFbig,PR_ARFbigRate,IF(C258&gt;=71,PR_ARF71,PR_ARF61)),0)</f>
        <v>0</v>
      </c>
      <c r="AB258" s="1" t="n">
        <f aca="false">IF(AS_DrawRule="min",Z258*AA258,IF(AS_DrawRule="fixed",MAX(AS_DrawFixed*E258,Z258*AA258),Z258*MAX(1/MAX(1,AS_End-C258+1),AA258)))</f>
        <v>0</v>
      </c>
      <c r="AC258" s="1" t="n">
        <f aca="false">IF(AND(G258=0,C258&gt;=F_V),MIN(Z258,AB258),0)</f>
        <v>0</v>
      </c>
      <c r="AD258" s="1" t="n">
        <f aca="false">IF(G258=1,S258*(1+F_PenG)+Q258,IF(C258&lt;F_V,S258*(1+F_PenG),(Z258-AC258)*(1+AS_PenRet)))</f>
        <v>0</v>
      </c>
      <c r="AE258" s="1" t="n">
        <f aca="false">IF(C258&gt;=PR_SPage,AS_SP*F_SpF*I258+IF(C258&gt;=80,PR_Over80*PR_Weeks*I258,0),0)</f>
        <v>0</v>
      </c>
      <c r="AF258" s="1" t="n">
        <f aca="false">(F_OtherM+F_RentM)*12*E258</f>
        <v>0</v>
      </c>
      <c r="AG258" s="1" t="n">
        <f aca="false">F_PAge+B258</f>
        <v>48</v>
      </c>
      <c r="AH258" s="1" t="n">
        <f aca="false">IF(AND(F_Partner=1,F_PAge&gt;0,AG258&lt;IF(F_PRet&gt;0,F_PRet,66)),F_PIncome*F258,0)</f>
        <v>0</v>
      </c>
      <c r="AI258" s="1" t="n">
        <f aca="false">IF(AND(F_Partner=1,AG258&gt;=66,F_PSpQA=0),AS_SP*F_PSpF*I258,0)</f>
        <v>0</v>
      </c>
      <c r="AJ258" s="1" t="n">
        <f aca="false">IF(AND(F_Partner=1,F_PSpQA=1,C258&gt;=PR_SPage,AH258=0),IF(AG258&gt;=66,PR_QA66,PR_QAunder)*PR_Weeks*I258,0)</f>
        <v>0</v>
      </c>
      <c r="AK258" s="1" t="n">
        <f aca="false">AE258+AJ258</f>
        <v>0</v>
      </c>
      <c r="AL258" s="1" t="n">
        <f aca="false">K258/H258</f>
        <v>0</v>
      </c>
      <c r="AM258" s="1" t="n">
        <f aca="false">AK258/H258</f>
        <v>0</v>
      </c>
      <c r="AN258" s="1" t="n">
        <f aca="false">AC258/H258</f>
        <v>0</v>
      </c>
      <c r="AO258" s="1" t="n">
        <f aca="false">AF258/H258</f>
        <v>0</v>
      </c>
      <c r="AP258" s="1" t="n">
        <f aca="false">O258/H258</f>
        <v>0</v>
      </c>
      <c r="AQ258" s="1" t="n">
        <f aca="false">AH258/H258</f>
        <v>0</v>
      </c>
      <c r="AR258" s="1" t="n">
        <f aca="false">AI258/H258</f>
        <v>0</v>
      </c>
      <c r="AS258" s="1" t="n">
        <f aca="false">MAX(0,AL258+AN258+AO258+AM258-AP258)</f>
        <v>0</v>
      </c>
      <c r="AT258" s="1" t="n">
        <f aca="false">MAX(0,AQ258+AR258)</f>
        <v>0</v>
      </c>
      <c r="AU258" s="1" t="n">
        <f aca="false">MIN(PR_PAYE,PR_PAYEcap*(AL258+AN258+AM258))</f>
        <v>0</v>
      </c>
      <c r="AV258" s="1" t="n">
        <f aca="false">MIN(PR_PAYE,PR_PAYEcap*(AQ258+AR258))</f>
        <v>0</v>
      </c>
      <c r="AW258" s="1" t="n">
        <f aca="false">IF(C258&gt;=PR_AgeCrAge,PR_AgeCr,0)</f>
        <v>0</v>
      </c>
      <c r="AX258" s="1" t="n">
        <f aca="false">IF(AG258&gt;=PR_AgeCrAge,PR_AgeCr,0)</f>
        <v>0</v>
      </c>
      <c r="AY258" s="1" t="n">
        <f aca="false">IF(AND(F_RentCred=1,D258&lt;=PR_RentLast),1,0)</f>
        <v>0</v>
      </c>
      <c r="AZ258" s="1" t="n">
        <f aca="false">AS258+AT258</f>
        <v>0</v>
      </c>
      <c r="BA258" s="1" t="n">
        <f aca="false">PR_PersonalM+AU258+AV258+AW258+AX258+IF(AY258=1,PR_RentJoint,0)</f>
        <v>4000</v>
      </c>
      <c r="BB258" s="1" t="n">
        <f aca="false">PR_BandM+MIN(MIN(AS258,AT258),PR_Uplift)</f>
        <v>53000</v>
      </c>
      <c r="BC258" s="1" t="n">
        <f aca="false">MAX(0,PR_r1*MIN(AZ258,BB258)+PR_r2*MAX(0,AZ258-BB258)-BA258)</f>
        <v>0</v>
      </c>
      <c r="BD258" s="1" t="n">
        <f aca="false">MAX(0,PR_HomeCarer-MAX(0,MIN(AS258,AT258)-PR_HCLimit)/2)</f>
        <v>1950</v>
      </c>
      <c r="BE258" s="1" t="n">
        <f aca="false">IF(F_Carer=1,MIN(BC258,MAX(0,PR_r1*MIN(AZ258,PR_BandM)+PR_r2*MAX(0,AZ258-PR_BandM)-BA258-BD258)),BC258)</f>
        <v>0</v>
      </c>
      <c r="BF258" s="1" t="n">
        <f aca="false">IF(OR(C258&gt;=PR_AgeCrAge,AG258&gt;=PR_AgeCrAge),IF(AZ258&lt;=PR_AgeExM,0,MIN(BE258,PR_AgeMarg*(AZ258-PR_AgeExM))),BE258)</f>
        <v>0</v>
      </c>
      <c r="BG258" s="1" t="n">
        <f aca="false">MAX(0,PR_r1*MIN(AS258,IF(F_Spccc=1,PR_BandSPCCC,PR_Band))+PR_r2*MAX(0,AS258-IF(F_Spccc=1,PR_BandSPCCC,PR_Band))-(PR_Personal+AU258+AW258+IF(F_Spccc=1,PR_SPCCC,0)+IF(AY258=1,PR_Rent,0)))</f>
        <v>0</v>
      </c>
      <c r="BH258" s="1" t="n">
        <f aca="false">IF(C258&gt;=PR_AgeCrAge,IF(AS258&lt;=PR_AgeEx,0,MIN(BG258,PR_AgeMarg*(AS258-PR_AgeEx))),BG258)</f>
        <v>0</v>
      </c>
      <c r="BI258" s="1" t="n">
        <f aca="false">IF(F_Partner=1,MAX(0,PR_r1*MIN(AT258,PR_Band)+PR_r2*MAX(0,AT258-PR_Band)-(PR_Personal+AV258+AX258+IF(AND(AY258=1,AT258&gt;0),PR_Rent,0))),0)</f>
        <v>0</v>
      </c>
      <c r="BJ258" s="1" t="n">
        <f aca="false">IF(AG258&gt;=PR_AgeCrAge,IF(AT258&lt;=PR_AgeEx,0,MIN(BI258,PR_AgeMarg*(AT258-PR_AgeEx))),BI258)</f>
        <v>0</v>
      </c>
      <c r="BK258" s="1" t="n">
        <f aca="false">IF(F_Partner=1,IF(F_Married=1,BF258,BH258+BJ258),BH258)</f>
        <v>0</v>
      </c>
      <c r="BL258" s="1" t="n">
        <f aca="false">AL258+AN258+AO258</f>
        <v>0</v>
      </c>
      <c r="BM258" s="1" t="n">
        <f aca="false">IF(BL258&lt;=PR_USCex,0,IF(IF(AND(C258&gt;=PR_USCredAge,BL258&lt;=PR_USCredMax),1,0)=1,PR_USCr1*MIN(BL258,PR_USCredB1)+PR_USCredR2*MAX(0,BL258-PR_USCredB1),PR_USCr1*MIN(BL258,PR_USCb1)+PR_USCr2*MAX(0,MIN(BL258,PR_USCb2)-PR_USCb1)+PR_USCr3*MAX(0,MIN(BL258,PR_USCb3)-PR_USCb2)+PR_USCr4*MAX(0,BL258-PR_USCb3)))+IF(F_SelfEmp=1,PR_USCse*MAX(0,AL258-PR_USCseOver),0)</f>
        <v>0</v>
      </c>
      <c r="BN258" s="1" t="n">
        <f aca="false">AQ258</f>
        <v>0</v>
      </c>
      <c r="BO258" s="1" t="n">
        <f aca="false">IF(F_Partner=1,IF(BN258&lt;=PR_USCex,0,IF(IF(AND(AG258&gt;=PR_USCredAge,BN258&lt;=PR_USCredMax),1,0)=1,PR_USCr1*MIN(BN258,PR_USCredB1)+PR_USCredR2*MAX(0,BN258-PR_USCredB1),PR_USCr1*MIN(BN258,PR_USCb1)+PR_USCr2*MAX(0,MIN(BN258,PR_USCb2)-PR_USCb1)+PR_USCr3*MAX(0,MIN(BN258,PR_USCb3)-PR_USCb2)+PR_USCr4*MAX(0,BN258-PR_USCb3))),0)</f>
        <v>0</v>
      </c>
      <c r="BP258" s="1" t="n">
        <f aca="false">IF(C258&lt;PR_PRSIend,IF(F_SelfEmp=1,IF(AL258&gt;PR_PRSIsMinInc,MAX(PR_PRSIsMin,AL258*J258),0),IF(AL258/52&lt;=PR_PRSIfree,0,MAX(0,(AL258/52*J258-IF(AL258/52&lt;=PR_PRSIcreditTo,MAX(0,PR_PRSIcreditMax-(AL258/52-(PR_PRSIfree+0.01))/PR_PRSItaper),0))*52)))+J258*AN258+IF(AO258&gt;PR_PRSIunearned,J258*AO258,0),0)</f>
        <v>0</v>
      </c>
      <c r="BQ258" s="1" t="n">
        <f aca="false">IF(AND(F_Partner=1,AG258&lt;PR_PRSIend),IF(AQ258/52&lt;=PR_PRSIfree,0,MAX(0,(AQ258/52*J258-IF(AQ258/52&lt;=PR_PRSIcreditTo,MAX(0,PR_PRSIcreditMax-(AQ258/52-(PR_PRSIfree+0.01))/PR_PRSItaper),0))*52)),0)</f>
        <v>0</v>
      </c>
      <c r="BR258" s="1" t="n">
        <f aca="false">BK258+BM258+BO258+BP258+BQ258</f>
        <v>0</v>
      </c>
      <c r="BS258" s="1" t="n">
        <f aca="false">BR258*H258</f>
        <v>0</v>
      </c>
      <c r="BT258" s="1" t="n">
        <f aca="false">K258+AK258+AC258+AF258+AH258+AI258</f>
        <v>0</v>
      </c>
    </row>
    <row r="259" customFormat="false" ht="15" hidden="false" customHeight="false" outlineLevel="0" collapsed="false">
      <c r="B259" s="1" t="n">
        <v>49</v>
      </c>
      <c r="C259" s="1" t="n">
        <f aca="false">F_Age+B259</f>
        <v>49</v>
      </c>
      <c r="D259" s="1" t="n">
        <f aca="false">AS_Year0+B259</f>
        <v>2076</v>
      </c>
      <c r="E259" s="106" t="n">
        <f aca="false">(1+AS_Infl)^B259</f>
        <v>2.63881179320942</v>
      </c>
      <c r="F259" s="106" t="n">
        <f aca="false">(1+AS_Wage)^B259</f>
        <v>4.25621943563796</v>
      </c>
      <c r="G259" s="1" t="n">
        <f aca="false">IF(C259&lt;F_R,1,0)</f>
        <v>0</v>
      </c>
      <c r="H259" s="106" t="n">
        <f aca="false">IF(AS_Bands="flat",1,E259)</f>
        <v>2.63881179320942</v>
      </c>
      <c r="I259" s="106" t="n">
        <f aca="false">IF(AS_SpGrow="pay",F259,IF(AS_SpGrow="flat",1,E259))</f>
        <v>2.63881179320942</v>
      </c>
      <c r="J259" s="106" t="n">
        <f aca="false">(12*PR_PRSIr0+(PR_PRSIr1-PR_PRSIr0)*MAX(0,MIN(12,D259*12+12-PR_PRSIt1))+(PR_PRSIr2-PR_PRSIr1)*MAX(0,MIN(12,D259*12+12-PR_PRSIt2))+(PR_PRSIr3-PR_PRSIr2)*MAX(0,MIN(12,D259*12+12-PR_PRSIt3)))/12</f>
        <v>0.047</v>
      </c>
      <c r="K259" s="1" t="n">
        <f aca="false">IF(G259=1,F_Income*F259,0)</f>
        <v>0</v>
      </c>
      <c r="L259" s="1" t="n">
        <f aca="false">IF(G259=1,(F_Own+In_penExtra)*12*F259,0)</f>
        <v>0</v>
      </c>
      <c r="M259" s="1" t="n">
        <f aca="false">IF(G259=1,(F_PenM+In_penExtra)*12*F259,0)</f>
        <v>0</v>
      </c>
      <c r="N259" s="107" t="n">
        <f aca="false">IF(C259&lt;PR_RelA1,PR_RelP1,IF(C259&lt;PR_RelA2,PR_RelP2,IF(C259&lt;PR_RelA3,PR_RelP3,IF(C259&lt;PR_RelA4,PR_RelP4,IF(C259&lt;PR_RelA5,PR_RelP5,PR_RelP6)))))</f>
        <v>0.25</v>
      </c>
      <c r="O259" s="1" t="n">
        <f aca="false">IF(G259=1,MIN(L259/H259,N259*MIN(K259/H259,PR_EarnCap))*H259,0)</f>
        <v>0</v>
      </c>
      <c r="P259" s="1" t="n">
        <f aca="false">IF(AND(G259=1,F_AE=1),MIN(K259/H259,PR_AEcap)*H259,0)</f>
        <v>0</v>
      </c>
      <c r="Q259" s="1" t="n">
        <f aca="false">IF(G259=1,IF(WI_Retire=1,MAX(0,M259+WI_M*12),M259)+(PR_AEee+PR_AEer+PR_AEst)*P259,0)</f>
        <v>0</v>
      </c>
      <c r="R259" s="1" t="n">
        <f aca="false">L259+PR_AEee*P259</f>
        <v>0</v>
      </c>
      <c r="S259" s="1" t="n">
        <f aca="false">AD258</f>
        <v>0</v>
      </c>
      <c r="T259" s="1" t="n">
        <f aca="false">IF(D259&lt;=2026,PR_SFT2026,IF(D259=2027,PR_SFT2027,IF(D259=2028,PR_SFT2028,IF(D259=2029,PR_SFT2029,PR_SFT2029*(1+AS_Infl)^(D259-2029)))))</f>
        <v>7101761.84254746</v>
      </c>
      <c r="U259" s="1" t="n">
        <f aca="false">IF(AND(G259=0,C259=F_V),1,0)</f>
        <v>0</v>
      </c>
      <c r="V259" s="1" t="n">
        <f aca="false">IF(U259=1,PR_SFTrate*MAX(0,S259-T259),0)</f>
        <v>0</v>
      </c>
      <c r="W259" s="1" t="n">
        <f aca="false">S259-V259</f>
        <v>0</v>
      </c>
      <c r="X259" s="1" t="n">
        <f aca="false">IF(AND(U259=1,AS_LumpPct&gt;0),W259*MIN(AS_LumpPct,PR_LSmax),0)</f>
        <v>0</v>
      </c>
      <c r="Y259" s="1" t="n">
        <f aca="false">X259-(PR_LSrate*MAX(0,MIN(X259,PR_LScap)-PR_LSfree)+PR_r2*MAX(0,X259-PR_LScap))</f>
        <v>0</v>
      </c>
      <c r="Z259" s="1" t="n">
        <f aca="false">W259-X259</f>
        <v>0</v>
      </c>
      <c r="AA259" s="107" t="n">
        <f aca="false">IF(C259&gt;=61,IF(Z259&gt;PR_ARFbig,PR_ARFbigRate,IF(C259&gt;=71,PR_ARF71,PR_ARF61)),0)</f>
        <v>0</v>
      </c>
      <c r="AB259" s="1" t="n">
        <f aca="false">IF(AS_DrawRule="min",Z259*AA259,IF(AS_DrawRule="fixed",MAX(AS_DrawFixed*E259,Z259*AA259),Z259*MAX(1/MAX(1,AS_End-C259+1),AA259)))</f>
        <v>0</v>
      </c>
      <c r="AC259" s="1" t="n">
        <f aca="false">IF(AND(G259=0,C259&gt;=F_V),MIN(Z259,AB259),0)</f>
        <v>0</v>
      </c>
      <c r="AD259" s="1" t="n">
        <f aca="false">IF(G259=1,S259*(1+F_PenG)+Q259,IF(C259&lt;F_V,S259*(1+F_PenG),(Z259-AC259)*(1+AS_PenRet)))</f>
        <v>0</v>
      </c>
      <c r="AE259" s="1" t="n">
        <f aca="false">IF(C259&gt;=PR_SPage,AS_SP*F_SpF*I259+IF(C259&gt;=80,PR_Over80*PR_Weeks*I259,0),0)</f>
        <v>0</v>
      </c>
      <c r="AF259" s="1" t="n">
        <f aca="false">(F_OtherM+F_RentM)*12*E259</f>
        <v>0</v>
      </c>
      <c r="AG259" s="1" t="n">
        <f aca="false">F_PAge+B259</f>
        <v>49</v>
      </c>
      <c r="AH259" s="1" t="n">
        <f aca="false">IF(AND(F_Partner=1,F_PAge&gt;0,AG259&lt;IF(F_PRet&gt;0,F_PRet,66)),F_PIncome*F259,0)</f>
        <v>0</v>
      </c>
      <c r="AI259" s="1" t="n">
        <f aca="false">IF(AND(F_Partner=1,AG259&gt;=66,F_PSpQA=0),AS_SP*F_PSpF*I259,0)</f>
        <v>0</v>
      </c>
      <c r="AJ259" s="1" t="n">
        <f aca="false">IF(AND(F_Partner=1,F_PSpQA=1,C259&gt;=PR_SPage,AH259=0),IF(AG259&gt;=66,PR_QA66,PR_QAunder)*PR_Weeks*I259,0)</f>
        <v>0</v>
      </c>
      <c r="AK259" s="1" t="n">
        <f aca="false">AE259+AJ259</f>
        <v>0</v>
      </c>
      <c r="AL259" s="1" t="n">
        <f aca="false">K259/H259</f>
        <v>0</v>
      </c>
      <c r="AM259" s="1" t="n">
        <f aca="false">AK259/H259</f>
        <v>0</v>
      </c>
      <c r="AN259" s="1" t="n">
        <f aca="false">AC259/H259</f>
        <v>0</v>
      </c>
      <c r="AO259" s="1" t="n">
        <f aca="false">AF259/H259</f>
        <v>0</v>
      </c>
      <c r="AP259" s="1" t="n">
        <f aca="false">O259/H259</f>
        <v>0</v>
      </c>
      <c r="AQ259" s="1" t="n">
        <f aca="false">AH259/H259</f>
        <v>0</v>
      </c>
      <c r="AR259" s="1" t="n">
        <f aca="false">AI259/H259</f>
        <v>0</v>
      </c>
      <c r="AS259" s="1" t="n">
        <f aca="false">MAX(0,AL259+AN259+AO259+AM259-AP259)</f>
        <v>0</v>
      </c>
      <c r="AT259" s="1" t="n">
        <f aca="false">MAX(0,AQ259+AR259)</f>
        <v>0</v>
      </c>
      <c r="AU259" s="1" t="n">
        <f aca="false">MIN(PR_PAYE,PR_PAYEcap*(AL259+AN259+AM259))</f>
        <v>0</v>
      </c>
      <c r="AV259" s="1" t="n">
        <f aca="false">MIN(PR_PAYE,PR_PAYEcap*(AQ259+AR259))</f>
        <v>0</v>
      </c>
      <c r="AW259" s="1" t="n">
        <f aca="false">IF(C259&gt;=PR_AgeCrAge,PR_AgeCr,0)</f>
        <v>0</v>
      </c>
      <c r="AX259" s="1" t="n">
        <f aca="false">IF(AG259&gt;=PR_AgeCrAge,PR_AgeCr,0)</f>
        <v>0</v>
      </c>
      <c r="AY259" s="1" t="n">
        <f aca="false">IF(AND(F_RentCred=1,D259&lt;=PR_RentLast),1,0)</f>
        <v>0</v>
      </c>
      <c r="AZ259" s="1" t="n">
        <f aca="false">AS259+AT259</f>
        <v>0</v>
      </c>
      <c r="BA259" s="1" t="n">
        <f aca="false">PR_PersonalM+AU259+AV259+AW259+AX259+IF(AY259=1,PR_RentJoint,0)</f>
        <v>4000</v>
      </c>
      <c r="BB259" s="1" t="n">
        <f aca="false">PR_BandM+MIN(MIN(AS259,AT259),PR_Uplift)</f>
        <v>53000</v>
      </c>
      <c r="BC259" s="1" t="n">
        <f aca="false">MAX(0,PR_r1*MIN(AZ259,BB259)+PR_r2*MAX(0,AZ259-BB259)-BA259)</f>
        <v>0</v>
      </c>
      <c r="BD259" s="1" t="n">
        <f aca="false">MAX(0,PR_HomeCarer-MAX(0,MIN(AS259,AT259)-PR_HCLimit)/2)</f>
        <v>1950</v>
      </c>
      <c r="BE259" s="1" t="n">
        <f aca="false">IF(F_Carer=1,MIN(BC259,MAX(0,PR_r1*MIN(AZ259,PR_BandM)+PR_r2*MAX(0,AZ259-PR_BandM)-BA259-BD259)),BC259)</f>
        <v>0</v>
      </c>
      <c r="BF259" s="1" t="n">
        <f aca="false">IF(OR(C259&gt;=PR_AgeCrAge,AG259&gt;=PR_AgeCrAge),IF(AZ259&lt;=PR_AgeExM,0,MIN(BE259,PR_AgeMarg*(AZ259-PR_AgeExM))),BE259)</f>
        <v>0</v>
      </c>
      <c r="BG259" s="1" t="n">
        <f aca="false">MAX(0,PR_r1*MIN(AS259,IF(F_Spccc=1,PR_BandSPCCC,PR_Band))+PR_r2*MAX(0,AS259-IF(F_Spccc=1,PR_BandSPCCC,PR_Band))-(PR_Personal+AU259+AW259+IF(F_Spccc=1,PR_SPCCC,0)+IF(AY259=1,PR_Rent,0)))</f>
        <v>0</v>
      </c>
      <c r="BH259" s="1" t="n">
        <f aca="false">IF(C259&gt;=PR_AgeCrAge,IF(AS259&lt;=PR_AgeEx,0,MIN(BG259,PR_AgeMarg*(AS259-PR_AgeEx))),BG259)</f>
        <v>0</v>
      </c>
      <c r="BI259" s="1" t="n">
        <f aca="false">IF(F_Partner=1,MAX(0,PR_r1*MIN(AT259,PR_Band)+PR_r2*MAX(0,AT259-PR_Band)-(PR_Personal+AV259+AX259+IF(AND(AY259=1,AT259&gt;0),PR_Rent,0))),0)</f>
        <v>0</v>
      </c>
      <c r="BJ259" s="1" t="n">
        <f aca="false">IF(AG259&gt;=PR_AgeCrAge,IF(AT259&lt;=PR_AgeEx,0,MIN(BI259,PR_AgeMarg*(AT259-PR_AgeEx))),BI259)</f>
        <v>0</v>
      </c>
      <c r="BK259" s="1" t="n">
        <f aca="false">IF(F_Partner=1,IF(F_Married=1,BF259,BH259+BJ259),BH259)</f>
        <v>0</v>
      </c>
      <c r="BL259" s="1" t="n">
        <f aca="false">AL259+AN259+AO259</f>
        <v>0</v>
      </c>
      <c r="BM259" s="1" t="n">
        <f aca="false">IF(BL259&lt;=PR_USCex,0,IF(IF(AND(C259&gt;=PR_USCredAge,BL259&lt;=PR_USCredMax),1,0)=1,PR_USCr1*MIN(BL259,PR_USCredB1)+PR_USCredR2*MAX(0,BL259-PR_USCredB1),PR_USCr1*MIN(BL259,PR_USCb1)+PR_USCr2*MAX(0,MIN(BL259,PR_USCb2)-PR_USCb1)+PR_USCr3*MAX(0,MIN(BL259,PR_USCb3)-PR_USCb2)+PR_USCr4*MAX(0,BL259-PR_USCb3)))+IF(F_SelfEmp=1,PR_USCse*MAX(0,AL259-PR_USCseOver),0)</f>
        <v>0</v>
      </c>
      <c r="BN259" s="1" t="n">
        <f aca="false">AQ259</f>
        <v>0</v>
      </c>
      <c r="BO259" s="1" t="n">
        <f aca="false">IF(F_Partner=1,IF(BN259&lt;=PR_USCex,0,IF(IF(AND(AG259&gt;=PR_USCredAge,BN259&lt;=PR_USCredMax),1,0)=1,PR_USCr1*MIN(BN259,PR_USCredB1)+PR_USCredR2*MAX(0,BN259-PR_USCredB1),PR_USCr1*MIN(BN259,PR_USCb1)+PR_USCr2*MAX(0,MIN(BN259,PR_USCb2)-PR_USCb1)+PR_USCr3*MAX(0,MIN(BN259,PR_USCb3)-PR_USCb2)+PR_USCr4*MAX(0,BN259-PR_USCb3))),0)</f>
        <v>0</v>
      </c>
      <c r="BP259" s="1" t="n">
        <f aca="false">IF(C259&lt;PR_PRSIend,IF(F_SelfEmp=1,IF(AL259&gt;PR_PRSIsMinInc,MAX(PR_PRSIsMin,AL259*J259),0),IF(AL259/52&lt;=PR_PRSIfree,0,MAX(0,(AL259/52*J259-IF(AL259/52&lt;=PR_PRSIcreditTo,MAX(0,PR_PRSIcreditMax-(AL259/52-(PR_PRSIfree+0.01))/PR_PRSItaper),0))*52)))+J259*AN259+IF(AO259&gt;PR_PRSIunearned,J259*AO259,0),0)</f>
        <v>0</v>
      </c>
      <c r="BQ259" s="1" t="n">
        <f aca="false">IF(AND(F_Partner=1,AG259&lt;PR_PRSIend),IF(AQ259/52&lt;=PR_PRSIfree,0,MAX(0,(AQ259/52*J259-IF(AQ259/52&lt;=PR_PRSIcreditTo,MAX(0,PR_PRSIcreditMax-(AQ259/52-(PR_PRSIfree+0.01))/PR_PRSItaper),0))*52)),0)</f>
        <v>0</v>
      </c>
      <c r="BR259" s="1" t="n">
        <f aca="false">BK259+BM259+BO259+BP259+BQ259</f>
        <v>0</v>
      </c>
      <c r="BS259" s="1" t="n">
        <f aca="false">BR259*H259</f>
        <v>0</v>
      </c>
      <c r="BT259" s="1" t="n">
        <f aca="false">K259+AK259+AC259+AF259+AH259+AI259</f>
        <v>0</v>
      </c>
    </row>
    <row r="260" customFormat="false" ht="15" hidden="false" customHeight="false" outlineLevel="0" collapsed="false">
      <c r="B260" s="1" t="n">
        <v>50</v>
      </c>
      <c r="C260" s="1" t="n">
        <f aca="false">F_Age+B260</f>
        <v>50</v>
      </c>
      <c r="D260" s="1" t="n">
        <f aca="false">AS_Year0+B260</f>
        <v>2077</v>
      </c>
      <c r="E260" s="106" t="n">
        <f aca="false">(1+AS_Infl)^B260</f>
        <v>2.69158802907361</v>
      </c>
      <c r="F260" s="106" t="n">
        <f aca="false">(1+AS_Wage)^B260</f>
        <v>4.3839060187071</v>
      </c>
      <c r="G260" s="1" t="n">
        <f aca="false">IF(C260&lt;F_R,1,0)</f>
        <v>0</v>
      </c>
      <c r="H260" s="106" t="n">
        <f aca="false">IF(AS_Bands="flat",1,E260)</f>
        <v>2.69158802907361</v>
      </c>
      <c r="I260" s="106" t="n">
        <f aca="false">IF(AS_SpGrow="pay",F260,IF(AS_SpGrow="flat",1,E260))</f>
        <v>2.69158802907361</v>
      </c>
      <c r="J260" s="106" t="n">
        <f aca="false">(12*PR_PRSIr0+(PR_PRSIr1-PR_PRSIr0)*MAX(0,MIN(12,D260*12+12-PR_PRSIt1))+(PR_PRSIr2-PR_PRSIr1)*MAX(0,MIN(12,D260*12+12-PR_PRSIt2))+(PR_PRSIr3-PR_PRSIr2)*MAX(0,MIN(12,D260*12+12-PR_PRSIt3)))/12</f>
        <v>0.047</v>
      </c>
      <c r="K260" s="1" t="n">
        <f aca="false">IF(G260=1,F_Income*F260,0)</f>
        <v>0</v>
      </c>
      <c r="L260" s="1" t="n">
        <f aca="false">IF(G260=1,(F_Own+In_penExtra)*12*F260,0)</f>
        <v>0</v>
      </c>
      <c r="M260" s="1" t="n">
        <f aca="false">IF(G260=1,(F_PenM+In_penExtra)*12*F260,0)</f>
        <v>0</v>
      </c>
      <c r="N260" s="107" t="n">
        <f aca="false">IF(C260&lt;PR_RelA1,PR_RelP1,IF(C260&lt;PR_RelA2,PR_RelP2,IF(C260&lt;PR_RelA3,PR_RelP3,IF(C260&lt;PR_RelA4,PR_RelP4,IF(C260&lt;PR_RelA5,PR_RelP5,PR_RelP6)))))</f>
        <v>0.3</v>
      </c>
      <c r="O260" s="1" t="n">
        <f aca="false">IF(G260=1,MIN(L260/H260,N260*MIN(K260/H260,PR_EarnCap))*H260,0)</f>
        <v>0</v>
      </c>
      <c r="P260" s="1" t="n">
        <f aca="false">IF(AND(G260=1,F_AE=1),MIN(K260/H260,PR_AEcap)*H260,0)</f>
        <v>0</v>
      </c>
      <c r="Q260" s="1" t="n">
        <f aca="false">IF(G260=1,IF(WI_Retire=1,MAX(0,M260+WI_M*12),M260)+(PR_AEee+PR_AEer+PR_AEst)*P260,0)</f>
        <v>0</v>
      </c>
      <c r="R260" s="1" t="n">
        <f aca="false">L260+PR_AEee*P260</f>
        <v>0</v>
      </c>
      <c r="S260" s="1" t="n">
        <f aca="false">AD259</f>
        <v>0</v>
      </c>
      <c r="T260" s="1" t="n">
        <f aca="false">IF(D260&lt;=2026,PR_SFT2026,IF(D260=2027,PR_SFT2027,IF(D260=2028,PR_SFT2028,IF(D260=2029,PR_SFT2029,PR_SFT2029*(1+AS_Infl)^(D260-2029)))))</f>
        <v>7243797.07939841</v>
      </c>
      <c r="U260" s="1" t="n">
        <f aca="false">IF(AND(G260=0,C260=F_V),1,0)</f>
        <v>0</v>
      </c>
      <c r="V260" s="1" t="n">
        <f aca="false">IF(U260=1,PR_SFTrate*MAX(0,S260-T260),0)</f>
        <v>0</v>
      </c>
      <c r="W260" s="1" t="n">
        <f aca="false">S260-V260</f>
        <v>0</v>
      </c>
      <c r="X260" s="1" t="n">
        <f aca="false">IF(AND(U260=1,AS_LumpPct&gt;0),W260*MIN(AS_LumpPct,PR_LSmax),0)</f>
        <v>0</v>
      </c>
      <c r="Y260" s="1" t="n">
        <f aca="false">X260-(PR_LSrate*MAX(0,MIN(X260,PR_LScap)-PR_LSfree)+PR_r2*MAX(0,X260-PR_LScap))</f>
        <v>0</v>
      </c>
      <c r="Z260" s="1" t="n">
        <f aca="false">W260-X260</f>
        <v>0</v>
      </c>
      <c r="AA260" s="107" t="n">
        <f aca="false">IF(C260&gt;=61,IF(Z260&gt;PR_ARFbig,PR_ARFbigRate,IF(C260&gt;=71,PR_ARF71,PR_ARF61)),0)</f>
        <v>0</v>
      </c>
      <c r="AB260" s="1" t="n">
        <f aca="false">IF(AS_DrawRule="min",Z260*AA260,IF(AS_DrawRule="fixed",MAX(AS_DrawFixed*E260,Z260*AA260),Z260*MAX(1/MAX(1,AS_End-C260+1),AA260)))</f>
        <v>0</v>
      </c>
      <c r="AC260" s="1" t="n">
        <f aca="false">IF(AND(G260=0,C260&gt;=F_V),MIN(Z260,AB260),0)</f>
        <v>0</v>
      </c>
      <c r="AD260" s="1" t="n">
        <f aca="false">IF(G260=1,S260*(1+F_PenG)+Q260,IF(C260&lt;F_V,S260*(1+F_PenG),(Z260-AC260)*(1+AS_PenRet)))</f>
        <v>0</v>
      </c>
      <c r="AE260" s="1" t="n">
        <f aca="false">IF(C260&gt;=PR_SPage,AS_SP*F_SpF*I260+IF(C260&gt;=80,PR_Over80*PR_Weeks*I260,0),0)</f>
        <v>0</v>
      </c>
      <c r="AF260" s="1" t="n">
        <f aca="false">(F_OtherM+F_RentM)*12*E260</f>
        <v>0</v>
      </c>
      <c r="AG260" s="1" t="n">
        <f aca="false">F_PAge+B260</f>
        <v>50</v>
      </c>
      <c r="AH260" s="1" t="n">
        <f aca="false">IF(AND(F_Partner=1,F_PAge&gt;0,AG260&lt;IF(F_PRet&gt;0,F_PRet,66)),F_PIncome*F260,0)</f>
        <v>0</v>
      </c>
      <c r="AI260" s="1" t="n">
        <f aca="false">IF(AND(F_Partner=1,AG260&gt;=66,F_PSpQA=0),AS_SP*F_PSpF*I260,0)</f>
        <v>0</v>
      </c>
      <c r="AJ260" s="1" t="n">
        <f aca="false">IF(AND(F_Partner=1,F_PSpQA=1,C260&gt;=PR_SPage,AH260=0),IF(AG260&gt;=66,PR_QA66,PR_QAunder)*PR_Weeks*I260,0)</f>
        <v>0</v>
      </c>
      <c r="AK260" s="1" t="n">
        <f aca="false">AE260+AJ260</f>
        <v>0</v>
      </c>
      <c r="AL260" s="1" t="n">
        <f aca="false">K260/H260</f>
        <v>0</v>
      </c>
      <c r="AM260" s="1" t="n">
        <f aca="false">AK260/H260</f>
        <v>0</v>
      </c>
      <c r="AN260" s="1" t="n">
        <f aca="false">AC260/H260</f>
        <v>0</v>
      </c>
      <c r="AO260" s="1" t="n">
        <f aca="false">AF260/H260</f>
        <v>0</v>
      </c>
      <c r="AP260" s="1" t="n">
        <f aca="false">O260/H260</f>
        <v>0</v>
      </c>
      <c r="AQ260" s="1" t="n">
        <f aca="false">AH260/H260</f>
        <v>0</v>
      </c>
      <c r="AR260" s="1" t="n">
        <f aca="false">AI260/H260</f>
        <v>0</v>
      </c>
      <c r="AS260" s="1" t="n">
        <f aca="false">MAX(0,AL260+AN260+AO260+AM260-AP260)</f>
        <v>0</v>
      </c>
      <c r="AT260" s="1" t="n">
        <f aca="false">MAX(0,AQ260+AR260)</f>
        <v>0</v>
      </c>
      <c r="AU260" s="1" t="n">
        <f aca="false">MIN(PR_PAYE,PR_PAYEcap*(AL260+AN260+AM260))</f>
        <v>0</v>
      </c>
      <c r="AV260" s="1" t="n">
        <f aca="false">MIN(PR_PAYE,PR_PAYEcap*(AQ260+AR260))</f>
        <v>0</v>
      </c>
      <c r="AW260" s="1" t="n">
        <f aca="false">IF(C260&gt;=PR_AgeCrAge,PR_AgeCr,0)</f>
        <v>0</v>
      </c>
      <c r="AX260" s="1" t="n">
        <f aca="false">IF(AG260&gt;=PR_AgeCrAge,PR_AgeCr,0)</f>
        <v>0</v>
      </c>
      <c r="AY260" s="1" t="n">
        <f aca="false">IF(AND(F_RentCred=1,D260&lt;=PR_RentLast),1,0)</f>
        <v>0</v>
      </c>
      <c r="AZ260" s="1" t="n">
        <f aca="false">AS260+AT260</f>
        <v>0</v>
      </c>
      <c r="BA260" s="1" t="n">
        <f aca="false">PR_PersonalM+AU260+AV260+AW260+AX260+IF(AY260=1,PR_RentJoint,0)</f>
        <v>4000</v>
      </c>
      <c r="BB260" s="1" t="n">
        <f aca="false">PR_BandM+MIN(MIN(AS260,AT260),PR_Uplift)</f>
        <v>53000</v>
      </c>
      <c r="BC260" s="1" t="n">
        <f aca="false">MAX(0,PR_r1*MIN(AZ260,BB260)+PR_r2*MAX(0,AZ260-BB260)-BA260)</f>
        <v>0</v>
      </c>
      <c r="BD260" s="1" t="n">
        <f aca="false">MAX(0,PR_HomeCarer-MAX(0,MIN(AS260,AT260)-PR_HCLimit)/2)</f>
        <v>1950</v>
      </c>
      <c r="BE260" s="1" t="n">
        <f aca="false">IF(F_Carer=1,MIN(BC260,MAX(0,PR_r1*MIN(AZ260,PR_BandM)+PR_r2*MAX(0,AZ260-PR_BandM)-BA260-BD260)),BC260)</f>
        <v>0</v>
      </c>
      <c r="BF260" s="1" t="n">
        <f aca="false">IF(OR(C260&gt;=PR_AgeCrAge,AG260&gt;=PR_AgeCrAge),IF(AZ260&lt;=PR_AgeExM,0,MIN(BE260,PR_AgeMarg*(AZ260-PR_AgeExM))),BE260)</f>
        <v>0</v>
      </c>
      <c r="BG260" s="1" t="n">
        <f aca="false">MAX(0,PR_r1*MIN(AS260,IF(F_Spccc=1,PR_BandSPCCC,PR_Band))+PR_r2*MAX(0,AS260-IF(F_Spccc=1,PR_BandSPCCC,PR_Band))-(PR_Personal+AU260+AW260+IF(F_Spccc=1,PR_SPCCC,0)+IF(AY260=1,PR_Rent,0)))</f>
        <v>0</v>
      </c>
      <c r="BH260" s="1" t="n">
        <f aca="false">IF(C260&gt;=PR_AgeCrAge,IF(AS260&lt;=PR_AgeEx,0,MIN(BG260,PR_AgeMarg*(AS260-PR_AgeEx))),BG260)</f>
        <v>0</v>
      </c>
      <c r="BI260" s="1" t="n">
        <f aca="false">IF(F_Partner=1,MAX(0,PR_r1*MIN(AT260,PR_Band)+PR_r2*MAX(0,AT260-PR_Band)-(PR_Personal+AV260+AX260+IF(AND(AY260=1,AT260&gt;0),PR_Rent,0))),0)</f>
        <v>0</v>
      </c>
      <c r="BJ260" s="1" t="n">
        <f aca="false">IF(AG260&gt;=PR_AgeCrAge,IF(AT260&lt;=PR_AgeEx,0,MIN(BI260,PR_AgeMarg*(AT260-PR_AgeEx))),BI260)</f>
        <v>0</v>
      </c>
      <c r="BK260" s="1" t="n">
        <f aca="false">IF(F_Partner=1,IF(F_Married=1,BF260,BH260+BJ260),BH260)</f>
        <v>0</v>
      </c>
      <c r="BL260" s="1" t="n">
        <f aca="false">AL260+AN260+AO260</f>
        <v>0</v>
      </c>
      <c r="BM260" s="1" t="n">
        <f aca="false">IF(BL260&lt;=PR_USCex,0,IF(IF(AND(C260&gt;=PR_USCredAge,BL260&lt;=PR_USCredMax),1,0)=1,PR_USCr1*MIN(BL260,PR_USCredB1)+PR_USCredR2*MAX(0,BL260-PR_USCredB1),PR_USCr1*MIN(BL260,PR_USCb1)+PR_USCr2*MAX(0,MIN(BL260,PR_USCb2)-PR_USCb1)+PR_USCr3*MAX(0,MIN(BL260,PR_USCb3)-PR_USCb2)+PR_USCr4*MAX(0,BL260-PR_USCb3)))+IF(F_SelfEmp=1,PR_USCse*MAX(0,AL260-PR_USCseOver),0)</f>
        <v>0</v>
      </c>
      <c r="BN260" s="1" t="n">
        <f aca="false">AQ260</f>
        <v>0</v>
      </c>
      <c r="BO260" s="1" t="n">
        <f aca="false">IF(F_Partner=1,IF(BN260&lt;=PR_USCex,0,IF(IF(AND(AG260&gt;=PR_USCredAge,BN260&lt;=PR_USCredMax),1,0)=1,PR_USCr1*MIN(BN260,PR_USCredB1)+PR_USCredR2*MAX(0,BN260-PR_USCredB1),PR_USCr1*MIN(BN260,PR_USCb1)+PR_USCr2*MAX(0,MIN(BN260,PR_USCb2)-PR_USCb1)+PR_USCr3*MAX(0,MIN(BN260,PR_USCb3)-PR_USCb2)+PR_USCr4*MAX(0,BN260-PR_USCb3))),0)</f>
        <v>0</v>
      </c>
      <c r="BP260" s="1" t="n">
        <f aca="false">IF(C260&lt;PR_PRSIend,IF(F_SelfEmp=1,IF(AL260&gt;PR_PRSIsMinInc,MAX(PR_PRSIsMin,AL260*J260),0),IF(AL260/52&lt;=PR_PRSIfree,0,MAX(0,(AL260/52*J260-IF(AL260/52&lt;=PR_PRSIcreditTo,MAX(0,PR_PRSIcreditMax-(AL260/52-(PR_PRSIfree+0.01))/PR_PRSItaper),0))*52)))+J260*AN260+IF(AO260&gt;PR_PRSIunearned,J260*AO260,0),0)</f>
        <v>0</v>
      </c>
      <c r="BQ260" s="1" t="n">
        <f aca="false">IF(AND(F_Partner=1,AG260&lt;PR_PRSIend),IF(AQ260/52&lt;=PR_PRSIfree,0,MAX(0,(AQ260/52*J260-IF(AQ260/52&lt;=PR_PRSIcreditTo,MAX(0,PR_PRSIcreditMax-(AQ260/52-(PR_PRSIfree+0.01))/PR_PRSItaper),0))*52)),0)</f>
        <v>0</v>
      </c>
      <c r="BR260" s="1" t="n">
        <f aca="false">BK260+BM260+BO260+BP260+BQ260</f>
        <v>0</v>
      </c>
      <c r="BS260" s="1" t="n">
        <f aca="false">BR260*H260</f>
        <v>0</v>
      </c>
      <c r="BT260" s="1" t="n">
        <f aca="false">K260+AK260+AC260+AF260+AH260+AI260</f>
        <v>0</v>
      </c>
    </row>
    <row r="261" customFormat="false" ht="15" hidden="false" customHeight="false" outlineLevel="0" collapsed="false">
      <c r="B261" s="1" t="n">
        <v>51</v>
      </c>
      <c r="C261" s="1" t="n">
        <f aca="false">F_Age+B261</f>
        <v>51</v>
      </c>
      <c r="D261" s="1" t="n">
        <f aca="false">AS_Year0+B261</f>
        <v>2078</v>
      </c>
      <c r="E261" s="106" t="n">
        <f aca="false">(1+AS_Infl)^B261</f>
        <v>2.74541978965508</v>
      </c>
      <c r="F261" s="106" t="n">
        <f aca="false">(1+AS_Wage)^B261</f>
        <v>4.51542319926831</v>
      </c>
      <c r="G261" s="1" t="n">
        <f aca="false">IF(C261&lt;F_R,1,0)</f>
        <v>0</v>
      </c>
      <c r="H261" s="106" t="n">
        <f aca="false">IF(AS_Bands="flat",1,E261)</f>
        <v>2.74541978965508</v>
      </c>
      <c r="I261" s="106" t="n">
        <f aca="false">IF(AS_SpGrow="pay",F261,IF(AS_SpGrow="flat",1,E261))</f>
        <v>2.74541978965508</v>
      </c>
      <c r="J261" s="106" t="n">
        <f aca="false">(12*PR_PRSIr0+(PR_PRSIr1-PR_PRSIr0)*MAX(0,MIN(12,D261*12+12-PR_PRSIt1))+(PR_PRSIr2-PR_PRSIr1)*MAX(0,MIN(12,D261*12+12-PR_PRSIt2))+(PR_PRSIr3-PR_PRSIr2)*MAX(0,MIN(12,D261*12+12-PR_PRSIt3)))/12</f>
        <v>0.047</v>
      </c>
      <c r="K261" s="1" t="n">
        <f aca="false">IF(G261=1,F_Income*F261,0)</f>
        <v>0</v>
      </c>
      <c r="L261" s="1" t="n">
        <f aca="false">IF(G261=1,(F_Own+In_penExtra)*12*F261,0)</f>
        <v>0</v>
      </c>
      <c r="M261" s="1" t="n">
        <f aca="false">IF(G261=1,(F_PenM+In_penExtra)*12*F261,0)</f>
        <v>0</v>
      </c>
      <c r="N261" s="107" t="n">
        <f aca="false">IF(C261&lt;PR_RelA1,PR_RelP1,IF(C261&lt;PR_RelA2,PR_RelP2,IF(C261&lt;PR_RelA3,PR_RelP3,IF(C261&lt;PR_RelA4,PR_RelP4,IF(C261&lt;PR_RelA5,PR_RelP5,PR_RelP6)))))</f>
        <v>0.3</v>
      </c>
      <c r="O261" s="1" t="n">
        <f aca="false">IF(G261=1,MIN(L261/H261,N261*MIN(K261/H261,PR_EarnCap))*H261,0)</f>
        <v>0</v>
      </c>
      <c r="P261" s="1" t="n">
        <f aca="false">IF(AND(G261=1,F_AE=1),MIN(K261/H261,PR_AEcap)*H261,0)</f>
        <v>0</v>
      </c>
      <c r="Q261" s="1" t="n">
        <f aca="false">IF(G261=1,IF(WI_Retire=1,MAX(0,M261+WI_M*12),M261)+(PR_AEee+PR_AEer+PR_AEst)*P261,0)</f>
        <v>0</v>
      </c>
      <c r="R261" s="1" t="n">
        <f aca="false">L261+PR_AEee*P261</f>
        <v>0</v>
      </c>
      <c r="S261" s="1" t="n">
        <f aca="false">AD260</f>
        <v>0</v>
      </c>
      <c r="T261" s="1" t="n">
        <f aca="false">IF(D261&lt;=2026,PR_SFT2026,IF(D261=2027,PR_SFT2027,IF(D261=2028,PR_SFT2028,IF(D261=2029,PR_SFT2029,PR_SFT2029*(1+AS_Infl)^(D261-2029)))))</f>
        <v>7388673.02098637</v>
      </c>
      <c r="U261" s="1" t="n">
        <f aca="false">IF(AND(G261=0,C261=F_V),1,0)</f>
        <v>0</v>
      </c>
      <c r="V261" s="1" t="n">
        <f aca="false">IF(U261=1,PR_SFTrate*MAX(0,S261-T261),0)</f>
        <v>0</v>
      </c>
      <c r="W261" s="1" t="n">
        <f aca="false">S261-V261</f>
        <v>0</v>
      </c>
      <c r="X261" s="1" t="n">
        <f aca="false">IF(AND(U261=1,AS_LumpPct&gt;0),W261*MIN(AS_LumpPct,PR_LSmax),0)</f>
        <v>0</v>
      </c>
      <c r="Y261" s="1" t="n">
        <f aca="false">X261-(PR_LSrate*MAX(0,MIN(X261,PR_LScap)-PR_LSfree)+PR_r2*MAX(0,X261-PR_LScap))</f>
        <v>0</v>
      </c>
      <c r="Z261" s="1" t="n">
        <f aca="false">W261-X261</f>
        <v>0</v>
      </c>
      <c r="AA261" s="107" t="n">
        <f aca="false">IF(C261&gt;=61,IF(Z261&gt;PR_ARFbig,PR_ARFbigRate,IF(C261&gt;=71,PR_ARF71,PR_ARF61)),0)</f>
        <v>0</v>
      </c>
      <c r="AB261" s="1" t="n">
        <f aca="false">IF(AS_DrawRule="min",Z261*AA261,IF(AS_DrawRule="fixed",MAX(AS_DrawFixed*E261,Z261*AA261),Z261*MAX(1/MAX(1,AS_End-C261+1),AA261)))</f>
        <v>0</v>
      </c>
      <c r="AC261" s="1" t="n">
        <f aca="false">IF(AND(G261=0,C261&gt;=F_V),MIN(Z261,AB261),0)</f>
        <v>0</v>
      </c>
      <c r="AD261" s="1" t="n">
        <f aca="false">IF(G261=1,S261*(1+F_PenG)+Q261,IF(C261&lt;F_V,S261*(1+F_PenG),(Z261-AC261)*(1+AS_PenRet)))</f>
        <v>0</v>
      </c>
      <c r="AE261" s="1" t="n">
        <f aca="false">IF(C261&gt;=PR_SPage,AS_SP*F_SpF*I261+IF(C261&gt;=80,PR_Over80*PR_Weeks*I261,0),0)</f>
        <v>0</v>
      </c>
      <c r="AF261" s="1" t="n">
        <f aca="false">(F_OtherM+F_RentM)*12*E261</f>
        <v>0</v>
      </c>
      <c r="AG261" s="1" t="n">
        <f aca="false">F_PAge+B261</f>
        <v>51</v>
      </c>
      <c r="AH261" s="1" t="n">
        <f aca="false">IF(AND(F_Partner=1,F_PAge&gt;0,AG261&lt;IF(F_PRet&gt;0,F_PRet,66)),F_PIncome*F261,0)</f>
        <v>0</v>
      </c>
      <c r="AI261" s="1" t="n">
        <f aca="false">IF(AND(F_Partner=1,AG261&gt;=66,F_PSpQA=0),AS_SP*F_PSpF*I261,0)</f>
        <v>0</v>
      </c>
      <c r="AJ261" s="1" t="n">
        <f aca="false">IF(AND(F_Partner=1,F_PSpQA=1,C261&gt;=PR_SPage,AH261=0),IF(AG261&gt;=66,PR_QA66,PR_QAunder)*PR_Weeks*I261,0)</f>
        <v>0</v>
      </c>
      <c r="AK261" s="1" t="n">
        <f aca="false">AE261+AJ261</f>
        <v>0</v>
      </c>
      <c r="AL261" s="1" t="n">
        <f aca="false">K261/H261</f>
        <v>0</v>
      </c>
      <c r="AM261" s="1" t="n">
        <f aca="false">AK261/H261</f>
        <v>0</v>
      </c>
      <c r="AN261" s="1" t="n">
        <f aca="false">AC261/H261</f>
        <v>0</v>
      </c>
      <c r="AO261" s="1" t="n">
        <f aca="false">AF261/H261</f>
        <v>0</v>
      </c>
      <c r="AP261" s="1" t="n">
        <f aca="false">O261/H261</f>
        <v>0</v>
      </c>
      <c r="AQ261" s="1" t="n">
        <f aca="false">AH261/H261</f>
        <v>0</v>
      </c>
      <c r="AR261" s="1" t="n">
        <f aca="false">AI261/H261</f>
        <v>0</v>
      </c>
      <c r="AS261" s="1" t="n">
        <f aca="false">MAX(0,AL261+AN261+AO261+AM261-AP261)</f>
        <v>0</v>
      </c>
      <c r="AT261" s="1" t="n">
        <f aca="false">MAX(0,AQ261+AR261)</f>
        <v>0</v>
      </c>
      <c r="AU261" s="1" t="n">
        <f aca="false">MIN(PR_PAYE,PR_PAYEcap*(AL261+AN261+AM261))</f>
        <v>0</v>
      </c>
      <c r="AV261" s="1" t="n">
        <f aca="false">MIN(PR_PAYE,PR_PAYEcap*(AQ261+AR261))</f>
        <v>0</v>
      </c>
      <c r="AW261" s="1" t="n">
        <f aca="false">IF(C261&gt;=PR_AgeCrAge,PR_AgeCr,0)</f>
        <v>0</v>
      </c>
      <c r="AX261" s="1" t="n">
        <f aca="false">IF(AG261&gt;=PR_AgeCrAge,PR_AgeCr,0)</f>
        <v>0</v>
      </c>
      <c r="AY261" s="1" t="n">
        <f aca="false">IF(AND(F_RentCred=1,D261&lt;=PR_RentLast),1,0)</f>
        <v>0</v>
      </c>
      <c r="AZ261" s="1" t="n">
        <f aca="false">AS261+AT261</f>
        <v>0</v>
      </c>
      <c r="BA261" s="1" t="n">
        <f aca="false">PR_PersonalM+AU261+AV261+AW261+AX261+IF(AY261=1,PR_RentJoint,0)</f>
        <v>4000</v>
      </c>
      <c r="BB261" s="1" t="n">
        <f aca="false">PR_BandM+MIN(MIN(AS261,AT261),PR_Uplift)</f>
        <v>53000</v>
      </c>
      <c r="BC261" s="1" t="n">
        <f aca="false">MAX(0,PR_r1*MIN(AZ261,BB261)+PR_r2*MAX(0,AZ261-BB261)-BA261)</f>
        <v>0</v>
      </c>
      <c r="BD261" s="1" t="n">
        <f aca="false">MAX(0,PR_HomeCarer-MAX(0,MIN(AS261,AT261)-PR_HCLimit)/2)</f>
        <v>1950</v>
      </c>
      <c r="BE261" s="1" t="n">
        <f aca="false">IF(F_Carer=1,MIN(BC261,MAX(0,PR_r1*MIN(AZ261,PR_BandM)+PR_r2*MAX(0,AZ261-PR_BandM)-BA261-BD261)),BC261)</f>
        <v>0</v>
      </c>
      <c r="BF261" s="1" t="n">
        <f aca="false">IF(OR(C261&gt;=PR_AgeCrAge,AG261&gt;=PR_AgeCrAge),IF(AZ261&lt;=PR_AgeExM,0,MIN(BE261,PR_AgeMarg*(AZ261-PR_AgeExM))),BE261)</f>
        <v>0</v>
      </c>
      <c r="BG261" s="1" t="n">
        <f aca="false">MAX(0,PR_r1*MIN(AS261,IF(F_Spccc=1,PR_BandSPCCC,PR_Band))+PR_r2*MAX(0,AS261-IF(F_Spccc=1,PR_BandSPCCC,PR_Band))-(PR_Personal+AU261+AW261+IF(F_Spccc=1,PR_SPCCC,0)+IF(AY261=1,PR_Rent,0)))</f>
        <v>0</v>
      </c>
      <c r="BH261" s="1" t="n">
        <f aca="false">IF(C261&gt;=PR_AgeCrAge,IF(AS261&lt;=PR_AgeEx,0,MIN(BG261,PR_AgeMarg*(AS261-PR_AgeEx))),BG261)</f>
        <v>0</v>
      </c>
      <c r="BI261" s="1" t="n">
        <f aca="false">IF(F_Partner=1,MAX(0,PR_r1*MIN(AT261,PR_Band)+PR_r2*MAX(0,AT261-PR_Band)-(PR_Personal+AV261+AX261+IF(AND(AY261=1,AT261&gt;0),PR_Rent,0))),0)</f>
        <v>0</v>
      </c>
      <c r="BJ261" s="1" t="n">
        <f aca="false">IF(AG261&gt;=PR_AgeCrAge,IF(AT261&lt;=PR_AgeEx,0,MIN(BI261,PR_AgeMarg*(AT261-PR_AgeEx))),BI261)</f>
        <v>0</v>
      </c>
      <c r="BK261" s="1" t="n">
        <f aca="false">IF(F_Partner=1,IF(F_Married=1,BF261,BH261+BJ261),BH261)</f>
        <v>0</v>
      </c>
      <c r="BL261" s="1" t="n">
        <f aca="false">AL261+AN261+AO261</f>
        <v>0</v>
      </c>
      <c r="BM261" s="1" t="n">
        <f aca="false">IF(BL261&lt;=PR_USCex,0,IF(IF(AND(C261&gt;=PR_USCredAge,BL261&lt;=PR_USCredMax),1,0)=1,PR_USCr1*MIN(BL261,PR_USCredB1)+PR_USCredR2*MAX(0,BL261-PR_USCredB1),PR_USCr1*MIN(BL261,PR_USCb1)+PR_USCr2*MAX(0,MIN(BL261,PR_USCb2)-PR_USCb1)+PR_USCr3*MAX(0,MIN(BL261,PR_USCb3)-PR_USCb2)+PR_USCr4*MAX(0,BL261-PR_USCb3)))+IF(F_SelfEmp=1,PR_USCse*MAX(0,AL261-PR_USCseOver),0)</f>
        <v>0</v>
      </c>
      <c r="BN261" s="1" t="n">
        <f aca="false">AQ261</f>
        <v>0</v>
      </c>
      <c r="BO261" s="1" t="n">
        <f aca="false">IF(F_Partner=1,IF(BN261&lt;=PR_USCex,0,IF(IF(AND(AG261&gt;=PR_USCredAge,BN261&lt;=PR_USCredMax),1,0)=1,PR_USCr1*MIN(BN261,PR_USCredB1)+PR_USCredR2*MAX(0,BN261-PR_USCredB1),PR_USCr1*MIN(BN261,PR_USCb1)+PR_USCr2*MAX(0,MIN(BN261,PR_USCb2)-PR_USCb1)+PR_USCr3*MAX(0,MIN(BN261,PR_USCb3)-PR_USCb2)+PR_USCr4*MAX(0,BN261-PR_USCb3))),0)</f>
        <v>0</v>
      </c>
      <c r="BP261" s="1" t="n">
        <f aca="false">IF(C261&lt;PR_PRSIend,IF(F_SelfEmp=1,IF(AL261&gt;PR_PRSIsMinInc,MAX(PR_PRSIsMin,AL261*J261),0),IF(AL261/52&lt;=PR_PRSIfree,0,MAX(0,(AL261/52*J261-IF(AL261/52&lt;=PR_PRSIcreditTo,MAX(0,PR_PRSIcreditMax-(AL261/52-(PR_PRSIfree+0.01))/PR_PRSItaper),0))*52)))+J261*AN261+IF(AO261&gt;PR_PRSIunearned,J261*AO261,0),0)</f>
        <v>0</v>
      </c>
      <c r="BQ261" s="1" t="n">
        <f aca="false">IF(AND(F_Partner=1,AG261&lt;PR_PRSIend),IF(AQ261/52&lt;=PR_PRSIfree,0,MAX(0,(AQ261/52*J261-IF(AQ261/52&lt;=PR_PRSIcreditTo,MAX(0,PR_PRSIcreditMax-(AQ261/52-(PR_PRSIfree+0.01))/PR_PRSItaper),0))*52)),0)</f>
        <v>0</v>
      </c>
      <c r="BR261" s="1" t="n">
        <f aca="false">BK261+BM261+BO261+BP261+BQ261</f>
        <v>0</v>
      </c>
      <c r="BS261" s="1" t="n">
        <f aca="false">BR261*H261</f>
        <v>0</v>
      </c>
      <c r="BT261" s="1" t="n">
        <f aca="false">K261+AK261+AC261+AF261+AH261+AI261</f>
        <v>0</v>
      </c>
    </row>
    <row r="262" customFormat="false" ht="15" hidden="false" customHeight="false" outlineLevel="0" collapsed="false">
      <c r="B262" s="1" t="n">
        <v>52</v>
      </c>
      <c r="C262" s="1" t="n">
        <f aca="false">F_Age+B262</f>
        <v>52</v>
      </c>
      <c r="D262" s="1" t="n">
        <f aca="false">AS_Year0+B262</f>
        <v>2079</v>
      </c>
      <c r="E262" s="106" t="n">
        <f aca="false">(1+AS_Infl)^B262</f>
        <v>2.80032818544818</v>
      </c>
      <c r="F262" s="106" t="n">
        <f aca="false">(1+AS_Wage)^B262</f>
        <v>4.65088589524636</v>
      </c>
      <c r="G262" s="1" t="n">
        <f aca="false">IF(C262&lt;F_R,1,0)</f>
        <v>0</v>
      </c>
      <c r="H262" s="106" t="n">
        <f aca="false">IF(AS_Bands="flat",1,E262)</f>
        <v>2.80032818544818</v>
      </c>
      <c r="I262" s="106" t="n">
        <f aca="false">IF(AS_SpGrow="pay",F262,IF(AS_SpGrow="flat",1,E262))</f>
        <v>2.80032818544818</v>
      </c>
      <c r="J262" s="106" t="n">
        <f aca="false">(12*PR_PRSIr0+(PR_PRSIr1-PR_PRSIr0)*MAX(0,MIN(12,D262*12+12-PR_PRSIt1))+(PR_PRSIr2-PR_PRSIr1)*MAX(0,MIN(12,D262*12+12-PR_PRSIt2))+(PR_PRSIr3-PR_PRSIr2)*MAX(0,MIN(12,D262*12+12-PR_PRSIt3)))/12</f>
        <v>0.047</v>
      </c>
      <c r="K262" s="1" t="n">
        <f aca="false">IF(G262=1,F_Income*F262,0)</f>
        <v>0</v>
      </c>
      <c r="L262" s="1" t="n">
        <f aca="false">IF(G262=1,(F_Own+In_penExtra)*12*F262,0)</f>
        <v>0</v>
      </c>
      <c r="M262" s="1" t="n">
        <f aca="false">IF(G262=1,(F_PenM+In_penExtra)*12*F262,0)</f>
        <v>0</v>
      </c>
      <c r="N262" s="107" t="n">
        <f aca="false">IF(C262&lt;PR_RelA1,PR_RelP1,IF(C262&lt;PR_RelA2,PR_RelP2,IF(C262&lt;PR_RelA3,PR_RelP3,IF(C262&lt;PR_RelA4,PR_RelP4,IF(C262&lt;PR_RelA5,PR_RelP5,PR_RelP6)))))</f>
        <v>0.3</v>
      </c>
      <c r="O262" s="1" t="n">
        <f aca="false">IF(G262=1,MIN(L262/H262,N262*MIN(K262/H262,PR_EarnCap))*H262,0)</f>
        <v>0</v>
      </c>
      <c r="P262" s="1" t="n">
        <f aca="false">IF(AND(G262=1,F_AE=1),MIN(K262/H262,PR_AEcap)*H262,0)</f>
        <v>0</v>
      </c>
      <c r="Q262" s="1" t="n">
        <f aca="false">IF(G262=1,IF(WI_Retire=1,MAX(0,M262+WI_M*12),M262)+(PR_AEee+PR_AEer+PR_AEst)*P262,0)</f>
        <v>0</v>
      </c>
      <c r="R262" s="1" t="n">
        <f aca="false">L262+PR_AEee*P262</f>
        <v>0</v>
      </c>
      <c r="S262" s="1" t="n">
        <f aca="false">AD261</f>
        <v>0</v>
      </c>
      <c r="T262" s="1" t="n">
        <f aca="false">IF(D262&lt;=2026,PR_SFT2026,IF(D262=2027,PR_SFT2027,IF(D262=2028,PR_SFT2028,IF(D262=2029,PR_SFT2029,PR_SFT2029*(1+AS_Infl)^(D262-2029)))))</f>
        <v>7536446.4814061</v>
      </c>
      <c r="U262" s="1" t="n">
        <f aca="false">IF(AND(G262=0,C262=F_V),1,0)</f>
        <v>0</v>
      </c>
      <c r="V262" s="1" t="n">
        <f aca="false">IF(U262=1,PR_SFTrate*MAX(0,S262-T262),0)</f>
        <v>0</v>
      </c>
      <c r="W262" s="1" t="n">
        <f aca="false">S262-V262</f>
        <v>0</v>
      </c>
      <c r="X262" s="1" t="n">
        <f aca="false">IF(AND(U262=1,AS_LumpPct&gt;0),W262*MIN(AS_LumpPct,PR_LSmax),0)</f>
        <v>0</v>
      </c>
      <c r="Y262" s="1" t="n">
        <f aca="false">X262-(PR_LSrate*MAX(0,MIN(X262,PR_LScap)-PR_LSfree)+PR_r2*MAX(0,X262-PR_LScap))</f>
        <v>0</v>
      </c>
      <c r="Z262" s="1" t="n">
        <f aca="false">W262-X262</f>
        <v>0</v>
      </c>
      <c r="AA262" s="107" t="n">
        <f aca="false">IF(C262&gt;=61,IF(Z262&gt;PR_ARFbig,PR_ARFbigRate,IF(C262&gt;=71,PR_ARF71,PR_ARF61)),0)</f>
        <v>0</v>
      </c>
      <c r="AB262" s="1" t="n">
        <f aca="false">IF(AS_DrawRule="min",Z262*AA262,IF(AS_DrawRule="fixed",MAX(AS_DrawFixed*E262,Z262*AA262),Z262*MAX(1/MAX(1,AS_End-C262+1),AA262)))</f>
        <v>0</v>
      </c>
      <c r="AC262" s="1" t="n">
        <f aca="false">IF(AND(G262=0,C262&gt;=F_V),MIN(Z262,AB262),0)</f>
        <v>0</v>
      </c>
      <c r="AD262" s="1" t="n">
        <f aca="false">IF(G262=1,S262*(1+F_PenG)+Q262,IF(C262&lt;F_V,S262*(1+F_PenG),(Z262-AC262)*(1+AS_PenRet)))</f>
        <v>0</v>
      </c>
      <c r="AE262" s="1" t="n">
        <f aca="false">IF(C262&gt;=PR_SPage,AS_SP*F_SpF*I262+IF(C262&gt;=80,PR_Over80*PR_Weeks*I262,0),0)</f>
        <v>0</v>
      </c>
      <c r="AF262" s="1" t="n">
        <f aca="false">(F_OtherM+F_RentM)*12*E262</f>
        <v>0</v>
      </c>
      <c r="AG262" s="1" t="n">
        <f aca="false">F_PAge+B262</f>
        <v>52</v>
      </c>
      <c r="AH262" s="1" t="n">
        <f aca="false">IF(AND(F_Partner=1,F_PAge&gt;0,AG262&lt;IF(F_PRet&gt;0,F_PRet,66)),F_PIncome*F262,0)</f>
        <v>0</v>
      </c>
      <c r="AI262" s="1" t="n">
        <f aca="false">IF(AND(F_Partner=1,AG262&gt;=66,F_PSpQA=0),AS_SP*F_PSpF*I262,0)</f>
        <v>0</v>
      </c>
      <c r="AJ262" s="1" t="n">
        <f aca="false">IF(AND(F_Partner=1,F_PSpQA=1,C262&gt;=PR_SPage,AH262=0),IF(AG262&gt;=66,PR_QA66,PR_QAunder)*PR_Weeks*I262,0)</f>
        <v>0</v>
      </c>
      <c r="AK262" s="1" t="n">
        <f aca="false">AE262+AJ262</f>
        <v>0</v>
      </c>
      <c r="AL262" s="1" t="n">
        <f aca="false">K262/H262</f>
        <v>0</v>
      </c>
      <c r="AM262" s="1" t="n">
        <f aca="false">AK262/H262</f>
        <v>0</v>
      </c>
      <c r="AN262" s="1" t="n">
        <f aca="false">AC262/H262</f>
        <v>0</v>
      </c>
      <c r="AO262" s="1" t="n">
        <f aca="false">AF262/H262</f>
        <v>0</v>
      </c>
      <c r="AP262" s="1" t="n">
        <f aca="false">O262/H262</f>
        <v>0</v>
      </c>
      <c r="AQ262" s="1" t="n">
        <f aca="false">AH262/H262</f>
        <v>0</v>
      </c>
      <c r="AR262" s="1" t="n">
        <f aca="false">AI262/H262</f>
        <v>0</v>
      </c>
      <c r="AS262" s="1" t="n">
        <f aca="false">MAX(0,AL262+AN262+AO262+AM262-AP262)</f>
        <v>0</v>
      </c>
      <c r="AT262" s="1" t="n">
        <f aca="false">MAX(0,AQ262+AR262)</f>
        <v>0</v>
      </c>
      <c r="AU262" s="1" t="n">
        <f aca="false">MIN(PR_PAYE,PR_PAYEcap*(AL262+AN262+AM262))</f>
        <v>0</v>
      </c>
      <c r="AV262" s="1" t="n">
        <f aca="false">MIN(PR_PAYE,PR_PAYEcap*(AQ262+AR262))</f>
        <v>0</v>
      </c>
      <c r="AW262" s="1" t="n">
        <f aca="false">IF(C262&gt;=PR_AgeCrAge,PR_AgeCr,0)</f>
        <v>0</v>
      </c>
      <c r="AX262" s="1" t="n">
        <f aca="false">IF(AG262&gt;=PR_AgeCrAge,PR_AgeCr,0)</f>
        <v>0</v>
      </c>
      <c r="AY262" s="1" t="n">
        <f aca="false">IF(AND(F_RentCred=1,D262&lt;=PR_RentLast),1,0)</f>
        <v>0</v>
      </c>
      <c r="AZ262" s="1" t="n">
        <f aca="false">AS262+AT262</f>
        <v>0</v>
      </c>
      <c r="BA262" s="1" t="n">
        <f aca="false">PR_PersonalM+AU262+AV262+AW262+AX262+IF(AY262=1,PR_RentJoint,0)</f>
        <v>4000</v>
      </c>
      <c r="BB262" s="1" t="n">
        <f aca="false">PR_BandM+MIN(MIN(AS262,AT262),PR_Uplift)</f>
        <v>53000</v>
      </c>
      <c r="BC262" s="1" t="n">
        <f aca="false">MAX(0,PR_r1*MIN(AZ262,BB262)+PR_r2*MAX(0,AZ262-BB262)-BA262)</f>
        <v>0</v>
      </c>
      <c r="BD262" s="1" t="n">
        <f aca="false">MAX(0,PR_HomeCarer-MAX(0,MIN(AS262,AT262)-PR_HCLimit)/2)</f>
        <v>1950</v>
      </c>
      <c r="BE262" s="1" t="n">
        <f aca="false">IF(F_Carer=1,MIN(BC262,MAX(0,PR_r1*MIN(AZ262,PR_BandM)+PR_r2*MAX(0,AZ262-PR_BandM)-BA262-BD262)),BC262)</f>
        <v>0</v>
      </c>
      <c r="BF262" s="1" t="n">
        <f aca="false">IF(OR(C262&gt;=PR_AgeCrAge,AG262&gt;=PR_AgeCrAge),IF(AZ262&lt;=PR_AgeExM,0,MIN(BE262,PR_AgeMarg*(AZ262-PR_AgeExM))),BE262)</f>
        <v>0</v>
      </c>
      <c r="BG262" s="1" t="n">
        <f aca="false">MAX(0,PR_r1*MIN(AS262,IF(F_Spccc=1,PR_BandSPCCC,PR_Band))+PR_r2*MAX(0,AS262-IF(F_Spccc=1,PR_BandSPCCC,PR_Band))-(PR_Personal+AU262+AW262+IF(F_Spccc=1,PR_SPCCC,0)+IF(AY262=1,PR_Rent,0)))</f>
        <v>0</v>
      </c>
      <c r="BH262" s="1" t="n">
        <f aca="false">IF(C262&gt;=PR_AgeCrAge,IF(AS262&lt;=PR_AgeEx,0,MIN(BG262,PR_AgeMarg*(AS262-PR_AgeEx))),BG262)</f>
        <v>0</v>
      </c>
      <c r="BI262" s="1" t="n">
        <f aca="false">IF(F_Partner=1,MAX(0,PR_r1*MIN(AT262,PR_Band)+PR_r2*MAX(0,AT262-PR_Band)-(PR_Personal+AV262+AX262+IF(AND(AY262=1,AT262&gt;0),PR_Rent,0))),0)</f>
        <v>0</v>
      </c>
      <c r="BJ262" s="1" t="n">
        <f aca="false">IF(AG262&gt;=PR_AgeCrAge,IF(AT262&lt;=PR_AgeEx,0,MIN(BI262,PR_AgeMarg*(AT262-PR_AgeEx))),BI262)</f>
        <v>0</v>
      </c>
      <c r="BK262" s="1" t="n">
        <f aca="false">IF(F_Partner=1,IF(F_Married=1,BF262,BH262+BJ262),BH262)</f>
        <v>0</v>
      </c>
      <c r="BL262" s="1" t="n">
        <f aca="false">AL262+AN262+AO262</f>
        <v>0</v>
      </c>
      <c r="BM262" s="1" t="n">
        <f aca="false">IF(BL262&lt;=PR_USCex,0,IF(IF(AND(C262&gt;=PR_USCredAge,BL262&lt;=PR_USCredMax),1,0)=1,PR_USCr1*MIN(BL262,PR_USCredB1)+PR_USCredR2*MAX(0,BL262-PR_USCredB1),PR_USCr1*MIN(BL262,PR_USCb1)+PR_USCr2*MAX(0,MIN(BL262,PR_USCb2)-PR_USCb1)+PR_USCr3*MAX(0,MIN(BL262,PR_USCb3)-PR_USCb2)+PR_USCr4*MAX(0,BL262-PR_USCb3)))+IF(F_SelfEmp=1,PR_USCse*MAX(0,AL262-PR_USCseOver),0)</f>
        <v>0</v>
      </c>
      <c r="BN262" s="1" t="n">
        <f aca="false">AQ262</f>
        <v>0</v>
      </c>
      <c r="BO262" s="1" t="n">
        <f aca="false">IF(F_Partner=1,IF(BN262&lt;=PR_USCex,0,IF(IF(AND(AG262&gt;=PR_USCredAge,BN262&lt;=PR_USCredMax),1,0)=1,PR_USCr1*MIN(BN262,PR_USCredB1)+PR_USCredR2*MAX(0,BN262-PR_USCredB1),PR_USCr1*MIN(BN262,PR_USCb1)+PR_USCr2*MAX(0,MIN(BN262,PR_USCb2)-PR_USCb1)+PR_USCr3*MAX(0,MIN(BN262,PR_USCb3)-PR_USCb2)+PR_USCr4*MAX(0,BN262-PR_USCb3))),0)</f>
        <v>0</v>
      </c>
      <c r="BP262" s="1" t="n">
        <f aca="false">IF(C262&lt;PR_PRSIend,IF(F_SelfEmp=1,IF(AL262&gt;PR_PRSIsMinInc,MAX(PR_PRSIsMin,AL262*J262),0),IF(AL262/52&lt;=PR_PRSIfree,0,MAX(0,(AL262/52*J262-IF(AL262/52&lt;=PR_PRSIcreditTo,MAX(0,PR_PRSIcreditMax-(AL262/52-(PR_PRSIfree+0.01))/PR_PRSItaper),0))*52)))+J262*AN262+IF(AO262&gt;PR_PRSIunearned,J262*AO262,0),0)</f>
        <v>0</v>
      </c>
      <c r="BQ262" s="1" t="n">
        <f aca="false">IF(AND(F_Partner=1,AG262&lt;PR_PRSIend),IF(AQ262/52&lt;=PR_PRSIfree,0,MAX(0,(AQ262/52*J262-IF(AQ262/52&lt;=PR_PRSIcreditTo,MAX(0,PR_PRSIcreditMax-(AQ262/52-(PR_PRSIfree+0.01))/PR_PRSItaper),0))*52)),0)</f>
        <v>0</v>
      </c>
      <c r="BR262" s="1" t="n">
        <f aca="false">BK262+BM262+BO262+BP262+BQ262</f>
        <v>0</v>
      </c>
      <c r="BS262" s="1" t="n">
        <f aca="false">BR262*H262</f>
        <v>0</v>
      </c>
      <c r="BT262" s="1" t="n">
        <f aca="false">K262+AK262+AC262+AF262+AH262+AI262</f>
        <v>0</v>
      </c>
    </row>
    <row r="263" customFormat="false" ht="15" hidden="false" customHeight="false" outlineLevel="0" collapsed="false">
      <c r="B263" s="1" t="n">
        <v>53</v>
      </c>
      <c r="C263" s="1" t="n">
        <f aca="false">F_Age+B263</f>
        <v>53</v>
      </c>
      <c r="D263" s="1" t="n">
        <f aca="false">AS_Year0+B263</f>
        <v>2080</v>
      </c>
      <c r="E263" s="106" t="n">
        <f aca="false">(1+AS_Infl)^B263</f>
        <v>2.85633474915715</v>
      </c>
      <c r="F263" s="106" t="n">
        <f aca="false">(1+AS_Wage)^B263</f>
        <v>4.79041247210375</v>
      </c>
      <c r="G263" s="1" t="n">
        <f aca="false">IF(C263&lt;F_R,1,0)</f>
        <v>0</v>
      </c>
      <c r="H263" s="106" t="n">
        <f aca="false">IF(AS_Bands="flat",1,E263)</f>
        <v>2.85633474915715</v>
      </c>
      <c r="I263" s="106" t="n">
        <f aca="false">IF(AS_SpGrow="pay",F263,IF(AS_SpGrow="flat",1,E263))</f>
        <v>2.85633474915715</v>
      </c>
      <c r="J263" s="106" t="n">
        <f aca="false">(12*PR_PRSIr0+(PR_PRSIr1-PR_PRSIr0)*MAX(0,MIN(12,D263*12+12-PR_PRSIt1))+(PR_PRSIr2-PR_PRSIr1)*MAX(0,MIN(12,D263*12+12-PR_PRSIt2))+(PR_PRSIr3-PR_PRSIr2)*MAX(0,MIN(12,D263*12+12-PR_PRSIt3)))/12</f>
        <v>0.047</v>
      </c>
      <c r="K263" s="1" t="n">
        <f aca="false">IF(G263=1,F_Income*F263,0)</f>
        <v>0</v>
      </c>
      <c r="L263" s="1" t="n">
        <f aca="false">IF(G263=1,(F_Own+In_penExtra)*12*F263,0)</f>
        <v>0</v>
      </c>
      <c r="M263" s="1" t="n">
        <f aca="false">IF(G263=1,(F_PenM+In_penExtra)*12*F263,0)</f>
        <v>0</v>
      </c>
      <c r="N263" s="107" t="n">
        <f aca="false">IF(C263&lt;PR_RelA1,PR_RelP1,IF(C263&lt;PR_RelA2,PR_RelP2,IF(C263&lt;PR_RelA3,PR_RelP3,IF(C263&lt;PR_RelA4,PR_RelP4,IF(C263&lt;PR_RelA5,PR_RelP5,PR_RelP6)))))</f>
        <v>0.3</v>
      </c>
      <c r="O263" s="1" t="n">
        <f aca="false">IF(G263=1,MIN(L263/H263,N263*MIN(K263/H263,PR_EarnCap))*H263,0)</f>
        <v>0</v>
      </c>
      <c r="P263" s="1" t="n">
        <f aca="false">IF(AND(G263=1,F_AE=1),MIN(K263/H263,PR_AEcap)*H263,0)</f>
        <v>0</v>
      </c>
      <c r="Q263" s="1" t="n">
        <f aca="false">IF(G263=1,IF(WI_Retire=1,MAX(0,M263+WI_M*12),M263)+(PR_AEee+PR_AEer+PR_AEst)*P263,0)</f>
        <v>0</v>
      </c>
      <c r="R263" s="1" t="n">
        <f aca="false">L263+PR_AEee*P263</f>
        <v>0</v>
      </c>
      <c r="S263" s="1" t="n">
        <f aca="false">AD262</f>
        <v>0</v>
      </c>
      <c r="T263" s="1" t="n">
        <f aca="false">IF(D263&lt;=2026,PR_SFT2026,IF(D263=2027,PR_SFT2027,IF(D263=2028,PR_SFT2028,IF(D263=2029,PR_SFT2029,PR_SFT2029*(1+AS_Infl)^(D263-2029)))))</f>
        <v>7687175.41103423</v>
      </c>
      <c r="U263" s="1" t="n">
        <f aca="false">IF(AND(G263=0,C263=F_V),1,0)</f>
        <v>0</v>
      </c>
      <c r="V263" s="1" t="n">
        <f aca="false">IF(U263=1,PR_SFTrate*MAX(0,S263-T263),0)</f>
        <v>0</v>
      </c>
      <c r="W263" s="1" t="n">
        <f aca="false">S263-V263</f>
        <v>0</v>
      </c>
      <c r="X263" s="1" t="n">
        <f aca="false">IF(AND(U263=1,AS_LumpPct&gt;0),W263*MIN(AS_LumpPct,PR_LSmax),0)</f>
        <v>0</v>
      </c>
      <c r="Y263" s="1" t="n">
        <f aca="false">X263-(PR_LSrate*MAX(0,MIN(X263,PR_LScap)-PR_LSfree)+PR_r2*MAX(0,X263-PR_LScap))</f>
        <v>0</v>
      </c>
      <c r="Z263" s="1" t="n">
        <f aca="false">W263-X263</f>
        <v>0</v>
      </c>
      <c r="AA263" s="107" t="n">
        <f aca="false">IF(C263&gt;=61,IF(Z263&gt;PR_ARFbig,PR_ARFbigRate,IF(C263&gt;=71,PR_ARF71,PR_ARF61)),0)</f>
        <v>0</v>
      </c>
      <c r="AB263" s="1" t="n">
        <f aca="false">IF(AS_DrawRule="min",Z263*AA263,IF(AS_DrawRule="fixed",MAX(AS_DrawFixed*E263,Z263*AA263),Z263*MAX(1/MAX(1,AS_End-C263+1),AA263)))</f>
        <v>0</v>
      </c>
      <c r="AC263" s="1" t="n">
        <f aca="false">IF(AND(G263=0,C263&gt;=F_V),MIN(Z263,AB263),0)</f>
        <v>0</v>
      </c>
      <c r="AD263" s="1" t="n">
        <f aca="false">IF(G263=1,S263*(1+F_PenG)+Q263,IF(C263&lt;F_V,S263*(1+F_PenG),(Z263-AC263)*(1+AS_PenRet)))</f>
        <v>0</v>
      </c>
      <c r="AE263" s="1" t="n">
        <f aca="false">IF(C263&gt;=PR_SPage,AS_SP*F_SpF*I263+IF(C263&gt;=80,PR_Over80*PR_Weeks*I263,0),0)</f>
        <v>0</v>
      </c>
      <c r="AF263" s="1" t="n">
        <f aca="false">(F_OtherM+F_RentM)*12*E263</f>
        <v>0</v>
      </c>
      <c r="AG263" s="1" t="n">
        <f aca="false">F_PAge+B263</f>
        <v>53</v>
      </c>
      <c r="AH263" s="1" t="n">
        <f aca="false">IF(AND(F_Partner=1,F_PAge&gt;0,AG263&lt;IF(F_PRet&gt;0,F_PRet,66)),F_PIncome*F263,0)</f>
        <v>0</v>
      </c>
      <c r="AI263" s="1" t="n">
        <f aca="false">IF(AND(F_Partner=1,AG263&gt;=66,F_PSpQA=0),AS_SP*F_PSpF*I263,0)</f>
        <v>0</v>
      </c>
      <c r="AJ263" s="1" t="n">
        <f aca="false">IF(AND(F_Partner=1,F_PSpQA=1,C263&gt;=PR_SPage,AH263=0),IF(AG263&gt;=66,PR_QA66,PR_QAunder)*PR_Weeks*I263,0)</f>
        <v>0</v>
      </c>
      <c r="AK263" s="1" t="n">
        <f aca="false">AE263+AJ263</f>
        <v>0</v>
      </c>
      <c r="AL263" s="1" t="n">
        <f aca="false">K263/H263</f>
        <v>0</v>
      </c>
      <c r="AM263" s="1" t="n">
        <f aca="false">AK263/H263</f>
        <v>0</v>
      </c>
      <c r="AN263" s="1" t="n">
        <f aca="false">AC263/H263</f>
        <v>0</v>
      </c>
      <c r="AO263" s="1" t="n">
        <f aca="false">AF263/H263</f>
        <v>0</v>
      </c>
      <c r="AP263" s="1" t="n">
        <f aca="false">O263/H263</f>
        <v>0</v>
      </c>
      <c r="AQ263" s="1" t="n">
        <f aca="false">AH263/H263</f>
        <v>0</v>
      </c>
      <c r="AR263" s="1" t="n">
        <f aca="false">AI263/H263</f>
        <v>0</v>
      </c>
      <c r="AS263" s="1" t="n">
        <f aca="false">MAX(0,AL263+AN263+AO263+AM263-AP263)</f>
        <v>0</v>
      </c>
      <c r="AT263" s="1" t="n">
        <f aca="false">MAX(0,AQ263+AR263)</f>
        <v>0</v>
      </c>
      <c r="AU263" s="1" t="n">
        <f aca="false">MIN(PR_PAYE,PR_PAYEcap*(AL263+AN263+AM263))</f>
        <v>0</v>
      </c>
      <c r="AV263" s="1" t="n">
        <f aca="false">MIN(PR_PAYE,PR_PAYEcap*(AQ263+AR263))</f>
        <v>0</v>
      </c>
      <c r="AW263" s="1" t="n">
        <f aca="false">IF(C263&gt;=PR_AgeCrAge,PR_AgeCr,0)</f>
        <v>0</v>
      </c>
      <c r="AX263" s="1" t="n">
        <f aca="false">IF(AG263&gt;=PR_AgeCrAge,PR_AgeCr,0)</f>
        <v>0</v>
      </c>
      <c r="AY263" s="1" t="n">
        <f aca="false">IF(AND(F_RentCred=1,D263&lt;=PR_RentLast),1,0)</f>
        <v>0</v>
      </c>
      <c r="AZ263" s="1" t="n">
        <f aca="false">AS263+AT263</f>
        <v>0</v>
      </c>
      <c r="BA263" s="1" t="n">
        <f aca="false">PR_PersonalM+AU263+AV263+AW263+AX263+IF(AY263=1,PR_RentJoint,0)</f>
        <v>4000</v>
      </c>
      <c r="BB263" s="1" t="n">
        <f aca="false">PR_BandM+MIN(MIN(AS263,AT263),PR_Uplift)</f>
        <v>53000</v>
      </c>
      <c r="BC263" s="1" t="n">
        <f aca="false">MAX(0,PR_r1*MIN(AZ263,BB263)+PR_r2*MAX(0,AZ263-BB263)-BA263)</f>
        <v>0</v>
      </c>
      <c r="BD263" s="1" t="n">
        <f aca="false">MAX(0,PR_HomeCarer-MAX(0,MIN(AS263,AT263)-PR_HCLimit)/2)</f>
        <v>1950</v>
      </c>
      <c r="BE263" s="1" t="n">
        <f aca="false">IF(F_Carer=1,MIN(BC263,MAX(0,PR_r1*MIN(AZ263,PR_BandM)+PR_r2*MAX(0,AZ263-PR_BandM)-BA263-BD263)),BC263)</f>
        <v>0</v>
      </c>
      <c r="BF263" s="1" t="n">
        <f aca="false">IF(OR(C263&gt;=PR_AgeCrAge,AG263&gt;=PR_AgeCrAge),IF(AZ263&lt;=PR_AgeExM,0,MIN(BE263,PR_AgeMarg*(AZ263-PR_AgeExM))),BE263)</f>
        <v>0</v>
      </c>
      <c r="BG263" s="1" t="n">
        <f aca="false">MAX(0,PR_r1*MIN(AS263,IF(F_Spccc=1,PR_BandSPCCC,PR_Band))+PR_r2*MAX(0,AS263-IF(F_Spccc=1,PR_BandSPCCC,PR_Band))-(PR_Personal+AU263+AW263+IF(F_Spccc=1,PR_SPCCC,0)+IF(AY263=1,PR_Rent,0)))</f>
        <v>0</v>
      </c>
      <c r="BH263" s="1" t="n">
        <f aca="false">IF(C263&gt;=PR_AgeCrAge,IF(AS263&lt;=PR_AgeEx,0,MIN(BG263,PR_AgeMarg*(AS263-PR_AgeEx))),BG263)</f>
        <v>0</v>
      </c>
      <c r="BI263" s="1" t="n">
        <f aca="false">IF(F_Partner=1,MAX(0,PR_r1*MIN(AT263,PR_Band)+PR_r2*MAX(0,AT263-PR_Band)-(PR_Personal+AV263+AX263+IF(AND(AY263=1,AT263&gt;0),PR_Rent,0))),0)</f>
        <v>0</v>
      </c>
      <c r="BJ263" s="1" t="n">
        <f aca="false">IF(AG263&gt;=PR_AgeCrAge,IF(AT263&lt;=PR_AgeEx,0,MIN(BI263,PR_AgeMarg*(AT263-PR_AgeEx))),BI263)</f>
        <v>0</v>
      </c>
      <c r="BK263" s="1" t="n">
        <f aca="false">IF(F_Partner=1,IF(F_Married=1,BF263,BH263+BJ263),BH263)</f>
        <v>0</v>
      </c>
      <c r="BL263" s="1" t="n">
        <f aca="false">AL263+AN263+AO263</f>
        <v>0</v>
      </c>
      <c r="BM263" s="1" t="n">
        <f aca="false">IF(BL263&lt;=PR_USCex,0,IF(IF(AND(C263&gt;=PR_USCredAge,BL263&lt;=PR_USCredMax),1,0)=1,PR_USCr1*MIN(BL263,PR_USCredB1)+PR_USCredR2*MAX(0,BL263-PR_USCredB1),PR_USCr1*MIN(BL263,PR_USCb1)+PR_USCr2*MAX(0,MIN(BL263,PR_USCb2)-PR_USCb1)+PR_USCr3*MAX(0,MIN(BL263,PR_USCb3)-PR_USCb2)+PR_USCr4*MAX(0,BL263-PR_USCb3)))+IF(F_SelfEmp=1,PR_USCse*MAX(0,AL263-PR_USCseOver),0)</f>
        <v>0</v>
      </c>
      <c r="BN263" s="1" t="n">
        <f aca="false">AQ263</f>
        <v>0</v>
      </c>
      <c r="BO263" s="1" t="n">
        <f aca="false">IF(F_Partner=1,IF(BN263&lt;=PR_USCex,0,IF(IF(AND(AG263&gt;=PR_USCredAge,BN263&lt;=PR_USCredMax),1,0)=1,PR_USCr1*MIN(BN263,PR_USCredB1)+PR_USCredR2*MAX(0,BN263-PR_USCredB1),PR_USCr1*MIN(BN263,PR_USCb1)+PR_USCr2*MAX(0,MIN(BN263,PR_USCb2)-PR_USCb1)+PR_USCr3*MAX(0,MIN(BN263,PR_USCb3)-PR_USCb2)+PR_USCr4*MAX(0,BN263-PR_USCb3))),0)</f>
        <v>0</v>
      </c>
      <c r="BP263" s="1" t="n">
        <f aca="false">IF(C263&lt;PR_PRSIend,IF(F_SelfEmp=1,IF(AL263&gt;PR_PRSIsMinInc,MAX(PR_PRSIsMin,AL263*J263),0),IF(AL263/52&lt;=PR_PRSIfree,0,MAX(0,(AL263/52*J263-IF(AL263/52&lt;=PR_PRSIcreditTo,MAX(0,PR_PRSIcreditMax-(AL263/52-(PR_PRSIfree+0.01))/PR_PRSItaper),0))*52)))+J263*AN263+IF(AO263&gt;PR_PRSIunearned,J263*AO263,0),0)</f>
        <v>0</v>
      </c>
      <c r="BQ263" s="1" t="n">
        <f aca="false">IF(AND(F_Partner=1,AG263&lt;PR_PRSIend),IF(AQ263/52&lt;=PR_PRSIfree,0,MAX(0,(AQ263/52*J263-IF(AQ263/52&lt;=PR_PRSIcreditTo,MAX(0,PR_PRSIcreditMax-(AQ263/52-(PR_PRSIfree+0.01))/PR_PRSItaper),0))*52)),0)</f>
        <v>0</v>
      </c>
      <c r="BR263" s="1" t="n">
        <f aca="false">BK263+BM263+BO263+BP263+BQ263</f>
        <v>0</v>
      </c>
      <c r="BS263" s="1" t="n">
        <f aca="false">BR263*H263</f>
        <v>0</v>
      </c>
      <c r="BT263" s="1" t="n">
        <f aca="false">K263+AK263+AC263+AF263+AH263+AI263</f>
        <v>0</v>
      </c>
    </row>
    <row r="264" customFormat="false" ht="15" hidden="false" customHeight="false" outlineLevel="0" collapsed="false">
      <c r="B264" s="1" t="n">
        <v>54</v>
      </c>
      <c r="C264" s="1" t="n">
        <f aca="false">F_Age+B264</f>
        <v>54</v>
      </c>
      <c r="D264" s="1" t="n">
        <f aca="false">AS_Year0+B264</f>
        <v>2081</v>
      </c>
      <c r="E264" s="106" t="n">
        <f aca="false">(1+AS_Infl)^B264</f>
        <v>2.91346144414029</v>
      </c>
      <c r="F264" s="106" t="n">
        <f aca="false">(1+AS_Wage)^B264</f>
        <v>4.93412484626686</v>
      </c>
      <c r="G264" s="1" t="n">
        <f aca="false">IF(C264&lt;F_R,1,0)</f>
        <v>0</v>
      </c>
      <c r="H264" s="106" t="n">
        <f aca="false">IF(AS_Bands="flat",1,E264)</f>
        <v>2.91346144414029</v>
      </c>
      <c r="I264" s="106" t="n">
        <f aca="false">IF(AS_SpGrow="pay",F264,IF(AS_SpGrow="flat",1,E264))</f>
        <v>2.91346144414029</v>
      </c>
      <c r="J264" s="106" t="n">
        <f aca="false">(12*PR_PRSIr0+(PR_PRSIr1-PR_PRSIr0)*MAX(0,MIN(12,D264*12+12-PR_PRSIt1))+(PR_PRSIr2-PR_PRSIr1)*MAX(0,MIN(12,D264*12+12-PR_PRSIt2))+(PR_PRSIr3-PR_PRSIr2)*MAX(0,MIN(12,D264*12+12-PR_PRSIt3)))/12</f>
        <v>0.047</v>
      </c>
      <c r="K264" s="1" t="n">
        <f aca="false">IF(G264=1,F_Income*F264,0)</f>
        <v>0</v>
      </c>
      <c r="L264" s="1" t="n">
        <f aca="false">IF(G264=1,(F_Own+In_penExtra)*12*F264,0)</f>
        <v>0</v>
      </c>
      <c r="M264" s="1" t="n">
        <f aca="false">IF(G264=1,(F_PenM+In_penExtra)*12*F264,0)</f>
        <v>0</v>
      </c>
      <c r="N264" s="107" t="n">
        <f aca="false">IF(C264&lt;PR_RelA1,PR_RelP1,IF(C264&lt;PR_RelA2,PR_RelP2,IF(C264&lt;PR_RelA3,PR_RelP3,IF(C264&lt;PR_RelA4,PR_RelP4,IF(C264&lt;PR_RelA5,PR_RelP5,PR_RelP6)))))</f>
        <v>0.3</v>
      </c>
      <c r="O264" s="1" t="n">
        <f aca="false">IF(G264=1,MIN(L264/H264,N264*MIN(K264/H264,PR_EarnCap))*H264,0)</f>
        <v>0</v>
      </c>
      <c r="P264" s="1" t="n">
        <f aca="false">IF(AND(G264=1,F_AE=1),MIN(K264/H264,PR_AEcap)*H264,0)</f>
        <v>0</v>
      </c>
      <c r="Q264" s="1" t="n">
        <f aca="false">IF(G264=1,IF(WI_Retire=1,MAX(0,M264+WI_M*12),M264)+(PR_AEee+PR_AEer+PR_AEst)*P264,0)</f>
        <v>0</v>
      </c>
      <c r="R264" s="1" t="n">
        <f aca="false">L264+PR_AEee*P264</f>
        <v>0</v>
      </c>
      <c r="S264" s="1" t="n">
        <f aca="false">AD263</f>
        <v>0</v>
      </c>
      <c r="T264" s="1" t="n">
        <f aca="false">IF(D264&lt;=2026,PR_SFT2026,IF(D264=2027,PR_SFT2027,IF(D264=2028,PR_SFT2028,IF(D264=2029,PR_SFT2029,PR_SFT2029*(1+AS_Infl)^(D264-2029)))))</f>
        <v>7840918.91925491</v>
      </c>
      <c r="U264" s="1" t="n">
        <f aca="false">IF(AND(G264=0,C264=F_V),1,0)</f>
        <v>0</v>
      </c>
      <c r="V264" s="1" t="n">
        <f aca="false">IF(U264=1,PR_SFTrate*MAX(0,S264-T264),0)</f>
        <v>0</v>
      </c>
      <c r="W264" s="1" t="n">
        <f aca="false">S264-V264</f>
        <v>0</v>
      </c>
      <c r="X264" s="1" t="n">
        <f aca="false">IF(AND(U264=1,AS_LumpPct&gt;0),W264*MIN(AS_LumpPct,PR_LSmax),0)</f>
        <v>0</v>
      </c>
      <c r="Y264" s="1" t="n">
        <f aca="false">X264-(PR_LSrate*MAX(0,MIN(X264,PR_LScap)-PR_LSfree)+PR_r2*MAX(0,X264-PR_LScap))</f>
        <v>0</v>
      </c>
      <c r="Z264" s="1" t="n">
        <f aca="false">W264-X264</f>
        <v>0</v>
      </c>
      <c r="AA264" s="107" t="n">
        <f aca="false">IF(C264&gt;=61,IF(Z264&gt;PR_ARFbig,PR_ARFbigRate,IF(C264&gt;=71,PR_ARF71,PR_ARF61)),0)</f>
        <v>0</v>
      </c>
      <c r="AB264" s="1" t="n">
        <f aca="false">IF(AS_DrawRule="min",Z264*AA264,IF(AS_DrawRule="fixed",MAX(AS_DrawFixed*E264,Z264*AA264),Z264*MAX(1/MAX(1,AS_End-C264+1),AA264)))</f>
        <v>0</v>
      </c>
      <c r="AC264" s="1" t="n">
        <f aca="false">IF(AND(G264=0,C264&gt;=F_V),MIN(Z264,AB264),0)</f>
        <v>0</v>
      </c>
      <c r="AD264" s="1" t="n">
        <f aca="false">IF(G264=1,S264*(1+F_PenG)+Q264,IF(C264&lt;F_V,S264*(1+F_PenG),(Z264-AC264)*(1+AS_PenRet)))</f>
        <v>0</v>
      </c>
      <c r="AE264" s="1" t="n">
        <f aca="false">IF(C264&gt;=PR_SPage,AS_SP*F_SpF*I264+IF(C264&gt;=80,PR_Over80*PR_Weeks*I264,0),0)</f>
        <v>0</v>
      </c>
      <c r="AF264" s="1" t="n">
        <f aca="false">(F_OtherM+F_RentM)*12*E264</f>
        <v>0</v>
      </c>
      <c r="AG264" s="1" t="n">
        <f aca="false">F_PAge+B264</f>
        <v>54</v>
      </c>
      <c r="AH264" s="1" t="n">
        <f aca="false">IF(AND(F_Partner=1,F_PAge&gt;0,AG264&lt;IF(F_PRet&gt;0,F_PRet,66)),F_PIncome*F264,0)</f>
        <v>0</v>
      </c>
      <c r="AI264" s="1" t="n">
        <f aca="false">IF(AND(F_Partner=1,AG264&gt;=66,F_PSpQA=0),AS_SP*F_PSpF*I264,0)</f>
        <v>0</v>
      </c>
      <c r="AJ264" s="1" t="n">
        <f aca="false">IF(AND(F_Partner=1,F_PSpQA=1,C264&gt;=PR_SPage,AH264=0),IF(AG264&gt;=66,PR_QA66,PR_QAunder)*PR_Weeks*I264,0)</f>
        <v>0</v>
      </c>
      <c r="AK264" s="1" t="n">
        <f aca="false">AE264+AJ264</f>
        <v>0</v>
      </c>
      <c r="AL264" s="1" t="n">
        <f aca="false">K264/H264</f>
        <v>0</v>
      </c>
      <c r="AM264" s="1" t="n">
        <f aca="false">AK264/H264</f>
        <v>0</v>
      </c>
      <c r="AN264" s="1" t="n">
        <f aca="false">AC264/H264</f>
        <v>0</v>
      </c>
      <c r="AO264" s="1" t="n">
        <f aca="false">AF264/H264</f>
        <v>0</v>
      </c>
      <c r="AP264" s="1" t="n">
        <f aca="false">O264/H264</f>
        <v>0</v>
      </c>
      <c r="AQ264" s="1" t="n">
        <f aca="false">AH264/H264</f>
        <v>0</v>
      </c>
      <c r="AR264" s="1" t="n">
        <f aca="false">AI264/H264</f>
        <v>0</v>
      </c>
      <c r="AS264" s="1" t="n">
        <f aca="false">MAX(0,AL264+AN264+AO264+AM264-AP264)</f>
        <v>0</v>
      </c>
      <c r="AT264" s="1" t="n">
        <f aca="false">MAX(0,AQ264+AR264)</f>
        <v>0</v>
      </c>
      <c r="AU264" s="1" t="n">
        <f aca="false">MIN(PR_PAYE,PR_PAYEcap*(AL264+AN264+AM264))</f>
        <v>0</v>
      </c>
      <c r="AV264" s="1" t="n">
        <f aca="false">MIN(PR_PAYE,PR_PAYEcap*(AQ264+AR264))</f>
        <v>0</v>
      </c>
      <c r="AW264" s="1" t="n">
        <f aca="false">IF(C264&gt;=PR_AgeCrAge,PR_AgeCr,0)</f>
        <v>0</v>
      </c>
      <c r="AX264" s="1" t="n">
        <f aca="false">IF(AG264&gt;=PR_AgeCrAge,PR_AgeCr,0)</f>
        <v>0</v>
      </c>
      <c r="AY264" s="1" t="n">
        <f aca="false">IF(AND(F_RentCred=1,D264&lt;=PR_RentLast),1,0)</f>
        <v>0</v>
      </c>
      <c r="AZ264" s="1" t="n">
        <f aca="false">AS264+AT264</f>
        <v>0</v>
      </c>
      <c r="BA264" s="1" t="n">
        <f aca="false">PR_PersonalM+AU264+AV264+AW264+AX264+IF(AY264=1,PR_RentJoint,0)</f>
        <v>4000</v>
      </c>
      <c r="BB264" s="1" t="n">
        <f aca="false">PR_BandM+MIN(MIN(AS264,AT264),PR_Uplift)</f>
        <v>53000</v>
      </c>
      <c r="BC264" s="1" t="n">
        <f aca="false">MAX(0,PR_r1*MIN(AZ264,BB264)+PR_r2*MAX(0,AZ264-BB264)-BA264)</f>
        <v>0</v>
      </c>
      <c r="BD264" s="1" t="n">
        <f aca="false">MAX(0,PR_HomeCarer-MAX(0,MIN(AS264,AT264)-PR_HCLimit)/2)</f>
        <v>1950</v>
      </c>
      <c r="BE264" s="1" t="n">
        <f aca="false">IF(F_Carer=1,MIN(BC264,MAX(0,PR_r1*MIN(AZ264,PR_BandM)+PR_r2*MAX(0,AZ264-PR_BandM)-BA264-BD264)),BC264)</f>
        <v>0</v>
      </c>
      <c r="BF264" s="1" t="n">
        <f aca="false">IF(OR(C264&gt;=PR_AgeCrAge,AG264&gt;=PR_AgeCrAge),IF(AZ264&lt;=PR_AgeExM,0,MIN(BE264,PR_AgeMarg*(AZ264-PR_AgeExM))),BE264)</f>
        <v>0</v>
      </c>
      <c r="BG264" s="1" t="n">
        <f aca="false">MAX(0,PR_r1*MIN(AS264,IF(F_Spccc=1,PR_BandSPCCC,PR_Band))+PR_r2*MAX(0,AS264-IF(F_Spccc=1,PR_BandSPCCC,PR_Band))-(PR_Personal+AU264+AW264+IF(F_Spccc=1,PR_SPCCC,0)+IF(AY264=1,PR_Rent,0)))</f>
        <v>0</v>
      </c>
      <c r="BH264" s="1" t="n">
        <f aca="false">IF(C264&gt;=PR_AgeCrAge,IF(AS264&lt;=PR_AgeEx,0,MIN(BG264,PR_AgeMarg*(AS264-PR_AgeEx))),BG264)</f>
        <v>0</v>
      </c>
      <c r="BI264" s="1" t="n">
        <f aca="false">IF(F_Partner=1,MAX(0,PR_r1*MIN(AT264,PR_Band)+PR_r2*MAX(0,AT264-PR_Band)-(PR_Personal+AV264+AX264+IF(AND(AY264=1,AT264&gt;0),PR_Rent,0))),0)</f>
        <v>0</v>
      </c>
      <c r="BJ264" s="1" t="n">
        <f aca="false">IF(AG264&gt;=PR_AgeCrAge,IF(AT264&lt;=PR_AgeEx,0,MIN(BI264,PR_AgeMarg*(AT264-PR_AgeEx))),BI264)</f>
        <v>0</v>
      </c>
      <c r="BK264" s="1" t="n">
        <f aca="false">IF(F_Partner=1,IF(F_Married=1,BF264,BH264+BJ264),BH264)</f>
        <v>0</v>
      </c>
      <c r="BL264" s="1" t="n">
        <f aca="false">AL264+AN264+AO264</f>
        <v>0</v>
      </c>
      <c r="BM264" s="1" t="n">
        <f aca="false">IF(BL264&lt;=PR_USCex,0,IF(IF(AND(C264&gt;=PR_USCredAge,BL264&lt;=PR_USCredMax),1,0)=1,PR_USCr1*MIN(BL264,PR_USCredB1)+PR_USCredR2*MAX(0,BL264-PR_USCredB1),PR_USCr1*MIN(BL264,PR_USCb1)+PR_USCr2*MAX(0,MIN(BL264,PR_USCb2)-PR_USCb1)+PR_USCr3*MAX(0,MIN(BL264,PR_USCb3)-PR_USCb2)+PR_USCr4*MAX(0,BL264-PR_USCb3)))+IF(F_SelfEmp=1,PR_USCse*MAX(0,AL264-PR_USCseOver),0)</f>
        <v>0</v>
      </c>
      <c r="BN264" s="1" t="n">
        <f aca="false">AQ264</f>
        <v>0</v>
      </c>
      <c r="BO264" s="1" t="n">
        <f aca="false">IF(F_Partner=1,IF(BN264&lt;=PR_USCex,0,IF(IF(AND(AG264&gt;=PR_USCredAge,BN264&lt;=PR_USCredMax),1,0)=1,PR_USCr1*MIN(BN264,PR_USCredB1)+PR_USCredR2*MAX(0,BN264-PR_USCredB1),PR_USCr1*MIN(BN264,PR_USCb1)+PR_USCr2*MAX(0,MIN(BN264,PR_USCb2)-PR_USCb1)+PR_USCr3*MAX(0,MIN(BN264,PR_USCb3)-PR_USCb2)+PR_USCr4*MAX(0,BN264-PR_USCb3))),0)</f>
        <v>0</v>
      </c>
      <c r="BP264" s="1" t="n">
        <f aca="false">IF(C264&lt;PR_PRSIend,IF(F_SelfEmp=1,IF(AL264&gt;PR_PRSIsMinInc,MAX(PR_PRSIsMin,AL264*J264),0),IF(AL264/52&lt;=PR_PRSIfree,0,MAX(0,(AL264/52*J264-IF(AL264/52&lt;=PR_PRSIcreditTo,MAX(0,PR_PRSIcreditMax-(AL264/52-(PR_PRSIfree+0.01))/PR_PRSItaper),0))*52)))+J264*AN264+IF(AO264&gt;PR_PRSIunearned,J264*AO264,0),0)</f>
        <v>0</v>
      </c>
      <c r="BQ264" s="1" t="n">
        <f aca="false">IF(AND(F_Partner=1,AG264&lt;PR_PRSIend),IF(AQ264/52&lt;=PR_PRSIfree,0,MAX(0,(AQ264/52*J264-IF(AQ264/52&lt;=PR_PRSIcreditTo,MAX(0,PR_PRSIcreditMax-(AQ264/52-(PR_PRSIfree+0.01))/PR_PRSItaper),0))*52)),0)</f>
        <v>0</v>
      </c>
      <c r="BR264" s="1" t="n">
        <f aca="false">BK264+BM264+BO264+BP264+BQ264</f>
        <v>0</v>
      </c>
      <c r="BS264" s="1" t="n">
        <f aca="false">BR264*H264</f>
        <v>0</v>
      </c>
      <c r="BT264" s="1" t="n">
        <f aca="false">K264+AK264+AC264+AF264+AH264+AI264</f>
        <v>0</v>
      </c>
    </row>
    <row r="265" customFormat="false" ht="15" hidden="false" customHeight="false" outlineLevel="0" collapsed="false">
      <c r="B265" s="1" t="n">
        <v>55</v>
      </c>
      <c r="C265" s="1" t="n">
        <f aca="false">F_Age+B265</f>
        <v>55</v>
      </c>
      <c r="D265" s="1" t="n">
        <f aca="false">AS_Year0+B265</f>
        <v>2082</v>
      </c>
      <c r="E265" s="106" t="n">
        <f aca="false">(1+AS_Infl)^B265</f>
        <v>2.97173067302309</v>
      </c>
      <c r="F265" s="106" t="n">
        <f aca="false">(1+AS_Wage)^B265</f>
        <v>5.08214859165487</v>
      </c>
      <c r="G265" s="1" t="n">
        <f aca="false">IF(C265&lt;F_R,1,0)</f>
        <v>0</v>
      </c>
      <c r="H265" s="106" t="n">
        <f aca="false">IF(AS_Bands="flat",1,E265)</f>
        <v>2.97173067302309</v>
      </c>
      <c r="I265" s="106" t="n">
        <f aca="false">IF(AS_SpGrow="pay",F265,IF(AS_SpGrow="flat",1,E265))</f>
        <v>2.97173067302309</v>
      </c>
      <c r="J265" s="106" t="n">
        <f aca="false">(12*PR_PRSIr0+(PR_PRSIr1-PR_PRSIr0)*MAX(0,MIN(12,D265*12+12-PR_PRSIt1))+(PR_PRSIr2-PR_PRSIr1)*MAX(0,MIN(12,D265*12+12-PR_PRSIt2))+(PR_PRSIr3-PR_PRSIr2)*MAX(0,MIN(12,D265*12+12-PR_PRSIt3)))/12</f>
        <v>0.047</v>
      </c>
      <c r="K265" s="1" t="n">
        <f aca="false">IF(G265=1,F_Income*F265,0)</f>
        <v>0</v>
      </c>
      <c r="L265" s="1" t="n">
        <f aca="false">IF(G265=1,(F_Own+In_penExtra)*12*F265,0)</f>
        <v>0</v>
      </c>
      <c r="M265" s="1" t="n">
        <f aca="false">IF(G265=1,(F_PenM+In_penExtra)*12*F265,0)</f>
        <v>0</v>
      </c>
      <c r="N265" s="107" t="n">
        <f aca="false">IF(C265&lt;PR_RelA1,PR_RelP1,IF(C265&lt;PR_RelA2,PR_RelP2,IF(C265&lt;PR_RelA3,PR_RelP3,IF(C265&lt;PR_RelA4,PR_RelP4,IF(C265&lt;PR_RelA5,PR_RelP5,PR_RelP6)))))</f>
        <v>0.35</v>
      </c>
      <c r="O265" s="1" t="n">
        <f aca="false">IF(G265=1,MIN(L265/H265,N265*MIN(K265/H265,PR_EarnCap))*H265,0)</f>
        <v>0</v>
      </c>
      <c r="P265" s="1" t="n">
        <f aca="false">IF(AND(G265=1,F_AE=1),MIN(K265/H265,PR_AEcap)*H265,0)</f>
        <v>0</v>
      </c>
      <c r="Q265" s="1" t="n">
        <f aca="false">IF(G265=1,IF(WI_Retire=1,MAX(0,M265+WI_M*12),M265)+(PR_AEee+PR_AEer+PR_AEst)*P265,0)</f>
        <v>0</v>
      </c>
      <c r="R265" s="1" t="n">
        <f aca="false">L265+PR_AEee*P265</f>
        <v>0</v>
      </c>
      <c r="S265" s="1" t="n">
        <f aca="false">AD264</f>
        <v>0</v>
      </c>
      <c r="T265" s="1" t="n">
        <f aca="false">IF(D265&lt;=2026,PR_SFT2026,IF(D265=2027,PR_SFT2027,IF(D265=2028,PR_SFT2028,IF(D265=2029,PR_SFT2029,PR_SFT2029*(1+AS_Infl)^(D265-2029)))))</f>
        <v>7997737.29764001</v>
      </c>
      <c r="U265" s="1" t="n">
        <f aca="false">IF(AND(G265=0,C265=F_V),1,0)</f>
        <v>0</v>
      </c>
      <c r="V265" s="1" t="n">
        <f aca="false">IF(U265=1,PR_SFTrate*MAX(0,S265-T265),0)</f>
        <v>0</v>
      </c>
      <c r="W265" s="1" t="n">
        <f aca="false">S265-V265</f>
        <v>0</v>
      </c>
      <c r="X265" s="1" t="n">
        <f aca="false">IF(AND(U265=1,AS_LumpPct&gt;0),W265*MIN(AS_LumpPct,PR_LSmax),0)</f>
        <v>0</v>
      </c>
      <c r="Y265" s="1" t="n">
        <f aca="false">X265-(PR_LSrate*MAX(0,MIN(X265,PR_LScap)-PR_LSfree)+PR_r2*MAX(0,X265-PR_LScap))</f>
        <v>0</v>
      </c>
      <c r="Z265" s="1" t="n">
        <f aca="false">W265-X265</f>
        <v>0</v>
      </c>
      <c r="AA265" s="107" t="n">
        <f aca="false">IF(C265&gt;=61,IF(Z265&gt;PR_ARFbig,PR_ARFbigRate,IF(C265&gt;=71,PR_ARF71,PR_ARF61)),0)</f>
        <v>0</v>
      </c>
      <c r="AB265" s="1" t="n">
        <f aca="false">IF(AS_DrawRule="min",Z265*AA265,IF(AS_DrawRule="fixed",MAX(AS_DrawFixed*E265,Z265*AA265),Z265*MAX(1/MAX(1,AS_End-C265+1),AA265)))</f>
        <v>0</v>
      </c>
      <c r="AC265" s="1" t="n">
        <f aca="false">IF(AND(G265=0,C265&gt;=F_V),MIN(Z265,AB265),0)</f>
        <v>0</v>
      </c>
      <c r="AD265" s="1" t="n">
        <f aca="false">IF(G265=1,S265*(1+F_PenG)+Q265,IF(C265&lt;F_V,S265*(1+F_PenG),(Z265-AC265)*(1+AS_PenRet)))</f>
        <v>0</v>
      </c>
      <c r="AE265" s="1" t="n">
        <f aca="false">IF(C265&gt;=PR_SPage,AS_SP*F_SpF*I265+IF(C265&gt;=80,PR_Over80*PR_Weeks*I265,0),0)</f>
        <v>0</v>
      </c>
      <c r="AF265" s="1" t="n">
        <f aca="false">(F_OtherM+F_RentM)*12*E265</f>
        <v>0</v>
      </c>
      <c r="AG265" s="1" t="n">
        <f aca="false">F_PAge+B265</f>
        <v>55</v>
      </c>
      <c r="AH265" s="1" t="n">
        <f aca="false">IF(AND(F_Partner=1,F_PAge&gt;0,AG265&lt;IF(F_PRet&gt;0,F_PRet,66)),F_PIncome*F265,0)</f>
        <v>0</v>
      </c>
      <c r="AI265" s="1" t="n">
        <f aca="false">IF(AND(F_Partner=1,AG265&gt;=66,F_PSpQA=0),AS_SP*F_PSpF*I265,0)</f>
        <v>0</v>
      </c>
      <c r="AJ265" s="1" t="n">
        <f aca="false">IF(AND(F_Partner=1,F_PSpQA=1,C265&gt;=PR_SPage,AH265=0),IF(AG265&gt;=66,PR_QA66,PR_QAunder)*PR_Weeks*I265,0)</f>
        <v>0</v>
      </c>
      <c r="AK265" s="1" t="n">
        <f aca="false">AE265+AJ265</f>
        <v>0</v>
      </c>
      <c r="AL265" s="1" t="n">
        <f aca="false">K265/H265</f>
        <v>0</v>
      </c>
      <c r="AM265" s="1" t="n">
        <f aca="false">AK265/H265</f>
        <v>0</v>
      </c>
      <c r="AN265" s="1" t="n">
        <f aca="false">AC265/H265</f>
        <v>0</v>
      </c>
      <c r="AO265" s="1" t="n">
        <f aca="false">AF265/H265</f>
        <v>0</v>
      </c>
      <c r="AP265" s="1" t="n">
        <f aca="false">O265/H265</f>
        <v>0</v>
      </c>
      <c r="AQ265" s="1" t="n">
        <f aca="false">AH265/H265</f>
        <v>0</v>
      </c>
      <c r="AR265" s="1" t="n">
        <f aca="false">AI265/H265</f>
        <v>0</v>
      </c>
      <c r="AS265" s="1" t="n">
        <f aca="false">MAX(0,AL265+AN265+AO265+AM265-AP265)</f>
        <v>0</v>
      </c>
      <c r="AT265" s="1" t="n">
        <f aca="false">MAX(0,AQ265+AR265)</f>
        <v>0</v>
      </c>
      <c r="AU265" s="1" t="n">
        <f aca="false">MIN(PR_PAYE,PR_PAYEcap*(AL265+AN265+AM265))</f>
        <v>0</v>
      </c>
      <c r="AV265" s="1" t="n">
        <f aca="false">MIN(PR_PAYE,PR_PAYEcap*(AQ265+AR265))</f>
        <v>0</v>
      </c>
      <c r="AW265" s="1" t="n">
        <f aca="false">IF(C265&gt;=PR_AgeCrAge,PR_AgeCr,0)</f>
        <v>0</v>
      </c>
      <c r="AX265" s="1" t="n">
        <f aca="false">IF(AG265&gt;=PR_AgeCrAge,PR_AgeCr,0)</f>
        <v>0</v>
      </c>
      <c r="AY265" s="1" t="n">
        <f aca="false">IF(AND(F_RentCred=1,D265&lt;=PR_RentLast),1,0)</f>
        <v>0</v>
      </c>
      <c r="AZ265" s="1" t="n">
        <f aca="false">AS265+AT265</f>
        <v>0</v>
      </c>
      <c r="BA265" s="1" t="n">
        <f aca="false">PR_PersonalM+AU265+AV265+AW265+AX265+IF(AY265=1,PR_RentJoint,0)</f>
        <v>4000</v>
      </c>
      <c r="BB265" s="1" t="n">
        <f aca="false">PR_BandM+MIN(MIN(AS265,AT265),PR_Uplift)</f>
        <v>53000</v>
      </c>
      <c r="BC265" s="1" t="n">
        <f aca="false">MAX(0,PR_r1*MIN(AZ265,BB265)+PR_r2*MAX(0,AZ265-BB265)-BA265)</f>
        <v>0</v>
      </c>
      <c r="BD265" s="1" t="n">
        <f aca="false">MAX(0,PR_HomeCarer-MAX(0,MIN(AS265,AT265)-PR_HCLimit)/2)</f>
        <v>1950</v>
      </c>
      <c r="BE265" s="1" t="n">
        <f aca="false">IF(F_Carer=1,MIN(BC265,MAX(0,PR_r1*MIN(AZ265,PR_BandM)+PR_r2*MAX(0,AZ265-PR_BandM)-BA265-BD265)),BC265)</f>
        <v>0</v>
      </c>
      <c r="BF265" s="1" t="n">
        <f aca="false">IF(OR(C265&gt;=PR_AgeCrAge,AG265&gt;=PR_AgeCrAge),IF(AZ265&lt;=PR_AgeExM,0,MIN(BE265,PR_AgeMarg*(AZ265-PR_AgeExM))),BE265)</f>
        <v>0</v>
      </c>
      <c r="BG265" s="1" t="n">
        <f aca="false">MAX(0,PR_r1*MIN(AS265,IF(F_Spccc=1,PR_BandSPCCC,PR_Band))+PR_r2*MAX(0,AS265-IF(F_Spccc=1,PR_BandSPCCC,PR_Band))-(PR_Personal+AU265+AW265+IF(F_Spccc=1,PR_SPCCC,0)+IF(AY265=1,PR_Rent,0)))</f>
        <v>0</v>
      </c>
      <c r="BH265" s="1" t="n">
        <f aca="false">IF(C265&gt;=PR_AgeCrAge,IF(AS265&lt;=PR_AgeEx,0,MIN(BG265,PR_AgeMarg*(AS265-PR_AgeEx))),BG265)</f>
        <v>0</v>
      </c>
      <c r="BI265" s="1" t="n">
        <f aca="false">IF(F_Partner=1,MAX(0,PR_r1*MIN(AT265,PR_Band)+PR_r2*MAX(0,AT265-PR_Band)-(PR_Personal+AV265+AX265+IF(AND(AY265=1,AT265&gt;0),PR_Rent,0))),0)</f>
        <v>0</v>
      </c>
      <c r="BJ265" s="1" t="n">
        <f aca="false">IF(AG265&gt;=PR_AgeCrAge,IF(AT265&lt;=PR_AgeEx,0,MIN(BI265,PR_AgeMarg*(AT265-PR_AgeEx))),BI265)</f>
        <v>0</v>
      </c>
      <c r="BK265" s="1" t="n">
        <f aca="false">IF(F_Partner=1,IF(F_Married=1,BF265,BH265+BJ265),BH265)</f>
        <v>0</v>
      </c>
      <c r="BL265" s="1" t="n">
        <f aca="false">AL265+AN265+AO265</f>
        <v>0</v>
      </c>
      <c r="BM265" s="1" t="n">
        <f aca="false">IF(BL265&lt;=PR_USCex,0,IF(IF(AND(C265&gt;=PR_USCredAge,BL265&lt;=PR_USCredMax),1,0)=1,PR_USCr1*MIN(BL265,PR_USCredB1)+PR_USCredR2*MAX(0,BL265-PR_USCredB1),PR_USCr1*MIN(BL265,PR_USCb1)+PR_USCr2*MAX(0,MIN(BL265,PR_USCb2)-PR_USCb1)+PR_USCr3*MAX(0,MIN(BL265,PR_USCb3)-PR_USCb2)+PR_USCr4*MAX(0,BL265-PR_USCb3)))+IF(F_SelfEmp=1,PR_USCse*MAX(0,AL265-PR_USCseOver),0)</f>
        <v>0</v>
      </c>
      <c r="BN265" s="1" t="n">
        <f aca="false">AQ265</f>
        <v>0</v>
      </c>
      <c r="BO265" s="1" t="n">
        <f aca="false">IF(F_Partner=1,IF(BN265&lt;=PR_USCex,0,IF(IF(AND(AG265&gt;=PR_USCredAge,BN265&lt;=PR_USCredMax),1,0)=1,PR_USCr1*MIN(BN265,PR_USCredB1)+PR_USCredR2*MAX(0,BN265-PR_USCredB1),PR_USCr1*MIN(BN265,PR_USCb1)+PR_USCr2*MAX(0,MIN(BN265,PR_USCb2)-PR_USCb1)+PR_USCr3*MAX(0,MIN(BN265,PR_USCb3)-PR_USCb2)+PR_USCr4*MAX(0,BN265-PR_USCb3))),0)</f>
        <v>0</v>
      </c>
      <c r="BP265" s="1" t="n">
        <f aca="false">IF(C265&lt;PR_PRSIend,IF(F_SelfEmp=1,IF(AL265&gt;PR_PRSIsMinInc,MAX(PR_PRSIsMin,AL265*J265),0),IF(AL265/52&lt;=PR_PRSIfree,0,MAX(0,(AL265/52*J265-IF(AL265/52&lt;=PR_PRSIcreditTo,MAX(0,PR_PRSIcreditMax-(AL265/52-(PR_PRSIfree+0.01))/PR_PRSItaper),0))*52)))+J265*AN265+IF(AO265&gt;PR_PRSIunearned,J265*AO265,0),0)</f>
        <v>0</v>
      </c>
      <c r="BQ265" s="1" t="n">
        <f aca="false">IF(AND(F_Partner=1,AG265&lt;PR_PRSIend),IF(AQ265/52&lt;=PR_PRSIfree,0,MAX(0,(AQ265/52*J265-IF(AQ265/52&lt;=PR_PRSIcreditTo,MAX(0,PR_PRSIcreditMax-(AQ265/52-(PR_PRSIfree+0.01))/PR_PRSItaper),0))*52)),0)</f>
        <v>0</v>
      </c>
      <c r="BR265" s="1" t="n">
        <f aca="false">BK265+BM265+BO265+BP265+BQ265</f>
        <v>0</v>
      </c>
      <c r="BS265" s="1" t="n">
        <f aca="false">BR265*H265</f>
        <v>0</v>
      </c>
      <c r="BT265" s="1" t="n">
        <f aca="false">K265+AK265+AC265+AF265+AH265+AI265</f>
        <v>0</v>
      </c>
    </row>
    <row r="266" customFormat="false" ht="15" hidden="false" customHeight="false" outlineLevel="0" collapsed="false">
      <c r="B266" s="1" t="n">
        <v>56</v>
      </c>
      <c r="C266" s="1" t="n">
        <f aca="false">F_Age+B266</f>
        <v>56</v>
      </c>
      <c r="D266" s="1" t="n">
        <f aca="false">AS_Year0+B266</f>
        <v>2083</v>
      </c>
      <c r="E266" s="106" t="n">
        <f aca="false">(1+AS_Infl)^B266</f>
        <v>3.03116528648356</v>
      </c>
      <c r="F266" s="106" t="n">
        <f aca="false">(1+AS_Wage)^B266</f>
        <v>5.23461304940451</v>
      </c>
      <c r="G266" s="1" t="n">
        <f aca="false">IF(C266&lt;F_R,1,0)</f>
        <v>0</v>
      </c>
      <c r="H266" s="106" t="n">
        <f aca="false">IF(AS_Bands="flat",1,E266)</f>
        <v>3.03116528648356</v>
      </c>
      <c r="I266" s="106" t="n">
        <f aca="false">IF(AS_SpGrow="pay",F266,IF(AS_SpGrow="flat",1,E266))</f>
        <v>3.03116528648356</v>
      </c>
      <c r="J266" s="106" t="n">
        <f aca="false">(12*PR_PRSIr0+(PR_PRSIr1-PR_PRSIr0)*MAX(0,MIN(12,D266*12+12-PR_PRSIt1))+(PR_PRSIr2-PR_PRSIr1)*MAX(0,MIN(12,D266*12+12-PR_PRSIt2))+(PR_PRSIr3-PR_PRSIr2)*MAX(0,MIN(12,D266*12+12-PR_PRSIt3)))/12</f>
        <v>0.047</v>
      </c>
      <c r="K266" s="1" t="n">
        <f aca="false">IF(G266=1,F_Income*F266,0)</f>
        <v>0</v>
      </c>
      <c r="L266" s="1" t="n">
        <f aca="false">IF(G266=1,(F_Own+In_penExtra)*12*F266,0)</f>
        <v>0</v>
      </c>
      <c r="M266" s="1" t="n">
        <f aca="false">IF(G266=1,(F_PenM+In_penExtra)*12*F266,0)</f>
        <v>0</v>
      </c>
      <c r="N266" s="107" t="n">
        <f aca="false">IF(C266&lt;PR_RelA1,PR_RelP1,IF(C266&lt;PR_RelA2,PR_RelP2,IF(C266&lt;PR_RelA3,PR_RelP3,IF(C266&lt;PR_RelA4,PR_RelP4,IF(C266&lt;PR_RelA5,PR_RelP5,PR_RelP6)))))</f>
        <v>0.35</v>
      </c>
      <c r="O266" s="1" t="n">
        <f aca="false">IF(G266=1,MIN(L266/H266,N266*MIN(K266/H266,PR_EarnCap))*H266,0)</f>
        <v>0</v>
      </c>
      <c r="P266" s="1" t="n">
        <f aca="false">IF(AND(G266=1,F_AE=1),MIN(K266/H266,PR_AEcap)*H266,0)</f>
        <v>0</v>
      </c>
      <c r="Q266" s="1" t="n">
        <f aca="false">IF(G266=1,IF(WI_Retire=1,MAX(0,M266+WI_M*12),M266)+(PR_AEee+PR_AEer+PR_AEst)*P266,0)</f>
        <v>0</v>
      </c>
      <c r="R266" s="1" t="n">
        <f aca="false">L266+PR_AEee*P266</f>
        <v>0</v>
      </c>
      <c r="S266" s="1" t="n">
        <f aca="false">AD265</f>
        <v>0</v>
      </c>
      <c r="T266" s="1" t="n">
        <f aca="false">IF(D266&lt;=2026,PR_SFT2026,IF(D266=2027,PR_SFT2027,IF(D266=2028,PR_SFT2028,IF(D266=2029,PR_SFT2029,PR_SFT2029*(1+AS_Infl)^(D266-2029)))))</f>
        <v>8157692.04359281</v>
      </c>
      <c r="U266" s="1" t="n">
        <f aca="false">IF(AND(G266=0,C266=F_V),1,0)</f>
        <v>0</v>
      </c>
      <c r="V266" s="1" t="n">
        <f aca="false">IF(U266=1,PR_SFTrate*MAX(0,S266-T266),0)</f>
        <v>0</v>
      </c>
      <c r="W266" s="1" t="n">
        <f aca="false">S266-V266</f>
        <v>0</v>
      </c>
      <c r="X266" s="1" t="n">
        <f aca="false">IF(AND(U266=1,AS_LumpPct&gt;0),W266*MIN(AS_LumpPct,PR_LSmax),0)</f>
        <v>0</v>
      </c>
      <c r="Y266" s="1" t="n">
        <f aca="false">X266-(PR_LSrate*MAX(0,MIN(X266,PR_LScap)-PR_LSfree)+PR_r2*MAX(0,X266-PR_LScap))</f>
        <v>0</v>
      </c>
      <c r="Z266" s="1" t="n">
        <f aca="false">W266-X266</f>
        <v>0</v>
      </c>
      <c r="AA266" s="107" t="n">
        <f aca="false">IF(C266&gt;=61,IF(Z266&gt;PR_ARFbig,PR_ARFbigRate,IF(C266&gt;=71,PR_ARF71,PR_ARF61)),0)</f>
        <v>0</v>
      </c>
      <c r="AB266" s="1" t="n">
        <f aca="false">IF(AS_DrawRule="min",Z266*AA266,IF(AS_DrawRule="fixed",MAX(AS_DrawFixed*E266,Z266*AA266),Z266*MAX(1/MAX(1,AS_End-C266+1),AA266)))</f>
        <v>0</v>
      </c>
      <c r="AC266" s="1" t="n">
        <f aca="false">IF(AND(G266=0,C266&gt;=F_V),MIN(Z266,AB266),0)</f>
        <v>0</v>
      </c>
      <c r="AD266" s="1" t="n">
        <f aca="false">IF(G266=1,S266*(1+F_PenG)+Q266,IF(C266&lt;F_V,S266*(1+F_PenG),(Z266-AC266)*(1+AS_PenRet)))</f>
        <v>0</v>
      </c>
      <c r="AE266" s="1" t="n">
        <f aca="false">IF(C266&gt;=PR_SPage,AS_SP*F_SpF*I266+IF(C266&gt;=80,PR_Over80*PR_Weeks*I266,0),0)</f>
        <v>0</v>
      </c>
      <c r="AF266" s="1" t="n">
        <f aca="false">(F_OtherM+F_RentM)*12*E266</f>
        <v>0</v>
      </c>
      <c r="AG266" s="1" t="n">
        <f aca="false">F_PAge+B266</f>
        <v>56</v>
      </c>
      <c r="AH266" s="1" t="n">
        <f aca="false">IF(AND(F_Partner=1,F_PAge&gt;0,AG266&lt;IF(F_PRet&gt;0,F_PRet,66)),F_PIncome*F266,0)</f>
        <v>0</v>
      </c>
      <c r="AI266" s="1" t="n">
        <f aca="false">IF(AND(F_Partner=1,AG266&gt;=66,F_PSpQA=0),AS_SP*F_PSpF*I266,0)</f>
        <v>0</v>
      </c>
      <c r="AJ266" s="1" t="n">
        <f aca="false">IF(AND(F_Partner=1,F_PSpQA=1,C266&gt;=PR_SPage,AH266=0),IF(AG266&gt;=66,PR_QA66,PR_QAunder)*PR_Weeks*I266,0)</f>
        <v>0</v>
      </c>
      <c r="AK266" s="1" t="n">
        <f aca="false">AE266+AJ266</f>
        <v>0</v>
      </c>
      <c r="AL266" s="1" t="n">
        <f aca="false">K266/H266</f>
        <v>0</v>
      </c>
      <c r="AM266" s="1" t="n">
        <f aca="false">AK266/H266</f>
        <v>0</v>
      </c>
      <c r="AN266" s="1" t="n">
        <f aca="false">AC266/H266</f>
        <v>0</v>
      </c>
      <c r="AO266" s="1" t="n">
        <f aca="false">AF266/H266</f>
        <v>0</v>
      </c>
      <c r="AP266" s="1" t="n">
        <f aca="false">O266/H266</f>
        <v>0</v>
      </c>
      <c r="AQ266" s="1" t="n">
        <f aca="false">AH266/H266</f>
        <v>0</v>
      </c>
      <c r="AR266" s="1" t="n">
        <f aca="false">AI266/H266</f>
        <v>0</v>
      </c>
      <c r="AS266" s="1" t="n">
        <f aca="false">MAX(0,AL266+AN266+AO266+AM266-AP266)</f>
        <v>0</v>
      </c>
      <c r="AT266" s="1" t="n">
        <f aca="false">MAX(0,AQ266+AR266)</f>
        <v>0</v>
      </c>
      <c r="AU266" s="1" t="n">
        <f aca="false">MIN(PR_PAYE,PR_PAYEcap*(AL266+AN266+AM266))</f>
        <v>0</v>
      </c>
      <c r="AV266" s="1" t="n">
        <f aca="false">MIN(PR_PAYE,PR_PAYEcap*(AQ266+AR266))</f>
        <v>0</v>
      </c>
      <c r="AW266" s="1" t="n">
        <f aca="false">IF(C266&gt;=PR_AgeCrAge,PR_AgeCr,0)</f>
        <v>0</v>
      </c>
      <c r="AX266" s="1" t="n">
        <f aca="false">IF(AG266&gt;=PR_AgeCrAge,PR_AgeCr,0)</f>
        <v>0</v>
      </c>
      <c r="AY266" s="1" t="n">
        <f aca="false">IF(AND(F_RentCred=1,D266&lt;=PR_RentLast),1,0)</f>
        <v>0</v>
      </c>
      <c r="AZ266" s="1" t="n">
        <f aca="false">AS266+AT266</f>
        <v>0</v>
      </c>
      <c r="BA266" s="1" t="n">
        <f aca="false">PR_PersonalM+AU266+AV266+AW266+AX266+IF(AY266=1,PR_RentJoint,0)</f>
        <v>4000</v>
      </c>
      <c r="BB266" s="1" t="n">
        <f aca="false">PR_BandM+MIN(MIN(AS266,AT266),PR_Uplift)</f>
        <v>53000</v>
      </c>
      <c r="BC266" s="1" t="n">
        <f aca="false">MAX(0,PR_r1*MIN(AZ266,BB266)+PR_r2*MAX(0,AZ266-BB266)-BA266)</f>
        <v>0</v>
      </c>
      <c r="BD266" s="1" t="n">
        <f aca="false">MAX(0,PR_HomeCarer-MAX(0,MIN(AS266,AT266)-PR_HCLimit)/2)</f>
        <v>1950</v>
      </c>
      <c r="BE266" s="1" t="n">
        <f aca="false">IF(F_Carer=1,MIN(BC266,MAX(0,PR_r1*MIN(AZ266,PR_BandM)+PR_r2*MAX(0,AZ266-PR_BandM)-BA266-BD266)),BC266)</f>
        <v>0</v>
      </c>
      <c r="BF266" s="1" t="n">
        <f aca="false">IF(OR(C266&gt;=PR_AgeCrAge,AG266&gt;=PR_AgeCrAge),IF(AZ266&lt;=PR_AgeExM,0,MIN(BE266,PR_AgeMarg*(AZ266-PR_AgeExM))),BE266)</f>
        <v>0</v>
      </c>
      <c r="BG266" s="1" t="n">
        <f aca="false">MAX(0,PR_r1*MIN(AS266,IF(F_Spccc=1,PR_BandSPCCC,PR_Band))+PR_r2*MAX(0,AS266-IF(F_Spccc=1,PR_BandSPCCC,PR_Band))-(PR_Personal+AU266+AW266+IF(F_Spccc=1,PR_SPCCC,0)+IF(AY266=1,PR_Rent,0)))</f>
        <v>0</v>
      </c>
      <c r="BH266" s="1" t="n">
        <f aca="false">IF(C266&gt;=PR_AgeCrAge,IF(AS266&lt;=PR_AgeEx,0,MIN(BG266,PR_AgeMarg*(AS266-PR_AgeEx))),BG266)</f>
        <v>0</v>
      </c>
      <c r="BI266" s="1" t="n">
        <f aca="false">IF(F_Partner=1,MAX(0,PR_r1*MIN(AT266,PR_Band)+PR_r2*MAX(0,AT266-PR_Band)-(PR_Personal+AV266+AX266+IF(AND(AY266=1,AT266&gt;0),PR_Rent,0))),0)</f>
        <v>0</v>
      </c>
      <c r="BJ266" s="1" t="n">
        <f aca="false">IF(AG266&gt;=PR_AgeCrAge,IF(AT266&lt;=PR_AgeEx,0,MIN(BI266,PR_AgeMarg*(AT266-PR_AgeEx))),BI266)</f>
        <v>0</v>
      </c>
      <c r="BK266" s="1" t="n">
        <f aca="false">IF(F_Partner=1,IF(F_Married=1,BF266,BH266+BJ266),BH266)</f>
        <v>0</v>
      </c>
      <c r="BL266" s="1" t="n">
        <f aca="false">AL266+AN266+AO266</f>
        <v>0</v>
      </c>
      <c r="BM266" s="1" t="n">
        <f aca="false">IF(BL266&lt;=PR_USCex,0,IF(IF(AND(C266&gt;=PR_USCredAge,BL266&lt;=PR_USCredMax),1,0)=1,PR_USCr1*MIN(BL266,PR_USCredB1)+PR_USCredR2*MAX(0,BL266-PR_USCredB1),PR_USCr1*MIN(BL266,PR_USCb1)+PR_USCr2*MAX(0,MIN(BL266,PR_USCb2)-PR_USCb1)+PR_USCr3*MAX(0,MIN(BL266,PR_USCb3)-PR_USCb2)+PR_USCr4*MAX(0,BL266-PR_USCb3)))+IF(F_SelfEmp=1,PR_USCse*MAX(0,AL266-PR_USCseOver),0)</f>
        <v>0</v>
      </c>
      <c r="BN266" s="1" t="n">
        <f aca="false">AQ266</f>
        <v>0</v>
      </c>
      <c r="BO266" s="1" t="n">
        <f aca="false">IF(F_Partner=1,IF(BN266&lt;=PR_USCex,0,IF(IF(AND(AG266&gt;=PR_USCredAge,BN266&lt;=PR_USCredMax),1,0)=1,PR_USCr1*MIN(BN266,PR_USCredB1)+PR_USCredR2*MAX(0,BN266-PR_USCredB1),PR_USCr1*MIN(BN266,PR_USCb1)+PR_USCr2*MAX(0,MIN(BN266,PR_USCb2)-PR_USCb1)+PR_USCr3*MAX(0,MIN(BN266,PR_USCb3)-PR_USCb2)+PR_USCr4*MAX(0,BN266-PR_USCb3))),0)</f>
        <v>0</v>
      </c>
      <c r="BP266" s="1" t="n">
        <f aca="false">IF(C266&lt;PR_PRSIend,IF(F_SelfEmp=1,IF(AL266&gt;PR_PRSIsMinInc,MAX(PR_PRSIsMin,AL266*J266),0),IF(AL266/52&lt;=PR_PRSIfree,0,MAX(0,(AL266/52*J266-IF(AL266/52&lt;=PR_PRSIcreditTo,MAX(0,PR_PRSIcreditMax-(AL266/52-(PR_PRSIfree+0.01))/PR_PRSItaper),0))*52)))+J266*AN266+IF(AO266&gt;PR_PRSIunearned,J266*AO266,0),0)</f>
        <v>0</v>
      </c>
      <c r="BQ266" s="1" t="n">
        <f aca="false">IF(AND(F_Partner=1,AG266&lt;PR_PRSIend),IF(AQ266/52&lt;=PR_PRSIfree,0,MAX(0,(AQ266/52*J266-IF(AQ266/52&lt;=PR_PRSIcreditTo,MAX(0,PR_PRSIcreditMax-(AQ266/52-(PR_PRSIfree+0.01))/PR_PRSItaper),0))*52)),0)</f>
        <v>0</v>
      </c>
      <c r="BR266" s="1" t="n">
        <f aca="false">BK266+BM266+BO266+BP266+BQ266</f>
        <v>0</v>
      </c>
      <c r="BS266" s="1" t="n">
        <f aca="false">BR266*H266</f>
        <v>0</v>
      </c>
      <c r="BT266" s="1" t="n">
        <f aca="false">K266+AK266+AC266+AF266+AH266+AI266</f>
        <v>0</v>
      </c>
    </row>
    <row r="267" customFormat="false" ht="15" hidden="false" customHeight="false" outlineLevel="0" collapsed="false">
      <c r="B267" s="1" t="n">
        <v>57</v>
      </c>
      <c r="C267" s="1" t="n">
        <f aca="false">F_Age+B267</f>
        <v>57</v>
      </c>
      <c r="D267" s="1" t="n">
        <f aca="false">AS_Year0+B267</f>
        <v>2084</v>
      </c>
      <c r="E267" s="106" t="n">
        <f aca="false">(1+AS_Infl)^B267</f>
        <v>3.09178859221323</v>
      </c>
      <c r="F267" s="106" t="n">
        <f aca="false">(1+AS_Wage)^B267</f>
        <v>5.39165144088665</v>
      </c>
      <c r="G267" s="1" t="n">
        <f aca="false">IF(C267&lt;F_R,1,0)</f>
        <v>0</v>
      </c>
      <c r="H267" s="106" t="n">
        <f aca="false">IF(AS_Bands="flat",1,E267)</f>
        <v>3.09178859221323</v>
      </c>
      <c r="I267" s="106" t="n">
        <f aca="false">IF(AS_SpGrow="pay",F267,IF(AS_SpGrow="flat",1,E267))</f>
        <v>3.09178859221323</v>
      </c>
      <c r="J267" s="106" t="n">
        <f aca="false">(12*PR_PRSIr0+(PR_PRSIr1-PR_PRSIr0)*MAX(0,MIN(12,D267*12+12-PR_PRSIt1))+(PR_PRSIr2-PR_PRSIr1)*MAX(0,MIN(12,D267*12+12-PR_PRSIt2))+(PR_PRSIr3-PR_PRSIr2)*MAX(0,MIN(12,D267*12+12-PR_PRSIt3)))/12</f>
        <v>0.047</v>
      </c>
      <c r="K267" s="1" t="n">
        <f aca="false">IF(G267=1,F_Income*F267,0)</f>
        <v>0</v>
      </c>
      <c r="L267" s="1" t="n">
        <f aca="false">IF(G267=1,(F_Own+In_penExtra)*12*F267,0)</f>
        <v>0</v>
      </c>
      <c r="M267" s="1" t="n">
        <f aca="false">IF(G267=1,(F_PenM+In_penExtra)*12*F267,0)</f>
        <v>0</v>
      </c>
      <c r="N267" s="107" t="n">
        <f aca="false">IF(C267&lt;PR_RelA1,PR_RelP1,IF(C267&lt;PR_RelA2,PR_RelP2,IF(C267&lt;PR_RelA3,PR_RelP3,IF(C267&lt;PR_RelA4,PR_RelP4,IF(C267&lt;PR_RelA5,PR_RelP5,PR_RelP6)))))</f>
        <v>0.35</v>
      </c>
      <c r="O267" s="1" t="n">
        <f aca="false">IF(G267=1,MIN(L267/H267,N267*MIN(K267/H267,PR_EarnCap))*H267,0)</f>
        <v>0</v>
      </c>
      <c r="P267" s="1" t="n">
        <f aca="false">IF(AND(G267=1,F_AE=1),MIN(K267/H267,PR_AEcap)*H267,0)</f>
        <v>0</v>
      </c>
      <c r="Q267" s="1" t="n">
        <f aca="false">IF(G267=1,IF(WI_Retire=1,MAX(0,M267+WI_M*12),M267)+(PR_AEee+PR_AEer+PR_AEst)*P267,0)</f>
        <v>0</v>
      </c>
      <c r="R267" s="1" t="n">
        <f aca="false">L267+PR_AEee*P267</f>
        <v>0</v>
      </c>
      <c r="S267" s="1" t="n">
        <f aca="false">AD266</f>
        <v>0</v>
      </c>
      <c r="T267" s="1" t="n">
        <f aca="false">IF(D267&lt;=2026,PR_SFT2026,IF(D267=2027,PR_SFT2027,IF(D267=2028,PR_SFT2028,IF(D267=2029,PR_SFT2029,PR_SFT2029*(1+AS_Infl)^(D267-2029)))))</f>
        <v>8320845.88446466</v>
      </c>
      <c r="U267" s="1" t="n">
        <f aca="false">IF(AND(G267=0,C267=F_V),1,0)</f>
        <v>0</v>
      </c>
      <c r="V267" s="1" t="n">
        <f aca="false">IF(U267=1,PR_SFTrate*MAX(0,S267-T267),0)</f>
        <v>0</v>
      </c>
      <c r="W267" s="1" t="n">
        <f aca="false">S267-V267</f>
        <v>0</v>
      </c>
      <c r="X267" s="1" t="n">
        <f aca="false">IF(AND(U267=1,AS_LumpPct&gt;0),W267*MIN(AS_LumpPct,PR_LSmax),0)</f>
        <v>0</v>
      </c>
      <c r="Y267" s="1" t="n">
        <f aca="false">X267-(PR_LSrate*MAX(0,MIN(X267,PR_LScap)-PR_LSfree)+PR_r2*MAX(0,X267-PR_LScap))</f>
        <v>0</v>
      </c>
      <c r="Z267" s="1" t="n">
        <f aca="false">W267-X267</f>
        <v>0</v>
      </c>
      <c r="AA267" s="107" t="n">
        <f aca="false">IF(C267&gt;=61,IF(Z267&gt;PR_ARFbig,PR_ARFbigRate,IF(C267&gt;=71,PR_ARF71,PR_ARF61)),0)</f>
        <v>0</v>
      </c>
      <c r="AB267" s="1" t="n">
        <f aca="false">IF(AS_DrawRule="min",Z267*AA267,IF(AS_DrawRule="fixed",MAX(AS_DrawFixed*E267,Z267*AA267),Z267*MAX(1/MAX(1,AS_End-C267+1),AA267)))</f>
        <v>0</v>
      </c>
      <c r="AC267" s="1" t="n">
        <f aca="false">IF(AND(G267=0,C267&gt;=F_V),MIN(Z267,AB267),0)</f>
        <v>0</v>
      </c>
      <c r="AD267" s="1" t="n">
        <f aca="false">IF(G267=1,S267*(1+F_PenG)+Q267,IF(C267&lt;F_V,S267*(1+F_PenG),(Z267-AC267)*(1+AS_PenRet)))</f>
        <v>0</v>
      </c>
      <c r="AE267" s="1" t="n">
        <f aca="false">IF(C267&gt;=PR_SPage,AS_SP*F_SpF*I267+IF(C267&gt;=80,PR_Over80*PR_Weeks*I267,0),0)</f>
        <v>0</v>
      </c>
      <c r="AF267" s="1" t="n">
        <f aca="false">(F_OtherM+F_RentM)*12*E267</f>
        <v>0</v>
      </c>
      <c r="AG267" s="1" t="n">
        <f aca="false">F_PAge+B267</f>
        <v>57</v>
      </c>
      <c r="AH267" s="1" t="n">
        <f aca="false">IF(AND(F_Partner=1,F_PAge&gt;0,AG267&lt;IF(F_PRet&gt;0,F_PRet,66)),F_PIncome*F267,0)</f>
        <v>0</v>
      </c>
      <c r="AI267" s="1" t="n">
        <f aca="false">IF(AND(F_Partner=1,AG267&gt;=66,F_PSpQA=0),AS_SP*F_PSpF*I267,0)</f>
        <v>0</v>
      </c>
      <c r="AJ267" s="1" t="n">
        <f aca="false">IF(AND(F_Partner=1,F_PSpQA=1,C267&gt;=PR_SPage,AH267=0),IF(AG267&gt;=66,PR_QA66,PR_QAunder)*PR_Weeks*I267,0)</f>
        <v>0</v>
      </c>
      <c r="AK267" s="1" t="n">
        <f aca="false">AE267+AJ267</f>
        <v>0</v>
      </c>
      <c r="AL267" s="1" t="n">
        <f aca="false">K267/H267</f>
        <v>0</v>
      </c>
      <c r="AM267" s="1" t="n">
        <f aca="false">AK267/H267</f>
        <v>0</v>
      </c>
      <c r="AN267" s="1" t="n">
        <f aca="false">AC267/H267</f>
        <v>0</v>
      </c>
      <c r="AO267" s="1" t="n">
        <f aca="false">AF267/H267</f>
        <v>0</v>
      </c>
      <c r="AP267" s="1" t="n">
        <f aca="false">O267/H267</f>
        <v>0</v>
      </c>
      <c r="AQ267" s="1" t="n">
        <f aca="false">AH267/H267</f>
        <v>0</v>
      </c>
      <c r="AR267" s="1" t="n">
        <f aca="false">AI267/H267</f>
        <v>0</v>
      </c>
      <c r="AS267" s="1" t="n">
        <f aca="false">MAX(0,AL267+AN267+AO267+AM267-AP267)</f>
        <v>0</v>
      </c>
      <c r="AT267" s="1" t="n">
        <f aca="false">MAX(0,AQ267+AR267)</f>
        <v>0</v>
      </c>
      <c r="AU267" s="1" t="n">
        <f aca="false">MIN(PR_PAYE,PR_PAYEcap*(AL267+AN267+AM267))</f>
        <v>0</v>
      </c>
      <c r="AV267" s="1" t="n">
        <f aca="false">MIN(PR_PAYE,PR_PAYEcap*(AQ267+AR267))</f>
        <v>0</v>
      </c>
      <c r="AW267" s="1" t="n">
        <f aca="false">IF(C267&gt;=PR_AgeCrAge,PR_AgeCr,0)</f>
        <v>0</v>
      </c>
      <c r="AX267" s="1" t="n">
        <f aca="false">IF(AG267&gt;=PR_AgeCrAge,PR_AgeCr,0)</f>
        <v>0</v>
      </c>
      <c r="AY267" s="1" t="n">
        <f aca="false">IF(AND(F_RentCred=1,D267&lt;=PR_RentLast),1,0)</f>
        <v>0</v>
      </c>
      <c r="AZ267" s="1" t="n">
        <f aca="false">AS267+AT267</f>
        <v>0</v>
      </c>
      <c r="BA267" s="1" t="n">
        <f aca="false">PR_PersonalM+AU267+AV267+AW267+AX267+IF(AY267=1,PR_RentJoint,0)</f>
        <v>4000</v>
      </c>
      <c r="BB267" s="1" t="n">
        <f aca="false">PR_BandM+MIN(MIN(AS267,AT267),PR_Uplift)</f>
        <v>53000</v>
      </c>
      <c r="BC267" s="1" t="n">
        <f aca="false">MAX(0,PR_r1*MIN(AZ267,BB267)+PR_r2*MAX(0,AZ267-BB267)-BA267)</f>
        <v>0</v>
      </c>
      <c r="BD267" s="1" t="n">
        <f aca="false">MAX(0,PR_HomeCarer-MAX(0,MIN(AS267,AT267)-PR_HCLimit)/2)</f>
        <v>1950</v>
      </c>
      <c r="BE267" s="1" t="n">
        <f aca="false">IF(F_Carer=1,MIN(BC267,MAX(0,PR_r1*MIN(AZ267,PR_BandM)+PR_r2*MAX(0,AZ267-PR_BandM)-BA267-BD267)),BC267)</f>
        <v>0</v>
      </c>
      <c r="BF267" s="1" t="n">
        <f aca="false">IF(OR(C267&gt;=PR_AgeCrAge,AG267&gt;=PR_AgeCrAge),IF(AZ267&lt;=PR_AgeExM,0,MIN(BE267,PR_AgeMarg*(AZ267-PR_AgeExM))),BE267)</f>
        <v>0</v>
      </c>
      <c r="BG267" s="1" t="n">
        <f aca="false">MAX(0,PR_r1*MIN(AS267,IF(F_Spccc=1,PR_BandSPCCC,PR_Band))+PR_r2*MAX(0,AS267-IF(F_Spccc=1,PR_BandSPCCC,PR_Band))-(PR_Personal+AU267+AW267+IF(F_Spccc=1,PR_SPCCC,0)+IF(AY267=1,PR_Rent,0)))</f>
        <v>0</v>
      </c>
      <c r="BH267" s="1" t="n">
        <f aca="false">IF(C267&gt;=PR_AgeCrAge,IF(AS267&lt;=PR_AgeEx,0,MIN(BG267,PR_AgeMarg*(AS267-PR_AgeEx))),BG267)</f>
        <v>0</v>
      </c>
      <c r="BI267" s="1" t="n">
        <f aca="false">IF(F_Partner=1,MAX(0,PR_r1*MIN(AT267,PR_Band)+PR_r2*MAX(0,AT267-PR_Band)-(PR_Personal+AV267+AX267+IF(AND(AY267=1,AT267&gt;0),PR_Rent,0))),0)</f>
        <v>0</v>
      </c>
      <c r="BJ267" s="1" t="n">
        <f aca="false">IF(AG267&gt;=PR_AgeCrAge,IF(AT267&lt;=PR_AgeEx,0,MIN(BI267,PR_AgeMarg*(AT267-PR_AgeEx))),BI267)</f>
        <v>0</v>
      </c>
      <c r="BK267" s="1" t="n">
        <f aca="false">IF(F_Partner=1,IF(F_Married=1,BF267,BH267+BJ267),BH267)</f>
        <v>0</v>
      </c>
      <c r="BL267" s="1" t="n">
        <f aca="false">AL267+AN267+AO267</f>
        <v>0</v>
      </c>
      <c r="BM267" s="1" t="n">
        <f aca="false">IF(BL267&lt;=PR_USCex,0,IF(IF(AND(C267&gt;=PR_USCredAge,BL267&lt;=PR_USCredMax),1,0)=1,PR_USCr1*MIN(BL267,PR_USCredB1)+PR_USCredR2*MAX(0,BL267-PR_USCredB1),PR_USCr1*MIN(BL267,PR_USCb1)+PR_USCr2*MAX(0,MIN(BL267,PR_USCb2)-PR_USCb1)+PR_USCr3*MAX(0,MIN(BL267,PR_USCb3)-PR_USCb2)+PR_USCr4*MAX(0,BL267-PR_USCb3)))+IF(F_SelfEmp=1,PR_USCse*MAX(0,AL267-PR_USCseOver),0)</f>
        <v>0</v>
      </c>
      <c r="BN267" s="1" t="n">
        <f aca="false">AQ267</f>
        <v>0</v>
      </c>
      <c r="BO267" s="1" t="n">
        <f aca="false">IF(F_Partner=1,IF(BN267&lt;=PR_USCex,0,IF(IF(AND(AG267&gt;=PR_USCredAge,BN267&lt;=PR_USCredMax),1,0)=1,PR_USCr1*MIN(BN267,PR_USCredB1)+PR_USCredR2*MAX(0,BN267-PR_USCredB1),PR_USCr1*MIN(BN267,PR_USCb1)+PR_USCr2*MAX(0,MIN(BN267,PR_USCb2)-PR_USCb1)+PR_USCr3*MAX(0,MIN(BN267,PR_USCb3)-PR_USCb2)+PR_USCr4*MAX(0,BN267-PR_USCb3))),0)</f>
        <v>0</v>
      </c>
      <c r="BP267" s="1" t="n">
        <f aca="false">IF(C267&lt;PR_PRSIend,IF(F_SelfEmp=1,IF(AL267&gt;PR_PRSIsMinInc,MAX(PR_PRSIsMin,AL267*J267),0),IF(AL267/52&lt;=PR_PRSIfree,0,MAX(0,(AL267/52*J267-IF(AL267/52&lt;=PR_PRSIcreditTo,MAX(0,PR_PRSIcreditMax-(AL267/52-(PR_PRSIfree+0.01))/PR_PRSItaper),0))*52)))+J267*AN267+IF(AO267&gt;PR_PRSIunearned,J267*AO267,0),0)</f>
        <v>0</v>
      </c>
      <c r="BQ267" s="1" t="n">
        <f aca="false">IF(AND(F_Partner=1,AG267&lt;PR_PRSIend),IF(AQ267/52&lt;=PR_PRSIfree,0,MAX(0,(AQ267/52*J267-IF(AQ267/52&lt;=PR_PRSIcreditTo,MAX(0,PR_PRSIcreditMax-(AQ267/52-(PR_PRSIfree+0.01))/PR_PRSItaper),0))*52)),0)</f>
        <v>0</v>
      </c>
      <c r="BR267" s="1" t="n">
        <f aca="false">BK267+BM267+BO267+BP267+BQ267</f>
        <v>0</v>
      </c>
      <c r="BS267" s="1" t="n">
        <f aca="false">BR267*H267</f>
        <v>0</v>
      </c>
      <c r="BT267" s="1" t="n">
        <f aca="false">K267+AK267+AC267+AF267+AH267+AI267</f>
        <v>0</v>
      </c>
    </row>
    <row r="268" customFormat="false" ht="15" hidden="false" customHeight="false" outlineLevel="0" collapsed="false">
      <c r="B268" s="1" t="n">
        <v>58</v>
      </c>
      <c r="C268" s="1" t="n">
        <f aca="false">F_Age+B268</f>
        <v>58</v>
      </c>
      <c r="D268" s="1" t="n">
        <f aca="false">AS_Year0+B268</f>
        <v>2085</v>
      </c>
      <c r="E268" s="106" t="n">
        <f aca="false">(1+AS_Infl)^B268</f>
        <v>3.15362436405749</v>
      </c>
      <c r="F268" s="106" t="n">
        <f aca="false">(1+AS_Wage)^B268</f>
        <v>5.55340098411325</v>
      </c>
      <c r="G268" s="1" t="n">
        <f aca="false">IF(C268&lt;F_R,1,0)</f>
        <v>0</v>
      </c>
      <c r="H268" s="106" t="n">
        <f aca="false">IF(AS_Bands="flat",1,E268)</f>
        <v>3.15362436405749</v>
      </c>
      <c r="I268" s="106" t="n">
        <f aca="false">IF(AS_SpGrow="pay",F268,IF(AS_SpGrow="flat",1,E268))</f>
        <v>3.15362436405749</v>
      </c>
      <c r="J268" s="106" t="n">
        <f aca="false">(12*PR_PRSIr0+(PR_PRSIr1-PR_PRSIr0)*MAX(0,MIN(12,D268*12+12-PR_PRSIt1))+(PR_PRSIr2-PR_PRSIr1)*MAX(0,MIN(12,D268*12+12-PR_PRSIt2))+(PR_PRSIr3-PR_PRSIr2)*MAX(0,MIN(12,D268*12+12-PR_PRSIt3)))/12</f>
        <v>0.047</v>
      </c>
      <c r="K268" s="1" t="n">
        <f aca="false">IF(G268=1,F_Income*F268,0)</f>
        <v>0</v>
      </c>
      <c r="L268" s="1" t="n">
        <f aca="false">IF(G268=1,(F_Own+In_penExtra)*12*F268,0)</f>
        <v>0</v>
      </c>
      <c r="M268" s="1" t="n">
        <f aca="false">IF(G268=1,(F_PenM+In_penExtra)*12*F268,0)</f>
        <v>0</v>
      </c>
      <c r="N268" s="107" t="n">
        <f aca="false">IF(C268&lt;PR_RelA1,PR_RelP1,IF(C268&lt;PR_RelA2,PR_RelP2,IF(C268&lt;PR_RelA3,PR_RelP3,IF(C268&lt;PR_RelA4,PR_RelP4,IF(C268&lt;PR_RelA5,PR_RelP5,PR_RelP6)))))</f>
        <v>0.35</v>
      </c>
      <c r="O268" s="1" t="n">
        <f aca="false">IF(G268=1,MIN(L268/H268,N268*MIN(K268/H268,PR_EarnCap))*H268,0)</f>
        <v>0</v>
      </c>
      <c r="P268" s="1" t="n">
        <f aca="false">IF(AND(G268=1,F_AE=1),MIN(K268/H268,PR_AEcap)*H268,0)</f>
        <v>0</v>
      </c>
      <c r="Q268" s="1" t="n">
        <f aca="false">IF(G268=1,IF(WI_Retire=1,MAX(0,M268+WI_M*12),M268)+(PR_AEee+PR_AEer+PR_AEst)*P268,0)</f>
        <v>0</v>
      </c>
      <c r="R268" s="1" t="n">
        <f aca="false">L268+PR_AEee*P268</f>
        <v>0</v>
      </c>
      <c r="S268" s="1" t="n">
        <f aca="false">AD267</f>
        <v>0</v>
      </c>
      <c r="T268" s="1" t="n">
        <f aca="false">IF(D268&lt;=2026,PR_SFT2026,IF(D268=2027,PR_SFT2027,IF(D268=2028,PR_SFT2028,IF(D268=2029,PR_SFT2029,PR_SFT2029*(1+AS_Infl)^(D268-2029)))))</f>
        <v>8487262.80215396</v>
      </c>
      <c r="U268" s="1" t="n">
        <f aca="false">IF(AND(G268=0,C268=F_V),1,0)</f>
        <v>0</v>
      </c>
      <c r="V268" s="1" t="n">
        <f aca="false">IF(U268=1,PR_SFTrate*MAX(0,S268-T268),0)</f>
        <v>0</v>
      </c>
      <c r="W268" s="1" t="n">
        <f aca="false">S268-V268</f>
        <v>0</v>
      </c>
      <c r="X268" s="1" t="n">
        <f aca="false">IF(AND(U268=1,AS_LumpPct&gt;0),W268*MIN(AS_LumpPct,PR_LSmax),0)</f>
        <v>0</v>
      </c>
      <c r="Y268" s="1" t="n">
        <f aca="false">X268-(PR_LSrate*MAX(0,MIN(X268,PR_LScap)-PR_LSfree)+PR_r2*MAX(0,X268-PR_LScap))</f>
        <v>0</v>
      </c>
      <c r="Z268" s="1" t="n">
        <f aca="false">W268-X268</f>
        <v>0</v>
      </c>
      <c r="AA268" s="107" t="n">
        <f aca="false">IF(C268&gt;=61,IF(Z268&gt;PR_ARFbig,PR_ARFbigRate,IF(C268&gt;=71,PR_ARF71,PR_ARF61)),0)</f>
        <v>0</v>
      </c>
      <c r="AB268" s="1" t="n">
        <f aca="false">IF(AS_DrawRule="min",Z268*AA268,IF(AS_DrawRule="fixed",MAX(AS_DrawFixed*E268,Z268*AA268),Z268*MAX(1/MAX(1,AS_End-C268+1),AA268)))</f>
        <v>0</v>
      </c>
      <c r="AC268" s="1" t="n">
        <f aca="false">IF(AND(G268=0,C268&gt;=F_V),MIN(Z268,AB268),0)</f>
        <v>0</v>
      </c>
      <c r="AD268" s="1" t="n">
        <f aca="false">IF(G268=1,S268*(1+F_PenG)+Q268,IF(C268&lt;F_V,S268*(1+F_PenG),(Z268-AC268)*(1+AS_PenRet)))</f>
        <v>0</v>
      </c>
      <c r="AE268" s="1" t="n">
        <f aca="false">IF(C268&gt;=PR_SPage,AS_SP*F_SpF*I268+IF(C268&gt;=80,PR_Over80*PR_Weeks*I268,0),0)</f>
        <v>0</v>
      </c>
      <c r="AF268" s="1" t="n">
        <f aca="false">(F_OtherM+F_RentM)*12*E268</f>
        <v>0</v>
      </c>
      <c r="AG268" s="1" t="n">
        <f aca="false">F_PAge+B268</f>
        <v>58</v>
      </c>
      <c r="AH268" s="1" t="n">
        <f aca="false">IF(AND(F_Partner=1,F_PAge&gt;0,AG268&lt;IF(F_PRet&gt;0,F_PRet,66)),F_PIncome*F268,0)</f>
        <v>0</v>
      </c>
      <c r="AI268" s="1" t="n">
        <f aca="false">IF(AND(F_Partner=1,AG268&gt;=66,F_PSpQA=0),AS_SP*F_PSpF*I268,0)</f>
        <v>0</v>
      </c>
      <c r="AJ268" s="1" t="n">
        <f aca="false">IF(AND(F_Partner=1,F_PSpQA=1,C268&gt;=PR_SPage,AH268=0),IF(AG268&gt;=66,PR_QA66,PR_QAunder)*PR_Weeks*I268,0)</f>
        <v>0</v>
      </c>
      <c r="AK268" s="1" t="n">
        <f aca="false">AE268+AJ268</f>
        <v>0</v>
      </c>
      <c r="AL268" s="1" t="n">
        <f aca="false">K268/H268</f>
        <v>0</v>
      </c>
      <c r="AM268" s="1" t="n">
        <f aca="false">AK268/H268</f>
        <v>0</v>
      </c>
      <c r="AN268" s="1" t="n">
        <f aca="false">AC268/H268</f>
        <v>0</v>
      </c>
      <c r="AO268" s="1" t="n">
        <f aca="false">AF268/H268</f>
        <v>0</v>
      </c>
      <c r="AP268" s="1" t="n">
        <f aca="false">O268/H268</f>
        <v>0</v>
      </c>
      <c r="AQ268" s="1" t="n">
        <f aca="false">AH268/H268</f>
        <v>0</v>
      </c>
      <c r="AR268" s="1" t="n">
        <f aca="false">AI268/H268</f>
        <v>0</v>
      </c>
      <c r="AS268" s="1" t="n">
        <f aca="false">MAX(0,AL268+AN268+AO268+AM268-AP268)</f>
        <v>0</v>
      </c>
      <c r="AT268" s="1" t="n">
        <f aca="false">MAX(0,AQ268+AR268)</f>
        <v>0</v>
      </c>
      <c r="AU268" s="1" t="n">
        <f aca="false">MIN(PR_PAYE,PR_PAYEcap*(AL268+AN268+AM268))</f>
        <v>0</v>
      </c>
      <c r="AV268" s="1" t="n">
        <f aca="false">MIN(PR_PAYE,PR_PAYEcap*(AQ268+AR268))</f>
        <v>0</v>
      </c>
      <c r="AW268" s="1" t="n">
        <f aca="false">IF(C268&gt;=PR_AgeCrAge,PR_AgeCr,0)</f>
        <v>0</v>
      </c>
      <c r="AX268" s="1" t="n">
        <f aca="false">IF(AG268&gt;=PR_AgeCrAge,PR_AgeCr,0)</f>
        <v>0</v>
      </c>
      <c r="AY268" s="1" t="n">
        <f aca="false">IF(AND(F_RentCred=1,D268&lt;=PR_RentLast),1,0)</f>
        <v>0</v>
      </c>
      <c r="AZ268" s="1" t="n">
        <f aca="false">AS268+AT268</f>
        <v>0</v>
      </c>
      <c r="BA268" s="1" t="n">
        <f aca="false">PR_PersonalM+AU268+AV268+AW268+AX268+IF(AY268=1,PR_RentJoint,0)</f>
        <v>4000</v>
      </c>
      <c r="BB268" s="1" t="n">
        <f aca="false">PR_BandM+MIN(MIN(AS268,AT268),PR_Uplift)</f>
        <v>53000</v>
      </c>
      <c r="BC268" s="1" t="n">
        <f aca="false">MAX(0,PR_r1*MIN(AZ268,BB268)+PR_r2*MAX(0,AZ268-BB268)-BA268)</f>
        <v>0</v>
      </c>
      <c r="BD268" s="1" t="n">
        <f aca="false">MAX(0,PR_HomeCarer-MAX(0,MIN(AS268,AT268)-PR_HCLimit)/2)</f>
        <v>1950</v>
      </c>
      <c r="BE268" s="1" t="n">
        <f aca="false">IF(F_Carer=1,MIN(BC268,MAX(0,PR_r1*MIN(AZ268,PR_BandM)+PR_r2*MAX(0,AZ268-PR_BandM)-BA268-BD268)),BC268)</f>
        <v>0</v>
      </c>
      <c r="BF268" s="1" t="n">
        <f aca="false">IF(OR(C268&gt;=PR_AgeCrAge,AG268&gt;=PR_AgeCrAge),IF(AZ268&lt;=PR_AgeExM,0,MIN(BE268,PR_AgeMarg*(AZ268-PR_AgeExM))),BE268)</f>
        <v>0</v>
      </c>
      <c r="BG268" s="1" t="n">
        <f aca="false">MAX(0,PR_r1*MIN(AS268,IF(F_Spccc=1,PR_BandSPCCC,PR_Band))+PR_r2*MAX(0,AS268-IF(F_Spccc=1,PR_BandSPCCC,PR_Band))-(PR_Personal+AU268+AW268+IF(F_Spccc=1,PR_SPCCC,0)+IF(AY268=1,PR_Rent,0)))</f>
        <v>0</v>
      </c>
      <c r="BH268" s="1" t="n">
        <f aca="false">IF(C268&gt;=PR_AgeCrAge,IF(AS268&lt;=PR_AgeEx,0,MIN(BG268,PR_AgeMarg*(AS268-PR_AgeEx))),BG268)</f>
        <v>0</v>
      </c>
      <c r="BI268" s="1" t="n">
        <f aca="false">IF(F_Partner=1,MAX(0,PR_r1*MIN(AT268,PR_Band)+PR_r2*MAX(0,AT268-PR_Band)-(PR_Personal+AV268+AX268+IF(AND(AY268=1,AT268&gt;0),PR_Rent,0))),0)</f>
        <v>0</v>
      </c>
      <c r="BJ268" s="1" t="n">
        <f aca="false">IF(AG268&gt;=PR_AgeCrAge,IF(AT268&lt;=PR_AgeEx,0,MIN(BI268,PR_AgeMarg*(AT268-PR_AgeEx))),BI268)</f>
        <v>0</v>
      </c>
      <c r="BK268" s="1" t="n">
        <f aca="false">IF(F_Partner=1,IF(F_Married=1,BF268,BH268+BJ268),BH268)</f>
        <v>0</v>
      </c>
      <c r="BL268" s="1" t="n">
        <f aca="false">AL268+AN268+AO268</f>
        <v>0</v>
      </c>
      <c r="BM268" s="1" t="n">
        <f aca="false">IF(BL268&lt;=PR_USCex,0,IF(IF(AND(C268&gt;=PR_USCredAge,BL268&lt;=PR_USCredMax),1,0)=1,PR_USCr1*MIN(BL268,PR_USCredB1)+PR_USCredR2*MAX(0,BL268-PR_USCredB1),PR_USCr1*MIN(BL268,PR_USCb1)+PR_USCr2*MAX(0,MIN(BL268,PR_USCb2)-PR_USCb1)+PR_USCr3*MAX(0,MIN(BL268,PR_USCb3)-PR_USCb2)+PR_USCr4*MAX(0,BL268-PR_USCb3)))+IF(F_SelfEmp=1,PR_USCse*MAX(0,AL268-PR_USCseOver),0)</f>
        <v>0</v>
      </c>
      <c r="BN268" s="1" t="n">
        <f aca="false">AQ268</f>
        <v>0</v>
      </c>
      <c r="BO268" s="1" t="n">
        <f aca="false">IF(F_Partner=1,IF(BN268&lt;=PR_USCex,0,IF(IF(AND(AG268&gt;=PR_USCredAge,BN268&lt;=PR_USCredMax),1,0)=1,PR_USCr1*MIN(BN268,PR_USCredB1)+PR_USCredR2*MAX(0,BN268-PR_USCredB1),PR_USCr1*MIN(BN268,PR_USCb1)+PR_USCr2*MAX(0,MIN(BN268,PR_USCb2)-PR_USCb1)+PR_USCr3*MAX(0,MIN(BN268,PR_USCb3)-PR_USCb2)+PR_USCr4*MAX(0,BN268-PR_USCb3))),0)</f>
        <v>0</v>
      </c>
      <c r="BP268" s="1" t="n">
        <f aca="false">IF(C268&lt;PR_PRSIend,IF(F_SelfEmp=1,IF(AL268&gt;PR_PRSIsMinInc,MAX(PR_PRSIsMin,AL268*J268),0),IF(AL268/52&lt;=PR_PRSIfree,0,MAX(0,(AL268/52*J268-IF(AL268/52&lt;=PR_PRSIcreditTo,MAX(0,PR_PRSIcreditMax-(AL268/52-(PR_PRSIfree+0.01))/PR_PRSItaper),0))*52)))+J268*AN268+IF(AO268&gt;PR_PRSIunearned,J268*AO268,0),0)</f>
        <v>0</v>
      </c>
      <c r="BQ268" s="1" t="n">
        <f aca="false">IF(AND(F_Partner=1,AG268&lt;PR_PRSIend),IF(AQ268/52&lt;=PR_PRSIfree,0,MAX(0,(AQ268/52*J268-IF(AQ268/52&lt;=PR_PRSIcreditTo,MAX(0,PR_PRSIcreditMax-(AQ268/52-(PR_PRSIfree+0.01))/PR_PRSItaper),0))*52)),0)</f>
        <v>0</v>
      </c>
      <c r="BR268" s="1" t="n">
        <f aca="false">BK268+BM268+BO268+BP268+BQ268</f>
        <v>0</v>
      </c>
      <c r="BS268" s="1" t="n">
        <f aca="false">BR268*H268</f>
        <v>0</v>
      </c>
      <c r="BT268" s="1" t="n">
        <f aca="false">K268+AK268+AC268+AF268+AH268+AI268</f>
        <v>0</v>
      </c>
    </row>
    <row r="269" customFormat="false" ht="15" hidden="false" customHeight="false" outlineLevel="0" collapsed="false">
      <c r="B269" s="1" t="n">
        <v>59</v>
      </c>
      <c r="C269" s="1" t="n">
        <f aca="false">F_Age+B269</f>
        <v>59</v>
      </c>
      <c r="D269" s="1" t="n">
        <f aca="false">AS_Year0+B269</f>
        <v>2086</v>
      </c>
      <c r="E269" s="106" t="n">
        <f aca="false">(1+AS_Infl)^B269</f>
        <v>3.21669685133864</v>
      </c>
      <c r="F269" s="106" t="n">
        <f aca="false">(1+AS_Wage)^B269</f>
        <v>5.72000301363665</v>
      </c>
      <c r="G269" s="1" t="n">
        <f aca="false">IF(C269&lt;F_R,1,0)</f>
        <v>0</v>
      </c>
      <c r="H269" s="106" t="n">
        <f aca="false">IF(AS_Bands="flat",1,E269)</f>
        <v>3.21669685133864</v>
      </c>
      <c r="I269" s="106" t="n">
        <f aca="false">IF(AS_SpGrow="pay",F269,IF(AS_SpGrow="flat",1,E269))</f>
        <v>3.21669685133864</v>
      </c>
      <c r="J269" s="106" t="n">
        <f aca="false">(12*PR_PRSIr0+(PR_PRSIr1-PR_PRSIr0)*MAX(0,MIN(12,D269*12+12-PR_PRSIt1))+(PR_PRSIr2-PR_PRSIr1)*MAX(0,MIN(12,D269*12+12-PR_PRSIt2))+(PR_PRSIr3-PR_PRSIr2)*MAX(0,MIN(12,D269*12+12-PR_PRSIt3)))/12</f>
        <v>0.047</v>
      </c>
      <c r="K269" s="1" t="n">
        <f aca="false">IF(G269=1,F_Income*F269,0)</f>
        <v>0</v>
      </c>
      <c r="L269" s="1" t="n">
        <f aca="false">IF(G269=1,(F_Own+In_penExtra)*12*F269,0)</f>
        <v>0</v>
      </c>
      <c r="M269" s="1" t="n">
        <f aca="false">IF(G269=1,(F_PenM+In_penExtra)*12*F269,0)</f>
        <v>0</v>
      </c>
      <c r="N269" s="107" t="n">
        <f aca="false">IF(C269&lt;PR_RelA1,PR_RelP1,IF(C269&lt;PR_RelA2,PR_RelP2,IF(C269&lt;PR_RelA3,PR_RelP3,IF(C269&lt;PR_RelA4,PR_RelP4,IF(C269&lt;PR_RelA5,PR_RelP5,PR_RelP6)))))</f>
        <v>0.35</v>
      </c>
      <c r="O269" s="1" t="n">
        <f aca="false">IF(G269=1,MIN(L269/H269,N269*MIN(K269/H269,PR_EarnCap))*H269,0)</f>
        <v>0</v>
      </c>
      <c r="P269" s="1" t="n">
        <f aca="false">IF(AND(G269=1,F_AE=1),MIN(K269/H269,PR_AEcap)*H269,0)</f>
        <v>0</v>
      </c>
      <c r="Q269" s="1" t="n">
        <f aca="false">IF(G269=1,IF(WI_Retire=1,MAX(0,M269+WI_M*12),M269)+(PR_AEee+PR_AEer+PR_AEst)*P269,0)</f>
        <v>0</v>
      </c>
      <c r="R269" s="1" t="n">
        <f aca="false">L269+PR_AEee*P269</f>
        <v>0</v>
      </c>
      <c r="S269" s="1" t="n">
        <f aca="false">AD268</f>
        <v>0</v>
      </c>
      <c r="T269" s="1" t="n">
        <f aca="false">IF(D269&lt;=2026,PR_SFT2026,IF(D269=2027,PR_SFT2027,IF(D269=2028,PR_SFT2028,IF(D269=2029,PR_SFT2029,PR_SFT2029*(1+AS_Infl)^(D269-2029)))))</f>
        <v>8657008.05819704</v>
      </c>
      <c r="U269" s="1" t="n">
        <f aca="false">IF(AND(G269=0,C269=F_V),1,0)</f>
        <v>0</v>
      </c>
      <c r="V269" s="1" t="n">
        <f aca="false">IF(U269=1,PR_SFTrate*MAX(0,S269-T269),0)</f>
        <v>0</v>
      </c>
      <c r="W269" s="1" t="n">
        <f aca="false">S269-V269</f>
        <v>0</v>
      </c>
      <c r="X269" s="1" t="n">
        <f aca="false">IF(AND(U269=1,AS_LumpPct&gt;0),W269*MIN(AS_LumpPct,PR_LSmax),0)</f>
        <v>0</v>
      </c>
      <c r="Y269" s="1" t="n">
        <f aca="false">X269-(PR_LSrate*MAX(0,MIN(X269,PR_LScap)-PR_LSfree)+PR_r2*MAX(0,X269-PR_LScap))</f>
        <v>0</v>
      </c>
      <c r="Z269" s="1" t="n">
        <f aca="false">W269-X269</f>
        <v>0</v>
      </c>
      <c r="AA269" s="107" t="n">
        <f aca="false">IF(C269&gt;=61,IF(Z269&gt;PR_ARFbig,PR_ARFbigRate,IF(C269&gt;=71,PR_ARF71,PR_ARF61)),0)</f>
        <v>0</v>
      </c>
      <c r="AB269" s="1" t="n">
        <f aca="false">IF(AS_DrawRule="min",Z269*AA269,IF(AS_DrawRule="fixed",MAX(AS_DrawFixed*E269,Z269*AA269),Z269*MAX(1/MAX(1,AS_End-C269+1),AA269)))</f>
        <v>0</v>
      </c>
      <c r="AC269" s="1" t="n">
        <f aca="false">IF(AND(G269=0,C269&gt;=F_V),MIN(Z269,AB269),0)</f>
        <v>0</v>
      </c>
      <c r="AD269" s="1" t="n">
        <f aca="false">IF(G269=1,S269*(1+F_PenG)+Q269,IF(C269&lt;F_V,S269*(1+F_PenG),(Z269-AC269)*(1+AS_PenRet)))</f>
        <v>0</v>
      </c>
      <c r="AE269" s="1" t="n">
        <f aca="false">IF(C269&gt;=PR_SPage,AS_SP*F_SpF*I269+IF(C269&gt;=80,PR_Over80*PR_Weeks*I269,0),0)</f>
        <v>0</v>
      </c>
      <c r="AF269" s="1" t="n">
        <f aca="false">(F_OtherM+F_RentM)*12*E269</f>
        <v>0</v>
      </c>
      <c r="AG269" s="1" t="n">
        <f aca="false">F_PAge+B269</f>
        <v>59</v>
      </c>
      <c r="AH269" s="1" t="n">
        <f aca="false">IF(AND(F_Partner=1,F_PAge&gt;0,AG269&lt;IF(F_PRet&gt;0,F_PRet,66)),F_PIncome*F269,0)</f>
        <v>0</v>
      </c>
      <c r="AI269" s="1" t="n">
        <f aca="false">IF(AND(F_Partner=1,AG269&gt;=66,F_PSpQA=0),AS_SP*F_PSpF*I269,0)</f>
        <v>0</v>
      </c>
      <c r="AJ269" s="1" t="n">
        <f aca="false">IF(AND(F_Partner=1,F_PSpQA=1,C269&gt;=PR_SPage,AH269=0),IF(AG269&gt;=66,PR_QA66,PR_QAunder)*PR_Weeks*I269,0)</f>
        <v>0</v>
      </c>
      <c r="AK269" s="1" t="n">
        <f aca="false">AE269+AJ269</f>
        <v>0</v>
      </c>
      <c r="AL269" s="1" t="n">
        <f aca="false">K269/H269</f>
        <v>0</v>
      </c>
      <c r="AM269" s="1" t="n">
        <f aca="false">AK269/H269</f>
        <v>0</v>
      </c>
      <c r="AN269" s="1" t="n">
        <f aca="false">AC269/H269</f>
        <v>0</v>
      </c>
      <c r="AO269" s="1" t="n">
        <f aca="false">AF269/H269</f>
        <v>0</v>
      </c>
      <c r="AP269" s="1" t="n">
        <f aca="false">O269/H269</f>
        <v>0</v>
      </c>
      <c r="AQ269" s="1" t="n">
        <f aca="false">AH269/H269</f>
        <v>0</v>
      </c>
      <c r="AR269" s="1" t="n">
        <f aca="false">AI269/H269</f>
        <v>0</v>
      </c>
      <c r="AS269" s="1" t="n">
        <f aca="false">MAX(0,AL269+AN269+AO269+AM269-AP269)</f>
        <v>0</v>
      </c>
      <c r="AT269" s="1" t="n">
        <f aca="false">MAX(0,AQ269+AR269)</f>
        <v>0</v>
      </c>
      <c r="AU269" s="1" t="n">
        <f aca="false">MIN(PR_PAYE,PR_PAYEcap*(AL269+AN269+AM269))</f>
        <v>0</v>
      </c>
      <c r="AV269" s="1" t="n">
        <f aca="false">MIN(PR_PAYE,PR_PAYEcap*(AQ269+AR269))</f>
        <v>0</v>
      </c>
      <c r="AW269" s="1" t="n">
        <f aca="false">IF(C269&gt;=PR_AgeCrAge,PR_AgeCr,0)</f>
        <v>0</v>
      </c>
      <c r="AX269" s="1" t="n">
        <f aca="false">IF(AG269&gt;=PR_AgeCrAge,PR_AgeCr,0)</f>
        <v>0</v>
      </c>
      <c r="AY269" s="1" t="n">
        <f aca="false">IF(AND(F_RentCred=1,D269&lt;=PR_RentLast),1,0)</f>
        <v>0</v>
      </c>
      <c r="AZ269" s="1" t="n">
        <f aca="false">AS269+AT269</f>
        <v>0</v>
      </c>
      <c r="BA269" s="1" t="n">
        <f aca="false">PR_PersonalM+AU269+AV269+AW269+AX269+IF(AY269=1,PR_RentJoint,0)</f>
        <v>4000</v>
      </c>
      <c r="BB269" s="1" t="n">
        <f aca="false">PR_BandM+MIN(MIN(AS269,AT269),PR_Uplift)</f>
        <v>53000</v>
      </c>
      <c r="BC269" s="1" t="n">
        <f aca="false">MAX(0,PR_r1*MIN(AZ269,BB269)+PR_r2*MAX(0,AZ269-BB269)-BA269)</f>
        <v>0</v>
      </c>
      <c r="BD269" s="1" t="n">
        <f aca="false">MAX(0,PR_HomeCarer-MAX(0,MIN(AS269,AT269)-PR_HCLimit)/2)</f>
        <v>1950</v>
      </c>
      <c r="BE269" s="1" t="n">
        <f aca="false">IF(F_Carer=1,MIN(BC269,MAX(0,PR_r1*MIN(AZ269,PR_BandM)+PR_r2*MAX(0,AZ269-PR_BandM)-BA269-BD269)),BC269)</f>
        <v>0</v>
      </c>
      <c r="BF269" s="1" t="n">
        <f aca="false">IF(OR(C269&gt;=PR_AgeCrAge,AG269&gt;=PR_AgeCrAge),IF(AZ269&lt;=PR_AgeExM,0,MIN(BE269,PR_AgeMarg*(AZ269-PR_AgeExM))),BE269)</f>
        <v>0</v>
      </c>
      <c r="BG269" s="1" t="n">
        <f aca="false">MAX(0,PR_r1*MIN(AS269,IF(F_Spccc=1,PR_BandSPCCC,PR_Band))+PR_r2*MAX(0,AS269-IF(F_Spccc=1,PR_BandSPCCC,PR_Band))-(PR_Personal+AU269+AW269+IF(F_Spccc=1,PR_SPCCC,0)+IF(AY269=1,PR_Rent,0)))</f>
        <v>0</v>
      </c>
      <c r="BH269" s="1" t="n">
        <f aca="false">IF(C269&gt;=PR_AgeCrAge,IF(AS269&lt;=PR_AgeEx,0,MIN(BG269,PR_AgeMarg*(AS269-PR_AgeEx))),BG269)</f>
        <v>0</v>
      </c>
      <c r="BI269" s="1" t="n">
        <f aca="false">IF(F_Partner=1,MAX(0,PR_r1*MIN(AT269,PR_Band)+PR_r2*MAX(0,AT269-PR_Band)-(PR_Personal+AV269+AX269+IF(AND(AY269=1,AT269&gt;0),PR_Rent,0))),0)</f>
        <v>0</v>
      </c>
      <c r="BJ269" s="1" t="n">
        <f aca="false">IF(AG269&gt;=PR_AgeCrAge,IF(AT269&lt;=PR_AgeEx,0,MIN(BI269,PR_AgeMarg*(AT269-PR_AgeEx))),BI269)</f>
        <v>0</v>
      </c>
      <c r="BK269" s="1" t="n">
        <f aca="false">IF(F_Partner=1,IF(F_Married=1,BF269,BH269+BJ269),BH269)</f>
        <v>0</v>
      </c>
      <c r="BL269" s="1" t="n">
        <f aca="false">AL269+AN269+AO269</f>
        <v>0</v>
      </c>
      <c r="BM269" s="1" t="n">
        <f aca="false">IF(BL269&lt;=PR_USCex,0,IF(IF(AND(C269&gt;=PR_USCredAge,BL269&lt;=PR_USCredMax),1,0)=1,PR_USCr1*MIN(BL269,PR_USCredB1)+PR_USCredR2*MAX(0,BL269-PR_USCredB1),PR_USCr1*MIN(BL269,PR_USCb1)+PR_USCr2*MAX(0,MIN(BL269,PR_USCb2)-PR_USCb1)+PR_USCr3*MAX(0,MIN(BL269,PR_USCb3)-PR_USCb2)+PR_USCr4*MAX(0,BL269-PR_USCb3)))+IF(F_SelfEmp=1,PR_USCse*MAX(0,AL269-PR_USCseOver),0)</f>
        <v>0</v>
      </c>
      <c r="BN269" s="1" t="n">
        <f aca="false">AQ269</f>
        <v>0</v>
      </c>
      <c r="BO269" s="1" t="n">
        <f aca="false">IF(F_Partner=1,IF(BN269&lt;=PR_USCex,0,IF(IF(AND(AG269&gt;=PR_USCredAge,BN269&lt;=PR_USCredMax),1,0)=1,PR_USCr1*MIN(BN269,PR_USCredB1)+PR_USCredR2*MAX(0,BN269-PR_USCredB1),PR_USCr1*MIN(BN269,PR_USCb1)+PR_USCr2*MAX(0,MIN(BN269,PR_USCb2)-PR_USCb1)+PR_USCr3*MAX(0,MIN(BN269,PR_USCb3)-PR_USCb2)+PR_USCr4*MAX(0,BN269-PR_USCb3))),0)</f>
        <v>0</v>
      </c>
      <c r="BP269" s="1" t="n">
        <f aca="false">IF(C269&lt;PR_PRSIend,IF(F_SelfEmp=1,IF(AL269&gt;PR_PRSIsMinInc,MAX(PR_PRSIsMin,AL269*J269),0),IF(AL269/52&lt;=PR_PRSIfree,0,MAX(0,(AL269/52*J269-IF(AL269/52&lt;=PR_PRSIcreditTo,MAX(0,PR_PRSIcreditMax-(AL269/52-(PR_PRSIfree+0.01))/PR_PRSItaper),0))*52)))+J269*AN269+IF(AO269&gt;PR_PRSIunearned,J269*AO269,0),0)</f>
        <v>0</v>
      </c>
      <c r="BQ269" s="1" t="n">
        <f aca="false">IF(AND(F_Partner=1,AG269&lt;PR_PRSIend),IF(AQ269/52&lt;=PR_PRSIfree,0,MAX(0,(AQ269/52*J269-IF(AQ269/52&lt;=PR_PRSIcreditTo,MAX(0,PR_PRSIcreditMax-(AQ269/52-(PR_PRSIfree+0.01))/PR_PRSItaper),0))*52)),0)</f>
        <v>0</v>
      </c>
      <c r="BR269" s="1" t="n">
        <f aca="false">BK269+BM269+BO269+BP269+BQ269</f>
        <v>0</v>
      </c>
      <c r="BS269" s="1" t="n">
        <f aca="false">BR269*H269</f>
        <v>0</v>
      </c>
      <c r="BT269" s="1" t="n">
        <f aca="false">K269+AK269+AC269+AF269+AH269+AI269</f>
        <v>0</v>
      </c>
    </row>
    <row r="270" customFormat="false" ht="15" hidden="false" customHeight="false" outlineLevel="0" collapsed="false">
      <c r="B270" s="1" t="n">
        <v>60</v>
      </c>
      <c r="C270" s="1" t="n">
        <f aca="false">F_Age+B270</f>
        <v>60</v>
      </c>
      <c r="D270" s="1" t="n">
        <f aca="false">AS_Year0+B270</f>
        <v>2087</v>
      </c>
      <c r="E270" s="106" t="n">
        <f aca="false">(1+AS_Infl)^B270</f>
        <v>3.28103078836541</v>
      </c>
      <c r="F270" s="106" t="n">
        <f aca="false">(1+AS_Wage)^B270</f>
        <v>5.89160310404575</v>
      </c>
      <c r="G270" s="1" t="n">
        <f aca="false">IF(C270&lt;F_R,1,0)</f>
        <v>0</v>
      </c>
      <c r="H270" s="106" t="n">
        <f aca="false">IF(AS_Bands="flat",1,E270)</f>
        <v>3.28103078836541</v>
      </c>
      <c r="I270" s="106" t="n">
        <f aca="false">IF(AS_SpGrow="pay",F270,IF(AS_SpGrow="flat",1,E270))</f>
        <v>3.28103078836541</v>
      </c>
      <c r="J270" s="106" t="n">
        <f aca="false">(12*PR_PRSIr0+(PR_PRSIr1-PR_PRSIr0)*MAX(0,MIN(12,D270*12+12-PR_PRSIt1))+(PR_PRSIr2-PR_PRSIr1)*MAX(0,MIN(12,D270*12+12-PR_PRSIt2))+(PR_PRSIr3-PR_PRSIr2)*MAX(0,MIN(12,D270*12+12-PR_PRSIt3)))/12</f>
        <v>0.047</v>
      </c>
      <c r="K270" s="1" t="n">
        <f aca="false">IF(G270=1,F_Income*F270,0)</f>
        <v>0</v>
      </c>
      <c r="L270" s="1" t="n">
        <f aca="false">IF(G270=1,(F_Own+In_penExtra)*12*F270,0)</f>
        <v>0</v>
      </c>
      <c r="M270" s="1" t="n">
        <f aca="false">IF(G270=1,(F_PenM+In_penExtra)*12*F270,0)</f>
        <v>0</v>
      </c>
      <c r="N270" s="107" t="n">
        <f aca="false">IF(C270&lt;PR_RelA1,PR_RelP1,IF(C270&lt;PR_RelA2,PR_RelP2,IF(C270&lt;PR_RelA3,PR_RelP3,IF(C270&lt;PR_RelA4,PR_RelP4,IF(C270&lt;PR_RelA5,PR_RelP5,PR_RelP6)))))</f>
        <v>0.4</v>
      </c>
      <c r="O270" s="1" t="n">
        <f aca="false">IF(G270=1,MIN(L270/H270,N270*MIN(K270/H270,PR_EarnCap))*H270,0)</f>
        <v>0</v>
      </c>
      <c r="P270" s="1" t="n">
        <f aca="false">IF(AND(G270=1,F_AE=1),MIN(K270/H270,PR_AEcap)*H270,0)</f>
        <v>0</v>
      </c>
      <c r="Q270" s="1" t="n">
        <f aca="false">IF(G270=1,IF(WI_Retire=1,MAX(0,M270+WI_M*12),M270)+(PR_AEee+PR_AEer+PR_AEst)*P270,0)</f>
        <v>0</v>
      </c>
      <c r="R270" s="1" t="n">
        <f aca="false">L270+PR_AEee*P270</f>
        <v>0</v>
      </c>
      <c r="S270" s="1" t="n">
        <f aca="false">AD269</f>
        <v>0</v>
      </c>
      <c r="T270" s="1" t="n">
        <f aca="false">IF(D270&lt;=2026,PR_SFT2026,IF(D270=2027,PR_SFT2027,IF(D270=2028,PR_SFT2028,IF(D270=2029,PR_SFT2029,PR_SFT2029*(1+AS_Infl)^(D270-2029)))))</f>
        <v>8830148.21936098</v>
      </c>
      <c r="U270" s="1" t="n">
        <f aca="false">IF(AND(G270=0,C270=F_V),1,0)</f>
        <v>1</v>
      </c>
      <c r="V270" s="1" t="n">
        <f aca="false">IF(U270=1,PR_SFTrate*MAX(0,S270-T270),0)</f>
        <v>0</v>
      </c>
      <c r="W270" s="1" t="n">
        <f aca="false">S270-V270</f>
        <v>0</v>
      </c>
      <c r="X270" s="1" t="n">
        <f aca="false">IF(AND(U270=1,AS_LumpPct&gt;0),W270*MIN(AS_LumpPct,PR_LSmax),0)</f>
        <v>0</v>
      </c>
      <c r="Y270" s="1" t="n">
        <f aca="false">X270-(PR_LSrate*MAX(0,MIN(X270,PR_LScap)-PR_LSfree)+PR_r2*MAX(0,X270-PR_LScap))</f>
        <v>0</v>
      </c>
      <c r="Z270" s="1" t="n">
        <f aca="false">W270-X270</f>
        <v>0</v>
      </c>
      <c r="AA270" s="107" t="n">
        <f aca="false">IF(C270&gt;=61,IF(Z270&gt;PR_ARFbig,PR_ARFbigRate,IF(C270&gt;=71,PR_ARF71,PR_ARF61)),0)</f>
        <v>0</v>
      </c>
      <c r="AB270" s="1" t="n">
        <f aca="false">IF(AS_DrawRule="min",Z270*AA270,IF(AS_DrawRule="fixed",MAX(AS_DrawFixed*E270,Z270*AA270),Z270*MAX(1/MAX(1,AS_End-C270+1),AA270)))</f>
        <v>0</v>
      </c>
      <c r="AC270" s="1" t="n">
        <f aca="false">IF(AND(G270=0,C270&gt;=F_V),MIN(Z270,AB270),0)</f>
        <v>0</v>
      </c>
      <c r="AD270" s="1" t="n">
        <f aca="false">IF(G270=1,S270*(1+F_PenG)+Q270,IF(C270&lt;F_V,S270*(1+F_PenG),(Z270-AC270)*(1+AS_PenRet)))</f>
        <v>0</v>
      </c>
      <c r="AE270" s="1" t="n">
        <f aca="false">IF(C270&gt;=PR_SPage,AS_SP*F_SpF*I270+IF(C270&gt;=80,PR_Over80*PR_Weeks*I270,0),0)</f>
        <v>0</v>
      </c>
      <c r="AF270" s="1" t="n">
        <f aca="false">(F_OtherM+F_RentM)*12*E270</f>
        <v>0</v>
      </c>
      <c r="AG270" s="1" t="n">
        <f aca="false">F_PAge+B270</f>
        <v>60</v>
      </c>
      <c r="AH270" s="1" t="n">
        <f aca="false">IF(AND(F_Partner=1,F_PAge&gt;0,AG270&lt;IF(F_PRet&gt;0,F_PRet,66)),F_PIncome*F270,0)</f>
        <v>0</v>
      </c>
      <c r="AI270" s="1" t="n">
        <f aca="false">IF(AND(F_Partner=1,AG270&gt;=66,F_PSpQA=0),AS_SP*F_PSpF*I270,0)</f>
        <v>0</v>
      </c>
      <c r="AJ270" s="1" t="n">
        <f aca="false">IF(AND(F_Partner=1,F_PSpQA=1,C270&gt;=PR_SPage,AH270=0),IF(AG270&gt;=66,PR_QA66,PR_QAunder)*PR_Weeks*I270,0)</f>
        <v>0</v>
      </c>
      <c r="AK270" s="1" t="n">
        <f aca="false">AE270+AJ270</f>
        <v>0</v>
      </c>
      <c r="AL270" s="1" t="n">
        <f aca="false">K270/H270</f>
        <v>0</v>
      </c>
      <c r="AM270" s="1" t="n">
        <f aca="false">AK270/H270</f>
        <v>0</v>
      </c>
      <c r="AN270" s="1" t="n">
        <f aca="false">AC270/H270</f>
        <v>0</v>
      </c>
      <c r="AO270" s="1" t="n">
        <f aca="false">AF270/H270</f>
        <v>0</v>
      </c>
      <c r="AP270" s="1" t="n">
        <f aca="false">O270/H270</f>
        <v>0</v>
      </c>
      <c r="AQ270" s="1" t="n">
        <f aca="false">AH270/H270</f>
        <v>0</v>
      </c>
      <c r="AR270" s="1" t="n">
        <f aca="false">AI270/H270</f>
        <v>0</v>
      </c>
      <c r="AS270" s="1" t="n">
        <f aca="false">MAX(0,AL270+AN270+AO270+AM270-AP270)</f>
        <v>0</v>
      </c>
      <c r="AT270" s="1" t="n">
        <f aca="false">MAX(0,AQ270+AR270)</f>
        <v>0</v>
      </c>
      <c r="AU270" s="1" t="n">
        <f aca="false">MIN(PR_PAYE,PR_PAYEcap*(AL270+AN270+AM270))</f>
        <v>0</v>
      </c>
      <c r="AV270" s="1" t="n">
        <f aca="false">MIN(PR_PAYE,PR_PAYEcap*(AQ270+AR270))</f>
        <v>0</v>
      </c>
      <c r="AW270" s="1" t="n">
        <f aca="false">IF(C270&gt;=PR_AgeCrAge,PR_AgeCr,0)</f>
        <v>0</v>
      </c>
      <c r="AX270" s="1" t="n">
        <f aca="false">IF(AG270&gt;=PR_AgeCrAge,PR_AgeCr,0)</f>
        <v>0</v>
      </c>
      <c r="AY270" s="1" t="n">
        <f aca="false">IF(AND(F_RentCred=1,D270&lt;=PR_RentLast),1,0)</f>
        <v>0</v>
      </c>
      <c r="AZ270" s="1" t="n">
        <f aca="false">AS270+AT270</f>
        <v>0</v>
      </c>
      <c r="BA270" s="1" t="n">
        <f aca="false">PR_PersonalM+AU270+AV270+AW270+AX270+IF(AY270=1,PR_RentJoint,0)</f>
        <v>4000</v>
      </c>
      <c r="BB270" s="1" t="n">
        <f aca="false">PR_BandM+MIN(MIN(AS270,AT270),PR_Uplift)</f>
        <v>53000</v>
      </c>
      <c r="BC270" s="1" t="n">
        <f aca="false">MAX(0,PR_r1*MIN(AZ270,BB270)+PR_r2*MAX(0,AZ270-BB270)-BA270)</f>
        <v>0</v>
      </c>
      <c r="BD270" s="1" t="n">
        <f aca="false">MAX(0,PR_HomeCarer-MAX(0,MIN(AS270,AT270)-PR_HCLimit)/2)</f>
        <v>1950</v>
      </c>
      <c r="BE270" s="1" t="n">
        <f aca="false">IF(F_Carer=1,MIN(BC270,MAX(0,PR_r1*MIN(AZ270,PR_BandM)+PR_r2*MAX(0,AZ270-PR_BandM)-BA270-BD270)),BC270)</f>
        <v>0</v>
      </c>
      <c r="BF270" s="1" t="n">
        <f aca="false">IF(OR(C270&gt;=PR_AgeCrAge,AG270&gt;=PR_AgeCrAge),IF(AZ270&lt;=PR_AgeExM,0,MIN(BE270,PR_AgeMarg*(AZ270-PR_AgeExM))),BE270)</f>
        <v>0</v>
      </c>
      <c r="BG270" s="1" t="n">
        <f aca="false">MAX(0,PR_r1*MIN(AS270,IF(F_Spccc=1,PR_BandSPCCC,PR_Band))+PR_r2*MAX(0,AS270-IF(F_Spccc=1,PR_BandSPCCC,PR_Band))-(PR_Personal+AU270+AW270+IF(F_Spccc=1,PR_SPCCC,0)+IF(AY270=1,PR_Rent,0)))</f>
        <v>0</v>
      </c>
      <c r="BH270" s="1" t="n">
        <f aca="false">IF(C270&gt;=PR_AgeCrAge,IF(AS270&lt;=PR_AgeEx,0,MIN(BG270,PR_AgeMarg*(AS270-PR_AgeEx))),BG270)</f>
        <v>0</v>
      </c>
      <c r="BI270" s="1" t="n">
        <f aca="false">IF(F_Partner=1,MAX(0,PR_r1*MIN(AT270,PR_Band)+PR_r2*MAX(0,AT270-PR_Band)-(PR_Personal+AV270+AX270+IF(AND(AY270=1,AT270&gt;0),PR_Rent,0))),0)</f>
        <v>0</v>
      </c>
      <c r="BJ270" s="1" t="n">
        <f aca="false">IF(AG270&gt;=PR_AgeCrAge,IF(AT270&lt;=PR_AgeEx,0,MIN(BI270,PR_AgeMarg*(AT270-PR_AgeEx))),BI270)</f>
        <v>0</v>
      </c>
      <c r="BK270" s="1" t="n">
        <f aca="false">IF(F_Partner=1,IF(F_Married=1,BF270,BH270+BJ270),BH270)</f>
        <v>0</v>
      </c>
      <c r="BL270" s="1" t="n">
        <f aca="false">AL270+AN270+AO270</f>
        <v>0</v>
      </c>
      <c r="BM270" s="1" t="n">
        <f aca="false">IF(BL270&lt;=PR_USCex,0,IF(IF(AND(C270&gt;=PR_USCredAge,BL270&lt;=PR_USCredMax),1,0)=1,PR_USCr1*MIN(BL270,PR_USCredB1)+PR_USCredR2*MAX(0,BL270-PR_USCredB1),PR_USCr1*MIN(BL270,PR_USCb1)+PR_USCr2*MAX(0,MIN(BL270,PR_USCb2)-PR_USCb1)+PR_USCr3*MAX(0,MIN(BL270,PR_USCb3)-PR_USCb2)+PR_USCr4*MAX(0,BL270-PR_USCb3)))+IF(F_SelfEmp=1,PR_USCse*MAX(0,AL270-PR_USCseOver),0)</f>
        <v>0</v>
      </c>
      <c r="BN270" s="1" t="n">
        <f aca="false">AQ270</f>
        <v>0</v>
      </c>
      <c r="BO270" s="1" t="n">
        <f aca="false">IF(F_Partner=1,IF(BN270&lt;=PR_USCex,0,IF(IF(AND(AG270&gt;=PR_USCredAge,BN270&lt;=PR_USCredMax),1,0)=1,PR_USCr1*MIN(BN270,PR_USCredB1)+PR_USCredR2*MAX(0,BN270-PR_USCredB1),PR_USCr1*MIN(BN270,PR_USCb1)+PR_USCr2*MAX(0,MIN(BN270,PR_USCb2)-PR_USCb1)+PR_USCr3*MAX(0,MIN(BN270,PR_USCb3)-PR_USCb2)+PR_USCr4*MAX(0,BN270-PR_USCb3))),0)</f>
        <v>0</v>
      </c>
      <c r="BP270" s="1" t="n">
        <f aca="false">IF(C270&lt;PR_PRSIend,IF(F_SelfEmp=1,IF(AL270&gt;PR_PRSIsMinInc,MAX(PR_PRSIsMin,AL270*J270),0),IF(AL270/52&lt;=PR_PRSIfree,0,MAX(0,(AL270/52*J270-IF(AL270/52&lt;=PR_PRSIcreditTo,MAX(0,PR_PRSIcreditMax-(AL270/52-(PR_PRSIfree+0.01))/PR_PRSItaper),0))*52)))+J270*AN270+IF(AO270&gt;PR_PRSIunearned,J270*AO270,0),0)</f>
        <v>0</v>
      </c>
      <c r="BQ270" s="1" t="n">
        <f aca="false">IF(AND(F_Partner=1,AG270&lt;PR_PRSIend),IF(AQ270/52&lt;=PR_PRSIfree,0,MAX(0,(AQ270/52*J270-IF(AQ270/52&lt;=PR_PRSIcreditTo,MAX(0,PR_PRSIcreditMax-(AQ270/52-(PR_PRSIfree+0.01))/PR_PRSItaper),0))*52)),0)</f>
        <v>0</v>
      </c>
      <c r="BR270" s="1" t="n">
        <f aca="false">BK270+BM270+BO270+BP270+BQ270</f>
        <v>0</v>
      </c>
      <c r="BS270" s="1" t="n">
        <f aca="false">BR270*H270</f>
        <v>0</v>
      </c>
      <c r="BT270" s="1" t="n">
        <f aca="false">K270+AK270+AC270+AF270+AH270+AI270</f>
        <v>0</v>
      </c>
    </row>
    <row r="271" customFormat="false" ht="15" hidden="false" customHeight="false" outlineLevel="0" collapsed="false">
      <c r="B271" s="1" t="n">
        <v>61</v>
      </c>
      <c r="C271" s="1" t="n">
        <f aca="false">F_Age+B271</f>
        <v>61</v>
      </c>
      <c r="D271" s="1" t="n">
        <f aca="false">AS_Year0+B271</f>
        <v>2088</v>
      </c>
      <c r="E271" s="106" t="n">
        <f aca="false">(1+AS_Infl)^B271</f>
        <v>3.34665140413272</v>
      </c>
      <c r="F271" s="106" t="n">
        <f aca="false">(1+AS_Wage)^B271</f>
        <v>6.06835119716712</v>
      </c>
      <c r="G271" s="1" t="n">
        <f aca="false">IF(C271&lt;F_R,1,0)</f>
        <v>0</v>
      </c>
      <c r="H271" s="106" t="n">
        <f aca="false">IF(AS_Bands="flat",1,E271)</f>
        <v>3.34665140413272</v>
      </c>
      <c r="I271" s="106" t="n">
        <f aca="false">IF(AS_SpGrow="pay",F271,IF(AS_SpGrow="flat",1,E271))</f>
        <v>3.34665140413272</v>
      </c>
      <c r="J271" s="106" t="n">
        <f aca="false">(12*PR_PRSIr0+(PR_PRSIr1-PR_PRSIr0)*MAX(0,MIN(12,D271*12+12-PR_PRSIt1))+(PR_PRSIr2-PR_PRSIr1)*MAX(0,MIN(12,D271*12+12-PR_PRSIt2))+(PR_PRSIr3-PR_PRSIr2)*MAX(0,MIN(12,D271*12+12-PR_PRSIt3)))/12</f>
        <v>0.047</v>
      </c>
      <c r="K271" s="1" t="n">
        <f aca="false">IF(G271=1,F_Income*F271,0)</f>
        <v>0</v>
      </c>
      <c r="L271" s="1" t="n">
        <f aca="false">IF(G271=1,(F_Own+In_penExtra)*12*F271,0)</f>
        <v>0</v>
      </c>
      <c r="M271" s="1" t="n">
        <f aca="false">IF(G271=1,(F_PenM+In_penExtra)*12*F271,0)</f>
        <v>0</v>
      </c>
      <c r="N271" s="107" t="n">
        <f aca="false">IF(C271&lt;PR_RelA1,PR_RelP1,IF(C271&lt;PR_RelA2,PR_RelP2,IF(C271&lt;PR_RelA3,PR_RelP3,IF(C271&lt;PR_RelA4,PR_RelP4,IF(C271&lt;PR_RelA5,PR_RelP5,PR_RelP6)))))</f>
        <v>0.4</v>
      </c>
      <c r="O271" s="1" t="n">
        <f aca="false">IF(G271=1,MIN(L271/H271,N271*MIN(K271/H271,PR_EarnCap))*H271,0)</f>
        <v>0</v>
      </c>
      <c r="P271" s="1" t="n">
        <f aca="false">IF(AND(G271=1,F_AE=1),MIN(K271/H271,PR_AEcap)*H271,0)</f>
        <v>0</v>
      </c>
      <c r="Q271" s="1" t="n">
        <f aca="false">IF(G271=1,IF(WI_Retire=1,MAX(0,M271+WI_M*12),M271)+(PR_AEee+PR_AEer+PR_AEst)*P271,0)</f>
        <v>0</v>
      </c>
      <c r="R271" s="1" t="n">
        <f aca="false">L271+PR_AEee*P271</f>
        <v>0</v>
      </c>
      <c r="S271" s="1" t="n">
        <f aca="false">AD270</f>
        <v>0</v>
      </c>
      <c r="T271" s="1" t="n">
        <f aca="false">IF(D271&lt;=2026,PR_SFT2026,IF(D271=2027,PR_SFT2027,IF(D271=2028,PR_SFT2028,IF(D271=2029,PR_SFT2029,PR_SFT2029*(1+AS_Infl)^(D271-2029)))))</f>
        <v>9006751.1837482</v>
      </c>
      <c r="U271" s="1" t="n">
        <f aca="false">IF(AND(G271=0,C271=F_V),1,0)</f>
        <v>0</v>
      </c>
      <c r="V271" s="1" t="n">
        <f aca="false">IF(U271=1,PR_SFTrate*MAX(0,S271-T271),0)</f>
        <v>0</v>
      </c>
      <c r="W271" s="1" t="n">
        <f aca="false">S271-V271</f>
        <v>0</v>
      </c>
      <c r="X271" s="1" t="n">
        <f aca="false">IF(AND(U271=1,AS_LumpPct&gt;0),W271*MIN(AS_LumpPct,PR_LSmax),0)</f>
        <v>0</v>
      </c>
      <c r="Y271" s="1" t="n">
        <f aca="false">X271-(PR_LSrate*MAX(0,MIN(X271,PR_LScap)-PR_LSfree)+PR_r2*MAX(0,X271-PR_LScap))</f>
        <v>0</v>
      </c>
      <c r="Z271" s="1" t="n">
        <f aca="false">W271-X271</f>
        <v>0</v>
      </c>
      <c r="AA271" s="107" t="n">
        <f aca="false">IF(C271&gt;=61,IF(Z271&gt;PR_ARFbig,PR_ARFbigRate,IF(C271&gt;=71,PR_ARF71,PR_ARF61)),0)</f>
        <v>0.04</v>
      </c>
      <c r="AB271" s="1" t="n">
        <f aca="false">IF(AS_DrawRule="min",Z271*AA271,IF(AS_DrawRule="fixed",MAX(AS_DrawFixed*E271,Z271*AA271),Z271*MAX(1/MAX(1,AS_End-C271+1),AA271)))</f>
        <v>0</v>
      </c>
      <c r="AC271" s="1" t="n">
        <f aca="false">IF(AND(G271=0,C271&gt;=F_V),MIN(Z271,AB271),0)</f>
        <v>0</v>
      </c>
      <c r="AD271" s="1" t="n">
        <f aca="false">IF(G271=1,S271*(1+F_PenG)+Q271,IF(C271&lt;F_V,S271*(1+F_PenG),(Z271-AC271)*(1+AS_PenRet)))</f>
        <v>0</v>
      </c>
      <c r="AE271" s="1" t="n">
        <f aca="false">IF(C271&gt;=PR_SPage,AS_SP*F_SpF*I271+IF(C271&gt;=80,PR_Over80*PR_Weeks*I271,0),0)</f>
        <v>0</v>
      </c>
      <c r="AF271" s="1" t="n">
        <f aca="false">(F_OtherM+F_RentM)*12*E271</f>
        <v>0</v>
      </c>
      <c r="AG271" s="1" t="n">
        <f aca="false">F_PAge+B271</f>
        <v>61</v>
      </c>
      <c r="AH271" s="1" t="n">
        <f aca="false">IF(AND(F_Partner=1,F_PAge&gt;0,AG271&lt;IF(F_PRet&gt;0,F_PRet,66)),F_PIncome*F271,0)</f>
        <v>0</v>
      </c>
      <c r="AI271" s="1" t="n">
        <f aca="false">IF(AND(F_Partner=1,AG271&gt;=66,F_PSpQA=0),AS_SP*F_PSpF*I271,0)</f>
        <v>0</v>
      </c>
      <c r="AJ271" s="1" t="n">
        <f aca="false">IF(AND(F_Partner=1,F_PSpQA=1,C271&gt;=PR_SPage,AH271=0),IF(AG271&gt;=66,PR_QA66,PR_QAunder)*PR_Weeks*I271,0)</f>
        <v>0</v>
      </c>
      <c r="AK271" s="1" t="n">
        <f aca="false">AE271+AJ271</f>
        <v>0</v>
      </c>
      <c r="AL271" s="1" t="n">
        <f aca="false">K271/H271</f>
        <v>0</v>
      </c>
      <c r="AM271" s="1" t="n">
        <f aca="false">AK271/H271</f>
        <v>0</v>
      </c>
      <c r="AN271" s="1" t="n">
        <f aca="false">AC271/H271</f>
        <v>0</v>
      </c>
      <c r="AO271" s="1" t="n">
        <f aca="false">AF271/H271</f>
        <v>0</v>
      </c>
      <c r="AP271" s="1" t="n">
        <f aca="false">O271/H271</f>
        <v>0</v>
      </c>
      <c r="AQ271" s="1" t="n">
        <f aca="false">AH271/H271</f>
        <v>0</v>
      </c>
      <c r="AR271" s="1" t="n">
        <f aca="false">AI271/H271</f>
        <v>0</v>
      </c>
      <c r="AS271" s="1" t="n">
        <f aca="false">MAX(0,AL271+AN271+AO271+AM271-AP271)</f>
        <v>0</v>
      </c>
      <c r="AT271" s="1" t="n">
        <f aca="false">MAX(0,AQ271+AR271)</f>
        <v>0</v>
      </c>
      <c r="AU271" s="1" t="n">
        <f aca="false">MIN(PR_PAYE,PR_PAYEcap*(AL271+AN271+AM271))</f>
        <v>0</v>
      </c>
      <c r="AV271" s="1" t="n">
        <f aca="false">MIN(PR_PAYE,PR_PAYEcap*(AQ271+AR271))</f>
        <v>0</v>
      </c>
      <c r="AW271" s="1" t="n">
        <f aca="false">IF(C271&gt;=PR_AgeCrAge,PR_AgeCr,0)</f>
        <v>0</v>
      </c>
      <c r="AX271" s="1" t="n">
        <f aca="false">IF(AG271&gt;=PR_AgeCrAge,PR_AgeCr,0)</f>
        <v>0</v>
      </c>
      <c r="AY271" s="1" t="n">
        <f aca="false">IF(AND(F_RentCred=1,D271&lt;=PR_RentLast),1,0)</f>
        <v>0</v>
      </c>
      <c r="AZ271" s="1" t="n">
        <f aca="false">AS271+AT271</f>
        <v>0</v>
      </c>
      <c r="BA271" s="1" t="n">
        <f aca="false">PR_PersonalM+AU271+AV271+AW271+AX271+IF(AY271=1,PR_RentJoint,0)</f>
        <v>4000</v>
      </c>
      <c r="BB271" s="1" t="n">
        <f aca="false">PR_BandM+MIN(MIN(AS271,AT271),PR_Uplift)</f>
        <v>53000</v>
      </c>
      <c r="BC271" s="1" t="n">
        <f aca="false">MAX(0,PR_r1*MIN(AZ271,BB271)+PR_r2*MAX(0,AZ271-BB271)-BA271)</f>
        <v>0</v>
      </c>
      <c r="BD271" s="1" t="n">
        <f aca="false">MAX(0,PR_HomeCarer-MAX(0,MIN(AS271,AT271)-PR_HCLimit)/2)</f>
        <v>1950</v>
      </c>
      <c r="BE271" s="1" t="n">
        <f aca="false">IF(F_Carer=1,MIN(BC271,MAX(0,PR_r1*MIN(AZ271,PR_BandM)+PR_r2*MAX(0,AZ271-PR_BandM)-BA271-BD271)),BC271)</f>
        <v>0</v>
      </c>
      <c r="BF271" s="1" t="n">
        <f aca="false">IF(OR(C271&gt;=PR_AgeCrAge,AG271&gt;=PR_AgeCrAge),IF(AZ271&lt;=PR_AgeExM,0,MIN(BE271,PR_AgeMarg*(AZ271-PR_AgeExM))),BE271)</f>
        <v>0</v>
      </c>
      <c r="BG271" s="1" t="n">
        <f aca="false">MAX(0,PR_r1*MIN(AS271,IF(F_Spccc=1,PR_BandSPCCC,PR_Band))+PR_r2*MAX(0,AS271-IF(F_Spccc=1,PR_BandSPCCC,PR_Band))-(PR_Personal+AU271+AW271+IF(F_Spccc=1,PR_SPCCC,0)+IF(AY271=1,PR_Rent,0)))</f>
        <v>0</v>
      </c>
      <c r="BH271" s="1" t="n">
        <f aca="false">IF(C271&gt;=PR_AgeCrAge,IF(AS271&lt;=PR_AgeEx,0,MIN(BG271,PR_AgeMarg*(AS271-PR_AgeEx))),BG271)</f>
        <v>0</v>
      </c>
      <c r="BI271" s="1" t="n">
        <f aca="false">IF(F_Partner=1,MAX(0,PR_r1*MIN(AT271,PR_Band)+PR_r2*MAX(0,AT271-PR_Band)-(PR_Personal+AV271+AX271+IF(AND(AY271=1,AT271&gt;0),PR_Rent,0))),0)</f>
        <v>0</v>
      </c>
      <c r="BJ271" s="1" t="n">
        <f aca="false">IF(AG271&gt;=PR_AgeCrAge,IF(AT271&lt;=PR_AgeEx,0,MIN(BI271,PR_AgeMarg*(AT271-PR_AgeEx))),BI271)</f>
        <v>0</v>
      </c>
      <c r="BK271" s="1" t="n">
        <f aca="false">IF(F_Partner=1,IF(F_Married=1,BF271,BH271+BJ271),BH271)</f>
        <v>0</v>
      </c>
      <c r="BL271" s="1" t="n">
        <f aca="false">AL271+AN271+AO271</f>
        <v>0</v>
      </c>
      <c r="BM271" s="1" t="n">
        <f aca="false">IF(BL271&lt;=PR_USCex,0,IF(IF(AND(C271&gt;=PR_USCredAge,BL271&lt;=PR_USCredMax),1,0)=1,PR_USCr1*MIN(BL271,PR_USCredB1)+PR_USCredR2*MAX(0,BL271-PR_USCredB1),PR_USCr1*MIN(BL271,PR_USCb1)+PR_USCr2*MAX(0,MIN(BL271,PR_USCb2)-PR_USCb1)+PR_USCr3*MAX(0,MIN(BL271,PR_USCb3)-PR_USCb2)+PR_USCr4*MAX(0,BL271-PR_USCb3)))+IF(F_SelfEmp=1,PR_USCse*MAX(0,AL271-PR_USCseOver),0)</f>
        <v>0</v>
      </c>
      <c r="BN271" s="1" t="n">
        <f aca="false">AQ271</f>
        <v>0</v>
      </c>
      <c r="BO271" s="1" t="n">
        <f aca="false">IF(F_Partner=1,IF(BN271&lt;=PR_USCex,0,IF(IF(AND(AG271&gt;=PR_USCredAge,BN271&lt;=PR_USCredMax),1,0)=1,PR_USCr1*MIN(BN271,PR_USCredB1)+PR_USCredR2*MAX(0,BN271-PR_USCredB1),PR_USCr1*MIN(BN271,PR_USCb1)+PR_USCr2*MAX(0,MIN(BN271,PR_USCb2)-PR_USCb1)+PR_USCr3*MAX(0,MIN(BN271,PR_USCb3)-PR_USCb2)+PR_USCr4*MAX(0,BN271-PR_USCb3))),0)</f>
        <v>0</v>
      </c>
      <c r="BP271" s="1" t="n">
        <f aca="false">IF(C271&lt;PR_PRSIend,IF(F_SelfEmp=1,IF(AL271&gt;PR_PRSIsMinInc,MAX(PR_PRSIsMin,AL271*J271),0),IF(AL271/52&lt;=PR_PRSIfree,0,MAX(0,(AL271/52*J271-IF(AL271/52&lt;=PR_PRSIcreditTo,MAX(0,PR_PRSIcreditMax-(AL271/52-(PR_PRSIfree+0.01))/PR_PRSItaper),0))*52)))+J271*AN271+IF(AO271&gt;PR_PRSIunearned,J271*AO271,0),0)</f>
        <v>0</v>
      </c>
      <c r="BQ271" s="1" t="n">
        <f aca="false">IF(AND(F_Partner=1,AG271&lt;PR_PRSIend),IF(AQ271/52&lt;=PR_PRSIfree,0,MAX(0,(AQ271/52*J271-IF(AQ271/52&lt;=PR_PRSIcreditTo,MAX(0,PR_PRSIcreditMax-(AQ271/52-(PR_PRSIfree+0.01))/PR_PRSItaper),0))*52)),0)</f>
        <v>0</v>
      </c>
      <c r="BR271" s="1" t="n">
        <f aca="false">BK271+BM271+BO271+BP271+BQ271</f>
        <v>0</v>
      </c>
      <c r="BS271" s="1" t="n">
        <f aca="false">BR271*H271</f>
        <v>0</v>
      </c>
      <c r="BT271" s="1" t="n">
        <f aca="false">K271+AK271+AC271+AF271+AH271+AI271</f>
        <v>0</v>
      </c>
    </row>
    <row r="272" customFormat="false" ht="15" hidden="false" customHeight="false" outlineLevel="0" collapsed="false">
      <c r="B272" s="1" t="n">
        <v>62</v>
      </c>
      <c r="C272" s="1" t="n">
        <f aca="false">F_Age+B272</f>
        <v>62</v>
      </c>
      <c r="D272" s="1" t="n">
        <f aca="false">AS_Year0+B272</f>
        <v>2089</v>
      </c>
      <c r="E272" s="106" t="n">
        <f aca="false">(1+AS_Infl)^B272</f>
        <v>3.41358443221538</v>
      </c>
      <c r="F272" s="106" t="n">
        <f aca="false">(1+AS_Wage)^B272</f>
        <v>6.25040173308213</v>
      </c>
      <c r="G272" s="1" t="n">
        <f aca="false">IF(C272&lt;F_R,1,0)</f>
        <v>0</v>
      </c>
      <c r="H272" s="106" t="n">
        <f aca="false">IF(AS_Bands="flat",1,E272)</f>
        <v>3.41358443221538</v>
      </c>
      <c r="I272" s="106" t="n">
        <f aca="false">IF(AS_SpGrow="pay",F272,IF(AS_SpGrow="flat",1,E272))</f>
        <v>3.41358443221538</v>
      </c>
      <c r="J272" s="106" t="n">
        <f aca="false">(12*PR_PRSIr0+(PR_PRSIr1-PR_PRSIr0)*MAX(0,MIN(12,D272*12+12-PR_PRSIt1))+(PR_PRSIr2-PR_PRSIr1)*MAX(0,MIN(12,D272*12+12-PR_PRSIt2))+(PR_PRSIr3-PR_PRSIr2)*MAX(0,MIN(12,D272*12+12-PR_PRSIt3)))/12</f>
        <v>0.047</v>
      </c>
      <c r="K272" s="1" t="n">
        <f aca="false">IF(G272=1,F_Income*F272,0)</f>
        <v>0</v>
      </c>
      <c r="L272" s="1" t="n">
        <f aca="false">IF(G272=1,(F_Own+In_penExtra)*12*F272,0)</f>
        <v>0</v>
      </c>
      <c r="M272" s="1" t="n">
        <f aca="false">IF(G272=1,(F_PenM+In_penExtra)*12*F272,0)</f>
        <v>0</v>
      </c>
      <c r="N272" s="107" t="n">
        <f aca="false">IF(C272&lt;PR_RelA1,PR_RelP1,IF(C272&lt;PR_RelA2,PR_RelP2,IF(C272&lt;PR_RelA3,PR_RelP3,IF(C272&lt;PR_RelA4,PR_RelP4,IF(C272&lt;PR_RelA5,PR_RelP5,PR_RelP6)))))</f>
        <v>0.4</v>
      </c>
      <c r="O272" s="1" t="n">
        <f aca="false">IF(G272=1,MIN(L272/H272,N272*MIN(K272/H272,PR_EarnCap))*H272,0)</f>
        <v>0</v>
      </c>
      <c r="P272" s="1" t="n">
        <f aca="false">IF(AND(G272=1,F_AE=1),MIN(K272/H272,PR_AEcap)*H272,0)</f>
        <v>0</v>
      </c>
      <c r="Q272" s="1" t="n">
        <f aca="false">IF(G272=1,IF(WI_Retire=1,MAX(0,M272+WI_M*12),M272)+(PR_AEee+PR_AEer+PR_AEst)*P272,0)</f>
        <v>0</v>
      </c>
      <c r="R272" s="1" t="n">
        <f aca="false">L272+PR_AEee*P272</f>
        <v>0</v>
      </c>
      <c r="S272" s="1" t="n">
        <f aca="false">AD271</f>
        <v>0</v>
      </c>
      <c r="T272" s="1" t="n">
        <f aca="false">IF(D272&lt;=2026,PR_SFT2026,IF(D272=2027,PR_SFT2027,IF(D272=2028,PR_SFT2028,IF(D272=2029,PR_SFT2029,PR_SFT2029*(1+AS_Infl)^(D272-2029)))))</f>
        <v>9186886.20742316</v>
      </c>
      <c r="U272" s="1" t="n">
        <f aca="false">IF(AND(G272=0,C272=F_V),1,0)</f>
        <v>0</v>
      </c>
      <c r="V272" s="1" t="n">
        <f aca="false">IF(U272=1,PR_SFTrate*MAX(0,S272-T272),0)</f>
        <v>0</v>
      </c>
      <c r="W272" s="1" t="n">
        <f aca="false">S272-V272</f>
        <v>0</v>
      </c>
      <c r="X272" s="1" t="n">
        <f aca="false">IF(AND(U272=1,AS_LumpPct&gt;0),W272*MIN(AS_LumpPct,PR_LSmax),0)</f>
        <v>0</v>
      </c>
      <c r="Y272" s="1" t="n">
        <f aca="false">X272-(PR_LSrate*MAX(0,MIN(X272,PR_LScap)-PR_LSfree)+PR_r2*MAX(0,X272-PR_LScap))</f>
        <v>0</v>
      </c>
      <c r="Z272" s="1" t="n">
        <f aca="false">W272-X272</f>
        <v>0</v>
      </c>
      <c r="AA272" s="107" t="n">
        <f aca="false">IF(C272&gt;=61,IF(Z272&gt;PR_ARFbig,PR_ARFbigRate,IF(C272&gt;=71,PR_ARF71,PR_ARF61)),0)</f>
        <v>0.04</v>
      </c>
      <c r="AB272" s="1" t="n">
        <f aca="false">IF(AS_DrawRule="min",Z272*AA272,IF(AS_DrawRule="fixed",MAX(AS_DrawFixed*E272,Z272*AA272),Z272*MAX(1/MAX(1,AS_End-C272+1),AA272)))</f>
        <v>0</v>
      </c>
      <c r="AC272" s="1" t="n">
        <f aca="false">IF(AND(G272=0,C272&gt;=F_V),MIN(Z272,AB272),0)</f>
        <v>0</v>
      </c>
      <c r="AD272" s="1" t="n">
        <f aca="false">IF(G272=1,S272*(1+F_PenG)+Q272,IF(C272&lt;F_V,S272*(1+F_PenG),(Z272-AC272)*(1+AS_PenRet)))</f>
        <v>0</v>
      </c>
      <c r="AE272" s="1" t="n">
        <f aca="false">IF(C272&gt;=PR_SPage,AS_SP*F_SpF*I272+IF(C272&gt;=80,PR_Over80*PR_Weeks*I272,0),0)</f>
        <v>0</v>
      </c>
      <c r="AF272" s="1" t="n">
        <f aca="false">(F_OtherM+F_RentM)*12*E272</f>
        <v>0</v>
      </c>
      <c r="AG272" s="1" t="n">
        <f aca="false">F_PAge+B272</f>
        <v>62</v>
      </c>
      <c r="AH272" s="1" t="n">
        <f aca="false">IF(AND(F_Partner=1,F_PAge&gt;0,AG272&lt;IF(F_PRet&gt;0,F_PRet,66)),F_PIncome*F272,0)</f>
        <v>0</v>
      </c>
      <c r="AI272" s="1" t="n">
        <f aca="false">IF(AND(F_Partner=1,AG272&gt;=66,F_PSpQA=0),AS_SP*F_PSpF*I272,0)</f>
        <v>0</v>
      </c>
      <c r="AJ272" s="1" t="n">
        <f aca="false">IF(AND(F_Partner=1,F_PSpQA=1,C272&gt;=PR_SPage,AH272=0),IF(AG272&gt;=66,PR_QA66,PR_QAunder)*PR_Weeks*I272,0)</f>
        <v>0</v>
      </c>
      <c r="AK272" s="1" t="n">
        <f aca="false">AE272+AJ272</f>
        <v>0</v>
      </c>
      <c r="AL272" s="1" t="n">
        <f aca="false">K272/H272</f>
        <v>0</v>
      </c>
      <c r="AM272" s="1" t="n">
        <f aca="false">AK272/H272</f>
        <v>0</v>
      </c>
      <c r="AN272" s="1" t="n">
        <f aca="false">AC272/H272</f>
        <v>0</v>
      </c>
      <c r="AO272" s="1" t="n">
        <f aca="false">AF272/H272</f>
        <v>0</v>
      </c>
      <c r="AP272" s="1" t="n">
        <f aca="false">O272/H272</f>
        <v>0</v>
      </c>
      <c r="AQ272" s="1" t="n">
        <f aca="false">AH272/H272</f>
        <v>0</v>
      </c>
      <c r="AR272" s="1" t="n">
        <f aca="false">AI272/H272</f>
        <v>0</v>
      </c>
      <c r="AS272" s="1" t="n">
        <f aca="false">MAX(0,AL272+AN272+AO272+AM272-AP272)</f>
        <v>0</v>
      </c>
      <c r="AT272" s="1" t="n">
        <f aca="false">MAX(0,AQ272+AR272)</f>
        <v>0</v>
      </c>
      <c r="AU272" s="1" t="n">
        <f aca="false">MIN(PR_PAYE,PR_PAYEcap*(AL272+AN272+AM272))</f>
        <v>0</v>
      </c>
      <c r="AV272" s="1" t="n">
        <f aca="false">MIN(PR_PAYE,PR_PAYEcap*(AQ272+AR272))</f>
        <v>0</v>
      </c>
      <c r="AW272" s="1" t="n">
        <f aca="false">IF(C272&gt;=PR_AgeCrAge,PR_AgeCr,0)</f>
        <v>0</v>
      </c>
      <c r="AX272" s="1" t="n">
        <f aca="false">IF(AG272&gt;=PR_AgeCrAge,PR_AgeCr,0)</f>
        <v>0</v>
      </c>
      <c r="AY272" s="1" t="n">
        <f aca="false">IF(AND(F_RentCred=1,D272&lt;=PR_RentLast),1,0)</f>
        <v>0</v>
      </c>
      <c r="AZ272" s="1" t="n">
        <f aca="false">AS272+AT272</f>
        <v>0</v>
      </c>
      <c r="BA272" s="1" t="n">
        <f aca="false">PR_PersonalM+AU272+AV272+AW272+AX272+IF(AY272=1,PR_RentJoint,0)</f>
        <v>4000</v>
      </c>
      <c r="BB272" s="1" t="n">
        <f aca="false">PR_BandM+MIN(MIN(AS272,AT272),PR_Uplift)</f>
        <v>53000</v>
      </c>
      <c r="BC272" s="1" t="n">
        <f aca="false">MAX(0,PR_r1*MIN(AZ272,BB272)+PR_r2*MAX(0,AZ272-BB272)-BA272)</f>
        <v>0</v>
      </c>
      <c r="BD272" s="1" t="n">
        <f aca="false">MAX(0,PR_HomeCarer-MAX(0,MIN(AS272,AT272)-PR_HCLimit)/2)</f>
        <v>1950</v>
      </c>
      <c r="BE272" s="1" t="n">
        <f aca="false">IF(F_Carer=1,MIN(BC272,MAX(0,PR_r1*MIN(AZ272,PR_BandM)+PR_r2*MAX(0,AZ272-PR_BandM)-BA272-BD272)),BC272)</f>
        <v>0</v>
      </c>
      <c r="BF272" s="1" t="n">
        <f aca="false">IF(OR(C272&gt;=PR_AgeCrAge,AG272&gt;=PR_AgeCrAge),IF(AZ272&lt;=PR_AgeExM,0,MIN(BE272,PR_AgeMarg*(AZ272-PR_AgeExM))),BE272)</f>
        <v>0</v>
      </c>
      <c r="BG272" s="1" t="n">
        <f aca="false">MAX(0,PR_r1*MIN(AS272,IF(F_Spccc=1,PR_BandSPCCC,PR_Band))+PR_r2*MAX(0,AS272-IF(F_Spccc=1,PR_BandSPCCC,PR_Band))-(PR_Personal+AU272+AW272+IF(F_Spccc=1,PR_SPCCC,0)+IF(AY272=1,PR_Rent,0)))</f>
        <v>0</v>
      </c>
      <c r="BH272" s="1" t="n">
        <f aca="false">IF(C272&gt;=PR_AgeCrAge,IF(AS272&lt;=PR_AgeEx,0,MIN(BG272,PR_AgeMarg*(AS272-PR_AgeEx))),BG272)</f>
        <v>0</v>
      </c>
      <c r="BI272" s="1" t="n">
        <f aca="false">IF(F_Partner=1,MAX(0,PR_r1*MIN(AT272,PR_Band)+PR_r2*MAX(0,AT272-PR_Band)-(PR_Personal+AV272+AX272+IF(AND(AY272=1,AT272&gt;0),PR_Rent,0))),0)</f>
        <v>0</v>
      </c>
      <c r="BJ272" s="1" t="n">
        <f aca="false">IF(AG272&gt;=PR_AgeCrAge,IF(AT272&lt;=PR_AgeEx,0,MIN(BI272,PR_AgeMarg*(AT272-PR_AgeEx))),BI272)</f>
        <v>0</v>
      </c>
      <c r="BK272" s="1" t="n">
        <f aca="false">IF(F_Partner=1,IF(F_Married=1,BF272,BH272+BJ272),BH272)</f>
        <v>0</v>
      </c>
      <c r="BL272" s="1" t="n">
        <f aca="false">AL272+AN272+AO272</f>
        <v>0</v>
      </c>
      <c r="BM272" s="1" t="n">
        <f aca="false">IF(BL272&lt;=PR_USCex,0,IF(IF(AND(C272&gt;=PR_USCredAge,BL272&lt;=PR_USCredMax),1,0)=1,PR_USCr1*MIN(BL272,PR_USCredB1)+PR_USCredR2*MAX(0,BL272-PR_USCredB1),PR_USCr1*MIN(BL272,PR_USCb1)+PR_USCr2*MAX(0,MIN(BL272,PR_USCb2)-PR_USCb1)+PR_USCr3*MAX(0,MIN(BL272,PR_USCb3)-PR_USCb2)+PR_USCr4*MAX(0,BL272-PR_USCb3)))+IF(F_SelfEmp=1,PR_USCse*MAX(0,AL272-PR_USCseOver),0)</f>
        <v>0</v>
      </c>
      <c r="BN272" s="1" t="n">
        <f aca="false">AQ272</f>
        <v>0</v>
      </c>
      <c r="BO272" s="1" t="n">
        <f aca="false">IF(F_Partner=1,IF(BN272&lt;=PR_USCex,0,IF(IF(AND(AG272&gt;=PR_USCredAge,BN272&lt;=PR_USCredMax),1,0)=1,PR_USCr1*MIN(BN272,PR_USCredB1)+PR_USCredR2*MAX(0,BN272-PR_USCredB1),PR_USCr1*MIN(BN272,PR_USCb1)+PR_USCr2*MAX(0,MIN(BN272,PR_USCb2)-PR_USCb1)+PR_USCr3*MAX(0,MIN(BN272,PR_USCb3)-PR_USCb2)+PR_USCr4*MAX(0,BN272-PR_USCb3))),0)</f>
        <v>0</v>
      </c>
      <c r="BP272" s="1" t="n">
        <f aca="false">IF(C272&lt;PR_PRSIend,IF(F_SelfEmp=1,IF(AL272&gt;PR_PRSIsMinInc,MAX(PR_PRSIsMin,AL272*J272),0),IF(AL272/52&lt;=PR_PRSIfree,0,MAX(0,(AL272/52*J272-IF(AL272/52&lt;=PR_PRSIcreditTo,MAX(0,PR_PRSIcreditMax-(AL272/52-(PR_PRSIfree+0.01))/PR_PRSItaper),0))*52)))+J272*AN272+IF(AO272&gt;PR_PRSIunearned,J272*AO272,0),0)</f>
        <v>0</v>
      </c>
      <c r="BQ272" s="1" t="n">
        <f aca="false">IF(AND(F_Partner=1,AG272&lt;PR_PRSIend),IF(AQ272/52&lt;=PR_PRSIfree,0,MAX(0,(AQ272/52*J272-IF(AQ272/52&lt;=PR_PRSIcreditTo,MAX(0,PR_PRSIcreditMax-(AQ272/52-(PR_PRSIfree+0.01))/PR_PRSItaper),0))*52)),0)</f>
        <v>0</v>
      </c>
      <c r="BR272" s="1" t="n">
        <f aca="false">BK272+BM272+BO272+BP272+BQ272</f>
        <v>0</v>
      </c>
      <c r="BS272" s="1" t="n">
        <f aca="false">BR272*H272</f>
        <v>0</v>
      </c>
      <c r="BT272" s="1" t="n">
        <f aca="false">K272+AK272+AC272+AF272+AH272+AI272</f>
        <v>0</v>
      </c>
    </row>
    <row r="273" customFormat="false" ht="15" hidden="false" customHeight="false" outlineLevel="0" collapsed="false">
      <c r="B273" s="1" t="n">
        <v>63</v>
      </c>
      <c r="C273" s="1" t="n">
        <f aca="false">F_Age+B273</f>
        <v>63</v>
      </c>
      <c r="D273" s="1" t="n">
        <f aca="false">AS_Year0+B273</f>
        <v>2090</v>
      </c>
      <c r="E273" s="106" t="n">
        <f aca="false">(1+AS_Infl)^B273</f>
        <v>3.48185612085969</v>
      </c>
      <c r="F273" s="106" t="n">
        <f aca="false">(1+AS_Wage)^B273</f>
        <v>6.4379137850746</v>
      </c>
      <c r="G273" s="1" t="n">
        <f aca="false">IF(C273&lt;F_R,1,0)</f>
        <v>0</v>
      </c>
      <c r="H273" s="106" t="n">
        <f aca="false">IF(AS_Bands="flat",1,E273)</f>
        <v>3.48185612085969</v>
      </c>
      <c r="I273" s="106" t="n">
        <f aca="false">IF(AS_SpGrow="pay",F273,IF(AS_SpGrow="flat",1,E273))</f>
        <v>3.48185612085969</v>
      </c>
      <c r="J273" s="106" t="n">
        <f aca="false">(12*PR_PRSIr0+(PR_PRSIr1-PR_PRSIr0)*MAX(0,MIN(12,D273*12+12-PR_PRSIt1))+(PR_PRSIr2-PR_PRSIr1)*MAX(0,MIN(12,D273*12+12-PR_PRSIt2))+(PR_PRSIr3-PR_PRSIr2)*MAX(0,MIN(12,D273*12+12-PR_PRSIt3)))/12</f>
        <v>0.047</v>
      </c>
      <c r="K273" s="1" t="n">
        <f aca="false">IF(G273=1,F_Income*F273,0)</f>
        <v>0</v>
      </c>
      <c r="L273" s="1" t="n">
        <f aca="false">IF(G273=1,(F_Own+In_penExtra)*12*F273,0)</f>
        <v>0</v>
      </c>
      <c r="M273" s="1" t="n">
        <f aca="false">IF(G273=1,(F_PenM+In_penExtra)*12*F273,0)</f>
        <v>0</v>
      </c>
      <c r="N273" s="107" t="n">
        <f aca="false">IF(C273&lt;PR_RelA1,PR_RelP1,IF(C273&lt;PR_RelA2,PR_RelP2,IF(C273&lt;PR_RelA3,PR_RelP3,IF(C273&lt;PR_RelA4,PR_RelP4,IF(C273&lt;PR_RelA5,PR_RelP5,PR_RelP6)))))</f>
        <v>0.4</v>
      </c>
      <c r="O273" s="1" t="n">
        <f aca="false">IF(G273=1,MIN(L273/H273,N273*MIN(K273/H273,PR_EarnCap))*H273,0)</f>
        <v>0</v>
      </c>
      <c r="P273" s="1" t="n">
        <f aca="false">IF(AND(G273=1,F_AE=1),MIN(K273/H273,PR_AEcap)*H273,0)</f>
        <v>0</v>
      </c>
      <c r="Q273" s="1" t="n">
        <f aca="false">IF(G273=1,IF(WI_Retire=1,MAX(0,M273+WI_M*12),M273)+(PR_AEee+PR_AEer+PR_AEst)*P273,0)</f>
        <v>0</v>
      </c>
      <c r="R273" s="1" t="n">
        <f aca="false">L273+PR_AEee*P273</f>
        <v>0</v>
      </c>
      <c r="S273" s="1" t="n">
        <f aca="false">AD272</f>
        <v>0</v>
      </c>
      <c r="T273" s="1" t="n">
        <f aca="false">IF(D273&lt;=2026,PR_SFT2026,IF(D273=2027,PR_SFT2027,IF(D273=2028,PR_SFT2028,IF(D273=2029,PR_SFT2029,PR_SFT2029*(1+AS_Infl)^(D273-2029)))))</f>
        <v>9370623.93157162</v>
      </c>
      <c r="U273" s="1" t="n">
        <f aca="false">IF(AND(G273=0,C273=F_V),1,0)</f>
        <v>0</v>
      </c>
      <c r="V273" s="1" t="n">
        <f aca="false">IF(U273=1,PR_SFTrate*MAX(0,S273-T273),0)</f>
        <v>0</v>
      </c>
      <c r="W273" s="1" t="n">
        <f aca="false">S273-V273</f>
        <v>0</v>
      </c>
      <c r="X273" s="1" t="n">
        <f aca="false">IF(AND(U273=1,AS_LumpPct&gt;0),W273*MIN(AS_LumpPct,PR_LSmax),0)</f>
        <v>0</v>
      </c>
      <c r="Y273" s="1" t="n">
        <f aca="false">X273-(PR_LSrate*MAX(0,MIN(X273,PR_LScap)-PR_LSfree)+PR_r2*MAX(0,X273-PR_LScap))</f>
        <v>0</v>
      </c>
      <c r="Z273" s="1" t="n">
        <f aca="false">W273-X273</f>
        <v>0</v>
      </c>
      <c r="AA273" s="107" t="n">
        <f aca="false">IF(C273&gt;=61,IF(Z273&gt;PR_ARFbig,PR_ARFbigRate,IF(C273&gt;=71,PR_ARF71,PR_ARF61)),0)</f>
        <v>0.04</v>
      </c>
      <c r="AB273" s="1" t="n">
        <f aca="false">IF(AS_DrawRule="min",Z273*AA273,IF(AS_DrawRule="fixed",MAX(AS_DrawFixed*E273,Z273*AA273),Z273*MAX(1/MAX(1,AS_End-C273+1),AA273)))</f>
        <v>0</v>
      </c>
      <c r="AC273" s="1" t="n">
        <f aca="false">IF(AND(G273=0,C273&gt;=F_V),MIN(Z273,AB273),0)</f>
        <v>0</v>
      </c>
      <c r="AD273" s="1" t="n">
        <f aca="false">IF(G273=1,S273*(1+F_PenG)+Q273,IF(C273&lt;F_V,S273*(1+F_PenG),(Z273-AC273)*(1+AS_PenRet)))</f>
        <v>0</v>
      </c>
      <c r="AE273" s="1" t="n">
        <f aca="false">IF(C273&gt;=PR_SPage,AS_SP*F_SpF*I273+IF(C273&gt;=80,PR_Over80*PR_Weeks*I273,0),0)</f>
        <v>0</v>
      </c>
      <c r="AF273" s="1" t="n">
        <f aca="false">(F_OtherM+F_RentM)*12*E273</f>
        <v>0</v>
      </c>
      <c r="AG273" s="1" t="n">
        <f aca="false">F_PAge+B273</f>
        <v>63</v>
      </c>
      <c r="AH273" s="1" t="n">
        <f aca="false">IF(AND(F_Partner=1,F_PAge&gt;0,AG273&lt;IF(F_PRet&gt;0,F_PRet,66)),F_PIncome*F273,0)</f>
        <v>0</v>
      </c>
      <c r="AI273" s="1" t="n">
        <f aca="false">IF(AND(F_Partner=1,AG273&gt;=66,F_PSpQA=0),AS_SP*F_PSpF*I273,0)</f>
        <v>0</v>
      </c>
      <c r="AJ273" s="1" t="n">
        <f aca="false">IF(AND(F_Partner=1,F_PSpQA=1,C273&gt;=PR_SPage,AH273=0),IF(AG273&gt;=66,PR_QA66,PR_QAunder)*PR_Weeks*I273,0)</f>
        <v>0</v>
      </c>
      <c r="AK273" s="1" t="n">
        <f aca="false">AE273+AJ273</f>
        <v>0</v>
      </c>
      <c r="AL273" s="1" t="n">
        <f aca="false">K273/H273</f>
        <v>0</v>
      </c>
      <c r="AM273" s="1" t="n">
        <f aca="false">AK273/H273</f>
        <v>0</v>
      </c>
      <c r="AN273" s="1" t="n">
        <f aca="false">AC273/H273</f>
        <v>0</v>
      </c>
      <c r="AO273" s="1" t="n">
        <f aca="false">AF273/H273</f>
        <v>0</v>
      </c>
      <c r="AP273" s="1" t="n">
        <f aca="false">O273/H273</f>
        <v>0</v>
      </c>
      <c r="AQ273" s="1" t="n">
        <f aca="false">AH273/H273</f>
        <v>0</v>
      </c>
      <c r="AR273" s="1" t="n">
        <f aca="false">AI273/H273</f>
        <v>0</v>
      </c>
      <c r="AS273" s="1" t="n">
        <f aca="false">MAX(0,AL273+AN273+AO273+AM273-AP273)</f>
        <v>0</v>
      </c>
      <c r="AT273" s="1" t="n">
        <f aca="false">MAX(0,AQ273+AR273)</f>
        <v>0</v>
      </c>
      <c r="AU273" s="1" t="n">
        <f aca="false">MIN(PR_PAYE,PR_PAYEcap*(AL273+AN273+AM273))</f>
        <v>0</v>
      </c>
      <c r="AV273" s="1" t="n">
        <f aca="false">MIN(PR_PAYE,PR_PAYEcap*(AQ273+AR273))</f>
        <v>0</v>
      </c>
      <c r="AW273" s="1" t="n">
        <f aca="false">IF(C273&gt;=PR_AgeCrAge,PR_AgeCr,0)</f>
        <v>0</v>
      </c>
      <c r="AX273" s="1" t="n">
        <f aca="false">IF(AG273&gt;=PR_AgeCrAge,PR_AgeCr,0)</f>
        <v>0</v>
      </c>
      <c r="AY273" s="1" t="n">
        <f aca="false">IF(AND(F_RentCred=1,D273&lt;=PR_RentLast),1,0)</f>
        <v>0</v>
      </c>
      <c r="AZ273" s="1" t="n">
        <f aca="false">AS273+AT273</f>
        <v>0</v>
      </c>
      <c r="BA273" s="1" t="n">
        <f aca="false">PR_PersonalM+AU273+AV273+AW273+AX273+IF(AY273=1,PR_RentJoint,0)</f>
        <v>4000</v>
      </c>
      <c r="BB273" s="1" t="n">
        <f aca="false">PR_BandM+MIN(MIN(AS273,AT273),PR_Uplift)</f>
        <v>53000</v>
      </c>
      <c r="BC273" s="1" t="n">
        <f aca="false">MAX(0,PR_r1*MIN(AZ273,BB273)+PR_r2*MAX(0,AZ273-BB273)-BA273)</f>
        <v>0</v>
      </c>
      <c r="BD273" s="1" t="n">
        <f aca="false">MAX(0,PR_HomeCarer-MAX(0,MIN(AS273,AT273)-PR_HCLimit)/2)</f>
        <v>1950</v>
      </c>
      <c r="BE273" s="1" t="n">
        <f aca="false">IF(F_Carer=1,MIN(BC273,MAX(0,PR_r1*MIN(AZ273,PR_BandM)+PR_r2*MAX(0,AZ273-PR_BandM)-BA273-BD273)),BC273)</f>
        <v>0</v>
      </c>
      <c r="BF273" s="1" t="n">
        <f aca="false">IF(OR(C273&gt;=PR_AgeCrAge,AG273&gt;=PR_AgeCrAge),IF(AZ273&lt;=PR_AgeExM,0,MIN(BE273,PR_AgeMarg*(AZ273-PR_AgeExM))),BE273)</f>
        <v>0</v>
      </c>
      <c r="BG273" s="1" t="n">
        <f aca="false">MAX(0,PR_r1*MIN(AS273,IF(F_Spccc=1,PR_BandSPCCC,PR_Band))+PR_r2*MAX(0,AS273-IF(F_Spccc=1,PR_BandSPCCC,PR_Band))-(PR_Personal+AU273+AW273+IF(F_Spccc=1,PR_SPCCC,0)+IF(AY273=1,PR_Rent,0)))</f>
        <v>0</v>
      </c>
      <c r="BH273" s="1" t="n">
        <f aca="false">IF(C273&gt;=PR_AgeCrAge,IF(AS273&lt;=PR_AgeEx,0,MIN(BG273,PR_AgeMarg*(AS273-PR_AgeEx))),BG273)</f>
        <v>0</v>
      </c>
      <c r="BI273" s="1" t="n">
        <f aca="false">IF(F_Partner=1,MAX(0,PR_r1*MIN(AT273,PR_Band)+PR_r2*MAX(0,AT273-PR_Band)-(PR_Personal+AV273+AX273+IF(AND(AY273=1,AT273&gt;0),PR_Rent,0))),0)</f>
        <v>0</v>
      </c>
      <c r="BJ273" s="1" t="n">
        <f aca="false">IF(AG273&gt;=PR_AgeCrAge,IF(AT273&lt;=PR_AgeEx,0,MIN(BI273,PR_AgeMarg*(AT273-PR_AgeEx))),BI273)</f>
        <v>0</v>
      </c>
      <c r="BK273" s="1" t="n">
        <f aca="false">IF(F_Partner=1,IF(F_Married=1,BF273,BH273+BJ273),BH273)</f>
        <v>0</v>
      </c>
      <c r="BL273" s="1" t="n">
        <f aca="false">AL273+AN273+AO273</f>
        <v>0</v>
      </c>
      <c r="BM273" s="1" t="n">
        <f aca="false">IF(BL273&lt;=PR_USCex,0,IF(IF(AND(C273&gt;=PR_USCredAge,BL273&lt;=PR_USCredMax),1,0)=1,PR_USCr1*MIN(BL273,PR_USCredB1)+PR_USCredR2*MAX(0,BL273-PR_USCredB1),PR_USCr1*MIN(BL273,PR_USCb1)+PR_USCr2*MAX(0,MIN(BL273,PR_USCb2)-PR_USCb1)+PR_USCr3*MAX(0,MIN(BL273,PR_USCb3)-PR_USCb2)+PR_USCr4*MAX(0,BL273-PR_USCb3)))+IF(F_SelfEmp=1,PR_USCse*MAX(0,AL273-PR_USCseOver),0)</f>
        <v>0</v>
      </c>
      <c r="BN273" s="1" t="n">
        <f aca="false">AQ273</f>
        <v>0</v>
      </c>
      <c r="BO273" s="1" t="n">
        <f aca="false">IF(F_Partner=1,IF(BN273&lt;=PR_USCex,0,IF(IF(AND(AG273&gt;=PR_USCredAge,BN273&lt;=PR_USCredMax),1,0)=1,PR_USCr1*MIN(BN273,PR_USCredB1)+PR_USCredR2*MAX(0,BN273-PR_USCredB1),PR_USCr1*MIN(BN273,PR_USCb1)+PR_USCr2*MAX(0,MIN(BN273,PR_USCb2)-PR_USCb1)+PR_USCr3*MAX(0,MIN(BN273,PR_USCb3)-PR_USCb2)+PR_USCr4*MAX(0,BN273-PR_USCb3))),0)</f>
        <v>0</v>
      </c>
      <c r="BP273" s="1" t="n">
        <f aca="false">IF(C273&lt;PR_PRSIend,IF(F_SelfEmp=1,IF(AL273&gt;PR_PRSIsMinInc,MAX(PR_PRSIsMin,AL273*J273),0),IF(AL273/52&lt;=PR_PRSIfree,0,MAX(0,(AL273/52*J273-IF(AL273/52&lt;=PR_PRSIcreditTo,MAX(0,PR_PRSIcreditMax-(AL273/52-(PR_PRSIfree+0.01))/PR_PRSItaper),0))*52)))+J273*AN273+IF(AO273&gt;PR_PRSIunearned,J273*AO273,0),0)</f>
        <v>0</v>
      </c>
      <c r="BQ273" s="1" t="n">
        <f aca="false">IF(AND(F_Partner=1,AG273&lt;PR_PRSIend),IF(AQ273/52&lt;=PR_PRSIfree,0,MAX(0,(AQ273/52*J273-IF(AQ273/52&lt;=PR_PRSIcreditTo,MAX(0,PR_PRSIcreditMax-(AQ273/52-(PR_PRSIfree+0.01))/PR_PRSItaper),0))*52)),0)</f>
        <v>0</v>
      </c>
      <c r="BR273" s="1" t="n">
        <f aca="false">BK273+BM273+BO273+BP273+BQ273</f>
        <v>0</v>
      </c>
      <c r="BS273" s="1" t="n">
        <f aca="false">BR273*H273</f>
        <v>0</v>
      </c>
      <c r="BT273" s="1" t="n">
        <f aca="false">K273+AK273+AC273+AF273+AH273+AI273</f>
        <v>0</v>
      </c>
    </row>
    <row r="274" customFormat="false" ht="15" hidden="false" customHeight="false" outlineLevel="0" collapsed="false">
      <c r="B274" s="1" t="n">
        <v>64</v>
      </c>
      <c r="C274" s="1" t="n">
        <f aca="false">F_Age+B274</f>
        <v>64</v>
      </c>
      <c r="D274" s="1" t="n">
        <f aca="false">AS_Year0+B274</f>
        <v>2091</v>
      </c>
      <c r="E274" s="106" t="n">
        <f aca="false">(1+AS_Infl)^B274</f>
        <v>3.55149324327688</v>
      </c>
      <c r="F274" s="106" t="n">
        <f aca="false">(1+AS_Wage)^B274</f>
        <v>6.63105119862683</v>
      </c>
      <c r="G274" s="1" t="n">
        <f aca="false">IF(C274&lt;F_R,1,0)</f>
        <v>0</v>
      </c>
      <c r="H274" s="106" t="n">
        <f aca="false">IF(AS_Bands="flat",1,E274)</f>
        <v>3.55149324327688</v>
      </c>
      <c r="I274" s="106" t="n">
        <f aca="false">IF(AS_SpGrow="pay",F274,IF(AS_SpGrow="flat",1,E274))</f>
        <v>3.55149324327688</v>
      </c>
      <c r="J274" s="106" t="n">
        <f aca="false">(12*PR_PRSIr0+(PR_PRSIr1-PR_PRSIr0)*MAX(0,MIN(12,D274*12+12-PR_PRSIt1))+(PR_PRSIr2-PR_PRSIr1)*MAX(0,MIN(12,D274*12+12-PR_PRSIt2))+(PR_PRSIr3-PR_PRSIr2)*MAX(0,MIN(12,D274*12+12-PR_PRSIt3)))/12</f>
        <v>0.047</v>
      </c>
      <c r="K274" s="1" t="n">
        <f aca="false">IF(G274=1,F_Income*F274,0)</f>
        <v>0</v>
      </c>
      <c r="L274" s="1" t="n">
        <f aca="false">IF(G274=1,(F_Own+In_penExtra)*12*F274,0)</f>
        <v>0</v>
      </c>
      <c r="M274" s="1" t="n">
        <f aca="false">IF(G274=1,(F_PenM+In_penExtra)*12*F274,0)</f>
        <v>0</v>
      </c>
      <c r="N274" s="107" t="n">
        <f aca="false">IF(C274&lt;PR_RelA1,PR_RelP1,IF(C274&lt;PR_RelA2,PR_RelP2,IF(C274&lt;PR_RelA3,PR_RelP3,IF(C274&lt;PR_RelA4,PR_RelP4,IF(C274&lt;PR_RelA5,PR_RelP5,PR_RelP6)))))</f>
        <v>0.4</v>
      </c>
      <c r="O274" s="1" t="n">
        <f aca="false">IF(G274=1,MIN(L274/H274,N274*MIN(K274/H274,PR_EarnCap))*H274,0)</f>
        <v>0</v>
      </c>
      <c r="P274" s="1" t="n">
        <f aca="false">IF(AND(G274=1,F_AE=1),MIN(K274/H274,PR_AEcap)*H274,0)</f>
        <v>0</v>
      </c>
      <c r="Q274" s="1" t="n">
        <f aca="false">IF(G274=1,IF(WI_Retire=1,MAX(0,M274+WI_M*12),M274)+(PR_AEee+PR_AEer+PR_AEst)*P274,0)</f>
        <v>0</v>
      </c>
      <c r="R274" s="1" t="n">
        <f aca="false">L274+PR_AEee*P274</f>
        <v>0</v>
      </c>
      <c r="S274" s="1" t="n">
        <f aca="false">AD273</f>
        <v>0</v>
      </c>
      <c r="T274" s="1" t="n">
        <f aca="false">IF(D274&lt;=2026,PR_SFT2026,IF(D274=2027,PR_SFT2027,IF(D274=2028,PR_SFT2028,IF(D274=2029,PR_SFT2029,PR_SFT2029*(1+AS_Infl)^(D274-2029)))))</f>
        <v>9558036.41020306</v>
      </c>
      <c r="U274" s="1" t="n">
        <f aca="false">IF(AND(G274=0,C274=F_V),1,0)</f>
        <v>0</v>
      </c>
      <c r="V274" s="1" t="n">
        <f aca="false">IF(U274=1,PR_SFTrate*MAX(0,S274-T274),0)</f>
        <v>0</v>
      </c>
      <c r="W274" s="1" t="n">
        <f aca="false">S274-V274</f>
        <v>0</v>
      </c>
      <c r="X274" s="1" t="n">
        <f aca="false">IF(AND(U274=1,AS_LumpPct&gt;0),W274*MIN(AS_LumpPct,PR_LSmax),0)</f>
        <v>0</v>
      </c>
      <c r="Y274" s="1" t="n">
        <f aca="false">X274-(PR_LSrate*MAX(0,MIN(X274,PR_LScap)-PR_LSfree)+PR_r2*MAX(0,X274-PR_LScap))</f>
        <v>0</v>
      </c>
      <c r="Z274" s="1" t="n">
        <f aca="false">W274-X274</f>
        <v>0</v>
      </c>
      <c r="AA274" s="107" t="n">
        <f aca="false">IF(C274&gt;=61,IF(Z274&gt;PR_ARFbig,PR_ARFbigRate,IF(C274&gt;=71,PR_ARF71,PR_ARF61)),0)</f>
        <v>0.04</v>
      </c>
      <c r="AB274" s="1" t="n">
        <f aca="false">IF(AS_DrawRule="min",Z274*AA274,IF(AS_DrawRule="fixed",MAX(AS_DrawFixed*E274,Z274*AA274),Z274*MAX(1/MAX(1,AS_End-C274+1),AA274)))</f>
        <v>0</v>
      </c>
      <c r="AC274" s="1" t="n">
        <f aca="false">IF(AND(G274=0,C274&gt;=F_V),MIN(Z274,AB274),0)</f>
        <v>0</v>
      </c>
      <c r="AD274" s="1" t="n">
        <f aca="false">IF(G274=1,S274*(1+F_PenG)+Q274,IF(C274&lt;F_V,S274*(1+F_PenG),(Z274-AC274)*(1+AS_PenRet)))</f>
        <v>0</v>
      </c>
      <c r="AE274" s="1" t="n">
        <f aca="false">IF(C274&gt;=PR_SPage,AS_SP*F_SpF*I274+IF(C274&gt;=80,PR_Over80*PR_Weeks*I274,0),0)</f>
        <v>0</v>
      </c>
      <c r="AF274" s="1" t="n">
        <f aca="false">(F_OtherM+F_RentM)*12*E274</f>
        <v>0</v>
      </c>
      <c r="AG274" s="1" t="n">
        <f aca="false">F_PAge+B274</f>
        <v>64</v>
      </c>
      <c r="AH274" s="1" t="n">
        <f aca="false">IF(AND(F_Partner=1,F_PAge&gt;0,AG274&lt;IF(F_PRet&gt;0,F_PRet,66)),F_PIncome*F274,0)</f>
        <v>0</v>
      </c>
      <c r="AI274" s="1" t="n">
        <f aca="false">IF(AND(F_Partner=1,AG274&gt;=66,F_PSpQA=0),AS_SP*F_PSpF*I274,0)</f>
        <v>0</v>
      </c>
      <c r="AJ274" s="1" t="n">
        <f aca="false">IF(AND(F_Partner=1,F_PSpQA=1,C274&gt;=PR_SPage,AH274=0),IF(AG274&gt;=66,PR_QA66,PR_QAunder)*PR_Weeks*I274,0)</f>
        <v>0</v>
      </c>
      <c r="AK274" s="1" t="n">
        <f aca="false">AE274+AJ274</f>
        <v>0</v>
      </c>
      <c r="AL274" s="1" t="n">
        <f aca="false">K274/H274</f>
        <v>0</v>
      </c>
      <c r="AM274" s="1" t="n">
        <f aca="false">AK274/H274</f>
        <v>0</v>
      </c>
      <c r="AN274" s="1" t="n">
        <f aca="false">AC274/H274</f>
        <v>0</v>
      </c>
      <c r="AO274" s="1" t="n">
        <f aca="false">AF274/H274</f>
        <v>0</v>
      </c>
      <c r="AP274" s="1" t="n">
        <f aca="false">O274/H274</f>
        <v>0</v>
      </c>
      <c r="AQ274" s="1" t="n">
        <f aca="false">AH274/H274</f>
        <v>0</v>
      </c>
      <c r="AR274" s="1" t="n">
        <f aca="false">AI274/H274</f>
        <v>0</v>
      </c>
      <c r="AS274" s="1" t="n">
        <f aca="false">MAX(0,AL274+AN274+AO274+AM274-AP274)</f>
        <v>0</v>
      </c>
      <c r="AT274" s="1" t="n">
        <f aca="false">MAX(0,AQ274+AR274)</f>
        <v>0</v>
      </c>
      <c r="AU274" s="1" t="n">
        <f aca="false">MIN(PR_PAYE,PR_PAYEcap*(AL274+AN274+AM274))</f>
        <v>0</v>
      </c>
      <c r="AV274" s="1" t="n">
        <f aca="false">MIN(PR_PAYE,PR_PAYEcap*(AQ274+AR274))</f>
        <v>0</v>
      </c>
      <c r="AW274" s="1" t="n">
        <f aca="false">IF(C274&gt;=PR_AgeCrAge,PR_AgeCr,0)</f>
        <v>0</v>
      </c>
      <c r="AX274" s="1" t="n">
        <f aca="false">IF(AG274&gt;=PR_AgeCrAge,PR_AgeCr,0)</f>
        <v>0</v>
      </c>
      <c r="AY274" s="1" t="n">
        <f aca="false">IF(AND(F_RentCred=1,D274&lt;=PR_RentLast),1,0)</f>
        <v>0</v>
      </c>
      <c r="AZ274" s="1" t="n">
        <f aca="false">AS274+AT274</f>
        <v>0</v>
      </c>
      <c r="BA274" s="1" t="n">
        <f aca="false">PR_PersonalM+AU274+AV274+AW274+AX274+IF(AY274=1,PR_RentJoint,0)</f>
        <v>4000</v>
      </c>
      <c r="BB274" s="1" t="n">
        <f aca="false">PR_BandM+MIN(MIN(AS274,AT274),PR_Uplift)</f>
        <v>53000</v>
      </c>
      <c r="BC274" s="1" t="n">
        <f aca="false">MAX(0,PR_r1*MIN(AZ274,BB274)+PR_r2*MAX(0,AZ274-BB274)-BA274)</f>
        <v>0</v>
      </c>
      <c r="BD274" s="1" t="n">
        <f aca="false">MAX(0,PR_HomeCarer-MAX(0,MIN(AS274,AT274)-PR_HCLimit)/2)</f>
        <v>1950</v>
      </c>
      <c r="BE274" s="1" t="n">
        <f aca="false">IF(F_Carer=1,MIN(BC274,MAX(0,PR_r1*MIN(AZ274,PR_BandM)+PR_r2*MAX(0,AZ274-PR_BandM)-BA274-BD274)),BC274)</f>
        <v>0</v>
      </c>
      <c r="BF274" s="1" t="n">
        <f aca="false">IF(OR(C274&gt;=PR_AgeCrAge,AG274&gt;=PR_AgeCrAge),IF(AZ274&lt;=PR_AgeExM,0,MIN(BE274,PR_AgeMarg*(AZ274-PR_AgeExM))),BE274)</f>
        <v>0</v>
      </c>
      <c r="BG274" s="1" t="n">
        <f aca="false">MAX(0,PR_r1*MIN(AS274,IF(F_Spccc=1,PR_BandSPCCC,PR_Band))+PR_r2*MAX(0,AS274-IF(F_Spccc=1,PR_BandSPCCC,PR_Band))-(PR_Personal+AU274+AW274+IF(F_Spccc=1,PR_SPCCC,0)+IF(AY274=1,PR_Rent,0)))</f>
        <v>0</v>
      </c>
      <c r="BH274" s="1" t="n">
        <f aca="false">IF(C274&gt;=PR_AgeCrAge,IF(AS274&lt;=PR_AgeEx,0,MIN(BG274,PR_AgeMarg*(AS274-PR_AgeEx))),BG274)</f>
        <v>0</v>
      </c>
      <c r="BI274" s="1" t="n">
        <f aca="false">IF(F_Partner=1,MAX(0,PR_r1*MIN(AT274,PR_Band)+PR_r2*MAX(0,AT274-PR_Band)-(PR_Personal+AV274+AX274+IF(AND(AY274=1,AT274&gt;0),PR_Rent,0))),0)</f>
        <v>0</v>
      </c>
      <c r="BJ274" s="1" t="n">
        <f aca="false">IF(AG274&gt;=PR_AgeCrAge,IF(AT274&lt;=PR_AgeEx,0,MIN(BI274,PR_AgeMarg*(AT274-PR_AgeEx))),BI274)</f>
        <v>0</v>
      </c>
      <c r="BK274" s="1" t="n">
        <f aca="false">IF(F_Partner=1,IF(F_Married=1,BF274,BH274+BJ274),BH274)</f>
        <v>0</v>
      </c>
      <c r="BL274" s="1" t="n">
        <f aca="false">AL274+AN274+AO274</f>
        <v>0</v>
      </c>
      <c r="BM274" s="1" t="n">
        <f aca="false">IF(BL274&lt;=PR_USCex,0,IF(IF(AND(C274&gt;=PR_USCredAge,BL274&lt;=PR_USCredMax),1,0)=1,PR_USCr1*MIN(BL274,PR_USCredB1)+PR_USCredR2*MAX(0,BL274-PR_USCredB1),PR_USCr1*MIN(BL274,PR_USCb1)+PR_USCr2*MAX(0,MIN(BL274,PR_USCb2)-PR_USCb1)+PR_USCr3*MAX(0,MIN(BL274,PR_USCb3)-PR_USCb2)+PR_USCr4*MAX(0,BL274-PR_USCb3)))+IF(F_SelfEmp=1,PR_USCse*MAX(0,AL274-PR_USCseOver),0)</f>
        <v>0</v>
      </c>
      <c r="BN274" s="1" t="n">
        <f aca="false">AQ274</f>
        <v>0</v>
      </c>
      <c r="BO274" s="1" t="n">
        <f aca="false">IF(F_Partner=1,IF(BN274&lt;=PR_USCex,0,IF(IF(AND(AG274&gt;=PR_USCredAge,BN274&lt;=PR_USCredMax),1,0)=1,PR_USCr1*MIN(BN274,PR_USCredB1)+PR_USCredR2*MAX(0,BN274-PR_USCredB1),PR_USCr1*MIN(BN274,PR_USCb1)+PR_USCr2*MAX(0,MIN(BN274,PR_USCb2)-PR_USCb1)+PR_USCr3*MAX(0,MIN(BN274,PR_USCb3)-PR_USCb2)+PR_USCr4*MAX(0,BN274-PR_USCb3))),0)</f>
        <v>0</v>
      </c>
      <c r="BP274" s="1" t="n">
        <f aca="false">IF(C274&lt;PR_PRSIend,IF(F_SelfEmp=1,IF(AL274&gt;PR_PRSIsMinInc,MAX(PR_PRSIsMin,AL274*J274),0),IF(AL274/52&lt;=PR_PRSIfree,0,MAX(0,(AL274/52*J274-IF(AL274/52&lt;=PR_PRSIcreditTo,MAX(0,PR_PRSIcreditMax-(AL274/52-(PR_PRSIfree+0.01))/PR_PRSItaper),0))*52)))+J274*AN274+IF(AO274&gt;PR_PRSIunearned,J274*AO274,0),0)</f>
        <v>0</v>
      </c>
      <c r="BQ274" s="1" t="n">
        <f aca="false">IF(AND(F_Partner=1,AG274&lt;PR_PRSIend),IF(AQ274/52&lt;=PR_PRSIfree,0,MAX(0,(AQ274/52*J274-IF(AQ274/52&lt;=PR_PRSIcreditTo,MAX(0,PR_PRSIcreditMax-(AQ274/52-(PR_PRSIfree+0.01))/PR_PRSItaper),0))*52)),0)</f>
        <v>0</v>
      </c>
      <c r="BR274" s="1" t="n">
        <f aca="false">BK274+BM274+BO274+BP274+BQ274</f>
        <v>0</v>
      </c>
      <c r="BS274" s="1" t="n">
        <f aca="false">BR274*H274</f>
        <v>0</v>
      </c>
      <c r="BT274" s="1" t="n">
        <f aca="false">K274+AK274+AC274+AF274+AH274+AI274</f>
        <v>0</v>
      </c>
    </row>
    <row r="275" customFormat="false" ht="15" hidden="false" customHeight="false" outlineLevel="0" collapsed="false">
      <c r="B275" s="1" t="n">
        <v>65</v>
      </c>
      <c r="C275" s="1" t="n">
        <f aca="false">F_Age+B275</f>
        <v>65</v>
      </c>
      <c r="D275" s="1" t="n">
        <f aca="false">AS_Year0+B275</f>
        <v>2092</v>
      </c>
      <c r="E275" s="106" t="n">
        <f aca="false">(1+AS_Infl)^B275</f>
        <v>3.62252310814242</v>
      </c>
      <c r="F275" s="106" t="n">
        <f aca="false">(1+AS_Wage)^B275</f>
        <v>6.82998273458564</v>
      </c>
      <c r="G275" s="1" t="n">
        <f aca="false">IF(C275&lt;F_R,1,0)</f>
        <v>0</v>
      </c>
      <c r="H275" s="106" t="n">
        <f aca="false">IF(AS_Bands="flat",1,E275)</f>
        <v>3.62252310814242</v>
      </c>
      <c r="I275" s="106" t="n">
        <f aca="false">IF(AS_SpGrow="pay",F275,IF(AS_SpGrow="flat",1,E275))</f>
        <v>3.62252310814242</v>
      </c>
      <c r="J275" s="106" t="n">
        <f aca="false">(12*PR_PRSIr0+(PR_PRSIr1-PR_PRSIr0)*MAX(0,MIN(12,D275*12+12-PR_PRSIt1))+(PR_PRSIr2-PR_PRSIr1)*MAX(0,MIN(12,D275*12+12-PR_PRSIt2))+(PR_PRSIr3-PR_PRSIr2)*MAX(0,MIN(12,D275*12+12-PR_PRSIt3)))/12</f>
        <v>0.047</v>
      </c>
      <c r="K275" s="1" t="n">
        <f aca="false">IF(G275=1,F_Income*F275,0)</f>
        <v>0</v>
      </c>
      <c r="L275" s="1" t="n">
        <f aca="false">IF(G275=1,(F_Own+In_penExtra)*12*F275,0)</f>
        <v>0</v>
      </c>
      <c r="M275" s="1" t="n">
        <f aca="false">IF(G275=1,(F_PenM+In_penExtra)*12*F275,0)</f>
        <v>0</v>
      </c>
      <c r="N275" s="107" t="n">
        <f aca="false">IF(C275&lt;PR_RelA1,PR_RelP1,IF(C275&lt;PR_RelA2,PR_RelP2,IF(C275&lt;PR_RelA3,PR_RelP3,IF(C275&lt;PR_RelA4,PR_RelP4,IF(C275&lt;PR_RelA5,PR_RelP5,PR_RelP6)))))</f>
        <v>0.4</v>
      </c>
      <c r="O275" s="1" t="n">
        <f aca="false">IF(G275=1,MIN(L275/H275,N275*MIN(K275/H275,PR_EarnCap))*H275,0)</f>
        <v>0</v>
      </c>
      <c r="P275" s="1" t="n">
        <f aca="false">IF(AND(G275=1,F_AE=1),MIN(K275/H275,PR_AEcap)*H275,0)</f>
        <v>0</v>
      </c>
      <c r="Q275" s="1" t="n">
        <f aca="false">IF(G275=1,IF(WI_Retire=1,MAX(0,M275+WI_M*12),M275)+(PR_AEee+PR_AEer+PR_AEst)*P275,0)</f>
        <v>0</v>
      </c>
      <c r="R275" s="1" t="n">
        <f aca="false">L275+PR_AEee*P275</f>
        <v>0</v>
      </c>
      <c r="S275" s="1" t="n">
        <f aca="false">AD274</f>
        <v>0</v>
      </c>
      <c r="T275" s="1" t="n">
        <f aca="false">IF(D275&lt;=2026,PR_SFT2026,IF(D275=2027,PR_SFT2027,IF(D275=2028,PR_SFT2028,IF(D275=2029,PR_SFT2029,PR_SFT2029*(1+AS_Infl)^(D275-2029)))))</f>
        <v>9749197.13840712</v>
      </c>
      <c r="U275" s="1" t="n">
        <f aca="false">IF(AND(G275=0,C275=F_V),1,0)</f>
        <v>0</v>
      </c>
      <c r="V275" s="1" t="n">
        <f aca="false">IF(U275=1,PR_SFTrate*MAX(0,S275-T275),0)</f>
        <v>0</v>
      </c>
      <c r="W275" s="1" t="n">
        <f aca="false">S275-V275</f>
        <v>0</v>
      </c>
      <c r="X275" s="1" t="n">
        <f aca="false">IF(AND(U275=1,AS_LumpPct&gt;0),W275*MIN(AS_LumpPct,PR_LSmax),0)</f>
        <v>0</v>
      </c>
      <c r="Y275" s="1" t="n">
        <f aca="false">X275-(PR_LSrate*MAX(0,MIN(X275,PR_LScap)-PR_LSfree)+PR_r2*MAX(0,X275-PR_LScap))</f>
        <v>0</v>
      </c>
      <c r="Z275" s="1" t="n">
        <f aca="false">W275-X275</f>
        <v>0</v>
      </c>
      <c r="AA275" s="107" t="n">
        <f aca="false">IF(C275&gt;=61,IF(Z275&gt;PR_ARFbig,PR_ARFbigRate,IF(C275&gt;=71,PR_ARF71,PR_ARF61)),0)</f>
        <v>0.04</v>
      </c>
      <c r="AB275" s="1" t="n">
        <f aca="false">IF(AS_DrawRule="min",Z275*AA275,IF(AS_DrawRule="fixed",MAX(AS_DrawFixed*E275,Z275*AA275),Z275*MAX(1/MAX(1,AS_End-C275+1),AA275)))</f>
        <v>0</v>
      </c>
      <c r="AC275" s="1" t="n">
        <f aca="false">IF(AND(G275=0,C275&gt;=F_V),MIN(Z275,AB275),0)</f>
        <v>0</v>
      </c>
      <c r="AD275" s="1" t="n">
        <f aca="false">IF(G275=1,S275*(1+F_PenG)+Q275,IF(C275&lt;F_V,S275*(1+F_PenG),(Z275-AC275)*(1+AS_PenRet)))</f>
        <v>0</v>
      </c>
      <c r="AE275" s="1" t="n">
        <f aca="false">IF(C275&gt;=PR_SPage,AS_SP*F_SpF*I275+IF(C275&gt;=80,PR_Over80*PR_Weeks*I275,0),0)</f>
        <v>0</v>
      </c>
      <c r="AF275" s="1" t="n">
        <f aca="false">(F_OtherM+F_RentM)*12*E275</f>
        <v>0</v>
      </c>
      <c r="AG275" s="1" t="n">
        <f aca="false">F_PAge+B275</f>
        <v>65</v>
      </c>
      <c r="AH275" s="1" t="n">
        <f aca="false">IF(AND(F_Partner=1,F_PAge&gt;0,AG275&lt;IF(F_PRet&gt;0,F_PRet,66)),F_PIncome*F275,0)</f>
        <v>0</v>
      </c>
      <c r="AI275" s="1" t="n">
        <f aca="false">IF(AND(F_Partner=1,AG275&gt;=66,F_PSpQA=0),AS_SP*F_PSpF*I275,0)</f>
        <v>0</v>
      </c>
      <c r="AJ275" s="1" t="n">
        <f aca="false">IF(AND(F_Partner=1,F_PSpQA=1,C275&gt;=PR_SPage,AH275=0),IF(AG275&gt;=66,PR_QA66,PR_QAunder)*PR_Weeks*I275,0)</f>
        <v>0</v>
      </c>
      <c r="AK275" s="1" t="n">
        <f aca="false">AE275+AJ275</f>
        <v>0</v>
      </c>
      <c r="AL275" s="1" t="n">
        <f aca="false">K275/H275</f>
        <v>0</v>
      </c>
      <c r="AM275" s="1" t="n">
        <f aca="false">AK275/H275</f>
        <v>0</v>
      </c>
      <c r="AN275" s="1" t="n">
        <f aca="false">AC275/H275</f>
        <v>0</v>
      </c>
      <c r="AO275" s="1" t="n">
        <f aca="false">AF275/H275</f>
        <v>0</v>
      </c>
      <c r="AP275" s="1" t="n">
        <f aca="false">O275/H275</f>
        <v>0</v>
      </c>
      <c r="AQ275" s="1" t="n">
        <f aca="false">AH275/H275</f>
        <v>0</v>
      </c>
      <c r="AR275" s="1" t="n">
        <f aca="false">AI275/H275</f>
        <v>0</v>
      </c>
      <c r="AS275" s="1" t="n">
        <f aca="false">MAX(0,AL275+AN275+AO275+AM275-AP275)</f>
        <v>0</v>
      </c>
      <c r="AT275" s="1" t="n">
        <f aca="false">MAX(0,AQ275+AR275)</f>
        <v>0</v>
      </c>
      <c r="AU275" s="1" t="n">
        <f aca="false">MIN(PR_PAYE,PR_PAYEcap*(AL275+AN275+AM275))</f>
        <v>0</v>
      </c>
      <c r="AV275" s="1" t="n">
        <f aca="false">MIN(PR_PAYE,PR_PAYEcap*(AQ275+AR275))</f>
        <v>0</v>
      </c>
      <c r="AW275" s="1" t="n">
        <f aca="false">IF(C275&gt;=PR_AgeCrAge,PR_AgeCr,0)</f>
        <v>245</v>
      </c>
      <c r="AX275" s="1" t="n">
        <f aca="false">IF(AG275&gt;=PR_AgeCrAge,PR_AgeCr,0)</f>
        <v>245</v>
      </c>
      <c r="AY275" s="1" t="n">
        <f aca="false">IF(AND(F_RentCred=1,D275&lt;=PR_RentLast),1,0)</f>
        <v>0</v>
      </c>
      <c r="AZ275" s="1" t="n">
        <f aca="false">AS275+AT275</f>
        <v>0</v>
      </c>
      <c r="BA275" s="1" t="n">
        <f aca="false">PR_PersonalM+AU275+AV275+AW275+AX275+IF(AY275=1,PR_RentJoint,0)</f>
        <v>4490</v>
      </c>
      <c r="BB275" s="1" t="n">
        <f aca="false">PR_BandM+MIN(MIN(AS275,AT275),PR_Uplift)</f>
        <v>53000</v>
      </c>
      <c r="BC275" s="1" t="n">
        <f aca="false">MAX(0,PR_r1*MIN(AZ275,BB275)+PR_r2*MAX(0,AZ275-BB275)-BA275)</f>
        <v>0</v>
      </c>
      <c r="BD275" s="1" t="n">
        <f aca="false">MAX(0,PR_HomeCarer-MAX(0,MIN(AS275,AT275)-PR_HCLimit)/2)</f>
        <v>1950</v>
      </c>
      <c r="BE275" s="1" t="n">
        <f aca="false">IF(F_Carer=1,MIN(BC275,MAX(0,PR_r1*MIN(AZ275,PR_BandM)+PR_r2*MAX(0,AZ275-PR_BandM)-BA275-BD275)),BC275)</f>
        <v>0</v>
      </c>
      <c r="BF275" s="1" t="n">
        <f aca="false">IF(OR(C275&gt;=PR_AgeCrAge,AG275&gt;=PR_AgeCrAge),IF(AZ275&lt;=PR_AgeExM,0,MIN(BE275,PR_AgeMarg*(AZ275-PR_AgeExM))),BE275)</f>
        <v>0</v>
      </c>
      <c r="BG275" s="1" t="n">
        <f aca="false">MAX(0,PR_r1*MIN(AS275,IF(F_Spccc=1,PR_BandSPCCC,PR_Band))+PR_r2*MAX(0,AS275-IF(F_Spccc=1,PR_BandSPCCC,PR_Band))-(PR_Personal+AU275+AW275+IF(F_Spccc=1,PR_SPCCC,0)+IF(AY275=1,PR_Rent,0)))</f>
        <v>0</v>
      </c>
      <c r="BH275" s="1" t="n">
        <f aca="false">IF(C275&gt;=PR_AgeCrAge,IF(AS275&lt;=PR_AgeEx,0,MIN(BG275,PR_AgeMarg*(AS275-PR_AgeEx))),BG275)</f>
        <v>0</v>
      </c>
      <c r="BI275" s="1" t="n">
        <f aca="false">IF(F_Partner=1,MAX(0,PR_r1*MIN(AT275,PR_Band)+PR_r2*MAX(0,AT275-PR_Band)-(PR_Personal+AV275+AX275+IF(AND(AY275=1,AT275&gt;0),PR_Rent,0))),0)</f>
        <v>0</v>
      </c>
      <c r="BJ275" s="1" t="n">
        <f aca="false">IF(AG275&gt;=PR_AgeCrAge,IF(AT275&lt;=PR_AgeEx,0,MIN(BI275,PR_AgeMarg*(AT275-PR_AgeEx))),BI275)</f>
        <v>0</v>
      </c>
      <c r="BK275" s="1" t="n">
        <f aca="false">IF(F_Partner=1,IF(F_Married=1,BF275,BH275+BJ275),BH275)</f>
        <v>0</v>
      </c>
      <c r="BL275" s="1" t="n">
        <f aca="false">AL275+AN275+AO275</f>
        <v>0</v>
      </c>
      <c r="BM275" s="1" t="n">
        <f aca="false">IF(BL275&lt;=PR_USCex,0,IF(IF(AND(C275&gt;=PR_USCredAge,BL275&lt;=PR_USCredMax),1,0)=1,PR_USCr1*MIN(BL275,PR_USCredB1)+PR_USCredR2*MAX(0,BL275-PR_USCredB1),PR_USCr1*MIN(BL275,PR_USCb1)+PR_USCr2*MAX(0,MIN(BL275,PR_USCb2)-PR_USCb1)+PR_USCr3*MAX(0,MIN(BL275,PR_USCb3)-PR_USCb2)+PR_USCr4*MAX(0,BL275-PR_USCb3)))+IF(F_SelfEmp=1,PR_USCse*MAX(0,AL275-PR_USCseOver),0)</f>
        <v>0</v>
      </c>
      <c r="BN275" s="1" t="n">
        <f aca="false">AQ275</f>
        <v>0</v>
      </c>
      <c r="BO275" s="1" t="n">
        <f aca="false">IF(F_Partner=1,IF(BN275&lt;=PR_USCex,0,IF(IF(AND(AG275&gt;=PR_USCredAge,BN275&lt;=PR_USCredMax),1,0)=1,PR_USCr1*MIN(BN275,PR_USCredB1)+PR_USCredR2*MAX(0,BN275-PR_USCredB1),PR_USCr1*MIN(BN275,PR_USCb1)+PR_USCr2*MAX(0,MIN(BN275,PR_USCb2)-PR_USCb1)+PR_USCr3*MAX(0,MIN(BN275,PR_USCb3)-PR_USCb2)+PR_USCr4*MAX(0,BN275-PR_USCb3))),0)</f>
        <v>0</v>
      </c>
      <c r="BP275" s="1" t="n">
        <f aca="false">IF(C275&lt;PR_PRSIend,IF(F_SelfEmp=1,IF(AL275&gt;PR_PRSIsMinInc,MAX(PR_PRSIsMin,AL275*J275),0),IF(AL275/52&lt;=PR_PRSIfree,0,MAX(0,(AL275/52*J275-IF(AL275/52&lt;=PR_PRSIcreditTo,MAX(0,PR_PRSIcreditMax-(AL275/52-(PR_PRSIfree+0.01))/PR_PRSItaper),0))*52)))+J275*AN275+IF(AO275&gt;PR_PRSIunearned,J275*AO275,0),0)</f>
        <v>0</v>
      </c>
      <c r="BQ275" s="1" t="n">
        <f aca="false">IF(AND(F_Partner=1,AG275&lt;PR_PRSIend),IF(AQ275/52&lt;=PR_PRSIfree,0,MAX(0,(AQ275/52*J275-IF(AQ275/52&lt;=PR_PRSIcreditTo,MAX(0,PR_PRSIcreditMax-(AQ275/52-(PR_PRSIfree+0.01))/PR_PRSItaper),0))*52)),0)</f>
        <v>0</v>
      </c>
      <c r="BR275" s="1" t="n">
        <f aca="false">BK275+BM275+BO275+BP275+BQ275</f>
        <v>0</v>
      </c>
      <c r="BS275" s="1" t="n">
        <f aca="false">BR275*H275</f>
        <v>0</v>
      </c>
      <c r="BT275" s="1" t="n">
        <f aca="false">K275+AK275+AC275+AF275+AH275+AI275</f>
        <v>0</v>
      </c>
    </row>
    <row r="276" customFormat="false" ht="15" hidden="false" customHeight="false" outlineLevel="0" collapsed="false">
      <c r="B276" s="1" t="n">
        <v>66</v>
      </c>
      <c r="C276" s="1" t="n">
        <f aca="false">F_Age+B276</f>
        <v>66</v>
      </c>
      <c r="D276" s="1" t="n">
        <f aca="false">AS_Year0+B276</f>
        <v>2093</v>
      </c>
      <c r="E276" s="106" t="n">
        <f aca="false">(1+AS_Infl)^B276</f>
        <v>3.69497357030527</v>
      </c>
      <c r="F276" s="106" t="n">
        <f aca="false">(1+AS_Wage)^B276</f>
        <v>7.03488221662321</v>
      </c>
      <c r="G276" s="1" t="n">
        <f aca="false">IF(C276&lt;F_R,1,0)</f>
        <v>0</v>
      </c>
      <c r="H276" s="106" t="n">
        <f aca="false">IF(AS_Bands="flat",1,E276)</f>
        <v>3.69497357030527</v>
      </c>
      <c r="I276" s="106" t="n">
        <f aca="false">IF(AS_SpGrow="pay",F276,IF(AS_SpGrow="flat",1,E276))</f>
        <v>3.69497357030527</v>
      </c>
      <c r="J276" s="106" t="n">
        <f aca="false">(12*PR_PRSIr0+(PR_PRSIr1-PR_PRSIr0)*MAX(0,MIN(12,D276*12+12-PR_PRSIt1))+(PR_PRSIr2-PR_PRSIr1)*MAX(0,MIN(12,D276*12+12-PR_PRSIt2))+(PR_PRSIr3-PR_PRSIr2)*MAX(0,MIN(12,D276*12+12-PR_PRSIt3)))/12</f>
        <v>0.047</v>
      </c>
      <c r="K276" s="1" t="n">
        <f aca="false">IF(G276=1,F_Income*F276,0)</f>
        <v>0</v>
      </c>
      <c r="L276" s="1" t="n">
        <f aca="false">IF(G276=1,(F_Own+In_penExtra)*12*F276,0)</f>
        <v>0</v>
      </c>
      <c r="M276" s="1" t="n">
        <f aca="false">IF(G276=1,(F_PenM+In_penExtra)*12*F276,0)</f>
        <v>0</v>
      </c>
      <c r="N276" s="107" t="n">
        <f aca="false">IF(C276&lt;PR_RelA1,PR_RelP1,IF(C276&lt;PR_RelA2,PR_RelP2,IF(C276&lt;PR_RelA3,PR_RelP3,IF(C276&lt;PR_RelA4,PR_RelP4,IF(C276&lt;PR_RelA5,PR_RelP5,PR_RelP6)))))</f>
        <v>0.4</v>
      </c>
      <c r="O276" s="1" t="n">
        <f aca="false">IF(G276=1,MIN(L276/H276,N276*MIN(K276/H276,PR_EarnCap))*H276,0)</f>
        <v>0</v>
      </c>
      <c r="P276" s="1" t="n">
        <f aca="false">IF(AND(G276=1,F_AE=1),MIN(K276/H276,PR_AEcap)*H276,0)</f>
        <v>0</v>
      </c>
      <c r="Q276" s="1" t="n">
        <f aca="false">IF(G276=1,IF(WI_Retire=1,MAX(0,M276+WI_M*12),M276)+(PR_AEee+PR_AEer+PR_AEst)*P276,0)</f>
        <v>0</v>
      </c>
      <c r="R276" s="1" t="n">
        <f aca="false">L276+PR_AEee*P276</f>
        <v>0</v>
      </c>
      <c r="S276" s="1" t="n">
        <f aca="false">AD275</f>
        <v>0</v>
      </c>
      <c r="T276" s="1" t="n">
        <f aca="false">IF(D276&lt;=2026,PR_SFT2026,IF(D276=2027,PR_SFT2027,IF(D276=2028,PR_SFT2028,IF(D276=2029,PR_SFT2029,PR_SFT2029*(1+AS_Infl)^(D276-2029)))))</f>
        <v>9944181.08117526</v>
      </c>
      <c r="U276" s="1" t="n">
        <f aca="false">IF(AND(G276=0,C276=F_V),1,0)</f>
        <v>0</v>
      </c>
      <c r="V276" s="1" t="n">
        <f aca="false">IF(U276=1,PR_SFTrate*MAX(0,S276-T276),0)</f>
        <v>0</v>
      </c>
      <c r="W276" s="1" t="n">
        <f aca="false">S276-V276</f>
        <v>0</v>
      </c>
      <c r="X276" s="1" t="n">
        <f aca="false">IF(AND(U276=1,AS_LumpPct&gt;0),W276*MIN(AS_LumpPct,PR_LSmax),0)</f>
        <v>0</v>
      </c>
      <c r="Y276" s="1" t="n">
        <f aca="false">X276-(PR_LSrate*MAX(0,MIN(X276,PR_LScap)-PR_LSfree)+PR_r2*MAX(0,X276-PR_LScap))</f>
        <v>0</v>
      </c>
      <c r="Z276" s="1" t="n">
        <f aca="false">W276-X276</f>
        <v>0</v>
      </c>
      <c r="AA276" s="107" t="n">
        <f aca="false">IF(C276&gt;=61,IF(Z276&gt;PR_ARFbig,PR_ARFbigRate,IF(C276&gt;=71,PR_ARF71,PR_ARF61)),0)</f>
        <v>0.04</v>
      </c>
      <c r="AB276" s="1" t="n">
        <f aca="false">IF(AS_DrawRule="min",Z276*AA276,IF(AS_DrawRule="fixed",MAX(AS_DrawFixed*E276,Z276*AA276),Z276*MAX(1/MAX(1,AS_End-C276+1),AA276)))</f>
        <v>0</v>
      </c>
      <c r="AC276" s="1" t="n">
        <f aca="false">IF(AND(G276=0,C276&gt;=F_V),MIN(Z276,AB276),0)</f>
        <v>0</v>
      </c>
      <c r="AD276" s="1" t="n">
        <f aca="false">IF(G276=1,S276*(1+F_PenG)+Q276,IF(C276&lt;F_V,S276*(1+F_PenG),(Z276-AC276)*(1+AS_PenRet)))</f>
        <v>0</v>
      </c>
      <c r="AE276" s="1" t="n">
        <f aca="false">IF(C276&gt;=PR_SPage,AS_SP*F_SpF*I276+IF(C276&gt;=80,PR_Over80*PR_Weeks*I276,0),0)</f>
        <v>46005.6725270424</v>
      </c>
      <c r="AF276" s="1" t="n">
        <f aca="false">(F_OtherM+F_RentM)*12*E276</f>
        <v>0</v>
      </c>
      <c r="AG276" s="1" t="n">
        <f aca="false">F_PAge+B276</f>
        <v>66</v>
      </c>
      <c r="AH276" s="1" t="n">
        <f aca="false">IF(AND(F_Partner=1,F_PAge&gt;0,AG276&lt;IF(F_PRet&gt;0,F_PRet,66)),F_PIncome*F276,0)</f>
        <v>0</v>
      </c>
      <c r="AI276" s="1" t="n">
        <f aca="false">IF(AND(F_Partner=1,AG276&gt;=66,F_PSpQA=0),AS_SP*F_PSpF*I276,0)</f>
        <v>0</v>
      </c>
      <c r="AJ276" s="1" t="n">
        <f aca="false">IF(AND(F_Partner=1,F_PSpQA=1,C276&gt;=PR_SPage,AH276=0),IF(AG276&gt;=66,PR_QA66,PR_QAunder)*PR_Weeks*I276,0)</f>
        <v>0</v>
      </c>
      <c r="AK276" s="1" t="n">
        <f aca="false">AE276+AJ276</f>
        <v>46005.6725270424</v>
      </c>
      <c r="AL276" s="1" t="n">
        <f aca="false">K276/H276</f>
        <v>0</v>
      </c>
      <c r="AM276" s="1" t="n">
        <f aca="false">AK276/H276</f>
        <v>12450.88</v>
      </c>
      <c r="AN276" s="1" t="n">
        <f aca="false">AC276/H276</f>
        <v>0</v>
      </c>
      <c r="AO276" s="1" t="n">
        <f aca="false">AF276/H276</f>
        <v>0</v>
      </c>
      <c r="AP276" s="1" t="n">
        <f aca="false">O276/H276</f>
        <v>0</v>
      </c>
      <c r="AQ276" s="1" t="n">
        <f aca="false">AH276/H276</f>
        <v>0</v>
      </c>
      <c r="AR276" s="1" t="n">
        <f aca="false">AI276/H276</f>
        <v>0</v>
      </c>
      <c r="AS276" s="1" t="n">
        <f aca="false">MAX(0,AL276+AN276+AO276+AM276-AP276)</f>
        <v>12450.88</v>
      </c>
      <c r="AT276" s="1" t="n">
        <f aca="false">MAX(0,AQ276+AR276)</f>
        <v>0</v>
      </c>
      <c r="AU276" s="1" t="n">
        <f aca="false">MIN(PR_PAYE,PR_PAYEcap*(AL276+AN276+AM276))</f>
        <v>2000</v>
      </c>
      <c r="AV276" s="1" t="n">
        <f aca="false">MIN(PR_PAYE,PR_PAYEcap*(AQ276+AR276))</f>
        <v>0</v>
      </c>
      <c r="AW276" s="1" t="n">
        <f aca="false">IF(C276&gt;=PR_AgeCrAge,PR_AgeCr,0)</f>
        <v>245</v>
      </c>
      <c r="AX276" s="1" t="n">
        <f aca="false">IF(AG276&gt;=PR_AgeCrAge,PR_AgeCr,0)</f>
        <v>245</v>
      </c>
      <c r="AY276" s="1" t="n">
        <f aca="false">IF(AND(F_RentCred=1,D276&lt;=PR_RentLast),1,0)</f>
        <v>0</v>
      </c>
      <c r="AZ276" s="1" t="n">
        <f aca="false">AS276+AT276</f>
        <v>12450.88</v>
      </c>
      <c r="BA276" s="1" t="n">
        <f aca="false">PR_PersonalM+AU276+AV276+AW276+AX276+IF(AY276=1,PR_RentJoint,0)</f>
        <v>6490</v>
      </c>
      <c r="BB276" s="1" t="n">
        <f aca="false">PR_BandM+MIN(MIN(AS276,AT276),PR_Uplift)</f>
        <v>53000</v>
      </c>
      <c r="BC276" s="1" t="n">
        <f aca="false">MAX(0,PR_r1*MIN(AZ276,BB276)+PR_r2*MAX(0,AZ276-BB276)-BA276)</f>
        <v>0</v>
      </c>
      <c r="BD276" s="1" t="n">
        <f aca="false">MAX(0,PR_HomeCarer-MAX(0,MIN(AS276,AT276)-PR_HCLimit)/2)</f>
        <v>1950</v>
      </c>
      <c r="BE276" s="1" t="n">
        <f aca="false">IF(F_Carer=1,MIN(BC276,MAX(0,PR_r1*MIN(AZ276,PR_BandM)+PR_r2*MAX(0,AZ276-PR_BandM)-BA276-BD276)),BC276)</f>
        <v>0</v>
      </c>
      <c r="BF276" s="1" t="n">
        <f aca="false">IF(OR(C276&gt;=PR_AgeCrAge,AG276&gt;=PR_AgeCrAge),IF(AZ276&lt;=PR_AgeExM,0,MIN(BE276,PR_AgeMarg*(AZ276-PR_AgeExM))),BE276)</f>
        <v>0</v>
      </c>
      <c r="BG276" s="1" t="n">
        <f aca="false">MAX(0,PR_r1*MIN(AS276,IF(F_Spccc=1,PR_BandSPCCC,PR_Band))+PR_r2*MAX(0,AS276-IF(F_Spccc=1,PR_BandSPCCC,PR_Band))-(PR_Personal+AU276+AW276+IF(F_Spccc=1,PR_SPCCC,0)+IF(AY276=1,PR_Rent,0)))</f>
        <v>0</v>
      </c>
      <c r="BH276" s="1" t="n">
        <f aca="false">IF(C276&gt;=PR_AgeCrAge,IF(AS276&lt;=PR_AgeEx,0,MIN(BG276,PR_AgeMarg*(AS276-PR_AgeEx))),BG276)</f>
        <v>0</v>
      </c>
      <c r="BI276" s="1" t="n">
        <f aca="false">IF(F_Partner=1,MAX(0,PR_r1*MIN(AT276,PR_Band)+PR_r2*MAX(0,AT276-PR_Band)-(PR_Personal+AV276+AX276+IF(AND(AY276=1,AT276&gt;0),PR_Rent,0))),0)</f>
        <v>0</v>
      </c>
      <c r="BJ276" s="1" t="n">
        <f aca="false">IF(AG276&gt;=PR_AgeCrAge,IF(AT276&lt;=PR_AgeEx,0,MIN(BI276,PR_AgeMarg*(AT276-PR_AgeEx))),BI276)</f>
        <v>0</v>
      </c>
      <c r="BK276" s="1" t="n">
        <f aca="false">IF(F_Partner=1,IF(F_Married=1,BF276,BH276+BJ276),BH276)</f>
        <v>0</v>
      </c>
      <c r="BL276" s="1" t="n">
        <f aca="false">AL276+AN276+AO276</f>
        <v>0</v>
      </c>
      <c r="BM276" s="1" t="n">
        <f aca="false">IF(BL276&lt;=PR_USCex,0,IF(IF(AND(C276&gt;=PR_USCredAge,BL276&lt;=PR_USCredMax),1,0)=1,PR_USCr1*MIN(BL276,PR_USCredB1)+PR_USCredR2*MAX(0,BL276-PR_USCredB1),PR_USCr1*MIN(BL276,PR_USCb1)+PR_USCr2*MAX(0,MIN(BL276,PR_USCb2)-PR_USCb1)+PR_USCr3*MAX(0,MIN(BL276,PR_USCb3)-PR_USCb2)+PR_USCr4*MAX(0,BL276-PR_USCb3)))+IF(F_SelfEmp=1,PR_USCse*MAX(0,AL276-PR_USCseOver),0)</f>
        <v>0</v>
      </c>
      <c r="BN276" s="1" t="n">
        <f aca="false">AQ276</f>
        <v>0</v>
      </c>
      <c r="BO276" s="1" t="n">
        <f aca="false">IF(F_Partner=1,IF(BN276&lt;=PR_USCex,0,IF(IF(AND(AG276&gt;=PR_USCredAge,BN276&lt;=PR_USCredMax),1,0)=1,PR_USCr1*MIN(BN276,PR_USCredB1)+PR_USCredR2*MAX(0,BN276-PR_USCredB1),PR_USCr1*MIN(BN276,PR_USCb1)+PR_USCr2*MAX(0,MIN(BN276,PR_USCb2)-PR_USCb1)+PR_USCr3*MAX(0,MIN(BN276,PR_USCb3)-PR_USCb2)+PR_USCr4*MAX(0,BN276-PR_USCb3))),0)</f>
        <v>0</v>
      </c>
      <c r="BP276" s="1" t="n">
        <f aca="false">IF(C276&lt;PR_PRSIend,IF(F_SelfEmp=1,IF(AL276&gt;PR_PRSIsMinInc,MAX(PR_PRSIsMin,AL276*J276),0),IF(AL276/52&lt;=PR_PRSIfree,0,MAX(0,(AL276/52*J276-IF(AL276/52&lt;=PR_PRSIcreditTo,MAX(0,PR_PRSIcreditMax-(AL276/52-(PR_PRSIfree+0.01))/PR_PRSItaper),0))*52)))+J276*AN276+IF(AO276&gt;PR_PRSIunearned,J276*AO276,0),0)</f>
        <v>0</v>
      </c>
      <c r="BQ276" s="1" t="n">
        <f aca="false">IF(AND(F_Partner=1,AG276&lt;PR_PRSIend),IF(AQ276/52&lt;=PR_PRSIfree,0,MAX(0,(AQ276/52*J276-IF(AQ276/52&lt;=PR_PRSIcreditTo,MAX(0,PR_PRSIcreditMax-(AQ276/52-(PR_PRSIfree+0.01))/PR_PRSItaper),0))*52)),0)</f>
        <v>0</v>
      </c>
      <c r="BR276" s="1" t="n">
        <f aca="false">BK276+BM276+BO276+BP276+BQ276</f>
        <v>0</v>
      </c>
      <c r="BS276" s="1" t="n">
        <f aca="false">BR276*H276</f>
        <v>0</v>
      </c>
      <c r="BT276" s="1" t="n">
        <f aca="false">K276+AK276+AC276+AF276+AH276+AI276</f>
        <v>46005.6725270424</v>
      </c>
    </row>
    <row r="277" customFormat="false" ht="15" hidden="false" customHeight="false" outlineLevel="0" collapsed="false">
      <c r="B277" s="1" t="n">
        <v>67</v>
      </c>
      <c r="C277" s="1" t="n">
        <f aca="false">F_Age+B277</f>
        <v>67</v>
      </c>
      <c r="D277" s="1" t="n">
        <f aca="false">AS_Year0+B277</f>
        <v>2094</v>
      </c>
      <c r="E277" s="106" t="n">
        <f aca="false">(1+AS_Infl)^B277</f>
        <v>3.76887304171137</v>
      </c>
      <c r="F277" s="106" t="n">
        <f aca="false">(1+AS_Wage)^B277</f>
        <v>7.24592868312191</v>
      </c>
      <c r="G277" s="1" t="n">
        <f aca="false">IF(C277&lt;F_R,1,0)</f>
        <v>0</v>
      </c>
      <c r="H277" s="106" t="n">
        <f aca="false">IF(AS_Bands="flat",1,E277)</f>
        <v>3.76887304171137</v>
      </c>
      <c r="I277" s="106" t="n">
        <f aca="false">IF(AS_SpGrow="pay",F277,IF(AS_SpGrow="flat",1,E277))</f>
        <v>3.76887304171137</v>
      </c>
      <c r="J277" s="106" t="n">
        <f aca="false">(12*PR_PRSIr0+(PR_PRSIr1-PR_PRSIr0)*MAX(0,MIN(12,D277*12+12-PR_PRSIt1))+(PR_PRSIr2-PR_PRSIr1)*MAX(0,MIN(12,D277*12+12-PR_PRSIt2))+(PR_PRSIr3-PR_PRSIr2)*MAX(0,MIN(12,D277*12+12-PR_PRSIt3)))/12</f>
        <v>0.047</v>
      </c>
      <c r="K277" s="1" t="n">
        <f aca="false">IF(G277=1,F_Income*F277,0)</f>
        <v>0</v>
      </c>
      <c r="L277" s="1" t="n">
        <f aca="false">IF(G277=1,(F_Own+In_penExtra)*12*F277,0)</f>
        <v>0</v>
      </c>
      <c r="M277" s="1" t="n">
        <f aca="false">IF(G277=1,(F_PenM+In_penExtra)*12*F277,0)</f>
        <v>0</v>
      </c>
      <c r="N277" s="107" t="n">
        <f aca="false">IF(C277&lt;PR_RelA1,PR_RelP1,IF(C277&lt;PR_RelA2,PR_RelP2,IF(C277&lt;PR_RelA3,PR_RelP3,IF(C277&lt;PR_RelA4,PR_RelP4,IF(C277&lt;PR_RelA5,PR_RelP5,PR_RelP6)))))</f>
        <v>0.4</v>
      </c>
      <c r="O277" s="1" t="n">
        <f aca="false">IF(G277=1,MIN(L277/H277,N277*MIN(K277/H277,PR_EarnCap))*H277,0)</f>
        <v>0</v>
      </c>
      <c r="P277" s="1" t="n">
        <f aca="false">IF(AND(G277=1,F_AE=1),MIN(K277/H277,PR_AEcap)*H277,0)</f>
        <v>0</v>
      </c>
      <c r="Q277" s="1" t="n">
        <f aca="false">IF(G277=1,IF(WI_Retire=1,MAX(0,M277+WI_M*12),M277)+(PR_AEee+PR_AEer+PR_AEst)*P277,0)</f>
        <v>0</v>
      </c>
      <c r="R277" s="1" t="n">
        <f aca="false">L277+PR_AEee*P277</f>
        <v>0</v>
      </c>
      <c r="S277" s="1" t="n">
        <f aca="false">AD276</f>
        <v>0</v>
      </c>
      <c r="T277" s="1" t="n">
        <f aca="false">IF(D277&lt;=2026,PR_SFT2026,IF(D277=2027,PR_SFT2027,IF(D277=2028,PR_SFT2028,IF(D277=2029,PR_SFT2029,PR_SFT2029*(1+AS_Infl)^(D277-2029)))))</f>
        <v>10143064.7027988</v>
      </c>
      <c r="U277" s="1" t="n">
        <f aca="false">IF(AND(G277=0,C277=F_V),1,0)</f>
        <v>0</v>
      </c>
      <c r="V277" s="1" t="n">
        <f aca="false">IF(U277=1,PR_SFTrate*MAX(0,S277-T277),0)</f>
        <v>0</v>
      </c>
      <c r="W277" s="1" t="n">
        <f aca="false">S277-V277</f>
        <v>0</v>
      </c>
      <c r="X277" s="1" t="n">
        <f aca="false">IF(AND(U277=1,AS_LumpPct&gt;0),W277*MIN(AS_LumpPct,PR_LSmax),0)</f>
        <v>0</v>
      </c>
      <c r="Y277" s="1" t="n">
        <f aca="false">X277-(PR_LSrate*MAX(0,MIN(X277,PR_LScap)-PR_LSfree)+PR_r2*MAX(0,X277-PR_LScap))</f>
        <v>0</v>
      </c>
      <c r="Z277" s="1" t="n">
        <f aca="false">W277-X277</f>
        <v>0</v>
      </c>
      <c r="AA277" s="107" t="n">
        <f aca="false">IF(C277&gt;=61,IF(Z277&gt;PR_ARFbig,PR_ARFbigRate,IF(C277&gt;=71,PR_ARF71,PR_ARF61)),0)</f>
        <v>0.04</v>
      </c>
      <c r="AB277" s="1" t="n">
        <f aca="false">IF(AS_DrawRule="min",Z277*AA277,IF(AS_DrawRule="fixed",MAX(AS_DrawFixed*E277,Z277*AA277),Z277*MAX(1/MAX(1,AS_End-C277+1),AA277)))</f>
        <v>0</v>
      </c>
      <c r="AC277" s="1" t="n">
        <f aca="false">IF(AND(G277=0,C277&gt;=F_V),MIN(Z277,AB277),0)</f>
        <v>0</v>
      </c>
      <c r="AD277" s="1" t="n">
        <f aca="false">IF(G277=1,S277*(1+F_PenG)+Q277,IF(C277&lt;F_V,S277*(1+F_PenG),(Z277-AC277)*(1+AS_PenRet)))</f>
        <v>0</v>
      </c>
      <c r="AE277" s="1" t="n">
        <f aca="false">IF(C277&gt;=PR_SPage,AS_SP*F_SpF*I277+IF(C277&gt;=80,PR_Over80*PR_Weeks*I277,0),0)</f>
        <v>46925.7859775833</v>
      </c>
      <c r="AF277" s="1" t="n">
        <f aca="false">(F_OtherM+F_RentM)*12*E277</f>
        <v>0</v>
      </c>
      <c r="AG277" s="1" t="n">
        <f aca="false">F_PAge+B277</f>
        <v>67</v>
      </c>
      <c r="AH277" s="1" t="n">
        <f aca="false">IF(AND(F_Partner=1,F_PAge&gt;0,AG277&lt;IF(F_PRet&gt;0,F_PRet,66)),F_PIncome*F277,0)</f>
        <v>0</v>
      </c>
      <c r="AI277" s="1" t="n">
        <f aca="false">IF(AND(F_Partner=1,AG277&gt;=66,F_PSpQA=0),AS_SP*F_PSpF*I277,0)</f>
        <v>0</v>
      </c>
      <c r="AJ277" s="1" t="n">
        <f aca="false">IF(AND(F_Partner=1,F_PSpQA=1,C277&gt;=PR_SPage,AH277=0),IF(AG277&gt;=66,PR_QA66,PR_QAunder)*PR_Weeks*I277,0)</f>
        <v>0</v>
      </c>
      <c r="AK277" s="1" t="n">
        <f aca="false">AE277+AJ277</f>
        <v>46925.7859775833</v>
      </c>
      <c r="AL277" s="1" t="n">
        <f aca="false">K277/H277</f>
        <v>0</v>
      </c>
      <c r="AM277" s="1" t="n">
        <f aca="false">AK277/H277</f>
        <v>12450.88</v>
      </c>
      <c r="AN277" s="1" t="n">
        <f aca="false">AC277/H277</f>
        <v>0</v>
      </c>
      <c r="AO277" s="1" t="n">
        <f aca="false">AF277/H277</f>
        <v>0</v>
      </c>
      <c r="AP277" s="1" t="n">
        <f aca="false">O277/H277</f>
        <v>0</v>
      </c>
      <c r="AQ277" s="1" t="n">
        <f aca="false">AH277/H277</f>
        <v>0</v>
      </c>
      <c r="AR277" s="1" t="n">
        <f aca="false">AI277/H277</f>
        <v>0</v>
      </c>
      <c r="AS277" s="1" t="n">
        <f aca="false">MAX(0,AL277+AN277+AO277+AM277-AP277)</f>
        <v>12450.88</v>
      </c>
      <c r="AT277" s="1" t="n">
        <f aca="false">MAX(0,AQ277+AR277)</f>
        <v>0</v>
      </c>
      <c r="AU277" s="1" t="n">
        <f aca="false">MIN(PR_PAYE,PR_PAYEcap*(AL277+AN277+AM277))</f>
        <v>2000</v>
      </c>
      <c r="AV277" s="1" t="n">
        <f aca="false">MIN(PR_PAYE,PR_PAYEcap*(AQ277+AR277))</f>
        <v>0</v>
      </c>
      <c r="AW277" s="1" t="n">
        <f aca="false">IF(C277&gt;=PR_AgeCrAge,PR_AgeCr,0)</f>
        <v>245</v>
      </c>
      <c r="AX277" s="1" t="n">
        <f aca="false">IF(AG277&gt;=PR_AgeCrAge,PR_AgeCr,0)</f>
        <v>245</v>
      </c>
      <c r="AY277" s="1" t="n">
        <f aca="false">IF(AND(F_RentCred=1,D277&lt;=PR_RentLast),1,0)</f>
        <v>0</v>
      </c>
      <c r="AZ277" s="1" t="n">
        <f aca="false">AS277+AT277</f>
        <v>12450.88</v>
      </c>
      <c r="BA277" s="1" t="n">
        <f aca="false">PR_PersonalM+AU277+AV277+AW277+AX277+IF(AY277=1,PR_RentJoint,0)</f>
        <v>6490</v>
      </c>
      <c r="BB277" s="1" t="n">
        <f aca="false">PR_BandM+MIN(MIN(AS277,AT277),PR_Uplift)</f>
        <v>53000</v>
      </c>
      <c r="BC277" s="1" t="n">
        <f aca="false">MAX(0,PR_r1*MIN(AZ277,BB277)+PR_r2*MAX(0,AZ277-BB277)-BA277)</f>
        <v>0</v>
      </c>
      <c r="BD277" s="1" t="n">
        <f aca="false">MAX(0,PR_HomeCarer-MAX(0,MIN(AS277,AT277)-PR_HCLimit)/2)</f>
        <v>1950</v>
      </c>
      <c r="BE277" s="1" t="n">
        <f aca="false">IF(F_Carer=1,MIN(BC277,MAX(0,PR_r1*MIN(AZ277,PR_BandM)+PR_r2*MAX(0,AZ277-PR_BandM)-BA277-BD277)),BC277)</f>
        <v>0</v>
      </c>
      <c r="BF277" s="1" t="n">
        <f aca="false">IF(OR(C277&gt;=PR_AgeCrAge,AG277&gt;=PR_AgeCrAge),IF(AZ277&lt;=PR_AgeExM,0,MIN(BE277,PR_AgeMarg*(AZ277-PR_AgeExM))),BE277)</f>
        <v>0</v>
      </c>
      <c r="BG277" s="1" t="n">
        <f aca="false">MAX(0,PR_r1*MIN(AS277,IF(F_Spccc=1,PR_BandSPCCC,PR_Band))+PR_r2*MAX(0,AS277-IF(F_Spccc=1,PR_BandSPCCC,PR_Band))-(PR_Personal+AU277+AW277+IF(F_Spccc=1,PR_SPCCC,0)+IF(AY277=1,PR_Rent,0)))</f>
        <v>0</v>
      </c>
      <c r="BH277" s="1" t="n">
        <f aca="false">IF(C277&gt;=PR_AgeCrAge,IF(AS277&lt;=PR_AgeEx,0,MIN(BG277,PR_AgeMarg*(AS277-PR_AgeEx))),BG277)</f>
        <v>0</v>
      </c>
      <c r="BI277" s="1" t="n">
        <f aca="false">IF(F_Partner=1,MAX(0,PR_r1*MIN(AT277,PR_Band)+PR_r2*MAX(0,AT277-PR_Band)-(PR_Personal+AV277+AX277+IF(AND(AY277=1,AT277&gt;0),PR_Rent,0))),0)</f>
        <v>0</v>
      </c>
      <c r="BJ277" s="1" t="n">
        <f aca="false">IF(AG277&gt;=PR_AgeCrAge,IF(AT277&lt;=PR_AgeEx,0,MIN(BI277,PR_AgeMarg*(AT277-PR_AgeEx))),BI277)</f>
        <v>0</v>
      </c>
      <c r="BK277" s="1" t="n">
        <f aca="false">IF(F_Partner=1,IF(F_Married=1,BF277,BH277+BJ277),BH277)</f>
        <v>0</v>
      </c>
      <c r="BL277" s="1" t="n">
        <f aca="false">AL277+AN277+AO277</f>
        <v>0</v>
      </c>
      <c r="BM277" s="1" t="n">
        <f aca="false">IF(BL277&lt;=PR_USCex,0,IF(IF(AND(C277&gt;=PR_USCredAge,BL277&lt;=PR_USCredMax),1,0)=1,PR_USCr1*MIN(BL277,PR_USCredB1)+PR_USCredR2*MAX(0,BL277-PR_USCredB1),PR_USCr1*MIN(BL277,PR_USCb1)+PR_USCr2*MAX(0,MIN(BL277,PR_USCb2)-PR_USCb1)+PR_USCr3*MAX(0,MIN(BL277,PR_USCb3)-PR_USCb2)+PR_USCr4*MAX(0,BL277-PR_USCb3)))+IF(F_SelfEmp=1,PR_USCse*MAX(0,AL277-PR_USCseOver),0)</f>
        <v>0</v>
      </c>
      <c r="BN277" s="1" t="n">
        <f aca="false">AQ277</f>
        <v>0</v>
      </c>
      <c r="BO277" s="1" t="n">
        <f aca="false">IF(F_Partner=1,IF(BN277&lt;=PR_USCex,0,IF(IF(AND(AG277&gt;=PR_USCredAge,BN277&lt;=PR_USCredMax),1,0)=1,PR_USCr1*MIN(BN277,PR_USCredB1)+PR_USCredR2*MAX(0,BN277-PR_USCredB1),PR_USCr1*MIN(BN277,PR_USCb1)+PR_USCr2*MAX(0,MIN(BN277,PR_USCb2)-PR_USCb1)+PR_USCr3*MAX(0,MIN(BN277,PR_USCb3)-PR_USCb2)+PR_USCr4*MAX(0,BN277-PR_USCb3))),0)</f>
        <v>0</v>
      </c>
      <c r="BP277" s="1" t="n">
        <f aca="false">IF(C277&lt;PR_PRSIend,IF(F_SelfEmp=1,IF(AL277&gt;PR_PRSIsMinInc,MAX(PR_PRSIsMin,AL277*J277),0),IF(AL277/52&lt;=PR_PRSIfree,0,MAX(0,(AL277/52*J277-IF(AL277/52&lt;=PR_PRSIcreditTo,MAX(0,PR_PRSIcreditMax-(AL277/52-(PR_PRSIfree+0.01))/PR_PRSItaper),0))*52)))+J277*AN277+IF(AO277&gt;PR_PRSIunearned,J277*AO277,0),0)</f>
        <v>0</v>
      </c>
      <c r="BQ277" s="1" t="n">
        <f aca="false">IF(AND(F_Partner=1,AG277&lt;PR_PRSIend),IF(AQ277/52&lt;=PR_PRSIfree,0,MAX(0,(AQ277/52*J277-IF(AQ277/52&lt;=PR_PRSIcreditTo,MAX(0,PR_PRSIcreditMax-(AQ277/52-(PR_PRSIfree+0.01))/PR_PRSItaper),0))*52)),0)</f>
        <v>0</v>
      </c>
      <c r="BR277" s="1" t="n">
        <f aca="false">BK277+BM277+BO277+BP277+BQ277</f>
        <v>0</v>
      </c>
      <c r="BS277" s="1" t="n">
        <f aca="false">BR277*H277</f>
        <v>0</v>
      </c>
      <c r="BT277" s="1" t="n">
        <f aca="false">K277+AK277+AC277+AF277+AH277+AI277</f>
        <v>46925.7859775833</v>
      </c>
    </row>
    <row r="278" customFormat="false" ht="15" hidden="false" customHeight="false" outlineLevel="0" collapsed="false">
      <c r="B278" s="1" t="n">
        <v>68</v>
      </c>
      <c r="C278" s="1" t="n">
        <f aca="false">F_Age+B278</f>
        <v>68</v>
      </c>
      <c r="D278" s="1" t="n">
        <f aca="false">AS_Year0+B278</f>
        <v>2095</v>
      </c>
      <c r="E278" s="106" t="n">
        <f aca="false">(1+AS_Infl)^B278</f>
        <v>3.8442505025456</v>
      </c>
      <c r="F278" s="106" t="n">
        <f aca="false">(1+AS_Wage)^B278</f>
        <v>7.46330654361556</v>
      </c>
      <c r="G278" s="1" t="n">
        <f aca="false">IF(C278&lt;F_R,1,0)</f>
        <v>0</v>
      </c>
      <c r="H278" s="106" t="n">
        <f aca="false">IF(AS_Bands="flat",1,E278)</f>
        <v>3.8442505025456</v>
      </c>
      <c r="I278" s="106" t="n">
        <f aca="false">IF(AS_SpGrow="pay",F278,IF(AS_SpGrow="flat",1,E278))</f>
        <v>3.8442505025456</v>
      </c>
      <c r="J278" s="106" t="n">
        <f aca="false">(12*PR_PRSIr0+(PR_PRSIr1-PR_PRSIr0)*MAX(0,MIN(12,D278*12+12-PR_PRSIt1))+(PR_PRSIr2-PR_PRSIr1)*MAX(0,MIN(12,D278*12+12-PR_PRSIt2))+(PR_PRSIr3-PR_PRSIr2)*MAX(0,MIN(12,D278*12+12-PR_PRSIt3)))/12</f>
        <v>0.047</v>
      </c>
      <c r="K278" s="1" t="n">
        <f aca="false">IF(G278=1,F_Income*F278,0)</f>
        <v>0</v>
      </c>
      <c r="L278" s="1" t="n">
        <f aca="false">IF(G278=1,(F_Own+In_penExtra)*12*F278,0)</f>
        <v>0</v>
      </c>
      <c r="M278" s="1" t="n">
        <f aca="false">IF(G278=1,(F_PenM+In_penExtra)*12*F278,0)</f>
        <v>0</v>
      </c>
      <c r="N278" s="107" t="n">
        <f aca="false">IF(C278&lt;PR_RelA1,PR_RelP1,IF(C278&lt;PR_RelA2,PR_RelP2,IF(C278&lt;PR_RelA3,PR_RelP3,IF(C278&lt;PR_RelA4,PR_RelP4,IF(C278&lt;PR_RelA5,PR_RelP5,PR_RelP6)))))</f>
        <v>0.4</v>
      </c>
      <c r="O278" s="1" t="n">
        <f aca="false">IF(G278=1,MIN(L278/H278,N278*MIN(K278/H278,PR_EarnCap))*H278,0)</f>
        <v>0</v>
      </c>
      <c r="P278" s="1" t="n">
        <f aca="false">IF(AND(G278=1,F_AE=1),MIN(K278/H278,PR_AEcap)*H278,0)</f>
        <v>0</v>
      </c>
      <c r="Q278" s="1" t="n">
        <f aca="false">IF(G278=1,IF(WI_Retire=1,MAX(0,M278+WI_M*12),M278)+(PR_AEee+PR_AEer+PR_AEst)*P278,0)</f>
        <v>0</v>
      </c>
      <c r="R278" s="1" t="n">
        <f aca="false">L278+PR_AEee*P278</f>
        <v>0</v>
      </c>
      <c r="S278" s="1" t="n">
        <f aca="false">AD277</f>
        <v>0</v>
      </c>
      <c r="T278" s="1" t="n">
        <f aca="false">IF(D278&lt;=2026,PR_SFT2026,IF(D278=2027,PR_SFT2027,IF(D278=2028,PR_SFT2028,IF(D278=2029,PR_SFT2029,PR_SFT2029*(1+AS_Infl)^(D278-2029)))))</f>
        <v>10345925.9968547</v>
      </c>
      <c r="U278" s="1" t="n">
        <f aca="false">IF(AND(G278=0,C278=F_V),1,0)</f>
        <v>0</v>
      </c>
      <c r="V278" s="1" t="n">
        <f aca="false">IF(U278=1,PR_SFTrate*MAX(0,S278-T278),0)</f>
        <v>0</v>
      </c>
      <c r="W278" s="1" t="n">
        <f aca="false">S278-V278</f>
        <v>0</v>
      </c>
      <c r="X278" s="1" t="n">
        <f aca="false">IF(AND(U278=1,AS_LumpPct&gt;0),W278*MIN(AS_LumpPct,PR_LSmax),0)</f>
        <v>0</v>
      </c>
      <c r="Y278" s="1" t="n">
        <f aca="false">X278-(PR_LSrate*MAX(0,MIN(X278,PR_LScap)-PR_LSfree)+PR_r2*MAX(0,X278-PR_LScap))</f>
        <v>0</v>
      </c>
      <c r="Z278" s="1" t="n">
        <f aca="false">W278-X278</f>
        <v>0</v>
      </c>
      <c r="AA278" s="107" t="n">
        <f aca="false">IF(C278&gt;=61,IF(Z278&gt;PR_ARFbig,PR_ARFbigRate,IF(C278&gt;=71,PR_ARF71,PR_ARF61)),0)</f>
        <v>0.04</v>
      </c>
      <c r="AB278" s="1" t="n">
        <f aca="false">IF(AS_DrawRule="min",Z278*AA278,IF(AS_DrawRule="fixed",MAX(AS_DrawFixed*E278,Z278*AA278),Z278*MAX(1/MAX(1,AS_End-C278+1),AA278)))</f>
        <v>0</v>
      </c>
      <c r="AC278" s="1" t="n">
        <f aca="false">IF(AND(G278=0,C278&gt;=F_V),MIN(Z278,AB278),0)</f>
        <v>0</v>
      </c>
      <c r="AD278" s="1" t="n">
        <f aca="false">IF(G278=1,S278*(1+F_PenG)+Q278,IF(C278&lt;F_V,S278*(1+F_PenG),(Z278-AC278)*(1+AS_PenRet)))</f>
        <v>0</v>
      </c>
      <c r="AE278" s="1" t="n">
        <f aca="false">IF(C278&gt;=PR_SPage,AS_SP*F_SpF*I278+IF(C278&gt;=80,PR_Over80*PR_Weeks*I278,0),0)</f>
        <v>47864.3016971349</v>
      </c>
      <c r="AF278" s="1" t="n">
        <f aca="false">(F_OtherM+F_RentM)*12*E278</f>
        <v>0</v>
      </c>
      <c r="AG278" s="1" t="n">
        <f aca="false">F_PAge+B278</f>
        <v>68</v>
      </c>
      <c r="AH278" s="1" t="n">
        <f aca="false">IF(AND(F_Partner=1,F_PAge&gt;0,AG278&lt;IF(F_PRet&gt;0,F_PRet,66)),F_PIncome*F278,0)</f>
        <v>0</v>
      </c>
      <c r="AI278" s="1" t="n">
        <f aca="false">IF(AND(F_Partner=1,AG278&gt;=66,F_PSpQA=0),AS_SP*F_PSpF*I278,0)</f>
        <v>0</v>
      </c>
      <c r="AJ278" s="1" t="n">
        <f aca="false">IF(AND(F_Partner=1,F_PSpQA=1,C278&gt;=PR_SPage,AH278=0),IF(AG278&gt;=66,PR_QA66,PR_QAunder)*PR_Weeks*I278,0)</f>
        <v>0</v>
      </c>
      <c r="AK278" s="1" t="n">
        <f aca="false">AE278+AJ278</f>
        <v>47864.3016971349</v>
      </c>
      <c r="AL278" s="1" t="n">
        <f aca="false">K278/H278</f>
        <v>0</v>
      </c>
      <c r="AM278" s="1" t="n">
        <f aca="false">AK278/H278</f>
        <v>12450.88</v>
      </c>
      <c r="AN278" s="1" t="n">
        <f aca="false">AC278/H278</f>
        <v>0</v>
      </c>
      <c r="AO278" s="1" t="n">
        <f aca="false">AF278/H278</f>
        <v>0</v>
      </c>
      <c r="AP278" s="1" t="n">
        <f aca="false">O278/H278</f>
        <v>0</v>
      </c>
      <c r="AQ278" s="1" t="n">
        <f aca="false">AH278/H278</f>
        <v>0</v>
      </c>
      <c r="AR278" s="1" t="n">
        <f aca="false">AI278/H278</f>
        <v>0</v>
      </c>
      <c r="AS278" s="1" t="n">
        <f aca="false">MAX(0,AL278+AN278+AO278+AM278-AP278)</f>
        <v>12450.88</v>
      </c>
      <c r="AT278" s="1" t="n">
        <f aca="false">MAX(0,AQ278+AR278)</f>
        <v>0</v>
      </c>
      <c r="AU278" s="1" t="n">
        <f aca="false">MIN(PR_PAYE,PR_PAYEcap*(AL278+AN278+AM278))</f>
        <v>2000</v>
      </c>
      <c r="AV278" s="1" t="n">
        <f aca="false">MIN(PR_PAYE,PR_PAYEcap*(AQ278+AR278))</f>
        <v>0</v>
      </c>
      <c r="AW278" s="1" t="n">
        <f aca="false">IF(C278&gt;=PR_AgeCrAge,PR_AgeCr,0)</f>
        <v>245</v>
      </c>
      <c r="AX278" s="1" t="n">
        <f aca="false">IF(AG278&gt;=PR_AgeCrAge,PR_AgeCr,0)</f>
        <v>245</v>
      </c>
      <c r="AY278" s="1" t="n">
        <f aca="false">IF(AND(F_RentCred=1,D278&lt;=PR_RentLast),1,0)</f>
        <v>0</v>
      </c>
      <c r="AZ278" s="1" t="n">
        <f aca="false">AS278+AT278</f>
        <v>12450.88</v>
      </c>
      <c r="BA278" s="1" t="n">
        <f aca="false">PR_PersonalM+AU278+AV278+AW278+AX278+IF(AY278=1,PR_RentJoint,0)</f>
        <v>6490</v>
      </c>
      <c r="BB278" s="1" t="n">
        <f aca="false">PR_BandM+MIN(MIN(AS278,AT278),PR_Uplift)</f>
        <v>53000</v>
      </c>
      <c r="BC278" s="1" t="n">
        <f aca="false">MAX(0,PR_r1*MIN(AZ278,BB278)+PR_r2*MAX(0,AZ278-BB278)-BA278)</f>
        <v>0</v>
      </c>
      <c r="BD278" s="1" t="n">
        <f aca="false">MAX(0,PR_HomeCarer-MAX(0,MIN(AS278,AT278)-PR_HCLimit)/2)</f>
        <v>1950</v>
      </c>
      <c r="BE278" s="1" t="n">
        <f aca="false">IF(F_Carer=1,MIN(BC278,MAX(0,PR_r1*MIN(AZ278,PR_BandM)+PR_r2*MAX(0,AZ278-PR_BandM)-BA278-BD278)),BC278)</f>
        <v>0</v>
      </c>
      <c r="BF278" s="1" t="n">
        <f aca="false">IF(OR(C278&gt;=PR_AgeCrAge,AG278&gt;=PR_AgeCrAge),IF(AZ278&lt;=PR_AgeExM,0,MIN(BE278,PR_AgeMarg*(AZ278-PR_AgeExM))),BE278)</f>
        <v>0</v>
      </c>
      <c r="BG278" s="1" t="n">
        <f aca="false">MAX(0,PR_r1*MIN(AS278,IF(F_Spccc=1,PR_BandSPCCC,PR_Band))+PR_r2*MAX(0,AS278-IF(F_Spccc=1,PR_BandSPCCC,PR_Band))-(PR_Personal+AU278+AW278+IF(F_Spccc=1,PR_SPCCC,0)+IF(AY278=1,PR_Rent,0)))</f>
        <v>0</v>
      </c>
      <c r="BH278" s="1" t="n">
        <f aca="false">IF(C278&gt;=PR_AgeCrAge,IF(AS278&lt;=PR_AgeEx,0,MIN(BG278,PR_AgeMarg*(AS278-PR_AgeEx))),BG278)</f>
        <v>0</v>
      </c>
      <c r="BI278" s="1" t="n">
        <f aca="false">IF(F_Partner=1,MAX(0,PR_r1*MIN(AT278,PR_Band)+PR_r2*MAX(0,AT278-PR_Band)-(PR_Personal+AV278+AX278+IF(AND(AY278=1,AT278&gt;0),PR_Rent,0))),0)</f>
        <v>0</v>
      </c>
      <c r="BJ278" s="1" t="n">
        <f aca="false">IF(AG278&gt;=PR_AgeCrAge,IF(AT278&lt;=PR_AgeEx,0,MIN(BI278,PR_AgeMarg*(AT278-PR_AgeEx))),BI278)</f>
        <v>0</v>
      </c>
      <c r="BK278" s="1" t="n">
        <f aca="false">IF(F_Partner=1,IF(F_Married=1,BF278,BH278+BJ278),BH278)</f>
        <v>0</v>
      </c>
      <c r="BL278" s="1" t="n">
        <f aca="false">AL278+AN278+AO278</f>
        <v>0</v>
      </c>
      <c r="BM278" s="1" t="n">
        <f aca="false">IF(BL278&lt;=PR_USCex,0,IF(IF(AND(C278&gt;=PR_USCredAge,BL278&lt;=PR_USCredMax),1,0)=1,PR_USCr1*MIN(BL278,PR_USCredB1)+PR_USCredR2*MAX(0,BL278-PR_USCredB1),PR_USCr1*MIN(BL278,PR_USCb1)+PR_USCr2*MAX(0,MIN(BL278,PR_USCb2)-PR_USCb1)+PR_USCr3*MAX(0,MIN(BL278,PR_USCb3)-PR_USCb2)+PR_USCr4*MAX(0,BL278-PR_USCb3)))+IF(F_SelfEmp=1,PR_USCse*MAX(0,AL278-PR_USCseOver),0)</f>
        <v>0</v>
      </c>
      <c r="BN278" s="1" t="n">
        <f aca="false">AQ278</f>
        <v>0</v>
      </c>
      <c r="BO278" s="1" t="n">
        <f aca="false">IF(F_Partner=1,IF(BN278&lt;=PR_USCex,0,IF(IF(AND(AG278&gt;=PR_USCredAge,BN278&lt;=PR_USCredMax),1,0)=1,PR_USCr1*MIN(BN278,PR_USCredB1)+PR_USCredR2*MAX(0,BN278-PR_USCredB1),PR_USCr1*MIN(BN278,PR_USCb1)+PR_USCr2*MAX(0,MIN(BN278,PR_USCb2)-PR_USCb1)+PR_USCr3*MAX(0,MIN(BN278,PR_USCb3)-PR_USCb2)+PR_USCr4*MAX(0,BN278-PR_USCb3))),0)</f>
        <v>0</v>
      </c>
      <c r="BP278" s="1" t="n">
        <f aca="false">IF(C278&lt;PR_PRSIend,IF(F_SelfEmp=1,IF(AL278&gt;PR_PRSIsMinInc,MAX(PR_PRSIsMin,AL278*J278),0),IF(AL278/52&lt;=PR_PRSIfree,0,MAX(0,(AL278/52*J278-IF(AL278/52&lt;=PR_PRSIcreditTo,MAX(0,PR_PRSIcreditMax-(AL278/52-(PR_PRSIfree+0.01))/PR_PRSItaper),0))*52)))+J278*AN278+IF(AO278&gt;PR_PRSIunearned,J278*AO278,0),0)</f>
        <v>0</v>
      </c>
      <c r="BQ278" s="1" t="n">
        <f aca="false">IF(AND(F_Partner=1,AG278&lt;PR_PRSIend),IF(AQ278/52&lt;=PR_PRSIfree,0,MAX(0,(AQ278/52*J278-IF(AQ278/52&lt;=PR_PRSIcreditTo,MAX(0,PR_PRSIcreditMax-(AQ278/52-(PR_PRSIfree+0.01))/PR_PRSItaper),0))*52)),0)</f>
        <v>0</v>
      </c>
      <c r="BR278" s="1" t="n">
        <f aca="false">BK278+BM278+BO278+BP278+BQ278</f>
        <v>0</v>
      </c>
      <c r="BS278" s="1" t="n">
        <f aca="false">BR278*H278</f>
        <v>0</v>
      </c>
      <c r="BT278" s="1" t="n">
        <f aca="false">K278+AK278+AC278+AF278+AH278+AI278</f>
        <v>47864.3016971349</v>
      </c>
    </row>
    <row r="279" customFormat="false" ht="15" hidden="false" customHeight="false" outlineLevel="0" collapsed="false">
      <c r="B279" s="1" t="n">
        <v>69</v>
      </c>
      <c r="C279" s="1" t="n">
        <f aca="false">F_Age+B279</f>
        <v>69</v>
      </c>
      <c r="D279" s="1" t="n">
        <f aca="false">AS_Year0+B279</f>
        <v>2096</v>
      </c>
      <c r="E279" s="106" t="n">
        <f aca="false">(1+AS_Infl)^B279</f>
        <v>3.92113551259651</v>
      </c>
      <c r="F279" s="106" t="n">
        <f aca="false">(1+AS_Wage)^B279</f>
        <v>7.68720573992403</v>
      </c>
      <c r="G279" s="1" t="n">
        <f aca="false">IF(C279&lt;F_R,1,0)</f>
        <v>0</v>
      </c>
      <c r="H279" s="106" t="n">
        <f aca="false">IF(AS_Bands="flat",1,E279)</f>
        <v>3.92113551259651</v>
      </c>
      <c r="I279" s="106" t="n">
        <f aca="false">IF(AS_SpGrow="pay",F279,IF(AS_SpGrow="flat",1,E279))</f>
        <v>3.92113551259651</v>
      </c>
      <c r="J279" s="106" t="n">
        <f aca="false">(12*PR_PRSIr0+(PR_PRSIr1-PR_PRSIr0)*MAX(0,MIN(12,D279*12+12-PR_PRSIt1))+(PR_PRSIr2-PR_PRSIr1)*MAX(0,MIN(12,D279*12+12-PR_PRSIt2))+(PR_PRSIr3-PR_PRSIr2)*MAX(0,MIN(12,D279*12+12-PR_PRSIt3)))/12</f>
        <v>0.047</v>
      </c>
      <c r="K279" s="1" t="n">
        <f aca="false">IF(G279=1,F_Income*F279,0)</f>
        <v>0</v>
      </c>
      <c r="L279" s="1" t="n">
        <f aca="false">IF(G279=1,(F_Own+In_penExtra)*12*F279,0)</f>
        <v>0</v>
      </c>
      <c r="M279" s="1" t="n">
        <f aca="false">IF(G279=1,(F_PenM+In_penExtra)*12*F279,0)</f>
        <v>0</v>
      </c>
      <c r="N279" s="107" t="n">
        <f aca="false">IF(C279&lt;PR_RelA1,PR_RelP1,IF(C279&lt;PR_RelA2,PR_RelP2,IF(C279&lt;PR_RelA3,PR_RelP3,IF(C279&lt;PR_RelA4,PR_RelP4,IF(C279&lt;PR_RelA5,PR_RelP5,PR_RelP6)))))</f>
        <v>0.4</v>
      </c>
      <c r="O279" s="1" t="n">
        <f aca="false">IF(G279=1,MIN(L279/H279,N279*MIN(K279/H279,PR_EarnCap))*H279,0)</f>
        <v>0</v>
      </c>
      <c r="P279" s="1" t="n">
        <f aca="false">IF(AND(G279=1,F_AE=1),MIN(K279/H279,PR_AEcap)*H279,0)</f>
        <v>0</v>
      </c>
      <c r="Q279" s="1" t="n">
        <f aca="false">IF(G279=1,IF(WI_Retire=1,MAX(0,M279+WI_M*12),M279)+(PR_AEee+PR_AEer+PR_AEst)*P279,0)</f>
        <v>0</v>
      </c>
      <c r="R279" s="1" t="n">
        <f aca="false">L279+PR_AEee*P279</f>
        <v>0</v>
      </c>
      <c r="S279" s="1" t="n">
        <f aca="false">AD278</f>
        <v>0</v>
      </c>
      <c r="T279" s="1" t="n">
        <f aca="false">IF(D279&lt;=2026,PR_SFT2026,IF(D279=2027,PR_SFT2027,IF(D279=2028,PR_SFT2028,IF(D279=2029,PR_SFT2029,PR_SFT2029*(1+AS_Infl)^(D279-2029)))))</f>
        <v>10552844.5167918</v>
      </c>
      <c r="U279" s="1" t="n">
        <f aca="false">IF(AND(G279=0,C279=F_V),1,0)</f>
        <v>0</v>
      </c>
      <c r="V279" s="1" t="n">
        <f aca="false">IF(U279=1,PR_SFTrate*MAX(0,S279-T279),0)</f>
        <v>0</v>
      </c>
      <c r="W279" s="1" t="n">
        <f aca="false">S279-V279</f>
        <v>0</v>
      </c>
      <c r="X279" s="1" t="n">
        <f aca="false">IF(AND(U279=1,AS_LumpPct&gt;0),W279*MIN(AS_LumpPct,PR_LSmax),0)</f>
        <v>0</v>
      </c>
      <c r="Y279" s="1" t="n">
        <f aca="false">X279-(PR_LSrate*MAX(0,MIN(X279,PR_LScap)-PR_LSfree)+PR_r2*MAX(0,X279-PR_LScap))</f>
        <v>0</v>
      </c>
      <c r="Z279" s="1" t="n">
        <f aca="false">W279-X279</f>
        <v>0</v>
      </c>
      <c r="AA279" s="107" t="n">
        <f aca="false">IF(C279&gt;=61,IF(Z279&gt;PR_ARFbig,PR_ARFbigRate,IF(C279&gt;=71,PR_ARF71,PR_ARF61)),0)</f>
        <v>0.04</v>
      </c>
      <c r="AB279" s="1" t="n">
        <f aca="false">IF(AS_DrawRule="min",Z279*AA279,IF(AS_DrawRule="fixed",MAX(AS_DrawFixed*E279,Z279*AA279),Z279*MAX(1/MAX(1,AS_End-C279+1),AA279)))</f>
        <v>0</v>
      </c>
      <c r="AC279" s="1" t="n">
        <f aca="false">IF(AND(G279=0,C279&gt;=F_V),MIN(Z279,AB279),0)</f>
        <v>0</v>
      </c>
      <c r="AD279" s="1" t="n">
        <f aca="false">IF(G279=1,S279*(1+F_PenG)+Q279,IF(C279&lt;F_V,S279*(1+F_PenG),(Z279-AC279)*(1+AS_PenRet)))</f>
        <v>0</v>
      </c>
      <c r="AE279" s="1" t="n">
        <f aca="false">IF(C279&gt;=PR_SPage,AS_SP*F_SpF*I279+IF(C279&gt;=80,PR_Over80*PR_Weeks*I279,0),0)</f>
        <v>48821.5877310776</v>
      </c>
      <c r="AF279" s="1" t="n">
        <f aca="false">(F_OtherM+F_RentM)*12*E279</f>
        <v>0</v>
      </c>
      <c r="AG279" s="1" t="n">
        <f aca="false">F_PAge+B279</f>
        <v>69</v>
      </c>
      <c r="AH279" s="1" t="n">
        <f aca="false">IF(AND(F_Partner=1,F_PAge&gt;0,AG279&lt;IF(F_PRet&gt;0,F_PRet,66)),F_PIncome*F279,0)</f>
        <v>0</v>
      </c>
      <c r="AI279" s="1" t="n">
        <f aca="false">IF(AND(F_Partner=1,AG279&gt;=66,F_PSpQA=0),AS_SP*F_PSpF*I279,0)</f>
        <v>0</v>
      </c>
      <c r="AJ279" s="1" t="n">
        <f aca="false">IF(AND(F_Partner=1,F_PSpQA=1,C279&gt;=PR_SPage,AH279=0),IF(AG279&gt;=66,PR_QA66,PR_QAunder)*PR_Weeks*I279,0)</f>
        <v>0</v>
      </c>
      <c r="AK279" s="1" t="n">
        <f aca="false">AE279+AJ279</f>
        <v>48821.5877310776</v>
      </c>
      <c r="AL279" s="1" t="n">
        <f aca="false">K279/H279</f>
        <v>0</v>
      </c>
      <c r="AM279" s="1" t="n">
        <f aca="false">AK279/H279</f>
        <v>12450.88</v>
      </c>
      <c r="AN279" s="1" t="n">
        <f aca="false">AC279/H279</f>
        <v>0</v>
      </c>
      <c r="AO279" s="1" t="n">
        <f aca="false">AF279/H279</f>
        <v>0</v>
      </c>
      <c r="AP279" s="1" t="n">
        <f aca="false">O279/H279</f>
        <v>0</v>
      </c>
      <c r="AQ279" s="1" t="n">
        <f aca="false">AH279/H279</f>
        <v>0</v>
      </c>
      <c r="AR279" s="1" t="n">
        <f aca="false">AI279/H279</f>
        <v>0</v>
      </c>
      <c r="AS279" s="1" t="n">
        <f aca="false">MAX(0,AL279+AN279+AO279+AM279-AP279)</f>
        <v>12450.88</v>
      </c>
      <c r="AT279" s="1" t="n">
        <f aca="false">MAX(0,AQ279+AR279)</f>
        <v>0</v>
      </c>
      <c r="AU279" s="1" t="n">
        <f aca="false">MIN(PR_PAYE,PR_PAYEcap*(AL279+AN279+AM279))</f>
        <v>2000</v>
      </c>
      <c r="AV279" s="1" t="n">
        <f aca="false">MIN(PR_PAYE,PR_PAYEcap*(AQ279+AR279))</f>
        <v>0</v>
      </c>
      <c r="AW279" s="1" t="n">
        <f aca="false">IF(C279&gt;=PR_AgeCrAge,PR_AgeCr,0)</f>
        <v>245</v>
      </c>
      <c r="AX279" s="1" t="n">
        <f aca="false">IF(AG279&gt;=PR_AgeCrAge,PR_AgeCr,0)</f>
        <v>245</v>
      </c>
      <c r="AY279" s="1" t="n">
        <f aca="false">IF(AND(F_RentCred=1,D279&lt;=PR_RentLast),1,0)</f>
        <v>0</v>
      </c>
      <c r="AZ279" s="1" t="n">
        <f aca="false">AS279+AT279</f>
        <v>12450.88</v>
      </c>
      <c r="BA279" s="1" t="n">
        <f aca="false">PR_PersonalM+AU279+AV279+AW279+AX279+IF(AY279=1,PR_RentJoint,0)</f>
        <v>6490</v>
      </c>
      <c r="BB279" s="1" t="n">
        <f aca="false">PR_BandM+MIN(MIN(AS279,AT279),PR_Uplift)</f>
        <v>53000</v>
      </c>
      <c r="BC279" s="1" t="n">
        <f aca="false">MAX(0,PR_r1*MIN(AZ279,BB279)+PR_r2*MAX(0,AZ279-BB279)-BA279)</f>
        <v>0</v>
      </c>
      <c r="BD279" s="1" t="n">
        <f aca="false">MAX(0,PR_HomeCarer-MAX(0,MIN(AS279,AT279)-PR_HCLimit)/2)</f>
        <v>1950</v>
      </c>
      <c r="BE279" s="1" t="n">
        <f aca="false">IF(F_Carer=1,MIN(BC279,MAX(0,PR_r1*MIN(AZ279,PR_BandM)+PR_r2*MAX(0,AZ279-PR_BandM)-BA279-BD279)),BC279)</f>
        <v>0</v>
      </c>
      <c r="BF279" s="1" t="n">
        <f aca="false">IF(OR(C279&gt;=PR_AgeCrAge,AG279&gt;=PR_AgeCrAge),IF(AZ279&lt;=PR_AgeExM,0,MIN(BE279,PR_AgeMarg*(AZ279-PR_AgeExM))),BE279)</f>
        <v>0</v>
      </c>
      <c r="BG279" s="1" t="n">
        <f aca="false">MAX(0,PR_r1*MIN(AS279,IF(F_Spccc=1,PR_BandSPCCC,PR_Band))+PR_r2*MAX(0,AS279-IF(F_Spccc=1,PR_BandSPCCC,PR_Band))-(PR_Personal+AU279+AW279+IF(F_Spccc=1,PR_SPCCC,0)+IF(AY279=1,PR_Rent,0)))</f>
        <v>0</v>
      </c>
      <c r="BH279" s="1" t="n">
        <f aca="false">IF(C279&gt;=PR_AgeCrAge,IF(AS279&lt;=PR_AgeEx,0,MIN(BG279,PR_AgeMarg*(AS279-PR_AgeEx))),BG279)</f>
        <v>0</v>
      </c>
      <c r="BI279" s="1" t="n">
        <f aca="false">IF(F_Partner=1,MAX(0,PR_r1*MIN(AT279,PR_Band)+PR_r2*MAX(0,AT279-PR_Band)-(PR_Personal+AV279+AX279+IF(AND(AY279=1,AT279&gt;0),PR_Rent,0))),0)</f>
        <v>0</v>
      </c>
      <c r="BJ279" s="1" t="n">
        <f aca="false">IF(AG279&gt;=PR_AgeCrAge,IF(AT279&lt;=PR_AgeEx,0,MIN(BI279,PR_AgeMarg*(AT279-PR_AgeEx))),BI279)</f>
        <v>0</v>
      </c>
      <c r="BK279" s="1" t="n">
        <f aca="false">IF(F_Partner=1,IF(F_Married=1,BF279,BH279+BJ279),BH279)</f>
        <v>0</v>
      </c>
      <c r="BL279" s="1" t="n">
        <f aca="false">AL279+AN279+AO279</f>
        <v>0</v>
      </c>
      <c r="BM279" s="1" t="n">
        <f aca="false">IF(BL279&lt;=PR_USCex,0,IF(IF(AND(C279&gt;=PR_USCredAge,BL279&lt;=PR_USCredMax),1,0)=1,PR_USCr1*MIN(BL279,PR_USCredB1)+PR_USCredR2*MAX(0,BL279-PR_USCredB1),PR_USCr1*MIN(BL279,PR_USCb1)+PR_USCr2*MAX(0,MIN(BL279,PR_USCb2)-PR_USCb1)+PR_USCr3*MAX(0,MIN(BL279,PR_USCb3)-PR_USCb2)+PR_USCr4*MAX(0,BL279-PR_USCb3)))+IF(F_SelfEmp=1,PR_USCse*MAX(0,AL279-PR_USCseOver),0)</f>
        <v>0</v>
      </c>
      <c r="BN279" s="1" t="n">
        <f aca="false">AQ279</f>
        <v>0</v>
      </c>
      <c r="BO279" s="1" t="n">
        <f aca="false">IF(F_Partner=1,IF(BN279&lt;=PR_USCex,0,IF(IF(AND(AG279&gt;=PR_USCredAge,BN279&lt;=PR_USCredMax),1,0)=1,PR_USCr1*MIN(BN279,PR_USCredB1)+PR_USCredR2*MAX(0,BN279-PR_USCredB1),PR_USCr1*MIN(BN279,PR_USCb1)+PR_USCr2*MAX(0,MIN(BN279,PR_USCb2)-PR_USCb1)+PR_USCr3*MAX(0,MIN(BN279,PR_USCb3)-PR_USCb2)+PR_USCr4*MAX(0,BN279-PR_USCb3))),0)</f>
        <v>0</v>
      </c>
      <c r="BP279" s="1" t="n">
        <f aca="false">IF(C279&lt;PR_PRSIend,IF(F_SelfEmp=1,IF(AL279&gt;PR_PRSIsMinInc,MAX(PR_PRSIsMin,AL279*J279),0),IF(AL279/52&lt;=PR_PRSIfree,0,MAX(0,(AL279/52*J279-IF(AL279/52&lt;=PR_PRSIcreditTo,MAX(0,PR_PRSIcreditMax-(AL279/52-(PR_PRSIfree+0.01))/PR_PRSItaper),0))*52)))+J279*AN279+IF(AO279&gt;PR_PRSIunearned,J279*AO279,0),0)</f>
        <v>0</v>
      </c>
      <c r="BQ279" s="1" t="n">
        <f aca="false">IF(AND(F_Partner=1,AG279&lt;PR_PRSIend),IF(AQ279/52&lt;=PR_PRSIfree,0,MAX(0,(AQ279/52*J279-IF(AQ279/52&lt;=PR_PRSIcreditTo,MAX(0,PR_PRSIcreditMax-(AQ279/52-(PR_PRSIfree+0.01))/PR_PRSItaper),0))*52)),0)</f>
        <v>0</v>
      </c>
      <c r="BR279" s="1" t="n">
        <f aca="false">BK279+BM279+BO279+BP279+BQ279</f>
        <v>0</v>
      </c>
      <c r="BS279" s="1" t="n">
        <f aca="false">BR279*H279</f>
        <v>0</v>
      </c>
      <c r="BT279" s="1" t="n">
        <f aca="false">K279+AK279+AC279+AF279+AH279+AI279</f>
        <v>48821.5877310776</v>
      </c>
    </row>
    <row r="280" customFormat="false" ht="15" hidden="false" customHeight="false" outlineLevel="0" collapsed="false">
      <c r="B280" s="1" t="n">
        <v>70</v>
      </c>
      <c r="C280" s="1" t="n">
        <f aca="false">F_Age+B280</f>
        <v>70</v>
      </c>
      <c r="D280" s="1" t="n">
        <f aca="false">AS_Year0+B280</f>
        <v>2097</v>
      </c>
      <c r="E280" s="106" t="n">
        <f aca="false">(1+AS_Infl)^B280</f>
        <v>3.99955822284844</v>
      </c>
      <c r="F280" s="106" t="n">
        <f aca="false">(1+AS_Wage)^B280</f>
        <v>7.91782191212175</v>
      </c>
      <c r="G280" s="1" t="n">
        <f aca="false">IF(C280&lt;F_R,1,0)</f>
        <v>0</v>
      </c>
      <c r="H280" s="106" t="n">
        <f aca="false">IF(AS_Bands="flat",1,E280)</f>
        <v>3.99955822284844</v>
      </c>
      <c r="I280" s="106" t="n">
        <f aca="false">IF(AS_SpGrow="pay",F280,IF(AS_SpGrow="flat",1,E280))</f>
        <v>3.99955822284844</v>
      </c>
      <c r="J280" s="106" t="n">
        <f aca="false">(12*PR_PRSIr0+(PR_PRSIr1-PR_PRSIr0)*MAX(0,MIN(12,D280*12+12-PR_PRSIt1))+(PR_PRSIr2-PR_PRSIr1)*MAX(0,MIN(12,D280*12+12-PR_PRSIt2))+(PR_PRSIr3-PR_PRSIr2)*MAX(0,MIN(12,D280*12+12-PR_PRSIt3)))/12</f>
        <v>0.047</v>
      </c>
      <c r="K280" s="1" t="n">
        <f aca="false">IF(G280=1,F_Income*F280,0)</f>
        <v>0</v>
      </c>
      <c r="L280" s="1" t="n">
        <f aca="false">IF(G280=1,(F_Own+In_penExtra)*12*F280,0)</f>
        <v>0</v>
      </c>
      <c r="M280" s="1" t="n">
        <f aca="false">IF(G280=1,(F_PenM+In_penExtra)*12*F280,0)</f>
        <v>0</v>
      </c>
      <c r="N280" s="107" t="n">
        <f aca="false">IF(C280&lt;PR_RelA1,PR_RelP1,IF(C280&lt;PR_RelA2,PR_RelP2,IF(C280&lt;PR_RelA3,PR_RelP3,IF(C280&lt;PR_RelA4,PR_RelP4,IF(C280&lt;PR_RelA5,PR_RelP5,PR_RelP6)))))</f>
        <v>0.4</v>
      </c>
      <c r="O280" s="1" t="n">
        <f aca="false">IF(G280=1,MIN(L280/H280,N280*MIN(K280/H280,PR_EarnCap))*H280,0)</f>
        <v>0</v>
      </c>
      <c r="P280" s="1" t="n">
        <f aca="false">IF(AND(G280=1,F_AE=1),MIN(K280/H280,PR_AEcap)*H280,0)</f>
        <v>0</v>
      </c>
      <c r="Q280" s="1" t="n">
        <f aca="false">IF(G280=1,IF(WI_Retire=1,MAX(0,M280+WI_M*12),M280)+(PR_AEee+PR_AEer+PR_AEst)*P280,0)</f>
        <v>0</v>
      </c>
      <c r="R280" s="1" t="n">
        <f aca="false">L280+PR_AEee*P280</f>
        <v>0</v>
      </c>
      <c r="S280" s="1" t="n">
        <f aca="false">AD279</f>
        <v>0</v>
      </c>
      <c r="T280" s="1" t="n">
        <f aca="false">IF(D280&lt;=2026,PR_SFT2026,IF(D280=2027,PR_SFT2027,IF(D280=2028,PR_SFT2028,IF(D280=2029,PR_SFT2029,PR_SFT2029*(1+AS_Infl)^(D280-2029)))))</f>
        <v>10763901.4071277</v>
      </c>
      <c r="U280" s="1" t="n">
        <f aca="false">IF(AND(G280=0,C280=F_V),1,0)</f>
        <v>0</v>
      </c>
      <c r="V280" s="1" t="n">
        <f aca="false">IF(U280=1,PR_SFTrate*MAX(0,S280-T280),0)</f>
        <v>0</v>
      </c>
      <c r="W280" s="1" t="n">
        <f aca="false">S280-V280</f>
        <v>0</v>
      </c>
      <c r="X280" s="1" t="n">
        <f aca="false">IF(AND(U280=1,AS_LumpPct&gt;0),W280*MIN(AS_LumpPct,PR_LSmax),0)</f>
        <v>0</v>
      </c>
      <c r="Y280" s="1" t="n">
        <f aca="false">X280-(PR_LSrate*MAX(0,MIN(X280,PR_LScap)-PR_LSfree)+PR_r2*MAX(0,X280-PR_LScap))</f>
        <v>0</v>
      </c>
      <c r="Z280" s="1" t="n">
        <f aca="false">W280-X280</f>
        <v>0</v>
      </c>
      <c r="AA280" s="107" t="n">
        <f aca="false">IF(C280&gt;=61,IF(Z280&gt;PR_ARFbig,PR_ARFbigRate,IF(C280&gt;=71,PR_ARF71,PR_ARF61)),0)</f>
        <v>0.04</v>
      </c>
      <c r="AB280" s="1" t="n">
        <f aca="false">IF(AS_DrawRule="min",Z280*AA280,IF(AS_DrawRule="fixed",MAX(AS_DrawFixed*E280,Z280*AA280),Z280*MAX(1/MAX(1,AS_End-C280+1),AA280)))</f>
        <v>0</v>
      </c>
      <c r="AC280" s="1" t="n">
        <f aca="false">IF(AND(G280=0,C280&gt;=F_V),MIN(Z280,AB280),0)</f>
        <v>0</v>
      </c>
      <c r="AD280" s="1" t="n">
        <f aca="false">IF(G280=1,S280*(1+F_PenG)+Q280,IF(C280&lt;F_V,S280*(1+F_PenG),(Z280-AC280)*(1+AS_PenRet)))</f>
        <v>0</v>
      </c>
      <c r="AE280" s="1" t="n">
        <f aca="false">IF(C280&gt;=PR_SPage,AS_SP*F_SpF*I280+IF(C280&gt;=80,PR_Over80*PR_Weeks*I280,0),0)</f>
        <v>49798.0194856992</v>
      </c>
      <c r="AF280" s="1" t="n">
        <f aca="false">(F_OtherM+F_RentM)*12*E280</f>
        <v>0</v>
      </c>
      <c r="AG280" s="1" t="n">
        <f aca="false">F_PAge+B280</f>
        <v>70</v>
      </c>
      <c r="AH280" s="1" t="n">
        <f aca="false">IF(AND(F_Partner=1,F_PAge&gt;0,AG280&lt;IF(F_PRet&gt;0,F_PRet,66)),F_PIncome*F280,0)</f>
        <v>0</v>
      </c>
      <c r="AI280" s="1" t="n">
        <f aca="false">IF(AND(F_Partner=1,AG280&gt;=66,F_PSpQA=0),AS_SP*F_PSpF*I280,0)</f>
        <v>0</v>
      </c>
      <c r="AJ280" s="1" t="n">
        <f aca="false">IF(AND(F_Partner=1,F_PSpQA=1,C280&gt;=PR_SPage,AH280=0),IF(AG280&gt;=66,PR_QA66,PR_QAunder)*PR_Weeks*I280,0)</f>
        <v>0</v>
      </c>
      <c r="AK280" s="1" t="n">
        <f aca="false">AE280+AJ280</f>
        <v>49798.0194856992</v>
      </c>
      <c r="AL280" s="1" t="n">
        <f aca="false">K280/H280</f>
        <v>0</v>
      </c>
      <c r="AM280" s="1" t="n">
        <f aca="false">AK280/H280</f>
        <v>12450.88</v>
      </c>
      <c r="AN280" s="1" t="n">
        <f aca="false">AC280/H280</f>
        <v>0</v>
      </c>
      <c r="AO280" s="1" t="n">
        <f aca="false">AF280/H280</f>
        <v>0</v>
      </c>
      <c r="AP280" s="1" t="n">
        <f aca="false">O280/H280</f>
        <v>0</v>
      </c>
      <c r="AQ280" s="1" t="n">
        <f aca="false">AH280/H280</f>
        <v>0</v>
      </c>
      <c r="AR280" s="1" t="n">
        <f aca="false">AI280/H280</f>
        <v>0</v>
      </c>
      <c r="AS280" s="1" t="n">
        <f aca="false">MAX(0,AL280+AN280+AO280+AM280-AP280)</f>
        <v>12450.88</v>
      </c>
      <c r="AT280" s="1" t="n">
        <f aca="false">MAX(0,AQ280+AR280)</f>
        <v>0</v>
      </c>
      <c r="AU280" s="1" t="n">
        <f aca="false">MIN(PR_PAYE,PR_PAYEcap*(AL280+AN280+AM280))</f>
        <v>2000</v>
      </c>
      <c r="AV280" s="1" t="n">
        <f aca="false">MIN(PR_PAYE,PR_PAYEcap*(AQ280+AR280))</f>
        <v>0</v>
      </c>
      <c r="AW280" s="1" t="n">
        <f aca="false">IF(C280&gt;=PR_AgeCrAge,PR_AgeCr,0)</f>
        <v>245</v>
      </c>
      <c r="AX280" s="1" t="n">
        <f aca="false">IF(AG280&gt;=PR_AgeCrAge,PR_AgeCr,0)</f>
        <v>245</v>
      </c>
      <c r="AY280" s="1" t="n">
        <f aca="false">IF(AND(F_RentCred=1,D280&lt;=PR_RentLast),1,0)</f>
        <v>0</v>
      </c>
      <c r="AZ280" s="1" t="n">
        <f aca="false">AS280+AT280</f>
        <v>12450.88</v>
      </c>
      <c r="BA280" s="1" t="n">
        <f aca="false">PR_PersonalM+AU280+AV280+AW280+AX280+IF(AY280=1,PR_RentJoint,0)</f>
        <v>6490</v>
      </c>
      <c r="BB280" s="1" t="n">
        <f aca="false">PR_BandM+MIN(MIN(AS280,AT280),PR_Uplift)</f>
        <v>53000</v>
      </c>
      <c r="BC280" s="1" t="n">
        <f aca="false">MAX(0,PR_r1*MIN(AZ280,BB280)+PR_r2*MAX(0,AZ280-BB280)-BA280)</f>
        <v>0</v>
      </c>
      <c r="BD280" s="1" t="n">
        <f aca="false">MAX(0,PR_HomeCarer-MAX(0,MIN(AS280,AT280)-PR_HCLimit)/2)</f>
        <v>1950</v>
      </c>
      <c r="BE280" s="1" t="n">
        <f aca="false">IF(F_Carer=1,MIN(BC280,MAX(0,PR_r1*MIN(AZ280,PR_BandM)+PR_r2*MAX(0,AZ280-PR_BandM)-BA280-BD280)),BC280)</f>
        <v>0</v>
      </c>
      <c r="BF280" s="1" t="n">
        <f aca="false">IF(OR(C280&gt;=PR_AgeCrAge,AG280&gt;=PR_AgeCrAge),IF(AZ280&lt;=PR_AgeExM,0,MIN(BE280,PR_AgeMarg*(AZ280-PR_AgeExM))),BE280)</f>
        <v>0</v>
      </c>
      <c r="BG280" s="1" t="n">
        <f aca="false">MAX(0,PR_r1*MIN(AS280,IF(F_Spccc=1,PR_BandSPCCC,PR_Band))+PR_r2*MAX(0,AS280-IF(F_Spccc=1,PR_BandSPCCC,PR_Band))-(PR_Personal+AU280+AW280+IF(F_Spccc=1,PR_SPCCC,0)+IF(AY280=1,PR_Rent,0)))</f>
        <v>0</v>
      </c>
      <c r="BH280" s="1" t="n">
        <f aca="false">IF(C280&gt;=PR_AgeCrAge,IF(AS280&lt;=PR_AgeEx,0,MIN(BG280,PR_AgeMarg*(AS280-PR_AgeEx))),BG280)</f>
        <v>0</v>
      </c>
      <c r="BI280" s="1" t="n">
        <f aca="false">IF(F_Partner=1,MAX(0,PR_r1*MIN(AT280,PR_Band)+PR_r2*MAX(0,AT280-PR_Band)-(PR_Personal+AV280+AX280+IF(AND(AY280=1,AT280&gt;0),PR_Rent,0))),0)</f>
        <v>0</v>
      </c>
      <c r="BJ280" s="1" t="n">
        <f aca="false">IF(AG280&gt;=PR_AgeCrAge,IF(AT280&lt;=PR_AgeEx,0,MIN(BI280,PR_AgeMarg*(AT280-PR_AgeEx))),BI280)</f>
        <v>0</v>
      </c>
      <c r="BK280" s="1" t="n">
        <f aca="false">IF(F_Partner=1,IF(F_Married=1,BF280,BH280+BJ280),BH280)</f>
        <v>0</v>
      </c>
      <c r="BL280" s="1" t="n">
        <f aca="false">AL280+AN280+AO280</f>
        <v>0</v>
      </c>
      <c r="BM280" s="1" t="n">
        <f aca="false">IF(BL280&lt;=PR_USCex,0,IF(IF(AND(C280&gt;=PR_USCredAge,BL280&lt;=PR_USCredMax),1,0)=1,PR_USCr1*MIN(BL280,PR_USCredB1)+PR_USCredR2*MAX(0,BL280-PR_USCredB1),PR_USCr1*MIN(BL280,PR_USCb1)+PR_USCr2*MAX(0,MIN(BL280,PR_USCb2)-PR_USCb1)+PR_USCr3*MAX(0,MIN(BL280,PR_USCb3)-PR_USCb2)+PR_USCr4*MAX(0,BL280-PR_USCb3)))+IF(F_SelfEmp=1,PR_USCse*MAX(0,AL280-PR_USCseOver),0)</f>
        <v>0</v>
      </c>
      <c r="BN280" s="1" t="n">
        <f aca="false">AQ280</f>
        <v>0</v>
      </c>
      <c r="BO280" s="1" t="n">
        <f aca="false">IF(F_Partner=1,IF(BN280&lt;=PR_USCex,0,IF(IF(AND(AG280&gt;=PR_USCredAge,BN280&lt;=PR_USCredMax),1,0)=1,PR_USCr1*MIN(BN280,PR_USCredB1)+PR_USCredR2*MAX(0,BN280-PR_USCredB1),PR_USCr1*MIN(BN280,PR_USCb1)+PR_USCr2*MAX(0,MIN(BN280,PR_USCb2)-PR_USCb1)+PR_USCr3*MAX(0,MIN(BN280,PR_USCb3)-PR_USCb2)+PR_USCr4*MAX(0,BN280-PR_USCb3))),0)</f>
        <v>0</v>
      </c>
      <c r="BP280" s="1" t="n">
        <f aca="false">IF(C280&lt;PR_PRSIend,IF(F_SelfEmp=1,IF(AL280&gt;PR_PRSIsMinInc,MAX(PR_PRSIsMin,AL280*J280),0),IF(AL280/52&lt;=PR_PRSIfree,0,MAX(0,(AL280/52*J280-IF(AL280/52&lt;=PR_PRSIcreditTo,MAX(0,PR_PRSIcreditMax-(AL280/52-(PR_PRSIfree+0.01))/PR_PRSItaper),0))*52)))+J280*AN280+IF(AO280&gt;PR_PRSIunearned,J280*AO280,0),0)</f>
        <v>0</v>
      </c>
      <c r="BQ280" s="1" t="n">
        <f aca="false">IF(AND(F_Partner=1,AG280&lt;PR_PRSIend),IF(AQ280/52&lt;=PR_PRSIfree,0,MAX(0,(AQ280/52*J280-IF(AQ280/52&lt;=PR_PRSIcreditTo,MAX(0,PR_PRSIcreditMax-(AQ280/52-(PR_PRSIfree+0.01))/PR_PRSItaper),0))*52)),0)</f>
        <v>0</v>
      </c>
      <c r="BR280" s="1" t="n">
        <f aca="false">BK280+BM280+BO280+BP280+BQ280</f>
        <v>0</v>
      </c>
      <c r="BS280" s="1" t="n">
        <f aca="false">BR280*H280</f>
        <v>0</v>
      </c>
      <c r="BT280" s="1" t="n">
        <f aca="false">K280+AK280+AC280+AF280+AH280+AI280</f>
        <v>49798.0194856992</v>
      </c>
    </row>
    <row r="281" customFormat="false" ht="15" hidden="false" customHeight="false" outlineLevel="0" collapsed="false">
      <c r="B281" s="1" t="n">
        <v>71</v>
      </c>
      <c r="C281" s="1" t="n">
        <f aca="false">F_Age+B281</f>
        <v>71</v>
      </c>
      <c r="D281" s="1" t="n">
        <f aca="false">AS_Year0+B281</f>
        <v>2098</v>
      </c>
      <c r="E281" s="106" t="n">
        <f aca="false">(1+AS_Infl)^B281</f>
        <v>4.07954938730541</v>
      </c>
      <c r="F281" s="106" t="n">
        <f aca="false">(1+AS_Wage)^B281</f>
        <v>8.1553565694854</v>
      </c>
      <c r="G281" s="1" t="n">
        <f aca="false">IF(C281&lt;F_R,1,0)</f>
        <v>0</v>
      </c>
      <c r="H281" s="106" t="n">
        <f aca="false">IF(AS_Bands="flat",1,E281)</f>
        <v>4.07954938730541</v>
      </c>
      <c r="I281" s="106" t="n">
        <f aca="false">IF(AS_SpGrow="pay",F281,IF(AS_SpGrow="flat",1,E281))</f>
        <v>4.07954938730541</v>
      </c>
      <c r="J281" s="106" t="n">
        <f aca="false">(12*PR_PRSIr0+(PR_PRSIr1-PR_PRSIr0)*MAX(0,MIN(12,D281*12+12-PR_PRSIt1))+(PR_PRSIr2-PR_PRSIr1)*MAX(0,MIN(12,D281*12+12-PR_PRSIt2))+(PR_PRSIr3-PR_PRSIr2)*MAX(0,MIN(12,D281*12+12-PR_PRSIt3)))/12</f>
        <v>0.047</v>
      </c>
      <c r="K281" s="1" t="n">
        <f aca="false">IF(G281=1,F_Income*F281,0)</f>
        <v>0</v>
      </c>
      <c r="L281" s="1" t="n">
        <f aca="false">IF(G281=1,(F_Own+In_penExtra)*12*F281,0)</f>
        <v>0</v>
      </c>
      <c r="M281" s="1" t="n">
        <f aca="false">IF(G281=1,(F_PenM+In_penExtra)*12*F281,0)</f>
        <v>0</v>
      </c>
      <c r="N281" s="107" t="n">
        <f aca="false">IF(C281&lt;PR_RelA1,PR_RelP1,IF(C281&lt;PR_RelA2,PR_RelP2,IF(C281&lt;PR_RelA3,PR_RelP3,IF(C281&lt;PR_RelA4,PR_RelP4,IF(C281&lt;PR_RelA5,PR_RelP5,PR_RelP6)))))</f>
        <v>0.4</v>
      </c>
      <c r="O281" s="1" t="n">
        <f aca="false">IF(G281=1,MIN(L281/H281,N281*MIN(K281/H281,PR_EarnCap))*H281,0)</f>
        <v>0</v>
      </c>
      <c r="P281" s="1" t="n">
        <f aca="false">IF(AND(G281=1,F_AE=1),MIN(K281/H281,PR_AEcap)*H281,0)</f>
        <v>0</v>
      </c>
      <c r="Q281" s="1" t="n">
        <f aca="false">IF(G281=1,IF(WI_Retire=1,MAX(0,M281+WI_M*12),M281)+(PR_AEee+PR_AEer+PR_AEst)*P281,0)</f>
        <v>0</v>
      </c>
      <c r="R281" s="1" t="n">
        <f aca="false">L281+PR_AEee*P281</f>
        <v>0</v>
      </c>
      <c r="S281" s="1" t="n">
        <f aca="false">AD280</f>
        <v>0</v>
      </c>
      <c r="T281" s="1" t="n">
        <f aca="false">IF(D281&lt;=2026,PR_SFT2026,IF(D281=2027,PR_SFT2027,IF(D281=2028,PR_SFT2028,IF(D281=2029,PR_SFT2029,PR_SFT2029*(1+AS_Infl)^(D281-2029)))))</f>
        <v>10979179.4352702</v>
      </c>
      <c r="U281" s="1" t="n">
        <f aca="false">IF(AND(G281=0,C281=F_V),1,0)</f>
        <v>0</v>
      </c>
      <c r="V281" s="1" t="n">
        <f aca="false">IF(U281=1,PR_SFTrate*MAX(0,S281-T281),0)</f>
        <v>0</v>
      </c>
      <c r="W281" s="1" t="n">
        <f aca="false">S281-V281</f>
        <v>0</v>
      </c>
      <c r="X281" s="1" t="n">
        <f aca="false">IF(AND(U281=1,AS_LumpPct&gt;0),W281*MIN(AS_LumpPct,PR_LSmax),0)</f>
        <v>0</v>
      </c>
      <c r="Y281" s="1" t="n">
        <f aca="false">X281-(PR_LSrate*MAX(0,MIN(X281,PR_LScap)-PR_LSfree)+PR_r2*MAX(0,X281-PR_LScap))</f>
        <v>0</v>
      </c>
      <c r="Z281" s="1" t="n">
        <f aca="false">W281-X281</f>
        <v>0</v>
      </c>
      <c r="AA281" s="107" t="n">
        <f aca="false">IF(C281&gt;=61,IF(Z281&gt;PR_ARFbig,PR_ARFbigRate,IF(C281&gt;=71,PR_ARF71,PR_ARF61)),0)</f>
        <v>0.05</v>
      </c>
      <c r="AB281" s="1" t="n">
        <f aca="false">IF(AS_DrawRule="min",Z281*AA281,IF(AS_DrawRule="fixed",MAX(AS_DrawFixed*E281,Z281*AA281),Z281*MAX(1/MAX(1,AS_End-C281+1),AA281)))</f>
        <v>0</v>
      </c>
      <c r="AC281" s="1" t="n">
        <f aca="false">IF(AND(G281=0,C281&gt;=F_V),MIN(Z281,AB281),0)</f>
        <v>0</v>
      </c>
      <c r="AD281" s="1" t="n">
        <f aca="false">IF(G281=1,S281*(1+F_PenG)+Q281,IF(C281&lt;F_V,S281*(1+F_PenG),(Z281-AC281)*(1+AS_PenRet)))</f>
        <v>0</v>
      </c>
      <c r="AE281" s="1" t="n">
        <f aca="false">IF(C281&gt;=PR_SPage,AS_SP*F_SpF*I281+IF(C281&gt;=80,PR_Over80*PR_Weeks*I281,0),0)</f>
        <v>50793.9798754132</v>
      </c>
      <c r="AF281" s="1" t="n">
        <f aca="false">(F_OtherM+F_RentM)*12*E281</f>
        <v>0</v>
      </c>
      <c r="AG281" s="1" t="n">
        <f aca="false">F_PAge+B281</f>
        <v>71</v>
      </c>
      <c r="AH281" s="1" t="n">
        <f aca="false">IF(AND(F_Partner=1,F_PAge&gt;0,AG281&lt;IF(F_PRet&gt;0,F_PRet,66)),F_PIncome*F281,0)</f>
        <v>0</v>
      </c>
      <c r="AI281" s="1" t="n">
        <f aca="false">IF(AND(F_Partner=1,AG281&gt;=66,F_PSpQA=0),AS_SP*F_PSpF*I281,0)</f>
        <v>0</v>
      </c>
      <c r="AJ281" s="1" t="n">
        <f aca="false">IF(AND(F_Partner=1,F_PSpQA=1,C281&gt;=PR_SPage,AH281=0),IF(AG281&gt;=66,PR_QA66,PR_QAunder)*PR_Weeks*I281,0)</f>
        <v>0</v>
      </c>
      <c r="AK281" s="1" t="n">
        <f aca="false">AE281+AJ281</f>
        <v>50793.9798754132</v>
      </c>
      <c r="AL281" s="1" t="n">
        <f aca="false">K281/H281</f>
        <v>0</v>
      </c>
      <c r="AM281" s="1" t="n">
        <f aca="false">AK281/H281</f>
        <v>12450.88</v>
      </c>
      <c r="AN281" s="1" t="n">
        <f aca="false">AC281/H281</f>
        <v>0</v>
      </c>
      <c r="AO281" s="1" t="n">
        <f aca="false">AF281/H281</f>
        <v>0</v>
      </c>
      <c r="AP281" s="1" t="n">
        <f aca="false">O281/H281</f>
        <v>0</v>
      </c>
      <c r="AQ281" s="1" t="n">
        <f aca="false">AH281/H281</f>
        <v>0</v>
      </c>
      <c r="AR281" s="1" t="n">
        <f aca="false">AI281/H281</f>
        <v>0</v>
      </c>
      <c r="AS281" s="1" t="n">
        <f aca="false">MAX(0,AL281+AN281+AO281+AM281-AP281)</f>
        <v>12450.88</v>
      </c>
      <c r="AT281" s="1" t="n">
        <f aca="false">MAX(0,AQ281+AR281)</f>
        <v>0</v>
      </c>
      <c r="AU281" s="1" t="n">
        <f aca="false">MIN(PR_PAYE,PR_PAYEcap*(AL281+AN281+AM281))</f>
        <v>2000</v>
      </c>
      <c r="AV281" s="1" t="n">
        <f aca="false">MIN(PR_PAYE,PR_PAYEcap*(AQ281+AR281))</f>
        <v>0</v>
      </c>
      <c r="AW281" s="1" t="n">
        <f aca="false">IF(C281&gt;=PR_AgeCrAge,PR_AgeCr,0)</f>
        <v>245</v>
      </c>
      <c r="AX281" s="1" t="n">
        <f aca="false">IF(AG281&gt;=PR_AgeCrAge,PR_AgeCr,0)</f>
        <v>245</v>
      </c>
      <c r="AY281" s="1" t="n">
        <f aca="false">IF(AND(F_RentCred=1,D281&lt;=PR_RentLast),1,0)</f>
        <v>0</v>
      </c>
      <c r="AZ281" s="1" t="n">
        <f aca="false">AS281+AT281</f>
        <v>12450.88</v>
      </c>
      <c r="BA281" s="1" t="n">
        <f aca="false">PR_PersonalM+AU281+AV281+AW281+AX281+IF(AY281=1,PR_RentJoint,0)</f>
        <v>6490</v>
      </c>
      <c r="BB281" s="1" t="n">
        <f aca="false">PR_BandM+MIN(MIN(AS281,AT281),PR_Uplift)</f>
        <v>53000</v>
      </c>
      <c r="BC281" s="1" t="n">
        <f aca="false">MAX(0,PR_r1*MIN(AZ281,BB281)+PR_r2*MAX(0,AZ281-BB281)-BA281)</f>
        <v>0</v>
      </c>
      <c r="BD281" s="1" t="n">
        <f aca="false">MAX(0,PR_HomeCarer-MAX(0,MIN(AS281,AT281)-PR_HCLimit)/2)</f>
        <v>1950</v>
      </c>
      <c r="BE281" s="1" t="n">
        <f aca="false">IF(F_Carer=1,MIN(BC281,MAX(0,PR_r1*MIN(AZ281,PR_BandM)+PR_r2*MAX(0,AZ281-PR_BandM)-BA281-BD281)),BC281)</f>
        <v>0</v>
      </c>
      <c r="BF281" s="1" t="n">
        <f aca="false">IF(OR(C281&gt;=PR_AgeCrAge,AG281&gt;=PR_AgeCrAge),IF(AZ281&lt;=PR_AgeExM,0,MIN(BE281,PR_AgeMarg*(AZ281-PR_AgeExM))),BE281)</f>
        <v>0</v>
      </c>
      <c r="BG281" s="1" t="n">
        <f aca="false">MAX(0,PR_r1*MIN(AS281,IF(F_Spccc=1,PR_BandSPCCC,PR_Band))+PR_r2*MAX(0,AS281-IF(F_Spccc=1,PR_BandSPCCC,PR_Band))-(PR_Personal+AU281+AW281+IF(F_Spccc=1,PR_SPCCC,0)+IF(AY281=1,PR_Rent,0)))</f>
        <v>0</v>
      </c>
      <c r="BH281" s="1" t="n">
        <f aca="false">IF(C281&gt;=PR_AgeCrAge,IF(AS281&lt;=PR_AgeEx,0,MIN(BG281,PR_AgeMarg*(AS281-PR_AgeEx))),BG281)</f>
        <v>0</v>
      </c>
      <c r="BI281" s="1" t="n">
        <f aca="false">IF(F_Partner=1,MAX(0,PR_r1*MIN(AT281,PR_Band)+PR_r2*MAX(0,AT281-PR_Band)-(PR_Personal+AV281+AX281+IF(AND(AY281=1,AT281&gt;0),PR_Rent,0))),0)</f>
        <v>0</v>
      </c>
      <c r="BJ281" s="1" t="n">
        <f aca="false">IF(AG281&gt;=PR_AgeCrAge,IF(AT281&lt;=PR_AgeEx,0,MIN(BI281,PR_AgeMarg*(AT281-PR_AgeEx))),BI281)</f>
        <v>0</v>
      </c>
      <c r="BK281" s="1" t="n">
        <f aca="false">IF(F_Partner=1,IF(F_Married=1,BF281,BH281+BJ281),BH281)</f>
        <v>0</v>
      </c>
      <c r="BL281" s="1" t="n">
        <f aca="false">AL281+AN281+AO281</f>
        <v>0</v>
      </c>
      <c r="BM281" s="1" t="n">
        <f aca="false">IF(BL281&lt;=PR_USCex,0,IF(IF(AND(C281&gt;=PR_USCredAge,BL281&lt;=PR_USCredMax),1,0)=1,PR_USCr1*MIN(BL281,PR_USCredB1)+PR_USCredR2*MAX(0,BL281-PR_USCredB1),PR_USCr1*MIN(BL281,PR_USCb1)+PR_USCr2*MAX(0,MIN(BL281,PR_USCb2)-PR_USCb1)+PR_USCr3*MAX(0,MIN(BL281,PR_USCb3)-PR_USCb2)+PR_USCr4*MAX(0,BL281-PR_USCb3)))+IF(F_SelfEmp=1,PR_USCse*MAX(0,AL281-PR_USCseOver),0)</f>
        <v>0</v>
      </c>
      <c r="BN281" s="1" t="n">
        <f aca="false">AQ281</f>
        <v>0</v>
      </c>
      <c r="BO281" s="1" t="n">
        <f aca="false">IF(F_Partner=1,IF(BN281&lt;=PR_USCex,0,IF(IF(AND(AG281&gt;=PR_USCredAge,BN281&lt;=PR_USCredMax),1,0)=1,PR_USCr1*MIN(BN281,PR_USCredB1)+PR_USCredR2*MAX(0,BN281-PR_USCredB1),PR_USCr1*MIN(BN281,PR_USCb1)+PR_USCr2*MAX(0,MIN(BN281,PR_USCb2)-PR_USCb1)+PR_USCr3*MAX(0,MIN(BN281,PR_USCb3)-PR_USCb2)+PR_USCr4*MAX(0,BN281-PR_USCb3))),0)</f>
        <v>0</v>
      </c>
      <c r="BP281" s="1" t="n">
        <f aca="false">IF(C281&lt;PR_PRSIend,IF(F_SelfEmp=1,IF(AL281&gt;PR_PRSIsMinInc,MAX(PR_PRSIsMin,AL281*J281),0),IF(AL281/52&lt;=PR_PRSIfree,0,MAX(0,(AL281/52*J281-IF(AL281/52&lt;=PR_PRSIcreditTo,MAX(0,PR_PRSIcreditMax-(AL281/52-(PR_PRSIfree+0.01))/PR_PRSItaper),0))*52)))+J281*AN281+IF(AO281&gt;PR_PRSIunearned,J281*AO281,0),0)</f>
        <v>0</v>
      </c>
      <c r="BQ281" s="1" t="n">
        <f aca="false">IF(AND(F_Partner=1,AG281&lt;PR_PRSIend),IF(AQ281/52&lt;=PR_PRSIfree,0,MAX(0,(AQ281/52*J281-IF(AQ281/52&lt;=PR_PRSIcreditTo,MAX(0,PR_PRSIcreditMax-(AQ281/52-(PR_PRSIfree+0.01))/PR_PRSItaper),0))*52)),0)</f>
        <v>0</v>
      </c>
      <c r="BR281" s="1" t="n">
        <f aca="false">BK281+BM281+BO281+BP281+BQ281</f>
        <v>0</v>
      </c>
      <c r="BS281" s="1" t="n">
        <f aca="false">BR281*H281</f>
        <v>0</v>
      </c>
      <c r="BT281" s="1" t="n">
        <f aca="false">K281+AK281+AC281+AF281+AH281+AI281</f>
        <v>50793.9798754132</v>
      </c>
    </row>
    <row r="282" customFormat="false" ht="15" hidden="false" customHeight="false" outlineLevel="0" collapsed="false">
      <c r="B282" s="1" t="n">
        <v>72</v>
      </c>
      <c r="C282" s="1" t="n">
        <f aca="false">F_Age+B282</f>
        <v>72</v>
      </c>
      <c r="D282" s="1" t="n">
        <f aca="false">AS_Year0+B282</f>
        <v>2099</v>
      </c>
      <c r="E282" s="106" t="n">
        <f aca="false">(1+AS_Infl)^B282</f>
        <v>4.16114037505152</v>
      </c>
      <c r="F282" s="106" t="n">
        <f aca="false">(1+AS_Wage)^B282</f>
        <v>8.40001726656997</v>
      </c>
      <c r="G282" s="1" t="n">
        <f aca="false">IF(C282&lt;F_R,1,0)</f>
        <v>0</v>
      </c>
      <c r="H282" s="106" t="n">
        <f aca="false">IF(AS_Bands="flat",1,E282)</f>
        <v>4.16114037505152</v>
      </c>
      <c r="I282" s="106" t="n">
        <f aca="false">IF(AS_SpGrow="pay",F282,IF(AS_SpGrow="flat",1,E282))</f>
        <v>4.16114037505152</v>
      </c>
      <c r="J282" s="106" t="n">
        <f aca="false">(12*PR_PRSIr0+(PR_PRSIr1-PR_PRSIr0)*MAX(0,MIN(12,D282*12+12-PR_PRSIt1))+(PR_PRSIr2-PR_PRSIr1)*MAX(0,MIN(12,D282*12+12-PR_PRSIt2))+(PR_PRSIr3-PR_PRSIr2)*MAX(0,MIN(12,D282*12+12-PR_PRSIt3)))/12</f>
        <v>0.047</v>
      </c>
      <c r="K282" s="1" t="n">
        <f aca="false">IF(G282=1,F_Income*F282,0)</f>
        <v>0</v>
      </c>
      <c r="L282" s="1" t="n">
        <f aca="false">IF(G282=1,(F_Own+In_penExtra)*12*F282,0)</f>
        <v>0</v>
      </c>
      <c r="M282" s="1" t="n">
        <f aca="false">IF(G282=1,(F_PenM+In_penExtra)*12*F282,0)</f>
        <v>0</v>
      </c>
      <c r="N282" s="107" t="n">
        <f aca="false">IF(C282&lt;PR_RelA1,PR_RelP1,IF(C282&lt;PR_RelA2,PR_RelP2,IF(C282&lt;PR_RelA3,PR_RelP3,IF(C282&lt;PR_RelA4,PR_RelP4,IF(C282&lt;PR_RelA5,PR_RelP5,PR_RelP6)))))</f>
        <v>0.4</v>
      </c>
      <c r="O282" s="1" t="n">
        <f aca="false">IF(G282=1,MIN(L282/H282,N282*MIN(K282/H282,PR_EarnCap))*H282,0)</f>
        <v>0</v>
      </c>
      <c r="P282" s="1" t="n">
        <f aca="false">IF(AND(G282=1,F_AE=1),MIN(K282/H282,PR_AEcap)*H282,0)</f>
        <v>0</v>
      </c>
      <c r="Q282" s="1" t="n">
        <f aca="false">IF(G282=1,IF(WI_Retire=1,MAX(0,M282+WI_M*12),M282)+(PR_AEee+PR_AEer+PR_AEst)*P282,0)</f>
        <v>0</v>
      </c>
      <c r="R282" s="1" t="n">
        <f aca="false">L282+PR_AEee*P282</f>
        <v>0</v>
      </c>
      <c r="S282" s="1" t="n">
        <f aca="false">AD281</f>
        <v>0</v>
      </c>
      <c r="T282" s="1" t="n">
        <f aca="false">IF(D282&lt;=2026,PR_SFT2026,IF(D282=2027,PR_SFT2027,IF(D282=2028,PR_SFT2028,IF(D282=2029,PR_SFT2029,PR_SFT2029*(1+AS_Infl)^(D282-2029)))))</f>
        <v>11198763.0239756</v>
      </c>
      <c r="U282" s="1" t="n">
        <f aca="false">IF(AND(G282=0,C282=F_V),1,0)</f>
        <v>0</v>
      </c>
      <c r="V282" s="1" t="n">
        <f aca="false">IF(U282=1,PR_SFTrate*MAX(0,S282-T282),0)</f>
        <v>0</v>
      </c>
      <c r="W282" s="1" t="n">
        <f aca="false">S282-V282</f>
        <v>0</v>
      </c>
      <c r="X282" s="1" t="n">
        <f aca="false">IF(AND(U282=1,AS_LumpPct&gt;0),W282*MIN(AS_LumpPct,PR_LSmax),0)</f>
        <v>0</v>
      </c>
      <c r="Y282" s="1" t="n">
        <f aca="false">X282-(PR_LSrate*MAX(0,MIN(X282,PR_LScap)-PR_LSfree)+PR_r2*MAX(0,X282-PR_LScap))</f>
        <v>0</v>
      </c>
      <c r="Z282" s="1" t="n">
        <f aca="false">W282-X282</f>
        <v>0</v>
      </c>
      <c r="AA282" s="107" t="n">
        <f aca="false">IF(C282&gt;=61,IF(Z282&gt;PR_ARFbig,PR_ARFbigRate,IF(C282&gt;=71,PR_ARF71,PR_ARF61)),0)</f>
        <v>0.05</v>
      </c>
      <c r="AB282" s="1" t="n">
        <f aca="false">IF(AS_DrawRule="min",Z282*AA282,IF(AS_DrawRule="fixed",MAX(AS_DrawFixed*E282,Z282*AA282),Z282*MAX(1/MAX(1,AS_End-C282+1),AA282)))</f>
        <v>0</v>
      </c>
      <c r="AC282" s="1" t="n">
        <f aca="false">IF(AND(G282=0,C282&gt;=F_V),MIN(Z282,AB282),0)</f>
        <v>0</v>
      </c>
      <c r="AD282" s="1" t="n">
        <f aca="false">IF(G282=1,S282*(1+F_PenG)+Q282,IF(C282&lt;F_V,S282*(1+F_PenG),(Z282-AC282)*(1+AS_PenRet)))</f>
        <v>0</v>
      </c>
      <c r="AE282" s="1" t="n">
        <f aca="false">IF(C282&gt;=PR_SPage,AS_SP*F_SpF*I282+IF(C282&gt;=80,PR_Over80*PR_Weeks*I282,0),0)</f>
        <v>51809.8594729214</v>
      </c>
      <c r="AF282" s="1" t="n">
        <f aca="false">(F_OtherM+F_RentM)*12*E282</f>
        <v>0</v>
      </c>
      <c r="AG282" s="1" t="n">
        <f aca="false">F_PAge+B282</f>
        <v>72</v>
      </c>
      <c r="AH282" s="1" t="n">
        <f aca="false">IF(AND(F_Partner=1,F_PAge&gt;0,AG282&lt;IF(F_PRet&gt;0,F_PRet,66)),F_PIncome*F282,0)</f>
        <v>0</v>
      </c>
      <c r="AI282" s="1" t="n">
        <f aca="false">IF(AND(F_Partner=1,AG282&gt;=66,F_PSpQA=0),AS_SP*F_PSpF*I282,0)</f>
        <v>0</v>
      </c>
      <c r="AJ282" s="1" t="n">
        <f aca="false">IF(AND(F_Partner=1,F_PSpQA=1,C282&gt;=PR_SPage,AH282=0),IF(AG282&gt;=66,PR_QA66,PR_QAunder)*PR_Weeks*I282,0)</f>
        <v>0</v>
      </c>
      <c r="AK282" s="1" t="n">
        <f aca="false">AE282+AJ282</f>
        <v>51809.8594729214</v>
      </c>
      <c r="AL282" s="1" t="n">
        <f aca="false">K282/H282</f>
        <v>0</v>
      </c>
      <c r="AM282" s="1" t="n">
        <f aca="false">AK282/H282</f>
        <v>12450.88</v>
      </c>
      <c r="AN282" s="1" t="n">
        <f aca="false">AC282/H282</f>
        <v>0</v>
      </c>
      <c r="AO282" s="1" t="n">
        <f aca="false">AF282/H282</f>
        <v>0</v>
      </c>
      <c r="AP282" s="1" t="n">
        <f aca="false">O282/H282</f>
        <v>0</v>
      </c>
      <c r="AQ282" s="1" t="n">
        <f aca="false">AH282/H282</f>
        <v>0</v>
      </c>
      <c r="AR282" s="1" t="n">
        <f aca="false">AI282/H282</f>
        <v>0</v>
      </c>
      <c r="AS282" s="1" t="n">
        <f aca="false">MAX(0,AL282+AN282+AO282+AM282-AP282)</f>
        <v>12450.88</v>
      </c>
      <c r="AT282" s="1" t="n">
        <f aca="false">MAX(0,AQ282+AR282)</f>
        <v>0</v>
      </c>
      <c r="AU282" s="1" t="n">
        <f aca="false">MIN(PR_PAYE,PR_PAYEcap*(AL282+AN282+AM282))</f>
        <v>2000</v>
      </c>
      <c r="AV282" s="1" t="n">
        <f aca="false">MIN(PR_PAYE,PR_PAYEcap*(AQ282+AR282))</f>
        <v>0</v>
      </c>
      <c r="AW282" s="1" t="n">
        <f aca="false">IF(C282&gt;=PR_AgeCrAge,PR_AgeCr,0)</f>
        <v>245</v>
      </c>
      <c r="AX282" s="1" t="n">
        <f aca="false">IF(AG282&gt;=PR_AgeCrAge,PR_AgeCr,0)</f>
        <v>245</v>
      </c>
      <c r="AY282" s="1" t="n">
        <f aca="false">IF(AND(F_RentCred=1,D282&lt;=PR_RentLast),1,0)</f>
        <v>0</v>
      </c>
      <c r="AZ282" s="1" t="n">
        <f aca="false">AS282+AT282</f>
        <v>12450.88</v>
      </c>
      <c r="BA282" s="1" t="n">
        <f aca="false">PR_PersonalM+AU282+AV282+AW282+AX282+IF(AY282=1,PR_RentJoint,0)</f>
        <v>6490</v>
      </c>
      <c r="BB282" s="1" t="n">
        <f aca="false">PR_BandM+MIN(MIN(AS282,AT282),PR_Uplift)</f>
        <v>53000</v>
      </c>
      <c r="BC282" s="1" t="n">
        <f aca="false">MAX(0,PR_r1*MIN(AZ282,BB282)+PR_r2*MAX(0,AZ282-BB282)-BA282)</f>
        <v>0</v>
      </c>
      <c r="BD282" s="1" t="n">
        <f aca="false">MAX(0,PR_HomeCarer-MAX(0,MIN(AS282,AT282)-PR_HCLimit)/2)</f>
        <v>1950</v>
      </c>
      <c r="BE282" s="1" t="n">
        <f aca="false">IF(F_Carer=1,MIN(BC282,MAX(0,PR_r1*MIN(AZ282,PR_BandM)+PR_r2*MAX(0,AZ282-PR_BandM)-BA282-BD282)),BC282)</f>
        <v>0</v>
      </c>
      <c r="BF282" s="1" t="n">
        <f aca="false">IF(OR(C282&gt;=PR_AgeCrAge,AG282&gt;=PR_AgeCrAge),IF(AZ282&lt;=PR_AgeExM,0,MIN(BE282,PR_AgeMarg*(AZ282-PR_AgeExM))),BE282)</f>
        <v>0</v>
      </c>
      <c r="BG282" s="1" t="n">
        <f aca="false">MAX(0,PR_r1*MIN(AS282,IF(F_Spccc=1,PR_BandSPCCC,PR_Band))+PR_r2*MAX(0,AS282-IF(F_Spccc=1,PR_BandSPCCC,PR_Band))-(PR_Personal+AU282+AW282+IF(F_Spccc=1,PR_SPCCC,0)+IF(AY282=1,PR_Rent,0)))</f>
        <v>0</v>
      </c>
      <c r="BH282" s="1" t="n">
        <f aca="false">IF(C282&gt;=PR_AgeCrAge,IF(AS282&lt;=PR_AgeEx,0,MIN(BG282,PR_AgeMarg*(AS282-PR_AgeEx))),BG282)</f>
        <v>0</v>
      </c>
      <c r="BI282" s="1" t="n">
        <f aca="false">IF(F_Partner=1,MAX(0,PR_r1*MIN(AT282,PR_Band)+PR_r2*MAX(0,AT282-PR_Band)-(PR_Personal+AV282+AX282+IF(AND(AY282=1,AT282&gt;0),PR_Rent,0))),0)</f>
        <v>0</v>
      </c>
      <c r="BJ282" s="1" t="n">
        <f aca="false">IF(AG282&gt;=PR_AgeCrAge,IF(AT282&lt;=PR_AgeEx,0,MIN(BI282,PR_AgeMarg*(AT282-PR_AgeEx))),BI282)</f>
        <v>0</v>
      </c>
      <c r="BK282" s="1" t="n">
        <f aca="false">IF(F_Partner=1,IF(F_Married=1,BF282,BH282+BJ282),BH282)</f>
        <v>0</v>
      </c>
      <c r="BL282" s="1" t="n">
        <f aca="false">AL282+AN282+AO282</f>
        <v>0</v>
      </c>
      <c r="BM282" s="1" t="n">
        <f aca="false">IF(BL282&lt;=PR_USCex,0,IF(IF(AND(C282&gt;=PR_USCredAge,BL282&lt;=PR_USCredMax),1,0)=1,PR_USCr1*MIN(BL282,PR_USCredB1)+PR_USCredR2*MAX(0,BL282-PR_USCredB1),PR_USCr1*MIN(BL282,PR_USCb1)+PR_USCr2*MAX(0,MIN(BL282,PR_USCb2)-PR_USCb1)+PR_USCr3*MAX(0,MIN(BL282,PR_USCb3)-PR_USCb2)+PR_USCr4*MAX(0,BL282-PR_USCb3)))+IF(F_SelfEmp=1,PR_USCse*MAX(0,AL282-PR_USCseOver),0)</f>
        <v>0</v>
      </c>
      <c r="BN282" s="1" t="n">
        <f aca="false">AQ282</f>
        <v>0</v>
      </c>
      <c r="BO282" s="1" t="n">
        <f aca="false">IF(F_Partner=1,IF(BN282&lt;=PR_USCex,0,IF(IF(AND(AG282&gt;=PR_USCredAge,BN282&lt;=PR_USCredMax),1,0)=1,PR_USCr1*MIN(BN282,PR_USCredB1)+PR_USCredR2*MAX(0,BN282-PR_USCredB1),PR_USCr1*MIN(BN282,PR_USCb1)+PR_USCr2*MAX(0,MIN(BN282,PR_USCb2)-PR_USCb1)+PR_USCr3*MAX(0,MIN(BN282,PR_USCb3)-PR_USCb2)+PR_USCr4*MAX(0,BN282-PR_USCb3))),0)</f>
        <v>0</v>
      </c>
      <c r="BP282" s="1" t="n">
        <f aca="false">IF(C282&lt;PR_PRSIend,IF(F_SelfEmp=1,IF(AL282&gt;PR_PRSIsMinInc,MAX(PR_PRSIsMin,AL282*J282),0),IF(AL282/52&lt;=PR_PRSIfree,0,MAX(0,(AL282/52*J282-IF(AL282/52&lt;=PR_PRSIcreditTo,MAX(0,PR_PRSIcreditMax-(AL282/52-(PR_PRSIfree+0.01))/PR_PRSItaper),0))*52)))+J282*AN282+IF(AO282&gt;PR_PRSIunearned,J282*AO282,0),0)</f>
        <v>0</v>
      </c>
      <c r="BQ282" s="1" t="n">
        <f aca="false">IF(AND(F_Partner=1,AG282&lt;PR_PRSIend),IF(AQ282/52&lt;=PR_PRSIfree,0,MAX(0,(AQ282/52*J282-IF(AQ282/52&lt;=PR_PRSIcreditTo,MAX(0,PR_PRSIcreditMax-(AQ282/52-(PR_PRSIfree+0.01))/PR_PRSItaper),0))*52)),0)</f>
        <v>0</v>
      </c>
      <c r="BR282" s="1" t="n">
        <f aca="false">BK282+BM282+BO282+BP282+BQ282</f>
        <v>0</v>
      </c>
      <c r="BS282" s="1" t="n">
        <f aca="false">BR282*H282</f>
        <v>0</v>
      </c>
      <c r="BT282" s="1" t="n">
        <f aca="false">K282+AK282+AC282+AF282+AH282+AI282</f>
        <v>51809.8594729214</v>
      </c>
    </row>
    <row r="283" customFormat="false" ht="15" hidden="false" customHeight="false" outlineLevel="0" collapsed="false">
      <c r="B283" s="1" t="n">
        <v>73</v>
      </c>
      <c r="C283" s="1" t="n">
        <f aca="false">F_Age+B283</f>
        <v>73</v>
      </c>
      <c r="D283" s="1" t="n">
        <f aca="false">AS_Year0+B283</f>
        <v>2100</v>
      </c>
      <c r="E283" s="106" t="n">
        <f aca="false">(1+AS_Infl)^B283</f>
        <v>4.24436318255255</v>
      </c>
      <c r="F283" s="106" t="n">
        <f aca="false">(1+AS_Wage)^B283</f>
        <v>8.65201778456706</v>
      </c>
      <c r="G283" s="1" t="n">
        <f aca="false">IF(C283&lt;F_R,1,0)</f>
        <v>0</v>
      </c>
      <c r="H283" s="106" t="n">
        <f aca="false">IF(AS_Bands="flat",1,E283)</f>
        <v>4.24436318255255</v>
      </c>
      <c r="I283" s="106" t="n">
        <f aca="false">IF(AS_SpGrow="pay",F283,IF(AS_SpGrow="flat",1,E283))</f>
        <v>4.24436318255255</v>
      </c>
      <c r="J283" s="106" t="n">
        <f aca="false">(12*PR_PRSIr0+(PR_PRSIr1-PR_PRSIr0)*MAX(0,MIN(12,D283*12+12-PR_PRSIt1))+(PR_PRSIr2-PR_PRSIr1)*MAX(0,MIN(12,D283*12+12-PR_PRSIt2))+(PR_PRSIr3-PR_PRSIr2)*MAX(0,MIN(12,D283*12+12-PR_PRSIt3)))/12</f>
        <v>0.047</v>
      </c>
      <c r="K283" s="1" t="n">
        <f aca="false">IF(G283=1,F_Income*F283,0)</f>
        <v>0</v>
      </c>
      <c r="L283" s="1" t="n">
        <f aca="false">IF(G283=1,(F_Own+In_penExtra)*12*F283,0)</f>
        <v>0</v>
      </c>
      <c r="M283" s="1" t="n">
        <f aca="false">IF(G283=1,(F_PenM+In_penExtra)*12*F283,0)</f>
        <v>0</v>
      </c>
      <c r="N283" s="107" t="n">
        <f aca="false">IF(C283&lt;PR_RelA1,PR_RelP1,IF(C283&lt;PR_RelA2,PR_RelP2,IF(C283&lt;PR_RelA3,PR_RelP3,IF(C283&lt;PR_RelA4,PR_RelP4,IF(C283&lt;PR_RelA5,PR_RelP5,PR_RelP6)))))</f>
        <v>0.4</v>
      </c>
      <c r="O283" s="1" t="n">
        <f aca="false">IF(G283=1,MIN(L283/H283,N283*MIN(K283/H283,PR_EarnCap))*H283,0)</f>
        <v>0</v>
      </c>
      <c r="P283" s="1" t="n">
        <f aca="false">IF(AND(G283=1,F_AE=1),MIN(K283/H283,PR_AEcap)*H283,0)</f>
        <v>0</v>
      </c>
      <c r="Q283" s="1" t="n">
        <f aca="false">IF(G283=1,IF(WI_Retire=1,MAX(0,M283+WI_M*12),M283)+(PR_AEee+PR_AEer+PR_AEst)*P283,0)</f>
        <v>0</v>
      </c>
      <c r="R283" s="1" t="n">
        <f aca="false">L283+PR_AEee*P283</f>
        <v>0</v>
      </c>
      <c r="S283" s="1" t="n">
        <f aca="false">AD282</f>
        <v>0</v>
      </c>
      <c r="T283" s="1" t="n">
        <f aca="false">IF(D283&lt;=2026,PR_SFT2026,IF(D283=2027,PR_SFT2027,IF(D283=2028,PR_SFT2028,IF(D283=2029,PR_SFT2029,PR_SFT2029*(1+AS_Infl)^(D283-2029)))))</f>
        <v>11422738.2844551</v>
      </c>
      <c r="U283" s="1" t="n">
        <f aca="false">IF(AND(G283=0,C283=F_V),1,0)</f>
        <v>0</v>
      </c>
      <c r="V283" s="1" t="n">
        <f aca="false">IF(U283=1,PR_SFTrate*MAX(0,S283-T283),0)</f>
        <v>0</v>
      </c>
      <c r="W283" s="1" t="n">
        <f aca="false">S283-V283</f>
        <v>0</v>
      </c>
      <c r="X283" s="1" t="n">
        <f aca="false">IF(AND(U283=1,AS_LumpPct&gt;0),W283*MIN(AS_LumpPct,PR_LSmax),0)</f>
        <v>0</v>
      </c>
      <c r="Y283" s="1" t="n">
        <f aca="false">X283-(PR_LSrate*MAX(0,MIN(X283,PR_LScap)-PR_LSfree)+PR_r2*MAX(0,X283-PR_LScap))</f>
        <v>0</v>
      </c>
      <c r="Z283" s="1" t="n">
        <f aca="false">W283-X283</f>
        <v>0</v>
      </c>
      <c r="AA283" s="107" t="n">
        <f aca="false">IF(C283&gt;=61,IF(Z283&gt;PR_ARFbig,PR_ARFbigRate,IF(C283&gt;=71,PR_ARF71,PR_ARF61)),0)</f>
        <v>0.05</v>
      </c>
      <c r="AB283" s="1" t="n">
        <f aca="false">IF(AS_DrawRule="min",Z283*AA283,IF(AS_DrawRule="fixed",MAX(AS_DrawFixed*E283,Z283*AA283),Z283*MAX(1/MAX(1,AS_End-C283+1),AA283)))</f>
        <v>0</v>
      </c>
      <c r="AC283" s="1" t="n">
        <f aca="false">IF(AND(G283=0,C283&gt;=F_V),MIN(Z283,AB283),0)</f>
        <v>0</v>
      </c>
      <c r="AD283" s="1" t="n">
        <f aca="false">IF(G283=1,S283*(1+F_PenG)+Q283,IF(C283&lt;F_V,S283*(1+F_PenG),(Z283-AC283)*(1+AS_PenRet)))</f>
        <v>0</v>
      </c>
      <c r="AE283" s="1" t="n">
        <f aca="false">IF(C283&gt;=PR_SPage,AS_SP*F_SpF*I283+IF(C283&gt;=80,PR_Over80*PR_Weeks*I283,0),0)</f>
        <v>52846.0566623799</v>
      </c>
      <c r="AF283" s="1" t="n">
        <f aca="false">(F_OtherM+F_RentM)*12*E283</f>
        <v>0</v>
      </c>
      <c r="AG283" s="1" t="n">
        <f aca="false">F_PAge+B283</f>
        <v>73</v>
      </c>
      <c r="AH283" s="1" t="n">
        <f aca="false">IF(AND(F_Partner=1,F_PAge&gt;0,AG283&lt;IF(F_PRet&gt;0,F_PRet,66)),F_PIncome*F283,0)</f>
        <v>0</v>
      </c>
      <c r="AI283" s="1" t="n">
        <f aca="false">IF(AND(F_Partner=1,AG283&gt;=66,F_PSpQA=0),AS_SP*F_PSpF*I283,0)</f>
        <v>0</v>
      </c>
      <c r="AJ283" s="1" t="n">
        <f aca="false">IF(AND(F_Partner=1,F_PSpQA=1,C283&gt;=PR_SPage,AH283=0),IF(AG283&gt;=66,PR_QA66,PR_QAunder)*PR_Weeks*I283,0)</f>
        <v>0</v>
      </c>
      <c r="AK283" s="1" t="n">
        <f aca="false">AE283+AJ283</f>
        <v>52846.0566623799</v>
      </c>
      <c r="AL283" s="1" t="n">
        <f aca="false">K283/H283</f>
        <v>0</v>
      </c>
      <c r="AM283" s="1" t="n">
        <f aca="false">AK283/H283</f>
        <v>12450.88</v>
      </c>
      <c r="AN283" s="1" t="n">
        <f aca="false">AC283/H283</f>
        <v>0</v>
      </c>
      <c r="AO283" s="1" t="n">
        <f aca="false">AF283/H283</f>
        <v>0</v>
      </c>
      <c r="AP283" s="1" t="n">
        <f aca="false">O283/H283</f>
        <v>0</v>
      </c>
      <c r="AQ283" s="1" t="n">
        <f aca="false">AH283/H283</f>
        <v>0</v>
      </c>
      <c r="AR283" s="1" t="n">
        <f aca="false">AI283/H283</f>
        <v>0</v>
      </c>
      <c r="AS283" s="1" t="n">
        <f aca="false">MAX(0,AL283+AN283+AO283+AM283-AP283)</f>
        <v>12450.88</v>
      </c>
      <c r="AT283" s="1" t="n">
        <f aca="false">MAX(0,AQ283+AR283)</f>
        <v>0</v>
      </c>
      <c r="AU283" s="1" t="n">
        <f aca="false">MIN(PR_PAYE,PR_PAYEcap*(AL283+AN283+AM283))</f>
        <v>2000</v>
      </c>
      <c r="AV283" s="1" t="n">
        <f aca="false">MIN(PR_PAYE,PR_PAYEcap*(AQ283+AR283))</f>
        <v>0</v>
      </c>
      <c r="AW283" s="1" t="n">
        <f aca="false">IF(C283&gt;=PR_AgeCrAge,PR_AgeCr,0)</f>
        <v>245</v>
      </c>
      <c r="AX283" s="1" t="n">
        <f aca="false">IF(AG283&gt;=PR_AgeCrAge,PR_AgeCr,0)</f>
        <v>245</v>
      </c>
      <c r="AY283" s="1" t="n">
        <f aca="false">IF(AND(F_RentCred=1,D283&lt;=PR_RentLast),1,0)</f>
        <v>0</v>
      </c>
      <c r="AZ283" s="1" t="n">
        <f aca="false">AS283+AT283</f>
        <v>12450.88</v>
      </c>
      <c r="BA283" s="1" t="n">
        <f aca="false">PR_PersonalM+AU283+AV283+AW283+AX283+IF(AY283=1,PR_RentJoint,0)</f>
        <v>6490</v>
      </c>
      <c r="BB283" s="1" t="n">
        <f aca="false">PR_BandM+MIN(MIN(AS283,AT283),PR_Uplift)</f>
        <v>53000</v>
      </c>
      <c r="BC283" s="1" t="n">
        <f aca="false">MAX(0,PR_r1*MIN(AZ283,BB283)+PR_r2*MAX(0,AZ283-BB283)-BA283)</f>
        <v>0</v>
      </c>
      <c r="BD283" s="1" t="n">
        <f aca="false">MAX(0,PR_HomeCarer-MAX(0,MIN(AS283,AT283)-PR_HCLimit)/2)</f>
        <v>1950</v>
      </c>
      <c r="BE283" s="1" t="n">
        <f aca="false">IF(F_Carer=1,MIN(BC283,MAX(0,PR_r1*MIN(AZ283,PR_BandM)+PR_r2*MAX(0,AZ283-PR_BandM)-BA283-BD283)),BC283)</f>
        <v>0</v>
      </c>
      <c r="BF283" s="1" t="n">
        <f aca="false">IF(OR(C283&gt;=PR_AgeCrAge,AG283&gt;=PR_AgeCrAge),IF(AZ283&lt;=PR_AgeExM,0,MIN(BE283,PR_AgeMarg*(AZ283-PR_AgeExM))),BE283)</f>
        <v>0</v>
      </c>
      <c r="BG283" s="1" t="n">
        <f aca="false">MAX(0,PR_r1*MIN(AS283,IF(F_Spccc=1,PR_BandSPCCC,PR_Band))+PR_r2*MAX(0,AS283-IF(F_Spccc=1,PR_BandSPCCC,PR_Band))-(PR_Personal+AU283+AW283+IF(F_Spccc=1,PR_SPCCC,0)+IF(AY283=1,PR_Rent,0)))</f>
        <v>0</v>
      </c>
      <c r="BH283" s="1" t="n">
        <f aca="false">IF(C283&gt;=PR_AgeCrAge,IF(AS283&lt;=PR_AgeEx,0,MIN(BG283,PR_AgeMarg*(AS283-PR_AgeEx))),BG283)</f>
        <v>0</v>
      </c>
      <c r="BI283" s="1" t="n">
        <f aca="false">IF(F_Partner=1,MAX(0,PR_r1*MIN(AT283,PR_Band)+PR_r2*MAX(0,AT283-PR_Band)-(PR_Personal+AV283+AX283+IF(AND(AY283=1,AT283&gt;0),PR_Rent,0))),0)</f>
        <v>0</v>
      </c>
      <c r="BJ283" s="1" t="n">
        <f aca="false">IF(AG283&gt;=PR_AgeCrAge,IF(AT283&lt;=PR_AgeEx,0,MIN(BI283,PR_AgeMarg*(AT283-PR_AgeEx))),BI283)</f>
        <v>0</v>
      </c>
      <c r="BK283" s="1" t="n">
        <f aca="false">IF(F_Partner=1,IF(F_Married=1,BF283,BH283+BJ283),BH283)</f>
        <v>0</v>
      </c>
      <c r="BL283" s="1" t="n">
        <f aca="false">AL283+AN283+AO283</f>
        <v>0</v>
      </c>
      <c r="BM283" s="1" t="n">
        <f aca="false">IF(BL283&lt;=PR_USCex,0,IF(IF(AND(C283&gt;=PR_USCredAge,BL283&lt;=PR_USCredMax),1,0)=1,PR_USCr1*MIN(BL283,PR_USCredB1)+PR_USCredR2*MAX(0,BL283-PR_USCredB1),PR_USCr1*MIN(BL283,PR_USCb1)+PR_USCr2*MAX(0,MIN(BL283,PR_USCb2)-PR_USCb1)+PR_USCr3*MAX(0,MIN(BL283,PR_USCb3)-PR_USCb2)+PR_USCr4*MAX(0,BL283-PR_USCb3)))+IF(F_SelfEmp=1,PR_USCse*MAX(0,AL283-PR_USCseOver),0)</f>
        <v>0</v>
      </c>
      <c r="BN283" s="1" t="n">
        <f aca="false">AQ283</f>
        <v>0</v>
      </c>
      <c r="BO283" s="1" t="n">
        <f aca="false">IF(F_Partner=1,IF(BN283&lt;=PR_USCex,0,IF(IF(AND(AG283&gt;=PR_USCredAge,BN283&lt;=PR_USCredMax),1,0)=1,PR_USCr1*MIN(BN283,PR_USCredB1)+PR_USCredR2*MAX(0,BN283-PR_USCredB1),PR_USCr1*MIN(BN283,PR_USCb1)+PR_USCr2*MAX(0,MIN(BN283,PR_USCb2)-PR_USCb1)+PR_USCr3*MAX(0,MIN(BN283,PR_USCb3)-PR_USCb2)+PR_USCr4*MAX(0,BN283-PR_USCb3))),0)</f>
        <v>0</v>
      </c>
      <c r="BP283" s="1" t="n">
        <f aca="false">IF(C283&lt;PR_PRSIend,IF(F_SelfEmp=1,IF(AL283&gt;PR_PRSIsMinInc,MAX(PR_PRSIsMin,AL283*J283),0),IF(AL283/52&lt;=PR_PRSIfree,0,MAX(0,(AL283/52*J283-IF(AL283/52&lt;=PR_PRSIcreditTo,MAX(0,PR_PRSIcreditMax-(AL283/52-(PR_PRSIfree+0.01))/PR_PRSItaper),0))*52)))+J283*AN283+IF(AO283&gt;PR_PRSIunearned,J283*AO283,0),0)</f>
        <v>0</v>
      </c>
      <c r="BQ283" s="1" t="n">
        <f aca="false">IF(AND(F_Partner=1,AG283&lt;PR_PRSIend),IF(AQ283/52&lt;=PR_PRSIfree,0,MAX(0,(AQ283/52*J283-IF(AQ283/52&lt;=PR_PRSIcreditTo,MAX(0,PR_PRSIcreditMax-(AQ283/52-(PR_PRSIfree+0.01))/PR_PRSItaper),0))*52)),0)</f>
        <v>0</v>
      </c>
      <c r="BR283" s="1" t="n">
        <f aca="false">BK283+BM283+BO283+BP283+BQ283</f>
        <v>0</v>
      </c>
      <c r="BS283" s="1" t="n">
        <f aca="false">BR283*H283</f>
        <v>0</v>
      </c>
      <c r="BT283" s="1" t="n">
        <f aca="false">K283+AK283+AC283+AF283+AH283+AI283</f>
        <v>52846.0566623799</v>
      </c>
    </row>
    <row r="284" customFormat="false" ht="15" hidden="false" customHeight="false" outlineLevel="0" collapsed="false">
      <c r="B284" s="1" t="n">
        <v>74</v>
      </c>
      <c r="C284" s="1" t="n">
        <f aca="false">F_Age+B284</f>
        <v>74</v>
      </c>
      <c r="D284" s="1" t="n">
        <f aca="false">AS_Year0+B284</f>
        <v>2101</v>
      </c>
      <c r="E284" s="106" t="n">
        <f aca="false">(1+AS_Infl)^B284</f>
        <v>4.3292504462036</v>
      </c>
      <c r="F284" s="106" t="n">
        <f aca="false">(1+AS_Wage)^B284</f>
        <v>8.91157831810408</v>
      </c>
      <c r="G284" s="1" t="n">
        <f aca="false">IF(C284&lt;F_R,1,0)</f>
        <v>0</v>
      </c>
      <c r="H284" s="106" t="n">
        <f aca="false">IF(AS_Bands="flat",1,E284)</f>
        <v>4.3292504462036</v>
      </c>
      <c r="I284" s="106" t="n">
        <f aca="false">IF(AS_SpGrow="pay",F284,IF(AS_SpGrow="flat",1,E284))</f>
        <v>4.3292504462036</v>
      </c>
      <c r="J284" s="106" t="n">
        <f aca="false">(12*PR_PRSIr0+(PR_PRSIr1-PR_PRSIr0)*MAX(0,MIN(12,D284*12+12-PR_PRSIt1))+(PR_PRSIr2-PR_PRSIr1)*MAX(0,MIN(12,D284*12+12-PR_PRSIt2))+(PR_PRSIr3-PR_PRSIr2)*MAX(0,MIN(12,D284*12+12-PR_PRSIt3)))/12</f>
        <v>0.047</v>
      </c>
      <c r="K284" s="1" t="n">
        <f aca="false">IF(G284=1,F_Income*F284,0)</f>
        <v>0</v>
      </c>
      <c r="L284" s="1" t="n">
        <f aca="false">IF(G284=1,(F_Own+In_penExtra)*12*F284,0)</f>
        <v>0</v>
      </c>
      <c r="M284" s="1" t="n">
        <f aca="false">IF(G284=1,(F_PenM+In_penExtra)*12*F284,0)</f>
        <v>0</v>
      </c>
      <c r="N284" s="107" t="n">
        <f aca="false">IF(C284&lt;PR_RelA1,PR_RelP1,IF(C284&lt;PR_RelA2,PR_RelP2,IF(C284&lt;PR_RelA3,PR_RelP3,IF(C284&lt;PR_RelA4,PR_RelP4,IF(C284&lt;PR_RelA5,PR_RelP5,PR_RelP6)))))</f>
        <v>0.4</v>
      </c>
      <c r="O284" s="1" t="n">
        <f aca="false">IF(G284=1,MIN(L284/H284,N284*MIN(K284/H284,PR_EarnCap))*H284,0)</f>
        <v>0</v>
      </c>
      <c r="P284" s="1" t="n">
        <f aca="false">IF(AND(G284=1,F_AE=1),MIN(K284/H284,PR_AEcap)*H284,0)</f>
        <v>0</v>
      </c>
      <c r="Q284" s="1" t="n">
        <f aca="false">IF(G284=1,IF(WI_Retire=1,MAX(0,M284+WI_M*12),M284)+(PR_AEee+PR_AEer+PR_AEst)*P284,0)</f>
        <v>0</v>
      </c>
      <c r="R284" s="1" t="n">
        <f aca="false">L284+PR_AEee*P284</f>
        <v>0</v>
      </c>
      <c r="S284" s="1" t="n">
        <f aca="false">AD283</f>
        <v>0</v>
      </c>
      <c r="T284" s="1" t="n">
        <f aca="false">IF(D284&lt;=2026,PR_SFT2026,IF(D284=2027,PR_SFT2027,IF(D284=2028,PR_SFT2028,IF(D284=2029,PR_SFT2029,PR_SFT2029*(1+AS_Infl)^(D284-2029)))))</f>
        <v>11651193.0501443</v>
      </c>
      <c r="U284" s="1" t="n">
        <f aca="false">IF(AND(G284=0,C284=F_V),1,0)</f>
        <v>0</v>
      </c>
      <c r="V284" s="1" t="n">
        <f aca="false">IF(U284=1,PR_SFTrate*MAX(0,S284-T284),0)</f>
        <v>0</v>
      </c>
      <c r="W284" s="1" t="n">
        <f aca="false">S284-V284</f>
        <v>0</v>
      </c>
      <c r="X284" s="1" t="n">
        <f aca="false">IF(AND(U284=1,AS_LumpPct&gt;0),W284*MIN(AS_LumpPct,PR_LSmax),0)</f>
        <v>0</v>
      </c>
      <c r="Y284" s="1" t="n">
        <f aca="false">X284-(PR_LSrate*MAX(0,MIN(X284,PR_LScap)-PR_LSfree)+PR_r2*MAX(0,X284-PR_LScap))</f>
        <v>0</v>
      </c>
      <c r="Z284" s="1" t="n">
        <f aca="false">W284-X284</f>
        <v>0</v>
      </c>
      <c r="AA284" s="107" t="n">
        <f aca="false">IF(C284&gt;=61,IF(Z284&gt;PR_ARFbig,PR_ARFbigRate,IF(C284&gt;=71,PR_ARF71,PR_ARF61)),0)</f>
        <v>0.05</v>
      </c>
      <c r="AB284" s="1" t="n">
        <f aca="false">IF(AS_DrawRule="min",Z284*AA284,IF(AS_DrawRule="fixed",MAX(AS_DrawFixed*E284,Z284*AA284),Z284*MAX(1/MAX(1,AS_End-C284+1),AA284)))</f>
        <v>0</v>
      </c>
      <c r="AC284" s="1" t="n">
        <f aca="false">IF(AND(G284=0,C284&gt;=F_V),MIN(Z284,AB284),0)</f>
        <v>0</v>
      </c>
      <c r="AD284" s="1" t="n">
        <f aca="false">IF(G284=1,S284*(1+F_PenG)+Q284,IF(C284&lt;F_V,S284*(1+F_PenG),(Z284-AC284)*(1+AS_PenRet)))</f>
        <v>0</v>
      </c>
      <c r="AE284" s="1" t="n">
        <f aca="false">IF(C284&gt;=PR_SPage,AS_SP*F_SpF*I284+IF(C284&gt;=80,PR_Over80*PR_Weeks*I284,0),0)</f>
        <v>53902.9777956275</v>
      </c>
      <c r="AF284" s="1" t="n">
        <f aca="false">(F_OtherM+F_RentM)*12*E284</f>
        <v>0</v>
      </c>
      <c r="AG284" s="1" t="n">
        <f aca="false">F_PAge+B284</f>
        <v>74</v>
      </c>
      <c r="AH284" s="1" t="n">
        <f aca="false">IF(AND(F_Partner=1,F_PAge&gt;0,AG284&lt;IF(F_PRet&gt;0,F_PRet,66)),F_PIncome*F284,0)</f>
        <v>0</v>
      </c>
      <c r="AI284" s="1" t="n">
        <f aca="false">IF(AND(F_Partner=1,AG284&gt;=66,F_PSpQA=0),AS_SP*F_PSpF*I284,0)</f>
        <v>0</v>
      </c>
      <c r="AJ284" s="1" t="n">
        <f aca="false">IF(AND(F_Partner=1,F_PSpQA=1,C284&gt;=PR_SPage,AH284=0),IF(AG284&gt;=66,PR_QA66,PR_QAunder)*PR_Weeks*I284,0)</f>
        <v>0</v>
      </c>
      <c r="AK284" s="1" t="n">
        <f aca="false">AE284+AJ284</f>
        <v>53902.9777956275</v>
      </c>
      <c r="AL284" s="1" t="n">
        <f aca="false">K284/H284</f>
        <v>0</v>
      </c>
      <c r="AM284" s="1" t="n">
        <f aca="false">AK284/H284</f>
        <v>12450.88</v>
      </c>
      <c r="AN284" s="1" t="n">
        <f aca="false">AC284/H284</f>
        <v>0</v>
      </c>
      <c r="AO284" s="1" t="n">
        <f aca="false">AF284/H284</f>
        <v>0</v>
      </c>
      <c r="AP284" s="1" t="n">
        <f aca="false">O284/H284</f>
        <v>0</v>
      </c>
      <c r="AQ284" s="1" t="n">
        <f aca="false">AH284/H284</f>
        <v>0</v>
      </c>
      <c r="AR284" s="1" t="n">
        <f aca="false">AI284/H284</f>
        <v>0</v>
      </c>
      <c r="AS284" s="1" t="n">
        <f aca="false">MAX(0,AL284+AN284+AO284+AM284-AP284)</f>
        <v>12450.88</v>
      </c>
      <c r="AT284" s="1" t="n">
        <f aca="false">MAX(0,AQ284+AR284)</f>
        <v>0</v>
      </c>
      <c r="AU284" s="1" t="n">
        <f aca="false">MIN(PR_PAYE,PR_PAYEcap*(AL284+AN284+AM284))</f>
        <v>2000</v>
      </c>
      <c r="AV284" s="1" t="n">
        <f aca="false">MIN(PR_PAYE,PR_PAYEcap*(AQ284+AR284))</f>
        <v>0</v>
      </c>
      <c r="AW284" s="1" t="n">
        <f aca="false">IF(C284&gt;=PR_AgeCrAge,PR_AgeCr,0)</f>
        <v>245</v>
      </c>
      <c r="AX284" s="1" t="n">
        <f aca="false">IF(AG284&gt;=PR_AgeCrAge,PR_AgeCr,0)</f>
        <v>245</v>
      </c>
      <c r="AY284" s="1" t="n">
        <f aca="false">IF(AND(F_RentCred=1,D284&lt;=PR_RentLast),1,0)</f>
        <v>0</v>
      </c>
      <c r="AZ284" s="1" t="n">
        <f aca="false">AS284+AT284</f>
        <v>12450.88</v>
      </c>
      <c r="BA284" s="1" t="n">
        <f aca="false">PR_PersonalM+AU284+AV284+AW284+AX284+IF(AY284=1,PR_RentJoint,0)</f>
        <v>6490</v>
      </c>
      <c r="BB284" s="1" t="n">
        <f aca="false">PR_BandM+MIN(MIN(AS284,AT284),PR_Uplift)</f>
        <v>53000</v>
      </c>
      <c r="BC284" s="1" t="n">
        <f aca="false">MAX(0,PR_r1*MIN(AZ284,BB284)+PR_r2*MAX(0,AZ284-BB284)-BA284)</f>
        <v>0</v>
      </c>
      <c r="BD284" s="1" t="n">
        <f aca="false">MAX(0,PR_HomeCarer-MAX(0,MIN(AS284,AT284)-PR_HCLimit)/2)</f>
        <v>1950</v>
      </c>
      <c r="BE284" s="1" t="n">
        <f aca="false">IF(F_Carer=1,MIN(BC284,MAX(0,PR_r1*MIN(AZ284,PR_BandM)+PR_r2*MAX(0,AZ284-PR_BandM)-BA284-BD284)),BC284)</f>
        <v>0</v>
      </c>
      <c r="BF284" s="1" t="n">
        <f aca="false">IF(OR(C284&gt;=PR_AgeCrAge,AG284&gt;=PR_AgeCrAge),IF(AZ284&lt;=PR_AgeExM,0,MIN(BE284,PR_AgeMarg*(AZ284-PR_AgeExM))),BE284)</f>
        <v>0</v>
      </c>
      <c r="BG284" s="1" t="n">
        <f aca="false">MAX(0,PR_r1*MIN(AS284,IF(F_Spccc=1,PR_BandSPCCC,PR_Band))+PR_r2*MAX(0,AS284-IF(F_Spccc=1,PR_BandSPCCC,PR_Band))-(PR_Personal+AU284+AW284+IF(F_Spccc=1,PR_SPCCC,0)+IF(AY284=1,PR_Rent,0)))</f>
        <v>0</v>
      </c>
      <c r="BH284" s="1" t="n">
        <f aca="false">IF(C284&gt;=PR_AgeCrAge,IF(AS284&lt;=PR_AgeEx,0,MIN(BG284,PR_AgeMarg*(AS284-PR_AgeEx))),BG284)</f>
        <v>0</v>
      </c>
      <c r="BI284" s="1" t="n">
        <f aca="false">IF(F_Partner=1,MAX(0,PR_r1*MIN(AT284,PR_Band)+PR_r2*MAX(0,AT284-PR_Band)-(PR_Personal+AV284+AX284+IF(AND(AY284=1,AT284&gt;0),PR_Rent,0))),0)</f>
        <v>0</v>
      </c>
      <c r="BJ284" s="1" t="n">
        <f aca="false">IF(AG284&gt;=PR_AgeCrAge,IF(AT284&lt;=PR_AgeEx,0,MIN(BI284,PR_AgeMarg*(AT284-PR_AgeEx))),BI284)</f>
        <v>0</v>
      </c>
      <c r="BK284" s="1" t="n">
        <f aca="false">IF(F_Partner=1,IF(F_Married=1,BF284,BH284+BJ284),BH284)</f>
        <v>0</v>
      </c>
      <c r="BL284" s="1" t="n">
        <f aca="false">AL284+AN284+AO284</f>
        <v>0</v>
      </c>
      <c r="BM284" s="1" t="n">
        <f aca="false">IF(BL284&lt;=PR_USCex,0,IF(IF(AND(C284&gt;=PR_USCredAge,BL284&lt;=PR_USCredMax),1,0)=1,PR_USCr1*MIN(BL284,PR_USCredB1)+PR_USCredR2*MAX(0,BL284-PR_USCredB1),PR_USCr1*MIN(BL284,PR_USCb1)+PR_USCr2*MAX(0,MIN(BL284,PR_USCb2)-PR_USCb1)+PR_USCr3*MAX(0,MIN(BL284,PR_USCb3)-PR_USCb2)+PR_USCr4*MAX(0,BL284-PR_USCb3)))+IF(F_SelfEmp=1,PR_USCse*MAX(0,AL284-PR_USCseOver),0)</f>
        <v>0</v>
      </c>
      <c r="BN284" s="1" t="n">
        <f aca="false">AQ284</f>
        <v>0</v>
      </c>
      <c r="BO284" s="1" t="n">
        <f aca="false">IF(F_Partner=1,IF(BN284&lt;=PR_USCex,0,IF(IF(AND(AG284&gt;=PR_USCredAge,BN284&lt;=PR_USCredMax),1,0)=1,PR_USCr1*MIN(BN284,PR_USCredB1)+PR_USCredR2*MAX(0,BN284-PR_USCredB1),PR_USCr1*MIN(BN284,PR_USCb1)+PR_USCr2*MAX(0,MIN(BN284,PR_USCb2)-PR_USCb1)+PR_USCr3*MAX(0,MIN(BN284,PR_USCb3)-PR_USCb2)+PR_USCr4*MAX(0,BN284-PR_USCb3))),0)</f>
        <v>0</v>
      </c>
      <c r="BP284" s="1" t="n">
        <f aca="false">IF(C284&lt;PR_PRSIend,IF(F_SelfEmp=1,IF(AL284&gt;PR_PRSIsMinInc,MAX(PR_PRSIsMin,AL284*J284),0),IF(AL284/52&lt;=PR_PRSIfree,0,MAX(0,(AL284/52*J284-IF(AL284/52&lt;=PR_PRSIcreditTo,MAX(0,PR_PRSIcreditMax-(AL284/52-(PR_PRSIfree+0.01))/PR_PRSItaper),0))*52)))+J284*AN284+IF(AO284&gt;PR_PRSIunearned,J284*AO284,0),0)</f>
        <v>0</v>
      </c>
      <c r="BQ284" s="1" t="n">
        <f aca="false">IF(AND(F_Partner=1,AG284&lt;PR_PRSIend),IF(AQ284/52&lt;=PR_PRSIfree,0,MAX(0,(AQ284/52*J284-IF(AQ284/52&lt;=PR_PRSIcreditTo,MAX(0,PR_PRSIcreditMax-(AQ284/52-(PR_PRSIfree+0.01))/PR_PRSItaper),0))*52)),0)</f>
        <v>0</v>
      </c>
      <c r="BR284" s="1" t="n">
        <f aca="false">BK284+BM284+BO284+BP284+BQ284</f>
        <v>0</v>
      </c>
      <c r="BS284" s="1" t="n">
        <f aca="false">BR284*H284</f>
        <v>0</v>
      </c>
      <c r="BT284" s="1" t="n">
        <f aca="false">K284+AK284+AC284+AF284+AH284+AI284</f>
        <v>53902.9777956275</v>
      </c>
    </row>
    <row r="285" customFormat="false" ht="15" hidden="false" customHeight="false" outlineLevel="0" collapsed="false">
      <c r="B285" s="1" t="n">
        <v>75</v>
      </c>
      <c r="C285" s="1" t="n">
        <f aca="false">F_Age+B285</f>
        <v>75</v>
      </c>
      <c r="D285" s="1" t="n">
        <f aca="false">AS_Year0+B285</f>
        <v>2102</v>
      </c>
      <c r="E285" s="106" t="n">
        <f aca="false">(1+AS_Infl)^B285</f>
        <v>4.41583545512767</v>
      </c>
      <c r="F285" s="106" t="n">
        <f aca="false">(1+AS_Wage)^B285</f>
        <v>9.1789256676472</v>
      </c>
      <c r="G285" s="1" t="n">
        <f aca="false">IF(C285&lt;F_R,1,0)</f>
        <v>0</v>
      </c>
      <c r="H285" s="106" t="n">
        <f aca="false">IF(AS_Bands="flat",1,E285)</f>
        <v>4.41583545512767</v>
      </c>
      <c r="I285" s="106" t="n">
        <f aca="false">IF(AS_SpGrow="pay",F285,IF(AS_SpGrow="flat",1,E285))</f>
        <v>4.41583545512767</v>
      </c>
      <c r="J285" s="106" t="n">
        <f aca="false">(12*PR_PRSIr0+(PR_PRSIr1-PR_PRSIr0)*MAX(0,MIN(12,D285*12+12-PR_PRSIt1))+(PR_PRSIr2-PR_PRSIr1)*MAX(0,MIN(12,D285*12+12-PR_PRSIt2))+(PR_PRSIr3-PR_PRSIr2)*MAX(0,MIN(12,D285*12+12-PR_PRSIt3)))/12</f>
        <v>0.047</v>
      </c>
      <c r="K285" s="1" t="n">
        <f aca="false">IF(G285=1,F_Income*F285,0)</f>
        <v>0</v>
      </c>
      <c r="L285" s="1" t="n">
        <f aca="false">IF(G285=1,(F_Own+In_penExtra)*12*F285,0)</f>
        <v>0</v>
      </c>
      <c r="M285" s="1" t="n">
        <f aca="false">IF(G285=1,(F_PenM+In_penExtra)*12*F285,0)</f>
        <v>0</v>
      </c>
      <c r="N285" s="107" t="n">
        <f aca="false">IF(C285&lt;PR_RelA1,PR_RelP1,IF(C285&lt;PR_RelA2,PR_RelP2,IF(C285&lt;PR_RelA3,PR_RelP3,IF(C285&lt;PR_RelA4,PR_RelP4,IF(C285&lt;PR_RelA5,PR_RelP5,PR_RelP6)))))</f>
        <v>0.4</v>
      </c>
      <c r="O285" s="1" t="n">
        <f aca="false">IF(G285=1,MIN(L285/H285,N285*MIN(K285/H285,PR_EarnCap))*H285,0)</f>
        <v>0</v>
      </c>
      <c r="P285" s="1" t="n">
        <f aca="false">IF(AND(G285=1,F_AE=1),MIN(K285/H285,PR_AEcap)*H285,0)</f>
        <v>0</v>
      </c>
      <c r="Q285" s="1" t="n">
        <f aca="false">IF(G285=1,IF(WI_Retire=1,MAX(0,M285+WI_M*12),M285)+(PR_AEee+PR_AEer+PR_AEst)*P285,0)</f>
        <v>0</v>
      </c>
      <c r="R285" s="1" t="n">
        <f aca="false">L285+PR_AEee*P285</f>
        <v>0</v>
      </c>
      <c r="S285" s="1" t="n">
        <f aca="false">AD284</f>
        <v>0</v>
      </c>
      <c r="T285" s="1" t="n">
        <f aca="false">IF(D285&lt;=2026,PR_SFT2026,IF(D285=2027,PR_SFT2027,IF(D285=2028,PR_SFT2028,IF(D285=2029,PR_SFT2029,PR_SFT2029*(1+AS_Infl)^(D285-2029)))))</f>
        <v>11884216.9111471</v>
      </c>
      <c r="U285" s="1" t="n">
        <f aca="false">IF(AND(G285=0,C285=F_V),1,0)</f>
        <v>0</v>
      </c>
      <c r="V285" s="1" t="n">
        <f aca="false">IF(U285=1,PR_SFTrate*MAX(0,S285-T285),0)</f>
        <v>0</v>
      </c>
      <c r="W285" s="1" t="n">
        <f aca="false">S285-V285</f>
        <v>0</v>
      </c>
      <c r="X285" s="1" t="n">
        <f aca="false">IF(AND(U285=1,AS_LumpPct&gt;0),W285*MIN(AS_LumpPct,PR_LSmax),0)</f>
        <v>0</v>
      </c>
      <c r="Y285" s="1" t="n">
        <f aca="false">X285-(PR_LSrate*MAX(0,MIN(X285,PR_LScap)-PR_LSfree)+PR_r2*MAX(0,X285-PR_LScap))</f>
        <v>0</v>
      </c>
      <c r="Z285" s="1" t="n">
        <f aca="false">W285-X285</f>
        <v>0</v>
      </c>
      <c r="AA285" s="107" t="n">
        <f aca="false">IF(C285&gt;=61,IF(Z285&gt;PR_ARFbig,PR_ARFbigRate,IF(C285&gt;=71,PR_ARF71,PR_ARF61)),0)</f>
        <v>0.05</v>
      </c>
      <c r="AB285" s="1" t="n">
        <f aca="false">IF(AS_DrawRule="min",Z285*AA285,IF(AS_DrawRule="fixed",MAX(AS_DrawFixed*E285,Z285*AA285),Z285*MAX(1/MAX(1,AS_End-C285+1),AA285)))</f>
        <v>0</v>
      </c>
      <c r="AC285" s="1" t="n">
        <f aca="false">IF(AND(G285=0,C285&gt;=F_V),MIN(Z285,AB285),0)</f>
        <v>0</v>
      </c>
      <c r="AD285" s="1" t="n">
        <f aca="false">IF(G285=1,S285*(1+F_PenG)+Q285,IF(C285&lt;F_V,S285*(1+F_PenG),(Z285-AC285)*(1+AS_PenRet)))</f>
        <v>0</v>
      </c>
      <c r="AE285" s="1" t="n">
        <f aca="false">IF(C285&gt;=PR_SPage,AS_SP*F_SpF*I285+IF(C285&gt;=80,PR_Over80*PR_Weeks*I285,0),0)</f>
        <v>54981.03735154</v>
      </c>
      <c r="AF285" s="1" t="n">
        <f aca="false">(F_OtherM+F_RentM)*12*E285</f>
        <v>0</v>
      </c>
      <c r="AG285" s="1" t="n">
        <f aca="false">F_PAge+B285</f>
        <v>75</v>
      </c>
      <c r="AH285" s="1" t="n">
        <f aca="false">IF(AND(F_Partner=1,F_PAge&gt;0,AG285&lt;IF(F_PRet&gt;0,F_PRet,66)),F_PIncome*F285,0)</f>
        <v>0</v>
      </c>
      <c r="AI285" s="1" t="n">
        <f aca="false">IF(AND(F_Partner=1,AG285&gt;=66,F_PSpQA=0),AS_SP*F_PSpF*I285,0)</f>
        <v>0</v>
      </c>
      <c r="AJ285" s="1" t="n">
        <f aca="false">IF(AND(F_Partner=1,F_PSpQA=1,C285&gt;=PR_SPage,AH285=0),IF(AG285&gt;=66,PR_QA66,PR_QAunder)*PR_Weeks*I285,0)</f>
        <v>0</v>
      </c>
      <c r="AK285" s="1" t="n">
        <f aca="false">AE285+AJ285</f>
        <v>54981.03735154</v>
      </c>
      <c r="AL285" s="1" t="n">
        <f aca="false">K285/H285</f>
        <v>0</v>
      </c>
      <c r="AM285" s="1" t="n">
        <f aca="false">AK285/H285</f>
        <v>12450.88</v>
      </c>
      <c r="AN285" s="1" t="n">
        <f aca="false">AC285/H285</f>
        <v>0</v>
      </c>
      <c r="AO285" s="1" t="n">
        <f aca="false">AF285/H285</f>
        <v>0</v>
      </c>
      <c r="AP285" s="1" t="n">
        <f aca="false">O285/H285</f>
        <v>0</v>
      </c>
      <c r="AQ285" s="1" t="n">
        <f aca="false">AH285/H285</f>
        <v>0</v>
      </c>
      <c r="AR285" s="1" t="n">
        <f aca="false">AI285/H285</f>
        <v>0</v>
      </c>
      <c r="AS285" s="1" t="n">
        <f aca="false">MAX(0,AL285+AN285+AO285+AM285-AP285)</f>
        <v>12450.88</v>
      </c>
      <c r="AT285" s="1" t="n">
        <f aca="false">MAX(0,AQ285+AR285)</f>
        <v>0</v>
      </c>
      <c r="AU285" s="1" t="n">
        <f aca="false">MIN(PR_PAYE,PR_PAYEcap*(AL285+AN285+AM285))</f>
        <v>2000</v>
      </c>
      <c r="AV285" s="1" t="n">
        <f aca="false">MIN(PR_PAYE,PR_PAYEcap*(AQ285+AR285))</f>
        <v>0</v>
      </c>
      <c r="AW285" s="1" t="n">
        <f aca="false">IF(C285&gt;=PR_AgeCrAge,PR_AgeCr,0)</f>
        <v>245</v>
      </c>
      <c r="AX285" s="1" t="n">
        <f aca="false">IF(AG285&gt;=PR_AgeCrAge,PR_AgeCr,0)</f>
        <v>245</v>
      </c>
      <c r="AY285" s="1" t="n">
        <f aca="false">IF(AND(F_RentCred=1,D285&lt;=PR_RentLast),1,0)</f>
        <v>0</v>
      </c>
      <c r="AZ285" s="1" t="n">
        <f aca="false">AS285+AT285</f>
        <v>12450.88</v>
      </c>
      <c r="BA285" s="1" t="n">
        <f aca="false">PR_PersonalM+AU285+AV285+AW285+AX285+IF(AY285=1,PR_RentJoint,0)</f>
        <v>6490</v>
      </c>
      <c r="BB285" s="1" t="n">
        <f aca="false">PR_BandM+MIN(MIN(AS285,AT285),PR_Uplift)</f>
        <v>53000</v>
      </c>
      <c r="BC285" s="1" t="n">
        <f aca="false">MAX(0,PR_r1*MIN(AZ285,BB285)+PR_r2*MAX(0,AZ285-BB285)-BA285)</f>
        <v>0</v>
      </c>
      <c r="BD285" s="1" t="n">
        <f aca="false">MAX(0,PR_HomeCarer-MAX(0,MIN(AS285,AT285)-PR_HCLimit)/2)</f>
        <v>1950</v>
      </c>
      <c r="BE285" s="1" t="n">
        <f aca="false">IF(F_Carer=1,MIN(BC285,MAX(0,PR_r1*MIN(AZ285,PR_BandM)+PR_r2*MAX(0,AZ285-PR_BandM)-BA285-BD285)),BC285)</f>
        <v>0</v>
      </c>
      <c r="BF285" s="1" t="n">
        <f aca="false">IF(OR(C285&gt;=PR_AgeCrAge,AG285&gt;=PR_AgeCrAge),IF(AZ285&lt;=PR_AgeExM,0,MIN(BE285,PR_AgeMarg*(AZ285-PR_AgeExM))),BE285)</f>
        <v>0</v>
      </c>
      <c r="BG285" s="1" t="n">
        <f aca="false">MAX(0,PR_r1*MIN(AS285,IF(F_Spccc=1,PR_BandSPCCC,PR_Band))+PR_r2*MAX(0,AS285-IF(F_Spccc=1,PR_BandSPCCC,PR_Band))-(PR_Personal+AU285+AW285+IF(F_Spccc=1,PR_SPCCC,0)+IF(AY285=1,PR_Rent,0)))</f>
        <v>0</v>
      </c>
      <c r="BH285" s="1" t="n">
        <f aca="false">IF(C285&gt;=PR_AgeCrAge,IF(AS285&lt;=PR_AgeEx,0,MIN(BG285,PR_AgeMarg*(AS285-PR_AgeEx))),BG285)</f>
        <v>0</v>
      </c>
      <c r="BI285" s="1" t="n">
        <f aca="false">IF(F_Partner=1,MAX(0,PR_r1*MIN(AT285,PR_Band)+PR_r2*MAX(0,AT285-PR_Band)-(PR_Personal+AV285+AX285+IF(AND(AY285=1,AT285&gt;0),PR_Rent,0))),0)</f>
        <v>0</v>
      </c>
      <c r="BJ285" s="1" t="n">
        <f aca="false">IF(AG285&gt;=PR_AgeCrAge,IF(AT285&lt;=PR_AgeEx,0,MIN(BI285,PR_AgeMarg*(AT285-PR_AgeEx))),BI285)</f>
        <v>0</v>
      </c>
      <c r="BK285" s="1" t="n">
        <f aca="false">IF(F_Partner=1,IF(F_Married=1,BF285,BH285+BJ285),BH285)</f>
        <v>0</v>
      </c>
      <c r="BL285" s="1" t="n">
        <f aca="false">AL285+AN285+AO285</f>
        <v>0</v>
      </c>
      <c r="BM285" s="1" t="n">
        <f aca="false">IF(BL285&lt;=PR_USCex,0,IF(IF(AND(C285&gt;=PR_USCredAge,BL285&lt;=PR_USCredMax),1,0)=1,PR_USCr1*MIN(BL285,PR_USCredB1)+PR_USCredR2*MAX(0,BL285-PR_USCredB1),PR_USCr1*MIN(BL285,PR_USCb1)+PR_USCr2*MAX(0,MIN(BL285,PR_USCb2)-PR_USCb1)+PR_USCr3*MAX(0,MIN(BL285,PR_USCb3)-PR_USCb2)+PR_USCr4*MAX(0,BL285-PR_USCb3)))+IF(F_SelfEmp=1,PR_USCse*MAX(0,AL285-PR_USCseOver),0)</f>
        <v>0</v>
      </c>
      <c r="BN285" s="1" t="n">
        <f aca="false">AQ285</f>
        <v>0</v>
      </c>
      <c r="BO285" s="1" t="n">
        <f aca="false">IF(F_Partner=1,IF(BN285&lt;=PR_USCex,0,IF(IF(AND(AG285&gt;=PR_USCredAge,BN285&lt;=PR_USCredMax),1,0)=1,PR_USCr1*MIN(BN285,PR_USCredB1)+PR_USCredR2*MAX(0,BN285-PR_USCredB1),PR_USCr1*MIN(BN285,PR_USCb1)+PR_USCr2*MAX(0,MIN(BN285,PR_USCb2)-PR_USCb1)+PR_USCr3*MAX(0,MIN(BN285,PR_USCb3)-PR_USCb2)+PR_USCr4*MAX(0,BN285-PR_USCb3))),0)</f>
        <v>0</v>
      </c>
      <c r="BP285" s="1" t="n">
        <f aca="false">IF(C285&lt;PR_PRSIend,IF(F_SelfEmp=1,IF(AL285&gt;PR_PRSIsMinInc,MAX(PR_PRSIsMin,AL285*J285),0),IF(AL285/52&lt;=PR_PRSIfree,0,MAX(0,(AL285/52*J285-IF(AL285/52&lt;=PR_PRSIcreditTo,MAX(0,PR_PRSIcreditMax-(AL285/52-(PR_PRSIfree+0.01))/PR_PRSItaper),0))*52)))+J285*AN285+IF(AO285&gt;PR_PRSIunearned,J285*AO285,0),0)</f>
        <v>0</v>
      </c>
      <c r="BQ285" s="1" t="n">
        <f aca="false">IF(AND(F_Partner=1,AG285&lt;PR_PRSIend),IF(AQ285/52&lt;=PR_PRSIfree,0,MAX(0,(AQ285/52*J285-IF(AQ285/52&lt;=PR_PRSIcreditTo,MAX(0,PR_PRSIcreditMax-(AQ285/52-(PR_PRSIfree+0.01))/PR_PRSItaper),0))*52)),0)</f>
        <v>0</v>
      </c>
      <c r="BR285" s="1" t="n">
        <f aca="false">BK285+BM285+BO285+BP285+BQ285</f>
        <v>0</v>
      </c>
      <c r="BS285" s="1" t="n">
        <f aca="false">BR285*H285</f>
        <v>0</v>
      </c>
      <c r="BT285" s="1" t="n">
        <f aca="false">K285+AK285+AC285+AF285+AH285+AI285</f>
        <v>54981.03735154</v>
      </c>
    </row>
    <row r="286" customFormat="false" ht="15" hidden="false" customHeight="false" outlineLevel="0" collapsed="false">
      <c r="B286" s="1" t="n">
        <v>76</v>
      </c>
      <c r="C286" s="1" t="n">
        <f aca="false">F_Age+B286</f>
        <v>76</v>
      </c>
      <c r="D286" s="1" t="n">
        <f aca="false">AS_Year0+B286</f>
        <v>2103</v>
      </c>
      <c r="E286" s="106" t="n">
        <f aca="false">(1+AS_Infl)^B286</f>
        <v>4.50415216423022</v>
      </c>
      <c r="F286" s="106" t="n">
        <f aca="false">(1+AS_Wage)^B286</f>
        <v>9.45429343767662</v>
      </c>
      <c r="G286" s="1" t="n">
        <f aca="false">IF(C286&lt;F_R,1,0)</f>
        <v>0</v>
      </c>
      <c r="H286" s="106" t="n">
        <f aca="false">IF(AS_Bands="flat",1,E286)</f>
        <v>4.50415216423022</v>
      </c>
      <c r="I286" s="106" t="n">
        <f aca="false">IF(AS_SpGrow="pay",F286,IF(AS_SpGrow="flat",1,E286))</f>
        <v>4.50415216423022</v>
      </c>
      <c r="J286" s="106" t="n">
        <f aca="false">(12*PR_PRSIr0+(PR_PRSIr1-PR_PRSIr0)*MAX(0,MIN(12,D286*12+12-PR_PRSIt1))+(PR_PRSIr2-PR_PRSIr1)*MAX(0,MIN(12,D286*12+12-PR_PRSIt2))+(PR_PRSIr3-PR_PRSIr2)*MAX(0,MIN(12,D286*12+12-PR_PRSIt3)))/12</f>
        <v>0.047</v>
      </c>
      <c r="K286" s="1" t="n">
        <f aca="false">IF(G286=1,F_Income*F286,0)</f>
        <v>0</v>
      </c>
      <c r="L286" s="1" t="n">
        <f aca="false">IF(G286=1,(F_Own+In_penExtra)*12*F286,0)</f>
        <v>0</v>
      </c>
      <c r="M286" s="1" t="n">
        <f aca="false">IF(G286=1,(F_PenM+In_penExtra)*12*F286,0)</f>
        <v>0</v>
      </c>
      <c r="N286" s="107" t="n">
        <f aca="false">IF(C286&lt;PR_RelA1,PR_RelP1,IF(C286&lt;PR_RelA2,PR_RelP2,IF(C286&lt;PR_RelA3,PR_RelP3,IF(C286&lt;PR_RelA4,PR_RelP4,IF(C286&lt;PR_RelA5,PR_RelP5,PR_RelP6)))))</f>
        <v>0.4</v>
      </c>
      <c r="O286" s="1" t="n">
        <f aca="false">IF(G286=1,MIN(L286/H286,N286*MIN(K286/H286,PR_EarnCap))*H286,0)</f>
        <v>0</v>
      </c>
      <c r="P286" s="1" t="n">
        <f aca="false">IF(AND(G286=1,F_AE=1),MIN(K286/H286,PR_AEcap)*H286,0)</f>
        <v>0</v>
      </c>
      <c r="Q286" s="1" t="n">
        <f aca="false">IF(G286=1,IF(WI_Retire=1,MAX(0,M286+WI_M*12),M286)+(PR_AEee+PR_AEer+PR_AEst)*P286,0)</f>
        <v>0</v>
      </c>
      <c r="R286" s="1" t="n">
        <f aca="false">L286+PR_AEee*P286</f>
        <v>0</v>
      </c>
      <c r="S286" s="1" t="n">
        <f aca="false">AD285</f>
        <v>0</v>
      </c>
      <c r="T286" s="1" t="n">
        <f aca="false">IF(D286&lt;=2026,PR_SFT2026,IF(D286=2027,PR_SFT2027,IF(D286=2028,PR_SFT2028,IF(D286=2029,PR_SFT2029,PR_SFT2029*(1+AS_Infl)^(D286-2029)))))</f>
        <v>12121901.2493701</v>
      </c>
      <c r="U286" s="1" t="n">
        <f aca="false">IF(AND(G286=0,C286=F_V),1,0)</f>
        <v>0</v>
      </c>
      <c r="V286" s="1" t="n">
        <f aca="false">IF(U286=1,PR_SFTrate*MAX(0,S286-T286),0)</f>
        <v>0</v>
      </c>
      <c r="W286" s="1" t="n">
        <f aca="false">S286-V286</f>
        <v>0</v>
      </c>
      <c r="X286" s="1" t="n">
        <f aca="false">IF(AND(U286=1,AS_LumpPct&gt;0),W286*MIN(AS_LumpPct,PR_LSmax),0)</f>
        <v>0</v>
      </c>
      <c r="Y286" s="1" t="n">
        <f aca="false">X286-(PR_LSrate*MAX(0,MIN(X286,PR_LScap)-PR_LSfree)+PR_r2*MAX(0,X286-PR_LScap))</f>
        <v>0</v>
      </c>
      <c r="Z286" s="1" t="n">
        <f aca="false">W286-X286</f>
        <v>0</v>
      </c>
      <c r="AA286" s="107" t="n">
        <f aca="false">IF(C286&gt;=61,IF(Z286&gt;PR_ARFbig,PR_ARFbigRate,IF(C286&gt;=71,PR_ARF71,PR_ARF61)),0)</f>
        <v>0.05</v>
      </c>
      <c r="AB286" s="1" t="n">
        <f aca="false">IF(AS_DrawRule="min",Z286*AA286,IF(AS_DrawRule="fixed",MAX(AS_DrawFixed*E286,Z286*AA286),Z286*MAX(1/MAX(1,AS_End-C286+1),AA286)))</f>
        <v>0</v>
      </c>
      <c r="AC286" s="1" t="n">
        <f aca="false">IF(AND(G286=0,C286&gt;=F_V),MIN(Z286,AB286),0)</f>
        <v>0</v>
      </c>
      <c r="AD286" s="1" t="n">
        <f aca="false">IF(G286=1,S286*(1+F_PenG)+Q286,IF(C286&lt;F_V,S286*(1+F_PenG),(Z286-AC286)*(1+AS_PenRet)))</f>
        <v>0</v>
      </c>
      <c r="AE286" s="1" t="n">
        <f aca="false">IF(C286&gt;=PR_SPage,AS_SP*F_SpF*I286+IF(C286&gt;=80,PR_Over80*PR_Weeks*I286,0),0)</f>
        <v>56080.6580985708</v>
      </c>
      <c r="AF286" s="1" t="n">
        <f aca="false">(F_OtherM+F_RentM)*12*E286</f>
        <v>0</v>
      </c>
      <c r="AG286" s="1" t="n">
        <f aca="false">F_PAge+B286</f>
        <v>76</v>
      </c>
      <c r="AH286" s="1" t="n">
        <f aca="false">IF(AND(F_Partner=1,F_PAge&gt;0,AG286&lt;IF(F_PRet&gt;0,F_PRet,66)),F_PIncome*F286,0)</f>
        <v>0</v>
      </c>
      <c r="AI286" s="1" t="n">
        <f aca="false">IF(AND(F_Partner=1,AG286&gt;=66,F_PSpQA=0),AS_SP*F_PSpF*I286,0)</f>
        <v>0</v>
      </c>
      <c r="AJ286" s="1" t="n">
        <f aca="false">IF(AND(F_Partner=1,F_PSpQA=1,C286&gt;=PR_SPage,AH286=0),IF(AG286&gt;=66,PR_QA66,PR_QAunder)*PR_Weeks*I286,0)</f>
        <v>0</v>
      </c>
      <c r="AK286" s="1" t="n">
        <f aca="false">AE286+AJ286</f>
        <v>56080.6580985708</v>
      </c>
      <c r="AL286" s="1" t="n">
        <f aca="false">K286/H286</f>
        <v>0</v>
      </c>
      <c r="AM286" s="1" t="n">
        <f aca="false">AK286/H286</f>
        <v>12450.88</v>
      </c>
      <c r="AN286" s="1" t="n">
        <f aca="false">AC286/H286</f>
        <v>0</v>
      </c>
      <c r="AO286" s="1" t="n">
        <f aca="false">AF286/H286</f>
        <v>0</v>
      </c>
      <c r="AP286" s="1" t="n">
        <f aca="false">O286/H286</f>
        <v>0</v>
      </c>
      <c r="AQ286" s="1" t="n">
        <f aca="false">AH286/H286</f>
        <v>0</v>
      </c>
      <c r="AR286" s="1" t="n">
        <f aca="false">AI286/H286</f>
        <v>0</v>
      </c>
      <c r="AS286" s="1" t="n">
        <f aca="false">MAX(0,AL286+AN286+AO286+AM286-AP286)</f>
        <v>12450.88</v>
      </c>
      <c r="AT286" s="1" t="n">
        <f aca="false">MAX(0,AQ286+AR286)</f>
        <v>0</v>
      </c>
      <c r="AU286" s="1" t="n">
        <f aca="false">MIN(PR_PAYE,PR_PAYEcap*(AL286+AN286+AM286))</f>
        <v>2000</v>
      </c>
      <c r="AV286" s="1" t="n">
        <f aca="false">MIN(PR_PAYE,PR_PAYEcap*(AQ286+AR286))</f>
        <v>0</v>
      </c>
      <c r="AW286" s="1" t="n">
        <f aca="false">IF(C286&gt;=PR_AgeCrAge,PR_AgeCr,0)</f>
        <v>245</v>
      </c>
      <c r="AX286" s="1" t="n">
        <f aca="false">IF(AG286&gt;=PR_AgeCrAge,PR_AgeCr,0)</f>
        <v>245</v>
      </c>
      <c r="AY286" s="1" t="n">
        <f aca="false">IF(AND(F_RentCred=1,D286&lt;=PR_RentLast),1,0)</f>
        <v>0</v>
      </c>
      <c r="AZ286" s="1" t="n">
        <f aca="false">AS286+AT286</f>
        <v>12450.88</v>
      </c>
      <c r="BA286" s="1" t="n">
        <f aca="false">PR_PersonalM+AU286+AV286+AW286+AX286+IF(AY286=1,PR_RentJoint,0)</f>
        <v>6490</v>
      </c>
      <c r="BB286" s="1" t="n">
        <f aca="false">PR_BandM+MIN(MIN(AS286,AT286),PR_Uplift)</f>
        <v>53000</v>
      </c>
      <c r="BC286" s="1" t="n">
        <f aca="false">MAX(0,PR_r1*MIN(AZ286,BB286)+PR_r2*MAX(0,AZ286-BB286)-BA286)</f>
        <v>0</v>
      </c>
      <c r="BD286" s="1" t="n">
        <f aca="false">MAX(0,PR_HomeCarer-MAX(0,MIN(AS286,AT286)-PR_HCLimit)/2)</f>
        <v>1950</v>
      </c>
      <c r="BE286" s="1" t="n">
        <f aca="false">IF(F_Carer=1,MIN(BC286,MAX(0,PR_r1*MIN(AZ286,PR_BandM)+PR_r2*MAX(0,AZ286-PR_BandM)-BA286-BD286)),BC286)</f>
        <v>0</v>
      </c>
      <c r="BF286" s="1" t="n">
        <f aca="false">IF(OR(C286&gt;=PR_AgeCrAge,AG286&gt;=PR_AgeCrAge),IF(AZ286&lt;=PR_AgeExM,0,MIN(BE286,PR_AgeMarg*(AZ286-PR_AgeExM))),BE286)</f>
        <v>0</v>
      </c>
      <c r="BG286" s="1" t="n">
        <f aca="false">MAX(0,PR_r1*MIN(AS286,IF(F_Spccc=1,PR_BandSPCCC,PR_Band))+PR_r2*MAX(0,AS286-IF(F_Spccc=1,PR_BandSPCCC,PR_Band))-(PR_Personal+AU286+AW286+IF(F_Spccc=1,PR_SPCCC,0)+IF(AY286=1,PR_Rent,0)))</f>
        <v>0</v>
      </c>
      <c r="BH286" s="1" t="n">
        <f aca="false">IF(C286&gt;=PR_AgeCrAge,IF(AS286&lt;=PR_AgeEx,0,MIN(BG286,PR_AgeMarg*(AS286-PR_AgeEx))),BG286)</f>
        <v>0</v>
      </c>
      <c r="BI286" s="1" t="n">
        <f aca="false">IF(F_Partner=1,MAX(0,PR_r1*MIN(AT286,PR_Band)+PR_r2*MAX(0,AT286-PR_Band)-(PR_Personal+AV286+AX286+IF(AND(AY286=1,AT286&gt;0),PR_Rent,0))),0)</f>
        <v>0</v>
      </c>
      <c r="BJ286" s="1" t="n">
        <f aca="false">IF(AG286&gt;=PR_AgeCrAge,IF(AT286&lt;=PR_AgeEx,0,MIN(BI286,PR_AgeMarg*(AT286-PR_AgeEx))),BI286)</f>
        <v>0</v>
      </c>
      <c r="BK286" s="1" t="n">
        <f aca="false">IF(F_Partner=1,IF(F_Married=1,BF286,BH286+BJ286),BH286)</f>
        <v>0</v>
      </c>
      <c r="BL286" s="1" t="n">
        <f aca="false">AL286+AN286+AO286</f>
        <v>0</v>
      </c>
      <c r="BM286" s="1" t="n">
        <f aca="false">IF(BL286&lt;=PR_USCex,0,IF(IF(AND(C286&gt;=PR_USCredAge,BL286&lt;=PR_USCredMax),1,0)=1,PR_USCr1*MIN(BL286,PR_USCredB1)+PR_USCredR2*MAX(0,BL286-PR_USCredB1),PR_USCr1*MIN(BL286,PR_USCb1)+PR_USCr2*MAX(0,MIN(BL286,PR_USCb2)-PR_USCb1)+PR_USCr3*MAX(0,MIN(BL286,PR_USCb3)-PR_USCb2)+PR_USCr4*MAX(0,BL286-PR_USCb3)))+IF(F_SelfEmp=1,PR_USCse*MAX(0,AL286-PR_USCseOver),0)</f>
        <v>0</v>
      </c>
      <c r="BN286" s="1" t="n">
        <f aca="false">AQ286</f>
        <v>0</v>
      </c>
      <c r="BO286" s="1" t="n">
        <f aca="false">IF(F_Partner=1,IF(BN286&lt;=PR_USCex,0,IF(IF(AND(AG286&gt;=PR_USCredAge,BN286&lt;=PR_USCredMax),1,0)=1,PR_USCr1*MIN(BN286,PR_USCredB1)+PR_USCredR2*MAX(0,BN286-PR_USCredB1),PR_USCr1*MIN(BN286,PR_USCb1)+PR_USCr2*MAX(0,MIN(BN286,PR_USCb2)-PR_USCb1)+PR_USCr3*MAX(0,MIN(BN286,PR_USCb3)-PR_USCb2)+PR_USCr4*MAX(0,BN286-PR_USCb3))),0)</f>
        <v>0</v>
      </c>
      <c r="BP286" s="1" t="n">
        <f aca="false">IF(C286&lt;PR_PRSIend,IF(F_SelfEmp=1,IF(AL286&gt;PR_PRSIsMinInc,MAX(PR_PRSIsMin,AL286*J286),0),IF(AL286/52&lt;=PR_PRSIfree,0,MAX(0,(AL286/52*J286-IF(AL286/52&lt;=PR_PRSIcreditTo,MAX(0,PR_PRSIcreditMax-(AL286/52-(PR_PRSIfree+0.01))/PR_PRSItaper),0))*52)))+J286*AN286+IF(AO286&gt;PR_PRSIunearned,J286*AO286,0),0)</f>
        <v>0</v>
      </c>
      <c r="BQ286" s="1" t="n">
        <f aca="false">IF(AND(F_Partner=1,AG286&lt;PR_PRSIend),IF(AQ286/52&lt;=PR_PRSIfree,0,MAX(0,(AQ286/52*J286-IF(AQ286/52&lt;=PR_PRSIcreditTo,MAX(0,PR_PRSIcreditMax-(AQ286/52-(PR_PRSIfree+0.01))/PR_PRSItaper),0))*52)),0)</f>
        <v>0</v>
      </c>
      <c r="BR286" s="1" t="n">
        <f aca="false">BK286+BM286+BO286+BP286+BQ286</f>
        <v>0</v>
      </c>
      <c r="BS286" s="1" t="n">
        <f aca="false">BR286*H286</f>
        <v>0</v>
      </c>
      <c r="BT286" s="1" t="n">
        <f aca="false">K286+AK286+AC286+AF286+AH286+AI286</f>
        <v>56080.6580985708</v>
      </c>
    </row>
    <row r="287" customFormat="false" ht="15" hidden="false" customHeight="false" outlineLevel="0" collapsed="false">
      <c r="B287" s="1" t="n">
        <v>77</v>
      </c>
      <c r="C287" s="1" t="n">
        <f aca="false">F_Age+B287</f>
        <v>77</v>
      </c>
      <c r="D287" s="1" t="n">
        <f aca="false">AS_Year0+B287</f>
        <v>2104</v>
      </c>
      <c r="E287" s="106" t="n">
        <f aca="false">(1+AS_Infl)^B287</f>
        <v>4.59423520751483</v>
      </c>
      <c r="F287" s="106" t="n">
        <f aca="false">(1+AS_Wage)^B287</f>
        <v>9.73792224080692</v>
      </c>
      <c r="G287" s="1" t="n">
        <f aca="false">IF(C287&lt;F_R,1,0)</f>
        <v>0</v>
      </c>
      <c r="H287" s="106" t="n">
        <f aca="false">IF(AS_Bands="flat",1,E287)</f>
        <v>4.59423520751483</v>
      </c>
      <c r="I287" s="106" t="n">
        <f aca="false">IF(AS_SpGrow="pay",F287,IF(AS_SpGrow="flat",1,E287))</f>
        <v>4.59423520751483</v>
      </c>
      <c r="J287" s="106" t="n">
        <f aca="false">(12*PR_PRSIr0+(PR_PRSIr1-PR_PRSIr0)*MAX(0,MIN(12,D287*12+12-PR_PRSIt1))+(PR_PRSIr2-PR_PRSIr1)*MAX(0,MIN(12,D287*12+12-PR_PRSIt2))+(PR_PRSIr3-PR_PRSIr2)*MAX(0,MIN(12,D287*12+12-PR_PRSIt3)))/12</f>
        <v>0.047</v>
      </c>
      <c r="K287" s="1" t="n">
        <f aca="false">IF(G287=1,F_Income*F287,0)</f>
        <v>0</v>
      </c>
      <c r="L287" s="1" t="n">
        <f aca="false">IF(G287=1,(F_Own+In_penExtra)*12*F287,0)</f>
        <v>0</v>
      </c>
      <c r="M287" s="1" t="n">
        <f aca="false">IF(G287=1,(F_PenM+In_penExtra)*12*F287,0)</f>
        <v>0</v>
      </c>
      <c r="N287" s="107" t="n">
        <f aca="false">IF(C287&lt;PR_RelA1,PR_RelP1,IF(C287&lt;PR_RelA2,PR_RelP2,IF(C287&lt;PR_RelA3,PR_RelP3,IF(C287&lt;PR_RelA4,PR_RelP4,IF(C287&lt;PR_RelA5,PR_RelP5,PR_RelP6)))))</f>
        <v>0.4</v>
      </c>
      <c r="O287" s="1" t="n">
        <f aca="false">IF(G287=1,MIN(L287/H287,N287*MIN(K287/H287,PR_EarnCap))*H287,0)</f>
        <v>0</v>
      </c>
      <c r="P287" s="1" t="n">
        <f aca="false">IF(AND(G287=1,F_AE=1),MIN(K287/H287,PR_AEcap)*H287,0)</f>
        <v>0</v>
      </c>
      <c r="Q287" s="1" t="n">
        <f aca="false">IF(G287=1,IF(WI_Retire=1,MAX(0,M287+WI_M*12),M287)+(PR_AEee+PR_AEer+PR_AEst)*P287,0)</f>
        <v>0</v>
      </c>
      <c r="R287" s="1" t="n">
        <f aca="false">L287+PR_AEee*P287</f>
        <v>0</v>
      </c>
      <c r="S287" s="1" t="n">
        <f aca="false">AD286</f>
        <v>0</v>
      </c>
      <c r="T287" s="1" t="n">
        <f aca="false">IF(D287&lt;=2026,PR_SFT2026,IF(D287=2027,PR_SFT2027,IF(D287=2028,PR_SFT2028,IF(D287=2029,PR_SFT2029,PR_SFT2029*(1+AS_Infl)^(D287-2029)))))</f>
        <v>12364339.2743575</v>
      </c>
      <c r="U287" s="1" t="n">
        <f aca="false">IF(AND(G287=0,C287=F_V),1,0)</f>
        <v>0</v>
      </c>
      <c r="V287" s="1" t="n">
        <f aca="false">IF(U287=1,PR_SFTrate*MAX(0,S287-T287),0)</f>
        <v>0</v>
      </c>
      <c r="W287" s="1" t="n">
        <f aca="false">S287-V287</f>
        <v>0</v>
      </c>
      <c r="X287" s="1" t="n">
        <f aca="false">IF(AND(U287=1,AS_LumpPct&gt;0),W287*MIN(AS_LumpPct,PR_LSmax),0)</f>
        <v>0</v>
      </c>
      <c r="Y287" s="1" t="n">
        <f aca="false">X287-(PR_LSrate*MAX(0,MIN(X287,PR_LScap)-PR_LSfree)+PR_r2*MAX(0,X287-PR_LScap))</f>
        <v>0</v>
      </c>
      <c r="Z287" s="1" t="n">
        <f aca="false">W287-X287</f>
        <v>0</v>
      </c>
      <c r="AA287" s="107" t="n">
        <f aca="false">IF(C287&gt;=61,IF(Z287&gt;PR_ARFbig,PR_ARFbigRate,IF(C287&gt;=71,PR_ARF71,PR_ARF61)),0)</f>
        <v>0.05</v>
      </c>
      <c r="AB287" s="1" t="n">
        <f aca="false">IF(AS_DrawRule="min",Z287*AA287,IF(AS_DrawRule="fixed",MAX(AS_DrawFixed*E287,Z287*AA287),Z287*MAX(1/MAX(1,AS_End-C287+1),AA287)))</f>
        <v>0</v>
      </c>
      <c r="AC287" s="1" t="n">
        <f aca="false">IF(AND(G287=0,C287&gt;=F_V),MIN(Z287,AB287),0)</f>
        <v>0</v>
      </c>
      <c r="AD287" s="1" t="n">
        <f aca="false">IF(G287=1,S287*(1+F_PenG)+Q287,IF(C287&lt;F_V,S287*(1+F_PenG),(Z287-AC287)*(1+AS_PenRet)))</f>
        <v>0</v>
      </c>
      <c r="AE287" s="1" t="n">
        <f aca="false">IF(C287&gt;=PR_SPage,AS_SP*F_SpF*I287+IF(C287&gt;=80,PR_Over80*PR_Weeks*I287,0),0)</f>
        <v>57202.2712605422</v>
      </c>
      <c r="AF287" s="1" t="n">
        <f aca="false">(F_OtherM+F_RentM)*12*E287</f>
        <v>0</v>
      </c>
      <c r="AG287" s="1" t="n">
        <f aca="false">F_PAge+B287</f>
        <v>77</v>
      </c>
      <c r="AH287" s="1" t="n">
        <f aca="false">IF(AND(F_Partner=1,F_PAge&gt;0,AG287&lt;IF(F_PRet&gt;0,F_PRet,66)),F_PIncome*F287,0)</f>
        <v>0</v>
      </c>
      <c r="AI287" s="1" t="n">
        <f aca="false">IF(AND(F_Partner=1,AG287&gt;=66,F_PSpQA=0),AS_SP*F_PSpF*I287,0)</f>
        <v>0</v>
      </c>
      <c r="AJ287" s="1" t="n">
        <f aca="false">IF(AND(F_Partner=1,F_PSpQA=1,C287&gt;=PR_SPage,AH287=0),IF(AG287&gt;=66,PR_QA66,PR_QAunder)*PR_Weeks*I287,0)</f>
        <v>0</v>
      </c>
      <c r="AK287" s="1" t="n">
        <f aca="false">AE287+AJ287</f>
        <v>57202.2712605422</v>
      </c>
      <c r="AL287" s="1" t="n">
        <f aca="false">K287/H287</f>
        <v>0</v>
      </c>
      <c r="AM287" s="1" t="n">
        <f aca="false">AK287/H287</f>
        <v>12450.88</v>
      </c>
      <c r="AN287" s="1" t="n">
        <f aca="false">AC287/H287</f>
        <v>0</v>
      </c>
      <c r="AO287" s="1" t="n">
        <f aca="false">AF287/H287</f>
        <v>0</v>
      </c>
      <c r="AP287" s="1" t="n">
        <f aca="false">O287/H287</f>
        <v>0</v>
      </c>
      <c r="AQ287" s="1" t="n">
        <f aca="false">AH287/H287</f>
        <v>0</v>
      </c>
      <c r="AR287" s="1" t="n">
        <f aca="false">AI287/H287</f>
        <v>0</v>
      </c>
      <c r="AS287" s="1" t="n">
        <f aca="false">MAX(0,AL287+AN287+AO287+AM287-AP287)</f>
        <v>12450.88</v>
      </c>
      <c r="AT287" s="1" t="n">
        <f aca="false">MAX(0,AQ287+AR287)</f>
        <v>0</v>
      </c>
      <c r="AU287" s="1" t="n">
        <f aca="false">MIN(PR_PAYE,PR_PAYEcap*(AL287+AN287+AM287))</f>
        <v>2000</v>
      </c>
      <c r="AV287" s="1" t="n">
        <f aca="false">MIN(PR_PAYE,PR_PAYEcap*(AQ287+AR287))</f>
        <v>0</v>
      </c>
      <c r="AW287" s="1" t="n">
        <f aca="false">IF(C287&gt;=PR_AgeCrAge,PR_AgeCr,0)</f>
        <v>245</v>
      </c>
      <c r="AX287" s="1" t="n">
        <f aca="false">IF(AG287&gt;=PR_AgeCrAge,PR_AgeCr,0)</f>
        <v>245</v>
      </c>
      <c r="AY287" s="1" t="n">
        <f aca="false">IF(AND(F_RentCred=1,D287&lt;=PR_RentLast),1,0)</f>
        <v>0</v>
      </c>
      <c r="AZ287" s="1" t="n">
        <f aca="false">AS287+AT287</f>
        <v>12450.88</v>
      </c>
      <c r="BA287" s="1" t="n">
        <f aca="false">PR_PersonalM+AU287+AV287+AW287+AX287+IF(AY287=1,PR_RentJoint,0)</f>
        <v>6490</v>
      </c>
      <c r="BB287" s="1" t="n">
        <f aca="false">PR_BandM+MIN(MIN(AS287,AT287),PR_Uplift)</f>
        <v>53000</v>
      </c>
      <c r="BC287" s="1" t="n">
        <f aca="false">MAX(0,PR_r1*MIN(AZ287,BB287)+PR_r2*MAX(0,AZ287-BB287)-BA287)</f>
        <v>0</v>
      </c>
      <c r="BD287" s="1" t="n">
        <f aca="false">MAX(0,PR_HomeCarer-MAX(0,MIN(AS287,AT287)-PR_HCLimit)/2)</f>
        <v>1950</v>
      </c>
      <c r="BE287" s="1" t="n">
        <f aca="false">IF(F_Carer=1,MIN(BC287,MAX(0,PR_r1*MIN(AZ287,PR_BandM)+PR_r2*MAX(0,AZ287-PR_BandM)-BA287-BD287)),BC287)</f>
        <v>0</v>
      </c>
      <c r="BF287" s="1" t="n">
        <f aca="false">IF(OR(C287&gt;=PR_AgeCrAge,AG287&gt;=PR_AgeCrAge),IF(AZ287&lt;=PR_AgeExM,0,MIN(BE287,PR_AgeMarg*(AZ287-PR_AgeExM))),BE287)</f>
        <v>0</v>
      </c>
      <c r="BG287" s="1" t="n">
        <f aca="false">MAX(0,PR_r1*MIN(AS287,IF(F_Spccc=1,PR_BandSPCCC,PR_Band))+PR_r2*MAX(0,AS287-IF(F_Spccc=1,PR_BandSPCCC,PR_Band))-(PR_Personal+AU287+AW287+IF(F_Spccc=1,PR_SPCCC,0)+IF(AY287=1,PR_Rent,0)))</f>
        <v>0</v>
      </c>
      <c r="BH287" s="1" t="n">
        <f aca="false">IF(C287&gt;=PR_AgeCrAge,IF(AS287&lt;=PR_AgeEx,0,MIN(BG287,PR_AgeMarg*(AS287-PR_AgeEx))),BG287)</f>
        <v>0</v>
      </c>
      <c r="BI287" s="1" t="n">
        <f aca="false">IF(F_Partner=1,MAX(0,PR_r1*MIN(AT287,PR_Band)+PR_r2*MAX(0,AT287-PR_Band)-(PR_Personal+AV287+AX287+IF(AND(AY287=1,AT287&gt;0),PR_Rent,0))),0)</f>
        <v>0</v>
      </c>
      <c r="BJ287" s="1" t="n">
        <f aca="false">IF(AG287&gt;=PR_AgeCrAge,IF(AT287&lt;=PR_AgeEx,0,MIN(BI287,PR_AgeMarg*(AT287-PR_AgeEx))),BI287)</f>
        <v>0</v>
      </c>
      <c r="BK287" s="1" t="n">
        <f aca="false">IF(F_Partner=1,IF(F_Married=1,BF287,BH287+BJ287),BH287)</f>
        <v>0</v>
      </c>
      <c r="BL287" s="1" t="n">
        <f aca="false">AL287+AN287+AO287</f>
        <v>0</v>
      </c>
      <c r="BM287" s="1" t="n">
        <f aca="false">IF(BL287&lt;=PR_USCex,0,IF(IF(AND(C287&gt;=PR_USCredAge,BL287&lt;=PR_USCredMax),1,0)=1,PR_USCr1*MIN(BL287,PR_USCredB1)+PR_USCredR2*MAX(0,BL287-PR_USCredB1),PR_USCr1*MIN(BL287,PR_USCb1)+PR_USCr2*MAX(0,MIN(BL287,PR_USCb2)-PR_USCb1)+PR_USCr3*MAX(0,MIN(BL287,PR_USCb3)-PR_USCb2)+PR_USCr4*MAX(0,BL287-PR_USCb3)))+IF(F_SelfEmp=1,PR_USCse*MAX(0,AL287-PR_USCseOver),0)</f>
        <v>0</v>
      </c>
      <c r="BN287" s="1" t="n">
        <f aca="false">AQ287</f>
        <v>0</v>
      </c>
      <c r="BO287" s="1" t="n">
        <f aca="false">IF(F_Partner=1,IF(BN287&lt;=PR_USCex,0,IF(IF(AND(AG287&gt;=PR_USCredAge,BN287&lt;=PR_USCredMax),1,0)=1,PR_USCr1*MIN(BN287,PR_USCredB1)+PR_USCredR2*MAX(0,BN287-PR_USCredB1),PR_USCr1*MIN(BN287,PR_USCb1)+PR_USCr2*MAX(0,MIN(BN287,PR_USCb2)-PR_USCb1)+PR_USCr3*MAX(0,MIN(BN287,PR_USCb3)-PR_USCb2)+PR_USCr4*MAX(0,BN287-PR_USCb3))),0)</f>
        <v>0</v>
      </c>
      <c r="BP287" s="1" t="n">
        <f aca="false">IF(C287&lt;PR_PRSIend,IF(F_SelfEmp=1,IF(AL287&gt;PR_PRSIsMinInc,MAX(PR_PRSIsMin,AL287*J287),0),IF(AL287/52&lt;=PR_PRSIfree,0,MAX(0,(AL287/52*J287-IF(AL287/52&lt;=PR_PRSIcreditTo,MAX(0,PR_PRSIcreditMax-(AL287/52-(PR_PRSIfree+0.01))/PR_PRSItaper),0))*52)))+J287*AN287+IF(AO287&gt;PR_PRSIunearned,J287*AO287,0),0)</f>
        <v>0</v>
      </c>
      <c r="BQ287" s="1" t="n">
        <f aca="false">IF(AND(F_Partner=1,AG287&lt;PR_PRSIend),IF(AQ287/52&lt;=PR_PRSIfree,0,MAX(0,(AQ287/52*J287-IF(AQ287/52&lt;=PR_PRSIcreditTo,MAX(0,PR_PRSIcreditMax-(AQ287/52-(PR_PRSIfree+0.01))/PR_PRSItaper),0))*52)),0)</f>
        <v>0</v>
      </c>
      <c r="BR287" s="1" t="n">
        <f aca="false">BK287+BM287+BO287+BP287+BQ287</f>
        <v>0</v>
      </c>
      <c r="BS287" s="1" t="n">
        <f aca="false">BR287*H287</f>
        <v>0</v>
      </c>
      <c r="BT287" s="1" t="n">
        <f aca="false">K287+AK287+AC287+AF287+AH287+AI287</f>
        <v>57202.2712605422</v>
      </c>
    </row>
    <row r="288" customFormat="false" ht="15" hidden="false" customHeight="false" outlineLevel="0" collapsed="false">
      <c r="B288" s="1" t="n">
        <v>78</v>
      </c>
      <c r="C288" s="1" t="n">
        <f aca="false">F_Age+B288</f>
        <v>78</v>
      </c>
      <c r="D288" s="1" t="n">
        <f aca="false">AS_Year0+B288</f>
        <v>2105</v>
      </c>
      <c r="E288" s="106" t="n">
        <f aca="false">(1+AS_Infl)^B288</f>
        <v>4.68611991166513</v>
      </c>
      <c r="F288" s="106" t="n">
        <f aca="false">(1+AS_Wage)^B288</f>
        <v>10.0300599080311</v>
      </c>
      <c r="G288" s="1" t="n">
        <f aca="false">IF(C288&lt;F_R,1,0)</f>
        <v>0</v>
      </c>
      <c r="H288" s="106" t="n">
        <f aca="false">IF(AS_Bands="flat",1,E288)</f>
        <v>4.68611991166513</v>
      </c>
      <c r="I288" s="106" t="n">
        <f aca="false">IF(AS_SpGrow="pay",F288,IF(AS_SpGrow="flat",1,E288))</f>
        <v>4.68611991166513</v>
      </c>
      <c r="J288" s="106" t="n">
        <f aca="false">(12*PR_PRSIr0+(PR_PRSIr1-PR_PRSIr0)*MAX(0,MIN(12,D288*12+12-PR_PRSIt1))+(PR_PRSIr2-PR_PRSIr1)*MAX(0,MIN(12,D288*12+12-PR_PRSIt2))+(PR_PRSIr3-PR_PRSIr2)*MAX(0,MIN(12,D288*12+12-PR_PRSIt3)))/12</f>
        <v>0.047</v>
      </c>
      <c r="K288" s="1" t="n">
        <f aca="false">IF(G288=1,F_Income*F288,0)</f>
        <v>0</v>
      </c>
      <c r="L288" s="1" t="n">
        <f aca="false">IF(G288=1,(F_Own+In_penExtra)*12*F288,0)</f>
        <v>0</v>
      </c>
      <c r="M288" s="1" t="n">
        <f aca="false">IF(G288=1,(F_PenM+In_penExtra)*12*F288,0)</f>
        <v>0</v>
      </c>
      <c r="N288" s="107" t="n">
        <f aca="false">IF(C288&lt;PR_RelA1,PR_RelP1,IF(C288&lt;PR_RelA2,PR_RelP2,IF(C288&lt;PR_RelA3,PR_RelP3,IF(C288&lt;PR_RelA4,PR_RelP4,IF(C288&lt;PR_RelA5,PR_RelP5,PR_RelP6)))))</f>
        <v>0.4</v>
      </c>
      <c r="O288" s="1" t="n">
        <f aca="false">IF(G288=1,MIN(L288/H288,N288*MIN(K288/H288,PR_EarnCap))*H288,0)</f>
        <v>0</v>
      </c>
      <c r="P288" s="1" t="n">
        <f aca="false">IF(AND(G288=1,F_AE=1),MIN(K288/H288,PR_AEcap)*H288,0)</f>
        <v>0</v>
      </c>
      <c r="Q288" s="1" t="n">
        <f aca="false">IF(G288=1,IF(WI_Retire=1,MAX(0,M288+WI_M*12),M288)+(PR_AEee+PR_AEer+PR_AEst)*P288,0)</f>
        <v>0</v>
      </c>
      <c r="R288" s="1" t="n">
        <f aca="false">L288+PR_AEee*P288</f>
        <v>0</v>
      </c>
      <c r="S288" s="1" t="n">
        <f aca="false">AD287</f>
        <v>0</v>
      </c>
      <c r="T288" s="1" t="n">
        <f aca="false">IF(D288&lt;=2026,PR_SFT2026,IF(D288=2027,PR_SFT2027,IF(D288=2028,PR_SFT2028,IF(D288=2029,PR_SFT2029,PR_SFT2029*(1+AS_Infl)^(D288-2029)))))</f>
        <v>12611626.0598446</v>
      </c>
      <c r="U288" s="1" t="n">
        <f aca="false">IF(AND(G288=0,C288=F_V),1,0)</f>
        <v>0</v>
      </c>
      <c r="V288" s="1" t="n">
        <f aca="false">IF(U288=1,PR_SFTrate*MAX(0,S288-T288),0)</f>
        <v>0</v>
      </c>
      <c r="W288" s="1" t="n">
        <f aca="false">S288-V288</f>
        <v>0</v>
      </c>
      <c r="X288" s="1" t="n">
        <f aca="false">IF(AND(U288=1,AS_LumpPct&gt;0),W288*MIN(AS_LumpPct,PR_LSmax),0)</f>
        <v>0</v>
      </c>
      <c r="Y288" s="1" t="n">
        <f aca="false">X288-(PR_LSrate*MAX(0,MIN(X288,PR_LScap)-PR_LSfree)+PR_r2*MAX(0,X288-PR_LScap))</f>
        <v>0</v>
      </c>
      <c r="Z288" s="1" t="n">
        <f aca="false">W288-X288</f>
        <v>0</v>
      </c>
      <c r="AA288" s="107" t="n">
        <f aca="false">IF(C288&gt;=61,IF(Z288&gt;PR_ARFbig,PR_ARFbigRate,IF(C288&gt;=71,PR_ARF71,PR_ARF61)),0)</f>
        <v>0.05</v>
      </c>
      <c r="AB288" s="1" t="n">
        <f aca="false">IF(AS_DrawRule="min",Z288*AA288,IF(AS_DrawRule="fixed",MAX(AS_DrawFixed*E288,Z288*AA288),Z288*MAX(1/MAX(1,AS_End-C288+1),AA288)))</f>
        <v>0</v>
      </c>
      <c r="AC288" s="1" t="n">
        <f aca="false">IF(AND(G288=0,C288&gt;=F_V),MIN(Z288,AB288),0)</f>
        <v>0</v>
      </c>
      <c r="AD288" s="1" t="n">
        <f aca="false">IF(G288=1,S288*(1+F_PenG)+Q288,IF(C288&lt;F_V,S288*(1+F_PenG),(Z288-AC288)*(1+AS_PenRet)))</f>
        <v>0</v>
      </c>
      <c r="AE288" s="1" t="n">
        <f aca="false">IF(C288&gt;=PR_SPage,AS_SP*F_SpF*I288+IF(C288&gt;=80,PR_Over80*PR_Weeks*I288,0),0)</f>
        <v>58346.3166857531</v>
      </c>
      <c r="AF288" s="1" t="n">
        <f aca="false">(F_OtherM+F_RentM)*12*E288</f>
        <v>0</v>
      </c>
      <c r="AG288" s="1" t="n">
        <f aca="false">F_PAge+B288</f>
        <v>78</v>
      </c>
      <c r="AH288" s="1" t="n">
        <f aca="false">IF(AND(F_Partner=1,F_PAge&gt;0,AG288&lt;IF(F_PRet&gt;0,F_PRet,66)),F_PIncome*F288,0)</f>
        <v>0</v>
      </c>
      <c r="AI288" s="1" t="n">
        <f aca="false">IF(AND(F_Partner=1,AG288&gt;=66,F_PSpQA=0),AS_SP*F_PSpF*I288,0)</f>
        <v>0</v>
      </c>
      <c r="AJ288" s="1" t="n">
        <f aca="false">IF(AND(F_Partner=1,F_PSpQA=1,C288&gt;=PR_SPage,AH288=0),IF(AG288&gt;=66,PR_QA66,PR_QAunder)*PR_Weeks*I288,0)</f>
        <v>0</v>
      </c>
      <c r="AK288" s="1" t="n">
        <f aca="false">AE288+AJ288</f>
        <v>58346.3166857531</v>
      </c>
      <c r="AL288" s="1" t="n">
        <f aca="false">K288/H288</f>
        <v>0</v>
      </c>
      <c r="AM288" s="1" t="n">
        <f aca="false">AK288/H288</f>
        <v>12450.88</v>
      </c>
      <c r="AN288" s="1" t="n">
        <f aca="false">AC288/H288</f>
        <v>0</v>
      </c>
      <c r="AO288" s="1" t="n">
        <f aca="false">AF288/H288</f>
        <v>0</v>
      </c>
      <c r="AP288" s="1" t="n">
        <f aca="false">O288/H288</f>
        <v>0</v>
      </c>
      <c r="AQ288" s="1" t="n">
        <f aca="false">AH288/H288</f>
        <v>0</v>
      </c>
      <c r="AR288" s="1" t="n">
        <f aca="false">AI288/H288</f>
        <v>0</v>
      </c>
      <c r="AS288" s="1" t="n">
        <f aca="false">MAX(0,AL288+AN288+AO288+AM288-AP288)</f>
        <v>12450.88</v>
      </c>
      <c r="AT288" s="1" t="n">
        <f aca="false">MAX(0,AQ288+AR288)</f>
        <v>0</v>
      </c>
      <c r="AU288" s="1" t="n">
        <f aca="false">MIN(PR_PAYE,PR_PAYEcap*(AL288+AN288+AM288))</f>
        <v>2000</v>
      </c>
      <c r="AV288" s="1" t="n">
        <f aca="false">MIN(PR_PAYE,PR_PAYEcap*(AQ288+AR288))</f>
        <v>0</v>
      </c>
      <c r="AW288" s="1" t="n">
        <f aca="false">IF(C288&gt;=PR_AgeCrAge,PR_AgeCr,0)</f>
        <v>245</v>
      </c>
      <c r="AX288" s="1" t="n">
        <f aca="false">IF(AG288&gt;=PR_AgeCrAge,PR_AgeCr,0)</f>
        <v>245</v>
      </c>
      <c r="AY288" s="1" t="n">
        <f aca="false">IF(AND(F_RentCred=1,D288&lt;=PR_RentLast),1,0)</f>
        <v>0</v>
      </c>
      <c r="AZ288" s="1" t="n">
        <f aca="false">AS288+AT288</f>
        <v>12450.88</v>
      </c>
      <c r="BA288" s="1" t="n">
        <f aca="false">PR_PersonalM+AU288+AV288+AW288+AX288+IF(AY288=1,PR_RentJoint,0)</f>
        <v>6490</v>
      </c>
      <c r="BB288" s="1" t="n">
        <f aca="false">PR_BandM+MIN(MIN(AS288,AT288),PR_Uplift)</f>
        <v>53000</v>
      </c>
      <c r="BC288" s="1" t="n">
        <f aca="false">MAX(0,PR_r1*MIN(AZ288,BB288)+PR_r2*MAX(0,AZ288-BB288)-BA288)</f>
        <v>0</v>
      </c>
      <c r="BD288" s="1" t="n">
        <f aca="false">MAX(0,PR_HomeCarer-MAX(0,MIN(AS288,AT288)-PR_HCLimit)/2)</f>
        <v>1950</v>
      </c>
      <c r="BE288" s="1" t="n">
        <f aca="false">IF(F_Carer=1,MIN(BC288,MAX(0,PR_r1*MIN(AZ288,PR_BandM)+PR_r2*MAX(0,AZ288-PR_BandM)-BA288-BD288)),BC288)</f>
        <v>0</v>
      </c>
      <c r="BF288" s="1" t="n">
        <f aca="false">IF(OR(C288&gt;=PR_AgeCrAge,AG288&gt;=PR_AgeCrAge),IF(AZ288&lt;=PR_AgeExM,0,MIN(BE288,PR_AgeMarg*(AZ288-PR_AgeExM))),BE288)</f>
        <v>0</v>
      </c>
      <c r="BG288" s="1" t="n">
        <f aca="false">MAX(0,PR_r1*MIN(AS288,IF(F_Spccc=1,PR_BandSPCCC,PR_Band))+PR_r2*MAX(0,AS288-IF(F_Spccc=1,PR_BandSPCCC,PR_Band))-(PR_Personal+AU288+AW288+IF(F_Spccc=1,PR_SPCCC,0)+IF(AY288=1,PR_Rent,0)))</f>
        <v>0</v>
      </c>
      <c r="BH288" s="1" t="n">
        <f aca="false">IF(C288&gt;=PR_AgeCrAge,IF(AS288&lt;=PR_AgeEx,0,MIN(BG288,PR_AgeMarg*(AS288-PR_AgeEx))),BG288)</f>
        <v>0</v>
      </c>
      <c r="BI288" s="1" t="n">
        <f aca="false">IF(F_Partner=1,MAX(0,PR_r1*MIN(AT288,PR_Band)+PR_r2*MAX(0,AT288-PR_Band)-(PR_Personal+AV288+AX288+IF(AND(AY288=1,AT288&gt;0),PR_Rent,0))),0)</f>
        <v>0</v>
      </c>
      <c r="BJ288" s="1" t="n">
        <f aca="false">IF(AG288&gt;=PR_AgeCrAge,IF(AT288&lt;=PR_AgeEx,0,MIN(BI288,PR_AgeMarg*(AT288-PR_AgeEx))),BI288)</f>
        <v>0</v>
      </c>
      <c r="BK288" s="1" t="n">
        <f aca="false">IF(F_Partner=1,IF(F_Married=1,BF288,BH288+BJ288),BH288)</f>
        <v>0</v>
      </c>
      <c r="BL288" s="1" t="n">
        <f aca="false">AL288+AN288+AO288</f>
        <v>0</v>
      </c>
      <c r="BM288" s="1" t="n">
        <f aca="false">IF(BL288&lt;=PR_USCex,0,IF(IF(AND(C288&gt;=PR_USCredAge,BL288&lt;=PR_USCredMax),1,0)=1,PR_USCr1*MIN(BL288,PR_USCredB1)+PR_USCredR2*MAX(0,BL288-PR_USCredB1),PR_USCr1*MIN(BL288,PR_USCb1)+PR_USCr2*MAX(0,MIN(BL288,PR_USCb2)-PR_USCb1)+PR_USCr3*MAX(0,MIN(BL288,PR_USCb3)-PR_USCb2)+PR_USCr4*MAX(0,BL288-PR_USCb3)))+IF(F_SelfEmp=1,PR_USCse*MAX(0,AL288-PR_USCseOver),0)</f>
        <v>0</v>
      </c>
      <c r="BN288" s="1" t="n">
        <f aca="false">AQ288</f>
        <v>0</v>
      </c>
      <c r="BO288" s="1" t="n">
        <f aca="false">IF(F_Partner=1,IF(BN288&lt;=PR_USCex,0,IF(IF(AND(AG288&gt;=PR_USCredAge,BN288&lt;=PR_USCredMax),1,0)=1,PR_USCr1*MIN(BN288,PR_USCredB1)+PR_USCredR2*MAX(0,BN288-PR_USCredB1),PR_USCr1*MIN(BN288,PR_USCb1)+PR_USCr2*MAX(0,MIN(BN288,PR_USCb2)-PR_USCb1)+PR_USCr3*MAX(0,MIN(BN288,PR_USCb3)-PR_USCb2)+PR_USCr4*MAX(0,BN288-PR_USCb3))),0)</f>
        <v>0</v>
      </c>
      <c r="BP288" s="1" t="n">
        <f aca="false">IF(C288&lt;PR_PRSIend,IF(F_SelfEmp=1,IF(AL288&gt;PR_PRSIsMinInc,MAX(PR_PRSIsMin,AL288*J288),0),IF(AL288/52&lt;=PR_PRSIfree,0,MAX(0,(AL288/52*J288-IF(AL288/52&lt;=PR_PRSIcreditTo,MAX(0,PR_PRSIcreditMax-(AL288/52-(PR_PRSIfree+0.01))/PR_PRSItaper),0))*52)))+J288*AN288+IF(AO288&gt;PR_PRSIunearned,J288*AO288,0),0)</f>
        <v>0</v>
      </c>
      <c r="BQ288" s="1" t="n">
        <f aca="false">IF(AND(F_Partner=1,AG288&lt;PR_PRSIend),IF(AQ288/52&lt;=PR_PRSIfree,0,MAX(0,(AQ288/52*J288-IF(AQ288/52&lt;=PR_PRSIcreditTo,MAX(0,PR_PRSIcreditMax-(AQ288/52-(PR_PRSIfree+0.01))/PR_PRSItaper),0))*52)),0)</f>
        <v>0</v>
      </c>
      <c r="BR288" s="1" t="n">
        <f aca="false">BK288+BM288+BO288+BP288+BQ288</f>
        <v>0</v>
      </c>
      <c r="BS288" s="1" t="n">
        <f aca="false">BR288*H288</f>
        <v>0</v>
      </c>
      <c r="BT288" s="1" t="n">
        <f aca="false">K288+AK288+AC288+AF288+AH288+AI288</f>
        <v>58346.3166857531</v>
      </c>
    </row>
    <row r="289" customFormat="false" ht="15" hidden="false" customHeight="false" outlineLevel="0" collapsed="false">
      <c r="B289" s="1" t="n">
        <v>79</v>
      </c>
      <c r="C289" s="1" t="n">
        <f aca="false">F_Age+B289</f>
        <v>79</v>
      </c>
      <c r="D289" s="1" t="n">
        <f aca="false">AS_Year0+B289</f>
        <v>2106</v>
      </c>
      <c r="E289" s="106" t="n">
        <f aca="false">(1+AS_Infl)^B289</f>
        <v>4.77984230989843</v>
      </c>
      <c r="F289" s="106" t="n">
        <f aca="false">(1+AS_Wage)^B289</f>
        <v>10.3309617052721</v>
      </c>
      <c r="G289" s="1" t="n">
        <f aca="false">IF(C289&lt;F_R,1,0)</f>
        <v>0</v>
      </c>
      <c r="H289" s="106" t="n">
        <f aca="false">IF(AS_Bands="flat",1,E289)</f>
        <v>4.77984230989843</v>
      </c>
      <c r="I289" s="106" t="n">
        <f aca="false">IF(AS_SpGrow="pay",F289,IF(AS_SpGrow="flat",1,E289))</f>
        <v>4.77984230989843</v>
      </c>
      <c r="J289" s="106" t="n">
        <f aca="false">(12*PR_PRSIr0+(PR_PRSIr1-PR_PRSIr0)*MAX(0,MIN(12,D289*12+12-PR_PRSIt1))+(PR_PRSIr2-PR_PRSIr1)*MAX(0,MIN(12,D289*12+12-PR_PRSIt2))+(PR_PRSIr3-PR_PRSIr2)*MAX(0,MIN(12,D289*12+12-PR_PRSIt3)))/12</f>
        <v>0.047</v>
      </c>
      <c r="K289" s="1" t="n">
        <f aca="false">IF(G289=1,F_Income*F289,0)</f>
        <v>0</v>
      </c>
      <c r="L289" s="1" t="n">
        <f aca="false">IF(G289=1,(F_Own+In_penExtra)*12*F289,0)</f>
        <v>0</v>
      </c>
      <c r="M289" s="1" t="n">
        <f aca="false">IF(G289=1,(F_PenM+In_penExtra)*12*F289,0)</f>
        <v>0</v>
      </c>
      <c r="N289" s="107" t="n">
        <f aca="false">IF(C289&lt;PR_RelA1,PR_RelP1,IF(C289&lt;PR_RelA2,PR_RelP2,IF(C289&lt;PR_RelA3,PR_RelP3,IF(C289&lt;PR_RelA4,PR_RelP4,IF(C289&lt;PR_RelA5,PR_RelP5,PR_RelP6)))))</f>
        <v>0.4</v>
      </c>
      <c r="O289" s="1" t="n">
        <f aca="false">IF(G289=1,MIN(L289/H289,N289*MIN(K289/H289,PR_EarnCap))*H289,0)</f>
        <v>0</v>
      </c>
      <c r="P289" s="1" t="n">
        <f aca="false">IF(AND(G289=1,F_AE=1),MIN(K289/H289,PR_AEcap)*H289,0)</f>
        <v>0</v>
      </c>
      <c r="Q289" s="1" t="n">
        <f aca="false">IF(G289=1,IF(WI_Retire=1,MAX(0,M289+WI_M*12),M289)+(PR_AEee+PR_AEer+PR_AEst)*P289,0)</f>
        <v>0</v>
      </c>
      <c r="R289" s="1" t="n">
        <f aca="false">L289+PR_AEee*P289</f>
        <v>0</v>
      </c>
      <c r="S289" s="1" t="n">
        <f aca="false">AD288</f>
        <v>0</v>
      </c>
      <c r="T289" s="1" t="n">
        <f aca="false">IF(D289&lt;=2026,PR_SFT2026,IF(D289=2027,PR_SFT2027,IF(D289=2028,PR_SFT2028,IF(D289=2029,PR_SFT2029,PR_SFT2029*(1+AS_Infl)^(D289-2029)))))</f>
        <v>12863858.5810415</v>
      </c>
      <c r="U289" s="1" t="n">
        <f aca="false">IF(AND(G289=0,C289=F_V),1,0)</f>
        <v>0</v>
      </c>
      <c r="V289" s="1" t="n">
        <f aca="false">IF(U289=1,PR_SFTrate*MAX(0,S289-T289),0)</f>
        <v>0</v>
      </c>
      <c r="W289" s="1" t="n">
        <f aca="false">S289-V289</f>
        <v>0</v>
      </c>
      <c r="X289" s="1" t="n">
        <f aca="false">IF(AND(U289=1,AS_LumpPct&gt;0),W289*MIN(AS_LumpPct,PR_LSmax),0)</f>
        <v>0</v>
      </c>
      <c r="Y289" s="1" t="n">
        <f aca="false">X289-(PR_LSrate*MAX(0,MIN(X289,PR_LScap)-PR_LSfree)+PR_r2*MAX(0,X289-PR_LScap))</f>
        <v>0</v>
      </c>
      <c r="Z289" s="1" t="n">
        <f aca="false">W289-X289</f>
        <v>0</v>
      </c>
      <c r="AA289" s="107" t="n">
        <f aca="false">IF(C289&gt;=61,IF(Z289&gt;PR_ARFbig,PR_ARFbigRate,IF(C289&gt;=71,PR_ARF71,PR_ARF61)),0)</f>
        <v>0.05</v>
      </c>
      <c r="AB289" s="1" t="n">
        <f aca="false">IF(AS_DrawRule="min",Z289*AA289,IF(AS_DrawRule="fixed",MAX(AS_DrawFixed*E289,Z289*AA289),Z289*MAX(1/MAX(1,AS_End-C289+1),AA289)))</f>
        <v>0</v>
      </c>
      <c r="AC289" s="1" t="n">
        <f aca="false">IF(AND(G289=0,C289&gt;=F_V),MIN(Z289,AB289),0)</f>
        <v>0</v>
      </c>
      <c r="AD289" s="1" t="n">
        <f aca="false">IF(G289=1,S289*(1+F_PenG)+Q289,IF(C289&lt;F_V,S289*(1+F_PenG),(Z289-AC289)*(1+AS_PenRet)))</f>
        <v>0</v>
      </c>
      <c r="AE289" s="1" t="n">
        <f aca="false">IF(C289&gt;=PR_SPage,AS_SP*F_SpF*I289+IF(C289&gt;=80,PR_Over80*PR_Weeks*I289,0),0)</f>
        <v>59513.2430194681</v>
      </c>
      <c r="AF289" s="1" t="n">
        <f aca="false">(F_OtherM+F_RentM)*12*E289</f>
        <v>0</v>
      </c>
      <c r="AG289" s="1" t="n">
        <f aca="false">F_PAge+B289</f>
        <v>79</v>
      </c>
      <c r="AH289" s="1" t="n">
        <f aca="false">IF(AND(F_Partner=1,F_PAge&gt;0,AG289&lt;IF(F_PRet&gt;0,F_PRet,66)),F_PIncome*F289,0)</f>
        <v>0</v>
      </c>
      <c r="AI289" s="1" t="n">
        <f aca="false">IF(AND(F_Partner=1,AG289&gt;=66,F_PSpQA=0),AS_SP*F_PSpF*I289,0)</f>
        <v>0</v>
      </c>
      <c r="AJ289" s="1" t="n">
        <f aca="false">IF(AND(F_Partner=1,F_PSpQA=1,C289&gt;=PR_SPage,AH289=0),IF(AG289&gt;=66,PR_QA66,PR_QAunder)*PR_Weeks*I289,0)</f>
        <v>0</v>
      </c>
      <c r="AK289" s="1" t="n">
        <f aca="false">AE289+AJ289</f>
        <v>59513.2430194681</v>
      </c>
      <c r="AL289" s="1" t="n">
        <f aca="false">K289/H289</f>
        <v>0</v>
      </c>
      <c r="AM289" s="1" t="n">
        <f aca="false">AK289/H289</f>
        <v>12450.88</v>
      </c>
      <c r="AN289" s="1" t="n">
        <f aca="false">AC289/H289</f>
        <v>0</v>
      </c>
      <c r="AO289" s="1" t="n">
        <f aca="false">AF289/H289</f>
        <v>0</v>
      </c>
      <c r="AP289" s="1" t="n">
        <f aca="false">O289/H289</f>
        <v>0</v>
      </c>
      <c r="AQ289" s="1" t="n">
        <f aca="false">AH289/H289</f>
        <v>0</v>
      </c>
      <c r="AR289" s="1" t="n">
        <f aca="false">AI289/H289</f>
        <v>0</v>
      </c>
      <c r="AS289" s="1" t="n">
        <f aca="false">MAX(0,AL289+AN289+AO289+AM289-AP289)</f>
        <v>12450.88</v>
      </c>
      <c r="AT289" s="1" t="n">
        <f aca="false">MAX(0,AQ289+AR289)</f>
        <v>0</v>
      </c>
      <c r="AU289" s="1" t="n">
        <f aca="false">MIN(PR_PAYE,PR_PAYEcap*(AL289+AN289+AM289))</f>
        <v>2000</v>
      </c>
      <c r="AV289" s="1" t="n">
        <f aca="false">MIN(PR_PAYE,PR_PAYEcap*(AQ289+AR289))</f>
        <v>0</v>
      </c>
      <c r="AW289" s="1" t="n">
        <f aca="false">IF(C289&gt;=PR_AgeCrAge,PR_AgeCr,0)</f>
        <v>245</v>
      </c>
      <c r="AX289" s="1" t="n">
        <f aca="false">IF(AG289&gt;=PR_AgeCrAge,PR_AgeCr,0)</f>
        <v>245</v>
      </c>
      <c r="AY289" s="1" t="n">
        <f aca="false">IF(AND(F_RentCred=1,D289&lt;=PR_RentLast),1,0)</f>
        <v>0</v>
      </c>
      <c r="AZ289" s="1" t="n">
        <f aca="false">AS289+AT289</f>
        <v>12450.88</v>
      </c>
      <c r="BA289" s="1" t="n">
        <f aca="false">PR_PersonalM+AU289+AV289+AW289+AX289+IF(AY289=1,PR_RentJoint,0)</f>
        <v>6490</v>
      </c>
      <c r="BB289" s="1" t="n">
        <f aca="false">PR_BandM+MIN(MIN(AS289,AT289),PR_Uplift)</f>
        <v>53000</v>
      </c>
      <c r="BC289" s="1" t="n">
        <f aca="false">MAX(0,PR_r1*MIN(AZ289,BB289)+PR_r2*MAX(0,AZ289-BB289)-BA289)</f>
        <v>0</v>
      </c>
      <c r="BD289" s="1" t="n">
        <f aca="false">MAX(0,PR_HomeCarer-MAX(0,MIN(AS289,AT289)-PR_HCLimit)/2)</f>
        <v>1950</v>
      </c>
      <c r="BE289" s="1" t="n">
        <f aca="false">IF(F_Carer=1,MIN(BC289,MAX(0,PR_r1*MIN(AZ289,PR_BandM)+PR_r2*MAX(0,AZ289-PR_BandM)-BA289-BD289)),BC289)</f>
        <v>0</v>
      </c>
      <c r="BF289" s="1" t="n">
        <f aca="false">IF(OR(C289&gt;=PR_AgeCrAge,AG289&gt;=PR_AgeCrAge),IF(AZ289&lt;=PR_AgeExM,0,MIN(BE289,PR_AgeMarg*(AZ289-PR_AgeExM))),BE289)</f>
        <v>0</v>
      </c>
      <c r="BG289" s="1" t="n">
        <f aca="false">MAX(0,PR_r1*MIN(AS289,IF(F_Spccc=1,PR_BandSPCCC,PR_Band))+PR_r2*MAX(0,AS289-IF(F_Spccc=1,PR_BandSPCCC,PR_Band))-(PR_Personal+AU289+AW289+IF(F_Spccc=1,PR_SPCCC,0)+IF(AY289=1,PR_Rent,0)))</f>
        <v>0</v>
      </c>
      <c r="BH289" s="1" t="n">
        <f aca="false">IF(C289&gt;=PR_AgeCrAge,IF(AS289&lt;=PR_AgeEx,0,MIN(BG289,PR_AgeMarg*(AS289-PR_AgeEx))),BG289)</f>
        <v>0</v>
      </c>
      <c r="BI289" s="1" t="n">
        <f aca="false">IF(F_Partner=1,MAX(0,PR_r1*MIN(AT289,PR_Band)+PR_r2*MAX(0,AT289-PR_Band)-(PR_Personal+AV289+AX289+IF(AND(AY289=1,AT289&gt;0),PR_Rent,0))),0)</f>
        <v>0</v>
      </c>
      <c r="BJ289" s="1" t="n">
        <f aca="false">IF(AG289&gt;=PR_AgeCrAge,IF(AT289&lt;=PR_AgeEx,0,MIN(BI289,PR_AgeMarg*(AT289-PR_AgeEx))),BI289)</f>
        <v>0</v>
      </c>
      <c r="BK289" s="1" t="n">
        <f aca="false">IF(F_Partner=1,IF(F_Married=1,BF289,BH289+BJ289),BH289)</f>
        <v>0</v>
      </c>
      <c r="BL289" s="1" t="n">
        <f aca="false">AL289+AN289+AO289</f>
        <v>0</v>
      </c>
      <c r="BM289" s="1" t="n">
        <f aca="false">IF(BL289&lt;=PR_USCex,0,IF(IF(AND(C289&gt;=PR_USCredAge,BL289&lt;=PR_USCredMax),1,0)=1,PR_USCr1*MIN(BL289,PR_USCredB1)+PR_USCredR2*MAX(0,BL289-PR_USCredB1),PR_USCr1*MIN(BL289,PR_USCb1)+PR_USCr2*MAX(0,MIN(BL289,PR_USCb2)-PR_USCb1)+PR_USCr3*MAX(0,MIN(BL289,PR_USCb3)-PR_USCb2)+PR_USCr4*MAX(0,BL289-PR_USCb3)))+IF(F_SelfEmp=1,PR_USCse*MAX(0,AL289-PR_USCseOver),0)</f>
        <v>0</v>
      </c>
      <c r="BN289" s="1" t="n">
        <f aca="false">AQ289</f>
        <v>0</v>
      </c>
      <c r="BO289" s="1" t="n">
        <f aca="false">IF(F_Partner=1,IF(BN289&lt;=PR_USCex,0,IF(IF(AND(AG289&gt;=PR_USCredAge,BN289&lt;=PR_USCredMax),1,0)=1,PR_USCr1*MIN(BN289,PR_USCredB1)+PR_USCredR2*MAX(0,BN289-PR_USCredB1),PR_USCr1*MIN(BN289,PR_USCb1)+PR_USCr2*MAX(0,MIN(BN289,PR_USCb2)-PR_USCb1)+PR_USCr3*MAX(0,MIN(BN289,PR_USCb3)-PR_USCb2)+PR_USCr4*MAX(0,BN289-PR_USCb3))),0)</f>
        <v>0</v>
      </c>
      <c r="BP289" s="1" t="n">
        <f aca="false">IF(C289&lt;PR_PRSIend,IF(F_SelfEmp=1,IF(AL289&gt;PR_PRSIsMinInc,MAX(PR_PRSIsMin,AL289*J289),0),IF(AL289/52&lt;=PR_PRSIfree,0,MAX(0,(AL289/52*J289-IF(AL289/52&lt;=PR_PRSIcreditTo,MAX(0,PR_PRSIcreditMax-(AL289/52-(PR_PRSIfree+0.01))/PR_PRSItaper),0))*52)))+J289*AN289+IF(AO289&gt;PR_PRSIunearned,J289*AO289,0),0)</f>
        <v>0</v>
      </c>
      <c r="BQ289" s="1" t="n">
        <f aca="false">IF(AND(F_Partner=1,AG289&lt;PR_PRSIend),IF(AQ289/52&lt;=PR_PRSIfree,0,MAX(0,(AQ289/52*J289-IF(AQ289/52&lt;=PR_PRSIcreditTo,MAX(0,PR_PRSIcreditMax-(AQ289/52-(PR_PRSIfree+0.01))/PR_PRSItaper),0))*52)),0)</f>
        <v>0</v>
      </c>
      <c r="BR289" s="1" t="n">
        <f aca="false">BK289+BM289+BO289+BP289+BQ289</f>
        <v>0</v>
      </c>
      <c r="BS289" s="1" t="n">
        <f aca="false">BR289*H289</f>
        <v>0</v>
      </c>
      <c r="BT289" s="1" t="n">
        <f aca="false">K289+AK289+AC289+AF289+AH289+AI289</f>
        <v>59513.2430194681</v>
      </c>
    </row>
    <row r="290" customFormat="false" ht="15" hidden="false" customHeight="false" outlineLevel="0" collapsed="false">
      <c r="B290" s="1" t="n">
        <v>80</v>
      </c>
      <c r="C290" s="1" t="n">
        <f aca="false">F_Age+B290</f>
        <v>80</v>
      </c>
      <c r="D290" s="1" t="n">
        <f aca="false">AS_Year0+B290</f>
        <v>2107</v>
      </c>
      <c r="E290" s="106" t="n">
        <f aca="false">(1+AS_Infl)^B290</f>
        <v>4.8754391560964</v>
      </c>
      <c r="F290" s="106" t="n">
        <f aca="false">(1+AS_Wage)^B290</f>
        <v>10.6408905564302</v>
      </c>
      <c r="G290" s="1" t="n">
        <f aca="false">IF(C290&lt;F_R,1,0)</f>
        <v>0</v>
      </c>
      <c r="H290" s="106" t="n">
        <f aca="false">IF(AS_Bands="flat",1,E290)</f>
        <v>4.8754391560964</v>
      </c>
      <c r="I290" s="106" t="n">
        <f aca="false">IF(AS_SpGrow="pay",F290,IF(AS_SpGrow="flat",1,E290))</f>
        <v>4.8754391560964</v>
      </c>
      <c r="J290" s="106" t="n">
        <f aca="false">(12*PR_PRSIr0+(PR_PRSIr1-PR_PRSIr0)*MAX(0,MIN(12,D290*12+12-PR_PRSIt1))+(PR_PRSIr2-PR_PRSIr1)*MAX(0,MIN(12,D290*12+12-PR_PRSIt2))+(PR_PRSIr3-PR_PRSIr2)*MAX(0,MIN(12,D290*12+12-PR_PRSIt3)))/12</f>
        <v>0.047</v>
      </c>
      <c r="K290" s="1" t="n">
        <f aca="false">IF(G290=1,F_Income*F290,0)</f>
        <v>0</v>
      </c>
      <c r="L290" s="1" t="n">
        <f aca="false">IF(G290=1,(F_Own+In_penExtra)*12*F290,0)</f>
        <v>0</v>
      </c>
      <c r="M290" s="1" t="n">
        <f aca="false">IF(G290=1,(F_PenM+In_penExtra)*12*F290,0)</f>
        <v>0</v>
      </c>
      <c r="N290" s="107" t="n">
        <f aca="false">IF(C290&lt;PR_RelA1,PR_RelP1,IF(C290&lt;PR_RelA2,PR_RelP2,IF(C290&lt;PR_RelA3,PR_RelP3,IF(C290&lt;PR_RelA4,PR_RelP4,IF(C290&lt;PR_RelA5,PR_RelP5,PR_RelP6)))))</f>
        <v>0.4</v>
      </c>
      <c r="O290" s="1" t="n">
        <f aca="false">IF(G290=1,MIN(L290/H290,N290*MIN(K290/H290,PR_EarnCap))*H290,0)</f>
        <v>0</v>
      </c>
      <c r="P290" s="1" t="n">
        <f aca="false">IF(AND(G290=1,F_AE=1),MIN(K290/H290,PR_AEcap)*H290,0)</f>
        <v>0</v>
      </c>
      <c r="Q290" s="1" t="n">
        <f aca="false">IF(G290=1,IF(WI_Retire=1,MAX(0,M290+WI_M*12),M290)+(PR_AEee+PR_AEer+PR_AEst)*P290,0)</f>
        <v>0</v>
      </c>
      <c r="R290" s="1" t="n">
        <f aca="false">L290+PR_AEee*P290</f>
        <v>0</v>
      </c>
      <c r="S290" s="1" t="n">
        <f aca="false">AD289</f>
        <v>0</v>
      </c>
      <c r="T290" s="1" t="n">
        <f aca="false">IF(D290&lt;=2026,PR_SFT2026,IF(D290=2027,PR_SFT2027,IF(D290=2028,PR_SFT2028,IF(D290=2029,PR_SFT2029,PR_SFT2029*(1+AS_Infl)^(D290-2029)))))</f>
        <v>13121135.7526624</v>
      </c>
      <c r="U290" s="1" t="n">
        <f aca="false">IF(AND(G290=0,C290=F_V),1,0)</f>
        <v>0</v>
      </c>
      <c r="V290" s="1" t="n">
        <f aca="false">IF(U290=1,PR_SFTrate*MAX(0,S290-T290),0)</f>
        <v>0</v>
      </c>
      <c r="W290" s="1" t="n">
        <f aca="false">S290-V290</f>
        <v>0</v>
      </c>
      <c r="X290" s="1" t="n">
        <f aca="false">IF(AND(U290=1,AS_LumpPct&gt;0),W290*MIN(AS_LumpPct,PR_LSmax),0)</f>
        <v>0</v>
      </c>
      <c r="Y290" s="1" t="n">
        <f aca="false">X290-(PR_LSrate*MAX(0,MIN(X290,PR_LScap)-PR_LSfree)+PR_r2*MAX(0,X290-PR_LScap))</f>
        <v>0</v>
      </c>
      <c r="Z290" s="1" t="n">
        <f aca="false">W290-X290</f>
        <v>0</v>
      </c>
      <c r="AA290" s="107" t="n">
        <f aca="false">IF(C290&gt;=61,IF(Z290&gt;PR_ARFbig,PR_ARFbigRate,IF(C290&gt;=71,PR_ARF71,PR_ARF61)),0)</f>
        <v>0.05</v>
      </c>
      <c r="AB290" s="1" t="n">
        <f aca="false">IF(AS_DrawRule="min",Z290*AA290,IF(AS_DrawRule="fixed",MAX(AS_DrawFixed*E290,Z290*AA290),Z290*MAX(1/MAX(1,AS_End-C290+1),AA290)))</f>
        <v>0</v>
      </c>
      <c r="AC290" s="1" t="n">
        <f aca="false">IF(AND(G290=0,C290&gt;=F_V),MIN(Z290,AB290),0)</f>
        <v>0</v>
      </c>
      <c r="AD290" s="1" t="n">
        <f aca="false">IF(G290=1,S290*(1+F_PenG)+Q290,IF(C290&lt;F_V,S290*(1+F_PenG),(Z290-AC290)*(1+AS_PenRet)))</f>
        <v>0</v>
      </c>
      <c r="AE290" s="1" t="n">
        <f aca="false">IF(C290&gt;=PR_SPage,AS_SP*F_SpF*I290+IF(C290&gt;=80,PR_Over80*PR_Weeks*I290,0),0)</f>
        <v>63238.7362410276</v>
      </c>
      <c r="AF290" s="1" t="n">
        <f aca="false">(F_OtherM+F_RentM)*12*E290</f>
        <v>0</v>
      </c>
      <c r="AG290" s="1" t="n">
        <f aca="false">F_PAge+B290</f>
        <v>80</v>
      </c>
      <c r="AH290" s="1" t="n">
        <f aca="false">IF(AND(F_Partner=1,F_PAge&gt;0,AG290&lt;IF(F_PRet&gt;0,F_PRet,66)),F_PIncome*F290,0)</f>
        <v>0</v>
      </c>
      <c r="AI290" s="1" t="n">
        <f aca="false">IF(AND(F_Partner=1,AG290&gt;=66,F_PSpQA=0),AS_SP*F_PSpF*I290,0)</f>
        <v>0</v>
      </c>
      <c r="AJ290" s="1" t="n">
        <f aca="false">IF(AND(F_Partner=1,F_PSpQA=1,C290&gt;=PR_SPage,AH290=0),IF(AG290&gt;=66,PR_QA66,PR_QAunder)*PR_Weeks*I290,0)</f>
        <v>0</v>
      </c>
      <c r="AK290" s="1" t="n">
        <f aca="false">AE290+AJ290</f>
        <v>63238.7362410276</v>
      </c>
      <c r="AL290" s="1" t="n">
        <f aca="false">K290/H290</f>
        <v>0</v>
      </c>
      <c r="AM290" s="1" t="n">
        <f aca="false">AK290/H290</f>
        <v>12970.88</v>
      </c>
      <c r="AN290" s="1" t="n">
        <f aca="false">AC290/H290</f>
        <v>0</v>
      </c>
      <c r="AO290" s="1" t="n">
        <f aca="false">AF290/H290</f>
        <v>0</v>
      </c>
      <c r="AP290" s="1" t="n">
        <f aca="false">O290/H290</f>
        <v>0</v>
      </c>
      <c r="AQ290" s="1" t="n">
        <f aca="false">AH290/H290</f>
        <v>0</v>
      </c>
      <c r="AR290" s="1" t="n">
        <f aca="false">AI290/H290</f>
        <v>0</v>
      </c>
      <c r="AS290" s="1" t="n">
        <f aca="false">MAX(0,AL290+AN290+AO290+AM290-AP290)</f>
        <v>12970.88</v>
      </c>
      <c r="AT290" s="1" t="n">
        <f aca="false">MAX(0,AQ290+AR290)</f>
        <v>0</v>
      </c>
      <c r="AU290" s="1" t="n">
        <f aca="false">MIN(PR_PAYE,PR_PAYEcap*(AL290+AN290+AM290))</f>
        <v>2000</v>
      </c>
      <c r="AV290" s="1" t="n">
        <f aca="false">MIN(PR_PAYE,PR_PAYEcap*(AQ290+AR290))</f>
        <v>0</v>
      </c>
      <c r="AW290" s="1" t="n">
        <f aca="false">IF(C290&gt;=PR_AgeCrAge,PR_AgeCr,0)</f>
        <v>245</v>
      </c>
      <c r="AX290" s="1" t="n">
        <f aca="false">IF(AG290&gt;=PR_AgeCrAge,PR_AgeCr,0)</f>
        <v>245</v>
      </c>
      <c r="AY290" s="1" t="n">
        <f aca="false">IF(AND(F_RentCred=1,D290&lt;=PR_RentLast),1,0)</f>
        <v>0</v>
      </c>
      <c r="AZ290" s="1" t="n">
        <f aca="false">AS290+AT290</f>
        <v>12970.88</v>
      </c>
      <c r="BA290" s="1" t="n">
        <f aca="false">PR_PersonalM+AU290+AV290+AW290+AX290+IF(AY290=1,PR_RentJoint,0)</f>
        <v>6490</v>
      </c>
      <c r="BB290" s="1" t="n">
        <f aca="false">PR_BandM+MIN(MIN(AS290,AT290),PR_Uplift)</f>
        <v>53000</v>
      </c>
      <c r="BC290" s="1" t="n">
        <f aca="false">MAX(0,PR_r1*MIN(AZ290,BB290)+PR_r2*MAX(0,AZ290-BB290)-BA290)</f>
        <v>0</v>
      </c>
      <c r="BD290" s="1" t="n">
        <f aca="false">MAX(0,PR_HomeCarer-MAX(0,MIN(AS290,AT290)-PR_HCLimit)/2)</f>
        <v>1950</v>
      </c>
      <c r="BE290" s="1" t="n">
        <f aca="false">IF(F_Carer=1,MIN(BC290,MAX(0,PR_r1*MIN(AZ290,PR_BandM)+PR_r2*MAX(0,AZ290-PR_BandM)-BA290-BD290)),BC290)</f>
        <v>0</v>
      </c>
      <c r="BF290" s="1" t="n">
        <f aca="false">IF(OR(C290&gt;=PR_AgeCrAge,AG290&gt;=PR_AgeCrAge),IF(AZ290&lt;=PR_AgeExM,0,MIN(BE290,PR_AgeMarg*(AZ290-PR_AgeExM))),BE290)</f>
        <v>0</v>
      </c>
      <c r="BG290" s="1" t="n">
        <f aca="false">MAX(0,PR_r1*MIN(AS290,IF(F_Spccc=1,PR_BandSPCCC,PR_Band))+PR_r2*MAX(0,AS290-IF(F_Spccc=1,PR_BandSPCCC,PR_Band))-(PR_Personal+AU290+AW290+IF(F_Spccc=1,PR_SPCCC,0)+IF(AY290=1,PR_Rent,0)))</f>
        <v>0</v>
      </c>
      <c r="BH290" s="1" t="n">
        <f aca="false">IF(C290&gt;=PR_AgeCrAge,IF(AS290&lt;=PR_AgeEx,0,MIN(BG290,PR_AgeMarg*(AS290-PR_AgeEx))),BG290)</f>
        <v>0</v>
      </c>
      <c r="BI290" s="1" t="n">
        <f aca="false">IF(F_Partner=1,MAX(0,PR_r1*MIN(AT290,PR_Band)+PR_r2*MAX(0,AT290-PR_Band)-(PR_Personal+AV290+AX290+IF(AND(AY290=1,AT290&gt;0),PR_Rent,0))),0)</f>
        <v>0</v>
      </c>
      <c r="BJ290" s="1" t="n">
        <f aca="false">IF(AG290&gt;=PR_AgeCrAge,IF(AT290&lt;=PR_AgeEx,0,MIN(BI290,PR_AgeMarg*(AT290-PR_AgeEx))),BI290)</f>
        <v>0</v>
      </c>
      <c r="BK290" s="1" t="n">
        <f aca="false">IF(F_Partner=1,IF(F_Married=1,BF290,BH290+BJ290),BH290)</f>
        <v>0</v>
      </c>
      <c r="BL290" s="1" t="n">
        <f aca="false">AL290+AN290+AO290</f>
        <v>0</v>
      </c>
      <c r="BM290" s="1" t="n">
        <f aca="false">IF(BL290&lt;=PR_USCex,0,IF(IF(AND(C290&gt;=PR_USCredAge,BL290&lt;=PR_USCredMax),1,0)=1,PR_USCr1*MIN(BL290,PR_USCredB1)+PR_USCredR2*MAX(0,BL290-PR_USCredB1),PR_USCr1*MIN(BL290,PR_USCb1)+PR_USCr2*MAX(0,MIN(BL290,PR_USCb2)-PR_USCb1)+PR_USCr3*MAX(0,MIN(BL290,PR_USCb3)-PR_USCb2)+PR_USCr4*MAX(0,BL290-PR_USCb3)))+IF(F_SelfEmp=1,PR_USCse*MAX(0,AL290-PR_USCseOver),0)</f>
        <v>0</v>
      </c>
      <c r="BN290" s="1" t="n">
        <f aca="false">AQ290</f>
        <v>0</v>
      </c>
      <c r="BO290" s="1" t="n">
        <f aca="false">IF(F_Partner=1,IF(BN290&lt;=PR_USCex,0,IF(IF(AND(AG290&gt;=PR_USCredAge,BN290&lt;=PR_USCredMax),1,0)=1,PR_USCr1*MIN(BN290,PR_USCredB1)+PR_USCredR2*MAX(0,BN290-PR_USCredB1),PR_USCr1*MIN(BN290,PR_USCb1)+PR_USCr2*MAX(0,MIN(BN290,PR_USCb2)-PR_USCb1)+PR_USCr3*MAX(0,MIN(BN290,PR_USCb3)-PR_USCb2)+PR_USCr4*MAX(0,BN290-PR_USCb3))),0)</f>
        <v>0</v>
      </c>
      <c r="BP290" s="1" t="n">
        <f aca="false">IF(C290&lt;PR_PRSIend,IF(F_SelfEmp=1,IF(AL290&gt;PR_PRSIsMinInc,MAX(PR_PRSIsMin,AL290*J290),0),IF(AL290/52&lt;=PR_PRSIfree,0,MAX(0,(AL290/52*J290-IF(AL290/52&lt;=PR_PRSIcreditTo,MAX(0,PR_PRSIcreditMax-(AL290/52-(PR_PRSIfree+0.01))/PR_PRSItaper),0))*52)))+J290*AN290+IF(AO290&gt;PR_PRSIunearned,J290*AO290,0),0)</f>
        <v>0</v>
      </c>
      <c r="BQ290" s="1" t="n">
        <f aca="false">IF(AND(F_Partner=1,AG290&lt;PR_PRSIend),IF(AQ290/52&lt;=PR_PRSIfree,0,MAX(0,(AQ290/52*J290-IF(AQ290/52&lt;=PR_PRSIcreditTo,MAX(0,PR_PRSIcreditMax-(AQ290/52-(PR_PRSIfree+0.01))/PR_PRSItaper),0))*52)),0)</f>
        <v>0</v>
      </c>
      <c r="BR290" s="1" t="n">
        <f aca="false">BK290+BM290+BO290+BP290+BQ290</f>
        <v>0</v>
      </c>
      <c r="BS290" s="1" t="n">
        <f aca="false">BR290*H290</f>
        <v>0</v>
      </c>
      <c r="BT290" s="1" t="n">
        <f aca="false">K290+AK290+AC290+AF290+AH290+AI290</f>
        <v>63238.7362410276</v>
      </c>
    </row>
    <row r="291" customFormat="false" ht="15" hidden="false" customHeight="false" outlineLevel="0" collapsed="false">
      <c r="B291" s="1" t="n">
        <v>81</v>
      </c>
      <c r="C291" s="1" t="n">
        <f aca="false">F_Age+B291</f>
        <v>81</v>
      </c>
      <c r="D291" s="1" t="n">
        <f aca="false">AS_Year0+B291</f>
        <v>2108</v>
      </c>
      <c r="E291" s="106" t="n">
        <f aca="false">(1+AS_Infl)^B291</f>
        <v>4.97294793921833</v>
      </c>
      <c r="F291" s="106" t="n">
        <f aca="false">(1+AS_Wage)^B291</f>
        <v>10.9601172731231</v>
      </c>
      <c r="G291" s="1" t="n">
        <f aca="false">IF(C291&lt;F_R,1,0)</f>
        <v>0</v>
      </c>
      <c r="H291" s="106" t="n">
        <f aca="false">IF(AS_Bands="flat",1,E291)</f>
        <v>4.97294793921833</v>
      </c>
      <c r="I291" s="106" t="n">
        <f aca="false">IF(AS_SpGrow="pay",F291,IF(AS_SpGrow="flat",1,E291))</f>
        <v>4.97294793921833</v>
      </c>
      <c r="J291" s="106" t="n">
        <f aca="false">(12*PR_PRSIr0+(PR_PRSIr1-PR_PRSIr0)*MAX(0,MIN(12,D291*12+12-PR_PRSIt1))+(PR_PRSIr2-PR_PRSIr1)*MAX(0,MIN(12,D291*12+12-PR_PRSIt2))+(PR_PRSIr3-PR_PRSIr2)*MAX(0,MIN(12,D291*12+12-PR_PRSIt3)))/12</f>
        <v>0.047</v>
      </c>
      <c r="K291" s="1" t="n">
        <f aca="false">IF(G291=1,F_Income*F291,0)</f>
        <v>0</v>
      </c>
      <c r="L291" s="1" t="n">
        <f aca="false">IF(G291=1,(F_Own+In_penExtra)*12*F291,0)</f>
        <v>0</v>
      </c>
      <c r="M291" s="1" t="n">
        <f aca="false">IF(G291=1,(F_PenM+In_penExtra)*12*F291,0)</f>
        <v>0</v>
      </c>
      <c r="N291" s="107" t="n">
        <f aca="false">IF(C291&lt;PR_RelA1,PR_RelP1,IF(C291&lt;PR_RelA2,PR_RelP2,IF(C291&lt;PR_RelA3,PR_RelP3,IF(C291&lt;PR_RelA4,PR_RelP4,IF(C291&lt;PR_RelA5,PR_RelP5,PR_RelP6)))))</f>
        <v>0.4</v>
      </c>
      <c r="O291" s="1" t="n">
        <f aca="false">IF(G291=1,MIN(L291/H291,N291*MIN(K291/H291,PR_EarnCap))*H291,0)</f>
        <v>0</v>
      </c>
      <c r="P291" s="1" t="n">
        <f aca="false">IF(AND(G291=1,F_AE=1),MIN(K291/H291,PR_AEcap)*H291,0)</f>
        <v>0</v>
      </c>
      <c r="Q291" s="1" t="n">
        <f aca="false">IF(G291=1,IF(WI_Retire=1,MAX(0,M291+WI_M*12),M291)+(PR_AEee+PR_AEer+PR_AEst)*P291,0)</f>
        <v>0</v>
      </c>
      <c r="R291" s="1" t="n">
        <f aca="false">L291+PR_AEee*P291</f>
        <v>0</v>
      </c>
      <c r="S291" s="1" t="n">
        <f aca="false">AD290</f>
        <v>0</v>
      </c>
      <c r="T291" s="1" t="n">
        <f aca="false">IF(D291&lt;=2026,PR_SFT2026,IF(D291=2027,PR_SFT2027,IF(D291=2028,PR_SFT2028,IF(D291=2029,PR_SFT2029,PR_SFT2029*(1+AS_Infl)^(D291-2029)))))</f>
        <v>13383558.4677156</v>
      </c>
      <c r="U291" s="1" t="n">
        <f aca="false">IF(AND(G291=0,C291=F_V),1,0)</f>
        <v>0</v>
      </c>
      <c r="V291" s="1" t="n">
        <f aca="false">IF(U291=1,PR_SFTrate*MAX(0,S291-T291),0)</f>
        <v>0</v>
      </c>
      <c r="W291" s="1" t="n">
        <f aca="false">S291-V291</f>
        <v>0</v>
      </c>
      <c r="X291" s="1" t="n">
        <f aca="false">IF(AND(U291=1,AS_LumpPct&gt;0),W291*MIN(AS_LumpPct,PR_LSmax),0)</f>
        <v>0</v>
      </c>
      <c r="Y291" s="1" t="n">
        <f aca="false">X291-(PR_LSrate*MAX(0,MIN(X291,PR_LScap)-PR_LSfree)+PR_r2*MAX(0,X291-PR_LScap))</f>
        <v>0</v>
      </c>
      <c r="Z291" s="1" t="n">
        <f aca="false">W291-X291</f>
        <v>0</v>
      </c>
      <c r="AA291" s="107" t="n">
        <f aca="false">IF(C291&gt;=61,IF(Z291&gt;PR_ARFbig,PR_ARFbigRate,IF(C291&gt;=71,PR_ARF71,PR_ARF61)),0)</f>
        <v>0.05</v>
      </c>
      <c r="AB291" s="1" t="n">
        <f aca="false">IF(AS_DrawRule="min",Z291*AA291,IF(AS_DrawRule="fixed",MAX(AS_DrawFixed*E291,Z291*AA291),Z291*MAX(1/MAX(1,AS_End-C291+1),AA291)))</f>
        <v>0</v>
      </c>
      <c r="AC291" s="1" t="n">
        <f aca="false">IF(AND(G291=0,C291&gt;=F_V),MIN(Z291,AB291),0)</f>
        <v>0</v>
      </c>
      <c r="AD291" s="1" t="n">
        <f aca="false">IF(G291=1,S291*(1+F_PenG)+Q291,IF(C291&lt;F_V,S291*(1+F_PenG),(Z291-AC291)*(1+AS_PenRet)))</f>
        <v>0</v>
      </c>
      <c r="AE291" s="1" t="n">
        <f aca="false">IF(C291&gt;=PR_SPage,AS_SP*F_SpF*I291+IF(C291&gt;=80,PR_Over80*PR_Weeks*I291,0),0)</f>
        <v>64503.5109658482</v>
      </c>
      <c r="AF291" s="1" t="n">
        <f aca="false">(F_OtherM+F_RentM)*12*E291</f>
        <v>0</v>
      </c>
      <c r="AG291" s="1" t="n">
        <f aca="false">F_PAge+B291</f>
        <v>81</v>
      </c>
      <c r="AH291" s="1" t="n">
        <f aca="false">IF(AND(F_Partner=1,F_PAge&gt;0,AG291&lt;IF(F_PRet&gt;0,F_PRet,66)),F_PIncome*F291,0)</f>
        <v>0</v>
      </c>
      <c r="AI291" s="1" t="n">
        <f aca="false">IF(AND(F_Partner=1,AG291&gt;=66,F_PSpQA=0),AS_SP*F_PSpF*I291,0)</f>
        <v>0</v>
      </c>
      <c r="AJ291" s="1" t="n">
        <f aca="false">IF(AND(F_Partner=1,F_PSpQA=1,C291&gt;=PR_SPage,AH291=0),IF(AG291&gt;=66,PR_QA66,PR_QAunder)*PR_Weeks*I291,0)</f>
        <v>0</v>
      </c>
      <c r="AK291" s="1" t="n">
        <f aca="false">AE291+AJ291</f>
        <v>64503.5109658482</v>
      </c>
      <c r="AL291" s="1" t="n">
        <f aca="false">K291/H291</f>
        <v>0</v>
      </c>
      <c r="AM291" s="1" t="n">
        <f aca="false">AK291/H291</f>
        <v>12970.88</v>
      </c>
      <c r="AN291" s="1" t="n">
        <f aca="false">AC291/H291</f>
        <v>0</v>
      </c>
      <c r="AO291" s="1" t="n">
        <f aca="false">AF291/H291</f>
        <v>0</v>
      </c>
      <c r="AP291" s="1" t="n">
        <f aca="false">O291/H291</f>
        <v>0</v>
      </c>
      <c r="AQ291" s="1" t="n">
        <f aca="false">AH291/H291</f>
        <v>0</v>
      </c>
      <c r="AR291" s="1" t="n">
        <f aca="false">AI291/H291</f>
        <v>0</v>
      </c>
      <c r="AS291" s="1" t="n">
        <f aca="false">MAX(0,AL291+AN291+AO291+AM291-AP291)</f>
        <v>12970.88</v>
      </c>
      <c r="AT291" s="1" t="n">
        <f aca="false">MAX(0,AQ291+AR291)</f>
        <v>0</v>
      </c>
      <c r="AU291" s="1" t="n">
        <f aca="false">MIN(PR_PAYE,PR_PAYEcap*(AL291+AN291+AM291))</f>
        <v>2000</v>
      </c>
      <c r="AV291" s="1" t="n">
        <f aca="false">MIN(PR_PAYE,PR_PAYEcap*(AQ291+AR291))</f>
        <v>0</v>
      </c>
      <c r="AW291" s="1" t="n">
        <f aca="false">IF(C291&gt;=PR_AgeCrAge,PR_AgeCr,0)</f>
        <v>245</v>
      </c>
      <c r="AX291" s="1" t="n">
        <f aca="false">IF(AG291&gt;=PR_AgeCrAge,PR_AgeCr,0)</f>
        <v>245</v>
      </c>
      <c r="AY291" s="1" t="n">
        <f aca="false">IF(AND(F_RentCred=1,D291&lt;=PR_RentLast),1,0)</f>
        <v>0</v>
      </c>
      <c r="AZ291" s="1" t="n">
        <f aca="false">AS291+AT291</f>
        <v>12970.88</v>
      </c>
      <c r="BA291" s="1" t="n">
        <f aca="false">PR_PersonalM+AU291+AV291+AW291+AX291+IF(AY291=1,PR_RentJoint,0)</f>
        <v>6490</v>
      </c>
      <c r="BB291" s="1" t="n">
        <f aca="false">PR_BandM+MIN(MIN(AS291,AT291),PR_Uplift)</f>
        <v>53000</v>
      </c>
      <c r="BC291" s="1" t="n">
        <f aca="false">MAX(0,PR_r1*MIN(AZ291,BB291)+PR_r2*MAX(0,AZ291-BB291)-BA291)</f>
        <v>0</v>
      </c>
      <c r="BD291" s="1" t="n">
        <f aca="false">MAX(0,PR_HomeCarer-MAX(0,MIN(AS291,AT291)-PR_HCLimit)/2)</f>
        <v>1950</v>
      </c>
      <c r="BE291" s="1" t="n">
        <f aca="false">IF(F_Carer=1,MIN(BC291,MAX(0,PR_r1*MIN(AZ291,PR_BandM)+PR_r2*MAX(0,AZ291-PR_BandM)-BA291-BD291)),BC291)</f>
        <v>0</v>
      </c>
      <c r="BF291" s="1" t="n">
        <f aca="false">IF(OR(C291&gt;=PR_AgeCrAge,AG291&gt;=PR_AgeCrAge),IF(AZ291&lt;=PR_AgeExM,0,MIN(BE291,PR_AgeMarg*(AZ291-PR_AgeExM))),BE291)</f>
        <v>0</v>
      </c>
      <c r="BG291" s="1" t="n">
        <f aca="false">MAX(0,PR_r1*MIN(AS291,IF(F_Spccc=1,PR_BandSPCCC,PR_Band))+PR_r2*MAX(0,AS291-IF(F_Spccc=1,PR_BandSPCCC,PR_Band))-(PR_Personal+AU291+AW291+IF(F_Spccc=1,PR_SPCCC,0)+IF(AY291=1,PR_Rent,0)))</f>
        <v>0</v>
      </c>
      <c r="BH291" s="1" t="n">
        <f aca="false">IF(C291&gt;=PR_AgeCrAge,IF(AS291&lt;=PR_AgeEx,0,MIN(BG291,PR_AgeMarg*(AS291-PR_AgeEx))),BG291)</f>
        <v>0</v>
      </c>
      <c r="BI291" s="1" t="n">
        <f aca="false">IF(F_Partner=1,MAX(0,PR_r1*MIN(AT291,PR_Band)+PR_r2*MAX(0,AT291-PR_Band)-(PR_Personal+AV291+AX291+IF(AND(AY291=1,AT291&gt;0),PR_Rent,0))),0)</f>
        <v>0</v>
      </c>
      <c r="BJ291" s="1" t="n">
        <f aca="false">IF(AG291&gt;=PR_AgeCrAge,IF(AT291&lt;=PR_AgeEx,0,MIN(BI291,PR_AgeMarg*(AT291-PR_AgeEx))),BI291)</f>
        <v>0</v>
      </c>
      <c r="BK291" s="1" t="n">
        <f aca="false">IF(F_Partner=1,IF(F_Married=1,BF291,BH291+BJ291),BH291)</f>
        <v>0</v>
      </c>
      <c r="BL291" s="1" t="n">
        <f aca="false">AL291+AN291+AO291</f>
        <v>0</v>
      </c>
      <c r="BM291" s="1" t="n">
        <f aca="false">IF(BL291&lt;=PR_USCex,0,IF(IF(AND(C291&gt;=PR_USCredAge,BL291&lt;=PR_USCredMax),1,0)=1,PR_USCr1*MIN(BL291,PR_USCredB1)+PR_USCredR2*MAX(0,BL291-PR_USCredB1),PR_USCr1*MIN(BL291,PR_USCb1)+PR_USCr2*MAX(0,MIN(BL291,PR_USCb2)-PR_USCb1)+PR_USCr3*MAX(0,MIN(BL291,PR_USCb3)-PR_USCb2)+PR_USCr4*MAX(0,BL291-PR_USCb3)))+IF(F_SelfEmp=1,PR_USCse*MAX(0,AL291-PR_USCseOver),0)</f>
        <v>0</v>
      </c>
      <c r="BN291" s="1" t="n">
        <f aca="false">AQ291</f>
        <v>0</v>
      </c>
      <c r="BO291" s="1" t="n">
        <f aca="false">IF(F_Partner=1,IF(BN291&lt;=PR_USCex,0,IF(IF(AND(AG291&gt;=PR_USCredAge,BN291&lt;=PR_USCredMax),1,0)=1,PR_USCr1*MIN(BN291,PR_USCredB1)+PR_USCredR2*MAX(0,BN291-PR_USCredB1),PR_USCr1*MIN(BN291,PR_USCb1)+PR_USCr2*MAX(0,MIN(BN291,PR_USCb2)-PR_USCb1)+PR_USCr3*MAX(0,MIN(BN291,PR_USCb3)-PR_USCb2)+PR_USCr4*MAX(0,BN291-PR_USCb3))),0)</f>
        <v>0</v>
      </c>
      <c r="BP291" s="1" t="n">
        <f aca="false">IF(C291&lt;PR_PRSIend,IF(F_SelfEmp=1,IF(AL291&gt;PR_PRSIsMinInc,MAX(PR_PRSIsMin,AL291*J291),0),IF(AL291/52&lt;=PR_PRSIfree,0,MAX(0,(AL291/52*J291-IF(AL291/52&lt;=PR_PRSIcreditTo,MAX(0,PR_PRSIcreditMax-(AL291/52-(PR_PRSIfree+0.01))/PR_PRSItaper),0))*52)))+J291*AN291+IF(AO291&gt;PR_PRSIunearned,J291*AO291,0),0)</f>
        <v>0</v>
      </c>
      <c r="BQ291" s="1" t="n">
        <f aca="false">IF(AND(F_Partner=1,AG291&lt;PR_PRSIend),IF(AQ291/52&lt;=PR_PRSIfree,0,MAX(0,(AQ291/52*J291-IF(AQ291/52&lt;=PR_PRSIcreditTo,MAX(0,PR_PRSIcreditMax-(AQ291/52-(PR_PRSIfree+0.01))/PR_PRSItaper),0))*52)),0)</f>
        <v>0</v>
      </c>
      <c r="BR291" s="1" t="n">
        <f aca="false">BK291+BM291+BO291+BP291+BQ291</f>
        <v>0</v>
      </c>
      <c r="BS291" s="1" t="n">
        <f aca="false">BR291*H291</f>
        <v>0</v>
      </c>
      <c r="BT291" s="1" t="n">
        <f aca="false">K291+AK291+AC291+AF291+AH291+AI291</f>
        <v>64503.5109658482</v>
      </c>
    </row>
    <row r="292" customFormat="false" ht="15" hidden="false" customHeight="false" outlineLevel="0" collapsed="false">
      <c r="B292" s="1" t="n">
        <v>82</v>
      </c>
      <c r="C292" s="1" t="n">
        <f aca="false">F_Age+B292</f>
        <v>82</v>
      </c>
      <c r="D292" s="1" t="n">
        <f aca="false">AS_Year0+B292</f>
        <v>2109</v>
      </c>
      <c r="E292" s="106" t="n">
        <f aca="false">(1+AS_Infl)^B292</f>
        <v>5.07240689800269</v>
      </c>
      <c r="F292" s="106" t="n">
        <f aca="false">(1+AS_Wage)^B292</f>
        <v>11.2889207913168</v>
      </c>
      <c r="G292" s="1" t="n">
        <f aca="false">IF(C292&lt;F_R,1,0)</f>
        <v>0</v>
      </c>
      <c r="H292" s="106" t="n">
        <f aca="false">IF(AS_Bands="flat",1,E292)</f>
        <v>5.07240689800269</v>
      </c>
      <c r="I292" s="106" t="n">
        <f aca="false">IF(AS_SpGrow="pay",F292,IF(AS_SpGrow="flat",1,E292))</f>
        <v>5.07240689800269</v>
      </c>
      <c r="J292" s="106" t="n">
        <f aca="false">(12*PR_PRSIr0+(PR_PRSIr1-PR_PRSIr0)*MAX(0,MIN(12,D292*12+12-PR_PRSIt1))+(PR_PRSIr2-PR_PRSIr1)*MAX(0,MIN(12,D292*12+12-PR_PRSIt2))+(PR_PRSIr3-PR_PRSIr2)*MAX(0,MIN(12,D292*12+12-PR_PRSIt3)))/12</f>
        <v>0.047</v>
      </c>
      <c r="K292" s="1" t="n">
        <f aca="false">IF(G292=1,F_Income*F292,0)</f>
        <v>0</v>
      </c>
      <c r="L292" s="1" t="n">
        <f aca="false">IF(G292=1,(F_Own+In_penExtra)*12*F292,0)</f>
        <v>0</v>
      </c>
      <c r="M292" s="1" t="n">
        <f aca="false">IF(G292=1,(F_PenM+In_penExtra)*12*F292,0)</f>
        <v>0</v>
      </c>
      <c r="N292" s="107" t="n">
        <f aca="false">IF(C292&lt;PR_RelA1,PR_RelP1,IF(C292&lt;PR_RelA2,PR_RelP2,IF(C292&lt;PR_RelA3,PR_RelP3,IF(C292&lt;PR_RelA4,PR_RelP4,IF(C292&lt;PR_RelA5,PR_RelP5,PR_RelP6)))))</f>
        <v>0.4</v>
      </c>
      <c r="O292" s="1" t="n">
        <f aca="false">IF(G292=1,MIN(L292/H292,N292*MIN(K292/H292,PR_EarnCap))*H292,0)</f>
        <v>0</v>
      </c>
      <c r="P292" s="1" t="n">
        <f aca="false">IF(AND(G292=1,F_AE=1),MIN(K292/H292,PR_AEcap)*H292,0)</f>
        <v>0</v>
      </c>
      <c r="Q292" s="1" t="n">
        <f aca="false">IF(G292=1,IF(WI_Retire=1,MAX(0,M292+WI_M*12),M292)+(PR_AEee+PR_AEer+PR_AEst)*P292,0)</f>
        <v>0</v>
      </c>
      <c r="R292" s="1" t="n">
        <f aca="false">L292+PR_AEee*P292</f>
        <v>0</v>
      </c>
      <c r="S292" s="1" t="n">
        <f aca="false">AD291</f>
        <v>0</v>
      </c>
      <c r="T292" s="1" t="n">
        <f aca="false">IF(D292&lt;=2026,PR_SFT2026,IF(D292=2027,PR_SFT2027,IF(D292=2028,PR_SFT2028,IF(D292=2029,PR_SFT2029,PR_SFT2029*(1+AS_Infl)^(D292-2029)))))</f>
        <v>13651229.6370699</v>
      </c>
      <c r="U292" s="1" t="n">
        <f aca="false">IF(AND(G292=0,C292=F_V),1,0)</f>
        <v>0</v>
      </c>
      <c r="V292" s="1" t="n">
        <f aca="false">IF(U292=1,PR_SFTrate*MAX(0,S292-T292),0)</f>
        <v>0</v>
      </c>
      <c r="W292" s="1" t="n">
        <f aca="false">S292-V292</f>
        <v>0</v>
      </c>
      <c r="X292" s="1" t="n">
        <f aca="false">IF(AND(U292=1,AS_LumpPct&gt;0),W292*MIN(AS_LumpPct,PR_LSmax),0)</f>
        <v>0</v>
      </c>
      <c r="Y292" s="1" t="n">
        <f aca="false">X292-(PR_LSrate*MAX(0,MIN(X292,PR_LScap)-PR_LSfree)+PR_r2*MAX(0,X292-PR_LScap))</f>
        <v>0</v>
      </c>
      <c r="Z292" s="1" t="n">
        <f aca="false">W292-X292</f>
        <v>0</v>
      </c>
      <c r="AA292" s="107" t="n">
        <f aca="false">IF(C292&gt;=61,IF(Z292&gt;PR_ARFbig,PR_ARFbigRate,IF(C292&gt;=71,PR_ARF71,PR_ARF61)),0)</f>
        <v>0.05</v>
      </c>
      <c r="AB292" s="1" t="n">
        <f aca="false">IF(AS_DrawRule="min",Z292*AA292,IF(AS_DrawRule="fixed",MAX(AS_DrawFixed*E292,Z292*AA292),Z292*MAX(1/MAX(1,AS_End-C292+1),AA292)))</f>
        <v>0</v>
      </c>
      <c r="AC292" s="1" t="n">
        <f aca="false">IF(AND(G292=0,C292&gt;=F_V),MIN(Z292,AB292),0)</f>
        <v>0</v>
      </c>
      <c r="AD292" s="1" t="n">
        <f aca="false">IF(G292=1,S292*(1+F_PenG)+Q292,IF(C292&lt;F_V,S292*(1+F_PenG),(Z292-AC292)*(1+AS_PenRet)))</f>
        <v>0</v>
      </c>
      <c r="AE292" s="1" t="n">
        <f aca="false">IF(C292&gt;=PR_SPage,AS_SP*F_SpF*I292+IF(C292&gt;=80,PR_Over80*PR_Weeks*I292,0),0)</f>
        <v>65793.5811851652</v>
      </c>
      <c r="AF292" s="1" t="n">
        <f aca="false">(F_OtherM+F_RentM)*12*E292</f>
        <v>0</v>
      </c>
      <c r="AG292" s="1" t="n">
        <f aca="false">F_PAge+B292</f>
        <v>82</v>
      </c>
      <c r="AH292" s="1" t="n">
        <f aca="false">IF(AND(F_Partner=1,F_PAge&gt;0,AG292&lt;IF(F_PRet&gt;0,F_PRet,66)),F_PIncome*F292,0)</f>
        <v>0</v>
      </c>
      <c r="AI292" s="1" t="n">
        <f aca="false">IF(AND(F_Partner=1,AG292&gt;=66,F_PSpQA=0),AS_SP*F_PSpF*I292,0)</f>
        <v>0</v>
      </c>
      <c r="AJ292" s="1" t="n">
        <f aca="false">IF(AND(F_Partner=1,F_PSpQA=1,C292&gt;=PR_SPage,AH292=0),IF(AG292&gt;=66,PR_QA66,PR_QAunder)*PR_Weeks*I292,0)</f>
        <v>0</v>
      </c>
      <c r="AK292" s="1" t="n">
        <f aca="false">AE292+AJ292</f>
        <v>65793.5811851652</v>
      </c>
      <c r="AL292" s="1" t="n">
        <f aca="false">K292/H292</f>
        <v>0</v>
      </c>
      <c r="AM292" s="1" t="n">
        <f aca="false">AK292/H292</f>
        <v>12970.88</v>
      </c>
      <c r="AN292" s="1" t="n">
        <f aca="false">AC292/H292</f>
        <v>0</v>
      </c>
      <c r="AO292" s="1" t="n">
        <f aca="false">AF292/H292</f>
        <v>0</v>
      </c>
      <c r="AP292" s="1" t="n">
        <f aca="false">O292/H292</f>
        <v>0</v>
      </c>
      <c r="AQ292" s="1" t="n">
        <f aca="false">AH292/H292</f>
        <v>0</v>
      </c>
      <c r="AR292" s="1" t="n">
        <f aca="false">AI292/H292</f>
        <v>0</v>
      </c>
      <c r="AS292" s="1" t="n">
        <f aca="false">MAX(0,AL292+AN292+AO292+AM292-AP292)</f>
        <v>12970.88</v>
      </c>
      <c r="AT292" s="1" t="n">
        <f aca="false">MAX(0,AQ292+AR292)</f>
        <v>0</v>
      </c>
      <c r="AU292" s="1" t="n">
        <f aca="false">MIN(PR_PAYE,PR_PAYEcap*(AL292+AN292+AM292))</f>
        <v>2000</v>
      </c>
      <c r="AV292" s="1" t="n">
        <f aca="false">MIN(PR_PAYE,PR_PAYEcap*(AQ292+AR292))</f>
        <v>0</v>
      </c>
      <c r="AW292" s="1" t="n">
        <f aca="false">IF(C292&gt;=PR_AgeCrAge,PR_AgeCr,0)</f>
        <v>245</v>
      </c>
      <c r="AX292" s="1" t="n">
        <f aca="false">IF(AG292&gt;=PR_AgeCrAge,PR_AgeCr,0)</f>
        <v>245</v>
      </c>
      <c r="AY292" s="1" t="n">
        <f aca="false">IF(AND(F_RentCred=1,D292&lt;=PR_RentLast),1,0)</f>
        <v>0</v>
      </c>
      <c r="AZ292" s="1" t="n">
        <f aca="false">AS292+AT292</f>
        <v>12970.88</v>
      </c>
      <c r="BA292" s="1" t="n">
        <f aca="false">PR_PersonalM+AU292+AV292+AW292+AX292+IF(AY292=1,PR_RentJoint,0)</f>
        <v>6490</v>
      </c>
      <c r="BB292" s="1" t="n">
        <f aca="false">PR_BandM+MIN(MIN(AS292,AT292),PR_Uplift)</f>
        <v>53000</v>
      </c>
      <c r="BC292" s="1" t="n">
        <f aca="false">MAX(0,PR_r1*MIN(AZ292,BB292)+PR_r2*MAX(0,AZ292-BB292)-BA292)</f>
        <v>0</v>
      </c>
      <c r="BD292" s="1" t="n">
        <f aca="false">MAX(0,PR_HomeCarer-MAX(0,MIN(AS292,AT292)-PR_HCLimit)/2)</f>
        <v>1950</v>
      </c>
      <c r="BE292" s="1" t="n">
        <f aca="false">IF(F_Carer=1,MIN(BC292,MAX(0,PR_r1*MIN(AZ292,PR_BandM)+PR_r2*MAX(0,AZ292-PR_BandM)-BA292-BD292)),BC292)</f>
        <v>0</v>
      </c>
      <c r="BF292" s="1" t="n">
        <f aca="false">IF(OR(C292&gt;=PR_AgeCrAge,AG292&gt;=PR_AgeCrAge),IF(AZ292&lt;=PR_AgeExM,0,MIN(BE292,PR_AgeMarg*(AZ292-PR_AgeExM))),BE292)</f>
        <v>0</v>
      </c>
      <c r="BG292" s="1" t="n">
        <f aca="false">MAX(0,PR_r1*MIN(AS292,IF(F_Spccc=1,PR_BandSPCCC,PR_Band))+PR_r2*MAX(0,AS292-IF(F_Spccc=1,PR_BandSPCCC,PR_Band))-(PR_Personal+AU292+AW292+IF(F_Spccc=1,PR_SPCCC,0)+IF(AY292=1,PR_Rent,0)))</f>
        <v>0</v>
      </c>
      <c r="BH292" s="1" t="n">
        <f aca="false">IF(C292&gt;=PR_AgeCrAge,IF(AS292&lt;=PR_AgeEx,0,MIN(BG292,PR_AgeMarg*(AS292-PR_AgeEx))),BG292)</f>
        <v>0</v>
      </c>
      <c r="BI292" s="1" t="n">
        <f aca="false">IF(F_Partner=1,MAX(0,PR_r1*MIN(AT292,PR_Band)+PR_r2*MAX(0,AT292-PR_Band)-(PR_Personal+AV292+AX292+IF(AND(AY292=1,AT292&gt;0),PR_Rent,0))),0)</f>
        <v>0</v>
      </c>
      <c r="BJ292" s="1" t="n">
        <f aca="false">IF(AG292&gt;=PR_AgeCrAge,IF(AT292&lt;=PR_AgeEx,0,MIN(BI292,PR_AgeMarg*(AT292-PR_AgeEx))),BI292)</f>
        <v>0</v>
      </c>
      <c r="BK292" s="1" t="n">
        <f aca="false">IF(F_Partner=1,IF(F_Married=1,BF292,BH292+BJ292),BH292)</f>
        <v>0</v>
      </c>
      <c r="BL292" s="1" t="n">
        <f aca="false">AL292+AN292+AO292</f>
        <v>0</v>
      </c>
      <c r="BM292" s="1" t="n">
        <f aca="false">IF(BL292&lt;=PR_USCex,0,IF(IF(AND(C292&gt;=PR_USCredAge,BL292&lt;=PR_USCredMax),1,0)=1,PR_USCr1*MIN(BL292,PR_USCredB1)+PR_USCredR2*MAX(0,BL292-PR_USCredB1),PR_USCr1*MIN(BL292,PR_USCb1)+PR_USCr2*MAX(0,MIN(BL292,PR_USCb2)-PR_USCb1)+PR_USCr3*MAX(0,MIN(BL292,PR_USCb3)-PR_USCb2)+PR_USCr4*MAX(0,BL292-PR_USCb3)))+IF(F_SelfEmp=1,PR_USCse*MAX(0,AL292-PR_USCseOver),0)</f>
        <v>0</v>
      </c>
      <c r="BN292" s="1" t="n">
        <f aca="false">AQ292</f>
        <v>0</v>
      </c>
      <c r="BO292" s="1" t="n">
        <f aca="false">IF(F_Partner=1,IF(BN292&lt;=PR_USCex,0,IF(IF(AND(AG292&gt;=PR_USCredAge,BN292&lt;=PR_USCredMax),1,0)=1,PR_USCr1*MIN(BN292,PR_USCredB1)+PR_USCredR2*MAX(0,BN292-PR_USCredB1),PR_USCr1*MIN(BN292,PR_USCb1)+PR_USCr2*MAX(0,MIN(BN292,PR_USCb2)-PR_USCb1)+PR_USCr3*MAX(0,MIN(BN292,PR_USCb3)-PR_USCb2)+PR_USCr4*MAX(0,BN292-PR_USCb3))),0)</f>
        <v>0</v>
      </c>
      <c r="BP292" s="1" t="n">
        <f aca="false">IF(C292&lt;PR_PRSIend,IF(F_SelfEmp=1,IF(AL292&gt;PR_PRSIsMinInc,MAX(PR_PRSIsMin,AL292*J292),0),IF(AL292/52&lt;=PR_PRSIfree,0,MAX(0,(AL292/52*J292-IF(AL292/52&lt;=PR_PRSIcreditTo,MAX(0,PR_PRSIcreditMax-(AL292/52-(PR_PRSIfree+0.01))/PR_PRSItaper),0))*52)))+J292*AN292+IF(AO292&gt;PR_PRSIunearned,J292*AO292,0),0)</f>
        <v>0</v>
      </c>
      <c r="BQ292" s="1" t="n">
        <f aca="false">IF(AND(F_Partner=1,AG292&lt;PR_PRSIend),IF(AQ292/52&lt;=PR_PRSIfree,0,MAX(0,(AQ292/52*J292-IF(AQ292/52&lt;=PR_PRSIcreditTo,MAX(0,PR_PRSIcreditMax-(AQ292/52-(PR_PRSIfree+0.01))/PR_PRSItaper),0))*52)),0)</f>
        <v>0</v>
      </c>
      <c r="BR292" s="1" t="n">
        <f aca="false">BK292+BM292+BO292+BP292+BQ292</f>
        <v>0</v>
      </c>
      <c r="BS292" s="1" t="n">
        <f aca="false">BR292*H292</f>
        <v>0</v>
      </c>
      <c r="BT292" s="1" t="n">
        <f aca="false">K292+AK292+AC292+AF292+AH292+AI292</f>
        <v>65793.5811851652</v>
      </c>
    </row>
    <row r="293" customFormat="false" ht="15" hidden="false" customHeight="false" outlineLevel="0" collapsed="false">
      <c r="B293" s="1" t="n">
        <v>83</v>
      </c>
      <c r="C293" s="1" t="n">
        <f aca="false">F_Age+B293</f>
        <v>83</v>
      </c>
      <c r="D293" s="1" t="n">
        <f aca="false">AS_Year0+B293</f>
        <v>2110</v>
      </c>
      <c r="E293" s="106" t="n">
        <f aca="false">(1+AS_Infl)^B293</f>
        <v>5.17385503596275</v>
      </c>
      <c r="F293" s="106" t="n">
        <f aca="false">(1+AS_Wage)^B293</f>
        <v>11.6275884150563</v>
      </c>
      <c r="G293" s="1" t="n">
        <f aca="false">IF(C293&lt;F_R,1,0)</f>
        <v>0</v>
      </c>
      <c r="H293" s="106" t="n">
        <f aca="false">IF(AS_Bands="flat",1,E293)</f>
        <v>5.17385503596275</v>
      </c>
      <c r="I293" s="106" t="n">
        <f aca="false">IF(AS_SpGrow="pay",F293,IF(AS_SpGrow="flat",1,E293))</f>
        <v>5.17385503596275</v>
      </c>
      <c r="J293" s="106" t="n">
        <f aca="false">(12*PR_PRSIr0+(PR_PRSIr1-PR_PRSIr0)*MAX(0,MIN(12,D293*12+12-PR_PRSIt1))+(PR_PRSIr2-PR_PRSIr1)*MAX(0,MIN(12,D293*12+12-PR_PRSIt2))+(PR_PRSIr3-PR_PRSIr2)*MAX(0,MIN(12,D293*12+12-PR_PRSIt3)))/12</f>
        <v>0.047</v>
      </c>
      <c r="K293" s="1" t="n">
        <f aca="false">IF(G293=1,F_Income*F293,0)</f>
        <v>0</v>
      </c>
      <c r="L293" s="1" t="n">
        <f aca="false">IF(G293=1,(F_Own+In_penExtra)*12*F293,0)</f>
        <v>0</v>
      </c>
      <c r="M293" s="1" t="n">
        <f aca="false">IF(G293=1,(F_PenM+In_penExtra)*12*F293,0)</f>
        <v>0</v>
      </c>
      <c r="N293" s="107" t="n">
        <f aca="false">IF(C293&lt;PR_RelA1,PR_RelP1,IF(C293&lt;PR_RelA2,PR_RelP2,IF(C293&lt;PR_RelA3,PR_RelP3,IF(C293&lt;PR_RelA4,PR_RelP4,IF(C293&lt;PR_RelA5,PR_RelP5,PR_RelP6)))))</f>
        <v>0.4</v>
      </c>
      <c r="O293" s="1" t="n">
        <f aca="false">IF(G293=1,MIN(L293/H293,N293*MIN(K293/H293,PR_EarnCap))*H293,0)</f>
        <v>0</v>
      </c>
      <c r="P293" s="1" t="n">
        <f aca="false">IF(AND(G293=1,F_AE=1),MIN(K293/H293,PR_AEcap)*H293,0)</f>
        <v>0</v>
      </c>
      <c r="Q293" s="1" t="n">
        <f aca="false">IF(G293=1,IF(WI_Retire=1,MAX(0,M293+WI_M*12),M293)+(PR_AEee+PR_AEer+PR_AEst)*P293,0)</f>
        <v>0</v>
      </c>
      <c r="R293" s="1" t="n">
        <f aca="false">L293+PR_AEee*P293</f>
        <v>0</v>
      </c>
      <c r="S293" s="1" t="n">
        <f aca="false">AD292</f>
        <v>0</v>
      </c>
      <c r="T293" s="1" t="n">
        <f aca="false">IF(D293&lt;=2026,PR_SFT2026,IF(D293=2027,PR_SFT2027,IF(D293=2028,PR_SFT2028,IF(D293=2029,PR_SFT2029,PR_SFT2029*(1+AS_Infl)^(D293-2029)))))</f>
        <v>13924254.2298113</v>
      </c>
      <c r="U293" s="1" t="n">
        <f aca="false">IF(AND(G293=0,C293=F_V),1,0)</f>
        <v>0</v>
      </c>
      <c r="V293" s="1" t="n">
        <f aca="false">IF(U293=1,PR_SFTrate*MAX(0,S293-T293),0)</f>
        <v>0</v>
      </c>
      <c r="W293" s="1" t="n">
        <f aca="false">S293-V293</f>
        <v>0</v>
      </c>
      <c r="X293" s="1" t="n">
        <f aca="false">IF(AND(U293=1,AS_LumpPct&gt;0),W293*MIN(AS_LumpPct,PR_LSmax),0)</f>
        <v>0</v>
      </c>
      <c r="Y293" s="1" t="n">
        <f aca="false">X293-(PR_LSrate*MAX(0,MIN(X293,PR_LScap)-PR_LSfree)+PR_r2*MAX(0,X293-PR_LScap))</f>
        <v>0</v>
      </c>
      <c r="Z293" s="1" t="n">
        <f aca="false">W293-X293</f>
        <v>0</v>
      </c>
      <c r="AA293" s="107" t="n">
        <f aca="false">IF(C293&gt;=61,IF(Z293&gt;PR_ARFbig,PR_ARFbigRate,IF(C293&gt;=71,PR_ARF71,PR_ARF61)),0)</f>
        <v>0.05</v>
      </c>
      <c r="AB293" s="1" t="n">
        <f aca="false">IF(AS_DrawRule="min",Z293*AA293,IF(AS_DrawRule="fixed",MAX(AS_DrawFixed*E293,Z293*AA293),Z293*MAX(1/MAX(1,AS_End-C293+1),AA293)))</f>
        <v>0</v>
      </c>
      <c r="AC293" s="1" t="n">
        <f aca="false">IF(AND(G293=0,C293&gt;=F_V),MIN(Z293,AB293),0)</f>
        <v>0</v>
      </c>
      <c r="AD293" s="1" t="n">
        <f aca="false">IF(G293=1,S293*(1+F_PenG)+Q293,IF(C293&lt;F_V,S293*(1+F_PenG),(Z293-AC293)*(1+AS_PenRet)))</f>
        <v>0</v>
      </c>
      <c r="AE293" s="1" t="n">
        <f aca="false">IF(C293&gt;=PR_SPage,AS_SP*F_SpF*I293+IF(C293&gt;=80,PR_Over80*PR_Weeks*I293,0),0)</f>
        <v>67109.4528088685</v>
      </c>
      <c r="AF293" s="1" t="n">
        <f aca="false">(F_OtherM+F_RentM)*12*E293</f>
        <v>0</v>
      </c>
      <c r="AG293" s="1" t="n">
        <f aca="false">F_PAge+B293</f>
        <v>83</v>
      </c>
      <c r="AH293" s="1" t="n">
        <f aca="false">IF(AND(F_Partner=1,F_PAge&gt;0,AG293&lt;IF(F_PRet&gt;0,F_PRet,66)),F_PIncome*F293,0)</f>
        <v>0</v>
      </c>
      <c r="AI293" s="1" t="n">
        <f aca="false">IF(AND(F_Partner=1,AG293&gt;=66,F_PSpQA=0),AS_SP*F_PSpF*I293,0)</f>
        <v>0</v>
      </c>
      <c r="AJ293" s="1" t="n">
        <f aca="false">IF(AND(F_Partner=1,F_PSpQA=1,C293&gt;=PR_SPage,AH293=0),IF(AG293&gt;=66,PR_QA66,PR_QAunder)*PR_Weeks*I293,0)</f>
        <v>0</v>
      </c>
      <c r="AK293" s="1" t="n">
        <f aca="false">AE293+AJ293</f>
        <v>67109.4528088685</v>
      </c>
      <c r="AL293" s="1" t="n">
        <f aca="false">K293/H293</f>
        <v>0</v>
      </c>
      <c r="AM293" s="1" t="n">
        <f aca="false">AK293/H293</f>
        <v>12970.88</v>
      </c>
      <c r="AN293" s="1" t="n">
        <f aca="false">AC293/H293</f>
        <v>0</v>
      </c>
      <c r="AO293" s="1" t="n">
        <f aca="false">AF293/H293</f>
        <v>0</v>
      </c>
      <c r="AP293" s="1" t="n">
        <f aca="false">O293/H293</f>
        <v>0</v>
      </c>
      <c r="AQ293" s="1" t="n">
        <f aca="false">AH293/H293</f>
        <v>0</v>
      </c>
      <c r="AR293" s="1" t="n">
        <f aca="false">AI293/H293</f>
        <v>0</v>
      </c>
      <c r="AS293" s="1" t="n">
        <f aca="false">MAX(0,AL293+AN293+AO293+AM293-AP293)</f>
        <v>12970.88</v>
      </c>
      <c r="AT293" s="1" t="n">
        <f aca="false">MAX(0,AQ293+AR293)</f>
        <v>0</v>
      </c>
      <c r="AU293" s="1" t="n">
        <f aca="false">MIN(PR_PAYE,PR_PAYEcap*(AL293+AN293+AM293))</f>
        <v>2000</v>
      </c>
      <c r="AV293" s="1" t="n">
        <f aca="false">MIN(PR_PAYE,PR_PAYEcap*(AQ293+AR293))</f>
        <v>0</v>
      </c>
      <c r="AW293" s="1" t="n">
        <f aca="false">IF(C293&gt;=PR_AgeCrAge,PR_AgeCr,0)</f>
        <v>245</v>
      </c>
      <c r="AX293" s="1" t="n">
        <f aca="false">IF(AG293&gt;=PR_AgeCrAge,PR_AgeCr,0)</f>
        <v>245</v>
      </c>
      <c r="AY293" s="1" t="n">
        <f aca="false">IF(AND(F_RentCred=1,D293&lt;=PR_RentLast),1,0)</f>
        <v>0</v>
      </c>
      <c r="AZ293" s="1" t="n">
        <f aca="false">AS293+AT293</f>
        <v>12970.88</v>
      </c>
      <c r="BA293" s="1" t="n">
        <f aca="false">PR_PersonalM+AU293+AV293+AW293+AX293+IF(AY293=1,PR_RentJoint,0)</f>
        <v>6490</v>
      </c>
      <c r="BB293" s="1" t="n">
        <f aca="false">PR_BandM+MIN(MIN(AS293,AT293),PR_Uplift)</f>
        <v>53000</v>
      </c>
      <c r="BC293" s="1" t="n">
        <f aca="false">MAX(0,PR_r1*MIN(AZ293,BB293)+PR_r2*MAX(0,AZ293-BB293)-BA293)</f>
        <v>0</v>
      </c>
      <c r="BD293" s="1" t="n">
        <f aca="false">MAX(0,PR_HomeCarer-MAX(0,MIN(AS293,AT293)-PR_HCLimit)/2)</f>
        <v>1950</v>
      </c>
      <c r="BE293" s="1" t="n">
        <f aca="false">IF(F_Carer=1,MIN(BC293,MAX(0,PR_r1*MIN(AZ293,PR_BandM)+PR_r2*MAX(0,AZ293-PR_BandM)-BA293-BD293)),BC293)</f>
        <v>0</v>
      </c>
      <c r="BF293" s="1" t="n">
        <f aca="false">IF(OR(C293&gt;=PR_AgeCrAge,AG293&gt;=PR_AgeCrAge),IF(AZ293&lt;=PR_AgeExM,0,MIN(BE293,PR_AgeMarg*(AZ293-PR_AgeExM))),BE293)</f>
        <v>0</v>
      </c>
      <c r="BG293" s="1" t="n">
        <f aca="false">MAX(0,PR_r1*MIN(AS293,IF(F_Spccc=1,PR_BandSPCCC,PR_Band))+PR_r2*MAX(0,AS293-IF(F_Spccc=1,PR_BandSPCCC,PR_Band))-(PR_Personal+AU293+AW293+IF(F_Spccc=1,PR_SPCCC,0)+IF(AY293=1,PR_Rent,0)))</f>
        <v>0</v>
      </c>
      <c r="BH293" s="1" t="n">
        <f aca="false">IF(C293&gt;=PR_AgeCrAge,IF(AS293&lt;=PR_AgeEx,0,MIN(BG293,PR_AgeMarg*(AS293-PR_AgeEx))),BG293)</f>
        <v>0</v>
      </c>
      <c r="BI293" s="1" t="n">
        <f aca="false">IF(F_Partner=1,MAX(0,PR_r1*MIN(AT293,PR_Band)+PR_r2*MAX(0,AT293-PR_Band)-(PR_Personal+AV293+AX293+IF(AND(AY293=1,AT293&gt;0),PR_Rent,0))),0)</f>
        <v>0</v>
      </c>
      <c r="BJ293" s="1" t="n">
        <f aca="false">IF(AG293&gt;=PR_AgeCrAge,IF(AT293&lt;=PR_AgeEx,0,MIN(BI293,PR_AgeMarg*(AT293-PR_AgeEx))),BI293)</f>
        <v>0</v>
      </c>
      <c r="BK293" s="1" t="n">
        <f aca="false">IF(F_Partner=1,IF(F_Married=1,BF293,BH293+BJ293),BH293)</f>
        <v>0</v>
      </c>
      <c r="BL293" s="1" t="n">
        <f aca="false">AL293+AN293+AO293</f>
        <v>0</v>
      </c>
      <c r="BM293" s="1" t="n">
        <f aca="false">IF(BL293&lt;=PR_USCex,0,IF(IF(AND(C293&gt;=PR_USCredAge,BL293&lt;=PR_USCredMax),1,0)=1,PR_USCr1*MIN(BL293,PR_USCredB1)+PR_USCredR2*MAX(0,BL293-PR_USCredB1),PR_USCr1*MIN(BL293,PR_USCb1)+PR_USCr2*MAX(0,MIN(BL293,PR_USCb2)-PR_USCb1)+PR_USCr3*MAX(0,MIN(BL293,PR_USCb3)-PR_USCb2)+PR_USCr4*MAX(0,BL293-PR_USCb3)))+IF(F_SelfEmp=1,PR_USCse*MAX(0,AL293-PR_USCseOver),0)</f>
        <v>0</v>
      </c>
      <c r="BN293" s="1" t="n">
        <f aca="false">AQ293</f>
        <v>0</v>
      </c>
      <c r="BO293" s="1" t="n">
        <f aca="false">IF(F_Partner=1,IF(BN293&lt;=PR_USCex,0,IF(IF(AND(AG293&gt;=PR_USCredAge,BN293&lt;=PR_USCredMax),1,0)=1,PR_USCr1*MIN(BN293,PR_USCredB1)+PR_USCredR2*MAX(0,BN293-PR_USCredB1),PR_USCr1*MIN(BN293,PR_USCb1)+PR_USCr2*MAX(0,MIN(BN293,PR_USCb2)-PR_USCb1)+PR_USCr3*MAX(0,MIN(BN293,PR_USCb3)-PR_USCb2)+PR_USCr4*MAX(0,BN293-PR_USCb3))),0)</f>
        <v>0</v>
      </c>
      <c r="BP293" s="1" t="n">
        <f aca="false">IF(C293&lt;PR_PRSIend,IF(F_SelfEmp=1,IF(AL293&gt;PR_PRSIsMinInc,MAX(PR_PRSIsMin,AL293*J293),0),IF(AL293/52&lt;=PR_PRSIfree,0,MAX(0,(AL293/52*J293-IF(AL293/52&lt;=PR_PRSIcreditTo,MAX(0,PR_PRSIcreditMax-(AL293/52-(PR_PRSIfree+0.01))/PR_PRSItaper),0))*52)))+J293*AN293+IF(AO293&gt;PR_PRSIunearned,J293*AO293,0),0)</f>
        <v>0</v>
      </c>
      <c r="BQ293" s="1" t="n">
        <f aca="false">IF(AND(F_Partner=1,AG293&lt;PR_PRSIend),IF(AQ293/52&lt;=PR_PRSIfree,0,MAX(0,(AQ293/52*J293-IF(AQ293/52&lt;=PR_PRSIcreditTo,MAX(0,PR_PRSIcreditMax-(AQ293/52-(PR_PRSIfree+0.01))/PR_PRSItaper),0))*52)),0)</f>
        <v>0</v>
      </c>
      <c r="BR293" s="1" t="n">
        <f aca="false">BK293+BM293+BO293+BP293+BQ293</f>
        <v>0</v>
      </c>
      <c r="BS293" s="1" t="n">
        <f aca="false">BR293*H293</f>
        <v>0</v>
      </c>
      <c r="BT293" s="1" t="n">
        <f aca="false">K293+AK293+AC293+AF293+AH293+AI293</f>
        <v>67109.4528088685</v>
      </c>
    </row>
    <row r="294" customFormat="false" ht="15" hidden="false" customHeight="false" outlineLevel="0" collapsed="false">
      <c r="B294" s="1" t="n">
        <v>84</v>
      </c>
      <c r="C294" s="1" t="n">
        <f aca="false">F_Age+B294</f>
        <v>84</v>
      </c>
      <c r="D294" s="1" t="n">
        <f aca="false">AS_Year0+B294</f>
        <v>2111</v>
      </c>
      <c r="E294" s="106" t="n">
        <f aca="false">(1+AS_Infl)^B294</f>
        <v>5.277332136682</v>
      </c>
      <c r="F294" s="106" t="n">
        <f aca="false">(1+AS_Wage)^B294</f>
        <v>11.976416067508</v>
      </c>
      <c r="G294" s="1" t="n">
        <f aca="false">IF(C294&lt;F_R,1,0)</f>
        <v>0</v>
      </c>
      <c r="H294" s="106" t="n">
        <f aca="false">IF(AS_Bands="flat",1,E294)</f>
        <v>5.277332136682</v>
      </c>
      <c r="I294" s="106" t="n">
        <f aca="false">IF(AS_SpGrow="pay",F294,IF(AS_SpGrow="flat",1,E294))</f>
        <v>5.277332136682</v>
      </c>
      <c r="J294" s="106" t="n">
        <f aca="false">(12*PR_PRSIr0+(PR_PRSIr1-PR_PRSIr0)*MAX(0,MIN(12,D294*12+12-PR_PRSIt1))+(PR_PRSIr2-PR_PRSIr1)*MAX(0,MIN(12,D294*12+12-PR_PRSIt2))+(PR_PRSIr3-PR_PRSIr2)*MAX(0,MIN(12,D294*12+12-PR_PRSIt3)))/12</f>
        <v>0.047</v>
      </c>
      <c r="K294" s="1" t="n">
        <f aca="false">IF(G294=1,F_Income*F294,0)</f>
        <v>0</v>
      </c>
      <c r="L294" s="1" t="n">
        <f aca="false">IF(G294=1,(F_Own+In_penExtra)*12*F294,0)</f>
        <v>0</v>
      </c>
      <c r="M294" s="1" t="n">
        <f aca="false">IF(G294=1,(F_PenM+In_penExtra)*12*F294,0)</f>
        <v>0</v>
      </c>
      <c r="N294" s="107" t="n">
        <f aca="false">IF(C294&lt;PR_RelA1,PR_RelP1,IF(C294&lt;PR_RelA2,PR_RelP2,IF(C294&lt;PR_RelA3,PR_RelP3,IF(C294&lt;PR_RelA4,PR_RelP4,IF(C294&lt;PR_RelA5,PR_RelP5,PR_RelP6)))))</f>
        <v>0.4</v>
      </c>
      <c r="O294" s="1" t="n">
        <f aca="false">IF(G294=1,MIN(L294/H294,N294*MIN(K294/H294,PR_EarnCap))*H294,0)</f>
        <v>0</v>
      </c>
      <c r="P294" s="1" t="n">
        <f aca="false">IF(AND(G294=1,F_AE=1),MIN(K294/H294,PR_AEcap)*H294,0)</f>
        <v>0</v>
      </c>
      <c r="Q294" s="1" t="n">
        <f aca="false">IF(G294=1,IF(WI_Retire=1,MAX(0,M294+WI_M*12),M294)+(PR_AEee+PR_AEer+PR_AEst)*P294,0)</f>
        <v>0</v>
      </c>
      <c r="R294" s="1" t="n">
        <f aca="false">L294+PR_AEee*P294</f>
        <v>0</v>
      </c>
      <c r="S294" s="1" t="n">
        <f aca="false">AD293</f>
        <v>0</v>
      </c>
      <c r="T294" s="1" t="n">
        <f aca="false">IF(D294&lt;=2026,PR_SFT2026,IF(D294=2027,PR_SFT2027,IF(D294=2028,PR_SFT2028,IF(D294=2029,PR_SFT2029,PR_SFT2029*(1+AS_Infl)^(D294-2029)))))</f>
        <v>14202739.3144075</v>
      </c>
      <c r="U294" s="1" t="n">
        <f aca="false">IF(AND(G294=0,C294=F_V),1,0)</f>
        <v>0</v>
      </c>
      <c r="V294" s="1" t="n">
        <f aca="false">IF(U294=1,PR_SFTrate*MAX(0,S294-T294),0)</f>
        <v>0</v>
      </c>
      <c r="W294" s="1" t="n">
        <f aca="false">S294-V294</f>
        <v>0</v>
      </c>
      <c r="X294" s="1" t="n">
        <f aca="false">IF(AND(U294=1,AS_LumpPct&gt;0),W294*MIN(AS_LumpPct,PR_LSmax),0)</f>
        <v>0</v>
      </c>
      <c r="Y294" s="1" t="n">
        <f aca="false">X294-(PR_LSrate*MAX(0,MIN(X294,PR_LScap)-PR_LSfree)+PR_r2*MAX(0,X294-PR_LScap))</f>
        <v>0</v>
      </c>
      <c r="Z294" s="1" t="n">
        <f aca="false">W294-X294</f>
        <v>0</v>
      </c>
      <c r="AA294" s="107" t="n">
        <f aca="false">IF(C294&gt;=61,IF(Z294&gt;PR_ARFbig,PR_ARFbigRate,IF(C294&gt;=71,PR_ARF71,PR_ARF61)),0)</f>
        <v>0.05</v>
      </c>
      <c r="AB294" s="1" t="n">
        <f aca="false">IF(AS_DrawRule="min",Z294*AA294,IF(AS_DrawRule="fixed",MAX(AS_DrawFixed*E294,Z294*AA294),Z294*MAX(1/MAX(1,AS_End-C294+1),AA294)))</f>
        <v>0</v>
      </c>
      <c r="AC294" s="1" t="n">
        <f aca="false">IF(AND(G294=0,C294&gt;=F_V),MIN(Z294,AB294),0)</f>
        <v>0</v>
      </c>
      <c r="AD294" s="1" t="n">
        <f aca="false">IF(G294=1,S294*(1+F_PenG)+Q294,IF(C294&lt;F_V,S294*(1+F_PenG),(Z294-AC294)*(1+AS_PenRet)))</f>
        <v>0</v>
      </c>
      <c r="AE294" s="1" t="n">
        <f aca="false">IF(C294&gt;=PR_SPage,AS_SP*F_SpF*I294+IF(C294&gt;=80,PR_Over80*PR_Weeks*I294,0),0)</f>
        <v>68451.6418650458</v>
      </c>
      <c r="AF294" s="1" t="n">
        <f aca="false">(F_OtherM+F_RentM)*12*E294</f>
        <v>0</v>
      </c>
      <c r="AG294" s="1" t="n">
        <f aca="false">F_PAge+B294</f>
        <v>84</v>
      </c>
      <c r="AH294" s="1" t="n">
        <f aca="false">IF(AND(F_Partner=1,F_PAge&gt;0,AG294&lt;IF(F_PRet&gt;0,F_PRet,66)),F_PIncome*F294,0)</f>
        <v>0</v>
      </c>
      <c r="AI294" s="1" t="n">
        <f aca="false">IF(AND(F_Partner=1,AG294&gt;=66,F_PSpQA=0),AS_SP*F_PSpF*I294,0)</f>
        <v>0</v>
      </c>
      <c r="AJ294" s="1" t="n">
        <f aca="false">IF(AND(F_Partner=1,F_PSpQA=1,C294&gt;=PR_SPage,AH294=0),IF(AG294&gt;=66,PR_QA66,PR_QAunder)*PR_Weeks*I294,0)</f>
        <v>0</v>
      </c>
      <c r="AK294" s="1" t="n">
        <f aca="false">AE294+AJ294</f>
        <v>68451.6418650458</v>
      </c>
      <c r="AL294" s="1" t="n">
        <f aca="false">K294/H294</f>
        <v>0</v>
      </c>
      <c r="AM294" s="1" t="n">
        <f aca="false">AK294/H294</f>
        <v>12970.88</v>
      </c>
      <c r="AN294" s="1" t="n">
        <f aca="false">AC294/H294</f>
        <v>0</v>
      </c>
      <c r="AO294" s="1" t="n">
        <f aca="false">AF294/H294</f>
        <v>0</v>
      </c>
      <c r="AP294" s="1" t="n">
        <f aca="false">O294/H294</f>
        <v>0</v>
      </c>
      <c r="AQ294" s="1" t="n">
        <f aca="false">AH294/H294</f>
        <v>0</v>
      </c>
      <c r="AR294" s="1" t="n">
        <f aca="false">AI294/H294</f>
        <v>0</v>
      </c>
      <c r="AS294" s="1" t="n">
        <f aca="false">MAX(0,AL294+AN294+AO294+AM294-AP294)</f>
        <v>12970.88</v>
      </c>
      <c r="AT294" s="1" t="n">
        <f aca="false">MAX(0,AQ294+AR294)</f>
        <v>0</v>
      </c>
      <c r="AU294" s="1" t="n">
        <f aca="false">MIN(PR_PAYE,PR_PAYEcap*(AL294+AN294+AM294))</f>
        <v>2000</v>
      </c>
      <c r="AV294" s="1" t="n">
        <f aca="false">MIN(PR_PAYE,PR_PAYEcap*(AQ294+AR294))</f>
        <v>0</v>
      </c>
      <c r="AW294" s="1" t="n">
        <f aca="false">IF(C294&gt;=PR_AgeCrAge,PR_AgeCr,0)</f>
        <v>245</v>
      </c>
      <c r="AX294" s="1" t="n">
        <f aca="false">IF(AG294&gt;=PR_AgeCrAge,PR_AgeCr,0)</f>
        <v>245</v>
      </c>
      <c r="AY294" s="1" t="n">
        <f aca="false">IF(AND(F_RentCred=1,D294&lt;=PR_RentLast),1,0)</f>
        <v>0</v>
      </c>
      <c r="AZ294" s="1" t="n">
        <f aca="false">AS294+AT294</f>
        <v>12970.88</v>
      </c>
      <c r="BA294" s="1" t="n">
        <f aca="false">PR_PersonalM+AU294+AV294+AW294+AX294+IF(AY294=1,PR_RentJoint,0)</f>
        <v>6490</v>
      </c>
      <c r="BB294" s="1" t="n">
        <f aca="false">PR_BandM+MIN(MIN(AS294,AT294),PR_Uplift)</f>
        <v>53000</v>
      </c>
      <c r="BC294" s="1" t="n">
        <f aca="false">MAX(0,PR_r1*MIN(AZ294,BB294)+PR_r2*MAX(0,AZ294-BB294)-BA294)</f>
        <v>0</v>
      </c>
      <c r="BD294" s="1" t="n">
        <f aca="false">MAX(0,PR_HomeCarer-MAX(0,MIN(AS294,AT294)-PR_HCLimit)/2)</f>
        <v>1950</v>
      </c>
      <c r="BE294" s="1" t="n">
        <f aca="false">IF(F_Carer=1,MIN(BC294,MAX(0,PR_r1*MIN(AZ294,PR_BandM)+PR_r2*MAX(0,AZ294-PR_BandM)-BA294-BD294)),BC294)</f>
        <v>0</v>
      </c>
      <c r="BF294" s="1" t="n">
        <f aca="false">IF(OR(C294&gt;=PR_AgeCrAge,AG294&gt;=PR_AgeCrAge),IF(AZ294&lt;=PR_AgeExM,0,MIN(BE294,PR_AgeMarg*(AZ294-PR_AgeExM))),BE294)</f>
        <v>0</v>
      </c>
      <c r="BG294" s="1" t="n">
        <f aca="false">MAX(0,PR_r1*MIN(AS294,IF(F_Spccc=1,PR_BandSPCCC,PR_Band))+PR_r2*MAX(0,AS294-IF(F_Spccc=1,PR_BandSPCCC,PR_Band))-(PR_Personal+AU294+AW294+IF(F_Spccc=1,PR_SPCCC,0)+IF(AY294=1,PR_Rent,0)))</f>
        <v>0</v>
      </c>
      <c r="BH294" s="1" t="n">
        <f aca="false">IF(C294&gt;=PR_AgeCrAge,IF(AS294&lt;=PR_AgeEx,0,MIN(BG294,PR_AgeMarg*(AS294-PR_AgeEx))),BG294)</f>
        <v>0</v>
      </c>
      <c r="BI294" s="1" t="n">
        <f aca="false">IF(F_Partner=1,MAX(0,PR_r1*MIN(AT294,PR_Band)+PR_r2*MAX(0,AT294-PR_Band)-(PR_Personal+AV294+AX294+IF(AND(AY294=1,AT294&gt;0),PR_Rent,0))),0)</f>
        <v>0</v>
      </c>
      <c r="BJ294" s="1" t="n">
        <f aca="false">IF(AG294&gt;=PR_AgeCrAge,IF(AT294&lt;=PR_AgeEx,0,MIN(BI294,PR_AgeMarg*(AT294-PR_AgeEx))),BI294)</f>
        <v>0</v>
      </c>
      <c r="BK294" s="1" t="n">
        <f aca="false">IF(F_Partner=1,IF(F_Married=1,BF294,BH294+BJ294),BH294)</f>
        <v>0</v>
      </c>
      <c r="BL294" s="1" t="n">
        <f aca="false">AL294+AN294+AO294</f>
        <v>0</v>
      </c>
      <c r="BM294" s="1" t="n">
        <f aca="false">IF(BL294&lt;=PR_USCex,0,IF(IF(AND(C294&gt;=PR_USCredAge,BL294&lt;=PR_USCredMax),1,0)=1,PR_USCr1*MIN(BL294,PR_USCredB1)+PR_USCredR2*MAX(0,BL294-PR_USCredB1),PR_USCr1*MIN(BL294,PR_USCb1)+PR_USCr2*MAX(0,MIN(BL294,PR_USCb2)-PR_USCb1)+PR_USCr3*MAX(0,MIN(BL294,PR_USCb3)-PR_USCb2)+PR_USCr4*MAX(0,BL294-PR_USCb3)))+IF(F_SelfEmp=1,PR_USCse*MAX(0,AL294-PR_USCseOver),0)</f>
        <v>0</v>
      </c>
      <c r="BN294" s="1" t="n">
        <f aca="false">AQ294</f>
        <v>0</v>
      </c>
      <c r="BO294" s="1" t="n">
        <f aca="false">IF(F_Partner=1,IF(BN294&lt;=PR_USCex,0,IF(IF(AND(AG294&gt;=PR_USCredAge,BN294&lt;=PR_USCredMax),1,0)=1,PR_USCr1*MIN(BN294,PR_USCredB1)+PR_USCredR2*MAX(0,BN294-PR_USCredB1),PR_USCr1*MIN(BN294,PR_USCb1)+PR_USCr2*MAX(0,MIN(BN294,PR_USCb2)-PR_USCb1)+PR_USCr3*MAX(0,MIN(BN294,PR_USCb3)-PR_USCb2)+PR_USCr4*MAX(0,BN294-PR_USCb3))),0)</f>
        <v>0</v>
      </c>
      <c r="BP294" s="1" t="n">
        <f aca="false">IF(C294&lt;PR_PRSIend,IF(F_SelfEmp=1,IF(AL294&gt;PR_PRSIsMinInc,MAX(PR_PRSIsMin,AL294*J294),0),IF(AL294/52&lt;=PR_PRSIfree,0,MAX(0,(AL294/52*J294-IF(AL294/52&lt;=PR_PRSIcreditTo,MAX(0,PR_PRSIcreditMax-(AL294/52-(PR_PRSIfree+0.01))/PR_PRSItaper),0))*52)))+J294*AN294+IF(AO294&gt;PR_PRSIunearned,J294*AO294,0),0)</f>
        <v>0</v>
      </c>
      <c r="BQ294" s="1" t="n">
        <f aca="false">IF(AND(F_Partner=1,AG294&lt;PR_PRSIend),IF(AQ294/52&lt;=PR_PRSIfree,0,MAX(0,(AQ294/52*J294-IF(AQ294/52&lt;=PR_PRSIcreditTo,MAX(0,PR_PRSIcreditMax-(AQ294/52-(PR_PRSIfree+0.01))/PR_PRSItaper),0))*52)),0)</f>
        <v>0</v>
      </c>
      <c r="BR294" s="1" t="n">
        <f aca="false">BK294+BM294+BO294+BP294+BQ294</f>
        <v>0</v>
      </c>
      <c r="BS294" s="1" t="n">
        <f aca="false">BR294*H294</f>
        <v>0</v>
      </c>
      <c r="BT294" s="1" t="n">
        <f aca="false">K294+AK294+AC294+AF294+AH294+AI294</f>
        <v>68451.6418650458</v>
      </c>
    </row>
    <row r="295" customFormat="false" ht="15" hidden="false" customHeight="false" outlineLevel="0" collapsed="false">
      <c r="B295" s="1" t="n">
        <v>85</v>
      </c>
      <c r="C295" s="1" t="n">
        <f aca="false">F_Age+B295</f>
        <v>85</v>
      </c>
      <c r="D295" s="1" t="n">
        <f aca="false">AS_Year0+B295</f>
        <v>2112</v>
      </c>
      <c r="E295" s="106" t="n">
        <f aca="false">(1+AS_Infl)^B295</f>
        <v>5.38287877941564</v>
      </c>
      <c r="F295" s="106" t="n">
        <f aca="false">(1+AS_Wage)^B295</f>
        <v>12.3357085495333</v>
      </c>
      <c r="G295" s="1" t="n">
        <f aca="false">IF(C295&lt;F_R,1,0)</f>
        <v>0</v>
      </c>
      <c r="H295" s="106" t="n">
        <f aca="false">IF(AS_Bands="flat",1,E295)</f>
        <v>5.38287877941564</v>
      </c>
      <c r="I295" s="106" t="n">
        <f aca="false">IF(AS_SpGrow="pay",F295,IF(AS_SpGrow="flat",1,E295))</f>
        <v>5.38287877941564</v>
      </c>
      <c r="J295" s="106" t="n">
        <f aca="false">(12*PR_PRSIr0+(PR_PRSIr1-PR_PRSIr0)*MAX(0,MIN(12,D295*12+12-PR_PRSIt1))+(PR_PRSIr2-PR_PRSIr1)*MAX(0,MIN(12,D295*12+12-PR_PRSIt2))+(PR_PRSIr3-PR_PRSIr2)*MAX(0,MIN(12,D295*12+12-PR_PRSIt3)))/12</f>
        <v>0.047</v>
      </c>
      <c r="K295" s="1" t="n">
        <f aca="false">IF(G295=1,F_Income*F295,0)</f>
        <v>0</v>
      </c>
      <c r="L295" s="1" t="n">
        <f aca="false">IF(G295=1,(F_Own+In_penExtra)*12*F295,0)</f>
        <v>0</v>
      </c>
      <c r="M295" s="1" t="n">
        <f aca="false">IF(G295=1,(F_PenM+In_penExtra)*12*F295,0)</f>
        <v>0</v>
      </c>
      <c r="N295" s="107" t="n">
        <f aca="false">IF(C295&lt;PR_RelA1,PR_RelP1,IF(C295&lt;PR_RelA2,PR_RelP2,IF(C295&lt;PR_RelA3,PR_RelP3,IF(C295&lt;PR_RelA4,PR_RelP4,IF(C295&lt;PR_RelA5,PR_RelP5,PR_RelP6)))))</f>
        <v>0.4</v>
      </c>
      <c r="O295" s="1" t="n">
        <f aca="false">IF(G295=1,MIN(L295/H295,N295*MIN(K295/H295,PR_EarnCap))*H295,0)</f>
        <v>0</v>
      </c>
      <c r="P295" s="1" t="n">
        <f aca="false">IF(AND(G295=1,F_AE=1),MIN(K295/H295,PR_AEcap)*H295,0)</f>
        <v>0</v>
      </c>
      <c r="Q295" s="1" t="n">
        <f aca="false">IF(G295=1,IF(WI_Retire=1,MAX(0,M295+WI_M*12),M295)+(PR_AEee+PR_AEer+PR_AEst)*P295,0)</f>
        <v>0</v>
      </c>
      <c r="R295" s="1" t="n">
        <f aca="false">L295+PR_AEee*P295</f>
        <v>0</v>
      </c>
      <c r="S295" s="1" t="n">
        <f aca="false">AD294</f>
        <v>0</v>
      </c>
      <c r="T295" s="1" t="n">
        <f aca="false">IF(D295&lt;=2026,PR_SFT2026,IF(D295=2027,PR_SFT2027,IF(D295=2028,PR_SFT2028,IF(D295=2029,PR_SFT2029,PR_SFT2029*(1+AS_Infl)^(D295-2029)))))</f>
        <v>14486794.1006957</v>
      </c>
      <c r="U295" s="1" t="n">
        <f aca="false">IF(AND(G295=0,C295=F_V),1,0)</f>
        <v>0</v>
      </c>
      <c r="V295" s="1" t="n">
        <f aca="false">IF(U295=1,PR_SFTrate*MAX(0,S295-T295),0)</f>
        <v>0</v>
      </c>
      <c r="W295" s="1" t="n">
        <f aca="false">S295-V295</f>
        <v>0</v>
      </c>
      <c r="X295" s="1" t="n">
        <f aca="false">IF(AND(U295=1,AS_LumpPct&gt;0),W295*MIN(AS_LumpPct,PR_LSmax),0)</f>
        <v>0</v>
      </c>
      <c r="Y295" s="1" t="n">
        <f aca="false">X295-(PR_LSrate*MAX(0,MIN(X295,PR_LScap)-PR_LSfree)+PR_r2*MAX(0,X295-PR_LScap))</f>
        <v>0</v>
      </c>
      <c r="Z295" s="1" t="n">
        <f aca="false">W295-X295</f>
        <v>0</v>
      </c>
      <c r="AA295" s="107" t="n">
        <f aca="false">IF(C295&gt;=61,IF(Z295&gt;PR_ARFbig,PR_ARFbigRate,IF(C295&gt;=71,PR_ARF71,PR_ARF61)),0)</f>
        <v>0.05</v>
      </c>
      <c r="AB295" s="1" t="n">
        <f aca="false">IF(AS_DrawRule="min",Z295*AA295,IF(AS_DrawRule="fixed",MAX(AS_DrawFixed*E295,Z295*AA295),Z295*MAX(1/MAX(1,AS_End-C295+1),AA295)))</f>
        <v>0</v>
      </c>
      <c r="AC295" s="1" t="n">
        <f aca="false">IF(AND(G295=0,C295&gt;=F_V),MIN(Z295,AB295),0)</f>
        <v>0</v>
      </c>
      <c r="AD295" s="1" t="n">
        <f aca="false">IF(G295=1,S295*(1+F_PenG)+Q295,IF(C295&lt;F_V,S295*(1+F_PenG),(Z295-AC295)*(1+AS_PenRet)))</f>
        <v>0</v>
      </c>
      <c r="AE295" s="1" t="n">
        <f aca="false">IF(C295&gt;=PR_SPage,AS_SP*F_SpF*I295+IF(C295&gt;=80,PR_Over80*PR_Weeks*I295,0),0)</f>
        <v>69820.6747023468</v>
      </c>
      <c r="AF295" s="1" t="n">
        <f aca="false">(F_OtherM+F_RentM)*12*E295</f>
        <v>0</v>
      </c>
      <c r="AG295" s="1" t="n">
        <f aca="false">F_PAge+B295</f>
        <v>85</v>
      </c>
      <c r="AH295" s="1" t="n">
        <f aca="false">IF(AND(F_Partner=1,F_PAge&gt;0,AG295&lt;IF(F_PRet&gt;0,F_PRet,66)),F_PIncome*F295,0)</f>
        <v>0</v>
      </c>
      <c r="AI295" s="1" t="n">
        <f aca="false">IF(AND(F_Partner=1,AG295&gt;=66,F_PSpQA=0),AS_SP*F_PSpF*I295,0)</f>
        <v>0</v>
      </c>
      <c r="AJ295" s="1" t="n">
        <f aca="false">IF(AND(F_Partner=1,F_PSpQA=1,C295&gt;=PR_SPage,AH295=0),IF(AG295&gt;=66,PR_QA66,PR_QAunder)*PR_Weeks*I295,0)</f>
        <v>0</v>
      </c>
      <c r="AK295" s="1" t="n">
        <f aca="false">AE295+AJ295</f>
        <v>69820.6747023468</v>
      </c>
      <c r="AL295" s="1" t="n">
        <f aca="false">K295/H295</f>
        <v>0</v>
      </c>
      <c r="AM295" s="1" t="n">
        <f aca="false">AK295/H295</f>
        <v>12970.88</v>
      </c>
      <c r="AN295" s="1" t="n">
        <f aca="false">AC295/H295</f>
        <v>0</v>
      </c>
      <c r="AO295" s="1" t="n">
        <f aca="false">AF295/H295</f>
        <v>0</v>
      </c>
      <c r="AP295" s="1" t="n">
        <f aca="false">O295/H295</f>
        <v>0</v>
      </c>
      <c r="AQ295" s="1" t="n">
        <f aca="false">AH295/H295</f>
        <v>0</v>
      </c>
      <c r="AR295" s="1" t="n">
        <f aca="false">AI295/H295</f>
        <v>0</v>
      </c>
      <c r="AS295" s="1" t="n">
        <f aca="false">MAX(0,AL295+AN295+AO295+AM295-AP295)</f>
        <v>12970.88</v>
      </c>
      <c r="AT295" s="1" t="n">
        <f aca="false">MAX(0,AQ295+AR295)</f>
        <v>0</v>
      </c>
      <c r="AU295" s="1" t="n">
        <f aca="false">MIN(PR_PAYE,PR_PAYEcap*(AL295+AN295+AM295))</f>
        <v>2000</v>
      </c>
      <c r="AV295" s="1" t="n">
        <f aca="false">MIN(PR_PAYE,PR_PAYEcap*(AQ295+AR295))</f>
        <v>0</v>
      </c>
      <c r="AW295" s="1" t="n">
        <f aca="false">IF(C295&gt;=PR_AgeCrAge,PR_AgeCr,0)</f>
        <v>245</v>
      </c>
      <c r="AX295" s="1" t="n">
        <f aca="false">IF(AG295&gt;=PR_AgeCrAge,PR_AgeCr,0)</f>
        <v>245</v>
      </c>
      <c r="AY295" s="1" t="n">
        <f aca="false">IF(AND(F_RentCred=1,D295&lt;=PR_RentLast),1,0)</f>
        <v>0</v>
      </c>
      <c r="AZ295" s="1" t="n">
        <f aca="false">AS295+AT295</f>
        <v>12970.88</v>
      </c>
      <c r="BA295" s="1" t="n">
        <f aca="false">PR_PersonalM+AU295+AV295+AW295+AX295+IF(AY295=1,PR_RentJoint,0)</f>
        <v>6490</v>
      </c>
      <c r="BB295" s="1" t="n">
        <f aca="false">PR_BandM+MIN(MIN(AS295,AT295),PR_Uplift)</f>
        <v>53000</v>
      </c>
      <c r="BC295" s="1" t="n">
        <f aca="false">MAX(0,PR_r1*MIN(AZ295,BB295)+PR_r2*MAX(0,AZ295-BB295)-BA295)</f>
        <v>0</v>
      </c>
      <c r="BD295" s="1" t="n">
        <f aca="false">MAX(0,PR_HomeCarer-MAX(0,MIN(AS295,AT295)-PR_HCLimit)/2)</f>
        <v>1950</v>
      </c>
      <c r="BE295" s="1" t="n">
        <f aca="false">IF(F_Carer=1,MIN(BC295,MAX(0,PR_r1*MIN(AZ295,PR_BandM)+PR_r2*MAX(0,AZ295-PR_BandM)-BA295-BD295)),BC295)</f>
        <v>0</v>
      </c>
      <c r="BF295" s="1" t="n">
        <f aca="false">IF(OR(C295&gt;=PR_AgeCrAge,AG295&gt;=PR_AgeCrAge),IF(AZ295&lt;=PR_AgeExM,0,MIN(BE295,PR_AgeMarg*(AZ295-PR_AgeExM))),BE295)</f>
        <v>0</v>
      </c>
      <c r="BG295" s="1" t="n">
        <f aca="false">MAX(0,PR_r1*MIN(AS295,IF(F_Spccc=1,PR_BandSPCCC,PR_Band))+PR_r2*MAX(0,AS295-IF(F_Spccc=1,PR_BandSPCCC,PR_Band))-(PR_Personal+AU295+AW295+IF(F_Spccc=1,PR_SPCCC,0)+IF(AY295=1,PR_Rent,0)))</f>
        <v>0</v>
      </c>
      <c r="BH295" s="1" t="n">
        <f aca="false">IF(C295&gt;=PR_AgeCrAge,IF(AS295&lt;=PR_AgeEx,0,MIN(BG295,PR_AgeMarg*(AS295-PR_AgeEx))),BG295)</f>
        <v>0</v>
      </c>
      <c r="BI295" s="1" t="n">
        <f aca="false">IF(F_Partner=1,MAX(0,PR_r1*MIN(AT295,PR_Band)+PR_r2*MAX(0,AT295-PR_Band)-(PR_Personal+AV295+AX295+IF(AND(AY295=1,AT295&gt;0),PR_Rent,0))),0)</f>
        <v>0</v>
      </c>
      <c r="BJ295" s="1" t="n">
        <f aca="false">IF(AG295&gt;=PR_AgeCrAge,IF(AT295&lt;=PR_AgeEx,0,MIN(BI295,PR_AgeMarg*(AT295-PR_AgeEx))),BI295)</f>
        <v>0</v>
      </c>
      <c r="BK295" s="1" t="n">
        <f aca="false">IF(F_Partner=1,IF(F_Married=1,BF295,BH295+BJ295),BH295)</f>
        <v>0</v>
      </c>
      <c r="BL295" s="1" t="n">
        <f aca="false">AL295+AN295+AO295</f>
        <v>0</v>
      </c>
      <c r="BM295" s="1" t="n">
        <f aca="false">IF(BL295&lt;=PR_USCex,0,IF(IF(AND(C295&gt;=PR_USCredAge,BL295&lt;=PR_USCredMax),1,0)=1,PR_USCr1*MIN(BL295,PR_USCredB1)+PR_USCredR2*MAX(0,BL295-PR_USCredB1),PR_USCr1*MIN(BL295,PR_USCb1)+PR_USCr2*MAX(0,MIN(BL295,PR_USCb2)-PR_USCb1)+PR_USCr3*MAX(0,MIN(BL295,PR_USCb3)-PR_USCb2)+PR_USCr4*MAX(0,BL295-PR_USCb3)))+IF(F_SelfEmp=1,PR_USCse*MAX(0,AL295-PR_USCseOver),0)</f>
        <v>0</v>
      </c>
      <c r="BN295" s="1" t="n">
        <f aca="false">AQ295</f>
        <v>0</v>
      </c>
      <c r="BO295" s="1" t="n">
        <f aca="false">IF(F_Partner=1,IF(BN295&lt;=PR_USCex,0,IF(IF(AND(AG295&gt;=PR_USCredAge,BN295&lt;=PR_USCredMax),1,0)=1,PR_USCr1*MIN(BN295,PR_USCredB1)+PR_USCredR2*MAX(0,BN295-PR_USCredB1),PR_USCr1*MIN(BN295,PR_USCb1)+PR_USCr2*MAX(0,MIN(BN295,PR_USCb2)-PR_USCb1)+PR_USCr3*MAX(0,MIN(BN295,PR_USCb3)-PR_USCb2)+PR_USCr4*MAX(0,BN295-PR_USCb3))),0)</f>
        <v>0</v>
      </c>
      <c r="BP295" s="1" t="n">
        <f aca="false">IF(C295&lt;PR_PRSIend,IF(F_SelfEmp=1,IF(AL295&gt;PR_PRSIsMinInc,MAX(PR_PRSIsMin,AL295*J295),0),IF(AL295/52&lt;=PR_PRSIfree,0,MAX(0,(AL295/52*J295-IF(AL295/52&lt;=PR_PRSIcreditTo,MAX(0,PR_PRSIcreditMax-(AL295/52-(PR_PRSIfree+0.01))/PR_PRSItaper),0))*52)))+J295*AN295+IF(AO295&gt;PR_PRSIunearned,J295*AO295,0),0)</f>
        <v>0</v>
      </c>
      <c r="BQ295" s="1" t="n">
        <f aca="false">IF(AND(F_Partner=1,AG295&lt;PR_PRSIend),IF(AQ295/52&lt;=PR_PRSIfree,0,MAX(0,(AQ295/52*J295-IF(AQ295/52&lt;=PR_PRSIcreditTo,MAX(0,PR_PRSIcreditMax-(AQ295/52-(PR_PRSIfree+0.01))/PR_PRSItaper),0))*52)),0)</f>
        <v>0</v>
      </c>
      <c r="BR295" s="1" t="n">
        <f aca="false">BK295+BM295+BO295+BP295+BQ295</f>
        <v>0</v>
      </c>
      <c r="BS295" s="1" t="n">
        <f aca="false">BR295*H295</f>
        <v>0</v>
      </c>
      <c r="BT295" s="1" t="n">
        <f aca="false">K295+AK295+AC295+AF295+AH295+AI295</f>
        <v>69820.6747023468</v>
      </c>
    </row>
    <row r="296" customFormat="false" ht="15" hidden="false" customHeight="false" outlineLevel="0" collapsed="false">
      <c r="B296" s="1" t="n">
        <v>86</v>
      </c>
      <c r="C296" s="1" t="n">
        <f aca="false">F_Age+B296</f>
        <v>86</v>
      </c>
      <c r="D296" s="1" t="n">
        <f aca="false">AS_Year0+B296</f>
        <v>2113</v>
      </c>
      <c r="E296" s="106" t="n">
        <f aca="false">(1+AS_Infl)^B296</f>
        <v>5.49053635500395</v>
      </c>
      <c r="F296" s="106" t="n">
        <f aca="false">(1+AS_Wage)^B296</f>
        <v>12.7057798060193</v>
      </c>
      <c r="G296" s="1" t="n">
        <f aca="false">IF(C296&lt;F_R,1,0)</f>
        <v>0</v>
      </c>
      <c r="H296" s="106" t="n">
        <f aca="false">IF(AS_Bands="flat",1,E296)</f>
        <v>5.49053635500395</v>
      </c>
      <c r="I296" s="106" t="n">
        <f aca="false">IF(AS_SpGrow="pay",F296,IF(AS_SpGrow="flat",1,E296))</f>
        <v>5.49053635500395</v>
      </c>
      <c r="J296" s="106" t="n">
        <f aca="false">(12*PR_PRSIr0+(PR_PRSIr1-PR_PRSIr0)*MAX(0,MIN(12,D296*12+12-PR_PRSIt1))+(PR_PRSIr2-PR_PRSIr1)*MAX(0,MIN(12,D296*12+12-PR_PRSIt2))+(PR_PRSIr3-PR_PRSIr2)*MAX(0,MIN(12,D296*12+12-PR_PRSIt3)))/12</f>
        <v>0.047</v>
      </c>
      <c r="K296" s="1" t="n">
        <f aca="false">IF(G296=1,F_Income*F296,0)</f>
        <v>0</v>
      </c>
      <c r="L296" s="1" t="n">
        <f aca="false">IF(G296=1,(F_Own+In_penExtra)*12*F296,0)</f>
        <v>0</v>
      </c>
      <c r="M296" s="1" t="n">
        <f aca="false">IF(G296=1,(F_PenM+In_penExtra)*12*F296,0)</f>
        <v>0</v>
      </c>
      <c r="N296" s="107" t="n">
        <f aca="false">IF(C296&lt;PR_RelA1,PR_RelP1,IF(C296&lt;PR_RelA2,PR_RelP2,IF(C296&lt;PR_RelA3,PR_RelP3,IF(C296&lt;PR_RelA4,PR_RelP4,IF(C296&lt;PR_RelA5,PR_RelP5,PR_RelP6)))))</f>
        <v>0.4</v>
      </c>
      <c r="O296" s="1" t="n">
        <f aca="false">IF(G296=1,MIN(L296/H296,N296*MIN(K296/H296,PR_EarnCap))*H296,0)</f>
        <v>0</v>
      </c>
      <c r="P296" s="1" t="n">
        <f aca="false">IF(AND(G296=1,F_AE=1),MIN(K296/H296,PR_AEcap)*H296,0)</f>
        <v>0</v>
      </c>
      <c r="Q296" s="1" t="n">
        <f aca="false">IF(G296=1,IF(WI_Retire=1,MAX(0,M296+WI_M*12),M296)+(PR_AEee+PR_AEer+PR_AEst)*P296,0)</f>
        <v>0</v>
      </c>
      <c r="R296" s="1" t="n">
        <f aca="false">L296+PR_AEee*P296</f>
        <v>0</v>
      </c>
      <c r="S296" s="1" t="n">
        <f aca="false">AD295</f>
        <v>0</v>
      </c>
      <c r="T296" s="1" t="n">
        <f aca="false">IF(D296&lt;=2026,PR_SFT2026,IF(D296=2027,PR_SFT2027,IF(D296=2028,PR_SFT2028,IF(D296=2029,PR_SFT2029,PR_SFT2029*(1+AS_Infl)^(D296-2029)))))</f>
        <v>14776529.9827096</v>
      </c>
      <c r="U296" s="1" t="n">
        <f aca="false">IF(AND(G296=0,C296=F_V),1,0)</f>
        <v>0</v>
      </c>
      <c r="V296" s="1" t="n">
        <f aca="false">IF(U296=1,PR_SFTrate*MAX(0,S296-T296),0)</f>
        <v>0</v>
      </c>
      <c r="W296" s="1" t="n">
        <f aca="false">S296-V296</f>
        <v>0</v>
      </c>
      <c r="X296" s="1" t="n">
        <f aca="false">IF(AND(U296=1,AS_LumpPct&gt;0),W296*MIN(AS_LumpPct,PR_LSmax),0)</f>
        <v>0</v>
      </c>
      <c r="Y296" s="1" t="n">
        <f aca="false">X296-(PR_LSrate*MAX(0,MIN(X296,PR_LScap)-PR_LSfree)+PR_r2*MAX(0,X296-PR_LScap))</f>
        <v>0</v>
      </c>
      <c r="Z296" s="1" t="n">
        <f aca="false">W296-X296</f>
        <v>0</v>
      </c>
      <c r="AA296" s="107" t="n">
        <f aca="false">IF(C296&gt;=61,IF(Z296&gt;PR_ARFbig,PR_ARFbigRate,IF(C296&gt;=71,PR_ARF71,PR_ARF61)),0)</f>
        <v>0.05</v>
      </c>
      <c r="AB296" s="1" t="n">
        <f aca="false">IF(AS_DrawRule="min",Z296*AA296,IF(AS_DrawRule="fixed",MAX(AS_DrawFixed*E296,Z296*AA296),Z296*MAX(1/MAX(1,AS_End-C296+1),AA296)))</f>
        <v>0</v>
      </c>
      <c r="AC296" s="1" t="n">
        <f aca="false">IF(AND(G296=0,C296&gt;=F_V),MIN(Z296,AB296),0)</f>
        <v>0</v>
      </c>
      <c r="AD296" s="1" t="n">
        <f aca="false">IF(G296=1,S296*(1+F_PenG)+Q296,IF(C296&lt;F_V,S296*(1+F_PenG),(Z296-AC296)*(1+AS_PenRet)))</f>
        <v>0</v>
      </c>
      <c r="AE296" s="1" t="n">
        <f aca="false">IF(C296&gt;=PR_SPage,AS_SP*F_SpF*I296+IF(C296&gt;=80,PR_Over80*PR_Weeks*I296,0),0)</f>
        <v>71217.0881963937</v>
      </c>
      <c r="AF296" s="1" t="n">
        <f aca="false">(F_OtherM+F_RentM)*12*E296</f>
        <v>0</v>
      </c>
      <c r="AG296" s="1" t="n">
        <f aca="false">F_PAge+B296</f>
        <v>86</v>
      </c>
      <c r="AH296" s="1" t="n">
        <f aca="false">IF(AND(F_Partner=1,F_PAge&gt;0,AG296&lt;IF(F_PRet&gt;0,F_PRet,66)),F_PIncome*F296,0)</f>
        <v>0</v>
      </c>
      <c r="AI296" s="1" t="n">
        <f aca="false">IF(AND(F_Partner=1,AG296&gt;=66,F_PSpQA=0),AS_SP*F_PSpF*I296,0)</f>
        <v>0</v>
      </c>
      <c r="AJ296" s="1" t="n">
        <f aca="false">IF(AND(F_Partner=1,F_PSpQA=1,C296&gt;=PR_SPage,AH296=0),IF(AG296&gt;=66,PR_QA66,PR_QAunder)*PR_Weeks*I296,0)</f>
        <v>0</v>
      </c>
      <c r="AK296" s="1" t="n">
        <f aca="false">AE296+AJ296</f>
        <v>71217.0881963937</v>
      </c>
      <c r="AL296" s="1" t="n">
        <f aca="false">K296/H296</f>
        <v>0</v>
      </c>
      <c r="AM296" s="1" t="n">
        <f aca="false">AK296/H296</f>
        <v>12970.88</v>
      </c>
      <c r="AN296" s="1" t="n">
        <f aca="false">AC296/H296</f>
        <v>0</v>
      </c>
      <c r="AO296" s="1" t="n">
        <f aca="false">AF296/H296</f>
        <v>0</v>
      </c>
      <c r="AP296" s="1" t="n">
        <f aca="false">O296/H296</f>
        <v>0</v>
      </c>
      <c r="AQ296" s="1" t="n">
        <f aca="false">AH296/H296</f>
        <v>0</v>
      </c>
      <c r="AR296" s="1" t="n">
        <f aca="false">AI296/H296</f>
        <v>0</v>
      </c>
      <c r="AS296" s="1" t="n">
        <f aca="false">MAX(0,AL296+AN296+AO296+AM296-AP296)</f>
        <v>12970.88</v>
      </c>
      <c r="AT296" s="1" t="n">
        <f aca="false">MAX(0,AQ296+AR296)</f>
        <v>0</v>
      </c>
      <c r="AU296" s="1" t="n">
        <f aca="false">MIN(PR_PAYE,PR_PAYEcap*(AL296+AN296+AM296))</f>
        <v>2000</v>
      </c>
      <c r="AV296" s="1" t="n">
        <f aca="false">MIN(PR_PAYE,PR_PAYEcap*(AQ296+AR296))</f>
        <v>0</v>
      </c>
      <c r="AW296" s="1" t="n">
        <f aca="false">IF(C296&gt;=PR_AgeCrAge,PR_AgeCr,0)</f>
        <v>245</v>
      </c>
      <c r="AX296" s="1" t="n">
        <f aca="false">IF(AG296&gt;=PR_AgeCrAge,PR_AgeCr,0)</f>
        <v>245</v>
      </c>
      <c r="AY296" s="1" t="n">
        <f aca="false">IF(AND(F_RentCred=1,D296&lt;=PR_RentLast),1,0)</f>
        <v>0</v>
      </c>
      <c r="AZ296" s="1" t="n">
        <f aca="false">AS296+AT296</f>
        <v>12970.88</v>
      </c>
      <c r="BA296" s="1" t="n">
        <f aca="false">PR_PersonalM+AU296+AV296+AW296+AX296+IF(AY296=1,PR_RentJoint,0)</f>
        <v>6490</v>
      </c>
      <c r="BB296" s="1" t="n">
        <f aca="false">PR_BandM+MIN(MIN(AS296,AT296),PR_Uplift)</f>
        <v>53000</v>
      </c>
      <c r="BC296" s="1" t="n">
        <f aca="false">MAX(0,PR_r1*MIN(AZ296,BB296)+PR_r2*MAX(0,AZ296-BB296)-BA296)</f>
        <v>0</v>
      </c>
      <c r="BD296" s="1" t="n">
        <f aca="false">MAX(0,PR_HomeCarer-MAX(0,MIN(AS296,AT296)-PR_HCLimit)/2)</f>
        <v>1950</v>
      </c>
      <c r="BE296" s="1" t="n">
        <f aca="false">IF(F_Carer=1,MIN(BC296,MAX(0,PR_r1*MIN(AZ296,PR_BandM)+PR_r2*MAX(0,AZ296-PR_BandM)-BA296-BD296)),BC296)</f>
        <v>0</v>
      </c>
      <c r="BF296" s="1" t="n">
        <f aca="false">IF(OR(C296&gt;=PR_AgeCrAge,AG296&gt;=PR_AgeCrAge),IF(AZ296&lt;=PR_AgeExM,0,MIN(BE296,PR_AgeMarg*(AZ296-PR_AgeExM))),BE296)</f>
        <v>0</v>
      </c>
      <c r="BG296" s="1" t="n">
        <f aca="false">MAX(0,PR_r1*MIN(AS296,IF(F_Spccc=1,PR_BandSPCCC,PR_Band))+PR_r2*MAX(0,AS296-IF(F_Spccc=1,PR_BandSPCCC,PR_Band))-(PR_Personal+AU296+AW296+IF(F_Spccc=1,PR_SPCCC,0)+IF(AY296=1,PR_Rent,0)))</f>
        <v>0</v>
      </c>
      <c r="BH296" s="1" t="n">
        <f aca="false">IF(C296&gt;=PR_AgeCrAge,IF(AS296&lt;=PR_AgeEx,0,MIN(BG296,PR_AgeMarg*(AS296-PR_AgeEx))),BG296)</f>
        <v>0</v>
      </c>
      <c r="BI296" s="1" t="n">
        <f aca="false">IF(F_Partner=1,MAX(0,PR_r1*MIN(AT296,PR_Band)+PR_r2*MAX(0,AT296-PR_Band)-(PR_Personal+AV296+AX296+IF(AND(AY296=1,AT296&gt;0),PR_Rent,0))),0)</f>
        <v>0</v>
      </c>
      <c r="BJ296" s="1" t="n">
        <f aca="false">IF(AG296&gt;=PR_AgeCrAge,IF(AT296&lt;=PR_AgeEx,0,MIN(BI296,PR_AgeMarg*(AT296-PR_AgeEx))),BI296)</f>
        <v>0</v>
      </c>
      <c r="BK296" s="1" t="n">
        <f aca="false">IF(F_Partner=1,IF(F_Married=1,BF296,BH296+BJ296),BH296)</f>
        <v>0</v>
      </c>
      <c r="BL296" s="1" t="n">
        <f aca="false">AL296+AN296+AO296</f>
        <v>0</v>
      </c>
      <c r="BM296" s="1" t="n">
        <f aca="false">IF(BL296&lt;=PR_USCex,0,IF(IF(AND(C296&gt;=PR_USCredAge,BL296&lt;=PR_USCredMax),1,0)=1,PR_USCr1*MIN(BL296,PR_USCredB1)+PR_USCredR2*MAX(0,BL296-PR_USCredB1),PR_USCr1*MIN(BL296,PR_USCb1)+PR_USCr2*MAX(0,MIN(BL296,PR_USCb2)-PR_USCb1)+PR_USCr3*MAX(0,MIN(BL296,PR_USCb3)-PR_USCb2)+PR_USCr4*MAX(0,BL296-PR_USCb3)))+IF(F_SelfEmp=1,PR_USCse*MAX(0,AL296-PR_USCseOver),0)</f>
        <v>0</v>
      </c>
      <c r="BN296" s="1" t="n">
        <f aca="false">AQ296</f>
        <v>0</v>
      </c>
      <c r="BO296" s="1" t="n">
        <f aca="false">IF(F_Partner=1,IF(BN296&lt;=PR_USCex,0,IF(IF(AND(AG296&gt;=PR_USCredAge,BN296&lt;=PR_USCredMax),1,0)=1,PR_USCr1*MIN(BN296,PR_USCredB1)+PR_USCredR2*MAX(0,BN296-PR_USCredB1),PR_USCr1*MIN(BN296,PR_USCb1)+PR_USCr2*MAX(0,MIN(BN296,PR_USCb2)-PR_USCb1)+PR_USCr3*MAX(0,MIN(BN296,PR_USCb3)-PR_USCb2)+PR_USCr4*MAX(0,BN296-PR_USCb3))),0)</f>
        <v>0</v>
      </c>
      <c r="BP296" s="1" t="n">
        <f aca="false">IF(C296&lt;PR_PRSIend,IF(F_SelfEmp=1,IF(AL296&gt;PR_PRSIsMinInc,MAX(PR_PRSIsMin,AL296*J296),0),IF(AL296/52&lt;=PR_PRSIfree,0,MAX(0,(AL296/52*J296-IF(AL296/52&lt;=PR_PRSIcreditTo,MAX(0,PR_PRSIcreditMax-(AL296/52-(PR_PRSIfree+0.01))/PR_PRSItaper),0))*52)))+J296*AN296+IF(AO296&gt;PR_PRSIunearned,J296*AO296,0),0)</f>
        <v>0</v>
      </c>
      <c r="BQ296" s="1" t="n">
        <f aca="false">IF(AND(F_Partner=1,AG296&lt;PR_PRSIend),IF(AQ296/52&lt;=PR_PRSIfree,0,MAX(0,(AQ296/52*J296-IF(AQ296/52&lt;=PR_PRSIcreditTo,MAX(0,PR_PRSIcreditMax-(AQ296/52-(PR_PRSIfree+0.01))/PR_PRSItaper),0))*52)),0)</f>
        <v>0</v>
      </c>
      <c r="BR296" s="1" t="n">
        <f aca="false">BK296+BM296+BO296+BP296+BQ296</f>
        <v>0</v>
      </c>
      <c r="BS296" s="1" t="n">
        <f aca="false">BR296*H296</f>
        <v>0</v>
      </c>
      <c r="BT296" s="1" t="n">
        <f aca="false">K296+AK296+AC296+AF296+AH296+AI296</f>
        <v>71217.0881963937</v>
      </c>
    </row>
    <row r="297" customFormat="false" ht="15" hidden="false" customHeight="false" outlineLevel="0" collapsed="false">
      <c r="B297" s="1" t="n">
        <v>87</v>
      </c>
      <c r="C297" s="1" t="n">
        <f aca="false">F_Age+B297</f>
        <v>87</v>
      </c>
      <c r="D297" s="1" t="n">
        <f aca="false">AS_Year0+B297</f>
        <v>2114</v>
      </c>
      <c r="E297" s="106" t="n">
        <f aca="false">(1+AS_Infl)^B297</f>
        <v>5.60034708210403</v>
      </c>
      <c r="F297" s="106" t="n">
        <f aca="false">(1+AS_Wage)^B297</f>
        <v>13.0869532001998</v>
      </c>
      <c r="G297" s="1" t="n">
        <f aca="false">IF(C297&lt;F_R,1,0)</f>
        <v>0</v>
      </c>
      <c r="H297" s="106" t="n">
        <f aca="false">IF(AS_Bands="flat",1,E297)</f>
        <v>5.60034708210403</v>
      </c>
      <c r="I297" s="106" t="n">
        <f aca="false">IF(AS_SpGrow="pay",F297,IF(AS_SpGrow="flat",1,E297))</f>
        <v>5.60034708210403</v>
      </c>
      <c r="J297" s="106" t="n">
        <f aca="false">(12*PR_PRSIr0+(PR_PRSIr1-PR_PRSIr0)*MAX(0,MIN(12,D297*12+12-PR_PRSIt1))+(PR_PRSIr2-PR_PRSIr1)*MAX(0,MIN(12,D297*12+12-PR_PRSIt2))+(PR_PRSIr3-PR_PRSIr2)*MAX(0,MIN(12,D297*12+12-PR_PRSIt3)))/12</f>
        <v>0.047</v>
      </c>
      <c r="K297" s="1" t="n">
        <f aca="false">IF(G297=1,F_Income*F297,0)</f>
        <v>0</v>
      </c>
      <c r="L297" s="1" t="n">
        <f aca="false">IF(G297=1,(F_Own+In_penExtra)*12*F297,0)</f>
        <v>0</v>
      </c>
      <c r="M297" s="1" t="n">
        <f aca="false">IF(G297=1,(F_PenM+In_penExtra)*12*F297,0)</f>
        <v>0</v>
      </c>
      <c r="N297" s="107" t="n">
        <f aca="false">IF(C297&lt;PR_RelA1,PR_RelP1,IF(C297&lt;PR_RelA2,PR_RelP2,IF(C297&lt;PR_RelA3,PR_RelP3,IF(C297&lt;PR_RelA4,PR_RelP4,IF(C297&lt;PR_RelA5,PR_RelP5,PR_RelP6)))))</f>
        <v>0.4</v>
      </c>
      <c r="O297" s="1" t="n">
        <f aca="false">IF(G297=1,MIN(L297/H297,N297*MIN(K297/H297,PR_EarnCap))*H297,0)</f>
        <v>0</v>
      </c>
      <c r="P297" s="1" t="n">
        <f aca="false">IF(AND(G297=1,F_AE=1),MIN(K297/H297,PR_AEcap)*H297,0)</f>
        <v>0</v>
      </c>
      <c r="Q297" s="1" t="n">
        <f aca="false">IF(G297=1,IF(WI_Retire=1,MAX(0,M297+WI_M*12),M297)+(PR_AEee+PR_AEer+PR_AEst)*P297,0)</f>
        <v>0</v>
      </c>
      <c r="R297" s="1" t="n">
        <f aca="false">L297+PR_AEee*P297</f>
        <v>0</v>
      </c>
      <c r="S297" s="1" t="n">
        <f aca="false">AD296</f>
        <v>0</v>
      </c>
      <c r="T297" s="1" t="n">
        <f aca="false">IF(D297&lt;=2026,PR_SFT2026,IF(D297=2027,PR_SFT2027,IF(D297=2028,PR_SFT2028,IF(D297=2029,PR_SFT2029,PR_SFT2029*(1+AS_Infl)^(D297-2029)))))</f>
        <v>15072060.5823638</v>
      </c>
      <c r="U297" s="1" t="n">
        <f aca="false">IF(AND(G297=0,C297=F_V),1,0)</f>
        <v>0</v>
      </c>
      <c r="V297" s="1" t="n">
        <f aca="false">IF(U297=1,PR_SFTrate*MAX(0,S297-T297),0)</f>
        <v>0</v>
      </c>
      <c r="W297" s="1" t="n">
        <f aca="false">S297-V297</f>
        <v>0</v>
      </c>
      <c r="X297" s="1" t="n">
        <f aca="false">IF(AND(U297=1,AS_LumpPct&gt;0),W297*MIN(AS_LumpPct,PR_LSmax),0)</f>
        <v>0</v>
      </c>
      <c r="Y297" s="1" t="n">
        <f aca="false">X297-(PR_LSrate*MAX(0,MIN(X297,PR_LScap)-PR_LSfree)+PR_r2*MAX(0,X297-PR_LScap))</f>
        <v>0</v>
      </c>
      <c r="Z297" s="1" t="n">
        <f aca="false">W297-X297</f>
        <v>0</v>
      </c>
      <c r="AA297" s="107" t="n">
        <f aca="false">IF(C297&gt;=61,IF(Z297&gt;PR_ARFbig,PR_ARFbigRate,IF(C297&gt;=71,PR_ARF71,PR_ARF61)),0)</f>
        <v>0.05</v>
      </c>
      <c r="AB297" s="1" t="n">
        <f aca="false">IF(AS_DrawRule="min",Z297*AA297,IF(AS_DrawRule="fixed",MAX(AS_DrawFixed*E297,Z297*AA297),Z297*MAX(1/MAX(1,AS_End-C297+1),AA297)))</f>
        <v>0</v>
      </c>
      <c r="AC297" s="1" t="n">
        <f aca="false">IF(AND(G297=0,C297&gt;=F_V),MIN(Z297,AB297),0)</f>
        <v>0</v>
      </c>
      <c r="AD297" s="1" t="n">
        <f aca="false">IF(G297=1,S297*(1+F_PenG)+Q297,IF(C297&lt;F_V,S297*(1+F_PenG),(Z297-AC297)*(1+AS_PenRet)))</f>
        <v>0</v>
      </c>
      <c r="AE297" s="1" t="n">
        <f aca="false">IF(C297&gt;=PR_SPage,AS_SP*F_SpF*I297+IF(C297&gt;=80,PR_Over80*PR_Weeks*I297,0),0)</f>
        <v>72641.4299603216</v>
      </c>
      <c r="AF297" s="1" t="n">
        <f aca="false">(F_OtherM+F_RentM)*12*E297</f>
        <v>0</v>
      </c>
      <c r="AG297" s="1" t="n">
        <f aca="false">F_PAge+B297</f>
        <v>87</v>
      </c>
      <c r="AH297" s="1" t="n">
        <f aca="false">IF(AND(F_Partner=1,F_PAge&gt;0,AG297&lt;IF(F_PRet&gt;0,F_PRet,66)),F_PIncome*F297,0)</f>
        <v>0</v>
      </c>
      <c r="AI297" s="1" t="n">
        <f aca="false">IF(AND(F_Partner=1,AG297&gt;=66,F_PSpQA=0),AS_SP*F_PSpF*I297,0)</f>
        <v>0</v>
      </c>
      <c r="AJ297" s="1" t="n">
        <f aca="false">IF(AND(F_Partner=1,F_PSpQA=1,C297&gt;=PR_SPage,AH297=0),IF(AG297&gt;=66,PR_QA66,PR_QAunder)*PR_Weeks*I297,0)</f>
        <v>0</v>
      </c>
      <c r="AK297" s="1" t="n">
        <f aca="false">AE297+AJ297</f>
        <v>72641.4299603216</v>
      </c>
      <c r="AL297" s="1" t="n">
        <f aca="false">K297/H297</f>
        <v>0</v>
      </c>
      <c r="AM297" s="1" t="n">
        <f aca="false">AK297/H297</f>
        <v>12970.88</v>
      </c>
      <c r="AN297" s="1" t="n">
        <f aca="false">AC297/H297</f>
        <v>0</v>
      </c>
      <c r="AO297" s="1" t="n">
        <f aca="false">AF297/H297</f>
        <v>0</v>
      </c>
      <c r="AP297" s="1" t="n">
        <f aca="false">O297/H297</f>
        <v>0</v>
      </c>
      <c r="AQ297" s="1" t="n">
        <f aca="false">AH297/H297</f>
        <v>0</v>
      </c>
      <c r="AR297" s="1" t="n">
        <f aca="false">AI297/H297</f>
        <v>0</v>
      </c>
      <c r="AS297" s="1" t="n">
        <f aca="false">MAX(0,AL297+AN297+AO297+AM297-AP297)</f>
        <v>12970.88</v>
      </c>
      <c r="AT297" s="1" t="n">
        <f aca="false">MAX(0,AQ297+AR297)</f>
        <v>0</v>
      </c>
      <c r="AU297" s="1" t="n">
        <f aca="false">MIN(PR_PAYE,PR_PAYEcap*(AL297+AN297+AM297))</f>
        <v>2000</v>
      </c>
      <c r="AV297" s="1" t="n">
        <f aca="false">MIN(PR_PAYE,PR_PAYEcap*(AQ297+AR297))</f>
        <v>0</v>
      </c>
      <c r="AW297" s="1" t="n">
        <f aca="false">IF(C297&gt;=PR_AgeCrAge,PR_AgeCr,0)</f>
        <v>245</v>
      </c>
      <c r="AX297" s="1" t="n">
        <f aca="false">IF(AG297&gt;=PR_AgeCrAge,PR_AgeCr,0)</f>
        <v>245</v>
      </c>
      <c r="AY297" s="1" t="n">
        <f aca="false">IF(AND(F_RentCred=1,D297&lt;=PR_RentLast),1,0)</f>
        <v>0</v>
      </c>
      <c r="AZ297" s="1" t="n">
        <f aca="false">AS297+AT297</f>
        <v>12970.88</v>
      </c>
      <c r="BA297" s="1" t="n">
        <f aca="false">PR_PersonalM+AU297+AV297+AW297+AX297+IF(AY297=1,PR_RentJoint,0)</f>
        <v>6490</v>
      </c>
      <c r="BB297" s="1" t="n">
        <f aca="false">PR_BandM+MIN(MIN(AS297,AT297),PR_Uplift)</f>
        <v>53000</v>
      </c>
      <c r="BC297" s="1" t="n">
        <f aca="false">MAX(0,PR_r1*MIN(AZ297,BB297)+PR_r2*MAX(0,AZ297-BB297)-BA297)</f>
        <v>0</v>
      </c>
      <c r="BD297" s="1" t="n">
        <f aca="false">MAX(0,PR_HomeCarer-MAX(0,MIN(AS297,AT297)-PR_HCLimit)/2)</f>
        <v>1950</v>
      </c>
      <c r="BE297" s="1" t="n">
        <f aca="false">IF(F_Carer=1,MIN(BC297,MAX(0,PR_r1*MIN(AZ297,PR_BandM)+PR_r2*MAX(0,AZ297-PR_BandM)-BA297-BD297)),BC297)</f>
        <v>0</v>
      </c>
      <c r="BF297" s="1" t="n">
        <f aca="false">IF(OR(C297&gt;=PR_AgeCrAge,AG297&gt;=PR_AgeCrAge),IF(AZ297&lt;=PR_AgeExM,0,MIN(BE297,PR_AgeMarg*(AZ297-PR_AgeExM))),BE297)</f>
        <v>0</v>
      </c>
      <c r="BG297" s="1" t="n">
        <f aca="false">MAX(0,PR_r1*MIN(AS297,IF(F_Spccc=1,PR_BandSPCCC,PR_Band))+PR_r2*MAX(0,AS297-IF(F_Spccc=1,PR_BandSPCCC,PR_Band))-(PR_Personal+AU297+AW297+IF(F_Spccc=1,PR_SPCCC,0)+IF(AY297=1,PR_Rent,0)))</f>
        <v>0</v>
      </c>
      <c r="BH297" s="1" t="n">
        <f aca="false">IF(C297&gt;=PR_AgeCrAge,IF(AS297&lt;=PR_AgeEx,0,MIN(BG297,PR_AgeMarg*(AS297-PR_AgeEx))),BG297)</f>
        <v>0</v>
      </c>
      <c r="BI297" s="1" t="n">
        <f aca="false">IF(F_Partner=1,MAX(0,PR_r1*MIN(AT297,PR_Band)+PR_r2*MAX(0,AT297-PR_Band)-(PR_Personal+AV297+AX297+IF(AND(AY297=1,AT297&gt;0),PR_Rent,0))),0)</f>
        <v>0</v>
      </c>
      <c r="BJ297" s="1" t="n">
        <f aca="false">IF(AG297&gt;=PR_AgeCrAge,IF(AT297&lt;=PR_AgeEx,0,MIN(BI297,PR_AgeMarg*(AT297-PR_AgeEx))),BI297)</f>
        <v>0</v>
      </c>
      <c r="BK297" s="1" t="n">
        <f aca="false">IF(F_Partner=1,IF(F_Married=1,BF297,BH297+BJ297),BH297)</f>
        <v>0</v>
      </c>
      <c r="BL297" s="1" t="n">
        <f aca="false">AL297+AN297+AO297</f>
        <v>0</v>
      </c>
      <c r="BM297" s="1" t="n">
        <f aca="false">IF(BL297&lt;=PR_USCex,0,IF(IF(AND(C297&gt;=PR_USCredAge,BL297&lt;=PR_USCredMax),1,0)=1,PR_USCr1*MIN(BL297,PR_USCredB1)+PR_USCredR2*MAX(0,BL297-PR_USCredB1),PR_USCr1*MIN(BL297,PR_USCb1)+PR_USCr2*MAX(0,MIN(BL297,PR_USCb2)-PR_USCb1)+PR_USCr3*MAX(0,MIN(BL297,PR_USCb3)-PR_USCb2)+PR_USCr4*MAX(0,BL297-PR_USCb3)))+IF(F_SelfEmp=1,PR_USCse*MAX(0,AL297-PR_USCseOver),0)</f>
        <v>0</v>
      </c>
      <c r="BN297" s="1" t="n">
        <f aca="false">AQ297</f>
        <v>0</v>
      </c>
      <c r="BO297" s="1" t="n">
        <f aca="false">IF(F_Partner=1,IF(BN297&lt;=PR_USCex,0,IF(IF(AND(AG297&gt;=PR_USCredAge,BN297&lt;=PR_USCredMax),1,0)=1,PR_USCr1*MIN(BN297,PR_USCredB1)+PR_USCredR2*MAX(0,BN297-PR_USCredB1),PR_USCr1*MIN(BN297,PR_USCb1)+PR_USCr2*MAX(0,MIN(BN297,PR_USCb2)-PR_USCb1)+PR_USCr3*MAX(0,MIN(BN297,PR_USCb3)-PR_USCb2)+PR_USCr4*MAX(0,BN297-PR_USCb3))),0)</f>
        <v>0</v>
      </c>
      <c r="BP297" s="1" t="n">
        <f aca="false">IF(C297&lt;PR_PRSIend,IF(F_SelfEmp=1,IF(AL297&gt;PR_PRSIsMinInc,MAX(PR_PRSIsMin,AL297*J297),0),IF(AL297/52&lt;=PR_PRSIfree,0,MAX(0,(AL297/52*J297-IF(AL297/52&lt;=PR_PRSIcreditTo,MAX(0,PR_PRSIcreditMax-(AL297/52-(PR_PRSIfree+0.01))/PR_PRSItaper),0))*52)))+J297*AN297+IF(AO297&gt;PR_PRSIunearned,J297*AO297,0),0)</f>
        <v>0</v>
      </c>
      <c r="BQ297" s="1" t="n">
        <f aca="false">IF(AND(F_Partner=1,AG297&lt;PR_PRSIend),IF(AQ297/52&lt;=PR_PRSIfree,0,MAX(0,(AQ297/52*J297-IF(AQ297/52&lt;=PR_PRSIcreditTo,MAX(0,PR_PRSIcreditMax-(AQ297/52-(PR_PRSIfree+0.01))/PR_PRSItaper),0))*52)),0)</f>
        <v>0</v>
      </c>
      <c r="BR297" s="1" t="n">
        <f aca="false">BK297+BM297+BO297+BP297+BQ297</f>
        <v>0</v>
      </c>
      <c r="BS297" s="1" t="n">
        <f aca="false">BR297*H297</f>
        <v>0</v>
      </c>
      <c r="BT297" s="1" t="n">
        <f aca="false">K297+AK297+AC297+AF297+AH297+AI297</f>
        <v>72641.4299603216</v>
      </c>
    </row>
    <row r="298" customFormat="false" ht="15" hidden="false" customHeight="false" outlineLevel="0" collapsed="false">
      <c r="B298" s="1" t="n">
        <v>88</v>
      </c>
      <c r="C298" s="1" t="n">
        <f aca="false">F_Age+B298</f>
        <v>88</v>
      </c>
      <c r="D298" s="1" t="n">
        <f aca="false">AS_Year0+B298</f>
        <v>2115</v>
      </c>
      <c r="E298" s="106" t="n">
        <f aca="false">(1+AS_Infl)^B298</f>
        <v>5.71235402374611</v>
      </c>
      <c r="F298" s="106" t="n">
        <f aca="false">(1+AS_Wage)^B298</f>
        <v>13.4795617962058</v>
      </c>
      <c r="G298" s="1" t="n">
        <f aca="false">IF(C298&lt;F_R,1,0)</f>
        <v>0</v>
      </c>
      <c r="H298" s="106" t="n">
        <f aca="false">IF(AS_Bands="flat",1,E298)</f>
        <v>5.71235402374611</v>
      </c>
      <c r="I298" s="106" t="n">
        <f aca="false">IF(AS_SpGrow="pay",F298,IF(AS_SpGrow="flat",1,E298))</f>
        <v>5.71235402374611</v>
      </c>
      <c r="J298" s="106" t="n">
        <f aca="false">(12*PR_PRSIr0+(PR_PRSIr1-PR_PRSIr0)*MAX(0,MIN(12,D298*12+12-PR_PRSIt1))+(PR_PRSIr2-PR_PRSIr1)*MAX(0,MIN(12,D298*12+12-PR_PRSIt2))+(PR_PRSIr3-PR_PRSIr2)*MAX(0,MIN(12,D298*12+12-PR_PRSIt3)))/12</f>
        <v>0.047</v>
      </c>
      <c r="K298" s="1" t="n">
        <f aca="false">IF(G298=1,F_Income*F298,0)</f>
        <v>0</v>
      </c>
      <c r="L298" s="1" t="n">
        <f aca="false">IF(G298=1,(F_Own+In_penExtra)*12*F298,0)</f>
        <v>0</v>
      </c>
      <c r="M298" s="1" t="n">
        <f aca="false">IF(G298=1,(F_PenM+In_penExtra)*12*F298,0)</f>
        <v>0</v>
      </c>
      <c r="N298" s="107" t="n">
        <f aca="false">IF(C298&lt;PR_RelA1,PR_RelP1,IF(C298&lt;PR_RelA2,PR_RelP2,IF(C298&lt;PR_RelA3,PR_RelP3,IF(C298&lt;PR_RelA4,PR_RelP4,IF(C298&lt;PR_RelA5,PR_RelP5,PR_RelP6)))))</f>
        <v>0.4</v>
      </c>
      <c r="O298" s="1" t="n">
        <f aca="false">IF(G298=1,MIN(L298/H298,N298*MIN(K298/H298,PR_EarnCap))*H298,0)</f>
        <v>0</v>
      </c>
      <c r="P298" s="1" t="n">
        <f aca="false">IF(AND(G298=1,F_AE=1),MIN(K298/H298,PR_AEcap)*H298,0)</f>
        <v>0</v>
      </c>
      <c r="Q298" s="1" t="n">
        <f aca="false">IF(G298=1,IF(WI_Retire=1,MAX(0,M298+WI_M*12),M298)+(PR_AEee+PR_AEer+PR_AEst)*P298,0)</f>
        <v>0</v>
      </c>
      <c r="R298" s="1" t="n">
        <f aca="false">L298+PR_AEee*P298</f>
        <v>0</v>
      </c>
      <c r="S298" s="1" t="n">
        <f aca="false">AD297</f>
        <v>0</v>
      </c>
      <c r="T298" s="1" t="n">
        <f aca="false">IF(D298&lt;=2026,PR_SFT2026,IF(D298=2027,PR_SFT2027,IF(D298=2028,PR_SFT2028,IF(D298=2029,PR_SFT2029,PR_SFT2029*(1+AS_Infl)^(D298-2029)))))</f>
        <v>15373501.7940111</v>
      </c>
      <c r="U298" s="1" t="n">
        <f aca="false">IF(AND(G298=0,C298=F_V),1,0)</f>
        <v>0</v>
      </c>
      <c r="V298" s="1" t="n">
        <f aca="false">IF(U298=1,PR_SFTrate*MAX(0,S298-T298),0)</f>
        <v>0</v>
      </c>
      <c r="W298" s="1" t="n">
        <f aca="false">S298-V298</f>
        <v>0</v>
      </c>
      <c r="X298" s="1" t="n">
        <f aca="false">IF(AND(U298=1,AS_LumpPct&gt;0),W298*MIN(AS_LumpPct,PR_LSmax),0)</f>
        <v>0</v>
      </c>
      <c r="Y298" s="1" t="n">
        <f aca="false">X298-(PR_LSrate*MAX(0,MIN(X298,PR_LScap)-PR_LSfree)+PR_r2*MAX(0,X298-PR_LScap))</f>
        <v>0</v>
      </c>
      <c r="Z298" s="1" t="n">
        <f aca="false">W298-X298</f>
        <v>0</v>
      </c>
      <c r="AA298" s="107" t="n">
        <f aca="false">IF(C298&gt;=61,IF(Z298&gt;PR_ARFbig,PR_ARFbigRate,IF(C298&gt;=71,PR_ARF71,PR_ARF61)),0)</f>
        <v>0.05</v>
      </c>
      <c r="AB298" s="1" t="n">
        <f aca="false">IF(AS_DrawRule="min",Z298*AA298,IF(AS_DrawRule="fixed",MAX(AS_DrawFixed*E298,Z298*AA298),Z298*MAX(1/MAX(1,AS_End-C298+1),AA298)))</f>
        <v>0</v>
      </c>
      <c r="AC298" s="1" t="n">
        <f aca="false">IF(AND(G298=0,C298&gt;=F_V),MIN(Z298,AB298),0)</f>
        <v>0</v>
      </c>
      <c r="AD298" s="1" t="n">
        <f aca="false">IF(G298=1,S298*(1+F_PenG)+Q298,IF(C298&lt;F_V,S298*(1+F_PenG),(Z298-AC298)*(1+AS_PenRet)))</f>
        <v>0</v>
      </c>
      <c r="AE298" s="1" t="n">
        <f aca="false">IF(C298&gt;=PR_SPage,AS_SP*F_SpF*I298+IF(C298&gt;=80,PR_Over80*PR_Weeks*I298,0),0)</f>
        <v>74094.258559528</v>
      </c>
      <c r="AF298" s="1" t="n">
        <f aca="false">(F_OtherM+F_RentM)*12*E298</f>
        <v>0</v>
      </c>
      <c r="AG298" s="1" t="n">
        <f aca="false">F_PAge+B298</f>
        <v>88</v>
      </c>
      <c r="AH298" s="1" t="n">
        <f aca="false">IF(AND(F_Partner=1,F_PAge&gt;0,AG298&lt;IF(F_PRet&gt;0,F_PRet,66)),F_PIncome*F298,0)</f>
        <v>0</v>
      </c>
      <c r="AI298" s="1" t="n">
        <f aca="false">IF(AND(F_Partner=1,AG298&gt;=66,F_PSpQA=0),AS_SP*F_PSpF*I298,0)</f>
        <v>0</v>
      </c>
      <c r="AJ298" s="1" t="n">
        <f aca="false">IF(AND(F_Partner=1,F_PSpQA=1,C298&gt;=PR_SPage,AH298=0),IF(AG298&gt;=66,PR_QA66,PR_QAunder)*PR_Weeks*I298,0)</f>
        <v>0</v>
      </c>
      <c r="AK298" s="1" t="n">
        <f aca="false">AE298+AJ298</f>
        <v>74094.258559528</v>
      </c>
      <c r="AL298" s="1" t="n">
        <f aca="false">K298/H298</f>
        <v>0</v>
      </c>
      <c r="AM298" s="1" t="n">
        <f aca="false">AK298/H298</f>
        <v>12970.88</v>
      </c>
      <c r="AN298" s="1" t="n">
        <f aca="false">AC298/H298</f>
        <v>0</v>
      </c>
      <c r="AO298" s="1" t="n">
        <f aca="false">AF298/H298</f>
        <v>0</v>
      </c>
      <c r="AP298" s="1" t="n">
        <f aca="false">O298/H298</f>
        <v>0</v>
      </c>
      <c r="AQ298" s="1" t="n">
        <f aca="false">AH298/H298</f>
        <v>0</v>
      </c>
      <c r="AR298" s="1" t="n">
        <f aca="false">AI298/H298</f>
        <v>0</v>
      </c>
      <c r="AS298" s="1" t="n">
        <f aca="false">MAX(0,AL298+AN298+AO298+AM298-AP298)</f>
        <v>12970.88</v>
      </c>
      <c r="AT298" s="1" t="n">
        <f aca="false">MAX(0,AQ298+AR298)</f>
        <v>0</v>
      </c>
      <c r="AU298" s="1" t="n">
        <f aca="false">MIN(PR_PAYE,PR_PAYEcap*(AL298+AN298+AM298))</f>
        <v>2000</v>
      </c>
      <c r="AV298" s="1" t="n">
        <f aca="false">MIN(PR_PAYE,PR_PAYEcap*(AQ298+AR298))</f>
        <v>0</v>
      </c>
      <c r="AW298" s="1" t="n">
        <f aca="false">IF(C298&gt;=PR_AgeCrAge,PR_AgeCr,0)</f>
        <v>245</v>
      </c>
      <c r="AX298" s="1" t="n">
        <f aca="false">IF(AG298&gt;=PR_AgeCrAge,PR_AgeCr,0)</f>
        <v>245</v>
      </c>
      <c r="AY298" s="1" t="n">
        <f aca="false">IF(AND(F_RentCred=1,D298&lt;=PR_RentLast),1,0)</f>
        <v>0</v>
      </c>
      <c r="AZ298" s="1" t="n">
        <f aca="false">AS298+AT298</f>
        <v>12970.88</v>
      </c>
      <c r="BA298" s="1" t="n">
        <f aca="false">PR_PersonalM+AU298+AV298+AW298+AX298+IF(AY298=1,PR_RentJoint,0)</f>
        <v>6490</v>
      </c>
      <c r="BB298" s="1" t="n">
        <f aca="false">PR_BandM+MIN(MIN(AS298,AT298),PR_Uplift)</f>
        <v>53000</v>
      </c>
      <c r="BC298" s="1" t="n">
        <f aca="false">MAX(0,PR_r1*MIN(AZ298,BB298)+PR_r2*MAX(0,AZ298-BB298)-BA298)</f>
        <v>0</v>
      </c>
      <c r="BD298" s="1" t="n">
        <f aca="false">MAX(0,PR_HomeCarer-MAX(0,MIN(AS298,AT298)-PR_HCLimit)/2)</f>
        <v>1950</v>
      </c>
      <c r="BE298" s="1" t="n">
        <f aca="false">IF(F_Carer=1,MIN(BC298,MAX(0,PR_r1*MIN(AZ298,PR_BandM)+PR_r2*MAX(0,AZ298-PR_BandM)-BA298-BD298)),BC298)</f>
        <v>0</v>
      </c>
      <c r="BF298" s="1" t="n">
        <f aca="false">IF(OR(C298&gt;=PR_AgeCrAge,AG298&gt;=PR_AgeCrAge),IF(AZ298&lt;=PR_AgeExM,0,MIN(BE298,PR_AgeMarg*(AZ298-PR_AgeExM))),BE298)</f>
        <v>0</v>
      </c>
      <c r="BG298" s="1" t="n">
        <f aca="false">MAX(0,PR_r1*MIN(AS298,IF(F_Spccc=1,PR_BandSPCCC,PR_Band))+PR_r2*MAX(0,AS298-IF(F_Spccc=1,PR_BandSPCCC,PR_Band))-(PR_Personal+AU298+AW298+IF(F_Spccc=1,PR_SPCCC,0)+IF(AY298=1,PR_Rent,0)))</f>
        <v>0</v>
      </c>
      <c r="BH298" s="1" t="n">
        <f aca="false">IF(C298&gt;=PR_AgeCrAge,IF(AS298&lt;=PR_AgeEx,0,MIN(BG298,PR_AgeMarg*(AS298-PR_AgeEx))),BG298)</f>
        <v>0</v>
      </c>
      <c r="BI298" s="1" t="n">
        <f aca="false">IF(F_Partner=1,MAX(0,PR_r1*MIN(AT298,PR_Band)+PR_r2*MAX(0,AT298-PR_Band)-(PR_Personal+AV298+AX298+IF(AND(AY298=1,AT298&gt;0),PR_Rent,0))),0)</f>
        <v>0</v>
      </c>
      <c r="BJ298" s="1" t="n">
        <f aca="false">IF(AG298&gt;=PR_AgeCrAge,IF(AT298&lt;=PR_AgeEx,0,MIN(BI298,PR_AgeMarg*(AT298-PR_AgeEx))),BI298)</f>
        <v>0</v>
      </c>
      <c r="BK298" s="1" t="n">
        <f aca="false">IF(F_Partner=1,IF(F_Married=1,BF298,BH298+BJ298),BH298)</f>
        <v>0</v>
      </c>
      <c r="BL298" s="1" t="n">
        <f aca="false">AL298+AN298+AO298</f>
        <v>0</v>
      </c>
      <c r="BM298" s="1" t="n">
        <f aca="false">IF(BL298&lt;=PR_USCex,0,IF(IF(AND(C298&gt;=PR_USCredAge,BL298&lt;=PR_USCredMax),1,0)=1,PR_USCr1*MIN(BL298,PR_USCredB1)+PR_USCredR2*MAX(0,BL298-PR_USCredB1),PR_USCr1*MIN(BL298,PR_USCb1)+PR_USCr2*MAX(0,MIN(BL298,PR_USCb2)-PR_USCb1)+PR_USCr3*MAX(0,MIN(BL298,PR_USCb3)-PR_USCb2)+PR_USCr4*MAX(0,BL298-PR_USCb3)))+IF(F_SelfEmp=1,PR_USCse*MAX(0,AL298-PR_USCseOver),0)</f>
        <v>0</v>
      </c>
      <c r="BN298" s="1" t="n">
        <f aca="false">AQ298</f>
        <v>0</v>
      </c>
      <c r="BO298" s="1" t="n">
        <f aca="false">IF(F_Partner=1,IF(BN298&lt;=PR_USCex,0,IF(IF(AND(AG298&gt;=PR_USCredAge,BN298&lt;=PR_USCredMax),1,0)=1,PR_USCr1*MIN(BN298,PR_USCredB1)+PR_USCredR2*MAX(0,BN298-PR_USCredB1),PR_USCr1*MIN(BN298,PR_USCb1)+PR_USCr2*MAX(0,MIN(BN298,PR_USCb2)-PR_USCb1)+PR_USCr3*MAX(0,MIN(BN298,PR_USCb3)-PR_USCb2)+PR_USCr4*MAX(0,BN298-PR_USCb3))),0)</f>
        <v>0</v>
      </c>
      <c r="BP298" s="1" t="n">
        <f aca="false">IF(C298&lt;PR_PRSIend,IF(F_SelfEmp=1,IF(AL298&gt;PR_PRSIsMinInc,MAX(PR_PRSIsMin,AL298*J298),0),IF(AL298/52&lt;=PR_PRSIfree,0,MAX(0,(AL298/52*J298-IF(AL298/52&lt;=PR_PRSIcreditTo,MAX(0,PR_PRSIcreditMax-(AL298/52-(PR_PRSIfree+0.01))/PR_PRSItaper),0))*52)))+J298*AN298+IF(AO298&gt;PR_PRSIunearned,J298*AO298,0),0)</f>
        <v>0</v>
      </c>
      <c r="BQ298" s="1" t="n">
        <f aca="false">IF(AND(F_Partner=1,AG298&lt;PR_PRSIend),IF(AQ298/52&lt;=PR_PRSIfree,0,MAX(0,(AQ298/52*J298-IF(AQ298/52&lt;=PR_PRSIcreditTo,MAX(0,PR_PRSIcreditMax-(AQ298/52-(PR_PRSIfree+0.01))/PR_PRSItaper),0))*52)),0)</f>
        <v>0</v>
      </c>
      <c r="BR298" s="1" t="n">
        <f aca="false">BK298+BM298+BO298+BP298+BQ298</f>
        <v>0</v>
      </c>
      <c r="BS298" s="1" t="n">
        <f aca="false">BR298*H298</f>
        <v>0</v>
      </c>
      <c r="BT298" s="1" t="n">
        <f aca="false">K298+AK298+AC298+AF298+AH298+AI298</f>
        <v>74094.258559528</v>
      </c>
    </row>
    <row r="299" customFormat="false" ht="15" hidden="false" customHeight="false" outlineLevel="0" collapsed="false">
      <c r="B299" s="1" t="n">
        <v>89</v>
      </c>
      <c r="C299" s="1" t="n">
        <f aca="false">F_Age+B299</f>
        <v>89</v>
      </c>
      <c r="D299" s="1" t="n">
        <f aca="false">AS_Year0+B299</f>
        <v>2116</v>
      </c>
      <c r="E299" s="106" t="n">
        <f aca="false">(1+AS_Infl)^B299</f>
        <v>5.82660110422104</v>
      </c>
      <c r="F299" s="106" t="n">
        <f aca="false">(1+AS_Wage)^B299</f>
        <v>13.883948650092</v>
      </c>
      <c r="G299" s="1" t="n">
        <f aca="false">IF(C299&lt;F_R,1,0)</f>
        <v>0</v>
      </c>
      <c r="H299" s="106" t="n">
        <f aca="false">IF(AS_Bands="flat",1,E299)</f>
        <v>5.82660110422104</v>
      </c>
      <c r="I299" s="106" t="n">
        <f aca="false">IF(AS_SpGrow="pay",F299,IF(AS_SpGrow="flat",1,E299))</f>
        <v>5.82660110422104</v>
      </c>
      <c r="J299" s="106" t="n">
        <f aca="false">(12*PR_PRSIr0+(PR_PRSIr1-PR_PRSIr0)*MAX(0,MIN(12,D299*12+12-PR_PRSIt1))+(PR_PRSIr2-PR_PRSIr1)*MAX(0,MIN(12,D299*12+12-PR_PRSIt2))+(PR_PRSIr3-PR_PRSIr2)*MAX(0,MIN(12,D299*12+12-PR_PRSIt3)))/12</f>
        <v>0.047</v>
      </c>
      <c r="K299" s="1" t="n">
        <f aca="false">IF(G299=1,F_Income*F299,0)</f>
        <v>0</v>
      </c>
      <c r="L299" s="1" t="n">
        <f aca="false">IF(G299=1,(F_Own+In_penExtra)*12*F299,0)</f>
        <v>0</v>
      </c>
      <c r="M299" s="1" t="n">
        <f aca="false">IF(G299=1,(F_PenM+In_penExtra)*12*F299,0)</f>
        <v>0</v>
      </c>
      <c r="N299" s="107" t="n">
        <f aca="false">IF(C299&lt;PR_RelA1,PR_RelP1,IF(C299&lt;PR_RelA2,PR_RelP2,IF(C299&lt;PR_RelA3,PR_RelP3,IF(C299&lt;PR_RelA4,PR_RelP4,IF(C299&lt;PR_RelA5,PR_RelP5,PR_RelP6)))))</f>
        <v>0.4</v>
      </c>
      <c r="O299" s="1" t="n">
        <f aca="false">IF(G299=1,MIN(L299/H299,N299*MIN(K299/H299,PR_EarnCap))*H299,0)</f>
        <v>0</v>
      </c>
      <c r="P299" s="1" t="n">
        <f aca="false">IF(AND(G299=1,F_AE=1),MIN(K299/H299,PR_AEcap)*H299,0)</f>
        <v>0</v>
      </c>
      <c r="Q299" s="1" t="n">
        <f aca="false">IF(G299=1,IF(WI_Retire=1,MAX(0,M299+WI_M*12),M299)+(PR_AEee+PR_AEer+PR_AEst)*P299,0)</f>
        <v>0</v>
      </c>
      <c r="R299" s="1" t="n">
        <f aca="false">L299+PR_AEee*P299</f>
        <v>0</v>
      </c>
      <c r="S299" s="1" t="n">
        <f aca="false">AD298</f>
        <v>0</v>
      </c>
      <c r="T299" s="1" t="n">
        <f aca="false">IF(D299&lt;=2026,PR_SFT2026,IF(D299=2027,PR_SFT2027,IF(D299=2028,PR_SFT2028,IF(D299=2029,PR_SFT2029,PR_SFT2029*(1+AS_Infl)^(D299-2029)))))</f>
        <v>15680971.8298913</v>
      </c>
      <c r="U299" s="1" t="n">
        <f aca="false">IF(AND(G299=0,C299=F_V),1,0)</f>
        <v>0</v>
      </c>
      <c r="V299" s="1" t="n">
        <f aca="false">IF(U299=1,PR_SFTrate*MAX(0,S299-T299),0)</f>
        <v>0</v>
      </c>
      <c r="W299" s="1" t="n">
        <f aca="false">S299-V299</f>
        <v>0</v>
      </c>
      <c r="X299" s="1" t="n">
        <f aca="false">IF(AND(U299=1,AS_LumpPct&gt;0),W299*MIN(AS_LumpPct,PR_LSmax),0)</f>
        <v>0</v>
      </c>
      <c r="Y299" s="1" t="n">
        <f aca="false">X299-(PR_LSrate*MAX(0,MIN(X299,PR_LScap)-PR_LSfree)+PR_r2*MAX(0,X299-PR_LScap))</f>
        <v>0</v>
      </c>
      <c r="Z299" s="1" t="n">
        <f aca="false">W299-X299</f>
        <v>0</v>
      </c>
      <c r="AA299" s="107" t="n">
        <f aca="false">IF(C299&gt;=61,IF(Z299&gt;PR_ARFbig,PR_ARFbigRate,IF(C299&gt;=71,PR_ARF71,PR_ARF61)),0)</f>
        <v>0.05</v>
      </c>
      <c r="AB299" s="1" t="n">
        <f aca="false">IF(AS_DrawRule="min",Z299*AA299,IF(AS_DrawRule="fixed",MAX(AS_DrawFixed*E299,Z299*AA299),Z299*MAX(1/MAX(1,AS_End-C299+1),AA299)))</f>
        <v>0</v>
      </c>
      <c r="AC299" s="1" t="n">
        <f aca="false">IF(AND(G299=0,C299&gt;=F_V),MIN(Z299,AB299),0)</f>
        <v>0</v>
      </c>
      <c r="AD299" s="1" t="n">
        <f aca="false">IF(G299=1,S299*(1+F_PenG)+Q299,IF(C299&lt;F_V,S299*(1+F_PenG),(Z299-AC299)*(1+AS_PenRet)))</f>
        <v>0</v>
      </c>
      <c r="AE299" s="1" t="n">
        <f aca="false">IF(C299&gt;=PR_SPage,AS_SP*F_SpF*I299+IF(C299&gt;=80,PR_Over80*PR_Weeks*I299,0),0)</f>
        <v>75576.1437307186</v>
      </c>
      <c r="AF299" s="1" t="n">
        <f aca="false">(F_OtherM+F_RentM)*12*E299</f>
        <v>0</v>
      </c>
      <c r="AG299" s="1" t="n">
        <f aca="false">F_PAge+B299</f>
        <v>89</v>
      </c>
      <c r="AH299" s="1" t="n">
        <f aca="false">IF(AND(F_Partner=1,F_PAge&gt;0,AG299&lt;IF(F_PRet&gt;0,F_PRet,66)),F_PIncome*F299,0)</f>
        <v>0</v>
      </c>
      <c r="AI299" s="1" t="n">
        <f aca="false">IF(AND(F_Partner=1,AG299&gt;=66,F_PSpQA=0),AS_SP*F_PSpF*I299,0)</f>
        <v>0</v>
      </c>
      <c r="AJ299" s="1" t="n">
        <f aca="false">IF(AND(F_Partner=1,F_PSpQA=1,C299&gt;=PR_SPage,AH299=0),IF(AG299&gt;=66,PR_QA66,PR_QAunder)*PR_Weeks*I299,0)</f>
        <v>0</v>
      </c>
      <c r="AK299" s="1" t="n">
        <f aca="false">AE299+AJ299</f>
        <v>75576.1437307186</v>
      </c>
      <c r="AL299" s="1" t="n">
        <f aca="false">K299/H299</f>
        <v>0</v>
      </c>
      <c r="AM299" s="1" t="n">
        <f aca="false">AK299/H299</f>
        <v>12970.88</v>
      </c>
      <c r="AN299" s="1" t="n">
        <f aca="false">AC299/H299</f>
        <v>0</v>
      </c>
      <c r="AO299" s="1" t="n">
        <f aca="false">AF299/H299</f>
        <v>0</v>
      </c>
      <c r="AP299" s="1" t="n">
        <f aca="false">O299/H299</f>
        <v>0</v>
      </c>
      <c r="AQ299" s="1" t="n">
        <f aca="false">AH299/H299</f>
        <v>0</v>
      </c>
      <c r="AR299" s="1" t="n">
        <f aca="false">AI299/H299</f>
        <v>0</v>
      </c>
      <c r="AS299" s="1" t="n">
        <f aca="false">MAX(0,AL299+AN299+AO299+AM299-AP299)</f>
        <v>12970.88</v>
      </c>
      <c r="AT299" s="1" t="n">
        <f aca="false">MAX(0,AQ299+AR299)</f>
        <v>0</v>
      </c>
      <c r="AU299" s="1" t="n">
        <f aca="false">MIN(PR_PAYE,PR_PAYEcap*(AL299+AN299+AM299))</f>
        <v>2000</v>
      </c>
      <c r="AV299" s="1" t="n">
        <f aca="false">MIN(PR_PAYE,PR_PAYEcap*(AQ299+AR299))</f>
        <v>0</v>
      </c>
      <c r="AW299" s="1" t="n">
        <f aca="false">IF(C299&gt;=PR_AgeCrAge,PR_AgeCr,0)</f>
        <v>245</v>
      </c>
      <c r="AX299" s="1" t="n">
        <f aca="false">IF(AG299&gt;=PR_AgeCrAge,PR_AgeCr,0)</f>
        <v>245</v>
      </c>
      <c r="AY299" s="1" t="n">
        <f aca="false">IF(AND(F_RentCred=1,D299&lt;=PR_RentLast),1,0)</f>
        <v>0</v>
      </c>
      <c r="AZ299" s="1" t="n">
        <f aca="false">AS299+AT299</f>
        <v>12970.88</v>
      </c>
      <c r="BA299" s="1" t="n">
        <f aca="false">PR_PersonalM+AU299+AV299+AW299+AX299+IF(AY299=1,PR_RentJoint,0)</f>
        <v>6490</v>
      </c>
      <c r="BB299" s="1" t="n">
        <f aca="false">PR_BandM+MIN(MIN(AS299,AT299),PR_Uplift)</f>
        <v>53000</v>
      </c>
      <c r="BC299" s="1" t="n">
        <f aca="false">MAX(0,PR_r1*MIN(AZ299,BB299)+PR_r2*MAX(0,AZ299-BB299)-BA299)</f>
        <v>0</v>
      </c>
      <c r="BD299" s="1" t="n">
        <f aca="false">MAX(0,PR_HomeCarer-MAX(0,MIN(AS299,AT299)-PR_HCLimit)/2)</f>
        <v>1950</v>
      </c>
      <c r="BE299" s="1" t="n">
        <f aca="false">IF(F_Carer=1,MIN(BC299,MAX(0,PR_r1*MIN(AZ299,PR_BandM)+PR_r2*MAX(0,AZ299-PR_BandM)-BA299-BD299)),BC299)</f>
        <v>0</v>
      </c>
      <c r="BF299" s="1" t="n">
        <f aca="false">IF(OR(C299&gt;=PR_AgeCrAge,AG299&gt;=PR_AgeCrAge),IF(AZ299&lt;=PR_AgeExM,0,MIN(BE299,PR_AgeMarg*(AZ299-PR_AgeExM))),BE299)</f>
        <v>0</v>
      </c>
      <c r="BG299" s="1" t="n">
        <f aca="false">MAX(0,PR_r1*MIN(AS299,IF(F_Spccc=1,PR_BandSPCCC,PR_Band))+PR_r2*MAX(0,AS299-IF(F_Spccc=1,PR_BandSPCCC,PR_Band))-(PR_Personal+AU299+AW299+IF(F_Spccc=1,PR_SPCCC,0)+IF(AY299=1,PR_Rent,0)))</f>
        <v>0</v>
      </c>
      <c r="BH299" s="1" t="n">
        <f aca="false">IF(C299&gt;=PR_AgeCrAge,IF(AS299&lt;=PR_AgeEx,0,MIN(BG299,PR_AgeMarg*(AS299-PR_AgeEx))),BG299)</f>
        <v>0</v>
      </c>
      <c r="BI299" s="1" t="n">
        <f aca="false">IF(F_Partner=1,MAX(0,PR_r1*MIN(AT299,PR_Band)+PR_r2*MAX(0,AT299-PR_Band)-(PR_Personal+AV299+AX299+IF(AND(AY299=1,AT299&gt;0),PR_Rent,0))),0)</f>
        <v>0</v>
      </c>
      <c r="BJ299" s="1" t="n">
        <f aca="false">IF(AG299&gt;=PR_AgeCrAge,IF(AT299&lt;=PR_AgeEx,0,MIN(BI299,PR_AgeMarg*(AT299-PR_AgeEx))),BI299)</f>
        <v>0</v>
      </c>
      <c r="BK299" s="1" t="n">
        <f aca="false">IF(F_Partner=1,IF(F_Married=1,BF299,BH299+BJ299),BH299)</f>
        <v>0</v>
      </c>
      <c r="BL299" s="1" t="n">
        <f aca="false">AL299+AN299+AO299</f>
        <v>0</v>
      </c>
      <c r="BM299" s="1" t="n">
        <f aca="false">IF(BL299&lt;=PR_USCex,0,IF(IF(AND(C299&gt;=PR_USCredAge,BL299&lt;=PR_USCredMax),1,0)=1,PR_USCr1*MIN(BL299,PR_USCredB1)+PR_USCredR2*MAX(0,BL299-PR_USCredB1),PR_USCr1*MIN(BL299,PR_USCb1)+PR_USCr2*MAX(0,MIN(BL299,PR_USCb2)-PR_USCb1)+PR_USCr3*MAX(0,MIN(BL299,PR_USCb3)-PR_USCb2)+PR_USCr4*MAX(0,BL299-PR_USCb3)))+IF(F_SelfEmp=1,PR_USCse*MAX(0,AL299-PR_USCseOver),0)</f>
        <v>0</v>
      </c>
      <c r="BN299" s="1" t="n">
        <f aca="false">AQ299</f>
        <v>0</v>
      </c>
      <c r="BO299" s="1" t="n">
        <f aca="false">IF(F_Partner=1,IF(BN299&lt;=PR_USCex,0,IF(IF(AND(AG299&gt;=PR_USCredAge,BN299&lt;=PR_USCredMax),1,0)=1,PR_USCr1*MIN(BN299,PR_USCredB1)+PR_USCredR2*MAX(0,BN299-PR_USCredB1),PR_USCr1*MIN(BN299,PR_USCb1)+PR_USCr2*MAX(0,MIN(BN299,PR_USCb2)-PR_USCb1)+PR_USCr3*MAX(0,MIN(BN299,PR_USCb3)-PR_USCb2)+PR_USCr4*MAX(0,BN299-PR_USCb3))),0)</f>
        <v>0</v>
      </c>
      <c r="BP299" s="1" t="n">
        <f aca="false">IF(C299&lt;PR_PRSIend,IF(F_SelfEmp=1,IF(AL299&gt;PR_PRSIsMinInc,MAX(PR_PRSIsMin,AL299*J299),0),IF(AL299/52&lt;=PR_PRSIfree,0,MAX(0,(AL299/52*J299-IF(AL299/52&lt;=PR_PRSIcreditTo,MAX(0,PR_PRSIcreditMax-(AL299/52-(PR_PRSIfree+0.01))/PR_PRSItaper),0))*52)))+J299*AN299+IF(AO299&gt;PR_PRSIunearned,J299*AO299,0),0)</f>
        <v>0</v>
      </c>
      <c r="BQ299" s="1" t="n">
        <f aca="false">IF(AND(F_Partner=1,AG299&lt;PR_PRSIend),IF(AQ299/52&lt;=PR_PRSIfree,0,MAX(0,(AQ299/52*J299-IF(AQ299/52&lt;=PR_PRSIcreditTo,MAX(0,PR_PRSIcreditMax-(AQ299/52-(PR_PRSIfree+0.01))/PR_PRSItaper),0))*52)),0)</f>
        <v>0</v>
      </c>
      <c r="BR299" s="1" t="n">
        <f aca="false">BK299+BM299+BO299+BP299+BQ299</f>
        <v>0</v>
      </c>
      <c r="BS299" s="1" t="n">
        <f aca="false">BR299*H299</f>
        <v>0</v>
      </c>
      <c r="BT299" s="1" t="n">
        <f aca="false">K299+AK299+AC299+AF299+AH299+AI299</f>
        <v>75576.1437307186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JF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1" width="6"/>
    <col collapsed="false" customWidth="true" hidden="false" outlineLevel="0" max="4" min="3" style="1" width="7"/>
    <col collapsed="false" customWidth="true" hidden="false" outlineLevel="0" max="5" min="5" style="1" width="11"/>
    <col collapsed="false" customWidth="true" hidden="false" outlineLevel="0" max="6" min="6" style="1" width="7"/>
    <col collapsed="false" customWidth="true" hidden="false" outlineLevel="0" max="19" min="7" style="1" width="11"/>
    <col collapsed="false" customWidth="true" hidden="false" outlineLevel="0" max="22" min="20" style="1" width="7"/>
    <col collapsed="false" customWidth="true" hidden="false" outlineLevel="0" max="31" min="23" style="1" width="11"/>
    <col collapsed="false" customWidth="true" hidden="false" outlineLevel="0" max="33" min="32" style="1" width="7"/>
    <col collapsed="false" customWidth="true" hidden="false" outlineLevel="0" max="41" min="34" style="1" width="11"/>
    <col collapsed="false" customWidth="true" hidden="false" outlineLevel="0" max="43" min="42" style="1" width="7"/>
    <col collapsed="false" customWidth="true" hidden="false" outlineLevel="0" max="51" min="44" style="1" width="11"/>
    <col collapsed="false" customWidth="true" hidden="false" outlineLevel="0" max="53" min="52" style="1" width="7"/>
    <col collapsed="false" customWidth="true" hidden="false" outlineLevel="0" max="61" min="54" style="1" width="11"/>
    <col collapsed="false" customWidth="true" hidden="false" outlineLevel="0" max="63" min="62" style="1" width="7"/>
    <col collapsed="false" customWidth="true" hidden="false" outlineLevel="0" max="71" min="64" style="1" width="11"/>
    <col collapsed="false" customWidth="true" hidden="false" outlineLevel="0" max="73" min="72" style="1" width="7"/>
    <col collapsed="false" customWidth="true" hidden="false" outlineLevel="0" max="81" min="74" style="1" width="11"/>
    <col collapsed="false" customWidth="true" hidden="false" outlineLevel="0" max="83" min="82" style="1" width="7"/>
    <col collapsed="false" customWidth="true" hidden="false" outlineLevel="0" max="91" min="84" style="1" width="11"/>
    <col collapsed="false" customWidth="true" hidden="false" outlineLevel="0" max="93" min="92" style="1" width="7"/>
    <col collapsed="false" customWidth="true" hidden="false" outlineLevel="0" max="107" min="94" style="1" width="11"/>
    <col collapsed="false" customWidth="true" hidden="false" outlineLevel="0" max="108" min="108" style="1" width="7"/>
    <col collapsed="false" customWidth="true" hidden="false" outlineLevel="0" max="110" min="109" style="1" width="11"/>
    <col collapsed="false" customWidth="true" hidden="false" outlineLevel="0" max="111" min="111" style="1" width="7"/>
    <col collapsed="false" customWidth="true" hidden="false" outlineLevel="0" max="114" min="112" style="1" width="11"/>
    <col collapsed="false" customWidth="true" hidden="false" outlineLevel="0" max="115" min="115" style="1" width="7"/>
    <col collapsed="false" customWidth="true" hidden="false" outlineLevel="0" max="248" min="116" style="1" width="11"/>
    <col collapsed="false" customWidth="true" hidden="false" outlineLevel="0" max="249" min="249" style="1" width="7"/>
    <col collapsed="false" customWidth="true" hidden="false" outlineLevel="0" max="252" min="250" style="1" width="11"/>
    <col collapsed="false" customWidth="true" hidden="false" outlineLevel="0" max="253" min="253" style="1" width="7"/>
    <col collapsed="false" customWidth="true" hidden="false" outlineLevel="0" max="256" min="254" style="1" width="11"/>
    <col collapsed="false" customWidth="true" hidden="false" outlineLevel="0" max="266" min="257" style="1" width="7"/>
  </cols>
  <sheetData>
    <row r="1" customFormat="false" ht="17.35" hidden="false" customHeight="false" outlineLevel="0" collapsed="false">
      <c r="B1" s="89" t="s">
        <v>1853</v>
      </c>
    </row>
    <row r="2" customFormat="false" ht="48" hidden="false" customHeight="true" outlineLevel="0" collapsed="false">
      <c r="B2" s="90" t="s">
        <v>1854</v>
      </c>
      <c r="C2" s="90"/>
      <c r="D2" s="90"/>
      <c r="E2" s="90"/>
      <c r="F2" s="90"/>
      <c r="G2" s="90"/>
      <c r="H2" s="90"/>
      <c r="I2" s="90"/>
      <c r="J2" s="90"/>
      <c r="K2" s="90"/>
      <c r="L2" s="90"/>
    </row>
    <row r="6" customFormat="false" ht="122.35" hidden="false" customHeight="false" outlineLevel="0" collapsed="false">
      <c r="A6" s="91" t="s">
        <v>1783</v>
      </c>
      <c r="B6" s="96" t="s">
        <v>1784</v>
      </c>
      <c r="C6" s="96" t="s">
        <v>1855</v>
      </c>
      <c r="D6" s="96" t="s">
        <v>724</v>
      </c>
      <c r="E6" s="96" t="s">
        <v>1785</v>
      </c>
      <c r="F6" s="96" t="s">
        <v>1787</v>
      </c>
      <c r="G6" s="96" t="s">
        <v>1856</v>
      </c>
      <c r="H6" s="96" t="s">
        <v>1857</v>
      </c>
      <c r="I6" s="96" t="s">
        <v>1858</v>
      </c>
      <c r="J6" s="96" t="s">
        <v>1859</v>
      </c>
      <c r="K6" s="96" t="s">
        <v>1860</v>
      </c>
      <c r="L6" s="96" t="s">
        <v>1861</v>
      </c>
      <c r="M6" s="96" t="s">
        <v>1862</v>
      </c>
      <c r="N6" s="96" t="s">
        <v>1863</v>
      </c>
      <c r="O6" s="96" t="s">
        <v>1864</v>
      </c>
      <c r="P6" s="96" t="s">
        <v>1865</v>
      </c>
      <c r="Q6" s="96" t="s">
        <v>1866</v>
      </c>
      <c r="R6" s="96" t="s">
        <v>1867</v>
      </c>
      <c r="S6" s="96" t="s">
        <v>1868</v>
      </c>
      <c r="T6" s="96" t="s">
        <v>1869</v>
      </c>
      <c r="U6" s="96" t="s">
        <v>1870</v>
      </c>
      <c r="V6" s="96" t="s">
        <v>1871</v>
      </c>
      <c r="W6" s="96" t="s">
        <v>1872</v>
      </c>
      <c r="X6" s="96" t="s">
        <v>1873</v>
      </c>
      <c r="Y6" s="96" t="s">
        <v>1874</v>
      </c>
      <c r="Z6" s="96" t="s">
        <v>1875</v>
      </c>
      <c r="AA6" s="96" t="s">
        <v>1876</v>
      </c>
      <c r="AB6" s="96" t="s">
        <v>1877</v>
      </c>
      <c r="AC6" s="96" t="s">
        <v>1878</v>
      </c>
      <c r="AD6" s="96" t="s">
        <v>1879</v>
      </c>
      <c r="AE6" s="96" t="s">
        <v>1880</v>
      </c>
      <c r="AF6" s="96" t="s">
        <v>1881</v>
      </c>
      <c r="AG6" s="96" t="s">
        <v>1882</v>
      </c>
      <c r="AH6" s="96" t="s">
        <v>1883</v>
      </c>
      <c r="AI6" s="96" t="s">
        <v>1884</v>
      </c>
      <c r="AJ6" s="96" t="s">
        <v>1885</v>
      </c>
      <c r="AK6" s="96" t="s">
        <v>1886</v>
      </c>
      <c r="AL6" s="96" t="s">
        <v>1887</v>
      </c>
      <c r="AM6" s="96" t="s">
        <v>1888</v>
      </c>
      <c r="AN6" s="96" t="s">
        <v>1889</v>
      </c>
      <c r="AO6" s="96" t="s">
        <v>1890</v>
      </c>
      <c r="AP6" s="96" t="s">
        <v>1891</v>
      </c>
      <c r="AQ6" s="96" t="s">
        <v>1892</v>
      </c>
      <c r="AR6" s="96" t="s">
        <v>1893</v>
      </c>
      <c r="AS6" s="96" t="s">
        <v>1894</v>
      </c>
      <c r="AT6" s="96" t="s">
        <v>1895</v>
      </c>
      <c r="AU6" s="96" t="s">
        <v>1896</v>
      </c>
      <c r="AV6" s="96" t="s">
        <v>1897</v>
      </c>
      <c r="AW6" s="96" t="s">
        <v>1898</v>
      </c>
      <c r="AX6" s="96" t="s">
        <v>1899</v>
      </c>
      <c r="AY6" s="96" t="s">
        <v>1900</v>
      </c>
      <c r="AZ6" s="96" t="s">
        <v>1901</v>
      </c>
      <c r="BA6" s="96" t="s">
        <v>1902</v>
      </c>
      <c r="BB6" s="96" t="s">
        <v>1903</v>
      </c>
      <c r="BC6" s="96" t="s">
        <v>1904</v>
      </c>
      <c r="BD6" s="96" t="s">
        <v>1905</v>
      </c>
      <c r="BE6" s="96" t="s">
        <v>1906</v>
      </c>
      <c r="BF6" s="96" t="s">
        <v>1907</v>
      </c>
      <c r="BG6" s="96" t="s">
        <v>1908</v>
      </c>
      <c r="BH6" s="96" t="s">
        <v>1909</v>
      </c>
      <c r="BI6" s="96" t="s">
        <v>1910</v>
      </c>
      <c r="BJ6" s="96" t="s">
        <v>1911</v>
      </c>
      <c r="BK6" s="96" t="s">
        <v>1912</v>
      </c>
      <c r="BL6" s="96" t="s">
        <v>1913</v>
      </c>
      <c r="BM6" s="96" t="s">
        <v>1914</v>
      </c>
      <c r="BN6" s="96" t="s">
        <v>1915</v>
      </c>
      <c r="BO6" s="96" t="s">
        <v>1916</v>
      </c>
      <c r="BP6" s="96" t="s">
        <v>1917</v>
      </c>
      <c r="BQ6" s="96" t="s">
        <v>1918</v>
      </c>
      <c r="BR6" s="96" t="s">
        <v>1919</v>
      </c>
      <c r="BS6" s="96" t="s">
        <v>1920</v>
      </c>
      <c r="BT6" s="96" t="s">
        <v>1921</v>
      </c>
      <c r="BU6" s="96" t="s">
        <v>1922</v>
      </c>
      <c r="BV6" s="96" t="s">
        <v>1923</v>
      </c>
      <c r="BW6" s="96" t="s">
        <v>1924</v>
      </c>
      <c r="BX6" s="96" t="s">
        <v>1925</v>
      </c>
      <c r="BY6" s="96" t="s">
        <v>1926</v>
      </c>
      <c r="BZ6" s="96" t="s">
        <v>1927</v>
      </c>
      <c r="CA6" s="96" t="s">
        <v>1928</v>
      </c>
      <c r="CB6" s="96" t="s">
        <v>1929</v>
      </c>
      <c r="CC6" s="96" t="s">
        <v>1930</v>
      </c>
      <c r="CD6" s="96" t="s">
        <v>1931</v>
      </c>
      <c r="CE6" s="96" t="s">
        <v>1932</v>
      </c>
      <c r="CF6" s="96" t="s">
        <v>1933</v>
      </c>
      <c r="CG6" s="96" t="s">
        <v>1934</v>
      </c>
      <c r="CH6" s="96" t="s">
        <v>1935</v>
      </c>
      <c r="CI6" s="96" t="s">
        <v>1936</v>
      </c>
      <c r="CJ6" s="96" t="s">
        <v>1937</v>
      </c>
      <c r="CK6" s="96" t="s">
        <v>1938</v>
      </c>
      <c r="CL6" s="96" t="s">
        <v>1939</v>
      </c>
      <c r="CM6" s="96" t="s">
        <v>1940</v>
      </c>
      <c r="CN6" s="96" t="s">
        <v>1941</v>
      </c>
      <c r="CO6" s="96" t="s">
        <v>1942</v>
      </c>
      <c r="CP6" s="96" t="s">
        <v>1943</v>
      </c>
      <c r="CQ6" s="96" t="s">
        <v>1944</v>
      </c>
      <c r="CR6" s="96" t="s">
        <v>1945</v>
      </c>
      <c r="CS6" s="96" t="s">
        <v>1946</v>
      </c>
      <c r="CT6" s="96" t="s">
        <v>1947</v>
      </c>
      <c r="CU6" s="96" t="s">
        <v>1948</v>
      </c>
      <c r="CV6" s="96" t="s">
        <v>1949</v>
      </c>
      <c r="CW6" s="96" t="s">
        <v>1950</v>
      </c>
      <c r="CX6" s="96" t="s">
        <v>1951</v>
      </c>
      <c r="CY6" s="96" t="s">
        <v>1952</v>
      </c>
      <c r="CZ6" s="96" t="s">
        <v>1953</v>
      </c>
      <c r="DA6" s="96" t="s">
        <v>1954</v>
      </c>
      <c r="DB6" s="96" t="s">
        <v>1955</v>
      </c>
      <c r="DC6" s="96" t="s">
        <v>1956</v>
      </c>
      <c r="DD6" s="96" t="s">
        <v>1957</v>
      </c>
      <c r="DE6" s="96" t="s">
        <v>1958</v>
      </c>
      <c r="DF6" s="96" t="s">
        <v>1959</v>
      </c>
      <c r="DG6" s="96" t="s">
        <v>1960</v>
      </c>
      <c r="DH6" s="96" t="s">
        <v>1961</v>
      </c>
      <c r="DI6" s="96" t="s">
        <v>1962</v>
      </c>
      <c r="DJ6" s="96" t="s">
        <v>1963</v>
      </c>
      <c r="DK6" s="96" t="s">
        <v>1964</v>
      </c>
      <c r="DL6" s="96" t="s">
        <v>1965</v>
      </c>
      <c r="DM6" s="96" t="s">
        <v>1966</v>
      </c>
      <c r="DN6" s="96" t="s">
        <v>1967</v>
      </c>
      <c r="DO6" s="96" t="s">
        <v>1968</v>
      </c>
      <c r="DP6" s="96" t="s">
        <v>1969</v>
      </c>
      <c r="DQ6" s="96" t="s">
        <v>1970</v>
      </c>
      <c r="DR6" s="96" t="s">
        <v>1971</v>
      </c>
      <c r="DS6" s="96" t="s">
        <v>1972</v>
      </c>
      <c r="DT6" s="96" t="s">
        <v>1973</v>
      </c>
      <c r="DU6" s="96" t="s">
        <v>1974</v>
      </c>
      <c r="DV6" s="96" t="s">
        <v>1975</v>
      </c>
      <c r="DW6" s="96" t="s">
        <v>1976</v>
      </c>
      <c r="DX6" s="96" t="s">
        <v>1977</v>
      </c>
      <c r="DY6" s="96" t="s">
        <v>1978</v>
      </c>
      <c r="DZ6" s="96" t="s">
        <v>1979</v>
      </c>
      <c r="EA6" s="96" t="s">
        <v>1980</v>
      </c>
      <c r="EB6" s="96" t="s">
        <v>1981</v>
      </c>
      <c r="EC6" s="96" t="s">
        <v>1982</v>
      </c>
      <c r="ED6" s="96" t="s">
        <v>1983</v>
      </c>
      <c r="EE6" s="96" t="s">
        <v>1984</v>
      </c>
      <c r="EF6" s="96" t="s">
        <v>1985</v>
      </c>
      <c r="EG6" s="96" t="s">
        <v>1986</v>
      </c>
      <c r="EH6" s="96" t="s">
        <v>1987</v>
      </c>
      <c r="EI6" s="96" t="s">
        <v>1988</v>
      </c>
      <c r="EJ6" s="96" t="s">
        <v>1989</v>
      </c>
      <c r="EK6" s="96" t="s">
        <v>1990</v>
      </c>
      <c r="EL6" s="96" t="s">
        <v>1991</v>
      </c>
      <c r="EM6" s="96" t="s">
        <v>1992</v>
      </c>
      <c r="EN6" s="96" t="s">
        <v>1993</v>
      </c>
      <c r="EO6" s="96" t="s">
        <v>1994</v>
      </c>
      <c r="EP6" s="96" t="s">
        <v>1995</v>
      </c>
      <c r="EQ6" s="96" t="s">
        <v>1996</v>
      </c>
      <c r="ER6" s="96" t="s">
        <v>1997</v>
      </c>
      <c r="ES6" s="96" t="s">
        <v>1998</v>
      </c>
      <c r="ET6" s="96" t="s">
        <v>1999</v>
      </c>
      <c r="EU6" s="96" t="s">
        <v>2000</v>
      </c>
      <c r="EV6" s="96" t="s">
        <v>2001</v>
      </c>
      <c r="EW6" s="96" t="s">
        <v>2002</v>
      </c>
      <c r="EX6" s="96" t="s">
        <v>2003</v>
      </c>
      <c r="EY6" s="96" t="s">
        <v>2004</v>
      </c>
      <c r="EZ6" s="96" t="s">
        <v>2005</v>
      </c>
      <c r="FA6" s="96" t="s">
        <v>2006</v>
      </c>
      <c r="FB6" s="96" t="s">
        <v>2007</v>
      </c>
      <c r="FC6" s="96" t="s">
        <v>2008</v>
      </c>
      <c r="FD6" s="96" t="s">
        <v>2009</v>
      </c>
      <c r="FE6" s="96" t="s">
        <v>2010</v>
      </c>
      <c r="FF6" s="96" t="s">
        <v>2011</v>
      </c>
      <c r="FG6" s="96" t="s">
        <v>2012</v>
      </c>
      <c r="FH6" s="96" t="s">
        <v>2013</v>
      </c>
      <c r="FI6" s="96" t="s">
        <v>2014</v>
      </c>
      <c r="FJ6" s="96" t="s">
        <v>2015</v>
      </c>
      <c r="FK6" s="96" t="s">
        <v>2016</v>
      </c>
      <c r="FL6" s="96" t="s">
        <v>2017</v>
      </c>
      <c r="FM6" s="96" t="s">
        <v>2018</v>
      </c>
      <c r="FN6" s="96" t="s">
        <v>2019</v>
      </c>
      <c r="FO6" s="96" t="s">
        <v>2020</v>
      </c>
      <c r="FP6" s="96" t="s">
        <v>2021</v>
      </c>
      <c r="FQ6" s="96" t="s">
        <v>2022</v>
      </c>
      <c r="FR6" s="96" t="s">
        <v>2023</v>
      </c>
      <c r="FS6" s="96" t="s">
        <v>2024</v>
      </c>
      <c r="FT6" s="96" t="s">
        <v>2025</v>
      </c>
      <c r="FU6" s="96" t="s">
        <v>2026</v>
      </c>
      <c r="FV6" s="96" t="s">
        <v>2027</v>
      </c>
      <c r="FW6" s="96" t="s">
        <v>2028</v>
      </c>
      <c r="FX6" s="96" t="s">
        <v>2029</v>
      </c>
      <c r="FY6" s="96" t="s">
        <v>2030</v>
      </c>
      <c r="FZ6" s="96" t="s">
        <v>2031</v>
      </c>
      <c r="GA6" s="96" t="s">
        <v>2032</v>
      </c>
      <c r="GB6" s="96" t="s">
        <v>2033</v>
      </c>
      <c r="GC6" s="96" t="s">
        <v>2034</v>
      </c>
      <c r="GD6" s="96" t="s">
        <v>2035</v>
      </c>
      <c r="GE6" s="96" t="s">
        <v>2036</v>
      </c>
      <c r="GF6" s="96" t="s">
        <v>2037</v>
      </c>
      <c r="GG6" s="96" t="s">
        <v>2038</v>
      </c>
      <c r="GH6" s="96" t="s">
        <v>2039</v>
      </c>
      <c r="GI6" s="96" t="s">
        <v>2040</v>
      </c>
      <c r="GJ6" s="96" t="s">
        <v>2041</v>
      </c>
      <c r="GK6" s="96" t="s">
        <v>2042</v>
      </c>
      <c r="GL6" s="96" t="s">
        <v>2043</v>
      </c>
      <c r="GM6" s="96" t="s">
        <v>2044</v>
      </c>
      <c r="GN6" s="96" t="s">
        <v>2045</v>
      </c>
      <c r="GO6" s="96" t="s">
        <v>2046</v>
      </c>
      <c r="GP6" s="96" t="s">
        <v>2047</v>
      </c>
      <c r="GQ6" s="96" t="s">
        <v>2048</v>
      </c>
      <c r="GR6" s="96" t="s">
        <v>2049</v>
      </c>
      <c r="GS6" s="96" t="s">
        <v>2050</v>
      </c>
      <c r="GT6" s="96" t="s">
        <v>2051</v>
      </c>
      <c r="GU6" s="96" t="s">
        <v>2052</v>
      </c>
      <c r="GV6" s="96" t="s">
        <v>2053</v>
      </c>
      <c r="GW6" s="96" t="s">
        <v>2054</v>
      </c>
      <c r="GX6" s="96" t="s">
        <v>2055</v>
      </c>
      <c r="GY6" s="96" t="s">
        <v>2056</v>
      </c>
      <c r="GZ6" s="96" t="s">
        <v>2057</v>
      </c>
      <c r="HA6" s="96" t="s">
        <v>2058</v>
      </c>
      <c r="HB6" s="96" t="s">
        <v>2059</v>
      </c>
      <c r="HC6" s="96" t="s">
        <v>2060</v>
      </c>
      <c r="HD6" s="96" t="s">
        <v>2061</v>
      </c>
      <c r="HE6" s="96" t="s">
        <v>2062</v>
      </c>
      <c r="HF6" s="96" t="s">
        <v>2063</v>
      </c>
      <c r="HG6" s="96" t="s">
        <v>2064</v>
      </c>
      <c r="HH6" s="96" t="s">
        <v>2065</v>
      </c>
      <c r="HI6" s="96" t="s">
        <v>2066</v>
      </c>
      <c r="HJ6" s="96" t="s">
        <v>2067</v>
      </c>
      <c r="HK6" s="96" t="s">
        <v>2068</v>
      </c>
      <c r="HL6" s="96" t="s">
        <v>2069</v>
      </c>
      <c r="HM6" s="96" t="s">
        <v>2070</v>
      </c>
      <c r="HN6" s="96" t="s">
        <v>2071</v>
      </c>
      <c r="HO6" s="96" t="s">
        <v>2072</v>
      </c>
      <c r="HP6" s="96" t="s">
        <v>2073</v>
      </c>
      <c r="HQ6" s="96" t="s">
        <v>2074</v>
      </c>
      <c r="HR6" s="96" t="s">
        <v>2075</v>
      </c>
      <c r="HS6" s="96" t="s">
        <v>2076</v>
      </c>
      <c r="HT6" s="96" t="s">
        <v>2077</v>
      </c>
      <c r="HU6" s="96" t="s">
        <v>2078</v>
      </c>
      <c r="HV6" s="96" t="s">
        <v>2079</v>
      </c>
      <c r="HW6" s="96" t="s">
        <v>2080</v>
      </c>
      <c r="HX6" s="96" t="s">
        <v>2081</v>
      </c>
      <c r="HY6" s="96" t="s">
        <v>2082</v>
      </c>
      <c r="HZ6" s="96" t="s">
        <v>2083</v>
      </c>
      <c r="IA6" s="96" t="s">
        <v>2084</v>
      </c>
      <c r="IB6" s="96" t="s">
        <v>2085</v>
      </c>
      <c r="IC6" s="96" t="s">
        <v>2086</v>
      </c>
      <c r="ID6" s="96" t="s">
        <v>2087</v>
      </c>
      <c r="IE6" s="96" t="s">
        <v>2088</v>
      </c>
      <c r="IF6" s="96" t="s">
        <v>2089</v>
      </c>
      <c r="IG6" s="96" t="s">
        <v>2090</v>
      </c>
      <c r="IH6" s="96" t="s">
        <v>2091</v>
      </c>
      <c r="II6" s="96" t="s">
        <v>2092</v>
      </c>
      <c r="IJ6" s="96" t="s">
        <v>2093</v>
      </c>
      <c r="IK6" s="96" t="s">
        <v>2094</v>
      </c>
      <c r="IL6" s="96" t="s">
        <v>2095</v>
      </c>
      <c r="IM6" s="96" t="s">
        <v>2096</v>
      </c>
      <c r="IN6" s="96" t="s">
        <v>2097</v>
      </c>
      <c r="IO6" s="96" t="s">
        <v>2098</v>
      </c>
      <c r="IP6" s="96" t="s">
        <v>2099</v>
      </c>
      <c r="IQ6" s="96" t="s">
        <v>2100</v>
      </c>
      <c r="IR6" s="96" t="s">
        <v>1810</v>
      </c>
      <c r="IS6" s="96" t="s">
        <v>2101</v>
      </c>
      <c r="IT6" s="96" t="s">
        <v>2102</v>
      </c>
      <c r="IU6" s="96" t="s">
        <v>2103</v>
      </c>
      <c r="IV6" s="96" t="s">
        <v>2104</v>
      </c>
      <c r="IW6" s="96" t="s">
        <v>2105</v>
      </c>
      <c r="IX6" s="96" t="s">
        <v>2106</v>
      </c>
      <c r="IY6" s="96" t="s">
        <v>2107</v>
      </c>
      <c r="IZ6" s="96" t="s">
        <v>2108</v>
      </c>
      <c r="JA6" s="96" t="s">
        <v>2109</v>
      </c>
      <c r="JB6" s="96" t="s">
        <v>2110</v>
      </c>
      <c r="JC6" s="96" t="s">
        <v>2111</v>
      </c>
      <c r="JD6" s="96" t="s">
        <v>2112</v>
      </c>
      <c r="JE6" s="96" t="s">
        <v>2113</v>
      </c>
      <c r="JF6" s="96" t="s">
        <v>2114</v>
      </c>
    </row>
    <row r="7" customFormat="false" ht="15" hidden="false" customHeight="false" outlineLevel="0" collapsed="false">
      <c r="A7" s="1" t="s">
        <v>1852</v>
      </c>
      <c r="N7" s="105" t="n">
        <f aca="false">F_CardBal</f>
        <v>0</v>
      </c>
      <c r="Q7" s="105" t="n">
        <f aca="false">F_LoanBal</f>
        <v>0</v>
      </c>
      <c r="S7" s="105" t="n">
        <f aca="false">Init_Free0</f>
        <v>0</v>
      </c>
      <c r="AE7" s="105" t="n">
        <f aca="false">Init_Buf0</f>
        <v>0</v>
      </c>
      <c r="DA7" s="105" t="n">
        <f aca="false">F_MortBal</f>
        <v>0</v>
      </c>
      <c r="DC7" s="105" t="n">
        <v>0</v>
      </c>
      <c r="HD7" s="105" t="n">
        <f aca="false">Init_Free1</f>
        <v>0</v>
      </c>
      <c r="HE7" s="105" t="n">
        <f aca="false">Init_Buf0</f>
        <v>0</v>
      </c>
      <c r="HF7" s="105" t="n">
        <f aca="false">Slot1_Pot0</f>
        <v>0</v>
      </c>
      <c r="HJ7" s="105" t="n">
        <f aca="false">Slot2_Pot0</f>
        <v>0</v>
      </c>
      <c r="HN7" s="105" t="n">
        <f aca="false">Slot3_Pot0</f>
        <v>0</v>
      </c>
      <c r="HR7" s="105" t="n">
        <f aca="false">Slot4_Pot0</f>
        <v>0</v>
      </c>
      <c r="HV7" s="105" t="n">
        <f aca="false">Slot5_Pot0</f>
        <v>0</v>
      </c>
      <c r="HZ7" s="105" t="n">
        <f aca="false">Slot6_Pot0</f>
        <v>0</v>
      </c>
      <c r="ID7" s="105" t="n">
        <f aca="false">Slot7_Pot0</f>
        <v>0</v>
      </c>
      <c r="IH7" s="105" t="n">
        <f aca="false">Slot8_Pot0</f>
        <v>0</v>
      </c>
      <c r="JB7" s="105" t="n">
        <v>0</v>
      </c>
    </row>
    <row r="8" customFormat="false" ht="15" hidden="false" customHeight="false" outlineLevel="0" collapsed="false">
      <c r="B8" s="1" t="n">
        <v>0</v>
      </c>
      <c r="C8" s="1" t="n">
        <f aca="false">IF(B8&lt;=F_N,1,0)</f>
        <v>1</v>
      </c>
      <c r="D8" s="1" t="n">
        <f aca="false">'Plan pay &amp; tax'!C210</f>
        <v>0</v>
      </c>
      <c r="E8" s="106" t="n">
        <f aca="false">'Plan pay &amp; tax'!E210</f>
        <v>1</v>
      </c>
      <c r="F8" s="1" t="n">
        <f aca="false">'Plan pay &amp; tax'!G210</f>
        <v>0</v>
      </c>
      <c r="G8" s="1" t="n">
        <f aca="false">'Plan pay &amp; tax'!BT210-'Plan pay &amp; tax'!BS210-'Plan pay &amp; tax'!R210</f>
        <v>0</v>
      </c>
      <c r="H8" s="1" t="n">
        <f aca="false">IF(F8=1,F_CostsM*12,IF(RG_Exists=1,RG_Amount,F_CostsM*12*AS_RetireSpend))*E8+F_OneOffY*E8</f>
        <v>0</v>
      </c>
      <c r="I8" s="1" t="n">
        <f aca="false">DA7</f>
        <v>0</v>
      </c>
      <c r="J8" s="1" t="n">
        <f aca="false">IF(I8&gt;1,'Plan debt months'!AC8,0)</f>
        <v>0</v>
      </c>
      <c r="K8" s="1" t="n">
        <f aca="false">IF(I8&gt;1,'Plan debt months'!AB8,I8)</f>
        <v>0</v>
      </c>
      <c r="L8" s="1" t="n">
        <f aca="false">N7</f>
        <v>0</v>
      </c>
      <c r="M8" s="1" t="n">
        <f aca="false">IF(L8&gt;1,'Plan debt months'!BD8,0)</f>
        <v>0</v>
      </c>
      <c r="N8" s="1" t="n">
        <f aca="false">IF(L8&gt;1,'Plan debt months'!BC8,L8)</f>
        <v>0</v>
      </c>
      <c r="O8" s="1" t="n">
        <f aca="false">Q7</f>
        <v>0</v>
      </c>
      <c r="P8" s="1" t="n">
        <f aca="false">IF(O8&gt;1,'Plan debt months'!CE8,0)</f>
        <v>0</v>
      </c>
      <c r="Q8" s="1" t="n">
        <f aca="false">IF(O8&gt;1,'Plan debt months'!CD8,O8)</f>
        <v>0</v>
      </c>
      <c r="R8" s="1" t="n">
        <f aca="false">J8+M8+P8</f>
        <v>0</v>
      </c>
      <c r="S8" s="1" t="n">
        <f aca="false">HD7+'Plan pay &amp; tax'!Y210</f>
        <v>0</v>
      </c>
      <c r="T8" s="1" t="n">
        <f aca="false">HD7</f>
        <v>0</v>
      </c>
      <c r="U8" s="1" t="n">
        <f aca="false">IF(AND(Slot1_On=1,D8=Slot1_Age),1,0)</f>
        <v>0</v>
      </c>
      <c r="V8" s="1" t="n">
        <f aca="false">IF(AND(Slot1_On=1,Slot1_Age&gt;D8),1,0)</f>
        <v>0</v>
      </c>
      <c r="W8" s="1" t="n">
        <f aca="false">HF7</f>
        <v>0</v>
      </c>
      <c r="X8" s="1" t="n">
        <f aca="false">U8*MIN(Slot1_Cost,W8)</f>
        <v>0</v>
      </c>
      <c r="Y8" s="1" t="n">
        <f aca="false">U8*Slot1_SpendLike*MIN(Slot1_Cost-X8,S8)</f>
        <v>0</v>
      </c>
      <c r="Z8" s="1" t="n">
        <f aca="false">X8+Y8</f>
        <v>0</v>
      </c>
      <c r="AA8" s="1" t="n">
        <f aca="false">S8-Y8+U8*IF(Slot1_SpendLike=1,W8-X8,IF(Slot1_PotFree=1,W8,0))</f>
        <v>0</v>
      </c>
      <c r="AB8" s="1" t="n">
        <f aca="false">AE8+U8*Slot1_BufPot*W8</f>
        <v>0</v>
      </c>
      <c r="AC8" s="1" t="n">
        <f aca="false">IF(AND(U8=1,Slot1_IsMfree=1),IF(Z8&gt;=Slot1_Cost-1,0,MAX(0,K8-Z8)),K8)</f>
        <v>0</v>
      </c>
      <c r="AD8" s="1" t="n">
        <f aca="false">U8*(Slot1_Cost-Z8)</f>
        <v>0</v>
      </c>
      <c r="AE8" s="1" t="n">
        <f aca="false">HE7</f>
        <v>0</v>
      </c>
      <c r="AF8" s="1" t="n">
        <f aca="false">IF(AND(Slot2_On=1,D8=Slot2_Age),1,0)</f>
        <v>0</v>
      </c>
      <c r="AG8" s="1" t="n">
        <f aca="false">IF(AND(Slot2_On=1,Slot2_Age&gt;D8),1,0)</f>
        <v>0</v>
      </c>
      <c r="AH8" s="1" t="n">
        <f aca="false">HJ7</f>
        <v>0</v>
      </c>
      <c r="AI8" s="1" t="n">
        <f aca="false">AF8*MIN(Slot2_Cost,AH8)</f>
        <v>0</v>
      </c>
      <c r="AJ8" s="1" t="n">
        <f aca="false">AF8*Slot2_SpendLike*MIN(Slot2_Cost-AI8,AA8)</f>
        <v>0</v>
      </c>
      <c r="AK8" s="1" t="n">
        <f aca="false">AI8+AJ8</f>
        <v>0</v>
      </c>
      <c r="AL8" s="1" t="n">
        <f aca="false">AA8-AJ8+AF8*IF(Slot2_SpendLike=1,AH8-AI8,IF(Slot2_PotFree=1,AH8,0))</f>
        <v>0</v>
      </c>
      <c r="AM8" s="1" t="n">
        <f aca="false">AB8+AF8*Slot2_BufPot*AH8</f>
        <v>0</v>
      </c>
      <c r="AN8" s="1" t="n">
        <f aca="false">IF(AND(AF8=1,Slot2_IsMfree=1),IF(AK8&gt;=Slot2_Cost-1,0,MAX(0,AC8-AK8)),AC8)</f>
        <v>0</v>
      </c>
      <c r="AO8" s="1" t="n">
        <f aca="false">AF8*(Slot2_Cost-AK8)</f>
        <v>0</v>
      </c>
      <c r="AP8" s="1" t="n">
        <f aca="false">IF(AND(Slot3_On=1,D8=Slot3_Age),1,0)</f>
        <v>0</v>
      </c>
      <c r="AQ8" s="1" t="n">
        <f aca="false">IF(AND(Slot3_On=1,Slot3_Age&gt;D8),1,0)</f>
        <v>0</v>
      </c>
      <c r="AR8" s="1" t="n">
        <f aca="false">HN7</f>
        <v>0</v>
      </c>
      <c r="AS8" s="1" t="n">
        <f aca="false">AP8*MIN(Slot3_Cost,AR8)</f>
        <v>0</v>
      </c>
      <c r="AT8" s="1" t="n">
        <f aca="false">AP8*Slot3_SpendLike*MIN(Slot3_Cost-AS8,AL8)</f>
        <v>0</v>
      </c>
      <c r="AU8" s="1" t="n">
        <f aca="false">AS8+AT8</f>
        <v>0</v>
      </c>
      <c r="AV8" s="1" t="n">
        <f aca="false">AL8-AT8+AP8*IF(Slot3_SpendLike=1,AR8-AS8,IF(Slot3_PotFree=1,AR8,0))</f>
        <v>0</v>
      </c>
      <c r="AW8" s="1" t="n">
        <f aca="false">AM8+AP8*Slot3_BufPot*AR8</f>
        <v>0</v>
      </c>
      <c r="AX8" s="1" t="n">
        <f aca="false">IF(AND(AP8=1,Slot3_IsMfree=1),IF(AU8&gt;=Slot3_Cost-1,0,MAX(0,AN8-AU8)),AN8)</f>
        <v>0</v>
      </c>
      <c r="AY8" s="1" t="n">
        <f aca="false">AP8*(Slot3_Cost-AU8)</f>
        <v>0</v>
      </c>
      <c r="AZ8" s="1" t="n">
        <f aca="false">IF(AND(Slot4_On=1,D8=Slot4_Age),1,0)</f>
        <v>0</v>
      </c>
      <c r="BA8" s="1" t="n">
        <f aca="false">IF(AND(Slot4_On=1,Slot4_Age&gt;D8),1,0)</f>
        <v>0</v>
      </c>
      <c r="BB8" s="1" t="n">
        <f aca="false">HR7</f>
        <v>0</v>
      </c>
      <c r="BC8" s="1" t="n">
        <f aca="false">AZ8*MIN(Slot4_Cost,BB8)</f>
        <v>0</v>
      </c>
      <c r="BD8" s="1" t="n">
        <f aca="false">AZ8*Slot4_SpendLike*MIN(Slot4_Cost-BC8,AV8)</f>
        <v>0</v>
      </c>
      <c r="BE8" s="1" t="n">
        <f aca="false">BC8+BD8</f>
        <v>0</v>
      </c>
      <c r="BF8" s="1" t="n">
        <f aca="false">AV8-BD8+AZ8*IF(Slot4_SpendLike=1,BB8-BC8,IF(Slot4_PotFree=1,BB8,0))</f>
        <v>0</v>
      </c>
      <c r="BG8" s="1" t="n">
        <f aca="false">AW8+AZ8*Slot4_BufPot*BB8</f>
        <v>0</v>
      </c>
      <c r="BH8" s="1" t="n">
        <f aca="false">IF(AND(AZ8=1,Slot4_IsMfree=1),IF(BE8&gt;=Slot4_Cost-1,0,MAX(0,AX8-BE8)),AX8)</f>
        <v>0</v>
      </c>
      <c r="BI8" s="1" t="n">
        <f aca="false">AZ8*(Slot4_Cost-BE8)</f>
        <v>0</v>
      </c>
      <c r="BJ8" s="1" t="n">
        <f aca="false">IF(AND(Slot5_On=1,D8=Slot5_Age),1,0)</f>
        <v>0</v>
      </c>
      <c r="BK8" s="1" t="n">
        <f aca="false">IF(AND(Slot5_On=1,Slot5_Age&gt;D8),1,0)</f>
        <v>0</v>
      </c>
      <c r="BL8" s="1" t="n">
        <f aca="false">HV7</f>
        <v>0</v>
      </c>
      <c r="BM8" s="1" t="n">
        <f aca="false">BJ8*MIN(Slot5_Cost,BL8)</f>
        <v>0</v>
      </c>
      <c r="BN8" s="1" t="n">
        <f aca="false">BJ8*Slot5_SpendLike*MIN(Slot5_Cost-BM8,BF8)</f>
        <v>0</v>
      </c>
      <c r="BO8" s="1" t="n">
        <f aca="false">BM8+BN8</f>
        <v>0</v>
      </c>
      <c r="BP8" s="1" t="n">
        <f aca="false">BF8-BN8+BJ8*IF(Slot5_SpendLike=1,BL8-BM8,IF(Slot5_PotFree=1,BL8,0))</f>
        <v>0</v>
      </c>
      <c r="BQ8" s="1" t="n">
        <f aca="false">BG8+BJ8*Slot5_BufPot*BL8</f>
        <v>0</v>
      </c>
      <c r="BR8" s="1" t="n">
        <f aca="false">IF(AND(BJ8=1,Slot5_IsMfree=1),IF(BO8&gt;=Slot5_Cost-1,0,MAX(0,BH8-BO8)),BH8)</f>
        <v>0</v>
      </c>
      <c r="BS8" s="1" t="n">
        <f aca="false">BJ8*(Slot5_Cost-BO8)</f>
        <v>0</v>
      </c>
      <c r="BT8" s="1" t="n">
        <f aca="false">IF(AND(Slot6_On=1,D8=Slot6_Age),1,0)</f>
        <v>0</v>
      </c>
      <c r="BU8" s="1" t="n">
        <f aca="false">IF(AND(Slot6_On=1,Slot6_Age&gt;D8),1,0)</f>
        <v>0</v>
      </c>
      <c r="BV8" s="1" t="n">
        <f aca="false">HZ7</f>
        <v>0</v>
      </c>
      <c r="BW8" s="1" t="n">
        <f aca="false">BT8*MIN(Slot6_Cost,BV8)</f>
        <v>0</v>
      </c>
      <c r="BX8" s="1" t="n">
        <f aca="false">BT8*Slot6_SpendLike*MIN(Slot6_Cost-BW8,BP8)</f>
        <v>0</v>
      </c>
      <c r="BY8" s="1" t="n">
        <f aca="false">BW8+BX8</f>
        <v>0</v>
      </c>
      <c r="BZ8" s="1" t="n">
        <f aca="false">BP8-BX8+BT8*IF(Slot6_SpendLike=1,BV8-BW8,IF(Slot6_PotFree=1,BV8,0))</f>
        <v>0</v>
      </c>
      <c r="CA8" s="1" t="n">
        <f aca="false">BQ8+BT8*Slot6_BufPot*BV8</f>
        <v>0</v>
      </c>
      <c r="CB8" s="1" t="n">
        <f aca="false">IF(AND(BT8=1,Slot6_IsMfree=1),IF(BY8&gt;=Slot6_Cost-1,0,MAX(0,BR8-BY8)),BR8)</f>
        <v>0</v>
      </c>
      <c r="CC8" s="1" t="n">
        <f aca="false">BT8*(Slot6_Cost-BY8)</f>
        <v>0</v>
      </c>
      <c r="CD8" s="1" t="n">
        <f aca="false">IF(AND(Slot7_On=1,D8=Slot7_Age),1,0)</f>
        <v>0</v>
      </c>
      <c r="CE8" s="1" t="n">
        <f aca="false">IF(AND(Slot7_On=1,Slot7_Age&gt;D8),1,0)</f>
        <v>0</v>
      </c>
      <c r="CF8" s="1" t="n">
        <f aca="false">ID7</f>
        <v>0</v>
      </c>
      <c r="CG8" s="1" t="n">
        <f aca="false">CD8*MIN(Slot7_Cost,CF8)</f>
        <v>0</v>
      </c>
      <c r="CH8" s="1" t="n">
        <f aca="false">CD8*Slot7_SpendLike*MIN(Slot7_Cost-CG8,BZ8)</f>
        <v>0</v>
      </c>
      <c r="CI8" s="1" t="n">
        <f aca="false">CG8+CH8</f>
        <v>0</v>
      </c>
      <c r="CJ8" s="1" t="n">
        <f aca="false">BZ8-CH8+CD8*IF(Slot7_SpendLike=1,CF8-CG8,IF(Slot7_PotFree=1,CF8,0))</f>
        <v>0</v>
      </c>
      <c r="CK8" s="1" t="n">
        <f aca="false">CA8+CD8*Slot7_BufPot*CF8</f>
        <v>0</v>
      </c>
      <c r="CL8" s="1" t="n">
        <f aca="false">IF(AND(CD8=1,Slot7_IsMfree=1),IF(CI8&gt;=Slot7_Cost-1,0,MAX(0,CB8-CI8)),CB8)</f>
        <v>0</v>
      </c>
      <c r="CM8" s="1" t="n">
        <f aca="false">CD8*(Slot7_Cost-CI8)</f>
        <v>0</v>
      </c>
      <c r="CN8" s="1" t="n">
        <f aca="false">IF(AND(Slot8_On=1,D8=Slot8_Age),1,0)</f>
        <v>0</v>
      </c>
      <c r="CO8" s="1" t="n">
        <f aca="false">IF(AND(Slot8_On=1,Slot8_Age&gt;D8),1,0)</f>
        <v>0</v>
      </c>
      <c r="CP8" s="1" t="n">
        <f aca="false">IH7</f>
        <v>0</v>
      </c>
      <c r="CQ8" s="1" t="n">
        <f aca="false">CN8*MIN(Slot8_Cost,CP8)</f>
        <v>0</v>
      </c>
      <c r="CR8" s="1" t="n">
        <f aca="false">CN8*Slot8_SpendLike*MIN(Slot8_Cost-CQ8,CJ8)</f>
        <v>0</v>
      </c>
      <c r="CS8" s="1" t="n">
        <f aca="false">CQ8+CR8</f>
        <v>0</v>
      </c>
      <c r="CT8" s="1" t="n">
        <f aca="false">CJ8-CR8+CN8*IF(Slot8_SpendLike=1,CP8-CQ8,IF(Slot8_PotFree=1,CP8,0))</f>
        <v>0</v>
      </c>
      <c r="CU8" s="1" t="n">
        <f aca="false">CK8+CN8*Slot8_BufPot*CP8</f>
        <v>0</v>
      </c>
      <c r="CV8" s="1" t="n">
        <f aca="false">IF(AND(CN8=1,Slot8_IsMfree=1),IF(CS8&gt;=Slot8_Cost-1,0,MAX(0,CL8-CS8)),CL8)</f>
        <v>0</v>
      </c>
      <c r="CW8" s="1" t="n">
        <f aca="false">CN8*(Slot8_Cost-CS8)</f>
        <v>0</v>
      </c>
      <c r="CX8" s="1" t="n">
        <f aca="false">U8*Slot1_SpendLike*Z8+AF8*Slot2_SpendLike*AK8+AP8*Slot3_SpendLike*AU8+AZ8*Slot4_SpendLike*BE8+BJ8*Slot5_SpendLike*BO8+BT8*Slot6_SpendLike*BY8+CD8*Slot7_SpendLike*CI8+CN8*Slot8_SpendLike*CS8</f>
        <v>0</v>
      </c>
      <c r="CY8" s="1" t="n">
        <f aca="false">AD8+AO8+AY8+BI8+BS8+CC8+CM8+CW8</f>
        <v>0</v>
      </c>
      <c r="CZ8" s="1" t="n">
        <f aca="false">U8*Slot1_Cost+AF8*Slot2_Cost+AP8*Slot3_Cost+AZ8*Slot4_Cost+BJ8*Slot5_Cost+BT8*Slot6_Cost+CD8*Slot7_Cost+CN8*Slot8_Cost</f>
        <v>0</v>
      </c>
      <c r="DA8" s="1" t="n">
        <f aca="false">CV8</f>
        <v>0</v>
      </c>
      <c r="DB8" s="1" t="n">
        <f aca="false">G8-H8-R8</f>
        <v>0</v>
      </c>
      <c r="DC8" s="1" t="n">
        <f aca="false">IF(B8=0,IF(AND(Has_q6=1,In_q6=4),PR_ShareVaries*(MAX(0,DB8)/12),MIN(IF(Has_q6=1,CHOOSE(In_q6+1,PR_SaveB1,PR_SaveB2,PR_SaveB3,PR_SaveB4,0),AS_NoAnswer),AS_SaveShare*(MAX(0,DB8)/12))),DC7)</f>
        <v>0</v>
      </c>
      <c r="DD8" s="1" t="n">
        <f aca="false">IF(DB8&gt;=0,1,0)</f>
        <v>1</v>
      </c>
      <c r="DE8" s="1" t="n">
        <f aca="false">MAX(0,DB8/12/E8)</f>
        <v>0</v>
      </c>
      <c r="DF8" s="1" t="n">
        <f aca="false">IF(AND(Has_q6=1,In_q6=4),PR_ShareVaries*(DE8),MIN(IF(Has_q6=1,CHOOSE(In_q6+1,PR_SaveB1,PR_SaveB2,PR_SaveB3,PR_SaveB4,0),AS_NoAnswer),AS_SaveShare*(DE8)))</f>
        <v>0</v>
      </c>
      <c r="DG8" s="1" t="n">
        <f aca="false">IF(Has_saveM=1,IF(In_saveUp="Yes",1,IF(In_saveUp="No",0,IF(In_saveM&gt;=DC8-0.5,1,0))),0)</f>
        <v>0</v>
      </c>
      <c r="DH8" s="1" t="n">
        <f aca="false">IF(Has_saveM=1,MIN(DE8,IF(DG8=1,MAX(In_saveM,DF8),MIN(In_saveM,DF8))),DF8)</f>
        <v>0</v>
      </c>
      <c r="DI8" s="1" t="n">
        <f aca="false">IF(F8=1,DH8*12*E8,0)</f>
        <v>0</v>
      </c>
      <c r="DJ8" s="1" t="n">
        <f aca="false">MAX(0,DI8+IF(AND(WI_Retire=0,WI_M&lt;0,F8=1),WI_M*12*E8,0))</f>
        <v>0</v>
      </c>
      <c r="DK8" s="1" t="n">
        <f aca="false">Slot1_IsWG*V8+Slot2_IsWG*AG8+Slot3_IsWG*AQ8+Slot4_IsWG*BA8+Slot5_IsWG*BK8+Slot6_IsWG*BU8+Slot7_IsWG*CE8+Slot8_IsWG*CO8</f>
        <v>0</v>
      </c>
      <c r="DL8" s="1" t="n">
        <f aca="false">IF(AND(WI_Retire=0,WI_M&gt;0,F8=1,DK8&gt;=1),WI_M*12*E8,0)</f>
        <v>0</v>
      </c>
      <c r="DM8" s="1" t="n">
        <f aca="false">IF(DD8=1,MIN(DJ8,DB8),0)</f>
        <v>0</v>
      </c>
      <c r="DN8" s="1" t="n">
        <f aca="false">IF(DD8=1,MIN(DL8,DB8-DM8),0)</f>
        <v>0</v>
      </c>
      <c r="DO8" s="1" t="n">
        <f aca="false">IF(V8=1,IF(ABS((1+AS_Wage)/(1+Slot1_Rate)-1)&lt;0.000000000001,(Slot1_Age-D8)*(1+Slot1_Rate)^(Slot1_Age-D8),(1+Slot1_Rate)^(Slot1_Age-D8)*(1-((1+AS_Wage)/(1+Slot1_Rate))^(Slot1_Age-D8))/(1-(1+AS_Wage)/(1+Slot1_Rate))),1)</f>
        <v>1</v>
      </c>
      <c r="DP8" s="1" t="n">
        <f aca="false">IF(AND(DD8=1,DN8&gt;0,Slot1_IsWG=1,V8=1),MAX(0,(Slot1_Cost-W8*(1+Slot1_Rate)^(Slot1_Age-D8))/DO8),0)</f>
        <v>0</v>
      </c>
      <c r="DQ8" s="1" t="n">
        <f aca="false">IF(AND(DD8=1,DN8&gt;0,Slot1_IsWG=1,V8=1),MIN(DN8,DP8),0)</f>
        <v>0</v>
      </c>
      <c r="DR8" s="1" t="n">
        <f aca="false">W8+DQ8</f>
        <v>0</v>
      </c>
      <c r="DS8" s="1" t="n">
        <f aca="false">IF(V8=1,MAX(0,(Slot1_Cost-DR8*(1+Slot1_Rate)^(Slot1_Age-D8))/DO8),0)</f>
        <v>0</v>
      </c>
      <c r="DT8" s="1" t="n">
        <f aca="false">IF(V8=1,MAX(0,(Slot1_Cost-W8*(1+Slot1_Rate)^(Slot1_Age-D8))/DO8),0)</f>
        <v>0</v>
      </c>
      <c r="DU8" s="1" t="n">
        <f aca="false">IF(AND(DD8=1,V8=1),MIN(DM8,DS8),0)</f>
        <v>0</v>
      </c>
      <c r="DV8" s="1" t="n">
        <f aca="false">DM8-DU8</f>
        <v>0</v>
      </c>
      <c r="DW8" s="1" t="n">
        <f aca="false">IF(AG8=1,IF(ABS((1+AS_Wage)/(1+Slot2_Rate)-1)&lt;0.000000000001,(Slot2_Age-D8)*(1+Slot2_Rate)^(Slot2_Age-D8),(1+Slot2_Rate)^(Slot2_Age-D8)*(1-((1+AS_Wage)/(1+Slot2_Rate))^(Slot2_Age-D8))/(1-(1+AS_Wage)/(1+Slot2_Rate))),1)</f>
        <v>1</v>
      </c>
      <c r="DX8" s="1" t="n">
        <f aca="false">IF(AND(DD8=1,DN8&gt;0,Slot2_IsWG=1,AG8=1),MAX(0,(Slot2_Cost-AH8*(1+Slot2_Rate)^(Slot2_Age-D8))/DW8),0)</f>
        <v>0</v>
      </c>
      <c r="DY8" s="1" t="n">
        <f aca="false">IF(AND(DD8=1,DN8&gt;0,Slot2_IsWG=1,AG8=1),MIN(DN8,DX8),0)</f>
        <v>0</v>
      </c>
      <c r="DZ8" s="1" t="n">
        <f aca="false">AH8+DY8</f>
        <v>0</v>
      </c>
      <c r="EA8" s="1" t="n">
        <f aca="false">IF(AG8=1,MAX(0,(Slot2_Cost-DZ8*(1+Slot2_Rate)^(Slot2_Age-D8))/DW8),0)</f>
        <v>0</v>
      </c>
      <c r="EB8" s="1" t="n">
        <f aca="false">IF(AG8=1,MAX(0,(Slot2_Cost-AH8*(1+Slot2_Rate)^(Slot2_Age-D8))/DW8),0)</f>
        <v>0</v>
      </c>
      <c r="EC8" s="1" t="n">
        <f aca="false">IF(AND(DD8=1,AG8=1),MIN(DV8,EA8),0)</f>
        <v>0</v>
      </c>
      <c r="ED8" s="1" t="n">
        <f aca="false">DV8-EC8</f>
        <v>0</v>
      </c>
      <c r="EE8" s="1" t="n">
        <f aca="false">IF(AQ8=1,IF(ABS((1+AS_Wage)/(1+Slot3_Rate)-1)&lt;0.000000000001,(Slot3_Age-D8)*(1+Slot3_Rate)^(Slot3_Age-D8),(1+Slot3_Rate)^(Slot3_Age-D8)*(1-((1+AS_Wage)/(1+Slot3_Rate))^(Slot3_Age-D8))/(1-(1+AS_Wage)/(1+Slot3_Rate))),1)</f>
        <v>1</v>
      </c>
      <c r="EF8" s="1" t="n">
        <f aca="false">IF(AND(DD8=1,DN8&gt;0,Slot3_IsWG=1,AQ8=1),MAX(0,(Slot3_Cost-AR8*(1+Slot3_Rate)^(Slot3_Age-D8))/EE8),0)</f>
        <v>0</v>
      </c>
      <c r="EG8" s="1" t="n">
        <f aca="false">IF(AND(DD8=1,DN8&gt;0,Slot3_IsWG=1,AQ8=1),MIN(DN8,EF8),0)</f>
        <v>0</v>
      </c>
      <c r="EH8" s="1" t="n">
        <f aca="false">AR8+EG8</f>
        <v>0</v>
      </c>
      <c r="EI8" s="1" t="n">
        <f aca="false">IF(AQ8=1,MAX(0,(Slot3_Cost-EH8*(1+Slot3_Rate)^(Slot3_Age-D8))/EE8),0)</f>
        <v>0</v>
      </c>
      <c r="EJ8" s="1" t="n">
        <f aca="false">IF(AQ8=1,MAX(0,(Slot3_Cost-AR8*(1+Slot3_Rate)^(Slot3_Age-D8))/EE8),0)</f>
        <v>0</v>
      </c>
      <c r="EK8" s="1" t="n">
        <f aca="false">IF(AND(DD8=1,AQ8=1),MIN(ED8,EI8),0)</f>
        <v>0</v>
      </c>
      <c r="EL8" s="1" t="n">
        <f aca="false">ED8-EK8</f>
        <v>0</v>
      </c>
      <c r="EM8" s="1" t="n">
        <f aca="false">IF(BA8=1,IF(ABS((1+AS_Wage)/(1+Slot4_Rate)-1)&lt;0.000000000001,(Slot4_Age-D8)*(1+Slot4_Rate)^(Slot4_Age-D8),(1+Slot4_Rate)^(Slot4_Age-D8)*(1-((1+AS_Wage)/(1+Slot4_Rate))^(Slot4_Age-D8))/(1-(1+AS_Wage)/(1+Slot4_Rate))),1)</f>
        <v>1</v>
      </c>
      <c r="EN8" s="1" t="n">
        <f aca="false">IF(AND(DD8=1,DN8&gt;0,Slot4_IsWG=1,BA8=1),MAX(0,(Slot4_Cost-BB8*(1+Slot4_Rate)^(Slot4_Age-D8))/EM8),0)</f>
        <v>0</v>
      </c>
      <c r="EO8" s="1" t="n">
        <f aca="false">IF(AND(DD8=1,DN8&gt;0,Slot4_IsWG=1,BA8=1),MIN(DN8,EN8),0)</f>
        <v>0</v>
      </c>
      <c r="EP8" s="1" t="n">
        <f aca="false">BB8+EO8</f>
        <v>0</v>
      </c>
      <c r="EQ8" s="1" t="n">
        <f aca="false">IF(BA8=1,MAX(0,(Slot4_Cost-EP8*(1+Slot4_Rate)^(Slot4_Age-D8))/EM8),0)</f>
        <v>0</v>
      </c>
      <c r="ER8" s="1" t="n">
        <f aca="false">IF(BA8=1,MAX(0,(Slot4_Cost-BB8*(1+Slot4_Rate)^(Slot4_Age-D8))/EM8),0)</f>
        <v>0</v>
      </c>
      <c r="ES8" s="1" t="n">
        <f aca="false">IF(AND(DD8=1,BA8=1),MIN(EL8,EQ8),0)</f>
        <v>0</v>
      </c>
      <c r="ET8" s="1" t="n">
        <f aca="false">EL8-ES8</f>
        <v>0</v>
      </c>
      <c r="EU8" s="1" t="n">
        <f aca="false">IF(BK8=1,IF(ABS((1+AS_Wage)/(1+Slot5_Rate)-1)&lt;0.000000000001,(Slot5_Age-D8)*(1+Slot5_Rate)^(Slot5_Age-D8),(1+Slot5_Rate)^(Slot5_Age-D8)*(1-((1+AS_Wage)/(1+Slot5_Rate))^(Slot5_Age-D8))/(1-(1+AS_Wage)/(1+Slot5_Rate))),1)</f>
        <v>1</v>
      </c>
      <c r="EV8" s="1" t="n">
        <f aca="false">IF(AND(DD8=1,DN8&gt;0,Slot5_IsWG=1,BK8=1),MAX(0,(Slot5_Cost-BL8*(1+Slot5_Rate)^(Slot5_Age-D8))/EU8),0)</f>
        <v>0</v>
      </c>
      <c r="EW8" s="1" t="n">
        <f aca="false">IF(AND(DD8=1,DN8&gt;0,Slot5_IsWG=1,BK8=1),MIN(DN8,EV8),0)</f>
        <v>0</v>
      </c>
      <c r="EX8" s="1" t="n">
        <f aca="false">BL8+EW8</f>
        <v>0</v>
      </c>
      <c r="EY8" s="1" t="n">
        <f aca="false">IF(BK8=1,MAX(0,(Slot5_Cost-EX8*(1+Slot5_Rate)^(Slot5_Age-D8))/EU8),0)</f>
        <v>0</v>
      </c>
      <c r="EZ8" s="1" t="n">
        <f aca="false">IF(BK8=1,MAX(0,(Slot5_Cost-BL8*(1+Slot5_Rate)^(Slot5_Age-D8))/EU8),0)</f>
        <v>0</v>
      </c>
      <c r="FA8" s="1" t="n">
        <f aca="false">IF(AND(DD8=1,BK8=1),MIN(ET8,EY8),0)</f>
        <v>0</v>
      </c>
      <c r="FB8" s="1" t="n">
        <f aca="false">ET8-FA8</f>
        <v>0</v>
      </c>
      <c r="FC8" s="1" t="n">
        <f aca="false">IF(BU8=1,IF(ABS((1+AS_Wage)/(1+Slot6_Rate)-1)&lt;0.000000000001,(Slot6_Age-D8)*(1+Slot6_Rate)^(Slot6_Age-D8),(1+Slot6_Rate)^(Slot6_Age-D8)*(1-((1+AS_Wage)/(1+Slot6_Rate))^(Slot6_Age-D8))/(1-(1+AS_Wage)/(1+Slot6_Rate))),1)</f>
        <v>1</v>
      </c>
      <c r="FD8" s="1" t="n">
        <f aca="false">IF(AND(DD8=1,DN8&gt;0,Slot6_IsWG=1,BU8=1),MAX(0,(Slot6_Cost-BV8*(1+Slot6_Rate)^(Slot6_Age-D8))/FC8),0)</f>
        <v>0</v>
      </c>
      <c r="FE8" s="1" t="n">
        <f aca="false">IF(AND(DD8=1,DN8&gt;0,Slot6_IsWG=1,BU8=1),MIN(DN8,FD8),0)</f>
        <v>0</v>
      </c>
      <c r="FF8" s="1" t="n">
        <f aca="false">BV8+FE8</f>
        <v>0</v>
      </c>
      <c r="FG8" s="1" t="n">
        <f aca="false">IF(BU8=1,MAX(0,(Slot6_Cost-FF8*(1+Slot6_Rate)^(Slot6_Age-D8))/FC8),0)</f>
        <v>0</v>
      </c>
      <c r="FH8" s="1" t="n">
        <f aca="false">IF(BU8=1,MAX(0,(Slot6_Cost-BV8*(1+Slot6_Rate)^(Slot6_Age-D8))/FC8),0)</f>
        <v>0</v>
      </c>
      <c r="FI8" s="1" t="n">
        <f aca="false">IF(AND(DD8=1,BU8=1),MIN(FB8,FG8),0)</f>
        <v>0</v>
      </c>
      <c r="FJ8" s="1" t="n">
        <f aca="false">FB8-FI8</f>
        <v>0</v>
      </c>
      <c r="FK8" s="1" t="n">
        <f aca="false">IF(CE8=1,IF(ABS((1+AS_Wage)/(1+Slot7_Rate)-1)&lt;0.000000000001,(Slot7_Age-D8)*(1+Slot7_Rate)^(Slot7_Age-D8),(1+Slot7_Rate)^(Slot7_Age-D8)*(1-((1+AS_Wage)/(1+Slot7_Rate))^(Slot7_Age-D8))/(1-(1+AS_Wage)/(1+Slot7_Rate))),1)</f>
        <v>1</v>
      </c>
      <c r="FL8" s="1" t="n">
        <f aca="false">IF(AND(DD8=1,DN8&gt;0,Slot7_IsWG=1,CE8=1),MAX(0,(Slot7_Cost-CF8*(1+Slot7_Rate)^(Slot7_Age-D8))/FK8),0)</f>
        <v>0</v>
      </c>
      <c r="FM8" s="1" t="n">
        <f aca="false">IF(AND(DD8=1,DN8&gt;0,Slot7_IsWG=1,CE8=1),MIN(DN8,FL8),0)</f>
        <v>0</v>
      </c>
      <c r="FN8" s="1" t="n">
        <f aca="false">CF8+FM8</f>
        <v>0</v>
      </c>
      <c r="FO8" s="1" t="n">
        <f aca="false">IF(CE8=1,MAX(0,(Slot7_Cost-FN8*(1+Slot7_Rate)^(Slot7_Age-D8))/FK8),0)</f>
        <v>0</v>
      </c>
      <c r="FP8" s="1" t="n">
        <f aca="false">IF(CE8=1,MAX(0,(Slot7_Cost-CF8*(1+Slot7_Rate)^(Slot7_Age-D8))/FK8),0)</f>
        <v>0</v>
      </c>
      <c r="FQ8" s="1" t="n">
        <f aca="false">IF(AND(DD8=1,CE8=1),MIN(FJ8,FO8),0)</f>
        <v>0</v>
      </c>
      <c r="FR8" s="1" t="n">
        <f aca="false">FJ8-FQ8</f>
        <v>0</v>
      </c>
      <c r="FS8" s="1" t="n">
        <f aca="false">IF(CO8=1,IF(ABS((1+AS_Wage)/(1+Slot8_Rate)-1)&lt;0.000000000001,(Slot8_Age-D8)*(1+Slot8_Rate)^(Slot8_Age-D8),(1+Slot8_Rate)^(Slot8_Age-D8)*(1-((1+AS_Wage)/(1+Slot8_Rate))^(Slot8_Age-D8))/(1-(1+AS_Wage)/(1+Slot8_Rate))),1)</f>
        <v>1</v>
      </c>
      <c r="FT8" s="1" t="n">
        <f aca="false">IF(AND(DD8=1,DN8&gt;0,Slot8_IsWG=1,CO8=1),MAX(0,(Slot8_Cost-CP8*(1+Slot8_Rate)^(Slot8_Age-D8))/FS8),0)</f>
        <v>0</v>
      </c>
      <c r="FU8" s="1" t="n">
        <f aca="false">IF(AND(DD8=1,DN8&gt;0,Slot8_IsWG=1,CO8=1),MIN(DN8,FT8),0)</f>
        <v>0</v>
      </c>
      <c r="FV8" s="1" t="n">
        <f aca="false">CP8+FU8</f>
        <v>0</v>
      </c>
      <c r="FW8" s="1" t="n">
        <f aca="false">IF(CO8=1,MAX(0,(Slot8_Cost-FV8*(1+Slot8_Rate)^(Slot8_Age-D8))/FS8),0)</f>
        <v>0</v>
      </c>
      <c r="FX8" s="1" t="n">
        <f aca="false">IF(CO8=1,MAX(0,(Slot8_Cost-CP8*(1+Slot8_Rate)^(Slot8_Age-D8))/FS8),0)</f>
        <v>0</v>
      </c>
      <c r="FY8" s="1" t="n">
        <f aca="false">IF(AND(DD8=1,CO8=1),MIN(FR8,FW8),0)</f>
        <v>0</v>
      </c>
      <c r="FZ8" s="1" t="n">
        <f aca="false">FR8-FY8</f>
        <v>0</v>
      </c>
      <c r="GA8" s="1" t="n">
        <f aca="false">DN8-(DQ8+DY8+EG8+EO8+EW8+FE8+FM8+FU8)</f>
        <v>0</v>
      </c>
      <c r="GB8" s="1" t="n">
        <f aca="false">IF(DD8=1,DB8-DM8-DN8,0)</f>
        <v>0</v>
      </c>
      <c r="GC8" s="1" t="n">
        <f aca="false">IF(DD8=0,-DB8,0)</f>
        <v>0</v>
      </c>
      <c r="GD8" s="1" t="n">
        <f aca="false">MIN(GC8,CT8)</f>
        <v>0</v>
      </c>
      <c r="GE8" s="1" t="n">
        <f aca="false">GC8-GD8</f>
        <v>0</v>
      </c>
      <c r="GF8" s="1" t="n">
        <f aca="false">MIN(GE8,CU8)</f>
        <v>0</v>
      </c>
      <c r="GG8" s="1" t="n">
        <f aca="false">GE8-GF8</f>
        <v>0</v>
      </c>
      <c r="GH8" s="1" t="n">
        <f aca="false">IF(AND(DD8=0,CO8=1,GG8&gt;0),MIN(GG8,CP8),0)</f>
        <v>0</v>
      </c>
      <c r="GI8" s="1" t="n">
        <f aca="false">GG8-GH8</f>
        <v>0</v>
      </c>
      <c r="GJ8" s="1" t="n">
        <f aca="false">IF(AND(DD8=0,CE8=1,GI8&gt;0),MIN(GI8,CF8),0)</f>
        <v>0</v>
      </c>
      <c r="GK8" s="1" t="n">
        <f aca="false">GI8-GJ8</f>
        <v>0</v>
      </c>
      <c r="GL8" s="1" t="n">
        <f aca="false">IF(AND(DD8=0,BU8=1,GK8&gt;0),MIN(GK8,BV8),0)</f>
        <v>0</v>
      </c>
      <c r="GM8" s="1" t="n">
        <f aca="false">GK8-GL8</f>
        <v>0</v>
      </c>
      <c r="GN8" s="1" t="n">
        <f aca="false">IF(AND(DD8=0,BK8=1,GM8&gt;0),MIN(GM8,BL8),0)</f>
        <v>0</v>
      </c>
      <c r="GO8" s="1" t="n">
        <f aca="false">GM8-GN8</f>
        <v>0</v>
      </c>
      <c r="GP8" s="1" t="n">
        <f aca="false">IF(AND(DD8=0,BA8=1,GO8&gt;0),MIN(GO8,BB8),0)</f>
        <v>0</v>
      </c>
      <c r="GQ8" s="1" t="n">
        <f aca="false">GO8-GP8</f>
        <v>0</v>
      </c>
      <c r="GR8" s="1" t="n">
        <f aca="false">IF(AND(DD8=0,AQ8=1,GQ8&gt;0),MIN(GQ8,AR8),0)</f>
        <v>0</v>
      </c>
      <c r="GS8" s="1" t="n">
        <f aca="false">GQ8-GR8</f>
        <v>0</v>
      </c>
      <c r="GT8" s="1" t="n">
        <f aca="false">IF(AND(DD8=0,AG8=1,GS8&gt;0),MIN(GS8,AH8),0)</f>
        <v>0</v>
      </c>
      <c r="GU8" s="1" t="n">
        <f aca="false">GS8-GT8</f>
        <v>0</v>
      </c>
      <c r="GV8" s="1" t="n">
        <f aca="false">IF(AND(DD8=0,V8=1,GU8&gt;0),MIN(GU8,W8),0)</f>
        <v>0</v>
      </c>
      <c r="GW8" s="1" t="n">
        <f aca="false">GU8-GV8</f>
        <v>0</v>
      </c>
      <c r="GX8" s="1" t="n">
        <f aca="false">IF(DD8=0,GW8,0)</f>
        <v>0</v>
      </c>
      <c r="GY8" s="1" t="n">
        <f aca="false">GD8+GF8+GV8+GT8+GR8+GP8+GN8+GL8+GJ8+GH8</f>
        <v>0</v>
      </c>
      <c r="GZ8" s="1" t="n">
        <f aca="false">IF(DD8=1,CT8+GA8+FZ8+IF(F8=1,0,GB8),CT8-GD8)</f>
        <v>0</v>
      </c>
      <c r="HA8" s="1" t="n">
        <f aca="false">CU8-GF8</f>
        <v>0</v>
      </c>
      <c r="HB8" s="1" t="n">
        <f aca="false">IF(DD8=1,IF(F8=1,DM8+DN8,DB8),0)</f>
        <v>0</v>
      </c>
      <c r="HC8" s="1" t="n">
        <f aca="false">IF(DD8=1,IF(F8=1,DB8-DM8-DN8,0),0)</f>
        <v>0</v>
      </c>
      <c r="HD8" s="1" t="n">
        <f aca="false">GZ8*(1+GR)</f>
        <v>0</v>
      </c>
      <c r="HE8" s="1" t="n">
        <f aca="false">HA8*(1+AS_Cash)</f>
        <v>0</v>
      </c>
      <c r="HF8" s="1" t="n">
        <f aca="false">IF(V8=1,IF(DD8=1,DR8+DU8,W8-GV8)*(1+Slot1_Rate),0)</f>
        <v>0</v>
      </c>
      <c r="HG8" s="1" t="n">
        <f aca="false">IF(AND(DD8=1,V8=1),(DQ8+DU8)/E8,0)</f>
        <v>0</v>
      </c>
      <c r="HH8" s="1" t="n">
        <f aca="false">IF(B8=0,DQ8+DU8,0)</f>
        <v>0</v>
      </c>
      <c r="HI8" s="1" t="n">
        <f aca="false">IF(B8=0,IF(DD8=1,DS8,DT8),0)</f>
        <v>0</v>
      </c>
      <c r="HJ8" s="1" t="n">
        <f aca="false">IF(AG8=1,IF(DD8=1,DZ8+EC8,AH8-GT8)*(1+Slot2_Rate),0)</f>
        <v>0</v>
      </c>
      <c r="HK8" s="1" t="n">
        <f aca="false">IF(AND(DD8=1,AG8=1),(DY8+EC8)/E8,0)</f>
        <v>0</v>
      </c>
      <c r="HL8" s="1" t="n">
        <f aca="false">IF(B8=0,DY8+EC8,0)</f>
        <v>0</v>
      </c>
      <c r="HM8" s="1" t="n">
        <f aca="false">IF(B8=0,IF(DD8=1,EA8,EB8),0)</f>
        <v>0</v>
      </c>
      <c r="HN8" s="1" t="n">
        <f aca="false">IF(AQ8=1,IF(DD8=1,EH8+EK8,AR8-GR8)*(1+Slot3_Rate),0)</f>
        <v>0</v>
      </c>
      <c r="HO8" s="1" t="n">
        <f aca="false">IF(AND(DD8=1,AQ8=1),(EG8+EK8)/E8,0)</f>
        <v>0</v>
      </c>
      <c r="HP8" s="1" t="n">
        <f aca="false">IF(B8=0,EG8+EK8,0)</f>
        <v>0</v>
      </c>
      <c r="HQ8" s="1" t="n">
        <f aca="false">IF(B8=0,IF(DD8=1,EI8,EJ8),0)</f>
        <v>0</v>
      </c>
      <c r="HR8" s="1" t="n">
        <f aca="false">IF(BA8=1,IF(DD8=1,EP8+ES8,BB8-GP8)*(1+Slot4_Rate),0)</f>
        <v>0</v>
      </c>
      <c r="HS8" s="1" t="n">
        <f aca="false">IF(AND(DD8=1,BA8=1),(EO8+ES8)/E8,0)</f>
        <v>0</v>
      </c>
      <c r="HT8" s="1" t="n">
        <f aca="false">IF(B8=0,EO8+ES8,0)</f>
        <v>0</v>
      </c>
      <c r="HU8" s="1" t="n">
        <f aca="false">IF(B8=0,IF(DD8=1,EQ8,ER8),0)</f>
        <v>0</v>
      </c>
      <c r="HV8" s="1" t="n">
        <f aca="false">IF(BK8=1,IF(DD8=1,EX8+FA8,BL8-GN8)*(1+Slot5_Rate),0)</f>
        <v>0</v>
      </c>
      <c r="HW8" s="1" t="n">
        <f aca="false">IF(AND(DD8=1,BK8=1),(EW8+FA8)/E8,0)</f>
        <v>0</v>
      </c>
      <c r="HX8" s="1" t="n">
        <f aca="false">IF(B8=0,EW8+FA8,0)</f>
        <v>0</v>
      </c>
      <c r="HY8" s="1" t="n">
        <f aca="false">IF(B8=0,IF(DD8=1,EY8,EZ8),0)</f>
        <v>0</v>
      </c>
      <c r="HZ8" s="1" t="n">
        <f aca="false">IF(BU8=1,IF(DD8=1,FF8+FI8,BV8-GL8)*(1+Slot6_Rate),0)</f>
        <v>0</v>
      </c>
      <c r="IA8" s="1" t="n">
        <f aca="false">IF(AND(DD8=1,BU8=1),(FE8+FI8)/E8,0)</f>
        <v>0</v>
      </c>
      <c r="IB8" s="1" t="n">
        <f aca="false">IF(B8=0,FE8+FI8,0)</f>
        <v>0</v>
      </c>
      <c r="IC8" s="1" t="n">
        <f aca="false">IF(B8=0,IF(DD8=1,FG8,FH8),0)</f>
        <v>0</v>
      </c>
      <c r="ID8" s="1" t="n">
        <f aca="false">IF(CE8=1,IF(DD8=1,FN8+FQ8,CF8-GJ8)*(1+Slot7_Rate),0)</f>
        <v>0</v>
      </c>
      <c r="IE8" s="1" t="n">
        <f aca="false">IF(AND(DD8=1,CE8=1),(FM8+FQ8)/E8,0)</f>
        <v>0</v>
      </c>
      <c r="IF8" s="1" t="n">
        <f aca="false">IF(B8=0,FM8+FQ8,0)</f>
        <v>0</v>
      </c>
      <c r="IG8" s="1" t="n">
        <f aca="false">IF(B8=0,IF(DD8=1,FO8,FP8),0)</f>
        <v>0</v>
      </c>
      <c r="IH8" s="1" t="n">
        <f aca="false">IF(CO8=1,IF(DD8=1,FV8+FY8,CP8-GH8)*(1+Slot8_Rate),0)</f>
        <v>0</v>
      </c>
      <c r="II8" s="1" t="n">
        <f aca="false">IF(AND(DD8=1,CO8=1),(FU8+FY8)/E8,0)</f>
        <v>0</v>
      </c>
      <c r="IJ8" s="1" t="n">
        <f aca="false">IF(B8=0,FU8+FY8,0)</f>
        <v>0</v>
      </c>
      <c r="IK8" s="1" t="n">
        <f aca="false">IF(B8=0,IF(DD8=1,FW8,FX8),0)</f>
        <v>0</v>
      </c>
      <c r="IL8" s="1" t="n">
        <f aca="false">HD8+HE8+HF8+HJ8+HN8+HR8+HV8+HZ8+ID8+IH8</f>
        <v>0</v>
      </c>
      <c r="IM8" s="1" t="n">
        <f aca="false">GX8+CY8</f>
        <v>0</v>
      </c>
      <c r="IN8" s="1" t="n">
        <f aca="false">H8+R8</f>
        <v>0</v>
      </c>
      <c r="IO8" s="1" t="n">
        <f aca="false">1-F8</f>
        <v>1</v>
      </c>
      <c r="IP8" s="1" t="n">
        <f aca="false">IF(AND(RG_Exists=1,F8=0,C8=1),H8,0)</f>
        <v>0</v>
      </c>
      <c r="IQ8" s="1" t="n">
        <f aca="false">IF(AND(RG_Exists=1,F8=0,C8=1),H8-MIN(GX8,H8),0)</f>
        <v>0</v>
      </c>
      <c r="IR8" s="1" t="n">
        <f aca="false">'Plan pay &amp; tax'!AD210</f>
        <v>0</v>
      </c>
      <c r="IS8" s="1" t="n">
        <f aca="false">IF(AND(C8=1,GX8&gt;MAX(PR_Short1,IN8*PR_Short2)),1,0)</f>
        <v>0</v>
      </c>
      <c r="IT8" s="1" t="n">
        <f aca="false">MIN(G8,H8+R8)</f>
        <v>0</v>
      </c>
      <c r="IU8" s="1" t="n">
        <f aca="false">GY8+MAX(0,CZ8-CY8)</f>
        <v>0</v>
      </c>
      <c r="IV8" s="1" t="n">
        <f aca="false">GX8+CY8</f>
        <v>0</v>
      </c>
      <c r="IW8" s="1" t="n">
        <f aca="false">IF(AND(C8=1,IV8&gt;0.5),1,0)</f>
        <v>0</v>
      </c>
      <c r="IX8" s="1" t="n">
        <f aca="false">IF(AND(C8=1,IW8=0,IU8&gt;0.5),1,0)</f>
        <v>0</v>
      </c>
      <c r="IY8" s="1" t="n">
        <f aca="false">IF(AND(C8=1,GX8&gt;0.5),1,0)</f>
        <v>0</v>
      </c>
      <c r="IZ8" s="1" t="n">
        <f aca="false">IF(AND(C8=1,GY8&gt;1,JF8=0),1,0)</f>
        <v>0</v>
      </c>
      <c r="JA8" s="1" t="n">
        <f aca="false">IF(AND(INT(D8/10)*10=90,B8&gt;0),80,INT(D8/10)*10)</f>
        <v>0</v>
      </c>
      <c r="JB8" s="1" t="n">
        <f aca="false">IF(B8=0,1,IF(JA8&lt;&gt;JA7,JB7+1,JB7))</f>
        <v>1</v>
      </c>
      <c r="JC8" s="1" t="n">
        <f aca="false">IF(AND(C8=1,F8=1,GX8&gt;MAX(PR_Short1,IN8*PR_Short2)),1,0)</f>
        <v>0</v>
      </c>
      <c r="JD8" s="1" t="n">
        <f aca="false">IO8*IS8</f>
        <v>0</v>
      </c>
      <c r="JE8" s="1" t="n">
        <f aca="false">IF(AND(U8=1,Slot1_PctLow=1),1,0)+IF(AND(AF8=1,Slot2_PctLow=1),1,0)+IF(AND(AP8=1,Slot3_PctLow=1),1,0)+IF(AND(AZ8=1,Slot4_PctLow=1),1,0)+IF(AND(BJ8=1,Slot5_PctLow=1),1,0)+IF(AND(BT8=1,Slot6_PctLow=1),1,0)+IF(AND(CD8=1,Slot7_PctLow=1),1,0)+IF(AND(CN8=1,Slot8_PctLow=1),1,0)</f>
        <v>0</v>
      </c>
      <c r="JF8" s="1" t="n">
        <f aca="false">IF(C8=1,IF(OR(IS8=1,JE8&gt;0),1,0),0)</f>
        <v>0</v>
      </c>
    </row>
    <row r="9" customFormat="false" ht="15" hidden="false" customHeight="false" outlineLevel="0" collapsed="false">
      <c r="B9" s="1" t="n">
        <v>1</v>
      </c>
      <c r="C9" s="1" t="n">
        <f aca="false">IF(B9&lt;=F_N,1,0)</f>
        <v>1</v>
      </c>
      <c r="D9" s="1" t="n">
        <f aca="false">'Plan pay &amp; tax'!C211</f>
        <v>1</v>
      </c>
      <c r="E9" s="106" t="n">
        <f aca="false">'Plan pay &amp; tax'!E211</f>
        <v>1.02</v>
      </c>
      <c r="F9" s="1" t="n">
        <f aca="false">'Plan pay &amp; tax'!G211</f>
        <v>0</v>
      </c>
      <c r="G9" s="1" t="n">
        <f aca="false">'Plan pay &amp; tax'!BT211-'Plan pay &amp; tax'!BS211-'Plan pay &amp; tax'!R211</f>
        <v>0</v>
      </c>
      <c r="H9" s="1" t="n">
        <f aca="false">IF(F9=1,F_CostsM*12,IF(RG_Exists=1,RG_Amount,F_CostsM*12*AS_RetireSpend))*E9+F_OneOffY*E9</f>
        <v>0</v>
      </c>
      <c r="I9" s="1" t="n">
        <f aca="false">DA8</f>
        <v>0</v>
      </c>
      <c r="J9" s="1" t="n">
        <f aca="false">IF(I9&gt;1,'Plan debt months'!AC9,0)</f>
        <v>0</v>
      </c>
      <c r="K9" s="1" t="n">
        <f aca="false">IF(I9&gt;1,'Plan debt months'!AB9,I9)</f>
        <v>0</v>
      </c>
      <c r="L9" s="1" t="n">
        <f aca="false">N8</f>
        <v>0</v>
      </c>
      <c r="M9" s="1" t="n">
        <f aca="false">IF(L9&gt;1,'Plan debt months'!BD9,0)</f>
        <v>0</v>
      </c>
      <c r="N9" s="1" t="n">
        <f aca="false">IF(L9&gt;1,'Plan debt months'!BC9,L9)</f>
        <v>0</v>
      </c>
      <c r="O9" s="1" t="n">
        <f aca="false">Q8</f>
        <v>0</v>
      </c>
      <c r="P9" s="1" t="n">
        <f aca="false">IF(O9&gt;1,'Plan debt months'!CE9,0)</f>
        <v>0</v>
      </c>
      <c r="Q9" s="1" t="n">
        <f aca="false">IF(O9&gt;1,'Plan debt months'!CD9,O9)</f>
        <v>0</v>
      </c>
      <c r="R9" s="1" t="n">
        <f aca="false">J9+M9+P9</f>
        <v>0</v>
      </c>
      <c r="S9" s="1" t="n">
        <f aca="false">HD8+'Plan pay &amp; tax'!Y211</f>
        <v>0</v>
      </c>
      <c r="T9" s="1" t="n">
        <f aca="false">HD8</f>
        <v>0</v>
      </c>
      <c r="U9" s="1" t="n">
        <f aca="false">IF(AND(Slot1_On=1,D9=Slot1_Age),1,0)</f>
        <v>0</v>
      </c>
      <c r="V9" s="1" t="n">
        <f aca="false">IF(AND(Slot1_On=1,Slot1_Age&gt;D9),1,0)</f>
        <v>0</v>
      </c>
      <c r="W9" s="1" t="n">
        <f aca="false">HF8</f>
        <v>0</v>
      </c>
      <c r="X9" s="1" t="n">
        <f aca="false">U9*MIN(Slot1_Cost,W9)</f>
        <v>0</v>
      </c>
      <c r="Y9" s="1" t="n">
        <f aca="false">U9*Slot1_SpendLike*MIN(Slot1_Cost-X9,S9)</f>
        <v>0</v>
      </c>
      <c r="Z9" s="1" t="n">
        <f aca="false">X9+Y9</f>
        <v>0</v>
      </c>
      <c r="AA9" s="1" t="n">
        <f aca="false">S9-Y9+U9*IF(Slot1_SpendLike=1,W9-X9,IF(Slot1_PotFree=1,W9,0))</f>
        <v>0</v>
      </c>
      <c r="AB9" s="1" t="n">
        <f aca="false">AE9+U9*Slot1_BufPot*W9</f>
        <v>0</v>
      </c>
      <c r="AC9" s="1" t="n">
        <f aca="false">IF(AND(U9=1,Slot1_IsMfree=1),IF(Z9&gt;=Slot1_Cost-1,0,MAX(0,K9-Z9)),K9)</f>
        <v>0</v>
      </c>
      <c r="AD9" s="1" t="n">
        <f aca="false">U9*(Slot1_Cost-Z9)</f>
        <v>0</v>
      </c>
      <c r="AE9" s="1" t="n">
        <f aca="false">HE8</f>
        <v>0</v>
      </c>
      <c r="AF9" s="1" t="n">
        <f aca="false">IF(AND(Slot2_On=1,D9=Slot2_Age),1,0)</f>
        <v>0</v>
      </c>
      <c r="AG9" s="1" t="n">
        <f aca="false">IF(AND(Slot2_On=1,Slot2_Age&gt;D9),1,0)</f>
        <v>0</v>
      </c>
      <c r="AH9" s="1" t="n">
        <f aca="false">HJ8</f>
        <v>0</v>
      </c>
      <c r="AI9" s="1" t="n">
        <f aca="false">AF9*MIN(Slot2_Cost,AH9)</f>
        <v>0</v>
      </c>
      <c r="AJ9" s="1" t="n">
        <f aca="false">AF9*Slot2_SpendLike*MIN(Slot2_Cost-AI9,AA9)</f>
        <v>0</v>
      </c>
      <c r="AK9" s="1" t="n">
        <f aca="false">AI9+AJ9</f>
        <v>0</v>
      </c>
      <c r="AL9" s="1" t="n">
        <f aca="false">AA9-AJ9+AF9*IF(Slot2_SpendLike=1,AH9-AI9,IF(Slot2_PotFree=1,AH9,0))</f>
        <v>0</v>
      </c>
      <c r="AM9" s="1" t="n">
        <f aca="false">AB9+AF9*Slot2_BufPot*AH9</f>
        <v>0</v>
      </c>
      <c r="AN9" s="1" t="n">
        <f aca="false">IF(AND(AF9=1,Slot2_IsMfree=1),IF(AK9&gt;=Slot2_Cost-1,0,MAX(0,AC9-AK9)),AC9)</f>
        <v>0</v>
      </c>
      <c r="AO9" s="1" t="n">
        <f aca="false">AF9*(Slot2_Cost-AK9)</f>
        <v>0</v>
      </c>
      <c r="AP9" s="1" t="n">
        <f aca="false">IF(AND(Slot3_On=1,D9=Slot3_Age),1,0)</f>
        <v>0</v>
      </c>
      <c r="AQ9" s="1" t="n">
        <f aca="false">IF(AND(Slot3_On=1,Slot3_Age&gt;D9),1,0)</f>
        <v>0</v>
      </c>
      <c r="AR9" s="1" t="n">
        <f aca="false">HN8</f>
        <v>0</v>
      </c>
      <c r="AS9" s="1" t="n">
        <f aca="false">AP9*MIN(Slot3_Cost,AR9)</f>
        <v>0</v>
      </c>
      <c r="AT9" s="1" t="n">
        <f aca="false">AP9*Slot3_SpendLike*MIN(Slot3_Cost-AS9,AL9)</f>
        <v>0</v>
      </c>
      <c r="AU9" s="1" t="n">
        <f aca="false">AS9+AT9</f>
        <v>0</v>
      </c>
      <c r="AV9" s="1" t="n">
        <f aca="false">AL9-AT9+AP9*IF(Slot3_SpendLike=1,AR9-AS9,IF(Slot3_PotFree=1,AR9,0))</f>
        <v>0</v>
      </c>
      <c r="AW9" s="1" t="n">
        <f aca="false">AM9+AP9*Slot3_BufPot*AR9</f>
        <v>0</v>
      </c>
      <c r="AX9" s="1" t="n">
        <f aca="false">IF(AND(AP9=1,Slot3_IsMfree=1),IF(AU9&gt;=Slot3_Cost-1,0,MAX(0,AN9-AU9)),AN9)</f>
        <v>0</v>
      </c>
      <c r="AY9" s="1" t="n">
        <f aca="false">AP9*(Slot3_Cost-AU9)</f>
        <v>0</v>
      </c>
      <c r="AZ9" s="1" t="n">
        <f aca="false">IF(AND(Slot4_On=1,D9=Slot4_Age),1,0)</f>
        <v>0</v>
      </c>
      <c r="BA9" s="1" t="n">
        <f aca="false">IF(AND(Slot4_On=1,Slot4_Age&gt;D9),1,0)</f>
        <v>0</v>
      </c>
      <c r="BB9" s="1" t="n">
        <f aca="false">HR8</f>
        <v>0</v>
      </c>
      <c r="BC9" s="1" t="n">
        <f aca="false">AZ9*MIN(Slot4_Cost,BB9)</f>
        <v>0</v>
      </c>
      <c r="BD9" s="1" t="n">
        <f aca="false">AZ9*Slot4_SpendLike*MIN(Slot4_Cost-BC9,AV9)</f>
        <v>0</v>
      </c>
      <c r="BE9" s="1" t="n">
        <f aca="false">BC9+BD9</f>
        <v>0</v>
      </c>
      <c r="BF9" s="1" t="n">
        <f aca="false">AV9-BD9+AZ9*IF(Slot4_SpendLike=1,BB9-BC9,IF(Slot4_PotFree=1,BB9,0))</f>
        <v>0</v>
      </c>
      <c r="BG9" s="1" t="n">
        <f aca="false">AW9+AZ9*Slot4_BufPot*BB9</f>
        <v>0</v>
      </c>
      <c r="BH9" s="1" t="n">
        <f aca="false">IF(AND(AZ9=1,Slot4_IsMfree=1),IF(BE9&gt;=Slot4_Cost-1,0,MAX(0,AX9-BE9)),AX9)</f>
        <v>0</v>
      </c>
      <c r="BI9" s="1" t="n">
        <f aca="false">AZ9*(Slot4_Cost-BE9)</f>
        <v>0</v>
      </c>
      <c r="BJ9" s="1" t="n">
        <f aca="false">IF(AND(Slot5_On=1,D9=Slot5_Age),1,0)</f>
        <v>0</v>
      </c>
      <c r="BK9" s="1" t="n">
        <f aca="false">IF(AND(Slot5_On=1,Slot5_Age&gt;D9),1,0)</f>
        <v>0</v>
      </c>
      <c r="BL9" s="1" t="n">
        <f aca="false">HV8</f>
        <v>0</v>
      </c>
      <c r="BM9" s="1" t="n">
        <f aca="false">BJ9*MIN(Slot5_Cost,BL9)</f>
        <v>0</v>
      </c>
      <c r="BN9" s="1" t="n">
        <f aca="false">BJ9*Slot5_SpendLike*MIN(Slot5_Cost-BM9,BF9)</f>
        <v>0</v>
      </c>
      <c r="BO9" s="1" t="n">
        <f aca="false">BM9+BN9</f>
        <v>0</v>
      </c>
      <c r="BP9" s="1" t="n">
        <f aca="false">BF9-BN9+BJ9*IF(Slot5_SpendLike=1,BL9-BM9,IF(Slot5_PotFree=1,BL9,0))</f>
        <v>0</v>
      </c>
      <c r="BQ9" s="1" t="n">
        <f aca="false">BG9+BJ9*Slot5_BufPot*BL9</f>
        <v>0</v>
      </c>
      <c r="BR9" s="1" t="n">
        <f aca="false">IF(AND(BJ9=1,Slot5_IsMfree=1),IF(BO9&gt;=Slot5_Cost-1,0,MAX(0,BH9-BO9)),BH9)</f>
        <v>0</v>
      </c>
      <c r="BS9" s="1" t="n">
        <f aca="false">BJ9*(Slot5_Cost-BO9)</f>
        <v>0</v>
      </c>
      <c r="BT9" s="1" t="n">
        <f aca="false">IF(AND(Slot6_On=1,D9=Slot6_Age),1,0)</f>
        <v>0</v>
      </c>
      <c r="BU9" s="1" t="n">
        <f aca="false">IF(AND(Slot6_On=1,Slot6_Age&gt;D9),1,0)</f>
        <v>0</v>
      </c>
      <c r="BV9" s="1" t="n">
        <f aca="false">HZ8</f>
        <v>0</v>
      </c>
      <c r="BW9" s="1" t="n">
        <f aca="false">BT9*MIN(Slot6_Cost,BV9)</f>
        <v>0</v>
      </c>
      <c r="BX9" s="1" t="n">
        <f aca="false">BT9*Slot6_SpendLike*MIN(Slot6_Cost-BW9,BP9)</f>
        <v>0</v>
      </c>
      <c r="BY9" s="1" t="n">
        <f aca="false">BW9+BX9</f>
        <v>0</v>
      </c>
      <c r="BZ9" s="1" t="n">
        <f aca="false">BP9-BX9+BT9*IF(Slot6_SpendLike=1,BV9-BW9,IF(Slot6_PotFree=1,BV9,0))</f>
        <v>0</v>
      </c>
      <c r="CA9" s="1" t="n">
        <f aca="false">BQ9+BT9*Slot6_BufPot*BV9</f>
        <v>0</v>
      </c>
      <c r="CB9" s="1" t="n">
        <f aca="false">IF(AND(BT9=1,Slot6_IsMfree=1),IF(BY9&gt;=Slot6_Cost-1,0,MAX(0,BR9-BY9)),BR9)</f>
        <v>0</v>
      </c>
      <c r="CC9" s="1" t="n">
        <f aca="false">BT9*(Slot6_Cost-BY9)</f>
        <v>0</v>
      </c>
      <c r="CD9" s="1" t="n">
        <f aca="false">IF(AND(Slot7_On=1,D9=Slot7_Age),1,0)</f>
        <v>0</v>
      </c>
      <c r="CE9" s="1" t="n">
        <f aca="false">IF(AND(Slot7_On=1,Slot7_Age&gt;D9),1,0)</f>
        <v>0</v>
      </c>
      <c r="CF9" s="1" t="n">
        <f aca="false">ID8</f>
        <v>0</v>
      </c>
      <c r="CG9" s="1" t="n">
        <f aca="false">CD9*MIN(Slot7_Cost,CF9)</f>
        <v>0</v>
      </c>
      <c r="CH9" s="1" t="n">
        <f aca="false">CD9*Slot7_SpendLike*MIN(Slot7_Cost-CG9,BZ9)</f>
        <v>0</v>
      </c>
      <c r="CI9" s="1" t="n">
        <f aca="false">CG9+CH9</f>
        <v>0</v>
      </c>
      <c r="CJ9" s="1" t="n">
        <f aca="false">BZ9-CH9+CD9*IF(Slot7_SpendLike=1,CF9-CG9,IF(Slot7_PotFree=1,CF9,0))</f>
        <v>0</v>
      </c>
      <c r="CK9" s="1" t="n">
        <f aca="false">CA9+CD9*Slot7_BufPot*CF9</f>
        <v>0</v>
      </c>
      <c r="CL9" s="1" t="n">
        <f aca="false">IF(AND(CD9=1,Slot7_IsMfree=1),IF(CI9&gt;=Slot7_Cost-1,0,MAX(0,CB9-CI9)),CB9)</f>
        <v>0</v>
      </c>
      <c r="CM9" s="1" t="n">
        <f aca="false">CD9*(Slot7_Cost-CI9)</f>
        <v>0</v>
      </c>
      <c r="CN9" s="1" t="n">
        <f aca="false">IF(AND(Slot8_On=1,D9=Slot8_Age),1,0)</f>
        <v>0</v>
      </c>
      <c r="CO9" s="1" t="n">
        <f aca="false">IF(AND(Slot8_On=1,Slot8_Age&gt;D9),1,0)</f>
        <v>0</v>
      </c>
      <c r="CP9" s="1" t="n">
        <f aca="false">IH8</f>
        <v>0</v>
      </c>
      <c r="CQ9" s="1" t="n">
        <f aca="false">CN9*MIN(Slot8_Cost,CP9)</f>
        <v>0</v>
      </c>
      <c r="CR9" s="1" t="n">
        <f aca="false">CN9*Slot8_SpendLike*MIN(Slot8_Cost-CQ9,CJ9)</f>
        <v>0</v>
      </c>
      <c r="CS9" s="1" t="n">
        <f aca="false">CQ9+CR9</f>
        <v>0</v>
      </c>
      <c r="CT9" s="1" t="n">
        <f aca="false">CJ9-CR9+CN9*IF(Slot8_SpendLike=1,CP9-CQ9,IF(Slot8_PotFree=1,CP9,0))</f>
        <v>0</v>
      </c>
      <c r="CU9" s="1" t="n">
        <f aca="false">CK9+CN9*Slot8_BufPot*CP9</f>
        <v>0</v>
      </c>
      <c r="CV9" s="1" t="n">
        <f aca="false">IF(AND(CN9=1,Slot8_IsMfree=1),IF(CS9&gt;=Slot8_Cost-1,0,MAX(0,CL9-CS9)),CL9)</f>
        <v>0</v>
      </c>
      <c r="CW9" s="1" t="n">
        <f aca="false">CN9*(Slot8_Cost-CS9)</f>
        <v>0</v>
      </c>
      <c r="CX9" s="1" t="n">
        <f aca="false">U9*Slot1_SpendLike*Z9+AF9*Slot2_SpendLike*AK9+AP9*Slot3_SpendLike*AU9+AZ9*Slot4_SpendLike*BE9+BJ9*Slot5_SpendLike*BO9+BT9*Slot6_SpendLike*BY9+CD9*Slot7_SpendLike*CI9+CN9*Slot8_SpendLike*CS9</f>
        <v>0</v>
      </c>
      <c r="CY9" s="1" t="n">
        <f aca="false">AD9+AO9+AY9+BI9+BS9+CC9+CM9+CW9</f>
        <v>0</v>
      </c>
      <c r="CZ9" s="1" t="n">
        <f aca="false">U9*Slot1_Cost+AF9*Slot2_Cost+AP9*Slot3_Cost+AZ9*Slot4_Cost+BJ9*Slot5_Cost+BT9*Slot6_Cost+CD9*Slot7_Cost+CN9*Slot8_Cost</f>
        <v>0</v>
      </c>
      <c r="DA9" s="1" t="n">
        <f aca="false">CV9</f>
        <v>0</v>
      </c>
      <c r="DB9" s="1" t="n">
        <f aca="false">G9-H9-R9</f>
        <v>0</v>
      </c>
      <c r="DC9" s="1" t="n">
        <f aca="false">IF(B9=0,IF(AND(Has_q6=1,In_q6=4),PR_ShareVaries*(MAX(0,DB9)/12),MIN(IF(Has_q6=1,CHOOSE(In_q6+1,PR_SaveB1,PR_SaveB2,PR_SaveB3,PR_SaveB4,0),AS_NoAnswer),AS_SaveShare*(MAX(0,DB9)/12))),DC8)</f>
        <v>0</v>
      </c>
      <c r="DD9" s="1" t="n">
        <f aca="false">IF(DB9&gt;=0,1,0)</f>
        <v>1</v>
      </c>
      <c r="DE9" s="1" t="n">
        <f aca="false">MAX(0,DB9/12/E9)</f>
        <v>0</v>
      </c>
      <c r="DF9" s="1" t="n">
        <f aca="false">IF(AND(Has_q6=1,In_q6=4),PR_ShareVaries*(DE9),MIN(IF(Has_q6=1,CHOOSE(In_q6+1,PR_SaveB1,PR_SaveB2,PR_SaveB3,PR_SaveB4,0),AS_NoAnswer),AS_SaveShare*(DE9)))</f>
        <v>0</v>
      </c>
      <c r="DG9" s="1" t="n">
        <f aca="false">IF(Has_saveM=1,IF(In_saveUp="Yes",1,IF(In_saveUp="No",0,IF(In_saveM&gt;=DC9-0.5,1,0))),0)</f>
        <v>0</v>
      </c>
      <c r="DH9" s="1" t="n">
        <f aca="false">IF(Has_saveM=1,MIN(DE9,IF(DG9=1,MAX(In_saveM,DF9),MIN(In_saveM,DF9))),DF9)</f>
        <v>0</v>
      </c>
      <c r="DI9" s="1" t="n">
        <f aca="false">IF(F9=1,DH9*12*E9,0)</f>
        <v>0</v>
      </c>
      <c r="DJ9" s="1" t="n">
        <f aca="false">MAX(0,DI9+IF(AND(WI_Retire=0,WI_M&lt;0,F9=1),WI_M*12*E9,0))</f>
        <v>0</v>
      </c>
      <c r="DK9" s="1" t="n">
        <f aca="false">Slot1_IsWG*V9+Slot2_IsWG*AG9+Slot3_IsWG*AQ9+Slot4_IsWG*BA9+Slot5_IsWG*BK9+Slot6_IsWG*BU9+Slot7_IsWG*CE9+Slot8_IsWG*CO9</f>
        <v>0</v>
      </c>
      <c r="DL9" s="1" t="n">
        <f aca="false">IF(AND(WI_Retire=0,WI_M&gt;0,F9=1,DK9&gt;=1),WI_M*12*E9,0)</f>
        <v>0</v>
      </c>
      <c r="DM9" s="1" t="n">
        <f aca="false">IF(DD9=1,MIN(DJ9,DB9),0)</f>
        <v>0</v>
      </c>
      <c r="DN9" s="1" t="n">
        <f aca="false">IF(DD9=1,MIN(DL9,DB9-DM9),0)</f>
        <v>0</v>
      </c>
      <c r="DO9" s="1" t="n">
        <f aca="false">IF(V9=1,IF(ABS((1+AS_Wage)/(1+Slot1_Rate)-1)&lt;0.000000000001,(Slot1_Age-D9)*(1+Slot1_Rate)^(Slot1_Age-D9),(1+Slot1_Rate)^(Slot1_Age-D9)*(1-((1+AS_Wage)/(1+Slot1_Rate))^(Slot1_Age-D9))/(1-(1+AS_Wage)/(1+Slot1_Rate))),1)</f>
        <v>1</v>
      </c>
      <c r="DP9" s="1" t="n">
        <f aca="false">IF(AND(DD9=1,DN9&gt;0,Slot1_IsWG=1,V9=1),MAX(0,(Slot1_Cost-W9*(1+Slot1_Rate)^(Slot1_Age-D9))/DO9),0)</f>
        <v>0</v>
      </c>
      <c r="DQ9" s="1" t="n">
        <f aca="false">IF(AND(DD9=1,DN9&gt;0,Slot1_IsWG=1,V9=1),MIN(DN9,DP9),0)</f>
        <v>0</v>
      </c>
      <c r="DR9" s="1" t="n">
        <f aca="false">W9+DQ9</f>
        <v>0</v>
      </c>
      <c r="DS9" s="1" t="n">
        <f aca="false">IF(V9=1,MAX(0,(Slot1_Cost-DR9*(1+Slot1_Rate)^(Slot1_Age-D9))/DO9),0)</f>
        <v>0</v>
      </c>
      <c r="DT9" s="1" t="n">
        <f aca="false">IF(V9=1,MAX(0,(Slot1_Cost-W9*(1+Slot1_Rate)^(Slot1_Age-D9))/DO9),0)</f>
        <v>0</v>
      </c>
      <c r="DU9" s="1" t="n">
        <f aca="false">IF(AND(DD9=1,V9=1),MIN(DM9,DS9),0)</f>
        <v>0</v>
      </c>
      <c r="DV9" s="1" t="n">
        <f aca="false">DM9-DU9</f>
        <v>0</v>
      </c>
      <c r="DW9" s="1" t="n">
        <f aca="false">IF(AG9=1,IF(ABS((1+AS_Wage)/(1+Slot2_Rate)-1)&lt;0.000000000001,(Slot2_Age-D9)*(1+Slot2_Rate)^(Slot2_Age-D9),(1+Slot2_Rate)^(Slot2_Age-D9)*(1-((1+AS_Wage)/(1+Slot2_Rate))^(Slot2_Age-D9))/(1-(1+AS_Wage)/(1+Slot2_Rate))),1)</f>
        <v>1</v>
      </c>
      <c r="DX9" s="1" t="n">
        <f aca="false">IF(AND(DD9=1,DN9&gt;0,Slot2_IsWG=1,AG9=1),MAX(0,(Slot2_Cost-AH9*(1+Slot2_Rate)^(Slot2_Age-D9))/DW9),0)</f>
        <v>0</v>
      </c>
      <c r="DY9" s="1" t="n">
        <f aca="false">IF(AND(DD9=1,DN9&gt;0,Slot2_IsWG=1,AG9=1),MIN(DN9,DX9),0)</f>
        <v>0</v>
      </c>
      <c r="DZ9" s="1" t="n">
        <f aca="false">AH9+DY9</f>
        <v>0</v>
      </c>
      <c r="EA9" s="1" t="n">
        <f aca="false">IF(AG9=1,MAX(0,(Slot2_Cost-DZ9*(1+Slot2_Rate)^(Slot2_Age-D9))/DW9),0)</f>
        <v>0</v>
      </c>
      <c r="EB9" s="1" t="n">
        <f aca="false">IF(AG9=1,MAX(0,(Slot2_Cost-AH9*(1+Slot2_Rate)^(Slot2_Age-D9))/DW9),0)</f>
        <v>0</v>
      </c>
      <c r="EC9" s="1" t="n">
        <f aca="false">IF(AND(DD9=1,AG9=1),MIN(DV9,EA9),0)</f>
        <v>0</v>
      </c>
      <c r="ED9" s="1" t="n">
        <f aca="false">DV9-EC9</f>
        <v>0</v>
      </c>
      <c r="EE9" s="1" t="n">
        <f aca="false">IF(AQ9=1,IF(ABS((1+AS_Wage)/(1+Slot3_Rate)-1)&lt;0.000000000001,(Slot3_Age-D9)*(1+Slot3_Rate)^(Slot3_Age-D9),(1+Slot3_Rate)^(Slot3_Age-D9)*(1-((1+AS_Wage)/(1+Slot3_Rate))^(Slot3_Age-D9))/(1-(1+AS_Wage)/(1+Slot3_Rate))),1)</f>
        <v>1</v>
      </c>
      <c r="EF9" s="1" t="n">
        <f aca="false">IF(AND(DD9=1,DN9&gt;0,Slot3_IsWG=1,AQ9=1),MAX(0,(Slot3_Cost-AR9*(1+Slot3_Rate)^(Slot3_Age-D9))/EE9),0)</f>
        <v>0</v>
      </c>
      <c r="EG9" s="1" t="n">
        <f aca="false">IF(AND(DD9=1,DN9&gt;0,Slot3_IsWG=1,AQ9=1),MIN(DN9,EF9),0)</f>
        <v>0</v>
      </c>
      <c r="EH9" s="1" t="n">
        <f aca="false">AR9+EG9</f>
        <v>0</v>
      </c>
      <c r="EI9" s="1" t="n">
        <f aca="false">IF(AQ9=1,MAX(0,(Slot3_Cost-EH9*(1+Slot3_Rate)^(Slot3_Age-D9))/EE9),0)</f>
        <v>0</v>
      </c>
      <c r="EJ9" s="1" t="n">
        <f aca="false">IF(AQ9=1,MAX(0,(Slot3_Cost-AR9*(1+Slot3_Rate)^(Slot3_Age-D9))/EE9),0)</f>
        <v>0</v>
      </c>
      <c r="EK9" s="1" t="n">
        <f aca="false">IF(AND(DD9=1,AQ9=1),MIN(ED9,EI9),0)</f>
        <v>0</v>
      </c>
      <c r="EL9" s="1" t="n">
        <f aca="false">ED9-EK9</f>
        <v>0</v>
      </c>
      <c r="EM9" s="1" t="n">
        <f aca="false">IF(BA9=1,IF(ABS((1+AS_Wage)/(1+Slot4_Rate)-1)&lt;0.000000000001,(Slot4_Age-D9)*(1+Slot4_Rate)^(Slot4_Age-D9),(1+Slot4_Rate)^(Slot4_Age-D9)*(1-((1+AS_Wage)/(1+Slot4_Rate))^(Slot4_Age-D9))/(1-(1+AS_Wage)/(1+Slot4_Rate))),1)</f>
        <v>1</v>
      </c>
      <c r="EN9" s="1" t="n">
        <f aca="false">IF(AND(DD9=1,DN9&gt;0,Slot4_IsWG=1,BA9=1),MAX(0,(Slot4_Cost-BB9*(1+Slot4_Rate)^(Slot4_Age-D9))/EM9),0)</f>
        <v>0</v>
      </c>
      <c r="EO9" s="1" t="n">
        <f aca="false">IF(AND(DD9=1,DN9&gt;0,Slot4_IsWG=1,BA9=1),MIN(DN9,EN9),0)</f>
        <v>0</v>
      </c>
      <c r="EP9" s="1" t="n">
        <f aca="false">BB9+EO9</f>
        <v>0</v>
      </c>
      <c r="EQ9" s="1" t="n">
        <f aca="false">IF(BA9=1,MAX(0,(Slot4_Cost-EP9*(1+Slot4_Rate)^(Slot4_Age-D9))/EM9),0)</f>
        <v>0</v>
      </c>
      <c r="ER9" s="1" t="n">
        <f aca="false">IF(BA9=1,MAX(0,(Slot4_Cost-BB9*(1+Slot4_Rate)^(Slot4_Age-D9))/EM9),0)</f>
        <v>0</v>
      </c>
      <c r="ES9" s="1" t="n">
        <f aca="false">IF(AND(DD9=1,BA9=1),MIN(EL9,EQ9),0)</f>
        <v>0</v>
      </c>
      <c r="ET9" s="1" t="n">
        <f aca="false">EL9-ES9</f>
        <v>0</v>
      </c>
      <c r="EU9" s="1" t="n">
        <f aca="false">IF(BK9=1,IF(ABS((1+AS_Wage)/(1+Slot5_Rate)-1)&lt;0.000000000001,(Slot5_Age-D9)*(1+Slot5_Rate)^(Slot5_Age-D9),(1+Slot5_Rate)^(Slot5_Age-D9)*(1-((1+AS_Wage)/(1+Slot5_Rate))^(Slot5_Age-D9))/(1-(1+AS_Wage)/(1+Slot5_Rate))),1)</f>
        <v>1</v>
      </c>
      <c r="EV9" s="1" t="n">
        <f aca="false">IF(AND(DD9=1,DN9&gt;0,Slot5_IsWG=1,BK9=1),MAX(0,(Slot5_Cost-BL9*(1+Slot5_Rate)^(Slot5_Age-D9))/EU9),0)</f>
        <v>0</v>
      </c>
      <c r="EW9" s="1" t="n">
        <f aca="false">IF(AND(DD9=1,DN9&gt;0,Slot5_IsWG=1,BK9=1),MIN(DN9,EV9),0)</f>
        <v>0</v>
      </c>
      <c r="EX9" s="1" t="n">
        <f aca="false">BL9+EW9</f>
        <v>0</v>
      </c>
      <c r="EY9" s="1" t="n">
        <f aca="false">IF(BK9=1,MAX(0,(Slot5_Cost-EX9*(1+Slot5_Rate)^(Slot5_Age-D9))/EU9),0)</f>
        <v>0</v>
      </c>
      <c r="EZ9" s="1" t="n">
        <f aca="false">IF(BK9=1,MAX(0,(Slot5_Cost-BL9*(1+Slot5_Rate)^(Slot5_Age-D9))/EU9),0)</f>
        <v>0</v>
      </c>
      <c r="FA9" s="1" t="n">
        <f aca="false">IF(AND(DD9=1,BK9=1),MIN(ET9,EY9),0)</f>
        <v>0</v>
      </c>
      <c r="FB9" s="1" t="n">
        <f aca="false">ET9-FA9</f>
        <v>0</v>
      </c>
      <c r="FC9" s="1" t="n">
        <f aca="false">IF(BU9=1,IF(ABS((1+AS_Wage)/(1+Slot6_Rate)-1)&lt;0.000000000001,(Slot6_Age-D9)*(1+Slot6_Rate)^(Slot6_Age-D9),(1+Slot6_Rate)^(Slot6_Age-D9)*(1-((1+AS_Wage)/(1+Slot6_Rate))^(Slot6_Age-D9))/(1-(1+AS_Wage)/(1+Slot6_Rate))),1)</f>
        <v>1</v>
      </c>
      <c r="FD9" s="1" t="n">
        <f aca="false">IF(AND(DD9=1,DN9&gt;0,Slot6_IsWG=1,BU9=1),MAX(0,(Slot6_Cost-BV9*(1+Slot6_Rate)^(Slot6_Age-D9))/FC9),0)</f>
        <v>0</v>
      </c>
      <c r="FE9" s="1" t="n">
        <f aca="false">IF(AND(DD9=1,DN9&gt;0,Slot6_IsWG=1,BU9=1),MIN(DN9,FD9),0)</f>
        <v>0</v>
      </c>
      <c r="FF9" s="1" t="n">
        <f aca="false">BV9+FE9</f>
        <v>0</v>
      </c>
      <c r="FG9" s="1" t="n">
        <f aca="false">IF(BU9=1,MAX(0,(Slot6_Cost-FF9*(1+Slot6_Rate)^(Slot6_Age-D9))/FC9),0)</f>
        <v>0</v>
      </c>
      <c r="FH9" s="1" t="n">
        <f aca="false">IF(BU9=1,MAX(0,(Slot6_Cost-BV9*(1+Slot6_Rate)^(Slot6_Age-D9))/FC9),0)</f>
        <v>0</v>
      </c>
      <c r="FI9" s="1" t="n">
        <f aca="false">IF(AND(DD9=1,BU9=1),MIN(FB9,FG9),0)</f>
        <v>0</v>
      </c>
      <c r="FJ9" s="1" t="n">
        <f aca="false">FB9-FI9</f>
        <v>0</v>
      </c>
      <c r="FK9" s="1" t="n">
        <f aca="false">IF(CE9=1,IF(ABS((1+AS_Wage)/(1+Slot7_Rate)-1)&lt;0.000000000001,(Slot7_Age-D9)*(1+Slot7_Rate)^(Slot7_Age-D9),(1+Slot7_Rate)^(Slot7_Age-D9)*(1-((1+AS_Wage)/(1+Slot7_Rate))^(Slot7_Age-D9))/(1-(1+AS_Wage)/(1+Slot7_Rate))),1)</f>
        <v>1</v>
      </c>
      <c r="FL9" s="1" t="n">
        <f aca="false">IF(AND(DD9=1,DN9&gt;0,Slot7_IsWG=1,CE9=1),MAX(0,(Slot7_Cost-CF9*(1+Slot7_Rate)^(Slot7_Age-D9))/FK9),0)</f>
        <v>0</v>
      </c>
      <c r="FM9" s="1" t="n">
        <f aca="false">IF(AND(DD9=1,DN9&gt;0,Slot7_IsWG=1,CE9=1),MIN(DN9,FL9),0)</f>
        <v>0</v>
      </c>
      <c r="FN9" s="1" t="n">
        <f aca="false">CF9+FM9</f>
        <v>0</v>
      </c>
      <c r="FO9" s="1" t="n">
        <f aca="false">IF(CE9=1,MAX(0,(Slot7_Cost-FN9*(1+Slot7_Rate)^(Slot7_Age-D9))/FK9),0)</f>
        <v>0</v>
      </c>
      <c r="FP9" s="1" t="n">
        <f aca="false">IF(CE9=1,MAX(0,(Slot7_Cost-CF9*(1+Slot7_Rate)^(Slot7_Age-D9))/FK9),0)</f>
        <v>0</v>
      </c>
      <c r="FQ9" s="1" t="n">
        <f aca="false">IF(AND(DD9=1,CE9=1),MIN(FJ9,FO9),0)</f>
        <v>0</v>
      </c>
      <c r="FR9" s="1" t="n">
        <f aca="false">FJ9-FQ9</f>
        <v>0</v>
      </c>
      <c r="FS9" s="1" t="n">
        <f aca="false">IF(CO9=1,IF(ABS((1+AS_Wage)/(1+Slot8_Rate)-1)&lt;0.000000000001,(Slot8_Age-D9)*(1+Slot8_Rate)^(Slot8_Age-D9),(1+Slot8_Rate)^(Slot8_Age-D9)*(1-((1+AS_Wage)/(1+Slot8_Rate))^(Slot8_Age-D9))/(1-(1+AS_Wage)/(1+Slot8_Rate))),1)</f>
        <v>1</v>
      </c>
      <c r="FT9" s="1" t="n">
        <f aca="false">IF(AND(DD9=1,DN9&gt;0,Slot8_IsWG=1,CO9=1),MAX(0,(Slot8_Cost-CP9*(1+Slot8_Rate)^(Slot8_Age-D9))/FS9),0)</f>
        <v>0</v>
      </c>
      <c r="FU9" s="1" t="n">
        <f aca="false">IF(AND(DD9=1,DN9&gt;0,Slot8_IsWG=1,CO9=1),MIN(DN9,FT9),0)</f>
        <v>0</v>
      </c>
      <c r="FV9" s="1" t="n">
        <f aca="false">CP9+FU9</f>
        <v>0</v>
      </c>
      <c r="FW9" s="1" t="n">
        <f aca="false">IF(CO9=1,MAX(0,(Slot8_Cost-FV9*(1+Slot8_Rate)^(Slot8_Age-D9))/FS9),0)</f>
        <v>0</v>
      </c>
      <c r="FX9" s="1" t="n">
        <f aca="false">IF(CO9=1,MAX(0,(Slot8_Cost-CP9*(1+Slot8_Rate)^(Slot8_Age-D9))/FS9),0)</f>
        <v>0</v>
      </c>
      <c r="FY9" s="1" t="n">
        <f aca="false">IF(AND(DD9=1,CO9=1),MIN(FR9,FW9),0)</f>
        <v>0</v>
      </c>
      <c r="FZ9" s="1" t="n">
        <f aca="false">FR9-FY9</f>
        <v>0</v>
      </c>
      <c r="GA9" s="1" t="n">
        <f aca="false">DN9-(DQ9+DY9+EG9+EO9+EW9+FE9+FM9+FU9)</f>
        <v>0</v>
      </c>
      <c r="GB9" s="1" t="n">
        <f aca="false">IF(DD9=1,DB9-DM9-DN9,0)</f>
        <v>0</v>
      </c>
      <c r="GC9" s="1" t="n">
        <f aca="false">IF(DD9=0,-DB9,0)</f>
        <v>0</v>
      </c>
      <c r="GD9" s="1" t="n">
        <f aca="false">MIN(GC9,CT9)</f>
        <v>0</v>
      </c>
      <c r="GE9" s="1" t="n">
        <f aca="false">GC9-GD9</f>
        <v>0</v>
      </c>
      <c r="GF9" s="1" t="n">
        <f aca="false">MIN(GE9,CU9)</f>
        <v>0</v>
      </c>
      <c r="GG9" s="1" t="n">
        <f aca="false">GE9-GF9</f>
        <v>0</v>
      </c>
      <c r="GH9" s="1" t="n">
        <f aca="false">IF(AND(DD9=0,CO9=1,GG9&gt;0),MIN(GG9,CP9),0)</f>
        <v>0</v>
      </c>
      <c r="GI9" s="1" t="n">
        <f aca="false">GG9-GH9</f>
        <v>0</v>
      </c>
      <c r="GJ9" s="1" t="n">
        <f aca="false">IF(AND(DD9=0,CE9=1,GI9&gt;0),MIN(GI9,CF9),0)</f>
        <v>0</v>
      </c>
      <c r="GK9" s="1" t="n">
        <f aca="false">GI9-GJ9</f>
        <v>0</v>
      </c>
      <c r="GL9" s="1" t="n">
        <f aca="false">IF(AND(DD9=0,BU9=1,GK9&gt;0),MIN(GK9,BV9),0)</f>
        <v>0</v>
      </c>
      <c r="GM9" s="1" t="n">
        <f aca="false">GK9-GL9</f>
        <v>0</v>
      </c>
      <c r="GN9" s="1" t="n">
        <f aca="false">IF(AND(DD9=0,BK9=1,GM9&gt;0),MIN(GM9,BL9),0)</f>
        <v>0</v>
      </c>
      <c r="GO9" s="1" t="n">
        <f aca="false">GM9-GN9</f>
        <v>0</v>
      </c>
      <c r="GP9" s="1" t="n">
        <f aca="false">IF(AND(DD9=0,BA9=1,GO9&gt;0),MIN(GO9,BB9),0)</f>
        <v>0</v>
      </c>
      <c r="GQ9" s="1" t="n">
        <f aca="false">GO9-GP9</f>
        <v>0</v>
      </c>
      <c r="GR9" s="1" t="n">
        <f aca="false">IF(AND(DD9=0,AQ9=1,GQ9&gt;0),MIN(GQ9,AR9),0)</f>
        <v>0</v>
      </c>
      <c r="GS9" s="1" t="n">
        <f aca="false">GQ9-GR9</f>
        <v>0</v>
      </c>
      <c r="GT9" s="1" t="n">
        <f aca="false">IF(AND(DD9=0,AG9=1,GS9&gt;0),MIN(GS9,AH9),0)</f>
        <v>0</v>
      </c>
      <c r="GU9" s="1" t="n">
        <f aca="false">GS9-GT9</f>
        <v>0</v>
      </c>
      <c r="GV9" s="1" t="n">
        <f aca="false">IF(AND(DD9=0,V9=1,GU9&gt;0),MIN(GU9,W9),0)</f>
        <v>0</v>
      </c>
      <c r="GW9" s="1" t="n">
        <f aca="false">GU9-GV9</f>
        <v>0</v>
      </c>
      <c r="GX9" s="1" t="n">
        <f aca="false">IF(DD9=0,GW9,0)</f>
        <v>0</v>
      </c>
      <c r="GY9" s="1" t="n">
        <f aca="false">GD9+GF9+GV9+GT9+GR9+GP9+GN9+GL9+GJ9+GH9</f>
        <v>0</v>
      </c>
      <c r="GZ9" s="1" t="n">
        <f aca="false">IF(DD9=1,CT9+GA9+FZ9+IF(F9=1,0,GB9),CT9-GD9)</f>
        <v>0</v>
      </c>
      <c r="HA9" s="1" t="n">
        <f aca="false">CU9-GF9</f>
        <v>0</v>
      </c>
      <c r="HB9" s="1" t="n">
        <f aca="false">IF(DD9=1,IF(F9=1,DM9+DN9,DB9),0)</f>
        <v>0</v>
      </c>
      <c r="HC9" s="1" t="n">
        <f aca="false">IF(DD9=1,IF(F9=1,DB9-DM9-DN9,0),0)</f>
        <v>0</v>
      </c>
      <c r="HD9" s="1" t="n">
        <f aca="false">GZ9*(1+GR)</f>
        <v>0</v>
      </c>
      <c r="HE9" s="1" t="n">
        <f aca="false">HA9*(1+AS_Cash)</f>
        <v>0</v>
      </c>
      <c r="HF9" s="1" t="n">
        <f aca="false">IF(V9=1,IF(DD9=1,DR9+DU9,W9-GV9)*(1+Slot1_Rate),0)</f>
        <v>0</v>
      </c>
      <c r="HG9" s="1" t="n">
        <f aca="false">IF(AND(DD9=1,V9=1),(DQ9+DU9)/E9,0)</f>
        <v>0</v>
      </c>
      <c r="HH9" s="1" t="n">
        <f aca="false">IF(B9=0,DQ9+DU9,0)</f>
        <v>0</v>
      </c>
      <c r="HI9" s="1" t="n">
        <f aca="false">IF(B9=0,IF(DD9=1,DS9,DT9),0)</f>
        <v>0</v>
      </c>
      <c r="HJ9" s="1" t="n">
        <f aca="false">IF(AG9=1,IF(DD9=1,DZ9+EC9,AH9-GT9)*(1+Slot2_Rate),0)</f>
        <v>0</v>
      </c>
      <c r="HK9" s="1" t="n">
        <f aca="false">IF(AND(DD9=1,AG9=1),(DY9+EC9)/E9,0)</f>
        <v>0</v>
      </c>
      <c r="HL9" s="1" t="n">
        <f aca="false">IF(B9=0,DY9+EC9,0)</f>
        <v>0</v>
      </c>
      <c r="HM9" s="1" t="n">
        <f aca="false">IF(B9=0,IF(DD9=1,EA9,EB9),0)</f>
        <v>0</v>
      </c>
      <c r="HN9" s="1" t="n">
        <f aca="false">IF(AQ9=1,IF(DD9=1,EH9+EK9,AR9-GR9)*(1+Slot3_Rate),0)</f>
        <v>0</v>
      </c>
      <c r="HO9" s="1" t="n">
        <f aca="false">IF(AND(DD9=1,AQ9=1),(EG9+EK9)/E9,0)</f>
        <v>0</v>
      </c>
      <c r="HP9" s="1" t="n">
        <f aca="false">IF(B9=0,EG9+EK9,0)</f>
        <v>0</v>
      </c>
      <c r="HQ9" s="1" t="n">
        <f aca="false">IF(B9=0,IF(DD9=1,EI9,EJ9),0)</f>
        <v>0</v>
      </c>
      <c r="HR9" s="1" t="n">
        <f aca="false">IF(BA9=1,IF(DD9=1,EP9+ES9,BB9-GP9)*(1+Slot4_Rate),0)</f>
        <v>0</v>
      </c>
      <c r="HS9" s="1" t="n">
        <f aca="false">IF(AND(DD9=1,BA9=1),(EO9+ES9)/E9,0)</f>
        <v>0</v>
      </c>
      <c r="HT9" s="1" t="n">
        <f aca="false">IF(B9=0,EO9+ES9,0)</f>
        <v>0</v>
      </c>
      <c r="HU9" s="1" t="n">
        <f aca="false">IF(B9=0,IF(DD9=1,EQ9,ER9),0)</f>
        <v>0</v>
      </c>
      <c r="HV9" s="1" t="n">
        <f aca="false">IF(BK9=1,IF(DD9=1,EX9+FA9,BL9-GN9)*(1+Slot5_Rate),0)</f>
        <v>0</v>
      </c>
      <c r="HW9" s="1" t="n">
        <f aca="false">IF(AND(DD9=1,BK9=1),(EW9+FA9)/E9,0)</f>
        <v>0</v>
      </c>
      <c r="HX9" s="1" t="n">
        <f aca="false">IF(B9=0,EW9+FA9,0)</f>
        <v>0</v>
      </c>
      <c r="HY9" s="1" t="n">
        <f aca="false">IF(B9=0,IF(DD9=1,EY9,EZ9),0)</f>
        <v>0</v>
      </c>
      <c r="HZ9" s="1" t="n">
        <f aca="false">IF(BU9=1,IF(DD9=1,FF9+FI9,BV9-GL9)*(1+Slot6_Rate),0)</f>
        <v>0</v>
      </c>
      <c r="IA9" s="1" t="n">
        <f aca="false">IF(AND(DD9=1,BU9=1),(FE9+FI9)/E9,0)</f>
        <v>0</v>
      </c>
      <c r="IB9" s="1" t="n">
        <f aca="false">IF(B9=0,FE9+FI9,0)</f>
        <v>0</v>
      </c>
      <c r="IC9" s="1" t="n">
        <f aca="false">IF(B9=0,IF(DD9=1,FG9,FH9),0)</f>
        <v>0</v>
      </c>
      <c r="ID9" s="1" t="n">
        <f aca="false">IF(CE9=1,IF(DD9=1,FN9+FQ9,CF9-GJ9)*(1+Slot7_Rate),0)</f>
        <v>0</v>
      </c>
      <c r="IE9" s="1" t="n">
        <f aca="false">IF(AND(DD9=1,CE9=1),(FM9+FQ9)/E9,0)</f>
        <v>0</v>
      </c>
      <c r="IF9" s="1" t="n">
        <f aca="false">IF(B9=0,FM9+FQ9,0)</f>
        <v>0</v>
      </c>
      <c r="IG9" s="1" t="n">
        <f aca="false">IF(B9=0,IF(DD9=1,FO9,FP9),0)</f>
        <v>0</v>
      </c>
      <c r="IH9" s="1" t="n">
        <f aca="false">IF(CO9=1,IF(DD9=1,FV9+FY9,CP9-GH9)*(1+Slot8_Rate),0)</f>
        <v>0</v>
      </c>
      <c r="II9" s="1" t="n">
        <f aca="false">IF(AND(DD9=1,CO9=1),(FU9+FY9)/E9,0)</f>
        <v>0</v>
      </c>
      <c r="IJ9" s="1" t="n">
        <f aca="false">IF(B9=0,FU9+FY9,0)</f>
        <v>0</v>
      </c>
      <c r="IK9" s="1" t="n">
        <f aca="false">IF(B9=0,IF(DD9=1,FW9,FX9),0)</f>
        <v>0</v>
      </c>
      <c r="IL9" s="1" t="n">
        <f aca="false">HD9+HE9+HF9+HJ9+HN9+HR9+HV9+HZ9+ID9+IH9</f>
        <v>0</v>
      </c>
      <c r="IM9" s="1" t="n">
        <f aca="false">GX9+CY9</f>
        <v>0</v>
      </c>
      <c r="IN9" s="1" t="n">
        <f aca="false">H9+R9</f>
        <v>0</v>
      </c>
      <c r="IO9" s="1" t="n">
        <f aca="false">1-F9</f>
        <v>1</v>
      </c>
      <c r="IP9" s="1" t="n">
        <f aca="false">IF(AND(RG_Exists=1,F9=0,C9=1),H9,0)</f>
        <v>0</v>
      </c>
      <c r="IQ9" s="1" t="n">
        <f aca="false">IF(AND(RG_Exists=1,F9=0,C9=1),H9-MIN(GX9,H9),0)</f>
        <v>0</v>
      </c>
      <c r="IR9" s="1" t="n">
        <f aca="false">'Plan pay &amp; tax'!AD211</f>
        <v>0</v>
      </c>
      <c r="IS9" s="1" t="n">
        <f aca="false">IF(AND(C9=1,GX9&gt;MAX(PR_Short1,IN9*PR_Short2)),1,0)</f>
        <v>0</v>
      </c>
      <c r="IT9" s="1" t="n">
        <f aca="false">MIN(G9,H9+R9)</f>
        <v>0</v>
      </c>
      <c r="IU9" s="1" t="n">
        <f aca="false">GY9+MAX(0,CZ9-CY9)</f>
        <v>0</v>
      </c>
      <c r="IV9" s="1" t="n">
        <f aca="false">GX9+CY9</f>
        <v>0</v>
      </c>
      <c r="IW9" s="1" t="n">
        <f aca="false">IF(AND(C9=1,IV9&gt;0.5),1,0)</f>
        <v>0</v>
      </c>
      <c r="IX9" s="1" t="n">
        <f aca="false">IF(AND(C9=1,IW9=0,IU9&gt;0.5),1,0)</f>
        <v>0</v>
      </c>
      <c r="IY9" s="1" t="n">
        <f aca="false">IF(AND(C9=1,GX9&gt;0.5),1,0)</f>
        <v>0</v>
      </c>
      <c r="IZ9" s="1" t="n">
        <f aca="false">IF(AND(C9=1,GY9&gt;1,JF9=0),1,0)</f>
        <v>0</v>
      </c>
      <c r="JA9" s="1" t="n">
        <f aca="false">IF(AND(INT(D9/10)*10=90,B9&gt;0),80,INT(D9/10)*10)</f>
        <v>0</v>
      </c>
      <c r="JB9" s="1" t="n">
        <f aca="false">IF(B9=0,1,IF(JA9&lt;&gt;JA8,JB8+1,JB8))</f>
        <v>1</v>
      </c>
      <c r="JC9" s="1" t="n">
        <f aca="false">IF(AND(C9=1,F9=1,GX9&gt;MAX(PR_Short1,IN9*PR_Short2)),1,0)</f>
        <v>0</v>
      </c>
      <c r="JD9" s="1" t="n">
        <f aca="false">IO9*IS9</f>
        <v>0</v>
      </c>
      <c r="JE9" s="1" t="n">
        <f aca="false">IF(AND(U9=1,Slot1_PctLow=1),1,0)+IF(AND(AF9=1,Slot2_PctLow=1),1,0)+IF(AND(AP9=1,Slot3_PctLow=1),1,0)+IF(AND(AZ9=1,Slot4_PctLow=1),1,0)+IF(AND(BJ9=1,Slot5_PctLow=1),1,0)+IF(AND(BT9=1,Slot6_PctLow=1),1,0)+IF(AND(CD9=1,Slot7_PctLow=1),1,0)+IF(AND(CN9=1,Slot8_PctLow=1),1,0)</f>
        <v>0</v>
      </c>
      <c r="JF9" s="1" t="n">
        <f aca="false">IF(C9=1,IF(OR(IS9=1,JE9&gt;0),1,0),0)</f>
        <v>0</v>
      </c>
    </row>
    <row r="10" customFormat="false" ht="15" hidden="false" customHeight="false" outlineLevel="0" collapsed="false">
      <c r="B10" s="1" t="n">
        <v>2</v>
      </c>
      <c r="C10" s="1" t="n">
        <f aca="false">IF(B10&lt;=F_N,1,0)</f>
        <v>1</v>
      </c>
      <c r="D10" s="1" t="n">
        <f aca="false">'Plan pay &amp; tax'!C212</f>
        <v>2</v>
      </c>
      <c r="E10" s="106" t="n">
        <f aca="false">'Plan pay &amp; tax'!E212</f>
        <v>1.0404</v>
      </c>
      <c r="F10" s="1" t="n">
        <f aca="false">'Plan pay &amp; tax'!G212</f>
        <v>0</v>
      </c>
      <c r="G10" s="1" t="n">
        <f aca="false">'Plan pay &amp; tax'!BT212-'Plan pay &amp; tax'!BS212-'Plan pay &amp; tax'!R212</f>
        <v>0</v>
      </c>
      <c r="H10" s="1" t="n">
        <f aca="false">IF(F10=1,F_CostsM*12,IF(RG_Exists=1,RG_Amount,F_CostsM*12*AS_RetireSpend))*E10+F_OneOffY*E10</f>
        <v>0</v>
      </c>
      <c r="I10" s="1" t="n">
        <f aca="false">DA9</f>
        <v>0</v>
      </c>
      <c r="J10" s="1" t="n">
        <f aca="false">IF(I10&gt;1,'Plan debt months'!AC10,0)</f>
        <v>0</v>
      </c>
      <c r="K10" s="1" t="n">
        <f aca="false">IF(I10&gt;1,'Plan debt months'!AB10,I10)</f>
        <v>0</v>
      </c>
      <c r="L10" s="1" t="n">
        <f aca="false">N9</f>
        <v>0</v>
      </c>
      <c r="M10" s="1" t="n">
        <f aca="false">IF(L10&gt;1,'Plan debt months'!BD10,0)</f>
        <v>0</v>
      </c>
      <c r="N10" s="1" t="n">
        <f aca="false">IF(L10&gt;1,'Plan debt months'!BC10,L10)</f>
        <v>0</v>
      </c>
      <c r="O10" s="1" t="n">
        <f aca="false">Q9</f>
        <v>0</v>
      </c>
      <c r="P10" s="1" t="n">
        <f aca="false">IF(O10&gt;1,'Plan debt months'!CE10,0)</f>
        <v>0</v>
      </c>
      <c r="Q10" s="1" t="n">
        <f aca="false">IF(O10&gt;1,'Plan debt months'!CD10,O10)</f>
        <v>0</v>
      </c>
      <c r="R10" s="1" t="n">
        <f aca="false">J10+M10+P10</f>
        <v>0</v>
      </c>
      <c r="S10" s="1" t="n">
        <f aca="false">HD9+'Plan pay &amp; tax'!Y212</f>
        <v>0</v>
      </c>
      <c r="T10" s="1" t="n">
        <f aca="false">HD9</f>
        <v>0</v>
      </c>
      <c r="U10" s="1" t="n">
        <f aca="false">IF(AND(Slot1_On=1,D10=Slot1_Age),1,0)</f>
        <v>0</v>
      </c>
      <c r="V10" s="1" t="n">
        <f aca="false">IF(AND(Slot1_On=1,Slot1_Age&gt;D10),1,0)</f>
        <v>0</v>
      </c>
      <c r="W10" s="1" t="n">
        <f aca="false">HF9</f>
        <v>0</v>
      </c>
      <c r="X10" s="1" t="n">
        <f aca="false">U10*MIN(Slot1_Cost,W10)</f>
        <v>0</v>
      </c>
      <c r="Y10" s="1" t="n">
        <f aca="false">U10*Slot1_SpendLike*MIN(Slot1_Cost-X10,S10)</f>
        <v>0</v>
      </c>
      <c r="Z10" s="1" t="n">
        <f aca="false">X10+Y10</f>
        <v>0</v>
      </c>
      <c r="AA10" s="1" t="n">
        <f aca="false">S10-Y10+U10*IF(Slot1_SpendLike=1,W10-X10,IF(Slot1_PotFree=1,W10,0))</f>
        <v>0</v>
      </c>
      <c r="AB10" s="1" t="n">
        <f aca="false">AE10+U10*Slot1_BufPot*W10</f>
        <v>0</v>
      </c>
      <c r="AC10" s="1" t="n">
        <f aca="false">IF(AND(U10=1,Slot1_IsMfree=1),IF(Z10&gt;=Slot1_Cost-1,0,MAX(0,K10-Z10)),K10)</f>
        <v>0</v>
      </c>
      <c r="AD10" s="1" t="n">
        <f aca="false">U10*(Slot1_Cost-Z10)</f>
        <v>0</v>
      </c>
      <c r="AE10" s="1" t="n">
        <f aca="false">HE9</f>
        <v>0</v>
      </c>
      <c r="AF10" s="1" t="n">
        <f aca="false">IF(AND(Slot2_On=1,D10=Slot2_Age),1,0)</f>
        <v>0</v>
      </c>
      <c r="AG10" s="1" t="n">
        <f aca="false">IF(AND(Slot2_On=1,Slot2_Age&gt;D10),1,0)</f>
        <v>0</v>
      </c>
      <c r="AH10" s="1" t="n">
        <f aca="false">HJ9</f>
        <v>0</v>
      </c>
      <c r="AI10" s="1" t="n">
        <f aca="false">AF10*MIN(Slot2_Cost,AH10)</f>
        <v>0</v>
      </c>
      <c r="AJ10" s="1" t="n">
        <f aca="false">AF10*Slot2_SpendLike*MIN(Slot2_Cost-AI10,AA10)</f>
        <v>0</v>
      </c>
      <c r="AK10" s="1" t="n">
        <f aca="false">AI10+AJ10</f>
        <v>0</v>
      </c>
      <c r="AL10" s="1" t="n">
        <f aca="false">AA10-AJ10+AF10*IF(Slot2_SpendLike=1,AH10-AI10,IF(Slot2_PotFree=1,AH10,0))</f>
        <v>0</v>
      </c>
      <c r="AM10" s="1" t="n">
        <f aca="false">AB10+AF10*Slot2_BufPot*AH10</f>
        <v>0</v>
      </c>
      <c r="AN10" s="1" t="n">
        <f aca="false">IF(AND(AF10=1,Slot2_IsMfree=1),IF(AK10&gt;=Slot2_Cost-1,0,MAX(0,AC10-AK10)),AC10)</f>
        <v>0</v>
      </c>
      <c r="AO10" s="1" t="n">
        <f aca="false">AF10*(Slot2_Cost-AK10)</f>
        <v>0</v>
      </c>
      <c r="AP10" s="1" t="n">
        <f aca="false">IF(AND(Slot3_On=1,D10=Slot3_Age),1,0)</f>
        <v>0</v>
      </c>
      <c r="AQ10" s="1" t="n">
        <f aca="false">IF(AND(Slot3_On=1,Slot3_Age&gt;D10),1,0)</f>
        <v>0</v>
      </c>
      <c r="AR10" s="1" t="n">
        <f aca="false">HN9</f>
        <v>0</v>
      </c>
      <c r="AS10" s="1" t="n">
        <f aca="false">AP10*MIN(Slot3_Cost,AR10)</f>
        <v>0</v>
      </c>
      <c r="AT10" s="1" t="n">
        <f aca="false">AP10*Slot3_SpendLike*MIN(Slot3_Cost-AS10,AL10)</f>
        <v>0</v>
      </c>
      <c r="AU10" s="1" t="n">
        <f aca="false">AS10+AT10</f>
        <v>0</v>
      </c>
      <c r="AV10" s="1" t="n">
        <f aca="false">AL10-AT10+AP10*IF(Slot3_SpendLike=1,AR10-AS10,IF(Slot3_PotFree=1,AR10,0))</f>
        <v>0</v>
      </c>
      <c r="AW10" s="1" t="n">
        <f aca="false">AM10+AP10*Slot3_BufPot*AR10</f>
        <v>0</v>
      </c>
      <c r="AX10" s="1" t="n">
        <f aca="false">IF(AND(AP10=1,Slot3_IsMfree=1),IF(AU10&gt;=Slot3_Cost-1,0,MAX(0,AN10-AU10)),AN10)</f>
        <v>0</v>
      </c>
      <c r="AY10" s="1" t="n">
        <f aca="false">AP10*(Slot3_Cost-AU10)</f>
        <v>0</v>
      </c>
      <c r="AZ10" s="1" t="n">
        <f aca="false">IF(AND(Slot4_On=1,D10=Slot4_Age),1,0)</f>
        <v>0</v>
      </c>
      <c r="BA10" s="1" t="n">
        <f aca="false">IF(AND(Slot4_On=1,Slot4_Age&gt;D10),1,0)</f>
        <v>0</v>
      </c>
      <c r="BB10" s="1" t="n">
        <f aca="false">HR9</f>
        <v>0</v>
      </c>
      <c r="BC10" s="1" t="n">
        <f aca="false">AZ10*MIN(Slot4_Cost,BB10)</f>
        <v>0</v>
      </c>
      <c r="BD10" s="1" t="n">
        <f aca="false">AZ10*Slot4_SpendLike*MIN(Slot4_Cost-BC10,AV10)</f>
        <v>0</v>
      </c>
      <c r="BE10" s="1" t="n">
        <f aca="false">BC10+BD10</f>
        <v>0</v>
      </c>
      <c r="BF10" s="1" t="n">
        <f aca="false">AV10-BD10+AZ10*IF(Slot4_SpendLike=1,BB10-BC10,IF(Slot4_PotFree=1,BB10,0))</f>
        <v>0</v>
      </c>
      <c r="BG10" s="1" t="n">
        <f aca="false">AW10+AZ10*Slot4_BufPot*BB10</f>
        <v>0</v>
      </c>
      <c r="BH10" s="1" t="n">
        <f aca="false">IF(AND(AZ10=1,Slot4_IsMfree=1),IF(BE10&gt;=Slot4_Cost-1,0,MAX(0,AX10-BE10)),AX10)</f>
        <v>0</v>
      </c>
      <c r="BI10" s="1" t="n">
        <f aca="false">AZ10*(Slot4_Cost-BE10)</f>
        <v>0</v>
      </c>
      <c r="BJ10" s="1" t="n">
        <f aca="false">IF(AND(Slot5_On=1,D10=Slot5_Age),1,0)</f>
        <v>0</v>
      </c>
      <c r="BK10" s="1" t="n">
        <f aca="false">IF(AND(Slot5_On=1,Slot5_Age&gt;D10),1,0)</f>
        <v>0</v>
      </c>
      <c r="BL10" s="1" t="n">
        <f aca="false">HV9</f>
        <v>0</v>
      </c>
      <c r="BM10" s="1" t="n">
        <f aca="false">BJ10*MIN(Slot5_Cost,BL10)</f>
        <v>0</v>
      </c>
      <c r="BN10" s="1" t="n">
        <f aca="false">BJ10*Slot5_SpendLike*MIN(Slot5_Cost-BM10,BF10)</f>
        <v>0</v>
      </c>
      <c r="BO10" s="1" t="n">
        <f aca="false">BM10+BN10</f>
        <v>0</v>
      </c>
      <c r="BP10" s="1" t="n">
        <f aca="false">BF10-BN10+BJ10*IF(Slot5_SpendLike=1,BL10-BM10,IF(Slot5_PotFree=1,BL10,0))</f>
        <v>0</v>
      </c>
      <c r="BQ10" s="1" t="n">
        <f aca="false">BG10+BJ10*Slot5_BufPot*BL10</f>
        <v>0</v>
      </c>
      <c r="BR10" s="1" t="n">
        <f aca="false">IF(AND(BJ10=1,Slot5_IsMfree=1),IF(BO10&gt;=Slot5_Cost-1,0,MAX(0,BH10-BO10)),BH10)</f>
        <v>0</v>
      </c>
      <c r="BS10" s="1" t="n">
        <f aca="false">BJ10*(Slot5_Cost-BO10)</f>
        <v>0</v>
      </c>
      <c r="BT10" s="1" t="n">
        <f aca="false">IF(AND(Slot6_On=1,D10=Slot6_Age),1,0)</f>
        <v>0</v>
      </c>
      <c r="BU10" s="1" t="n">
        <f aca="false">IF(AND(Slot6_On=1,Slot6_Age&gt;D10),1,0)</f>
        <v>0</v>
      </c>
      <c r="BV10" s="1" t="n">
        <f aca="false">HZ9</f>
        <v>0</v>
      </c>
      <c r="BW10" s="1" t="n">
        <f aca="false">BT10*MIN(Slot6_Cost,BV10)</f>
        <v>0</v>
      </c>
      <c r="BX10" s="1" t="n">
        <f aca="false">BT10*Slot6_SpendLike*MIN(Slot6_Cost-BW10,BP10)</f>
        <v>0</v>
      </c>
      <c r="BY10" s="1" t="n">
        <f aca="false">BW10+BX10</f>
        <v>0</v>
      </c>
      <c r="BZ10" s="1" t="n">
        <f aca="false">BP10-BX10+BT10*IF(Slot6_SpendLike=1,BV10-BW10,IF(Slot6_PotFree=1,BV10,0))</f>
        <v>0</v>
      </c>
      <c r="CA10" s="1" t="n">
        <f aca="false">BQ10+BT10*Slot6_BufPot*BV10</f>
        <v>0</v>
      </c>
      <c r="CB10" s="1" t="n">
        <f aca="false">IF(AND(BT10=1,Slot6_IsMfree=1),IF(BY10&gt;=Slot6_Cost-1,0,MAX(0,BR10-BY10)),BR10)</f>
        <v>0</v>
      </c>
      <c r="CC10" s="1" t="n">
        <f aca="false">BT10*(Slot6_Cost-BY10)</f>
        <v>0</v>
      </c>
      <c r="CD10" s="1" t="n">
        <f aca="false">IF(AND(Slot7_On=1,D10=Slot7_Age),1,0)</f>
        <v>0</v>
      </c>
      <c r="CE10" s="1" t="n">
        <f aca="false">IF(AND(Slot7_On=1,Slot7_Age&gt;D10),1,0)</f>
        <v>0</v>
      </c>
      <c r="CF10" s="1" t="n">
        <f aca="false">ID9</f>
        <v>0</v>
      </c>
      <c r="CG10" s="1" t="n">
        <f aca="false">CD10*MIN(Slot7_Cost,CF10)</f>
        <v>0</v>
      </c>
      <c r="CH10" s="1" t="n">
        <f aca="false">CD10*Slot7_SpendLike*MIN(Slot7_Cost-CG10,BZ10)</f>
        <v>0</v>
      </c>
      <c r="CI10" s="1" t="n">
        <f aca="false">CG10+CH10</f>
        <v>0</v>
      </c>
      <c r="CJ10" s="1" t="n">
        <f aca="false">BZ10-CH10+CD10*IF(Slot7_SpendLike=1,CF10-CG10,IF(Slot7_PotFree=1,CF10,0))</f>
        <v>0</v>
      </c>
      <c r="CK10" s="1" t="n">
        <f aca="false">CA10+CD10*Slot7_BufPot*CF10</f>
        <v>0</v>
      </c>
      <c r="CL10" s="1" t="n">
        <f aca="false">IF(AND(CD10=1,Slot7_IsMfree=1),IF(CI10&gt;=Slot7_Cost-1,0,MAX(0,CB10-CI10)),CB10)</f>
        <v>0</v>
      </c>
      <c r="CM10" s="1" t="n">
        <f aca="false">CD10*(Slot7_Cost-CI10)</f>
        <v>0</v>
      </c>
      <c r="CN10" s="1" t="n">
        <f aca="false">IF(AND(Slot8_On=1,D10=Slot8_Age),1,0)</f>
        <v>0</v>
      </c>
      <c r="CO10" s="1" t="n">
        <f aca="false">IF(AND(Slot8_On=1,Slot8_Age&gt;D10),1,0)</f>
        <v>0</v>
      </c>
      <c r="CP10" s="1" t="n">
        <f aca="false">IH9</f>
        <v>0</v>
      </c>
      <c r="CQ10" s="1" t="n">
        <f aca="false">CN10*MIN(Slot8_Cost,CP10)</f>
        <v>0</v>
      </c>
      <c r="CR10" s="1" t="n">
        <f aca="false">CN10*Slot8_SpendLike*MIN(Slot8_Cost-CQ10,CJ10)</f>
        <v>0</v>
      </c>
      <c r="CS10" s="1" t="n">
        <f aca="false">CQ10+CR10</f>
        <v>0</v>
      </c>
      <c r="CT10" s="1" t="n">
        <f aca="false">CJ10-CR10+CN10*IF(Slot8_SpendLike=1,CP10-CQ10,IF(Slot8_PotFree=1,CP10,0))</f>
        <v>0</v>
      </c>
      <c r="CU10" s="1" t="n">
        <f aca="false">CK10+CN10*Slot8_BufPot*CP10</f>
        <v>0</v>
      </c>
      <c r="CV10" s="1" t="n">
        <f aca="false">IF(AND(CN10=1,Slot8_IsMfree=1),IF(CS10&gt;=Slot8_Cost-1,0,MAX(0,CL10-CS10)),CL10)</f>
        <v>0</v>
      </c>
      <c r="CW10" s="1" t="n">
        <f aca="false">CN10*(Slot8_Cost-CS10)</f>
        <v>0</v>
      </c>
      <c r="CX10" s="1" t="n">
        <f aca="false">U10*Slot1_SpendLike*Z10+AF10*Slot2_SpendLike*AK10+AP10*Slot3_SpendLike*AU10+AZ10*Slot4_SpendLike*BE10+BJ10*Slot5_SpendLike*BO10+BT10*Slot6_SpendLike*BY10+CD10*Slot7_SpendLike*CI10+CN10*Slot8_SpendLike*CS10</f>
        <v>0</v>
      </c>
      <c r="CY10" s="1" t="n">
        <f aca="false">AD10+AO10+AY10+BI10+BS10+CC10+CM10+CW10</f>
        <v>0</v>
      </c>
      <c r="CZ10" s="1" t="n">
        <f aca="false">U10*Slot1_Cost+AF10*Slot2_Cost+AP10*Slot3_Cost+AZ10*Slot4_Cost+BJ10*Slot5_Cost+BT10*Slot6_Cost+CD10*Slot7_Cost+CN10*Slot8_Cost</f>
        <v>0</v>
      </c>
      <c r="DA10" s="1" t="n">
        <f aca="false">CV10</f>
        <v>0</v>
      </c>
      <c r="DB10" s="1" t="n">
        <f aca="false">G10-H10-R10</f>
        <v>0</v>
      </c>
      <c r="DC10" s="1" t="n">
        <f aca="false">IF(B10=0,IF(AND(Has_q6=1,In_q6=4),PR_ShareVaries*(MAX(0,DB10)/12),MIN(IF(Has_q6=1,CHOOSE(In_q6+1,PR_SaveB1,PR_SaveB2,PR_SaveB3,PR_SaveB4,0),AS_NoAnswer),AS_SaveShare*(MAX(0,DB10)/12))),DC9)</f>
        <v>0</v>
      </c>
      <c r="DD10" s="1" t="n">
        <f aca="false">IF(DB10&gt;=0,1,0)</f>
        <v>1</v>
      </c>
      <c r="DE10" s="1" t="n">
        <f aca="false">MAX(0,DB10/12/E10)</f>
        <v>0</v>
      </c>
      <c r="DF10" s="1" t="n">
        <f aca="false">IF(AND(Has_q6=1,In_q6=4),PR_ShareVaries*(DE10),MIN(IF(Has_q6=1,CHOOSE(In_q6+1,PR_SaveB1,PR_SaveB2,PR_SaveB3,PR_SaveB4,0),AS_NoAnswer),AS_SaveShare*(DE10)))</f>
        <v>0</v>
      </c>
      <c r="DG10" s="1" t="n">
        <f aca="false">IF(Has_saveM=1,IF(In_saveUp="Yes",1,IF(In_saveUp="No",0,IF(In_saveM&gt;=DC10-0.5,1,0))),0)</f>
        <v>0</v>
      </c>
      <c r="DH10" s="1" t="n">
        <f aca="false">IF(Has_saveM=1,MIN(DE10,IF(DG10=1,MAX(In_saveM,DF10),MIN(In_saveM,DF10))),DF10)</f>
        <v>0</v>
      </c>
      <c r="DI10" s="1" t="n">
        <f aca="false">IF(F10=1,DH10*12*E10,0)</f>
        <v>0</v>
      </c>
      <c r="DJ10" s="1" t="n">
        <f aca="false">MAX(0,DI10+IF(AND(WI_Retire=0,WI_M&lt;0,F10=1),WI_M*12*E10,0))</f>
        <v>0</v>
      </c>
      <c r="DK10" s="1" t="n">
        <f aca="false">Slot1_IsWG*V10+Slot2_IsWG*AG10+Slot3_IsWG*AQ10+Slot4_IsWG*BA10+Slot5_IsWG*BK10+Slot6_IsWG*BU10+Slot7_IsWG*CE10+Slot8_IsWG*CO10</f>
        <v>0</v>
      </c>
      <c r="DL10" s="1" t="n">
        <f aca="false">IF(AND(WI_Retire=0,WI_M&gt;0,F10=1,DK10&gt;=1),WI_M*12*E10,0)</f>
        <v>0</v>
      </c>
      <c r="DM10" s="1" t="n">
        <f aca="false">IF(DD10=1,MIN(DJ10,DB10),0)</f>
        <v>0</v>
      </c>
      <c r="DN10" s="1" t="n">
        <f aca="false">IF(DD10=1,MIN(DL10,DB10-DM10),0)</f>
        <v>0</v>
      </c>
      <c r="DO10" s="1" t="n">
        <f aca="false">IF(V10=1,IF(ABS((1+AS_Wage)/(1+Slot1_Rate)-1)&lt;0.000000000001,(Slot1_Age-D10)*(1+Slot1_Rate)^(Slot1_Age-D10),(1+Slot1_Rate)^(Slot1_Age-D10)*(1-((1+AS_Wage)/(1+Slot1_Rate))^(Slot1_Age-D10))/(1-(1+AS_Wage)/(1+Slot1_Rate))),1)</f>
        <v>1</v>
      </c>
      <c r="DP10" s="1" t="n">
        <f aca="false">IF(AND(DD10=1,DN10&gt;0,Slot1_IsWG=1,V10=1),MAX(0,(Slot1_Cost-W10*(1+Slot1_Rate)^(Slot1_Age-D10))/DO10),0)</f>
        <v>0</v>
      </c>
      <c r="DQ10" s="1" t="n">
        <f aca="false">IF(AND(DD10=1,DN10&gt;0,Slot1_IsWG=1,V10=1),MIN(DN10,DP10),0)</f>
        <v>0</v>
      </c>
      <c r="DR10" s="1" t="n">
        <f aca="false">W10+DQ10</f>
        <v>0</v>
      </c>
      <c r="DS10" s="1" t="n">
        <f aca="false">IF(V10=1,MAX(0,(Slot1_Cost-DR10*(1+Slot1_Rate)^(Slot1_Age-D10))/DO10),0)</f>
        <v>0</v>
      </c>
      <c r="DT10" s="1" t="n">
        <f aca="false">IF(V10=1,MAX(0,(Slot1_Cost-W10*(1+Slot1_Rate)^(Slot1_Age-D10))/DO10),0)</f>
        <v>0</v>
      </c>
      <c r="DU10" s="1" t="n">
        <f aca="false">IF(AND(DD10=1,V10=1),MIN(DM10,DS10),0)</f>
        <v>0</v>
      </c>
      <c r="DV10" s="1" t="n">
        <f aca="false">DM10-DU10</f>
        <v>0</v>
      </c>
      <c r="DW10" s="1" t="n">
        <f aca="false">IF(AG10=1,IF(ABS((1+AS_Wage)/(1+Slot2_Rate)-1)&lt;0.000000000001,(Slot2_Age-D10)*(1+Slot2_Rate)^(Slot2_Age-D10),(1+Slot2_Rate)^(Slot2_Age-D10)*(1-((1+AS_Wage)/(1+Slot2_Rate))^(Slot2_Age-D10))/(1-(1+AS_Wage)/(1+Slot2_Rate))),1)</f>
        <v>1</v>
      </c>
      <c r="DX10" s="1" t="n">
        <f aca="false">IF(AND(DD10=1,DN10&gt;0,Slot2_IsWG=1,AG10=1),MAX(0,(Slot2_Cost-AH10*(1+Slot2_Rate)^(Slot2_Age-D10))/DW10),0)</f>
        <v>0</v>
      </c>
      <c r="DY10" s="1" t="n">
        <f aca="false">IF(AND(DD10=1,DN10&gt;0,Slot2_IsWG=1,AG10=1),MIN(DN10,DX10),0)</f>
        <v>0</v>
      </c>
      <c r="DZ10" s="1" t="n">
        <f aca="false">AH10+DY10</f>
        <v>0</v>
      </c>
      <c r="EA10" s="1" t="n">
        <f aca="false">IF(AG10=1,MAX(0,(Slot2_Cost-DZ10*(1+Slot2_Rate)^(Slot2_Age-D10))/DW10),0)</f>
        <v>0</v>
      </c>
      <c r="EB10" s="1" t="n">
        <f aca="false">IF(AG10=1,MAX(0,(Slot2_Cost-AH10*(1+Slot2_Rate)^(Slot2_Age-D10))/DW10),0)</f>
        <v>0</v>
      </c>
      <c r="EC10" s="1" t="n">
        <f aca="false">IF(AND(DD10=1,AG10=1),MIN(DV10,EA10),0)</f>
        <v>0</v>
      </c>
      <c r="ED10" s="1" t="n">
        <f aca="false">DV10-EC10</f>
        <v>0</v>
      </c>
      <c r="EE10" s="1" t="n">
        <f aca="false">IF(AQ10=1,IF(ABS((1+AS_Wage)/(1+Slot3_Rate)-1)&lt;0.000000000001,(Slot3_Age-D10)*(1+Slot3_Rate)^(Slot3_Age-D10),(1+Slot3_Rate)^(Slot3_Age-D10)*(1-((1+AS_Wage)/(1+Slot3_Rate))^(Slot3_Age-D10))/(1-(1+AS_Wage)/(1+Slot3_Rate))),1)</f>
        <v>1</v>
      </c>
      <c r="EF10" s="1" t="n">
        <f aca="false">IF(AND(DD10=1,DN10&gt;0,Slot3_IsWG=1,AQ10=1),MAX(0,(Slot3_Cost-AR10*(1+Slot3_Rate)^(Slot3_Age-D10))/EE10),0)</f>
        <v>0</v>
      </c>
      <c r="EG10" s="1" t="n">
        <f aca="false">IF(AND(DD10=1,DN10&gt;0,Slot3_IsWG=1,AQ10=1),MIN(DN10,EF10),0)</f>
        <v>0</v>
      </c>
      <c r="EH10" s="1" t="n">
        <f aca="false">AR10+EG10</f>
        <v>0</v>
      </c>
      <c r="EI10" s="1" t="n">
        <f aca="false">IF(AQ10=1,MAX(0,(Slot3_Cost-EH10*(1+Slot3_Rate)^(Slot3_Age-D10))/EE10),0)</f>
        <v>0</v>
      </c>
      <c r="EJ10" s="1" t="n">
        <f aca="false">IF(AQ10=1,MAX(0,(Slot3_Cost-AR10*(1+Slot3_Rate)^(Slot3_Age-D10))/EE10),0)</f>
        <v>0</v>
      </c>
      <c r="EK10" s="1" t="n">
        <f aca="false">IF(AND(DD10=1,AQ10=1),MIN(ED10,EI10),0)</f>
        <v>0</v>
      </c>
      <c r="EL10" s="1" t="n">
        <f aca="false">ED10-EK10</f>
        <v>0</v>
      </c>
      <c r="EM10" s="1" t="n">
        <f aca="false">IF(BA10=1,IF(ABS((1+AS_Wage)/(1+Slot4_Rate)-1)&lt;0.000000000001,(Slot4_Age-D10)*(1+Slot4_Rate)^(Slot4_Age-D10),(1+Slot4_Rate)^(Slot4_Age-D10)*(1-((1+AS_Wage)/(1+Slot4_Rate))^(Slot4_Age-D10))/(1-(1+AS_Wage)/(1+Slot4_Rate))),1)</f>
        <v>1</v>
      </c>
      <c r="EN10" s="1" t="n">
        <f aca="false">IF(AND(DD10=1,DN10&gt;0,Slot4_IsWG=1,BA10=1),MAX(0,(Slot4_Cost-BB10*(1+Slot4_Rate)^(Slot4_Age-D10))/EM10),0)</f>
        <v>0</v>
      </c>
      <c r="EO10" s="1" t="n">
        <f aca="false">IF(AND(DD10=1,DN10&gt;0,Slot4_IsWG=1,BA10=1),MIN(DN10,EN10),0)</f>
        <v>0</v>
      </c>
      <c r="EP10" s="1" t="n">
        <f aca="false">BB10+EO10</f>
        <v>0</v>
      </c>
      <c r="EQ10" s="1" t="n">
        <f aca="false">IF(BA10=1,MAX(0,(Slot4_Cost-EP10*(1+Slot4_Rate)^(Slot4_Age-D10))/EM10),0)</f>
        <v>0</v>
      </c>
      <c r="ER10" s="1" t="n">
        <f aca="false">IF(BA10=1,MAX(0,(Slot4_Cost-BB10*(1+Slot4_Rate)^(Slot4_Age-D10))/EM10),0)</f>
        <v>0</v>
      </c>
      <c r="ES10" s="1" t="n">
        <f aca="false">IF(AND(DD10=1,BA10=1),MIN(EL10,EQ10),0)</f>
        <v>0</v>
      </c>
      <c r="ET10" s="1" t="n">
        <f aca="false">EL10-ES10</f>
        <v>0</v>
      </c>
      <c r="EU10" s="1" t="n">
        <f aca="false">IF(BK10=1,IF(ABS((1+AS_Wage)/(1+Slot5_Rate)-1)&lt;0.000000000001,(Slot5_Age-D10)*(1+Slot5_Rate)^(Slot5_Age-D10),(1+Slot5_Rate)^(Slot5_Age-D10)*(1-((1+AS_Wage)/(1+Slot5_Rate))^(Slot5_Age-D10))/(1-(1+AS_Wage)/(1+Slot5_Rate))),1)</f>
        <v>1</v>
      </c>
      <c r="EV10" s="1" t="n">
        <f aca="false">IF(AND(DD10=1,DN10&gt;0,Slot5_IsWG=1,BK10=1),MAX(0,(Slot5_Cost-BL10*(1+Slot5_Rate)^(Slot5_Age-D10))/EU10),0)</f>
        <v>0</v>
      </c>
      <c r="EW10" s="1" t="n">
        <f aca="false">IF(AND(DD10=1,DN10&gt;0,Slot5_IsWG=1,BK10=1),MIN(DN10,EV10),0)</f>
        <v>0</v>
      </c>
      <c r="EX10" s="1" t="n">
        <f aca="false">BL10+EW10</f>
        <v>0</v>
      </c>
      <c r="EY10" s="1" t="n">
        <f aca="false">IF(BK10=1,MAX(0,(Slot5_Cost-EX10*(1+Slot5_Rate)^(Slot5_Age-D10))/EU10),0)</f>
        <v>0</v>
      </c>
      <c r="EZ10" s="1" t="n">
        <f aca="false">IF(BK10=1,MAX(0,(Slot5_Cost-BL10*(1+Slot5_Rate)^(Slot5_Age-D10))/EU10),0)</f>
        <v>0</v>
      </c>
      <c r="FA10" s="1" t="n">
        <f aca="false">IF(AND(DD10=1,BK10=1),MIN(ET10,EY10),0)</f>
        <v>0</v>
      </c>
      <c r="FB10" s="1" t="n">
        <f aca="false">ET10-FA10</f>
        <v>0</v>
      </c>
      <c r="FC10" s="1" t="n">
        <f aca="false">IF(BU10=1,IF(ABS((1+AS_Wage)/(1+Slot6_Rate)-1)&lt;0.000000000001,(Slot6_Age-D10)*(1+Slot6_Rate)^(Slot6_Age-D10),(1+Slot6_Rate)^(Slot6_Age-D10)*(1-((1+AS_Wage)/(1+Slot6_Rate))^(Slot6_Age-D10))/(1-(1+AS_Wage)/(1+Slot6_Rate))),1)</f>
        <v>1</v>
      </c>
      <c r="FD10" s="1" t="n">
        <f aca="false">IF(AND(DD10=1,DN10&gt;0,Slot6_IsWG=1,BU10=1),MAX(0,(Slot6_Cost-BV10*(1+Slot6_Rate)^(Slot6_Age-D10))/FC10),0)</f>
        <v>0</v>
      </c>
      <c r="FE10" s="1" t="n">
        <f aca="false">IF(AND(DD10=1,DN10&gt;0,Slot6_IsWG=1,BU10=1),MIN(DN10,FD10),0)</f>
        <v>0</v>
      </c>
      <c r="FF10" s="1" t="n">
        <f aca="false">BV10+FE10</f>
        <v>0</v>
      </c>
      <c r="FG10" s="1" t="n">
        <f aca="false">IF(BU10=1,MAX(0,(Slot6_Cost-FF10*(1+Slot6_Rate)^(Slot6_Age-D10))/FC10),0)</f>
        <v>0</v>
      </c>
      <c r="FH10" s="1" t="n">
        <f aca="false">IF(BU10=1,MAX(0,(Slot6_Cost-BV10*(1+Slot6_Rate)^(Slot6_Age-D10))/FC10),0)</f>
        <v>0</v>
      </c>
      <c r="FI10" s="1" t="n">
        <f aca="false">IF(AND(DD10=1,BU10=1),MIN(FB10,FG10),0)</f>
        <v>0</v>
      </c>
      <c r="FJ10" s="1" t="n">
        <f aca="false">FB10-FI10</f>
        <v>0</v>
      </c>
      <c r="FK10" s="1" t="n">
        <f aca="false">IF(CE10=1,IF(ABS((1+AS_Wage)/(1+Slot7_Rate)-1)&lt;0.000000000001,(Slot7_Age-D10)*(1+Slot7_Rate)^(Slot7_Age-D10),(1+Slot7_Rate)^(Slot7_Age-D10)*(1-((1+AS_Wage)/(1+Slot7_Rate))^(Slot7_Age-D10))/(1-(1+AS_Wage)/(1+Slot7_Rate))),1)</f>
        <v>1</v>
      </c>
      <c r="FL10" s="1" t="n">
        <f aca="false">IF(AND(DD10=1,DN10&gt;0,Slot7_IsWG=1,CE10=1),MAX(0,(Slot7_Cost-CF10*(1+Slot7_Rate)^(Slot7_Age-D10))/FK10),0)</f>
        <v>0</v>
      </c>
      <c r="FM10" s="1" t="n">
        <f aca="false">IF(AND(DD10=1,DN10&gt;0,Slot7_IsWG=1,CE10=1),MIN(DN10,FL10),0)</f>
        <v>0</v>
      </c>
      <c r="FN10" s="1" t="n">
        <f aca="false">CF10+FM10</f>
        <v>0</v>
      </c>
      <c r="FO10" s="1" t="n">
        <f aca="false">IF(CE10=1,MAX(0,(Slot7_Cost-FN10*(1+Slot7_Rate)^(Slot7_Age-D10))/FK10),0)</f>
        <v>0</v>
      </c>
      <c r="FP10" s="1" t="n">
        <f aca="false">IF(CE10=1,MAX(0,(Slot7_Cost-CF10*(1+Slot7_Rate)^(Slot7_Age-D10))/FK10),0)</f>
        <v>0</v>
      </c>
      <c r="FQ10" s="1" t="n">
        <f aca="false">IF(AND(DD10=1,CE10=1),MIN(FJ10,FO10),0)</f>
        <v>0</v>
      </c>
      <c r="FR10" s="1" t="n">
        <f aca="false">FJ10-FQ10</f>
        <v>0</v>
      </c>
      <c r="FS10" s="1" t="n">
        <f aca="false">IF(CO10=1,IF(ABS((1+AS_Wage)/(1+Slot8_Rate)-1)&lt;0.000000000001,(Slot8_Age-D10)*(1+Slot8_Rate)^(Slot8_Age-D10),(1+Slot8_Rate)^(Slot8_Age-D10)*(1-((1+AS_Wage)/(1+Slot8_Rate))^(Slot8_Age-D10))/(1-(1+AS_Wage)/(1+Slot8_Rate))),1)</f>
        <v>1</v>
      </c>
      <c r="FT10" s="1" t="n">
        <f aca="false">IF(AND(DD10=1,DN10&gt;0,Slot8_IsWG=1,CO10=1),MAX(0,(Slot8_Cost-CP10*(1+Slot8_Rate)^(Slot8_Age-D10))/FS10),0)</f>
        <v>0</v>
      </c>
      <c r="FU10" s="1" t="n">
        <f aca="false">IF(AND(DD10=1,DN10&gt;0,Slot8_IsWG=1,CO10=1),MIN(DN10,FT10),0)</f>
        <v>0</v>
      </c>
      <c r="FV10" s="1" t="n">
        <f aca="false">CP10+FU10</f>
        <v>0</v>
      </c>
      <c r="FW10" s="1" t="n">
        <f aca="false">IF(CO10=1,MAX(0,(Slot8_Cost-FV10*(1+Slot8_Rate)^(Slot8_Age-D10))/FS10),0)</f>
        <v>0</v>
      </c>
      <c r="FX10" s="1" t="n">
        <f aca="false">IF(CO10=1,MAX(0,(Slot8_Cost-CP10*(1+Slot8_Rate)^(Slot8_Age-D10))/FS10),0)</f>
        <v>0</v>
      </c>
      <c r="FY10" s="1" t="n">
        <f aca="false">IF(AND(DD10=1,CO10=1),MIN(FR10,FW10),0)</f>
        <v>0</v>
      </c>
      <c r="FZ10" s="1" t="n">
        <f aca="false">FR10-FY10</f>
        <v>0</v>
      </c>
      <c r="GA10" s="1" t="n">
        <f aca="false">DN10-(DQ10+DY10+EG10+EO10+EW10+FE10+FM10+FU10)</f>
        <v>0</v>
      </c>
      <c r="GB10" s="1" t="n">
        <f aca="false">IF(DD10=1,DB10-DM10-DN10,0)</f>
        <v>0</v>
      </c>
      <c r="GC10" s="1" t="n">
        <f aca="false">IF(DD10=0,-DB10,0)</f>
        <v>0</v>
      </c>
      <c r="GD10" s="1" t="n">
        <f aca="false">MIN(GC10,CT10)</f>
        <v>0</v>
      </c>
      <c r="GE10" s="1" t="n">
        <f aca="false">GC10-GD10</f>
        <v>0</v>
      </c>
      <c r="GF10" s="1" t="n">
        <f aca="false">MIN(GE10,CU10)</f>
        <v>0</v>
      </c>
      <c r="GG10" s="1" t="n">
        <f aca="false">GE10-GF10</f>
        <v>0</v>
      </c>
      <c r="GH10" s="1" t="n">
        <f aca="false">IF(AND(DD10=0,CO10=1,GG10&gt;0),MIN(GG10,CP10),0)</f>
        <v>0</v>
      </c>
      <c r="GI10" s="1" t="n">
        <f aca="false">GG10-GH10</f>
        <v>0</v>
      </c>
      <c r="GJ10" s="1" t="n">
        <f aca="false">IF(AND(DD10=0,CE10=1,GI10&gt;0),MIN(GI10,CF10),0)</f>
        <v>0</v>
      </c>
      <c r="GK10" s="1" t="n">
        <f aca="false">GI10-GJ10</f>
        <v>0</v>
      </c>
      <c r="GL10" s="1" t="n">
        <f aca="false">IF(AND(DD10=0,BU10=1,GK10&gt;0),MIN(GK10,BV10),0)</f>
        <v>0</v>
      </c>
      <c r="GM10" s="1" t="n">
        <f aca="false">GK10-GL10</f>
        <v>0</v>
      </c>
      <c r="GN10" s="1" t="n">
        <f aca="false">IF(AND(DD10=0,BK10=1,GM10&gt;0),MIN(GM10,BL10),0)</f>
        <v>0</v>
      </c>
      <c r="GO10" s="1" t="n">
        <f aca="false">GM10-GN10</f>
        <v>0</v>
      </c>
      <c r="GP10" s="1" t="n">
        <f aca="false">IF(AND(DD10=0,BA10=1,GO10&gt;0),MIN(GO10,BB10),0)</f>
        <v>0</v>
      </c>
      <c r="GQ10" s="1" t="n">
        <f aca="false">GO10-GP10</f>
        <v>0</v>
      </c>
      <c r="GR10" s="1" t="n">
        <f aca="false">IF(AND(DD10=0,AQ10=1,GQ10&gt;0),MIN(GQ10,AR10),0)</f>
        <v>0</v>
      </c>
      <c r="GS10" s="1" t="n">
        <f aca="false">GQ10-GR10</f>
        <v>0</v>
      </c>
      <c r="GT10" s="1" t="n">
        <f aca="false">IF(AND(DD10=0,AG10=1,GS10&gt;0),MIN(GS10,AH10),0)</f>
        <v>0</v>
      </c>
      <c r="GU10" s="1" t="n">
        <f aca="false">GS10-GT10</f>
        <v>0</v>
      </c>
      <c r="GV10" s="1" t="n">
        <f aca="false">IF(AND(DD10=0,V10=1,GU10&gt;0),MIN(GU10,W10),0)</f>
        <v>0</v>
      </c>
      <c r="GW10" s="1" t="n">
        <f aca="false">GU10-GV10</f>
        <v>0</v>
      </c>
      <c r="GX10" s="1" t="n">
        <f aca="false">IF(DD10=0,GW10,0)</f>
        <v>0</v>
      </c>
      <c r="GY10" s="1" t="n">
        <f aca="false">GD10+GF10+GV10+GT10+GR10+GP10+GN10+GL10+GJ10+GH10</f>
        <v>0</v>
      </c>
      <c r="GZ10" s="1" t="n">
        <f aca="false">IF(DD10=1,CT10+GA10+FZ10+IF(F10=1,0,GB10),CT10-GD10)</f>
        <v>0</v>
      </c>
      <c r="HA10" s="1" t="n">
        <f aca="false">CU10-GF10</f>
        <v>0</v>
      </c>
      <c r="HB10" s="1" t="n">
        <f aca="false">IF(DD10=1,IF(F10=1,DM10+DN10,DB10),0)</f>
        <v>0</v>
      </c>
      <c r="HC10" s="1" t="n">
        <f aca="false">IF(DD10=1,IF(F10=1,DB10-DM10-DN10,0),0)</f>
        <v>0</v>
      </c>
      <c r="HD10" s="1" t="n">
        <f aca="false">GZ10*(1+GR)</f>
        <v>0</v>
      </c>
      <c r="HE10" s="1" t="n">
        <f aca="false">HA10*(1+AS_Cash)</f>
        <v>0</v>
      </c>
      <c r="HF10" s="1" t="n">
        <f aca="false">IF(V10=1,IF(DD10=1,DR10+DU10,W10-GV10)*(1+Slot1_Rate),0)</f>
        <v>0</v>
      </c>
      <c r="HG10" s="1" t="n">
        <f aca="false">IF(AND(DD10=1,V10=1),(DQ10+DU10)/E10,0)</f>
        <v>0</v>
      </c>
      <c r="HH10" s="1" t="n">
        <f aca="false">IF(B10=0,DQ10+DU10,0)</f>
        <v>0</v>
      </c>
      <c r="HI10" s="1" t="n">
        <f aca="false">IF(B10=0,IF(DD10=1,DS10,DT10),0)</f>
        <v>0</v>
      </c>
      <c r="HJ10" s="1" t="n">
        <f aca="false">IF(AG10=1,IF(DD10=1,DZ10+EC10,AH10-GT10)*(1+Slot2_Rate),0)</f>
        <v>0</v>
      </c>
      <c r="HK10" s="1" t="n">
        <f aca="false">IF(AND(DD10=1,AG10=1),(DY10+EC10)/E10,0)</f>
        <v>0</v>
      </c>
      <c r="HL10" s="1" t="n">
        <f aca="false">IF(B10=0,DY10+EC10,0)</f>
        <v>0</v>
      </c>
      <c r="HM10" s="1" t="n">
        <f aca="false">IF(B10=0,IF(DD10=1,EA10,EB10),0)</f>
        <v>0</v>
      </c>
      <c r="HN10" s="1" t="n">
        <f aca="false">IF(AQ10=1,IF(DD10=1,EH10+EK10,AR10-GR10)*(1+Slot3_Rate),0)</f>
        <v>0</v>
      </c>
      <c r="HO10" s="1" t="n">
        <f aca="false">IF(AND(DD10=1,AQ10=1),(EG10+EK10)/E10,0)</f>
        <v>0</v>
      </c>
      <c r="HP10" s="1" t="n">
        <f aca="false">IF(B10=0,EG10+EK10,0)</f>
        <v>0</v>
      </c>
      <c r="HQ10" s="1" t="n">
        <f aca="false">IF(B10=0,IF(DD10=1,EI10,EJ10),0)</f>
        <v>0</v>
      </c>
      <c r="HR10" s="1" t="n">
        <f aca="false">IF(BA10=1,IF(DD10=1,EP10+ES10,BB10-GP10)*(1+Slot4_Rate),0)</f>
        <v>0</v>
      </c>
      <c r="HS10" s="1" t="n">
        <f aca="false">IF(AND(DD10=1,BA10=1),(EO10+ES10)/E10,0)</f>
        <v>0</v>
      </c>
      <c r="HT10" s="1" t="n">
        <f aca="false">IF(B10=0,EO10+ES10,0)</f>
        <v>0</v>
      </c>
      <c r="HU10" s="1" t="n">
        <f aca="false">IF(B10=0,IF(DD10=1,EQ10,ER10),0)</f>
        <v>0</v>
      </c>
      <c r="HV10" s="1" t="n">
        <f aca="false">IF(BK10=1,IF(DD10=1,EX10+FA10,BL10-GN10)*(1+Slot5_Rate),0)</f>
        <v>0</v>
      </c>
      <c r="HW10" s="1" t="n">
        <f aca="false">IF(AND(DD10=1,BK10=1),(EW10+FA10)/E10,0)</f>
        <v>0</v>
      </c>
      <c r="HX10" s="1" t="n">
        <f aca="false">IF(B10=0,EW10+FA10,0)</f>
        <v>0</v>
      </c>
      <c r="HY10" s="1" t="n">
        <f aca="false">IF(B10=0,IF(DD10=1,EY10,EZ10),0)</f>
        <v>0</v>
      </c>
      <c r="HZ10" s="1" t="n">
        <f aca="false">IF(BU10=1,IF(DD10=1,FF10+FI10,BV10-GL10)*(1+Slot6_Rate),0)</f>
        <v>0</v>
      </c>
      <c r="IA10" s="1" t="n">
        <f aca="false">IF(AND(DD10=1,BU10=1),(FE10+FI10)/E10,0)</f>
        <v>0</v>
      </c>
      <c r="IB10" s="1" t="n">
        <f aca="false">IF(B10=0,FE10+FI10,0)</f>
        <v>0</v>
      </c>
      <c r="IC10" s="1" t="n">
        <f aca="false">IF(B10=0,IF(DD10=1,FG10,FH10),0)</f>
        <v>0</v>
      </c>
      <c r="ID10" s="1" t="n">
        <f aca="false">IF(CE10=1,IF(DD10=1,FN10+FQ10,CF10-GJ10)*(1+Slot7_Rate),0)</f>
        <v>0</v>
      </c>
      <c r="IE10" s="1" t="n">
        <f aca="false">IF(AND(DD10=1,CE10=1),(FM10+FQ10)/E10,0)</f>
        <v>0</v>
      </c>
      <c r="IF10" s="1" t="n">
        <f aca="false">IF(B10=0,FM10+FQ10,0)</f>
        <v>0</v>
      </c>
      <c r="IG10" s="1" t="n">
        <f aca="false">IF(B10=0,IF(DD10=1,FO10,FP10),0)</f>
        <v>0</v>
      </c>
      <c r="IH10" s="1" t="n">
        <f aca="false">IF(CO10=1,IF(DD10=1,FV10+FY10,CP10-GH10)*(1+Slot8_Rate),0)</f>
        <v>0</v>
      </c>
      <c r="II10" s="1" t="n">
        <f aca="false">IF(AND(DD10=1,CO10=1),(FU10+FY10)/E10,0)</f>
        <v>0</v>
      </c>
      <c r="IJ10" s="1" t="n">
        <f aca="false">IF(B10=0,FU10+FY10,0)</f>
        <v>0</v>
      </c>
      <c r="IK10" s="1" t="n">
        <f aca="false">IF(B10=0,IF(DD10=1,FW10,FX10),0)</f>
        <v>0</v>
      </c>
      <c r="IL10" s="1" t="n">
        <f aca="false">HD10+HE10+HF10+HJ10+HN10+HR10+HV10+HZ10+ID10+IH10</f>
        <v>0</v>
      </c>
      <c r="IM10" s="1" t="n">
        <f aca="false">GX10+CY10</f>
        <v>0</v>
      </c>
      <c r="IN10" s="1" t="n">
        <f aca="false">H10+R10</f>
        <v>0</v>
      </c>
      <c r="IO10" s="1" t="n">
        <f aca="false">1-F10</f>
        <v>1</v>
      </c>
      <c r="IP10" s="1" t="n">
        <f aca="false">IF(AND(RG_Exists=1,F10=0,C10=1),H10,0)</f>
        <v>0</v>
      </c>
      <c r="IQ10" s="1" t="n">
        <f aca="false">IF(AND(RG_Exists=1,F10=0,C10=1),H10-MIN(GX10,H10),0)</f>
        <v>0</v>
      </c>
      <c r="IR10" s="1" t="n">
        <f aca="false">'Plan pay &amp; tax'!AD212</f>
        <v>0</v>
      </c>
      <c r="IS10" s="1" t="n">
        <f aca="false">IF(AND(C10=1,GX10&gt;MAX(PR_Short1,IN10*PR_Short2)),1,0)</f>
        <v>0</v>
      </c>
      <c r="IT10" s="1" t="n">
        <f aca="false">MIN(G10,H10+R10)</f>
        <v>0</v>
      </c>
      <c r="IU10" s="1" t="n">
        <f aca="false">GY10+MAX(0,CZ10-CY10)</f>
        <v>0</v>
      </c>
      <c r="IV10" s="1" t="n">
        <f aca="false">GX10+CY10</f>
        <v>0</v>
      </c>
      <c r="IW10" s="1" t="n">
        <f aca="false">IF(AND(C10=1,IV10&gt;0.5),1,0)</f>
        <v>0</v>
      </c>
      <c r="IX10" s="1" t="n">
        <f aca="false">IF(AND(C10=1,IW10=0,IU10&gt;0.5),1,0)</f>
        <v>0</v>
      </c>
      <c r="IY10" s="1" t="n">
        <f aca="false">IF(AND(C10=1,GX10&gt;0.5),1,0)</f>
        <v>0</v>
      </c>
      <c r="IZ10" s="1" t="n">
        <f aca="false">IF(AND(C10=1,GY10&gt;1,JF10=0),1,0)</f>
        <v>0</v>
      </c>
      <c r="JA10" s="1" t="n">
        <f aca="false">IF(AND(INT(D10/10)*10=90,B10&gt;0),80,INT(D10/10)*10)</f>
        <v>0</v>
      </c>
      <c r="JB10" s="1" t="n">
        <f aca="false">IF(B10=0,1,IF(JA10&lt;&gt;JA9,JB9+1,JB9))</f>
        <v>1</v>
      </c>
      <c r="JC10" s="1" t="n">
        <f aca="false">IF(AND(C10=1,F10=1,GX10&gt;MAX(PR_Short1,IN10*PR_Short2)),1,0)</f>
        <v>0</v>
      </c>
      <c r="JD10" s="1" t="n">
        <f aca="false">IO10*IS10</f>
        <v>0</v>
      </c>
      <c r="JE10" s="1" t="n">
        <f aca="false">IF(AND(U10=1,Slot1_PctLow=1),1,0)+IF(AND(AF10=1,Slot2_PctLow=1),1,0)+IF(AND(AP10=1,Slot3_PctLow=1),1,0)+IF(AND(AZ10=1,Slot4_PctLow=1),1,0)+IF(AND(BJ10=1,Slot5_PctLow=1),1,0)+IF(AND(BT10=1,Slot6_PctLow=1),1,0)+IF(AND(CD10=1,Slot7_PctLow=1),1,0)+IF(AND(CN10=1,Slot8_PctLow=1),1,0)</f>
        <v>0</v>
      </c>
      <c r="JF10" s="1" t="n">
        <f aca="false">IF(C10=1,IF(OR(IS10=1,JE10&gt;0),1,0),0)</f>
        <v>0</v>
      </c>
    </row>
    <row r="11" customFormat="false" ht="15" hidden="false" customHeight="false" outlineLevel="0" collapsed="false">
      <c r="B11" s="1" t="n">
        <v>3</v>
      </c>
      <c r="C11" s="1" t="n">
        <f aca="false">IF(B11&lt;=F_N,1,0)</f>
        <v>1</v>
      </c>
      <c r="D11" s="1" t="n">
        <f aca="false">'Plan pay &amp; tax'!C213</f>
        <v>3</v>
      </c>
      <c r="E11" s="106" t="n">
        <f aca="false">'Plan pay &amp; tax'!E213</f>
        <v>1.061208</v>
      </c>
      <c r="F11" s="1" t="n">
        <f aca="false">'Plan pay &amp; tax'!G213</f>
        <v>0</v>
      </c>
      <c r="G11" s="1" t="n">
        <f aca="false">'Plan pay &amp; tax'!BT213-'Plan pay &amp; tax'!BS213-'Plan pay &amp; tax'!R213</f>
        <v>0</v>
      </c>
      <c r="H11" s="1" t="n">
        <f aca="false">IF(F11=1,F_CostsM*12,IF(RG_Exists=1,RG_Amount,F_CostsM*12*AS_RetireSpend))*E11+F_OneOffY*E11</f>
        <v>0</v>
      </c>
      <c r="I11" s="1" t="n">
        <f aca="false">DA10</f>
        <v>0</v>
      </c>
      <c r="J11" s="1" t="n">
        <f aca="false">IF(I11&gt;1,'Plan debt months'!AC11,0)</f>
        <v>0</v>
      </c>
      <c r="K11" s="1" t="n">
        <f aca="false">IF(I11&gt;1,'Plan debt months'!AB11,I11)</f>
        <v>0</v>
      </c>
      <c r="L11" s="1" t="n">
        <f aca="false">N10</f>
        <v>0</v>
      </c>
      <c r="M11" s="1" t="n">
        <f aca="false">IF(L11&gt;1,'Plan debt months'!BD11,0)</f>
        <v>0</v>
      </c>
      <c r="N11" s="1" t="n">
        <f aca="false">IF(L11&gt;1,'Plan debt months'!BC11,L11)</f>
        <v>0</v>
      </c>
      <c r="O11" s="1" t="n">
        <f aca="false">Q10</f>
        <v>0</v>
      </c>
      <c r="P11" s="1" t="n">
        <f aca="false">IF(O11&gt;1,'Plan debt months'!CE11,0)</f>
        <v>0</v>
      </c>
      <c r="Q11" s="1" t="n">
        <f aca="false">IF(O11&gt;1,'Plan debt months'!CD11,O11)</f>
        <v>0</v>
      </c>
      <c r="R11" s="1" t="n">
        <f aca="false">J11+M11+P11</f>
        <v>0</v>
      </c>
      <c r="S11" s="1" t="n">
        <f aca="false">HD10+'Plan pay &amp; tax'!Y213</f>
        <v>0</v>
      </c>
      <c r="T11" s="1" t="n">
        <f aca="false">HD10</f>
        <v>0</v>
      </c>
      <c r="U11" s="1" t="n">
        <f aca="false">IF(AND(Slot1_On=1,D11=Slot1_Age),1,0)</f>
        <v>0</v>
      </c>
      <c r="V11" s="1" t="n">
        <f aca="false">IF(AND(Slot1_On=1,Slot1_Age&gt;D11),1,0)</f>
        <v>0</v>
      </c>
      <c r="W11" s="1" t="n">
        <f aca="false">HF10</f>
        <v>0</v>
      </c>
      <c r="X11" s="1" t="n">
        <f aca="false">U11*MIN(Slot1_Cost,W11)</f>
        <v>0</v>
      </c>
      <c r="Y11" s="1" t="n">
        <f aca="false">U11*Slot1_SpendLike*MIN(Slot1_Cost-X11,S11)</f>
        <v>0</v>
      </c>
      <c r="Z11" s="1" t="n">
        <f aca="false">X11+Y11</f>
        <v>0</v>
      </c>
      <c r="AA11" s="1" t="n">
        <f aca="false">S11-Y11+U11*IF(Slot1_SpendLike=1,W11-X11,IF(Slot1_PotFree=1,W11,0))</f>
        <v>0</v>
      </c>
      <c r="AB11" s="1" t="n">
        <f aca="false">AE11+U11*Slot1_BufPot*W11</f>
        <v>0</v>
      </c>
      <c r="AC11" s="1" t="n">
        <f aca="false">IF(AND(U11=1,Slot1_IsMfree=1),IF(Z11&gt;=Slot1_Cost-1,0,MAX(0,K11-Z11)),K11)</f>
        <v>0</v>
      </c>
      <c r="AD11" s="1" t="n">
        <f aca="false">U11*(Slot1_Cost-Z11)</f>
        <v>0</v>
      </c>
      <c r="AE11" s="1" t="n">
        <f aca="false">HE10</f>
        <v>0</v>
      </c>
      <c r="AF11" s="1" t="n">
        <f aca="false">IF(AND(Slot2_On=1,D11=Slot2_Age),1,0)</f>
        <v>0</v>
      </c>
      <c r="AG11" s="1" t="n">
        <f aca="false">IF(AND(Slot2_On=1,Slot2_Age&gt;D11),1,0)</f>
        <v>0</v>
      </c>
      <c r="AH11" s="1" t="n">
        <f aca="false">HJ10</f>
        <v>0</v>
      </c>
      <c r="AI11" s="1" t="n">
        <f aca="false">AF11*MIN(Slot2_Cost,AH11)</f>
        <v>0</v>
      </c>
      <c r="AJ11" s="1" t="n">
        <f aca="false">AF11*Slot2_SpendLike*MIN(Slot2_Cost-AI11,AA11)</f>
        <v>0</v>
      </c>
      <c r="AK11" s="1" t="n">
        <f aca="false">AI11+AJ11</f>
        <v>0</v>
      </c>
      <c r="AL11" s="1" t="n">
        <f aca="false">AA11-AJ11+AF11*IF(Slot2_SpendLike=1,AH11-AI11,IF(Slot2_PotFree=1,AH11,0))</f>
        <v>0</v>
      </c>
      <c r="AM11" s="1" t="n">
        <f aca="false">AB11+AF11*Slot2_BufPot*AH11</f>
        <v>0</v>
      </c>
      <c r="AN11" s="1" t="n">
        <f aca="false">IF(AND(AF11=1,Slot2_IsMfree=1),IF(AK11&gt;=Slot2_Cost-1,0,MAX(0,AC11-AK11)),AC11)</f>
        <v>0</v>
      </c>
      <c r="AO11" s="1" t="n">
        <f aca="false">AF11*(Slot2_Cost-AK11)</f>
        <v>0</v>
      </c>
      <c r="AP11" s="1" t="n">
        <f aca="false">IF(AND(Slot3_On=1,D11=Slot3_Age),1,0)</f>
        <v>0</v>
      </c>
      <c r="AQ11" s="1" t="n">
        <f aca="false">IF(AND(Slot3_On=1,Slot3_Age&gt;D11),1,0)</f>
        <v>0</v>
      </c>
      <c r="AR11" s="1" t="n">
        <f aca="false">HN10</f>
        <v>0</v>
      </c>
      <c r="AS11" s="1" t="n">
        <f aca="false">AP11*MIN(Slot3_Cost,AR11)</f>
        <v>0</v>
      </c>
      <c r="AT11" s="1" t="n">
        <f aca="false">AP11*Slot3_SpendLike*MIN(Slot3_Cost-AS11,AL11)</f>
        <v>0</v>
      </c>
      <c r="AU11" s="1" t="n">
        <f aca="false">AS11+AT11</f>
        <v>0</v>
      </c>
      <c r="AV11" s="1" t="n">
        <f aca="false">AL11-AT11+AP11*IF(Slot3_SpendLike=1,AR11-AS11,IF(Slot3_PotFree=1,AR11,0))</f>
        <v>0</v>
      </c>
      <c r="AW11" s="1" t="n">
        <f aca="false">AM11+AP11*Slot3_BufPot*AR11</f>
        <v>0</v>
      </c>
      <c r="AX11" s="1" t="n">
        <f aca="false">IF(AND(AP11=1,Slot3_IsMfree=1),IF(AU11&gt;=Slot3_Cost-1,0,MAX(0,AN11-AU11)),AN11)</f>
        <v>0</v>
      </c>
      <c r="AY11" s="1" t="n">
        <f aca="false">AP11*(Slot3_Cost-AU11)</f>
        <v>0</v>
      </c>
      <c r="AZ11" s="1" t="n">
        <f aca="false">IF(AND(Slot4_On=1,D11=Slot4_Age),1,0)</f>
        <v>0</v>
      </c>
      <c r="BA11" s="1" t="n">
        <f aca="false">IF(AND(Slot4_On=1,Slot4_Age&gt;D11),1,0)</f>
        <v>0</v>
      </c>
      <c r="BB11" s="1" t="n">
        <f aca="false">HR10</f>
        <v>0</v>
      </c>
      <c r="BC11" s="1" t="n">
        <f aca="false">AZ11*MIN(Slot4_Cost,BB11)</f>
        <v>0</v>
      </c>
      <c r="BD11" s="1" t="n">
        <f aca="false">AZ11*Slot4_SpendLike*MIN(Slot4_Cost-BC11,AV11)</f>
        <v>0</v>
      </c>
      <c r="BE11" s="1" t="n">
        <f aca="false">BC11+BD11</f>
        <v>0</v>
      </c>
      <c r="BF11" s="1" t="n">
        <f aca="false">AV11-BD11+AZ11*IF(Slot4_SpendLike=1,BB11-BC11,IF(Slot4_PotFree=1,BB11,0))</f>
        <v>0</v>
      </c>
      <c r="BG11" s="1" t="n">
        <f aca="false">AW11+AZ11*Slot4_BufPot*BB11</f>
        <v>0</v>
      </c>
      <c r="BH11" s="1" t="n">
        <f aca="false">IF(AND(AZ11=1,Slot4_IsMfree=1),IF(BE11&gt;=Slot4_Cost-1,0,MAX(0,AX11-BE11)),AX11)</f>
        <v>0</v>
      </c>
      <c r="BI11" s="1" t="n">
        <f aca="false">AZ11*(Slot4_Cost-BE11)</f>
        <v>0</v>
      </c>
      <c r="BJ11" s="1" t="n">
        <f aca="false">IF(AND(Slot5_On=1,D11=Slot5_Age),1,0)</f>
        <v>0</v>
      </c>
      <c r="BK11" s="1" t="n">
        <f aca="false">IF(AND(Slot5_On=1,Slot5_Age&gt;D11),1,0)</f>
        <v>0</v>
      </c>
      <c r="BL11" s="1" t="n">
        <f aca="false">HV10</f>
        <v>0</v>
      </c>
      <c r="BM11" s="1" t="n">
        <f aca="false">BJ11*MIN(Slot5_Cost,BL11)</f>
        <v>0</v>
      </c>
      <c r="BN11" s="1" t="n">
        <f aca="false">BJ11*Slot5_SpendLike*MIN(Slot5_Cost-BM11,BF11)</f>
        <v>0</v>
      </c>
      <c r="BO11" s="1" t="n">
        <f aca="false">BM11+BN11</f>
        <v>0</v>
      </c>
      <c r="BP11" s="1" t="n">
        <f aca="false">BF11-BN11+BJ11*IF(Slot5_SpendLike=1,BL11-BM11,IF(Slot5_PotFree=1,BL11,0))</f>
        <v>0</v>
      </c>
      <c r="BQ11" s="1" t="n">
        <f aca="false">BG11+BJ11*Slot5_BufPot*BL11</f>
        <v>0</v>
      </c>
      <c r="BR11" s="1" t="n">
        <f aca="false">IF(AND(BJ11=1,Slot5_IsMfree=1),IF(BO11&gt;=Slot5_Cost-1,0,MAX(0,BH11-BO11)),BH11)</f>
        <v>0</v>
      </c>
      <c r="BS11" s="1" t="n">
        <f aca="false">BJ11*(Slot5_Cost-BO11)</f>
        <v>0</v>
      </c>
      <c r="BT11" s="1" t="n">
        <f aca="false">IF(AND(Slot6_On=1,D11=Slot6_Age),1,0)</f>
        <v>0</v>
      </c>
      <c r="BU11" s="1" t="n">
        <f aca="false">IF(AND(Slot6_On=1,Slot6_Age&gt;D11),1,0)</f>
        <v>0</v>
      </c>
      <c r="BV11" s="1" t="n">
        <f aca="false">HZ10</f>
        <v>0</v>
      </c>
      <c r="BW11" s="1" t="n">
        <f aca="false">BT11*MIN(Slot6_Cost,BV11)</f>
        <v>0</v>
      </c>
      <c r="BX11" s="1" t="n">
        <f aca="false">BT11*Slot6_SpendLike*MIN(Slot6_Cost-BW11,BP11)</f>
        <v>0</v>
      </c>
      <c r="BY11" s="1" t="n">
        <f aca="false">BW11+BX11</f>
        <v>0</v>
      </c>
      <c r="BZ11" s="1" t="n">
        <f aca="false">BP11-BX11+BT11*IF(Slot6_SpendLike=1,BV11-BW11,IF(Slot6_PotFree=1,BV11,0))</f>
        <v>0</v>
      </c>
      <c r="CA11" s="1" t="n">
        <f aca="false">BQ11+BT11*Slot6_BufPot*BV11</f>
        <v>0</v>
      </c>
      <c r="CB11" s="1" t="n">
        <f aca="false">IF(AND(BT11=1,Slot6_IsMfree=1),IF(BY11&gt;=Slot6_Cost-1,0,MAX(0,BR11-BY11)),BR11)</f>
        <v>0</v>
      </c>
      <c r="CC11" s="1" t="n">
        <f aca="false">BT11*(Slot6_Cost-BY11)</f>
        <v>0</v>
      </c>
      <c r="CD11" s="1" t="n">
        <f aca="false">IF(AND(Slot7_On=1,D11=Slot7_Age),1,0)</f>
        <v>0</v>
      </c>
      <c r="CE11" s="1" t="n">
        <f aca="false">IF(AND(Slot7_On=1,Slot7_Age&gt;D11),1,0)</f>
        <v>0</v>
      </c>
      <c r="CF11" s="1" t="n">
        <f aca="false">ID10</f>
        <v>0</v>
      </c>
      <c r="CG11" s="1" t="n">
        <f aca="false">CD11*MIN(Slot7_Cost,CF11)</f>
        <v>0</v>
      </c>
      <c r="CH11" s="1" t="n">
        <f aca="false">CD11*Slot7_SpendLike*MIN(Slot7_Cost-CG11,BZ11)</f>
        <v>0</v>
      </c>
      <c r="CI11" s="1" t="n">
        <f aca="false">CG11+CH11</f>
        <v>0</v>
      </c>
      <c r="CJ11" s="1" t="n">
        <f aca="false">BZ11-CH11+CD11*IF(Slot7_SpendLike=1,CF11-CG11,IF(Slot7_PotFree=1,CF11,0))</f>
        <v>0</v>
      </c>
      <c r="CK11" s="1" t="n">
        <f aca="false">CA11+CD11*Slot7_BufPot*CF11</f>
        <v>0</v>
      </c>
      <c r="CL11" s="1" t="n">
        <f aca="false">IF(AND(CD11=1,Slot7_IsMfree=1),IF(CI11&gt;=Slot7_Cost-1,0,MAX(0,CB11-CI11)),CB11)</f>
        <v>0</v>
      </c>
      <c r="CM11" s="1" t="n">
        <f aca="false">CD11*(Slot7_Cost-CI11)</f>
        <v>0</v>
      </c>
      <c r="CN11" s="1" t="n">
        <f aca="false">IF(AND(Slot8_On=1,D11=Slot8_Age),1,0)</f>
        <v>0</v>
      </c>
      <c r="CO11" s="1" t="n">
        <f aca="false">IF(AND(Slot8_On=1,Slot8_Age&gt;D11),1,0)</f>
        <v>0</v>
      </c>
      <c r="CP11" s="1" t="n">
        <f aca="false">IH10</f>
        <v>0</v>
      </c>
      <c r="CQ11" s="1" t="n">
        <f aca="false">CN11*MIN(Slot8_Cost,CP11)</f>
        <v>0</v>
      </c>
      <c r="CR11" s="1" t="n">
        <f aca="false">CN11*Slot8_SpendLike*MIN(Slot8_Cost-CQ11,CJ11)</f>
        <v>0</v>
      </c>
      <c r="CS11" s="1" t="n">
        <f aca="false">CQ11+CR11</f>
        <v>0</v>
      </c>
      <c r="CT11" s="1" t="n">
        <f aca="false">CJ11-CR11+CN11*IF(Slot8_SpendLike=1,CP11-CQ11,IF(Slot8_PotFree=1,CP11,0))</f>
        <v>0</v>
      </c>
      <c r="CU11" s="1" t="n">
        <f aca="false">CK11+CN11*Slot8_BufPot*CP11</f>
        <v>0</v>
      </c>
      <c r="CV11" s="1" t="n">
        <f aca="false">IF(AND(CN11=1,Slot8_IsMfree=1),IF(CS11&gt;=Slot8_Cost-1,0,MAX(0,CL11-CS11)),CL11)</f>
        <v>0</v>
      </c>
      <c r="CW11" s="1" t="n">
        <f aca="false">CN11*(Slot8_Cost-CS11)</f>
        <v>0</v>
      </c>
      <c r="CX11" s="1" t="n">
        <f aca="false">U11*Slot1_SpendLike*Z11+AF11*Slot2_SpendLike*AK11+AP11*Slot3_SpendLike*AU11+AZ11*Slot4_SpendLike*BE11+BJ11*Slot5_SpendLike*BO11+BT11*Slot6_SpendLike*BY11+CD11*Slot7_SpendLike*CI11+CN11*Slot8_SpendLike*CS11</f>
        <v>0</v>
      </c>
      <c r="CY11" s="1" t="n">
        <f aca="false">AD11+AO11+AY11+BI11+BS11+CC11+CM11+CW11</f>
        <v>0</v>
      </c>
      <c r="CZ11" s="1" t="n">
        <f aca="false">U11*Slot1_Cost+AF11*Slot2_Cost+AP11*Slot3_Cost+AZ11*Slot4_Cost+BJ11*Slot5_Cost+BT11*Slot6_Cost+CD11*Slot7_Cost+CN11*Slot8_Cost</f>
        <v>0</v>
      </c>
      <c r="DA11" s="1" t="n">
        <f aca="false">CV11</f>
        <v>0</v>
      </c>
      <c r="DB11" s="1" t="n">
        <f aca="false">G11-H11-R11</f>
        <v>0</v>
      </c>
      <c r="DC11" s="1" t="n">
        <f aca="false">IF(B11=0,IF(AND(Has_q6=1,In_q6=4),PR_ShareVaries*(MAX(0,DB11)/12),MIN(IF(Has_q6=1,CHOOSE(In_q6+1,PR_SaveB1,PR_SaveB2,PR_SaveB3,PR_SaveB4,0),AS_NoAnswer),AS_SaveShare*(MAX(0,DB11)/12))),DC10)</f>
        <v>0</v>
      </c>
      <c r="DD11" s="1" t="n">
        <f aca="false">IF(DB11&gt;=0,1,0)</f>
        <v>1</v>
      </c>
      <c r="DE11" s="1" t="n">
        <f aca="false">MAX(0,DB11/12/E11)</f>
        <v>0</v>
      </c>
      <c r="DF11" s="1" t="n">
        <f aca="false">IF(AND(Has_q6=1,In_q6=4),PR_ShareVaries*(DE11),MIN(IF(Has_q6=1,CHOOSE(In_q6+1,PR_SaveB1,PR_SaveB2,PR_SaveB3,PR_SaveB4,0),AS_NoAnswer),AS_SaveShare*(DE11)))</f>
        <v>0</v>
      </c>
      <c r="DG11" s="1" t="n">
        <f aca="false">IF(Has_saveM=1,IF(In_saveUp="Yes",1,IF(In_saveUp="No",0,IF(In_saveM&gt;=DC11-0.5,1,0))),0)</f>
        <v>0</v>
      </c>
      <c r="DH11" s="1" t="n">
        <f aca="false">IF(Has_saveM=1,MIN(DE11,IF(DG11=1,MAX(In_saveM,DF11),MIN(In_saveM,DF11))),DF11)</f>
        <v>0</v>
      </c>
      <c r="DI11" s="1" t="n">
        <f aca="false">IF(F11=1,DH11*12*E11,0)</f>
        <v>0</v>
      </c>
      <c r="DJ11" s="1" t="n">
        <f aca="false">MAX(0,DI11+IF(AND(WI_Retire=0,WI_M&lt;0,F11=1),WI_M*12*E11,0))</f>
        <v>0</v>
      </c>
      <c r="DK11" s="1" t="n">
        <f aca="false">Slot1_IsWG*V11+Slot2_IsWG*AG11+Slot3_IsWG*AQ11+Slot4_IsWG*BA11+Slot5_IsWG*BK11+Slot6_IsWG*BU11+Slot7_IsWG*CE11+Slot8_IsWG*CO11</f>
        <v>0</v>
      </c>
      <c r="DL11" s="1" t="n">
        <f aca="false">IF(AND(WI_Retire=0,WI_M&gt;0,F11=1,DK11&gt;=1),WI_M*12*E11,0)</f>
        <v>0</v>
      </c>
      <c r="DM11" s="1" t="n">
        <f aca="false">IF(DD11=1,MIN(DJ11,DB11),0)</f>
        <v>0</v>
      </c>
      <c r="DN11" s="1" t="n">
        <f aca="false">IF(DD11=1,MIN(DL11,DB11-DM11),0)</f>
        <v>0</v>
      </c>
      <c r="DO11" s="1" t="n">
        <f aca="false">IF(V11=1,IF(ABS((1+AS_Wage)/(1+Slot1_Rate)-1)&lt;0.000000000001,(Slot1_Age-D11)*(1+Slot1_Rate)^(Slot1_Age-D11),(1+Slot1_Rate)^(Slot1_Age-D11)*(1-((1+AS_Wage)/(1+Slot1_Rate))^(Slot1_Age-D11))/(1-(1+AS_Wage)/(1+Slot1_Rate))),1)</f>
        <v>1</v>
      </c>
      <c r="DP11" s="1" t="n">
        <f aca="false">IF(AND(DD11=1,DN11&gt;0,Slot1_IsWG=1,V11=1),MAX(0,(Slot1_Cost-W11*(1+Slot1_Rate)^(Slot1_Age-D11))/DO11),0)</f>
        <v>0</v>
      </c>
      <c r="DQ11" s="1" t="n">
        <f aca="false">IF(AND(DD11=1,DN11&gt;0,Slot1_IsWG=1,V11=1),MIN(DN11,DP11),0)</f>
        <v>0</v>
      </c>
      <c r="DR11" s="1" t="n">
        <f aca="false">W11+DQ11</f>
        <v>0</v>
      </c>
      <c r="DS11" s="1" t="n">
        <f aca="false">IF(V11=1,MAX(0,(Slot1_Cost-DR11*(1+Slot1_Rate)^(Slot1_Age-D11))/DO11),0)</f>
        <v>0</v>
      </c>
      <c r="DT11" s="1" t="n">
        <f aca="false">IF(V11=1,MAX(0,(Slot1_Cost-W11*(1+Slot1_Rate)^(Slot1_Age-D11))/DO11),0)</f>
        <v>0</v>
      </c>
      <c r="DU11" s="1" t="n">
        <f aca="false">IF(AND(DD11=1,V11=1),MIN(DM11,DS11),0)</f>
        <v>0</v>
      </c>
      <c r="DV11" s="1" t="n">
        <f aca="false">DM11-DU11</f>
        <v>0</v>
      </c>
      <c r="DW11" s="1" t="n">
        <f aca="false">IF(AG11=1,IF(ABS((1+AS_Wage)/(1+Slot2_Rate)-1)&lt;0.000000000001,(Slot2_Age-D11)*(1+Slot2_Rate)^(Slot2_Age-D11),(1+Slot2_Rate)^(Slot2_Age-D11)*(1-((1+AS_Wage)/(1+Slot2_Rate))^(Slot2_Age-D11))/(1-(1+AS_Wage)/(1+Slot2_Rate))),1)</f>
        <v>1</v>
      </c>
      <c r="DX11" s="1" t="n">
        <f aca="false">IF(AND(DD11=1,DN11&gt;0,Slot2_IsWG=1,AG11=1),MAX(0,(Slot2_Cost-AH11*(1+Slot2_Rate)^(Slot2_Age-D11))/DW11),0)</f>
        <v>0</v>
      </c>
      <c r="DY11" s="1" t="n">
        <f aca="false">IF(AND(DD11=1,DN11&gt;0,Slot2_IsWG=1,AG11=1),MIN(DN11,DX11),0)</f>
        <v>0</v>
      </c>
      <c r="DZ11" s="1" t="n">
        <f aca="false">AH11+DY11</f>
        <v>0</v>
      </c>
      <c r="EA11" s="1" t="n">
        <f aca="false">IF(AG11=1,MAX(0,(Slot2_Cost-DZ11*(1+Slot2_Rate)^(Slot2_Age-D11))/DW11),0)</f>
        <v>0</v>
      </c>
      <c r="EB11" s="1" t="n">
        <f aca="false">IF(AG11=1,MAX(0,(Slot2_Cost-AH11*(1+Slot2_Rate)^(Slot2_Age-D11))/DW11),0)</f>
        <v>0</v>
      </c>
      <c r="EC11" s="1" t="n">
        <f aca="false">IF(AND(DD11=1,AG11=1),MIN(DV11,EA11),0)</f>
        <v>0</v>
      </c>
      <c r="ED11" s="1" t="n">
        <f aca="false">DV11-EC11</f>
        <v>0</v>
      </c>
      <c r="EE11" s="1" t="n">
        <f aca="false">IF(AQ11=1,IF(ABS((1+AS_Wage)/(1+Slot3_Rate)-1)&lt;0.000000000001,(Slot3_Age-D11)*(1+Slot3_Rate)^(Slot3_Age-D11),(1+Slot3_Rate)^(Slot3_Age-D11)*(1-((1+AS_Wage)/(1+Slot3_Rate))^(Slot3_Age-D11))/(1-(1+AS_Wage)/(1+Slot3_Rate))),1)</f>
        <v>1</v>
      </c>
      <c r="EF11" s="1" t="n">
        <f aca="false">IF(AND(DD11=1,DN11&gt;0,Slot3_IsWG=1,AQ11=1),MAX(0,(Slot3_Cost-AR11*(1+Slot3_Rate)^(Slot3_Age-D11))/EE11),0)</f>
        <v>0</v>
      </c>
      <c r="EG11" s="1" t="n">
        <f aca="false">IF(AND(DD11=1,DN11&gt;0,Slot3_IsWG=1,AQ11=1),MIN(DN11,EF11),0)</f>
        <v>0</v>
      </c>
      <c r="EH11" s="1" t="n">
        <f aca="false">AR11+EG11</f>
        <v>0</v>
      </c>
      <c r="EI11" s="1" t="n">
        <f aca="false">IF(AQ11=1,MAX(0,(Slot3_Cost-EH11*(1+Slot3_Rate)^(Slot3_Age-D11))/EE11),0)</f>
        <v>0</v>
      </c>
      <c r="EJ11" s="1" t="n">
        <f aca="false">IF(AQ11=1,MAX(0,(Slot3_Cost-AR11*(1+Slot3_Rate)^(Slot3_Age-D11))/EE11),0)</f>
        <v>0</v>
      </c>
      <c r="EK11" s="1" t="n">
        <f aca="false">IF(AND(DD11=1,AQ11=1),MIN(ED11,EI11),0)</f>
        <v>0</v>
      </c>
      <c r="EL11" s="1" t="n">
        <f aca="false">ED11-EK11</f>
        <v>0</v>
      </c>
      <c r="EM11" s="1" t="n">
        <f aca="false">IF(BA11=1,IF(ABS((1+AS_Wage)/(1+Slot4_Rate)-1)&lt;0.000000000001,(Slot4_Age-D11)*(1+Slot4_Rate)^(Slot4_Age-D11),(1+Slot4_Rate)^(Slot4_Age-D11)*(1-((1+AS_Wage)/(1+Slot4_Rate))^(Slot4_Age-D11))/(1-(1+AS_Wage)/(1+Slot4_Rate))),1)</f>
        <v>1</v>
      </c>
      <c r="EN11" s="1" t="n">
        <f aca="false">IF(AND(DD11=1,DN11&gt;0,Slot4_IsWG=1,BA11=1),MAX(0,(Slot4_Cost-BB11*(1+Slot4_Rate)^(Slot4_Age-D11))/EM11),0)</f>
        <v>0</v>
      </c>
      <c r="EO11" s="1" t="n">
        <f aca="false">IF(AND(DD11=1,DN11&gt;0,Slot4_IsWG=1,BA11=1),MIN(DN11,EN11),0)</f>
        <v>0</v>
      </c>
      <c r="EP11" s="1" t="n">
        <f aca="false">BB11+EO11</f>
        <v>0</v>
      </c>
      <c r="EQ11" s="1" t="n">
        <f aca="false">IF(BA11=1,MAX(0,(Slot4_Cost-EP11*(1+Slot4_Rate)^(Slot4_Age-D11))/EM11),0)</f>
        <v>0</v>
      </c>
      <c r="ER11" s="1" t="n">
        <f aca="false">IF(BA11=1,MAX(0,(Slot4_Cost-BB11*(1+Slot4_Rate)^(Slot4_Age-D11))/EM11),0)</f>
        <v>0</v>
      </c>
      <c r="ES11" s="1" t="n">
        <f aca="false">IF(AND(DD11=1,BA11=1),MIN(EL11,EQ11),0)</f>
        <v>0</v>
      </c>
      <c r="ET11" s="1" t="n">
        <f aca="false">EL11-ES11</f>
        <v>0</v>
      </c>
      <c r="EU11" s="1" t="n">
        <f aca="false">IF(BK11=1,IF(ABS((1+AS_Wage)/(1+Slot5_Rate)-1)&lt;0.000000000001,(Slot5_Age-D11)*(1+Slot5_Rate)^(Slot5_Age-D11),(1+Slot5_Rate)^(Slot5_Age-D11)*(1-((1+AS_Wage)/(1+Slot5_Rate))^(Slot5_Age-D11))/(1-(1+AS_Wage)/(1+Slot5_Rate))),1)</f>
        <v>1</v>
      </c>
      <c r="EV11" s="1" t="n">
        <f aca="false">IF(AND(DD11=1,DN11&gt;0,Slot5_IsWG=1,BK11=1),MAX(0,(Slot5_Cost-BL11*(1+Slot5_Rate)^(Slot5_Age-D11))/EU11),0)</f>
        <v>0</v>
      </c>
      <c r="EW11" s="1" t="n">
        <f aca="false">IF(AND(DD11=1,DN11&gt;0,Slot5_IsWG=1,BK11=1),MIN(DN11,EV11),0)</f>
        <v>0</v>
      </c>
      <c r="EX11" s="1" t="n">
        <f aca="false">BL11+EW11</f>
        <v>0</v>
      </c>
      <c r="EY11" s="1" t="n">
        <f aca="false">IF(BK11=1,MAX(0,(Slot5_Cost-EX11*(1+Slot5_Rate)^(Slot5_Age-D11))/EU11),0)</f>
        <v>0</v>
      </c>
      <c r="EZ11" s="1" t="n">
        <f aca="false">IF(BK11=1,MAX(0,(Slot5_Cost-BL11*(1+Slot5_Rate)^(Slot5_Age-D11))/EU11),0)</f>
        <v>0</v>
      </c>
      <c r="FA11" s="1" t="n">
        <f aca="false">IF(AND(DD11=1,BK11=1),MIN(ET11,EY11),0)</f>
        <v>0</v>
      </c>
      <c r="FB11" s="1" t="n">
        <f aca="false">ET11-FA11</f>
        <v>0</v>
      </c>
      <c r="FC11" s="1" t="n">
        <f aca="false">IF(BU11=1,IF(ABS((1+AS_Wage)/(1+Slot6_Rate)-1)&lt;0.000000000001,(Slot6_Age-D11)*(1+Slot6_Rate)^(Slot6_Age-D11),(1+Slot6_Rate)^(Slot6_Age-D11)*(1-((1+AS_Wage)/(1+Slot6_Rate))^(Slot6_Age-D11))/(1-(1+AS_Wage)/(1+Slot6_Rate))),1)</f>
        <v>1</v>
      </c>
      <c r="FD11" s="1" t="n">
        <f aca="false">IF(AND(DD11=1,DN11&gt;0,Slot6_IsWG=1,BU11=1),MAX(0,(Slot6_Cost-BV11*(1+Slot6_Rate)^(Slot6_Age-D11))/FC11),0)</f>
        <v>0</v>
      </c>
      <c r="FE11" s="1" t="n">
        <f aca="false">IF(AND(DD11=1,DN11&gt;0,Slot6_IsWG=1,BU11=1),MIN(DN11,FD11),0)</f>
        <v>0</v>
      </c>
      <c r="FF11" s="1" t="n">
        <f aca="false">BV11+FE11</f>
        <v>0</v>
      </c>
      <c r="FG11" s="1" t="n">
        <f aca="false">IF(BU11=1,MAX(0,(Slot6_Cost-FF11*(1+Slot6_Rate)^(Slot6_Age-D11))/FC11),0)</f>
        <v>0</v>
      </c>
      <c r="FH11" s="1" t="n">
        <f aca="false">IF(BU11=1,MAX(0,(Slot6_Cost-BV11*(1+Slot6_Rate)^(Slot6_Age-D11))/FC11),0)</f>
        <v>0</v>
      </c>
      <c r="FI11" s="1" t="n">
        <f aca="false">IF(AND(DD11=1,BU11=1),MIN(FB11,FG11),0)</f>
        <v>0</v>
      </c>
      <c r="FJ11" s="1" t="n">
        <f aca="false">FB11-FI11</f>
        <v>0</v>
      </c>
      <c r="FK11" s="1" t="n">
        <f aca="false">IF(CE11=1,IF(ABS((1+AS_Wage)/(1+Slot7_Rate)-1)&lt;0.000000000001,(Slot7_Age-D11)*(1+Slot7_Rate)^(Slot7_Age-D11),(1+Slot7_Rate)^(Slot7_Age-D11)*(1-((1+AS_Wage)/(1+Slot7_Rate))^(Slot7_Age-D11))/(1-(1+AS_Wage)/(1+Slot7_Rate))),1)</f>
        <v>1</v>
      </c>
      <c r="FL11" s="1" t="n">
        <f aca="false">IF(AND(DD11=1,DN11&gt;0,Slot7_IsWG=1,CE11=1),MAX(0,(Slot7_Cost-CF11*(1+Slot7_Rate)^(Slot7_Age-D11))/FK11),0)</f>
        <v>0</v>
      </c>
      <c r="FM11" s="1" t="n">
        <f aca="false">IF(AND(DD11=1,DN11&gt;0,Slot7_IsWG=1,CE11=1),MIN(DN11,FL11),0)</f>
        <v>0</v>
      </c>
      <c r="FN11" s="1" t="n">
        <f aca="false">CF11+FM11</f>
        <v>0</v>
      </c>
      <c r="FO11" s="1" t="n">
        <f aca="false">IF(CE11=1,MAX(0,(Slot7_Cost-FN11*(1+Slot7_Rate)^(Slot7_Age-D11))/FK11),0)</f>
        <v>0</v>
      </c>
      <c r="FP11" s="1" t="n">
        <f aca="false">IF(CE11=1,MAX(0,(Slot7_Cost-CF11*(1+Slot7_Rate)^(Slot7_Age-D11))/FK11),0)</f>
        <v>0</v>
      </c>
      <c r="FQ11" s="1" t="n">
        <f aca="false">IF(AND(DD11=1,CE11=1),MIN(FJ11,FO11),0)</f>
        <v>0</v>
      </c>
      <c r="FR11" s="1" t="n">
        <f aca="false">FJ11-FQ11</f>
        <v>0</v>
      </c>
      <c r="FS11" s="1" t="n">
        <f aca="false">IF(CO11=1,IF(ABS((1+AS_Wage)/(1+Slot8_Rate)-1)&lt;0.000000000001,(Slot8_Age-D11)*(1+Slot8_Rate)^(Slot8_Age-D11),(1+Slot8_Rate)^(Slot8_Age-D11)*(1-((1+AS_Wage)/(1+Slot8_Rate))^(Slot8_Age-D11))/(1-(1+AS_Wage)/(1+Slot8_Rate))),1)</f>
        <v>1</v>
      </c>
      <c r="FT11" s="1" t="n">
        <f aca="false">IF(AND(DD11=1,DN11&gt;0,Slot8_IsWG=1,CO11=1),MAX(0,(Slot8_Cost-CP11*(1+Slot8_Rate)^(Slot8_Age-D11))/FS11),0)</f>
        <v>0</v>
      </c>
      <c r="FU11" s="1" t="n">
        <f aca="false">IF(AND(DD11=1,DN11&gt;0,Slot8_IsWG=1,CO11=1),MIN(DN11,FT11),0)</f>
        <v>0</v>
      </c>
      <c r="FV11" s="1" t="n">
        <f aca="false">CP11+FU11</f>
        <v>0</v>
      </c>
      <c r="FW11" s="1" t="n">
        <f aca="false">IF(CO11=1,MAX(0,(Slot8_Cost-FV11*(1+Slot8_Rate)^(Slot8_Age-D11))/FS11),0)</f>
        <v>0</v>
      </c>
      <c r="FX11" s="1" t="n">
        <f aca="false">IF(CO11=1,MAX(0,(Slot8_Cost-CP11*(1+Slot8_Rate)^(Slot8_Age-D11))/FS11),0)</f>
        <v>0</v>
      </c>
      <c r="FY11" s="1" t="n">
        <f aca="false">IF(AND(DD11=1,CO11=1),MIN(FR11,FW11),0)</f>
        <v>0</v>
      </c>
      <c r="FZ11" s="1" t="n">
        <f aca="false">FR11-FY11</f>
        <v>0</v>
      </c>
      <c r="GA11" s="1" t="n">
        <f aca="false">DN11-(DQ11+DY11+EG11+EO11+EW11+FE11+FM11+FU11)</f>
        <v>0</v>
      </c>
      <c r="GB11" s="1" t="n">
        <f aca="false">IF(DD11=1,DB11-DM11-DN11,0)</f>
        <v>0</v>
      </c>
      <c r="GC11" s="1" t="n">
        <f aca="false">IF(DD11=0,-DB11,0)</f>
        <v>0</v>
      </c>
      <c r="GD11" s="1" t="n">
        <f aca="false">MIN(GC11,CT11)</f>
        <v>0</v>
      </c>
      <c r="GE11" s="1" t="n">
        <f aca="false">GC11-GD11</f>
        <v>0</v>
      </c>
      <c r="GF11" s="1" t="n">
        <f aca="false">MIN(GE11,CU11)</f>
        <v>0</v>
      </c>
      <c r="GG11" s="1" t="n">
        <f aca="false">GE11-GF11</f>
        <v>0</v>
      </c>
      <c r="GH11" s="1" t="n">
        <f aca="false">IF(AND(DD11=0,CO11=1,GG11&gt;0),MIN(GG11,CP11),0)</f>
        <v>0</v>
      </c>
      <c r="GI11" s="1" t="n">
        <f aca="false">GG11-GH11</f>
        <v>0</v>
      </c>
      <c r="GJ11" s="1" t="n">
        <f aca="false">IF(AND(DD11=0,CE11=1,GI11&gt;0),MIN(GI11,CF11),0)</f>
        <v>0</v>
      </c>
      <c r="GK11" s="1" t="n">
        <f aca="false">GI11-GJ11</f>
        <v>0</v>
      </c>
      <c r="GL11" s="1" t="n">
        <f aca="false">IF(AND(DD11=0,BU11=1,GK11&gt;0),MIN(GK11,BV11),0)</f>
        <v>0</v>
      </c>
      <c r="GM11" s="1" t="n">
        <f aca="false">GK11-GL11</f>
        <v>0</v>
      </c>
      <c r="GN11" s="1" t="n">
        <f aca="false">IF(AND(DD11=0,BK11=1,GM11&gt;0),MIN(GM11,BL11),0)</f>
        <v>0</v>
      </c>
      <c r="GO11" s="1" t="n">
        <f aca="false">GM11-GN11</f>
        <v>0</v>
      </c>
      <c r="GP11" s="1" t="n">
        <f aca="false">IF(AND(DD11=0,BA11=1,GO11&gt;0),MIN(GO11,BB11),0)</f>
        <v>0</v>
      </c>
      <c r="GQ11" s="1" t="n">
        <f aca="false">GO11-GP11</f>
        <v>0</v>
      </c>
      <c r="GR11" s="1" t="n">
        <f aca="false">IF(AND(DD11=0,AQ11=1,GQ11&gt;0),MIN(GQ11,AR11),0)</f>
        <v>0</v>
      </c>
      <c r="GS11" s="1" t="n">
        <f aca="false">GQ11-GR11</f>
        <v>0</v>
      </c>
      <c r="GT11" s="1" t="n">
        <f aca="false">IF(AND(DD11=0,AG11=1,GS11&gt;0),MIN(GS11,AH11),0)</f>
        <v>0</v>
      </c>
      <c r="GU11" s="1" t="n">
        <f aca="false">GS11-GT11</f>
        <v>0</v>
      </c>
      <c r="GV11" s="1" t="n">
        <f aca="false">IF(AND(DD11=0,V11=1,GU11&gt;0),MIN(GU11,W11),0)</f>
        <v>0</v>
      </c>
      <c r="GW11" s="1" t="n">
        <f aca="false">GU11-GV11</f>
        <v>0</v>
      </c>
      <c r="GX11" s="1" t="n">
        <f aca="false">IF(DD11=0,GW11,0)</f>
        <v>0</v>
      </c>
      <c r="GY11" s="1" t="n">
        <f aca="false">GD11+GF11+GV11+GT11+GR11+GP11+GN11+GL11+GJ11+GH11</f>
        <v>0</v>
      </c>
      <c r="GZ11" s="1" t="n">
        <f aca="false">IF(DD11=1,CT11+GA11+FZ11+IF(F11=1,0,GB11),CT11-GD11)</f>
        <v>0</v>
      </c>
      <c r="HA11" s="1" t="n">
        <f aca="false">CU11-GF11</f>
        <v>0</v>
      </c>
      <c r="HB11" s="1" t="n">
        <f aca="false">IF(DD11=1,IF(F11=1,DM11+DN11,DB11),0)</f>
        <v>0</v>
      </c>
      <c r="HC11" s="1" t="n">
        <f aca="false">IF(DD11=1,IF(F11=1,DB11-DM11-DN11,0),0)</f>
        <v>0</v>
      </c>
      <c r="HD11" s="1" t="n">
        <f aca="false">GZ11*(1+GR)</f>
        <v>0</v>
      </c>
      <c r="HE11" s="1" t="n">
        <f aca="false">HA11*(1+AS_Cash)</f>
        <v>0</v>
      </c>
      <c r="HF11" s="1" t="n">
        <f aca="false">IF(V11=1,IF(DD11=1,DR11+DU11,W11-GV11)*(1+Slot1_Rate),0)</f>
        <v>0</v>
      </c>
      <c r="HG11" s="1" t="n">
        <f aca="false">IF(AND(DD11=1,V11=1),(DQ11+DU11)/E11,0)</f>
        <v>0</v>
      </c>
      <c r="HH11" s="1" t="n">
        <f aca="false">IF(B11=0,DQ11+DU11,0)</f>
        <v>0</v>
      </c>
      <c r="HI11" s="1" t="n">
        <f aca="false">IF(B11=0,IF(DD11=1,DS11,DT11),0)</f>
        <v>0</v>
      </c>
      <c r="HJ11" s="1" t="n">
        <f aca="false">IF(AG11=1,IF(DD11=1,DZ11+EC11,AH11-GT11)*(1+Slot2_Rate),0)</f>
        <v>0</v>
      </c>
      <c r="HK11" s="1" t="n">
        <f aca="false">IF(AND(DD11=1,AG11=1),(DY11+EC11)/E11,0)</f>
        <v>0</v>
      </c>
      <c r="HL11" s="1" t="n">
        <f aca="false">IF(B11=0,DY11+EC11,0)</f>
        <v>0</v>
      </c>
      <c r="HM11" s="1" t="n">
        <f aca="false">IF(B11=0,IF(DD11=1,EA11,EB11),0)</f>
        <v>0</v>
      </c>
      <c r="HN11" s="1" t="n">
        <f aca="false">IF(AQ11=1,IF(DD11=1,EH11+EK11,AR11-GR11)*(1+Slot3_Rate),0)</f>
        <v>0</v>
      </c>
      <c r="HO11" s="1" t="n">
        <f aca="false">IF(AND(DD11=1,AQ11=1),(EG11+EK11)/E11,0)</f>
        <v>0</v>
      </c>
      <c r="HP11" s="1" t="n">
        <f aca="false">IF(B11=0,EG11+EK11,0)</f>
        <v>0</v>
      </c>
      <c r="HQ11" s="1" t="n">
        <f aca="false">IF(B11=0,IF(DD11=1,EI11,EJ11),0)</f>
        <v>0</v>
      </c>
      <c r="HR11" s="1" t="n">
        <f aca="false">IF(BA11=1,IF(DD11=1,EP11+ES11,BB11-GP11)*(1+Slot4_Rate),0)</f>
        <v>0</v>
      </c>
      <c r="HS11" s="1" t="n">
        <f aca="false">IF(AND(DD11=1,BA11=1),(EO11+ES11)/E11,0)</f>
        <v>0</v>
      </c>
      <c r="HT11" s="1" t="n">
        <f aca="false">IF(B11=0,EO11+ES11,0)</f>
        <v>0</v>
      </c>
      <c r="HU11" s="1" t="n">
        <f aca="false">IF(B11=0,IF(DD11=1,EQ11,ER11),0)</f>
        <v>0</v>
      </c>
      <c r="HV11" s="1" t="n">
        <f aca="false">IF(BK11=1,IF(DD11=1,EX11+FA11,BL11-GN11)*(1+Slot5_Rate),0)</f>
        <v>0</v>
      </c>
      <c r="HW11" s="1" t="n">
        <f aca="false">IF(AND(DD11=1,BK11=1),(EW11+FA11)/E11,0)</f>
        <v>0</v>
      </c>
      <c r="HX11" s="1" t="n">
        <f aca="false">IF(B11=0,EW11+FA11,0)</f>
        <v>0</v>
      </c>
      <c r="HY11" s="1" t="n">
        <f aca="false">IF(B11=0,IF(DD11=1,EY11,EZ11),0)</f>
        <v>0</v>
      </c>
      <c r="HZ11" s="1" t="n">
        <f aca="false">IF(BU11=1,IF(DD11=1,FF11+FI11,BV11-GL11)*(1+Slot6_Rate),0)</f>
        <v>0</v>
      </c>
      <c r="IA11" s="1" t="n">
        <f aca="false">IF(AND(DD11=1,BU11=1),(FE11+FI11)/E11,0)</f>
        <v>0</v>
      </c>
      <c r="IB11" s="1" t="n">
        <f aca="false">IF(B11=0,FE11+FI11,0)</f>
        <v>0</v>
      </c>
      <c r="IC11" s="1" t="n">
        <f aca="false">IF(B11=0,IF(DD11=1,FG11,FH11),0)</f>
        <v>0</v>
      </c>
      <c r="ID11" s="1" t="n">
        <f aca="false">IF(CE11=1,IF(DD11=1,FN11+FQ11,CF11-GJ11)*(1+Slot7_Rate),0)</f>
        <v>0</v>
      </c>
      <c r="IE11" s="1" t="n">
        <f aca="false">IF(AND(DD11=1,CE11=1),(FM11+FQ11)/E11,0)</f>
        <v>0</v>
      </c>
      <c r="IF11" s="1" t="n">
        <f aca="false">IF(B11=0,FM11+FQ11,0)</f>
        <v>0</v>
      </c>
      <c r="IG11" s="1" t="n">
        <f aca="false">IF(B11=0,IF(DD11=1,FO11,FP11),0)</f>
        <v>0</v>
      </c>
      <c r="IH11" s="1" t="n">
        <f aca="false">IF(CO11=1,IF(DD11=1,FV11+FY11,CP11-GH11)*(1+Slot8_Rate),0)</f>
        <v>0</v>
      </c>
      <c r="II11" s="1" t="n">
        <f aca="false">IF(AND(DD11=1,CO11=1),(FU11+FY11)/E11,0)</f>
        <v>0</v>
      </c>
      <c r="IJ11" s="1" t="n">
        <f aca="false">IF(B11=0,FU11+FY11,0)</f>
        <v>0</v>
      </c>
      <c r="IK11" s="1" t="n">
        <f aca="false">IF(B11=0,IF(DD11=1,FW11,FX11),0)</f>
        <v>0</v>
      </c>
      <c r="IL11" s="1" t="n">
        <f aca="false">HD11+HE11+HF11+HJ11+HN11+HR11+HV11+HZ11+ID11+IH11</f>
        <v>0</v>
      </c>
      <c r="IM11" s="1" t="n">
        <f aca="false">GX11+CY11</f>
        <v>0</v>
      </c>
      <c r="IN11" s="1" t="n">
        <f aca="false">H11+R11</f>
        <v>0</v>
      </c>
      <c r="IO11" s="1" t="n">
        <f aca="false">1-F11</f>
        <v>1</v>
      </c>
      <c r="IP11" s="1" t="n">
        <f aca="false">IF(AND(RG_Exists=1,F11=0,C11=1),H11,0)</f>
        <v>0</v>
      </c>
      <c r="IQ11" s="1" t="n">
        <f aca="false">IF(AND(RG_Exists=1,F11=0,C11=1),H11-MIN(GX11,H11),0)</f>
        <v>0</v>
      </c>
      <c r="IR11" s="1" t="n">
        <f aca="false">'Plan pay &amp; tax'!AD213</f>
        <v>0</v>
      </c>
      <c r="IS11" s="1" t="n">
        <f aca="false">IF(AND(C11=1,GX11&gt;MAX(PR_Short1,IN11*PR_Short2)),1,0)</f>
        <v>0</v>
      </c>
      <c r="IT11" s="1" t="n">
        <f aca="false">MIN(G11,H11+R11)</f>
        <v>0</v>
      </c>
      <c r="IU11" s="1" t="n">
        <f aca="false">GY11+MAX(0,CZ11-CY11)</f>
        <v>0</v>
      </c>
      <c r="IV11" s="1" t="n">
        <f aca="false">GX11+CY11</f>
        <v>0</v>
      </c>
      <c r="IW11" s="1" t="n">
        <f aca="false">IF(AND(C11=1,IV11&gt;0.5),1,0)</f>
        <v>0</v>
      </c>
      <c r="IX11" s="1" t="n">
        <f aca="false">IF(AND(C11=1,IW11=0,IU11&gt;0.5),1,0)</f>
        <v>0</v>
      </c>
      <c r="IY11" s="1" t="n">
        <f aca="false">IF(AND(C11=1,GX11&gt;0.5),1,0)</f>
        <v>0</v>
      </c>
      <c r="IZ11" s="1" t="n">
        <f aca="false">IF(AND(C11=1,GY11&gt;1,JF11=0),1,0)</f>
        <v>0</v>
      </c>
      <c r="JA11" s="1" t="n">
        <f aca="false">IF(AND(INT(D11/10)*10=90,B11&gt;0),80,INT(D11/10)*10)</f>
        <v>0</v>
      </c>
      <c r="JB11" s="1" t="n">
        <f aca="false">IF(B11=0,1,IF(JA11&lt;&gt;JA10,JB10+1,JB10))</f>
        <v>1</v>
      </c>
      <c r="JC11" s="1" t="n">
        <f aca="false">IF(AND(C11=1,F11=1,GX11&gt;MAX(PR_Short1,IN11*PR_Short2)),1,0)</f>
        <v>0</v>
      </c>
      <c r="JD11" s="1" t="n">
        <f aca="false">IO11*IS11</f>
        <v>0</v>
      </c>
      <c r="JE11" s="1" t="n">
        <f aca="false">IF(AND(U11=1,Slot1_PctLow=1),1,0)+IF(AND(AF11=1,Slot2_PctLow=1),1,0)+IF(AND(AP11=1,Slot3_PctLow=1),1,0)+IF(AND(AZ11=1,Slot4_PctLow=1),1,0)+IF(AND(BJ11=1,Slot5_PctLow=1),1,0)+IF(AND(BT11=1,Slot6_PctLow=1),1,0)+IF(AND(CD11=1,Slot7_PctLow=1),1,0)+IF(AND(CN11=1,Slot8_PctLow=1),1,0)</f>
        <v>0</v>
      </c>
      <c r="JF11" s="1" t="n">
        <f aca="false">IF(C11=1,IF(OR(IS11=1,JE11&gt;0),1,0),0)</f>
        <v>0</v>
      </c>
    </row>
    <row r="12" customFormat="false" ht="15" hidden="false" customHeight="false" outlineLevel="0" collapsed="false">
      <c r="B12" s="1" t="n">
        <v>4</v>
      </c>
      <c r="C12" s="1" t="n">
        <f aca="false">IF(B12&lt;=F_N,1,0)</f>
        <v>1</v>
      </c>
      <c r="D12" s="1" t="n">
        <f aca="false">'Plan pay &amp; tax'!C214</f>
        <v>4</v>
      </c>
      <c r="E12" s="106" t="n">
        <f aca="false">'Plan pay &amp; tax'!E214</f>
        <v>1.08243216</v>
      </c>
      <c r="F12" s="1" t="n">
        <f aca="false">'Plan pay &amp; tax'!G214</f>
        <v>0</v>
      </c>
      <c r="G12" s="1" t="n">
        <f aca="false">'Plan pay &amp; tax'!BT214-'Plan pay &amp; tax'!BS214-'Plan pay &amp; tax'!R214</f>
        <v>0</v>
      </c>
      <c r="H12" s="1" t="n">
        <f aca="false">IF(F12=1,F_CostsM*12,IF(RG_Exists=1,RG_Amount,F_CostsM*12*AS_RetireSpend))*E12+F_OneOffY*E12</f>
        <v>0</v>
      </c>
      <c r="I12" s="1" t="n">
        <f aca="false">DA11</f>
        <v>0</v>
      </c>
      <c r="J12" s="1" t="n">
        <f aca="false">IF(I12&gt;1,'Plan debt months'!AC12,0)</f>
        <v>0</v>
      </c>
      <c r="K12" s="1" t="n">
        <f aca="false">IF(I12&gt;1,'Plan debt months'!AB12,I12)</f>
        <v>0</v>
      </c>
      <c r="L12" s="1" t="n">
        <f aca="false">N11</f>
        <v>0</v>
      </c>
      <c r="M12" s="1" t="n">
        <f aca="false">IF(L12&gt;1,'Plan debt months'!BD12,0)</f>
        <v>0</v>
      </c>
      <c r="N12" s="1" t="n">
        <f aca="false">IF(L12&gt;1,'Plan debt months'!BC12,L12)</f>
        <v>0</v>
      </c>
      <c r="O12" s="1" t="n">
        <f aca="false">Q11</f>
        <v>0</v>
      </c>
      <c r="P12" s="1" t="n">
        <f aca="false">IF(O12&gt;1,'Plan debt months'!CE12,0)</f>
        <v>0</v>
      </c>
      <c r="Q12" s="1" t="n">
        <f aca="false">IF(O12&gt;1,'Plan debt months'!CD12,O12)</f>
        <v>0</v>
      </c>
      <c r="R12" s="1" t="n">
        <f aca="false">J12+M12+P12</f>
        <v>0</v>
      </c>
      <c r="S12" s="1" t="n">
        <f aca="false">HD11+'Plan pay &amp; tax'!Y214</f>
        <v>0</v>
      </c>
      <c r="T12" s="1" t="n">
        <f aca="false">HD11</f>
        <v>0</v>
      </c>
      <c r="U12" s="1" t="n">
        <f aca="false">IF(AND(Slot1_On=1,D12=Slot1_Age),1,0)</f>
        <v>0</v>
      </c>
      <c r="V12" s="1" t="n">
        <f aca="false">IF(AND(Slot1_On=1,Slot1_Age&gt;D12),1,0)</f>
        <v>0</v>
      </c>
      <c r="W12" s="1" t="n">
        <f aca="false">HF11</f>
        <v>0</v>
      </c>
      <c r="X12" s="1" t="n">
        <f aca="false">U12*MIN(Slot1_Cost,W12)</f>
        <v>0</v>
      </c>
      <c r="Y12" s="1" t="n">
        <f aca="false">U12*Slot1_SpendLike*MIN(Slot1_Cost-X12,S12)</f>
        <v>0</v>
      </c>
      <c r="Z12" s="1" t="n">
        <f aca="false">X12+Y12</f>
        <v>0</v>
      </c>
      <c r="AA12" s="1" t="n">
        <f aca="false">S12-Y12+U12*IF(Slot1_SpendLike=1,W12-X12,IF(Slot1_PotFree=1,W12,0))</f>
        <v>0</v>
      </c>
      <c r="AB12" s="1" t="n">
        <f aca="false">AE12+U12*Slot1_BufPot*W12</f>
        <v>0</v>
      </c>
      <c r="AC12" s="1" t="n">
        <f aca="false">IF(AND(U12=1,Slot1_IsMfree=1),IF(Z12&gt;=Slot1_Cost-1,0,MAX(0,K12-Z12)),K12)</f>
        <v>0</v>
      </c>
      <c r="AD12" s="1" t="n">
        <f aca="false">U12*(Slot1_Cost-Z12)</f>
        <v>0</v>
      </c>
      <c r="AE12" s="1" t="n">
        <f aca="false">HE11</f>
        <v>0</v>
      </c>
      <c r="AF12" s="1" t="n">
        <f aca="false">IF(AND(Slot2_On=1,D12=Slot2_Age),1,0)</f>
        <v>0</v>
      </c>
      <c r="AG12" s="1" t="n">
        <f aca="false">IF(AND(Slot2_On=1,Slot2_Age&gt;D12),1,0)</f>
        <v>0</v>
      </c>
      <c r="AH12" s="1" t="n">
        <f aca="false">HJ11</f>
        <v>0</v>
      </c>
      <c r="AI12" s="1" t="n">
        <f aca="false">AF12*MIN(Slot2_Cost,AH12)</f>
        <v>0</v>
      </c>
      <c r="AJ12" s="1" t="n">
        <f aca="false">AF12*Slot2_SpendLike*MIN(Slot2_Cost-AI12,AA12)</f>
        <v>0</v>
      </c>
      <c r="AK12" s="1" t="n">
        <f aca="false">AI12+AJ12</f>
        <v>0</v>
      </c>
      <c r="AL12" s="1" t="n">
        <f aca="false">AA12-AJ12+AF12*IF(Slot2_SpendLike=1,AH12-AI12,IF(Slot2_PotFree=1,AH12,0))</f>
        <v>0</v>
      </c>
      <c r="AM12" s="1" t="n">
        <f aca="false">AB12+AF12*Slot2_BufPot*AH12</f>
        <v>0</v>
      </c>
      <c r="AN12" s="1" t="n">
        <f aca="false">IF(AND(AF12=1,Slot2_IsMfree=1),IF(AK12&gt;=Slot2_Cost-1,0,MAX(0,AC12-AK12)),AC12)</f>
        <v>0</v>
      </c>
      <c r="AO12" s="1" t="n">
        <f aca="false">AF12*(Slot2_Cost-AK12)</f>
        <v>0</v>
      </c>
      <c r="AP12" s="1" t="n">
        <f aca="false">IF(AND(Slot3_On=1,D12=Slot3_Age),1,0)</f>
        <v>0</v>
      </c>
      <c r="AQ12" s="1" t="n">
        <f aca="false">IF(AND(Slot3_On=1,Slot3_Age&gt;D12),1,0)</f>
        <v>0</v>
      </c>
      <c r="AR12" s="1" t="n">
        <f aca="false">HN11</f>
        <v>0</v>
      </c>
      <c r="AS12" s="1" t="n">
        <f aca="false">AP12*MIN(Slot3_Cost,AR12)</f>
        <v>0</v>
      </c>
      <c r="AT12" s="1" t="n">
        <f aca="false">AP12*Slot3_SpendLike*MIN(Slot3_Cost-AS12,AL12)</f>
        <v>0</v>
      </c>
      <c r="AU12" s="1" t="n">
        <f aca="false">AS12+AT12</f>
        <v>0</v>
      </c>
      <c r="AV12" s="1" t="n">
        <f aca="false">AL12-AT12+AP12*IF(Slot3_SpendLike=1,AR12-AS12,IF(Slot3_PotFree=1,AR12,0))</f>
        <v>0</v>
      </c>
      <c r="AW12" s="1" t="n">
        <f aca="false">AM12+AP12*Slot3_BufPot*AR12</f>
        <v>0</v>
      </c>
      <c r="AX12" s="1" t="n">
        <f aca="false">IF(AND(AP12=1,Slot3_IsMfree=1),IF(AU12&gt;=Slot3_Cost-1,0,MAX(0,AN12-AU12)),AN12)</f>
        <v>0</v>
      </c>
      <c r="AY12" s="1" t="n">
        <f aca="false">AP12*(Slot3_Cost-AU12)</f>
        <v>0</v>
      </c>
      <c r="AZ12" s="1" t="n">
        <f aca="false">IF(AND(Slot4_On=1,D12=Slot4_Age),1,0)</f>
        <v>0</v>
      </c>
      <c r="BA12" s="1" t="n">
        <f aca="false">IF(AND(Slot4_On=1,Slot4_Age&gt;D12),1,0)</f>
        <v>0</v>
      </c>
      <c r="BB12" s="1" t="n">
        <f aca="false">HR11</f>
        <v>0</v>
      </c>
      <c r="BC12" s="1" t="n">
        <f aca="false">AZ12*MIN(Slot4_Cost,BB12)</f>
        <v>0</v>
      </c>
      <c r="BD12" s="1" t="n">
        <f aca="false">AZ12*Slot4_SpendLike*MIN(Slot4_Cost-BC12,AV12)</f>
        <v>0</v>
      </c>
      <c r="BE12" s="1" t="n">
        <f aca="false">BC12+BD12</f>
        <v>0</v>
      </c>
      <c r="BF12" s="1" t="n">
        <f aca="false">AV12-BD12+AZ12*IF(Slot4_SpendLike=1,BB12-BC12,IF(Slot4_PotFree=1,BB12,0))</f>
        <v>0</v>
      </c>
      <c r="BG12" s="1" t="n">
        <f aca="false">AW12+AZ12*Slot4_BufPot*BB12</f>
        <v>0</v>
      </c>
      <c r="BH12" s="1" t="n">
        <f aca="false">IF(AND(AZ12=1,Slot4_IsMfree=1),IF(BE12&gt;=Slot4_Cost-1,0,MAX(0,AX12-BE12)),AX12)</f>
        <v>0</v>
      </c>
      <c r="BI12" s="1" t="n">
        <f aca="false">AZ12*(Slot4_Cost-BE12)</f>
        <v>0</v>
      </c>
      <c r="BJ12" s="1" t="n">
        <f aca="false">IF(AND(Slot5_On=1,D12=Slot5_Age),1,0)</f>
        <v>0</v>
      </c>
      <c r="BK12" s="1" t="n">
        <f aca="false">IF(AND(Slot5_On=1,Slot5_Age&gt;D12),1,0)</f>
        <v>0</v>
      </c>
      <c r="BL12" s="1" t="n">
        <f aca="false">HV11</f>
        <v>0</v>
      </c>
      <c r="BM12" s="1" t="n">
        <f aca="false">BJ12*MIN(Slot5_Cost,BL12)</f>
        <v>0</v>
      </c>
      <c r="BN12" s="1" t="n">
        <f aca="false">BJ12*Slot5_SpendLike*MIN(Slot5_Cost-BM12,BF12)</f>
        <v>0</v>
      </c>
      <c r="BO12" s="1" t="n">
        <f aca="false">BM12+BN12</f>
        <v>0</v>
      </c>
      <c r="BP12" s="1" t="n">
        <f aca="false">BF12-BN12+BJ12*IF(Slot5_SpendLike=1,BL12-BM12,IF(Slot5_PotFree=1,BL12,0))</f>
        <v>0</v>
      </c>
      <c r="BQ12" s="1" t="n">
        <f aca="false">BG12+BJ12*Slot5_BufPot*BL12</f>
        <v>0</v>
      </c>
      <c r="BR12" s="1" t="n">
        <f aca="false">IF(AND(BJ12=1,Slot5_IsMfree=1),IF(BO12&gt;=Slot5_Cost-1,0,MAX(0,BH12-BO12)),BH12)</f>
        <v>0</v>
      </c>
      <c r="BS12" s="1" t="n">
        <f aca="false">BJ12*(Slot5_Cost-BO12)</f>
        <v>0</v>
      </c>
      <c r="BT12" s="1" t="n">
        <f aca="false">IF(AND(Slot6_On=1,D12=Slot6_Age),1,0)</f>
        <v>0</v>
      </c>
      <c r="BU12" s="1" t="n">
        <f aca="false">IF(AND(Slot6_On=1,Slot6_Age&gt;D12),1,0)</f>
        <v>0</v>
      </c>
      <c r="BV12" s="1" t="n">
        <f aca="false">HZ11</f>
        <v>0</v>
      </c>
      <c r="BW12" s="1" t="n">
        <f aca="false">BT12*MIN(Slot6_Cost,BV12)</f>
        <v>0</v>
      </c>
      <c r="BX12" s="1" t="n">
        <f aca="false">BT12*Slot6_SpendLike*MIN(Slot6_Cost-BW12,BP12)</f>
        <v>0</v>
      </c>
      <c r="BY12" s="1" t="n">
        <f aca="false">BW12+BX12</f>
        <v>0</v>
      </c>
      <c r="BZ12" s="1" t="n">
        <f aca="false">BP12-BX12+BT12*IF(Slot6_SpendLike=1,BV12-BW12,IF(Slot6_PotFree=1,BV12,0))</f>
        <v>0</v>
      </c>
      <c r="CA12" s="1" t="n">
        <f aca="false">BQ12+BT12*Slot6_BufPot*BV12</f>
        <v>0</v>
      </c>
      <c r="CB12" s="1" t="n">
        <f aca="false">IF(AND(BT12=1,Slot6_IsMfree=1),IF(BY12&gt;=Slot6_Cost-1,0,MAX(0,BR12-BY12)),BR12)</f>
        <v>0</v>
      </c>
      <c r="CC12" s="1" t="n">
        <f aca="false">BT12*(Slot6_Cost-BY12)</f>
        <v>0</v>
      </c>
      <c r="CD12" s="1" t="n">
        <f aca="false">IF(AND(Slot7_On=1,D12=Slot7_Age),1,0)</f>
        <v>0</v>
      </c>
      <c r="CE12" s="1" t="n">
        <f aca="false">IF(AND(Slot7_On=1,Slot7_Age&gt;D12),1,0)</f>
        <v>0</v>
      </c>
      <c r="CF12" s="1" t="n">
        <f aca="false">ID11</f>
        <v>0</v>
      </c>
      <c r="CG12" s="1" t="n">
        <f aca="false">CD12*MIN(Slot7_Cost,CF12)</f>
        <v>0</v>
      </c>
      <c r="CH12" s="1" t="n">
        <f aca="false">CD12*Slot7_SpendLike*MIN(Slot7_Cost-CG12,BZ12)</f>
        <v>0</v>
      </c>
      <c r="CI12" s="1" t="n">
        <f aca="false">CG12+CH12</f>
        <v>0</v>
      </c>
      <c r="CJ12" s="1" t="n">
        <f aca="false">BZ12-CH12+CD12*IF(Slot7_SpendLike=1,CF12-CG12,IF(Slot7_PotFree=1,CF12,0))</f>
        <v>0</v>
      </c>
      <c r="CK12" s="1" t="n">
        <f aca="false">CA12+CD12*Slot7_BufPot*CF12</f>
        <v>0</v>
      </c>
      <c r="CL12" s="1" t="n">
        <f aca="false">IF(AND(CD12=1,Slot7_IsMfree=1),IF(CI12&gt;=Slot7_Cost-1,0,MAX(0,CB12-CI12)),CB12)</f>
        <v>0</v>
      </c>
      <c r="CM12" s="1" t="n">
        <f aca="false">CD12*(Slot7_Cost-CI12)</f>
        <v>0</v>
      </c>
      <c r="CN12" s="1" t="n">
        <f aca="false">IF(AND(Slot8_On=1,D12=Slot8_Age),1,0)</f>
        <v>0</v>
      </c>
      <c r="CO12" s="1" t="n">
        <f aca="false">IF(AND(Slot8_On=1,Slot8_Age&gt;D12),1,0)</f>
        <v>0</v>
      </c>
      <c r="CP12" s="1" t="n">
        <f aca="false">IH11</f>
        <v>0</v>
      </c>
      <c r="CQ12" s="1" t="n">
        <f aca="false">CN12*MIN(Slot8_Cost,CP12)</f>
        <v>0</v>
      </c>
      <c r="CR12" s="1" t="n">
        <f aca="false">CN12*Slot8_SpendLike*MIN(Slot8_Cost-CQ12,CJ12)</f>
        <v>0</v>
      </c>
      <c r="CS12" s="1" t="n">
        <f aca="false">CQ12+CR12</f>
        <v>0</v>
      </c>
      <c r="CT12" s="1" t="n">
        <f aca="false">CJ12-CR12+CN12*IF(Slot8_SpendLike=1,CP12-CQ12,IF(Slot8_PotFree=1,CP12,0))</f>
        <v>0</v>
      </c>
      <c r="CU12" s="1" t="n">
        <f aca="false">CK12+CN12*Slot8_BufPot*CP12</f>
        <v>0</v>
      </c>
      <c r="CV12" s="1" t="n">
        <f aca="false">IF(AND(CN12=1,Slot8_IsMfree=1),IF(CS12&gt;=Slot8_Cost-1,0,MAX(0,CL12-CS12)),CL12)</f>
        <v>0</v>
      </c>
      <c r="CW12" s="1" t="n">
        <f aca="false">CN12*(Slot8_Cost-CS12)</f>
        <v>0</v>
      </c>
      <c r="CX12" s="1" t="n">
        <f aca="false">U12*Slot1_SpendLike*Z12+AF12*Slot2_SpendLike*AK12+AP12*Slot3_SpendLike*AU12+AZ12*Slot4_SpendLike*BE12+BJ12*Slot5_SpendLike*BO12+BT12*Slot6_SpendLike*BY12+CD12*Slot7_SpendLike*CI12+CN12*Slot8_SpendLike*CS12</f>
        <v>0</v>
      </c>
      <c r="CY12" s="1" t="n">
        <f aca="false">AD12+AO12+AY12+BI12+BS12+CC12+CM12+CW12</f>
        <v>0</v>
      </c>
      <c r="CZ12" s="1" t="n">
        <f aca="false">U12*Slot1_Cost+AF12*Slot2_Cost+AP12*Slot3_Cost+AZ12*Slot4_Cost+BJ12*Slot5_Cost+BT12*Slot6_Cost+CD12*Slot7_Cost+CN12*Slot8_Cost</f>
        <v>0</v>
      </c>
      <c r="DA12" s="1" t="n">
        <f aca="false">CV12</f>
        <v>0</v>
      </c>
      <c r="DB12" s="1" t="n">
        <f aca="false">G12-H12-R12</f>
        <v>0</v>
      </c>
      <c r="DC12" s="1" t="n">
        <f aca="false">IF(B12=0,IF(AND(Has_q6=1,In_q6=4),PR_ShareVaries*(MAX(0,DB12)/12),MIN(IF(Has_q6=1,CHOOSE(In_q6+1,PR_SaveB1,PR_SaveB2,PR_SaveB3,PR_SaveB4,0),AS_NoAnswer),AS_SaveShare*(MAX(0,DB12)/12))),DC11)</f>
        <v>0</v>
      </c>
      <c r="DD12" s="1" t="n">
        <f aca="false">IF(DB12&gt;=0,1,0)</f>
        <v>1</v>
      </c>
      <c r="DE12" s="1" t="n">
        <f aca="false">MAX(0,DB12/12/E12)</f>
        <v>0</v>
      </c>
      <c r="DF12" s="1" t="n">
        <f aca="false">IF(AND(Has_q6=1,In_q6=4),PR_ShareVaries*(DE12),MIN(IF(Has_q6=1,CHOOSE(In_q6+1,PR_SaveB1,PR_SaveB2,PR_SaveB3,PR_SaveB4,0),AS_NoAnswer),AS_SaveShare*(DE12)))</f>
        <v>0</v>
      </c>
      <c r="DG12" s="1" t="n">
        <f aca="false">IF(Has_saveM=1,IF(In_saveUp="Yes",1,IF(In_saveUp="No",0,IF(In_saveM&gt;=DC12-0.5,1,0))),0)</f>
        <v>0</v>
      </c>
      <c r="DH12" s="1" t="n">
        <f aca="false">IF(Has_saveM=1,MIN(DE12,IF(DG12=1,MAX(In_saveM,DF12),MIN(In_saveM,DF12))),DF12)</f>
        <v>0</v>
      </c>
      <c r="DI12" s="1" t="n">
        <f aca="false">IF(F12=1,DH12*12*E12,0)</f>
        <v>0</v>
      </c>
      <c r="DJ12" s="1" t="n">
        <f aca="false">MAX(0,DI12+IF(AND(WI_Retire=0,WI_M&lt;0,F12=1),WI_M*12*E12,0))</f>
        <v>0</v>
      </c>
      <c r="DK12" s="1" t="n">
        <f aca="false">Slot1_IsWG*V12+Slot2_IsWG*AG12+Slot3_IsWG*AQ12+Slot4_IsWG*BA12+Slot5_IsWG*BK12+Slot6_IsWG*BU12+Slot7_IsWG*CE12+Slot8_IsWG*CO12</f>
        <v>0</v>
      </c>
      <c r="DL12" s="1" t="n">
        <f aca="false">IF(AND(WI_Retire=0,WI_M&gt;0,F12=1,DK12&gt;=1),WI_M*12*E12,0)</f>
        <v>0</v>
      </c>
      <c r="DM12" s="1" t="n">
        <f aca="false">IF(DD12=1,MIN(DJ12,DB12),0)</f>
        <v>0</v>
      </c>
      <c r="DN12" s="1" t="n">
        <f aca="false">IF(DD12=1,MIN(DL12,DB12-DM12),0)</f>
        <v>0</v>
      </c>
      <c r="DO12" s="1" t="n">
        <f aca="false">IF(V12=1,IF(ABS((1+AS_Wage)/(1+Slot1_Rate)-1)&lt;0.000000000001,(Slot1_Age-D12)*(1+Slot1_Rate)^(Slot1_Age-D12),(1+Slot1_Rate)^(Slot1_Age-D12)*(1-((1+AS_Wage)/(1+Slot1_Rate))^(Slot1_Age-D12))/(1-(1+AS_Wage)/(1+Slot1_Rate))),1)</f>
        <v>1</v>
      </c>
      <c r="DP12" s="1" t="n">
        <f aca="false">IF(AND(DD12=1,DN12&gt;0,Slot1_IsWG=1,V12=1),MAX(0,(Slot1_Cost-W12*(1+Slot1_Rate)^(Slot1_Age-D12))/DO12),0)</f>
        <v>0</v>
      </c>
      <c r="DQ12" s="1" t="n">
        <f aca="false">IF(AND(DD12=1,DN12&gt;0,Slot1_IsWG=1,V12=1),MIN(DN12,DP12),0)</f>
        <v>0</v>
      </c>
      <c r="DR12" s="1" t="n">
        <f aca="false">W12+DQ12</f>
        <v>0</v>
      </c>
      <c r="DS12" s="1" t="n">
        <f aca="false">IF(V12=1,MAX(0,(Slot1_Cost-DR12*(1+Slot1_Rate)^(Slot1_Age-D12))/DO12),0)</f>
        <v>0</v>
      </c>
      <c r="DT12" s="1" t="n">
        <f aca="false">IF(V12=1,MAX(0,(Slot1_Cost-W12*(1+Slot1_Rate)^(Slot1_Age-D12))/DO12),0)</f>
        <v>0</v>
      </c>
      <c r="DU12" s="1" t="n">
        <f aca="false">IF(AND(DD12=1,V12=1),MIN(DM12,DS12),0)</f>
        <v>0</v>
      </c>
      <c r="DV12" s="1" t="n">
        <f aca="false">DM12-DU12</f>
        <v>0</v>
      </c>
      <c r="DW12" s="1" t="n">
        <f aca="false">IF(AG12=1,IF(ABS((1+AS_Wage)/(1+Slot2_Rate)-1)&lt;0.000000000001,(Slot2_Age-D12)*(1+Slot2_Rate)^(Slot2_Age-D12),(1+Slot2_Rate)^(Slot2_Age-D12)*(1-((1+AS_Wage)/(1+Slot2_Rate))^(Slot2_Age-D12))/(1-(1+AS_Wage)/(1+Slot2_Rate))),1)</f>
        <v>1</v>
      </c>
      <c r="DX12" s="1" t="n">
        <f aca="false">IF(AND(DD12=1,DN12&gt;0,Slot2_IsWG=1,AG12=1),MAX(0,(Slot2_Cost-AH12*(1+Slot2_Rate)^(Slot2_Age-D12))/DW12),0)</f>
        <v>0</v>
      </c>
      <c r="DY12" s="1" t="n">
        <f aca="false">IF(AND(DD12=1,DN12&gt;0,Slot2_IsWG=1,AG12=1),MIN(DN12,DX12),0)</f>
        <v>0</v>
      </c>
      <c r="DZ12" s="1" t="n">
        <f aca="false">AH12+DY12</f>
        <v>0</v>
      </c>
      <c r="EA12" s="1" t="n">
        <f aca="false">IF(AG12=1,MAX(0,(Slot2_Cost-DZ12*(1+Slot2_Rate)^(Slot2_Age-D12))/DW12),0)</f>
        <v>0</v>
      </c>
      <c r="EB12" s="1" t="n">
        <f aca="false">IF(AG12=1,MAX(0,(Slot2_Cost-AH12*(1+Slot2_Rate)^(Slot2_Age-D12))/DW12),0)</f>
        <v>0</v>
      </c>
      <c r="EC12" s="1" t="n">
        <f aca="false">IF(AND(DD12=1,AG12=1),MIN(DV12,EA12),0)</f>
        <v>0</v>
      </c>
      <c r="ED12" s="1" t="n">
        <f aca="false">DV12-EC12</f>
        <v>0</v>
      </c>
      <c r="EE12" s="1" t="n">
        <f aca="false">IF(AQ12=1,IF(ABS((1+AS_Wage)/(1+Slot3_Rate)-1)&lt;0.000000000001,(Slot3_Age-D12)*(1+Slot3_Rate)^(Slot3_Age-D12),(1+Slot3_Rate)^(Slot3_Age-D12)*(1-((1+AS_Wage)/(1+Slot3_Rate))^(Slot3_Age-D12))/(1-(1+AS_Wage)/(1+Slot3_Rate))),1)</f>
        <v>1</v>
      </c>
      <c r="EF12" s="1" t="n">
        <f aca="false">IF(AND(DD12=1,DN12&gt;0,Slot3_IsWG=1,AQ12=1),MAX(0,(Slot3_Cost-AR12*(1+Slot3_Rate)^(Slot3_Age-D12))/EE12),0)</f>
        <v>0</v>
      </c>
      <c r="EG12" s="1" t="n">
        <f aca="false">IF(AND(DD12=1,DN12&gt;0,Slot3_IsWG=1,AQ12=1),MIN(DN12,EF12),0)</f>
        <v>0</v>
      </c>
      <c r="EH12" s="1" t="n">
        <f aca="false">AR12+EG12</f>
        <v>0</v>
      </c>
      <c r="EI12" s="1" t="n">
        <f aca="false">IF(AQ12=1,MAX(0,(Slot3_Cost-EH12*(1+Slot3_Rate)^(Slot3_Age-D12))/EE12),0)</f>
        <v>0</v>
      </c>
      <c r="EJ12" s="1" t="n">
        <f aca="false">IF(AQ12=1,MAX(0,(Slot3_Cost-AR12*(1+Slot3_Rate)^(Slot3_Age-D12))/EE12),0)</f>
        <v>0</v>
      </c>
      <c r="EK12" s="1" t="n">
        <f aca="false">IF(AND(DD12=1,AQ12=1),MIN(ED12,EI12),0)</f>
        <v>0</v>
      </c>
      <c r="EL12" s="1" t="n">
        <f aca="false">ED12-EK12</f>
        <v>0</v>
      </c>
      <c r="EM12" s="1" t="n">
        <f aca="false">IF(BA12=1,IF(ABS((1+AS_Wage)/(1+Slot4_Rate)-1)&lt;0.000000000001,(Slot4_Age-D12)*(1+Slot4_Rate)^(Slot4_Age-D12),(1+Slot4_Rate)^(Slot4_Age-D12)*(1-((1+AS_Wage)/(1+Slot4_Rate))^(Slot4_Age-D12))/(1-(1+AS_Wage)/(1+Slot4_Rate))),1)</f>
        <v>1</v>
      </c>
      <c r="EN12" s="1" t="n">
        <f aca="false">IF(AND(DD12=1,DN12&gt;0,Slot4_IsWG=1,BA12=1),MAX(0,(Slot4_Cost-BB12*(1+Slot4_Rate)^(Slot4_Age-D12))/EM12),0)</f>
        <v>0</v>
      </c>
      <c r="EO12" s="1" t="n">
        <f aca="false">IF(AND(DD12=1,DN12&gt;0,Slot4_IsWG=1,BA12=1),MIN(DN12,EN12),0)</f>
        <v>0</v>
      </c>
      <c r="EP12" s="1" t="n">
        <f aca="false">BB12+EO12</f>
        <v>0</v>
      </c>
      <c r="EQ12" s="1" t="n">
        <f aca="false">IF(BA12=1,MAX(0,(Slot4_Cost-EP12*(1+Slot4_Rate)^(Slot4_Age-D12))/EM12),0)</f>
        <v>0</v>
      </c>
      <c r="ER12" s="1" t="n">
        <f aca="false">IF(BA12=1,MAX(0,(Slot4_Cost-BB12*(1+Slot4_Rate)^(Slot4_Age-D12))/EM12),0)</f>
        <v>0</v>
      </c>
      <c r="ES12" s="1" t="n">
        <f aca="false">IF(AND(DD12=1,BA12=1),MIN(EL12,EQ12),0)</f>
        <v>0</v>
      </c>
      <c r="ET12" s="1" t="n">
        <f aca="false">EL12-ES12</f>
        <v>0</v>
      </c>
      <c r="EU12" s="1" t="n">
        <f aca="false">IF(BK12=1,IF(ABS((1+AS_Wage)/(1+Slot5_Rate)-1)&lt;0.000000000001,(Slot5_Age-D12)*(1+Slot5_Rate)^(Slot5_Age-D12),(1+Slot5_Rate)^(Slot5_Age-D12)*(1-((1+AS_Wage)/(1+Slot5_Rate))^(Slot5_Age-D12))/(1-(1+AS_Wage)/(1+Slot5_Rate))),1)</f>
        <v>1</v>
      </c>
      <c r="EV12" s="1" t="n">
        <f aca="false">IF(AND(DD12=1,DN12&gt;0,Slot5_IsWG=1,BK12=1),MAX(0,(Slot5_Cost-BL12*(1+Slot5_Rate)^(Slot5_Age-D12))/EU12),0)</f>
        <v>0</v>
      </c>
      <c r="EW12" s="1" t="n">
        <f aca="false">IF(AND(DD12=1,DN12&gt;0,Slot5_IsWG=1,BK12=1),MIN(DN12,EV12),0)</f>
        <v>0</v>
      </c>
      <c r="EX12" s="1" t="n">
        <f aca="false">BL12+EW12</f>
        <v>0</v>
      </c>
      <c r="EY12" s="1" t="n">
        <f aca="false">IF(BK12=1,MAX(0,(Slot5_Cost-EX12*(1+Slot5_Rate)^(Slot5_Age-D12))/EU12),0)</f>
        <v>0</v>
      </c>
      <c r="EZ12" s="1" t="n">
        <f aca="false">IF(BK12=1,MAX(0,(Slot5_Cost-BL12*(1+Slot5_Rate)^(Slot5_Age-D12))/EU12),0)</f>
        <v>0</v>
      </c>
      <c r="FA12" s="1" t="n">
        <f aca="false">IF(AND(DD12=1,BK12=1),MIN(ET12,EY12),0)</f>
        <v>0</v>
      </c>
      <c r="FB12" s="1" t="n">
        <f aca="false">ET12-FA12</f>
        <v>0</v>
      </c>
      <c r="FC12" s="1" t="n">
        <f aca="false">IF(BU12=1,IF(ABS((1+AS_Wage)/(1+Slot6_Rate)-1)&lt;0.000000000001,(Slot6_Age-D12)*(1+Slot6_Rate)^(Slot6_Age-D12),(1+Slot6_Rate)^(Slot6_Age-D12)*(1-((1+AS_Wage)/(1+Slot6_Rate))^(Slot6_Age-D12))/(1-(1+AS_Wage)/(1+Slot6_Rate))),1)</f>
        <v>1</v>
      </c>
      <c r="FD12" s="1" t="n">
        <f aca="false">IF(AND(DD12=1,DN12&gt;0,Slot6_IsWG=1,BU12=1),MAX(0,(Slot6_Cost-BV12*(1+Slot6_Rate)^(Slot6_Age-D12))/FC12),0)</f>
        <v>0</v>
      </c>
      <c r="FE12" s="1" t="n">
        <f aca="false">IF(AND(DD12=1,DN12&gt;0,Slot6_IsWG=1,BU12=1),MIN(DN12,FD12),0)</f>
        <v>0</v>
      </c>
      <c r="FF12" s="1" t="n">
        <f aca="false">BV12+FE12</f>
        <v>0</v>
      </c>
      <c r="FG12" s="1" t="n">
        <f aca="false">IF(BU12=1,MAX(0,(Slot6_Cost-FF12*(1+Slot6_Rate)^(Slot6_Age-D12))/FC12),0)</f>
        <v>0</v>
      </c>
      <c r="FH12" s="1" t="n">
        <f aca="false">IF(BU12=1,MAX(0,(Slot6_Cost-BV12*(1+Slot6_Rate)^(Slot6_Age-D12))/FC12),0)</f>
        <v>0</v>
      </c>
      <c r="FI12" s="1" t="n">
        <f aca="false">IF(AND(DD12=1,BU12=1),MIN(FB12,FG12),0)</f>
        <v>0</v>
      </c>
      <c r="FJ12" s="1" t="n">
        <f aca="false">FB12-FI12</f>
        <v>0</v>
      </c>
      <c r="FK12" s="1" t="n">
        <f aca="false">IF(CE12=1,IF(ABS((1+AS_Wage)/(1+Slot7_Rate)-1)&lt;0.000000000001,(Slot7_Age-D12)*(1+Slot7_Rate)^(Slot7_Age-D12),(1+Slot7_Rate)^(Slot7_Age-D12)*(1-((1+AS_Wage)/(1+Slot7_Rate))^(Slot7_Age-D12))/(1-(1+AS_Wage)/(1+Slot7_Rate))),1)</f>
        <v>1</v>
      </c>
      <c r="FL12" s="1" t="n">
        <f aca="false">IF(AND(DD12=1,DN12&gt;0,Slot7_IsWG=1,CE12=1),MAX(0,(Slot7_Cost-CF12*(1+Slot7_Rate)^(Slot7_Age-D12))/FK12),0)</f>
        <v>0</v>
      </c>
      <c r="FM12" s="1" t="n">
        <f aca="false">IF(AND(DD12=1,DN12&gt;0,Slot7_IsWG=1,CE12=1),MIN(DN12,FL12),0)</f>
        <v>0</v>
      </c>
      <c r="FN12" s="1" t="n">
        <f aca="false">CF12+FM12</f>
        <v>0</v>
      </c>
      <c r="FO12" s="1" t="n">
        <f aca="false">IF(CE12=1,MAX(0,(Slot7_Cost-FN12*(1+Slot7_Rate)^(Slot7_Age-D12))/FK12),0)</f>
        <v>0</v>
      </c>
      <c r="FP12" s="1" t="n">
        <f aca="false">IF(CE12=1,MAX(0,(Slot7_Cost-CF12*(1+Slot7_Rate)^(Slot7_Age-D12))/FK12),0)</f>
        <v>0</v>
      </c>
      <c r="FQ12" s="1" t="n">
        <f aca="false">IF(AND(DD12=1,CE12=1),MIN(FJ12,FO12),0)</f>
        <v>0</v>
      </c>
      <c r="FR12" s="1" t="n">
        <f aca="false">FJ12-FQ12</f>
        <v>0</v>
      </c>
      <c r="FS12" s="1" t="n">
        <f aca="false">IF(CO12=1,IF(ABS((1+AS_Wage)/(1+Slot8_Rate)-1)&lt;0.000000000001,(Slot8_Age-D12)*(1+Slot8_Rate)^(Slot8_Age-D12),(1+Slot8_Rate)^(Slot8_Age-D12)*(1-((1+AS_Wage)/(1+Slot8_Rate))^(Slot8_Age-D12))/(1-(1+AS_Wage)/(1+Slot8_Rate))),1)</f>
        <v>1</v>
      </c>
      <c r="FT12" s="1" t="n">
        <f aca="false">IF(AND(DD12=1,DN12&gt;0,Slot8_IsWG=1,CO12=1),MAX(0,(Slot8_Cost-CP12*(1+Slot8_Rate)^(Slot8_Age-D12))/FS12),0)</f>
        <v>0</v>
      </c>
      <c r="FU12" s="1" t="n">
        <f aca="false">IF(AND(DD12=1,DN12&gt;0,Slot8_IsWG=1,CO12=1),MIN(DN12,FT12),0)</f>
        <v>0</v>
      </c>
      <c r="FV12" s="1" t="n">
        <f aca="false">CP12+FU12</f>
        <v>0</v>
      </c>
      <c r="FW12" s="1" t="n">
        <f aca="false">IF(CO12=1,MAX(0,(Slot8_Cost-FV12*(1+Slot8_Rate)^(Slot8_Age-D12))/FS12),0)</f>
        <v>0</v>
      </c>
      <c r="FX12" s="1" t="n">
        <f aca="false">IF(CO12=1,MAX(0,(Slot8_Cost-CP12*(1+Slot8_Rate)^(Slot8_Age-D12))/FS12),0)</f>
        <v>0</v>
      </c>
      <c r="FY12" s="1" t="n">
        <f aca="false">IF(AND(DD12=1,CO12=1),MIN(FR12,FW12),0)</f>
        <v>0</v>
      </c>
      <c r="FZ12" s="1" t="n">
        <f aca="false">FR12-FY12</f>
        <v>0</v>
      </c>
      <c r="GA12" s="1" t="n">
        <f aca="false">DN12-(DQ12+DY12+EG12+EO12+EW12+FE12+FM12+FU12)</f>
        <v>0</v>
      </c>
      <c r="GB12" s="1" t="n">
        <f aca="false">IF(DD12=1,DB12-DM12-DN12,0)</f>
        <v>0</v>
      </c>
      <c r="GC12" s="1" t="n">
        <f aca="false">IF(DD12=0,-DB12,0)</f>
        <v>0</v>
      </c>
      <c r="GD12" s="1" t="n">
        <f aca="false">MIN(GC12,CT12)</f>
        <v>0</v>
      </c>
      <c r="GE12" s="1" t="n">
        <f aca="false">GC12-GD12</f>
        <v>0</v>
      </c>
      <c r="GF12" s="1" t="n">
        <f aca="false">MIN(GE12,CU12)</f>
        <v>0</v>
      </c>
      <c r="GG12" s="1" t="n">
        <f aca="false">GE12-GF12</f>
        <v>0</v>
      </c>
      <c r="GH12" s="1" t="n">
        <f aca="false">IF(AND(DD12=0,CO12=1,GG12&gt;0),MIN(GG12,CP12),0)</f>
        <v>0</v>
      </c>
      <c r="GI12" s="1" t="n">
        <f aca="false">GG12-GH12</f>
        <v>0</v>
      </c>
      <c r="GJ12" s="1" t="n">
        <f aca="false">IF(AND(DD12=0,CE12=1,GI12&gt;0),MIN(GI12,CF12),0)</f>
        <v>0</v>
      </c>
      <c r="GK12" s="1" t="n">
        <f aca="false">GI12-GJ12</f>
        <v>0</v>
      </c>
      <c r="GL12" s="1" t="n">
        <f aca="false">IF(AND(DD12=0,BU12=1,GK12&gt;0),MIN(GK12,BV12),0)</f>
        <v>0</v>
      </c>
      <c r="GM12" s="1" t="n">
        <f aca="false">GK12-GL12</f>
        <v>0</v>
      </c>
      <c r="GN12" s="1" t="n">
        <f aca="false">IF(AND(DD12=0,BK12=1,GM12&gt;0),MIN(GM12,BL12),0)</f>
        <v>0</v>
      </c>
      <c r="GO12" s="1" t="n">
        <f aca="false">GM12-GN12</f>
        <v>0</v>
      </c>
      <c r="GP12" s="1" t="n">
        <f aca="false">IF(AND(DD12=0,BA12=1,GO12&gt;0),MIN(GO12,BB12),0)</f>
        <v>0</v>
      </c>
      <c r="GQ12" s="1" t="n">
        <f aca="false">GO12-GP12</f>
        <v>0</v>
      </c>
      <c r="GR12" s="1" t="n">
        <f aca="false">IF(AND(DD12=0,AQ12=1,GQ12&gt;0),MIN(GQ12,AR12),0)</f>
        <v>0</v>
      </c>
      <c r="GS12" s="1" t="n">
        <f aca="false">GQ12-GR12</f>
        <v>0</v>
      </c>
      <c r="GT12" s="1" t="n">
        <f aca="false">IF(AND(DD12=0,AG12=1,GS12&gt;0),MIN(GS12,AH12),0)</f>
        <v>0</v>
      </c>
      <c r="GU12" s="1" t="n">
        <f aca="false">GS12-GT12</f>
        <v>0</v>
      </c>
      <c r="GV12" s="1" t="n">
        <f aca="false">IF(AND(DD12=0,V12=1,GU12&gt;0),MIN(GU12,W12),0)</f>
        <v>0</v>
      </c>
      <c r="GW12" s="1" t="n">
        <f aca="false">GU12-GV12</f>
        <v>0</v>
      </c>
      <c r="GX12" s="1" t="n">
        <f aca="false">IF(DD12=0,GW12,0)</f>
        <v>0</v>
      </c>
      <c r="GY12" s="1" t="n">
        <f aca="false">GD12+GF12+GV12+GT12+GR12+GP12+GN12+GL12+GJ12+GH12</f>
        <v>0</v>
      </c>
      <c r="GZ12" s="1" t="n">
        <f aca="false">IF(DD12=1,CT12+GA12+FZ12+IF(F12=1,0,GB12),CT12-GD12)</f>
        <v>0</v>
      </c>
      <c r="HA12" s="1" t="n">
        <f aca="false">CU12-GF12</f>
        <v>0</v>
      </c>
      <c r="HB12" s="1" t="n">
        <f aca="false">IF(DD12=1,IF(F12=1,DM12+DN12,DB12),0)</f>
        <v>0</v>
      </c>
      <c r="HC12" s="1" t="n">
        <f aca="false">IF(DD12=1,IF(F12=1,DB12-DM12-DN12,0),0)</f>
        <v>0</v>
      </c>
      <c r="HD12" s="1" t="n">
        <f aca="false">GZ12*(1+GR)</f>
        <v>0</v>
      </c>
      <c r="HE12" s="1" t="n">
        <f aca="false">HA12*(1+AS_Cash)</f>
        <v>0</v>
      </c>
      <c r="HF12" s="1" t="n">
        <f aca="false">IF(V12=1,IF(DD12=1,DR12+DU12,W12-GV12)*(1+Slot1_Rate),0)</f>
        <v>0</v>
      </c>
      <c r="HG12" s="1" t="n">
        <f aca="false">IF(AND(DD12=1,V12=1),(DQ12+DU12)/E12,0)</f>
        <v>0</v>
      </c>
      <c r="HH12" s="1" t="n">
        <f aca="false">IF(B12=0,DQ12+DU12,0)</f>
        <v>0</v>
      </c>
      <c r="HI12" s="1" t="n">
        <f aca="false">IF(B12=0,IF(DD12=1,DS12,DT12),0)</f>
        <v>0</v>
      </c>
      <c r="HJ12" s="1" t="n">
        <f aca="false">IF(AG12=1,IF(DD12=1,DZ12+EC12,AH12-GT12)*(1+Slot2_Rate),0)</f>
        <v>0</v>
      </c>
      <c r="HK12" s="1" t="n">
        <f aca="false">IF(AND(DD12=1,AG12=1),(DY12+EC12)/E12,0)</f>
        <v>0</v>
      </c>
      <c r="HL12" s="1" t="n">
        <f aca="false">IF(B12=0,DY12+EC12,0)</f>
        <v>0</v>
      </c>
      <c r="HM12" s="1" t="n">
        <f aca="false">IF(B12=0,IF(DD12=1,EA12,EB12),0)</f>
        <v>0</v>
      </c>
      <c r="HN12" s="1" t="n">
        <f aca="false">IF(AQ12=1,IF(DD12=1,EH12+EK12,AR12-GR12)*(1+Slot3_Rate),0)</f>
        <v>0</v>
      </c>
      <c r="HO12" s="1" t="n">
        <f aca="false">IF(AND(DD12=1,AQ12=1),(EG12+EK12)/E12,0)</f>
        <v>0</v>
      </c>
      <c r="HP12" s="1" t="n">
        <f aca="false">IF(B12=0,EG12+EK12,0)</f>
        <v>0</v>
      </c>
      <c r="HQ12" s="1" t="n">
        <f aca="false">IF(B12=0,IF(DD12=1,EI12,EJ12),0)</f>
        <v>0</v>
      </c>
      <c r="HR12" s="1" t="n">
        <f aca="false">IF(BA12=1,IF(DD12=1,EP12+ES12,BB12-GP12)*(1+Slot4_Rate),0)</f>
        <v>0</v>
      </c>
      <c r="HS12" s="1" t="n">
        <f aca="false">IF(AND(DD12=1,BA12=1),(EO12+ES12)/E12,0)</f>
        <v>0</v>
      </c>
      <c r="HT12" s="1" t="n">
        <f aca="false">IF(B12=0,EO12+ES12,0)</f>
        <v>0</v>
      </c>
      <c r="HU12" s="1" t="n">
        <f aca="false">IF(B12=0,IF(DD12=1,EQ12,ER12),0)</f>
        <v>0</v>
      </c>
      <c r="HV12" s="1" t="n">
        <f aca="false">IF(BK12=1,IF(DD12=1,EX12+FA12,BL12-GN12)*(1+Slot5_Rate),0)</f>
        <v>0</v>
      </c>
      <c r="HW12" s="1" t="n">
        <f aca="false">IF(AND(DD12=1,BK12=1),(EW12+FA12)/E12,0)</f>
        <v>0</v>
      </c>
      <c r="HX12" s="1" t="n">
        <f aca="false">IF(B12=0,EW12+FA12,0)</f>
        <v>0</v>
      </c>
      <c r="HY12" s="1" t="n">
        <f aca="false">IF(B12=0,IF(DD12=1,EY12,EZ12),0)</f>
        <v>0</v>
      </c>
      <c r="HZ12" s="1" t="n">
        <f aca="false">IF(BU12=1,IF(DD12=1,FF12+FI12,BV12-GL12)*(1+Slot6_Rate),0)</f>
        <v>0</v>
      </c>
      <c r="IA12" s="1" t="n">
        <f aca="false">IF(AND(DD12=1,BU12=1),(FE12+FI12)/E12,0)</f>
        <v>0</v>
      </c>
      <c r="IB12" s="1" t="n">
        <f aca="false">IF(B12=0,FE12+FI12,0)</f>
        <v>0</v>
      </c>
      <c r="IC12" s="1" t="n">
        <f aca="false">IF(B12=0,IF(DD12=1,FG12,FH12),0)</f>
        <v>0</v>
      </c>
      <c r="ID12" s="1" t="n">
        <f aca="false">IF(CE12=1,IF(DD12=1,FN12+FQ12,CF12-GJ12)*(1+Slot7_Rate),0)</f>
        <v>0</v>
      </c>
      <c r="IE12" s="1" t="n">
        <f aca="false">IF(AND(DD12=1,CE12=1),(FM12+FQ12)/E12,0)</f>
        <v>0</v>
      </c>
      <c r="IF12" s="1" t="n">
        <f aca="false">IF(B12=0,FM12+FQ12,0)</f>
        <v>0</v>
      </c>
      <c r="IG12" s="1" t="n">
        <f aca="false">IF(B12=0,IF(DD12=1,FO12,FP12),0)</f>
        <v>0</v>
      </c>
      <c r="IH12" s="1" t="n">
        <f aca="false">IF(CO12=1,IF(DD12=1,FV12+FY12,CP12-GH12)*(1+Slot8_Rate),0)</f>
        <v>0</v>
      </c>
      <c r="II12" s="1" t="n">
        <f aca="false">IF(AND(DD12=1,CO12=1),(FU12+FY12)/E12,0)</f>
        <v>0</v>
      </c>
      <c r="IJ12" s="1" t="n">
        <f aca="false">IF(B12=0,FU12+FY12,0)</f>
        <v>0</v>
      </c>
      <c r="IK12" s="1" t="n">
        <f aca="false">IF(B12=0,IF(DD12=1,FW12,FX12),0)</f>
        <v>0</v>
      </c>
      <c r="IL12" s="1" t="n">
        <f aca="false">HD12+HE12+HF12+HJ12+HN12+HR12+HV12+HZ12+ID12+IH12</f>
        <v>0</v>
      </c>
      <c r="IM12" s="1" t="n">
        <f aca="false">GX12+CY12</f>
        <v>0</v>
      </c>
      <c r="IN12" s="1" t="n">
        <f aca="false">H12+R12</f>
        <v>0</v>
      </c>
      <c r="IO12" s="1" t="n">
        <f aca="false">1-F12</f>
        <v>1</v>
      </c>
      <c r="IP12" s="1" t="n">
        <f aca="false">IF(AND(RG_Exists=1,F12=0,C12=1),H12,0)</f>
        <v>0</v>
      </c>
      <c r="IQ12" s="1" t="n">
        <f aca="false">IF(AND(RG_Exists=1,F12=0,C12=1),H12-MIN(GX12,H12),0)</f>
        <v>0</v>
      </c>
      <c r="IR12" s="1" t="n">
        <f aca="false">'Plan pay &amp; tax'!AD214</f>
        <v>0</v>
      </c>
      <c r="IS12" s="1" t="n">
        <f aca="false">IF(AND(C12=1,GX12&gt;MAX(PR_Short1,IN12*PR_Short2)),1,0)</f>
        <v>0</v>
      </c>
      <c r="IT12" s="1" t="n">
        <f aca="false">MIN(G12,H12+R12)</f>
        <v>0</v>
      </c>
      <c r="IU12" s="1" t="n">
        <f aca="false">GY12+MAX(0,CZ12-CY12)</f>
        <v>0</v>
      </c>
      <c r="IV12" s="1" t="n">
        <f aca="false">GX12+CY12</f>
        <v>0</v>
      </c>
      <c r="IW12" s="1" t="n">
        <f aca="false">IF(AND(C12=1,IV12&gt;0.5),1,0)</f>
        <v>0</v>
      </c>
      <c r="IX12" s="1" t="n">
        <f aca="false">IF(AND(C12=1,IW12=0,IU12&gt;0.5),1,0)</f>
        <v>0</v>
      </c>
      <c r="IY12" s="1" t="n">
        <f aca="false">IF(AND(C12=1,GX12&gt;0.5),1,0)</f>
        <v>0</v>
      </c>
      <c r="IZ12" s="1" t="n">
        <f aca="false">IF(AND(C12=1,GY12&gt;1,JF12=0),1,0)</f>
        <v>0</v>
      </c>
      <c r="JA12" s="1" t="n">
        <f aca="false">IF(AND(INT(D12/10)*10=90,B12&gt;0),80,INT(D12/10)*10)</f>
        <v>0</v>
      </c>
      <c r="JB12" s="1" t="n">
        <f aca="false">IF(B12=0,1,IF(JA12&lt;&gt;JA11,JB11+1,JB11))</f>
        <v>1</v>
      </c>
      <c r="JC12" s="1" t="n">
        <f aca="false">IF(AND(C12=1,F12=1,GX12&gt;MAX(PR_Short1,IN12*PR_Short2)),1,0)</f>
        <v>0</v>
      </c>
      <c r="JD12" s="1" t="n">
        <f aca="false">IO12*IS12</f>
        <v>0</v>
      </c>
      <c r="JE12" s="1" t="n">
        <f aca="false">IF(AND(U12=1,Slot1_PctLow=1),1,0)+IF(AND(AF12=1,Slot2_PctLow=1),1,0)+IF(AND(AP12=1,Slot3_PctLow=1),1,0)+IF(AND(AZ12=1,Slot4_PctLow=1),1,0)+IF(AND(BJ12=1,Slot5_PctLow=1),1,0)+IF(AND(BT12=1,Slot6_PctLow=1),1,0)+IF(AND(CD12=1,Slot7_PctLow=1),1,0)+IF(AND(CN12=1,Slot8_PctLow=1),1,0)</f>
        <v>0</v>
      </c>
      <c r="JF12" s="1" t="n">
        <f aca="false">IF(C12=1,IF(OR(IS12=1,JE12&gt;0),1,0),0)</f>
        <v>0</v>
      </c>
    </row>
    <row r="13" customFormat="false" ht="15" hidden="false" customHeight="false" outlineLevel="0" collapsed="false">
      <c r="B13" s="1" t="n">
        <v>5</v>
      </c>
      <c r="C13" s="1" t="n">
        <f aca="false">IF(B13&lt;=F_N,1,0)</f>
        <v>1</v>
      </c>
      <c r="D13" s="1" t="n">
        <f aca="false">'Plan pay &amp; tax'!C215</f>
        <v>5</v>
      </c>
      <c r="E13" s="106" t="n">
        <f aca="false">'Plan pay &amp; tax'!E215</f>
        <v>1.1040808032</v>
      </c>
      <c r="F13" s="1" t="n">
        <f aca="false">'Plan pay &amp; tax'!G215</f>
        <v>0</v>
      </c>
      <c r="G13" s="1" t="n">
        <f aca="false">'Plan pay &amp; tax'!BT215-'Plan pay &amp; tax'!BS215-'Plan pay &amp; tax'!R215</f>
        <v>0</v>
      </c>
      <c r="H13" s="1" t="n">
        <f aca="false">IF(F13=1,F_CostsM*12,IF(RG_Exists=1,RG_Amount,F_CostsM*12*AS_RetireSpend))*E13+F_OneOffY*E13</f>
        <v>0</v>
      </c>
      <c r="I13" s="1" t="n">
        <f aca="false">DA12</f>
        <v>0</v>
      </c>
      <c r="J13" s="1" t="n">
        <f aca="false">IF(I13&gt;1,'Plan debt months'!AC13,0)</f>
        <v>0</v>
      </c>
      <c r="K13" s="1" t="n">
        <f aca="false">IF(I13&gt;1,'Plan debt months'!AB13,I13)</f>
        <v>0</v>
      </c>
      <c r="L13" s="1" t="n">
        <f aca="false">N12</f>
        <v>0</v>
      </c>
      <c r="M13" s="1" t="n">
        <f aca="false">IF(L13&gt;1,'Plan debt months'!BD13,0)</f>
        <v>0</v>
      </c>
      <c r="N13" s="1" t="n">
        <f aca="false">IF(L13&gt;1,'Plan debt months'!BC13,L13)</f>
        <v>0</v>
      </c>
      <c r="O13" s="1" t="n">
        <f aca="false">Q12</f>
        <v>0</v>
      </c>
      <c r="P13" s="1" t="n">
        <f aca="false">IF(O13&gt;1,'Plan debt months'!CE13,0)</f>
        <v>0</v>
      </c>
      <c r="Q13" s="1" t="n">
        <f aca="false">IF(O13&gt;1,'Plan debt months'!CD13,O13)</f>
        <v>0</v>
      </c>
      <c r="R13" s="1" t="n">
        <f aca="false">J13+M13+P13</f>
        <v>0</v>
      </c>
      <c r="S13" s="1" t="n">
        <f aca="false">HD12+'Plan pay &amp; tax'!Y215</f>
        <v>0</v>
      </c>
      <c r="T13" s="1" t="n">
        <f aca="false">HD12</f>
        <v>0</v>
      </c>
      <c r="U13" s="1" t="n">
        <f aca="false">IF(AND(Slot1_On=1,D13=Slot1_Age),1,0)</f>
        <v>0</v>
      </c>
      <c r="V13" s="1" t="n">
        <f aca="false">IF(AND(Slot1_On=1,Slot1_Age&gt;D13),1,0)</f>
        <v>0</v>
      </c>
      <c r="W13" s="1" t="n">
        <f aca="false">HF12</f>
        <v>0</v>
      </c>
      <c r="X13" s="1" t="n">
        <f aca="false">U13*MIN(Slot1_Cost,W13)</f>
        <v>0</v>
      </c>
      <c r="Y13" s="1" t="n">
        <f aca="false">U13*Slot1_SpendLike*MIN(Slot1_Cost-X13,S13)</f>
        <v>0</v>
      </c>
      <c r="Z13" s="1" t="n">
        <f aca="false">X13+Y13</f>
        <v>0</v>
      </c>
      <c r="AA13" s="1" t="n">
        <f aca="false">S13-Y13+U13*IF(Slot1_SpendLike=1,W13-X13,IF(Slot1_PotFree=1,W13,0))</f>
        <v>0</v>
      </c>
      <c r="AB13" s="1" t="n">
        <f aca="false">AE13+U13*Slot1_BufPot*W13</f>
        <v>0</v>
      </c>
      <c r="AC13" s="1" t="n">
        <f aca="false">IF(AND(U13=1,Slot1_IsMfree=1),IF(Z13&gt;=Slot1_Cost-1,0,MAX(0,K13-Z13)),K13)</f>
        <v>0</v>
      </c>
      <c r="AD13" s="1" t="n">
        <f aca="false">U13*(Slot1_Cost-Z13)</f>
        <v>0</v>
      </c>
      <c r="AE13" s="1" t="n">
        <f aca="false">HE12</f>
        <v>0</v>
      </c>
      <c r="AF13" s="1" t="n">
        <f aca="false">IF(AND(Slot2_On=1,D13=Slot2_Age),1,0)</f>
        <v>0</v>
      </c>
      <c r="AG13" s="1" t="n">
        <f aca="false">IF(AND(Slot2_On=1,Slot2_Age&gt;D13),1,0)</f>
        <v>0</v>
      </c>
      <c r="AH13" s="1" t="n">
        <f aca="false">HJ12</f>
        <v>0</v>
      </c>
      <c r="AI13" s="1" t="n">
        <f aca="false">AF13*MIN(Slot2_Cost,AH13)</f>
        <v>0</v>
      </c>
      <c r="AJ13" s="1" t="n">
        <f aca="false">AF13*Slot2_SpendLike*MIN(Slot2_Cost-AI13,AA13)</f>
        <v>0</v>
      </c>
      <c r="AK13" s="1" t="n">
        <f aca="false">AI13+AJ13</f>
        <v>0</v>
      </c>
      <c r="AL13" s="1" t="n">
        <f aca="false">AA13-AJ13+AF13*IF(Slot2_SpendLike=1,AH13-AI13,IF(Slot2_PotFree=1,AH13,0))</f>
        <v>0</v>
      </c>
      <c r="AM13" s="1" t="n">
        <f aca="false">AB13+AF13*Slot2_BufPot*AH13</f>
        <v>0</v>
      </c>
      <c r="AN13" s="1" t="n">
        <f aca="false">IF(AND(AF13=1,Slot2_IsMfree=1),IF(AK13&gt;=Slot2_Cost-1,0,MAX(0,AC13-AK13)),AC13)</f>
        <v>0</v>
      </c>
      <c r="AO13" s="1" t="n">
        <f aca="false">AF13*(Slot2_Cost-AK13)</f>
        <v>0</v>
      </c>
      <c r="AP13" s="1" t="n">
        <f aca="false">IF(AND(Slot3_On=1,D13=Slot3_Age),1,0)</f>
        <v>0</v>
      </c>
      <c r="AQ13" s="1" t="n">
        <f aca="false">IF(AND(Slot3_On=1,Slot3_Age&gt;D13),1,0)</f>
        <v>0</v>
      </c>
      <c r="AR13" s="1" t="n">
        <f aca="false">HN12</f>
        <v>0</v>
      </c>
      <c r="AS13" s="1" t="n">
        <f aca="false">AP13*MIN(Slot3_Cost,AR13)</f>
        <v>0</v>
      </c>
      <c r="AT13" s="1" t="n">
        <f aca="false">AP13*Slot3_SpendLike*MIN(Slot3_Cost-AS13,AL13)</f>
        <v>0</v>
      </c>
      <c r="AU13" s="1" t="n">
        <f aca="false">AS13+AT13</f>
        <v>0</v>
      </c>
      <c r="AV13" s="1" t="n">
        <f aca="false">AL13-AT13+AP13*IF(Slot3_SpendLike=1,AR13-AS13,IF(Slot3_PotFree=1,AR13,0))</f>
        <v>0</v>
      </c>
      <c r="AW13" s="1" t="n">
        <f aca="false">AM13+AP13*Slot3_BufPot*AR13</f>
        <v>0</v>
      </c>
      <c r="AX13" s="1" t="n">
        <f aca="false">IF(AND(AP13=1,Slot3_IsMfree=1),IF(AU13&gt;=Slot3_Cost-1,0,MAX(0,AN13-AU13)),AN13)</f>
        <v>0</v>
      </c>
      <c r="AY13" s="1" t="n">
        <f aca="false">AP13*(Slot3_Cost-AU13)</f>
        <v>0</v>
      </c>
      <c r="AZ13" s="1" t="n">
        <f aca="false">IF(AND(Slot4_On=1,D13=Slot4_Age),1,0)</f>
        <v>0</v>
      </c>
      <c r="BA13" s="1" t="n">
        <f aca="false">IF(AND(Slot4_On=1,Slot4_Age&gt;D13),1,0)</f>
        <v>0</v>
      </c>
      <c r="BB13" s="1" t="n">
        <f aca="false">HR12</f>
        <v>0</v>
      </c>
      <c r="BC13" s="1" t="n">
        <f aca="false">AZ13*MIN(Slot4_Cost,BB13)</f>
        <v>0</v>
      </c>
      <c r="BD13" s="1" t="n">
        <f aca="false">AZ13*Slot4_SpendLike*MIN(Slot4_Cost-BC13,AV13)</f>
        <v>0</v>
      </c>
      <c r="BE13" s="1" t="n">
        <f aca="false">BC13+BD13</f>
        <v>0</v>
      </c>
      <c r="BF13" s="1" t="n">
        <f aca="false">AV13-BD13+AZ13*IF(Slot4_SpendLike=1,BB13-BC13,IF(Slot4_PotFree=1,BB13,0))</f>
        <v>0</v>
      </c>
      <c r="BG13" s="1" t="n">
        <f aca="false">AW13+AZ13*Slot4_BufPot*BB13</f>
        <v>0</v>
      </c>
      <c r="BH13" s="1" t="n">
        <f aca="false">IF(AND(AZ13=1,Slot4_IsMfree=1),IF(BE13&gt;=Slot4_Cost-1,0,MAX(0,AX13-BE13)),AX13)</f>
        <v>0</v>
      </c>
      <c r="BI13" s="1" t="n">
        <f aca="false">AZ13*(Slot4_Cost-BE13)</f>
        <v>0</v>
      </c>
      <c r="BJ13" s="1" t="n">
        <f aca="false">IF(AND(Slot5_On=1,D13=Slot5_Age),1,0)</f>
        <v>0</v>
      </c>
      <c r="BK13" s="1" t="n">
        <f aca="false">IF(AND(Slot5_On=1,Slot5_Age&gt;D13),1,0)</f>
        <v>0</v>
      </c>
      <c r="BL13" s="1" t="n">
        <f aca="false">HV12</f>
        <v>0</v>
      </c>
      <c r="BM13" s="1" t="n">
        <f aca="false">BJ13*MIN(Slot5_Cost,BL13)</f>
        <v>0</v>
      </c>
      <c r="BN13" s="1" t="n">
        <f aca="false">BJ13*Slot5_SpendLike*MIN(Slot5_Cost-BM13,BF13)</f>
        <v>0</v>
      </c>
      <c r="BO13" s="1" t="n">
        <f aca="false">BM13+BN13</f>
        <v>0</v>
      </c>
      <c r="BP13" s="1" t="n">
        <f aca="false">BF13-BN13+BJ13*IF(Slot5_SpendLike=1,BL13-BM13,IF(Slot5_PotFree=1,BL13,0))</f>
        <v>0</v>
      </c>
      <c r="BQ13" s="1" t="n">
        <f aca="false">BG13+BJ13*Slot5_BufPot*BL13</f>
        <v>0</v>
      </c>
      <c r="BR13" s="1" t="n">
        <f aca="false">IF(AND(BJ13=1,Slot5_IsMfree=1),IF(BO13&gt;=Slot5_Cost-1,0,MAX(0,BH13-BO13)),BH13)</f>
        <v>0</v>
      </c>
      <c r="BS13" s="1" t="n">
        <f aca="false">BJ13*(Slot5_Cost-BO13)</f>
        <v>0</v>
      </c>
      <c r="BT13" s="1" t="n">
        <f aca="false">IF(AND(Slot6_On=1,D13=Slot6_Age),1,0)</f>
        <v>0</v>
      </c>
      <c r="BU13" s="1" t="n">
        <f aca="false">IF(AND(Slot6_On=1,Slot6_Age&gt;D13),1,0)</f>
        <v>0</v>
      </c>
      <c r="BV13" s="1" t="n">
        <f aca="false">HZ12</f>
        <v>0</v>
      </c>
      <c r="BW13" s="1" t="n">
        <f aca="false">BT13*MIN(Slot6_Cost,BV13)</f>
        <v>0</v>
      </c>
      <c r="BX13" s="1" t="n">
        <f aca="false">BT13*Slot6_SpendLike*MIN(Slot6_Cost-BW13,BP13)</f>
        <v>0</v>
      </c>
      <c r="BY13" s="1" t="n">
        <f aca="false">BW13+BX13</f>
        <v>0</v>
      </c>
      <c r="BZ13" s="1" t="n">
        <f aca="false">BP13-BX13+BT13*IF(Slot6_SpendLike=1,BV13-BW13,IF(Slot6_PotFree=1,BV13,0))</f>
        <v>0</v>
      </c>
      <c r="CA13" s="1" t="n">
        <f aca="false">BQ13+BT13*Slot6_BufPot*BV13</f>
        <v>0</v>
      </c>
      <c r="CB13" s="1" t="n">
        <f aca="false">IF(AND(BT13=1,Slot6_IsMfree=1),IF(BY13&gt;=Slot6_Cost-1,0,MAX(0,BR13-BY13)),BR13)</f>
        <v>0</v>
      </c>
      <c r="CC13" s="1" t="n">
        <f aca="false">BT13*(Slot6_Cost-BY13)</f>
        <v>0</v>
      </c>
      <c r="CD13" s="1" t="n">
        <f aca="false">IF(AND(Slot7_On=1,D13=Slot7_Age),1,0)</f>
        <v>0</v>
      </c>
      <c r="CE13" s="1" t="n">
        <f aca="false">IF(AND(Slot7_On=1,Slot7_Age&gt;D13),1,0)</f>
        <v>0</v>
      </c>
      <c r="CF13" s="1" t="n">
        <f aca="false">ID12</f>
        <v>0</v>
      </c>
      <c r="CG13" s="1" t="n">
        <f aca="false">CD13*MIN(Slot7_Cost,CF13)</f>
        <v>0</v>
      </c>
      <c r="CH13" s="1" t="n">
        <f aca="false">CD13*Slot7_SpendLike*MIN(Slot7_Cost-CG13,BZ13)</f>
        <v>0</v>
      </c>
      <c r="CI13" s="1" t="n">
        <f aca="false">CG13+CH13</f>
        <v>0</v>
      </c>
      <c r="CJ13" s="1" t="n">
        <f aca="false">BZ13-CH13+CD13*IF(Slot7_SpendLike=1,CF13-CG13,IF(Slot7_PotFree=1,CF13,0))</f>
        <v>0</v>
      </c>
      <c r="CK13" s="1" t="n">
        <f aca="false">CA13+CD13*Slot7_BufPot*CF13</f>
        <v>0</v>
      </c>
      <c r="CL13" s="1" t="n">
        <f aca="false">IF(AND(CD13=1,Slot7_IsMfree=1),IF(CI13&gt;=Slot7_Cost-1,0,MAX(0,CB13-CI13)),CB13)</f>
        <v>0</v>
      </c>
      <c r="CM13" s="1" t="n">
        <f aca="false">CD13*(Slot7_Cost-CI13)</f>
        <v>0</v>
      </c>
      <c r="CN13" s="1" t="n">
        <f aca="false">IF(AND(Slot8_On=1,D13=Slot8_Age),1,0)</f>
        <v>0</v>
      </c>
      <c r="CO13" s="1" t="n">
        <f aca="false">IF(AND(Slot8_On=1,Slot8_Age&gt;D13),1,0)</f>
        <v>0</v>
      </c>
      <c r="CP13" s="1" t="n">
        <f aca="false">IH12</f>
        <v>0</v>
      </c>
      <c r="CQ13" s="1" t="n">
        <f aca="false">CN13*MIN(Slot8_Cost,CP13)</f>
        <v>0</v>
      </c>
      <c r="CR13" s="1" t="n">
        <f aca="false">CN13*Slot8_SpendLike*MIN(Slot8_Cost-CQ13,CJ13)</f>
        <v>0</v>
      </c>
      <c r="CS13" s="1" t="n">
        <f aca="false">CQ13+CR13</f>
        <v>0</v>
      </c>
      <c r="CT13" s="1" t="n">
        <f aca="false">CJ13-CR13+CN13*IF(Slot8_SpendLike=1,CP13-CQ13,IF(Slot8_PotFree=1,CP13,0))</f>
        <v>0</v>
      </c>
      <c r="CU13" s="1" t="n">
        <f aca="false">CK13+CN13*Slot8_BufPot*CP13</f>
        <v>0</v>
      </c>
      <c r="CV13" s="1" t="n">
        <f aca="false">IF(AND(CN13=1,Slot8_IsMfree=1),IF(CS13&gt;=Slot8_Cost-1,0,MAX(0,CL13-CS13)),CL13)</f>
        <v>0</v>
      </c>
      <c r="CW13" s="1" t="n">
        <f aca="false">CN13*(Slot8_Cost-CS13)</f>
        <v>0</v>
      </c>
      <c r="CX13" s="1" t="n">
        <f aca="false">U13*Slot1_SpendLike*Z13+AF13*Slot2_SpendLike*AK13+AP13*Slot3_SpendLike*AU13+AZ13*Slot4_SpendLike*BE13+BJ13*Slot5_SpendLike*BO13+BT13*Slot6_SpendLike*BY13+CD13*Slot7_SpendLike*CI13+CN13*Slot8_SpendLike*CS13</f>
        <v>0</v>
      </c>
      <c r="CY13" s="1" t="n">
        <f aca="false">AD13+AO13+AY13+BI13+BS13+CC13+CM13+CW13</f>
        <v>0</v>
      </c>
      <c r="CZ13" s="1" t="n">
        <f aca="false">U13*Slot1_Cost+AF13*Slot2_Cost+AP13*Slot3_Cost+AZ13*Slot4_Cost+BJ13*Slot5_Cost+BT13*Slot6_Cost+CD13*Slot7_Cost+CN13*Slot8_Cost</f>
        <v>0</v>
      </c>
      <c r="DA13" s="1" t="n">
        <f aca="false">CV13</f>
        <v>0</v>
      </c>
      <c r="DB13" s="1" t="n">
        <f aca="false">G13-H13-R13</f>
        <v>0</v>
      </c>
      <c r="DC13" s="1" t="n">
        <f aca="false">IF(B13=0,IF(AND(Has_q6=1,In_q6=4),PR_ShareVaries*(MAX(0,DB13)/12),MIN(IF(Has_q6=1,CHOOSE(In_q6+1,PR_SaveB1,PR_SaveB2,PR_SaveB3,PR_SaveB4,0),AS_NoAnswer),AS_SaveShare*(MAX(0,DB13)/12))),DC12)</f>
        <v>0</v>
      </c>
      <c r="DD13" s="1" t="n">
        <f aca="false">IF(DB13&gt;=0,1,0)</f>
        <v>1</v>
      </c>
      <c r="DE13" s="1" t="n">
        <f aca="false">MAX(0,DB13/12/E13)</f>
        <v>0</v>
      </c>
      <c r="DF13" s="1" t="n">
        <f aca="false">IF(AND(Has_q6=1,In_q6=4),PR_ShareVaries*(DE13),MIN(IF(Has_q6=1,CHOOSE(In_q6+1,PR_SaveB1,PR_SaveB2,PR_SaveB3,PR_SaveB4,0),AS_NoAnswer),AS_SaveShare*(DE13)))</f>
        <v>0</v>
      </c>
      <c r="DG13" s="1" t="n">
        <f aca="false">IF(Has_saveM=1,IF(In_saveUp="Yes",1,IF(In_saveUp="No",0,IF(In_saveM&gt;=DC13-0.5,1,0))),0)</f>
        <v>0</v>
      </c>
      <c r="DH13" s="1" t="n">
        <f aca="false">IF(Has_saveM=1,MIN(DE13,IF(DG13=1,MAX(In_saveM,DF13),MIN(In_saveM,DF13))),DF13)</f>
        <v>0</v>
      </c>
      <c r="DI13" s="1" t="n">
        <f aca="false">IF(F13=1,DH13*12*E13,0)</f>
        <v>0</v>
      </c>
      <c r="DJ13" s="1" t="n">
        <f aca="false">MAX(0,DI13+IF(AND(WI_Retire=0,WI_M&lt;0,F13=1),WI_M*12*E13,0))</f>
        <v>0</v>
      </c>
      <c r="DK13" s="1" t="n">
        <f aca="false">Slot1_IsWG*V13+Slot2_IsWG*AG13+Slot3_IsWG*AQ13+Slot4_IsWG*BA13+Slot5_IsWG*BK13+Slot6_IsWG*BU13+Slot7_IsWG*CE13+Slot8_IsWG*CO13</f>
        <v>0</v>
      </c>
      <c r="DL13" s="1" t="n">
        <f aca="false">IF(AND(WI_Retire=0,WI_M&gt;0,F13=1,DK13&gt;=1),WI_M*12*E13,0)</f>
        <v>0</v>
      </c>
      <c r="DM13" s="1" t="n">
        <f aca="false">IF(DD13=1,MIN(DJ13,DB13),0)</f>
        <v>0</v>
      </c>
      <c r="DN13" s="1" t="n">
        <f aca="false">IF(DD13=1,MIN(DL13,DB13-DM13),0)</f>
        <v>0</v>
      </c>
      <c r="DO13" s="1" t="n">
        <f aca="false">IF(V13=1,IF(ABS((1+AS_Wage)/(1+Slot1_Rate)-1)&lt;0.000000000001,(Slot1_Age-D13)*(1+Slot1_Rate)^(Slot1_Age-D13),(1+Slot1_Rate)^(Slot1_Age-D13)*(1-((1+AS_Wage)/(1+Slot1_Rate))^(Slot1_Age-D13))/(1-(1+AS_Wage)/(1+Slot1_Rate))),1)</f>
        <v>1</v>
      </c>
      <c r="DP13" s="1" t="n">
        <f aca="false">IF(AND(DD13=1,DN13&gt;0,Slot1_IsWG=1,V13=1),MAX(0,(Slot1_Cost-W13*(1+Slot1_Rate)^(Slot1_Age-D13))/DO13),0)</f>
        <v>0</v>
      </c>
      <c r="DQ13" s="1" t="n">
        <f aca="false">IF(AND(DD13=1,DN13&gt;0,Slot1_IsWG=1,V13=1),MIN(DN13,DP13),0)</f>
        <v>0</v>
      </c>
      <c r="DR13" s="1" t="n">
        <f aca="false">W13+DQ13</f>
        <v>0</v>
      </c>
      <c r="DS13" s="1" t="n">
        <f aca="false">IF(V13=1,MAX(0,(Slot1_Cost-DR13*(1+Slot1_Rate)^(Slot1_Age-D13))/DO13),0)</f>
        <v>0</v>
      </c>
      <c r="DT13" s="1" t="n">
        <f aca="false">IF(V13=1,MAX(0,(Slot1_Cost-W13*(1+Slot1_Rate)^(Slot1_Age-D13))/DO13),0)</f>
        <v>0</v>
      </c>
      <c r="DU13" s="1" t="n">
        <f aca="false">IF(AND(DD13=1,V13=1),MIN(DM13,DS13),0)</f>
        <v>0</v>
      </c>
      <c r="DV13" s="1" t="n">
        <f aca="false">DM13-DU13</f>
        <v>0</v>
      </c>
      <c r="DW13" s="1" t="n">
        <f aca="false">IF(AG13=1,IF(ABS((1+AS_Wage)/(1+Slot2_Rate)-1)&lt;0.000000000001,(Slot2_Age-D13)*(1+Slot2_Rate)^(Slot2_Age-D13),(1+Slot2_Rate)^(Slot2_Age-D13)*(1-((1+AS_Wage)/(1+Slot2_Rate))^(Slot2_Age-D13))/(1-(1+AS_Wage)/(1+Slot2_Rate))),1)</f>
        <v>1</v>
      </c>
      <c r="DX13" s="1" t="n">
        <f aca="false">IF(AND(DD13=1,DN13&gt;0,Slot2_IsWG=1,AG13=1),MAX(0,(Slot2_Cost-AH13*(1+Slot2_Rate)^(Slot2_Age-D13))/DW13),0)</f>
        <v>0</v>
      </c>
      <c r="DY13" s="1" t="n">
        <f aca="false">IF(AND(DD13=1,DN13&gt;0,Slot2_IsWG=1,AG13=1),MIN(DN13,DX13),0)</f>
        <v>0</v>
      </c>
      <c r="DZ13" s="1" t="n">
        <f aca="false">AH13+DY13</f>
        <v>0</v>
      </c>
      <c r="EA13" s="1" t="n">
        <f aca="false">IF(AG13=1,MAX(0,(Slot2_Cost-DZ13*(1+Slot2_Rate)^(Slot2_Age-D13))/DW13),0)</f>
        <v>0</v>
      </c>
      <c r="EB13" s="1" t="n">
        <f aca="false">IF(AG13=1,MAX(0,(Slot2_Cost-AH13*(1+Slot2_Rate)^(Slot2_Age-D13))/DW13),0)</f>
        <v>0</v>
      </c>
      <c r="EC13" s="1" t="n">
        <f aca="false">IF(AND(DD13=1,AG13=1),MIN(DV13,EA13),0)</f>
        <v>0</v>
      </c>
      <c r="ED13" s="1" t="n">
        <f aca="false">DV13-EC13</f>
        <v>0</v>
      </c>
      <c r="EE13" s="1" t="n">
        <f aca="false">IF(AQ13=1,IF(ABS((1+AS_Wage)/(1+Slot3_Rate)-1)&lt;0.000000000001,(Slot3_Age-D13)*(1+Slot3_Rate)^(Slot3_Age-D13),(1+Slot3_Rate)^(Slot3_Age-D13)*(1-((1+AS_Wage)/(1+Slot3_Rate))^(Slot3_Age-D13))/(1-(1+AS_Wage)/(1+Slot3_Rate))),1)</f>
        <v>1</v>
      </c>
      <c r="EF13" s="1" t="n">
        <f aca="false">IF(AND(DD13=1,DN13&gt;0,Slot3_IsWG=1,AQ13=1),MAX(0,(Slot3_Cost-AR13*(1+Slot3_Rate)^(Slot3_Age-D13))/EE13),0)</f>
        <v>0</v>
      </c>
      <c r="EG13" s="1" t="n">
        <f aca="false">IF(AND(DD13=1,DN13&gt;0,Slot3_IsWG=1,AQ13=1),MIN(DN13,EF13),0)</f>
        <v>0</v>
      </c>
      <c r="EH13" s="1" t="n">
        <f aca="false">AR13+EG13</f>
        <v>0</v>
      </c>
      <c r="EI13" s="1" t="n">
        <f aca="false">IF(AQ13=1,MAX(0,(Slot3_Cost-EH13*(1+Slot3_Rate)^(Slot3_Age-D13))/EE13),0)</f>
        <v>0</v>
      </c>
      <c r="EJ13" s="1" t="n">
        <f aca="false">IF(AQ13=1,MAX(0,(Slot3_Cost-AR13*(1+Slot3_Rate)^(Slot3_Age-D13))/EE13),0)</f>
        <v>0</v>
      </c>
      <c r="EK13" s="1" t="n">
        <f aca="false">IF(AND(DD13=1,AQ13=1),MIN(ED13,EI13),0)</f>
        <v>0</v>
      </c>
      <c r="EL13" s="1" t="n">
        <f aca="false">ED13-EK13</f>
        <v>0</v>
      </c>
      <c r="EM13" s="1" t="n">
        <f aca="false">IF(BA13=1,IF(ABS((1+AS_Wage)/(1+Slot4_Rate)-1)&lt;0.000000000001,(Slot4_Age-D13)*(1+Slot4_Rate)^(Slot4_Age-D13),(1+Slot4_Rate)^(Slot4_Age-D13)*(1-((1+AS_Wage)/(1+Slot4_Rate))^(Slot4_Age-D13))/(1-(1+AS_Wage)/(1+Slot4_Rate))),1)</f>
        <v>1</v>
      </c>
      <c r="EN13" s="1" t="n">
        <f aca="false">IF(AND(DD13=1,DN13&gt;0,Slot4_IsWG=1,BA13=1),MAX(0,(Slot4_Cost-BB13*(1+Slot4_Rate)^(Slot4_Age-D13))/EM13),0)</f>
        <v>0</v>
      </c>
      <c r="EO13" s="1" t="n">
        <f aca="false">IF(AND(DD13=1,DN13&gt;0,Slot4_IsWG=1,BA13=1),MIN(DN13,EN13),0)</f>
        <v>0</v>
      </c>
      <c r="EP13" s="1" t="n">
        <f aca="false">BB13+EO13</f>
        <v>0</v>
      </c>
      <c r="EQ13" s="1" t="n">
        <f aca="false">IF(BA13=1,MAX(0,(Slot4_Cost-EP13*(1+Slot4_Rate)^(Slot4_Age-D13))/EM13),0)</f>
        <v>0</v>
      </c>
      <c r="ER13" s="1" t="n">
        <f aca="false">IF(BA13=1,MAX(0,(Slot4_Cost-BB13*(1+Slot4_Rate)^(Slot4_Age-D13))/EM13),0)</f>
        <v>0</v>
      </c>
      <c r="ES13" s="1" t="n">
        <f aca="false">IF(AND(DD13=1,BA13=1),MIN(EL13,EQ13),0)</f>
        <v>0</v>
      </c>
      <c r="ET13" s="1" t="n">
        <f aca="false">EL13-ES13</f>
        <v>0</v>
      </c>
      <c r="EU13" s="1" t="n">
        <f aca="false">IF(BK13=1,IF(ABS((1+AS_Wage)/(1+Slot5_Rate)-1)&lt;0.000000000001,(Slot5_Age-D13)*(1+Slot5_Rate)^(Slot5_Age-D13),(1+Slot5_Rate)^(Slot5_Age-D13)*(1-((1+AS_Wage)/(1+Slot5_Rate))^(Slot5_Age-D13))/(1-(1+AS_Wage)/(1+Slot5_Rate))),1)</f>
        <v>1</v>
      </c>
      <c r="EV13" s="1" t="n">
        <f aca="false">IF(AND(DD13=1,DN13&gt;0,Slot5_IsWG=1,BK13=1),MAX(0,(Slot5_Cost-BL13*(1+Slot5_Rate)^(Slot5_Age-D13))/EU13),0)</f>
        <v>0</v>
      </c>
      <c r="EW13" s="1" t="n">
        <f aca="false">IF(AND(DD13=1,DN13&gt;0,Slot5_IsWG=1,BK13=1),MIN(DN13,EV13),0)</f>
        <v>0</v>
      </c>
      <c r="EX13" s="1" t="n">
        <f aca="false">BL13+EW13</f>
        <v>0</v>
      </c>
      <c r="EY13" s="1" t="n">
        <f aca="false">IF(BK13=1,MAX(0,(Slot5_Cost-EX13*(1+Slot5_Rate)^(Slot5_Age-D13))/EU13),0)</f>
        <v>0</v>
      </c>
      <c r="EZ13" s="1" t="n">
        <f aca="false">IF(BK13=1,MAX(0,(Slot5_Cost-BL13*(1+Slot5_Rate)^(Slot5_Age-D13))/EU13),0)</f>
        <v>0</v>
      </c>
      <c r="FA13" s="1" t="n">
        <f aca="false">IF(AND(DD13=1,BK13=1),MIN(ET13,EY13),0)</f>
        <v>0</v>
      </c>
      <c r="FB13" s="1" t="n">
        <f aca="false">ET13-FA13</f>
        <v>0</v>
      </c>
      <c r="FC13" s="1" t="n">
        <f aca="false">IF(BU13=1,IF(ABS((1+AS_Wage)/(1+Slot6_Rate)-1)&lt;0.000000000001,(Slot6_Age-D13)*(1+Slot6_Rate)^(Slot6_Age-D13),(1+Slot6_Rate)^(Slot6_Age-D13)*(1-((1+AS_Wage)/(1+Slot6_Rate))^(Slot6_Age-D13))/(1-(1+AS_Wage)/(1+Slot6_Rate))),1)</f>
        <v>1</v>
      </c>
      <c r="FD13" s="1" t="n">
        <f aca="false">IF(AND(DD13=1,DN13&gt;0,Slot6_IsWG=1,BU13=1),MAX(0,(Slot6_Cost-BV13*(1+Slot6_Rate)^(Slot6_Age-D13))/FC13),0)</f>
        <v>0</v>
      </c>
      <c r="FE13" s="1" t="n">
        <f aca="false">IF(AND(DD13=1,DN13&gt;0,Slot6_IsWG=1,BU13=1),MIN(DN13,FD13),0)</f>
        <v>0</v>
      </c>
      <c r="FF13" s="1" t="n">
        <f aca="false">BV13+FE13</f>
        <v>0</v>
      </c>
      <c r="FG13" s="1" t="n">
        <f aca="false">IF(BU13=1,MAX(0,(Slot6_Cost-FF13*(1+Slot6_Rate)^(Slot6_Age-D13))/FC13),0)</f>
        <v>0</v>
      </c>
      <c r="FH13" s="1" t="n">
        <f aca="false">IF(BU13=1,MAX(0,(Slot6_Cost-BV13*(1+Slot6_Rate)^(Slot6_Age-D13))/FC13),0)</f>
        <v>0</v>
      </c>
      <c r="FI13" s="1" t="n">
        <f aca="false">IF(AND(DD13=1,BU13=1),MIN(FB13,FG13),0)</f>
        <v>0</v>
      </c>
      <c r="FJ13" s="1" t="n">
        <f aca="false">FB13-FI13</f>
        <v>0</v>
      </c>
      <c r="FK13" s="1" t="n">
        <f aca="false">IF(CE13=1,IF(ABS((1+AS_Wage)/(1+Slot7_Rate)-1)&lt;0.000000000001,(Slot7_Age-D13)*(1+Slot7_Rate)^(Slot7_Age-D13),(1+Slot7_Rate)^(Slot7_Age-D13)*(1-((1+AS_Wage)/(1+Slot7_Rate))^(Slot7_Age-D13))/(1-(1+AS_Wage)/(1+Slot7_Rate))),1)</f>
        <v>1</v>
      </c>
      <c r="FL13" s="1" t="n">
        <f aca="false">IF(AND(DD13=1,DN13&gt;0,Slot7_IsWG=1,CE13=1),MAX(0,(Slot7_Cost-CF13*(1+Slot7_Rate)^(Slot7_Age-D13))/FK13),0)</f>
        <v>0</v>
      </c>
      <c r="FM13" s="1" t="n">
        <f aca="false">IF(AND(DD13=1,DN13&gt;0,Slot7_IsWG=1,CE13=1),MIN(DN13,FL13),0)</f>
        <v>0</v>
      </c>
      <c r="FN13" s="1" t="n">
        <f aca="false">CF13+FM13</f>
        <v>0</v>
      </c>
      <c r="FO13" s="1" t="n">
        <f aca="false">IF(CE13=1,MAX(0,(Slot7_Cost-FN13*(1+Slot7_Rate)^(Slot7_Age-D13))/FK13),0)</f>
        <v>0</v>
      </c>
      <c r="FP13" s="1" t="n">
        <f aca="false">IF(CE13=1,MAX(0,(Slot7_Cost-CF13*(1+Slot7_Rate)^(Slot7_Age-D13))/FK13),0)</f>
        <v>0</v>
      </c>
      <c r="FQ13" s="1" t="n">
        <f aca="false">IF(AND(DD13=1,CE13=1),MIN(FJ13,FO13),0)</f>
        <v>0</v>
      </c>
      <c r="FR13" s="1" t="n">
        <f aca="false">FJ13-FQ13</f>
        <v>0</v>
      </c>
      <c r="FS13" s="1" t="n">
        <f aca="false">IF(CO13=1,IF(ABS((1+AS_Wage)/(1+Slot8_Rate)-1)&lt;0.000000000001,(Slot8_Age-D13)*(1+Slot8_Rate)^(Slot8_Age-D13),(1+Slot8_Rate)^(Slot8_Age-D13)*(1-((1+AS_Wage)/(1+Slot8_Rate))^(Slot8_Age-D13))/(1-(1+AS_Wage)/(1+Slot8_Rate))),1)</f>
        <v>1</v>
      </c>
      <c r="FT13" s="1" t="n">
        <f aca="false">IF(AND(DD13=1,DN13&gt;0,Slot8_IsWG=1,CO13=1),MAX(0,(Slot8_Cost-CP13*(1+Slot8_Rate)^(Slot8_Age-D13))/FS13),0)</f>
        <v>0</v>
      </c>
      <c r="FU13" s="1" t="n">
        <f aca="false">IF(AND(DD13=1,DN13&gt;0,Slot8_IsWG=1,CO13=1),MIN(DN13,FT13),0)</f>
        <v>0</v>
      </c>
      <c r="FV13" s="1" t="n">
        <f aca="false">CP13+FU13</f>
        <v>0</v>
      </c>
      <c r="FW13" s="1" t="n">
        <f aca="false">IF(CO13=1,MAX(0,(Slot8_Cost-FV13*(1+Slot8_Rate)^(Slot8_Age-D13))/FS13),0)</f>
        <v>0</v>
      </c>
      <c r="FX13" s="1" t="n">
        <f aca="false">IF(CO13=1,MAX(0,(Slot8_Cost-CP13*(1+Slot8_Rate)^(Slot8_Age-D13))/FS13),0)</f>
        <v>0</v>
      </c>
      <c r="FY13" s="1" t="n">
        <f aca="false">IF(AND(DD13=1,CO13=1),MIN(FR13,FW13),0)</f>
        <v>0</v>
      </c>
      <c r="FZ13" s="1" t="n">
        <f aca="false">FR13-FY13</f>
        <v>0</v>
      </c>
      <c r="GA13" s="1" t="n">
        <f aca="false">DN13-(DQ13+DY13+EG13+EO13+EW13+FE13+FM13+FU13)</f>
        <v>0</v>
      </c>
      <c r="GB13" s="1" t="n">
        <f aca="false">IF(DD13=1,DB13-DM13-DN13,0)</f>
        <v>0</v>
      </c>
      <c r="GC13" s="1" t="n">
        <f aca="false">IF(DD13=0,-DB13,0)</f>
        <v>0</v>
      </c>
      <c r="GD13" s="1" t="n">
        <f aca="false">MIN(GC13,CT13)</f>
        <v>0</v>
      </c>
      <c r="GE13" s="1" t="n">
        <f aca="false">GC13-GD13</f>
        <v>0</v>
      </c>
      <c r="GF13" s="1" t="n">
        <f aca="false">MIN(GE13,CU13)</f>
        <v>0</v>
      </c>
      <c r="GG13" s="1" t="n">
        <f aca="false">GE13-GF13</f>
        <v>0</v>
      </c>
      <c r="GH13" s="1" t="n">
        <f aca="false">IF(AND(DD13=0,CO13=1,GG13&gt;0),MIN(GG13,CP13),0)</f>
        <v>0</v>
      </c>
      <c r="GI13" s="1" t="n">
        <f aca="false">GG13-GH13</f>
        <v>0</v>
      </c>
      <c r="GJ13" s="1" t="n">
        <f aca="false">IF(AND(DD13=0,CE13=1,GI13&gt;0),MIN(GI13,CF13),0)</f>
        <v>0</v>
      </c>
      <c r="GK13" s="1" t="n">
        <f aca="false">GI13-GJ13</f>
        <v>0</v>
      </c>
      <c r="GL13" s="1" t="n">
        <f aca="false">IF(AND(DD13=0,BU13=1,GK13&gt;0),MIN(GK13,BV13),0)</f>
        <v>0</v>
      </c>
      <c r="GM13" s="1" t="n">
        <f aca="false">GK13-GL13</f>
        <v>0</v>
      </c>
      <c r="GN13" s="1" t="n">
        <f aca="false">IF(AND(DD13=0,BK13=1,GM13&gt;0),MIN(GM13,BL13),0)</f>
        <v>0</v>
      </c>
      <c r="GO13" s="1" t="n">
        <f aca="false">GM13-GN13</f>
        <v>0</v>
      </c>
      <c r="GP13" s="1" t="n">
        <f aca="false">IF(AND(DD13=0,BA13=1,GO13&gt;0),MIN(GO13,BB13),0)</f>
        <v>0</v>
      </c>
      <c r="GQ13" s="1" t="n">
        <f aca="false">GO13-GP13</f>
        <v>0</v>
      </c>
      <c r="GR13" s="1" t="n">
        <f aca="false">IF(AND(DD13=0,AQ13=1,GQ13&gt;0),MIN(GQ13,AR13),0)</f>
        <v>0</v>
      </c>
      <c r="GS13" s="1" t="n">
        <f aca="false">GQ13-GR13</f>
        <v>0</v>
      </c>
      <c r="GT13" s="1" t="n">
        <f aca="false">IF(AND(DD13=0,AG13=1,GS13&gt;0),MIN(GS13,AH13),0)</f>
        <v>0</v>
      </c>
      <c r="GU13" s="1" t="n">
        <f aca="false">GS13-GT13</f>
        <v>0</v>
      </c>
      <c r="GV13" s="1" t="n">
        <f aca="false">IF(AND(DD13=0,V13=1,GU13&gt;0),MIN(GU13,W13),0)</f>
        <v>0</v>
      </c>
      <c r="GW13" s="1" t="n">
        <f aca="false">GU13-GV13</f>
        <v>0</v>
      </c>
      <c r="GX13" s="1" t="n">
        <f aca="false">IF(DD13=0,GW13,0)</f>
        <v>0</v>
      </c>
      <c r="GY13" s="1" t="n">
        <f aca="false">GD13+GF13+GV13+GT13+GR13+GP13+GN13+GL13+GJ13+GH13</f>
        <v>0</v>
      </c>
      <c r="GZ13" s="1" t="n">
        <f aca="false">IF(DD13=1,CT13+GA13+FZ13+IF(F13=1,0,GB13),CT13-GD13)</f>
        <v>0</v>
      </c>
      <c r="HA13" s="1" t="n">
        <f aca="false">CU13-GF13</f>
        <v>0</v>
      </c>
      <c r="HB13" s="1" t="n">
        <f aca="false">IF(DD13=1,IF(F13=1,DM13+DN13,DB13),0)</f>
        <v>0</v>
      </c>
      <c r="HC13" s="1" t="n">
        <f aca="false">IF(DD13=1,IF(F13=1,DB13-DM13-DN13,0),0)</f>
        <v>0</v>
      </c>
      <c r="HD13" s="1" t="n">
        <f aca="false">GZ13*(1+GR)</f>
        <v>0</v>
      </c>
      <c r="HE13" s="1" t="n">
        <f aca="false">HA13*(1+AS_Cash)</f>
        <v>0</v>
      </c>
      <c r="HF13" s="1" t="n">
        <f aca="false">IF(V13=1,IF(DD13=1,DR13+DU13,W13-GV13)*(1+Slot1_Rate),0)</f>
        <v>0</v>
      </c>
      <c r="HG13" s="1" t="n">
        <f aca="false">IF(AND(DD13=1,V13=1),(DQ13+DU13)/E13,0)</f>
        <v>0</v>
      </c>
      <c r="HH13" s="1" t="n">
        <f aca="false">IF(B13=0,DQ13+DU13,0)</f>
        <v>0</v>
      </c>
      <c r="HI13" s="1" t="n">
        <f aca="false">IF(B13=0,IF(DD13=1,DS13,DT13),0)</f>
        <v>0</v>
      </c>
      <c r="HJ13" s="1" t="n">
        <f aca="false">IF(AG13=1,IF(DD13=1,DZ13+EC13,AH13-GT13)*(1+Slot2_Rate),0)</f>
        <v>0</v>
      </c>
      <c r="HK13" s="1" t="n">
        <f aca="false">IF(AND(DD13=1,AG13=1),(DY13+EC13)/E13,0)</f>
        <v>0</v>
      </c>
      <c r="HL13" s="1" t="n">
        <f aca="false">IF(B13=0,DY13+EC13,0)</f>
        <v>0</v>
      </c>
      <c r="HM13" s="1" t="n">
        <f aca="false">IF(B13=0,IF(DD13=1,EA13,EB13),0)</f>
        <v>0</v>
      </c>
      <c r="HN13" s="1" t="n">
        <f aca="false">IF(AQ13=1,IF(DD13=1,EH13+EK13,AR13-GR13)*(1+Slot3_Rate),0)</f>
        <v>0</v>
      </c>
      <c r="HO13" s="1" t="n">
        <f aca="false">IF(AND(DD13=1,AQ13=1),(EG13+EK13)/E13,0)</f>
        <v>0</v>
      </c>
      <c r="HP13" s="1" t="n">
        <f aca="false">IF(B13=0,EG13+EK13,0)</f>
        <v>0</v>
      </c>
      <c r="HQ13" s="1" t="n">
        <f aca="false">IF(B13=0,IF(DD13=1,EI13,EJ13),0)</f>
        <v>0</v>
      </c>
      <c r="HR13" s="1" t="n">
        <f aca="false">IF(BA13=1,IF(DD13=1,EP13+ES13,BB13-GP13)*(1+Slot4_Rate),0)</f>
        <v>0</v>
      </c>
      <c r="HS13" s="1" t="n">
        <f aca="false">IF(AND(DD13=1,BA13=1),(EO13+ES13)/E13,0)</f>
        <v>0</v>
      </c>
      <c r="HT13" s="1" t="n">
        <f aca="false">IF(B13=0,EO13+ES13,0)</f>
        <v>0</v>
      </c>
      <c r="HU13" s="1" t="n">
        <f aca="false">IF(B13=0,IF(DD13=1,EQ13,ER13),0)</f>
        <v>0</v>
      </c>
      <c r="HV13" s="1" t="n">
        <f aca="false">IF(BK13=1,IF(DD13=1,EX13+FA13,BL13-GN13)*(1+Slot5_Rate),0)</f>
        <v>0</v>
      </c>
      <c r="HW13" s="1" t="n">
        <f aca="false">IF(AND(DD13=1,BK13=1),(EW13+FA13)/E13,0)</f>
        <v>0</v>
      </c>
      <c r="HX13" s="1" t="n">
        <f aca="false">IF(B13=0,EW13+FA13,0)</f>
        <v>0</v>
      </c>
      <c r="HY13" s="1" t="n">
        <f aca="false">IF(B13=0,IF(DD13=1,EY13,EZ13),0)</f>
        <v>0</v>
      </c>
      <c r="HZ13" s="1" t="n">
        <f aca="false">IF(BU13=1,IF(DD13=1,FF13+FI13,BV13-GL13)*(1+Slot6_Rate),0)</f>
        <v>0</v>
      </c>
      <c r="IA13" s="1" t="n">
        <f aca="false">IF(AND(DD13=1,BU13=1),(FE13+FI13)/E13,0)</f>
        <v>0</v>
      </c>
      <c r="IB13" s="1" t="n">
        <f aca="false">IF(B13=0,FE13+FI13,0)</f>
        <v>0</v>
      </c>
      <c r="IC13" s="1" t="n">
        <f aca="false">IF(B13=0,IF(DD13=1,FG13,FH13),0)</f>
        <v>0</v>
      </c>
      <c r="ID13" s="1" t="n">
        <f aca="false">IF(CE13=1,IF(DD13=1,FN13+FQ13,CF13-GJ13)*(1+Slot7_Rate),0)</f>
        <v>0</v>
      </c>
      <c r="IE13" s="1" t="n">
        <f aca="false">IF(AND(DD13=1,CE13=1),(FM13+FQ13)/E13,0)</f>
        <v>0</v>
      </c>
      <c r="IF13" s="1" t="n">
        <f aca="false">IF(B13=0,FM13+FQ13,0)</f>
        <v>0</v>
      </c>
      <c r="IG13" s="1" t="n">
        <f aca="false">IF(B13=0,IF(DD13=1,FO13,FP13),0)</f>
        <v>0</v>
      </c>
      <c r="IH13" s="1" t="n">
        <f aca="false">IF(CO13=1,IF(DD13=1,FV13+FY13,CP13-GH13)*(1+Slot8_Rate),0)</f>
        <v>0</v>
      </c>
      <c r="II13" s="1" t="n">
        <f aca="false">IF(AND(DD13=1,CO13=1),(FU13+FY13)/E13,0)</f>
        <v>0</v>
      </c>
      <c r="IJ13" s="1" t="n">
        <f aca="false">IF(B13=0,FU13+FY13,0)</f>
        <v>0</v>
      </c>
      <c r="IK13" s="1" t="n">
        <f aca="false">IF(B13=0,IF(DD13=1,FW13,FX13),0)</f>
        <v>0</v>
      </c>
      <c r="IL13" s="1" t="n">
        <f aca="false">HD13+HE13+HF13+HJ13+HN13+HR13+HV13+HZ13+ID13+IH13</f>
        <v>0</v>
      </c>
      <c r="IM13" s="1" t="n">
        <f aca="false">GX13+CY13</f>
        <v>0</v>
      </c>
      <c r="IN13" s="1" t="n">
        <f aca="false">H13+R13</f>
        <v>0</v>
      </c>
      <c r="IO13" s="1" t="n">
        <f aca="false">1-F13</f>
        <v>1</v>
      </c>
      <c r="IP13" s="1" t="n">
        <f aca="false">IF(AND(RG_Exists=1,F13=0,C13=1),H13,0)</f>
        <v>0</v>
      </c>
      <c r="IQ13" s="1" t="n">
        <f aca="false">IF(AND(RG_Exists=1,F13=0,C13=1),H13-MIN(GX13,H13),0)</f>
        <v>0</v>
      </c>
      <c r="IR13" s="1" t="n">
        <f aca="false">'Plan pay &amp; tax'!AD215</f>
        <v>0</v>
      </c>
      <c r="IS13" s="1" t="n">
        <f aca="false">IF(AND(C13=1,GX13&gt;MAX(PR_Short1,IN13*PR_Short2)),1,0)</f>
        <v>0</v>
      </c>
      <c r="IT13" s="1" t="n">
        <f aca="false">MIN(G13,H13+R13)</f>
        <v>0</v>
      </c>
      <c r="IU13" s="1" t="n">
        <f aca="false">GY13+MAX(0,CZ13-CY13)</f>
        <v>0</v>
      </c>
      <c r="IV13" s="1" t="n">
        <f aca="false">GX13+CY13</f>
        <v>0</v>
      </c>
      <c r="IW13" s="1" t="n">
        <f aca="false">IF(AND(C13=1,IV13&gt;0.5),1,0)</f>
        <v>0</v>
      </c>
      <c r="IX13" s="1" t="n">
        <f aca="false">IF(AND(C13=1,IW13=0,IU13&gt;0.5),1,0)</f>
        <v>0</v>
      </c>
      <c r="IY13" s="1" t="n">
        <f aca="false">IF(AND(C13=1,GX13&gt;0.5),1,0)</f>
        <v>0</v>
      </c>
      <c r="IZ13" s="1" t="n">
        <f aca="false">IF(AND(C13=1,GY13&gt;1,JF13=0),1,0)</f>
        <v>0</v>
      </c>
      <c r="JA13" s="1" t="n">
        <f aca="false">IF(AND(INT(D13/10)*10=90,B13&gt;0),80,INT(D13/10)*10)</f>
        <v>0</v>
      </c>
      <c r="JB13" s="1" t="n">
        <f aca="false">IF(B13=0,1,IF(JA13&lt;&gt;JA12,JB12+1,JB12))</f>
        <v>1</v>
      </c>
      <c r="JC13" s="1" t="n">
        <f aca="false">IF(AND(C13=1,F13=1,GX13&gt;MAX(PR_Short1,IN13*PR_Short2)),1,0)</f>
        <v>0</v>
      </c>
      <c r="JD13" s="1" t="n">
        <f aca="false">IO13*IS13</f>
        <v>0</v>
      </c>
      <c r="JE13" s="1" t="n">
        <f aca="false">IF(AND(U13=1,Slot1_PctLow=1),1,0)+IF(AND(AF13=1,Slot2_PctLow=1),1,0)+IF(AND(AP13=1,Slot3_PctLow=1),1,0)+IF(AND(AZ13=1,Slot4_PctLow=1),1,0)+IF(AND(BJ13=1,Slot5_PctLow=1),1,0)+IF(AND(BT13=1,Slot6_PctLow=1),1,0)+IF(AND(CD13=1,Slot7_PctLow=1),1,0)+IF(AND(CN13=1,Slot8_PctLow=1),1,0)</f>
        <v>0</v>
      </c>
      <c r="JF13" s="1" t="n">
        <f aca="false">IF(C13=1,IF(OR(IS13=1,JE13&gt;0),1,0),0)</f>
        <v>0</v>
      </c>
    </row>
    <row r="14" customFormat="false" ht="15" hidden="false" customHeight="false" outlineLevel="0" collapsed="false">
      <c r="B14" s="1" t="n">
        <v>6</v>
      </c>
      <c r="C14" s="1" t="n">
        <f aca="false">IF(B14&lt;=F_N,1,0)</f>
        <v>1</v>
      </c>
      <c r="D14" s="1" t="n">
        <f aca="false">'Plan pay &amp; tax'!C216</f>
        <v>6</v>
      </c>
      <c r="E14" s="106" t="n">
        <f aca="false">'Plan pay &amp; tax'!E216</f>
        <v>1.126162419264</v>
      </c>
      <c r="F14" s="1" t="n">
        <f aca="false">'Plan pay &amp; tax'!G216</f>
        <v>0</v>
      </c>
      <c r="G14" s="1" t="n">
        <f aca="false">'Plan pay &amp; tax'!BT216-'Plan pay &amp; tax'!BS216-'Plan pay &amp; tax'!R216</f>
        <v>0</v>
      </c>
      <c r="H14" s="1" t="n">
        <f aca="false">IF(F14=1,F_CostsM*12,IF(RG_Exists=1,RG_Amount,F_CostsM*12*AS_RetireSpend))*E14+F_OneOffY*E14</f>
        <v>0</v>
      </c>
      <c r="I14" s="1" t="n">
        <f aca="false">DA13</f>
        <v>0</v>
      </c>
      <c r="J14" s="1" t="n">
        <f aca="false">IF(I14&gt;1,'Plan debt months'!AC14,0)</f>
        <v>0</v>
      </c>
      <c r="K14" s="1" t="n">
        <f aca="false">IF(I14&gt;1,'Plan debt months'!AB14,I14)</f>
        <v>0</v>
      </c>
      <c r="L14" s="1" t="n">
        <f aca="false">N13</f>
        <v>0</v>
      </c>
      <c r="M14" s="1" t="n">
        <f aca="false">IF(L14&gt;1,'Plan debt months'!BD14,0)</f>
        <v>0</v>
      </c>
      <c r="N14" s="1" t="n">
        <f aca="false">IF(L14&gt;1,'Plan debt months'!BC14,L14)</f>
        <v>0</v>
      </c>
      <c r="O14" s="1" t="n">
        <f aca="false">Q13</f>
        <v>0</v>
      </c>
      <c r="P14" s="1" t="n">
        <f aca="false">IF(O14&gt;1,'Plan debt months'!CE14,0)</f>
        <v>0</v>
      </c>
      <c r="Q14" s="1" t="n">
        <f aca="false">IF(O14&gt;1,'Plan debt months'!CD14,O14)</f>
        <v>0</v>
      </c>
      <c r="R14" s="1" t="n">
        <f aca="false">J14+M14+P14</f>
        <v>0</v>
      </c>
      <c r="S14" s="1" t="n">
        <f aca="false">HD13+'Plan pay &amp; tax'!Y216</f>
        <v>0</v>
      </c>
      <c r="T14" s="1" t="n">
        <f aca="false">HD13</f>
        <v>0</v>
      </c>
      <c r="U14" s="1" t="n">
        <f aca="false">IF(AND(Slot1_On=1,D14=Slot1_Age),1,0)</f>
        <v>0</v>
      </c>
      <c r="V14" s="1" t="n">
        <f aca="false">IF(AND(Slot1_On=1,Slot1_Age&gt;D14),1,0)</f>
        <v>0</v>
      </c>
      <c r="W14" s="1" t="n">
        <f aca="false">HF13</f>
        <v>0</v>
      </c>
      <c r="X14" s="1" t="n">
        <f aca="false">U14*MIN(Slot1_Cost,W14)</f>
        <v>0</v>
      </c>
      <c r="Y14" s="1" t="n">
        <f aca="false">U14*Slot1_SpendLike*MIN(Slot1_Cost-X14,S14)</f>
        <v>0</v>
      </c>
      <c r="Z14" s="1" t="n">
        <f aca="false">X14+Y14</f>
        <v>0</v>
      </c>
      <c r="AA14" s="1" t="n">
        <f aca="false">S14-Y14+U14*IF(Slot1_SpendLike=1,W14-X14,IF(Slot1_PotFree=1,W14,0))</f>
        <v>0</v>
      </c>
      <c r="AB14" s="1" t="n">
        <f aca="false">AE14+U14*Slot1_BufPot*W14</f>
        <v>0</v>
      </c>
      <c r="AC14" s="1" t="n">
        <f aca="false">IF(AND(U14=1,Slot1_IsMfree=1),IF(Z14&gt;=Slot1_Cost-1,0,MAX(0,K14-Z14)),K14)</f>
        <v>0</v>
      </c>
      <c r="AD14" s="1" t="n">
        <f aca="false">U14*(Slot1_Cost-Z14)</f>
        <v>0</v>
      </c>
      <c r="AE14" s="1" t="n">
        <f aca="false">HE13</f>
        <v>0</v>
      </c>
      <c r="AF14" s="1" t="n">
        <f aca="false">IF(AND(Slot2_On=1,D14=Slot2_Age),1,0)</f>
        <v>0</v>
      </c>
      <c r="AG14" s="1" t="n">
        <f aca="false">IF(AND(Slot2_On=1,Slot2_Age&gt;D14),1,0)</f>
        <v>0</v>
      </c>
      <c r="AH14" s="1" t="n">
        <f aca="false">HJ13</f>
        <v>0</v>
      </c>
      <c r="AI14" s="1" t="n">
        <f aca="false">AF14*MIN(Slot2_Cost,AH14)</f>
        <v>0</v>
      </c>
      <c r="AJ14" s="1" t="n">
        <f aca="false">AF14*Slot2_SpendLike*MIN(Slot2_Cost-AI14,AA14)</f>
        <v>0</v>
      </c>
      <c r="AK14" s="1" t="n">
        <f aca="false">AI14+AJ14</f>
        <v>0</v>
      </c>
      <c r="AL14" s="1" t="n">
        <f aca="false">AA14-AJ14+AF14*IF(Slot2_SpendLike=1,AH14-AI14,IF(Slot2_PotFree=1,AH14,0))</f>
        <v>0</v>
      </c>
      <c r="AM14" s="1" t="n">
        <f aca="false">AB14+AF14*Slot2_BufPot*AH14</f>
        <v>0</v>
      </c>
      <c r="AN14" s="1" t="n">
        <f aca="false">IF(AND(AF14=1,Slot2_IsMfree=1),IF(AK14&gt;=Slot2_Cost-1,0,MAX(0,AC14-AK14)),AC14)</f>
        <v>0</v>
      </c>
      <c r="AO14" s="1" t="n">
        <f aca="false">AF14*(Slot2_Cost-AK14)</f>
        <v>0</v>
      </c>
      <c r="AP14" s="1" t="n">
        <f aca="false">IF(AND(Slot3_On=1,D14=Slot3_Age),1,0)</f>
        <v>0</v>
      </c>
      <c r="AQ14" s="1" t="n">
        <f aca="false">IF(AND(Slot3_On=1,Slot3_Age&gt;D14),1,0)</f>
        <v>0</v>
      </c>
      <c r="AR14" s="1" t="n">
        <f aca="false">HN13</f>
        <v>0</v>
      </c>
      <c r="AS14" s="1" t="n">
        <f aca="false">AP14*MIN(Slot3_Cost,AR14)</f>
        <v>0</v>
      </c>
      <c r="AT14" s="1" t="n">
        <f aca="false">AP14*Slot3_SpendLike*MIN(Slot3_Cost-AS14,AL14)</f>
        <v>0</v>
      </c>
      <c r="AU14" s="1" t="n">
        <f aca="false">AS14+AT14</f>
        <v>0</v>
      </c>
      <c r="AV14" s="1" t="n">
        <f aca="false">AL14-AT14+AP14*IF(Slot3_SpendLike=1,AR14-AS14,IF(Slot3_PotFree=1,AR14,0))</f>
        <v>0</v>
      </c>
      <c r="AW14" s="1" t="n">
        <f aca="false">AM14+AP14*Slot3_BufPot*AR14</f>
        <v>0</v>
      </c>
      <c r="AX14" s="1" t="n">
        <f aca="false">IF(AND(AP14=1,Slot3_IsMfree=1),IF(AU14&gt;=Slot3_Cost-1,0,MAX(0,AN14-AU14)),AN14)</f>
        <v>0</v>
      </c>
      <c r="AY14" s="1" t="n">
        <f aca="false">AP14*(Slot3_Cost-AU14)</f>
        <v>0</v>
      </c>
      <c r="AZ14" s="1" t="n">
        <f aca="false">IF(AND(Slot4_On=1,D14=Slot4_Age),1,0)</f>
        <v>0</v>
      </c>
      <c r="BA14" s="1" t="n">
        <f aca="false">IF(AND(Slot4_On=1,Slot4_Age&gt;D14),1,0)</f>
        <v>0</v>
      </c>
      <c r="BB14" s="1" t="n">
        <f aca="false">HR13</f>
        <v>0</v>
      </c>
      <c r="BC14" s="1" t="n">
        <f aca="false">AZ14*MIN(Slot4_Cost,BB14)</f>
        <v>0</v>
      </c>
      <c r="BD14" s="1" t="n">
        <f aca="false">AZ14*Slot4_SpendLike*MIN(Slot4_Cost-BC14,AV14)</f>
        <v>0</v>
      </c>
      <c r="BE14" s="1" t="n">
        <f aca="false">BC14+BD14</f>
        <v>0</v>
      </c>
      <c r="BF14" s="1" t="n">
        <f aca="false">AV14-BD14+AZ14*IF(Slot4_SpendLike=1,BB14-BC14,IF(Slot4_PotFree=1,BB14,0))</f>
        <v>0</v>
      </c>
      <c r="BG14" s="1" t="n">
        <f aca="false">AW14+AZ14*Slot4_BufPot*BB14</f>
        <v>0</v>
      </c>
      <c r="BH14" s="1" t="n">
        <f aca="false">IF(AND(AZ14=1,Slot4_IsMfree=1),IF(BE14&gt;=Slot4_Cost-1,0,MAX(0,AX14-BE14)),AX14)</f>
        <v>0</v>
      </c>
      <c r="BI14" s="1" t="n">
        <f aca="false">AZ14*(Slot4_Cost-BE14)</f>
        <v>0</v>
      </c>
      <c r="BJ14" s="1" t="n">
        <f aca="false">IF(AND(Slot5_On=1,D14=Slot5_Age),1,0)</f>
        <v>0</v>
      </c>
      <c r="BK14" s="1" t="n">
        <f aca="false">IF(AND(Slot5_On=1,Slot5_Age&gt;D14),1,0)</f>
        <v>0</v>
      </c>
      <c r="BL14" s="1" t="n">
        <f aca="false">HV13</f>
        <v>0</v>
      </c>
      <c r="BM14" s="1" t="n">
        <f aca="false">BJ14*MIN(Slot5_Cost,BL14)</f>
        <v>0</v>
      </c>
      <c r="BN14" s="1" t="n">
        <f aca="false">BJ14*Slot5_SpendLike*MIN(Slot5_Cost-BM14,BF14)</f>
        <v>0</v>
      </c>
      <c r="BO14" s="1" t="n">
        <f aca="false">BM14+BN14</f>
        <v>0</v>
      </c>
      <c r="BP14" s="1" t="n">
        <f aca="false">BF14-BN14+BJ14*IF(Slot5_SpendLike=1,BL14-BM14,IF(Slot5_PotFree=1,BL14,0))</f>
        <v>0</v>
      </c>
      <c r="BQ14" s="1" t="n">
        <f aca="false">BG14+BJ14*Slot5_BufPot*BL14</f>
        <v>0</v>
      </c>
      <c r="BR14" s="1" t="n">
        <f aca="false">IF(AND(BJ14=1,Slot5_IsMfree=1),IF(BO14&gt;=Slot5_Cost-1,0,MAX(0,BH14-BO14)),BH14)</f>
        <v>0</v>
      </c>
      <c r="BS14" s="1" t="n">
        <f aca="false">BJ14*(Slot5_Cost-BO14)</f>
        <v>0</v>
      </c>
      <c r="BT14" s="1" t="n">
        <f aca="false">IF(AND(Slot6_On=1,D14=Slot6_Age),1,0)</f>
        <v>0</v>
      </c>
      <c r="BU14" s="1" t="n">
        <f aca="false">IF(AND(Slot6_On=1,Slot6_Age&gt;D14),1,0)</f>
        <v>0</v>
      </c>
      <c r="BV14" s="1" t="n">
        <f aca="false">HZ13</f>
        <v>0</v>
      </c>
      <c r="BW14" s="1" t="n">
        <f aca="false">BT14*MIN(Slot6_Cost,BV14)</f>
        <v>0</v>
      </c>
      <c r="BX14" s="1" t="n">
        <f aca="false">BT14*Slot6_SpendLike*MIN(Slot6_Cost-BW14,BP14)</f>
        <v>0</v>
      </c>
      <c r="BY14" s="1" t="n">
        <f aca="false">BW14+BX14</f>
        <v>0</v>
      </c>
      <c r="BZ14" s="1" t="n">
        <f aca="false">BP14-BX14+BT14*IF(Slot6_SpendLike=1,BV14-BW14,IF(Slot6_PotFree=1,BV14,0))</f>
        <v>0</v>
      </c>
      <c r="CA14" s="1" t="n">
        <f aca="false">BQ14+BT14*Slot6_BufPot*BV14</f>
        <v>0</v>
      </c>
      <c r="CB14" s="1" t="n">
        <f aca="false">IF(AND(BT14=1,Slot6_IsMfree=1),IF(BY14&gt;=Slot6_Cost-1,0,MAX(0,BR14-BY14)),BR14)</f>
        <v>0</v>
      </c>
      <c r="CC14" s="1" t="n">
        <f aca="false">BT14*(Slot6_Cost-BY14)</f>
        <v>0</v>
      </c>
      <c r="CD14" s="1" t="n">
        <f aca="false">IF(AND(Slot7_On=1,D14=Slot7_Age),1,0)</f>
        <v>0</v>
      </c>
      <c r="CE14" s="1" t="n">
        <f aca="false">IF(AND(Slot7_On=1,Slot7_Age&gt;D14),1,0)</f>
        <v>0</v>
      </c>
      <c r="CF14" s="1" t="n">
        <f aca="false">ID13</f>
        <v>0</v>
      </c>
      <c r="CG14" s="1" t="n">
        <f aca="false">CD14*MIN(Slot7_Cost,CF14)</f>
        <v>0</v>
      </c>
      <c r="CH14" s="1" t="n">
        <f aca="false">CD14*Slot7_SpendLike*MIN(Slot7_Cost-CG14,BZ14)</f>
        <v>0</v>
      </c>
      <c r="CI14" s="1" t="n">
        <f aca="false">CG14+CH14</f>
        <v>0</v>
      </c>
      <c r="CJ14" s="1" t="n">
        <f aca="false">BZ14-CH14+CD14*IF(Slot7_SpendLike=1,CF14-CG14,IF(Slot7_PotFree=1,CF14,0))</f>
        <v>0</v>
      </c>
      <c r="CK14" s="1" t="n">
        <f aca="false">CA14+CD14*Slot7_BufPot*CF14</f>
        <v>0</v>
      </c>
      <c r="CL14" s="1" t="n">
        <f aca="false">IF(AND(CD14=1,Slot7_IsMfree=1),IF(CI14&gt;=Slot7_Cost-1,0,MAX(0,CB14-CI14)),CB14)</f>
        <v>0</v>
      </c>
      <c r="CM14" s="1" t="n">
        <f aca="false">CD14*(Slot7_Cost-CI14)</f>
        <v>0</v>
      </c>
      <c r="CN14" s="1" t="n">
        <f aca="false">IF(AND(Slot8_On=1,D14=Slot8_Age),1,0)</f>
        <v>0</v>
      </c>
      <c r="CO14" s="1" t="n">
        <f aca="false">IF(AND(Slot8_On=1,Slot8_Age&gt;D14),1,0)</f>
        <v>0</v>
      </c>
      <c r="CP14" s="1" t="n">
        <f aca="false">IH13</f>
        <v>0</v>
      </c>
      <c r="CQ14" s="1" t="n">
        <f aca="false">CN14*MIN(Slot8_Cost,CP14)</f>
        <v>0</v>
      </c>
      <c r="CR14" s="1" t="n">
        <f aca="false">CN14*Slot8_SpendLike*MIN(Slot8_Cost-CQ14,CJ14)</f>
        <v>0</v>
      </c>
      <c r="CS14" s="1" t="n">
        <f aca="false">CQ14+CR14</f>
        <v>0</v>
      </c>
      <c r="CT14" s="1" t="n">
        <f aca="false">CJ14-CR14+CN14*IF(Slot8_SpendLike=1,CP14-CQ14,IF(Slot8_PotFree=1,CP14,0))</f>
        <v>0</v>
      </c>
      <c r="CU14" s="1" t="n">
        <f aca="false">CK14+CN14*Slot8_BufPot*CP14</f>
        <v>0</v>
      </c>
      <c r="CV14" s="1" t="n">
        <f aca="false">IF(AND(CN14=1,Slot8_IsMfree=1),IF(CS14&gt;=Slot8_Cost-1,0,MAX(0,CL14-CS14)),CL14)</f>
        <v>0</v>
      </c>
      <c r="CW14" s="1" t="n">
        <f aca="false">CN14*(Slot8_Cost-CS14)</f>
        <v>0</v>
      </c>
      <c r="CX14" s="1" t="n">
        <f aca="false">U14*Slot1_SpendLike*Z14+AF14*Slot2_SpendLike*AK14+AP14*Slot3_SpendLike*AU14+AZ14*Slot4_SpendLike*BE14+BJ14*Slot5_SpendLike*BO14+BT14*Slot6_SpendLike*BY14+CD14*Slot7_SpendLike*CI14+CN14*Slot8_SpendLike*CS14</f>
        <v>0</v>
      </c>
      <c r="CY14" s="1" t="n">
        <f aca="false">AD14+AO14+AY14+BI14+BS14+CC14+CM14+CW14</f>
        <v>0</v>
      </c>
      <c r="CZ14" s="1" t="n">
        <f aca="false">U14*Slot1_Cost+AF14*Slot2_Cost+AP14*Slot3_Cost+AZ14*Slot4_Cost+BJ14*Slot5_Cost+BT14*Slot6_Cost+CD14*Slot7_Cost+CN14*Slot8_Cost</f>
        <v>0</v>
      </c>
      <c r="DA14" s="1" t="n">
        <f aca="false">CV14</f>
        <v>0</v>
      </c>
      <c r="DB14" s="1" t="n">
        <f aca="false">G14-H14-R14</f>
        <v>0</v>
      </c>
      <c r="DC14" s="1" t="n">
        <f aca="false">IF(B14=0,IF(AND(Has_q6=1,In_q6=4),PR_ShareVaries*(MAX(0,DB14)/12),MIN(IF(Has_q6=1,CHOOSE(In_q6+1,PR_SaveB1,PR_SaveB2,PR_SaveB3,PR_SaveB4,0),AS_NoAnswer),AS_SaveShare*(MAX(0,DB14)/12))),DC13)</f>
        <v>0</v>
      </c>
      <c r="DD14" s="1" t="n">
        <f aca="false">IF(DB14&gt;=0,1,0)</f>
        <v>1</v>
      </c>
      <c r="DE14" s="1" t="n">
        <f aca="false">MAX(0,DB14/12/E14)</f>
        <v>0</v>
      </c>
      <c r="DF14" s="1" t="n">
        <f aca="false">IF(AND(Has_q6=1,In_q6=4),PR_ShareVaries*(DE14),MIN(IF(Has_q6=1,CHOOSE(In_q6+1,PR_SaveB1,PR_SaveB2,PR_SaveB3,PR_SaveB4,0),AS_NoAnswer),AS_SaveShare*(DE14)))</f>
        <v>0</v>
      </c>
      <c r="DG14" s="1" t="n">
        <f aca="false">IF(Has_saveM=1,IF(In_saveUp="Yes",1,IF(In_saveUp="No",0,IF(In_saveM&gt;=DC14-0.5,1,0))),0)</f>
        <v>0</v>
      </c>
      <c r="DH14" s="1" t="n">
        <f aca="false">IF(Has_saveM=1,MIN(DE14,IF(DG14=1,MAX(In_saveM,DF14),MIN(In_saveM,DF14))),DF14)</f>
        <v>0</v>
      </c>
      <c r="DI14" s="1" t="n">
        <f aca="false">IF(F14=1,DH14*12*E14,0)</f>
        <v>0</v>
      </c>
      <c r="DJ14" s="1" t="n">
        <f aca="false">MAX(0,DI14+IF(AND(WI_Retire=0,WI_M&lt;0,F14=1),WI_M*12*E14,0))</f>
        <v>0</v>
      </c>
      <c r="DK14" s="1" t="n">
        <f aca="false">Slot1_IsWG*V14+Slot2_IsWG*AG14+Slot3_IsWG*AQ14+Slot4_IsWG*BA14+Slot5_IsWG*BK14+Slot6_IsWG*BU14+Slot7_IsWG*CE14+Slot8_IsWG*CO14</f>
        <v>0</v>
      </c>
      <c r="DL14" s="1" t="n">
        <f aca="false">IF(AND(WI_Retire=0,WI_M&gt;0,F14=1,DK14&gt;=1),WI_M*12*E14,0)</f>
        <v>0</v>
      </c>
      <c r="DM14" s="1" t="n">
        <f aca="false">IF(DD14=1,MIN(DJ14,DB14),0)</f>
        <v>0</v>
      </c>
      <c r="DN14" s="1" t="n">
        <f aca="false">IF(DD14=1,MIN(DL14,DB14-DM14),0)</f>
        <v>0</v>
      </c>
      <c r="DO14" s="1" t="n">
        <f aca="false">IF(V14=1,IF(ABS((1+AS_Wage)/(1+Slot1_Rate)-1)&lt;0.000000000001,(Slot1_Age-D14)*(1+Slot1_Rate)^(Slot1_Age-D14),(1+Slot1_Rate)^(Slot1_Age-D14)*(1-((1+AS_Wage)/(1+Slot1_Rate))^(Slot1_Age-D14))/(1-(1+AS_Wage)/(1+Slot1_Rate))),1)</f>
        <v>1</v>
      </c>
      <c r="DP14" s="1" t="n">
        <f aca="false">IF(AND(DD14=1,DN14&gt;0,Slot1_IsWG=1,V14=1),MAX(0,(Slot1_Cost-W14*(1+Slot1_Rate)^(Slot1_Age-D14))/DO14),0)</f>
        <v>0</v>
      </c>
      <c r="DQ14" s="1" t="n">
        <f aca="false">IF(AND(DD14=1,DN14&gt;0,Slot1_IsWG=1,V14=1),MIN(DN14,DP14),0)</f>
        <v>0</v>
      </c>
      <c r="DR14" s="1" t="n">
        <f aca="false">W14+DQ14</f>
        <v>0</v>
      </c>
      <c r="DS14" s="1" t="n">
        <f aca="false">IF(V14=1,MAX(0,(Slot1_Cost-DR14*(1+Slot1_Rate)^(Slot1_Age-D14))/DO14),0)</f>
        <v>0</v>
      </c>
      <c r="DT14" s="1" t="n">
        <f aca="false">IF(V14=1,MAX(0,(Slot1_Cost-W14*(1+Slot1_Rate)^(Slot1_Age-D14))/DO14),0)</f>
        <v>0</v>
      </c>
      <c r="DU14" s="1" t="n">
        <f aca="false">IF(AND(DD14=1,V14=1),MIN(DM14,DS14),0)</f>
        <v>0</v>
      </c>
      <c r="DV14" s="1" t="n">
        <f aca="false">DM14-DU14</f>
        <v>0</v>
      </c>
      <c r="DW14" s="1" t="n">
        <f aca="false">IF(AG14=1,IF(ABS((1+AS_Wage)/(1+Slot2_Rate)-1)&lt;0.000000000001,(Slot2_Age-D14)*(1+Slot2_Rate)^(Slot2_Age-D14),(1+Slot2_Rate)^(Slot2_Age-D14)*(1-((1+AS_Wage)/(1+Slot2_Rate))^(Slot2_Age-D14))/(1-(1+AS_Wage)/(1+Slot2_Rate))),1)</f>
        <v>1</v>
      </c>
      <c r="DX14" s="1" t="n">
        <f aca="false">IF(AND(DD14=1,DN14&gt;0,Slot2_IsWG=1,AG14=1),MAX(0,(Slot2_Cost-AH14*(1+Slot2_Rate)^(Slot2_Age-D14))/DW14),0)</f>
        <v>0</v>
      </c>
      <c r="DY14" s="1" t="n">
        <f aca="false">IF(AND(DD14=1,DN14&gt;0,Slot2_IsWG=1,AG14=1),MIN(DN14,DX14),0)</f>
        <v>0</v>
      </c>
      <c r="DZ14" s="1" t="n">
        <f aca="false">AH14+DY14</f>
        <v>0</v>
      </c>
      <c r="EA14" s="1" t="n">
        <f aca="false">IF(AG14=1,MAX(0,(Slot2_Cost-DZ14*(1+Slot2_Rate)^(Slot2_Age-D14))/DW14),0)</f>
        <v>0</v>
      </c>
      <c r="EB14" s="1" t="n">
        <f aca="false">IF(AG14=1,MAX(0,(Slot2_Cost-AH14*(1+Slot2_Rate)^(Slot2_Age-D14))/DW14),0)</f>
        <v>0</v>
      </c>
      <c r="EC14" s="1" t="n">
        <f aca="false">IF(AND(DD14=1,AG14=1),MIN(DV14,EA14),0)</f>
        <v>0</v>
      </c>
      <c r="ED14" s="1" t="n">
        <f aca="false">DV14-EC14</f>
        <v>0</v>
      </c>
      <c r="EE14" s="1" t="n">
        <f aca="false">IF(AQ14=1,IF(ABS((1+AS_Wage)/(1+Slot3_Rate)-1)&lt;0.000000000001,(Slot3_Age-D14)*(1+Slot3_Rate)^(Slot3_Age-D14),(1+Slot3_Rate)^(Slot3_Age-D14)*(1-((1+AS_Wage)/(1+Slot3_Rate))^(Slot3_Age-D14))/(1-(1+AS_Wage)/(1+Slot3_Rate))),1)</f>
        <v>1</v>
      </c>
      <c r="EF14" s="1" t="n">
        <f aca="false">IF(AND(DD14=1,DN14&gt;0,Slot3_IsWG=1,AQ14=1),MAX(0,(Slot3_Cost-AR14*(1+Slot3_Rate)^(Slot3_Age-D14))/EE14),0)</f>
        <v>0</v>
      </c>
      <c r="EG14" s="1" t="n">
        <f aca="false">IF(AND(DD14=1,DN14&gt;0,Slot3_IsWG=1,AQ14=1),MIN(DN14,EF14),0)</f>
        <v>0</v>
      </c>
      <c r="EH14" s="1" t="n">
        <f aca="false">AR14+EG14</f>
        <v>0</v>
      </c>
      <c r="EI14" s="1" t="n">
        <f aca="false">IF(AQ14=1,MAX(0,(Slot3_Cost-EH14*(1+Slot3_Rate)^(Slot3_Age-D14))/EE14),0)</f>
        <v>0</v>
      </c>
      <c r="EJ14" s="1" t="n">
        <f aca="false">IF(AQ14=1,MAX(0,(Slot3_Cost-AR14*(1+Slot3_Rate)^(Slot3_Age-D14))/EE14),0)</f>
        <v>0</v>
      </c>
      <c r="EK14" s="1" t="n">
        <f aca="false">IF(AND(DD14=1,AQ14=1),MIN(ED14,EI14),0)</f>
        <v>0</v>
      </c>
      <c r="EL14" s="1" t="n">
        <f aca="false">ED14-EK14</f>
        <v>0</v>
      </c>
      <c r="EM14" s="1" t="n">
        <f aca="false">IF(BA14=1,IF(ABS((1+AS_Wage)/(1+Slot4_Rate)-1)&lt;0.000000000001,(Slot4_Age-D14)*(1+Slot4_Rate)^(Slot4_Age-D14),(1+Slot4_Rate)^(Slot4_Age-D14)*(1-((1+AS_Wage)/(1+Slot4_Rate))^(Slot4_Age-D14))/(1-(1+AS_Wage)/(1+Slot4_Rate))),1)</f>
        <v>1</v>
      </c>
      <c r="EN14" s="1" t="n">
        <f aca="false">IF(AND(DD14=1,DN14&gt;0,Slot4_IsWG=1,BA14=1),MAX(0,(Slot4_Cost-BB14*(1+Slot4_Rate)^(Slot4_Age-D14))/EM14),0)</f>
        <v>0</v>
      </c>
      <c r="EO14" s="1" t="n">
        <f aca="false">IF(AND(DD14=1,DN14&gt;0,Slot4_IsWG=1,BA14=1),MIN(DN14,EN14),0)</f>
        <v>0</v>
      </c>
      <c r="EP14" s="1" t="n">
        <f aca="false">BB14+EO14</f>
        <v>0</v>
      </c>
      <c r="EQ14" s="1" t="n">
        <f aca="false">IF(BA14=1,MAX(0,(Slot4_Cost-EP14*(1+Slot4_Rate)^(Slot4_Age-D14))/EM14),0)</f>
        <v>0</v>
      </c>
      <c r="ER14" s="1" t="n">
        <f aca="false">IF(BA14=1,MAX(0,(Slot4_Cost-BB14*(1+Slot4_Rate)^(Slot4_Age-D14))/EM14),0)</f>
        <v>0</v>
      </c>
      <c r="ES14" s="1" t="n">
        <f aca="false">IF(AND(DD14=1,BA14=1),MIN(EL14,EQ14),0)</f>
        <v>0</v>
      </c>
      <c r="ET14" s="1" t="n">
        <f aca="false">EL14-ES14</f>
        <v>0</v>
      </c>
      <c r="EU14" s="1" t="n">
        <f aca="false">IF(BK14=1,IF(ABS((1+AS_Wage)/(1+Slot5_Rate)-1)&lt;0.000000000001,(Slot5_Age-D14)*(1+Slot5_Rate)^(Slot5_Age-D14),(1+Slot5_Rate)^(Slot5_Age-D14)*(1-((1+AS_Wage)/(1+Slot5_Rate))^(Slot5_Age-D14))/(1-(1+AS_Wage)/(1+Slot5_Rate))),1)</f>
        <v>1</v>
      </c>
      <c r="EV14" s="1" t="n">
        <f aca="false">IF(AND(DD14=1,DN14&gt;0,Slot5_IsWG=1,BK14=1),MAX(0,(Slot5_Cost-BL14*(1+Slot5_Rate)^(Slot5_Age-D14))/EU14),0)</f>
        <v>0</v>
      </c>
      <c r="EW14" s="1" t="n">
        <f aca="false">IF(AND(DD14=1,DN14&gt;0,Slot5_IsWG=1,BK14=1),MIN(DN14,EV14),0)</f>
        <v>0</v>
      </c>
      <c r="EX14" s="1" t="n">
        <f aca="false">BL14+EW14</f>
        <v>0</v>
      </c>
      <c r="EY14" s="1" t="n">
        <f aca="false">IF(BK14=1,MAX(0,(Slot5_Cost-EX14*(1+Slot5_Rate)^(Slot5_Age-D14))/EU14),0)</f>
        <v>0</v>
      </c>
      <c r="EZ14" s="1" t="n">
        <f aca="false">IF(BK14=1,MAX(0,(Slot5_Cost-BL14*(1+Slot5_Rate)^(Slot5_Age-D14))/EU14),0)</f>
        <v>0</v>
      </c>
      <c r="FA14" s="1" t="n">
        <f aca="false">IF(AND(DD14=1,BK14=1),MIN(ET14,EY14),0)</f>
        <v>0</v>
      </c>
      <c r="FB14" s="1" t="n">
        <f aca="false">ET14-FA14</f>
        <v>0</v>
      </c>
      <c r="FC14" s="1" t="n">
        <f aca="false">IF(BU14=1,IF(ABS((1+AS_Wage)/(1+Slot6_Rate)-1)&lt;0.000000000001,(Slot6_Age-D14)*(1+Slot6_Rate)^(Slot6_Age-D14),(1+Slot6_Rate)^(Slot6_Age-D14)*(1-((1+AS_Wage)/(1+Slot6_Rate))^(Slot6_Age-D14))/(1-(1+AS_Wage)/(1+Slot6_Rate))),1)</f>
        <v>1</v>
      </c>
      <c r="FD14" s="1" t="n">
        <f aca="false">IF(AND(DD14=1,DN14&gt;0,Slot6_IsWG=1,BU14=1),MAX(0,(Slot6_Cost-BV14*(1+Slot6_Rate)^(Slot6_Age-D14))/FC14),0)</f>
        <v>0</v>
      </c>
      <c r="FE14" s="1" t="n">
        <f aca="false">IF(AND(DD14=1,DN14&gt;0,Slot6_IsWG=1,BU14=1),MIN(DN14,FD14),0)</f>
        <v>0</v>
      </c>
      <c r="FF14" s="1" t="n">
        <f aca="false">BV14+FE14</f>
        <v>0</v>
      </c>
      <c r="FG14" s="1" t="n">
        <f aca="false">IF(BU14=1,MAX(0,(Slot6_Cost-FF14*(1+Slot6_Rate)^(Slot6_Age-D14))/FC14),0)</f>
        <v>0</v>
      </c>
      <c r="FH14" s="1" t="n">
        <f aca="false">IF(BU14=1,MAX(0,(Slot6_Cost-BV14*(1+Slot6_Rate)^(Slot6_Age-D14))/FC14),0)</f>
        <v>0</v>
      </c>
      <c r="FI14" s="1" t="n">
        <f aca="false">IF(AND(DD14=1,BU14=1),MIN(FB14,FG14),0)</f>
        <v>0</v>
      </c>
      <c r="FJ14" s="1" t="n">
        <f aca="false">FB14-FI14</f>
        <v>0</v>
      </c>
      <c r="FK14" s="1" t="n">
        <f aca="false">IF(CE14=1,IF(ABS((1+AS_Wage)/(1+Slot7_Rate)-1)&lt;0.000000000001,(Slot7_Age-D14)*(1+Slot7_Rate)^(Slot7_Age-D14),(1+Slot7_Rate)^(Slot7_Age-D14)*(1-((1+AS_Wage)/(1+Slot7_Rate))^(Slot7_Age-D14))/(1-(1+AS_Wage)/(1+Slot7_Rate))),1)</f>
        <v>1</v>
      </c>
      <c r="FL14" s="1" t="n">
        <f aca="false">IF(AND(DD14=1,DN14&gt;0,Slot7_IsWG=1,CE14=1),MAX(0,(Slot7_Cost-CF14*(1+Slot7_Rate)^(Slot7_Age-D14))/FK14),0)</f>
        <v>0</v>
      </c>
      <c r="FM14" s="1" t="n">
        <f aca="false">IF(AND(DD14=1,DN14&gt;0,Slot7_IsWG=1,CE14=1),MIN(DN14,FL14),0)</f>
        <v>0</v>
      </c>
      <c r="FN14" s="1" t="n">
        <f aca="false">CF14+FM14</f>
        <v>0</v>
      </c>
      <c r="FO14" s="1" t="n">
        <f aca="false">IF(CE14=1,MAX(0,(Slot7_Cost-FN14*(1+Slot7_Rate)^(Slot7_Age-D14))/FK14),0)</f>
        <v>0</v>
      </c>
      <c r="FP14" s="1" t="n">
        <f aca="false">IF(CE14=1,MAX(0,(Slot7_Cost-CF14*(1+Slot7_Rate)^(Slot7_Age-D14))/FK14),0)</f>
        <v>0</v>
      </c>
      <c r="FQ14" s="1" t="n">
        <f aca="false">IF(AND(DD14=1,CE14=1),MIN(FJ14,FO14),0)</f>
        <v>0</v>
      </c>
      <c r="FR14" s="1" t="n">
        <f aca="false">FJ14-FQ14</f>
        <v>0</v>
      </c>
      <c r="FS14" s="1" t="n">
        <f aca="false">IF(CO14=1,IF(ABS((1+AS_Wage)/(1+Slot8_Rate)-1)&lt;0.000000000001,(Slot8_Age-D14)*(1+Slot8_Rate)^(Slot8_Age-D14),(1+Slot8_Rate)^(Slot8_Age-D14)*(1-((1+AS_Wage)/(1+Slot8_Rate))^(Slot8_Age-D14))/(1-(1+AS_Wage)/(1+Slot8_Rate))),1)</f>
        <v>1</v>
      </c>
      <c r="FT14" s="1" t="n">
        <f aca="false">IF(AND(DD14=1,DN14&gt;0,Slot8_IsWG=1,CO14=1),MAX(0,(Slot8_Cost-CP14*(1+Slot8_Rate)^(Slot8_Age-D14))/FS14),0)</f>
        <v>0</v>
      </c>
      <c r="FU14" s="1" t="n">
        <f aca="false">IF(AND(DD14=1,DN14&gt;0,Slot8_IsWG=1,CO14=1),MIN(DN14,FT14),0)</f>
        <v>0</v>
      </c>
      <c r="FV14" s="1" t="n">
        <f aca="false">CP14+FU14</f>
        <v>0</v>
      </c>
      <c r="FW14" s="1" t="n">
        <f aca="false">IF(CO14=1,MAX(0,(Slot8_Cost-FV14*(1+Slot8_Rate)^(Slot8_Age-D14))/FS14),0)</f>
        <v>0</v>
      </c>
      <c r="FX14" s="1" t="n">
        <f aca="false">IF(CO14=1,MAX(0,(Slot8_Cost-CP14*(1+Slot8_Rate)^(Slot8_Age-D14))/FS14),0)</f>
        <v>0</v>
      </c>
      <c r="FY14" s="1" t="n">
        <f aca="false">IF(AND(DD14=1,CO14=1),MIN(FR14,FW14),0)</f>
        <v>0</v>
      </c>
      <c r="FZ14" s="1" t="n">
        <f aca="false">FR14-FY14</f>
        <v>0</v>
      </c>
      <c r="GA14" s="1" t="n">
        <f aca="false">DN14-(DQ14+DY14+EG14+EO14+EW14+FE14+FM14+FU14)</f>
        <v>0</v>
      </c>
      <c r="GB14" s="1" t="n">
        <f aca="false">IF(DD14=1,DB14-DM14-DN14,0)</f>
        <v>0</v>
      </c>
      <c r="GC14" s="1" t="n">
        <f aca="false">IF(DD14=0,-DB14,0)</f>
        <v>0</v>
      </c>
      <c r="GD14" s="1" t="n">
        <f aca="false">MIN(GC14,CT14)</f>
        <v>0</v>
      </c>
      <c r="GE14" s="1" t="n">
        <f aca="false">GC14-GD14</f>
        <v>0</v>
      </c>
      <c r="GF14" s="1" t="n">
        <f aca="false">MIN(GE14,CU14)</f>
        <v>0</v>
      </c>
      <c r="GG14" s="1" t="n">
        <f aca="false">GE14-GF14</f>
        <v>0</v>
      </c>
      <c r="GH14" s="1" t="n">
        <f aca="false">IF(AND(DD14=0,CO14=1,GG14&gt;0),MIN(GG14,CP14),0)</f>
        <v>0</v>
      </c>
      <c r="GI14" s="1" t="n">
        <f aca="false">GG14-GH14</f>
        <v>0</v>
      </c>
      <c r="GJ14" s="1" t="n">
        <f aca="false">IF(AND(DD14=0,CE14=1,GI14&gt;0),MIN(GI14,CF14),0)</f>
        <v>0</v>
      </c>
      <c r="GK14" s="1" t="n">
        <f aca="false">GI14-GJ14</f>
        <v>0</v>
      </c>
      <c r="GL14" s="1" t="n">
        <f aca="false">IF(AND(DD14=0,BU14=1,GK14&gt;0),MIN(GK14,BV14),0)</f>
        <v>0</v>
      </c>
      <c r="GM14" s="1" t="n">
        <f aca="false">GK14-GL14</f>
        <v>0</v>
      </c>
      <c r="GN14" s="1" t="n">
        <f aca="false">IF(AND(DD14=0,BK14=1,GM14&gt;0),MIN(GM14,BL14),0)</f>
        <v>0</v>
      </c>
      <c r="GO14" s="1" t="n">
        <f aca="false">GM14-GN14</f>
        <v>0</v>
      </c>
      <c r="GP14" s="1" t="n">
        <f aca="false">IF(AND(DD14=0,BA14=1,GO14&gt;0),MIN(GO14,BB14),0)</f>
        <v>0</v>
      </c>
      <c r="GQ14" s="1" t="n">
        <f aca="false">GO14-GP14</f>
        <v>0</v>
      </c>
      <c r="GR14" s="1" t="n">
        <f aca="false">IF(AND(DD14=0,AQ14=1,GQ14&gt;0),MIN(GQ14,AR14),0)</f>
        <v>0</v>
      </c>
      <c r="GS14" s="1" t="n">
        <f aca="false">GQ14-GR14</f>
        <v>0</v>
      </c>
      <c r="GT14" s="1" t="n">
        <f aca="false">IF(AND(DD14=0,AG14=1,GS14&gt;0),MIN(GS14,AH14),0)</f>
        <v>0</v>
      </c>
      <c r="GU14" s="1" t="n">
        <f aca="false">GS14-GT14</f>
        <v>0</v>
      </c>
      <c r="GV14" s="1" t="n">
        <f aca="false">IF(AND(DD14=0,V14=1,GU14&gt;0),MIN(GU14,W14),0)</f>
        <v>0</v>
      </c>
      <c r="GW14" s="1" t="n">
        <f aca="false">GU14-GV14</f>
        <v>0</v>
      </c>
      <c r="GX14" s="1" t="n">
        <f aca="false">IF(DD14=0,GW14,0)</f>
        <v>0</v>
      </c>
      <c r="GY14" s="1" t="n">
        <f aca="false">GD14+GF14+GV14+GT14+GR14+GP14+GN14+GL14+GJ14+GH14</f>
        <v>0</v>
      </c>
      <c r="GZ14" s="1" t="n">
        <f aca="false">IF(DD14=1,CT14+GA14+FZ14+IF(F14=1,0,GB14),CT14-GD14)</f>
        <v>0</v>
      </c>
      <c r="HA14" s="1" t="n">
        <f aca="false">CU14-GF14</f>
        <v>0</v>
      </c>
      <c r="HB14" s="1" t="n">
        <f aca="false">IF(DD14=1,IF(F14=1,DM14+DN14,DB14),0)</f>
        <v>0</v>
      </c>
      <c r="HC14" s="1" t="n">
        <f aca="false">IF(DD14=1,IF(F14=1,DB14-DM14-DN14,0),0)</f>
        <v>0</v>
      </c>
      <c r="HD14" s="1" t="n">
        <f aca="false">GZ14*(1+GR)</f>
        <v>0</v>
      </c>
      <c r="HE14" s="1" t="n">
        <f aca="false">HA14*(1+AS_Cash)</f>
        <v>0</v>
      </c>
      <c r="HF14" s="1" t="n">
        <f aca="false">IF(V14=1,IF(DD14=1,DR14+DU14,W14-GV14)*(1+Slot1_Rate),0)</f>
        <v>0</v>
      </c>
      <c r="HG14" s="1" t="n">
        <f aca="false">IF(AND(DD14=1,V14=1),(DQ14+DU14)/E14,0)</f>
        <v>0</v>
      </c>
      <c r="HH14" s="1" t="n">
        <f aca="false">IF(B14=0,DQ14+DU14,0)</f>
        <v>0</v>
      </c>
      <c r="HI14" s="1" t="n">
        <f aca="false">IF(B14=0,IF(DD14=1,DS14,DT14),0)</f>
        <v>0</v>
      </c>
      <c r="HJ14" s="1" t="n">
        <f aca="false">IF(AG14=1,IF(DD14=1,DZ14+EC14,AH14-GT14)*(1+Slot2_Rate),0)</f>
        <v>0</v>
      </c>
      <c r="HK14" s="1" t="n">
        <f aca="false">IF(AND(DD14=1,AG14=1),(DY14+EC14)/E14,0)</f>
        <v>0</v>
      </c>
      <c r="HL14" s="1" t="n">
        <f aca="false">IF(B14=0,DY14+EC14,0)</f>
        <v>0</v>
      </c>
      <c r="HM14" s="1" t="n">
        <f aca="false">IF(B14=0,IF(DD14=1,EA14,EB14),0)</f>
        <v>0</v>
      </c>
      <c r="HN14" s="1" t="n">
        <f aca="false">IF(AQ14=1,IF(DD14=1,EH14+EK14,AR14-GR14)*(1+Slot3_Rate),0)</f>
        <v>0</v>
      </c>
      <c r="HO14" s="1" t="n">
        <f aca="false">IF(AND(DD14=1,AQ14=1),(EG14+EK14)/E14,0)</f>
        <v>0</v>
      </c>
      <c r="HP14" s="1" t="n">
        <f aca="false">IF(B14=0,EG14+EK14,0)</f>
        <v>0</v>
      </c>
      <c r="HQ14" s="1" t="n">
        <f aca="false">IF(B14=0,IF(DD14=1,EI14,EJ14),0)</f>
        <v>0</v>
      </c>
      <c r="HR14" s="1" t="n">
        <f aca="false">IF(BA14=1,IF(DD14=1,EP14+ES14,BB14-GP14)*(1+Slot4_Rate),0)</f>
        <v>0</v>
      </c>
      <c r="HS14" s="1" t="n">
        <f aca="false">IF(AND(DD14=1,BA14=1),(EO14+ES14)/E14,0)</f>
        <v>0</v>
      </c>
      <c r="HT14" s="1" t="n">
        <f aca="false">IF(B14=0,EO14+ES14,0)</f>
        <v>0</v>
      </c>
      <c r="HU14" s="1" t="n">
        <f aca="false">IF(B14=0,IF(DD14=1,EQ14,ER14),0)</f>
        <v>0</v>
      </c>
      <c r="HV14" s="1" t="n">
        <f aca="false">IF(BK14=1,IF(DD14=1,EX14+FA14,BL14-GN14)*(1+Slot5_Rate),0)</f>
        <v>0</v>
      </c>
      <c r="HW14" s="1" t="n">
        <f aca="false">IF(AND(DD14=1,BK14=1),(EW14+FA14)/E14,0)</f>
        <v>0</v>
      </c>
      <c r="HX14" s="1" t="n">
        <f aca="false">IF(B14=0,EW14+FA14,0)</f>
        <v>0</v>
      </c>
      <c r="HY14" s="1" t="n">
        <f aca="false">IF(B14=0,IF(DD14=1,EY14,EZ14),0)</f>
        <v>0</v>
      </c>
      <c r="HZ14" s="1" t="n">
        <f aca="false">IF(BU14=1,IF(DD14=1,FF14+FI14,BV14-GL14)*(1+Slot6_Rate),0)</f>
        <v>0</v>
      </c>
      <c r="IA14" s="1" t="n">
        <f aca="false">IF(AND(DD14=1,BU14=1),(FE14+FI14)/E14,0)</f>
        <v>0</v>
      </c>
      <c r="IB14" s="1" t="n">
        <f aca="false">IF(B14=0,FE14+FI14,0)</f>
        <v>0</v>
      </c>
      <c r="IC14" s="1" t="n">
        <f aca="false">IF(B14=0,IF(DD14=1,FG14,FH14),0)</f>
        <v>0</v>
      </c>
      <c r="ID14" s="1" t="n">
        <f aca="false">IF(CE14=1,IF(DD14=1,FN14+FQ14,CF14-GJ14)*(1+Slot7_Rate),0)</f>
        <v>0</v>
      </c>
      <c r="IE14" s="1" t="n">
        <f aca="false">IF(AND(DD14=1,CE14=1),(FM14+FQ14)/E14,0)</f>
        <v>0</v>
      </c>
      <c r="IF14" s="1" t="n">
        <f aca="false">IF(B14=0,FM14+FQ14,0)</f>
        <v>0</v>
      </c>
      <c r="IG14" s="1" t="n">
        <f aca="false">IF(B14=0,IF(DD14=1,FO14,FP14),0)</f>
        <v>0</v>
      </c>
      <c r="IH14" s="1" t="n">
        <f aca="false">IF(CO14=1,IF(DD14=1,FV14+FY14,CP14-GH14)*(1+Slot8_Rate),0)</f>
        <v>0</v>
      </c>
      <c r="II14" s="1" t="n">
        <f aca="false">IF(AND(DD14=1,CO14=1),(FU14+FY14)/E14,0)</f>
        <v>0</v>
      </c>
      <c r="IJ14" s="1" t="n">
        <f aca="false">IF(B14=0,FU14+FY14,0)</f>
        <v>0</v>
      </c>
      <c r="IK14" s="1" t="n">
        <f aca="false">IF(B14=0,IF(DD14=1,FW14,FX14),0)</f>
        <v>0</v>
      </c>
      <c r="IL14" s="1" t="n">
        <f aca="false">HD14+HE14+HF14+HJ14+HN14+HR14+HV14+HZ14+ID14+IH14</f>
        <v>0</v>
      </c>
      <c r="IM14" s="1" t="n">
        <f aca="false">GX14+CY14</f>
        <v>0</v>
      </c>
      <c r="IN14" s="1" t="n">
        <f aca="false">H14+R14</f>
        <v>0</v>
      </c>
      <c r="IO14" s="1" t="n">
        <f aca="false">1-F14</f>
        <v>1</v>
      </c>
      <c r="IP14" s="1" t="n">
        <f aca="false">IF(AND(RG_Exists=1,F14=0,C14=1),H14,0)</f>
        <v>0</v>
      </c>
      <c r="IQ14" s="1" t="n">
        <f aca="false">IF(AND(RG_Exists=1,F14=0,C14=1),H14-MIN(GX14,H14),0)</f>
        <v>0</v>
      </c>
      <c r="IR14" s="1" t="n">
        <f aca="false">'Plan pay &amp; tax'!AD216</f>
        <v>0</v>
      </c>
      <c r="IS14" s="1" t="n">
        <f aca="false">IF(AND(C14=1,GX14&gt;MAX(PR_Short1,IN14*PR_Short2)),1,0)</f>
        <v>0</v>
      </c>
      <c r="IT14" s="1" t="n">
        <f aca="false">MIN(G14,H14+R14)</f>
        <v>0</v>
      </c>
      <c r="IU14" s="1" t="n">
        <f aca="false">GY14+MAX(0,CZ14-CY14)</f>
        <v>0</v>
      </c>
      <c r="IV14" s="1" t="n">
        <f aca="false">GX14+CY14</f>
        <v>0</v>
      </c>
      <c r="IW14" s="1" t="n">
        <f aca="false">IF(AND(C14=1,IV14&gt;0.5),1,0)</f>
        <v>0</v>
      </c>
      <c r="IX14" s="1" t="n">
        <f aca="false">IF(AND(C14=1,IW14=0,IU14&gt;0.5),1,0)</f>
        <v>0</v>
      </c>
      <c r="IY14" s="1" t="n">
        <f aca="false">IF(AND(C14=1,GX14&gt;0.5),1,0)</f>
        <v>0</v>
      </c>
      <c r="IZ14" s="1" t="n">
        <f aca="false">IF(AND(C14=1,GY14&gt;1,JF14=0),1,0)</f>
        <v>0</v>
      </c>
      <c r="JA14" s="1" t="n">
        <f aca="false">IF(AND(INT(D14/10)*10=90,B14&gt;0),80,INT(D14/10)*10)</f>
        <v>0</v>
      </c>
      <c r="JB14" s="1" t="n">
        <f aca="false">IF(B14=0,1,IF(JA14&lt;&gt;JA13,JB13+1,JB13))</f>
        <v>1</v>
      </c>
      <c r="JC14" s="1" t="n">
        <f aca="false">IF(AND(C14=1,F14=1,GX14&gt;MAX(PR_Short1,IN14*PR_Short2)),1,0)</f>
        <v>0</v>
      </c>
      <c r="JD14" s="1" t="n">
        <f aca="false">IO14*IS14</f>
        <v>0</v>
      </c>
      <c r="JE14" s="1" t="n">
        <f aca="false">IF(AND(U14=1,Slot1_PctLow=1),1,0)+IF(AND(AF14=1,Slot2_PctLow=1),1,0)+IF(AND(AP14=1,Slot3_PctLow=1),1,0)+IF(AND(AZ14=1,Slot4_PctLow=1),1,0)+IF(AND(BJ14=1,Slot5_PctLow=1),1,0)+IF(AND(BT14=1,Slot6_PctLow=1),1,0)+IF(AND(CD14=1,Slot7_PctLow=1),1,0)+IF(AND(CN14=1,Slot8_PctLow=1),1,0)</f>
        <v>0</v>
      </c>
      <c r="JF14" s="1" t="n">
        <f aca="false">IF(C14=1,IF(OR(IS14=1,JE14&gt;0),1,0),0)</f>
        <v>0</v>
      </c>
    </row>
    <row r="15" customFormat="false" ht="15" hidden="false" customHeight="false" outlineLevel="0" collapsed="false">
      <c r="B15" s="1" t="n">
        <v>7</v>
      </c>
      <c r="C15" s="1" t="n">
        <f aca="false">IF(B15&lt;=F_N,1,0)</f>
        <v>1</v>
      </c>
      <c r="D15" s="1" t="n">
        <f aca="false">'Plan pay &amp; tax'!C217</f>
        <v>7</v>
      </c>
      <c r="E15" s="106" t="n">
        <f aca="false">'Plan pay &amp; tax'!E217</f>
        <v>1.14868566764928</v>
      </c>
      <c r="F15" s="1" t="n">
        <f aca="false">'Plan pay &amp; tax'!G217</f>
        <v>0</v>
      </c>
      <c r="G15" s="1" t="n">
        <f aca="false">'Plan pay &amp; tax'!BT217-'Plan pay &amp; tax'!BS217-'Plan pay &amp; tax'!R217</f>
        <v>0</v>
      </c>
      <c r="H15" s="1" t="n">
        <f aca="false">IF(F15=1,F_CostsM*12,IF(RG_Exists=1,RG_Amount,F_CostsM*12*AS_RetireSpend))*E15+F_OneOffY*E15</f>
        <v>0</v>
      </c>
      <c r="I15" s="1" t="n">
        <f aca="false">DA14</f>
        <v>0</v>
      </c>
      <c r="J15" s="1" t="n">
        <f aca="false">IF(I15&gt;1,'Plan debt months'!AC15,0)</f>
        <v>0</v>
      </c>
      <c r="K15" s="1" t="n">
        <f aca="false">IF(I15&gt;1,'Plan debt months'!AB15,I15)</f>
        <v>0</v>
      </c>
      <c r="L15" s="1" t="n">
        <f aca="false">N14</f>
        <v>0</v>
      </c>
      <c r="M15" s="1" t="n">
        <f aca="false">IF(L15&gt;1,'Plan debt months'!BD15,0)</f>
        <v>0</v>
      </c>
      <c r="N15" s="1" t="n">
        <f aca="false">IF(L15&gt;1,'Plan debt months'!BC15,L15)</f>
        <v>0</v>
      </c>
      <c r="O15" s="1" t="n">
        <f aca="false">Q14</f>
        <v>0</v>
      </c>
      <c r="P15" s="1" t="n">
        <f aca="false">IF(O15&gt;1,'Plan debt months'!CE15,0)</f>
        <v>0</v>
      </c>
      <c r="Q15" s="1" t="n">
        <f aca="false">IF(O15&gt;1,'Plan debt months'!CD15,O15)</f>
        <v>0</v>
      </c>
      <c r="R15" s="1" t="n">
        <f aca="false">J15+M15+P15</f>
        <v>0</v>
      </c>
      <c r="S15" s="1" t="n">
        <f aca="false">HD14+'Plan pay &amp; tax'!Y217</f>
        <v>0</v>
      </c>
      <c r="T15" s="1" t="n">
        <f aca="false">HD14</f>
        <v>0</v>
      </c>
      <c r="U15" s="1" t="n">
        <f aca="false">IF(AND(Slot1_On=1,D15=Slot1_Age),1,0)</f>
        <v>0</v>
      </c>
      <c r="V15" s="1" t="n">
        <f aca="false">IF(AND(Slot1_On=1,Slot1_Age&gt;D15),1,0)</f>
        <v>0</v>
      </c>
      <c r="W15" s="1" t="n">
        <f aca="false">HF14</f>
        <v>0</v>
      </c>
      <c r="X15" s="1" t="n">
        <f aca="false">U15*MIN(Slot1_Cost,W15)</f>
        <v>0</v>
      </c>
      <c r="Y15" s="1" t="n">
        <f aca="false">U15*Slot1_SpendLike*MIN(Slot1_Cost-X15,S15)</f>
        <v>0</v>
      </c>
      <c r="Z15" s="1" t="n">
        <f aca="false">X15+Y15</f>
        <v>0</v>
      </c>
      <c r="AA15" s="1" t="n">
        <f aca="false">S15-Y15+U15*IF(Slot1_SpendLike=1,W15-X15,IF(Slot1_PotFree=1,W15,0))</f>
        <v>0</v>
      </c>
      <c r="AB15" s="1" t="n">
        <f aca="false">AE15+U15*Slot1_BufPot*W15</f>
        <v>0</v>
      </c>
      <c r="AC15" s="1" t="n">
        <f aca="false">IF(AND(U15=1,Slot1_IsMfree=1),IF(Z15&gt;=Slot1_Cost-1,0,MAX(0,K15-Z15)),K15)</f>
        <v>0</v>
      </c>
      <c r="AD15" s="1" t="n">
        <f aca="false">U15*(Slot1_Cost-Z15)</f>
        <v>0</v>
      </c>
      <c r="AE15" s="1" t="n">
        <f aca="false">HE14</f>
        <v>0</v>
      </c>
      <c r="AF15" s="1" t="n">
        <f aca="false">IF(AND(Slot2_On=1,D15=Slot2_Age),1,0)</f>
        <v>0</v>
      </c>
      <c r="AG15" s="1" t="n">
        <f aca="false">IF(AND(Slot2_On=1,Slot2_Age&gt;D15),1,0)</f>
        <v>0</v>
      </c>
      <c r="AH15" s="1" t="n">
        <f aca="false">HJ14</f>
        <v>0</v>
      </c>
      <c r="AI15" s="1" t="n">
        <f aca="false">AF15*MIN(Slot2_Cost,AH15)</f>
        <v>0</v>
      </c>
      <c r="AJ15" s="1" t="n">
        <f aca="false">AF15*Slot2_SpendLike*MIN(Slot2_Cost-AI15,AA15)</f>
        <v>0</v>
      </c>
      <c r="AK15" s="1" t="n">
        <f aca="false">AI15+AJ15</f>
        <v>0</v>
      </c>
      <c r="AL15" s="1" t="n">
        <f aca="false">AA15-AJ15+AF15*IF(Slot2_SpendLike=1,AH15-AI15,IF(Slot2_PotFree=1,AH15,0))</f>
        <v>0</v>
      </c>
      <c r="AM15" s="1" t="n">
        <f aca="false">AB15+AF15*Slot2_BufPot*AH15</f>
        <v>0</v>
      </c>
      <c r="AN15" s="1" t="n">
        <f aca="false">IF(AND(AF15=1,Slot2_IsMfree=1),IF(AK15&gt;=Slot2_Cost-1,0,MAX(0,AC15-AK15)),AC15)</f>
        <v>0</v>
      </c>
      <c r="AO15" s="1" t="n">
        <f aca="false">AF15*(Slot2_Cost-AK15)</f>
        <v>0</v>
      </c>
      <c r="AP15" s="1" t="n">
        <f aca="false">IF(AND(Slot3_On=1,D15=Slot3_Age),1,0)</f>
        <v>0</v>
      </c>
      <c r="AQ15" s="1" t="n">
        <f aca="false">IF(AND(Slot3_On=1,Slot3_Age&gt;D15),1,0)</f>
        <v>0</v>
      </c>
      <c r="AR15" s="1" t="n">
        <f aca="false">HN14</f>
        <v>0</v>
      </c>
      <c r="AS15" s="1" t="n">
        <f aca="false">AP15*MIN(Slot3_Cost,AR15)</f>
        <v>0</v>
      </c>
      <c r="AT15" s="1" t="n">
        <f aca="false">AP15*Slot3_SpendLike*MIN(Slot3_Cost-AS15,AL15)</f>
        <v>0</v>
      </c>
      <c r="AU15" s="1" t="n">
        <f aca="false">AS15+AT15</f>
        <v>0</v>
      </c>
      <c r="AV15" s="1" t="n">
        <f aca="false">AL15-AT15+AP15*IF(Slot3_SpendLike=1,AR15-AS15,IF(Slot3_PotFree=1,AR15,0))</f>
        <v>0</v>
      </c>
      <c r="AW15" s="1" t="n">
        <f aca="false">AM15+AP15*Slot3_BufPot*AR15</f>
        <v>0</v>
      </c>
      <c r="AX15" s="1" t="n">
        <f aca="false">IF(AND(AP15=1,Slot3_IsMfree=1),IF(AU15&gt;=Slot3_Cost-1,0,MAX(0,AN15-AU15)),AN15)</f>
        <v>0</v>
      </c>
      <c r="AY15" s="1" t="n">
        <f aca="false">AP15*(Slot3_Cost-AU15)</f>
        <v>0</v>
      </c>
      <c r="AZ15" s="1" t="n">
        <f aca="false">IF(AND(Slot4_On=1,D15=Slot4_Age),1,0)</f>
        <v>0</v>
      </c>
      <c r="BA15" s="1" t="n">
        <f aca="false">IF(AND(Slot4_On=1,Slot4_Age&gt;D15),1,0)</f>
        <v>0</v>
      </c>
      <c r="BB15" s="1" t="n">
        <f aca="false">HR14</f>
        <v>0</v>
      </c>
      <c r="BC15" s="1" t="n">
        <f aca="false">AZ15*MIN(Slot4_Cost,BB15)</f>
        <v>0</v>
      </c>
      <c r="BD15" s="1" t="n">
        <f aca="false">AZ15*Slot4_SpendLike*MIN(Slot4_Cost-BC15,AV15)</f>
        <v>0</v>
      </c>
      <c r="BE15" s="1" t="n">
        <f aca="false">BC15+BD15</f>
        <v>0</v>
      </c>
      <c r="BF15" s="1" t="n">
        <f aca="false">AV15-BD15+AZ15*IF(Slot4_SpendLike=1,BB15-BC15,IF(Slot4_PotFree=1,BB15,0))</f>
        <v>0</v>
      </c>
      <c r="BG15" s="1" t="n">
        <f aca="false">AW15+AZ15*Slot4_BufPot*BB15</f>
        <v>0</v>
      </c>
      <c r="BH15" s="1" t="n">
        <f aca="false">IF(AND(AZ15=1,Slot4_IsMfree=1),IF(BE15&gt;=Slot4_Cost-1,0,MAX(0,AX15-BE15)),AX15)</f>
        <v>0</v>
      </c>
      <c r="BI15" s="1" t="n">
        <f aca="false">AZ15*(Slot4_Cost-BE15)</f>
        <v>0</v>
      </c>
      <c r="BJ15" s="1" t="n">
        <f aca="false">IF(AND(Slot5_On=1,D15=Slot5_Age),1,0)</f>
        <v>0</v>
      </c>
      <c r="BK15" s="1" t="n">
        <f aca="false">IF(AND(Slot5_On=1,Slot5_Age&gt;D15),1,0)</f>
        <v>0</v>
      </c>
      <c r="BL15" s="1" t="n">
        <f aca="false">HV14</f>
        <v>0</v>
      </c>
      <c r="BM15" s="1" t="n">
        <f aca="false">BJ15*MIN(Slot5_Cost,BL15)</f>
        <v>0</v>
      </c>
      <c r="BN15" s="1" t="n">
        <f aca="false">BJ15*Slot5_SpendLike*MIN(Slot5_Cost-BM15,BF15)</f>
        <v>0</v>
      </c>
      <c r="BO15" s="1" t="n">
        <f aca="false">BM15+BN15</f>
        <v>0</v>
      </c>
      <c r="BP15" s="1" t="n">
        <f aca="false">BF15-BN15+BJ15*IF(Slot5_SpendLike=1,BL15-BM15,IF(Slot5_PotFree=1,BL15,0))</f>
        <v>0</v>
      </c>
      <c r="BQ15" s="1" t="n">
        <f aca="false">BG15+BJ15*Slot5_BufPot*BL15</f>
        <v>0</v>
      </c>
      <c r="BR15" s="1" t="n">
        <f aca="false">IF(AND(BJ15=1,Slot5_IsMfree=1),IF(BO15&gt;=Slot5_Cost-1,0,MAX(0,BH15-BO15)),BH15)</f>
        <v>0</v>
      </c>
      <c r="BS15" s="1" t="n">
        <f aca="false">BJ15*(Slot5_Cost-BO15)</f>
        <v>0</v>
      </c>
      <c r="BT15" s="1" t="n">
        <f aca="false">IF(AND(Slot6_On=1,D15=Slot6_Age),1,0)</f>
        <v>0</v>
      </c>
      <c r="BU15" s="1" t="n">
        <f aca="false">IF(AND(Slot6_On=1,Slot6_Age&gt;D15),1,0)</f>
        <v>0</v>
      </c>
      <c r="BV15" s="1" t="n">
        <f aca="false">HZ14</f>
        <v>0</v>
      </c>
      <c r="BW15" s="1" t="n">
        <f aca="false">BT15*MIN(Slot6_Cost,BV15)</f>
        <v>0</v>
      </c>
      <c r="BX15" s="1" t="n">
        <f aca="false">BT15*Slot6_SpendLike*MIN(Slot6_Cost-BW15,BP15)</f>
        <v>0</v>
      </c>
      <c r="BY15" s="1" t="n">
        <f aca="false">BW15+BX15</f>
        <v>0</v>
      </c>
      <c r="BZ15" s="1" t="n">
        <f aca="false">BP15-BX15+BT15*IF(Slot6_SpendLike=1,BV15-BW15,IF(Slot6_PotFree=1,BV15,0))</f>
        <v>0</v>
      </c>
      <c r="CA15" s="1" t="n">
        <f aca="false">BQ15+BT15*Slot6_BufPot*BV15</f>
        <v>0</v>
      </c>
      <c r="CB15" s="1" t="n">
        <f aca="false">IF(AND(BT15=1,Slot6_IsMfree=1),IF(BY15&gt;=Slot6_Cost-1,0,MAX(0,BR15-BY15)),BR15)</f>
        <v>0</v>
      </c>
      <c r="CC15" s="1" t="n">
        <f aca="false">BT15*(Slot6_Cost-BY15)</f>
        <v>0</v>
      </c>
      <c r="CD15" s="1" t="n">
        <f aca="false">IF(AND(Slot7_On=1,D15=Slot7_Age),1,0)</f>
        <v>0</v>
      </c>
      <c r="CE15" s="1" t="n">
        <f aca="false">IF(AND(Slot7_On=1,Slot7_Age&gt;D15),1,0)</f>
        <v>0</v>
      </c>
      <c r="CF15" s="1" t="n">
        <f aca="false">ID14</f>
        <v>0</v>
      </c>
      <c r="CG15" s="1" t="n">
        <f aca="false">CD15*MIN(Slot7_Cost,CF15)</f>
        <v>0</v>
      </c>
      <c r="CH15" s="1" t="n">
        <f aca="false">CD15*Slot7_SpendLike*MIN(Slot7_Cost-CG15,BZ15)</f>
        <v>0</v>
      </c>
      <c r="CI15" s="1" t="n">
        <f aca="false">CG15+CH15</f>
        <v>0</v>
      </c>
      <c r="CJ15" s="1" t="n">
        <f aca="false">BZ15-CH15+CD15*IF(Slot7_SpendLike=1,CF15-CG15,IF(Slot7_PotFree=1,CF15,0))</f>
        <v>0</v>
      </c>
      <c r="CK15" s="1" t="n">
        <f aca="false">CA15+CD15*Slot7_BufPot*CF15</f>
        <v>0</v>
      </c>
      <c r="CL15" s="1" t="n">
        <f aca="false">IF(AND(CD15=1,Slot7_IsMfree=1),IF(CI15&gt;=Slot7_Cost-1,0,MAX(0,CB15-CI15)),CB15)</f>
        <v>0</v>
      </c>
      <c r="CM15" s="1" t="n">
        <f aca="false">CD15*(Slot7_Cost-CI15)</f>
        <v>0</v>
      </c>
      <c r="CN15" s="1" t="n">
        <f aca="false">IF(AND(Slot8_On=1,D15=Slot8_Age),1,0)</f>
        <v>0</v>
      </c>
      <c r="CO15" s="1" t="n">
        <f aca="false">IF(AND(Slot8_On=1,Slot8_Age&gt;D15),1,0)</f>
        <v>0</v>
      </c>
      <c r="CP15" s="1" t="n">
        <f aca="false">IH14</f>
        <v>0</v>
      </c>
      <c r="CQ15" s="1" t="n">
        <f aca="false">CN15*MIN(Slot8_Cost,CP15)</f>
        <v>0</v>
      </c>
      <c r="CR15" s="1" t="n">
        <f aca="false">CN15*Slot8_SpendLike*MIN(Slot8_Cost-CQ15,CJ15)</f>
        <v>0</v>
      </c>
      <c r="CS15" s="1" t="n">
        <f aca="false">CQ15+CR15</f>
        <v>0</v>
      </c>
      <c r="CT15" s="1" t="n">
        <f aca="false">CJ15-CR15+CN15*IF(Slot8_SpendLike=1,CP15-CQ15,IF(Slot8_PotFree=1,CP15,0))</f>
        <v>0</v>
      </c>
      <c r="CU15" s="1" t="n">
        <f aca="false">CK15+CN15*Slot8_BufPot*CP15</f>
        <v>0</v>
      </c>
      <c r="CV15" s="1" t="n">
        <f aca="false">IF(AND(CN15=1,Slot8_IsMfree=1),IF(CS15&gt;=Slot8_Cost-1,0,MAX(0,CL15-CS15)),CL15)</f>
        <v>0</v>
      </c>
      <c r="CW15" s="1" t="n">
        <f aca="false">CN15*(Slot8_Cost-CS15)</f>
        <v>0</v>
      </c>
      <c r="CX15" s="1" t="n">
        <f aca="false">U15*Slot1_SpendLike*Z15+AF15*Slot2_SpendLike*AK15+AP15*Slot3_SpendLike*AU15+AZ15*Slot4_SpendLike*BE15+BJ15*Slot5_SpendLike*BO15+BT15*Slot6_SpendLike*BY15+CD15*Slot7_SpendLike*CI15+CN15*Slot8_SpendLike*CS15</f>
        <v>0</v>
      </c>
      <c r="CY15" s="1" t="n">
        <f aca="false">AD15+AO15+AY15+BI15+BS15+CC15+CM15+CW15</f>
        <v>0</v>
      </c>
      <c r="CZ15" s="1" t="n">
        <f aca="false">U15*Slot1_Cost+AF15*Slot2_Cost+AP15*Slot3_Cost+AZ15*Slot4_Cost+BJ15*Slot5_Cost+BT15*Slot6_Cost+CD15*Slot7_Cost+CN15*Slot8_Cost</f>
        <v>0</v>
      </c>
      <c r="DA15" s="1" t="n">
        <f aca="false">CV15</f>
        <v>0</v>
      </c>
      <c r="DB15" s="1" t="n">
        <f aca="false">G15-H15-R15</f>
        <v>0</v>
      </c>
      <c r="DC15" s="1" t="n">
        <f aca="false">IF(B15=0,IF(AND(Has_q6=1,In_q6=4),PR_ShareVaries*(MAX(0,DB15)/12),MIN(IF(Has_q6=1,CHOOSE(In_q6+1,PR_SaveB1,PR_SaveB2,PR_SaveB3,PR_SaveB4,0),AS_NoAnswer),AS_SaveShare*(MAX(0,DB15)/12))),DC14)</f>
        <v>0</v>
      </c>
      <c r="DD15" s="1" t="n">
        <f aca="false">IF(DB15&gt;=0,1,0)</f>
        <v>1</v>
      </c>
      <c r="DE15" s="1" t="n">
        <f aca="false">MAX(0,DB15/12/E15)</f>
        <v>0</v>
      </c>
      <c r="DF15" s="1" t="n">
        <f aca="false">IF(AND(Has_q6=1,In_q6=4),PR_ShareVaries*(DE15),MIN(IF(Has_q6=1,CHOOSE(In_q6+1,PR_SaveB1,PR_SaveB2,PR_SaveB3,PR_SaveB4,0),AS_NoAnswer),AS_SaveShare*(DE15)))</f>
        <v>0</v>
      </c>
      <c r="DG15" s="1" t="n">
        <f aca="false">IF(Has_saveM=1,IF(In_saveUp="Yes",1,IF(In_saveUp="No",0,IF(In_saveM&gt;=DC15-0.5,1,0))),0)</f>
        <v>0</v>
      </c>
      <c r="DH15" s="1" t="n">
        <f aca="false">IF(Has_saveM=1,MIN(DE15,IF(DG15=1,MAX(In_saveM,DF15),MIN(In_saveM,DF15))),DF15)</f>
        <v>0</v>
      </c>
      <c r="DI15" s="1" t="n">
        <f aca="false">IF(F15=1,DH15*12*E15,0)</f>
        <v>0</v>
      </c>
      <c r="DJ15" s="1" t="n">
        <f aca="false">MAX(0,DI15+IF(AND(WI_Retire=0,WI_M&lt;0,F15=1),WI_M*12*E15,0))</f>
        <v>0</v>
      </c>
      <c r="DK15" s="1" t="n">
        <f aca="false">Slot1_IsWG*V15+Slot2_IsWG*AG15+Slot3_IsWG*AQ15+Slot4_IsWG*BA15+Slot5_IsWG*BK15+Slot6_IsWG*BU15+Slot7_IsWG*CE15+Slot8_IsWG*CO15</f>
        <v>0</v>
      </c>
      <c r="DL15" s="1" t="n">
        <f aca="false">IF(AND(WI_Retire=0,WI_M&gt;0,F15=1,DK15&gt;=1),WI_M*12*E15,0)</f>
        <v>0</v>
      </c>
      <c r="DM15" s="1" t="n">
        <f aca="false">IF(DD15=1,MIN(DJ15,DB15),0)</f>
        <v>0</v>
      </c>
      <c r="DN15" s="1" t="n">
        <f aca="false">IF(DD15=1,MIN(DL15,DB15-DM15),0)</f>
        <v>0</v>
      </c>
      <c r="DO15" s="1" t="n">
        <f aca="false">IF(V15=1,IF(ABS((1+AS_Wage)/(1+Slot1_Rate)-1)&lt;0.000000000001,(Slot1_Age-D15)*(1+Slot1_Rate)^(Slot1_Age-D15),(1+Slot1_Rate)^(Slot1_Age-D15)*(1-((1+AS_Wage)/(1+Slot1_Rate))^(Slot1_Age-D15))/(1-(1+AS_Wage)/(1+Slot1_Rate))),1)</f>
        <v>1</v>
      </c>
      <c r="DP15" s="1" t="n">
        <f aca="false">IF(AND(DD15=1,DN15&gt;0,Slot1_IsWG=1,V15=1),MAX(0,(Slot1_Cost-W15*(1+Slot1_Rate)^(Slot1_Age-D15))/DO15),0)</f>
        <v>0</v>
      </c>
      <c r="DQ15" s="1" t="n">
        <f aca="false">IF(AND(DD15=1,DN15&gt;0,Slot1_IsWG=1,V15=1),MIN(DN15,DP15),0)</f>
        <v>0</v>
      </c>
      <c r="DR15" s="1" t="n">
        <f aca="false">W15+DQ15</f>
        <v>0</v>
      </c>
      <c r="DS15" s="1" t="n">
        <f aca="false">IF(V15=1,MAX(0,(Slot1_Cost-DR15*(1+Slot1_Rate)^(Slot1_Age-D15))/DO15),0)</f>
        <v>0</v>
      </c>
      <c r="DT15" s="1" t="n">
        <f aca="false">IF(V15=1,MAX(0,(Slot1_Cost-W15*(1+Slot1_Rate)^(Slot1_Age-D15))/DO15),0)</f>
        <v>0</v>
      </c>
      <c r="DU15" s="1" t="n">
        <f aca="false">IF(AND(DD15=1,V15=1),MIN(DM15,DS15),0)</f>
        <v>0</v>
      </c>
      <c r="DV15" s="1" t="n">
        <f aca="false">DM15-DU15</f>
        <v>0</v>
      </c>
      <c r="DW15" s="1" t="n">
        <f aca="false">IF(AG15=1,IF(ABS((1+AS_Wage)/(1+Slot2_Rate)-1)&lt;0.000000000001,(Slot2_Age-D15)*(1+Slot2_Rate)^(Slot2_Age-D15),(1+Slot2_Rate)^(Slot2_Age-D15)*(1-((1+AS_Wage)/(1+Slot2_Rate))^(Slot2_Age-D15))/(1-(1+AS_Wage)/(1+Slot2_Rate))),1)</f>
        <v>1</v>
      </c>
      <c r="DX15" s="1" t="n">
        <f aca="false">IF(AND(DD15=1,DN15&gt;0,Slot2_IsWG=1,AG15=1),MAX(0,(Slot2_Cost-AH15*(1+Slot2_Rate)^(Slot2_Age-D15))/DW15),0)</f>
        <v>0</v>
      </c>
      <c r="DY15" s="1" t="n">
        <f aca="false">IF(AND(DD15=1,DN15&gt;0,Slot2_IsWG=1,AG15=1),MIN(DN15,DX15),0)</f>
        <v>0</v>
      </c>
      <c r="DZ15" s="1" t="n">
        <f aca="false">AH15+DY15</f>
        <v>0</v>
      </c>
      <c r="EA15" s="1" t="n">
        <f aca="false">IF(AG15=1,MAX(0,(Slot2_Cost-DZ15*(1+Slot2_Rate)^(Slot2_Age-D15))/DW15),0)</f>
        <v>0</v>
      </c>
      <c r="EB15" s="1" t="n">
        <f aca="false">IF(AG15=1,MAX(0,(Slot2_Cost-AH15*(1+Slot2_Rate)^(Slot2_Age-D15))/DW15),0)</f>
        <v>0</v>
      </c>
      <c r="EC15" s="1" t="n">
        <f aca="false">IF(AND(DD15=1,AG15=1),MIN(DV15,EA15),0)</f>
        <v>0</v>
      </c>
      <c r="ED15" s="1" t="n">
        <f aca="false">DV15-EC15</f>
        <v>0</v>
      </c>
      <c r="EE15" s="1" t="n">
        <f aca="false">IF(AQ15=1,IF(ABS((1+AS_Wage)/(1+Slot3_Rate)-1)&lt;0.000000000001,(Slot3_Age-D15)*(1+Slot3_Rate)^(Slot3_Age-D15),(1+Slot3_Rate)^(Slot3_Age-D15)*(1-((1+AS_Wage)/(1+Slot3_Rate))^(Slot3_Age-D15))/(1-(1+AS_Wage)/(1+Slot3_Rate))),1)</f>
        <v>1</v>
      </c>
      <c r="EF15" s="1" t="n">
        <f aca="false">IF(AND(DD15=1,DN15&gt;0,Slot3_IsWG=1,AQ15=1),MAX(0,(Slot3_Cost-AR15*(1+Slot3_Rate)^(Slot3_Age-D15))/EE15),0)</f>
        <v>0</v>
      </c>
      <c r="EG15" s="1" t="n">
        <f aca="false">IF(AND(DD15=1,DN15&gt;0,Slot3_IsWG=1,AQ15=1),MIN(DN15,EF15),0)</f>
        <v>0</v>
      </c>
      <c r="EH15" s="1" t="n">
        <f aca="false">AR15+EG15</f>
        <v>0</v>
      </c>
      <c r="EI15" s="1" t="n">
        <f aca="false">IF(AQ15=1,MAX(0,(Slot3_Cost-EH15*(1+Slot3_Rate)^(Slot3_Age-D15))/EE15),0)</f>
        <v>0</v>
      </c>
      <c r="EJ15" s="1" t="n">
        <f aca="false">IF(AQ15=1,MAX(0,(Slot3_Cost-AR15*(1+Slot3_Rate)^(Slot3_Age-D15))/EE15),0)</f>
        <v>0</v>
      </c>
      <c r="EK15" s="1" t="n">
        <f aca="false">IF(AND(DD15=1,AQ15=1),MIN(ED15,EI15),0)</f>
        <v>0</v>
      </c>
      <c r="EL15" s="1" t="n">
        <f aca="false">ED15-EK15</f>
        <v>0</v>
      </c>
      <c r="EM15" s="1" t="n">
        <f aca="false">IF(BA15=1,IF(ABS((1+AS_Wage)/(1+Slot4_Rate)-1)&lt;0.000000000001,(Slot4_Age-D15)*(1+Slot4_Rate)^(Slot4_Age-D15),(1+Slot4_Rate)^(Slot4_Age-D15)*(1-((1+AS_Wage)/(1+Slot4_Rate))^(Slot4_Age-D15))/(1-(1+AS_Wage)/(1+Slot4_Rate))),1)</f>
        <v>1</v>
      </c>
      <c r="EN15" s="1" t="n">
        <f aca="false">IF(AND(DD15=1,DN15&gt;0,Slot4_IsWG=1,BA15=1),MAX(0,(Slot4_Cost-BB15*(1+Slot4_Rate)^(Slot4_Age-D15))/EM15),0)</f>
        <v>0</v>
      </c>
      <c r="EO15" s="1" t="n">
        <f aca="false">IF(AND(DD15=1,DN15&gt;0,Slot4_IsWG=1,BA15=1),MIN(DN15,EN15),0)</f>
        <v>0</v>
      </c>
      <c r="EP15" s="1" t="n">
        <f aca="false">BB15+EO15</f>
        <v>0</v>
      </c>
      <c r="EQ15" s="1" t="n">
        <f aca="false">IF(BA15=1,MAX(0,(Slot4_Cost-EP15*(1+Slot4_Rate)^(Slot4_Age-D15))/EM15),0)</f>
        <v>0</v>
      </c>
      <c r="ER15" s="1" t="n">
        <f aca="false">IF(BA15=1,MAX(0,(Slot4_Cost-BB15*(1+Slot4_Rate)^(Slot4_Age-D15))/EM15),0)</f>
        <v>0</v>
      </c>
      <c r="ES15" s="1" t="n">
        <f aca="false">IF(AND(DD15=1,BA15=1),MIN(EL15,EQ15),0)</f>
        <v>0</v>
      </c>
      <c r="ET15" s="1" t="n">
        <f aca="false">EL15-ES15</f>
        <v>0</v>
      </c>
      <c r="EU15" s="1" t="n">
        <f aca="false">IF(BK15=1,IF(ABS((1+AS_Wage)/(1+Slot5_Rate)-1)&lt;0.000000000001,(Slot5_Age-D15)*(1+Slot5_Rate)^(Slot5_Age-D15),(1+Slot5_Rate)^(Slot5_Age-D15)*(1-((1+AS_Wage)/(1+Slot5_Rate))^(Slot5_Age-D15))/(1-(1+AS_Wage)/(1+Slot5_Rate))),1)</f>
        <v>1</v>
      </c>
      <c r="EV15" s="1" t="n">
        <f aca="false">IF(AND(DD15=1,DN15&gt;0,Slot5_IsWG=1,BK15=1),MAX(0,(Slot5_Cost-BL15*(1+Slot5_Rate)^(Slot5_Age-D15))/EU15),0)</f>
        <v>0</v>
      </c>
      <c r="EW15" s="1" t="n">
        <f aca="false">IF(AND(DD15=1,DN15&gt;0,Slot5_IsWG=1,BK15=1),MIN(DN15,EV15),0)</f>
        <v>0</v>
      </c>
      <c r="EX15" s="1" t="n">
        <f aca="false">BL15+EW15</f>
        <v>0</v>
      </c>
      <c r="EY15" s="1" t="n">
        <f aca="false">IF(BK15=1,MAX(0,(Slot5_Cost-EX15*(1+Slot5_Rate)^(Slot5_Age-D15))/EU15),0)</f>
        <v>0</v>
      </c>
      <c r="EZ15" s="1" t="n">
        <f aca="false">IF(BK15=1,MAX(0,(Slot5_Cost-BL15*(1+Slot5_Rate)^(Slot5_Age-D15))/EU15),0)</f>
        <v>0</v>
      </c>
      <c r="FA15" s="1" t="n">
        <f aca="false">IF(AND(DD15=1,BK15=1),MIN(ET15,EY15),0)</f>
        <v>0</v>
      </c>
      <c r="FB15" s="1" t="n">
        <f aca="false">ET15-FA15</f>
        <v>0</v>
      </c>
      <c r="FC15" s="1" t="n">
        <f aca="false">IF(BU15=1,IF(ABS((1+AS_Wage)/(1+Slot6_Rate)-1)&lt;0.000000000001,(Slot6_Age-D15)*(1+Slot6_Rate)^(Slot6_Age-D15),(1+Slot6_Rate)^(Slot6_Age-D15)*(1-((1+AS_Wage)/(1+Slot6_Rate))^(Slot6_Age-D15))/(1-(1+AS_Wage)/(1+Slot6_Rate))),1)</f>
        <v>1</v>
      </c>
      <c r="FD15" s="1" t="n">
        <f aca="false">IF(AND(DD15=1,DN15&gt;0,Slot6_IsWG=1,BU15=1),MAX(0,(Slot6_Cost-BV15*(1+Slot6_Rate)^(Slot6_Age-D15))/FC15),0)</f>
        <v>0</v>
      </c>
      <c r="FE15" s="1" t="n">
        <f aca="false">IF(AND(DD15=1,DN15&gt;0,Slot6_IsWG=1,BU15=1),MIN(DN15,FD15),0)</f>
        <v>0</v>
      </c>
      <c r="FF15" s="1" t="n">
        <f aca="false">BV15+FE15</f>
        <v>0</v>
      </c>
      <c r="FG15" s="1" t="n">
        <f aca="false">IF(BU15=1,MAX(0,(Slot6_Cost-FF15*(1+Slot6_Rate)^(Slot6_Age-D15))/FC15),0)</f>
        <v>0</v>
      </c>
      <c r="FH15" s="1" t="n">
        <f aca="false">IF(BU15=1,MAX(0,(Slot6_Cost-BV15*(1+Slot6_Rate)^(Slot6_Age-D15))/FC15),0)</f>
        <v>0</v>
      </c>
      <c r="FI15" s="1" t="n">
        <f aca="false">IF(AND(DD15=1,BU15=1),MIN(FB15,FG15),0)</f>
        <v>0</v>
      </c>
      <c r="FJ15" s="1" t="n">
        <f aca="false">FB15-FI15</f>
        <v>0</v>
      </c>
      <c r="FK15" s="1" t="n">
        <f aca="false">IF(CE15=1,IF(ABS((1+AS_Wage)/(1+Slot7_Rate)-1)&lt;0.000000000001,(Slot7_Age-D15)*(1+Slot7_Rate)^(Slot7_Age-D15),(1+Slot7_Rate)^(Slot7_Age-D15)*(1-((1+AS_Wage)/(1+Slot7_Rate))^(Slot7_Age-D15))/(1-(1+AS_Wage)/(1+Slot7_Rate))),1)</f>
        <v>1</v>
      </c>
      <c r="FL15" s="1" t="n">
        <f aca="false">IF(AND(DD15=1,DN15&gt;0,Slot7_IsWG=1,CE15=1),MAX(0,(Slot7_Cost-CF15*(1+Slot7_Rate)^(Slot7_Age-D15))/FK15),0)</f>
        <v>0</v>
      </c>
      <c r="FM15" s="1" t="n">
        <f aca="false">IF(AND(DD15=1,DN15&gt;0,Slot7_IsWG=1,CE15=1),MIN(DN15,FL15),0)</f>
        <v>0</v>
      </c>
      <c r="FN15" s="1" t="n">
        <f aca="false">CF15+FM15</f>
        <v>0</v>
      </c>
      <c r="FO15" s="1" t="n">
        <f aca="false">IF(CE15=1,MAX(0,(Slot7_Cost-FN15*(1+Slot7_Rate)^(Slot7_Age-D15))/FK15),0)</f>
        <v>0</v>
      </c>
      <c r="FP15" s="1" t="n">
        <f aca="false">IF(CE15=1,MAX(0,(Slot7_Cost-CF15*(1+Slot7_Rate)^(Slot7_Age-D15))/FK15),0)</f>
        <v>0</v>
      </c>
      <c r="FQ15" s="1" t="n">
        <f aca="false">IF(AND(DD15=1,CE15=1),MIN(FJ15,FO15),0)</f>
        <v>0</v>
      </c>
      <c r="FR15" s="1" t="n">
        <f aca="false">FJ15-FQ15</f>
        <v>0</v>
      </c>
      <c r="FS15" s="1" t="n">
        <f aca="false">IF(CO15=1,IF(ABS((1+AS_Wage)/(1+Slot8_Rate)-1)&lt;0.000000000001,(Slot8_Age-D15)*(1+Slot8_Rate)^(Slot8_Age-D15),(1+Slot8_Rate)^(Slot8_Age-D15)*(1-((1+AS_Wage)/(1+Slot8_Rate))^(Slot8_Age-D15))/(1-(1+AS_Wage)/(1+Slot8_Rate))),1)</f>
        <v>1</v>
      </c>
      <c r="FT15" s="1" t="n">
        <f aca="false">IF(AND(DD15=1,DN15&gt;0,Slot8_IsWG=1,CO15=1),MAX(0,(Slot8_Cost-CP15*(1+Slot8_Rate)^(Slot8_Age-D15))/FS15),0)</f>
        <v>0</v>
      </c>
      <c r="FU15" s="1" t="n">
        <f aca="false">IF(AND(DD15=1,DN15&gt;0,Slot8_IsWG=1,CO15=1),MIN(DN15,FT15),0)</f>
        <v>0</v>
      </c>
      <c r="FV15" s="1" t="n">
        <f aca="false">CP15+FU15</f>
        <v>0</v>
      </c>
      <c r="FW15" s="1" t="n">
        <f aca="false">IF(CO15=1,MAX(0,(Slot8_Cost-FV15*(1+Slot8_Rate)^(Slot8_Age-D15))/FS15),0)</f>
        <v>0</v>
      </c>
      <c r="FX15" s="1" t="n">
        <f aca="false">IF(CO15=1,MAX(0,(Slot8_Cost-CP15*(1+Slot8_Rate)^(Slot8_Age-D15))/FS15),0)</f>
        <v>0</v>
      </c>
      <c r="FY15" s="1" t="n">
        <f aca="false">IF(AND(DD15=1,CO15=1),MIN(FR15,FW15),0)</f>
        <v>0</v>
      </c>
      <c r="FZ15" s="1" t="n">
        <f aca="false">FR15-FY15</f>
        <v>0</v>
      </c>
      <c r="GA15" s="1" t="n">
        <f aca="false">DN15-(DQ15+DY15+EG15+EO15+EW15+FE15+FM15+FU15)</f>
        <v>0</v>
      </c>
      <c r="GB15" s="1" t="n">
        <f aca="false">IF(DD15=1,DB15-DM15-DN15,0)</f>
        <v>0</v>
      </c>
      <c r="GC15" s="1" t="n">
        <f aca="false">IF(DD15=0,-DB15,0)</f>
        <v>0</v>
      </c>
      <c r="GD15" s="1" t="n">
        <f aca="false">MIN(GC15,CT15)</f>
        <v>0</v>
      </c>
      <c r="GE15" s="1" t="n">
        <f aca="false">GC15-GD15</f>
        <v>0</v>
      </c>
      <c r="GF15" s="1" t="n">
        <f aca="false">MIN(GE15,CU15)</f>
        <v>0</v>
      </c>
      <c r="GG15" s="1" t="n">
        <f aca="false">GE15-GF15</f>
        <v>0</v>
      </c>
      <c r="GH15" s="1" t="n">
        <f aca="false">IF(AND(DD15=0,CO15=1,GG15&gt;0),MIN(GG15,CP15),0)</f>
        <v>0</v>
      </c>
      <c r="GI15" s="1" t="n">
        <f aca="false">GG15-GH15</f>
        <v>0</v>
      </c>
      <c r="GJ15" s="1" t="n">
        <f aca="false">IF(AND(DD15=0,CE15=1,GI15&gt;0),MIN(GI15,CF15),0)</f>
        <v>0</v>
      </c>
      <c r="GK15" s="1" t="n">
        <f aca="false">GI15-GJ15</f>
        <v>0</v>
      </c>
      <c r="GL15" s="1" t="n">
        <f aca="false">IF(AND(DD15=0,BU15=1,GK15&gt;0),MIN(GK15,BV15),0)</f>
        <v>0</v>
      </c>
      <c r="GM15" s="1" t="n">
        <f aca="false">GK15-GL15</f>
        <v>0</v>
      </c>
      <c r="GN15" s="1" t="n">
        <f aca="false">IF(AND(DD15=0,BK15=1,GM15&gt;0),MIN(GM15,BL15),0)</f>
        <v>0</v>
      </c>
      <c r="GO15" s="1" t="n">
        <f aca="false">GM15-GN15</f>
        <v>0</v>
      </c>
      <c r="GP15" s="1" t="n">
        <f aca="false">IF(AND(DD15=0,BA15=1,GO15&gt;0),MIN(GO15,BB15),0)</f>
        <v>0</v>
      </c>
      <c r="GQ15" s="1" t="n">
        <f aca="false">GO15-GP15</f>
        <v>0</v>
      </c>
      <c r="GR15" s="1" t="n">
        <f aca="false">IF(AND(DD15=0,AQ15=1,GQ15&gt;0),MIN(GQ15,AR15),0)</f>
        <v>0</v>
      </c>
      <c r="GS15" s="1" t="n">
        <f aca="false">GQ15-GR15</f>
        <v>0</v>
      </c>
      <c r="GT15" s="1" t="n">
        <f aca="false">IF(AND(DD15=0,AG15=1,GS15&gt;0),MIN(GS15,AH15),0)</f>
        <v>0</v>
      </c>
      <c r="GU15" s="1" t="n">
        <f aca="false">GS15-GT15</f>
        <v>0</v>
      </c>
      <c r="GV15" s="1" t="n">
        <f aca="false">IF(AND(DD15=0,V15=1,GU15&gt;0),MIN(GU15,W15),0)</f>
        <v>0</v>
      </c>
      <c r="GW15" s="1" t="n">
        <f aca="false">GU15-GV15</f>
        <v>0</v>
      </c>
      <c r="GX15" s="1" t="n">
        <f aca="false">IF(DD15=0,GW15,0)</f>
        <v>0</v>
      </c>
      <c r="GY15" s="1" t="n">
        <f aca="false">GD15+GF15+GV15+GT15+GR15+GP15+GN15+GL15+GJ15+GH15</f>
        <v>0</v>
      </c>
      <c r="GZ15" s="1" t="n">
        <f aca="false">IF(DD15=1,CT15+GA15+FZ15+IF(F15=1,0,GB15),CT15-GD15)</f>
        <v>0</v>
      </c>
      <c r="HA15" s="1" t="n">
        <f aca="false">CU15-GF15</f>
        <v>0</v>
      </c>
      <c r="HB15" s="1" t="n">
        <f aca="false">IF(DD15=1,IF(F15=1,DM15+DN15,DB15),0)</f>
        <v>0</v>
      </c>
      <c r="HC15" s="1" t="n">
        <f aca="false">IF(DD15=1,IF(F15=1,DB15-DM15-DN15,0),0)</f>
        <v>0</v>
      </c>
      <c r="HD15" s="1" t="n">
        <f aca="false">GZ15*(1+GR)</f>
        <v>0</v>
      </c>
      <c r="HE15" s="1" t="n">
        <f aca="false">HA15*(1+AS_Cash)</f>
        <v>0</v>
      </c>
      <c r="HF15" s="1" t="n">
        <f aca="false">IF(V15=1,IF(DD15=1,DR15+DU15,W15-GV15)*(1+Slot1_Rate),0)</f>
        <v>0</v>
      </c>
      <c r="HG15" s="1" t="n">
        <f aca="false">IF(AND(DD15=1,V15=1),(DQ15+DU15)/E15,0)</f>
        <v>0</v>
      </c>
      <c r="HH15" s="1" t="n">
        <f aca="false">IF(B15=0,DQ15+DU15,0)</f>
        <v>0</v>
      </c>
      <c r="HI15" s="1" t="n">
        <f aca="false">IF(B15=0,IF(DD15=1,DS15,DT15),0)</f>
        <v>0</v>
      </c>
      <c r="HJ15" s="1" t="n">
        <f aca="false">IF(AG15=1,IF(DD15=1,DZ15+EC15,AH15-GT15)*(1+Slot2_Rate),0)</f>
        <v>0</v>
      </c>
      <c r="HK15" s="1" t="n">
        <f aca="false">IF(AND(DD15=1,AG15=1),(DY15+EC15)/E15,0)</f>
        <v>0</v>
      </c>
      <c r="HL15" s="1" t="n">
        <f aca="false">IF(B15=0,DY15+EC15,0)</f>
        <v>0</v>
      </c>
      <c r="HM15" s="1" t="n">
        <f aca="false">IF(B15=0,IF(DD15=1,EA15,EB15),0)</f>
        <v>0</v>
      </c>
      <c r="HN15" s="1" t="n">
        <f aca="false">IF(AQ15=1,IF(DD15=1,EH15+EK15,AR15-GR15)*(1+Slot3_Rate),0)</f>
        <v>0</v>
      </c>
      <c r="HO15" s="1" t="n">
        <f aca="false">IF(AND(DD15=1,AQ15=1),(EG15+EK15)/E15,0)</f>
        <v>0</v>
      </c>
      <c r="HP15" s="1" t="n">
        <f aca="false">IF(B15=0,EG15+EK15,0)</f>
        <v>0</v>
      </c>
      <c r="HQ15" s="1" t="n">
        <f aca="false">IF(B15=0,IF(DD15=1,EI15,EJ15),0)</f>
        <v>0</v>
      </c>
      <c r="HR15" s="1" t="n">
        <f aca="false">IF(BA15=1,IF(DD15=1,EP15+ES15,BB15-GP15)*(1+Slot4_Rate),0)</f>
        <v>0</v>
      </c>
      <c r="HS15" s="1" t="n">
        <f aca="false">IF(AND(DD15=1,BA15=1),(EO15+ES15)/E15,0)</f>
        <v>0</v>
      </c>
      <c r="HT15" s="1" t="n">
        <f aca="false">IF(B15=0,EO15+ES15,0)</f>
        <v>0</v>
      </c>
      <c r="HU15" s="1" t="n">
        <f aca="false">IF(B15=0,IF(DD15=1,EQ15,ER15),0)</f>
        <v>0</v>
      </c>
      <c r="HV15" s="1" t="n">
        <f aca="false">IF(BK15=1,IF(DD15=1,EX15+FA15,BL15-GN15)*(1+Slot5_Rate),0)</f>
        <v>0</v>
      </c>
      <c r="HW15" s="1" t="n">
        <f aca="false">IF(AND(DD15=1,BK15=1),(EW15+FA15)/E15,0)</f>
        <v>0</v>
      </c>
      <c r="HX15" s="1" t="n">
        <f aca="false">IF(B15=0,EW15+FA15,0)</f>
        <v>0</v>
      </c>
      <c r="HY15" s="1" t="n">
        <f aca="false">IF(B15=0,IF(DD15=1,EY15,EZ15),0)</f>
        <v>0</v>
      </c>
      <c r="HZ15" s="1" t="n">
        <f aca="false">IF(BU15=1,IF(DD15=1,FF15+FI15,BV15-GL15)*(1+Slot6_Rate),0)</f>
        <v>0</v>
      </c>
      <c r="IA15" s="1" t="n">
        <f aca="false">IF(AND(DD15=1,BU15=1),(FE15+FI15)/E15,0)</f>
        <v>0</v>
      </c>
      <c r="IB15" s="1" t="n">
        <f aca="false">IF(B15=0,FE15+FI15,0)</f>
        <v>0</v>
      </c>
      <c r="IC15" s="1" t="n">
        <f aca="false">IF(B15=0,IF(DD15=1,FG15,FH15),0)</f>
        <v>0</v>
      </c>
      <c r="ID15" s="1" t="n">
        <f aca="false">IF(CE15=1,IF(DD15=1,FN15+FQ15,CF15-GJ15)*(1+Slot7_Rate),0)</f>
        <v>0</v>
      </c>
      <c r="IE15" s="1" t="n">
        <f aca="false">IF(AND(DD15=1,CE15=1),(FM15+FQ15)/E15,0)</f>
        <v>0</v>
      </c>
      <c r="IF15" s="1" t="n">
        <f aca="false">IF(B15=0,FM15+FQ15,0)</f>
        <v>0</v>
      </c>
      <c r="IG15" s="1" t="n">
        <f aca="false">IF(B15=0,IF(DD15=1,FO15,FP15),0)</f>
        <v>0</v>
      </c>
      <c r="IH15" s="1" t="n">
        <f aca="false">IF(CO15=1,IF(DD15=1,FV15+FY15,CP15-GH15)*(1+Slot8_Rate),0)</f>
        <v>0</v>
      </c>
      <c r="II15" s="1" t="n">
        <f aca="false">IF(AND(DD15=1,CO15=1),(FU15+FY15)/E15,0)</f>
        <v>0</v>
      </c>
      <c r="IJ15" s="1" t="n">
        <f aca="false">IF(B15=0,FU15+FY15,0)</f>
        <v>0</v>
      </c>
      <c r="IK15" s="1" t="n">
        <f aca="false">IF(B15=0,IF(DD15=1,FW15,FX15),0)</f>
        <v>0</v>
      </c>
      <c r="IL15" s="1" t="n">
        <f aca="false">HD15+HE15+HF15+HJ15+HN15+HR15+HV15+HZ15+ID15+IH15</f>
        <v>0</v>
      </c>
      <c r="IM15" s="1" t="n">
        <f aca="false">GX15+CY15</f>
        <v>0</v>
      </c>
      <c r="IN15" s="1" t="n">
        <f aca="false">H15+R15</f>
        <v>0</v>
      </c>
      <c r="IO15" s="1" t="n">
        <f aca="false">1-F15</f>
        <v>1</v>
      </c>
      <c r="IP15" s="1" t="n">
        <f aca="false">IF(AND(RG_Exists=1,F15=0,C15=1),H15,0)</f>
        <v>0</v>
      </c>
      <c r="IQ15" s="1" t="n">
        <f aca="false">IF(AND(RG_Exists=1,F15=0,C15=1),H15-MIN(GX15,H15),0)</f>
        <v>0</v>
      </c>
      <c r="IR15" s="1" t="n">
        <f aca="false">'Plan pay &amp; tax'!AD217</f>
        <v>0</v>
      </c>
      <c r="IS15" s="1" t="n">
        <f aca="false">IF(AND(C15=1,GX15&gt;MAX(PR_Short1,IN15*PR_Short2)),1,0)</f>
        <v>0</v>
      </c>
      <c r="IT15" s="1" t="n">
        <f aca="false">MIN(G15,H15+R15)</f>
        <v>0</v>
      </c>
      <c r="IU15" s="1" t="n">
        <f aca="false">GY15+MAX(0,CZ15-CY15)</f>
        <v>0</v>
      </c>
      <c r="IV15" s="1" t="n">
        <f aca="false">GX15+CY15</f>
        <v>0</v>
      </c>
      <c r="IW15" s="1" t="n">
        <f aca="false">IF(AND(C15=1,IV15&gt;0.5),1,0)</f>
        <v>0</v>
      </c>
      <c r="IX15" s="1" t="n">
        <f aca="false">IF(AND(C15=1,IW15=0,IU15&gt;0.5),1,0)</f>
        <v>0</v>
      </c>
      <c r="IY15" s="1" t="n">
        <f aca="false">IF(AND(C15=1,GX15&gt;0.5),1,0)</f>
        <v>0</v>
      </c>
      <c r="IZ15" s="1" t="n">
        <f aca="false">IF(AND(C15=1,GY15&gt;1,JF15=0),1,0)</f>
        <v>0</v>
      </c>
      <c r="JA15" s="1" t="n">
        <f aca="false">IF(AND(INT(D15/10)*10=90,B15&gt;0),80,INT(D15/10)*10)</f>
        <v>0</v>
      </c>
      <c r="JB15" s="1" t="n">
        <f aca="false">IF(B15=0,1,IF(JA15&lt;&gt;JA14,JB14+1,JB14))</f>
        <v>1</v>
      </c>
      <c r="JC15" s="1" t="n">
        <f aca="false">IF(AND(C15=1,F15=1,GX15&gt;MAX(PR_Short1,IN15*PR_Short2)),1,0)</f>
        <v>0</v>
      </c>
      <c r="JD15" s="1" t="n">
        <f aca="false">IO15*IS15</f>
        <v>0</v>
      </c>
      <c r="JE15" s="1" t="n">
        <f aca="false">IF(AND(U15=1,Slot1_PctLow=1),1,0)+IF(AND(AF15=1,Slot2_PctLow=1),1,0)+IF(AND(AP15=1,Slot3_PctLow=1),1,0)+IF(AND(AZ15=1,Slot4_PctLow=1),1,0)+IF(AND(BJ15=1,Slot5_PctLow=1),1,0)+IF(AND(BT15=1,Slot6_PctLow=1),1,0)+IF(AND(CD15=1,Slot7_PctLow=1),1,0)+IF(AND(CN15=1,Slot8_PctLow=1),1,0)</f>
        <v>0</v>
      </c>
      <c r="JF15" s="1" t="n">
        <f aca="false">IF(C15=1,IF(OR(IS15=1,JE15&gt;0),1,0),0)</f>
        <v>0</v>
      </c>
    </row>
    <row r="16" customFormat="false" ht="15" hidden="false" customHeight="false" outlineLevel="0" collapsed="false">
      <c r="B16" s="1" t="n">
        <v>8</v>
      </c>
      <c r="C16" s="1" t="n">
        <f aca="false">IF(B16&lt;=F_N,1,0)</f>
        <v>1</v>
      </c>
      <c r="D16" s="1" t="n">
        <f aca="false">'Plan pay &amp; tax'!C218</f>
        <v>8</v>
      </c>
      <c r="E16" s="106" t="n">
        <f aca="false">'Plan pay &amp; tax'!E218</f>
        <v>1.17165938100227</v>
      </c>
      <c r="F16" s="1" t="n">
        <f aca="false">'Plan pay &amp; tax'!G218</f>
        <v>0</v>
      </c>
      <c r="G16" s="1" t="n">
        <f aca="false">'Plan pay &amp; tax'!BT218-'Plan pay &amp; tax'!BS218-'Plan pay &amp; tax'!R218</f>
        <v>0</v>
      </c>
      <c r="H16" s="1" t="n">
        <f aca="false">IF(F16=1,F_CostsM*12,IF(RG_Exists=1,RG_Amount,F_CostsM*12*AS_RetireSpend))*E16+F_OneOffY*E16</f>
        <v>0</v>
      </c>
      <c r="I16" s="1" t="n">
        <f aca="false">DA15</f>
        <v>0</v>
      </c>
      <c r="J16" s="1" t="n">
        <f aca="false">IF(I16&gt;1,'Plan debt months'!AC16,0)</f>
        <v>0</v>
      </c>
      <c r="K16" s="1" t="n">
        <f aca="false">IF(I16&gt;1,'Plan debt months'!AB16,I16)</f>
        <v>0</v>
      </c>
      <c r="L16" s="1" t="n">
        <f aca="false">N15</f>
        <v>0</v>
      </c>
      <c r="M16" s="1" t="n">
        <f aca="false">IF(L16&gt;1,'Plan debt months'!BD16,0)</f>
        <v>0</v>
      </c>
      <c r="N16" s="1" t="n">
        <f aca="false">IF(L16&gt;1,'Plan debt months'!BC16,L16)</f>
        <v>0</v>
      </c>
      <c r="O16" s="1" t="n">
        <f aca="false">Q15</f>
        <v>0</v>
      </c>
      <c r="P16" s="1" t="n">
        <f aca="false">IF(O16&gt;1,'Plan debt months'!CE16,0)</f>
        <v>0</v>
      </c>
      <c r="Q16" s="1" t="n">
        <f aca="false">IF(O16&gt;1,'Plan debt months'!CD16,O16)</f>
        <v>0</v>
      </c>
      <c r="R16" s="1" t="n">
        <f aca="false">J16+M16+P16</f>
        <v>0</v>
      </c>
      <c r="S16" s="1" t="n">
        <f aca="false">HD15+'Plan pay &amp; tax'!Y218</f>
        <v>0</v>
      </c>
      <c r="T16" s="1" t="n">
        <f aca="false">HD15</f>
        <v>0</v>
      </c>
      <c r="U16" s="1" t="n">
        <f aca="false">IF(AND(Slot1_On=1,D16=Slot1_Age),1,0)</f>
        <v>0</v>
      </c>
      <c r="V16" s="1" t="n">
        <f aca="false">IF(AND(Slot1_On=1,Slot1_Age&gt;D16),1,0)</f>
        <v>0</v>
      </c>
      <c r="W16" s="1" t="n">
        <f aca="false">HF15</f>
        <v>0</v>
      </c>
      <c r="X16" s="1" t="n">
        <f aca="false">U16*MIN(Slot1_Cost,W16)</f>
        <v>0</v>
      </c>
      <c r="Y16" s="1" t="n">
        <f aca="false">U16*Slot1_SpendLike*MIN(Slot1_Cost-X16,S16)</f>
        <v>0</v>
      </c>
      <c r="Z16" s="1" t="n">
        <f aca="false">X16+Y16</f>
        <v>0</v>
      </c>
      <c r="AA16" s="1" t="n">
        <f aca="false">S16-Y16+U16*IF(Slot1_SpendLike=1,W16-X16,IF(Slot1_PotFree=1,W16,0))</f>
        <v>0</v>
      </c>
      <c r="AB16" s="1" t="n">
        <f aca="false">AE16+U16*Slot1_BufPot*W16</f>
        <v>0</v>
      </c>
      <c r="AC16" s="1" t="n">
        <f aca="false">IF(AND(U16=1,Slot1_IsMfree=1),IF(Z16&gt;=Slot1_Cost-1,0,MAX(0,K16-Z16)),K16)</f>
        <v>0</v>
      </c>
      <c r="AD16" s="1" t="n">
        <f aca="false">U16*(Slot1_Cost-Z16)</f>
        <v>0</v>
      </c>
      <c r="AE16" s="1" t="n">
        <f aca="false">HE15</f>
        <v>0</v>
      </c>
      <c r="AF16" s="1" t="n">
        <f aca="false">IF(AND(Slot2_On=1,D16=Slot2_Age),1,0)</f>
        <v>0</v>
      </c>
      <c r="AG16" s="1" t="n">
        <f aca="false">IF(AND(Slot2_On=1,Slot2_Age&gt;D16),1,0)</f>
        <v>0</v>
      </c>
      <c r="AH16" s="1" t="n">
        <f aca="false">HJ15</f>
        <v>0</v>
      </c>
      <c r="AI16" s="1" t="n">
        <f aca="false">AF16*MIN(Slot2_Cost,AH16)</f>
        <v>0</v>
      </c>
      <c r="AJ16" s="1" t="n">
        <f aca="false">AF16*Slot2_SpendLike*MIN(Slot2_Cost-AI16,AA16)</f>
        <v>0</v>
      </c>
      <c r="AK16" s="1" t="n">
        <f aca="false">AI16+AJ16</f>
        <v>0</v>
      </c>
      <c r="AL16" s="1" t="n">
        <f aca="false">AA16-AJ16+AF16*IF(Slot2_SpendLike=1,AH16-AI16,IF(Slot2_PotFree=1,AH16,0))</f>
        <v>0</v>
      </c>
      <c r="AM16" s="1" t="n">
        <f aca="false">AB16+AF16*Slot2_BufPot*AH16</f>
        <v>0</v>
      </c>
      <c r="AN16" s="1" t="n">
        <f aca="false">IF(AND(AF16=1,Slot2_IsMfree=1),IF(AK16&gt;=Slot2_Cost-1,0,MAX(0,AC16-AK16)),AC16)</f>
        <v>0</v>
      </c>
      <c r="AO16" s="1" t="n">
        <f aca="false">AF16*(Slot2_Cost-AK16)</f>
        <v>0</v>
      </c>
      <c r="AP16" s="1" t="n">
        <f aca="false">IF(AND(Slot3_On=1,D16=Slot3_Age),1,0)</f>
        <v>0</v>
      </c>
      <c r="AQ16" s="1" t="n">
        <f aca="false">IF(AND(Slot3_On=1,Slot3_Age&gt;D16),1,0)</f>
        <v>0</v>
      </c>
      <c r="AR16" s="1" t="n">
        <f aca="false">HN15</f>
        <v>0</v>
      </c>
      <c r="AS16" s="1" t="n">
        <f aca="false">AP16*MIN(Slot3_Cost,AR16)</f>
        <v>0</v>
      </c>
      <c r="AT16" s="1" t="n">
        <f aca="false">AP16*Slot3_SpendLike*MIN(Slot3_Cost-AS16,AL16)</f>
        <v>0</v>
      </c>
      <c r="AU16" s="1" t="n">
        <f aca="false">AS16+AT16</f>
        <v>0</v>
      </c>
      <c r="AV16" s="1" t="n">
        <f aca="false">AL16-AT16+AP16*IF(Slot3_SpendLike=1,AR16-AS16,IF(Slot3_PotFree=1,AR16,0))</f>
        <v>0</v>
      </c>
      <c r="AW16" s="1" t="n">
        <f aca="false">AM16+AP16*Slot3_BufPot*AR16</f>
        <v>0</v>
      </c>
      <c r="AX16" s="1" t="n">
        <f aca="false">IF(AND(AP16=1,Slot3_IsMfree=1),IF(AU16&gt;=Slot3_Cost-1,0,MAX(0,AN16-AU16)),AN16)</f>
        <v>0</v>
      </c>
      <c r="AY16" s="1" t="n">
        <f aca="false">AP16*(Slot3_Cost-AU16)</f>
        <v>0</v>
      </c>
      <c r="AZ16" s="1" t="n">
        <f aca="false">IF(AND(Slot4_On=1,D16=Slot4_Age),1,0)</f>
        <v>0</v>
      </c>
      <c r="BA16" s="1" t="n">
        <f aca="false">IF(AND(Slot4_On=1,Slot4_Age&gt;D16),1,0)</f>
        <v>0</v>
      </c>
      <c r="BB16" s="1" t="n">
        <f aca="false">HR15</f>
        <v>0</v>
      </c>
      <c r="BC16" s="1" t="n">
        <f aca="false">AZ16*MIN(Slot4_Cost,BB16)</f>
        <v>0</v>
      </c>
      <c r="BD16" s="1" t="n">
        <f aca="false">AZ16*Slot4_SpendLike*MIN(Slot4_Cost-BC16,AV16)</f>
        <v>0</v>
      </c>
      <c r="BE16" s="1" t="n">
        <f aca="false">BC16+BD16</f>
        <v>0</v>
      </c>
      <c r="BF16" s="1" t="n">
        <f aca="false">AV16-BD16+AZ16*IF(Slot4_SpendLike=1,BB16-BC16,IF(Slot4_PotFree=1,BB16,0))</f>
        <v>0</v>
      </c>
      <c r="BG16" s="1" t="n">
        <f aca="false">AW16+AZ16*Slot4_BufPot*BB16</f>
        <v>0</v>
      </c>
      <c r="BH16" s="1" t="n">
        <f aca="false">IF(AND(AZ16=1,Slot4_IsMfree=1),IF(BE16&gt;=Slot4_Cost-1,0,MAX(0,AX16-BE16)),AX16)</f>
        <v>0</v>
      </c>
      <c r="BI16" s="1" t="n">
        <f aca="false">AZ16*(Slot4_Cost-BE16)</f>
        <v>0</v>
      </c>
      <c r="BJ16" s="1" t="n">
        <f aca="false">IF(AND(Slot5_On=1,D16=Slot5_Age),1,0)</f>
        <v>0</v>
      </c>
      <c r="BK16" s="1" t="n">
        <f aca="false">IF(AND(Slot5_On=1,Slot5_Age&gt;D16),1,0)</f>
        <v>0</v>
      </c>
      <c r="BL16" s="1" t="n">
        <f aca="false">HV15</f>
        <v>0</v>
      </c>
      <c r="BM16" s="1" t="n">
        <f aca="false">BJ16*MIN(Slot5_Cost,BL16)</f>
        <v>0</v>
      </c>
      <c r="BN16" s="1" t="n">
        <f aca="false">BJ16*Slot5_SpendLike*MIN(Slot5_Cost-BM16,BF16)</f>
        <v>0</v>
      </c>
      <c r="BO16" s="1" t="n">
        <f aca="false">BM16+BN16</f>
        <v>0</v>
      </c>
      <c r="BP16" s="1" t="n">
        <f aca="false">BF16-BN16+BJ16*IF(Slot5_SpendLike=1,BL16-BM16,IF(Slot5_PotFree=1,BL16,0))</f>
        <v>0</v>
      </c>
      <c r="BQ16" s="1" t="n">
        <f aca="false">BG16+BJ16*Slot5_BufPot*BL16</f>
        <v>0</v>
      </c>
      <c r="BR16" s="1" t="n">
        <f aca="false">IF(AND(BJ16=1,Slot5_IsMfree=1),IF(BO16&gt;=Slot5_Cost-1,0,MAX(0,BH16-BO16)),BH16)</f>
        <v>0</v>
      </c>
      <c r="BS16" s="1" t="n">
        <f aca="false">BJ16*(Slot5_Cost-BO16)</f>
        <v>0</v>
      </c>
      <c r="BT16" s="1" t="n">
        <f aca="false">IF(AND(Slot6_On=1,D16=Slot6_Age),1,0)</f>
        <v>0</v>
      </c>
      <c r="BU16" s="1" t="n">
        <f aca="false">IF(AND(Slot6_On=1,Slot6_Age&gt;D16),1,0)</f>
        <v>0</v>
      </c>
      <c r="BV16" s="1" t="n">
        <f aca="false">HZ15</f>
        <v>0</v>
      </c>
      <c r="BW16" s="1" t="n">
        <f aca="false">BT16*MIN(Slot6_Cost,BV16)</f>
        <v>0</v>
      </c>
      <c r="BX16" s="1" t="n">
        <f aca="false">BT16*Slot6_SpendLike*MIN(Slot6_Cost-BW16,BP16)</f>
        <v>0</v>
      </c>
      <c r="BY16" s="1" t="n">
        <f aca="false">BW16+BX16</f>
        <v>0</v>
      </c>
      <c r="BZ16" s="1" t="n">
        <f aca="false">BP16-BX16+BT16*IF(Slot6_SpendLike=1,BV16-BW16,IF(Slot6_PotFree=1,BV16,0))</f>
        <v>0</v>
      </c>
      <c r="CA16" s="1" t="n">
        <f aca="false">BQ16+BT16*Slot6_BufPot*BV16</f>
        <v>0</v>
      </c>
      <c r="CB16" s="1" t="n">
        <f aca="false">IF(AND(BT16=1,Slot6_IsMfree=1),IF(BY16&gt;=Slot6_Cost-1,0,MAX(0,BR16-BY16)),BR16)</f>
        <v>0</v>
      </c>
      <c r="CC16" s="1" t="n">
        <f aca="false">BT16*(Slot6_Cost-BY16)</f>
        <v>0</v>
      </c>
      <c r="CD16" s="1" t="n">
        <f aca="false">IF(AND(Slot7_On=1,D16=Slot7_Age),1,0)</f>
        <v>0</v>
      </c>
      <c r="CE16" s="1" t="n">
        <f aca="false">IF(AND(Slot7_On=1,Slot7_Age&gt;D16),1,0)</f>
        <v>0</v>
      </c>
      <c r="CF16" s="1" t="n">
        <f aca="false">ID15</f>
        <v>0</v>
      </c>
      <c r="CG16" s="1" t="n">
        <f aca="false">CD16*MIN(Slot7_Cost,CF16)</f>
        <v>0</v>
      </c>
      <c r="CH16" s="1" t="n">
        <f aca="false">CD16*Slot7_SpendLike*MIN(Slot7_Cost-CG16,BZ16)</f>
        <v>0</v>
      </c>
      <c r="CI16" s="1" t="n">
        <f aca="false">CG16+CH16</f>
        <v>0</v>
      </c>
      <c r="CJ16" s="1" t="n">
        <f aca="false">BZ16-CH16+CD16*IF(Slot7_SpendLike=1,CF16-CG16,IF(Slot7_PotFree=1,CF16,0))</f>
        <v>0</v>
      </c>
      <c r="CK16" s="1" t="n">
        <f aca="false">CA16+CD16*Slot7_BufPot*CF16</f>
        <v>0</v>
      </c>
      <c r="CL16" s="1" t="n">
        <f aca="false">IF(AND(CD16=1,Slot7_IsMfree=1),IF(CI16&gt;=Slot7_Cost-1,0,MAX(0,CB16-CI16)),CB16)</f>
        <v>0</v>
      </c>
      <c r="CM16" s="1" t="n">
        <f aca="false">CD16*(Slot7_Cost-CI16)</f>
        <v>0</v>
      </c>
      <c r="CN16" s="1" t="n">
        <f aca="false">IF(AND(Slot8_On=1,D16=Slot8_Age),1,0)</f>
        <v>0</v>
      </c>
      <c r="CO16" s="1" t="n">
        <f aca="false">IF(AND(Slot8_On=1,Slot8_Age&gt;D16),1,0)</f>
        <v>0</v>
      </c>
      <c r="CP16" s="1" t="n">
        <f aca="false">IH15</f>
        <v>0</v>
      </c>
      <c r="CQ16" s="1" t="n">
        <f aca="false">CN16*MIN(Slot8_Cost,CP16)</f>
        <v>0</v>
      </c>
      <c r="CR16" s="1" t="n">
        <f aca="false">CN16*Slot8_SpendLike*MIN(Slot8_Cost-CQ16,CJ16)</f>
        <v>0</v>
      </c>
      <c r="CS16" s="1" t="n">
        <f aca="false">CQ16+CR16</f>
        <v>0</v>
      </c>
      <c r="CT16" s="1" t="n">
        <f aca="false">CJ16-CR16+CN16*IF(Slot8_SpendLike=1,CP16-CQ16,IF(Slot8_PotFree=1,CP16,0))</f>
        <v>0</v>
      </c>
      <c r="CU16" s="1" t="n">
        <f aca="false">CK16+CN16*Slot8_BufPot*CP16</f>
        <v>0</v>
      </c>
      <c r="CV16" s="1" t="n">
        <f aca="false">IF(AND(CN16=1,Slot8_IsMfree=1),IF(CS16&gt;=Slot8_Cost-1,0,MAX(0,CL16-CS16)),CL16)</f>
        <v>0</v>
      </c>
      <c r="CW16" s="1" t="n">
        <f aca="false">CN16*(Slot8_Cost-CS16)</f>
        <v>0</v>
      </c>
      <c r="CX16" s="1" t="n">
        <f aca="false">U16*Slot1_SpendLike*Z16+AF16*Slot2_SpendLike*AK16+AP16*Slot3_SpendLike*AU16+AZ16*Slot4_SpendLike*BE16+BJ16*Slot5_SpendLike*BO16+BT16*Slot6_SpendLike*BY16+CD16*Slot7_SpendLike*CI16+CN16*Slot8_SpendLike*CS16</f>
        <v>0</v>
      </c>
      <c r="CY16" s="1" t="n">
        <f aca="false">AD16+AO16+AY16+BI16+BS16+CC16+CM16+CW16</f>
        <v>0</v>
      </c>
      <c r="CZ16" s="1" t="n">
        <f aca="false">U16*Slot1_Cost+AF16*Slot2_Cost+AP16*Slot3_Cost+AZ16*Slot4_Cost+BJ16*Slot5_Cost+BT16*Slot6_Cost+CD16*Slot7_Cost+CN16*Slot8_Cost</f>
        <v>0</v>
      </c>
      <c r="DA16" s="1" t="n">
        <f aca="false">CV16</f>
        <v>0</v>
      </c>
      <c r="DB16" s="1" t="n">
        <f aca="false">G16-H16-R16</f>
        <v>0</v>
      </c>
      <c r="DC16" s="1" t="n">
        <f aca="false">IF(B16=0,IF(AND(Has_q6=1,In_q6=4),PR_ShareVaries*(MAX(0,DB16)/12),MIN(IF(Has_q6=1,CHOOSE(In_q6+1,PR_SaveB1,PR_SaveB2,PR_SaveB3,PR_SaveB4,0),AS_NoAnswer),AS_SaveShare*(MAX(0,DB16)/12))),DC15)</f>
        <v>0</v>
      </c>
      <c r="DD16" s="1" t="n">
        <f aca="false">IF(DB16&gt;=0,1,0)</f>
        <v>1</v>
      </c>
      <c r="DE16" s="1" t="n">
        <f aca="false">MAX(0,DB16/12/E16)</f>
        <v>0</v>
      </c>
      <c r="DF16" s="1" t="n">
        <f aca="false">IF(AND(Has_q6=1,In_q6=4),PR_ShareVaries*(DE16),MIN(IF(Has_q6=1,CHOOSE(In_q6+1,PR_SaveB1,PR_SaveB2,PR_SaveB3,PR_SaveB4,0),AS_NoAnswer),AS_SaveShare*(DE16)))</f>
        <v>0</v>
      </c>
      <c r="DG16" s="1" t="n">
        <f aca="false">IF(Has_saveM=1,IF(In_saveUp="Yes",1,IF(In_saveUp="No",0,IF(In_saveM&gt;=DC16-0.5,1,0))),0)</f>
        <v>0</v>
      </c>
      <c r="DH16" s="1" t="n">
        <f aca="false">IF(Has_saveM=1,MIN(DE16,IF(DG16=1,MAX(In_saveM,DF16),MIN(In_saveM,DF16))),DF16)</f>
        <v>0</v>
      </c>
      <c r="DI16" s="1" t="n">
        <f aca="false">IF(F16=1,DH16*12*E16,0)</f>
        <v>0</v>
      </c>
      <c r="DJ16" s="1" t="n">
        <f aca="false">MAX(0,DI16+IF(AND(WI_Retire=0,WI_M&lt;0,F16=1),WI_M*12*E16,0))</f>
        <v>0</v>
      </c>
      <c r="DK16" s="1" t="n">
        <f aca="false">Slot1_IsWG*V16+Slot2_IsWG*AG16+Slot3_IsWG*AQ16+Slot4_IsWG*BA16+Slot5_IsWG*BK16+Slot6_IsWG*BU16+Slot7_IsWG*CE16+Slot8_IsWG*CO16</f>
        <v>0</v>
      </c>
      <c r="DL16" s="1" t="n">
        <f aca="false">IF(AND(WI_Retire=0,WI_M&gt;0,F16=1,DK16&gt;=1),WI_M*12*E16,0)</f>
        <v>0</v>
      </c>
      <c r="DM16" s="1" t="n">
        <f aca="false">IF(DD16=1,MIN(DJ16,DB16),0)</f>
        <v>0</v>
      </c>
      <c r="DN16" s="1" t="n">
        <f aca="false">IF(DD16=1,MIN(DL16,DB16-DM16),0)</f>
        <v>0</v>
      </c>
      <c r="DO16" s="1" t="n">
        <f aca="false">IF(V16=1,IF(ABS((1+AS_Wage)/(1+Slot1_Rate)-1)&lt;0.000000000001,(Slot1_Age-D16)*(1+Slot1_Rate)^(Slot1_Age-D16),(1+Slot1_Rate)^(Slot1_Age-D16)*(1-((1+AS_Wage)/(1+Slot1_Rate))^(Slot1_Age-D16))/(1-(1+AS_Wage)/(1+Slot1_Rate))),1)</f>
        <v>1</v>
      </c>
      <c r="DP16" s="1" t="n">
        <f aca="false">IF(AND(DD16=1,DN16&gt;0,Slot1_IsWG=1,V16=1),MAX(0,(Slot1_Cost-W16*(1+Slot1_Rate)^(Slot1_Age-D16))/DO16),0)</f>
        <v>0</v>
      </c>
      <c r="DQ16" s="1" t="n">
        <f aca="false">IF(AND(DD16=1,DN16&gt;0,Slot1_IsWG=1,V16=1),MIN(DN16,DP16),0)</f>
        <v>0</v>
      </c>
      <c r="DR16" s="1" t="n">
        <f aca="false">W16+DQ16</f>
        <v>0</v>
      </c>
      <c r="DS16" s="1" t="n">
        <f aca="false">IF(V16=1,MAX(0,(Slot1_Cost-DR16*(1+Slot1_Rate)^(Slot1_Age-D16))/DO16),0)</f>
        <v>0</v>
      </c>
      <c r="DT16" s="1" t="n">
        <f aca="false">IF(V16=1,MAX(0,(Slot1_Cost-W16*(1+Slot1_Rate)^(Slot1_Age-D16))/DO16),0)</f>
        <v>0</v>
      </c>
      <c r="DU16" s="1" t="n">
        <f aca="false">IF(AND(DD16=1,V16=1),MIN(DM16,DS16),0)</f>
        <v>0</v>
      </c>
      <c r="DV16" s="1" t="n">
        <f aca="false">DM16-DU16</f>
        <v>0</v>
      </c>
      <c r="DW16" s="1" t="n">
        <f aca="false">IF(AG16=1,IF(ABS((1+AS_Wage)/(1+Slot2_Rate)-1)&lt;0.000000000001,(Slot2_Age-D16)*(1+Slot2_Rate)^(Slot2_Age-D16),(1+Slot2_Rate)^(Slot2_Age-D16)*(1-((1+AS_Wage)/(1+Slot2_Rate))^(Slot2_Age-D16))/(1-(1+AS_Wage)/(1+Slot2_Rate))),1)</f>
        <v>1</v>
      </c>
      <c r="DX16" s="1" t="n">
        <f aca="false">IF(AND(DD16=1,DN16&gt;0,Slot2_IsWG=1,AG16=1),MAX(0,(Slot2_Cost-AH16*(1+Slot2_Rate)^(Slot2_Age-D16))/DW16),0)</f>
        <v>0</v>
      </c>
      <c r="DY16" s="1" t="n">
        <f aca="false">IF(AND(DD16=1,DN16&gt;0,Slot2_IsWG=1,AG16=1),MIN(DN16,DX16),0)</f>
        <v>0</v>
      </c>
      <c r="DZ16" s="1" t="n">
        <f aca="false">AH16+DY16</f>
        <v>0</v>
      </c>
      <c r="EA16" s="1" t="n">
        <f aca="false">IF(AG16=1,MAX(0,(Slot2_Cost-DZ16*(1+Slot2_Rate)^(Slot2_Age-D16))/DW16),0)</f>
        <v>0</v>
      </c>
      <c r="EB16" s="1" t="n">
        <f aca="false">IF(AG16=1,MAX(0,(Slot2_Cost-AH16*(1+Slot2_Rate)^(Slot2_Age-D16))/DW16),0)</f>
        <v>0</v>
      </c>
      <c r="EC16" s="1" t="n">
        <f aca="false">IF(AND(DD16=1,AG16=1),MIN(DV16,EA16),0)</f>
        <v>0</v>
      </c>
      <c r="ED16" s="1" t="n">
        <f aca="false">DV16-EC16</f>
        <v>0</v>
      </c>
      <c r="EE16" s="1" t="n">
        <f aca="false">IF(AQ16=1,IF(ABS((1+AS_Wage)/(1+Slot3_Rate)-1)&lt;0.000000000001,(Slot3_Age-D16)*(1+Slot3_Rate)^(Slot3_Age-D16),(1+Slot3_Rate)^(Slot3_Age-D16)*(1-((1+AS_Wage)/(1+Slot3_Rate))^(Slot3_Age-D16))/(1-(1+AS_Wage)/(1+Slot3_Rate))),1)</f>
        <v>1</v>
      </c>
      <c r="EF16" s="1" t="n">
        <f aca="false">IF(AND(DD16=1,DN16&gt;0,Slot3_IsWG=1,AQ16=1),MAX(0,(Slot3_Cost-AR16*(1+Slot3_Rate)^(Slot3_Age-D16))/EE16),0)</f>
        <v>0</v>
      </c>
      <c r="EG16" s="1" t="n">
        <f aca="false">IF(AND(DD16=1,DN16&gt;0,Slot3_IsWG=1,AQ16=1),MIN(DN16,EF16),0)</f>
        <v>0</v>
      </c>
      <c r="EH16" s="1" t="n">
        <f aca="false">AR16+EG16</f>
        <v>0</v>
      </c>
      <c r="EI16" s="1" t="n">
        <f aca="false">IF(AQ16=1,MAX(0,(Slot3_Cost-EH16*(1+Slot3_Rate)^(Slot3_Age-D16))/EE16),0)</f>
        <v>0</v>
      </c>
      <c r="EJ16" s="1" t="n">
        <f aca="false">IF(AQ16=1,MAX(0,(Slot3_Cost-AR16*(1+Slot3_Rate)^(Slot3_Age-D16))/EE16),0)</f>
        <v>0</v>
      </c>
      <c r="EK16" s="1" t="n">
        <f aca="false">IF(AND(DD16=1,AQ16=1),MIN(ED16,EI16),0)</f>
        <v>0</v>
      </c>
      <c r="EL16" s="1" t="n">
        <f aca="false">ED16-EK16</f>
        <v>0</v>
      </c>
      <c r="EM16" s="1" t="n">
        <f aca="false">IF(BA16=1,IF(ABS((1+AS_Wage)/(1+Slot4_Rate)-1)&lt;0.000000000001,(Slot4_Age-D16)*(1+Slot4_Rate)^(Slot4_Age-D16),(1+Slot4_Rate)^(Slot4_Age-D16)*(1-((1+AS_Wage)/(1+Slot4_Rate))^(Slot4_Age-D16))/(1-(1+AS_Wage)/(1+Slot4_Rate))),1)</f>
        <v>1</v>
      </c>
      <c r="EN16" s="1" t="n">
        <f aca="false">IF(AND(DD16=1,DN16&gt;0,Slot4_IsWG=1,BA16=1),MAX(0,(Slot4_Cost-BB16*(1+Slot4_Rate)^(Slot4_Age-D16))/EM16),0)</f>
        <v>0</v>
      </c>
      <c r="EO16" s="1" t="n">
        <f aca="false">IF(AND(DD16=1,DN16&gt;0,Slot4_IsWG=1,BA16=1),MIN(DN16,EN16),0)</f>
        <v>0</v>
      </c>
      <c r="EP16" s="1" t="n">
        <f aca="false">BB16+EO16</f>
        <v>0</v>
      </c>
      <c r="EQ16" s="1" t="n">
        <f aca="false">IF(BA16=1,MAX(0,(Slot4_Cost-EP16*(1+Slot4_Rate)^(Slot4_Age-D16))/EM16),0)</f>
        <v>0</v>
      </c>
      <c r="ER16" s="1" t="n">
        <f aca="false">IF(BA16=1,MAX(0,(Slot4_Cost-BB16*(1+Slot4_Rate)^(Slot4_Age-D16))/EM16),0)</f>
        <v>0</v>
      </c>
      <c r="ES16" s="1" t="n">
        <f aca="false">IF(AND(DD16=1,BA16=1),MIN(EL16,EQ16),0)</f>
        <v>0</v>
      </c>
      <c r="ET16" s="1" t="n">
        <f aca="false">EL16-ES16</f>
        <v>0</v>
      </c>
      <c r="EU16" s="1" t="n">
        <f aca="false">IF(BK16=1,IF(ABS((1+AS_Wage)/(1+Slot5_Rate)-1)&lt;0.000000000001,(Slot5_Age-D16)*(1+Slot5_Rate)^(Slot5_Age-D16),(1+Slot5_Rate)^(Slot5_Age-D16)*(1-((1+AS_Wage)/(1+Slot5_Rate))^(Slot5_Age-D16))/(1-(1+AS_Wage)/(1+Slot5_Rate))),1)</f>
        <v>1</v>
      </c>
      <c r="EV16" s="1" t="n">
        <f aca="false">IF(AND(DD16=1,DN16&gt;0,Slot5_IsWG=1,BK16=1),MAX(0,(Slot5_Cost-BL16*(1+Slot5_Rate)^(Slot5_Age-D16))/EU16),0)</f>
        <v>0</v>
      </c>
      <c r="EW16" s="1" t="n">
        <f aca="false">IF(AND(DD16=1,DN16&gt;0,Slot5_IsWG=1,BK16=1),MIN(DN16,EV16),0)</f>
        <v>0</v>
      </c>
      <c r="EX16" s="1" t="n">
        <f aca="false">BL16+EW16</f>
        <v>0</v>
      </c>
      <c r="EY16" s="1" t="n">
        <f aca="false">IF(BK16=1,MAX(0,(Slot5_Cost-EX16*(1+Slot5_Rate)^(Slot5_Age-D16))/EU16),0)</f>
        <v>0</v>
      </c>
      <c r="EZ16" s="1" t="n">
        <f aca="false">IF(BK16=1,MAX(0,(Slot5_Cost-BL16*(1+Slot5_Rate)^(Slot5_Age-D16))/EU16),0)</f>
        <v>0</v>
      </c>
      <c r="FA16" s="1" t="n">
        <f aca="false">IF(AND(DD16=1,BK16=1),MIN(ET16,EY16),0)</f>
        <v>0</v>
      </c>
      <c r="FB16" s="1" t="n">
        <f aca="false">ET16-FA16</f>
        <v>0</v>
      </c>
      <c r="FC16" s="1" t="n">
        <f aca="false">IF(BU16=1,IF(ABS((1+AS_Wage)/(1+Slot6_Rate)-1)&lt;0.000000000001,(Slot6_Age-D16)*(1+Slot6_Rate)^(Slot6_Age-D16),(1+Slot6_Rate)^(Slot6_Age-D16)*(1-((1+AS_Wage)/(1+Slot6_Rate))^(Slot6_Age-D16))/(1-(1+AS_Wage)/(1+Slot6_Rate))),1)</f>
        <v>1</v>
      </c>
      <c r="FD16" s="1" t="n">
        <f aca="false">IF(AND(DD16=1,DN16&gt;0,Slot6_IsWG=1,BU16=1),MAX(0,(Slot6_Cost-BV16*(1+Slot6_Rate)^(Slot6_Age-D16))/FC16),0)</f>
        <v>0</v>
      </c>
      <c r="FE16" s="1" t="n">
        <f aca="false">IF(AND(DD16=1,DN16&gt;0,Slot6_IsWG=1,BU16=1),MIN(DN16,FD16),0)</f>
        <v>0</v>
      </c>
      <c r="FF16" s="1" t="n">
        <f aca="false">BV16+FE16</f>
        <v>0</v>
      </c>
      <c r="FG16" s="1" t="n">
        <f aca="false">IF(BU16=1,MAX(0,(Slot6_Cost-FF16*(1+Slot6_Rate)^(Slot6_Age-D16))/FC16),0)</f>
        <v>0</v>
      </c>
      <c r="FH16" s="1" t="n">
        <f aca="false">IF(BU16=1,MAX(0,(Slot6_Cost-BV16*(1+Slot6_Rate)^(Slot6_Age-D16))/FC16),0)</f>
        <v>0</v>
      </c>
      <c r="FI16" s="1" t="n">
        <f aca="false">IF(AND(DD16=1,BU16=1),MIN(FB16,FG16),0)</f>
        <v>0</v>
      </c>
      <c r="FJ16" s="1" t="n">
        <f aca="false">FB16-FI16</f>
        <v>0</v>
      </c>
      <c r="FK16" s="1" t="n">
        <f aca="false">IF(CE16=1,IF(ABS((1+AS_Wage)/(1+Slot7_Rate)-1)&lt;0.000000000001,(Slot7_Age-D16)*(1+Slot7_Rate)^(Slot7_Age-D16),(1+Slot7_Rate)^(Slot7_Age-D16)*(1-((1+AS_Wage)/(1+Slot7_Rate))^(Slot7_Age-D16))/(1-(1+AS_Wage)/(1+Slot7_Rate))),1)</f>
        <v>1</v>
      </c>
      <c r="FL16" s="1" t="n">
        <f aca="false">IF(AND(DD16=1,DN16&gt;0,Slot7_IsWG=1,CE16=1),MAX(0,(Slot7_Cost-CF16*(1+Slot7_Rate)^(Slot7_Age-D16))/FK16),0)</f>
        <v>0</v>
      </c>
      <c r="FM16" s="1" t="n">
        <f aca="false">IF(AND(DD16=1,DN16&gt;0,Slot7_IsWG=1,CE16=1),MIN(DN16,FL16),0)</f>
        <v>0</v>
      </c>
      <c r="FN16" s="1" t="n">
        <f aca="false">CF16+FM16</f>
        <v>0</v>
      </c>
      <c r="FO16" s="1" t="n">
        <f aca="false">IF(CE16=1,MAX(0,(Slot7_Cost-FN16*(1+Slot7_Rate)^(Slot7_Age-D16))/FK16),0)</f>
        <v>0</v>
      </c>
      <c r="FP16" s="1" t="n">
        <f aca="false">IF(CE16=1,MAX(0,(Slot7_Cost-CF16*(1+Slot7_Rate)^(Slot7_Age-D16))/FK16),0)</f>
        <v>0</v>
      </c>
      <c r="FQ16" s="1" t="n">
        <f aca="false">IF(AND(DD16=1,CE16=1),MIN(FJ16,FO16),0)</f>
        <v>0</v>
      </c>
      <c r="FR16" s="1" t="n">
        <f aca="false">FJ16-FQ16</f>
        <v>0</v>
      </c>
      <c r="FS16" s="1" t="n">
        <f aca="false">IF(CO16=1,IF(ABS((1+AS_Wage)/(1+Slot8_Rate)-1)&lt;0.000000000001,(Slot8_Age-D16)*(1+Slot8_Rate)^(Slot8_Age-D16),(1+Slot8_Rate)^(Slot8_Age-D16)*(1-((1+AS_Wage)/(1+Slot8_Rate))^(Slot8_Age-D16))/(1-(1+AS_Wage)/(1+Slot8_Rate))),1)</f>
        <v>1</v>
      </c>
      <c r="FT16" s="1" t="n">
        <f aca="false">IF(AND(DD16=1,DN16&gt;0,Slot8_IsWG=1,CO16=1),MAX(0,(Slot8_Cost-CP16*(1+Slot8_Rate)^(Slot8_Age-D16))/FS16),0)</f>
        <v>0</v>
      </c>
      <c r="FU16" s="1" t="n">
        <f aca="false">IF(AND(DD16=1,DN16&gt;0,Slot8_IsWG=1,CO16=1),MIN(DN16,FT16),0)</f>
        <v>0</v>
      </c>
      <c r="FV16" s="1" t="n">
        <f aca="false">CP16+FU16</f>
        <v>0</v>
      </c>
      <c r="FW16" s="1" t="n">
        <f aca="false">IF(CO16=1,MAX(0,(Slot8_Cost-FV16*(1+Slot8_Rate)^(Slot8_Age-D16))/FS16),0)</f>
        <v>0</v>
      </c>
      <c r="FX16" s="1" t="n">
        <f aca="false">IF(CO16=1,MAX(0,(Slot8_Cost-CP16*(1+Slot8_Rate)^(Slot8_Age-D16))/FS16),0)</f>
        <v>0</v>
      </c>
      <c r="FY16" s="1" t="n">
        <f aca="false">IF(AND(DD16=1,CO16=1),MIN(FR16,FW16),0)</f>
        <v>0</v>
      </c>
      <c r="FZ16" s="1" t="n">
        <f aca="false">FR16-FY16</f>
        <v>0</v>
      </c>
      <c r="GA16" s="1" t="n">
        <f aca="false">DN16-(DQ16+DY16+EG16+EO16+EW16+FE16+FM16+FU16)</f>
        <v>0</v>
      </c>
      <c r="GB16" s="1" t="n">
        <f aca="false">IF(DD16=1,DB16-DM16-DN16,0)</f>
        <v>0</v>
      </c>
      <c r="GC16" s="1" t="n">
        <f aca="false">IF(DD16=0,-DB16,0)</f>
        <v>0</v>
      </c>
      <c r="GD16" s="1" t="n">
        <f aca="false">MIN(GC16,CT16)</f>
        <v>0</v>
      </c>
      <c r="GE16" s="1" t="n">
        <f aca="false">GC16-GD16</f>
        <v>0</v>
      </c>
      <c r="GF16" s="1" t="n">
        <f aca="false">MIN(GE16,CU16)</f>
        <v>0</v>
      </c>
      <c r="GG16" s="1" t="n">
        <f aca="false">GE16-GF16</f>
        <v>0</v>
      </c>
      <c r="GH16" s="1" t="n">
        <f aca="false">IF(AND(DD16=0,CO16=1,GG16&gt;0),MIN(GG16,CP16),0)</f>
        <v>0</v>
      </c>
      <c r="GI16" s="1" t="n">
        <f aca="false">GG16-GH16</f>
        <v>0</v>
      </c>
      <c r="GJ16" s="1" t="n">
        <f aca="false">IF(AND(DD16=0,CE16=1,GI16&gt;0),MIN(GI16,CF16),0)</f>
        <v>0</v>
      </c>
      <c r="GK16" s="1" t="n">
        <f aca="false">GI16-GJ16</f>
        <v>0</v>
      </c>
      <c r="GL16" s="1" t="n">
        <f aca="false">IF(AND(DD16=0,BU16=1,GK16&gt;0),MIN(GK16,BV16),0)</f>
        <v>0</v>
      </c>
      <c r="GM16" s="1" t="n">
        <f aca="false">GK16-GL16</f>
        <v>0</v>
      </c>
      <c r="GN16" s="1" t="n">
        <f aca="false">IF(AND(DD16=0,BK16=1,GM16&gt;0),MIN(GM16,BL16),0)</f>
        <v>0</v>
      </c>
      <c r="GO16" s="1" t="n">
        <f aca="false">GM16-GN16</f>
        <v>0</v>
      </c>
      <c r="GP16" s="1" t="n">
        <f aca="false">IF(AND(DD16=0,BA16=1,GO16&gt;0),MIN(GO16,BB16),0)</f>
        <v>0</v>
      </c>
      <c r="GQ16" s="1" t="n">
        <f aca="false">GO16-GP16</f>
        <v>0</v>
      </c>
      <c r="GR16" s="1" t="n">
        <f aca="false">IF(AND(DD16=0,AQ16=1,GQ16&gt;0),MIN(GQ16,AR16),0)</f>
        <v>0</v>
      </c>
      <c r="GS16" s="1" t="n">
        <f aca="false">GQ16-GR16</f>
        <v>0</v>
      </c>
      <c r="GT16" s="1" t="n">
        <f aca="false">IF(AND(DD16=0,AG16=1,GS16&gt;0),MIN(GS16,AH16),0)</f>
        <v>0</v>
      </c>
      <c r="GU16" s="1" t="n">
        <f aca="false">GS16-GT16</f>
        <v>0</v>
      </c>
      <c r="GV16" s="1" t="n">
        <f aca="false">IF(AND(DD16=0,V16=1,GU16&gt;0),MIN(GU16,W16),0)</f>
        <v>0</v>
      </c>
      <c r="GW16" s="1" t="n">
        <f aca="false">GU16-GV16</f>
        <v>0</v>
      </c>
      <c r="GX16" s="1" t="n">
        <f aca="false">IF(DD16=0,GW16,0)</f>
        <v>0</v>
      </c>
      <c r="GY16" s="1" t="n">
        <f aca="false">GD16+GF16+GV16+GT16+GR16+GP16+GN16+GL16+GJ16+GH16</f>
        <v>0</v>
      </c>
      <c r="GZ16" s="1" t="n">
        <f aca="false">IF(DD16=1,CT16+GA16+FZ16+IF(F16=1,0,GB16),CT16-GD16)</f>
        <v>0</v>
      </c>
      <c r="HA16" s="1" t="n">
        <f aca="false">CU16-GF16</f>
        <v>0</v>
      </c>
      <c r="HB16" s="1" t="n">
        <f aca="false">IF(DD16=1,IF(F16=1,DM16+DN16,DB16),0)</f>
        <v>0</v>
      </c>
      <c r="HC16" s="1" t="n">
        <f aca="false">IF(DD16=1,IF(F16=1,DB16-DM16-DN16,0),0)</f>
        <v>0</v>
      </c>
      <c r="HD16" s="1" t="n">
        <f aca="false">GZ16*(1+GR)</f>
        <v>0</v>
      </c>
      <c r="HE16" s="1" t="n">
        <f aca="false">HA16*(1+AS_Cash)</f>
        <v>0</v>
      </c>
      <c r="HF16" s="1" t="n">
        <f aca="false">IF(V16=1,IF(DD16=1,DR16+DU16,W16-GV16)*(1+Slot1_Rate),0)</f>
        <v>0</v>
      </c>
      <c r="HG16" s="1" t="n">
        <f aca="false">IF(AND(DD16=1,V16=1),(DQ16+DU16)/E16,0)</f>
        <v>0</v>
      </c>
      <c r="HH16" s="1" t="n">
        <f aca="false">IF(B16=0,DQ16+DU16,0)</f>
        <v>0</v>
      </c>
      <c r="HI16" s="1" t="n">
        <f aca="false">IF(B16=0,IF(DD16=1,DS16,DT16),0)</f>
        <v>0</v>
      </c>
      <c r="HJ16" s="1" t="n">
        <f aca="false">IF(AG16=1,IF(DD16=1,DZ16+EC16,AH16-GT16)*(1+Slot2_Rate),0)</f>
        <v>0</v>
      </c>
      <c r="HK16" s="1" t="n">
        <f aca="false">IF(AND(DD16=1,AG16=1),(DY16+EC16)/E16,0)</f>
        <v>0</v>
      </c>
      <c r="HL16" s="1" t="n">
        <f aca="false">IF(B16=0,DY16+EC16,0)</f>
        <v>0</v>
      </c>
      <c r="HM16" s="1" t="n">
        <f aca="false">IF(B16=0,IF(DD16=1,EA16,EB16),0)</f>
        <v>0</v>
      </c>
      <c r="HN16" s="1" t="n">
        <f aca="false">IF(AQ16=1,IF(DD16=1,EH16+EK16,AR16-GR16)*(1+Slot3_Rate),0)</f>
        <v>0</v>
      </c>
      <c r="HO16" s="1" t="n">
        <f aca="false">IF(AND(DD16=1,AQ16=1),(EG16+EK16)/E16,0)</f>
        <v>0</v>
      </c>
      <c r="HP16" s="1" t="n">
        <f aca="false">IF(B16=0,EG16+EK16,0)</f>
        <v>0</v>
      </c>
      <c r="HQ16" s="1" t="n">
        <f aca="false">IF(B16=0,IF(DD16=1,EI16,EJ16),0)</f>
        <v>0</v>
      </c>
      <c r="HR16" s="1" t="n">
        <f aca="false">IF(BA16=1,IF(DD16=1,EP16+ES16,BB16-GP16)*(1+Slot4_Rate),0)</f>
        <v>0</v>
      </c>
      <c r="HS16" s="1" t="n">
        <f aca="false">IF(AND(DD16=1,BA16=1),(EO16+ES16)/E16,0)</f>
        <v>0</v>
      </c>
      <c r="HT16" s="1" t="n">
        <f aca="false">IF(B16=0,EO16+ES16,0)</f>
        <v>0</v>
      </c>
      <c r="HU16" s="1" t="n">
        <f aca="false">IF(B16=0,IF(DD16=1,EQ16,ER16),0)</f>
        <v>0</v>
      </c>
      <c r="HV16" s="1" t="n">
        <f aca="false">IF(BK16=1,IF(DD16=1,EX16+FA16,BL16-GN16)*(1+Slot5_Rate),0)</f>
        <v>0</v>
      </c>
      <c r="HW16" s="1" t="n">
        <f aca="false">IF(AND(DD16=1,BK16=1),(EW16+FA16)/E16,0)</f>
        <v>0</v>
      </c>
      <c r="HX16" s="1" t="n">
        <f aca="false">IF(B16=0,EW16+FA16,0)</f>
        <v>0</v>
      </c>
      <c r="HY16" s="1" t="n">
        <f aca="false">IF(B16=0,IF(DD16=1,EY16,EZ16),0)</f>
        <v>0</v>
      </c>
      <c r="HZ16" s="1" t="n">
        <f aca="false">IF(BU16=1,IF(DD16=1,FF16+FI16,BV16-GL16)*(1+Slot6_Rate),0)</f>
        <v>0</v>
      </c>
      <c r="IA16" s="1" t="n">
        <f aca="false">IF(AND(DD16=1,BU16=1),(FE16+FI16)/E16,0)</f>
        <v>0</v>
      </c>
      <c r="IB16" s="1" t="n">
        <f aca="false">IF(B16=0,FE16+FI16,0)</f>
        <v>0</v>
      </c>
      <c r="IC16" s="1" t="n">
        <f aca="false">IF(B16=0,IF(DD16=1,FG16,FH16),0)</f>
        <v>0</v>
      </c>
      <c r="ID16" s="1" t="n">
        <f aca="false">IF(CE16=1,IF(DD16=1,FN16+FQ16,CF16-GJ16)*(1+Slot7_Rate),0)</f>
        <v>0</v>
      </c>
      <c r="IE16" s="1" t="n">
        <f aca="false">IF(AND(DD16=1,CE16=1),(FM16+FQ16)/E16,0)</f>
        <v>0</v>
      </c>
      <c r="IF16" s="1" t="n">
        <f aca="false">IF(B16=0,FM16+FQ16,0)</f>
        <v>0</v>
      </c>
      <c r="IG16" s="1" t="n">
        <f aca="false">IF(B16=0,IF(DD16=1,FO16,FP16),0)</f>
        <v>0</v>
      </c>
      <c r="IH16" s="1" t="n">
        <f aca="false">IF(CO16=1,IF(DD16=1,FV16+FY16,CP16-GH16)*(1+Slot8_Rate),0)</f>
        <v>0</v>
      </c>
      <c r="II16" s="1" t="n">
        <f aca="false">IF(AND(DD16=1,CO16=1),(FU16+FY16)/E16,0)</f>
        <v>0</v>
      </c>
      <c r="IJ16" s="1" t="n">
        <f aca="false">IF(B16=0,FU16+FY16,0)</f>
        <v>0</v>
      </c>
      <c r="IK16" s="1" t="n">
        <f aca="false">IF(B16=0,IF(DD16=1,FW16,FX16),0)</f>
        <v>0</v>
      </c>
      <c r="IL16" s="1" t="n">
        <f aca="false">HD16+HE16+HF16+HJ16+HN16+HR16+HV16+HZ16+ID16+IH16</f>
        <v>0</v>
      </c>
      <c r="IM16" s="1" t="n">
        <f aca="false">GX16+CY16</f>
        <v>0</v>
      </c>
      <c r="IN16" s="1" t="n">
        <f aca="false">H16+R16</f>
        <v>0</v>
      </c>
      <c r="IO16" s="1" t="n">
        <f aca="false">1-F16</f>
        <v>1</v>
      </c>
      <c r="IP16" s="1" t="n">
        <f aca="false">IF(AND(RG_Exists=1,F16=0,C16=1),H16,0)</f>
        <v>0</v>
      </c>
      <c r="IQ16" s="1" t="n">
        <f aca="false">IF(AND(RG_Exists=1,F16=0,C16=1),H16-MIN(GX16,H16),0)</f>
        <v>0</v>
      </c>
      <c r="IR16" s="1" t="n">
        <f aca="false">'Plan pay &amp; tax'!AD218</f>
        <v>0</v>
      </c>
      <c r="IS16" s="1" t="n">
        <f aca="false">IF(AND(C16=1,GX16&gt;MAX(PR_Short1,IN16*PR_Short2)),1,0)</f>
        <v>0</v>
      </c>
      <c r="IT16" s="1" t="n">
        <f aca="false">MIN(G16,H16+R16)</f>
        <v>0</v>
      </c>
      <c r="IU16" s="1" t="n">
        <f aca="false">GY16+MAX(0,CZ16-CY16)</f>
        <v>0</v>
      </c>
      <c r="IV16" s="1" t="n">
        <f aca="false">GX16+CY16</f>
        <v>0</v>
      </c>
      <c r="IW16" s="1" t="n">
        <f aca="false">IF(AND(C16=1,IV16&gt;0.5),1,0)</f>
        <v>0</v>
      </c>
      <c r="IX16" s="1" t="n">
        <f aca="false">IF(AND(C16=1,IW16=0,IU16&gt;0.5),1,0)</f>
        <v>0</v>
      </c>
      <c r="IY16" s="1" t="n">
        <f aca="false">IF(AND(C16=1,GX16&gt;0.5),1,0)</f>
        <v>0</v>
      </c>
      <c r="IZ16" s="1" t="n">
        <f aca="false">IF(AND(C16=1,GY16&gt;1,JF16=0),1,0)</f>
        <v>0</v>
      </c>
      <c r="JA16" s="1" t="n">
        <f aca="false">IF(AND(INT(D16/10)*10=90,B16&gt;0),80,INT(D16/10)*10)</f>
        <v>0</v>
      </c>
      <c r="JB16" s="1" t="n">
        <f aca="false">IF(B16=0,1,IF(JA16&lt;&gt;JA15,JB15+1,JB15))</f>
        <v>1</v>
      </c>
      <c r="JC16" s="1" t="n">
        <f aca="false">IF(AND(C16=1,F16=1,GX16&gt;MAX(PR_Short1,IN16*PR_Short2)),1,0)</f>
        <v>0</v>
      </c>
      <c r="JD16" s="1" t="n">
        <f aca="false">IO16*IS16</f>
        <v>0</v>
      </c>
      <c r="JE16" s="1" t="n">
        <f aca="false">IF(AND(U16=1,Slot1_PctLow=1),1,0)+IF(AND(AF16=1,Slot2_PctLow=1),1,0)+IF(AND(AP16=1,Slot3_PctLow=1),1,0)+IF(AND(AZ16=1,Slot4_PctLow=1),1,0)+IF(AND(BJ16=1,Slot5_PctLow=1),1,0)+IF(AND(BT16=1,Slot6_PctLow=1),1,0)+IF(AND(CD16=1,Slot7_PctLow=1),1,0)+IF(AND(CN16=1,Slot8_PctLow=1),1,0)</f>
        <v>0</v>
      </c>
      <c r="JF16" s="1" t="n">
        <f aca="false">IF(C16=1,IF(OR(IS16=1,JE16&gt;0),1,0),0)</f>
        <v>0</v>
      </c>
    </row>
    <row r="17" customFormat="false" ht="15" hidden="false" customHeight="false" outlineLevel="0" collapsed="false">
      <c r="B17" s="1" t="n">
        <v>9</v>
      </c>
      <c r="C17" s="1" t="n">
        <f aca="false">IF(B17&lt;=F_N,1,0)</f>
        <v>1</v>
      </c>
      <c r="D17" s="1" t="n">
        <f aca="false">'Plan pay &amp; tax'!C219</f>
        <v>9</v>
      </c>
      <c r="E17" s="106" t="n">
        <f aca="false">'Plan pay &amp; tax'!E219</f>
        <v>1.19509256862231</v>
      </c>
      <c r="F17" s="1" t="n">
        <f aca="false">'Plan pay &amp; tax'!G219</f>
        <v>0</v>
      </c>
      <c r="G17" s="1" t="n">
        <f aca="false">'Plan pay &amp; tax'!BT219-'Plan pay &amp; tax'!BS219-'Plan pay &amp; tax'!R219</f>
        <v>0</v>
      </c>
      <c r="H17" s="1" t="n">
        <f aca="false">IF(F17=1,F_CostsM*12,IF(RG_Exists=1,RG_Amount,F_CostsM*12*AS_RetireSpend))*E17+F_OneOffY*E17</f>
        <v>0</v>
      </c>
      <c r="I17" s="1" t="n">
        <f aca="false">DA16</f>
        <v>0</v>
      </c>
      <c r="J17" s="1" t="n">
        <f aca="false">IF(I17&gt;1,'Plan debt months'!AC17,0)</f>
        <v>0</v>
      </c>
      <c r="K17" s="1" t="n">
        <f aca="false">IF(I17&gt;1,'Plan debt months'!AB17,I17)</f>
        <v>0</v>
      </c>
      <c r="L17" s="1" t="n">
        <f aca="false">N16</f>
        <v>0</v>
      </c>
      <c r="M17" s="1" t="n">
        <f aca="false">IF(L17&gt;1,'Plan debt months'!BD17,0)</f>
        <v>0</v>
      </c>
      <c r="N17" s="1" t="n">
        <f aca="false">IF(L17&gt;1,'Plan debt months'!BC17,L17)</f>
        <v>0</v>
      </c>
      <c r="O17" s="1" t="n">
        <f aca="false">Q16</f>
        <v>0</v>
      </c>
      <c r="P17" s="1" t="n">
        <f aca="false">IF(O17&gt;1,'Plan debt months'!CE17,0)</f>
        <v>0</v>
      </c>
      <c r="Q17" s="1" t="n">
        <f aca="false">IF(O17&gt;1,'Plan debt months'!CD17,O17)</f>
        <v>0</v>
      </c>
      <c r="R17" s="1" t="n">
        <f aca="false">J17+M17+P17</f>
        <v>0</v>
      </c>
      <c r="S17" s="1" t="n">
        <f aca="false">HD16+'Plan pay &amp; tax'!Y219</f>
        <v>0</v>
      </c>
      <c r="T17" s="1" t="n">
        <f aca="false">HD16</f>
        <v>0</v>
      </c>
      <c r="U17" s="1" t="n">
        <f aca="false">IF(AND(Slot1_On=1,D17=Slot1_Age),1,0)</f>
        <v>0</v>
      </c>
      <c r="V17" s="1" t="n">
        <f aca="false">IF(AND(Slot1_On=1,Slot1_Age&gt;D17),1,0)</f>
        <v>0</v>
      </c>
      <c r="W17" s="1" t="n">
        <f aca="false">HF16</f>
        <v>0</v>
      </c>
      <c r="X17" s="1" t="n">
        <f aca="false">U17*MIN(Slot1_Cost,W17)</f>
        <v>0</v>
      </c>
      <c r="Y17" s="1" t="n">
        <f aca="false">U17*Slot1_SpendLike*MIN(Slot1_Cost-X17,S17)</f>
        <v>0</v>
      </c>
      <c r="Z17" s="1" t="n">
        <f aca="false">X17+Y17</f>
        <v>0</v>
      </c>
      <c r="AA17" s="1" t="n">
        <f aca="false">S17-Y17+U17*IF(Slot1_SpendLike=1,W17-X17,IF(Slot1_PotFree=1,W17,0))</f>
        <v>0</v>
      </c>
      <c r="AB17" s="1" t="n">
        <f aca="false">AE17+U17*Slot1_BufPot*W17</f>
        <v>0</v>
      </c>
      <c r="AC17" s="1" t="n">
        <f aca="false">IF(AND(U17=1,Slot1_IsMfree=1),IF(Z17&gt;=Slot1_Cost-1,0,MAX(0,K17-Z17)),K17)</f>
        <v>0</v>
      </c>
      <c r="AD17" s="1" t="n">
        <f aca="false">U17*(Slot1_Cost-Z17)</f>
        <v>0</v>
      </c>
      <c r="AE17" s="1" t="n">
        <f aca="false">HE16</f>
        <v>0</v>
      </c>
      <c r="AF17" s="1" t="n">
        <f aca="false">IF(AND(Slot2_On=1,D17=Slot2_Age),1,0)</f>
        <v>0</v>
      </c>
      <c r="AG17" s="1" t="n">
        <f aca="false">IF(AND(Slot2_On=1,Slot2_Age&gt;D17),1,0)</f>
        <v>0</v>
      </c>
      <c r="AH17" s="1" t="n">
        <f aca="false">HJ16</f>
        <v>0</v>
      </c>
      <c r="AI17" s="1" t="n">
        <f aca="false">AF17*MIN(Slot2_Cost,AH17)</f>
        <v>0</v>
      </c>
      <c r="AJ17" s="1" t="n">
        <f aca="false">AF17*Slot2_SpendLike*MIN(Slot2_Cost-AI17,AA17)</f>
        <v>0</v>
      </c>
      <c r="AK17" s="1" t="n">
        <f aca="false">AI17+AJ17</f>
        <v>0</v>
      </c>
      <c r="AL17" s="1" t="n">
        <f aca="false">AA17-AJ17+AF17*IF(Slot2_SpendLike=1,AH17-AI17,IF(Slot2_PotFree=1,AH17,0))</f>
        <v>0</v>
      </c>
      <c r="AM17" s="1" t="n">
        <f aca="false">AB17+AF17*Slot2_BufPot*AH17</f>
        <v>0</v>
      </c>
      <c r="AN17" s="1" t="n">
        <f aca="false">IF(AND(AF17=1,Slot2_IsMfree=1),IF(AK17&gt;=Slot2_Cost-1,0,MAX(0,AC17-AK17)),AC17)</f>
        <v>0</v>
      </c>
      <c r="AO17" s="1" t="n">
        <f aca="false">AF17*(Slot2_Cost-AK17)</f>
        <v>0</v>
      </c>
      <c r="AP17" s="1" t="n">
        <f aca="false">IF(AND(Slot3_On=1,D17=Slot3_Age),1,0)</f>
        <v>0</v>
      </c>
      <c r="AQ17" s="1" t="n">
        <f aca="false">IF(AND(Slot3_On=1,Slot3_Age&gt;D17),1,0)</f>
        <v>0</v>
      </c>
      <c r="AR17" s="1" t="n">
        <f aca="false">HN16</f>
        <v>0</v>
      </c>
      <c r="AS17" s="1" t="n">
        <f aca="false">AP17*MIN(Slot3_Cost,AR17)</f>
        <v>0</v>
      </c>
      <c r="AT17" s="1" t="n">
        <f aca="false">AP17*Slot3_SpendLike*MIN(Slot3_Cost-AS17,AL17)</f>
        <v>0</v>
      </c>
      <c r="AU17" s="1" t="n">
        <f aca="false">AS17+AT17</f>
        <v>0</v>
      </c>
      <c r="AV17" s="1" t="n">
        <f aca="false">AL17-AT17+AP17*IF(Slot3_SpendLike=1,AR17-AS17,IF(Slot3_PotFree=1,AR17,0))</f>
        <v>0</v>
      </c>
      <c r="AW17" s="1" t="n">
        <f aca="false">AM17+AP17*Slot3_BufPot*AR17</f>
        <v>0</v>
      </c>
      <c r="AX17" s="1" t="n">
        <f aca="false">IF(AND(AP17=1,Slot3_IsMfree=1),IF(AU17&gt;=Slot3_Cost-1,0,MAX(0,AN17-AU17)),AN17)</f>
        <v>0</v>
      </c>
      <c r="AY17" s="1" t="n">
        <f aca="false">AP17*(Slot3_Cost-AU17)</f>
        <v>0</v>
      </c>
      <c r="AZ17" s="1" t="n">
        <f aca="false">IF(AND(Slot4_On=1,D17=Slot4_Age),1,0)</f>
        <v>0</v>
      </c>
      <c r="BA17" s="1" t="n">
        <f aca="false">IF(AND(Slot4_On=1,Slot4_Age&gt;D17),1,0)</f>
        <v>0</v>
      </c>
      <c r="BB17" s="1" t="n">
        <f aca="false">HR16</f>
        <v>0</v>
      </c>
      <c r="BC17" s="1" t="n">
        <f aca="false">AZ17*MIN(Slot4_Cost,BB17)</f>
        <v>0</v>
      </c>
      <c r="BD17" s="1" t="n">
        <f aca="false">AZ17*Slot4_SpendLike*MIN(Slot4_Cost-BC17,AV17)</f>
        <v>0</v>
      </c>
      <c r="BE17" s="1" t="n">
        <f aca="false">BC17+BD17</f>
        <v>0</v>
      </c>
      <c r="BF17" s="1" t="n">
        <f aca="false">AV17-BD17+AZ17*IF(Slot4_SpendLike=1,BB17-BC17,IF(Slot4_PotFree=1,BB17,0))</f>
        <v>0</v>
      </c>
      <c r="BG17" s="1" t="n">
        <f aca="false">AW17+AZ17*Slot4_BufPot*BB17</f>
        <v>0</v>
      </c>
      <c r="BH17" s="1" t="n">
        <f aca="false">IF(AND(AZ17=1,Slot4_IsMfree=1),IF(BE17&gt;=Slot4_Cost-1,0,MAX(0,AX17-BE17)),AX17)</f>
        <v>0</v>
      </c>
      <c r="BI17" s="1" t="n">
        <f aca="false">AZ17*(Slot4_Cost-BE17)</f>
        <v>0</v>
      </c>
      <c r="BJ17" s="1" t="n">
        <f aca="false">IF(AND(Slot5_On=1,D17=Slot5_Age),1,0)</f>
        <v>0</v>
      </c>
      <c r="BK17" s="1" t="n">
        <f aca="false">IF(AND(Slot5_On=1,Slot5_Age&gt;D17),1,0)</f>
        <v>0</v>
      </c>
      <c r="BL17" s="1" t="n">
        <f aca="false">HV16</f>
        <v>0</v>
      </c>
      <c r="BM17" s="1" t="n">
        <f aca="false">BJ17*MIN(Slot5_Cost,BL17)</f>
        <v>0</v>
      </c>
      <c r="BN17" s="1" t="n">
        <f aca="false">BJ17*Slot5_SpendLike*MIN(Slot5_Cost-BM17,BF17)</f>
        <v>0</v>
      </c>
      <c r="BO17" s="1" t="n">
        <f aca="false">BM17+BN17</f>
        <v>0</v>
      </c>
      <c r="BP17" s="1" t="n">
        <f aca="false">BF17-BN17+BJ17*IF(Slot5_SpendLike=1,BL17-BM17,IF(Slot5_PotFree=1,BL17,0))</f>
        <v>0</v>
      </c>
      <c r="BQ17" s="1" t="n">
        <f aca="false">BG17+BJ17*Slot5_BufPot*BL17</f>
        <v>0</v>
      </c>
      <c r="BR17" s="1" t="n">
        <f aca="false">IF(AND(BJ17=1,Slot5_IsMfree=1),IF(BO17&gt;=Slot5_Cost-1,0,MAX(0,BH17-BO17)),BH17)</f>
        <v>0</v>
      </c>
      <c r="BS17" s="1" t="n">
        <f aca="false">BJ17*(Slot5_Cost-BO17)</f>
        <v>0</v>
      </c>
      <c r="BT17" s="1" t="n">
        <f aca="false">IF(AND(Slot6_On=1,D17=Slot6_Age),1,0)</f>
        <v>0</v>
      </c>
      <c r="BU17" s="1" t="n">
        <f aca="false">IF(AND(Slot6_On=1,Slot6_Age&gt;D17),1,0)</f>
        <v>0</v>
      </c>
      <c r="BV17" s="1" t="n">
        <f aca="false">HZ16</f>
        <v>0</v>
      </c>
      <c r="BW17" s="1" t="n">
        <f aca="false">BT17*MIN(Slot6_Cost,BV17)</f>
        <v>0</v>
      </c>
      <c r="BX17" s="1" t="n">
        <f aca="false">BT17*Slot6_SpendLike*MIN(Slot6_Cost-BW17,BP17)</f>
        <v>0</v>
      </c>
      <c r="BY17" s="1" t="n">
        <f aca="false">BW17+BX17</f>
        <v>0</v>
      </c>
      <c r="BZ17" s="1" t="n">
        <f aca="false">BP17-BX17+BT17*IF(Slot6_SpendLike=1,BV17-BW17,IF(Slot6_PotFree=1,BV17,0))</f>
        <v>0</v>
      </c>
      <c r="CA17" s="1" t="n">
        <f aca="false">BQ17+BT17*Slot6_BufPot*BV17</f>
        <v>0</v>
      </c>
      <c r="CB17" s="1" t="n">
        <f aca="false">IF(AND(BT17=1,Slot6_IsMfree=1),IF(BY17&gt;=Slot6_Cost-1,0,MAX(0,BR17-BY17)),BR17)</f>
        <v>0</v>
      </c>
      <c r="CC17" s="1" t="n">
        <f aca="false">BT17*(Slot6_Cost-BY17)</f>
        <v>0</v>
      </c>
      <c r="CD17" s="1" t="n">
        <f aca="false">IF(AND(Slot7_On=1,D17=Slot7_Age),1,0)</f>
        <v>0</v>
      </c>
      <c r="CE17" s="1" t="n">
        <f aca="false">IF(AND(Slot7_On=1,Slot7_Age&gt;D17),1,0)</f>
        <v>0</v>
      </c>
      <c r="CF17" s="1" t="n">
        <f aca="false">ID16</f>
        <v>0</v>
      </c>
      <c r="CG17" s="1" t="n">
        <f aca="false">CD17*MIN(Slot7_Cost,CF17)</f>
        <v>0</v>
      </c>
      <c r="CH17" s="1" t="n">
        <f aca="false">CD17*Slot7_SpendLike*MIN(Slot7_Cost-CG17,BZ17)</f>
        <v>0</v>
      </c>
      <c r="CI17" s="1" t="n">
        <f aca="false">CG17+CH17</f>
        <v>0</v>
      </c>
      <c r="CJ17" s="1" t="n">
        <f aca="false">BZ17-CH17+CD17*IF(Slot7_SpendLike=1,CF17-CG17,IF(Slot7_PotFree=1,CF17,0))</f>
        <v>0</v>
      </c>
      <c r="CK17" s="1" t="n">
        <f aca="false">CA17+CD17*Slot7_BufPot*CF17</f>
        <v>0</v>
      </c>
      <c r="CL17" s="1" t="n">
        <f aca="false">IF(AND(CD17=1,Slot7_IsMfree=1),IF(CI17&gt;=Slot7_Cost-1,0,MAX(0,CB17-CI17)),CB17)</f>
        <v>0</v>
      </c>
      <c r="CM17" s="1" t="n">
        <f aca="false">CD17*(Slot7_Cost-CI17)</f>
        <v>0</v>
      </c>
      <c r="CN17" s="1" t="n">
        <f aca="false">IF(AND(Slot8_On=1,D17=Slot8_Age),1,0)</f>
        <v>0</v>
      </c>
      <c r="CO17" s="1" t="n">
        <f aca="false">IF(AND(Slot8_On=1,Slot8_Age&gt;D17),1,0)</f>
        <v>0</v>
      </c>
      <c r="CP17" s="1" t="n">
        <f aca="false">IH16</f>
        <v>0</v>
      </c>
      <c r="CQ17" s="1" t="n">
        <f aca="false">CN17*MIN(Slot8_Cost,CP17)</f>
        <v>0</v>
      </c>
      <c r="CR17" s="1" t="n">
        <f aca="false">CN17*Slot8_SpendLike*MIN(Slot8_Cost-CQ17,CJ17)</f>
        <v>0</v>
      </c>
      <c r="CS17" s="1" t="n">
        <f aca="false">CQ17+CR17</f>
        <v>0</v>
      </c>
      <c r="CT17" s="1" t="n">
        <f aca="false">CJ17-CR17+CN17*IF(Slot8_SpendLike=1,CP17-CQ17,IF(Slot8_PotFree=1,CP17,0))</f>
        <v>0</v>
      </c>
      <c r="CU17" s="1" t="n">
        <f aca="false">CK17+CN17*Slot8_BufPot*CP17</f>
        <v>0</v>
      </c>
      <c r="CV17" s="1" t="n">
        <f aca="false">IF(AND(CN17=1,Slot8_IsMfree=1),IF(CS17&gt;=Slot8_Cost-1,0,MAX(0,CL17-CS17)),CL17)</f>
        <v>0</v>
      </c>
      <c r="CW17" s="1" t="n">
        <f aca="false">CN17*(Slot8_Cost-CS17)</f>
        <v>0</v>
      </c>
      <c r="CX17" s="1" t="n">
        <f aca="false">U17*Slot1_SpendLike*Z17+AF17*Slot2_SpendLike*AK17+AP17*Slot3_SpendLike*AU17+AZ17*Slot4_SpendLike*BE17+BJ17*Slot5_SpendLike*BO17+BT17*Slot6_SpendLike*BY17+CD17*Slot7_SpendLike*CI17+CN17*Slot8_SpendLike*CS17</f>
        <v>0</v>
      </c>
      <c r="CY17" s="1" t="n">
        <f aca="false">AD17+AO17+AY17+BI17+BS17+CC17+CM17+CW17</f>
        <v>0</v>
      </c>
      <c r="CZ17" s="1" t="n">
        <f aca="false">U17*Slot1_Cost+AF17*Slot2_Cost+AP17*Slot3_Cost+AZ17*Slot4_Cost+BJ17*Slot5_Cost+BT17*Slot6_Cost+CD17*Slot7_Cost+CN17*Slot8_Cost</f>
        <v>0</v>
      </c>
      <c r="DA17" s="1" t="n">
        <f aca="false">CV17</f>
        <v>0</v>
      </c>
      <c r="DB17" s="1" t="n">
        <f aca="false">G17-H17-R17</f>
        <v>0</v>
      </c>
      <c r="DC17" s="1" t="n">
        <f aca="false">IF(B17=0,IF(AND(Has_q6=1,In_q6=4),PR_ShareVaries*(MAX(0,DB17)/12),MIN(IF(Has_q6=1,CHOOSE(In_q6+1,PR_SaveB1,PR_SaveB2,PR_SaveB3,PR_SaveB4,0),AS_NoAnswer),AS_SaveShare*(MAX(0,DB17)/12))),DC16)</f>
        <v>0</v>
      </c>
      <c r="DD17" s="1" t="n">
        <f aca="false">IF(DB17&gt;=0,1,0)</f>
        <v>1</v>
      </c>
      <c r="DE17" s="1" t="n">
        <f aca="false">MAX(0,DB17/12/E17)</f>
        <v>0</v>
      </c>
      <c r="DF17" s="1" t="n">
        <f aca="false">IF(AND(Has_q6=1,In_q6=4),PR_ShareVaries*(DE17),MIN(IF(Has_q6=1,CHOOSE(In_q6+1,PR_SaveB1,PR_SaveB2,PR_SaveB3,PR_SaveB4,0),AS_NoAnswer),AS_SaveShare*(DE17)))</f>
        <v>0</v>
      </c>
      <c r="DG17" s="1" t="n">
        <f aca="false">IF(Has_saveM=1,IF(In_saveUp="Yes",1,IF(In_saveUp="No",0,IF(In_saveM&gt;=DC17-0.5,1,0))),0)</f>
        <v>0</v>
      </c>
      <c r="DH17" s="1" t="n">
        <f aca="false">IF(Has_saveM=1,MIN(DE17,IF(DG17=1,MAX(In_saveM,DF17),MIN(In_saveM,DF17))),DF17)</f>
        <v>0</v>
      </c>
      <c r="DI17" s="1" t="n">
        <f aca="false">IF(F17=1,DH17*12*E17,0)</f>
        <v>0</v>
      </c>
      <c r="DJ17" s="1" t="n">
        <f aca="false">MAX(0,DI17+IF(AND(WI_Retire=0,WI_M&lt;0,F17=1),WI_M*12*E17,0))</f>
        <v>0</v>
      </c>
      <c r="DK17" s="1" t="n">
        <f aca="false">Slot1_IsWG*V17+Slot2_IsWG*AG17+Slot3_IsWG*AQ17+Slot4_IsWG*BA17+Slot5_IsWG*BK17+Slot6_IsWG*BU17+Slot7_IsWG*CE17+Slot8_IsWG*CO17</f>
        <v>0</v>
      </c>
      <c r="DL17" s="1" t="n">
        <f aca="false">IF(AND(WI_Retire=0,WI_M&gt;0,F17=1,DK17&gt;=1),WI_M*12*E17,0)</f>
        <v>0</v>
      </c>
      <c r="DM17" s="1" t="n">
        <f aca="false">IF(DD17=1,MIN(DJ17,DB17),0)</f>
        <v>0</v>
      </c>
      <c r="DN17" s="1" t="n">
        <f aca="false">IF(DD17=1,MIN(DL17,DB17-DM17),0)</f>
        <v>0</v>
      </c>
      <c r="DO17" s="1" t="n">
        <f aca="false">IF(V17=1,IF(ABS((1+AS_Wage)/(1+Slot1_Rate)-1)&lt;0.000000000001,(Slot1_Age-D17)*(1+Slot1_Rate)^(Slot1_Age-D17),(1+Slot1_Rate)^(Slot1_Age-D17)*(1-((1+AS_Wage)/(1+Slot1_Rate))^(Slot1_Age-D17))/(1-(1+AS_Wage)/(1+Slot1_Rate))),1)</f>
        <v>1</v>
      </c>
      <c r="DP17" s="1" t="n">
        <f aca="false">IF(AND(DD17=1,DN17&gt;0,Slot1_IsWG=1,V17=1),MAX(0,(Slot1_Cost-W17*(1+Slot1_Rate)^(Slot1_Age-D17))/DO17),0)</f>
        <v>0</v>
      </c>
      <c r="DQ17" s="1" t="n">
        <f aca="false">IF(AND(DD17=1,DN17&gt;0,Slot1_IsWG=1,V17=1),MIN(DN17,DP17),0)</f>
        <v>0</v>
      </c>
      <c r="DR17" s="1" t="n">
        <f aca="false">W17+DQ17</f>
        <v>0</v>
      </c>
      <c r="DS17" s="1" t="n">
        <f aca="false">IF(V17=1,MAX(0,(Slot1_Cost-DR17*(1+Slot1_Rate)^(Slot1_Age-D17))/DO17),0)</f>
        <v>0</v>
      </c>
      <c r="DT17" s="1" t="n">
        <f aca="false">IF(V17=1,MAX(0,(Slot1_Cost-W17*(1+Slot1_Rate)^(Slot1_Age-D17))/DO17),0)</f>
        <v>0</v>
      </c>
      <c r="DU17" s="1" t="n">
        <f aca="false">IF(AND(DD17=1,V17=1),MIN(DM17,DS17),0)</f>
        <v>0</v>
      </c>
      <c r="DV17" s="1" t="n">
        <f aca="false">DM17-DU17</f>
        <v>0</v>
      </c>
      <c r="DW17" s="1" t="n">
        <f aca="false">IF(AG17=1,IF(ABS((1+AS_Wage)/(1+Slot2_Rate)-1)&lt;0.000000000001,(Slot2_Age-D17)*(1+Slot2_Rate)^(Slot2_Age-D17),(1+Slot2_Rate)^(Slot2_Age-D17)*(1-((1+AS_Wage)/(1+Slot2_Rate))^(Slot2_Age-D17))/(1-(1+AS_Wage)/(1+Slot2_Rate))),1)</f>
        <v>1</v>
      </c>
      <c r="DX17" s="1" t="n">
        <f aca="false">IF(AND(DD17=1,DN17&gt;0,Slot2_IsWG=1,AG17=1),MAX(0,(Slot2_Cost-AH17*(1+Slot2_Rate)^(Slot2_Age-D17))/DW17),0)</f>
        <v>0</v>
      </c>
      <c r="DY17" s="1" t="n">
        <f aca="false">IF(AND(DD17=1,DN17&gt;0,Slot2_IsWG=1,AG17=1),MIN(DN17,DX17),0)</f>
        <v>0</v>
      </c>
      <c r="DZ17" s="1" t="n">
        <f aca="false">AH17+DY17</f>
        <v>0</v>
      </c>
      <c r="EA17" s="1" t="n">
        <f aca="false">IF(AG17=1,MAX(0,(Slot2_Cost-DZ17*(1+Slot2_Rate)^(Slot2_Age-D17))/DW17),0)</f>
        <v>0</v>
      </c>
      <c r="EB17" s="1" t="n">
        <f aca="false">IF(AG17=1,MAX(0,(Slot2_Cost-AH17*(1+Slot2_Rate)^(Slot2_Age-D17))/DW17),0)</f>
        <v>0</v>
      </c>
      <c r="EC17" s="1" t="n">
        <f aca="false">IF(AND(DD17=1,AG17=1),MIN(DV17,EA17),0)</f>
        <v>0</v>
      </c>
      <c r="ED17" s="1" t="n">
        <f aca="false">DV17-EC17</f>
        <v>0</v>
      </c>
      <c r="EE17" s="1" t="n">
        <f aca="false">IF(AQ17=1,IF(ABS((1+AS_Wage)/(1+Slot3_Rate)-1)&lt;0.000000000001,(Slot3_Age-D17)*(1+Slot3_Rate)^(Slot3_Age-D17),(1+Slot3_Rate)^(Slot3_Age-D17)*(1-((1+AS_Wage)/(1+Slot3_Rate))^(Slot3_Age-D17))/(1-(1+AS_Wage)/(1+Slot3_Rate))),1)</f>
        <v>1</v>
      </c>
      <c r="EF17" s="1" t="n">
        <f aca="false">IF(AND(DD17=1,DN17&gt;0,Slot3_IsWG=1,AQ17=1),MAX(0,(Slot3_Cost-AR17*(1+Slot3_Rate)^(Slot3_Age-D17))/EE17),0)</f>
        <v>0</v>
      </c>
      <c r="EG17" s="1" t="n">
        <f aca="false">IF(AND(DD17=1,DN17&gt;0,Slot3_IsWG=1,AQ17=1),MIN(DN17,EF17),0)</f>
        <v>0</v>
      </c>
      <c r="EH17" s="1" t="n">
        <f aca="false">AR17+EG17</f>
        <v>0</v>
      </c>
      <c r="EI17" s="1" t="n">
        <f aca="false">IF(AQ17=1,MAX(0,(Slot3_Cost-EH17*(1+Slot3_Rate)^(Slot3_Age-D17))/EE17),0)</f>
        <v>0</v>
      </c>
      <c r="EJ17" s="1" t="n">
        <f aca="false">IF(AQ17=1,MAX(0,(Slot3_Cost-AR17*(1+Slot3_Rate)^(Slot3_Age-D17))/EE17),0)</f>
        <v>0</v>
      </c>
      <c r="EK17" s="1" t="n">
        <f aca="false">IF(AND(DD17=1,AQ17=1),MIN(ED17,EI17),0)</f>
        <v>0</v>
      </c>
      <c r="EL17" s="1" t="n">
        <f aca="false">ED17-EK17</f>
        <v>0</v>
      </c>
      <c r="EM17" s="1" t="n">
        <f aca="false">IF(BA17=1,IF(ABS((1+AS_Wage)/(1+Slot4_Rate)-1)&lt;0.000000000001,(Slot4_Age-D17)*(1+Slot4_Rate)^(Slot4_Age-D17),(1+Slot4_Rate)^(Slot4_Age-D17)*(1-((1+AS_Wage)/(1+Slot4_Rate))^(Slot4_Age-D17))/(1-(1+AS_Wage)/(1+Slot4_Rate))),1)</f>
        <v>1</v>
      </c>
      <c r="EN17" s="1" t="n">
        <f aca="false">IF(AND(DD17=1,DN17&gt;0,Slot4_IsWG=1,BA17=1),MAX(0,(Slot4_Cost-BB17*(1+Slot4_Rate)^(Slot4_Age-D17))/EM17),0)</f>
        <v>0</v>
      </c>
      <c r="EO17" s="1" t="n">
        <f aca="false">IF(AND(DD17=1,DN17&gt;0,Slot4_IsWG=1,BA17=1),MIN(DN17,EN17),0)</f>
        <v>0</v>
      </c>
      <c r="EP17" s="1" t="n">
        <f aca="false">BB17+EO17</f>
        <v>0</v>
      </c>
      <c r="EQ17" s="1" t="n">
        <f aca="false">IF(BA17=1,MAX(0,(Slot4_Cost-EP17*(1+Slot4_Rate)^(Slot4_Age-D17))/EM17),0)</f>
        <v>0</v>
      </c>
      <c r="ER17" s="1" t="n">
        <f aca="false">IF(BA17=1,MAX(0,(Slot4_Cost-BB17*(1+Slot4_Rate)^(Slot4_Age-D17))/EM17),0)</f>
        <v>0</v>
      </c>
      <c r="ES17" s="1" t="n">
        <f aca="false">IF(AND(DD17=1,BA17=1),MIN(EL17,EQ17),0)</f>
        <v>0</v>
      </c>
      <c r="ET17" s="1" t="n">
        <f aca="false">EL17-ES17</f>
        <v>0</v>
      </c>
      <c r="EU17" s="1" t="n">
        <f aca="false">IF(BK17=1,IF(ABS((1+AS_Wage)/(1+Slot5_Rate)-1)&lt;0.000000000001,(Slot5_Age-D17)*(1+Slot5_Rate)^(Slot5_Age-D17),(1+Slot5_Rate)^(Slot5_Age-D17)*(1-((1+AS_Wage)/(1+Slot5_Rate))^(Slot5_Age-D17))/(1-(1+AS_Wage)/(1+Slot5_Rate))),1)</f>
        <v>1</v>
      </c>
      <c r="EV17" s="1" t="n">
        <f aca="false">IF(AND(DD17=1,DN17&gt;0,Slot5_IsWG=1,BK17=1),MAX(0,(Slot5_Cost-BL17*(1+Slot5_Rate)^(Slot5_Age-D17))/EU17),0)</f>
        <v>0</v>
      </c>
      <c r="EW17" s="1" t="n">
        <f aca="false">IF(AND(DD17=1,DN17&gt;0,Slot5_IsWG=1,BK17=1),MIN(DN17,EV17),0)</f>
        <v>0</v>
      </c>
      <c r="EX17" s="1" t="n">
        <f aca="false">BL17+EW17</f>
        <v>0</v>
      </c>
      <c r="EY17" s="1" t="n">
        <f aca="false">IF(BK17=1,MAX(0,(Slot5_Cost-EX17*(1+Slot5_Rate)^(Slot5_Age-D17))/EU17),0)</f>
        <v>0</v>
      </c>
      <c r="EZ17" s="1" t="n">
        <f aca="false">IF(BK17=1,MAX(0,(Slot5_Cost-BL17*(1+Slot5_Rate)^(Slot5_Age-D17))/EU17),0)</f>
        <v>0</v>
      </c>
      <c r="FA17" s="1" t="n">
        <f aca="false">IF(AND(DD17=1,BK17=1),MIN(ET17,EY17),0)</f>
        <v>0</v>
      </c>
      <c r="FB17" s="1" t="n">
        <f aca="false">ET17-FA17</f>
        <v>0</v>
      </c>
      <c r="FC17" s="1" t="n">
        <f aca="false">IF(BU17=1,IF(ABS((1+AS_Wage)/(1+Slot6_Rate)-1)&lt;0.000000000001,(Slot6_Age-D17)*(1+Slot6_Rate)^(Slot6_Age-D17),(1+Slot6_Rate)^(Slot6_Age-D17)*(1-((1+AS_Wage)/(1+Slot6_Rate))^(Slot6_Age-D17))/(1-(1+AS_Wage)/(1+Slot6_Rate))),1)</f>
        <v>1</v>
      </c>
      <c r="FD17" s="1" t="n">
        <f aca="false">IF(AND(DD17=1,DN17&gt;0,Slot6_IsWG=1,BU17=1),MAX(0,(Slot6_Cost-BV17*(1+Slot6_Rate)^(Slot6_Age-D17))/FC17),0)</f>
        <v>0</v>
      </c>
      <c r="FE17" s="1" t="n">
        <f aca="false">IF(AND(DD17=1,DN17&gt;0,Slot6_IsWG=1,BU17=1),MIN(DN17,FD17),0)</f>
        <v>0</v>
      </c>
      <c r="FF17" s="1" t="n">
        <f aca="false">BV17+FE17</f>
        <v>0</v>
      </c>
      <c r="FG17" s="1" t="n">
        <f aca="false">IF(BU17=1,MAX(0,(Slot6_Cost-FF17*(1+Slot6_Rate)^(Slot6_Age-D17))/FC17),0)</f>
        <v>0</v>
      </c>
      <c r="FH17" s="1" t="n">
        <f aca="false">IF(BU17=1,MAX(0,(Slot6_Cost-BV17*(1+Slot6_Rate)^(Slot6_Age-D17))/FC17),0)</f>
        <v>0</v>
      </c>
      <c r="FI17" s="1" t="n">
        <f aca="false">IF(AND(DD17=1,BU17=1),MIN(FB17,FG17),0)</f>
        <v>0</v>
      </c>
      <c r="FJ17" s="1" t="n">
        <f aca="false">FB17-FI17</f>
        <v>0</v>
      </c>
      <c r="FK17" s="1" t="n">
        <f aca="false">IF(CE17=1,IF(ABS((1+AS_Wage)/(1+Slot7_Rate)-1)&lt;0.000000000001,(Slot7_Age-D17)*(1+Slot7_Rate)^(Slot7_Age-D17),(1+Slot7_Rate)^(Slot7_Age-D17)*(1-((1+AS_Wage)/(1+Slot7_Rate))^(Slot7_Age-D17))/(1-(1+AS_Wage)/(1+Slot7_Rate))),1)</f>
        <v>1</v>
      </c>
      <c r="FL17" s="1" t="n">
        <f aca="false">IF(AND(DD17=1,DN17&gt;0,Slot7_IsWG=1,CE17=1),MAX(0,(Slot7_Cost-CF17*(1+Slot7_Rate)^(Slot7_Age-D17))/FK17),0)</f>
        <v>0</v>
      </c>
      <c r="FM17" s="1" t="n">
        <f aca="false">IF(AND(DD17=1,DN17&gt;0,Slot7_IsWG=1,CE17=1),MIN(DN17,FL17),0)</f>
        <v>0</v>
      </c>
      <c r="FN17" s="1" t="n">
        <f aca="false">CF17+FM17</f>
        <v>0</v>
      </c>
      <c r="FO17" s="1" t="n">
        <f aca="false">IF(CE17=1,MAX(0,(Slot7_Cost-FN17*(1+Slot7_Rate)^(Slot7_Age-D17))/FK17),0)</f>
        <v>0</v>
      </c>
      <c r="FP17" s="1" t="n">
        <f aca="false">IF(CE17=1,MAX(0,(Slot7_Cost-CF17*(1+Slot7_Rate)^(Slot7_Age-D17))/FK17),0)</f>
        <v>0</v>
      </c>
      <c r="FQ17" s="1" t="n">
        <f aca="false">IF(AND(DD17=1,CE17=1),MIN(FJ17,FO17),0)</f>
        <v>0</v>
      </c>
      <c r="FR17" s="1" t="n">
        <f aca="false">FJ17-FQ17</f>
        <v>0</v>
      </c>
      <c r="FS17" s="1" t="n">
        <f aca="false">IF(CO17=1,IF(ABS((1+AS_Wage)/(1+Slot8_Rate)-1)&lt;0.000000000001,(Slot8_Age-D17)*(1+Slot8_Rate)^(Slot8_Age-D17),(1+Slot8_Rate)^(Slot8_Age-D17)*(1-((1+AS_Wage)/(1+Slot8_Rate))^(Slot8_Age-D17))/(1-(1+AS_Wage)/(1+Slot8_Rate))),1)</f>
        <v>1</v>
      </c>
      <c r="FT17" s="1" t="n">
        <f aca="false">IF(AND(DD17=1,DN17&gt;0,Slot8_IsWG=1,CO17=1),MAX(0,(Slot8_Cost-CP17*(1+Slot8_Rate)^(Slot8_Age-D17))/FS17),0)</f>
        <v>0</v>
      </c>
      <c r="FU17" s="1" t="n">
        <f aca="false">IF(AND(DD17=1,DN17&gt;0,Slot8_IsWG=1,CO17=1),MIN(DN17,FT17),0)</f>
        <v>0</v>
      </c>
      <c r="FV17" s="1" t="n">
        <f aca="false">CP17+FU17</f>
        <v>0</v>
      </c>
      <c r="FW17" s="1" t="n">
        <f aca="false">IF(CO17=1,MAX(0,(Slot8_Cost-FV17*(1+Slot8_Rate)^(Slot8_Age-D17))/FS17),0)</f>
        <v>0</v>
      </c>
      <c r="FX17" s="1" t="n">
        <f aca="false">IF(CO17=1,MAX(0,(Slot8_Cost-CP17*(1+Slot8_Rate)^(Slot8_Age-D17))/FS17),0)</f>
        <v>0</v>
      </c>
      <c r="FY17" s="1" t="n">
        <f aca="false">IF(AND(DD17=1,CO17=1),MIN(FR17,FW17),0)</f>
        <v>0</v>
      </c>
      <c r="FZ17" s="1" t="n">
        <f aca="false">FR17-FY17</f>
        <v>0</v>
      </c>
      <c r="GA17" s="1" t="n">
        <f aca="false">DN17-(DQ17+DY17+EG17+EO17+EW17+FE17+FM17+FU17)</f>
        <v>0</v>
      </c>
      <c r="GB17" s="1" t="n">
        <f aca="false">IF(DD17=1,DB17-DM17-DN17,0)</f>
        <v>0</v>
      </c>
      <c r="GC17" s="1" t="n">
        <f aca="false">IF(DD17=0,-DB17,0)</f>
        <v>0</v>
      </c>
      <c r="GD17" s="1" t="n">
        <f aca="false">MIN(GC17,CT17)</f>
        <v>0</v>
      </c>
      <c r="GE17" s="1" t="n">
        <f aca="false">GC17-GD17</f>
        <v>0</v>
      </c>
      <c r="GF17" s="1" t="n">
        <f aca="false">MIN(GE17,CU17)</f>
        <v>0</v>
      </c>
      <c r="GG17" s="1" t="n">
        <f aca="false">GE17-GF17</f>
        <v>0</v>
      </c>
      <c r="GH17" s="1" t="n">
        <f aca="false">IF(AND(DD17=0,CO17=1,GG17&gt;0),MIN(GG17,CP17),0)</f>
        <v>0</v>
      </c>
      <c r="GI17" s="1" t="n">
        <f aca="false">GG17-GH17</f>
        <v>0</v>
      </c>
      <c r="GJ17" s="1" t="n">
        <f aca="false">IF(AND(DD17=0,CE17=1,GI17&gt;0),MIN(GI17,CF17),0)</f>
        <v>0</v>
      </c>
      <c r="GK17" s="1" t="n">
        <f aca="false">GI17-GJ17</f>
        <v>0</v>
      </c>
      <c r="GL17" s="1" t="n">
        <f aca="false">IF(AND(DD17=0,BU17=1,GK17&gt;0),MIN(GK17,BV17),0)</f>
        <v>0</v>
      </c>
      <c r="GM17" s="1" t="n">
        <f aca="false">GK17-GL17</f>
        <v>0</v>
      </c>
      <c r="GN17" s="1" t="n">
        <f aca="false">IF(AND(DD17=0,BK17=1,GM17&gt;0),MIN(GM17,BL17),0)</f>
        <v>0</v>
      </c>
      <c r="GO17" s="1" t="n">
        <f aca="false">GM17-GN17</f>
        <v>0</v>
      </c>
      <c r="GP17" s="1" t="n">
        <f aca="false">IF(AND(DD17=0,BA17=1,GO17&gt;0),MIN(GO17,BB17),0)</f>
        <v>0</v>
      </c>
      <c r="GQ17" s="1" t="n">
        <f aca="false">GO17-GP17</f>
        <v>0</v>
      </c>
      <c r="GR17" s="1" t="n">
        <f aca="false">IF(AND(DD17=0,AQ17=1,GQ17&gt;0),MIN(GQ17,AR17),0)</f>
        <v>0</v>
      </c>
      <c r="GS17" s="1" t="n">
        <f aca="false">GQ17-GR17</f>
        <v>0</v>
      </c>
      <c r="GT17" s="1" t="n">
        <f aca="false">IF(AND(DD17=0,AG17=1,GS17&gt;0),MIN(GS17,AH17),0)</f>
        <v>0</v>
      </c>
      <c r="GU17" s="1" t="n">
        <f aca="false">GS17-GT17</f>
        <v>0</v>
      </c>
      <c r="GV17" s="1" t="n">
        <f aca="false">IF(AND(DD17=0,V17=1,GU17&gt;0),MIN(GU17,W17),0)</f>
        <v>0</v>
      </c>
      <c r="GW17" s="1" t="n">
        <f aca="false">GU17-GV17</f>
        <v>0</v>
      </c>
      <c r="GX17" s="1" t="n">
        <f aca="false">IF(DD17=0,GW17,0)</f>
        <v>0</v>
      </c>
      <c r="GY17" s="1" t="n">
        <f aca="false">GD17+GF17+GV17+GT17+GR17+GP17+GN17+GL17+GJ17+GH17</f>
        <v>0</v>
      </c>
      <c r="GZ17" s="1" t="n">
        <f aca="false">IF(DD17=1,CT17+GA17+FZ17+IF(F17=1,0,GB17),CT17-GD17)</f>
        <v>0</v>
      </c>
      <c r="HA17" s="1" t="n">
        <f aca="false">CU17-GF17</f>
        <v>0</v>
      </c>
      <c r="HB17" s="1" t="n">
        <f aca="false">IF(DD17=1,IF(F17=1,DM17+DN17,DB17),0)</f>
        <v>0</v>
      </c>
      <c r="HC17" s="1" t="n">
        <f aca="false">IF(DD17=1,IF(F17=1,DB17-DM17-DN17,0),0)</f>
        <v>0</v>
      </c>
      <c r="HD17" s="1" t="n">
        <f aca="false">GZ17*(1+GR)</f>
        <v>0</v>
      </c>
      <c r="HE17" s="1" t="n">
        <f aca="false">HA17*(1+AS_Cash)</f>
        <v>0</v>
      </c>
      <c r="HF17" s="1" t="n">
        <f aca="false">IF(V17=1,IF(DD17=1,DR17+DU17,W17-GV17)*(1+Slot1_Rate),0)</f>
        <v>0</v>
      </c>
      <c r="HG17" s="1" t="n">
        <f aca="false">IF(AND(DD17=1,V17=1),(DQ17+DU17)/E17,0)</f>
        <v>0</v>
      </c>
      <c r="HH17" s="1" t="n">
        <f aca="false">IF(B17=0,DQ17+DU17,0)</f>
        <v>0</v>
      </c>
      <c r="HI17" s="1" t="n">
        <f aca="false">IF(B17=0,IF(DD17=1,DS17,DT17),0)</f>
        <v>0</v>
      </c>
      <c r="HJ17" s="1" t="n">
        <f aca="false">IF(AG17=1,IF(DD17=1,DZ17+EC17,AH17-GT17)*(1+Slot2_Rate),0)</f>
        <v>0</v>
      </c>
      <c r="HK17" s="1" t="n">
        <f aca="false">IF(AND(DD17=1,AG17=1),(DY17+EC17)/E17,0)</f>
        <v>0</v>
      </c>
      <c r="HL17" s="1" t="n">
        <f aca="false">IF(B17=0,DY17+EC17,0)</f>
        <v>0</v>
      </c>
      <c r="HM17" s="1" t="n">
        <f aca="false">IF(B17=0,IF(DD17=1,EA17,EB17),0)</f>
        <v>0</v>
      </c>
      <c r="HN17" s="1" t="n">
        <f aca="false">IF(AQ17=1,IF(DD17=1,EH17+EK17,AR17-GR17)*(1+Slot3_Rate),0)</f>
        <v>0</v>
      </c>
      <c r="HO17" s="1" t="n">
        <f aca="false">IF(AND(DD17=1,AQ17=1),(EG17+EK17)/E17,0)</f>
        <v>0</v>
      </c>
      <c r="HP17" s="1" t="n">
        <f aca="false">IF(B17=0,EG17+EK17,0)</f>
        <v>0</v>
      </c>
      <c r="HQ17" s="1" t="n">
        <f aca="false">IF(B17=0,IF(DD17=1,EI17,EJ17),0)</f>
        <v>0</v>
      </c>
      <c r="HR17" s="1" t="n">
        <f aca="false">IF(BA17=1,IF(DD17=1,EP17+ES17,BB17-GP17)*(1+Slot4_Rate),0)</f>
        <v>0</v>
      </c>
      <c r="HS17" s="1" t="n">
        <f aca="false">IF(AND(DD17=1,BA17=1),(EO17+ES17)/E17,0)</f>
        <v>0</v>
      </c>
      <c r="HT17" s="1" t="n">
        <f aca="false">IF(B17=0,EO17+ES17,0)</f>
        <v>0</v>
      </c>
      <c r="HU17" s="1" t="n">
        <f aca="false">IF(B17=0,IF(DD17=1,EQ17,ER17),0)</f>
        <v>0</v>
      </c>
      <c r="HV17" s="1" t="n">
        <f aca="false">IF(BK17=1,IF(DD17=1,EX17+FA17,BL17-GN17)*(1+Slot5_Rate),0)</f>
        <v>0</v>
      </c>
      <c r="HW17" s="1" t="n">
        <f aca="false">IF(AND(DD17=1,BK17=1),(EW17+FA17)/E17,0)</f>
        <v>0</v>
      </c>
      <c r="HX17" s="1" t="n">
        <f aca="false">IF(B17=0,EW17+FA17,0)</f>
        <v>0</v>
      </c>
      <c r="HY17" s="1" t="n">
        <f aca="false">IF(B17=0,IF(DD17=1,EY17,EZ17),0)</f>
        <v>0</v>
      </c>
      <c r="HZ17" s="1" t="n">
        <f aca="false">IF(BU17=1,IF(DD17=1,FF17+FI17,BV17-GL17)*(1+Slot6_Rate),0)</f>
        <v>0</v>
      </c>
      <c r="IA17" s="1" t="n">
        <f aca="false">IF(AND(DD17=1,BU17=1),(FE17+FI17)/E17,0)</f>
        <v>0</v>
      </c>
      <c r="IB17" s="1" t="n">
        <f aca="false">IF(B17=0,FE17+FI17,0)</f>
        <v>0</v>
      </c>
      <c r="IC17" s="1" t="n">
        <f aca="false">IF(B17=0,IF(DD17=1,FG17,FH17),0)</f>
        <v>0</v>
      </c>
      <c r="ID17" s="1" t="n">
        <f aca="false">IF(CE17=1,IF(DD17=1,FN17+FQ17,CF17-GJ17)*(1+Slot7_Rate),0)</f>
        <v>0</v>
      </c>
      <c r="IE17" s="1" t="n">
        <f aca="false">IF(AND(DD17=1,CE17=1),(FM17+FQ17)/E17,0)</f>
        <v>0</v>
      </c>
      <c r="IF17" s="1" t="n">
        <f aca="false">IF(B17=0,FM17+FQ17,0)</f>
        <v>0</v>
      </c>
      <c r="IG17" s="1" t="n">
        <f aca="false">IF(B17=0,IF(DD17=1,FO17,FP17),0)</f>
        <v>0</v>
      </c>
      <c r="IH17" s="1" t="n">
        <f aca="false">IF(CO17=1,IF(DD17=1,FV17+FY17,CP17-GH17)*(1+Slot8_Rate),0)</f>
        <v>0</v>
      </c>
      <c r="II17" s="1" t="n">
        <f aca="false">IF(AND(DD17=1,CO17=1),(FU17+FY17)/E17,0)</f>
        <v>0</v>
      </c>
      <c r="IJ17" s="1" t="n">
        <f aca="false">IF(B17=0,FU17+FY17,0)</f>
        <v>0</v>
      </c>
      <c r="IK17" s="1" t="n">
        <f aca="false">IF(B17=0,IF(DD17=1,FW17,FX17),0)</f>
        <v>0</v>
      </c>
      <c r="IL17" s="1" t="n">
        <f aca="false">HD17+HE17+HF17+HJ17+HN17+HR17+HV17+HZ17+ID17+IH17</f>
        <v>0</v>
      </c>
      <c r="IM17" s="1" t="n">
        <f aca="false">GX17+CY17</f>
        <v>0</v>
      </c>
      <c r="IN17" s="1" t="n">
        <f aca="false">H17+R17</f>
        <v>0</v>
      </c>
      <c r="IO17" s="1" t="n">
        <f aca="false">1-F17</f>
        <v>1</v>
      </c>
      <c r="IP17" s="1" t="n">
        <f aca="false">IF(AND(RG_Exists=1,F17=0,C17=1),H17,0)</f>
        <v>0</v>
      </c>
      <c r="IQ17" s="1" t="n">
        <f aca="false">IF(AND(RG_Exists=1,F17=0,C17=1),H17-MIN(GX17,H17),0)</f>
        <v>0</v>
      </c>
      <c r="IR17" s="1" t="n">
        <f aca="false">'Plan pay &amp; tax'!AD219</f>
        <v>0</v>
      </c>
      <c r="IS17" s="1" t="n">
        <f aca="false">IF(AND(C17=1,GX17&gt;MAX(PR_Short1,IN17*PR_Short2)),1,0)</f>
        <v>0</v>
      </c>
      <c r="IT17" s="1" t="n">
        <f aca="false">MIN(G17,H17+R17)</f>
        <v>0</v>
      </c>
      <c r="IU17" s="1" t="n">
        <f aca="false">GY17+MAX(0,CZ17-CY17)</f>
        <v>0</v>
      </c>
      <c r="IV17" s="1" t="n">
        <f aca="false">GX17+CY17</f>
        <v>0</v>
      </c>
      <c r="IW17" s="1" t="n">
        <f aca="false">IF(AND(C17=1,IV17&gt;0.5),1,0)</f>
        <v>0</v>
      </c>
      <c r="IX17" s="1" t="n">
        <f aca="false">IF(AND(C17=1,IW17=0,IU17&gt;0.5),1,0)</f>
        <v>0</v>
      </c>
      <c r="IY17" s="1" t="n">
        <f aca="false">IF(AND(C17=1,GX17&gt;0.5),1,0)</f>
        <v>0</v>
      </c>
      <c r="IZ17" s="1" t="n">
        <f aca="false">IF(AND(C17=1,GY17&gt;1,JF17=0),1,0)</f>
        <v>0</v>
      </c>
      <c r="JA17" s="1" t="n">
        <f aca="false">IF(AND(INT(D17/10)*10=90,B17&gt;0),80,INT(D17/10)*10)</f>
        <v>0</v>
      </c>
      <c r="JB17" s="1" t="n">
        <f aca="false">IF(B17=0,1,IF(JA17&lt;&gt;JA16,JB16+1,JB16))</f>
        <v>1</v>
      </c>
      <c r="JC17" s="1" t="n">
        <f aca="false">IF(AND(C17=1,F17=1,GX17&gt;MAX(PR_Short1,IN17*PR_Short2)),1,0)</f>
        <v>0</v>
      </c>
      <c r="JD17" s="1" t="n">
        <f aca="false">IO17*IS17</f>
        <v>0</v>
      </c>
      <c r="JE17" s="1" t="n">
        <f aca="false">IF(AND(U17=1,Slot1_PctLow=1),1,0)+IF(AND(AF17=1,Slot2_PctLow=1),1,0)+IF(AND(AP17=1,Slot3_PctLow=1),1,0)+IF(AND(AZ17=1,Slot4_PctLow=1),1,0)+IF(AND(BJ17=1,Slot5_PctLow=1),1,0)+IF(AND(BT17=1,Slot6_PctLow=1),1,0)+IF(AND(CD17=1,Slot7_PctLow=1),1,0)+IF(AND(CN17=1,Slot8_PctLow=1),1,0)</f>
        <v>0</v>
      </c>
      <c r="JF17" s="1" t="n">
        <f aca="false">IF(C17=1,IF(OR(IS17=1,JE17&gt;0),1,0),0)</f>
        <v>0</v>
      </c>
    </row>
    <row r="18" customFormat="false" ht="15" hidden="false" customHeight="false" outlineLevel="0" collapsed="false">
      <c r="B18" s="1" t="n">
        <v>10</v>
      </c>
      <c r="C18" s="1" t="n">
        <f aca="false">IF(B18&lt;=F_N,1,0)</f>
        <v>1</v>
      </c>
      <c r="D18" s="1" t="n">
        <f aca="false">'Plan pay &amp; tax'!C220</f>
        <v>10</v>
      </c>
      <c r="E18" s="106" t="n">
        <f aca="false">'Plan pay &amp; tax'!E220</f>
        <v>1.21899441999476</v>
      </c>
      <c r="F18" s="1" t="n">
        <f aca="false">'Plan pay &amp; tax'!G220</f>
        <v>0</v>
      </c>
      <c r="G18" s="1" t="n">
        <f aca="false">'Plan pay &amp; tax'!BT220-'Plan pay &amp; tax'!BS220-'Plan pay &amp; tax'!R220</f>
        <v>0</v>
      </c>
      <c r="H18" s="1" t="n">
        <f aca="false">IF(F18=1,F_CostsM*12,IF(RG_Exists=1,RG_Amount,F_CostsM*12*AS_RetireSpend))*E18+F_OneOffY*E18</f>
        <v>0</v>
      </c>
      <c r="I18" s="1" t="n">
        <f aca="false">DA17</f>
        <v>0</v>
      </c>
      <c r="J18" s="1" t="n">
        <f aca="false">IF(I18&gt;1,'Plan debt months'!AC18,0)</f>
        <v>0</v>
      </c>
      <c r="K18" s="1" t="n">
        <f aca="false">IF(I18&gt;1,'Plan debt months'!AB18,I18)</f>
        <v>0</v>
      </c>
      <c r="L18" s="1" t="n">
        <f aca="false">N17</f>
        <v>0</v>
      </c>
      <c r="M18" s="1" t="n">
        <f aca="false">IF(L18&gt;1,'Plan debt months'!BD18,0)</f>
        <v>0</v>
      </c>
      <c r="N18" s="1" t="n">
        <f aca="false">IF(L18&gt;1,'Plan debt months'!BC18,L18)</f>
        <v>0</v>
      </c>
      <c r="O18" s="1" t="n">
        <f aca="false">Q17</f>
        <v>0</v>
      </c>
      <c r="P18" s="1" t="n">
        <f aca="false">IF(O18&gt;1,'Plan debt months'!CE18,0)</f>
        <v>0</v>
      </c>
      <c r="Q18" s="1" t="n">
        <f aca="false">IF(O18&gt;1,'Plan debt months'!CD18,O18)</f>
        <v>0</v>
      </c>
      <c r="R18" s="1" t="n">
        <f aca="false">J18+M18+P18</f>
        <v>0</v>
      </c>
      <c r="S18" s="1" t="n">
        <f aca="false">HD17+'Plan pay &amp; tax'!Y220</f>
        <v>0</v>
      </c>
      <c r="T18" s="1" t="n">
        <f aca="false">HD17</f>
        <v>0</v>
      </c>
      <c r="U18" s="1" t="n">
        <f aca="false">IF(AND(Slot1_On=1,D18=Slot1_Age),1,0)</f>
        <v>0</v>
      </c>
      <c r="V18" s="1" t="n">
        <f aca="false">IF(AND(Slot1_On=1,Slot1_Age&gt;D18),1,0)</f>
        <v>0</v>
      </c>
      <c r="W18" s="1" t="n">
        <f aca="false">HF17</f>
        <v>0</v>
      </c>
      <c r="X18" s="1" t="n">
        <f aca="false">U18*MIN(Slot1_Cost,W18)</f>
        <v>0</v>
      </c>
      <c r="Y18" s="1" t="n">
        <f aca="false">U18*Slot1_SpendLike*MIN(Slot1_Cost-X18,S18)</f>
        <v>0</v>
      </c>
      <c r="Z18" s="1" t="n">
        <f aca="false">X18+Y18</f>
        <v>0</v>
      </c>
      <c r="AA18" s="1" t="n">
        <f aca="false">S18-Y18+U18*IF(Slot1_SpendLike=1,W18-X18,IF(Slot1_PotFree=1,W18,0))</f>
        <v>0</v>
      </c>
      <c r="AB18" s="1" t="n">
        <f aca="false">AE18+U18*Slot1_BufPot*W18</f>
        <v>0</v>
      </c>
      <c r="AC18" s="1" t="n">
        <f aca="false">IF(AND(U18=1,Slot1_IsMfree=1),IF(Z18&gt;=Slot1_Cost-1,0,MAX(0,K18-Z18)),K18)</f>
        <v>0</v>
      </c>
      <c r="AD18" s="1" t="n">
        <f aca="false">U18*(Slot1_Cost-Z18)</f>
        <v>0</v>
      </c>
      <c r="AE18" s="1" t="n">
        <f aca="false">HE17</f>
        <v>0</v>
      </c>
      <c r="AF18" s="1" t="n">
        <f aca="false">IF(AND(Slot2_On=1,D18=Slot2_Age),1,0)</f>
        <v>0</v>
      </c>
      <c r="AG18" s="1" t="n">
        <f aca="false">IF(AND(Slot2_On=1,Slot2_Age&gt;D18),1,0)</f>
        <v>0</v>
      </c>
      <c r="AH18" s="1" t="n">
        <f aca="false">HJ17</f>
        <v>0</v>
      </c>
      <c r="AI18" s="1" t="n">
        <f aca="false">AF18*MIN(Slot2_Cost,AH18)</f>
        <v>0</v>
      </c>
      <c r="AJ18" s="1" t="n">
        <f aca="false">AF18*Slot2_SpendLike*MIN(Slot2_Cost-AI18,AA18)</f>
        <v>0</v>
      </c>
      <c r="AK18" s="1" t="n">
        <f aca="false">AI18+AJ18</f>
        <v>0</v>
      </c>
      <c r="AL18" s="1" t="n">
        <f aca="false">AA18-AJ18+AF18*IF(Slot2_SpendLike=1,AH18-AI18,IF(Slot2_PotFree=1,AH18,0))</f>
        <v>0</v>
      </c>
      <c r="AM18" s="1" t="n">
        <f aca="false">AB18+AF18*Slot2_BufPot*AH18</f>
        <v>0</v>
      </c>
      <c r="AN18" s="1" t="n">
        <f aca="false">IF(AND(AF18=1,Slot2_IsMfree=1),IF(AK18&gt;=Slot2_Cost-1,0,MAX(0,AC18-AK18)),AC18)</f>
        <v>0</v>
      </c>
      <c r="AO18" s="1" t="n">
        <f aca="false">AF18*(Slot2_Cost-AK18)</f>
        <v>0</v>
      </c>
      <c r="AP18" s="1" t="n">
        <f aca="false">IF(AND(Slot3_On=1,D18=Slot3_Age),1,0)</f>
        <v>0</v>
      </c>
      <c r="AQ18" s="1" t="n">
        <f aca="false">IF(AND(Slot3_On=1,Slot3_Age&gt;D18),1,0)</f>
        <v>0</v>
      </c>
      <c r="AR18" s="1" t="n">
        <f aca="false">HN17</f>
        <v>0</v>
      </c>
      <c r="AS18" s="1" t="n">
        <f aca="false">AP18*MIN(Slot3_Cost,AR18)</f>
        <v>0</v>
      </c>
      <c r="AT18" s="1" t="n">
        <f aca="false">AP18*Slot3_SpendLike*MIN(Slot3_Cost-AS18,AL18)</f>
        <v>0</v>
      </c>
      <c r="AU18" s="1" t="n">
        <f aca="false">AS18+AT18</f>
        <v>0</v>
      </c>
      <c r="AV18" s="1" t="n">
        <f aca="false">AL18-AT18+AP18*IF(Slot3_SpendLike=1,AR18-AS18,IF(Slot3_PotFree=1,AR18,0))</f>
        <v>0</v>
      </c>
      <c r="AW18" s="1" t="n">
        <f aca="false">AM18+AP18*Slot3_BufPot*AR18</f>
        <v>0</v>
      </c>
      <c r="AX18" s="1" t="n">
        <f aca="false">IF(AND(AP18=1,Slot3_IsMfree=1),IF(AU18&gt;=Slot3_Cost-1,0,MAX(0,AN18-AU18)),AN18)</f>
        <v>0</v>
      </c>
      <c r="AY18" s="1" t="n">
        <f aca="false">AP18*(Slot3_Cost-AU18)</f>
        <v>0</v>
      </c>
      <c r="AZ18" s="1" t="n">
        <f aca="false">IF(AND(Slot4_On=1,D18=Slot4_Age),1,0)</f>
        <v>0</v>
      </c>
      <c r="BA18" s="1" t="n">
        <f aca="false">IF(AND(Slot4_On=1,Slot4_Age&gt;D18),1,0)</f>
        <v>0</v>
      </c>
      <c r="BB18" s="1" t="n">
        <f aca="false">HR17</f>
        <v>0</v>
      </c>
      <c r="BC18" s="1" t="n">
        <f aca="false">AZ18*MIN(Slot4_Cost,BB18)</f>
        <v>0</v>
      </c>
      <c r="BD18" s="1" t="n">
        <f aca="false">AZ18*Slot4_SpendLike*MIN(Slot4_Cost-BC18,AV18)</f>
        <v>0</v>
      </c>
      <c r="BE18" s="1" t="n">
        <f aca="false">BC18+BD18</f>
        <v>0</v>
      </c>
      <c r="BF18" s="1" t="n">
        <f aca="false">AV18-BD18+AZ18*IF(Slot4_SpendLike=1,BB18-BC18,IF(Slot4_PotFree=1,BB18,0))</f>
        <v>0</v>
      </c>
      <c r="BG18" s="1" t="n">
        <f aca="false">AW18+AZ18*Slot4_BufPot*BB18</f>
        <v>0</v>
      </c>
      <c r="BH18" s="1" t="n">
        <f aca="false">IF(AND(AZ18=1,Slot4_IsMfree=1),IF(BE18&gt;=Slot4_Cost-1,0,MAX(0,AX18-BE18)),AX18)</f>
        <v>0</v>
      </c>
      <c r="BI18" s="1" t="n">
        <f aca="false">AZ18*(Slot4_Cost-BE18)</f>
        <v>0</v>
      </c>
      <c r="BJ18" s="1" t="n">
        <f aca="false">IF(AND(Slot5_On=1,D18=Slot5_Age),1,0)</f>
        <v>0</v>
      </c>
      <c r="BK18" s="1" t="n">
        <f aca="false">IF(AND(Slot5_On=1,Slot5_Age&gt;D18),1,0)</f>
        <v>0</v>
      </c>
      <c r="BL18" s="1" t="n">
        <f aca="false">HV17</f>
        <v>0</v>
      </c>
      <c r="BM18" s="1" t="n">
        <f aca="false">BJ18*MIN(Slot5_Cost,BL18)</f>
        <v>0</v>
      </c>
      <c r="BN18" s="1" t="n">
        <f aca="false">BJ18*Slot5_SpendLike*MIN(Slot5_Cost-BM18,BF18)</f>
        <v>0</v>
      </c>
      <c r="BO18" s="1" t="n">
        <f aca="false">BM18+BN18</f>
        <v>0</v>
      </c>
      <c r="BP18" s="1" t="n">
        <f aca="false">BF18-BN18+BJ18*IF(Slot5_SpendLike=1,BL18-BM18,IF(Slot5_PotFree=1,BL18,0))</f>
        <v>0</v>
      </c>
      <c r="BQ18" s="1" t="n">
        <f aca="false">BG18+BJ18*Slot5_BufPot*BL18</f>
        <v>0</v>
      </c>
      <c r="BR18" s="1" t="n">
        <f aca="false">IF(AND(BJ18=1,Slot5_IsMfree=1),IF(BO18&gt;=Slot5_Cost-1,0,MAX(0,BH18-BO18)),BH18)</f>
        <v>0</v>
      </c>
      <c r="BS18" s="1" t="n">
        <f aca="false">BJ18*(Slot5_Cost-BO18)</f>
        <v>0</v>
      </c>
      <c r="BT18" s="1" t="n">
        <f aca="false">IF(AND(Slot6_On=1,D18=Slot6_Age),1,0)</f>
        <v>0</v>
      </c>
      <c r="BU18" s="1" t="n">
        <f aca="false">IF(AND(Slot6_On=1,Slot6_Age&gt;D18),1,0)</f>
        <v>0</v>
      </c>
      <c r="BV18" s="1" t="n">
        <f aca="false">HZ17</f>
        <v>0</v>
      </c>
      <c r="BW18" s="1" t="n">
        <f aca="false">BT18*MIN(Slot6_Cost,BV18)</f>
        <v>0</v>
      </c>
      <c r="BX18" s="1" t="n">
        <f aca="false">BT18*Slot6_SpendLike*MIN(Slot6_Cost-BW18,BP18)</f>
        <v>0</v>
      </c>
      <c r="BY18" s="1" t="n">
        <f aca="false">BW18+BX18</f>
        <v>0</v>
      </c>
      <c r="BZ18" s="1" t="n">
        <f aca="false">BP18-BX18+BT18*IF(Slot6_SpendLike=1,BV18-BW18,IF(Slot6_PotFree=1,BV18,0))</f>
        <v>0</v>
      </c>
      <c r="CA18" s="1" t="n">
        <f aca="false">BQ18+BT18*Slot6_BufPot*BV18</f>
        <v>0</v>
      </c>
      <c r="CB18" s="1" t="n">
        <f aca="false">IF(AND(BT18=1,Slot6_IsMfree=1),IF(BY18&gt;=Slot6_Cost-1,0,MAX(0,BR18-BY18)),BR18)</f>
        <v>0</v>
      </c>
      <c r="CC18" s="1" t="n">
        <f aca="false">BT18*(Slot6_Cost-BY18)</f>
        <v>0</v>
      </c>
      <c r="CD18" s="1" t="n">
        <f aca="false">IF(AND(Slot7_On=1,D18=Slot7_Age),1,0)</f>
        <v>0</v>
      </c>
      <c r="CE18" s="1" t="n">
        <f aca="false">IF(AND(Slot7_On=1,Slot7_Age&gt;D18),1,0)</f>
        <v>0</v>
      </c>
      <c r="CF18" s="1" t="n">
        <f aca="false">ID17</f>
        <v>0</v>
      </c>
      <c r="CG18" s="1" t="n">
        <f aca="false">CD18*MIN(Slot7_Cost,CF18)</f>
        <v>0</v>
      </c>
      <c r="CH18" s="1" t="n">
        <f aca="false">CD18*Slot7_SpendLike*MIN(Slot7_Cost-CG18,BZ18)</f>
        <v>0</v>
      </c>
      <c r="CI18" s="1" t="n">
        <f aca="false">CG18+CH18</f>
        <v>0</v>
      </c>
      <c r="CJ18" s="1" t="n">
        <f aca="false">BZ18-CH18+CD18*IF(Slot7_SpendLike=1,CF18-CG18,IF(Slot7_PotFree=1,CF18,0))</f>
        <v>0</v>
      </c>
      <c r="CK18" s="1" t="n">
        <f aca="false">CA18+CD18*Slot7_BufPot*CF18</f>
        <v>0</v>
      </c>
      <c r="CL18" s="1" t="n">
        <f aca="false">IF(AND(CD18=1,Slot7_IsMfree=1),IF(CI18&gt;=Slot7_Cost-1,0,MAX(0,CB18-CI18)),CB18)</f>
        <v>0</v>
      </c>
      <c r="CM18" s="1" t="n">
        <f aca="false">CD18*(Slot7_Cost-CI18)</f>
        <v>0</v>
      </c>
      <c r="CN18" s="1" t="n">
        <f aca="false">IF(AND(Slot8_On=1,D18=Slot8_Age),1,0)</f>
        <v>0</v>
      </c>
      <c r="CO18" s="1" t="n">
        <f aca="false">IF(AND(Slot8_On=1,Slot8_Age&gt;D18),1,0)</f>
        <v>0</v>
      </c>
      <c r="CP18" s="1" t="n">
        <f aca="false">IH17</f>
        <v>0</v>
      </c>
      <c r="CQ18" s="1" t="n">
        <f aca="false">CN18*MIN(Slot8_Cost,CP18)</f>
        <v>0</v>
      </c>
      <c r="CR18" s="1" t="n">
        <f aca="false">CN18*Slot8_SpendLike*MIN(Slot8_Cost-CQ18,CJ18)</f>
        <v>0</v>
      </c>
      <c r="CS18" s="1" t="n">
        <f aca="false">CQ18+CR18</f>
        <v>0</v>
      </c>
      <c r="CT18" s="1" t="n">
        <f aca="false">CJ18-CR18+CN18*IF(Slot8_SpendLike=1,CP18-CQ18,IF(Slot8_PotFree=1,CP18,0))</f>
        <v>0</v>
      </c>
      <c r="CU18" s="1" t="n">
        <f aca="false">CK18+CN18*Slot8_BufPot*CP18</f>
        <v>0</v>
      </c>
      <c r="CV18" s="1" t="n">
        <f aca="false">IF(AND(CN18=1,Slot8_IsMfree=1),IF(CS18&gt;=Slot8_Cost-1,0,MAX(0,CL18-CS18)),CL18)</f>
        <v>0</v>
      </c>
      <c r="CW18" s="1" t="n">
        <f aca="false">CN18*(Slot8_Cost-CS18)</f>
        <v>0</v>
      </c>
      <c r="CX18" s="1" t="n">
        <f aca="false">U18*Slot1_SpendLike*Z18+AF18*Slot2_SpendLike*AK18+AP18*Slot3_SpendLike*AU18+AZ18*Slot4_SpendLike*BE18+BJ18*Slot5_SpendLike*BO18+BT18*Slot6_SpendLike*BY18+CD18*Slot7_SpendLike*CI18+CN18*Slot8_SpendLike*CS18</f>
        <v>0</v>
      </c>
      <c r="CY18" s="1" t="n">
        <f aca="false">AD18+AO18+AY18+BI18+BS18+CC18+CM18+CW18</f>
        <v>0</v>
      </c>
      <c r="CZ18" s="1" t="n">
        <f aca="false">U18*Slot1_Cost+AF18*Slot2_Cost+AP18*Slot3_Cost+AZ18*Slot4_Cost+BJ18*Slot5_Cost+BT18*Slot6_Cost+CD18*Slot7_Cost+CN18*Slot8_Cost</f>
        <v>0</v>
      </c>
      <c r="DA18" s="1" t="n">
        <f aca="false">CV18</f>
        <v>0</v>
      </c>
      <c r="DB18" s="1" t="n">
        <f aca="false">G18-H18-R18</f>
        <v>0</v>
      </c>
      <c r="DC18" s="1" t="n">
        <f aca="false">IF(B18=0,IF(AND(Has_q6=1,In_q6=4),PR_ShareVaries*(MAX(0,DB18)/12),MIN(IF(Has_q6=1,CHOOSE(In_q6+1,PR_SaveB1,PR_SaveB2,PR_SaveB3,PR_SaveB4,0),AS_NoAnswer),AS_SaveShare*(MAX(0,DB18)/12))),DC17)</f>
        <v>0</v>
      </c>
      <c r="DD18" s="1" t="n">
        <f aca="false">IF(DB18&gt;=0,1,0)</f>
        <v>1</v>
      </c>
      <c r="DE18" s="1" t="n">
        <f aca="false">MAX(0,DB18/12/E18)</f>
        <v>0</v>
      </c>
      <c r="DF18" s="1" t="n">
        <f aca="false">IF(AND(Has_q6=1,In_q6=4),PR_ShareVaries*(DE18),MIN(IF(Has_q6=1,CHOOSE(In_q6+1,PR_SaveB1,PR_SaveB2,PR_SaveB3,PR_SaveB4,0),AS_NoAnswer),AS_SaveShare*(DE18)))</f>
        <v>0</v>
      </c>
      <c r="DG18" s="1" t="n">
        <f aca="false">IF(Has_saveM=1,IF(In_saveUp="Yes",1,IF(In_saveUp="No",0,IF(In_saveM&gt;=DC18-0.5,1,0))),0)</f>
        <v>0</v>
      </c>
      <c r="DH18" s="1" t="n">
        <f aca="false">IF(Has_saveM=1,MIN(DE18,IF(DG18=1,MAX(In_saveM,DF18),MIN(In_saveM,DF18))),DF18)</f>
        <v>0</v>
      </c>
      <c r="DI18" s="1" t="n">
        <f aca="false">IF(F18=1,DH18*12*E18,0)</f>
        <v>0</v>
      </c>
      <c r="DJ18" s="1" t="n">
        <f aca="false">MAX(0,DI18+IF(AND(WI_Retire=0,WI_M&lt;0,F18=1),WI_M*12*E18,0))</f>
        <v>0</v>
      </c>
      <c r="DK18" s="1" t="n">
        <f aca="false">Slot1_IsWG*V18+Slot2_IsWG*AG18+Slot3_IsWG*AQ18+Slot4_IsWG*BA18+Slot5_IsWG*BK18+Slot6_IsWG*BU18+Slot7_IsWG*CE18+Slot8_IsWG*CO18</f>
        <v>0</v>
      </c>
      <c r="DL18" s="1" t="n">
        <f aca="false">IF(AND(WI_Retire=0,WI_M&gt;0,F18=1,DK18&gt;=1),WI_M*12*E18,0)</f>
        <v>0</v>
      </c>
      <c r="DM18" s="1" t="n">
        <f aca="false">IF(DD18=1,MIN(DJ18,DB18),0)</f>
        <v>0</v>
      </c>
      <c r="DN18" s="1" t="n">
        <f aca="false">IF(DD18=1,MIN(DL18,DB18-DM18),0)</f>
        <v>0</v>
      </c>
      <c r="DO18" s="1" t="n">
        <f aca="false">IF(V18=1,IF(ABS((1+AS_Wage)/(1+Slot1_Rate)-1)&lt;0.000000000001,(Slot1_Age-D18)*(1+Slot1_Rate)^(Slot1_Age-D18),(1+Slot1_Rate)^(Slot1_Age-D18)*(1-((1+AS_Wage)/(1+Slot1_Rate))^(Slot1_Age-D18))/(1-(1+AS_Wage)/(1+Slot1_Rate))),1)</f>
        <v>1</v>
      </c>
      <c r="DP18" s="1" t="n">
        <f aca="false">IF(AND(DD18=1,DN18&gt;0,Slot1_IsWG=1,V18=1),MAX(0,(Slot1_Cost-W18*(1+Slot1_Rate)^(Slot1_Age-D18))/DO18),0)</f>
        <v>0</v>
      </c>
      <c r="DQ18" s="1" t="n">
        <f aca="false">IF(AND(DD18=1,DN18&gt;0,Slot1_IsWG=1,V18=1),MIN(DN18,DP18),0)</f>
        <v>0</v>
      </c>
      <c r="DR18" s="1" t="n">
        <f aca="false">W18+DQ18</f>
        <v>0</v>
      </c>
      <c r="DS18" s="1" t="n">
        <f aca="false">IF(V18=1,MAX(0,(Slot1_Cost-DR18*(1+Slot1_Rate)^(Slot1_Age-D18))/DO18),0)</f>
        <v>0</v>
      </c>
      <c r="DT18" s="1" t="n">
        <f aca="false">IF(V18=1,MAX(0,(Slot1_Cost-W18*(1+Slot1_Rate)^(Slot1_Age-D18))/DO18),0)</f>
        <v>0</v>
      </c>
      <c r="DU18" s="1" t="n">
        <f aca="false">IF(AND(DD18=1,V18=1),MIN(DM18,DS18),0)</f>
        <v>0</v>
      </c>
      <c r="DV18" s="1" t="n">
        <f aca="false">DM18-DU18</f>
        <v>0</v>
      </c>
      <c r="DW18" s="1" t="n">
        <f aca="false">IF(AG18=1,IF(ABS((1+AS_Wage)/(1+Slot2_Rate)-1)&lt;0.000000000001,(Slot2_Age-D18)*(1+Slot2_Rate)^(Slot2_Age-D18),(1+Slot2_Rate)^(Slot2_Age-D18)*(1-((1+AS_Wage)/(1+Slot2_Rate))^(Slot2_Age-D18))/(1-(1+AS_Wage)/(1+Slot2_Rate))),1)</f>
        <v>1</v>
      </c>
      <c r="DX18" s="1" t="n">
        <f aca="false">IF(AND(DD18=1,DN18&gt;0,Slot2_IsWG=1,AG18=1),MAX(0,(Slot2_Cost-AH18*(1+Slot2_Rate)^(Slot2_Age-D18))/DW18),0)</f>
        <v>0</v>
      </c>
      <c r="DY18" s="1" t="n">
        <f aca="false">IF(AND(DD18=1,DN18&gt;0,Slot2_IsWG=1,AG18=1),MIN(DN18,DX18),0)</f>
        <v>0</v>
      </c>
      <c r="DZ18" s="1" t="n">
        <f aca="false">AH18+DY18</f>
        <v>0</v>
      </c>
      <c r="EA18" s="1" t="n">
        <f aca="false">IF(AG18=1,MAX(0,(Slot2_Cost-DZ18*(1+Slot2_Rate)^(Slot2_Age-D18))/DW18),0)</f>
        <v>0</v>
      </c>
      <c r="EB18" s="1" t="n">
        <f aca="false">IF(AG18=1,MAX(0,(Slot2_Cost-AH18*(1+Slot2_Rate)^(Slot2_Age-D18))/DW18),0)</f>
        <v>0</v>
      </c>
      <c r="EC18" s="1" t="n">
        <f aca="false">IF(AND(DD18=1,AG18=1),MIN(DV18,EA18),0)</f>
        <v>0</v>
      </c>
      <c r="ED18" s="1" t="n">
        <f aca="false">DV18-EC18</f>
        <v>0</v>
      </c>
      <c r="EE18" s="1" t="n">
        <f aca="false">IF(AQ18=1,IF(ABS((1+AS_Wage)/(1+Slot3_Rate)-1)&lt;0.000000000001,(Slot3_Age-D18)*(1+Slot3_Rate)^(Slot3_Age-D18),(1+Slot3_Rate)^(Slot3_Age-D18)*(1-((1+AS_Wage)/(1+Slot3_Rate))^(Slot3_Age-D18))/(1-(1+AS_Wage)/(1+Slot3_Rate))),1)</f>
        <v>1</v>
      </c>
      <c r="EF18" s="1" t="n">
        <f aca="false">IF(AND(DD18=1,DN18&gt;0,Slot3_IsWG=1,AQ18=1),MAX(0,(Slot3_Cost-AR18*(1+Slot3_Rate)^(Slot3_Age-D18))/EE18),0)</f>
        <v>0</v>
      </c>
      <c r="EG18" s="1" t="n">
        <f aca="false">IF(AND(DD18=1,DN18&gt;0,Slot3_IsWG=1,AQ18=1),MIN(DN18,EF18),0)</f>
        <v>0</v>
      </c>
      <c r="EH18" s="1" t="n">
        <f aca="false">AR18+EG18</f>
        <v>0</v>
      </c>
      <c r="EI18" s="1" t="n">
        <f aca="false">IF(AQ18=1,MAX(0,(Slot3_Cost-EH18*(1+Slot3_Rate)^(Slot3_Age-D18))/EE18),0)</f>
        <v>0</v>
      </c>
      <c r="EJ18" s="1" t="n">
        <f aca="false">IF(AQ18=1,MAX(0,(Slot3_Cost-AR18*(1+Slot3_Rate)^(Slot3_Age-D18))/EE18),0)</f>
        <v>0</v>
      </c>
      <c r="EK18" s="1" t="n">
        <f aca="false">IF(AND(DD18=1,AQ18=1),MIN(ED18,EI18),0)</f>
        <v>0</v>
      </c>
      <c r="EL18" s="1" t="n">
        <f aca="false">ED18-EK18</f>
        <v>0</v>
      </c>
      <c r="EM18" s="1" t="n">
        <f aca="false">IF(BA18=1,IF(ABS((1+AS_Wage)/(1+Slot4_Rate)-1)&lt;0.000000000001,(Slot4_Age-D18)*(1+Slot4_Rate)^(Slot4_Age-D18),(1+Slot4_Rate)^(Slot4_Age-D18)*(1-((1+AS_Wage)/(1+Slot4_Rate))^(Slot4_Age-D18))/(1-(1+AS_Wage)/(1+Slot4_Rate))),1)</f>
        <v>1</v>
      </c>
      <c r="EN18" s="1" t="n">
        <f aca="false">IF(AND(DD18=1,DN18&gt;0,Slot4_IsWG=1,BA18=1),MAX(0,(Slot4_Cost-BB18*(1+Slot4_Rate)^(Slot4_Age-D18))/EM18),0)</f>
        <v>0</v>
      </c>
      <c r="EO18" s="1" t="n">
        <f aca="false">IF(AND(DD18=1,DN18&gt;0,Slot4_IsWG=1,BA18=1),MIN(DN18,EN18),0)</f>
        <v>0</v>
      </c>
      <c r="EP18" s="1" t="n">
        <f aca="false">BB18+EO18</f>
        <v>0</v>
      </c>
      <c r="EQ18" s="1" t="n">
        <f aca="false">IF(BA18=1,MAX(0,(Slot4_Cost-EP18*(1+Slot4_Rate)^(Slot4_Age-D18))/EM18),0)</f>
        <v>0</v>
      </c>
      <c r="ER18" s="1" t="n">
        <f aca="false">IF(BA18=1,MAX(0,(Slot4_Cost-BB18*(1+Slot4_Rate)^(Slot4_Age-D18))/EM18),0)</f>
        <v>0</v>
      </c>
      <c r="ES18" s="1" t="n">
        <f aca="false">IF(AND(DD18=1,BA18=1),MIN(EL18,EQ18),0)</f>
        <v>0</v>
      </c>
      <c r="ET18" s="1" t="n">
        <f aca="false">EL18-ES18</f>
        <v>0</v>
      </c>
      <c r="EU18" s="1" t="n">
        <f aca="false">IF(BK18=1,IF(ABS((1+AS_Wage)/(1+Slot5_Rate)-1)&lt;0.000000000001,(Slot5_Age-D18)*(1+Slot5_Rate)^(Slot5_Age-D18),(1+Slot5_Rate)^(Slot5_Age-D18)*(1-((1+AS_Wage)/(1+Slot5_Rate))^(Slot5_Age-D18))/(1-(1+AS_Wage)/(1+Slot5_Rate))),1)</f>
        <v>1</v>
      </c>
      <c r="EV18" s="1" t="n">
        <f aca="false">IF(AND(DD18=1,DN18&gt;0,Slot5_IsWG=1,BK18=1),MAX(0,(Slot5_Cost-BL18*(1+Slot5_Rate)^(Slot5_Age-D18))/EU18),0)</f>
        <v>0</v>
      </c>
      <c r="EW18" s="1" t="n">
        <f aca="false">IF(AND(DD18=1,DN18&gt;0,Slot5_IsWG=1,BK18=1),MIN(DN18,EV18),0)</f>
        <v>0</v>
      </c>
      <c r="EX18" s="1" t="n">
        <f aca="false">BL18+EW18</f>
        <v>0</v>
      </c>
      <c r="EY18" s="1" t="n">
        <f aca="false">IF(BK18=1,MAX(0,(Slot5_Cost-EX18*(1+Slot5_Rate)^(Slot5_Age-D18))/EU18),0)</f>
        <v>0</v>
      </c>
      <c r="EZ18" s="1" t="n">
        <f aca="false">IF(BK18=1,MAX(0,(Slot5_Cost-BL18*(1+Slot5_Rate)^(Slot5_Age-D18))/EU18),0)</f>
        <v>0</v>
      </c>
      <c r="FA18" s="1" t="n">
        <f aca="false">IF(AND(DD18=1,BK18=1),MIN(ET18,EY18),0)</f>
        <v>0</v>
      </c>
      <c r="FB18" s="1" t="n">
        <f aca="false">ET18-FA18</f>
        <v>0</v>
      </c>
      <c r="FC18" s="1" t="n">
        <f aca="false">IF(BU18=1,IF(ABS((1+AS_Wage)/(1+Slot6_Rate)-1)&lt;0.000000000001,(Slot6_Age-D18)*(1+Slot6_Rate)^(Slot6_Age-D18),(1+Slot6_Rate)^(Slot6_Age-D18)*(1-((1+AS_Wage)/(1+Slot6_Rate))^(Slot6_Age-D18))/(1-(1+AS_Wage)/(1+Slot6_Rate))),1)</f>
        <v>1</v>
      </c>
      <c r="FD18" s="1" t="n">
        <f aca="false">IF(AND(DD18=1,DN18&gt;0,Slot6_IsWG=1,BU18=1),MAX(0,(Slot6_Cost-BV18*(1+Slot6_Rate)^(Slot6_Age-D18))/FC18),0)</f>
        <v>0</v>
      </c>
      <c r="FE18" s="1" t="n">
        <f aca="false">IF(AND(DD18=1,DN18&gt;0,Slot6_IsWG=1,BU18=1),MIN(DN18,FD18),0)</f>
        <v>0</v>
      </c>
      <c r="FF18" s="1" t="n">
        <f aca="false">BV18+FE18</f>
        <v>0</v>
      </c>
      <c r="FG18" s="1" t="n">
        <f aca="false">IF(BU18=1,MAX(0,(Slot6_Cost-FF18*(1+Slot6_Rate)^(Slot6_Age-D18))/FC18),0)</f>
        <v>0</v>
      </c>
      <c r="FH18" s="1" t="n">
        <f aca="false">IF(BU18=1,MAX(0,(Slot6_Cost-BV18*(1+Slot6_Rate)^(Slot6_Age-D18))/FC18),0)</f>
        <v>0</v>
      </c>
      <c r="FI18" s="1" t="n">
        <f aca="false">IF(AND(DD18=1,BU18=1),MIN(FB18,FG18),0)</f>
        <v>0</v>
      </c>
      <c r="FJ18" s="1" t="n">
        <f aca="false">FB18-FI18</f>
        <v>0</v>
      </c>
      <c r="FK18" s="1" t="n">
        <f aca="false">IF(CE18=1,IF(ABS((1+AS_Wage)/(1+Slot7_Rate)-1)&lt;0.000000000001,(Slot7_Age-D18)*(1+Slot7_Rate)^(Slot7_Age-D18),(1+Slot7_Rate)^(Slot7_Age-D18)*(1-((1+AS_Wage)/(1+Slot7_Rate))^(Slot7_Age-D18))/(1-(1+AS_Wage)/(1+Slot7_Rate))),1)</f>
        <v>1</v>
      </c>
      <c r="FL18" s="1" t="n">
        <f aca="false">IF(AND(DD18=1,DN18&gt;0,Slot7_IsWG=1,CE18=1),MAX(0,(Slot7_Cost-CF18*(1+Slot7_Rate)^(Slot7_Age-D18))/FK18),0)</f>
        <v>0</v>
      </c>
      <c r="FM18" s="1" t="n">
        <f aca="false">IF(AND(DD18=1,DN18&gt;0,Slot7_IsWG=1,CE18=1),MIN(DN18,FL18),0)</f>
        <v>0</v>
      </c>
      <c r="FN18" s="1" t="n">
        <f aca="false">CF18+FM18</f>
        <v>0</v>
      </c>
      <c r="FO18" s="1" t="n">
        <f aca="false">IF(CE18=1,MAX(0,(Slot7_Cost-FN18*(1+Slot7_Rate)^(Slot7_Age-D18))/FK18),0)</f>
        <v>0</v>
      </c>
      <c r="FP18" s="1" t="n">
        <f aca="false">IF(CE18=1,MAX(0,(Slot7_Cost-CF18*(1+Slot7_Rate)^(Slot7_Age-D18))/FK18),0)</f>
        <v>0</v>
      </c>
      <c r="FQ18" s="1" t="n">
        <f aca="false">IF(AND(DD18=1,CE18=1),MIN(FJ18,FO18),0)</f>
        <v>0</v>
      </c>
      <c r="FR18" s="1" t="n">
        <f aca="false">FJ18-FQ18</f>
        <v>0</v>
      </c>
      <c r="FS18" s="1" t="n">
        <f aca="false">IF(CO18=1,IF(ABS((1+AS_Wage)/(1+Slot8_Rate)-1)&lt;0.000000000001,(Slot8_Age-D18)*(1+Slot8_Rate)^(Slot8_Age-D18),(1+Slot8_Rate)^(Slot8_Age-D18)*(1-((1+AS_Wage)/(1+Slot8_Rate))^(Slot8_Age-D18))/(1-(1+AS_Wage)/(1+Slot8_Rate))),1)</f>
        <v>1</v>
      </c>
      <c r="FT18" s="1" t="n">
        <f aca="false">IF(AND(DD18=1,DN18&gt;0,Slot8_IsWG=1,CO18=1),MAX(0,(Slot8_Cost-CP18*(1+Slot8_Rate)^(Slot8_Age-D18))/FS18),0)</f>
        <v>0</v>
      </c>
      <c r="FU18" s="1" t="n">
        <f aca="false">IF(AND(DD18=1,DN18&gt;0,Slot8_IsWG=1,CO18=1),MIN(DN18,FT18),0)</f>
        <v>0</v>
      </c>
      <c r="FV18" s="1" t="n">
        <f aca="false">CP18+FU18</f>
        <v>0</v>
      </c>
      <c r="FW18" s="1" t="n">
        <f aca="false">IF(CO18=1,MAX(0,(Slot8_Cost-FV18*(1+Slot8_Rate)^(Slot8_Age-D18))/FS18),0)</f>
        <v>0</v>
      </c>
      <c r="FX18" s="1" t="n">
        <f aca="false">IF(CO18=1,MAX(0,(Slot8_Cost-CP18*(1+Slot8_Rate)^(Slot8_Age-D18))/FS18),0)</f>
        <v>0</v>
      </c>
      <c r="FY18" s="1" t="n">
        <f aca="false">IF(AND(DD18=1,CO18=1),MIN(FR18,FW18),0)</f>
        <v>0</v>
      </c>
      <c r="FZ18" s="1" t="n">
        <f aca="false">FR18-FY18</f>
        <v>0</v>
      </c>
      <c r="GA18" s="1" t="n">
        <f aca="false">DN18-(DQ18+DY18+EG18+EO18+EW18+FE18+FM18+FU18)</f>
        <v>0</v>
      </c>
      <c r="GB18" s="1" t="n">
        <f aca="false">IF(DD18=1,DB18-DM18-DN18,0)</f>
        <v>0</v>
      </c>
      <c r="GC18" s="1" t="n">
        <f aca="false">IF(DD18=0,-DB18,0)</f>
        <v>0</v>
      </c>
      <c r="GD18" s="1" t="n">
        <f aca="false">MIN(GC18,CT18)</f>
        <v>0</v>
      </c>
      <c r="GE18" s="1" t="n">
        <f aca="false">GC18-GD18</f>
        <v>0</v>
      </c>
      <c r="GF18" s="1" t="n">
        <f aca="false">MIN(GE18,CU18)</f>
        <v>0</v>
      </c>
      <c r="GG18" s="1" t="n">
        <f aca="false">GE18-GF18</f>
        <v>0</v>
      </c>
      <c r="GH18" s="1" t="n">
        <f aca="false">IF(AND(DD18=0,CO18=1,GG18&gt;0),MIN(GG18,CP18),0)</f>
        <v>0</v>
      </c>
      <c r="GI18" s="1" t="n">
        <f aca="false">GG18-GH18</f>
        <v>0</v>
      </c>
      <c r="GJ18" s="1" t="n">
        <f aca="false">IF(AND(DD18=0,CE18=1,GI18&gt;0),MIN(GI18,CF18),0)</f>
        <v>0</v>
      </c>
      <c r="GK18" s="1" t="n">
        <f aca="false">GI18-GJ18</f>
        <v>0</v>
      </c>
      <c r="GL18" s="1" t="n">
        <f aca="false">IF(AND(DD18=0,BU18=1,GK18&gt;0),MIN(GK18,BV18),0)</f>
        <v>0</v>
      </c>
      <c r="GM18" s="1" t="n">
        <f aca="false">GK18-GL18</f>
        <v>0</v>
      </c>
      <c r="GN18" s="1" t="n">
        <f aca="false">IF(AND(DD18=0,BK18=1,GM18&gt;0),MIN(GM18,BL18),0)</f>
        <v>0</v>
      </c>
      <c r="GO18" s="1" t="n">
        <f aca="false">GM18-GN18</f>
        <v>0</v>
      </c>
      <c r="GP18" s="1" t="n">
        <f aca="false">IF(AND(DD18=0,BA18=1,GO18&gt;0),MIN(GO18,BB18),0)</f>
        <v>0</v>
      </c>
      <c r="GQ18" s="1" t="n">
        <f aca="false">GO18-GP18</f>
        <v>0</v>
      </c>
      <c r="GR18" s="1" t="n">
        <f aca="false">IF(AND(DD18=0,AQ18=1,GQ18&gt;0),MIN(GQ18,AR18),0)</f>
        <v>0</v>
      </c>
      <c r="GS18" s="1" t="n">
        <f aca="false">GQ18-GR18</f>
        <v>0</v>
      </c>
      <c r="GT18" s="1" t="n">
        <f aca="false">IF(AND(DD18=0,AG18=1,GS18&gt;0),MIN(GS18,AH18),0)</f>
        <v>0</v>
      </c>
      <c r="GU18" s="1" t="n">
        <f aca="false">GS18-GT18</f>
        <v>0</v>
      </c>
      <c r="GV18" s="1" t="n">
        <f aca="false">IF(AND(DD18=0,V18=1,GU18&gt;0),MIN(GU18,W18),0)</f>
        <v>0</v>
      </c>
      <c r="GW18" s="1" t="n">
        <f aca="false">GU18-GV18</f>
        <v>0</v>
      </c>
      <c r="GX18" s="1" t="n">
        <f aca="false">IF(DD18=0,GW18,0)</f>
        <v>0</v>
      </c>
      <c r="GY18" s="1" t="n">
        <f aca="false">GD18+GF18+GV18+GT18+GR18+GP18+GN18+GL18+GJ18+GH18</f>
        <v>0</v>
      </c>
      <c r="GZ18" s="1" t="n">
        <f aca="false">IF(DD18=1,CT18+GA18+FZ18+IF(F18=1,0,GB18),CT18-GD18)</f>
        <v>0</v>
      </c>
      <c r="HA18" s="1" t="n">
        <f aca="false">CU18-GF18</f>
        <v>0</v>
      </c>
      <c r="HB18" s="1" t="n">
        <f aca="false">IF(DD18=1,IF(F18=1,DM18+DN18,DB18),0)</f>
        <v>0</v>
      </c>
      <c r="HC18" s="1" t="n">
        <f aca="false">IF(DD18=1,IF(F18=1,DB18-DM18-DN18,0),0)</f>
        <v>0</v>
      </c>
      <c r="HD18" s="1" t="n">
        <f aca="false">GZ18*(1+GR)</f>
        <v>0</v>
      </c>
      <c r="HE18" s="1" t="n">
        <f aca="false">HA18*(1+AS_Cash)</f>
        <v>0</v>
      </c>
      <c r="HF18" s="1" t="n">
        <f aca="false">IF(V18=1,IF(DD18=1,DR18+DU18,W18-GV18)*(1+Slot1_Rate),0)</f>
        <v>0</v>
      </c>
      <c r="HG18" s="1" t="n">
        <f aca="false">IF(AND(DD18=1,V18=1),(DQ18+DU18)/E18,0)</f>
        <v>0</v>
      </c>
      <c r="HH18" s="1" t="n">
        <f aca="false">IF(B18=0,DQ18+DU18,0)</f>
        <v>0</v>
      </c>
      <c r="HI18" s="1" t="n">
        <f aca="false">IF(B18=0,IF(DD18=1,DS18,DT18),0)</f>
        <v>0</v>
      </c>
      <c r="HJ18" s="1" t="n">
        <f aca="false">IF(AG18=1,IF(DD18=1,DZ18+EC18,AH18-GT18)*(1+Slot2_Rate),0)</f>
        <v>0</v>
      </c>
      <c r="HK18" s="1" t="n">
        <f aca="false">IF(AND(DD18=1,AG18=1),(DY18+EC18)/E18,0)</f>
        <v>0</v>
      </c>
      <c r="HL18" s="1" t="n">
        <f aca="false">IF(B18=0,DY18+EC18,0)</f>
        <v>0</v>
      </c>
      <c r="HM18" s="1" t="n">
        <f aca="false">IF(B18=0,IF(DD18=1,EA18,EB18),0)</f>
        <v>0</v>
      </c>
      <c r="HN18" s="1" t="n">
        <f aca="false">IF(AQ18=1,IF(DD18=1,EH18+EK18,AR18-GR18)*(1+Slot3_Rate),0)</f>
        <v>0</v>
      </c>
      <c r="HO18" s="1" t="n">
        <f aca="false">IF(AND(DD18=1,AQ18=1),(EG18+EK18)/E18,0)</f>
        <v>0</v>
      </c>
      <c r="HP18" s="1" t="n">
        <f aca="false">IF(B18=0,EG18+EK18,0)</f>
        <v>0</v>
      </c>
      <c r="HQ18" s="1" t="n">
        <f aca="false">IF(B18=0,IF(DD18=1,EI18,EJ18),0)</f>
        <v>0</v>
      </c>
      <c r="HR18" s="1" t="n">
        <f aca="false">IF(BA18=1,IF(DD18=1,EP18+ES18,BB18-GP18)*(1+Slot4_Rate),0)</f>
        <v>0</v>
      </c>
      <c r="HS18" s="1" t="n">
        <f aca="false">IF(AND(DD18=1,BA18=1),(EO18+ES18)/E18,0)</f>
        <v>0</v>
      </c>
      <c r="HT18" s="1" t="n">
        <f aca="false">IF(B18=0,EO18+ES18,0)</f>
        <v>0</v>
      </c>
      <c r="HU18" s="1" t="n">
        <f aca="false">IF(B18=0,IF(DD18=1,EQ18,ER18),0)</f>
        <v>0</v>
      </c>
      <c r="HV18" s="1" t="n">
        <f aca="false">IF(BK18=1,IF(DD18=1,EX18+FA18,BL18-GN18)*(1+Slot5_Rate),0)</f>
        <v>0</v>
      </c>
      <c r="HW18" s="1" t="n">
        <f aca="false">IF(AND(DD18=1,BK18=1),(EW18+FA18)/E18,0)</f>
        <v>0</v>
      </c>
      <c r="HX18" s="1" t="n">
        <f aca="false">IF(B18=0,EW18+FA18,0)</f>
        <v>0</v>
      </c>
      <c r="HY18" s="1" t="n">
        <f aca="false">IF(B18=0,IF(DD18=1,EY18,EZ18),0)</f>
        <v>0</v>
      </c>
      <c r="HZ18" s="1" t="n">
        <f aca="false">IF(BU18=1,IF(DD18=1,FF18+FI18,BV18-GL18)*(1+Slot6_Rate),0)</f>
        <v>0</v>
      </c>
      <c r="IA18" s="1" t="n">
        <f aca="false">IF(AND(DD18=1,BU18=1),(FE18+FI18)/E18,0)</f>
        <v>0</v>
      </c>
      <c r="IB18" s="1" t="n">
        <f aca="false">IF(B18=0,FE18+FI18,0)</f>
        <v>0</v>
      </c>
      <c r="IC18" s="1" t="n">
        <f aca="false">IF(B18=0,IF(DD18=1,FG18,FH18),0)</f>
        <v>0</v>
      </c>
      <c r="ID18" s="1" t="n">
        <f aca="false">IF(CE18=1,IF(DD18=1,FN18+FQ18,CF18-GJ18)*(1+Slot7_Rate),0)</f>
        <v>0</v>
      </c>
      <c r="IE18" s="1" t="n">
        <f aca="false">IF(AND(DD18=1,CE18=1),(FM18+FQ18)/E18,0)</f>
        <v>0</v>
      </c>
      <c r="IF18" s="1" t="n">
        <f aca="false">IF(B18=0,FM18+FQ18,0)</f>
        <v>0</v>
      </c>
      <c r="IG18" s="1" t="n">
        <f aca="false">IF(B18=0,IF(DD18=1,FO18,FP18),0)</f>
        <v>0</v>
      </c>
      <c r="IH18" s="1" t="n">
        <f aca="false">IF(CO18=1,IF(DD18=1,FV18+FY18,CP18-GH18)*(1+Slot8_Rate),0)</f>
        <v>0</v>
      </c>
      <c r="II18" s="1" t="n">
        <f aca="false">IF(AND(DD18=1,CO18=1),(FU18+FY18)/E18,0)</f>
        <v>0</v>
      </c>
      <c r="IJ18" s="1" t="n">
        <f aca="false">IF(B18=0,FU18+FY18,0)</f>
        <v>0</v>
      </c>
      <c r="IK18" s="1" t="n">
        <f aca="false">IF(B18=0,IF(DD18=1,FW18,FX18),0)</f>
        <v>0</v>
      </c>
      <c r="IL18" s="1" t="n">
        <f aca="false">HD18+HE18+HF18+HJ18+HN18+HR18+HV18+HZ18+ID18+IH18</f>
        <v>0</v>
      </c>
      <c r="IM18" s="1" t="n">
        <f aca="false">GX18+CY18</f>
        <v>0</v>
      </c>
      <c r="IN18" s="1" t="n">
        <f aca="false">H18+R18</f>
        <v>0</v>
      </c>
      <c r="IO18" s="1" t="n">
        <f aca="false">1-F18</f>
        <v>1</v>
      </c>
      <c r="IP18" s="1" t="n">
        <f aca="false">IF(AND(RG_Exists=1,F18=0,C18=1),H18,0)</f>
        <v>0</v>
      </c>
      <c r="IQ18" s="1" t="n">
        <f aca="false">IF(AND(RG_Exists=1,F18=0,C18=1),H18-MIN(GX18,H18),0)</f>
        <v>0</v>
      </c>
      <c r="IR18" s="1" t="n">
        <f aca="false">'Plan pay &amp; tax'!AD220</f>
        <v>0</v>
      </c>
      <c r="IS18" s="1" t="n">
        <f aca="false">IF(AND(C18=1,GX18&gt;MAX(PR_Short1,IN18*PR_Short2)),1,0)</f>
        <v>0</v>
      </c>
      <c r="IT18" s="1" t="n">
        <f aca="false">MIN(G18,H18+R18)</f>
        <v>0</v>
      </c>
      <c r="IU18" s="1" t="n">
        <f aca="false">GY18+MAX(0,CZ18-CY18)</f>
        <v>0</v>
      </c>
      <c r="IV18" s="1" t="n">
        <f aca="false">GX18+CY18</f>
        <v>0</v>
      </c>
      <c r="IW18" s="1" t="n">
        <f aca="false">IF(AND(C18=1,IV18&gt;0.5),1,0)</f>
        <v>0</v>
      </c>
      <c r="IX18" s="1" t="n">
        <f aca="false">IF(AND(C18=1,IW18=0,IU18&gt;0.5),1,0)</f>
        <v>0</v>
      </c>
      <c r="IY18" s="1" t="n">
        <f aca="false">IF(AND(C18=1,GX18&gt;0.5),1,0)</f>
        <v>0</v>
      </c>
      <c r="IZ18" s="1" t="n">
        <f aca="false">IF(AND(C18=1,GY18&gt;1,JF18=0),1,0)</f>
        <v>0</v>
      </c>
      <c r="JA18" s="1" t="n">
        <f aca="false">IF(AND(INT(D18/10)*10=90,B18&gt;0),80,INT(D18/10)*10)</f>
        <v>10</v>
      </c>
      <c r="JB18" s="1" t="n">
        <f aca="false">IF(B18=0,1,IF(JA18&lt;&gt;JA17,JB17+1,JB17))</f>
        <v>2</v>
      </c>
      <c r="JC18" s="1" t="n">
        <f aca="false">IF(AND(C18=1,F18=1,GX18&gt;MAX(PR_Short1,IN18*PR_Short2)),1,0)</f>
        <v>0</v>
      </c>
      <c r="JD18" s="1" t="n">
        <f aca="false">IO18*IS18</f>
        <v>0</v>
      </c>
      <c r="JE18" s="1" t="n">
        <f aca="false">IF(AND(U18=1,Slot1_PctLow=1),1,0)+IF(AND(AF18=1,Slot2_PctLow=1),1,0)+IF(AND(AP18=1,Slot3_PctLow=1),1,0)+IF(AND(AZ18=1,Slot4_PctLow=1),1,0)+IF(AND(BJ18=1,Slot5_PctLow=1),1,0)+IF(AND(BT18=1,Slot6_PctLow=1),1,0)+IF(AND(CD18=1,Slot7_PctLow=1),1,0)+IF(AND(CN18=1,Slot8_PctLow=1),1,0)</f>
        <v>0</v>
      </c>
      <c r="JF18" s="1" t="n">
        <f aca="false">IF(C18=1,IF(OR(IS18=1,JE18&gt;0),1,0),0)</f>
        <v>0</v>
      </c>
    </row>
    <row r="19" customFormat="false" ht="15" hidden="false" customHeight="false" outlineLevel="0" collapsed="false">
      <c r="B19" s="1" t="n">
        <v>11</v>
      </c>
      <c r="C19" s="1" t="n">
        <f aca="false">IF(B19&lt;=F_N,1,0)</f>
        <v>1</v>
      </c>
      <c r="D19" s="1" t="n">
        <f aca="false">'Plan pay &amp; tax'!C221</f>
        <v>11</v>
      </c>
      <c r="E19" s="106" t="n">
        <f aca="false">'Plan pay &amp; tax'!E221</f>
        <v>1.24337430839465</v>
      </c>
      <c r="F19" s="1" t="n">
        <f aca="false">'Plan pay &amp; tax'!G221</f>
        <v>0</v>
      </c>
      <c r="G19" s="1" t="n">
        <f aca="false">'Plan pay &amp; tax'!BT221-'Plan pay &amp; tax'!BS221-'Plan pay &amp; tax'!R221</f>
        <v>0</v>
      </c>
      <c r="H19" s="1" t="n">
        <f aca="false">IF(F19=1,F_CostsM*12,IF(RG_Exists=1,RG_Amount,F_CostsM*12*AS_RetireSpend))*E19+F_OneOffY*E19</f>
        <v>0</v>
      </c>
      <c r="I19" s="1" t="n">
        <f aca="false">DA18</f>
        <v>0</v>
      </c>
      <c r="J19" s="1" t="n">
        <f aca="false">IF(I19&gt;1,'Plan debt months'!AC19,0)</f>
        <v>0</v>
      </c>
      <c r="K19" s="1" t="n">
        <f aca="false">IF(I19&gt;1,'Plan debt months'!AB19,I19)</f>
        <v>0</v>
      </c>
      <c r="L19" s="1" t="n">
        <f aca="false">N18</f>
        <v>0</v>
      </c>
      <c r="M19" s="1" t="n">
        <f aca="false">IF(L19&gt;1,'Plan debt months'!BD19,0)</f>
        <v>0</v>
      </c>
      <c r="N19" s="1" t="n">
        <f aca="false">IF(L19&gt;1,'Plan debt months'!BC19,L19)</f>
        <v>0</v>
      </c>
      <c r="O19" s="1" t="n">
        <f aca="false">Q18</f>
        <v>0</v>
      </c>
      <c r="P19" s="1" t="n">
        <f aca="false">IF(O19&gt;1,'Plan debt months'!CE19,0)</f>
        <v>0</v>
      </c>
      <c r="Q19" s="1" t="n">
        <f aca="false">IF(O19&gt;1,'Plan debt months'!CD19,O19)</f>
        <v>0</v>
      </c>
      <c r="R19" s="1" t="n">
        <f aca="false">J19+M19+P19</f>
        <v>0</v>
      </c>
      <c r="S19" s="1" t="n">
        <f aca="false">HD18+'Plan pay &amp; tax'!Y221</f>
        <v>0</v>
      </c>
      <c r="T19" s="1" t="n">
        <f aca="false">HD18</f>
        <v>0</v>
      </c>
      <c r="U19" s="1" t="n">
        <f aca="false">IF(AND(Slot1_On=1,D19=Slot1_Age),1,0)</f>
        <v>0</v>
      </c>
      <c r="V19" s="1" t="n">
        <f aca="false">IF(AND(Slot1_On=1,Slot1_Age&gt;D19),1,0)</f>
        <v>0</v>
      </c>
      <c r="W19" s="1" t="n">
        <f aca="false">HF18</f>
        <v>0</v>
      </c>
      <c r="X19" s="1" t="n">
        <f aca="false">U19*MIN(Slot1_Cost,W19)</f>
        <v>0</v>
      </c>
      <c r="Y19" s="1" t="n">
        <f aca="false">U19*Slot1_SpendLike*MIN(Slot1_Cost-X19,S19)</f>
        <v>0</v>
      </c>
      <c r="Z19" s="1" t="n">
        <f aca="false">X19+Y19</f>
        <v>0</v>
      </c>
      <c r="AA19" s="1" t="n">
        <f aca="false">S19-Y19+U19*IF(Slot1_SpendLike=1,W19-X19,IF(Slot1_PotFree=1,W19,0))</f>
        <v>0</v>
      </c>
      <c r="AB19" s="1" t="n">
        <f aca="false">AE19+U19*Slot1_BufPot*W19</f>
        <v>0</v>
      </c>
      <c r="AC19" s="1" t="n">
        <f aca="false">IF(AND(U19=1,Slot1_IsMfree=1),IF(Z19&gt;=Slot1_Cost-1,0,MAX(0,K19-Z19)),K19)</f>
        <v>0</v>
      </c>
      <c r="AD19" s="1" t="n">
        <f aca="false">U19*(Slot1_Cost-Z19)</f>
        <v>0</v>
      </c>
      <c r="AE19" s="1" t="n">
        <f aca="false">HE18</f>
        <v>0</v>
      </c>
      <c r="AF19" s="1" t="n">
        <f aca="false">IF(AND(Slot2_On=1,D19=Slot2_Age),1,0)</f>
        <v>0</v>
      </c>
      <c r="AG19" s="1" t="n">
        <f aca="false">IF(AND(Slot2_On=1,Slot2_Age&gt;D19),1,0)</f>
        <v>0</v>
      </c>
      <c r="AH19" s="1" t="n">
        <f aca="false">HJ18</f>
        <v>0</v>
      </c>
      <c r="AI19" s="1" t="n">
        <f aca="false">AF19*MIN(Slot2_Cost,AH19)</f>
        <v>0</v>
      </c>
      <c r="AJ19" s="1" t="n">
        <f aca="false">AF19*Slot2_SpendLike*MIN(Slot2_Cost-AI19,AA19)</f>
        <v>0</v>
      </c>
      <c r="AK19" s="1" t="n">
        <f aca="false">AI19+AJ19</f>
        <v>0</v>
      </c>
      <c r="AL19" s="1" t="n">
        <f aca="false">AA19-AJ19+AF19*IF(Slot2_SpendLike=1,AH19-AI19,IF(Slot2_PotFree=1,AH19,0))</f>
        <v>0</v>
      </c>
      <c r="AM19" s="1" t="n">
        <f aca="false">AB19+AF19*Slot2_BufPot*AH19</f>
        <v>0</v>
      </c>
      <c r="AN19" s="1" t="n">
        <f aca="false">IF(AND(AF19=1,Slot2_IsMfree=1),IF(AK19&gt;=Slot2_Cost-1,0,MAX(0,AC19-AK19)),AC19)</f>
        <v>0</v>
      </c>
      <c r="AO19" s="1" t="n">
        <f aca="false">AF19*(Slot2_Cost-AK19)</f>
        <v>0</v>
      </c>
      <c r="AP19" s="1" t="n">
        <f aca="false">IF(AND(Slot3_On=1,D19=Slot3_Age),1,0)</f>
        <v>0</v>
      </c>
      <c r="AQ19" s="1" t="n">
        <f aca="false">IF(AND(Slot3_On=1,Slot3_Age&gt;D19),1,0)</f>
        <v>0</v>
      </c>
      <c r="AR19" s="1" t="n">
        <f aca="false">HN18</f>
        <v>0</v>
      </c>
      <c r="AS19" s="1" t="n">
        <f aca="false">AP19*MIN(Slot3_Cost,AR19)</f>
        <v>0</v>
      </c>
      <c r="AT19" s="1" t="n">
        <f aca="false">AP19*Slot3_SpendLike*MIN(Slot3_Cost-AS19,AL19)</f>
        <v>0</v>
      </c>
      <c r="AU19" s="1" t="n">
        <f aca="false">AS19+AT19</f>
        <v>0</v>
      </c>
      <c r="AV19" s="1" t="n">
        <f aca="false">AL19-AT19+AP19*IF(Slot3_SpendLike=1,AR19-AS19,IF(Slot3_PotFree=1,AR19,0))</f>
        <v>0</v>
      </c>
      <c r="AW19" s="1" t="n">
        <f aca="false">AM19+AP19*Slot3_BufPot*AR19</f>
        <v>0</v>
      </c>
      <c r="AX19" s="1" t="n">
        <f aca="false">IF(AND(AP19=1,Slot3_IsMfree=1),IF(AU19&gt;=Slot3_Cost-1,0,MAX(0,AN19-AU19)),AN19)</f>
        <v>0</v>
      </c>
      <c r="AY19" s="1" t="n">
        <f aca="false">AP19*(Slot3_Cost-AU19)</f>
        <v>0</v>
      </c>
      <c r="AZ19" s="1" t="n">
        <f aca="false">IF(AND(Slot4_On=1,D19=Slot4_Age),1,0)</f>
        <v>0</v>
      </c>
      <c r="BA19" s="1" t="n">
        <f aca="false">IF(AND(Slot4_On=1,Slot4_Age&gt;D19),1,0)</f>
        <v>0</v>
      </c>
      <c r="BB19" s="1" t="n">
        <f aca="false">HR18</f>
        <v>0</v>
      </c>
      <c r="BC19" s="1" t="n">
        <f aca="false">AZ19*MIN(Slot4_Cost,BB19)</f>
        <v>0</v>
      </c>
      <c r="BD19" s="1" t="n">
        <f aca="false">AZ19*Slot4_SpendLike*MIN(Slot4_Cost-BC19,AV19)</f>
        <v>0</v>
      </c>
      <c r="BE19" s="1" t="n">
        <f aca="false">BC19+BD19</f>
        <v>0</v>
      </c>
      <c r="BF19" s="1" t="n">
        <f aca="false">AV19-BD19+AZ19*IF(Slot4_SpendLike=1,BB19-BC19,IF(Slot4_PotFree=1,BB19,0))</f>
        <v>0</v>
      </c>
      <c r="BG19" s="1" t="n">
        <f aca="false">AW19+AZ19*Slot4_BufPot*BB19</f>
        <v>0</v>
      </c>
      <c r="BH19" s="1" t="n">
        <f aca="false">IF(AND(AZ19=1,Slot4_IsMfree=1),IF(BE19&gt;=Slot4_Cost-1,0,MAX(0,AX19-BE19)),AX19)</f>
        <v>0</v>
      </c>
      <c r="BI19" s="1" t="n">
        <f aca="false">AZ19*(Slot4_Cost-BE19)</f>
        <v>0</v>
      </c>
      <c r="BJ19" s="1" t="n">
        <f aca="false">IF(AND(Slot5_On=1,D19=Slot5_Age),1,0)</f>
        <v>0</v>
      </c>
      <c r="BK19" s="1" t="n">
        <f aca="false">IF(AND(Slot5_On=1,Slot5_Age&gt;D19),1,0)</f>
        <v>0</v>
      </c>
      <c r="BL19" s="1" t="n">
        <f aca="false">HV18</f>
        <v>0</v>
      </c>
      <c r="BM19" s="1" t="n">
        <f aca="false">BJ19*MIN(Slot5_Cost,BL19)</f>
        <v>0</v>
      </c>
      <c r="BN19" s="1" t="n">
        <f aca="false">BJ19*Slot5_SpendLike*MIN(Slot5_Cost-BM19,BF19)</f>
        <v>0</v>
      </c>
      <c r="BO19" s="1" t="n">
        <f aca="false">BM19+BN19</f>
        <v>0</v>
      </c>
      <c r="BP19" s="1" t="n">
        <f aca="false">BF19-BN19+BJ19*IF(Slot5_SpendLike=1,BL19-BM19,IF(Slot5_PotFree=1,BL19,0))</f>
        <v>0</v>
      </c>
      <c r="BQ19" s="1" t="n">
        <f aca="false">BG19+BJ19*Slot5_BufPot*BL19</f>
        <v>0</v>
      </c>
      <c r="BR19" s="1" t="n">
        <f aca="false">IF(AND(BJ19=1,Slot5_IsMfree=1),IF(BO19&gt;=Slot5_Cost-1,0,MAX(0,BH19-BO19)),BH19)</f>
        <v>0</v>
      </c>
      <c r="BS19" s="1" t="n">
        <f aca="false">BJ19*(Slot5_Cost-BO19)</f>
        <v>0</v>
      </c>
      <c r="BT19" s="1" t="n">
        <f aca="false">IF(AND(Slot6_On=1,D19=Slot6_Age),1,0)</f>
        <v>0</v>
      </c>
      <c r="BU19" s="1" t="n">
        <f aca="false">IF(AND(Slot6_On=1,Slot6_Age&gt;D19),1,0)</f>
        <v>0</v>
      </c>
      <c r="BV19" s="1" t="n">
        <f aca="false">HZ18</f>
        <v>0</v>
      </c>
      <c r="BW19" s="1" t="n">
        <f aca="false">BT19*MIN(Slot6_Cost,BV19)</f>
        <v>0</v>
      </c>
      <c r="BX19" s="1" t="n">
        <f aca="false">BT19*Slot6_SpendLike*MIN(Slot6_Cost-BW19,BP19)</f>
        <v>0</v>
      </c>
      <c r="BY19" s="1" t="n">
        <f aca="false">BW19+BX19</f>
        <v>0</v>
      </c>
      <c r="BZ19" s="1" t="n">
        <f aca="false">BP19-BX19+BT19*IF(Slot6_SpendLike=1,BV19-BW19,IF(Slot6_PotFree=1,BV19,0))</f>
        <v>0</v>
      </c>
      <c r="CA19" s="1" t="n">
        <f aca="false">BQ19+BT19*Slot6_BufPot*BV19</f>
        <v>0</v>
      </c>
      <c r="CB19" s="1" t="n">
        <f aca="false">IF(AND(BT19=1,Slot6_IsMfree=1),IF(BY19&gt;=Slot6_Cost-1,0,MAX(0,BR19-BY19)),BR19)</f>
        <v>0</v>
      </c>
      <c r="CC19" s="1" t="n">
        <f aca="false">BT19*(Slot6_Cost-BY19)</f>
        <v>0</v>
      </c>
      <c r="CD19" s="1" t="n">
        <f aca="false">IF(AND(Slot7_On=1,D19=Slot7_Age),1,0)</f>
        <v>0</v>
      </c>
      <c r="CE19" s="1" t="n">
        <f aca="false">IF(AND(Slot7_On=1,Slot7_Age&gt;D19),1,0)</f>
        <v>0</v>
      </c>
      <c r="CF19" s="1" t="n">
        <f aca="false">ID18</f>
        <v>0</v>
      </c>
      <c r="CG19" s="1" t="n">
        <f aca="false">CD19*MIN(Slot7_Cost,CF19)</f>
        <v>0</v>
      </c>
      <c r="CH19" s="1" t="n">
        <f aca="false">CD19*Slot7_SpendLike*MIN(Slot7_Cost-CG19,BZ19)</f>
        <v>0</v>
      </c>
      <c r="CI19" s="1" t="n">
        <f aca="false">CG19+CH19</f>
        <v>0</v>
      </c>
      <c r="CJ19" s="1" t="n">
        <f aca="false">BZ19-CH19+CD19*IF(Slot7_SpendLike=1,CF19-CG19,IF(Slot7_PotFree=1,CF19,0))</f>
        <v>0</v>
      </c>
      <c r="CK19" s="1" t="n">
        <f aca="false">CA19+CD19*Slot7_BufPot*CF19</f>
        <v>0</v>
      </c>
      <c r="CL19" s="1" t="n">
        <f aca="false">IF(AND(CD19=1,Slot7_IsMfree=1),IF(CI19&gt;=Slot7_Cost-1,0,MAX(0,CB19-CI19)),CB19)</f>
        <v>0</v>
      </c>
      <c r="CM19" s="1" t="n">
        <f aca="false">CD19*(Slot7_Cost-CI19)</f>
        <v>0</v>
      </c>
      <c r="CN19" s="1" t="n">
        <f aca="false">IF(AND(Slot8_On=1,D19=Slot8_Age),1,0)</f>
        <v>0</v>
      </c>
      <c r="CO19" s="1" t="n">
        <f aca="false">IF(AND(Slot8_On=1,Slot8_Age&gt;D19),1,0)</f>
        <v>0</v>
      </c>
      <c r="CP19" s="1" t="n">
        <f aca="false">IH18</f>
        <v>0</v>
      </c>
      <c r="CQ19" s="1" t="n">
        <f aca="false">CN19*MIN(Slot8_Cost,CP19)</f>
        <v>0</v>
      </c>
      <c r="CR19" s="1" t="n">
        <f aca="false">CN19*Slot8_SpendLike*MIN(Slot8_Cost-CQ19,CJ19)</f>
        <v>0</v>
      </c>
      <c r="CS19" s="1" t="n">
        <f aca="false">CQ19+CR19</f>
        <v>0</v>
      </c>
      <c r="CT19" s="1" t="n">
        <f aca="false">CJ19-CR19+CN19*IF(Slot8_SpendLike=1,CP19-CQ19,IF(Slot8_PotFree=1,CP19,0))</f>
        <v>0</v>
      </c>
      <c r="CU19" s="1" t="n">
        <f aca="false">CK19+CN19*Slot8_BufPot*CP19</f>
        <v>0</v>
      </c>
      <c r="CV19" s="1" t="n">
        <f aca="false">IF(AND(CN19=1,Slot8_IsMfree=1),IF(CS19&gt;=Slot8_Cost-1,0,MAX(0,CL19-CS19)),CL19)</f>
        <v>0</v>
      </c>
      <c r="CW19" s="1" t="n">
        <f aca="false">CN19*(Slot8_Cost-CS19)</f>
        <v>0</v>
      </c>
      <c r="CX19" s="1" t="n">
        <f aca="false">U19*Slot1_SpendLike*Z19+AF19*Slot2_SpendLike*AK19+AP19*Slot3_SpendLike*AU19+AZ19*Slot4_SpendLike*BE19+BJ19*Slot5_SpendLike*BO19+BT19*Slot6_SpendLike*BY19+CD19*Slot7_SpendLike*CI19+CN19*Slot8_SpendLike*CS19</f>
        <v>0</v>
      </c>
      <c r="CY19" s="1" t="n">
        <f aca="false">AD19+AO19+AY19+BI19+BS19+CC19+CM19+CW19</f>
        <v>0</v>
      </c>
      <c r="CZ19" s="1" t="n">
        <f aca="false">U19*Slot1_Cost+AF19*Slot2_Cost+AP19*Slot3_Cost+AZ19*Slot4_Cost+BJ19*Slot5_Cost+BT19*Slot6_Cost+CD19*Slot7_Cost+CN19*Slot8_Cost</f>
        <v>0</v>
      </c>
      <c r="DA19" s="1" t="n">
        <f aca="false">CV19</f>
        <v>0</v>
      </c>
      <c r="DB19" s="1" t="n">
        <f aca="false">G19-H19-R19</f>
        <v>0</v>
      </c>
      <c r="DC19" s="1" t="n">
        <f aca="false">IF(B19=0,IF(AND(Has_q6=1,In_q6=4),PR_ShareVaries*(MAX(0,DB19)/12),MIN(IF(Has_q6=1,CHOOSE(In_q6+1,PR_SaveB1,PR_SaveB2,PR_SaveB3,PR_SaveB4,0),AS_NoAnswer),AS_SaveShare*(MAX(0,DB19)/12))),DC18)</f>
        <v>0</v>
      </c>
      <c r="DD19" s="1" t="n">
        <f aca="false">IF(DB19&gt;=0,1,0)</f>
        <v>1</v>
      </c>
      <c r="DE19" s="1" t="n">
        <f aca="false">MAX(0,DB19/12/E19)</f>
        <v>0</v>
      </c>
      <c r="DF19" s="1" t="n">
        <f aca="false">IF(AND(Has_q6=1,In_q6=4),PR_ShareVaries*(DE19),MIN(IF(Has_q6=1,CHOOSE(In_q6+1,PR_SaveB1,PR_SaveB2,PR_SaveB3,PR_SaveB4,0),AS_NoAnswer),AS_SaveShare*(DE19)))</f>
        <v>0</v>
      </c>
      <c r="DG19" s="1" t="n">
        <f aca="false">IF(Has_saveM=1,IF(In_saveUp="Yes",1,IF(In_saveUp="No",0,IF(In_saveM&gt;=DC19-0.5,1,0))),0)</f>
        <v>0</v>
      </c>
      <c r="DH19" s="1" t="n">
        <f aca="false">IF(Has_saveM=1,MIN(DE19,IF(DG19=1,MAX(In_saveM,DF19),MIN(In_saveM,DF19))),DF19)</f>
        <v>0</v>
      </c>
      <c r="DI19" s="1" t="n">
        <f aca="false">IF(F19=1,DH19*12*E19,0)</f>
        <v>0</v>
      </c>
      <c r="DJ19" s="1" t="n">
        <f aca="false">MAX(0,DI19+IF(AND(WI_Retire=0,WI_M&lt;0,F19=1),WI_M*12*E19,0))</f>
        <v>0</v>
      </c>
      <c r="DK19" s="1" t="n">
        <f aca="false">Slot1_IsWG*V19+Slot2_IsWG*AG19+Slot3_IsWG*AQ19+Slot4_IsWG*BA19+Slot5_IsWG*BK19+Slot6_IsWG*BU19+Slot7_IsWG*CE19+Slot8_IsWG*CO19</f>
        <v>0</v>
      </c>
      <c r="DL19" s="1" t="n">
        <f aca="false">IF(AND(WI_Retire=0,WI_M&gt;0,F19=1,DK19&gt;=1),WI_M*12*E19,0)</f>
        <v>0</v>
      </c>
      <c r="DM19" s="1" t="n">
        <f aca="false">IF(DD19=1,MIN(DJ19,DB19),0)</f>
        <v>0</v>
      </c>
      <c r="DN19" s="1" t="n">
        <f aca="false">IF(DD19=1,MIN(DL19,DB19-DM19),0)</f>
        <v>0</v>
      </c>
      <c r="DO19" s="1" t="n">
        <f aca="false">IF(V19=1,IF(ABS((1+AS_Wage)/(1+Slot1_Rate)-1)&lt;0.000000000001,(Slot1_Age-D19)*(1+Slot1_Rate)^(Slot1_Age-D19),(1+Slot1_Rate)^(Slot1_Age-D19)*(1-((1+AS_Wage)/(1+Slot1_Rate))^(Slot1_Age-D19))/(1-(1+AS_Wage)/(1+Slot1_Rate))),1)</f>
        <v>1</v>
      </c>
      <c r="DP19" s="1" t="n">
        <f aca="false">IF(AND(DD19=1,DN19&gt;0,Slot1_IsWG=1,V19=1),MAX(0,(Slot1_Cost-W19*(1+Slot1_Rate)^(Slot1_Age-D19))/DO19),0)</f>
        <v>0</v>
      </c>
      <c r="DQ19" s="1" t="n">
        <f aca="false">IF(AND(DD19=1,DN19&gt;0,Slot1_IsWG=1,V19=1),MIN(DN19,DP19),0)</f>
        <v>0</v>
      </c>
      <c r="DR19" s="1" t="n">
        <f aca="false">W19+DQ19</f>
        <v>0</v>
      </c>
      <c r="DS19" s="1" t="n">
        <f aca="false">IF(V19=1,MAX(0,(Slot1_Cost-DR19*(1+Slot1_Rate)^(Slot1_Age-D19))/DO19),0)</f>
        <v>0</v>
      </c>
      <c r="DT19" s="1" t="n">
        <f aca="false">IF(V19=1,MAX(0,(Slot1_Cost-W19*(1+Slot1_Rate)^(Slot1_Age-D19))/DO19),0)</f>
        <v>0</v>
      </c>
      <c r="DU19" s="1" t="n">
        <f aca="false">IF(AND(DD19=1,V19=1),MIN(DM19,DS19),0)</f>
        <v>0</v>
      </c>
      <c r="DV19" s="1" t="n">
        <f aca="false">DM19-DU19</f>
        <v>0</v>
      </c>
      <c r="DW19" s="1" t="n">
        <f aca="false">IF(AG19=1,IF(ABS((1+AS_Wage)/(1+Slot2_Rate)-1)&lt;0.000000000001,(Slot2_Age-D19)*(1+Slot2_Rate)^(Slot2_Age-D19),(1+Slot2_Rate)^(Slot2_Age-D19)*(1-((1+AS_Wage)/(1+Slot2_Rate))^(Slot2_Age-D19))/(1-(1+AS_Wage)/(1+Slot2_Rate))),1)</f>
        <v>1</v>
      </c>
      <c r="DX19" s="1" t="n">
        <f aca="false">IF(AND(DD19=1,DN19&gt;0,Slot2_IsWG=1,AG19=1),MAX(0,(Slot2_Cost-AH19*(1+Slot2_Rate)^(Slot2_Age-D19))/DW19),0)</f>
        <v>0</v>
      </c>
      <c r="DY19" s="1" t="n">
        <f aca="false">IF(AND(DD19=1,DN19&gt;0,Slot2_IsWG=1,AG19=1),MIN(DN19,DX19),0)</f>
        <v>0</v>
      </c>
      <c r="DZ19" s="1" t="n">
        <f aca="false">AH19+DY19</f>
        <v>0</v>
      </c>
      <c r="EA19" s="1" t="n">
        <f aca="false">IF(AG19=1,MAX(0,(Slot2_Cost-DZ19*(1+Slot2_Rate)^(Slot2_Age-D19))/DW19),0)</f>
        <v>0</v>
      </c>
      <c r="EB19" s="1" t="n">
        <f aca="false">IF(AG19=1,MAX(0,(Slot2_Cost-AH19*(1+Slot2_Rate)^(Slot2_Age-D19))/DW19),0)</f>
        <v>0</v>
      </c>
      <c r="EC19" s="1" t="n">
        <f aca="false">IF(AND(DD19=1,AG19=1),MIN(DV19,EA19),0)</f>
        <v>0</v>
      </c>
      <c r="ED19" s="1" t="n">
        <f aca="false">DV19-EC19</f>
        <v>0</v>
      </c>
      <c r="EE19" s="1" t="n">
        <f aca="false">IF(AQ19=1,IF(ABS((1+AS_Wage)/(1+Slot3_Rate)-1)&lt;0.000000000001,(Slot3_Age-D19)*(1+Slot3_Rate)^(Slot3_Age-D19),(1+Slot3_Rate)^(Slot3_Age-D19)*(1-((1+AS_Wage)/(1+Slot3_Rate))^(Slot3_Age-D19))/(1-(1+AS_Wage)/(1+Slot3_Rate))),1)</f>
        <v>1</v>
      </c>
      <c r="EF19" s="1" t="n">
        <f aca="false">IF(AND(DD19=1,DN19&gt;0,Slot3_IsWG=1,AQ19=1),MAX(0,(Slot3_Cost-AR19*(1+Slot3_Rate)^(Slot3_Age-D19))/EE19),0)</f>
        <v>0</v>
      </c>
      <c r="EG19" s="1" t="n">
        <f aca="false">IF(AND(DD19=1,DN19&gt;0,Slot3_IsWG=1,AQ19=1),MIN(DN19,EF19),0)</f>
        <v>0</v>
      </c>
      <c r="EH19" s="1" t="n">
        <f aca="false">AR19+EG19</f>
        <v>0</v>
      </c>
      <c r="EI19" s="1" t="n">
        <f aca="false">IF(AQ19=1,MAX(0,(Slot3_Cost-EH19*(1+Slot3_Rate)^(Slot3_Age-D19))/EE19),0)</f>
        <v>0</v>
      </c>
      <c r="EJ19" s="1" t="n">
        <f aca="false">IF(AQ19=1,MAX(0,(Slot3_Cost-AR19*(1+Slot3_Rate)^(Slot3_Age-D19))/EE19),0)</f>
        <v>0</v>
      </c>
      <c r="EK19" s="1" t="n">
        <f aca="false">IF(AND(DD19=1,AQ19=1),MIN(ED19,EI19),0)</f>
        <v>0</v>
      </c>
      <c r="EL19" s="1" t="n">
        <f aca="false">ED19-EK19</f>
        <v>0</v>
      </c>
      <c r="EM19" s="1" t="n">
        <f aca="false">IF(BA19=1,IF(ABS((1+AS_Wage)/(1+Slot4_Rate)-1)&lt;0.000000000001,(Slot4_Age-D19)*(1+Slot4_Rate)^(Slot4_Age-D19),(1+Slot4_Rate)^(Slot4_Age-D19)*(1-((1+AS_Wage)/(1+Slot4_Rate))^(Slot4_Age-D19))/(1-(1+AS_Wage)/(1+Slot4_Rate))),1)</f>
        <v>1</v>
      </c>
      <c r="EN19" s="1" t="n">
        <f aca="false">IF(AND(DD19=1,DN19&gt;0,Slot4_IsWG=1,BA19=1),MAX(0,(Slot4_Cost-BB19*(1+Slot4_Rate)^(Slot4_Age-D19))/EM19),0)</f>
        <v>0</v>
      </c>
      <c r="EO19" s="1" t="n">
        <f aca="false">IF(AND(DD19=1,DN19&gt;0,Slot4_IsWG=1,BA19=1),MIN(DN19,EN19),0)</f>
        <v>0</v>
      </c>
      <c r="EP19" s="1" t="n">
        <f aca="false">BB19+EO19</f>
        <v>0</v>
      </c>
      <c r="EQ19" s="1" t="n">
        <f aca="false">IF(BA19=1,MAX(0,(Slot4_Cost-EP19*(1+Slot4_Rate)^(Slot4_Age-D19))/EM19),0)</f>
        <v>0</v>
      </c>
      <c r="ER19" s="1" t="n">
        <f aca="false">IF(BA19=1,MAX(0,(Slot4_Cost-BB19*(1+Slot4_Rate)^(Slot4_Age-D19))/EM19),0)</f>
        <v>0</v>
      </c>
      <c r="ES19" s="1" t="n">
        <f aca="false">IF(AND(DD19=1,BA19=1),MIN(EL19,EQ19),0)</f>
        <v>0</v>
      </c>
      <c r="ET19" s="1" t="n">
        <f aca="false">EL19-ES19</f>
        <v>0</v>
      </c>
      <c r="EU19" s="1" t="n">
        <f aca="false">IF(BK19=1,IF(ABS((1+AS_Wage)/(1+Slot5_Rate)-1)&lt;0.000000000001,(Slot5_Age-D19)*(1+Slot5_Rate)^(Slot5_Age-D19),(1+Slot5_Rate)^(Slot5_Age-D19)*(1-((1+AS_Wage)/(1+Slot5_Rate))^(Slot5_Age-D19))/(1-(1+AS_Wage)/(1+Slot5_Rate))),1)</f>
        <v>1</v>
      </c>
      <c r="EV19" s="1" t="n">
        <f aca="false">IF(AND(DD19=1,DN19&gt;0,Slot5_IsWG=1,BK19=1),MAX(0,(Slot5_Cost-BL19*(1+Slot5_Rate)^(Slot5_Age-D19))/EU19),0)</f>
        <v>0</v>
      </c>
      <c r="EW19" s="1" t="n">
        <f aca="false">IF(AND(DD19=1,DN19&gt;0,Slot5_IsWG=1,BK19=1),MIN(DN19,EV19),0)</f>
        <v>0</v>
      </c>
      <c r="EX19" s="1" t="n">
        <f aca="false">BL19+EW19</f>
        <v>0</v>
      </c>
      <c r="EY19" s="1" t="n">
        <f aca="false">IF(BK19=1,MAX(0,(Slot5_Cost-EX19*(1+Slot5_Rate)^(Slot5_Age-D19))/EU19),0)</f>
        <v>0</v>
      </c>
      <c r="EZ19" s="1" t="n">
        <f aca="false">IF(BK19=1,MAX(0,(Slot5_Cost-BL19*(1+Slot5_Rate)^(Slot5_Age-D19))/EU19),0)</f>
        <v>0</v>
      </c>
      <c r="FA19" s="1" t="n">
        <f aca="false">IF(AND(DD19=1,BK19=1),MIN(ET19,EY19),0)</f>
        <v>0</v>
      </c>
      <c r="FB19" s="1" t="n">
        <f aca="false">ET19-FA19</f>
        <v>0</v>
      </c>
      <c r="FC19" s="1" t="n">
        <f aca="false">IF(BU19=1,IF(ABS((1+AS_Wage)/(1+Slot6_Rate)-1)&lt;0.000000000001,(Slot6_Age-D19)*(1+Slot6_Rate)^(Slot6_Age-D19),(1+Slot6_Rate)^(Slot6_Age-D19)*(1-((1+AS_Wage)/(1+Slot6_Rate))^(Slot6_Age-D19))/(1-(1+AS_Wage)/(1+Slot6_Rate))),1)</f>
        <v>1</v>
      </c>
      <c r="FD19" s="1" t="n">
        <f aca="false">IF(AND(DD19=1,DN19&gt;0,Slot6_IsWG=1,BU19=1),MAX(0,(Slot6_Cost-BV19*(1+Slot6_Rate)^(Slot6_Age-D19))/FC19),0)</f>
        <v>0</v>
      </c>
      <c r="FE19" s="1" t="n">
        <f aca="false">IF(AND(DD19=1,DN19&gt;0,Slot6_IsWG=1,BU19=1),MIN(DN19,FD19),0)</f>
        <v>0</v>
      </c>
      <c r="FF19" s="1" t="n">
        <f aca="false">BV19+FE19</f>
        <v>0</v>
      </c>
      <c r="FG19" s="1" t="n">
        <f aca="false">IF(BU19=1,MAX(0,(Slot6_Cost-FF19*(1+Slot6_Rate)^(Slot6_Age-D19))/FC19),0)</f>
        <v>0</v>
      </c>
      <c r="FH19" s="1" t="n">
        <f aca="false">IF(BU19=1,MAX(0,(Slot6_Cost-BV19*(1+Slot6_Rate)^(Slot6_Age-D19))/FC19),0)</f>
        <v>0</v>
      </c>
      <c r="FI19" s="1" t="n">
        <f aca="false">IF(AND(DD19=1,BU19=1),MIN(FB19,FG19),0)</f>
        <v>0</v>
      </c>
      <c r="FJ19" s="1" t="n">
        <f aca="false">FB19-FI19</f>
        <v>0</v>
      </c>
      <c r="FK19" s="1" t="n">
        <f aca="false">IF(CE19=1,IF(ABS((1+AS_Wage)/(1+Slot7_Rate)-1)&lt;0.000000000001,(Slot7_Age-D19)*(1+Slot7_Rate)^(Slot7_Age-D19),(1+Slot7_Rate)^(Slot7_Age-D19)*(1-((1+AS_Wage)/(1+Slot7_Rate))^(Slot7_Age-D19))/(1-(1+AS_Wage)/(1+Slot7_Rate))),1)</f>
        <v>1</v>
      </c>
      <c r="FL19" s="1" t="n">
        <f aca="false">IF(AND(DD19=1,DN19&gt;0,Slot7_IsWG=1,CE19=1),MAX(0,(Slot7_Cost-CF19*(1+Slot7_Rate)^(Slot7_Age-D19))/FK19),0)</f>
        <v>0</v>
      </c>
      <c r="FM19" s="1" t="n">
        <f aca="false">IF(AND(DD19=1,DN19&gt;0,Slot7_IsWG=1,CE19=1),MIN(DN19,FL19),0)</f>
        <v>0</v>
      </c>
      <c r="FN19" s="1" t="n">
        <f aca="false">CF19+FM19</f>
        <v>0</v>
      </c>
      <c r="FO19" s="1" t="n">
        <f aca="false">IF(CE19=1,MAX(0,(Slot7_Cost-FN19*(1+Slot7_Rate)^(Slot7_Age-D19))/FK19),0)</f>
        <v>0</v>
      </c>
      <c r="FP19" s="1" t="n">
        <f aca="false">IF(CE19=1,MAX(0,(Slot7_Cost-CF19*(1+Slot7_Rate)^(Slot7_Age-D19))/FK19),0)</f>
        <v>0</v>
      </c>
      <c r="FQ19" s="1" t="n">
        <f aca="false">IF(AND(DD19=1,CE19=1),MIN(FJ19,FO19),0)</f>
        <v>0</v>
      </c>
      <c r="FR19" s="1" t="n">
        <f aca="false">FJ19-FQ19</f>
        <v>0</v>
      </c>
      <c r="FS19" s="1" t="n">
        <f aca="false">IF(CO19=1,IF(ABS((1+AS_Wage)/(1+Slot8_Rate)-1)&lt;0.000000000001,(Slot8_Age-D19)*(1+Slot8_Rate)^(Slot8_Age-D19),(1+Slot8_Rate)^(Slot8_Age-D19)*(1-((1+AS_Wage)/(1+Slot8_Rate))^(Slot8_Age-D19))/(1-(1+AS_Wage)/(1+Slot8_Rate))),1)</f>
        <v>1</v>
      </c>
      <c r="FT19" s="1" t="n">
        <f aca="false">IF(AND(DD19=1,DN19&gt;0,Slot8_IsWG=1,CO19=1),MAX(0,(Slot8_Cost-CP19*(1+Slot8_Rate)^(Slot8_Age-D19))/FS19),0)</f>
        <v>0</v>
      </c>
      <c r="FU19" s="1" t="n">
        <f aca="false">IF(AND(DD19=1,DN19&gt;0,Slot8_IsWG=1,CO19=1),MIN(DN19,FT19),0)</f>
        <v>0</v>
      </c>
      <c r="FV19" s="1" t="n">
        <f aca="false">CP19+FU19</f>
        <v>0</v>
      </c>
      <c r="FW19" s="1" t="n">
        <f aca="false">IF(CO19=1,MAX(0,(Slot8_Cost-FV19*(1+Slot8_Rate)^(Slot8_Age-D19))/FS19),0)</f>
        <v>0</v>
      </c>
      <c r="FX19" s="1" t="n">
        <f aca="false">IF(CO19=1,MAX(0,(Slot8_Cost-CP19*(1+Slot8_Rate)^(Slot8_Age-D19))/FS19),0)</f>
        <v>0</v>
      </c>
      <c r="FY19" s="1" t="n">
        <f aca="false">IF(AND(DD19=1,CO19=1),MIN(FR19,FW19),0)</f>
        <v>0</v>
      </c>
      <c r="FZ19" s="1" t="n">
        <f aca="false">FR19-FY19</f>
        <v>0</v>
      </c>
      <c r="GA19" s="1" t="n">
        <f aca="false">DN19-(DQ19+DY19+EG19+EO19+EW19+FE19+FM19+FU19)</f>
        <v>0</v>
      </c>
      <c r="GB19" s="1" t="n">
        <f aca="false">IF(DD19=1,DB19-DM19-DN19,0)</f>
        <v>0</v>
      </c>
      <c r="GC19" s="1" t="n">
        <f aca="false">IF(DD19=0,-DB19,0)</f>
        <v>0</v>
      </c>
      <c r="GD19" s="1" t="n">
        <f aca="false">MIN(GC19,CT19)</f>
        <v>0</v>
      </c>
      <c r="GE19" s="1" t="n">
        <f aca="false">GC19-GD19</f>
        <v>0</v>
      </c>
      <c r="GF19" s="1" t="n">
        <f aca="false">MIN(GE19,CU19)</f>
        <v>0</v>
      </c>
      <c r="GG19" s="1" t="n">
        <f aca="false">GE19-GF19</f>
        <v>0</v>
      </c>
      <c r="GH19" s="1" t="n">
        <f aca="false">IF(AND(DD19=0,CO19=1,GG19&gt;0),MIN(GG19,CP19),0)</f>
        <v>0</v>
      </c>
      <c r="GI19" s="1" t="n">
        <f aca="false">GG19-GH19</f>
        <v>0</v>
      </c>
      <c r="GJ19" s="1" t="n">
        <f aca="false">IF(AND(DD19=0,CE19=1,GI19&gt;0),MIN(GI19,CF19),0)</f>
        <v>0</v>
      </c>
      <c r="GK19" s="1" t="n">
        <f aca="false">GI19-GJ19</f>
        <v>0</v>
      </c>
      <c r="GL19" s="1" t="n">
        <f aca="false">IF(AND(DD19=0,BU19=1,GK19&gt;0),MIN(GK19,BV19),0)</f>
        <v>0</v>
      </c>
      <c r="GM19" s="1" t="n">
        <f aca="false">GK19-GL19</f>
        <v>0</v>
      </c>
      <c r="GN19" s="1" t="n">
        <f aca="false">IF(AND(DD19=0,BK19=1,GM19&gt;0),MIN(GM19,BL19),0)</f>
        <v>0</v>
      </c>
      <c r="GO19" s="1" t="n">
        <f aca="false">GM19-GN19</f>
        <v>0</v>
      </c>
      <c r="GP19" s="1" t="n">
        <f aca="false">IF(AND(DD19=0,BA19=1,GO19&gt;0),MIN(GO19,BB19),0)</f>
        <v>0</v>
      </c>
      <c r="GQ19" s="1" t="n">
        <f aca="false">GO19-GP19</f>
        <v>0</v>
      </c>
      <c r="GR19" s="1" t="n">
        <f aca="false">IF(AND(DD19=0,AQ19=1,GQ19&gt;0),MIN(GQ19,AR19),0)</f>
        <v>0</v>
      </c>
      <c r="GS19" s="1" t="n">
        <f aca="false">GQ19-GR19</f>
        <v>0</v>
      </c>
      <c r="GT19" s="1" t="n">
        <f aca="false">IF(AND(DD19=0,AG19=1,GS19&gt;0),MIN(GS19,AH19),0)</f>
        <v>0</v>
      </c>
      <c r="GU19" s="1" t="n">
        <f aca="false">GS19-GT19</f>
        <v>0</v>
      </c>
      <c r="GV19" s="1" t="n">
        <f aca="false">IF(AND(DD19=0,V19=1,GU19&gt;0),MIN(GU19,W19),0)</f>
        <v>0</v>
      </c>
      <c r="GW19" s="1" t="n">
        <f aca="false">GU19-GV19</f>
        <v>0</v>
      </c>
      <c r="GX19" s="1" t="n">
        <f aca="false">IF(DD19=0,GW19,0)</f>
        <v>0</v>
      </c>
      <c r="GY19" s="1" t="n">
        <f aca="false">GD19+GF19+GV19+GT19+GR19+GP19+GN19+GL19+GJ19+GH19</f>
        <v>0</v>
      </c>
      <c r="GZ19" s="1" t="n">
        <f aca="false">IF(DD19=1,CT19+GA19+FZ19+IF(F19=1,0,GB19),CT19-GD19)</f>
        <v>0</v>
      </c>
      <c r="HA19" s="1" t="n">
        <f aca="false">CU19-GF19</f>
        <v>0</v>
      </c>
      <c r="HB19" s="1" t="n">
        <f aca="false">IF(DD19=1,IF(F19=1,DM19+DN19,DB19),0)</f>
        <v>0</v>
      </c>
      <c r="HC19" s="1" t="n">
        <f aca="false">IF(DD19=1,IF(F19=1,DB19-DM19-DN19,0),0)</f>
        <v>0</v>
      </c>
      <c r="HD19" s="1" t="n">
        <f aca="false">GZ19*(1+GR)</f>
        <v>0</v>
      </c>
      <c r="HE19" s="1" t="n">
        <f aca="false">HA19*(1+AS_Cash)</f>
        <v>0</v>
      </c>
      <c r="HF19" s="1" t="n">
        <f aca="false">IF(V19=1,IF(DD19=1,DR19+DU19,W19-GV19)*(1+Slot1_Rate),0)</f>
        <v>0</v>
      </c>
      <c r="HG19" s="1" t="n">
        <f aca="false">IF(AND(DD19=1,V19=1),(DQ19+DU19)/E19,0)</f>
        <v>0</v>
      </c>
      <c r="HH19" s="1" t="n">
        <f aca="false">IF(B19=0,DQ19+DU19,0)</f>
        <v>0</v>
      </c>
      <c r="HI19" s="1" t="n">
        <f aca="false">IF(B19=0,IF(DD19=1,DS19,DT19),0)</f>
        <v>0</v>
      </c>
      <c r="HJ19" s="1" t="n">
        <f aca="false">IF(AG19=1,IF(DD19=1,DZ19+EC19,AH19-GT19)*(1+Slot2_Rate),0)</f>
        <v>0</v>
      </c>
      <c r="HK19" s="1" t="n">
        <f aca="false">IF(AND(DD19=1,AG19=1),(DY19+EC19)/E19,0)</f>
        <v>0</v>
      </c>
      <c r="HL19" s="1" t="n">
        <f aca="false">IF(B19=0,DY19+EC19,0)</f>
        <v>0</v>
      </c>
      <c r="HM19" s="1" t="n">
        <f aca="false">IF(B19=0,IF(DD19=1,EA19,EB19),0)</f>
        <v>0</v>
      </c>
      <c r="HN19" s="1" t="n">
        <f aca="false">IF(AQ19=1,IF(DD19=1,EH19+EK19,AR19-GR19)*(1+Slot3_Rate),0)</f>
        <v>0</v>
      </c>
      <c r="HO19" s="1" t="n">
        <f aca="false">IF(AND(DD19=1,AQ19=1),(EG19+EK19)/E19,0)</f>
        <v>0</v>
      </c>
      <c r="HP19" s="1" t="n">
        <f aca="false">IF(B19=0,EG19+EK19,0)</f>
        <v>0</v>
      </c>
      <c r="HQ19" s="1" t="n">
        <f aca="false">IF(B19=0,IF(DD19=1,EI19,EJ19),0)</f>
        <v>0</v>
      </c>
      <c r="HR19" s="1" t="n">
        <f aca="false">IF(BA19=1,IF(DD19=1,EP19+ES19,BB19-GP19)*(1+Slot4_Rate),0)</f>
        <v>0</v>
      </c>
      <c r="HS19" s="1" t="n">
        <f aca="false">IF(AND(DD19=1,BA19=1),(EO19+ES19)/E19,0)</f>
        <v>0</v>
      </c>
      <c r="HT19" s="1" t="n">
        <f aca="false">IF(B19=0,EO19+ES19,0)</f>
        <v>0</v>
      </c>
      <c r="HU19" s="1" t="n">
        <f aca="false">IF(B19=0,IF(DD19=1,EQ19,ER19),0)</f>
        <v>0</v>
      </c>
      <c r="HV19" s="1" t="n">
        <f aca="false">IF(BK19=1,IF(DD19=1,EX19+FA19,BL19-GN19)*(1+Slot5_Rate),0)</f>
        <v>0</v>
      </c>
      <c r="HW19" s="1" t="n">
        <f aca="false">IF(AND(DD19=1,BK19=1),(EW19+FA19)/E19,0)</f>
        <v>0</v>
      </c>
      <c r="HX19" s="1" t="n">
        <f aca="false">IF(B19=0,EW19+FA19,0)</f>
        <v>0</v>
      </c>
      <c r="HY19" s="1" t="n">
        <f aca="false">IF(B19=0,IF(DD19=1,EY19,EZ19),0)</f>
        <v>0</v>
      </c>
      <c r="HZ19" s="1" t="n">
        <f aca="false">IF(BU19=1,IF(DD19=1,FF19+FI19,BV19-GL19)*(1+Slot6_Rate),0)</f>
        <v>0</v>
      </c>
      <c r="IA19" s="1" t="n">
        <f aca="false">IF(AND(DD19=1,BU19=1),(FE19+FI19)/E19,0)</f>
        <v>0</v>
      </c>
      <c r="IB19" s="1" t="n">
        <f aca="false">IF(B19=0,FE19+FI19,0)</f>
        <v>0</v>
      </c>
      <c r="IC19" s="1" t="n">
        <f aca="false">IF(B19=0,IF(DD19=1,FG19,FH19),0)</f>
        <v>0</v>
      </c>
      <c r="ID19" s="1" t="n">
        <f aca="false">IF(CE19=1,IF(DD19=1,FN19+FQ19,CF19-GJ19)*(1+Slot7_Rate),0)</f>
        <v>0</v>
      </c>
      <c r="IE19" s="1" t="n">
        <f aca="false">IF(AND(DD19=1,CE19=1),(FM19+FQ19)/E19,0)</f>
        <v>0</v>
      </c>
      <c r="IF19" s="1" t="n">
        <f aca="false">IF(B19=0,FM19+FQ19,0)</f>
        <v>0</v>
      </c>
      <c r="IG19" s="1" t="n">
        <f aca="false">IF(B19=0,IF(DD19=1,FO19,FP19),0)</f>
        <v>0</v>
      </c>
      <c r="IH19" s="1" t="n">
        <f aca="false">IF(CO19=1,IF(DD19=1,FV19+FY19,CP19-GH19)*(1+Slot8_Rate),0)</f>
        <v>0</v>
      </c>
      <c r="II19" s="1" t="n">
        <f aca="false">IF(AND(DD19=1,CO19=1),(FU19+FY19)/E19,0)</f>
        <v>0</v>
      </c>
      <c r="IJ19" s="1" t="n">
        <f aca="false">IF(B19=0,FU19+FY19,0)</f>
        <v>0</v>
      </c>
      <c r="IK19" s="1" t="n">
        <f aca="false">IF(B19=0,IF(DD19=1,FW19,FX19),0)</f>
        <v>0</v>
      </c>
      <c r="IL19" s="1" t="n">
        <f aca="false">HD19+HE19+HF19+HJ19+HN19+HR19+HV19+HZ19+ID19+IH19</f>
        <v>0</v>
      </c>
      <c r="IM19" s="1" t="n">
        <f aca="false">GX19+CY19</f>
        <v>0</v>
      </c>
      <c r="IN19" s="1" t="n">
        <f aca="false">H19+R19</f>
        <v>0</v>
      </c>
      <c r="IO19" s="1" t="n">
        <f aca="false">1-F19</f>
        <v>1</v>
      </c>
      <c r="IP19" s="1" t="n">
        <f aca="false">IF(AND(RG_Exists=1,F19=0,C19=1),H19,0)</f>
        <v>0</v>
      </c>
      <c r="IQ19" s="1" t="n">
        <f aca="false">IF(AND(RG_Exists=1,F19=0,C19=1),H19-MIN(GX19,H19),0)</f>
        <v>0</v>
      </c>
      <c r="IR19" s="1" t="n">
        <f aca="false">'Plan pay &amp; tax'!AD221</f>
        <v>0</v>
      </c>
      <c r="IS19" s="1" t="n">
        <f aca="false">IF(AND(C19=1,GX19&gt;MAX(PR_Short1,IN19*PR_Short2)),1,0)</f>
        <v>0</v>
      </c>
      <c r="IT19" s="1" t="n">
        <f aca="false">MIN(G19,H19+R19)</f>
        <v>0</v>
      </c>
      <c r="IU19" s="1" t="n">
        <f aca="false">GY19+MAX(0,CZ19-CY19)</f>
        <v>0</v>
      </c>
      <c r="IV19" s="1" t="n">
        <f aca="false">GX19+CY19</f>
        <v>0</v>
      </c>
      <c r="IW19" s="1" t="n">
        <f aca="false">IF(AND(C19=1,IV19&gt;0.5),1,0)</f>
        <v>0</v>
      </c>
      <c r="IX19" s="1" t="n">
        <f aca="false">IF(AND(C19=1,IW19=0,IU19&gt;0.5),1,0)</f>
        <v>0</v>
      </c>
      <c r="IY19" s="1" t="n">
        <f aca="false">IF(AND(C19=1,GX19&gt;0.5),1,0)</f>
        <v>0</v>
      </c>
      <c r="IZ19" s="1" t="n">
        <f aca="false">IF(AND(C19=1,GY19&gt;1,JF19=0),1,0)</f>
        <v>0</v>
      </c>
      <c r="JA19" s="1" t="n">
        <f aca="false">IF(AND(INT(D19/10)*10=90,B19&gt;0),80,INT(D19/10)*10)</f>
        <v>10</v>
      </c>
      <c r="JB19" s="1" t="n">
        <f aca="false">IF(B19=0,1,IF(JA19&lt;&gt;JA18,JB18+1,JB18))</f>
        <v>2</v>
      </c>
      <c r="JC19" s="1" t="n">
        <f aca="false">IF(AND(C19=1,F19=1,GX19&gt;MAX(PR_Short1,IN19*PR_Short2)),1,0)</f>
        <v>0</v>
      </c>
      <c r="JD19" s="1" t="n">
        <f aca="false">IO19*IS19</f>
        <v>0</v>
      </c>
      <c r="JE19" s="1" t="n">
        <f aca="false">IF(AND(U19=1,Slot1_PctLow=1),1,0)+IF(AND(AF19=1,Slot2_PctLow=1),1,0)+IF(AND(AP19=1,Slot3_PctLow=1),1,0)+IF(AND(AZ19=1,Slot4_PctLow=1),1,0)+IF(AND(BJ19=1,Slot5_PctLow=1),1,0)+IF(AND(BT19=1,Slot6_PctLow=1),1,0)+IF(AND(CD19=1,Slot7_PctLow=1),1,0)+IF(AND(CN19=1,Slot8_PctLow=1),1,0)</f>
        <v>0</v>
      </c>
      <c r="JF19" s="1" t="n">
        <f aca="false">IF(C19=1,IF(OR(IS19=1,JE19&gt;0),1,0),0)</f>
        <v>0</v>
      </c>
    </row>
    <row r="20" customFormat="false" ht="15" hidden="false" customHeight="false" outlineLevel="0" collapsed="false">
      <c r="B20" s="1" t="n">
        <v>12</v>
      </c>
      <c r="C20" s="1" t="n">
        <f aca="false">IF(B20&lt;=F_N,1,0)</f>
        <v>1</v>
      </c>
      <c r="D20" s="1" t="n">
        <f aca="false">'Plan pay &amp; tax'!C222</f>
        <v>12</v>
      </c>
      <c r="E20" s="106" t="n">
        <f aca="false">'Plan pay &amp; tax'!E222</f>
        <v>1.26824179456255</v>
      </c>
      <c r="F20" s="1" t="n">
        <f aca="false">'Plan pay &amp; tax'!G222</f>
        <v>0</v>
      </c>
      <c r="G20" s="1" t="n">
        <f aca="false">'Plan pay &amp; tax'!BT222-'Plan pay &amp; tax'!BS222-'Plan pay &amp; tax'!R222</f>
        <v>0</v>
      </c>
      <c r="H20" s="1" t="n">
        <f aca="false">IF(F20=1,F_CostsM*12,IF(RG_Exists=1,RG_Amount,F_CostsM*12*AS_RetireSpend))*E20+F_OneOffY*E20</f>
        <v>0</v>
      </c>
      <c r="I20" s="1" t="n">
        <f aca="false">DA19</f>
        <v>0</v>
      </c>
      <c r="J20" s="1" t="n">
        <f aca="false">IF(I20&gt;1,'Plan debt months'!AC20,0)</f>
        <v>0</v>
      </c>
      <c r="K20" s="1" t="n">
        <f aca="false">IF(I20&gt;1,'Plan debt months'!AB20,I20)</f>
        <v>0</v>
      </c>
      <c r="L20" s="1" t="n">
        <f aca="false">N19</f>
        <v>0</v>
      </c>
      <c r="M20" s="1" t="n">
        <f aca="false">IF(L20&gt;1,'Plan debt months'!BD20,0)</f>
        <v>0</v>
      </c>
      <c r="N20" s="1" t="n">
        <f aca="false">IF(L20&gt;1,'Plan debt months'!BC20,L20)</f>
        <v>0</v>
      </c>
      <c r="O20" s="1" t="n">
        <f aca="false">Q19</f>
        <v>0</v>
      </c>
      <c r="P20" s="1" t="n">
        <f aca="false">IF(O20&gt;1,'Plan debt months'!CE20,0)</f>
        <v>0</v>
      </c>
      <c r="Q20" s="1" t="n">
        <f aca="false">IF(O20&gt;1,'Plan debt months'!CD20,O20)</f>
        <v>0</v>
      </c>
      <c r="R20" s="1" t="n">
        <f aca="false">J20+M20+P20</f>
        <v>0</v>
      </c>
      <c r="S20" s="1" t="n">
        <f aca="false">HD19+'Plan pay &amp; tax'!Y222</f>
        <v>0</v>
      </c>
      <c r="T20" s="1" t="n">
        <f aca="false">HD19</f>
        <v>0</v>
      </c>
      <c r="U20" s="1" t="n">
        <f aca="false">IF(AND(Slot1_On=1,D20=Slot1_Age),1,0)</f>
        <v>0</v>
      </c>
      <c r="V20" s="1" t="n">
        <f aca="false">IF(AND(Slot1_On=1,Slot1_Age&gt;D20),1,0)</f>
        <v>0</v>
      </c>
      <c r="W20" s="1" t="n">
        <f aca="false">HF19</f>
        <v>0</v>
      </c>
      <c r="X20" s="1" t="n">
        <f aca="false">U20*MIN(Slot1_Cost,W20)</f>
        <v>0</v>
      </c>
      <c r="Y20" s="1" t="n">
        <f aca="false">U20*Slot1_SpendLike*MIN(Slot1_Cost-X20,S20)</f>
        <v>0</v>
      </c>
      <c r="Z20" s="1" t="n">
        <f aca="false">X20+Y20</f>
        <v>0</v>
      </c>
      <c r="AA20" s="1" t="n">
        <f aca="false">S20-Y20+U20*IF(Slot1_SpendLike=1,W20-X20,IF(Slot1_PotFree=1,W20,0))</f>
        <v>0</v>
      </c>
      <c r="AB20" s="1" t="n">
        <f aca="false">AE20+U20*Slot1_BufPot*W20</f>
        <v>0</v>
      </c>
      <c r="AC20" s="1" t="n">
        <f aca="false">IF(AND(U20=1,Slot1_IsMfree=1),IF(Z20&gt;=Slot1_Cost-1,0,MAX(0,K20-Z20)),K20)</f>
        <v>0</v>
      </c>
      <c r="AD20" s="1" t="n">
        <f aca="false">U20*(Slot1_Cost-Z20)</f>
        <v>0</v>
      </c>
      <c r="AE20" s="1" t="n">
        <f aca="false">HE19</f>
        <v>0</v>
      </c>
      <c r="AF20" s="1" t="n">
        <f aca="false">IF(AND(Slot2_On=1,D20=Slot2_Age),1,0)</f>
        <v>0</v>
      </c>
      <c r="AG20" s="1" t="n">
        <f aca="false">IF(AND(Slot2_On=1,Slot2_Age&gt;D20),1,0)</f>
        <v>0</v>
      </c>
      <c r="AH20" s="1" t="n">
        <f aca="false">HJ19</f>
        <v>0</v>
      </c>
      <c r="AI20" s="1" t="n">
        <f aca="false">AF20*MIN(Slot2_Cost,AH20)</f>
        <v>0</v>
      </c>
      <c r="AJ20" s="1" t="n">
        <f aca="false">AF20*Slot2_SpendLike*MIN(Slot2_Cost-AI20,AA20)</f>
        <v>0</v>
      </c>
      <c r="AK20" s="1" t="n">
        <f aca="false">AI20+AJ20</f>
        <v>0</v>
      </c>
      <c r="AL20" s="1" t="n">
        <f aca="false">AA20-AJ20+AF20*IF(Slot2_SpendLike=1,AH20-AI20,IF(Slot2_PotFree=1,AH20,0))</f>
        <v>0</v>
      </c>
      <c r="AM20" s="1" t="n">
        <f aca="false">AB20+AF20*Slot2_BufPot*AH20</f>
        <v>0</v>
      </c>
      <c r="AN20" s="1" t="n">
        <f aca="false">IF(AND(AF20=1,Slot2_IsMfree=1),IF(AK20&gt;=Slot2_Cost-1,0,MAX(0,AC20-AK20)),AC20)</f>
        <v>0</v>
      </c>
      <c r="AO20" s="1" t="n">
        <f aca="false">AF20*(Slot2_Cost-AK20)</f>
        <v>0</v>
      </c>
      <c r="AP20" s="1" t="n">
        <f aca="false">IF(AND(Slot3_On=1,D20=Slot3_Age),1,0)</f>
        <v>0</v>
      </c>
      <c r="AQ20" s="1" t="n">
        <f aca="false">IF(AND(Slot3_On=1,Slot3_Age&gt;D20),1,0)</f>
        <v>0</v>
      </c>
      <c r="AR20" s="1" t="n">
        <f aca="false">HN19</f>
        <v>0</v>
      </c>
      <c r="AS20" s="1" t="n">
        <f aca="false">AP20*MIN(Slot3_Cost,AR20)</f>
        <v>0</v>
      </c>
      <c r="AT20" s="1" t="n">
        <f aca="false">AP20*Slot3_SpendLike*MIN(Slot3_Cost-AS20,AL20)</f>
        <v>0</v>
      </c>
      <c r="AU20" s="1" t="n">
        <f aca="false">AS20+AT20</f>
        <v>0</v>
      </c>
      <c r="AV20" s="1" t="n">
        <f aca="false">AL20-AT20+AP20*IF(Slot3_SpendLike=1,AR20-AS20,IF(Slot3_PotFree=1,AR20,0))</f>
        <v>0</v>
      </c>
      <c r="AW20" s="1" t="n">
        <f aca="false">AM20+AP20*Slot3_BufPot*AR20</f>
        <v>0</v>
      </c>
      <c r="AX20" s="1" t="n">
        <f aca="false">IF(AND(AP20=1,Slot3_IsMfree=1),IF(AU20&gt;=Slot3_Cost-1,0,MAX(0,AN20-AU20)),AN20)</f>
        <v>0</v>
      </c>
      <c r="AY20" s="1" t="n">
        <f aca="false">AP20*(Slot3_Cost-AU20)</f>
        <v>0</v>
      </c>
      <c r="AZ20" s="1" t="n">
        <f aca="false">IF(AND(Slot4_On=1,D20=Slot4_Age),1,0)</f>
        <v>0</v>
      </c>
      <c r="BA20" s="1" t="n">
        <f aca="false">IF(AND(Slot4_On=1,Slot4_Age&gt;D20),1,0)</f>
        <v>0</v>
      </c>
      <c r="BB20" s="1" t="n">
        <f aca="false">HR19</f>
        <v>0</v>
      </c>
      <c r="BC20" s="1" t="n">
        <f aca="false">AZ20*MIN(Slot4_Cost,BB20)</f>
        <v>0</v>
      </c>
      <c r="BD20" s="1" t="n">
        <f aca="false">AZ20*Slot4_SpendLike*MIN(Slot4_Cost-BC20,AV20)</f>
        <v>0</v>
      </c>
      <c r="BE20" s="1" t="n">
        <f aca="false">BC20+BD20</f>
        <v>0</v>
      </c>
      <c r="BF20" s="1" t="n">
        <f aca="false">AV20-BD20+AZ20*IF(Slot4_SpendLike=1,BB20-BC20,IF(Slot4_PotFree=1,BB20,0))</f>
        <v>0</v>
      </c>
      <c r="BG20" s="1" t="n">
        <f aca="false">AW20+AZ20*Slot4_BufPot*BB20</f>
        <v>0</v>
      </c>
      <c r="BH20" s="1" t="n">
        <f aca="false">IF(AND(AZ20=1,Slot4_IsMfree=1),IF(BE20&gt;=Slot4_Cost-1,0,MAX(0,AX20-BE20)),AX20)</f>
        <v>0</v>
      </c>
      <c r="BI20" s="1" t="n">
        <f aca="false">AZ20*(Slot4_Cost-BE20)</f>
        <v>0</v>
      </c>
      <c r="BJ20" s="1" t="n">
        <f aca="false">IF(AND(Slot5_On=1,D20=Slot5_Age),1,0)</f>
        <v>0</v>
      </c>
      <c r="BK20" s="1" t="n">
        <f aca="false">IF(AND(Slot5_On=1,Slot5_Age&gt;D20),1,0)</f>
        <v>0</v>
      </c>
      <c r="BL20" s="1" t="n">
        <f aca="false">HV19</f>
        <v>0</v>
      </c>
      <c r="BM20" s="1" t="n">
        <f aca="false">BJ20*MIN(Slot5_Cost,BL20)</f>
        <v>0</v>
      </c>
      <c r="BN20" s="1" t="n">
        <f aca="false">BJ20*Slot5_SpendLike*MIN(Slot5_Cost-BM20,BF20)</f>
        <v>0</v>
      </c>
      <c r="BO20" s="1" t="n">
        <f aca="false">BM20+BN20</f>
        <v>0</v>
      </c>
      <c r="BP20" s="1" t="n">
        <f aca="false">BF20-BN20+BJ20*IF(Slot5_SpendLike=1,BL20-BM20,IF(Slot5_PotFree=1,BL20,0))</f>
        <v>0</v>
      </c>
      <c r="BQ20" s="1" t="n">
        <f aca="false">BG20+BJ20*Slot5_BufPot*BL20</f>
        <v>0</v>
      </c>
      <c r="BR20" s="1" t="n">
        <f aca="false">IF(AND(BJ20=1,Slot5_IsMfree=1),IF(BO20&gt;=Slot5_Cost-1,0,MAX(0,BH20-BO20)),BH20)</f>
        <v>0</v>
      </c>
      <c r="BS20" s="1" t="n">
        <f aca="false">BJ20*(Slot5_Cost-BO20)</f>
        <v>0</v>
      </c>
      <c r="BT20" s="1" t="n">
        <f aca="false">IF(AND(Slot6_On=1,D20=Slot6_Age),1,0)</f>
        <v>0</v>
      </c>
      <c r="BU20" s="1" t="n">
        <f aca="false">IF(AND(Slot6_On=1,Slot6_Age&gt;D20),1,0)</f>
        <v>0</v>
      </c>
      <c r="BV20" s="1" t="n">
        <f aca="false">HZ19</f>
        <v>0</v>
      </c>
      <c r="BW20" s="1" t="n">
        <f aca="false">BT20*MIN(Slot6_Cost,BV20)</f>
        <v>0</v>
      </c>
      <c r="BX20" s="1" t="n">
        <f aca="false">BT20*Slot6_SpendLike*MIN(Slot6_Cost-BW20,BP20)</f>
        <v>0</v>
      </c>
      <c r="BY20" s="1" t="n">
        <f aca="false">BW20+BX20</f>
        <v>0</v>
      </c>
      <c r="BZ20" s="1" t="n">
        <f aca="false">BP20-BX20+BT20*IF(Slot6_SpendLike=1,BV20-BW20,IF(Slot6_PotFree=1,BV20,0))</f>
        <v>0</v>
      </c>
      <c r="CA20" s="1" t="n">
        <f aca="false">BQ20+BT20*Slot6_BufPot*BV20</f>
        <v>0</v>
      </c>
      <c r="CB20" s="1" t="n">
        <f aca="false">IF(AND(BT20=1,Slot6_IsMfree=1),IF(BY20&gt;=Slot6_Cost-1,0,MAX(0,BR20-BY20)),BR20)</f>
        <v>0</v>
      </c>
      <c r="CC20" s="1" t="n">
        <f aca="false">BT20*(Slot6_Cost-BY20)</f>
        <v>0</v>
      </c>
      <c r="CD20" s="1" t="n">
        <f aca="false">IF(AND(Slot7_On=1,D20=Slot7_Age),1,0)</f>
        <v>0</v>
      </c>
      <c r="CE20" s="1" t="n">
        <f aca="false">IF(AND(Slot7_On=1,Slot7_Age&gt;D20),1,0)</f>
        <v>0</v>
      </c>
      <c r="CF20" s="1" t="n">
        <f aca="false">ID19</f>
        <v>0</v>
      </c>
      <c r="CG20" s="1" t="n">
        <f aca="false">CD20*MIN(Slot7_Cost,CF20)</f>
        <v>0</v>
      </c>
      <c r="CH20" s="1" t="n">
        <f aca="false">CD20*Slot7_SpendLike*MIN(Slot7_Cost-CG20,BZ20)</f>
        <v>0</v>
      </c>
      <c r="CI20" s="1" t="n">
        <f aca="false">CG20+CH20</f>
        <v>0</v>
      </c>
      <c r="CJ20" s="1" t="n">
        <f aca="false">BZ20-CH20+CD20*IF(Slot7_SpendLike=1,CF20-CG20,IF(Slot7_PotFree=1,CF20,0))</f>
        <v>0</v>
      </c>
      <c r="CK20" s="1" t="n">
        <f aca="false">CA20+CD20*Slot7_BufPot*CF20</f>
        <v>0</v>
      </c>
      <c r="CL20" s="1" t="n">
        <f aca="false">IF(AND(CD20=1,Slot7_IsMfree=1),IF(CI20&gt;=Slot7_Cost-1,0,MAX(0,CB20-CI20)),CB20)</f>
        <v>0</v>
      </c>
      <c r="CM20" s="1" t="n">
        <f aca="false">CD20*(Slot7_Cost-CI20)</f>
        <v>0</v>
      </c>
      <c r="CN20" s="1" t="n">
        <f aca="false">IF(AND(Slot8_On=1,D20=Slot8_Age),1,0)</f>
        <v>0</v>
      </c>
      <c r="CO20" s="1" t="n">
        <f aca="false">IF(AND(Slot8_On=1,Slot8_Age&gt;D20),1,0)</f>
        <v>0</v>
      </c>
      <c r="CP20" s="1" t="n">
        <f aca="false">IH19</f>
        <v>0</v>
      </c>
      <c r="CQ20" s="1" t="n">
        <f aca="false">CN20*MIN(Slot8_Cost,CP20)</f>
        <v>0</v>
      </c>
      <c r="CR20" s="1" t="n">
        <f aca="false">CN20*Slot8_SpendLike*MIN(Slot8_Cost-CQ20,CJ20)</f>
        <v>0</v>
      </c>
      <c r="CS20" s="1" t="n">
        <f aca="false">CQ20+CR20</f>
        <v>0</v>
      </c>
      <c r="CT20" s="1" t="n">
        <f aca="false">CJ20-CR20+CN20*IF(Slot8_SpendLike=1,CP20-CQ20,IF(Slot8_PotFree=1,CP20,0))</f>
        <v>0</v>
      </c>
      <c r="CU20" s="1" t="n">
        <f aca="false">CK20+CN20*Slot8_BufPot*CP20</f>
        <v>0</v>
      </c>
      <c r="CV20" s="1" t="n">
        <f aca="false">IF(AND(CN20=1,Slot8_IsMfree=1),IF(CS20&gt;=Slot8_Cost-1,0,MAX(0,CL20-CS20)),CL20)</f>
        <v>0</v>
      </c>
      <c r="CW20" s="1" t="n">
        <f aca="false">CN20*(Slot8_Cost-CS20)</f>
        <v>0</v>
      </c>
      <c r="CX20" s="1" t="n">
        <f aca="false">U20*Slot1_SpendLike*Z20+AF20*Slot2_SpendLike*AK20+AP20*Slot3_SpendLike*AU20+AZ20*Slot4_SpendLike*BE20+BJ20*Slot5_SpendLike*BO20+BT20*Slot6_SpendLike*BY20+CD20*Slot7_SpendLike*CI20+CN20*Slot8_SpendLike*CS20</f>
        <v>0</v>
      </c>
      <c r="CY20" s="1" t="n">
        <f aca="false">AD20+AO20+AY20+BI20+BS20+CC20+CM20+CW20</f>
        <v>0</v>
      </c>
      <c r="CZ20" s="1" t="n">
        <f aca="false">U20*Slot1_Cost+AF20*Slot2_Cost+AP20*Slot3_Cost+AZ20*Slot4_Cost+BJ20*Slot5_Cost+BT20*Slot6_Cost+CD20*Slot7_Cost+CN20*Slot8_Cost</f>
        <v>0</v>
      </c>
      <c r="DA20" s="1" t="n">
        <f aca="false">CV20</f>
        <v>0</v>
      </c>
      <c r="DB20" s="1" t="n">
        <f aca="false">G20-H20-R20</f>
        <v>0</v>
      </c>
      <c r="DC20" s="1" t="n">
        <f aca="false">IF(B20=0,IF(AND(Has_q6=1,In_q6=4),PR_ShareVaries*(MAX(0,DB20)/12),MIN(IF(Has_q6=1,CHOOSE(In_q6+1,PR_SaveB1,PR_SaveB2,PR_SaveB3,PR_SaveB4,0),AS_NoAnswer),AS_SaveShare*(MAX(0,DB20)/12))),DC19)</f>
        <v>0</v>
      </c>
      <c r="DD20" s="1" t="n">
        <f aca="false">IF(DB20&gt;=0,1,0)</f>
        <v>1</v>
      </c>
      <c r="DE20" s="1" t="n">
        <f aca="false">MAX(0,DB20/12/E20)</f>
        <v>0</v>
      </c>
      <c r="DF20" s="1" t="n">
        <f aca="false">IF(AND(Has_q6=1,In_q6=4),PR_ShareVaries*(DE20),MIN(IF(Has_q6=1,CHOOSE(In_q6+1,PR_SaveB1,PR_SaveB2,PR_SaveB3,PR_SaveB4,0),AS_NoAnswer),AS_SaveShare*(DE20)))</f>
        <v>0</v>
      </c>
      <c r="DG20" s="1" t="n">
        <f aca="false">IF(Has_saveM=1,IF(In_saveUp="Yes",1,IF(In_saveUp="No",0,IF(In_saveM&gt;=DC20-0.5,1,0))),0)</f>
        <v>0</v>
      </c>
      <c r="DH20" s="1" t="n">
        <f aca="false">IF(Has_saveM=1,MIN(DE20,IF(DG20=1,MAX(In_saveM,DF20),MIN(In_saveM,DF20))),DF20)</f>
        <v>0</v>
      </c>
      <c r="DI20" s="1" t="n">
        <f aca="false">IF(F20=1,DH20*12*E20,0)</f>
        <v>0</v>
      </c>
      <c r="DJ20" s="1" t="n">
        <f aca="false">MAX(0,DI20+IF(AND(WI_Retire=0,WI_M&lt;0,F20=1),WI_M*12*E20,0))</f>
        <v>0</v>
      </c>
      <c r="DK20" s="1" t="n">
        <f aca="false">Slot1_IsWG*V20+Slot2_IsWG*AG20+Slot3_IsWG*AQ20+Slot4_IsWG*BA20+Slot5_IsWG*BK20+Slot6_IsWG*BU20+Slot7_IsWG*CE20+Slot8_IsWG*CO20</f>
        <v>0</v>
      </c>
      <c r="DL20" s="1" t="n">
        <f aca="false">IF(AND(WI_Retire=0,WI_M&gt;0,F20=1,DK20&gt;=1),WI_M*12*E20,0)</f>
        <v>0</v>
      </c>
      <c r="DM20" s="1" t="n">
        <f aca="false">IF(DD20=1,MIN(DJ20,DB20),0)</f>
        <v>0</v>
      </c>
      <c r="DN20" s="1" t="n">
        <f aca="false">IF(DD20=1,MIN(DL20,DB20-DM20),0)</f>
        <v>0</v>
      </c>
      <c r="DO20" s="1" t="n">
        <f aca="false">IF(V20=1,IF(ABS((1+AS_Wage)/(1+Slot1_Rate)-1)&lt;0.000000000001,(Slot1_Age-D20)*(1+Slot1_Rate)^(Slot1_Age-D20),(1+Slot1_Rate)^(Slot1_Age-D20)*(1-((1+AS_Wage)/(1+Slot1_Rate))^(Slot1_Age-D20))/(1-(1+AS_Wage)/(1+Slot1_Rate))),1)</f>
        <v>1</v>
      </c>
      <c r="DP20" s="1" t="n">
        <f aca="false">IF(AND(DD20=1,DN20&gt;0,Slot1_IsWG=1,V20=1),MAX(0,(Slot1_Cost-W20*(1+Slot1_Rate)^(Slot1_Age-D20))/DO20),0)</f>
        <v>0</v>
      </c>
      <c r="DQ20" s="1" t="n">
        <f aca="false">IF(AND(DD20=1,DN20&gt;0,Slot1_IsWG=1,V20=1),MIN(DN20,DP20),0)</f>
        <v>0</v>
      </c>
      <c r="DR20" s="1" t="n">
        <f aca="false">W20+DQ20</f>
        <v>0</v>
      </c>
      <c r="DS20" s="1" t="n">
        <f aca="false">IF(V20=1,MAX(0,(Slot1_Cost-DR20*(1+Slot1_Rate)^(Slot1_Age-D20))/DO20),0)</f>
        <v>0</v>
      </c>
      <c r="DT20" s="1" t="n">
        <f aca="false">IF(V20=1,MAX(0,(Slot1_Cost-W20*(1+Slot1_Rate)^(Slot1_Age-D20))/DO20),0)</f>
        <v>0</v>
      </c>
      <c r="DU20" s="1" t="n">
        <f aca="false">IF(AND(DD20=1,V20=1),MIN(DM20,DS20),0)</f>
        <v>0</v>
      </c>
      <c r="DV20" s="1" t="n">
        <f aca="false">DM20-DU20</f>
        <v>0</v>
      </c>
      <c r="DW20" s="1" t="n">
        <f aca="false">IF(AG20=1,IF(ABS((1+AS_Wage)/(1+Slot2_Rate)-1)&lt;0.000000000001,(Slot2_Age-D20)*(1+Slot2_Rate)^(Slot2_Age-D20),(1+Slot2_Rate)^(Slot2_Age-D20)*(1-((1+AS_Wage)/(1+Slot2_Rate))^(Slot2_Age-D20))/(1-(1+AS_Wage)/(1+Slot2_Rate))),1)</f>
        <v>1</v>
      </c>
      <c r="DX20" s="1" t="n">
        <f aca="false">IF(AND(DD20=1,DN20&gt;0,Slot2_IsWG=1,AG20=1),MAX(0,(Slot2_Cost-AH20*(1+Slot2_Rate)^(Slot2_Age-D20))/DW20),0)</f>
        <v>0</v>
      </c>
      <c r="DY20" s="1" t="n">
        <f aca="false">IF(AND(DD20=1,DN20&gt;0,Slot2_IsWG=1,AG20=1),MIN(DN20,DX20),0)</f>
        <v>0</v>
      </c>
      <c r="DZ20" s="1" t="n">
        <f aca="false">AH20+DY20</f>
        <v>0</v>
      </c>
      <c r="EA20" s="1" t="n">
        <f aca="false">IF(AG20=1,MAX(0,(Slot2_Cost-DZ20*(1+Slot2_Rate)^(Slot2_Age-D20))/DW20),0)</f>
        <v>0</v>
      </c>
      <c r="EB20" s="1" t="n">
        <f aca="false">IF(AG20=1,MAX(0,(Slot2_Cost-AH20*(1+Slot2_Rate)^(Slot2_Age-D20))/DW20),0)</f>
        <v>0</v>
      </c>
      <c r="EC20" s="1" t="n">
        <f aca="false">IF(AND(DD20=1,AG20=1),MIN(DV20,EA20),0)</f>
        <v>0</v>
      </c>
      <c r="ED20" s="1" t="n">
        <f aca="false">DV20-EC20</f>
        <v>0</v>
      </c>
      <c r="EE20" s="1" t="n">
        <f aca="false">IF(AQ20=1,IF(ABS((1+AS_Wage)/(1+Slot3_Rate)-1)&lt;0.000000000001,(Slot3_Age-D20)*(1+Slot3_Rate)^(Slot3_Age-D20),(1+Slot3_Rate)^(Slot3_Age-D20)*(1-((1+AS_Wage)/(1+Slot3_Rate))^(Slot3_Age-D20))/(1-(1+AS_Wage)/(1+Slot3_Rate))),1)</f>
        <v>1</v>
      </c>
      <c r="EF20" s="1" t="n">
        <f aca="false">IF(AND(DD20=1,DN20&gt;0,Slot3_IsWG=1,AQ20=1),MAX(0,(Slot3_Cost-AR20*(1+Slot3_Rate)^(Slot3_Age-D20))/EE20),0)</f>
        <v>0</v>
      </c>
      <c r="EG20" s="1" t="n">
        <f aca="false">IF(AND(DD20=1,DN20&gt;0,Slot3_IsWG=1,AQ20=1),MIN(DN20,EF20),0)</f>
        <v>0</v>
      </c>
      <c r="EH20" s="1" t="n">
        <f aca="false">AR20+EG20</f>
        <v>0</v>
      </c>
      <c r="EI20" s="1" t="n">
        <f aca="false">IF(AQ20=1,MAX(0,(Slot3_Cost-EH20*(1+Slot3_Rate)^(Slot3_Age-D20))/EE20),0)</f>
        <v>0</v>
      </c>
      <c r="EJ20" s="1" t="n">
        <f aca="false">IF(AQ20=1,MAX(0,(Slot3_Cost-AR20*(1+Slot3_Rate)^(Slot3_Age-D20))/EE20),0)</f>
        <v>0</v>
      </c>
      <c r="EK20" s="1" t="n">
        <f aca="false">IF(AND(DD20=1,AQ20=1),MIN(ED20,EI20),0)</f>
        <v>0</v>
      </c>
      <c r="EL20" s="1" t="n">
        <f aca="false">ED20-EK20</f>
        <v>0</v>
      </c>
      <c r="EM20" s="1" t="n">
        <f aca="false">IF(BA20=1,IF(ABS((1+AS_Wage)/(1+Slot4_Rate)-1)&lt;0.000000000001,(Slot4_Age-D20)*(1+Slot4_Rate)^(Slot4_Age-D20),(1+Slot4_Rate)^(Slot4_Age-D20)*(1-((1+AS_Wage)/(1+Slot4_Rate))^(Slot4_Age-D20))/(1-(1+AS_Wage)/(1+Slot4_Rate))),1)</f>
        <v>1</v>
      </c>
      <c r="EN20" s="1" t="n">
        <f aca="false">IF(AND(DD20=1,DN20&gt;0,Slot4_IsWG=1,BA20=1),MAX(0,(Slot4_Cost-BB20*(1+Slot4_Rate)^(Slot4_Age-D20))/EM20),0)</f>
        <v>0</v>
      </c>
      <c r="EO20" s="1" t="n">
        <f aca="false">IF(AND(DD20=1,DN20&gt;0,Slot4_IsWG=1,BA20=1),MIN(DN20,EN20),0)</f>
        <v>0</v>
      </c>
      <c r="EP20" s="1" t="n">
        <f aca="false">BB20+EO20</f>
        <v>0</v>
      </c>
      <c r="EQ20" s="1" t="n">
        <f aca="false">IF(BA20=1,MAX(0,(Slot4_Cost-EP20*(1+Slot4_Rate)^(Slot4_Age-D20))/EM20),0)</f>
        <v>0</v>
      </c>
      <c r="ER20" s="1" t="n">
        <f aca="false">IF(BA20=1,MAX(0,(Slot4_Cost-BB20*(1+Slot4_Rate)^(Slot4_Age-D20))/EM20),0)</f>
        <v>0</v>
      </c>
      <c r="ES20" s="1" t="n">
        <f aca="false">IF(AND(DD20=1,BA20=1),MIN(EL20,EQ20),0)</f>
        <v>0</v>
      </c>
      <c r="ET20" s="1" t="n">
        <f aca="false">EL20-ES20</f>
        <v>0</v>
      </c>
      <c r="EU20" s="1" t="n">
        <f aca="false">IF(BK20=1,IF(ABS((1+AS_Wage)/(1+Slot5_Rate)-1)&lt;0.000000000001,(Slot5_Age-D20)*(1+Slot5_Rate)^(Slot5_Age-D20),(1+Slot5_Rate)^(Slot5_Age-D20)*(1-((1+AS_Wage)/(1+Slot5_Rate))^(Slot5_Age-D20))/(1-(1+AS_Wage)/(1+Slot5_Rate))),1)</f>
        <v>1</v>
      </c>
      <c r="EV20" s="1" t="n">
        <f aca="false">IF(AND(DD20=1,DN20&gt;0,Slot5_IsWG=1,BK20=1),MAX(0,(Slot5_Cost-BL20*(1+Slot5_Rate)^(Slot5_Age-D20))/EU20),0)</f>
        <v>0</v>
      </c>
      <c r="EW20" s="1" t="n">
        <f aca="false">IF(AND(DD20=1,DN20&gt;0,Slot5_IsWG=1,BK20=1),MIN(DN20,EV20),0)</f>
        <v>0</v>
      </c>
      <c r="EX20" s="1" t="n">
        <f aca="false">BL20+EW20</f>
        <v>0</v>
      </c>
      <c r="EY20" s="1" t="n">
        <f aca="false">IF(BK20=1,MAX(0,(Slot5_Cost-EX20*(1+Slot5_Rate)^(Slot5_Age-D20))/EU20),0)</f>
        <v>0</v>
      </c>
      <c r="EZ20" s="1" t="n">
        <f aca="false">IF(BK20=1,MAX(0,(Slot5_Cost-BL20*(1+Slot5_Rate)^(Slot5_Age-D20))/EU20),0)</f>
        <v>0</v>
      </c>
      <c r="FA20" s="1" t="n">
        <f aca="false">IF(AND(DD20=1,BK20=1),MIN(ET20,EY20),0)</f>
        <v>0</v>
      </c>
      <c r="FB20" s="1" t="n">
        <f aca="false">ET20-FA20</f>
        <v>0</v>
      </c>
      <c r="FC20" s="1" t="n">
        <f aca="false">IF(BU20=1,IF(ABS((1+AS_Wage)/(1+Slot6_Rate)-1)&lt;0.000000000001,(Slot6_Age-D20)*(1+Slot6_Rate)^(Slot6_Age-D20),(1+Slot6_Rate)^(Slot6_Age-D20)*(1-((1+AS_Wage)/(1+Slot6_Rate))^(Slot6_Age-D20))/(1-(1+AS_Wage)/(1+Slot6_Rate))),1)</f>
        <v>1</v>
      </c>
      <c r="FD20" s="1" t="n">
        <f aca="false">IF(AND(DD20=1,DN20&gt;0,Slot6_IsWG=1,BU20=1),MAX(0,(Slot6_Cost-BV20*(1+Slot6_Rate)^(Slot6_Age-D20))/FC20),0)</f>
        <v>0</v>
      </c>
      <c r="FE20" s="1" t="n">
        <f aca="false">IF(AND(DD20=1,DN20&gt;0,Slot6_IsWG=1,BU20=1),MIN(DN20,FD20),0)</f>
        <v>0</v>
      </c>
      <c r="FF20" s="1" t="n">
        <f aca="false">BV20+FE20</f>
        <v>0</v>
      </c>
      <c r="FG20" s="1" t="n">
        <f aca="false">IF(BU20=1,MAX(0,(Slot6_Cost-FF20*(1+Slot6_Rate)^(Slot6_Age-D20))/FC20),0)</f>
        <v>0</v>
      </c>
      <c r="FH20" s="1" t="n">
        <f aca="false">IF(BU20=1,MAX(0,(Slot6_Cost-BV20*(1+Slot6_Rate)^(Slot6_Age-D20))/FC20),0)</f>
        <v>0</v>
      </c>
      <c r="FI20" s="1" t="n">
        <f aca="false">IF(AND(DD20=1,BU20=1),MIN(FB20,FG20),0)</f>
        <v>0</v>
      </c>
      <c r="FJ20" s="1" t="n">
        <f aca="false">FB20-FI20</f>
        <v>0</v>
      </c>
      <c r="FK20" s="1" t="n">
        <f aca="false">IF(CE20=1,IF(ABS((1+AS_Wage)/(1+Slot7_Rate)-1)&lt;0.000000000001,(Slot7_Age-D20)*(1+Slot7_Rate)^(Slot7_Age-D20),(1+Slot7_Rate)^(Slot7_Age-D20)*(1-((1+AS_Wage)/(1+Slot7_Rate))^(Slot7_Age-D20))/(1-(1+AS_Wage)/(1+Slot7_Rate))),1)</f>
        <v>1</v>
      </c>
      <c r="FL20" s="1" t="n">
        <f aca="false">IF(AND(DD20=1,DN20&gt;0,Slot7_IsWG=1,CE20=1),MAX(0,(Slot7_Cost-CF20*(1+Slot7_Rate)^(Slot7_Age-D20))/FK20),0)</f>
        <v>0</v>
      </c>
      <c r="FM20" s="1" t="n">
        <f aca="false">IF(AND(DD20=1,DN20&gt;0,Slot7_IsWG=1,CE20=1),MIN(DN20,FL20),0)</f>
        <v>0</v>
      </c>
      <c r="FN20" s="1" t="n">
        <f aca="false">CF20+FM20</f>
        <v>0</v>
      </c>
      <c r="FO20" s="1" t="n">
        <f aca="false">IF(CE20=1,MAX(0,(Slot7_Cost-FN20*(1+Slot7_Rate)^(Slot7_Age-D20))/FK20),0)</f>
        <v>0</v>
      </c>
      <c r="FP20" s="1" t="n">
        <f aca="false">IF(CE20=1,MAX(0,(Slot7_Cost-CF20*(1+Slot7_Rate)^(Slot7_Age-D20))/FK20),0)</f>
        <v>0</v>
      </c>
      <c r="FQ20" s="1" t="n">
        <f aca="false">IF(AND(DD20=1,CE20=1),MIN(FJ20,FO20),0)</f>
        <v>0</v>
      </c>
      <c r="FR20" s="1" t="n">
        <f aca="false">FJ20-FQ20</f>
        <v>0</v>
      </c>
      <c r="FS20" s="1" t="n">
        <f aca="false">IF(CO20=1,IF(ABS((1+AS_Wage)/(1+Slot8_Rate)-1)&lt;0.000000000001,(Slot8_Age-D20)*(1+Slot8_Rate)^(Slot8_Age-D20),(1+Slot8_Rate)^(Slot8_Age-D20)*(1-((1+AS_Wage)/(1+Slot8_Rate))^(Slot8_Age-D20))/(1-(1+AS_Wage)/(1+Slot8_Rate))),1)</f>
        <v>1</v>
      </c>
      <c r="FT20" s="1" t="n">
        <f aca="false">IF(AND(DD20=1,DN20&gt;0,Slot8_IsWG=1,CO20=1),MAX(0,(Slot8_Cost-CP20*(1+Slot8_Rate)^(Slot8_Age-D20))/FS20),0)</f>
        <v>0</v>
      </c>
      <c r="FU20" s="1" t="n">
        <f aca="false">IF(AND(DD20=1,DN20&gt;0,Slot8_IsWG=1,CO20=1),MIN(DN20,FT20),0)</f>
        <v>0</v>
      </c>
      <c r="FV20" s="1" t="n">
        <f aca="false">CP20+FU20</f>
        <v>0</v>
      </c>
      <c r="FW20" s="1" t="n">
        <f aca="false">IF(CO20=1,MAX(0,(Slot8_Cost-FV20*(1+Slot8_Rate)^(Slot8_Age-D20))/FS20),0)</f>
        <v>0</v>
      </c>
      <c r="FX20" s="1" t="n">
        <f aca="false">IF(CO20=1,MAX(0,(Slot8_Cost-CP20*(1+Slot8_Rate)^(Slot8_Age-D20))/FS20),0)</f>
        <v>0</v>
      </c>
      <c r="FY20" s="1" t="n">
        <f aca="false">IF(AND(DD20=1,CO20=1),MIN(FR20,FW20),0)</f>
        <v>0</v>
      </c>
      <c r="FZ20" s="1" t="n">
        <f aca="false">FR20-FY20</f>
        <v>0</v>
      </c>
      <c r="GA20" s="1" t="n">
        <f aca="false">DN20-(DQ20+DY20+EG20+EO20+EW20+FE20+FM20+FU20)</f>
        <v>0</v>
      </c>
      <c r="GB20" s="1" t="n">
        <f aca="false">IF(DD20=1,DB20-DM20-DN20,0)</f>
        <v>0</v>
      </c>
      <c r="GC20" s="1" t="n">
        <f aca="false">IF(DD20=0,-DB20,0)</f>
        <v>0</v>
      </c>
      <c r="GD20" s="1" t="n">
        <f aca="false">MIN(GC20,CT20)</f>
        <v>0</v>
      </c>
      <c r="GE20" s="1" t="n">
        <f aca="false">GC20-GD20</f>
        <v>0</v>
      </c>
      <c r="GF20" s="1" t="n">
        <f aca="false">MIN(GE20,CU20)</f>
        <v>0</v>
      </c>
      <c r="GG20" s="1" t="n">
        <f aca="false">GE20-GF20</f>
        <v>0</v>
      </c>
      <c r="GH20" s="1" t="n">
        <f aca="false">IF(AND(DD20=0,CO20=1,GG20&gt;0),MIN(GG20,CP20),0)</f>
        <v>0</v>
      </c>
      <c r="GI20" s="1" t="n">
        <f aca="false">GG20-GH20</f>
        <v>0</v>
      </c>
      <c r="GJ20" s="1" t="n">
        <f aca="false">IF(AND(DD20=0,CE20=1,GI20&gt;0),MIN(GI20,CF20),0)</f>
        <v>0</v>
      </c>
      <c r="GK20" s="1" t="n">
        <f aca="false">GI20-GJ20</f>
        <v>0</v>
      </c>
      <c r="GL20" s="1" t="n">
        <f aca="false">IF(AND(DD20=0,BU20=1,GK20&gt;0),MIN(GK20,BV20),0)</f>
        <v>0</v>
      </c>
      <c r="GM20" s="1" t="n">
        <f aca="false">GK20-GL20</f>
        <v>0</v>
      </c>
      <c r="GN20" s="1" t="n">
        <f aca="false">IF(AND(DD20=0,BK20=1,GM20&gt;0),MIN(GM20,BL20),0)</f>
        <v>0</v>
      </c>
      <c r="GO20" s="1" t="n">
        <f aca="false">GM20-GN20</f>
        <v>0</v>
      </c>
      <c r="GP20" s="1" t="n">
        <f aca="false">IF(AND(DD20=0,BA20=1,GO20&gt;0),MIN(GO20,BB20),0)</f>
        <v>0</v>
      </c>
      <c r="GQ20" s="1" t="n">
        <f aca="false">GO20-GP20</f>
        <v>0</v>
      </c>
      <c r="GR20" s="1" t="n">
        <f aca="false">IF(AND(DD20=0,AQ20=1,GQ20&gt;0),MIN(GQ20,AR20),0)</f>
        <v>0</v>
      </c>
      <c r="GS20" s="1" t="n">
        <f aca="false">GQ20-GR20</f>
        <v>0</v>
      </c>
      <c r="GT20" s="1" t="n">
        <f aca="false">IF(AND(DD20=0,AG20=1,GS20&gt;0),MIN(GS20,AH20),0)</f>
        <v>0</v>
      </c>
      <c r="GU20" s="1" t="n">
        <f aca="false">GS20-GT20</f>
        <v>0</v>
      </c>
      <c r="GV20" s="1" t="n">
        <f aca="false">IF(AND(DD20=0,V20=1,GU20&gt;0),MIN(GU20,W20),0)</f>
        <v>0</v>
      </c>
      <c r="GW20" s="1" t="n">
        <f aca="false">GU20-GV20</f>
        <v>0</v>
      </c>
      <c r="GX20" s="1" t="n">
        <f aca="false">IF(DD20=0,GW20,0)</f>
        <v>0</v>
      </c>
      <c r="GY20" s="1" t="n">
        <f aca="false">GD20+GF20+GV20+GT20+GR20+GP20+GN20+GL20+GJ20+GH20</f>
        <v>0</v>
      </c>
      <c r="GZ20" s="1" t="n">
        <f aca="false">IF(DD20=1,CT20+GA20+FZ20+IF(F20=1,0,GB20),CT20-GD20)</f>
        <v>0</v>
      </c>
      <c r="HA20" s="1" t="n">
        <f aca="false">CU20-GF20</f>
        <v>0</v>
      </c>
      <c r="HB20" s="1" t="n">
        <f aca="false">IF(DD20=1,IF(F20=1,DM20+DN20,DB20),0)</f>
        <v>0</v>
      </c>
      <c r="HC20" s="1" t="n">
        <f aca="false">IF(DD20=1,IF(F20=1,DB20-DM20-DN20,0),0)</f>
        <v>0</v>
      </c>
      <c r="HD20" s="1" t="n">
        <f aca="false">GZ20*(1+GR)</f>
        <v>0</v>
      </c>
      <c r="HE20" s="1" t="n">
        <f aca="false">HA20*(1+AS_Cash)</f>
        <v>0</v>
      </c>
      <c r="HF20" s="1" t="n">
        <f aca="false">IF(V20=1,IF(DD20=1,DR20+DU20,W20-GV20)*(1+Slot1_Rate),0)</f>
        <v>0</v>
      </c>
      <c r="HG20" s="1" t="n">
        <f aca="false">IF(AND(DD20=1,V20=1),(DQ20+DU20)/E20,0)</f>
        <v>0</v>
      </c>
      <c r="HH20" s="1" t="n">
        <f aca="false">IF(B20=0,DQ20+DU20,0)</f>
        <v>0</v>
      </c>
      <c r="HI20" s="1" t="n">
        <f aca="false">IF(B20=0,IF(DD20=1,DS20,DT20),0)</f>
        <v>0</v>
      </c>
      <c r="HJ20" s="1" t="n">
        <f aca="false">IF(AG20=1,IF(DD20=1,DZ20+EC20,AH20-GT20)*(1+Slot2_Rate),0)</f>
        <v>0</v>
      </c>
      <c r="HK20" s="1" t="n">
        <f aca="false">IF(AND(DD20=1,AG20=1),(DY20+EC20)/E20,0)</f>
        <v>0</v>
      </c>
      <c r="HL20" s="1" t="n">
        <f aca="false">IF(B20=0,DY20+EC20,0)</f>
        <v>0</v>
      </c>
      <c r="HM20" s="1" t="n">
        <f aca="false">IF(B20=0,IF(DD20=1,EA20,EB20),0)</f>
        <v>0</v>
      </c>
      <c r="HN20" s="1" t="n">
        <f aca="false">IF(AQ20=1,IF(DD20=1,EH20+EK20,AR20-GR20)*(1+Slot3_Rate),0)</f>
        <v>0</v>
      </c>
      <c r="HO20" s="1" t="n">
        <f aca="false">IF(AND(DD20=1,AQ20=1),(EG20+EK20)/E20,0)</f>
        <v>0</v>
      </c>
      <c r="HP20" s="1" t="n">
        <f aca="false">IF(B20=0,EG20+EK20,0)</f>
        <v>0</v>
      </c>
      <c r="HQ20" s="1" t="n">
        <f aca="false">IF(B20=0,IF(DD20=1,EI20,EJ20),0)</f>
        <v>0</v>
      </c>
      <c r="HR20" s="1" t="n">
        <f aca="false">IF(BA20=1,IF(DD20=1,EP20+ES20,BB20-GP20)*(1+Slot4_Rate),0)</f>
        <v>0</v>
      </c>
      <c r="HS20" s="1" t="n">
        <f aca="false">IF(AND(DD20=1,BA20=1),(EO20+ES20)/E20,0)</f>
        <v>0</v>
      </c>
      <c r="HT20" s="1" t="n">
        <f aca="false">IF(B20=0,EO20+ES20,0)</f>
        <v>0</v>
      </c>
      <c r="HU20" s="1" t="n">
        <f aca="false">IF(B20=0,IF(DD20=1,EQ20,ER20),0)</f>
        <v>0</v>
      </c>
      <c r="HV20" s="1" t="n">
        <f aca="false">IF(BK20=1,IF(DD20=1,EX20+FA20,BL20-GN20)*(1+Slot5_Rate),0)</f>
        <v>0</v>
      </c>
      <c r="HW20" s="1" t="n">
        <f aca="false">IF(AND(DD20=1,BK20=1),(EW20+FA20)/E20,0)</f>
        <v>0</v>
      </c>
      <c r="HX20" s="1" t="n">
        <f aca="false">IF(B20=0,EW20+FA20,0)</f>
        <v>0</v>
      </c>
      <c r="HY20" s="1" t="n">
        <f aca="false">IF(B20=0,IF(DD20=1,EY20,EZ20),0)</f>
        <v>0</v>
      </c>
      <c r="HZ20" s="1" t="n">
        <f aca="false">IF(BU20=1,IF(DD20=1,FF20+FI20,BV20-GL20)*(1+Slot6_Rate),0)</f>
        <v>0</v>
      </c>
      <c r="IA20" s="1" t="n">
        <f aca="false">IF(AND(DD20=1,BU20=1),(FE20+FI20)/E20,0)</f>
        <v>0</v>
      </c>
      <c r="IB20" s="1" t="n">
        <f aca="false">IF(B20=0,FE20+FI20,0)</f>
        <v>0</v>
      </c>
      <c r="IC20" s="1" t="n">
        <f aca="false">IF(B20=0,IF(DD20=1,FG20,FH20),0)</f>
        <v>0</v>
      </c>
      <c r="ID20" s="1" t="n">
        <f aca="false">IF(CE20=1,IF(DD20=1,FN20+FQ20,CF20-GJ20)*(1+Slot7_Rate),0)</f>
        <v>0</v>
      </c>
      <c r="IE20" s="1" t="n">
        <f aca="false">IF(AND(DD20=1,CE20=1),(FM20+FQ20)/E20,0)</f>
        <v>0</v>
      </c>
      <c r="IF20" s="1" t="n">
        <f aca="false">IF(B20=0,FM20+FQ20,0)</f>
        <v>0</v>
      </c>
      <c r="IG20" s="1" t="n">
        <f aca="false">IF(B20=0,IF(DD20=1,FO20,FP20),0)</f>
        <v>0</v>
      </c>
      <c r="IH20" s="1" t="n">
        <f aca="false">IF(CO20=1,IF(DD20=1,FV20+FY20,CP20-GH20)*(1+Slot8_Rate),0)</f>
        <v>0</v>
      </c>
      <c r="II20" s="1" t="n">
        <f aca="false">IF(AND(DD20=1,CO20=1),(FU20+FY20)/E20,0)</f>
        <v>0</v>
      </c>
      <c r="IJ20" s="1" t="n">
        <f aca="false">IF(B20=0,FU20+FY20,0)</f>
        <v>0</v>
      </c>
      <c r="IK20" s="1" t="n">
        <f aca="false">IF(B20=0,IF(DD20=1,FW20,FX20),0)</f>
        <v>0</v>
      </c>
      <c r="IL20" s="1" t="n">
        <f aca="false">HD20+HE20+HF20+HJ20+HN20+HR20+HV20+HZ20+ID20+IH20</f>
        <v>0</v>
      </c>
      <c r="IM20" s="1" t="n">
        <f aca="false">GX20+CY20</f>
        <v>0</v>
      </c>
      <c r="IN20" s="1" t="n">
        <f aca="false">H20+R20</f>
        <v>0</v>
      </c>
      <c r="IO20" s="1" t="n">
        <f aca="false">1-F20</f>
        <v>1</v>
      </c>
      <c r="IP20" s="1" t="n">
        <f aca="false">IF(AND(RG_Exists=1,F20=0,C20=1),H20,0)</f>
        <v>0</v>
      </c>
      <c r="IQ20" s="1" t="n">
        <f aca="false">IF(AND(RG_Exists=1,F20=0,C20=1),H20-MIN(GX20,H20),0)</f>
        <v>0</v>
      </c>
      <c r="IR20" s="1" t="n">
        <f aca="false">'Plan pay &amp; tax'!AD222</f>
        <v>0</v>
      </c>
      <c r="IS20" s="1" t="n">
        <f aca="false">IF(AND(C20=1,GX20&gt;MAX(PR_Short1,IN20*PR_Short2)),1,0)</f>
        <v>0</v>
      </c>
      <c r="IT20" s="1" t="n">
        <f aca="false">MIN(G20,H20+R20)</f>
        <v>0</v>
      </c>
      <c r="IU20" s="1" t="n">
        <f aca="false">GY20+MAX(0,CZ20-CY20)</f>
        <v>0</v>
      </c>
      <c r="IV20" s="1" t="n">
        <f aca="false">GX20+CY20</f>
        <v>0</v>
      </c>
      <c r="IW20" s="1" t="n">
        <f aca="false">IF(AND(C20=1,IV20&gt;0.5),1,0)</f>
        <v>0</v>
      </c>
      <c r="IX20" s="1" t="n">
        <f aca="false">IF(AND(C20=1,IW20=0,IU20&gt;0.5),1,0)</f>
        <v>0</v>
      </c>
      <c r="IY20" s="1" t="n">
        <f aca="false">IF(AND(C20=1,GX20&gt;0.5),1,0)</f>
        <v>0</v>
      </c>
      <c r="IZ20" s="1" t="n">
        <f aca="false">IF(AND(C20=1,GY20&gt;1,JF20=0),1,0)</f>
        <v>0</v>
      </c>
      <c r="JA20" s="1" t="n">
        <f aca="false">IF(AND(INT(D20/10)*10=90,B20&gt;0),80,INT(D20/10)*10)</f>
        <v>10</v>
      </c>
      <c r="JB20" s="1" t="n">
        <f aca="false">IF(B20=0,1,IF(JA20&lt;&gt;JA19,JB19+1,JB19))</f>
        <v>2</v>
      </c>
      <c r="JC20" s="1" t="n">
        <f aca="false">IF(AND(C20=1,F20=1,GX20&gt;MAX(PR_Short1,IN20*PR_Short2)),1,0)</f>
        <v>0</v>
      </c>
      <c r="JD20" s="1" t="n">
        <f aca="false">IO20*IS20</f>
        <v>0</v>
      </c>
      <c r="JE20" s="1" t="n">
        <f aca="false">IF(AND(U20=1,Slot1_PctLow=1),1,0)+IF(AND(AF20=1,Slot2_PctLow=1),1,0)+IF(AND(AP20=1,Slot3_PctLow=1),1,0)+IF(AND(AZ20=1,Slot4_PctLow=1),1,0)+IF(AND(BJ20=1,Slot5_PctLow=1),1,0)+IF(AND(BT20=1,Slot6_PctLow=1),1,0)+IF(AND(CD20=1,Slot7_PctLow=1),1,0)+IF(AND(CN20=1,Slot8_PctLow=1),1,0)</f>
        <v>0</v>
      </c>
      <c r="JF20" s="1" t="n">
        <f aca="false">IF(C20=1,IF(OR(IS20=1,JE20&gt;0),1,0),0)</f>
        <v>0</v>
      </c>
    </row>
    <row r="21" customFormat="false" ht="15" hidden="false" customHeight="false" outlineLevel="0" collapsed="false">
      <c r="B21" s="1" t="n">
        <v>13</v>
      </c>
      <c r="C21" s="1" t="n">
        <f aca="false">IF(B21&lt;=F_N,1,0)</f>
        <v>1</v>
      </c>
      <c r="D21" s="1" t="n">
        <f aca="false">'Plan pay &amp; tax'!C223</f>
        <v>13</v>
      </c>
      <c r="E21" s="106" t="n">
        <f aca="false">'Plan pay &amp; tax'!E223</f>
        <v>1.2936066304538</v>
      </c>
      <c r="F21" s="1" t="n">
        <f aca="false">'Plan pay &amp; tax'!G223</f>
        <v>0</v>
      </c>
      <c r="G21" s="1" t="n">
        <f aca="false">'Plan pay &amp; tax'!BT223-'Plan pay &amp; tax'!BS223-'Plan pay &amp; tax'!R223</f>
        <v>0</v>
      </c>
      <c r="H21" s="1" t="n">
        <f aca="false">IF(F21=1,F_CostsM*12,IF(RG_Exists=1,RG_Amount,F_CostsM*12*AS_RetireSpend))*E21+F_OneOffY*E21</f>
        <v>0</v>
      </c>
      <c r="I21" s="1" t="n">
        <f aca="false">DA20</f>
        <v>0</v>
      </c>
      <c r="J21" s="1" t="n">
        <f aca="false">IF(I21&gt;1,'Plan debt months'!AC21,0)</f>
        <v>0</v>
      </c>
      <c r="K21" s="1" t="n">
        <f aca="false">IF(I21&gt;1,'Plan debt months'!AB21,I21)</f>
        <v>0</v>
      </c>
      <c r="L21" s="1" t="n">
        <f aca="false">N20</f>
        <v>0</v>
      </c>
      <c r="M21" s="1" t="n">
        <f aca="false">IF(L21&gt;1,'Plan debt months'!BD21,0)</f>
        <v>0</v>
      </c>
      <c r="N21" s="1" t="n">
        <f aca="false">IF(L21&gt;1,'Plan debt months'!BC21,L21)</f>
        <v>0</v>
      </c>
      <c r="O21" s="1" t="n">
        <f aca="false">Q20</f>
        <v>0</v>
      </c>
      <c r="P21" s="1" t="n">
        <f aca="false">IF(O21&gt;1,'Plan debt months'!CE21,0)</f>
        <v>0</v>
      </c>
      <c r="Q21" s="1" t="n">
        <f aca="false">IF(O21&gt;1,'Plan debt months'!CD21,O21)</f>
        <v>0</v>
      </c>
      <c r="R21" s="1" t="n">
        <f aca="false">J21+M21+P21</f>
        <v>0</v>
      </c>
      <c r="S21" s="1" t="n">
        <f aca="false">HD20+'Plan pay &amp; tax'!Y223</f>
        <v>0</v>
      </c>
      <c r="T21" s="1" t="n">
        <f aca="false">HD20</f>
        <v>0</v>
      </c>
      <c r="U21" s="1" t="n">
        <f aca="false">IF(AND(Slot1_On=1,D21=Slot1_Age),1,0)</f>
        <v>0</v>
      </c>
      <c r="V21" s="1" t="n">
        <f aca="false">IF(AND(Slot1_On=1,Slot1_Age&gt;D21),1,0)</f>
        <v>0</v>
      </c>
      <c r="W21" s="1" t="n">
        <f aca="false">HF20</f>
        <v>0</v>
      </c>
      <c r="X21" s="1" t="n">
        <f aca="false">U21*MIN(Slot1_Cost,W21)</f>
        <v>0</v>
      </c>
      <c r="Y21" s="1" t="n">
        <f aca="false">U21*Slot1_SpendLike*MIN(Slot1_Cost-X21,S21)</f>
        <v>0</v>
      </c>
      <c r="Z21" s="1" t="n">
        <f aca="false">X21+Y21</f>
        <v>0</v>
      </c>
      <c r="AA21" s="1" t="n">
        <f aca="false">S21-Y21+U21*IF(Slot1_SpendLike=1,W21-X21,IF(Slot1_PotFree=1,W21,0))</f>
        <v>0</v>
      </c>
      <c r="AB21" s="1" t="n">
        <f aca="false">AE21+U21*Slot1_BufPot*W21</f>
        <v>0</v>
      </c>
      <c r="AC21" s="1" t="n">
        <f aca="false">IF(AND(U21=1,Slot1_IsMfree=1),IF(Z21&gt;=Slot1_Cost-1,0,MAX(0,K21-Z21)),K21)</f>
        <v>0</v>
      </c>
      <c r="AD21" s="1" t="n">
        <f aca="false">U21*(Slot1_Cost-Z21)</f>
        <v>0</v>
      </c>
      <c r="AE21" s="1" t="n">
        <f aca="false">HE20</f>
        <v>0</v>
      </c>
      <c r="AF21" s="1" t="n">
        <f aca="false">IF(AND(Slot2_On=1,D21=Slot2_Age),1,0)</f>
        <v>0</v>
      </c>
      <c r="AG21" s="1" t="n">
        <f aca="false">IF(AND(Slot2_On=1,Slot2_Age&gt;D21),1,0)</f>
        <v>0</v>
      </c>
      <c r="AH21" s="1" t="n">
        <f aca="false">HJ20</f>
        <v>0</v>
      </c>
      <c r="AI21" s="1" t="n">
        <f aca="false">AF21*MIN(Slot2_Cost,AH21)</f>
        <v>0</v>
      </c>
      <c r="AJ21" s="1" t="n">
        <f aca="false">AF21*Slot2_SpendLike*MIN(Slot2_Cost-AI21,AA21)</f>
        <v>0</v>
      </c>
      <c r="AK21" s="1" t="n">
        <f aca="false">AI21+AJ21</f>
        <v>0</v>
      </c>
      <c r="AL21" s="1" t="n">
        <f aca="false">AA21-AJ21+AF21*IF(Slot2_SpendLike=1,AH21-AI21,IF(Slot2_PotFree=1,AH21,0))</f>
        <v>0</v>
      </c>
      <c r="AM21" s="1" t="n">
        <f aca="false">AB21+AF21*Slot2_BufPot*AH21</f>
        <v>0</v>
      </c>
      <c r="AN21" s="1" t="n">
        <f aca="false">IF(AND(AF21=1,Slot2_IsMfree=1),IF(AK21&gt;=Slot2_Cost-1,0,MAX(0,AC21-AK21)),AC21)</f>
        <v>0</v>
      </c>
      <c r="AO21" s="1" t="n">
        <f aca="false">AF21*(Slot2_Cost-AK21)</f>
        <v>0</v>
      </c>
      <c r="AP21" s="1" t="n">
        <f aca="false">IF(AND(Slot3_On=1,D21=Slot3_Age),1,0)</f>
        <v>0</v>
      </c>
      <c r="AQ21" s="1" t="n">
        <f aca="false">IF(AND(Slot3_On=1,Slot3_Age&gt;D21),1,0)</f>
        <v>0</v>
      </c>
      <c r="AR21" s="1" t="n">
        <f aca="false">HN20</f>
        <v>0</v>
      </c>
      <c r="AS21" s="1" t="n">
        <f aca="false">AP21*MIN(Slot3_Cost,AR21)</f>
        <v>0</v>
      </c>
      <c r="AT21" s="1" t="n">
        <f aca="false">AP21*Slot3_SpendLike*MIN(Slot3_Cost-AS21,AL21)</f>
        <v>0</v>
      </c>
      <c r="AU21" s="1" t="n">
        <f aca="false">AS21+AT21</f>
        <v>0</v>
      </c>
      <c r="AV21" s="1" t="n">
        <f aca="false">AL21-AT21+AP21*IF(Slot3_SpendLike=1,AR21-AS21,IF(Slot3_PotFree=1,AR21,0))</f>
        <v>0</v>
      </c>
      <c r="AW21" s="1" t="n">
        <f aca="false">AM21+AP21*Slot3_BufPot*AR21</f>
        <v>0</v>
      </c>
      <c r="AX21" s="1" t="n">
        <f aca="false">IF(AND(AP21=1,Slot3_IsMfree=1),IF(AU21&gt;=Slot3_Cost-1,0,MAX(0,AN21-AU21)),AN21)</f>
        <v>0</v>
      </c>
      <c r="AY21" s="1" t="n">
        <f aca="false">AP21*(Slot3_Cost-AU21)</f>
        <v>0</v>
      </c>
      <c r="AZ21" s="1" t="n">
        <f aca="false">IF(AND(Slot4_On=1,D21=Slot4_Age),1,0)</f>
        <v>0</v>
      </c>
      <c r="BA21" s="1" t="n">
        <f aca="false">IF(AND(Slot4_On=1,Slot4_Age&gt;D21),1,0)</f>
        <v>0</v>
      </c>
      <c r="BB21" s="1" t="n">
        <f aca="false">HR20</f>
        <v>0</v>
      </c>
      <c r="BC21" s="1" t="n">
        <f aca="false">AZ21*MIN(Slot4_Cost,BB21)</f>
        <v>0</v>
      </c>
      <c r="BD21" s="1" t="n">
        <f aca="false">AZ21*Slot4_SpendLike*MIN(Slot4_Cost-BC21,AV21)</f>
        <v>0</v>
      </c>
      <c r="BE21" s="1" t="n">
        <f aca="false">BC21+BD21</f>
        <v>0</v>
      </c>
      <c r="BF21" s="1" t="n">
        <f aca="false">AV21-BD21+AZ21*IF(Slot4_SpendLike=1,BB21-BC21,IF(Slot4_PotFree=1,BB21,0))</f>
        <v>0</v>
      </c>
      <c r="BG21" s="1" t="n">
        <f aca="false">AW21+AZ21*Slot4_BufPot*BB21</f>
        <v>0</v>
      </c>
      <c r="BH21" s="1" t="n">
        <f aca="false">IF(AND(AZ21=1,Slot4_IsMfree=1),IF(BE21&gt;=Slot4_Cost-1,0,MAX(0,AX21-BE21)),AX21)</f>
        <v>0</v>
      </c>
      <c r="BI21" s="1" t="n">
        <f aca="false">AZ21*(Slot4_Cost-BE21)</f>
        <v>0</v>
      </c>
      <c r="BJ21" s="1" t="n">
        <f aca="false">IF(AND(Slot5_On=1,D21=Slot5_Age),1,0)</f>
        <v>0</v>
      </c>
      <c r="BK21" s="1" t="n">
        <f aca="false">IF(AND(Slot5_On=1,Slot5_Age&gt;D21),1,0)</f>
        <v>0</v>
      </c>
      <c r="BL21" s="1" t="n">
        <f aca="false">HV20</f>
        <v>0</v>
      </c>
      <c r="BM21" s="1" t="n">
        <f aca="false">BJ21*MIN(Slot5_Cost,BL21)</f>
        <v>0</v>
      </c>
      <c r="BN21" s="1" t="n">
        <f aca="false">BJ21*Slot5_SpendLike*MIN(Slot5_Cost-BM21,BF21)</f>
        <v>0</v>
      </c>
      <c r="BO21" s="1" t="n">
        <f aca="false">BM21+BN21</f>
        <v>0</v>
      </c>
      <c r="BP21" s="1" t="n">
        <f aca="false">BF21-BN21+BJ21*IF(Slot5_SpendLike=1,BL21-BM21,IF(Slot5_PotFree=1,BL21,0))</f>
        <v>0</v>
      </c>
      <c r="BQ21" s="1" t="n">
        <f aca="false">BG21+BJ21*Slot5_BufPot*BL21</f>
        <v>0</v>
      </c>
      <c r="BR21" s="1" t="n">
        <f aca="false">IF(AND(BJ21=1,Slot5_IsMfree=1),IF(BO21&gt;=Slot5_Cost-1,0,MAX(0,BH21-BO21)),BH21)</f>
        <v>0</v>
      </c>
      <c r="BS21" s="1" t="n">
        <f aca="false">BJ21*(Slot5_Cost-BO21)</f>
        <v>0</v>
      </c>
      <c r="BT21" s="1" t="n">
        <f aca="false">IF(AND(Slot6_On=1,D21=Slot6_Age),1,0)</f>
        <v>0</v>
      </c>
      <c r="BU21" s="1" t="n">
        <f aca="false">IF(AND(Slot6_On=1,Slot6_Age&gt;D21),1,0)</f>
        <v>0</v>
      </c>
      <c r="BV21" s="1" t="n">
        <f aca="false">HZ20</f>
        <v>0</v>
      </c>
      <c r="BW21" s="1" t="n">
        <f aca="false">BT21*MIN(Slot6_Cost,BV21)</f>
        <v>0</v>
      </c>
      <c r="BX21" s="1" t="n">
        <f aca="false">BT21*Slot6_SpendLike*MIN(Slot6_Cost-BW21,BP21)</f>
        <v>0</v>
      </c>
      <c r="BY21" s="1" t="n">
        <f aca="false">BW21+BX21</f>
        <v>0</v>
      </c>
      <c r="BZ21" s="1" t="n">
        <f aca="false">BP21-BX21+BT21*IF(Slot6_SpendLike=1,BV21-BW21,IF(Slot6_PotFree=1,BV21,0))</f>
        <v>0</v>
      </c>
      <c r="CA21" s="1" t="n">
        <f aca="false">BQ21+BT21*Slot6_BufPot*BV21</f>
        <v>0</v>
      </c>
      <c r="CB21" s="1" t="n">
        <f aca="false">IF(AND(BT21=1,Slot6_IsMfree=1),IF(BY21&gt;=Slot6_Cost-1,0,MAX(0,BR21-BY21)),BR21)</f>
        <v>0</v>
      </c>
      <c r="CC21" s="1" t="n">
        <f aca="false">BT21*(Slot6_Cost-BY21)</f>
        <v>0</v>
      </c>
      <c r="CD21" s="1" t="n">
        <f aca="false">IF(AND(Slot7_On=1,D21=Slot7_Age),1,0)</f>
        <v>0</v>
      </c>
      <c r="CE21" s="1" t="n">
        <f aca="false">IF(AND(Slot7_On=1,Slot7_Age&gt;D21),1,0)</f>
        <v>0</v>
      </c>
      <c r="CF21" s="1" t="n">
        <f aca="false">ID20</f>
        <v>0</v>
      </c>
      <c r="CG21" s="1" t="n">
        <f aca="false">CD21*MIN(Slot7_Cost,CF21)</f>
        <v>0</v>
      </c>
      <c r="CH21" s="1" t="n">
        <f aca="false">CD21*Slot7_SpendLike*MIN(Slot7_Cost-CG21,BZ21)</f>
        <v>0</v>
      </c>
      <c r="CI21" s="1" t="n">
        <f aca="false">CG21+CH21</f>
        <v>0</v>
      </c>
      <c r="CJ21" s="1" t="n">
        <f aca="false">BZ21-CH21+CD21*IF(Slot7_SpendLike=1,CF21-CG21,IF(Slot7_PotFree=1,CF21,0))</f>
        <v>0</v>
      </c>
      <c r="CK21" s="1" t="n">
        <f aca="false">CA21+CD21*Slot7_BufPot*CF21</f>
        <v>0</v>
      </c>
      <c r="CL21" s="1" t="n">
        <f aca="false">IF(AND(CD21=1,Slot7_IsMfree=1),IF(CI21&gt;=Slot7_Cost-1,0,MAX(0,CB21-CI21)),CB21)</f>
        <v>0</v>
      </c>
      <c r="CM21" s="1" t="n">
        <f aca="false">CD21*(Slot7_Cost-CI21)</f>
        <v>0</v>
      </c>
      <c r="CN21" s="1" t="n">
        <f aca="false">IF(AND(Slot8_On=1,D21=Slot8_Age),1,0)</f>
        <v>0</v>
      </c>
      <c r="CO21" s="1" t="n">
        <f aca="false">IF(AND(Slot8_On=1,Slot8_Age&gt;D21),1,0)</f>
        <v>0</v>
      </c>
      <c r="CP21" s="1" t="n">
        <f aca="false">IH20</f>
        <v>0</v>
      </c>
      <c r="CQ21" s="1" t="n">
        <f aca="false">CN21*MIN(Slot8_Cost,CP21)</f>
        <v>0</v>
      </c>
      <c r="CR21" s="1" t="n">
        <f aca="false">CN21*Slot8_SpendLike*MIN(Slot8_Cost-CQ21,CJ21)</f>
        <v>0</v>
      </c>
      <c r="CS21" s="1" t="n">
        <f aca="false">CQ21+CR21</f>
        <v>0</v>
      </c>
      <c r="CT21" s="1" t="n">
        <f aca="false">CJ21-CR21+CN21*IF(Slot8_SpendLike=1,CP21-CQ21,IF(Slot8_PotFree=1,CP21,0))</f>
        <v>0</v>
      </c>
      <c r="CU21" s="1" t="n">
        <f aca="false">CK21+CN21*Slot8_BufPot*CP21</f>
        <v>0</v>
      </c>
      <c r="CV21" s="1" t="n">
        <f aca="false">IF(AND(CN21=1,Slot8_IsMfree=1),IF(CS21&gt;=Slot8_Cost-1,0,MAX(0,CL21-CS21)),CL21)</f>
        <v>0</v>
      </c>
      <c r="CW21" s="1" t="n">
        <f aca="false">CN21*(Slot8_Cost-CS21)</f>
        <v>0</v>
      </c>
      <c r="CX21" s="1" t="n">
        <f aca="false">U21*Slot1_SpendLike*Z21+AF21*Slot2_SpendLike*AK21+AP21*Slot3_SpendLike*AU21+AZ21*Slot4_SpendLike*BE21+BJ21*Slot5_SpendLike*BO21+BT21*Slot6_SpendLike*BY21+CD21*Slot7_SpendLike*CI21+CN21*Slot8_SpendLike*CS21</f>
        <v>0</v>
      </c>
      <c r="CY21" s="1" t="n">
        <f aca="false">AD21+AO21+AY21+BI21+BS21+CC21+CM21+CW21</f>
        <v>0</v>
      </c>
      <c r="CZ21" s="1" t="n">
        <f aca="false">U21*Slot1_Cost+AF21*Slot2_Cost+AP21*Slot3_Cost+AZ21*Slot4_Cost+BJ21*Slot5_Cost+BT21*Slot6_Cost+CD21*Slot7_Cost+CN21*Slot8_Cost</f>
        <v>0</v>
      </c>
      <c r="DA21" s="1" t="n">
        <f aca="false">CV21</f>
        <v>0</v>
      </c>
      <c r="DB21" s="1" t="n">
        <f aca="false">G21-H21-R21</f>
        <v>0</v>
      </c>
      <c r="DC21" s="1" t="n">
        <f aca="false">IF(B21=0,IF(AND(Has_q6=1,In_q6=4),PR_ShareVaries*(MAX(0,DB21)/12),MIN(IF(Has_q6=1,CHOOSE(In_q6+1,PR_SaveB1,PR_SaveB2,PR_SaveB3,PR_SaveB4,0),AS_NoAnswer),AS_SaveShare*(MAX(0,DB21)/12))),DC20)</f>
        <v>0</v>
      </c>
      <c r="DD21" s="1" t="n">
        <f aca="false">IF(DB21&gt;=0,1,0)</f>
        <v>1</v>
      </c>
      <c r="DE21" s="1" t="n">
        <f aca="false">MAX(0,DB21/12/E21)</f>
        <v>0</v>
      </c>
      <c r="DF21" s="1" t="n">
        <f aca="false">IF(AND(Has_q6=1,In_q6=4),PR_ShareVaries*(DE21),MIN(IF(Has_q6=1,CHOOSE(In_q6+1,PR_SaveB1,PR_SaveB2,PR_SaveB3,PR_SaveB4,0),AS_NoAnswer),AS_SaveShare*(DE21)))</f>
        <v>0</v>
      </c>
      <c r="DG21" s="1" t="n">
        <f aca="false">IF(Has_saveM=1,IF(In_saveUp="Yes",1,IF(In_saveUp="No",0,IF(In_saveM&gt;=DC21-0.5,1,0))),0)</f>
        <v>0</v>
      </c>
      <c r="DH21" s="1" t="n">
        <f aca="false">IF(Has_saveM=1,MIN(DE21,IF(DG21=1,MAX(In_saveM,DF21),MIN(In_saveM,DF21))),DF21)</f>
        <v>0</v>
      </c>
      <c r="DI21" s="1" t="n">
        <f aca="false">IF(F21=1,DH21*12*E21,0)</f>
        <v>0</v>
      </c>
      <c r="DJ21" s="1" t="n">
        <f aca="false">MAX(0,DI21+IF(AND(WI_Retire=0,WI_M&lt;0,F21=1),WI_M*12*E21,0))</f>
        <v>0</v>
      </c>
      <c r="DK21" s="1" t="n">
        <f aca="false">Slot1_IsWG*V21+Slot2_IsWG*AG21+Slot3_IsWG*AQ21+Slot4_IsWG*BA21+Slot5_IsWG*BK21+Slot6_IsWG*BU21+Slot7_IsWG*CE21+Slot8_IsWG*CO21</f>
        <v>0</v>
      </c>
      <c r="DL21" s="1" t="n">
        <f aca="false">IF(AND(WI_Retire=0,WI_M&gt;0,F21=1,DK21&gt;=1),WI_M*12*E21,0)</f>
        <v>0</v>
      </c>
      <c r="DM21" s="1" t="n">
        <f aca="false">IF(DD21=1,MIN(DJ21,DB21),0)</f>
        <v>0</v>
      </c>
      <c r="DN21" s="1" t="n">
        <f aca="false">IF(DD21=1,MIN(DL21,DB21-DM21),0)</f>
        <v>0</v>
      </c>
      <c r="DO21" s="1" t="n">
        <f aca="false">IF(V21=1,IF(ABS((1+AS_Wage)/(1+Slot1_Rate)-1)&lt;0.000000000001,(Slot1_Age-D21)*(1+Slot1_Rate)^(Slot1_Age-D21),(1+Slot1_Rate)^(Slot1_Age-D21)*(1-((1+AS_Wage)/(1+Slot1_Rate))^(Slot1_Age-D21))/(1-(1+AS_Wage)/(1+Slot1_Rate))),1)</f>
        <v>1</v>
      </c>
      <c r="DP21" s="1" t="n">
        <f aca="false">IF(AND(DD21=1,DN21&gt;0,Slot1_IsWG=1,V21=1),MAX(0,(Slot1_Cost-W21*(1+Slot1_Rate)^(Slot1_Age-D21))/DO21),0)</f>
        <v>0</v>
      </c>
      <c r="DQ21" s="1" t="n">
        <f aca="false">IF(AND(DD21=1,DN21&gt;0,Slot1_IsWG=1,V21=1),MIN(DN21,DP21),0)</f>
        <v>0</v>
      </c>
      <c r="DR21" s="1" t="n">
        <f aca="false">W21+DQ21</f>
        <v>0</v>
      </c>
      <c r="DS21" s="1" t="n">
        <f aca="false">IF(V21=1,MAX(0,(Slot1_Cost-DR21*(1+Slot1_Rate)^(Slot1_Age-D21))/DO21),0)</f>
        <v>0</v>
      </c>
      <c r="DT21" s="1" t="n">
        <f aca="false">IF(V21=1,MAX(0,(Slot1_Cost-W21*(1+Slot1_Rate)^(Slot1_Age-D21))/DO21),0)</f>
        <v>0</v>
      </c>
      <c r="DU21" s="1" t="n">
        <f aca="false">IF(AND(DD21=1,V21=1),MIN(DM21,DS21),0)</f>
        <v>0</v>
      </c>
      <c r="DV21" s="1" t="n">
        <f aca="false">DM21-DU21</f>
        <v>0</v>
      </c>
      <c r="DW21" s="1" t="n">
        <f aca="false">IF(AG21=1,IF(ABS((1+AS_Wage)/(1+Slot2_Rate)-1)&lt;0.000000000001,(Slot2_Age-D21)*(1+Slot2_Rate)^(Slot2_Age-D21),(1+Slot2_Rate)^(Slot2_Age-D21)*(1-((1+AS_Wage)/(1+Slot2_Rate))^(Slot2_Age-D21))/(1-(1+AS_Wage)/(1+Slot2_Rate))),1)</f>
        <v>1</v>
      </c>
      <c r="DX21" s="1" t="n">
        <f aca="false">IF(AND(DD21=1,DN21&gt;0,Slot2_IsWG=1,AG21=1),MAX(0,(Slot2_Cost-AH21*(1+Slot2_Rate)^(Slot2_Age-D21))/DW21),0)</f>
        <v>0</v>
      </c>
      <c r="DY21" s="1" t="n">
        <f aca="false">IF(AND(DD21=1,DN21&gt;0,Slot2_IsWG=1,AG21=1),MIN(DN21,DX21),0)</f>
        <v>0</v>
      </c>
      <c r="DZ21" s="1" t="n">
        <f aca="false">AH21+DY21</f>
        <v>0</v>
      </c>
      <c r="EA21" s="1" t="n">
        <f aca="false">IF(AG21=1,MAX(0,(Slot2_Cost-DZ21*(1+Slot2_Rate)^(Slot2_Age-D21))/DW21),0)</f>
        <v>0</v>
      </c>
      <c r="EB21" s="1" t="n">
        <f aca="false">IF(AG21=1,MAX(0,(Slot2_Cost-AH21*(1+Slot2_Rate)^(Slot2_Age-D21))/DW21),0)</f>
        <v>0</v>
      </c>
      <c r="EC21" s="1" t="n">
        <f aca="false">IF(AND(DD21=1,AG21=1),MIN(DV21,EA21),0)</f>
        <v>0</v>
      </c>
      <c r="ED21" s="1" t="n">
        <f aca="false">DV21-EC21</f>
        <v>0</v>
      </c>
      <c r="EE21" s="1" t="n">
        <f aca="false">IF(AQ21=1,IF(ABS((1+AS_Wage)/(1+Slot3_Rate)-1)&lt;0.000000000001,(Slot3_Age-D21)*(1+Slot3_Rate)^(Slot3_Age-D21),(1+Slot3_Rate)^(Slot3_Age-D21)*(1-((1+AS_Wage)/(1+Slot3_Rate))^(Slot3_Age-D21))/(1-(1+AS_Wage)/(1+Slot3_Rate))),1)</f>
        <v>1</v>
      </c>
      <c r="EF21" s="1" t="n">
        <f aca="false">IF(AND(DD21=1,DN21&gt;0,Slot3_IsWG=1,AQ21=1),MAX(0,(Slot3_Cost-AR21*(1+Slot3_Rate)^(Slot3_Age-D21))/EE21),0)</f>
        <v>0</v>
      </c>
      <c r="EG21" s="1" t="n">
        <f aca="false">IF(AND(DD21=1,DN21&gt;0,Slot3_IsWG=1,AQ21=1),MIN(DN21,EF21),0)</f>
        <v>0</v>
      </c>
      <c r="EH21" s="1" t="n">
        <f aca="false">AR21+EG21</f>
        <v>0</v>
      </c>
      <c r="EI21" s="1" t="n">
        <f aca="false">IF(AQ21=1,MAX(0,(Slot3_Cost-EH21*(1+Slot3_Rate)^(Slot3_Age-D21))/EE21),0)</f>
        <v>0</v>
      </c>
      <c r="EJ21" s="1" t="n">
        <f aca="false">IF(AQ21=1,MAX(0,(Slot3_Cost-AR21*(1+Slot3_Rate)^(Slot3_Age-D21))/EE21),0)</f>
        <v>0</v>
      </c>
      <c r="EK21" s="1" t="n">
        <f aca="false">IF(AND(DD21=1,AQ21=1),MIN(ED21,EI21),0)</f>
        <v>0</v>
      </c>
      <c r="EL21" s="1" t="n">
        <f aca="false">ED21-EK21</f>
        <v>0</v>
      </c>
      <c r="EM21" s="1" t="n">
        <f aca="false">IF(BA21=1,IF(ABS((1+AS_Wage)/(1+Slot4_Rate)-1)&lt;0.000000000001,(Slot4_Age-D21)*(1+Slot4_Rate)^(Slot4_Age-D21),(1+Slot4_Rate)^(Slot4_Age-D21)*(1-((1+AS_Wage)/(1+Slot4_Rate))^(Slot4_Age-D21))/(1-(1+AS_Wage)/(1+Slot4_Rate))),1)</f>
        <v>1</v>
      </c>
      <c r="EN21" s="1" t="n">
        <f aca="false">IF(AND(DD21=1,DN21&gt;0,Slot4_IsWG=1,BA21=1),MAX(0,(Slot4_Cost-BB21*(1+Slot4_Rate)^(Slot4_Age-D21))/EM21),0)</f>
        <v>0</v>
      </c>
      <c r="EO21" s="1" t="n">
        <f aca="false">IF(AND(DD21=1,DN21&gt;0,Slot4_IsWG=1,BA21=1),MIN(DN21,EN21),0)</f>
        <v>0</v>
      </c>
      <c r="EP21" s="1" t="n">
        <f aca="false">BB21+EO21</f>
        <v>0</v>
      </c>
      <c r="EQ21" s="1" t="n">
        <f aca="false">IF(BA21=1,MAX(0,(Slot4_Cost-EP21*(1+Slot4_Rate)^(Slot4_Age-D21))/EM21),0)</f>
        <v>0</v>
      </c>
      <c r="ER21" s="1" t="n">
        <f aca="false">IF(BA21=1,MAX(0,(Slot4_Cost-BB21*(1+Slot4_Rate)^(Slot4_Age-D21))/EM21),0)</f>
        <v>0</v>
      </c>
      <c r="ES21" s="1" t="n">
        <f aca="false">IF(AND(DD21=1,BA21=1),MIN(EL21,EQ21),0)</f>
        <v>0</v>
      </c>
      <c r="ET21" s="1" t="n">
        <f aca="false">EL21-ES21</f>
        <v>0</v>
      </c>
      <c r="EU21" s="1" t="n">
        <f aca="false">IF(BK21=1,IF(ABS((1+AS_Wage)/(1+Slot5_Rate)-1)&lt;0.000000000001,(Slot5_Age-D21)*(1+Slot5_Rate)^(Slot5_Age-D21),(1+Slot5_Rate)^(Slot5_Age-D21)*(1-((1+AS_Wage)/(1+Slot5_Rate))^(Slot5_Age-D21))/(1-(1+AS_Wage)/(1+Slot5_Rate))),1)</f>
        <v>1</v>
      </c>
      <c r="EV21" s="1" t="n">
        <f aca="false">IF(AND(DD21=1,DN21&gt;0,Slot5_IsWG=1,BK21=1),MAX(0,(Slot5_Cost-BL21*(1+Slot5_Rate)^(Slot5_Age-D21))/EU21),0)</f>
        <v>0</v>
      </c>
      <c r="EW21" s="1" t="n">
        <f aca="false">IF(AND(DD21=1,DN21&gt;0,Slot5_IsWG=1,BK21=1),MIN(DN21,EV21),0)</f>
        <v>0</v>
      </c>
      <c r="EX21" s="1" t="n">
        <f aca="false">BL21+EW21</f>
        <v>0</v>
      </c>
      <c r="EY21" s="1" t="n">
        <f aca="false">IF(BK21=1,MAX(0,(Slot5_Cost-EX21*(1+Slot5_Rate)^(Slot5_Age-D21))/EU21),0)</f>
        <v>0</v>
      </c>
      <c r="EZ21" s="1" t="n">
        <f aca="false">IF(BK21=1,MAX(0,(Slot5_Cost-BL21*(1+Slot5_Rate)^(Slot5_Age-D21))/EU21),0)</f>
        <v>0</v>
      </c>
      <c r="FA21" s="1" t="n">
        <f aca="false">IF(AND(DD21=1,BK21=1),MIN(ET21,EY21),0)</f>
        <v>0</v>
      </c>
      <c r="FB21" s="1" t="n">
        <f aca="false">ET21-FA21</f>
        <v>0</v>
      </c>
      <c r="FC21" s="1" t="n">
        <f aca="false">IF(BU21=1,IF(ABS((1+AS_Wage)/(1+Slot6_Rate)-1)&lt;0.000000000001,(Slot6_Age-D21)*(1+Slot6_Rate)^(Slot6_Age-D21),(1+Slot6_Rate)^(Slot6_Age-D21)*(1-((1+AS_Wage)/(1+Slot6_Rate))^(Slot6_Age-D21))/(1-(1+AS_Wage)/(1+Slot6_Rate))),1)</f>
        <v>1</v>
      </c>
      <c r="FD21" s="1" t="n">
        <f aca="false">IF(AND(DD21=1,DN21&gt;0,Slot6_IsWG=1,BU21=1),MAX(0,(Slot6_Cost-BV21*(1+Slot6_Rate)^(Slot6_Age-D21))/FC21),0)</f>
        <v>0</v>
      </c>
      <c r="FE21" s="1" t="n">
        <f aca="false">IF(AND(DD21=1,DN21&gt;0,Slot6_IsWG=1,BU21=1),MIN(DN21,FD21),0)</f>
        <v>0</v>
      </c>
      <c r="FF21" s="1" t="n">
        <f aca="false">BV21+FE21</f>
        <v>0</v>
      </c>
      <c r="FG21" s="1" t="n">
        <f aca="false">IF(BU21=1,MAX(0,(Slot6_Cost-FF21*(1+Slot6_Rate)^(Slot6_Age-D21))/FC21),0)</f>
        <v>0</v>
      </c>
      <c r="FH21" s="1" t="n">
        <f aca="false">IF(BU21=1,MAX(0,(Slot6_Cost-BV21*(1+Slot6_Rate)^(Slot6_Age-D21))/FC21),0)</f>
        <v>0</v>
      </c>
      <c r="FI21" s="1" t="n">
        <f aca="false">IF(AND(DD21=1,BU21=1),MIN(FB21,FG21),0)</f>
        <v>0</v>
      </c>
      <c r="FJ21" s="1" t="n">
        <f aca="false">FB21-FI21</f>
        <v>0</v>
      </c>
      <c r="FK21" s="1" t="n">
        <f aca="false">IF(CE21=1,IF(ABS((1+AS_Wage)/(1+Slot7_Rate)-1)&lt;0.000000000001,(Slot7_Age-D21)*(1+Slot7_Rate)^(Slot7_Age-D21),(1+Slot7_Rate)^(Slot7_Age-D21)*(1-((1+AS_Wage)/(1+Slot7_Rate))^(Slot7_Age-D21))/(1-(1+AS_Wage)/(1+Slot7_Rate))),1)</f>
        <v>1</v>
      </c>
      <c r="FL21" s="1" t="n">
        <f aca="false">IF(AND(DD21=1,DN21&gt;0,Slot7_IsWG=1,CE21=1),MAX(0,(Slot7_Cost-CF21*(1+Slot7_Rate)^(Slot7_Age-D21))/FK21),0)</f>
        <v>0</v>
      </c>
      <c r="FM21" s="1" t="n">
        <f aca="false">IF(AND(DD21=1,DN21&gt;0,Slot7_IsWG=1,CE21=1),MIN(DN21,FL21),0)</f>
        <v>0</v>
      </c>
      <c r="FN21" s="1" t="n">
        <f aca="false">CF21+FM21</f>
        <v>0</v>
      </c>
      <c r="FO21" s="1" t="n">
        <f aca="false">IF(CE21=1,MAX(0,(Slot7_Cost-FN21*(1+Slot7_Rate)^(Slot7_Age-D21))/FK21),0)</f>
        <v>0</v>
      </c>
      <c r="FP21" s="1" t="n">
        <f aca="false">IF(CE21=1,MAX(0,(Slot7_Cost-CF21*(1+Slot7_Rate)^(Slot7_Age-D21))/FK21),0)</f>
        <v>0</v>
      </c>
      <c r="FQ21" s="1" t="n">
        <f aca="false">IF(AND(DD21=1,CE21=1),MIN(FJ21,FO21),0)</f>
        <v>0</v>
      </c>
      <c r="FR21" s="1" t="n">
        <f aca="false">FJ21-FQ21</f>
        <v>0</v>
      </c>
      <c r="FS21" s="1" t="n">
        <f aca="false">IF(CO21=1,IF(ABS((1+AS_Wage)/(1+Slot8_Rate)-1)&lt;0.000000000001,(Slot8_Age-D21)*(1+Slot8_Rate)^(Slot8_Age-D21),(1+Slot8_Rate)^(Slot8_Age-D21)*(1-((1+AS_Wage)/(1+Slot8_Rate))^(Slot8_Age-D21))/(1-(1+AS_Wage)/(1+Slot8_Rate))),1)</f>
        <v>1</v>
      </c>
      <c r="FT21" s="1" t="n">
        <f aca="false">IF(AND(DD21=1,DN21&gt;0,Slot8_IsWG=1,CO21=1),MAX(0,(Slot8_Cost-CP21*(1+Slot8_Rate)^(Slot8_Age-D21))/FS21),0)</f>
        <v>0</v>
      </c>
      <c r="FU21" s="1" t="n">
        <f aca="false">IF(AND(DD21=1,DN21&gt;0,Slot8_IsWG=1,CO21=1),MIN(DN21,FT21),0)</f>
        <v>0</v>
      </c>
      <c r="FV21" s="1" t="n">
        <f aca="false">CP21+FU21</f>
        <v>0</v>
      </c>
      <c r="FW21" s="1" t="n">
        <f aca="false">IF(CO21=1,MAX(0,(Slot8_Cost-FV21*(1+Slot8_Rate)^(Slot8_Age-D21))/FS21),0)</f>
        <v>0</v>
      </c>
      <c r="FX21" s="1" t="n">
        <f aca="false">IF(CO21=1,MAX(0,(Slot8_Cost-CP21*(1+Slot8_Rate)^(Slot8_Age-D21))/FS21),0)</f>
        <v>0</v>
      </c>
      <c r="FY21" s="1" t="n">
        <f aca="false">IF(AND(DD21=1,CO21=1),MIN(FR21,FW21),0)</f>
        <v>0</v>
      </c>
      <c r="FZ21" s="1" t="n">
        <f aca="false">FR21-FY21</f>
        <v>0</v>
      </c>
      <c r="GA21" s="1" t="n">
        <f aca="false">DN21-(DQ21+DY21+EG21+EO21+EW21+FE21+FM21+FU21)</f>
        <v>0</v>
      </c>
      <c r="GB21" s="1" t="n">
        <f aca="false">IF(DD21=1,DB21-DM21-DN21,0)</f>
        <v>0</v>
      </c>
      <c r="GC21" s="1" t="n">
        <f aca="false">IF(DD21=0,-DB21,0)</f>
        <v>0</v>
      </c>
      <c r="GD21" s="1" t="n">
        <f aca="false">MIN(GC21,CT21)</f>
        <v>0</v>
      </c>
      <c r="GE21" s="1" t="n">
        <f aca="false">GC21-GD21</f>
        <v>0</v>
      </c>
      <c r="GF21" s="1" t="n">
        <f aca="false">MIN(GE21,CU21)</f>
        <v>0</v>
      </c>
      <c r="GG21" s="1" t="n">
        <f aca="false">GE21-GF21</f>
        <v>0</v>
      </c>
      <c r="GH21" s="1" t="n">
        <f aca="false">IF(AND(DD21=0,CO21=1,GG21&gt;0),MIN(GG21,CP21),0)</f>
        <v>0</v>
      </c>
      <c r="GI21" s="1" t="n">
        <f aca="false">GG21-GH21</f>
        <v>0</v>
      </c>
      <c r="GJ21" s="1" t="n">
        <f aca="false">IF(AND(DD21=0,CE21=1,GI21&gt;0),MIN(GI21,CF21),0)</f>
        <v>0</v>
      </c>
      <c r="GK21" s="1" t="n">
        <f aca="false">GI21-GJ21</f>
        <v>0</v>
      </c>
      <c r="GL21" s="1" t="n">
        <f aca="false">IF(AND(DD21=0,BU21=1,GK21&gt;0),MIN(GK21,BV21),0)</f>
        <v>0</v>
      </c>
      <c r="GM21" s="1" t="n">
        <f aca="false">GK21-GL21</f>
        <v>0</v>
      </c>
      <c r="GN21" s="1" t="n">
        <f aca="false">IF(AND(DD21=0,BK21=1,GM21&gt;0),MIN(GM21,BL21),0)</f>
        <v>0</v>
      </c>
      <c r="GO21" s="1" t="n">
        <f aca="false">GM21-GN21</f>
        <v>0</v>
      </c>
      <c r="GP21" s="1" t="n">
        <f aca="false">IF(AND(DD21=0,BA21=1,GO21&gt;0),MIN(GO21,BB21),0)</f>
        <v>0</v>
      </c>
      <c r="GQ21" s="1" t="n">
        <f aca="false">GO21-GP21</f>
        <v>0</v>
      </c>
      <c r="GR21" s="1" t="n">
        <f aca="false">IF(AND(DD21=0,AQ21=1,GQ21&gt;0),MIN(GQ21,AR21),0)</f>
        <v>0</v>
      </c>
      <c r="GS21" s="1" t="n">
        <f aca="false">GQ21-GR21</f>
        <v>0</v>
      </c>
      <c r="GT21" s="1" t="n">
        <f aca="false">IF(AND(DD21=0,AG21=1,GS21&gt;0),MIN(GS21,AH21),0)</f>
        <v>0</v>
      </c>
      <c r="GU21" s="1" t="n">
        <f aca="false">GS21-GT21</f>
        <v>0</v>
      </c>
      <c r="GV21" s="1" t="n">
        <f aca="false">IF(AND(DD21=0,V21=1,GU21&gt;0),MIN(GU21,W21),0)</f>
        <v>0</v>
      </c>
      <c r="GW21" s="1" t="n">
        <f aca="false">GU21-GV21</f>
        <v>0</v>
      </c>
      <c r="GX21" s="1" t="n">
        <f aca="false">IF(DD21=0,GW21,0)</f>
        <v>0</v>
      </c>
      <c r="GY21" s="1" t="n">
        <f aca="false">GD21+GF21+GV21+GT21+GR21+GP21+GN21+GL21+GJ21+GH21</f>
        <v>0</v>
      </c>
      <c r="GZ21" s="1" t="n">
        <f aca="false">IF(DD21=1,CT21+GA21+FZ21+IF(F21=1,0,GB21),CT21-GD21)</f>
        <v>0</v>
      </c>
      <c r="HA21" s="1" t="n">
        <f aca="false">CU21-GF21</f>
        <v>0</v>
      </c>
      <c r="HB21" s="1" t="n">
        <f aca="false">IF(DD21=1,IF(F21=1,DM21+DN21,DB21),0)</f>
        <v>0</v>
      </c>
      <c r="HC21" s="1" t="n">
        <f aca="false">IF(DD21=1,IF(F21=1,DB21-DM21-DN21,0),0)</f>
        <v>0</v>
      </c>
      <c r="HD21" s="1" t="n">
        <f aca="false">GZ21*(1+GR)</f>
        <v>0</v>
      </c>
      <c r="HE21" s="1" t="n">
        <f aca="false">HA21*(1+AS_Cash)</f>
        <v>0</v>
      </c>
      <c r="HF21" s="1" t="n">
        <f aca="false">IF(V21=1,IF(DD21=1,DR21+DU21,W21-GV21)*(1+Slot1_Rate),0)</f>
        <v>0</v>
      </c>
      <c r="HG21" s="1" t="n">
        <f aca="false">IF(AND(DD21=1,V21=1),(DQ21+DU21)/E21,0)</f>
        <v>0</v>
      </c>
      <c r="HH21" s="1" t="n">
        <f aca="false">IF(B21=0,DQ21+DU21,0)</f>
        <v>0</v>
      </c>
      <c r="HI21" s="1" t="n">
        <f aca="false">IF(B21=0,IF(DD21=1,DS21,DT21),0)</f>
        <v>0</v>
      </c>
      <c r="HJ21" s="1" t="n">
        <f aca="false">IF(AG21=1,IF(DD21=1,DZ21+EC21,AH21-GT21)*(1+Slot2_Rate),0)</f>
        <v>0</v>
      </c>
      <c r="HK21" s="1" t="n">
        <f aca="false">IF(AND(DD21=1,AG21=1),(DY21+EC21)/E21,0)</f>
        <v>0</v>
      </c>
      <c r="HL21" s="1" t="n">
        <f aca="false">IF(B21=0,DY21+EC21,0)</f>
        <v>0</v>
      </c>
      <c r="HM21" s="1" t="n">
        <f aca="false">IF(B21=0,IF(DD21=1,EA21,EB21),0)</f>
        <v>0</v>
      </c>
      <c r="HN21" s="1" t="n">
        <f aca="false">IF(AQ21=1,IF(DD21=1,EH21+EK21,AR21-GR21)*(1+Slot3_Rate),0)</f>
        <v>0</v>
      </c>
      <c r="HO21" s="1" t="n">
        <f aca="false">IF(AND(DD21=1,AQ21=1),(EG21+EK21)/E21,0)</f>
        <v>0</v>
      </c>
      <c r="HP21" s="1" t="n">
        <f aca="false">IF(B21=0,EG21+EK21,0)</f>
        <v>0</v>
      </c>
      <c r="HQ21" s="1" t="n">
        <f aca="false">IF(B21=0,IF(DD21=1,EI21,EJ21),0)</f>
        <v>0</v>
      </c>
      <c r="HR21" s="1" t="n">
        <f aca="false">IF(BA21=1,IF(DD21=1,EP21+ES21,BB21-GP21)*(1+Slot4_Rate),0)</f>
        <v>0</v>
      </c>
      <c r="HS21" s="1" t="n">
        <f aca="false">IF(AND(DD21=1,BA21=1),(EO21+ES21)/E21,0)</f>
        <v>0</v>
      </c>
      <c r="HT21" s="1" t="n">
        <f aca="false">IF(B21=0,EO21+ES21,0)</f>
        <v>0</v>
      </c>
      <c r="HU21" s="1" t="n">
        <f aca="false">IF(B21=0,IF(DD21=1,EQ21,ER21),0)</f>
        <v>0</v>
      </c>
      <c r="HV21" s="1" t="n">
        <f aca="false">IF(BK21=1,IF(DD21=1,EX21+FA21,BL21-GN21)*(1+Slot5_Rate),0)</f>
        <v>0</v>
      </c>
      <c r="HW21" s="1" t="n">
        <f aca="false">IF(AND(DD21=1,BK21=1),(EW21+FA21)/E21,0)</f>
        <v>0</v>
      </c>
      <c r="HX21" s="1" t="n">
        <f aca="false">IF(B21=0,EW21+FA21,0)</f>
        <v>0</v>
      </c>
      <c r="HY21" s="1" t="n">
        <f aca="false">IF(B21=0,IF(DD21=1,EY21,EZ21),0)</f>
        <v>0</v>
      </c>
      <c r="HZ21" s="1" t="n">
        <f aca="false">IF(BU21=1,IF(DD21=1,FF21+FI21,BV21-GL21)*(1+Slot6_Rate),0)</f>
        <v>0</v>
      </c>
      <c r="IA21" s="1" t="n">
        <f aca="false">IF(AND(DD21=1,BU21=1),(FE21+FI21)/E21,0)</f>
        <v>0</v>
      </c>
      <c r="IB21" s="1" t="n">
        <f aca="false">IF(B21=0,FE21+FI21,0)</f>
        <v>0</v>
      </c>
      <c r="IC21" s="1" t="n">
        <f aca="false">IF(B21=0,IF(DD21=1,FG21,FH21),0)</f>
        <v>0</v>
      </c>
      <c r="ID21" s="1" t="n">
        <f aca="false">IF(CE21=1,IF(DD21=1,FN21+FQ21,CF21-GJ21)*(1+Slot7_Rate),0)</f>
        <v>0</v>
      </c>
      <c r="IE21" s="1" t="n">
        <f aca="false">IF(AND(DD21=1,CE21=1),(FM21+FQ21)/E21,0)</f>
        <v>0</v>
      </c>
      <c r="IF21" s="1" t="n">
        <f aca="false">IF(B21=0,FM21+FQ21,0)</f>
        <v>0</v>
      </c>
      <c r="IG21" s="1" t="n">
        <f aca="false">IF(B21=0,IF(DD21=1,FO21,FP21),0)</f>
        <v>0</v>
      </c>
      <c r="IH21" s="1" t="n">
        <f aca="false">IF(CO21=1,IF(DD21=1,FV21+FY21,CP21-GH21)*(1+Slot8_Rate),0)</f>
        <v>0</v>
      </c>
      <c r="II21" s="1" t="n">
        <f aca="false">IF(AND(DD21=1,CO21=1),(FU21+FY21)/E21,0)</f>
        <v>0</v>
      </c>
      <c r="IJ21" s="1" t="n">
        <f aca="false">IF(B21=0,FU21+FY21,0)</f>
        <v>0</v>
      </c>
      <c r="IK21" s="1" t="n">
        <f aca="false">IF(B21=0,IF(DD21=1,FW21,FX21),0)</f>
        <v>0</v>
      </c>
      <c r="IL21" s="1" t="n">
        <f aca="false">HD21+HE21+HF21+HJ21+HN21+HR21+HV21+HZ21+ID21+IH21</f>
        <v>0</v>
      </c>
      <c r="IM21" s="1" t="n">
        <f aca="false">GX21+CY21</f>
        <v>0</v>
      </c>
      <c r="IN21" s="1" t="n">
        <f aca="false">H21+R21</f>
        <v>0</v>
      </c>
      <c r="IO21" s="1" t="n">
        <f aca="false">1-F21</f>
        <v>1</v>
      </c>
      <c r="IP21" s="1" t="n">
        <f aca="false">IF(AND(RG_Exists=1,F21=0,C21=1),H21,0)</f>
        <v>0</v>
      </c>
      <c r="IQ21" s="1" t="n">
        <f aca="false">IF(AND(RG_Exists=1,F21=0,C21=1),H21-MIN(GX21,H21),0)</f>
        <v>0</v>
      </c>
      <c r="IR21" s="1" t="n">
        <f aca="false">'Plan pay &amp; tax'!AD223</f>
        <v>0</v>
      </c>
      <c r="IS21" s="1" t="n">
        <f aca="false">IF(AND(C21=1,GX21&gt;MAX(PR_Short1,IN21*PR_Short2)),1,0)</f>
        <v>0</v>
      </c>
      <c r="IT21" s="1" t="n">
        <f aca="false">MIN(G21,H21+R21)</f>
        <v>0</v>
      </c>
      <c r="IU21" s="1" t="n">
        <f aca="false">GY21+MAX(0,CZ21-CY21)</f>
        <v>0</v>
      </c>
      <c r="IV21" s="1" t="n">
        <f aca="false">GX21+CY21</f>
        <v>0</v>
      </c>
      <c r="IW21" s="1" t="n">
        <f aca="false">IF(AND(C21=1,IV21&gt;0.5),1,0)</f>
        <v>0</v>
      </c>
      <c r="IX21" s="1" t="n">
        <f aca="false">IF(AND(C21=1,IW21=0,IU21&gt;0.5),1,0)</f>
        <v>0</v>
      </c>
      <c r="IY21" s="1" t="n">
        <f aca="false">IF(AND(C21=1,GX21&gt;0.5),1,0)</f>
        <v>0</v>
      </c>
      <c r="IZ21" s="1" t="n">
        <f aca="false">IF(AND(C21=1,GY21&gt;1,JF21=0),1,0)</f>
        <v>0</v>
      </c>
      <c r="JA21" s="1" t="n">
        <f aca="false">IF(AND(INT(D21/10)*10=90,B21&gt;0),80,INT(D21/10)*10)</f>
        <v>10</v>
      </c>
      <c r="JB21" s="1" t="n">
        <f aca="false">IF(B21=0,1,IF(JA21&lt;&gt;JA20,JB20+1,JB20))</f>
        <v>2</v>
      </c>
      <c r="JC21" s="1" t="n">
        <f aca="false">IF(AND(C21=1,F21=1,GX21&gt;MAX(PR_Short1,IN21*PR_Short2)),1,0)</f>
        <v>0</v>
      </c>
      <c r="JD21" s="1" t="n">
        <f aca="false">IO21*IS21</f>
        <v>0</v>
      </c>
      <c r="JE21" s="1" t="n">
        <f aca="false">IF(AND(U21=1,Slot1_PctLow=1),1,0)+IF(AND(AF21=1,Slot2_PctLow=1),1,0)+IF(AND(AP21=1,Slot3_PctLow=1),1,0)+IF(AND(AZ21=1,Slot4_PctLow=1),1,0)+IF(AND(BJ21=1,Slot5_PctLow=1),1,0)+IF(AND(BT21=1,Slot6_PctLow=1),1,0)+IF(AND(CD21=1,Slot7_PctLow=1),1,0)+IF(AND(CN21=1,Slot8_PctLow=1),1,0)</f>
        <v>0</v>
      </c>
      <c r="JF21" s="1" t="n">
        <f aca="false">IF(C21=1,IF(OR(IS21=1,JE21&gt;0),1,0),0)</f>
        <v>0</v>
      </c>
    </row>
    <row r="22" customFormat="false" ht="15" hidden="false" customHeight="false" outlineLevel="0" collapsed="false">
      <c r="B22" s="1" t="n">
        <v>14</v>
      </c>
      <c r="C22" s="1" t="n">
        <f aca="false">IF(B22&lt;=F_N,1,0)</f>
        <v>1</v>
      </c>
      <c r="D22" s="1" t="n">
        <f aca="false">'Plan pay &amp; tax'!C224</f>
        <v>14</v>
      </c>
      <c r="E22" s="106" t="n">
        <f aca="false">'Plan pay &amp; tax'!E224</f>
        <v>1.31947876306287</v>
      </c>
      <c r="F22" s="1" t="n">
        <f aca="false">'Plan pay &amp; tax'!G224</f>
        <v>0</v>
      </c>
      <c r="G22" s="1" t="n">
        <f aca="false">'Plan pay &amp; tax'!BT224-'Plan pay &amp; tax'!BS224-'Plan pay &amp; tax'!R224</f>
        <v>0</v>
      </c>
      <c r="H22" s="1" t="n">
        <f aca="false">IF(F22=1,F_CostsM*12,IF(RG_Exists=1,RG_Amount,F_CostsM*12*AS_RetireSpend))*E22+F_OneOffY*E22</f>
        <v>0</v>
      </c>
      <c r="I22" s="1" t="n">
        <f aca="false">DA21</f>
        <v>0</v>
      </c>
      <c r="J22" s="1" t="n">
        <f aca="false">IF(I22&gt;1,'Plan debt months'!AC22,0)</f>
        <v>0</v>
      </c>
      <c r="K22" s="1" t="n">
        <f aca="false">IF(I22&gt;1,'Plan debt months'!AB22,I22)</f>
        <v>0</v>
      </c>
      <c r="L22" s="1" t="n">
        <f aca="false">N21</f>
        <v>0</v>
      </c>
      <c r="M22" s="1" t="n">
        <f aca="false">IF(L22&gt;1,'Plan debt months'!BD22,0)</f>
        <v>0</v>
      </c>
      <c r="N22" s="1" t="n">
        <f aca="false">IF(L22&gt;1,'Plan debt months'!BC22,L22)</f>
        <v>0</v>
      </c>
      <c r="O22" s="1" t="n">
        <f aca="false">Q21</f>
        <v>0</v>
      </c>
      <c r="P22" s="1" t="n">
        <f aca="false">IF(O22&gt;1,'Plan debt months'!CE22,0)</f>
        <v>0</v>
      </c>
      <c r="Q22" s="1" t="n">
        <f aca="false">IF(O22&gt;1,'Plan debt months'!CD22,O22)</f>
        <v>0</v>
      </c>
      <c r="R22" s="1" t="n">
        <f aca="false">J22+M22+P22</f>
        <v>0</v>
      </c>
      <c r="S22" s="1" t="n">
        <f aca="false">HD21+'Plan pay &amp; tax'!Y224</f>
        <v>0</v>
      </c>
      <c r="T22" s="1" t="n">
        <f aca="false">HD21</f>
        <v>0</v>
      </c>
      <c r="U22" s="1" t="n">
        <f aca="false">IF(AND(Slot1_On=1,D22=Slot1_Age),1,0)</f>
        <v>0</v>
      </c>
      <c r="V22" s="1" t="n">
        <f aca="false">IF(AND(Slot1_On=1,Slot1_Age&gt;D22),1,0)</f>
        <v>0</v>
      </c>
      <c r="W22" s="1" t="n">
        <f aca="false">HF21</f>
        <v>0</v>
      </c>
      <c r="X22" s="1" t="n">
        <f aca="false">U22*MIN(Slot1_Cost,W22)</f>
        <v>0</v>
      </c>
      <c r="Y22" s="1" t="n">
        <f aca="false">U22*Slot1_SpendLike*MIN(Slot1_Cost-X22,S22)</f>
        <v>0</v>
      </c>
      <c r="Z22" s="1" t="n">
        <f aca="false">X22+Y22</f>
        <v>0</v>
      </c>
      <c r="AA22" s="1" t="n">
        <f aca="false">S22-Y22+U22*IF(Slot1_SpendLike=1,W22-X22,IF(Slot1_PotFree=1,W22,0))</f>
        <v>0</v>
      </c>
      <c r="AB22" s="1" t="n">
        <f aca="false">AE22+U22*Slot1_BufPot*W22</f>
        <v>0</v>
      </c>
      <c r="AC22" s="1" t="n">
        <f aca="false">IF(AND(U22=1,Slot1_IsMfree=1),IF(Z22&gt;=Slot1_Cost-1,0,MAX(0,K22-Z22)),K22)</f>
        <v>0</v>
      </c>
      <c r="AD22" s="1" t="n">
        <f aca="false">U22*(Slot1_Cost-Z22)</f>
        <v>0</v>
      </c>
      <c r="AE22" s="1" t="n">
        <f aca="false">HE21</f>
        <v>0</v>
      </c>
      <c r="AF22" s="1" t="n">
        <f aca="false">IF(AND(Slot2_On=1,D22=Slot2_Age),1,0)</f>
        <v>0</v>
      </c>
      <c r="AG22" s="1" t="n">
        <f aca="false">IF(AND(Slot2_On=1,Slot2_Age&gt;D22),1,0)</f>
        <v>0</v>
      </c>
      <c r="AH22" s="1" t="n">
        <f aca="false">HJ21</f>
        <v>0</v>
      </c>
      <c r="AI22" s="1" t="n">
        <f aca="false">AF22*MIN(Slot2_Cost,AH22)</f>
        <v>0</v>
      </c>
      <c r="AJ22" s="1" t="n">
        <f aca="false">AF22*Slot2_SpendLike*MIN(Slot2_Cost-AI22,AA22)</f>
        <v>0</v>
      </c>
      <c r="AK22" s="1" t="n">
        <f aca="false">AI22+AJ22</f>
        <v>0</v>
      </c>
      <c r="AL22" s="1" t="n">
        <f aca="false">AA22-AJ22+AF22*IF(Slot2_SpendLike=1,AH22-AI22,IF(Slot2_PotFree=1,AH22,0))</f>
        <v>0</v>
      </c>
      <c r="AM22" s="1" t="n">
        <f aca="false">AB22+AF22*Slot2_BufPot*AH22</f>
        <v>0</v>
      </c>
      <c r="AN22" s="1" t="n">
        <f aca="false">IF(AND(AF22=1,Slot2_IsMfree=1),IF(AK22&gt;=Slot2_Cost-1,0,MAX(0,AC22-AK22)),AC22)</f>
        <v>0</v>
      </c>
      <c r="AO22" s="1" t="n">
        <f aca="false">AF22*(Slot2_Cost-AK22)</f>
        <v>0</v>
      </c>
      <c r="AP22" s="1" t="n">
        <f aca="false">IF(AND(Slot3_On=1,D22=Slot3_Age),1,0)</f>
        <v>0</v>
      </c>
      <c r="AQ22" s="1" t="n">
        <f aca="false">IF(AND(Slot3_On=1,Slot3_Age&gt;D22),1,0)</f>
        <v>0</v>
      </c>
      <c r="AR22" s="1" t="n">
        <f aca="false">HN21</f>
        <v>0</v>
      </c>
      <c r="AS22" s="1" t="n">
        <f aca="false">AP22*MIN(Slot3_Cost,AR22)</f>
        <v>0</v>
      </c>
      <c r="AT22" s="1" t="n">
        <f aca="false">AP22*Slot3_SpendLike*MIN(Slot3_Cost-AS22,AL22)</f>
        <v>0</v>
      </c>
      <c r="AU22" s="1" t="n">
        <f aca="false">AS22+AT22</f>
        <v>0</v>
      </c>
      <c r="AV22" s="1" t="n">
        <f aca="false">AL22-AT22+AP22*IF(Slot3_SpendLike=1,AR22-AS22,IF(Slot3_PotFree=1,AR22,0))</f>
        <v>0</v>
      </c>
      <c r="AW22" s="1" t="n">
        <f aca="false">AM22+AP22*Slot3_BufPot*AR22</f>
        <v>0</v>
      </c>
      <c r="AX22" s="1" t="n">
        <f aca="false">IF(AND(AP22=1,Slot3_IsMfree=1),IF(AU22&gt;=Slot3_Cost-1,0,MAX(0,AN22-AU22)),AN22)</f>
        <v>0</v>
      </c>
      <c r="AY22" s="1" t="n">
        <f aca="false">AP22*(Slot3_Cost-AU22)</f>
        <v>0</v>
      </c>
      <c r="AZ22" s="1" t="n">
        <f aca="false">IF(AND(Slot4_On=1,D22=Slot4_Age),1,0)</f>
        <v>0</v>
      </c>
      <c r="BA22" s="1" t="n">
        <f aca="false">IF(AND(Slot4_On=1,Slot4_Age&gt;D22),1,0)</f>
        <v>0</v>
      </c>
      <c r="BB22" s="1" t="n">
        <f aca="false">HR21</f>
        <v>0</v>
      </c>
      <c r="BC22" s="1" t="n">
        <f aca="false">AZ22*MIN(Slot4_Cost,BB22)</f>
        <v>0</v>
      </c>
      <c r="BD22" s="1" t="n">
        <f aca="false">AZ22*Slot4_SpendLike*MIN(Slot4_Cost-BC22,AV22)</f>
        <v>0</v>
      </c>
      <c r="BE22" s="1" t="n">
        <f aca="false">BC22+BD22</f>
        <v>0</v>
      </c>
      <c r="BF22" s="1" t="n">
        <f aca="false">AV22-BD22+AZ22*IF(Slot4_SpendLike=1,BB22-BC22,IF(Slot4_PotFree=1,BB22,0))</f>
        <v>0</v>
      </c>
      <c r="BG22" s="1" t="n">
        <f aca="false">AW22+AZ22*Slot4_BufPot*BB22</f>
        <v>0</v>
      </c>
      <c r="BH22" s="1" t="n">
        <f aca="false">IF(AND(AZ22=1,Slot4_IsMfree=1),IF(BE22&gt;=Slot4_Cost-1,0,MAX(0,AX22-BE22)),AX22)</f>
        <v>0</v>
      </c>
      <c r="BI22" s="1" t="n">
        <f aca="false">AZ22*(Slot4_Cost-BE22)</f>
        <v>0</v>
      </c>
      <c r="BJ22" s="1" t="n">
        <f aca="false">IF(AND(Slot5_On=1,D22=Slot5_Age),1,0)</f>
        <v>0</v>
      </c>
      <c r="BK22" s="1" t="n">
        <f aca="false">IF(AND(Slot5_On=1,Slot5_Age&gt;D22),1,0)</f>
        <v>0</v>
      </c>
      <c r="BL22" s="1" t="n">
        <f aca="false">HV21</f>
        <v>0</v>
      </c>
      <c r="BM22" s="1" t="n">
        <f aca="false">BJ22*MIN(Slot5_Cost,BL22)</f>
        <v>0</v>
      </c>
      <c r="BN22" s="1" t="n">
        <f aca="false">BJ22*Slot5_SpendLike*MIN(Slot5_Cost-BM22,BF22)</f>
        <v>0</v>
      </c>
      <c r="BO22" s="1" t="n">
        <f aca="false">BM22+BN22</f>
        <v>0</v>
      </c>
      <c r="BP22" s="1" t="n">
        <f aca="false">BF22-BN22+BJ22*IF(Slot5_SpendLike=1,BL22-BM22,IF(Slot5_PotFree=1,BL22,0))</f>
        <v>0</v>
      </c>
      <c r="BQ22" s="1" t="n">
        <f aca="false">BG22+BJ22*Slot5_BufPot*BL22</f>
        <v>0</v>
      </c>
      <c r="BR22" s="1" t="n">
        <f aca="false">IF(AND(BJ22=1,Slot5_IsMfree=1),IF(BO22&gt;=Slot5_Cost-1,0,MAX(0,BH22-BO22)),BH22)</f>
        <v>0</v>
      </c>
      <c r="BS22" s="1" t="n">
        <f aca="false">BJ22*(Slot5_Cost-BO22)</f>
        <v>0</v>
      </c>
      <c r="BT22" s="1" t="n">
        <f aca="false">IF(AND(Slot6_On=1,D22=Slot6_Age),1,0)</f>
        <v>0</v>
      </c>
      <c r="BU22" s="1" t="n">
        <f aca="false">IF(AND(Slot6_On=1,Slot6_Age&gt;D22),1,0)</f>
        <v>0</v>
      </c>
      <c r="BV22" s="1" t="n">
        <f aca="false">HZ21</f>
        <v>0</v>
      </c>
      <c r="BW22" s="1" t="n">
        <f aca="false">BT22*MIN(Slot6_Cost,BV22)</f>
        <v>0</v>
      </c>
      <c r="BX22" s="1" t="n">
        <f aca="false">BT22*Slot6_SpendLike*MIN(Slot6_Cost-BW22,BP22)</f>
        <v>0</v>
      </c>
      <c r="BY22" s="1" t="n">
        <f aca="false">BW22+BX22</f>
        <v>0</v>
      </c>
      <c r="BZ22" s="1" t="n">
        <f aca="false">BP22-BX22+BT22*IF(Slot6_SpendLike=1,BV22-BW22,IF(Slot6_PotFree=1,BV22,0))</f>
        <v>0</v>
      </c>
      <c r="CA22" s="1" t="n">
        <f aca="false">BQ22+BT22*Slot6_BufPot*BV22</f>
        <v>0</v>
      </c>
      <c r="CB22" s="1" t="n">
        <f aca="false">IF(AND(BT22=1,Slot6_IsMfree=1),IF(BY22&gt;=Slot6_Cost-1,0,MAX(0,BR22-BY22)),BR22)</f>
        <v>0</v>
      </c>
      <c r="CC22" s="1" t="n">
        <f aca="false">BT22*(Slot6_Cost-BY22)</f>
        <v>0</v>
      </c>
      <c r="CD22" s="1" t="n">
        <f aca="false">IF(AND(Slot7_On=1,D22=Slot7_Age),1,0)</f>
        <v>0</v>
      </c>
      <c r="CE22" s="1" t="n">
        <f aca="false">IF(AND(Slot7_On=1,Slot7_Age&gt;D22),1,0)</f>
        <v>0</v>
      </c>
      <c r="CF22" s="1" t="n">
        <f aca="false">ID21</f>
        <v>0</v>
      </c>
      <c r="CG22" s="1" t="n">
        <f aca="false">CD22*MIN(Slot7_Cost,CF22)</f>
        <v>0</v>
      </c>
      <c r="CH22" s="1" t="n">
        <f aca="false">CD22*Slot7_SpendLike*MIN(Slot7_Cost-CG22,BZ22)</f>
        <v>0</v>
      </c>
      <c r="CI22" s="1" t="n">
        <f aca="false">CG22+CH22</f>
        <v>0</v>
      </c>
      <c r="CJ22" s="1" t="n">
        <f aca="false">BZ22-CH22+CD22*IF(Slot7_SpendLike=1,CF22-CG22,IF(Slot7_PotFree=1,CF22,0))</f>
        <v>0</v>
      </c>
      <c r="CK22" s="1" t="n">
        <f aca="false">CA22+CD22*Slot7_BufPot*CF22</f>
        <v>0</v>
      </c>
      <c r="CL22" s="1" t="n">
        <f aca="false">IF(AND(CD22=1,Slot7_IsMfree=1),IF(CI22&gt;=Slot7_Cost-1,0,MAX(0,CB22-CI22)),CB22)</f>
        <v>0</v>
      </c>
      <c r="CM22" s="1" t="n">
        <f aca="false">CD22*(Slot7_Cost-CI22)</f>
        <v>0</v>
      </c>
      <c r="CN22" s="1" t="n">
        <f aca="false">IF(AND(Slot8_On=1,D22=Slot8_Age),1,0)</f>
        <v>0</v>
      </c>
      <c r="CO22" s="1" t="n">
        <f aca="false">IF(AND(Slot8_On=1,Slot8_Age&gt;D22),1,0)</f>
        <v>0</v>
      </c>
      <c r="CP22" s="1" t="n">
        <f aca="false">IH21</f>
        <v>0</v>
      </c>
      <c r="CQ22" s="1" t="n">
        <f aca="false">CN22*MIN(Slot8_Cost,CP22)</f>
        <v>0</v>
      </c>
      <c r="CR22" s="1" t="n">
        <f aca="false">CN22*Slot8_SpendLike*MIN(Slot8_Cost-CQ22,CJ22)</f>
        <v>0</v>
      </c>
      <c r="CS22" s="1" t="n">
        <f aca="false">CQ22+CR22</f>
        <v>0</v>
      </c>
      <c r="CT22" s="1" t="n">
        <f aca="false">CJ22-CR22+CN22*IF(Slot8_SpendLike=1,CP22-CQ22,IF(Slot8_PotFree=1,CP22,0))</f>
        <v>0</v>
      </c>
      <c r="CU22" s="1" t="n">
        <f aca="false">CK22+CN22*Slot8_BufPot*CP22</f>
        <v>0</v>
      </c>
      <c r="CV22" s="1" t="n">
        <f aca="false">IF(AND(CN22=1,Slot8_IsMfree=1),IF(CS22&gt;=Slot8_Cost-1,0,MAX(0,CL22-CS22)),CL22)</f>
        <v>0</v>
      </c>
      <c r="CW22" s="1" t="n">
        <f aca="false">CN22*(Slot8_Cost-CS22)</f>
        <v>0</v>
      </c>
      <c r="CX22" s="1" t="n">
        <f aca="false">U22*Slot1_SpendLike*Z22+AF22*Slot2_SpendLike*AK22+AP22*Slot3_SpendLike*AU22+AZ22*Slot4_SpendLike*BE22+BJ22*Slot5_SpendLike*BO22+BT22*Slot6_SpendLike*BY22+CD22*Slot7_SpendLike*CI22+CN22*Slot8_SpendLike*CS22</f>
        <v>0</v>
      </c>
      <c r="CY22" s="1" t="n">
        <f aca="false">AD22+AO22+AY22+BI22+BS22+CC22+CM22+CW22</f>
        <v>0</v>
      </c>
      <c r="CZ22" s="1" t="n">
        <f aca="false">U22*Slot1_Cost+AF22*Slot2_Cost+AP22*Slot3_Cost+AZ22*Slot4_Cost+BJ22*Slot5_Cost+BT22*Slot6_Cost+CD22*Slot7_Cost+CN22*Slot8_Cost</f>
        <v>0</v>
      </c>
      <c r="DA22" s="1" t="n">
        <f aca="false">CV22</f>
        <v>0</v>
      </c>
      <c r="DB22" s="1" t="n">
        <f aca="false">G22-H22-R22</f>
        <v>0</v>
      </c>
      <c r="DC22" s="1" t="n">
        <f aca="false">IF(B22=0,IF(AND(Has_q6=1,In_q6=4),PR_ShareVaries*(MAX(0,DB22)/12),MIN(IF(Has_q6=1,CHOOSE(In_q6+1,PR_SaveB1,PR_SaveB2,PR_SaveB3,PR_SaveB4,0),AS_NoAnswer),AS_SaveShare*(MAX(0,DB22)/12))),DC21)</f>
        <v>0</v>
      </c>
      <c r="DD22" s="1" t="n">
        <f aca="false">IF(DB22&gt;=0,1,0)</f>
        <v>1</v>
      </c>
      <c r="DE22" s="1" t="n">
        <f aca="false">MAX(0,DB22/12/E22)</f>
        <v>0</v>
      </c>
      <c r="DF22" s="1" t="n">
        <f aca="false">IF(AND(Has_q6=1,In_q6=4),PR_ShareVaries*(DE22),MIN(IF(Has_q6=1,CHOOSE(In_q6+1,PR_SaveB1,PR_SaveB2,PR_SaveB3,PR_SaveB4,0),AS_NoAnswer),AS_SaveShare*(DE22)))</f>
        <v>0</v>
      </c>
      <c r="DG22" s="1" t="n">
        <f aca="false">IF(Has_saveM=1,IF(In_saveUp="Yes",1,IF(In_saveUp="No",0,IF(In_saveM&gt;=DC22-0.5,1,0))),0)</f>
        <v>0</v>
      </c>
      <c r="DH22" s="1" t="n">
        <f aca="false">IF(Has_saveM=1,MIN(DE22,IF(DG22=1,MAX(In_saveM,DF22),MIN(In_saveM,DF22))),DF22)</f>
        <v>0</v>
      </c>
      <c r="DI22" s="1" t="n">
        <f aca="false">IF(F22=1,DH22*12*E22,0)</f>
        <v>0</v>
      </c>
      <c r="DJ22" s="1" t="n">
        <f aca="false">MAX(0,DI22+IF(AND(WI_Retire=0,WI_M&lt;0,F22=1),WI_M*12*E22,0))</f>
        <v>0</v>
      </c>
      <c r="DK22" s="1" t="n">
        <f aca="false">Slot1_IsWG*V22+Slot2_IsWG*AG22+Slot3_IsWG*AQ22+Slot4_IsWG*BA22+Slot5_IsWG*BK22+Slot6_IsWG*BU22+Slot7_IsWG*CE22+Slot8_IsWG*CO22</f>
        <v>0</v>
      </c>
      <c r="DL22" s="1" t="n">
        <f aca="false">IF(AND(WI_Retire=0,WI_M&gt;0,F22=1,DK22&gt;=1),WI_M*12*E22,0)</f>
        <v>0</v>
      </c>
      <c r="DM22" s="1" t="n">
        <f aca="false">IF(DD22=1,MIN(DJ22,DB22),0)</f>
        <v>0</v>
      </c>
      <c r="DN22" s="1" t="n">
        <f aca="false">IF(DD22=1,MIN(DL22,DB22-DM22),0)</f>
        <v>0</v>
      </c>
      <c r="DO22" s="1" t="n">
        <f aca="false">IF(V22=1,IF(ABS((1+AS_Wage)/(1+Slot1_Rate)-1)&lt;0.000000000001,(Slot1_Age-D22)*(1+Slot1_Rate)^(Slot1_Age-D22),(1+Slot1_Rate)^(Slot1_Age-D22)*(1-((1+AS_Wage)/(1+Slot1_Rate))^(Slot1_Age-D22))/(1-(1+AS_Wage)/(1+Slot1_Rate))),1)</f>
        <v>1</v>
      </c>
      <c r="DP22" s="1" t="n">
        <f aca="false">IF(AND(DD22=1,DN22&gt;0,Slot1_IsWG=1,V22=1),MAX(0,(Slot1_Cost-W22*(1+Slot1_Rate)^(Slot1_Age-D22))/DO22),0)</f>
        <v>0</v>
      </c>
      <c r="DQ22" s="1" t="n">
        <f aca="false">IF(AND(DD22=1,DN22&gt;0,Slot1_IsWG=1,V22=1),MIN(DN22,DP22),0)</f>
        <v>0</v>
      </c>
      <c r="DR22" s="1" t="n">
        <f aca="false">W22+DQ22</f>
        <v>0</v>
      </c>
      <c r="DS22" s="1" t="n">
        <f aca="false">IF(V22=1,MAX(0,(Slot1_Cost-DR22*(1+Slot1_Rate)^(Slot1_Age-D22))/DO22),0)</f>
        <v>0</v>
      </c>
      <c r="DT22" s="1" t="n">
        <f aca="false">IF(V22=1,MAX(0,(Slot1_Cost-W22*(1+Slot1_Rate)^(Slot1_Age-D22))/DO22),0)</f>
        <v>0</v>
      </c>
      <c r="DU22" s="1" t="n">
        <f aca="false">IF(AND(DD22=1,V22=1),MIN(DM22,DS22),0)</f>
        <v>0</v>
      </c>
      <c r="DV22" s="1" t="n">
        <f aca="false">DM22-DU22</f>
        <v>0</v>
      </c>
      <c r="DW22" s="1" t="n">
        <f aca="false">IF(AG22=1,IF(ABS((1+AS_Wage)/(1+Slot2_Rate)-1)&lt;0.000000000001,(Slot2_Age-D22)*(1+Slot2_Rate)^(Slot2_Age-D22),(1+Slot2_Rate)^(Slot2_Age-D22)*(1-((1+AS_Wage)/(1+Slot2_Rate))^(Slot2_Age-D22))/(1-(1+AS_Wage)/(1+Slot2_Rate))),1)</f>
        <v>1</v>
      </c>
      <c r="DX22" s="1" t="n">
        <f aca="false">IF(AND(DD22=1,DN22&gt;0,Slot2_IsWG=1,AG22=1),MAX(0,(Slot2_Cost-AH22*(1+Slot2_Rate)^(Slot2_Age-D22))/DW22),0)</f>
        <v>0</v>
      </c>
      <c r="DY22" s="1" t="n">
        <f aca="false">IF(AND(DD22=1,DN22&gt;0,Slot2_IsWG=1,AG22=1),MIN(DN22,DX22),0)</f>
        <v>0</v>
      </c>
      <c r="DZ22" s="1" t="n">
        <f aca="false">AH22+DY22</f>
        <v>0</v>
      </c>
      <c r="EA22" s="1" t="n">
        <f aca="false">IF(AG22=1,MAX(0,(Slot2_Cost-DZ22*(1+Slot2_Rate)^(Slot2_Age-D22))/DW22),0)</f>
        <v>0</v>
      </c>
      <c r="EB22" s="1" t="n">
        <f aca="false">IF(AG22=1,MAX(0,(Slot2_Cost-AH22*(1+Slot2_Rate)^(Slot2_Age-D22))/DW22),0)</f>
        <v>0</v>
      </c>
      <c r="EC22" s="1" t="n">
        <f aca="false">IF(AND(DD22=1,AG22=1),MIN(DV22,EA22),0)</f>
        <v>0</v>
      </c>
      <c r="ED22" s="1" t="n">
        <f aca="false">DV22-EC22</f>
        <v>0</v>
      </c>
      <c r="EE22" s="1" t="n">
        <f aca="false">IF(AQ22=1,IF(ABS((1+AS_Wage)/(1+Slot3_Rate)-1)&lt;0.000000000001,(Slot3_Age-D22)*(1+Slot3_Rate)^(Slot3_Age-D22),(1+Slot3_Rate)^(Slot3_Age-D22)*(1-((1+AS_Wage)/(1+Slot3_Rate))^(Slot3_Age-D22))/(1-(1+AS_Wage)/(1+Slot3_Rate))),1)</f>
        <v>1</v>
      </c>
      <c r="EF22" s="1" t="n">
        <f aca="false">IF(AND(DD22=1,DN22&gt;0,Slot3_IsWG=1,AQ22=1),MAX(0,(Slot3_Cost-AR22*(1+Slot3_Rate)^(Slot3_Age-D22))/EE22),0)</f>
        <v>0</v>
      </c>
      <c r="EG22" s="1" t="n">
        <f aca="false">IF(AND(DD22=1,DN22&gt;0,Slot3_IsWG=1,AQ22=1),MIN(DN22,EF22),0)</f>
        <v>0</v>
      </c>
      <c r="EH22" s="1" t="n">
        <f aca="false">AR22+EG22</f>
        <v>0</v>
      </c>
      <c r="EI22" s="1" t="n">
        <f aca="false">IF(AQ22=1,MAX(0,(Slot3_Cost-EH22*(1+Slot3_Rate)^(Slot3_Age-D22))/EE22),0)</f>
        <v>0</v>
      </c>
      <c r="EJ22" s="1" t="n">
        <f aca="false">IF(AQ22=1,MAX(0,(Slot3_Cost-AR22*(1+Slot3_Rate)^(Slot3_Age-D22))/EE22),0)</f>
        <v>0</v>
      </c>
      <c r="EK22" s="1" t="n">
        <f aca="false">IF(AND(DD22=1,AQ22=1),MIN(ED22,EI22),0)</f>
        <v>0</v>
      </c>
      <c r="EL22" s="1" t="n">
        <f aca="false">ED22-EK22</f>
        <v>0</v>
      </c>
      <c r="EM22" s="1" t="n">
        <f aca="false">IF(BA22=1,IF(ABS((1+AS_Wage)/(1+Slot4_Rate)-1)&lt;0.000000000001,(Slot4_Age-D22)*(1+Slot4_Rate)^(Slot4_Age-D22),(1+Slot4_Rate)^(Slot4_Age-D22)*(1-((1+AS_Wage)/(1+Slot4_Rate))^(Slot4_Age-D22))/(1-(1+AS_Wage)/(1+Slot4_Rate))),1)</f>
        <v>1</v>
      </c>
      <c r="EN22" s="1" t="n">
        <f aca="false">IF(AND(DD22=1,DN22&gt;0,Slot4_IsWG=1,BA22=1),MAX(0,(Slot4_Cost-BB22*(1+Slot4_Rate)^(Slot4_Age-D22))/EM22),0)</f>
        <v>0</v>
      </c>
      <c r="EO22" s="1" t="n">
        <f aca="false">IF(AND(DD22=1,DN22&gt;0,Slot4_IsWG=1,BA22=1),MIN(DN22,EN22),0)</f>
        <v>0</v>
      </c>
      <c r="EP22" s="1" t="n">
        <f aca="false">BB22+EO22</f>
        <v>0</v>
      </c>
      <c r="EQ22" s="1" t="n">
        <f aca="false">IF(BA22=1,MAX(0,(Slot4_Cost-EP22*(1+Slot4_Rate)^(Slot4_Age-D22))/EM22),0)</f>
        <v>0</v>
      </c>
      <c r="ER22" s="1" t="n">
        <f aca="false">IF(BA22=1,MAX(0,(Slot4_Cost-BB22*(1+Slot4_Rate)^(Slot4_Age-D22))/EM22),0)</f>
        <v>0</v>
      </c>
      <c r="ES22" s="1" t="n">
        <f aca="false">IF(AND(DD22=1,BA22=1),MIN(EL22,EQ22),0)</f>
        <v>0</v>
      </c>
      <c r="ET22" s="1" t="n">
        <f aca="false">EL22-ES22</f>
        <v>0</v>
      </c>
      <c r="EU22" s="1" t="n">
        <f aca="false">IF(BK22=1,IF(ABS((1+AS_Wage)/(1+Slot5_Rate)-1)&lt;0.000000000001,(Slot5_Age-D22)*(1+Slot5_Rate)^(Slot5_Age-D22),(1+Slot5_Rate)^(Slot5_Age-D22)*(1-((1+AS_Wage)/(1+Slot5_Rate))^(Slot5_Age-D22))/(1-(1+AS_Wage)/(1+Slot5_Rate))),1)</f>
        <v>1</v>
      </c>
      <c r="EV22" s="1" t="n">
        <f aca="false">IF(AND(DD22=1,DN22&gt;0,Slot5_IsWG=1,BK22=1),MAX(0,(Slot5_Cost-BL22*(1+Slot5_Rate)^(Slot5_Age-D22))/EU22),0)</f>
        <v>0</v>
      </c>
      <c r="EW22" s="1" t="n">
        <f aca="false">IF(AND(DD22=1,DN22&gt;0,Slot5_IsWG=1,BK22=1),MIN(DN22,EV22),0)</f>
        <v>0</v>
      </c>
      <c r="EX22" s="1" t="n">
        <f aca="false">BL22+EW22</f>
        <v>0</v>
      </c>
      <c r="EY22" s="1" t="n">
        <f aca="false">IF(BK22=1,MAX(0,(Slot5_Cost-EX22*(1+Slot5_Rate)^(Slot5_Age-D22))/EU22),0)</f>
        <v>0</v>
      </c>
      <c r="EZ22" s="1" t="n">
        <f aca="false">IF(BK22=1,MAX(0,(Slot5_Cost-BL22*(1+Slot5_Rate)^(Slot5_Age-D22))/EU22),0)</f>
        <v>0</v>
      </c>
      <c r="FA22" s="1" t="n">
        <f aca="false">IF(AND(DD22=1,BK22=1),MIN(ET22,EY22),0)</f>
        <v>0</v>
      </c>
      <c r="FB22" s="1" t="n">
        <f aca="false">ET22-FA22</f>
        <v>0</v>
      </c>
      <c r="FC22" s="1" t="n">
        <f aca="false">IF(BU22=1,IF(ABS((1+AS_Wage)/(1+Slot6_Rate)-1)&lt;0.000000000001,(Slot6_Age-D22)*(1+Slot6_Rate)^(Slot6_Age-D22),(1+Slot6_Rate)^(Slot6_Age-D22)*(1-((1+AS_Wage)/(1+Slot6_Rate))^(Slot6_Age-D22))/(1-(1+AS_Wage)/(1+Slot6_Rate))),1)</f>
        <v>1</v>
      </c>
      <c r="FD22" s="1" t="n">
        <f aca="false">IF(AND(DD22=1,DN22&gt;0,Slot6_IsWG=1,BU22=1),MAX(0,(Slot6_Cost-BV22*(1+Slot6_Rate)^(Slot6_Age-D22))/FC22),0)</f>
        <v>0</v>
      </c>
      <c r="FE22" s="1" t="n">
        <f aca="false">IF(AND(DD22=1,DN22&gt;0,Slot6_IsWG=1,BU22=1),MIN(DN22,FD22),0)</f>
        <v>0</v>
      </c>
      <c r="FF22" s="1" t="n">
        <f aca="false">BV22+FE22</f>
        <v>0</v>
      </c>
      <c r="FG22" s="1" t="n">
        <f aca="false">IF(BU22=1,MAX(0,(Slot6_Cost-FF22*(1+Slot6_Rate)^(Slot6_Age-D22))/FC22),0)</f>
        <v>0</v>
      </c>
      <c r="FH22" s="1" t="n">
        <f aca="false">IF(BU22=1,MAX(0,(Slot6_Cost-BV22*(1+Slot6_Rate)^(Slot6_Age-D22))/FC22),0)</f>
        <v>0</v>
      </c>
      <c r="FI22" s="1" t="n">
        <f aca="false">IF(AND(DD22=1,BU22=1),MIN(FB22,FG22),0)</f>
        <v>0</v>
      </c>
      <c r="FJ22" s="1" t="n">
        <f aca="false">FB22-FI22</f>
        <v>0</v>
      </c>
      <c r="FK22" s="1" t="n">
        <f aca="false">IF(CE22=1,IF(ABS((1+AS_Wage)/(1+Slot7_Rate)-1)&lt;0.000000000001,(Slot7_Age-D22)*(1+Slot7_Rate)^(Slot7_Age-D22),(1+Slot7_Rate)^(Slot7_Age-D22)*(1-((1+AS_Wage)/(1+Slot7_Rate))^(Slot7_Age-D22))/(1-(1+AS_Wage)/(1+Slot7_Rate))),1)</f>
        <v>1</v>
      </c>
      <c r="FL22" s="1" t="n">
        <f aca="false">IF(AND(DD22=1,DN22&gt;0,Slot7_IsWG=1,CE22=1),MAX(0,(Slot7_Cost-CF22*(1+Slot7_Rate)^(Slot7_Age-D22))/FK22),0)</f>
        <v>0</v>
      </c>
      <c r="FM22" s="1" t="n">
        <f aca="false">IF(AND(DD22=1,DN22&gt;0,Slot7_IsWG=1,CE22=1),MIN(DN22,FL22),0)</f>
        <v>0</v>
      </c>
      <c r="FN22" s="1" t="n">
        <f aca="false">CF22+FM22</f>
        <v>0</v>
      </c>
      <c r="FO22" s="1" t="n">
        <f aca="false">IF(CE22=1,MAX(0,(Slot7_Cost-FN22*(1+Slot7_Rate)^(Slot7_Age-D22))/FK22),0)</f>
        <v>0</v>
      </c>
      <c r="FP22" s="1" t="n">
        <f aca="false">IF(CE22=1,MAX(0,(Slot7_Cost-CF22*(1+Slot7_Rate)^(Slot7_Age-D22))/FK22),0)</f>
        <v>0</v>
      </c>
      <c r="FQ22" s="1" t="n">
        <f aca="false">IF(AND(DD22=1,CE22=1),MIN(FJ22,FO22),0)</f>
        <v>0</v>
      </c>
      <c r="FR22" s="1" t="n">
        <f aca="false">FJ22-FQ22</f>
        <v>0</v>
      </c>
      <c r="FS22" s="1" t="n">
        <f aca="false">IF(CO22=1,IF(ABS((1+AS_Wage)/(1+Slot8_Rate)-1)&lt;0.000000000001,(Slot8_Age-D22)*(1+Slot8_Rate)^(Slot8_Age-D22),(1+Slot8_Rate)^(Slot8_Age-D22)*(1-((1+AS_Wage)/(1+Slot8_Rate))^(Slot8_Age-D22))/(1-(1+AS_Wage)/(1+Slot8_Rate))),1)</f>
        <v>1</v>
      </c>
      <c r="FT22" s="1" t="n">
        <f aca="false">IF(AND(DD22=1,DN22&gt;0,Slot8_IsWG=1,CO22=1),MAX(0,(Slot8_Cost-CP22*(1+Slot8_Rate)^(Slot8_Age-D22))/FS22),0)</f>
        <v>0</v>
      </c>
      <c r="FU22" s="1" t="n">
        <f aca="false">IF(AND(DD22=1,DN22&gt;0,Slot8_IsWG=1,CO22=1),MIN(DN22,FT22),0)</f>
        <v>0</v>
      </c>
      <c r="FV22" s="1" t="n">
        <f aca="false">CP22+FU22</f>
        <v>0</v>
      </c>
      <c r="FW22" s="1" t="n">
        <f aca="false">IF(CO22=1,MAX(0,(Slot8_Cost-FV22*(1+Slot8_Rate)^(Slot8_Age-D22))/FS22),0)</f>
        <v>0</v>
      </c>
      <c r="FX22" s="1" t="n">
        <f aca="false">IF(CO22=1,MAX(0,(Slot8_Cost-CP22*(1+Slot8_Rate)^(Slot8_Age-D22))/FS22),0)</f>
        <v>0</v>
      </c>
      <c r="FY22" s="1" t="n">
        <f aca="false">IF(AND(DD22=1,CO22=1),MIN(FR22,FW22),0)</f>
        <v>0</v>
      </c>
      <c r="FZ22" s="1" t="n">
        <f aca="false">FR22-FY22</f>
        <v>0</v>
      </c>
      <c r="GA22" s="1" t="n">
        <f aca="false">DN22-(DQ22+DY22+EG22+EO22+EW22+FE22+FM22+FU22)</f>
        <v>0</v>
      </c>
      <c r="GB22" s="1" t="n">
        <f aca="false">IF(DD22=1,DB22-DM22-DN22,0)</f>
        <v>0</v>
      </c>
      <c r="GC22" s="1" t="n">
        <f aca="false">IF(DD22=0,-DB22,0)</f>
        <v>0</v>
      </c>
      <c r="GD22" s="1" t="n">
        <f aca="false">MIN(GC22,CT22)</f>
        <v>0</v>
      </c>
      <c r="GE22" s="1" t="n">
        <f aca="false">GC22-GD22</f>
        <v>0</v>
      </c>
      <c r="GF22" s="1" t="n">
        <f aca="false">MIN(GE22,CU22)</f>
        <v>0</v>
      </c>
      <c r="GG22" s="1" t="n">
        <f aca="false">GE22-GF22</f>
        <v>0</v>
      </c>
      <c r="GH22" s="1" t="n">
        <f aca="false">IF(AND(DD22=0,CO22=1,GG22&gt;0),MIN(GG22,CP22),0)</f>
        <v>0</v>
      </c>
      <c r="GI22" s="1" t="n">
        <f aca="false">GG22-GH22</f>
        <v>0</v>
      </c>
      <c r="GJ22" s="1" t="n">
        <f aca="false">IF(AND(DD22=0,CE22=1,GI22&gt;0),MIN(GI22,CF22),0)</f>
        <v>0</v>
      </c>
      <c r="GK22" s="1" t="n">
        <f aca="false">GI22-GJ22</f>
        <v>0</v>
      </c>
      <c r="GL22" s="1" t="n">
        <f aca="false">IF(AND(DD22=0,BU22=1,GK22&gt;0),MIN(GK22,BV22),0)</f>
        <v>0</v>
      </c>
      <c r="GM22" s="1" t="n">
        <f aca="false">GK22-GL22</f>
        <v>0</v>
      </c>
      <c r="GN22" s="1" t="n">
        <f aca="false">IF(AND(DD22=0,BK22=1,GM22&gt;0),MIN(GM22,BL22),0)</f>
        <v>0</v>
      </c>
      <c r="GO22" s="1" t="n">
        <f aca="false">GM22-GN22</f>
        <v>0</v>
      </c>
      <c r="GP22" s="1" t="n">
        <f aca="false">IF(AND(DD22=0,BA22=1,GO22&gt;0),MIN(GO22,BB22),0)</f>
        <v>0</v>
      </c>
      <c r="GQ22" s="1" t="n">
        <f aca="false">GO22-GP22</f>
        <v>0</v>
      </c>
      <c r="GR22" s="1" t="n">
        <f aca="false">IF(AND(DD22=0,AQ22=1,GQ22&gt;0),MIN(GQ22,AR22),0)</f>
        <v>0</v>
      </c>
      <c r="GS22" s="1" t="n">
        <f aca="false">GQ22-GR22</f>
        <v>0</v>
      </c>
      <c r="GT22" s="1" t="n">
        <f aca="false">IF(AND(DD22=0,AG22=1,GS22&gt;0),MIN(GS22,AH22),0)</f>
        <v>0</v>
      </c>
      <c r="GU22" s="1" t="n">
        <f aca="false">GS22-GT22</f>
        <v>0</v>
      </c>
      <c r="GV22" s="1" t="n">
        <f aca="false">IF(AND(DD22=0,V22=1,GU22&gt;0),MIN(GU22,W22),0)</f>
        <v>0</v>
      </c>
      <c r="GW22" s="1" t="n">
        <f aca="false">GU22-GV22</f>
        <v>0</v>
      </c>
      <c r="GX22" s="1" t="n">
        <f aca="false">IF(DD22=0,GW22,0)</f>
        <v>0</v>
      </c>
      <c r="GY22" s="1" t="n">
        <f aca="false">GD22+GF22+GV22+GT22+GR22+GP22+GN22+GL22+GJ22+GH22</f>
        <v>0</v>
      </c>
      <c r="GZ22" s="1" t="n">
        <f aca="false">IF(DD22=1,CT22+GA22+FZ22+IF(F22=1,0,GB22),CT22-GD22)</f>
        <v>0</v>
      </c>
      <c r="HA22" s="1" t="n">
        <f aca="false">CU22-GF22</f>
        <v>0</v>
      </c>
      <c r="HB22" s="1" t="n">
        <f aca="false">IF(DD22=1,IF(F22=1,DM22+DN22,DB22),0)</f>
        <v>0</v>
      </c>
      <c r="HC22" s="1" t="n">
        <f aca="false">IF(DD22=1,IF(F22=1,DB22-DM22-DN22,0),0)</f>
        <v>0</v>
      </c>
      <c r="HD22" s="1" t="n">
        <f aca="false">GZ22*(1+GR)</f>
        <v>0</v>
      </c>
      <c r="HE22" s="1" t="n">
        <f aca="false">HA22*(1+AS_Cash)</f>
        <v>0</v>
      </c>
      <c r="HF22" s="1" t="n">
        <f aca="false">IF(V22=1,IF(DD22=1,DR22+DU22,W22-GV22)*(1+Slot1_Rate),0)</f>
        <v>0</v>
      </c>
      <c r="HG22" s="1" t="n">
        <f aca="false">IF(AND(DD22=1,V22=1),(DQ22+DU22)/E22,0)</f>
        <v>0</v>
      </c>
      <c r="HH22" s="1" t="n">
        <f aca="false">IF(B22=0,DQ22+DU22,0)</f>
        <v>0</v>
      </c>
      <c r="HI22" s="1" t="n">
        <f aca="false">IF(B22=0,IF(DD22=1,DS22,DT22),0)</f>
        <v>0</v>
      </c>
      <c r="HJ22" s="1" t="n">
        <f aca="false">IF(AG22=1,IF(DD22=1,DZ22+EC22,AH22-GT22)*(1+Slot2_Rate),0)</f>
        <v>0</v>
      </c>
      <c r="HK22" s="1" t="n">
        <f aca="false">IF(AND(DD22=1,AG22=1),(DY22+EC22)/E22,0)</f>
        <v>0</v>
      </c>
      <c r="HL22" s="1" t="n">
        <f aca="false">IF(B22=0,DY22+EC22,0)</f>
        <v>0</v>
      </c>
      <c r="HM22" s="1" t="n">
        <f aca="false">IF(B22=0,IF(DD22=1,EA22,EB22),0)</f>
        <v>0</v>
      </c>
      <c r="HN22" s="1" t="n">
        <f aca="false">IF(AQ22=1,IF(DD22=1,EH22+EK22,AR22-GR22)*(1+Slot3_Rate),0)</f>
        <v>0</v>
      </c>
      <c r="HO22" s="1" t="n">
        <f aca="false">IF(AND(DD22=1,AQ22=1),(EG22+EK22)/E22,0)</f>
        <v>0</v>
      </c>
      <c r="HP22" s="1" t="n">
        <f aca="false">IF(B22=0,EG22+EK22,0)</f>
        <v>0</v>
      </c>
      <c r="HQ22" s="1" t="n">
        <f aca="false">IF(B22=0,IF(DD22=1,EI22,EJ22),0)</f>
        <v>0</v>
      </c>
      <c r="HR22" s="1" t="n">
        <f aca="false">IF(BA22=1,IF(DD22=1,EP22+ES22,BB22-GP22)*(1+Slot4_Rate),0)</f>
        <v>0</v>
      </c>
      <c r="HS22" s="1" t="n">
        <f aca="false">IF(AND(DD22=1,BA22=1),(EO22+ES22)/E22,0)</f>
        <v>0</v>
      </c>
      <c r="HT22" s="1" t="n">
        <f aca="false">IF(B22=0,EO22+ES22,0)</f>
        <v>0</v>
      </c>
      <c r="HU22" s="1" t="n">
        <f aca="false">IF(B22=0,IF(DD22=1,EQ22,ER22),0)</f>
        <v>0</v>
      </c>
      <c r="HV22" s="1" t="n">
        <f aca="false">IF(BK22=1,IF(DD22=1,EX22+FA22,BL22-GN22)*(1+Slot5_Rate),0)</f>
        <v>0</v>
      </c>
      <c r="HW22" s="1" t="n">
        <f aca="false">IF(AND(DD22=1,BK22=1),(EW22+FA22)/E22,0)</f>
        <v>0</v>
      </c>
      <c r="HX22" s="1" t="n">
        <f aca="false">IF(B22=0,EW22+FA22,0)</f>
        <v>0</v>
      </c>
      <c r="HY22" s="1" t="n">
        <f aca="false">IF(B22=0,IF(DD22=1,EY22,EZ22),0)</f>
        <v>0</v>
      </c>
      <c r="HZ22" s="1" t="n">
        <f aca="false">IF(BU22=1,IF(DD22=1,FF22+FI22,BV22-GL22)*(1+Slot6_Rate),0)</f>
        <v>0</v>
      </c>
      <c r="IA22" s="1" t="n">
        <f aca="false">IF(AND(DD22=1,BU22=1),(FE22+FI22)/E22,0)</f>
        <v>0</v>
      </c>
      <c r="IB22" s="1" t="n">
        <f aca="false">IF(B22=0,FE22+FI22,0)</f>
        <v>0</v>
      </c>
      <c r="IC22" s="1" t="n">
        <f aca="false">IF(B22=0,IF(DD22=1,FG22,FH22),0)</f>
        <v>0</v>
      </c>
      <c r="ID22" s="1" t="n">
        <f aca="false">IF(CE22=1,IF(DD22=1,FN22+FQ22,CF22-GJ22)*(1+Slot7_Rate),0)</f>
        <v>0</v>
      </c>
      <c r="IE22" s="1" t="n">
        <f aca="false">IF(AND(DD22=1,CE22=1),(FM22+FQ22)/E22,0)</f>
        <v>0</v>
      </c>
      <c r="IF22" s="1" t="n">
        <f aca="false">IF(B22=0,FM22+FQ22,0)</f>
        <v>0</v>
      </c>
      <c r="IG22" s="1" t="n">
        <f aca="false">IF(B22=0,IF(DD22=1,FO22,FP22),0)</f>
        <v>0</v>
      </c>
      <c r="IH22" s="1" t="n">
        <f aca="false">IF(CO22=1,IF(DD22=1,FV22+FY22,CP22-GH22)*(1+Slot8_Rate),0)</f>
        <v>0</v>
      </c>
      <c r="II22" s="1" t="n">
        <f aca="false">IF(AND(DD22=1,CO22=1),(FU22+FY22)/E22,0)</f>
        <v>0</v>
      </c>
      <c r="IJ22" s="1" t="n">
        <f aca="false">IF(B22=0,FU22+FY22,0)</f>
        <v>0</v>
      </c>
      <c r="IK22" s="1" t="n">
        <f aca="false">IF(B22=0,IF(DD22=1,FW22,FX22),0)</f>
        <v>0</v>
      </c>
      <c r="IL22" s="1" t="n">
        <f aca="false">HD22+HE22+HF22+HJ22+HN22+HR22+HV22+HZ22+ID22+IH22</f>
        <v>0</v>
      </c>
      <c r="IM22" s="1" t="n">
        <f aca="false">GX22+CY22</f>
        <v>0</v>
      </c>
      <c r="IN22" s="1" t="n">
        <f aca="false">H22+R22</f>
        <v>0</v>
      </c>
      <c r="IO22" s="1" t="n">
        <f aca="false">1-F22</f>
        <v>1</v>
      </c>
      <c r="IP22" s="1" t="n">
        <f aca="false">IF(AND(RG_Exists=1,F22=0,C22=1),H22,0)</f>
        <v>0</v>
      </c>
      <c r="IQ22" s="1" t="n">
        <f aca="false">IF(AND(RG_Exists=1,F22=0,C22=1),H22-MIN(GX22,H22),0)</f>
        <v>0</v>
      </c>
      <c r="IR22" s="1" t="n">
        <f aca="false">'Plan pay &amp; tax'!AD224</f>
        <v>0</v>
      </c>
      <c r="IS22" s="1" t="n">
        <f aca="false">IF(AND(C22=1,GX22&gt;MAX(PR_Short1,IN22*PR_Short2)),1,0)</f>
        <v>0</v>
      </c>
      <c r="IT22" s="1" t="n">
        <f aca="false">MIN(G22,H22+R22)</f>
        <v>0</v>
      </c>
      <c r="IU22" s="1" t="n">
        <f aca="false">GY22+MAX(0,CZ22-CY22)</f>
        <v>0</v>
      </c>
      <c r="IV22" s="1" t="n">
        <f aca="false">GX22+CY22</f>
        <v>0</v>
      </c>
      <c r="IW22" s="1" t="n">
        <f aca="false">IF(AND(C22=1,IV22&gt;0.5),1,0)</f>
        <v>0</v>
      </c>
      <c r="IX22" s="1" t="n">
        <f aca="false">IF(AND(C22=1,IW22=0,IU22&gt;0.5),1,0)</f>
        <v>0</v>
      </c>
      <c r="IY22" s="1" t="n">
        <f aca="false">IF(AND(C22=1,GX22&gt;0.5),1,0)</f>
        <v>0</v>
      </c>
      <c r="IZ22" s="1" t="n">
        <f aca="false">IF(AND(C22=1,GY22&gt;1,JF22=0),1,0)</f>
        <v>0</v>
      </c>
      <c r="JA22" s="1" t="n">
        <f aca="false">IF(AND(INT(D22/10)*10=90,B22&gt;0),80,INT(D22/10)*10)</f>
        <v>10</v>
      </c>
      <c r="JB22" s="1" t="n">
        <f aca="false">IF(B22=0,1,IF(JA22&lt;&gt;JA21,JB21+1,JB21))</f>
        <v>2</v>
      </c>
      <c r="JC22" s="1" t="n">
        <f aca="false">IF(AND(C22=1,F22=1,GX22&gt;MAX(PR_Short1,IN22*PR_Short2)),1,0)</f>
        <v>0</v>
      </c>
      <c r="JD22" s="1" t="n">
        <f aca="false">IO22*IS22</f>
        <v>0</v>
      </c>
      <c r="JE22" s="1" t="n">
        <f aca="false">IF(AND(U22=1,Slot1_PctLow=1),1,0)+IF(AND(AF22=1,Slot2_PctLow=1),1,0)+IF(AND(AP22=1,Slot3_PctLow=1),1,0)+IF(AND(AZ22=1,Slot4_PctLow=1),1,0)+IF(AND(BJ22=1,Slot5_PctLow=1),1,0)+IF(AND(BT22=1,Slot6_PctLow=1),1,0)+IF(AND(CD22=1,Slot7_PctLow=1),1,0)+IF(AND(CN22=1,Slot8_PctLow=1),1,0)</f>
        <v>0</v>
      </c>
      <c r="JF22" s="1" t="n">
        <f aca="false">IF(C22=1,IF(OR(IS22=1,JE22&gt;0),1,0),0)</f>
        <v>0</v>
      </c>
    </row>
    <row r="23" customFormat="false" ht="15" hidden="false" customHeight="false" outlineLevel="0" collapsed="false">
      <c r="B23" s="1" t="n">
        <v>15</v>
      </c>
      <c r="C23" s="1" t="n">
        <f aca="false">IF(B23&lt;=F_N,1,0)</f>
        <v>1</v>
      </c>
      <c r="D23" s="1" t="n">
        <f aca="false">'Plan pay &amp; tax'!C225</f>
        <v>15</v>
      </c>
      <c r="E23" s="106" t="n">
        <f aca="false">'Plan pay &amp; tax'!E225</f>
        <v>1.34586833832413</v>
      </c>
      <c r="F23" s="1" t="n">
        <f aca="false">'Plan pay &amp; tax'!G225</f>
        <v>0</v>
      </c>
      <c r="G23" s="1" t="n">
        <f aca="false">'Plan pay &amp; tax'!BT225-'Plan pay &amp; tax'!BS225-'Plan pay &amp; tax'!R225</f>
        <v>0</v>
      </c>
      <c r="H23" s="1" t="n">
        <f aca="false">IF(F23=1,F_CostsM*12,IF(RG_Exists=1,RG_Amount,F_CostsM*12*AS_RetireSpend))*E23+F_OneOffY*E23</f>
        <v>0</v>
      </c>
      <c r="I23" s="1" t="n">
        <f aca="false">DA22</f>
        <v>0</v>
      </c>
      <c r="J23" s="1" t="n">
        <f aca="false">IF(I23&gt;1,'Plan debt months'!AC23,0)</f>
        <v>0</v>
      </c>
      <c r="K23" s="1" t="n">
        <f aca="false">IF(I23&gt;1,'Plan debt months'!AB23,I23)</f>
        <v>0</v>
      </c>
      <c r="L23" s="1" t="n">
        <f aca="false">N22</f>
        <v>0</v>
      </c>
      <c r="M23" s="1" t="n">
        <f aca="false">IF(L23&gt;1,'Plan debt months'!BD23,0)</f>
        <v>0</v>
      </c>
      <c r="N23" s="1" t="n">
        <f aca="false">IF(L23&gt;1,'Plan debt months'!BC23,L23)</f>
        <v>0</v>
      </c>
      <c r="O23" s="1" t="n">
        <f aca="false">Q22</f>
        <v>0</v>
      </c>
      <c r="P23" s="1" t="n">
        <f aca="false">IF(O23&gt;1,'Plan debt months'!CE23,0)</f>
        <v>0</v>
      </c>
      <c r="Q23" s="1" t="n">
        <f aca="false">IF(O23&gt;1,'Plan debt months'!CD23,O23)</f>
        <v>0</v>
      </c>
      <c r="R23" s="1" t="n">
        <f aca="false">J23+M23+P23</f>
        <v>0</v>
      </c>
      <c r="S23" s="1" t="n">
        <f aca="false">HD22+'Plan pay &amp; tax'!Y225</f>
        <v>0</v>
      </c>
      <c r="T23" s="1" t="n">
        <f aca="false">HD22</f>
        <v>0</v>
      </c>
      <c r="U23" s="1" t="n">
        <f aca="false">IF(AND(Slot1_On=1,D23=Slot1_Age),1,0)</f>
        <v>0</v>
      </c>
      <c r="V23" s="1" t="n">
        <f aca="false">IF(AND(Slot1_On=1,Slot1_Age&gt;D23),1,0)</f>
        <v>0</v>
      </c>
      <c r="W23" s="1" t="n">
        <f aca="false">HF22</f>
        <v>0</v>
      </c>
      <c r="X23" s="1" t="n">
        <f aca="false">U23*MIN(Slot1_Cost,W23)</f>
        <v>0</v>
      </c>
      <c r="Y23" s="1" t="n">
        <f aca="false">U23*Slot1_SpendLike*MIN(Slot1_Cost-X23,S23)</f>
        <v>0</v>
      </c>
      <c r="Z23" s="1" t="n">
        <f aca="false">X23+Y23</f>
        <v>0</v>
      </c>
      <c r="AA23" s="1" t="n">
        <f aca="false">S23-Y23+U23*IF(Slot1_SpendLike=1,W23-X23,IF(Slot1_PotFree=1,W23,0))</f>
        <v>0</v>
      </c>
      <c r="AB23" s="1" t="n">
        <f aca="false">AE23+U23*Slot1_BufPot*W23</f>
        <v>0</v>
      </c>
      <c r="AC23" s="1" t="n">
        <f aca="false">IF(AND(U23=1,Slot1_IsMfree=1),IF(Z23&gt;=Slot1_Cost-1,0,MAX(0,K23-Z23)),K23)</f>
        <v>0</v>
      </c>
      <c r="AD23" s="1" t="n">
        <f aca="false">U23*(Slot1_Cost-Z23)</f>
        <v>0</v>
      </c>
      <c r="AE23" s="1" t="n">
        <f aca="false">HE22</f>
        <v>0</v>
      </c>
      <c r="AF23" s="1" t="n">
        <f aca="false">IF(AND(Slot2_On=1,D23=Slot2_Age),1,0)</f>
        <v>0</v>
      </c>
      <c r="AG23" s="1" t="n">
        <f aca="false">IF(AND(Slot2_On=1,Slot2_Age&gt;D23),1,0)</f>
        <v>0</v>
      </c>
      <c r="AH23" s="1" t="n">
        <f aca="false">HJ22</f>
        <v>0</v>
      </c>
      <c r="AI23" s="1" t="n">
        <f aca="false">AF23*MIN(Slot2_Cost,AH23)</f>
        <v>0</v>
      </c>
      <c r="AJ23" s="1" t="n">
        <f aca="false">AF23*Slot2_SpendLike*MIN(Slot2_Cost-AI23,AA23)</f>
        <v>0</v>
      </c>
      <c r="AK23" s="1" t="n">
        <f aca="false">AI23+AJ23</f>
        <v>0</v>
      </c>
      <c r="AL23" s="1" t="n">
        <f aca="false">AA23-AJ23+AF23*IF(Slot2_SpendLike=1,AH23-AI23,IF(Slot2_PotFree=1,AH23,0))</f>
        <v>0</v>
      </c>
      <c r="AM23" s="1" t="n">
        <f aca="false">AB23+AF23*Slot2_BufPot*AH23</f>
        <v>0</v>
      </c>
      <c r="AN23" s="1" t="n">
        <f aca="false">IF(AND(AF23=1,Slot2_IsMfree=1),IF(AK23&gt;=Slot2_Cost-1,0,MAX(0,AC23-AK23)),AC23)</f>
        <v>0</v>
      </c>
      <c r="AO23" s="1" t="n">
        <f aca="false">AF23*(Slot2_Cost-AK23)</f>
        <v>0</v>
      </c>
      <c r="AP23" s="1" t="n">
        <f aca="false">IF(AND(Slot3_On=1,D23=Slot3_Age),1,0)</f>
        <v>0</v>
      </c>
      <c r="AQ23" s="1" t="n">
        <f aca="false">IF(AND(Slot3_On=1,Slot3_Age&gt;D23),1,0)</f>
        <v>0</v>
      </c>
      <c r="AR23" s="1" t="n">
        <f aca="false">HN22</f>
        <v>0</v>
      </c>
      <c r="AS23" s="1" t="n">
        <f aca="false">AP23*MIN(Slot3_Cost,AR23)</f>
        <v>0</v>
      </c>
      <c r="AT23" s="1" t="n">
        <f aca="false">AP23*Slot3_SpendLike*MIN(Slot3_Cost-AS23,AL23)</f>
        <v>0</v>
      </c>
      <c r="AU23" s="1" t="n">
        <f aca="false">AS23+AT23</f>
        <v>0</v>
      </c>
      <c r="AV23" s="1" t="n">
        <f aca="false">AL23-AT23+AP23*IF(Slot3_SpendLike=1,AR23-AS23,IF(Slot3_PotFree=1,AR23,0))</f>
        <v>0</v>
      </c>
      <c r="AW23" s="1" t="n">
        <f aca="false">AM23+AP23*Slot3_BufPot*AR23</f>
        <v>0</v>
      </c>
      <c r="AX23" s="1" t="n">
        <f aca="false">IF(AND(AP23=1,Slot3_IsMfree=1),IF(AU23&gt;=Slot3_Cost-1,0,MAX(0,AN23-AU23)),AN23)</f>
        <v>0</v>
      </c>
      <c r="AY23" s="1" t="n">
        <f aca="false">AP23*(Slot3_Cost-AU23)</f>
        <v>0</v>
      </c>
      <c r="AZ23" s="1" t="n">
        <f aca="false">IF(AND(Slot4_On=1,D23=Slot4_Age),1,0)</f>
        <v>0</v>
      </c>
      <c r="BA23" s="1" t="n">
        <f aca="false">IF(AND(Slot4_On=1,Slot4_Age&gt;D23),1,0)</f>
        <v>0</v>
      </c>
      <c r="BB23" s="1" t="n">
        <f aca="false">HR22</f>
        <v>0</v>
      </c>
      <c r="BC23" s="1" t="n">
        <f aca="false">AZ23*MIN(Slot4_Cost,BB23)</f>
        <v>0</v>
      </c>
      <c r="BD23" s="1" t="n">
        <f aca="false">AZ23*Slot4_SpendLike*MIN(Slot4_Cost-BC23,AV23)</f>
        <v>0</v>
      </c>
      <c r="BE23" s="1" t="n">
        <f aca="false">BC23+BD23</f>
        <v>0</v>
      </c>
      <c r="BF23" s="1" t="n">
        <f aca="false">AV23-BD23+AZ23*IF(Slot4_SpendLike=1,BB23-BC23,IF(Slot4_PotFree=1,BB23,0))</f>
        <v>0</v>
      </c>
      <c r="BG23" s="1" t="n">
        <f aca="false">AW23+AZ23*Slot4_BufPot*BB23</f>
        <v>0</v>
      </c>
      <c r="BH23" s="1" t="n">
        <f aca="false">IF(AND(AZ23=1,Slot4_IsMfree=1),IF(BE23&gt;=Slot4_Cost-1,0,MAX(0,AX23-BE23)),AX23)</f>
        <v>0</v>
      </c>
      <c r="BI23" s="1" t="n">
        <f aca="false">AZ23*(Slot4_Cost-BE23)</f>
        <v>0</v>
      </c>
      <c r="BJ23" s="1" t="n">
        <f aca="false">IF(AND(Slot5_On=1,D23=Slot5_Age),1,0)</f>
        <v>0</v>
      </c>
      <c r="BK23" s="1" t="n">
        <f aca="false">IF(AND(Slot5_On=1,Slot5_Age&gt;D23),1,0)</f>
        <v>0</v>
      </c>
      <c r="BL23" s="1" t="n">
        <f aca="false">HV22</f>
        <v>0</v>
      </c>
      <c r="BM23" s="1" t="n">
        <f aca="false">BJ23*MIN(Slot5_Cost,BL23)</f>
        <v>0</v>
      </c>
      <c r="BN23" s="1" t="n">
        <f aca="false">BJ23*Slot5_SpendLike*MIN(Slot5_Cost-BM23,BF23)</f>
        <v>0</v>
      </c>
      <c r="BO23" s="1" t="n">
        <f aca="false">BM23+BN23</f>
        <v>0</v>
      </c>
      <c r="BP23" s="1" t="n">
        <f aca="false">BF23-BN23+BJ23*IF(Slot5_SpendLike=1,BL23-BM23,IF(Slot5_PotFree=1,BL23,0))</f>
        <v>0</v>
      </c>
      <c r="BQ23" s="1" t="n">
        <f aca="false">BG23+BJ23*Slot5_BufPot*BL23</f>
        <v>0</v>
      </c>
      <c r="BR23" s="1" t="n">
        <f aca="false">IF(AND(BJ23=1,Slot5_IsMfree=1),IF(BO23&gt;=Slot5_Cost-1,0,MAX(0,BH23-BO23)),BH23)</f>
        <v>0</v>
      </c>
      <c r="BS23" s="1" t="n">
        <f aca="false">BJ23*(Slot5_Cost-BO23)</f>
        <v>0</v>
      </c>
      <c r="BT23" s="1" t="n">
        <f aca="false">IF(AND(Slot6_On=1,D23=Slot6_Age),1,0)</f>
        <v>0</v>
      </c>
      <c r="BU23" s="1" t="n">
        <f aca="false">IF(AND(Slot6_On=1,Slot6_Age&gt;D23),1,0)</f>
        <v>0</v>
      </c>
      <c r="BV23" s="1" t="n">
        <f aca="false">HZ22</f>
        <v>0</v>
      </c>
      <c r="BW23" s="1" t="n">
        <f aca="false">BT23*MIN(Slot6_Cost,BV23)</f>
        <v>0</v>
      </c>
      <c r="BX23" s="1" t="n">
        <f aca="false">BT23*Slot6_SpendLike*MIN(Slot6_Cost-BW23,BP23)</f>
        <v>0</v>
      </c>
      <c r="BY23" s="1" t="n">
        <f aca="false">BW23+BX23</f>
        <v>0</v>
      </c>
      <c r="BZ23" s="1" t="n">
        <f aca="false">BP23-BX23+BT23*IF(Slot6_SpendLike=1,BV23-BW23,IF(Slot6_PotFree=1,BV23,0))</f>
        <v>0</v>
      </c>
      <c r="CA23" s="1" t="n">
        <f aca="false">BQ23+BT23*Slot6_BufPot*BV23</f>
        <v>0</v>
      </c>
      <c r="CB23" s="1" t="n">
        <f aca="false">IF(AND(BT23=1,Slot6_IsMfree=1),IF(BY23&gt;=Slot6_Cost-1,0,MAX(0,BR23-BY23)),BR23)</f>
        <v>0</v>
      </c>
      <c r="CC23" s="1" t="n">
        <f aca="false">BT23*(Slot6_Cost-BY23)</f>
        <v>0</v>
      </c>
      <c r="CD23" s="1" t="n">
        <f aca="false">IF(AND(Slot7_On=1,D23=Slot7_Age),1,0)</f>
        <v>0</v>
      </c>
      <c r="CE23" s="1" t="n">
        <f aca="false">IF(AND(Slot7_On=1,Slot7_Age&gt;D23),1,0)</f>
        <v>0</v>
      </c>
      <c r="CF23" s="1" t="n">
        <f aca="false">ID22</f>
        <v>0</v>
      </c>
      <c r="CG23" s="1" t="n">
        <f aca="false">CD23*MIN(Slot7_Cost,CF23)</f>
        <v>0</v>
      </c>
      <c r="CH23" s="1" t="n">
        <f aca="false">CD23*Slot7_SpendLike*MIN(Slot7_Cost-CG23,BZ23)</f>
        <v>0</v>
      </c>
      <c r="CI23" s="1" t="n">
        <f aca="false">CG23+CH23</f>
        <v>0</v>
      </c>
      <c r="CJ23" s="1" t="n">
        <f aca="false">BZ23-CH23+CD23*IF(Slot7_SpendLike=1,CF23-CG23,IF(Slot7_PotFree=1,CF23,0))</f>
        <v>0</v>
      </c>
      <c r="CK23" s="1" t="n">
        <f aca="false">CA23+CD23*Slot7_BufPot*CF23</f>
        <v>0</v>
      </c>
      <c r="CL23" s="1" t="n">
        <f aca="false">IF(AND(CD23=1,Slot7_IsMfree=1),IF(CI23&gt;=Slot7_Cost-1,0,MAX(0,CB23-CI23)),CB23)</f>
        <v>0</v>
      </c>
      <c r="CM23" s="1" t="n">
        <f aca="false">CD23*(Slot7_Cost-CI23)</f>
        <v>0</v>
      </c>
      <c r="CN23" s="1" t="n">
        <f aca="false">IF(AND(Slot8_On=1,D23=Slot8_Age),1,0)</f>
        <v>0</v>
      </c>
      <c r="CO23" s="1" t="n">
        <f aca="false">IF(AND(Slot8_On=1,Slot8_Age&gt;D23),1,0)</f>
        <v>0</v>
      </c>
      <c r="CP23" s="1" t="n">
        <f aca="false">IH22</f>
        <v>0</v>
      </c>
      <c r="CQ23" s="1" t="n">
        <f aca="false">CN23*MIN(Slot8_Cost,CP23)</f>
        <v>0</v>
      </c>
      <c r="CR23" s="1" t="n">
        <f aca="false">CN23*Slot8_SpendLike*MIN(Slot8_Cost-CQ23,CJ23)</f>
        <v>0</v>
      </c>
      <c r="CS23" s="1" t="n">
        <f aca="false">CQ23+CR23</f>
        <v>0</v>
      </c>
      <c r="CT23" s="1" t="n">
        <f aca="false">CJ23-CR23+CN23*IF(Slot8_SpendLike=1,CP23-CQ23,IF(Slot8_PotFree=1,CP23,0))</f>
        <v>0</v>
      </c>
      <c r="CU23" s="1" t="n">
        <f aca="false">CK23+CN23*Slot8_BufPot*CP23</f>
        <v>0</v>
      </c>
      <c r="CV23" s="1" t="n">
        <f aca="false">IF(AND(CN23=1,Slot8_IsMfree=1),IF(CS23&gt;=Slot8_Cost-1,0,MAX(0,CL23-CS23)),CL23)</f>
        <v>0</v>
      </c>
      <c r="CW23" s="1" t="n">
        <f aca="false">CN23*(Slot8_Cost-CS23)</f>
        <v>0</v>
      </c>
      <c r="CX23" s="1" t="n">
        <f aca="false">U23*Slot1_SpendLike*Z23+AF23*Slot2_SpendLike*AK23+AP23*Slot3_SpendLike*AU23+AZ23*Slot4_SpendLike*BE23+BJ23*Slot5_SpendLike*BO23+BT23*Slot6_SpendLike*BY23+CD23*Slot7_SpendLike*CI23+CN23*Slot8_SpendLike*CS23</f>
        <v>0</v>
      </c>
      <c r="CY23" s="1" t="n">
        <f aca="false">AD23+AO23+AY23+BI23+BS23+CC23+CM23+CW23</f>
        <v>0</v>
      </c>
      <c r="CZ23" s="1" t="n">
        <f aca="false">U23*Slot1_Cost+AF23*Slot2_Cost+AP23*Slot3_Cost+AZ23*Slot4_Cost+BJ23*Slot5_Cost+BT23*Slot6_Cost+CD23*Slot7_Cost+CN23*Slot8_Cost</f>
        <v>0</v>
      </c>
      <c r="DA23" s="1" t="n">
        <f aca="false">CV23</f>
        <v>0</v>
      </c>
      <c r="DB23" s="1" t="n">
        <f aca="false">G23-H23-R23</f>
        <v>0</v>
      </c>
      <c r="DC23" s="1" t="n">
        <f aca="false">IF(B23=0,IF(AND(Has_q6=1,In_q6=4),PR_ShareVaries*(MAX(0,DB23)/12),MIN(IF(Has_q6=1,CHOOSE(In_q6+1,PR_SaveB1,PR_SaveB2,PR_SaveB3,PR_SaveB4,0),AS_NoAnswer),AS_SaveShare*(MAX(0,DB23)/12))),DC22)</f>
        <v>0</v>
      </c>
      <c r="DD23" s="1" t="n">
        <f aca="false">IF(DB23&gt;=0,1,0)</f>
        <v>1</v>
      </c>
      <c r="DE23" s="1" t="n">
        <f aca="false">MAX(0,DB23/12/E23)</f>
        <v>0</v>
      </c>
      <c r="DF23" s="1" t="n">
        <f aca="false">IF(AND(Has_q6=1,In_q6=4),PR_ShareVaries*(DE23),MIN(IF(Has_q6=1,CHOOSE(In_q6+1,PR_SaveB1,PR_SaveB2,PR_SaveB3,PR_SaveB4,0),AS_NoAnswer),AS_SaveShare*(DE23)))</f>
        <v>0</v>
      </c>
      <c r="DG23" s="1" t="n">
        <f aca="false">IF(Has_saveM=1,IF(In_saveUp="Yes",1,IF(In_saveUp="No",0,IF(In_saveM&gt;=DC23-0.5,1,0))),0)</f>
        <v>0</v>
      </c>
      <c r="DH23" s="1" t="n">
        <f aca="false">IF(Has_saveM=1,MIN(DE23,IF(DG23=1,MAX(In_saveM,DF23),MIN(In_saveM,DF23))),DF23)</f>
        <v>0</v>
      </c>
      <c r="DI23" s="1" t="n">
        <f aca="false">IF(F23=1,DH23*12*E23,0)</f>
        <v>0</v>
      </c>
      <c r="DJ23" s="1" t="n">
        <f aca="false">MAX(0,DI23+IF(AND(WI_Retire=0,WI_M&lt;0,F23=1),WI_M*12*E23,0))</f>
        <v>0</v>
      </c>
      <c r="DK23" s="1" t="n">
        <f aca="false">Slot1_IsWG*V23+Slot2_IsWG*AG23+Slot3_IsWG*AQ23+Slot4_IsWG*BA23+Slot5_IsWG*BK23+Slot6_IsWG*BU23+Slot7_IsWG*CE23+Slot8_IsWG*CO23</f>
        <v>0</v>
      </c>
      <c r="DL23" s="1" t="n">
        <f aca="false">IF(AND(WI_Retire=0,WI_M&gt;0,F23=1,DK23&gt;=1),WI_M*12*E23,0)</f>
        <v>0</v>
      </c>
      <c r="DM23" s="1" t="n">
        <f aca="false">IF(DD23=1,MIN(DJ23,DB23),0)</f>
        <v>0</v>
      </c>
      <c r="DN23" s="1" t="n">
        <f aca="false">IF(DD23=1,MIN(DL23,DB23-DM23),0)</f>
        <v>0</v>
      </c>
      <c r="DO23" s="1" t="n">
        <f aca="false">IF(V23=1,IF(ABS((1+AS_Wage)/(1+Slot1_Rate)-1)&lt;0.000000000001,(Slot1_Age-D23)*(1+Slot1_Rate)^(Slot1_Age-D23),(1+Slot1_Rate)^(Slot1_Age-D23)*(1-((1+AS_Wage)/(1+Slot1_Rate))^(Slot1_Age-D23))/(1-(1+AS_Wage)/(1+Slot1_Rate))),1)</f>
        <v>1</v>
      </c>
      <c r="DP23" s="1" t="n">
        <f aca="false">IF(AND(DD23=1,DN23&gt;0,Slot1_IsWG=1,V23=1),MAX(0,(Slot1_Cost-W23*(1+Slot1_Rate)^(Slot1_Age-D23))/DO23),0)</f>
        <v>0</v>
      </c>
      <c r="DQ23" s="1" t="n">
        <f aca="false">IF(AND(DD23=1,DN23&gt;0,Slot1_IsWG=1,V23=1),MIN(DN23,DP23),0)</f>
        <v>0</v>
      </c>
      <c r="DR23" s="1" t="n">
        <f aca="false">W23+DQ23</f>
        <v>0</v>
      </c>
      <c r="DS23" s="1" t="n">
        <f aca="false">IF(V23=1,MAX(0,(Slot1_Cost-DR23*(1+Slot1_Rate)^(Slot1_Age-D23))/DO23),0)</f>
        <v>0</v>
      </c>
      <c r="DT23" s="1" t="n">
        <f aca="false">IF(V23=1,MAX(0,(Slot1_Cost-W23*(1+Slot1_Rate)^(Slot1_Age-D23))/DO23),0)</f>
        <v>0</v>
      </c>
      <c r="DU23" s="1" t="n">
        <f aca="false">IF(AND(DD23=1,V23=1),MIN(DM23,DS23),0)</f>
        <v>0</v>
      </c>
      <c r="DV23" s="1" t="n">
        <f aca="false">DM23-DU23</f>
        <v>0</v>
      </c>
      <c r="DW23" s="1" t="n">
        <f aca="false">IF(AG23=1,IF(ABS((1+AS_Wage)/(1+Slot2_Rate)-1)&lt;0.000000000001,(Slot2_Age-D23)*(1+Slot2_Rate)^(Slot2_Age-D23),(1+Slot2_Rate)^(Slot2_Age-D23)*(1-((1+AS_Wage)/(1+Slot2_Rate))^(Slot2_Age-D23))/(1-(1+AS_Wage)/(1+Slot2_Rate))),1)</f>
        <v>1</v>
      </c>
      <c r="DX23" s="1" t="n">
        <f aca="false">IF(AND(DD23=1,DN23&gt;0,Slot2_IsWG=1,AG23=1),MAX(0,(Slot2_Cost-AH23*(1+Slot2_Rate)^(Slot2_Age-D23))/DW23),0)</f>
        <v>0</v>
      </c>
      <c r="DY23" s="1" t="n">
        <f aca="false">IF(AND(DD23=1,DN23&gt;0,Slot2_IsWG=1,AG23=1),MIN(DN23,DX23),0)</f>
        <v>0</v>
      </c>
      <c r="DZ23" s="1" t="n">
        <f aca="false">AH23+DY23</f>
        <v>0</v>
      </c>
      <c r="EA23" s="1" t="n">
        <f aca="false">IF(AG23=1,MAX(0,(Slot2_Cost-DZ23*(1+Slot2_Rate)^(Slot2_Age-D23))/DW23),0)</f>
        <v>0</v>
      </c>
      <c r="EB23" s="1" t="n">
        <f aca="false">IF(AG23=1,MAX(0,(Slot2_Cost-AH23*(1+Slot2_Rate)^(Slot2_Age-D23))/DW23),0)</f>
        <v>0</v>
      </c>
      <c r="EC23" s="1" t="n">
        <f aca="false">IF(AND(DD23=1,AG23=1),MIN(DV23,EA23),0)</f>
        <v>0</v>
      </c>
      <c r="ED23" s="1" t="n">
        <f aca="false">DV23-EC23</f>
        <v>0</v>
      </c>
      <c r="EE23" s="1" t="n">
        <f aca="false">IF(AQ23=1,IF(ABS((1+AS_Wage)/(1+Slot3_Rate)-1)&lt;0.000000000001,(Slot3_Age-D23)*(1+Slot3_Rate)^(Slot3_Age-D23),(1+Slot3_Rate)^(Slot3_Age-D23)*(1-((1+AS_Wage)/(1+Slot3_Rate))^(Slot3_Age-D23))/(1-(1+AS_Wage)/(1+Slot3_Rate))),1)</f>
        <v>1</v>
      </c>
      <c r="EF23" s="1" t="n">
        <f aca="false">IF(AND(DD23=1,DN23&gt;0,Slot3_IsWG=1,AQ23=1),MAX(0,(Slot3_Cost-AR23*(1+Slot3_Rate)^(Slot3_Age-D23))/EE23),0)</f>
        <v>0</v>
      </c>
      <c r="EG23" s="1" t="n">
        <f aca="false">IF(AND(DD23=1,DN23&gt;0,Slot3_IsWG=1,AQ23=1),MIN(DN23,EF23),0)</f>
        <v>0</v>
      </c>
      <c r="EH23" s="1" t="n">
        <f aca="false">AR23+EG23</f>
        <v>0</v>
      </c>
      <c r="EI23" s="1" t="n">
        <f aca="false">IF(AQ23=1,MAX(0,(Slot3_Cost-EH23*(1+Slot3_Rate)^(Slot3_Age-D23))/EE23),0)</f>
        <v>0</v>
      </c>
      <c r="EJ23" s="1" t="n">
        <f aca="false">IF(AQ23=1,MAX(0,(Slot3_Cost-AR23*(1+Slot3_Rate)^(Slot3_Age-D23))/EE23),0)</f>
        <v>0</v>
      </c>
      <c r="EK23" s="1" t="n">
        <f aca="false">IF(AND(DD23=1,AQ23=1),MIN(ED23,EI23),0)</f>
        <v>0</v>
      </c>
      <c r="EL23" s="1" t="n">
        <f aca="false">ED23-EK23</f>
        <v>0</v>
      </c>
      <c r="EM23" s="1" t="n">
        <f aca="false">IF(BA23=1,IF(ABS((1+AS_Wage)/(1+Slot4_Rate)-1)&lt;0.000000000001,(Slot4_Age-D23)*(1+Slot4_Rate)^(Slot4_Age-D23),(1+Slot4_Rate)^(Slot4_Age-D23)*(1-((1+AS_Wage)/(1+Slot4_Rate))^(Slot4_Age-D23))/(1-(1+AS_Wage)/(1+Slot4_Rate))),1)</f>
        <v>1</v>
      </c>
      <c r="EN23" s="1" t="n">
        <f aca="false">IF(AND(DD23=1,DN23&gt;0,Slot4_IsWG=1,BA23=1),MAX(0,(Slot4_Cost-BB23*(1+Slot4_Rate)^(Slot4_Age-D23))/EM23),0)</f>
        <v>0</v>
      </c>
      <c r="EO23" s="1" t="n">
        <f aca="false">IF(AND(DD23=1,DN23&gt;0,Slot4_IsWG=1,BA23=1),MIN(DN23,EN23),0)</f>
        <v>0</v>
      </c>
      <c r="EP23" s="1" t="n">
        <f aca="false">BB23+EO23</f>
        <v>0</v>
      </c>
      <c r="EQ23" s="1" t="n">
        <f aca="false">IF(BA23=1,MAX(0,(Slot4_Cost-EP23*(1+Slot4_Rate)^(Slot4_Age-D23))/EM23),0)</f>
        <v>0</v>
      </c>
      <c r="ER23" s="1" t="n">
        <f aca="false">IF(BA23=1,MAX(0,(Slot4_Cost-BB23*(1+Slot4_Rate)^(Slot4_Age-D23))/EM23),0)</f>
        <v>0</v>
      </c>
      <c r="ES23" s="1" t="n">
        <f aca="false">IF(AND(DD23=1,BA23=1),MIN(EL23,EQ23),0)</f>
        <v>0</v>
      </c>
      <c r="ET23" s="1" t="n">
        <f aca="false">EL23-ES23</f>
        <v>0</v>
      </c>
      <c r="EU23" s="1" t="n">
        <f aca="false">IF(BK23=1,IF(ABS((1+AS_Wage)/(1+Slot5_Rate)-1)&lt;0.000000000001,(Slot5_Age-D23)*(1+Slot5_Rate)^(Slot5_Age-D23),(1+Slot5_Rate)^(Slot5_Age-D23)*(1-((1+AS_Wage)/(1+Slot5_Rate))^(Slot5_Age-D23))/(1-(1+AS_Wage)/(1+Slot5_Rate))),1)</f>
        <v>1</v>
      </c>
      <c r="EV23" s="1" t="n">
        <f aca="false">IF(AND(DD23=1,DN23&gt;0,Slot5_IsWG=1,BK23=1),MAX(0,(Slot5_Cost-BL23*(1+Slot5_Rate)^(Slot5_Age-D23))/EU23),0)</f>
        <v>0</v>
      </c>
      <c r="EW23" s="1" t="n">
        <f aca="false">IF(AND(DD23=1,DN23&gt;0,Slot5_IsWG=1,BK23=1),MIN(DN23,EV23),0)</f>
        <v>0</v>
      </c>
      <c r="EX23" s="1" t="n">
        <f aca="false">BL23+EW23</f>
        <v>0</v>
      </c>
      <c r="EY23" s="1" t="n">
        <f aca="false">IF(BK23=1,MAX(0,(Slot5_Cost-EX23*(1+Slot5_Rate)^(Slot5_Age-D23))/EU23),0)</f>
        <v>0</v>
      </c>
      <c r="EZ23" s="1" t="n">
        <f aca="false">IF(BK23=1,MAX(0,(Slot5_Cost-BL23*(1+Slot5_Rate)^(Slot5_Age-D23))/EU23),0)</f>
        <v>0</v>
      </c>
      <c r="FA23" s="1" t="n">
        <f aca="false">IF(AND(DD23=1,BK23=1),MIN(ET23,EY23),0)</f>
        <v>0</v>
      </c>
      <c r="FB23" s="1" t="n">
        <f aca="false">ET23-FA23</f>
        <v>0</v>
      </c>
      <c r="FC23" s="1" t="n">
        <f aca="false">IF(BU23=1,IF(ABS((1+AS_Wage)/(1+Slot6_Rate)-1)&lt;0.000000000001,(Slot6_Age-D23)*(1+Slot6_Rate)^(Slot6_Age-D23),(1+Slot6_Rate)^(Slot6_Age-D23)*(1-((1+AS_Wage)/(1+Slot6_Rate))^(Slot6_Age-D23))/(1-(1+AS_Wage)/(1+Slot6_Rate))),1)</f>
        <v>1</v>
      </c>
      <c r="FD23" s="1" t="n">
        <f aca="false">IF(AND(DD23=1,DN23&gt;0,Slot6_IsWG=1,BU23=1),MAX(0,(Slot6_Cost-BV23*(1+Slot6_Rate)^(Slot6_Age-D23))/FC23),0)</f>
        <v>0</v>
      </c>
      <c r="FE23" s="1" t="n">
        <f aca="false">IF(AND(DD23=1,DN23&gt;0,Slot6_IsWG=1,BU23=1),MIN(DN23,FD23),0)</f>
        <v>0</v>
      </c>
      <c r="FF23" s="1" t="n">
        <f aca="false">BV23+FE23</f>
        <v>0</v>
      </c>
      <c r="FG23" s="1" t="n">
        <f aca="false">IF(BU23=1,MAX(0,(Slot6_Cost-FF23*(1+Slot6_Rate)^(Slot6_Age-D23))/FC23),0)</f>
        <v>0</v>
      </c>
      <c r="FH23" s="1" t="n">
        <f aca="false">IF(BU23=1,MAX(0,(Slot6_Cost-BV23*(1+Slot6_Rate)^(Slot6_Age-D23))/FC23),0)</f>
        <v>0</v>
      </c>
      <c r="FI23" s="1" t="n">
        <f aca="false">IF(AND(DD23=1,BU23=1),MIN(FB23,FG23),0)</f>
        <v>0</v>
      </c>
      <c r="FJ23" s="1" t="n">
        <f aca="false">FB23-FI23</f>
        <v>0</v>
      </c>
      <c r="FK23" s="1" t="n">
        <f aca="false">IF(CE23=1,IF(ABS((1+AS_Wage)/(1+Slot7_Rate)-1)&lt;0.000000000001,(Slot7_Age-D23)*(1+Slot7_Rate)^(Slot7_Age-D23),(1+Slot7_Rate)^(Slot7_Age-D23)*(1-((1+AS_Wage)/(1+Slot7_Rate))^(Slot7_Age-D23))/(1-(1+AS_Wage)/(1+Slot7_Rate))),1)</f>
        <v>1</v>
      </c>
      <c r="FL23" s="1" t="n">
        <f aca="false">IF(AND(DD23=1,DN23&gt;0,Slot7_IsWG=1,CE23=1),MAX(0,(Slot7_Cost-CF23*(1+Slot7_Rate)^(Slot7_Age-D23))/FK23),0)</f>
        <v>0</v>
      </c>
      <c r="FM23" s="1" t="n">
        <f aca="false">IF(AND(DD23=1,DN23&gt;0,Slot7_IsWG=1,CE23=1),MIN(DN23,FL23),0)</f>
        <v>0</v>
      </c>
      <c r="FN23" s="1" t="n">
        <f aca="false">CF23+FM23</f>
        <v>0</v>
      </c>
      <c r="FO23" s="1" t="n">
        <f aca="false">IF(CE23=1,MAX(0,(Slot7_Cost-FN23*(1+Slot7_Rate)^(Slot7_Age-D23))/FK23),0)</f>
        <v>0</v>
      </c>
      <c r="FP23" s="1" t="n">
        <f aca="false">IF(CE23=1,MAX(0,(Slot7_Cost-CF23*(1+Slot7_Rate)^(Slot7_Age-D23))/FK23),0)</f>
        <v>0</v>
      </c>
      <c r="FQ23" s="1" t="n">
        <f aca="false">IF(AND(DD23=1,CE23=1),MIN(FJ23,FO23),0)</f>
        <v>0</v>
      </c>
      <c r="FR23" s="1" t="n">
        <f aca="false">FJ23-FQ23</f>
        <v>0</v>
      </c>
      <c r="FS23" s="1" t="n">
        <f aca="false">IF(CO23=1,IF(ABS((1+AS_Wage)/(1+Slot8_Rate)-1)&lt;0.000000000001,(Slot8_Age-D23)*(1+Slot8_Rate)^(Slot8_Age-D23),(1+Slot8_Rate)^(Slot8_Age-D23)*(1-((1+AS_Wage)/(1+Slot8_Rate))^(Slot8_Age-D23))/(1-(1+AS_Wage)/(1+Slot8_Rate))),1)</f>
        <v>1</v>
      </c>
      <c r="FT23" s="1" t="n">
        <f aca="false">IF(AND(DD23=1,DN23&gt;0,Slot8_IsWG=1,CO23=1),MAX(0,(Slot8_Cost-CP23*(1+Slot8_Rate)^(Slot8_Age-D23))/FS23),0)</f>
        <v>0</v>
      </c>
      <c r="FU23" s="1" t="n">
        <f aca="false">IF(AND(DD23=1,DN23&gt;0,Slot8_IsWG=1,CO23=1),MIN(DN23,FT23),0)</f>
        <v>0</v>
      </c>
      <c r="FV23" s="1" t="n">
        <f aca="false">CP23+FU23</f>
        <v>0</v>
      </c>
      <c r="FW23" s="1" t="n">
        <f aca="false">IF(CO23=1,MAX(0,(Slot8_Cost-FV23*(1+Slot8_Rate)^(Slot8_Age-D23))/FS23),0)</f>
        <v>0</v>
      </c>
      <c r="FX23" s="1" t="n">
        <f aca="false">IF(CO23=1,MAX(0,(Slot8_Cost-CP23*(1+Slot8_Rate)^(Slot8_Age-D23))/FS23),0)</f>
        <v>0</v>
      </c>
      <c r="FY23" s="1" t="n">
        <f aca="false">IF(AND(DD23=1,CO23=1),MIN(FR23,FW23),0)</f>
        <v>0</v>
      </c>
      <c r="FZ23" s="1" t="n">
        <f aca="false">FR23-FY23</f>
        <v>0</v>
      </c>
      <c r="GA23" s="1" t="n">
        <f aca="false">DN23-(DQ23+DY23+EG23+EO23+EW23+FE23+FM23+FU23)</f>
        <v>0</v>
      </c>
      <c r="GB23" s="1" t="n">
        <f aca="false">IF(DD23=1,DB23-DM23-DN23,0)</f>
        <v>0</v>
      </c>
      <c r="GC23" s="1" t="n">
        <f aca="false">IF(DD23=0,-DB23,0)</f>
        <v>0</v>
      </c>
      <c r="GD23" s="1" t="n">
        <f aca="false">MIN(GC23,CT23)</f>
        <v>0</v>
      </c>
      <c r="GE23" s="1" t="n">
        <f aca="false">GC23-GD23</f>
        <v>0</v>
      </c>
      <c r="GF23" s="1" t="n">
        <f aca="false">MIN(GE23,CU23)</f>
        <v>0</v>
      </c>
      <c r="GG23" s="1" t="n">
        <f aca="false">GE23-GF23</f>
        <v>0</v>
      </c>
      <c r="GH23" s="1" t="n">
        <f aca="false">IF(AND(DD23=0,CO23=1,GG23&gt;0),MIN(GG23,CP23),0)</f>
        <v>0</v>
      </c>
      <c r="GI23" s="1" t="n">
        <f aca="false">GG23-GH23</f>
        <v>0</v>
      </c>
      <c r="GJ23" s="1" t="n">
        <f aca="false">IF(AND(DD23=0,CE23=1,GI23&gt;0),MIN(GI23,CF23),0)</f>
        <v>0</v>
      </c>
      <c r="GK23" s="1" t="n">
        <f aca="false">GI23-GJ23</f>
        <v>0</v>
      </c>
      <c r="GL23" s="1" t="n">
        <f aca="false">IF(AND(DD23=0,BU23=1,GK23&gt;0),MIN(GK23,BV23),0)</f>
        <v>0</v>
      </c>
      <c r="GM23" s="1" t="n">
        <f aca="false">GK23-GL23</f>
        <v>0</v>
      </c>
      <c r="GN23" s="1" t="n">
        <f aca="false">IF(AND(DD23=0,BK23=1,GM23&gt;0),MIN(GM23,BL23),0)</f>
        <v>0</v>
      </c>
      <c r="GO23" s="1" t="n">
        <f aca="false">GM23-GN23</f>
        <v>0</v>
      </c>
      <c r="GP23" s="1" t="n">
        <f aca="false">IF(AND(DD23=0,BA23=1,GO23&gt;0),MIN(GO23,BB23),0)</f>
        <v>0</v>
      </c>
      <c r="GQ23" s="1" t="n">
        <f aca="false">GO23-GP23</f>
        <v>0</v>
      </c>
      <c r="GR23" s="1" t="n">
        <f aca="false">IF(AND(DD23=0,AQ23=1,GQ23&gt;0),MIN(GQ23,AR23),0)</f>
        <v>0</v>
      </c>
      <c r="GS23" s="1" t="n">
        <f aca="false">GQ23-GR23</f>
        <v>0</v>
      </c>
      <c r="GT23" s="1" t="n">
        <f aca="false">IF(AND(DD23=0,AG23=1,GS23&gt;0),MIN(GS23,AH23),0)</f>
        <v>0</v>
      </c>
      <c r="GU23" s="1" t="n">
        <f aca="false">GS23-GT23</f>
        <v>0</v>
      </c>
      <c r="GV23" s="1" t="n">
        <f aca="false">IF(AND(DD23=0,V23=1,GU23&gt;0),MIN(GU23,W23),0)</f>
        <v>0</v>
      </c>
      <c r="GW23" s="1" t="n">
        <f aca="false">GU23-GV23</f>
        <v>0</v>
      </c>
      <c r="GX23" s="1" t="n">
        <f aca="false">IF(DD23=0,GW23,0)</f>
        <v>0</v>
      </c>
      <c r="GY23" s="1" t="n">
        <f aca="false">GD23+GF23+GV23+GT23+GR23+GP23+GN23+GL23+GJ23+GH23</f>
        <v>0</v>
      </c>
      <c r="GZ23" s="1" t="n">
        <f aca="false">IF(DD23=1,CT23+GA23+FZ23+IF(F23=1,0,GB23),CT23-GD23)</f>
        <v>0</v>
      </c>
      <c r="HA23" s="1" t="n">
        <f aca="false">CU23-GF23</f>
        <v>0</v>
      </c>
      <c r="HB23" s="1" t="n">
        <f aca="false">IF(DD23=1,IF(F23=1,DM23+DN23,DB23),0)</f>
        <v>0</v>
      </c>
      <c r="HC23" s="1" t="n">
        <f aca="false">IF(DD23=1,IF(F23=1,DB23-DM23-DN23,0),0)</f>
        <v>0</v>
      </c>
      <c r="HD23" s="1" t="n">
        <f aca="false">GZ23*(1+GR)</f>
        <v>0</v>
      </c>
      <c r="HE23" s="1" t="n">
        <f aca="false">HA23*(1+AS_Cash)</f>
        <v>0</v>
      </c>
      <c r="HF23" s="1" t="n">
        <f aca="false">IF(V23=1,IF(DD23=1,DR23+DU23,W23-GV23)*(1+Slot1_Rate),0)</f>
        <v>0</v>
      </c>
      <c r="HG23" s="1" t="n">
        <f aca="false">IF(AND(DD23=1,V23=1),(DQ23+DU23)/E23,0)</f>
        <v>0</v>
      </c>
      <c r="HH23" s="1" t="n">
        <f aca="false">IF(B23=0,DQ23+DU23,0)</f>
        <v>0</v>
      </c>
      <c r="HI23" s="1" t="n">
        <f aca="false">IF(B23=0,IF(DD23=1,DS23,DT23),0)</f>
        <v>0</v>
      </c>
      <c r="HJ23" s="1" t="n">
        <f aca="false">IF(AG23=1,IF(DD23=1,DZ23+EC23,AH23-GT23)*(1+Slot2_Rate),0)</f>
        <v>0</v>
      </c>
      <c r="HK23" s="1" t="n">
        <f aca="false">IF(AND(DD23=1,AG23=1),(DY23+EC23)/E23,0)</f>
        <v>0</v>
      </c>
      <c r="HL23" s="1" t="n">
        <f aca="false">IF(B23=0,DY23+EC23,0)</f>
        <v>0</v>
      </c>
      <c r="HM23" s="1" t="n">
        <f aca="false">IF(B23=0,IF(DD23=1,EA23,EB23),0)</f>
        <v>0</v>
      </c>
      <c r="HN23" s="1" t="n">
        <f aca="false">IF(AQ23=1,IF(DD23=1,EH23+EK23,AR23-GR23)*(1+Slot3_Rate),0)</f>
        <v>0</v>
      </c>
      <c r="HO23" s="1" t="n">
        <f aca="false">IF(AND(DD23=1,AQ23=1),(EG23+EK23)/E23,0)</f>
        <v>0</v>
      </c>
      <c r="HP23" s="1" t="n">
        <f aca="false">IF(B23=0,EG23+EK23,0)</f>
        <v>0</v>
      </c>
      <c r="HQ23" s="1" t="n">
        <f aca="false">IF(B23=0,IF(DD23=1,EI23,EJ23),0)</f>
        <v>0</v>
      </c>
      <c r="HR23" s="1" t="n">
        <f aca="false">IF(BA23=1,IF(DD23=1,EP23+ES23,BB23-GP23)*(1+Slot4_Rate),0)</f>
        <v>0</v>
      </c>
      <c r="HS23" s="1" t="n">
        <f aca="false">IF(AND(DD23=1,BA23=1),(EO23+ES23)/E23,0)</f>
        <v>0</v>
      </c>
      <c r="HT23" s="1" t="n">
        <f aca="false">IF(B23=0,EO23+ES23,0)</f>
        <v>0</v>
      </c>
      <c r="HU23" s="1" t="n">
        <f aca="false">IF(B23=0,IF(DD23=1,EQ23,ER23),0)</f>
        <v>0</v>
      </c>
      <c r="HV23" s="1" t="n">
        <f aca="false">IF(BK23=1,IF(DD23=1,EX23+FA23,BL23-GN23)*(1+Slot5_Rate),0)</f>
        <v>0</v>
      </c>
      <c r="HW23" s="1" t="n">
        <f aca="false">IF(AND(DD23=1,BK23=1),(EW23+FA23)/E23,0)</f>
        <v>0</v>
      </c>
      <c r="HX23" s="1" t="n">
        <f aca="false">IF(B23=0,EW23+FA23,0)</f>
        <v>0</v>
      </c>
      <c r="HY23" s="1" t="n">
        <f aca="false">IF(B23=0,IF(DD23=1,EY23,EZ23),0)</f>
        <v>0</v>
      </c>
      <c r="HZ23" s="1" t="n">
        <f aca="false">IF(BU23=1,IF(DD23=1,FF23+FI23,BV23-GL23)*(1+Slot6_Rate),0)</f>
        <v>0</v>
      </c>
      <c r="IA23" s="1" t="n">
        <f aca="false">IF(AND(DD23=1,BU23=1),(FE23+FI23)/E23,0)</f>
        <v>0</v>
      </c>
      <c r="IB23" s="1" t="n">
        <f aca="false">IF(B23=0,FE23+FI23,0)</f>
        <v>0</v>
      </c>
      <c r="IC23" s="1" t="n">
        <f aca="false">IF(B23=0,IF(DD23=1,FG23,FH23),0)</f>
        <v>0</v>
      </c>
      <c r="ID23" s="1" t="n">
        <f aca="false">IF(CE23=1,IF(DD23=1,FN23+FQ23,CF23-GJ23)*(1+Slot7_Rate),0)</f>
        <v>0</v>
      </c>
      <c r="IE23" s="1" t="n">
        <f aca="false">IF(AND(DD23=1,CE23=1),(FM23+FQ23)/E23,0)</f>
        <v>0</v>
      </c>
      <c r="IF23" s="1" t="n">
        <f aca="false">IF(B23=0,FM23+FQ23,0)</f>
        <v>0</v>
      </c>
      <c r="IG23" s="1" t="n">
        <f aca="false">IF(B23=0,IF(DD23=1,FO23,FP23),0)</f>
        <v>0</v>
      </c>
      <c r="IH23" s="1" t="n">
        <f aca="false">IF(CO23=1,IF(DD23=1,FV23+FY23,CP23-GH23)*(1+Slot8_Rate),0)</f>
        <v>0</v>
      </c>
      <c r="II23" s="1" t="n">
        <f aca="false">IF(AND(DD23=1,CO23=1),(FU23+FY23)/E23,0)</f>
        <v>0</v>
      </c>
      <c r="IJ23" s="1" t="n">
        <f aca="false">IF(B23=0,FU23+FY23,0)</f>
        <v>0</v>
      </c>
      <c r="IK23" s="1" t="n">
        <f aca="false">IF(B23=0,IF(DD23=1,FW23,FX23),0)</f>
        <v>0</v>
      </c>
      <c r="IL23" s="1" t="n">
        <f aca="false">HD23+HE23+HF23+HJ23+HN23+HR23+HV23+HZ23+ID23+IH23</f>
        <v>0</v>
      </c>
      <c r="IM23" s="1" t="n">
        <f aca="false">GX23+CY23</f>
        <v>0</v>
      </c>
      <c r="IN23" s="1" t="n">
        <f aca="false">H23+R23</f>
        <v>0</v>
      </c>
      <c r="IO23" s="1" t="n">
        <f aca="false">1-F23</f>
        <v>1</v>
      </c>
      <c r="IP23" s="1" t="n">
        <f aca="false">IF(AND(RG_Exists=1,F23=0,C23=1),H23,0)</f>
        <v>0</v>
      </c>
      <c r="IQ23" s="1" t="n">
        <f aca="false">IF(AND(RG_Exists=1,F23=0,C23=1),H23-MIN(GX23,H23),0)</f>
        <v>0</v>
      </c>
      <c r="IR23" s="1" t="n">
        <f aca="false">'Plan pay &amp; tax'!AD225</f>
        <v>0</v>
      </c>
      <c r="IS23" s="1" t="n">
        <f aca="false">IF(AND(C23=1,GX23&gt;MAX(PR_Short1,IN23*PR_Short2)),1,0)</f>
        <v>0</v>
      </c>
      <c r="IT23" s="1" t="n">
        <f aca="false">MIN(G23,H23+R23)</f>
        <v>0</v>
      </c>
      <c r="IU23" s="1" t="n">
        <f aca="false">GY23+MAX(0,CZ23-CY23)</f>
        <v>0</v>
      </c>
      <c r="IV23" s="1" t="n">
        <f aca="false">GX23+CY23</f>
        <v>0</v>
      </c>
      <c r="IW23" s="1" t="n">
        <f aca="false">IF(AND(C23=1,IV23&gt;0.5),1,0)</f>
        <v>0</v>
      </c>
      <c r="IX23" s="1" t="n">
        <f aca="false">IF(AND(C23=1,IW23=0,IU23&gt;0.5),1,0)</f>
        <v>0</v>
      </c>
      <c r="IY23" s="1" t="n">
        <f aca="false">IF(AND(C23=1,GX23&gt;0.5),1,0)</f>
        <v>0</v>
      </c>
      <c r="IZ23" s="1" t="n">
        <f aca="false">IF(AND(C23=1,GY23&gt;1,JF23=0),1,0)</f>
        <v>0</v>
      </c>
      <c r="JA23" s="1" t="n">
        <f aca="false">IF(AND(INT(D23/10)*10=90,B23&gt;0),80,INT(D23/10)*10)</f>
        <v>10</v>
      </c>
      <c r="JB23" s="1" t="n">
        <f aca="false">IF(B23=0,1,IF(JA23&lt;&gt;JA22,JB22+1,JB22))</f>
        <v>2</v>
      </c>
      <c r="JC23" s="1" t="n">
        <f aca="false">IF(AND(C23=1,F23=1,GX23&gt;MAX(PR_Short1,IN23*PR_Short2)),1,0)</f>
        <v>0</v>
      </c>
      <c r="JD23" s="1" t="n">
        <f aca="false">IO23*IS23</f>
        <v>0</v>
      </c>
      <c r="JE23" s="1" t="n">
        <f aca="false">IF(AND(U23=1,Slot1_PctLow=1),1,0)+IF(AND(AF23=1,Slot2_PctLow=1),1,0)+IF(AND(AP23=1,Slot3_PctLow=1),1,0)+IF(AND(AZ23=1,Slot4_PctLow=1),1,0)+IF(AND(BJ23=1,Slot5_PctLow=1),1,0)+IF(AND(BT23=1,Slot6_PctLow=1),1,0)+IF(AND(CD23=1,Slot7_PctLow=1),1,0)+IF(AND(CN23=1,Slot8_PctLow=1),1,0)</f>
        <v>0</v>
      </c>
      <c r="JF23" s="1" t="n">
        <f aca="false">IF(C23=1,IF(OR(IS23=1,JE23&gt;0),1,0),0)</f>
        <v>0</v>
      </c>
    </row>
    <row r="24" customFormat="false" ht="15" hidden="false" customHeight="false" outlineLevel="0" collapsed="false">
      <c r="B24" s="1" t="n">
        <v>16</v>
      </c>
      <c r="C24" s="1" t="n">
        <f aca="false">IF(B24&lt;=F_N,1,0)</f>
        <v>1</v>
      </c>
      <c r="D24" s="1" t="n">
        <f aca="false">'Plan pay &amp; tax'!C226</f>
        <v>16</v>
      </c>
      <c r="E24" s="106" t="n">
        <f aca="false">'Plan pay &amp; tax'!E226</f>
        <v>1.37278570509061</v>
      </c>
      <c r="F24" s="1" t="n">
        <f aca="false">'Plan pay &amp; tax'!G226</f>
        <v>0</v>
      </c>
      <c r="G24" s="1" t="n">
        <f aca="false">'Plan pay &amp; tax'!BT226-'Plan pay &amp; tax'!BS226-'Plan pay &amp; tax'!R226</f>
        <v>0</v>
      </c>
      <c r="H24" s="1" t="n">
        <f aca="false">IF(F24=1,F_CostsM*12,IF(RG_Exists=1,RG_Amount,F_CostsM*12*AS_RetireSpend))*E24+F_OneOffY*E24</f>
        <v>0</v>
      </c>
      <c r="I24" s="1" t="n">
        <f aca="false">DA23</f>
        <v>0</v>
      </c>
      <c r="J24" s="1" t="n">
        <f aca="false">IF(I24&gt;1,'Plan debt months'!AC24,0)</f>
        <v>0</v>
      </c>
      <c r="K24" s="1" t="n">
        <f aca="false">IF(I24&gt;1,'Plan debt months'!AB24,I24)</f>
        <v>0</v>
      </c>
      <c r="L24" s="1" t="n">
        <f aca="false">N23</f>
        <v>0</v>
      </c>
      <c r="M24" s="1" t="n">
        <f aca="false">IF(L24&gt;1,'Plan debt months'!BD24,0)</f>
        <v>0</v>
      </c>
      <c r="N24" s="1" t="n">
        <f aca="false">IF(L24&gt;1,'Plan debt months'!BC24,L24)</f>
        <v>0</v>
      </c>
      <c r="O24" s="1" t="n">
        <f aca="false">Q23</f>
        <v>0</v>
      </c>
      <c r="P24" s="1" t="n">
        <f aca="false">IF(O24&gt;1,'Plan debt months'!CE24,0)</f>
        <v>0</v>
      </c>
      <c r="Q24" s="1" t="n">
        <f aca="false">IF(O24&gt;1,'Plan debt months'!CD24,O24)</f>
        <v>0</v>
      </c>
      <c r="R24" s="1" t="n">
        <f aca="false">J24+M24+P24</f>
        <v>0</v>
      </c>
      <c r="S24" s="1" t="n">
        <f aca="false">HD23+'Plan pay &amp; tax'!Y226</f>
        <v>0</v>
      </c>
      <c r="T24" s="1" t="n">
        <f aca="false">HD23</f>
        <v>0</v>
      </c>
      <c r="U24" s="1" t="n">
        <f aca="false">IF(AND(Slot1_On=1,D24=Slot1_Age),1,0)</f>
        <v>0</v>
      </c>
      <c r="V24" s="1" t="n">
        <f aca="false">IF(AND(Slot1_On=1,Slot1_Age&gt;D24),1,0)</f>
        <v>0</v>
      </c>
      <c r="W24" s="1" t="n">
        <f aca="false">HF23</f>
        <v>0</v>
      </c>
      <c r="X24" s="1" t="n">
        <f aca="false">U24*MIN(Slot1_Cost,W24)</f>
        <v>0</v>
      </c>
      <c r="Y24" s="1" t="n">
        <f aca="false">U24*Slot1_SpendLike*MIN(Slot1_Cost-X24,S24)</f>
        <v>0</v>
      </c>
      <c r="Z24" s="1" t="n">
        <f aca="false">X24+Y24</f>
        <v>0</v>
      </c>
      <c r="AA24" s="1" t="n">
        <f aca="false">S24-Y24+U24*IF(Slot1_SpendLike=1,W24-X24,IF(Slot1_PotFree=1,W24,0))</f>
        <v>0</v>
      </c>
      <c r="AB24" s="1" t="n">
        <f aca="false">AE24+U24*Slot1_BufPot*W24</f>
        <v>0</v>
      </c>
      <c r="AC24" s="1" t="n">
        <f aca="false">IF(AND(U24=1,Slot1_IsMfree=1),IF(Z24&gt;=Slot1_Cost-1,0,MAX(0,K24-Z24)),K24)</f>
        <v>0</v>
      </c>
      <c r="AD24" s="1" t="n">
        <f aca="false">U24*(Slot1_Cost-Z24)</f>
        <v>0</v>
      </c>
      <c r="AE24" s="1" t="n">
        <f aca="false">HE23</f>
        <v>0</v>
      </c>
      <c r="AF24" s="1" t="n">
        <f aca="false">IF(AND(Slot2_On=1,D24=Slot2_Age),1,0)</f>
        <v>0</v>
      </c>
      <c r="AG24" s="1" t="n">
        <f aca="false">IF(AND(Slot2_On=1,Slot2_Age&gt;D24),1,0)</f>
        <v>0</v>
      </c>
      <c r="AH24" s="1" t="n">
        <f aca="false">HJ23</f>
        <v>0</v>
      </c>
      <c r="AI24" s="1" t="n">
        <f aca="false">AF24*MIN(Slot2_Cost,AH24)</f>
        <v>0</v>
      </c>
      <c r="AJ24" s="1" t="n">
        <f aca="false">AF24*Slot2_SpendLike*MIN(Slot2_Cost-AI24,AA24)</f>
        <v>0</v>
      </c>
      <c r="AK24" s="1" t="n">
        <f aca="false">AI24+AJ24</f>
        <v>0</v>
      </c>
      <c r="AL24" s="1" t="n">
        <f aca="false">AA24-AJ24+AF24*IF(Slot2_SpendLike=1,AH24-AI24,IF(Slot2_PotFree=1,AH24,0))</f>
        <v>0</v>
      </c>
      <c r="AM24" s="1" t="n">
        <f aca="false">AB24+AF24*Slot2_BufPot*AH24</f>
        <v>0</v>
      </c>
      <c r="AN24" s="1" t="n">
        <f aca="false">IF(AND(AF24=1,Slot2_IsMfree=1),IF(AK24&gt;=Slot2_Cost-1,0,MAX(0,AC24-AK24)),AC24)</f>
        <v>0</v>
      </c>
      <c r="AO24" s="1" t="n">
        <f aca="false">AF24*(Slot2_Cost-AK24)</f>
        <v>0</v>
      </c>
      <c r="AP24" s="1" t="n">
        <f aca="false">IF(AND(Slot3_On=1,D24=Slot3_Age),1,0)</f>
        <v>0</v>
      </c>
      <c r="AQ24" s="1" t="n">
        <f aca="false">IF(AND(Slot3_On=1,Slot3_Age&gt;D24),1,0)</f>
        <v>0</v>
      </c>
      <c r="AR24" s="1" t="n">
        <f aca="false">HN23</f>
        <v>0</v>
      </c>
      <c r="AS24" s="1" t="n">
        <f aca="false">AP24*MIN(Slot3_Cost,AR24)</f>
        <v>0</v>
      </c>
      <c r="AT24" s="1" t="n">
        <f aca="false">AP24*Slot3_SpendLike*MIN(Slot3_Cost-AS24,AL24)</f>
        <v>0</v>
      </c>
      <c r="AU24" s="1" t="n">
        <f aca="false">AS24+AT24</f>
        <v>0</v>
      </c>
      <c r="AV24" s="1" t="n">
        <f aca="false">AL24-AT24+AP24*IF(Slot3_SpendLike=1,AR24-AS24,IF(Slot3_PotFree=1,AR24,0))</f>
        <v>0</v>
      </c>
      <c r="AW24" s="1" t="n">
        <f aca="false">AM24+AP24*Slot3_BufPot*AR24</f>
        <v>0</v>
      </c>
      <c r="AX24" s="1" t="n">
        <f aca="false">IF(AND(AP24=1,Slot3_IsMfree=1),IF(AU24&gt;=Slot3_Cost-1,0,MAX(0,AN24-AU24)),AN24)</f>
        <v>0</v>
      </c>
      <c r="AY24" s="1" t="n">
        <f aca="false">AP24*(Slot3_Cost-AU24)</f>
        <v>0</v>
      </c>
      <c r="AZ24" s="1" t="n">
        <f aca="false">IF(AND(Slot4_On=1,D24=Slot4_Age),1,0)</f>
        <v>0</v>
      </c>
      <c r="BA24" s="1" t="n">
        <f aca="false">IF(AND(Slot4_On=1,Slot4_Age&gt;D24),1,0)</f>
        <v>0</v>
      </c>
      <c r="BB24" s="1" t="n">
        <f aca="false">HR23</f>
        <v>0</v>
      </c>
      <c r="BC24" s="1" t="n">
        <f aca="false">AZ24*MIN(Slot4_Cost,BB24)</f>
        <v>0</v>
      </c>
      <c r="BD24" s="1" t="n">
        <f aca="false">AZ24*Slot4_SpendLike*MIN(Slot4_Cost-BC24,AV24)</f>
        <v>0</v>
      </c>
      <c r="BE24" s="1" t="n">
        <f aca="false">BC24+BD24</f>
        <v>0</v>
      </c>
      <c r="BF24" s="1" t="n">
        <f aca="false">AV24-BD24+AZ24*IF(Slot4_SpendLike=1,BB24-BC24,IF(Slot4_PotFree=1,BB24,0))</f>
        <v>0</v>
      </c>
      <c r="BG24" s="1" t="n">
        <f aca="false">AW24+AZ24*Slot4_BufPot*BB24</f>
        <v>0</v>
      </c>
      <c r="BH24" s="1" t="n">
        <f aca="false">IF(AND(AZ24=1,Slot4_IsMfree=1),IF(BE24&gt;=Slot4_Cost-1,0,MAX(0,AX24-BE24)),AX24)</f>
        <v>0</v>
      </c>
      <c r="BI24" s="1" t="n">
        <f aca="false">AZ24*(Slot4_Cost-BE24)</f>
        <v>0</v>
      </c>
      <c r="BJ24" s="1" t="n">
        <f aca="false">IF(AND(Slot5_On=1,D24=Slot5_Age),1,0)</f>
        <v>0</v>
      </c>
      <c r="BK24" s="1" t="n">
        <f aca="false">IF(AND(Slot5_On=1,Slot5_Age&gt;D24),1,0)</f>
        <v>0</v>
      </c>
      <c r="BL24" s="1" t="n">
        <f aca="false">HV23</f>
        <v>0</v>
      </c>
      <c r="BM24" s="1" t="n">
        <f aca="false">BJ24*MIN(Slot5_Cost,BL24)</f>
        <v>0</v>
      </c>
      <c r="BN24" s="1" t="n">
        <f aca="false">BJ24*Slot5_SpendLike*MIN(Slot5_Cost-BM24,BF24)</f>
        <v>0</v>
      </c>
      <c r="BO24" s="1" t="n">
        <f aca="false">BM24+BN24</f>
        <v>0</v>
      </c>
      <c r="BP24" s="1" t="n">
        <f aca="false">BF24-BN24+BJ24*IF(Slot5_SpendLike=1,BL24-BM24,IF(Slot5_PotFree=1,BL24,0))</f>
        <v>0</v>
      </c>
      <c r="BQ24" s="1" t="n">
        <f aca="false">BG24+BJ24*Slot5_BufPot*BL24</f>
        <v>0</v>
      </c>
      <c r="BR24" s="1" t="n">
        <f aca="false">IF(AND(BJ24=1,Slot5_IsMfree=1),IF(BO24&gt;=Slot5_Cost-1,0,MAX(0,BH24-BO24)),BH24)</f>
        <v>0</v>
      </c>
      <c r="BS24" s="1" t="n">
        <f aca="false">BJ24*(Slot5_Cost-BO24)</f>
        <v>0</v>
      </c>
      <c r="BT24" s="1" t="n">
        <f aca="false">IF(AND(Slot6_On=1,D24=Slot6_Age),1,0)</f>
        <v>0</v>
      </c>
      <c r="BU24" s="1" t="n">
        <f aca="false">IF(AND(Slot6_On=1,Slot6_Age&gt;D24),1,0)</f>
        <v>0</v>
      </c>
      <c r="BV24" s="1" t="n">
        <f aca="false">HZ23</f>
        <v>0</v>
      </c>
      <c r="BW24" s="1" t="n">
        <f aca="false">BT24*MIN(Slot6_Cost,BV24)</f>
        <v>0</v>
      </c>
      <c r="BX24" s="1" t="n">
        <f aca="false">BT24*Slot6_SpendLike*MIN(Slot6_Cost-BW24,BP24)</f>
        <v>0</v>
      </c>
      <c r="BY24" s="1" t="n">
        <f aca="false">BW24+BX24</f>
        <v>0</v>
      </c>
      <c r="BZ24" s="1" t="n">
        <f aca="false">BP24-BX24+BT24*IF(Slot6_SpendLike=1,BV24-BW24,IF(Slot6_PotFree=1,BV24,0))</f>
        <v>0</v>
      </c>
      <c r="CA24" s="1" t="n">
        <f aca="false">BQ24+BT24*Slot6_BufPot*BV24</f>
        <v>0</v>
      </c>
      <c r="CB24" s="1" t="n">
        <f aca="false">IF(AND(BT24=1,Slot6_IsMfree=1),IF(BY24&gt;=Slot6_Cost-1,0,MAX(0,BR24-BY24)),BR24)</f>
        <v>0</v>
      </c>
      <c r="CC24" s="1" t="n">
        <f aca="false">BT24*(Slot6_Cost-BY24)</f>
        <v>0</v>
      </c>
      <c r="CD24" s="1" t="n">
        <f aca="false">IF(AND(Slot7_On=1,D24=Slot7_Age),1,0)</f>
        <v>0</v>
      </c>
      <c r="CE24" s="1" t="n">
        <f aca="false">IF(AND(Slot7_On=1,Slot7_Age&gt;D24),1,0)</f>
        <v>0</v>
      </c>
      <c r="CF24" s="1" t="n">
        <f aca="false">ID23</f>
        <v>0</v>
      </c>
      <c r="CG24" s="1" t="n">
        <f aca="false">CD24*MIN(Slot7_Cost,CF24)</f>
        <v>0</v>
      </c>
      <c r="CH24" s="1" t="n">
        <f aca="false">CD24*Slot7_SpendLike*MIN(Slot7_Cost-CG24,BZ24)</f>
        <v>0</v>
      </c>
      <c r="CI24" s="1" t="n">
        <f aca="false">CG24+CH24</f>
        <v>0</v>
      </c>
      <c r="CJ24" s="1" t="n">
        <f aca="false">BZ24-CH24+CD24*IF(Slot7_SpendLike=1,CF24-CG24,IF(Slot7_PotFree=1,CF24,0))</f>
        <v>0</v>
      </c>
      <c r="CK24" s="1" t="n">
        <f aca="false">CA24+CD24*Slot7_BufPot*CF24</f>
        <v>0</v>
      </c>
      <c r="CL24" s="1" t="n">
        <f aca="false">IF(AND(CD24=1,Slot7_IsMfree=1),IF(CI24&gt;=Slot7_Cost-1,0,MAX(0,CB24-CI24)),CB24)</f>
        <v>0</v>
      </c>
      <c r="CM24" s="1" t="n">
        <f aca="false">CD24*(Slot7_Cost-CI24)</f>
        <v>0</v>
      </c>
      <c r="CN24" s="1" t="n">
        <f aca="false">IF(AND(Slot8_On=1,D24=Slot8_Age),1,0)</f>
        <v>0</v>
      </c>
      <c r="CO24" s="1" t="n">
        <f aca="false">IF(AND(Slot8_On=1,Slot8_Age&gt;D24),1,0)</f>
        <v>0</v>
      </c>
      <c r="CP24" s="1" t="n">
        <f aca="false">IH23</f>
        <v>0</v>
      </c>
      <c r="CQ24" s="1" t="n">
        <f aca="false">CN24*MIN(Slot8_Cost,CP24)</f>
        <v>0</v>
      </c>
      <c r="CR24" s="1" t="n">
        <f aca="false">CN24*Slot8_SpendLike*MIN(Slot8_Cost-CQ24,CJ24)</f>
        <v>0</v>
      </c>
      <c r="CS24" s="1" t="n">
        <f aca="false">CQ24+CR24</f>
        <v>0</v>
      </c>
      <c r="CT24" s="1" t="n">
        <f aca="false">CJ24-CR24+CN24*IF(Slot8_SpendLike=1,CP24-CQ24,IF(Slot8_PotFree=1,CP24,0))</f>
        <v>0</v>
      </c>
      <c r="CU24" s="1" t="n">
        <f aca="false">CK24+CN24*Slot8_BufPot*CP24</f>
        <v>0</v>
      </c>
      <c r="CV24" s="1" t="n">
        <f aca="false">IF(AND(CN24=1,Slot8_IsMfree=1),IF(CS24&gt;=Slot8_Cost-1,0,MAX(0,CL24-CS24)),CL24)</f>
        <v>0</v>
      </c>
      <c r="CW24" s="1" t="n">
        <f aca="false">CN24*(Slot8_Cost-CS24)</f>
        <v>0</v>
      </c>
      <c r="CX24" s="1" t="n">
        <f aca="false">U24*Slot1_SpendLike*Z24+AF24*Slot2_SpendLike*AK24+AP24*Slot3_SpendLike*AU24+AZ24*Slot4_SpendLike*BE24+BJ24*Slot5_SpendLike*BO24+BT24*Slot6_SpendLike*BY24+CD24*Slot7_SpendLike*CI24+CN24*Slot8_SpendLike*CS24</f>
        <v>0</v>
      </c>
      <c r="CY24" s="1" t="n">
        <f aca="false">AD24+AO24+AY24+BI24+BS24+CC24+CM24+CW24</f>
        <v>0</v>
      </c>
      <c r="CZ24" s="1" t="n">
        <f aca="false">U24*Slot1_Cost+AF24*Slot2_Cost+AP24*Slot3_Cost+AZ24*Slot4_Cost+BJ24*Slot5_Cost+BT24*Slot6_Cost+CD24*Slot7_Cost+CN24*Slot8_Cost</f>
        <v>0</v>
      </c>
      <c r="DA24" s="1" t="n">
        <f aca="false">CV24</f>
        <v>0</v>
      </c>
      <c r="DB24" s="1" t="n">
        <f aca="false">G24-H24-R24</f>
        <v>0</v>
      </c>
      <c r="DC24" s="1" t="n">
        <f aca="false">IF(B24=0,IF(AND(Has_q6=1,In_q6=4),PR_ShareVaries*(MAX(0,DB24)/12),MIN(IF(Has_q6=1,CHOOSE(In_q6+1,PR_SaveB1,PR_SaveB2,PR_SaveB3,PR_SaveB4,0),AS_NoAnswer),AS_SaveShare*(MAX(0,DB24)/12))),DC23)</f>
        <v>0</v>
      </c>
      <c r="DD24" s="1" t="n">
        <f aca="false">IF(DB24&gt;=0,1,0)</f>
        <v>1</v>
      </c>
      <c r="DE24" s="1" t="n">
        <f aca="false">MAX(0,DB24/12/E24)</f>
        <v>0</v>
      </c>
      <c r="DF24" s="1" t="n">
        <f aca="false">IF(AND(Has_q6=1,In_q6=4),PR_ShareVaries*(DE24),MIN(IF(Has_q6=1,CHOOSE(In_q6+1,PR_SaveB1,PR_SaveB2,PR_SaveB3,PR_SaveB4,0),AS_NoAnswer),AS_SaveShare*(DE24)))</f>
        <v>0</v>
      </c>
      <c r="DG24" s="1" t="n">
        <f aca="false">IF(Has_saveM=1,IF(In_saveUp="Yes",1,IF(In_saveUp="No",0,IF(In_saveM&gt;=DC24-0.5,1,0))),0)</f>
        <v>0</v>
      </c>
      <c r="DH24" s="1" t="n">
        <f aca="false">IF(Has_saveM=1,MIN(DE24,IF(DG24=1,MAX(In_saveM,DF24),MIN(In_saveM,DF24))),DF24)</f>
        <v>0</v>
      </c>
      <c r="DI24" s="1" t="n">
        <f aca="false">IF(F24=1,DH24*12*E24,0)</f>
        <v>0</v>
      </c>
      <c r="DJ24" s="1" t="n">
        <f aca="false">MAX(0,DI24+IF(AND(WI_Retire=0,WI_M&lt;0,F24=1),WI_M*12*E24,0))</f>
        <v>0</v>
      </c>
      <c r="DK24" s="1" t="n">
        <f aca="false">Slot1_IsWG*V24+Slot2_IsWG*AG24+Slot3_IsWG*AQ24+Slot4_IsWG*BA24+Slot5_IsWG*BK24+Slot6_IsWG*BU24+Slot7_IsWG*CE24+Slot8_IsWG*CO24</f>
        <v>0</v>
      </c>
      <c r="DL24" s="1" t="n">
        <f aca="false">IF(AND(WI_Retire=0,WI_M&gt;0,F24=1,DK24&gt;=1),WI_M*12*E24,0)</f>
        <v>0</v>
      </c>
      <c r="DM24" s="1" t="n">
        <f aca="false">IF(DD24=1,MIN(DJ24,DB24),0)</f>
        <v>0</v>
      </c>
      <c r="DN24" s="1" t="n">
        <f aca="false">IF(DD24=1,MIN(DL24,DB24-DM24),0)</f>
        <v>0</v>
      </c>
      <c r="DO24" s="1" t="n">
        <f aca="false">IF(V24=1,IF(ABS((1+AS_Wage)/(1+Slot1_Rate)-1)&lt;0.000000000001,(Slot1_Age-D24)*(1+Slot1_Rate)^(Slot1_Age-D24),(1+Slot1_Rate)^(Slot1_Age-D24)*(1-((1+AS_Wage)/(1+Slot1_Rate))^(Slot1_Age-D24))/(1-(1+AS_Wage)/(1+Slot1_Rate))),1)</f>
        <v>1</v>
      </c>
      <c r="DP24" s="1" t="n">
        <f aca="false">IF(AND(DD24=1,DN24&gt;0,Slot1_IsWG=1,V24=1),MAX(0,(Slot1_Cost-W24*(1+Slot1_Rate)^(Slot1_Age-D24))/DO24),0)</f>
        <v>0</v>
      </c>
      <c r="DQ24" s="1" t="n">
        <f aca="false">IF(AND(DD24=1,DN24&gt;0,Slot1_IsWG=1,V24=1),MIN(DN24,DP24),0)</f>
        <v>0</v>
      </c>
      <c r="DR24" s="1" t="n">
        <f aca="false">W24+DQ24</f>
        <v>0</v>
      </c>
      <c r="DS24" s="1" t="n">
        <f aca="false">IF(V24=1,MAX(0,(Slot1_Cost-DR24*(1+Slot1_Rate)^(Slot1_Age-D24))/DO24),0)</f>
        <v>0</v>
      </c>
      <c r="DT24" s="1" t="n">
        <f aca="false">IF(V24=1,MAX(0,(Slot1_Cost-W24*(1+Slot1_Rate)^(Slot1_Age-D24))/DO24),0)</f>
        <v>0</v>
      </c>
      <c r="DU24" s="1" t="n">
        <f aca="false">IF(AND(DD24=1,V24=1),MIN(DM24,DS24),0)</f>
        <v>0</v>
      </c>
      <c r="DV24" s="1" t="n">
        <f aca="false">DM24-DU24</f>
        <v>0</v>
      </c>
      <c r="DW24" s="1" t="n">
        <f aca="false">IF(AG24=1,IF(ABS((1+AS_Wage)/(1+Slot2_Rate)-1)&lt;0.000000000001,(Slot2_Age-D24)*(1+Slot2_Rate)^(Slot2_Age-D24),(1+Slot2_Rate)^(Slot2_Age-D24)*(1-((1+AS_Wage)/(1+Slot2_Rate))^(Slot2_Age-D24))/(1-(1+AS_Wage)/(1+Slot2_Rate))),1)</f>
        <v>1</v>
      </c>
      <c r="DX24" s="1" t="n">
        <f aca="false">IF(AND(DD24=1,DN24&gt;0,Slot2_IsWG=1,AG24=1),MAX(0,(Slot2_Cost-AH24*(1+Slot2_Rate)^(Slot2_Age-D24))/DW24),0)</f>
        <v>0</v>
      </c>
      <c r="DY24" s="1" t="n">
        <f aca="false">IF(AND(DD24=1,DN24&gt;0,Slot2_IsWG=1,AG24=1),MIN(DN24,DX24),0)</f>
        <v>0</v>
      </c>
      <c r="DZ24" s="1" t="n">
        <f aca="false">AH24+DY24</f>
        <v>0</v>
      </c>
      <c r="EA24" s="1" t="n">
        <f aca="false">IF(AG24=1,MAX(0,(Slot2_Cost-DZ24*(1+Slot2_Rate)^(Slot2_Age-D24))/DW24),0)</f>
        <v>0</v>
      </c>
      <c r="EB24" s="1" t="n">
        <f aca="false">IF(AG24=1,MAX(0,(Slot2_Cost-AH24*(1+Slot2_Rate)^(Slot2_Age-D24))/DW24),0)</f>
        <v>0</v>
      </c>
      <c r="EC24" s="1" t="n">
        <f aca="false">IF(AND(DD24=1,AG24=1),MIN(DV24,EA24),0)</f>
        <v>0</v>
      </c>
      <c r="ED24" s="1" t="n">
        <f aca="false">DV24-EC24</f>
        <v>0</v>
      </c>
      <c r="EE24" s="1" t="n">
        <f aca="false">IF(AQ24=1,IF(ABS((1+AS_Wage)/(1+Slot3_Rate)-1)&lt;0.000000000001,(Slot3_Age-D24)*(1+Slot3_Rate)^(Slot3_Age-D24),(1+Slot3_Rate)^(Slot3_Age-D24)*(1-((1+AS_Wage)/(1+Slot3_Rate))^(Slot3_Age-D24))/(1-(1+AS_Wage)/(1+Slot3_Rate))),1)</f>
        <v>1</v>
      </c>
      <c r="EF24" s="1" t="n">
        <f aca="false">IF(AND(DD24=1,DN24&gt;0,Slot3_IsWG=1,AQ24=1),MAX(0,(Slot3_Cost-AR24*(1+Slot3_Rate)^(Slot3_Age-D24))/EE24),0)</f>
        <v>0</v>
      </c>
      <c r="EG24" s="1" t="n">
        <f aca="false">IF(AND(DD24=1,DN24&gt;0,Slot3_IsWG=1,AQ24=1),MIN(DN24,EF24),0)</f>
        <v>0</v>
      </c>
      <c r="EH24" s="1" t="n">
        <f aca="false">AR24+EG24</f>
        <v>0</v>
      </c>
      <c r="EI24" s="1" t="n">
        <f aca="false">IF(AQ24=1,MAX(0,(Slot3_Cost-EH24*(1+Slot3_Rate)^(Slot3_Age-D24))/EE24),0)</f>
        <v>0</v>
      </c>
      <c r="EJ24" s="1" t="n">
        <f aca="false">IF(AQ24=1,MAX(0,(Slot3_Cost-AR24*(1+Slot3_Rate)^(Slot3_Age-D24))/EE24),0)</f>
        <v>0</v>
      </c>
      <c r="EK24" s="1" t="n">
        <f aca="false">IF(AND(DD24=1,AQ24=1),MIN(ED24,EI24),0)</f>
        <v>0</v>
      </c>
      <c r="EL24" s="1" t="n">
        <f aca="false">ED24-EK24</f>
        <v>0</v>
      </c>
      <c r="EM24" s="1" t="n">
        <f aca="false">IF(BA24=1,IF(ABS((1+AS_Wage)/(1+Slot4_Rate)-1)&lt;0.000000000001,(Slot4_Age-D24)*(1+Slot4_Rate)^(Slot4_Age-D24),(1+Slot4_Rate)^(Slot4_Age-D24)*(1-((1+AS_Wage)/(1+Slot4_Rate))^(Slot4_Age-D24))/(1-(1+AS_Wage)/(1+Slot4_Rate))),1)</f>
        <v>1</v>
      </c>
      <c r="EN24" s="1" t="n">
        <f aca="false">IF(AND(DD24=1,DN24&gt;0,Slot4_IsWG=1,BA24=1),MAX(0,(Slot4_Cost-BB24*(1+Slot4_Rate)^(Slot4_Age-D24))/EM24),0)</f>
        <v>0</v>
      </c>
      <c r="EO24" s="1" t="n">
        <f aca="false">IF(AND(DD24=1,DN24&gt;0,Slot4_IsWG=1,BA24=1),MIN(DN24,EN24),0)</f>
        <v>0</v>
      </c>
      <c r="EP24" s="1" t="n">
        <f aca="false">BB24+EO24</f>
        <v>0</v>
      </c>
      <c r="EQ24" s="1" t="n">
        <f aca="false">IF(BA24=1,MAX(0,(Slot4_Cost-EP24*(1+Slot4_Rate)^(Slot4_Age-D24))/EM24),0)</f>
        <v>0</v>
      </c>
      <c r="ER24" s="1" t="n">
        <f aca="false">IF(BA24=1,MAX(0,(Slot4_Cost-BB24*(1+Slot4_Rate)^(Slot4_Age-D24))/EM24),0)</f>
        <v>0</v>
      </c>
      <c r="ES24" s="1" t="n">
        <f aca="false">IF(AND(DD24=1,BA24=1),MIN(EL24,EQ24),0)</f>
        <v>0</v>
      </c>
      <c r="ET24" s="1" t="n">
        <f aca="false">EL24-ES24</f>
        <v>0</v>
      </c>
      <c r="EU24" s="1" t="n">
        <f aca="false">IF(BK24=1,IF(ABS((1+AS_Wage)/(1+Slot5_Rate)-1)&lt;0.000000000001,(Slot5_Age-D24)*(1+Slot5_Rate)^(Slot5_Age-D24),(1+Slot5_Rate)^(Slot5_Age-D24)*(1-((1+AS_Wage)/(1+Slot5_Rate))^(Slot5_Age-D24))/(1-(1+AS_Wage)/(1+Slot5_Rate))),1)</f>
        <v>1</v>
      </c>
      <c r="EV24" s="1" t="n">
        <f aca="false">IF(AND(DD24=1,DN24&gt;0,Slot5_IsWG=1,BK24=1),MAX(0,(Slot5_Cost-BL24*(1+Slot5_Rate)^(Slot5_Age-D24))/EU24),0)</f>
        <v>0</v>
      </c>
      <c r="EW24" s="1" t="n">
        <f aca="false">IF(AND(DD24=1,DN24&gt;0,Slot5_IsWG=1,BK24=1),MIN(DN24,EV24),0)</f>
        <v>0</v>
      </c>
      <c r="EX24" s="1" t="n">
        <f aca="false">BL24+EW24</f>
        <v>0</v>
      </c>
      <c r="EY24" s="1" t="n">
        <f aca="false">IF(BK24=1,MAX(0,(Slot5_Cost-EX24*(1+Slot5_Rate)^(Slot5_Age-D24))/EU24),0)</f>
        <v>0</v>
      </c>
      <c r="EZ24" s="1" t="n">
        <f aca="false">IF(BK24=1,MAX(0,(Slot5_Cost-BL24*(1+Slot5_Rate)^(Slot5_Age-D24))/EU24),0)</f>
        <v>0</v>
      </c>
      <c r="FA24" s="1" t="n">
        <f aca="false">IF(AND(DD24=1,BK24=1),MIN(ET24,EY24),0)</f>
        <v>0</v>
      </c>
      <c r="FB24" s="1" t="n">
        <f aca="false">ET24-FA24</f>
        <v>0</v>
      </c>
      <c r="FC24" s="1" t="n">
        <f aca="false">IF(BU24=1,IF(ABS((1+AS_Wage)/(1+Slot6_Rate)-1)&lt;0.000000000001,(Slot6_Age-D24)*(1+Slot6_Rate)^(Slot6_Age-D24),(1+Slot6_Rate)^(Slot6_Age-D24)*(1-((1+AS_Wage)/(1+Slot6_Rate))^(Slot6_Age-D24))/(1-(1+AS_Wage)/(1+Slot6_Rate))),1)</f>
        <v>1</v>
      </c>
      <c r="FD24" s="1" t="n">
        <f aca="false">IF(AND(DD24=1,DN24&gt;0,Slot6_IsWG=1,BU24=1),MAX(0,(Slot6_Cost-BV24*(1+Slot6_Rate)^(Slot6_Age-D24))/FC24),0)</f>
        <v>0</v>
      </c>
      <c r="FE24" s="1" t="n">
        <f aca="false">IF(AND(DD24=1,DN24&gt;0,Slot6_IsWG=1,BU24=1),MIN(DN24,FD24),0)</f>
        <v>0</v>
      </c>
      <c r="FF24" s="1" t="n">
        <f aca="false">BV24+FE24</f>
        <v>0</v>
      </c>
      <c r="FG24" s="1" t="n">
        <f aca="false">IF(BU24=1,MAX(0,(Slot6_Cost-FF24*(1+Slot6_Rate)^(Slot6_Age-D24))/FC24),0)</f>
        <v>0</v>
      </c>
      <c r="FH24" s="1" t="n">
        <f aca="false">IF(BU24=1,MAX(0,(Slot6_Cost-BV24*(1+Slot6_Rate)^(Slot6_Age-D24))/FC24),0)</f>
        <v>0</v>
      </c>
      <c r="FI24" s="1" t="n">
        <f aca="false">IF(AND(DD24=1,BU24=1),MIN(FB24,FG24),0)</f>
        <v>0</v>
      </c>
      <c r="FJ24" s="1" t="n">
        <f aca="false">FB24-FI24</f>
        <v>0</v>
      </c>
      <c r="FK24" s="1" t="n">
        <f aca="false">IF(CE24=1,IF(ABS((1+AS_Wage)/(1+Slot7_Rate)-1)&lt;0.000000000001,(Slot7_Age-D24)*(1+Slot7_Rate)^(Slot7_Age-D24),(1+Slot7_Rate)^(Slot7_Age-D24)*(1-((1+AS_Wage)/(1+Slot7_Rate))^(Slot7_Age-D24))/(1-(1+AS_Wage)/(1+Slot7_Rate))),1)</f>
        <v>1</v>
      </c>
      <c r="FL24" s="1" t="n">
        <f aca="false">IF(AND(DD24=1,DN24&gt;0,Slot7_IsWG=1,CE24=1),MAX(0,(Slot7_Cost-CF24*(1+Slot7_Rate)^(Slot7_Age-D24))/FK24),0)</f>
        <v>0</v>
      </c>
      <c r="FM24" s="1" t="n">
        <f aca="false">IF(AND(DD24=1,DN24&gt;0,Slot7_IsWG=1,CE24=1),MIN(DN24,FL24),0)</f>
        <v>0</v>
      </c>
      <c r="FN24" s="1" t="n">
        <f aca="false">CF24+FM24</f>
        <v>0</v>
      </c>
      <c r="FO24" s="1" t="n">
        <f aca="false">IF(CE24=1,MAX(0,(Slot7_Cost-FN24*(1+Slot7_Rate)^(Slot7_Age-D24))/FK24),0)</f>
        <v>0</v>
      </c>
      <c r="FP24" s="1" t="n">
        <f aca="false">IF(CE24=1,MAX(0,(Slot7_Cost-CF24*(1+Slot7_Rate)^(Slot7_Age-D24))/FK24),0)</f>
        <v>0</v>
      </c>
      <c r="FQ24" s="1" t="n">
        <f aca="false">IF(AND(DD24=1,CE24=1),MIN(FJ24,FO24),0)</f>
        <v>0</v>
      </c>
      <c r="FR24" s="1" t="n">
        <f aca="false">FJ24-FQ24</f>
        <v>0</v>
      </c>
      <c r="FS24" s="1" t="n">
        <f aca="false">IF(CO24=1,IF(ABS((1+AS_Wage)/(1+Slot8_Rate)-1)&lt;0.000000000001,(Slot8_Age-D24)*(1+Slot8_Rate)^(Slot8_Age-D24),(1+Slot8_Rate)^(Slot8_Age-D24)*(1-((1+AS_Wage)/(1+Slot8_Rate))^(Slot8_Age-D24))/(1-(1+AS_Wage)/(1+Slot8_Rate))),1)</f>
        <v>1</v>
      </c>
      <c r="FT24" s="1" t="n">
        <f aca="false">IF(AND(DD24=1,DN24&gt;0,Slot8_IsWG=1,CO24=1),MAX(0,(Slot8_Cost-CP24*(1+Slot8_Rate)^(Slot8_Age-D24))/FS24),0)</f>
        <v>0</v>
      </c>
      <c r="FU24" s="1" t="n">
        <f aca="false">IF(AND(DD24=1,DN24&gt;0,Slot8_IsWG=1,CO24=1),MIN(DN24,FT24),0)</f>
        <v>0</v>
      </c>
      <c r="FV24" s="1" t="n">
        <f aca="false">CP24+FU24</f>
        <v>0</v>
      </c>
      <c r="FW24" s="1" t="n">
        <f aca="false">IF(CO24=1,MAX(0,(Slot8_Cost-FV24*(1+Slot8_Rate)^(Slot8_Age-D24))/FS24),0)</f>
        <v>0</v>
      </c>
      <c r="FX24" s="1" t="n">
        <f aca="false">IF(CO24=1,MAX(0,(Slot8_Cost-CP24*(1+Slot8_Rate)^(Slot8_Age-D24))/FS24),0)</f>
        <v>0</v>
      </c>
      <c r="FY24" s="1" t="n">
        <f aca="false">IF(AND(DD24=1,CO24=1),MIN(FR24,FW24),0)</f>
        <v>0</v>
      </c>
      <c r="FZ24" s="1" t="n">
        <f aca="false">FR24-FY24</f>
        <v>0</v>
      </c>
      <c r="GA24" s="1" t="n">
        <f aca="false">DN24-(DQ24+DY24+EG24+EO24+EW24+FE24+FM24+FU24)</f>
        <v>0</v>
      </c>
      <c r="GB24" s="1" t="n">
        <f aca="false">IF(DD24=1,DB24-DM24-DN24,0)</f>
        <v>0</v>
      </c>
      <c r="GC24" s="1" t="n">
        <f aca="false">IF(DD24=0,-DB24,0)</f>
        <v>0</v>
      </c>
      <c r="GD24" s="1" t="n">
        <f aca="false">MIN(GC24,CT24)</f>
        <v>0</v>
      </c>
      <c r="GE24" s="1" t="n">
        <f aca="false">GC24-GD24</f>
        <v>0</v>
      </c>
      <c r="GF24" s="1" t="n">
        <f aca="false">MIN(GE24,CU24)</f>
        <v>0</v>
      </c>
      <c r="GG24" s="1" t="n">
        <f aca="false">GE24-GF24</f>
        <v>0</v>
      </c>
      <c r="GH24" s="1" t="n">
        <f aca="false">IF(AND(DD24=0,CO24=1,GG24&gt;0),MIN(GG24,CP24),0)</f>
        <v>0</v>
      </c>
      <c r="GI24" s="1" t="n">
        <f aca="false">GG24-GH24</f>
        <v>0</v>
      </c>
      <c r="GJ24" s="1" t="n">
        <f aca="false">IF(AND(DD24=0,CE24=1,GI24&gt;0),MIN(GI24,CF24),0)</f>
        <v>0</v>
      </c>
      <c r="GK24" s="1" t="n">
        <f aca="false">GI24-GJ24</f>
        <v>0</v>
      </c>
      <c r="GL24" s="1" t="n">
        <f aca="false">IF(AND(DD24=0,BU24=1,GK24&gt;0),MIN(GK24,BV24),0)</f>
        <v>0</v>
      </c>
      <c r="GM24" s="1" t="n">
        <f aca="false">GK24-GL24</f>
        <v>0</v>
      </c>
      <c r="GN24" s="1" t="n">
        <f aca="false">IF(AND(DD24=0,BK24=1,GM24&gt;0),MIN(GM24,BL24),0)</f>
        <v>0</v>
      </c>
      <c r="GO24" s="1" t="n">
        <f aca="false">GM24-GN24</f>
        <v>0</v>
      </c>
      <c r="GP24" s="1" t="n">
        <f aca="false">IF(AND(DD24=0,BA24=1,GO24&gt;0),MIN(GO24,BB24),0)</f>
        <v>0</v>
      </c>
      <c r="GQ24" s="1" t="n">
        <f aca="false">GO24-GP24</f>
        <v>0</v>
      </c>
      <c r="GR24" s="1" t="n">
        <f aca="false">IF(AND(DD24=0,AQ24=1,GQ24&gt;0),MIN(GQ24,AR24),0)</f>
        <v>0</v>
      </c>
      <c r="GS24" s="1" t="n">
        <f aca="false">GQ24-GR24</f>
        <v>0</v>
      </c>
      <c r="GT24" s="1" t="n">
        <f aca="false">IF(AND(DD24=0,AG24=1,GS24&gt;0),MIN(GS24,AH24),0)</f>
        <v>0</v>
      </c>
      <c r="GU24" s="1" t="n">
        <f aca="false">GS24-GT24</f>
        <v>0</v>
      </c>
      <c r="GV24" s="1" t="n">
        <f aca="false">IF(AND(DD24=0,V24=1,GU24&gt;0),MIN(GU24,W24),0)</f>
        <v>0</v>
      </c>
      <c r="GW24" s="1" t="n">
        <f aca="false">GU24-GV24</f>
        <v>0</v>
      </c>
      <c r="GX24" s="1" t="n">
        <f aca="false">IF(DD24=0,GW24,0)</f>
        <v>0</v>
      </c>
      <c r="GY24" s="1" t="n">
        <f aca="false">GD24+GF24+GV24+GT24+GR24+GP24+GN24+GL24+GJ24+GH24</f>
        <v>0</v>
      </c>
      <c r="GZ24" s="1" t="n">
        <f aca="false">IF(DD24=1,CT24+GA24+FZ24+IF(F24=1,0,GB24),CT24-GD24)</f>
        <v>0</v>
      </c>
      <c r="HA24" s="1" t="n">
        <f aca="false">CU24-GF24</f>
        <v>0</v>
      </c>
      <c r="HB24" s="1" t="n">
        <f aca="false">IF(DD24=1,IF(F24=1,DM24+DN24,DB24),0)</f>
        <v>0</v>
      </c>
      <c r="HC24" s="1" t="n">
        <f aca="false">IF(DD24=1,IF(F24=1,DB24-DM24-DN24,0),0)</f>
        <v>0</v>
      </c>
      <c r="HD24" s="1" t="n">
        <f aca="false">GZ24*(1+GR)</f>
        <v>0</v>
      </c>
      <c r="HE24" s="1" t="n">
        <f aca="false">HA24*(1+AS_Cash)</f>
        <v>0</v>
      </c>
      <c r="HF24" s="1" t="n">
        <f aca="false">IF(V24=1,IF(DD24=1,DR24+DU24,W24-GV24)*(1+Slot1_Rate),0)</f>
        <v>0</v>
      </c>
      <c r="HG24" s="1" t="n">
        <f aca="false">IF(AND(DD24=1,V24=1),(DQ24+DU24)/E24,0)</f>
        <v>0</v>
      </c>
      <c r="HH24" s="1" t="n">
        <f aca="false">IF(B24=0,DQ24+DU24,0)</f>
        <v>0</v>
      </c>
      <c r="HI24" s="1" t="n">
        <f aca="false">IF(B24=0,IF(DD24=1,DS24,DT24),0)</f>
        <v>0</v>
      </c>
      <c r="HJ24" s="1" t="n">
        <f aca="false">IF(AG24=1,IF(DD24=1,DZ24+EC24,AH24-GT24)*(1+Slot2_Rate),0)</f>
        <v>0</v>
      </c>
      <c r="HK24" s="1" t="n">
        <f aca="false">IF(AND(DD24=1,AG24=1),(DY24+EC24)/E24,0)</f>
        <v>0</v>
      </c>
      <c r="HL24" s="1" t="n">
        <f aca="false">IF(B24=0,DY24+EC24,0)</f>
        <v>0</v>
      </c>
      <c r="HM24" s="1" t="n">
        <f aca="false">IF(B24=0,IF(DD24=1,EA24,EB24),0)</f>
        <v>0</v>
      </c>
      <c r="HN24" s="1" t="n">
        <f aca="false">IF(AQ24=1,IF(DD24=1,EH24+EK24,AR24-GR24)*(1+Slot3_Rate),0)</f>
        <v>0</v>
      </c>
      <c r="HO24" s="1" t="n">
        <f aca="false">IF(AND(DD24=1,AQ24=1),(EG24+EK24)/E24,0)</f>
        <v>0</v>
      </c>
      <c r="HP24" s="1" t="n">
        <f aca="false">IF(B24=0,EG24+EK24,0)</f>
        <v>0</v>
      </c>
      <c r="HQ24" s="1" t="n">
        <f aca="false">IF(B24=0,IF(DD24=1,EI24,EJ24),0)</f>
        <v>0</v>
      </c>
      <c r="HR24" s="1" t="n">
        <f aca="false">IF(BA24=1,IF(DD24=1,EP24+ES24,BB24-GP24)*(1+Slot4_Rate),0)</f>
        <v>0</v>
      </c>
      <c r="HS24" s="1" t="n">
        <f aca="false">IF(AND(DD24=1,BA24=1),(EO24+ES24)/E24,0)</f>
        <v>0</v>
      </c>
      <c r="HT24" s="1" t="n">
        <f aca="false">IF(B24=0,EO24+ES24,0)</f>
        <v>0</v>
      </c>
      <c r="HU24" s="1" t="n">
        <f aca="false">IF(B24=0,IF(DD24=1,EQ24,ER24),0)</f>
        <v>0</v>
      </c>
      <c r="HV24" s="1" t="n">
        <f aca="false">IF(BK24=1,IF(DD24=1,EX24+FA24,BL24-GN24)*(1+Slot5_Rate),0)</f>
        <v>0</v>
      </c>
      <c r="HW24" s="1" t="n">
        <f aca="false">IF(AND(DD24=1,BK24=1),(EW24+FA24)/E24,0)</f>
        <v>0</v>
      </c>
      <c r="HX24" s="1" t="n">
        <f aca="false">IF(B24=0,EW24+FA24,0)</f>
        <v>0</v>
      </c>
      <c r="HY24" s="1" t="n">
        <f aca="false">IF(B24=0,IF(DD24=1,EY24,EZ24),0)</f>
        <v>0</v>
      </c>
      <c r="HZ24" s="1" t="n">
        <f aca="false">IF(BU24=1,IF(DD24=1,FF24+FI24,BV24-GL24)*(1+Slot6_Rate),0)</f>
        <v>0</v>
      </c>
      <c r="IA24" s="1" t="n">
        <f aca="false">IF(AND(DD24=1,BU24=1),(FE24+FI24)/E24,0)</f>
        <v>0</v>
      </c>
      <c r="IB24" s="1" t="n">
        <f aca="false">IF(B24=0,FE24+FI24,0)</f>
        <v>0</v>
      </c>
      <c r="IC24" s="1" t="n">
        <f aca="false">IF(B24=0,IF(DD24=1,FG24,FH24),0)</f>
        <v>0</v>
      </c>
      <c r="ID24" s="1" t="n">
        <f aca="false">IF(CE24=1,IF(DD24=1,FN24+FQ24,CF24-GJ24)*(1+Slot7_Rate),0)</f>
        <v>0</v>
      </c>
      <c r="IE24" s="1" t="n">
        <f aca="false">IF(AND(DD24=1,CE24=1),(FM24+FQ24)/E24,0)</f>
        <v>0</v>
      </c>
      <c r="IF24" s="1" t="n">
        <f aca="false">IF(B24=0,FM24+FQ24,0)</f>
        <v>0</v>
      </c>
      <c r="IG24" s="1" t="n">
        <f aca="false">IF(B24=0,IF(DD24=1,FO24,FP24),0)</f>
        <v>0</v>
      </c>
      <c r="IH24" s="1" t="n">
        <f aca="false">IF(CO24=1,IF(DD24=1,FV24+FY24,CP24-GH24)*(1+Slot8_Rate),0)</f>
        <v>0</v>
      </c>
      <c r="II24" s="1" t="n">
        <f aca="false">IF(AND(DD24=1,CO24=1),(FU24+FY24)/E24,0)</f>
        <v>0</v>
      </c>
      <c r="IJ24" s="1" t="n">
        <f aca="false">IF(B24=0,FU24+FY24,0)</f>
        <v>0</v>
      </c>
      <c r="IK24" s="1" t="n">
        <f aca="false">IF(B24=0,IF(DD24=1,FW24,FX24),0)</f>
        <v>0</v>
      </c>
      <c r="IL24" s="1" t="n">
        <f aca="false">HD24+HE24+HF24+HJ24+HN24+HR24+HV24+HZ24+ID24+IH24</f>
        <v>0</v>
      </c>
      <c r="IM24" s="1" t="n">
        <f aca="false">GX24+CY24</f>
        <v>0</v>
      </c>
      <c r="IN24" s="1" t="n">
        <f aca="false">H24+R24</f>
        <v>0</v>
      </c>
      <c r="IO24" s="1" t="n">
        <f aca="false">1-F24</f>
        <v>1</v>
      </c>
      <c r="IP24" s="1" t="n">
        <f aca="false">IF(AND(RG_Exists=1,F24=0,C24=1),H24,0)</f>
        <v>0</v>
      </c>
      <c r="IQ24" s="1" t="n">
        <f aca="false">IF(AND(RG_Exists=1,F24=0,C24=1),H24-MIN(GX24,H24),0)</f>
        <v>0</v>
      </c>
      <c r="IR24" s="1" t="n">
        <f aca="false">'Plan pay &amp; tax'!AD226</f>
        <v>0</v>
      </c>
      <c r="IS24" s="1" t="n">
        <f aca="false">IF(AND(C24=1,GX24&gt;MAX(PR_Short1,IN24*PR_Short2)),1,0)</f>
        <v>0</v>
      </c>
      <c r="IT24" s="1" t="n">
        <f aca="false">MIN(G24,H24+R24)</f>
        <v>0</v>
      </c>
      <c r="IU24" s="1" t="n">
        <f aca="false">GY24+MAX(0,CZ24-CY24)</f>
        <v>0</v>
      </c>
      <c r="IV24" s="1" t="n">
        <f aca="false">GX24+CY24</f>
        <v>0</v>
      </c>
      <c r="IW24" s="1" t="n">
        <f aca="false">IF(AND(C24=1,IV24&gt;0.5),1,0)</f>
        <v>0</v>
      </c>
      <c r="IX24" s="1" t="n">
        <f aca="false">IF(AND(C24=1,IW24=0,IU24&gt;0.5),1,0)</f>
        <v>0</v>
      </c>
      <c r="IY24" s="1" t="n">
        <f aca="false">IF(AND(C24=1,GX24&gt;0.5),1,0)</f>
        <v>0</v>
      </c>
      <c r="IZ24" s="1" t="n">
        <f aca="false">IF(AND(C24=1,GY24&gt;1,JF24=0),1,0)</f>
        <v>0</v>
      </c>
      <c r="JA24" s="1" t="n">
        <f aca="false">IF(AND(INT(D24/10)*10=90,B24&gt;0),80,INT(D24/10)*10)</f>
        <v>10</v>
      </c>
      <c r="JB24" s="1" t="n">
        <f aca="false">IF(B24=0,1,IF(JA24&lt;&gt;JA23,JB23+1,JB23))</f>
        <v>2</v>
      </c>
      <c r="JC24" s="1" t="n">
        <f aca="false">IF(AND(C24=1,F24=1,GX24&gt;MAX(PR_Short1,IN24*PR_Short2)),1,0)</f>
        <v>0</v>
      </c>
      <c r="JD24" s="1" t="n">
        <f aca="false">IO24*IS24</f>
        <v>0</v>
      </c>
      <c r="JE24" s="1" t="n">
        <f aca="false">IF(AND(U24=1,Slot1_PctLow=1),1,0)+IF(AND(AF24=1,Slot2_PctLow=1),1,0)+IF(AND(AP24=1,Slot3_PctLow=1),1,0)+IF(AND(AZ24=1,Slot4_PctLow=1),1,0)+IF(AND(BJ24=1,Slot5_PctLow=1),1,0)+IF(AND(BT24=1,Slot6_PctLow=1),1,0)+IF(AND(CD24=1,Slot7_PctLow=1),1,0)+IF(AND(CN24=1,Slot8_PctLow=1),1,0)</f>
        <v>0</v>
      </c>
      <c r="JF24" s="1" t="n">
        <f aca="false">IF(C24=1,IF(OR(IS24=1,JE24&gt;0),1,0),0)</f>
        <v>0</v>
      </c>
    </row>
    <row r="25" customFormat="false" ht="15" hidden="false" customHeight="false" outlineLevel="0" collapsed="false">
      <c r="B25" s="1" t="n">
        <v>17</v>
      </c>
      <c r="C25" s="1" t="n">
        <f aca="false">IF(B25&lt;=F_N,1,0)</f>
        <v>1</v>
      </c>
      <c r="D25" s="1" t="n">
        <f aca="false">'Plan pay &amp; tax'!C227</f>
        <v>17</v>
      </c>
      <c r="E25" s="106" t="n">
        <f aca="false">'Plan pay &amp; tax'!E227</f>
        <v>1.40024141919242</v>
      </c>
      <c r="F25" s="1" t="n">
        <f aca="false">'Plan pay &amp; tax'!G227</f>
        <v>0</v>
      </c>
      <c r="G25" s="1" t="n">
        <f aca="false">'Plan pay &amp; tax'!BT227-'Plan pay &amp; tax'!BS227-'Plan pay &amp; tax'!R227</f>
        <v>0</v>
      </c>
      <c r="H25" s="1" t="n">
        <f aca="false">IF(F25=1,F_CostsM*12,IF(RG_Exists=1,RG_Amount,F_CostsM*12*AS_RetireSpend))*E25+F_OneOffY*E25</f>
        <v>0</v>
      </c>
      <c r="I25" s="1" t="n">
        <f aca="false">DA24</f>
        <v>0</v>
      </c>
      <c r="J25" s="1" t="n">
        <f aca="false">IF(I25&gt;1,'Plan debt months'!AC25,0)</f>
        <v>0</v>
      </c>
      <c r="K25" s="1" t="n">
        <f aca="false">IF(I25&gt;1,'Plan debt months'!AB25,I25)</f>
        <v>0</v>
      </c>
      <c r="L25" s="1" t="n">
        <f aca="false">N24</f>
        <v>0</v>
      </c>
      <c r="M25" s="1" t="n">
        <f aca="false">IF(L25&gt;1,'Plan debt months'!BD25,0)</f>
        <v>0</v>
      </c>
      <c r="N25" s="1" t="n">
        <f aca="false">IF(L25&gt;1,'Plan debt months'!BC25,L25)</f>
        <v>0</v>
      </c>
      <c r="O25" s="1" t="n">
        <f aca="false">Q24</f>
        <v>0</v>
      </c>
      <c r="P25" s="1" t="n">
        <f aca="false">IF(O25&gt;1,'Plan debt months'!CE25,0)</f>
        <v>0</v>
      </c>
      <c r="Q25" s="1" t="n">
        <f aca="false">IF(O25&gt;1,'Plan debt months'!CD25,O25)</f>
        <v>0</v>
      </c>
      <c r="R25" s="1" t="n">
        <f aca="false">J25+M25+P25</f>
        <v>0</v>
      </c>
      <c r="S25" s="1" t="n">
        <f aca="false">HD24+'Plan pay &amp; tax'!Y227</f>
        <v>0</v>
      </c>
      <c r="T25" s="1" t="n">
        <f aca="false">HD24</f>
        <v>0</v>
      </c>
      <c r="U25" s="1" t="n">
        <f aca="false">IF(AND(Slot1_On=1,D25=Slot1_Age),1,0)</f>
        <v>0</v>
      </c>
      <c r="V25" s="1" t="n">
        <f aca="false">IF(AND(Slot1_On=1,Slot1_Age&gt;D25),1,0)</f>
        <v>0</v>
      </c>
      <c r="W25" s="1" t="n">
        <f aca="false">HF24</f>
        <v>0</v>
      </c>
      <c r="X25" s="1" t="n">
        <f aca="false">U25*MIN(Slot1_Cost,W25)</f>
        <v>0</v>
      </c>
      <c r="Y25" s="1" t="n">
        <f aca="false">U25*Slot1_SpendLike*MIN(Slot1_Cost-X25,S25)</f>
        <v>0</v>
      </c>
      <c r="Z25" s="1" t="n">
        <f aca="false">X25+Y25</f>
        <v>0</v>
      </c>
      <c r="AA25" s="1" t="n">
        <f aca="false">S25-Y25+U25*IF(Slot1_SpendLike=1,W25-X25,IF(Slot1_PotFree=1,W25,0))</f>
        <v>0</v>
      </c>
      <c r="AB25" s="1" t="n">
        <f aca="false">AE25+U25*Slot1_BufPot*W25</f>
        <v>0</v>
      </c>
      <c r="AC25" s="1" t="n">
        <f aca="false">IF(AND(U25=1,Slot1_IsMfree=1),IF(Z25&gt;=Slot1_Cost-1,0,MAX(0,K25-Z25)),K25)</f>
        <v>0</v>
      </c>
      <c r="AD25" s="1" t="n">
        <f aca="false">U25*(Slot1_Cost-Z25)</f>
        <v>0</v>
      </c>
      <c r="AE25" s="1" t="n">
        <f aca="false">HE24</f>
        <v>0</v>
      </c>
      <c r="AF25" s="1" t="n">
        <f aca="false">IF(AND(Slot2_On=1,D25=Slot2_Age),1,0)</f>
        <v>0</v>
      </c>
      <c r="AG25" s="1" t="n">
        <f aca="false">IF(AND(Slot2_On=1,Slot2_Age&gt;D25),1,0)</f>
        <v>0</v>
      </c>
      <c r="AH25" s="1" t="n">
        <f aca="false">HJ24</f>
        <v>0</v>
      </c>
      <c r="AI25" s="1" t="n">
        <f aca="false">AF25*MIN(Slot2_Cost,AH25)</f>
        <v>0</v>
      </c>
      <c r="AJ25" s="1" t="n">
        <f aca="false">AF25*Slot2_SpendLike*MIN(Slot2_Cost-AI25,AA25)</f>
        <v>0</v>
      </c>
      <c r="AK25" s="1" t="n">
        <f aca="false">AI25+AJ25</f>
        <v>0</v>
      </c>
      <c r="AL25" s="1" t="n">
        <f aca="false">AA25-AJ25+AF25*IF(Slot2_SpendLike=1,AH25-AI25,IF(Slot2_PotFree=1,AH25,0))</f>
        <v>0</v>
      </c>
      <c r="AM25" s="1" t="n">
        <f aca="false">AB25+AF25*Slot2_BufPot*AH25</f>
        <v>0</v>
      </c>
      <c r="AN25" s="1" t="n">
        <f aca="false">IF(AND(AF25=1,Slot2_IsMfree=1),IF(AK25&gt;=Slot2_Cost-1,0,MAX(0,AC25-AK25)),AC25)</f>
        <v>0</v>
      </c>
      <c r="AO25" s="1" t="n">
        <f aca="false">AF25*(Slot2_Cost-AK25)</f>
        <v>0</v>
      </c>
      <c r="AP25" s="1" t="n">
        <f aca="false">IF(AND(Slot3_On=1,D25=Slot3_Age),1,0)</f>
        <v>0</v>
      </c>
      <c r="AQ25" s="1" t="n">
        <f aca="false">IF(AND(Slot3_On=1,Slot3_Age&gt;D25),1,0)</f>
        <v>0</v>
      </c>
      <c r="AR25" s="1" t="n">
        <f aca="false">HN24</f>
        <v>0</v>
      </c>
      <c r="AS25" s="1" t="n">
        <f aca="false">AP25*MIN(Slot3_Cost,AR25)</f>
        <v>0</v>
      </c>
      <c r="AT25" s="1" t="n">
        <f aca="false">AP25*Slot3_SpendLike*MIN(Slot3_Cost-AS25,AL25)</f>
        <v>0</v>
      </c>
      <c r="AU25" s="1" t="n">
        <f aca="false">AS25+AT25</f>
        <v>0</v>
      </c>
      <c r="AV25" s="1" t="n">
        <f aca="false">AL25-AT25+AP25*IF(Slot3_SpendLike=1,AR25-AS25,IF(Slot3_PotFree=1,AR25,0))</f>
        <v>0</v>
      </c>
      <c r="AW25" s="1" t="n">
        <f aca="false">AM25+AP25*Slot3_BufPot*AR25</f>
        <v>0</v>
      </c>
      <c r="AX25" s="1" t="n">
        <f aca="false">IF(AND(AP25=1,Slot3_IsMfree=1),IF(AU25&gt;=Slot3_Cost-1,0,MAX(0,AN25-AU25)),AN25)</f>
        <v>0</v>
      </c>
      <c r="AY25" s="1" t="n">
        <f aca="false">AP25*(Slot3_Cost-AU25)</f>
        <v>0</v>
      </c>
      <c r="AZ25" s="1" t="n">
        <f aca="false">IF(AND(Slot4_On=1,D25=Slot4_Age),1,0)</f>
        <v>0</v>
      </c>
      <c r="BA25" s="1" t="n">
        <f aca="false">IF(AND(Slot4_On=1,Slot4_Age&gt;D25),1,0)</f>
        <v>0</v>
      </c>
      <c r="BB25" s="1" t="n">
        <f aca="false">HR24</f>
        <v>0</v>
      </c>
      <c r="BC25" s="1" t="n">
        <f aca="false">AZ25*MIN(Slot4_Cost,BB25)</f>
        <v>0</v>
      </c>
      <c r="BD25" s="1" t="n">
        <f aca="false">AZ25*Slot4_SpendLike*MIN(Slot4_Cost-BC25,AV25)</f>
        <v>0</v>
      </c>
      <c r="BE25" s="1" t="n">
        <f aca="false">BC25+BD25</f>
        <v>0</v>
      </c>
      <c r="BF25" s="1" t="n">
        <f aca="false">AV25-BD25+AZ25*IF(Slot4_SpendLike=1,BB25-BC25,IF(Slot4_PotFree=1,BB25,0))</f>
        <v>0</v>
      </c>
      <c r="BG25" s="1" t="n">
        <f aca="false">AW25+AZ25*Slot4_BufPot*BB25</f>
        <v>0</v>
      </c>
      <c r="BH25" s="1" t="n">
        <f aca="false">IF(AND(AZ25=1,Slot4_IsMfree=1),IF(BE25&gt;=Slot4_Cost-1,0,MAX(0,AX25-BE25)),AX25)</f>
        <v>0</v>
      </c>
      <c r="BI25" s="1" t="n">
        <f aca="false">AZ25*(Slot4_Cost-BE25)</f>
        <v>0</v>
      </c>
      <c r="BJ25" s="1" t="n">
        <f aca="false">IF(AND(Slot5_On=1,D25=Slot5_Age),1,0)</f>
        <v>0</v>
      </c>
      <c r="BK25" s="1" t="n">
        <f aca="false">IF(AND(Slot5_On=1,Slot5_Age&gt;D25),1,0)</f>
        <v>0</v>
      </c>
      <c r="BL25" s="1" t="n">
        <f aca="false">HV24</f>
        <v>0</v>
      </c>
      <c r="BM25" s="1" t="n">
        <f aca="false">BJ25*MIN(Slot5_Cost,BL25)</f>
        <v>0</v>
      </c>
      <c r="BN25" s="1" t="n">
        <f aca="false">BJ25*Slot5_SpendLike*MIN(Slot5_Cost-BM25,BF25)</f>
        <v>0</v>
      </c>
      <c r="BO25" s="1" t="n">
        <f aca="false">BM25+BN25</f>
        <v>0</v>
      </c>
      <c r="BP25" s="1" t="n">
        <f aca="false">BF25-BN25+BJ25*IF(Slot5_SpendLike=1,BL25-BM25,IF(Slot5_PotFree=1,BL25,0))</f>
        <v>0</v>
      </c>
      <c r="BQ25" s="1" t="n">
        <f aca="false">BG25+BJ25*Slot5_BufPot*BL25</f>
        <v>0</v>
      </c>
      <c r="BR25" s="1" t="n">
        <f aca="false">IF(AND(BJ25=1,Slot5_IsMfree=1),IF(BO25&gt;=Slot5_Cost-1,0,MAX(0,BH25-BO25)),BH25)</f>
        <v>0</v>
      </c>
      <c r="BS25" s="1" t="n">
        <f aca="false">BJ25*(Slot5_Cost-BO25)</f>
        <v>0</v>
      </c>
      <c r="BT25" s="1" t="n">
        <f aca="false">IF(AND(Slot6_On=1,D25=Slot6_Age),1,0)</f>
        <v>0</v>
      </c>
      <c r="BU25" s="1" t="n">
        <f aca="false">IF(AND(Slot6_On=1,Slot6_Age&gt;D25),1,0)</f>
        <v>0</v>
      </c>
      <c r="BV25" s="1" t="n">
        <f aca="false">HZ24</f>
        <v>0</v>
      </c>
      <c r="BW25" s="1" t="n">
        <f aca="false">BT25*MIN(Slot6_Cost,BV25)</f>
        <v>0</v>
      </c>
      <c r="BX25" s="1" t="n">
        <f aca="false">BT25*Slot6_SpendLike*MIN(Slot6_Cost-BW25,BP25)</f>
        <v>0</v>
      </c>
      <c r="BY25" s="1" t="n">
        <f aca="false">BW25+BX25</f>
        <v>0</v>
      </c>
      <c r="BZ25" s="1" t="n">
        <f aca="false">BP25-BX25+BT25*IF(Slot6_SpendLike=1,BV25-BW25,IF(Slot6_PotFree=1,BV25,0))</f>
        <v>0</v>
      </c>
      <c r="CA25" s="1" t="n">
        <f aca="false">BQ25+BT25*Slot6_BufPot*BV25</f>
        <v>0</v>
      </c>
      <c r="CB25" s="1" t="n">
        <f aca="false">IF(AND(BT25=1,Slot6_IsMfree=1),IF(BY25&gt;=Slot6_Cost-1,0,MAX(0,BR25-BY25)),BR25)</f>
        <v>0</v>
      </c>
      <c r="CC25" s="1" t="n">
        <f aca="false">BT25*(Slot6_Cost-BY25)</f>
        <v>0</v>
      </c>
      <c r="CD25" s="1" t="n">
        <f aca="false">IF(AND(Slot7_On=1,D25=Slot7_Age),1,0)</f>
        <v>0</v>
      </c>
      <c r="CE25" s="1" t="n">
        <f aca="false">IF(AND(Slot7_On=1,Slot7_Age&gt;D25),1,0)</f>
        <v>0</v>
      </c>
      <c r="CF25" s="1" t="n">
        <f aca="false">ID24</f>
        <v>0</v>
      </c>
      <c r="CG25" s="1" t="n">
        <f aca="false">CD25*MIN(Slot7_Cost,CF25)</f>
        <v>0</v>
      </c>
      <c r="CH25" s="1" t="n">
        <f aca="false">CD25*Slot7_SpendLike*MIN(Slot7_Cost-CG25,BZ25)</f>
        <v>0</v>
      </c>
      <c r="CI25" s="1" t="n">
        <f aca="false">CG25+CH25</f>
        <v>0</v>
      </c>
      <c r="CJ25" s="1" t="n">
        <f aca="false">BZ25-CH25+CD25*IF(Slot7_SpendLike=1,CF25-CG25,IF(Slot7_PotFree=1,CF25,0))</f>
        <v>0</v>
      </c>
      <c r="CK25" s="1" t="n">
        <f aca="false">CA25+CD25*Slot7_BufPot*CF25</f>
        <v>0</v>
      </c>
      <c r="CL25" s="1" t="n">
        <f aca="false">IF(AND(CD25=1,Slot7_IsMfree=1),IF(CI25&gt;=Slot7_Cost-1,0,MAX(0,CB25-CI25)),CB25)</f>
        <v>0</v>
      </c>
      <c r="CM25" s="1" t="n">
        <f aca="false">CD25*(Slot7_Cost-CI25)</f>
        <v>0</v>
      </c>
      <c r="CN25" s="1" t="n">
        <f aca="false">IF(AND(Slot8_On=1,D25=Slot8_Age),1,0)</f>
        <v>0</v>
      </c>
      <c r="CO25" s="1" t="n">
        <f aca="false">IF(AND(Slot8_On=1,Slot8_Age&gt;D25),1,0)</f>
        <v>0</v>
      </c>
      <c r="CP25" s="1" t="n">
        <f aca="false">IH24</f>
        <v>0</v>
      </c>
      <c r="CQ25" s="1" t="n">
        <f aca="false">CN25*MIN(Slot8_Cost,CP25)</f>
        <v>0</v>
      </c>
      <c r="CR25" s="1" t="n">
        <f aca="false">CN25*Slot8_SpendLike*MIN(Slot8_Cost-CQ25,CJ25)</f>
        <v>0</v>
      </c>
      <c r="CS25" s="1" t="n">
        <f aca="false">CQ25+CR25</f>
        <v>0</v>
      </c>
      <c r="CT25" s="1" t="n">
        <f aca="false">CJ25-CR25+CN25*IF(Slot8_SpendLike=1,CP25-CQ25,IF(Slot8_PotFree=1,CP25,0))</f>
        <v>0</v>
      </c>
      <c r="CU25" s="1" t="n">
        <f aca="false">CK25+CN25*Slot8_BufPot*CP25</f>
        <v>0</v>
      </c>
      <c r="CV25" s="1" t="n">
        <f aca="false">IF(AND(CN25=1,Slot8_IsMfree=1),IF(CS25&gt;=Slot8_Cost-1,0,MAX(0,CL25-CS25)),CL25)</f>
        <v>0</v>
      </c>
      <c r="CW25" s="1" t="n">
        <f aca="false">CN25*(Slot8_Cost-CS25)</f>
        <v>0</v>
      </c>
      <c r="CX25" s="1" t="n">
        <f aca="false">U25*Slot1_SpendLike*Z25+AF25*Slot2_SpendLike*AK25+AP25*Slot3_SpendLike*AU25+AZ25*Slot4_SpendLike*BE25+BJ25*Slot5_SpendLike*BO25+BT25*Slot6_SpendLike*BY25+CD25*Slot7_SpendLike*CI25+CN25*Slot8_SpendLike*CS25</f>
        <v>0</v>
      </c>
      <c r="CY25" s="1" t="n">
        <f aca="false">AD25+AO25+AY25+BI25+BS25+CC25+CM25+CW25</f>
        <v>0</v>
      </c>
      <c r="CZ25" s="1" t="n">
        <f aca="false">U25*Slot1_Cost+AF25*Slot2_Cost+AP25*Slot3_Cost+AZ25*Slot4_Cost+BJ25*Slot5_Cost+BT25*Slot6_Cost+CD25*Slot7_Cost+CN25*Slot8_Cost</f>
        <v>0</v>
      </c>
      <c r="DA25" s="1" t="n">
        <f aca="false">CV25</f>
        <v>0</v>
      </c>
      <c r="DB25" s="1" t="n">
        <f aca="false">G25-H25-R25</f>
        <v>0</v>
      </c>
      <c r="DC25" s="1" t="n">
        <f aca="false">IF(B25=0,IF(AND(Has_q6=1,In_q6=4),PR_ShareVaries*(MAX(0,DB25)/12),MIN(IF(Has_q6=1,CHOOSE(In_q6+1,PR_SaveB1,PR_SaveB2,PR_SaveB3,PR_SaveB4,0),AS_NoAnswer),AS_SaveShare*(MAX(0,DB25)/12))),DC24)</f>
        <v>0</v>
      </c>
      <c r="DD25" s="1" t="n">
        <f aca="false">IF(DB25&gt;=0,1,0)</f>
        <v>1</v>
      </c>
      <c r="DE25" s="1" t="n">
        <f aca="false">MAX(0,DB25/12/E25)</f>
        <v>0</v>
      </c>
      <c r="DF25" s="1" t="n">
        <f aca="false">IF(AND(Has_q6=1,In_q6=4),PR_ShareVaries*(DE25),MIN(IF(Has_q6=1,CHOOSE(In_q6+1,PR_SaveB1,PR_SaveB2,PR_SaveB3,PR_SaveB4,0),AS_NoAnswer),AS_SaveShare*(DE25)))</f>
        <v>0</v>
      </c>
      <c r="DG25" s="1" t="n">
        <f aca="false">IF(Has_saveM=1,IF(In_saveUp="Yes",1,IF(In_saveUp="No",0,IF(In_saveM&gt;=DC25-0.5,1,0))),0)</f>
        <v>0</v>
      </c>
      <c r="DH25" s="1" t="n">
        <f aca="false">IF(Has_saveM=1,MIN(DE25,IF(DG25=1,MAX(In_saveM,DF25),MIN(In_saveM,DF25))),DF25)</f>
        <v>0</v>
      </c>
      <c r="DI25" s="1" t="n">
        <f aca="false">IF(F25=1,DH25*12*E25,0)</f>
        <v>0</v>
      </c>
      <c r="DJ25" s="1" t="n">
        <f aca="false">MAX(0,DI25+IF(AND(WI_Retire=0,WI_M&lt;0,F25=1),WI_M*12*E25,0))</f>
        <v>0</v>
      </c>
      <c r="DK25" s="1" t="n">
        <f aca="false">Slot1_IsWG*V25+Slot2_IsWG*AG25+Slot3_IsWG*AQ25+Slot4_IsWG*BA25+Slot5_IsWG*BK25+Slot6_IsWG*BU25+Slot7_IsWG*CE25+Slot8_IsWG*CO25</f>
        <v>0</v>
      </c>
      <c r="DL25" s="1" t="n">
        <f aca="false">IF(AND(WI_Retire=0,WI_M&gt;0,F25=1,DK25&gt;=1),WI_M*12*E25,0)</f>
        <v>0</v>
      </c>
      <c r="DM25" s="1" t="n">
        <f aca="false">IF(DD25=1,MIN(DJ25,DB25),0)</f>
        <v>0</v>
      </c>
      <c r="DN25" s="1" t="n">
        <f aca="false">IF(DD25=1,MIN(DL25,DB25-DM25),0)</f>
        <v>0</v>
      </c>
      <c r="DO25" s="1" t="n">
        <f aca="false">IF(V25=1,IF(ABS((1+AS_Wage)/(1+Slot1_Rate)-1)&lt;0.000000000001,(Slot1_Age-D25)*(1+Slot1_Rate)^(Slot1_Age-D25),(1+Slot1_Rate)^(Slot1_Age-D25)*(1-((1+AS_Wage)/(1+Slot1_Rate))^(Slot1_Age-D25))/(1-(1+AS_Wage)/(1+Slot1_Rate))),1)</f>
        <v>1</v>
      </c>
      <c r="DP25" s="1" t="n">
        <f aca="false">IF(AND(DD25=1,DN25&gt;0,Slot1_IsWG=1,V25=1),MAX(0,(Slot1_Cost-W25*(1+Slot1_Rate)^(Slot1_Age-D25))/DO25),0)</f>
        <v>0</v>
      </c>
      <c r="DQ25" s="1" t="n">
        <f aca="false">IF(AND(DD25=1,DN25&gt;0,Slot1_IsWG=1,V25=1),MIN(DN25,DP25),0)</f>
        <v>0</v>
      </c>
      <c r="DR25" s="1" t="n">
        <f aca="false">W25+DQ25</f>
        <v>0</v>
      </c>
      <c r="DS25" s="1" t="n">
        <f aca="false">IF(V25=1,MAX(0,(Slot1_Cost-DR25*(1+Slot1_Rate)^(Slot1_Age-D25))/DO25),0)</f>
        <v>0</v>
      </c>
      <c r="DT25" s="1" t="n">
        <f aca="false">IF(V25=1,MAX(0,(Slot1_Cost-W25*(1+Slot1_Rate)^(Slot1_Age-D25))/DO25),0)</f>
        <v>0</v>
      </c>
      <c r="DU25" s="1" t="n">
        <f aca="false">IF(AND(DD25=1,V25=1),MIN(DM25,DS25),0)</f>
        <v>0</v>
      </c>
      <c r="DV25" s="1" t="n">
        <f aca="false">DM25-DU25</f>
        <v>0</v>
      </c>
      <c r="DW25" s="1" t="n">
        <f aca="false">IF(AG25=1,IF(ABS((1+AS_Wage)/(1+Slot2_Rate)-1)&lt;0.000000000001,(Slot2_Age-D25)*(1+Slot2_Rate)^(Slot2_Age-D25),(1+Slot2_Rate)^(Slot2_Age-D25)*(1-((1+AS_Wage)/(1+Slot2_Rate))^(Slot2_Age-D25))/(1-(1+AS_Wage)/(1+Slot2_Rate))),1)</f>
        <v>1</v>
      </c>
      <c r="DX25" s="1" t="n">
        <f aca="false">IF(AND(DD25=1,DN25&gt;0,Slot2_IsWG=1,AG25=1),MAX(0,(Slot2_Cost-AH25*(1+Slot2_Rate)^(Slot2_Age-D25))/DW25),0)</f>
        <v>0</v>
      </c>
      <c r="DY25" s="1" t="n">
        <f aca="false">IF(AND(DD25=1,DN25&gt;0,Slot2_IsWG=1,AG25=1),MIN(DN25,DX25),0)</f>
        <v>0</v>
      </c>
      <c r="DZ25" s="1" t="n">
        <f aca="false">AH25+DY25</f>
        <v>0</v>
      </c>
      <c r="EA25" s="1" t="n">
        <f aca="false">IF(AG25=1,MAX(0,(Slot2_Cost-DZ25*(1+Slot2_Rate)^(Slot2_Age-D25))/DW25),0)</f>
        <v>0</v>
      </c>
      <c r="EB25" s="1" t="n">
        <f aca="false">IF(AG25=1,MAX(0,(Slot2_Cost-AH25*(1+Slot2_Rate)^(Slot2_Age-D25))/DW25),0)</f>
        <v>0</v>
      </c>
      <c r="EC25" s="1" t="n">
        <f aca="false">IF(AND(DD25=1,AG25=1),MIN(DV25,EA25),0)</f>
        <v>0</v>
      </c>
      <c r="ED25" s="1" t="n">
        <f aca="false">DV25-EC25</f>
        <v>0</v>
      </c>
      <c r="EE25" s="1" t="n">
        <f aca="false">IF(AQ25=1,IF(ABS((1+AS_Wage)/(1+Slot3_Rate)-1)&lt;0.000000000001,(Slot3_Age-D25)*(1+Slot3_Rate)^(Slot3_Age-D25),(1+Slot3_Rate)^(Slot3_Age-D25)*(1-((1+AS_Wage)/(1+Slot3_Rate))^(Slot3_Age-D25))/(1-(1+AS_Wage)/(1+Slot3_Rate))),1)</f>
        <v>1</v>
      </c>
      <c r="EF25" s="1" t="n">
        <f aca="false">IF(AND(DD25=1,DN25&gt;0,Slot3_IsWG=1,AQ25=1),MAX(0,(Slot3_Cost-AR25*(1+Slot3_Rate)^(Slot3_Age-D25))/EE25),0)</f>
        <v>0</v>
      </c>
      <c r="EG25" s="1" t="n">
        <f aca="false">IF(AND(DD25=1,DN25&gt;0,Slot3_IsWG=1,AQ25=1),MIN(DN25,EF25),0)</f>
        <v>0</v>
      </c>
      <c r="EH25" s="1" t="n">
        <f aca="false">AR25+EG25</f>
        <v>0</v>
      </c>
      <c r="EI25" s="1" t="n">
        <f aca="false">IF(AQ25=1,MAX(0,(Slot3_Cost-EH25*(1+Slot3_Rate)^(Slot3_Age-D25))/EE25),0)</f>
        <v>0</v>
      </c>
      <c r="EJ25" s="1" t="n">
        <f aca="false">IF(AQ25=1,MAX(0,(Slot3_Cost-AR25*(1+Slot3_Rate)^(Slot3_Age-D25))/EE25),0)</f>
        <v>0</v>
      </c>
      <c r="EK25" s="1" t="n">
        <f aca="false">IF(AND(DD25=1,AQ25=1),MIN(ED25,EI25),0)</f>
        <v>0</v>
      </c>
      <c r="EL25" s="1" t="n">
        <f aca="false">ED25-EK25</f>
        <v>0</v>
      </c>
      <c r="EM25" s="1" t="n">
        <f aca="false">IF(BA25=1,IF(ABS((1+AS_Wage)/(1+Slot4_Rate)-1)&lt;0.000000000001,(Slot4_Age-D25)*(1+Slot4_Rate)^(Slot4_Age-D25),(1+Slot4_Rate)^(Slot4_Age-D25)*(1-((1+AS_Wage)/(1+Slot4_Rate))^(Slot4_Age-D25))/(1-(1+AS_Wage)/(1+Slot4_Rate))),1)</f>
        <v>1</v>
      </c>
      <c r="EN25" s="1" t="n">
        <f aca="false">IF(AND(DD25=1,DN25&gt;0,Slot4_IsWG=1,BA25=1),MAX(0,(Slot4_Cost-BB25*(1+Slot4_Rate)^(Slot4_Age-D25))/EM25),0)</f>
        <v>0</v>
      </c>
      <c r="EO25" s="1" t="n">
        <f aca="false">IF(AND(DD25=1,DN25&gt;0,Slot4_IsWG=1,BA25=1),MIN(DN25,EN25),0)</f>
        <v>0</v>
      </c>
      <c r="EP25" s="1" t="n">
        <f aca="false">BB25+EO25</f>
        <v>0</v>
      </c>
      <c r="EQ25" s="1" t="n">
        <f aca="false">IF(BA25=1,MAX(0,(Slot4_Cost-EP25*(1+Slot4_Rate)^(Slot4_Age-D25))/EM25),0)</f>
        <v>0</v>
      </c>
      <c r="ER25" s="1" t="n">
        <f aca="false">IF(BA25=1,MAX(0,(Slot4_Cost-BB25*(1+Slot4_Rate)^(Slot4_Age-D25))/EM25),0)</f>
        <v>0</v>
      </c>
      <c r="ES25" s="1" t="n">
        <f aca="false">IF(AND(DD25=1,BA25=1),MIN(EL25,EQ25),0)</f>
        <v>0</v>
      </c>
      <c r="ET25" s="1" t="n">
        <f aca="false">EL25-ES25</f>
        <v>0</v>
      </c>
      <c r="EU25" s="1" t="n">
        <f aca="false">IF(BK25=1,IF(ABS((1+AS_Wage)/(1+Slot5_Rate)-1)&lt;0.000000000001,(Slot5_Age-D25)*(1+Slot5_Rate)^(Slot5_Age-D25),(1+Slot5_Rate)^(Slot5_Age-D25)*(1-((1+AS_Wage)/(1+Slot5_Rate))^(Slot5_Age-D25))/(1-(1+AS_Wage)/(1+Slot5_Rate))),1)</f>
        <v>1</v>
      </c>
      <c r="EV25" s="1" t="n">
        <f aca="false">IF(AND(DD25=1,DN25&gt;0,Slot5_IsWG=1,BK25=1),MAX(0,(Slot5_Cost-BL25*(1+Slot5_Rate)^(Slot5_Age-D25))/EU25),0)</f>
        <v>0</v>
      </c>
      <c r="EW25" s="1" t="n">
        <f aca="false">IF(AND(DD25=1,DN25&gt;0,Slot5_IsWG=1,BK25=1),MIN(DN25,EV25),0)</f>
        <v>0</v>
      </c>
      <c r="EX25" s="1" t="n">
        <f aca="false">BL25+EW25</f>
        <v>0</v>
      </c>
      <c r="EY25" s="1" t="n">
        <f aca="false">IF(BK25=1,MAX(0,(Slot5_Cost-EX25*(1+Slot5_Rate)^(Slot5_Age-D25))/EU25),0)</f>
        <v>0</v>
      </c>
      <c r="EZ25" s="1" t="n">
        <f aca="false">IF(BK25=1,MAX(0,(Slot5_Cost-BL25*(1+Slot5_Rate)^(Slot5_Age-D25))/EU25),0)</f>
        <v>0</v>
      </c>
      <c r="FA25" s="1" t="n">
        <f aca="false">IF(AND(DD25=1,BK25=1),MIN(ET25,EY25),0)</f>
        <v>0</v>
      </c>
      <c r="FB25" s="1" t="n">
        <f aca="false">ET25-FA25</f>
        <v>0</v>
      </c>
      <c r="FC25" s="1" t="n">
        <f aca="false">IF(BU25=1,IF(ABS((1+AS_Wage)/(1+Slot6_Rate)-1)&lt;0.000000000001,(Slot6_Age-D25)*(1+Slot6_Rate)^(Slot6_Age-D25),(1+Slot6_Rate)^(Slot6_Age-D25)*(1-((1+AS_Wage)/(1+Slot6_Rate))^(Slot6_Age-D25))/(1-(1+AS_Wage)/(1+Slot6_Rate))),1)</f>
        <v>1</v>
      </c>
      <c r="FD25" s="1" t="n">
        <f aca="false">IF(AND(DD25=1,DN25&gt;0,Slot6_IsWG=1,BU25=1),MAX(0,(Slot6_Cost-BV25*(1+Slot6_Rate)^(Slot6_Age-D25))/FC25),0)</f>
        <v>0</v>
      </c>
      <c r="FE25" s="1" t="n">
        <f aca="false">IF(AND(DD25=1,DN25&gt;0,Slot6_IsWG=1,BU25=1),MIN(DN25,FD25),0)</f>
        <v>0</v>
      </c>
      <c r="FF25" s="1" t="n">
        <f aca="false">BV25+FE25</f>
        <v>0</v>
      </c>
      <c r="FG25" s="1" t="n">
        <f aca="false">IF(BU25=1,MAX(0,(Slot6_Cost-FF25*(1+Slot6_Rate)^(Slot6_Age-D25))/FC25),0)</f>
        <v>0</v>
      </c>
      <c r="FH25" s="1" t="n">
        <f aca="false">IF(BU25=1,MAX(0,(Slot6_Cost-BV25*(1+Slot6_Rate)^(Slot6_Age-D25))/FC25),0)</f>
        <v>0</v>
      </c>
      <c r="FI25" s="1" t="n">
        <f aca="false">IF(AND(DD25=1,BU25=1),MIN(FB25,FG25),0)</f>
        <v>0</v>
      </c>
      <c r="FJ25" s="1" t="n">
        <f aca="false">FB25-FI25</f>
        <v>0</v>
      </c>
      <c r="FK25" s="1" t="n">
        <f aca="false">IF(CE25=1,IF(ABS((1+AS_Wage)/(1+Slot7_Rate)-1)&lt;0.000000000001,(Slot7_Age-D25)*(1+Slot7_Rate)^(Slot7_Age-D25),(1+Slot7_Rate)^(Slot7_Age-D25)*(1-((1+AS_Wage)/(1+Slot7_Rate))^(Slot7_Age-D25))/(1-(1+AS_Wage)/(1+Slot7_Rate))),1)</f>
        <v>1</v>
      </c>
      <c r="FL25" s="1" t="n">
        <f aca="false">IF(AND(DD25=1,DN25&gt;0,Slot7_IsWG=1,CE25=1),MAX(0,(Slot7_Cost-CF25*(1+Slot7_Rate)^(Slot7_Age-D25))/FK25),0)</f>
        <v>0</v>
      </c>
      <c r="FM25" s="1" t="n">
        <f aca="false">IF(AND(DD25=1,DN25&gt;0,Slot7_IsWG=1,CE25=1),MIN(DN25,FL25),0)</f>
        <v>0</v>
      </c>
      <c r="FN25" s="1" t="n">
        <f aca="false">CF25+FM25</f>
        <v>0</v>
      </c>
      <c r="FO25" s="1" t="n">
        <f aca="false">IF(CE25=1,MAX(0,(Slot7_Cost-FN25*(1+Slot7_Rate)^(Slot7_Age-D25))/FK25),0)</f>
        <v>0</v>
      </c>
      <c r="FP25" s="1" t="n">
        <f aca="false">IF(CE25=1,MAX(0,(Slot7_Cost-CF25*(1+Slot7_Rate)^(Slot7_Age-D25))/FK25),0)</f>
        <v>0</v>
      </c>
      <c r="FQ25" s="1" t="n">
        <f aca="false">IF(AND(DD25=1,CE25=1),MIN(FJ25,FO25),0)</f>
        <v>0</v>
      </c>
      <c r="FR25" s="1" t="n">
        <f aca="false">FJ25-FQ25</f>
        <v>0</v>
      </c>
      <c r="FS25" s="1" t="n">
        <f aca="false">IF(CO25=1,IF(ABS((1+AS_Wage)/(1+Slot8_Rate)-1)&lt;0.000000000001,(Slot8_Age-D25)*(1+Slot8_Rate)^(Slot8_Age-D25),(1+Slot8_Rate)^(Slot8_Age-D25)*(1-((1+AS_Wage)/(1+Slot8_Rate))^(Slot8_Age-D25))/(1-(1+AS_Wage)/(1+Slot8_Rate))),1)</f>
        <v>1</v>
      </c>
      <c r="FT25" s="1" t="n">
        <f aca="false">IF(AND(DD25=1,DN25&gt;0,Slot8_IsWG=1,CO25=1),MAX(0,(Slot8_Cost-CP25*(1+Slot8_Rate)^(Slot8_Age-D25))/FS25),0)</f>
        <v>0</v>
      </c>
      <c r="FU25" s="1" t="n">
        <f aca="false">IF(AND(DD25=1,DN25&gt;0,Slot8_IsWG=1,CO25=1),MIN(DN25,FT25),0)</f>
        <v>0</v>
      </c>
      <c r="FV25" s="1" t="n">
        <f aca="false">CP25+FU25</f>
        <v>0</v>
      </c>
      <c r="FW25" s="1" t="n">
        <f aca="false">IF(CO25=1,MAX(0,(Slot8_Cost-FV25*(1+Slot8_Rate)^(Slot8_Age-D25))/FS25),0)</f>
        <v>0</v>
      </c>
      <c r="FX25" s="1" t="n">
        <f aca="false">IF(CO25=1,MAX(0,(Slot8_Cost-CP25*(1+Slot8_Rate)^(Slot8_Age-D25))/FS25),0)</f>
        <v>0</v>
      </c>
      <c r="FY25" s="1" t="n">
        <f aca="false">IF(AND(DD25=1,CO25=1),MIN(FR25,FW25),0)</f>
        <v>0</v>
      </c>
      <c r="FZ25" s="1" t="n">
        <f aca="false">FR25-FY25</f>
        <v>0</v>
      </c>
      <c r="GA25" s="1" t="n">
        <f aca="false">DN25-(DQ25+DY25+EG25+EO25+EW25+FE25+FM25+FU25)</f>
        <v>0</v>
      </c>
      <c r="GB25" s="1" t="n">
        <f aca="false">IF(DD25=1,DB25-DM25-DN25,0)</f>
        <v>0</v>
      </c>
      <c r="GC25" s="1" t="n">
        <f aca="false">IF(DD25=0,-DB25,0)</f>
        <v>0</v>
      </c>
      <c r="GD25" s="1" t="n">
        <f aca="false">MIN(GC25,CT25)</f>
        <v>0</v>
      </c>
      <c r="GE25" s="1" t="n">
        <f aca="false">GC25-GD25</f>
        <v>0</v>
      </c>
      <c r="GF25" s="1" t="n">
        <f aca="false">MIN(GE25,CU25)</f>
        <v>0</v>
      </c>
      <c r="GG25" s="1" t="n">
        <f aca="false">GE25-GF25</f>
        <v>0</v>
      </c>
      <c r="GH25" s="1" t="n">
        <f aca="false">IF(AND(DD25=0,CO25=1,GG25&gt;0),MIN(GG25,CP25),0)</f>
        <v>0</v>
      </c>
      <c r="GI25" s="1" t="n">
        <f aca="false">GG25-GH25</f>
        <v>0</v>
      </c>
      <c r="GJ25" s="1" t="n">
        <f aca="false">IF(AND(DD25=0,CE25=1,GI25&gt;0),MIN(GI25,CF25),0)</f>
        <v>0</v>
      </c>
      <c r="GK25" s="1" t="n">
        <f aca="false">GI25-GJ25</f>
        <v>0</v>
      </c>
      <c r="GL25" s="1" t="n">
        <f aca="false">IF(AND(DD25=0,BU25=1,GK25&gt;0),MIN(GK25,BV25),0)</f>
        <v>0</v>
      </c>
      <c r="GM25" s="1" t="n">
        <f aca="false">GK25-GL25</f>
        <v>0</v>
      </c>
      <c r="GN25" s="1" t="n">
        <f aca="false">IF(AND(DD25=0,BK25=1,GM25&gt;0),MIN(GM25,BL25),0)</f>
        <v>0</v>
      </c>
      <c r="GO25" s="1" t="n">
        <f aca="false">GM25-GN25</f>
        <v>0</v>
      </c>
      <c r="GP25" s="1" t="n">
        <f aca="false">IF(AND(DD25=0,BA25=1,GO25&gt;0),MIN(GO25,BB25),0)</f>
        <v>0</v>
      </c>
      <c r="GQ25" s="1" t="n">
        <f aca="false">GO25-GP25</f>
        <v>0</v>
      </c>
      <c r="GR25" s="1" t="n">
        <f aca="false">IF(AND(DD25=0,AQ25=1,GQ25&gt;0),MIN(GQ25,AR25),0)</f>
        <v>0</v>
      </c>
      <c r="GS25" s="1" t="n">
        <f aca="false">GQ25-GR25</f>
        <v>0</v>
      </c>
      <c r="GT25" s="1" t="n">
        <f aca="false">IF(AND(DD25=0,AG25=1,GS25&gt;0),MIN(GS25,AH25),0)</f>
        <v>0</v>
      </c>
      <c r="GU25" s="1" t="n">
        <f aca="false">GS25-GT25</f>
        <v>0</v>
      </c>
      <c r="GV25" s="1" t="n">
        <f aca="false">IF(AND(DD25=0,V25=1,GU25&gt;0),MIN(GU25,W25),0)</f>
        <v>0</v>
      </c>
      <c r="GW25" s="1" t="n">
        <f aca="false">GU25-GV25</f>
        <v>0</v>
      </c>
      <c r="GX25" s="1" t="n">
        <f aca="false">IF(DD25=0,GW25,0)</f>
        <v>0</v>
      </c>
      <c r="GY25" s="1" t="n">
        <f aca="false">GD25+GF25+GV25+GT25+GR25+GP25+GN25+GL25+GJ25+GH25</f>
        <v>0</v>
      </c>
      <c r="GZ25" s="1" t="n">
        <f aca="false">IF(DD25=1,CT25+GA25+FZ25+IF(F25=1,0,GB25),CT25-GD25)</f>
        <v>0</v>
      </c>
      <c r="HA25" s="1" t="n">
        <f aca="false">CU25-GF25</f>
        <v>0</v>
      </c>
      <c r="HB25" s="1" t="n">
        <f aca="false">IF(DD25=1,IF(F25=1,DM25+DN25,DB25),0)</f>
        <v>0</v>
      </c>
      <c r="HC25" s="1" t="n">
        <f aca="false">IF(DD25=1,IF(F25=1,DB25-DM25-DN25,0),0)</f>
        <v>0</v>
      </c>
      <c r="HD25" s="1" t="n">
        <f aca="false">GZ25*(1+GR)</f>
        <v>0</v>
      </c>
      <c r="HE25" s="1" t="n">
        <f aca="false">HA25*(1+AS_Cash)</f>
        <v>0</v>
      </c>
      <c r="HF25" s="1" t="n">
        <f aca="false">IF(V25=1,IF(DD25=1,DR25+DU25,W25-GV25)*(1+Slot1_Rate),0)</f>
        <v>0</v>
      </c>
      <c r="HG25" s="1" t="n">
        <f aca="false">IF(AND(DD25=1,V25=1),(DQ25+DU25)/E25,0)</f>
        <v>0</v>
      </c>
      <c r="HH25" s="1" t="n">
        <f aca="false">IF(B25=0,DQ25+DU25,0)</f>
        <v>0</v>
      </c>
      <c r="HI25" s="1" t="n">
        <f aca="false">IF(B25=0,IF(DD25=1,DS25,DT25),0)</f>
        <v>0</v>
      </c>
      <c r="HJ25" s="1" t="n">
        <f aca="false">IF(AG25=1,IF(DD25=1,DZ25+EC25,AH25-GT25)*(1+Slot2_Rate),0)</f>
        <v>0</v>
      </c>
      <c r="HK25" s="1" t="n">
        <f aca="false">IF(AND(DD25=1,AG25=1),(DY25+EC25)/E25,0)</f>
        <v>0</v>
      </c>
      <c r="HL25" s="1" t="n">
        <f aca="false">IF(B25=0,DY25+EC25,0)</f>
        <v>0</v>
      </c>
      <c r="HM25" s="1" t="n">
        <f aca="false">IF(B25=0,IF(DD25=1,EA25,EB25),0)</f>
        <v>0</v>
      </c>
      <c r="HN25" s="1" t="n">
        <f aca="false">IF(AQ25=1,IF(DD25=1,EH25+EK25,AR25-GR25)*(1+Slot3_Rate),0)</f>
        <v>0</v>
      </c>
      <c r="HO25" s="1" t="n">
        <f aca="false">IF(AND(DD25=1,AQ25=1),(EG25+EK25)/E25,0)</f>
        <v>0</v>
      </c>
      <c r="HP25" s="1" t="n">
        <f aca="false">IF(B25=0,EG25+EK25,0)</f>
        <v>0</v>
      </c>
      <c r="HQ25" s="1" t="n">
        <f aca="false">IF(B25=0,IF(DD25=1,EI25,EJ25),0)</f>
        <v>0</v>
      </c>
      <c r="HR25" s="1" t="n">
        <f aca="false">IF(BA25=1,IF(DD25=1,EP25+ES25,BB25-GP25)*(1+Slot4_Rate),0)</f>
        <v>0</v>
      </c>
      <c r="HS25" s="1" t="n">
        <f aca="false">IF(AND(DD25=1,BA25=1),(EO25+ES25)/E25,0)</f>
        <v>0</v>
      </c>
      <c r="HT25" s="1" t="n">
        <f aca="false">IF(B25=0,EO25+ES25,0)</f>
        <v>0</v>
      </c>
      <c r="HU25" s="1" t="n">
        <f aca="false">IF(B25=0,IF(DD25=1,EQ25,ER25),0)</f>
        <v>0</v>
      </c>
      <c r="HV25" s="1" t="n">
        <f aca="false">IF(BK25=1,IF(DD25=1,EX25+FA25,BL25-GN25)*(1+Slot5_Rate),0)</f>
        <v>0</v>
      </c>
      <c r="HW25" s="1" t="n">
        <f aca="false">IF(AND(DD25=1,BK25=1),(EW25+FA25)/E25,0)</f>
        <v>0</v>
      </c>
      <c r="HX25" s="1" t="n">
        <f aca="false">IF(B25=0,EW25+FA25,0)</f>
        <v>0</v>
      </c>
      <c r="HY25" s="1" t="n">
        <f aca="false">IF(B25=0,IF(DD25=1,EY25,EZ25),0)</f>
        <v>0</v>
      </c>
      <c r="HZ25" s="1" t="n">
        <f aca="false">IF(BU25=1,IF(DD25=1,FF25+FI25,BV25-GL25)*(1+Slot6_Rate),0)</f>
        <v>0</v>
      </c>
      <c r="IA25" s="1" t="n">
        <f aca="false">IF(AND(DD25=1,BU25=1),(FE25+FI25)/E25,0)</f>
        <v>0</v>
      </c>
      <c r="IB25" s="1" t="n">
        <f aca="false">IF(B25=0,FE25+FI25,0)</f>
        <v>0</v>
      </c>
      <c r="IC25" s="1" t="n">
        <f aca="false">IF(B25=0,IF(DD25=1,FG25,FH25),0)</f>
        <v>0</v>
      </c>
      <c r="ID25" s="1" t="n">
        <f aca="false">IF(CE25=1,IF(DD25=1,FN25+FQ25,CF25-GJ25)*(1+Slot7_Rate),0)</f>
        <v>0</v>
      </c>
      <c r="IE25" s="1" t="n">
        <f aca="false">IF(AND(DD25=1,CE25=1),(FM25+FQ25)/E25,0)</f>
        <v>0</v>
      </c>
      <c r="IF25" s="1" t="n">
        <f aca="false">IF(B25=0,FM25+FQ25,0)</f>
        <v>0</v>
      </c>
      <c r="IG25" s="1" t="n">
        <f aca="false">IF(B25=0,IF(DD25=1,FO25,FP25),0)</f>
        <v>0</v>
      </c>
      <c r="IH25" s="1" t="n">
        <f aca="false">IF(CO25=1,IF(DD25=1,FV25+FY25,CP25-GH25)*(1+Slot8_Rate),0)</f>
        <v>0</v>
      </c>
      <c r="II25" s="1" t="n">
        <f aca="false">IF(AND(DD25=1,CO25=1),(FU25+FY25)/E25,0)</f>
        <v>0</v>
      </c>
      <c r="IJ25" s="1" t="n">
        <f aca="false">IF(B25=0,FU25+FY25,0)</f>
        <v>0</v>
      </c>
      <c r="IK25" s="1" t="n">
        <f aca="false">IF(B25=0,IF(DD25=1,FW25,FX25),0)</f>
        <v>0</v>
      </c>
      <c r="IL25" s="1" t="n">
        <f aca="false">HD25+HE25+HF25+HJ25+HN25+HR25+HV25+HZ25+ID25+IH25</f>
        <v>0</v>
      </c>
      <c r="IM25" s="1" t="n">
        <f aca="false">GX25+CY25</f>
        <v>0</v>
      </c>
      <c r="IN25" s="1" t="n">
        <f aca="false">H25+R25</f>
        <v>0</v>
      </c>
      <c r="IO25" s="1" t="n">
        <f aca="false">1-F25</f>
        <v>1</v>
      </c>
      <c r="IP25" s="1" t="n">
        <f aca="false">IF(AND(RG_Exists=1,F25=0,C25=1),H25,0)</f>
        <v>0</v>
      </c>
      <c r="IQ25" s="1" t="n">
        <f aca="false">IF(AND(RG_Exists=1,F25=0,C25=1),H25-MIN(GX25,H25),0)</f>
        <v>0</v>
      </c>
      <c r="IR25" s="1" t="n">
        <f aca="false">'Plan pay &amp; tax'!AD227</f>
        <v>0</v>
      </c>
      <c r="IS25" s="1" t="n">
        <f aca="false">IF(AND(C25=1,GX25&gt;MAX(PR_Short1,IN25*PR_Short2)),1,0)</f>
        <v>0</v>
      </c>
      <c r="IT25" s="1" t="n">
        <f aca="false">MIN(G25,H25+R25)</f>
        <v>0</v>
      </c>
      <c r="IU25" s="1" t="n">
        <f aca="false">GY25+MAX(0,CZ25-CY25)</f>
        <v>0</v>
      </c>
      <c r="IV25" s="1" t="n">
        <f aca="false">GX25+CY25</f>
        <v>0</v>
      </c>
      <c r="IW25" s="1" t="n">
        <f aca="false">IF(AND(C25=1,IV25&gt;0.5),1,0)</f>
        <v>0</v>
      </c>
      <c r="IX25" s="1" t="n">
        <f aca="false">IF(AND(C25=1,IW25=0,IU25&gt;0.5),1,0)</f>
        <v>0</v>
      </c>
      <c r="IY25" s="1" t="n">
        <f aca="false">IF(AND(C25=1,GX25&gt;0.5),1,0)</f>
        <v>0</v>
      </c>
      <c r="IZ25" s="1" t="n">
        <f aca="false">IF(AND(C25=1,GY25&gt;1,JF25=0),1,0)</f>
        <v>0</v>
      </c>
      <c r="JA25" s="1" t="n">
        <f aca="false">IF(AND(INT(D25/10)*10=90,B25&gt;0),80,INT(D25/10)*10)</f>
        <v>10</v>
      </c>
      <c r="JB25" s="1" t="n">
        <f aca="false">IF(B25=0,1,IF(JA25&lt;&gt;JA24,JB24+1,JB24))</f>
        <v>2</v>
      </c>
      <c r="JC25" s="1" t="n">
        <f aca="false">IF(AND(C25=1,F25=1,GX25&gt;MAX(PR_Short1,IN25*PR_Short2)),1,0)</f>
        <v>0</v>
      </c>
      <c r="JD25" s="1" t="n">
        <f aca="false">IO25*IS25</f>
        <v>0</v>
      </c>
      <c r="JE25" s="1" t="n">
        <f aca="false">IF(AND(U25=1,Slot1_PctLow=1),1,0)+IF(AND(AF25=1,Slot2_PctLow=1),1,0)+IF(AND(AP25=1,Slot3_PctLow=1),1,0)+IF(AND(AZ25=1,Slot4_PctLow=1),1,0)+IF(AND(BJ25=1,Slot5_PctLow=1),1,0)+IF(AND(BT25=1,Slot6_PctLow=1),1,0)+IF(AND(CD25=1,Slot7_PctLow=1),1,0)+IF(AND(CN25=1,Slot8_PctLow=1),1,0)</f>
        <v>0</v>
      </c>
      <c r="JF25" s="1" t="n">
        <f aca="false">IF(C25=1,IF(OR(IS25=1,JE25&gt;0),1,0),0)</f>
        <v>0</v>
      </c>
    </row>
    <row r="26" customFormat="false" ht="15" hidden="false" customHeight="false" outlineLevel="0" collapsed="false">
      <c r="B26" s="1" t="n">
        <v>18</v>
      </c>
      <c r="C26" s="1" t="n">
        <f aca="false">IF(B26&lt;=F_N,1,0)</f>
        <v>1</v>
      </c>
      <c r="D26" s="1" t="n">
        <f aca="false">'Plan pay &amp; tax'!C228</f>
        <v>18</v>
      </c>
      <c r="E26" s="106" t="n">
        <f aca="false">'Plan pay &amp; tax'!E228</f>
        <v>1.42824624757627</v>
      </c>
      <c r="F26" s="1" t="n">
        <f aca="false">'Plan pay &amp; tax'!G228</f>
        <v>0</v>
      </c>
      <c r="G26" s="1" t="n">
        <f aca="false">'Plan pay &amp; tax'!BT228-'Plan pay &amp; tax'!BS228-'Plan pay &amp; tax'!R228</f>
        <v>0</v>
      </c>
      <c r="H26" s="1" t="n">
        <f aca="false">IF(F26=1,F_CostsM*12,IF(RG_Exists=1,RG_Amount,F_CostsM*12*AS_RetireSpend))*E26+F_OneOffY*E26</f>
        <v>0</v>
      </c>
      <c r="I26" s="1" t="n">
        <f aca="false">DA25</f>
        <v>0</v>
      </c>
      <c r="J26" s="1" t="n">
        <f aca="false">IF(I26&gt;1,'Plan debt months'!AC26,0)</f>
        <v>0</v>
      </c>
      <c r="K26" s="1" t="n">
        <f aca="false">IF(I26&gt;1,'Plan debt months'!AB26,I26)</f>
        <v>0</v>
      </c>
      <c r="L26" s="1" t="n">
        <f aca="false">N25</f>
        <v>0</v>
      </c>
      <c r="M26" s="1" t="n">
        <f aca="false">IF(L26&gt;1,'Plan debt months'!BD26,0)</f>
        <v>0</v>
      </c>
      <c r="N26" s="1" t="n">
        <f aca="false">IF(L26&gt;1,'Plan debt months'!BC26,L26)</f>
        <v>0</v>
      </c>
      <c r="O26" s="1" t="n">
        <f aca="false">Q25</f>
        <v>0</v>
      </c>
      <c r="P26" s="1" t="n">
        <f aca="false">IF(O26&gt;1,'Plan debt months'!CE26,0)</f>
        <v>0</v>
      </c>
      <c r="Q26" s="1" t="n">
        <f aca="false">IF(O26&gt;1,'Plan debt months'!CD26,O26)</f>
        <v>0</v>
      </c>
      <c r="R26" s="1" t="n">
        <f aca="false">J26+M26+P26</f>
        <v>0</v>
      </c>
      <c r="S26" s="1" t="n">
        <f aca="false">HD25+'Plan pay &amp; tax'!Y228</f>
        <v>0</v>
      </c>
      <c r="T26" s="1" t="n">
        <f aca="false">HD25</f>
        <v>0</v>
      </c>
      <c r="U26" s="1" t="n">
        <f aca="false">IF(AND(Slot1_On=1,D26=Slot1_Age),1,0)</f>
        <v>0</v>
      </c>
      <c r="V26" s="1" t="n">
        <f aca="false">IF(AND(Slot1_On=1,Slot1_Age&gt;D26),1,0)</f>
        <v>0</v>
      </c>
      <c r="W26" s="1" t="n">
        <f aca="false">HF25</f>
        <v>0</v>
      </c>
      <c r="X26" s="1" t="n">
        <f aca="false">U26*MIN(Slot1_Cost,W26)</f>
        <v>0</v>
      </c>
      <c r="Y26" s="1" t="n">
        <f aca="false">U26*Slot1_SpendLike*MIN(Slot1_Cost-X26,S26)</f>
        <v>0</v>
      </c>
      <c r="Z26" s="1" t="n">
        <f aca="false">X26+Y26</f>
        <v>0</v>
      </c>
      <c r="AA26" s="1" t="n">
        <f aca="false">S26-Y26+U26*IF(Slot1_SpendLike=1,W26-X26,IF(Slot1_PotFree=1,W26,0))</f>
        <v>0</v>
      </c>
      <c r="AB26" s="1" t="n">
        <f aca="false">AE26+U26*Slot1_BufPot*W26</f>
        <v>0</v>
      </c>
      <c r="AC26" s="1" t="n">
        <f aca="false">IF(AND(U26=1,Slot1_IsMfree=1),IF(Z26&gt;=Slot1_Cost-1,0,MAX(0,K26-Z26)),K26)</f>
        <v>0</v>
      </c>
      <c r="AD26" s="1" t="n">
        <f aca="false">U26*(Slot1_Cost-Z26)</f>
        <v>0</v>
      </c>
      <c r="AE26" s="1" t="n">
        <f aca="false">HE25</f>
        <v>0</v>
      </c>
      <c r="AF26" s="1" t="n">
        <f aca="false">IF(AND(Slot2_On=1,D26=Slot2_Age),1,0)</f>
        <v>0</v>
      </c>
      <c r="AG26" s="1" t="n">
        <f aca="false">IF(AND(Slot2_On=1,Slot2_Age&gt;D26),1,0)</f>
        <v>0</v>
      </c>
      <c r="AH26" s="1" t="n">
        <f aca="false">HJ25</f>
        <v>0</v>
      </c>
      <c r="AI26" s="1" t="n">
        <f aca="false">AF26*MIN(Slot2_Cost,AH26)</f>
        <v>0</v>
      </c>
      <c r="AJ26" s="1" t="n">
        <f aca="false">AF26*Slot2_SpendLike*MIN(Slot2_Cost-AI26,AA26)</f>
        <v>0</v>
      </c>
      <c r="AK26" s="1" t="n">
        <f aca="false">AI26+AJ26</f>
        <v>0</v>
      </c>
      <c r="AL26" s="1" t="n">
        <f aca="false">AA26-AJ26+AF26*IF(Slot2_SpendLike=1,AH26-AI26,IF(Slot2_PotFree=1,AH26,0))</f>
        <v>0</v>
      </c>
      <c r="AM26" s="1" t="n">
        <f aca="false">AB26+AF26*Slot2_BufPot*AH26</f>
        <v>0</v>
      </c>
      <c r="AN26" s="1" t="n">
        <f aca="false">IF(AND(AF26=1,Slot2_IsMfree=1),IF(AK26&gt;=Slot2_Cost-1,0,MAX(0,AC26-AK26)),AC26)</f>
        <v>0</v>
      </c>
      <c r="AO26" s="1" t="n">
        <f aca="false">AF26*(Slot2_Cost-AK26)</f>
        <v>0</v>
      </c>
      <c r="AP26" s="1" t="n">
        <f aca="false">IF(AND(Slot3_On=1,D26=Slot3_Age),1,0)</f>
        <v>0</v>
      </c>
      <c r="AQ26" s="1" t="n">
        <f aca="false">IF(AND(Slot3_On=1,Slot3_Age&gt;D26),1,0)</f>
        <v>0</v>
      </c>
      <c r="AR26" s="1" t="n">
        <f aca="false">HN25</f>
        <v>0</v>
      </c>
      <c r="AS26" s="1" t="n">
        <f aca="false">AP26*MIN(Slot3_Cost,AR26)</f>
        <v>0</v>
      </c>
      <c r="AT26" s="1" t="n">
        <f aca="false">AP26*Slot3_SpendLike*MIN(Slot3_Cost-AS26,AL26)</f>
        <v>0</v>
      </c>
      <c r="AU26" s="1" t="n">
        <f aca="false">AS26+AT26</f>
        <v>0</v>
      </c>
      <c r="AV26" s="1" t="n">
        <f aca="false">AL26-AT26+AP26*IF(Slot3_SpendLike=1,AR26-AS26,IF(Slot3_PotFree=1,AR26,0))</f>
        <v>0</v>
      </c>
      <c r="AW26" s="1" t="n">
        <f aca="false">AM26+AP26*Slot3_BufPot*AR26</f>
        <v>0</v>
      </c>
      <c r="AX26" s="1" t="n">
        <f aca="false">IF(AND(AP26=1,Slot3_IsMfree=1),IF(AU26&gt;=Slot3_Cost-1,0,MAX(0,AN26-AU26)),AN26)</f>
        <v>0</v>
      </c>
      <c r="AY26" s="1" t="n">
        <f aca="false">AP26*(Slot3_Cost-AU26)</f>
        <v>0</v>
      </c>
      <c r="AZ26" s="1" t="n">
        <f aca="false">IF(AND(Slot4_On=1,D26=Slot4_Age),1,0)</f>
        <v>0</v>
      </c>
      <c r="BA26" s="1" t="n">
        <f aca="false">IF(AND(Slot4_On=1,Slot4_Age&gt;D26),1,0)</f>
        <v>0</v>
      </c>
      <c r="BB26" s="1" t="n">
        <f aca="false">HR25</f>
        <v>0</v>
      </c>
      <c r="BC26" s="1" t="n">
        <f aca="false">AZ26*MIN(Slot4_Cost,BB26)</f>
        <v>0</v>
      </c>
      <c r="BD26" s="1" t="n">
        <f aca="false">AZ26*Slot4_SpendLike*MIN(Slot4_Cost-BC26,AV26)</f>
        <v>0</v>
      </c>
      <c r="BE26" s="1" t="n">
        <f aca="false">BC26+BD26</f>
        <v>0</v>
      </c>
      <c r="BF26" s="1" t="n">
        <f aca="false">AV26-BD26+AZ26*IF(Slot4_SpendLike=1,BB26-BC26,IF(Slot4_PotFree=1,BB26,0))</f>
        <v>0</v>
      </c>
      <c r="BG26" s="1" t="n">
        <f aca="false">AW26+AZ26*Slot4_BufPot*BB26</f>
        <v>0</v>
      </c>
      <c r="BH26" s="1" t="n">
        <f aca="false">IF(AND(AZ26=1,Slot4_IsMfree=1),IF(BE26&gt;=Slot4_Cost-1,0,MAX(0,AX26-BE26)),AX26)</f>
        <v>0</v>
      </c>
      <c r="BI26" s="1" t="n">
        <f aca="false">AZ26*(Slot4_Cost-BE26)</f>
        <v>0</v>
      </c>
      <c r="BJ26" s="1" t="n">
        <f aca="false">IF(AND(Slot5_On=1,D26=Slot5_Age),1,0)</f>
        <v>0</v>
      </c>
      <c r="BK26" s="1" t="n">
        <f aca="false">IF(AND(Slot5_On=1,Slot5_Age&gt;D26),1,0)</f>
        <v>0</v>
      </c>
      <c r="BL26" s="1" t="n">
        <f aca="false">HV25</f>
        <v>0</v>
      </c>
      <c r="BM26" s="1" t="n">
        <f aca="false">BJ26*MIN(Slot5_Cost,BL26)</f>
        <v>0</v>
      </c>
      <c r="BN26" s="1" t="n">
        <f aca="false">BJ26*Slot5_SpendLike*MIN(Slot5_Cost-BM26,BF26)</f>
        <v>0</v>
      </c>
      <c r="BO26" s="1" t="n">
        <f aca="false">BM26+BN26</f>
        <v>0</v>
      </c>
      <c r="BP26" s="1" t="n">
        <f aca="false">BF26-BN26+BJ26*IF(Slot5_SpendLike=1,BL26-BM26,IF(Slot5_PotFree=1,BL26,0))</f>
        <v>0</v>
      </c>
      <c r="BQ26" s="1" t="n">
        <f aca="false">BG26+BJ26*Slot5_BufPot*BL26</f>
        <v>0</v>
      </c>
      <c r="BR26" s="1" t="n">
        <f aca="false">IF(AND(BJ26=1,Slot5_IsMfree=1),IF(BO26&gt;=Slot5_Cost-1,0,MAX(0,BH26-BO26)),BH26)</f>
        <v>0</v>
      </c>
      <c r="BS26" s="1" t="n">
        <f aca="false">BJ26*(Slot5_Cost-BO26)</f>
        <v>0</v>
      </c>
      <c r="BT26" s="1" t="n">
        <f aca="false">IF(AND(Slot6_On=1,D26=Slot6_Age),1,0)</f>
        <v>0</v>
      </c>
      <c r="BU26" s="1" t="n">
        <f aca="false">IF(AND(Slot6_On=1,Slot6_Age&gt;D26),1,0)</f>
        <v>0</v>
      </c>
      <c r="BV26" s="1" t="n">
        <f aca="false">HZ25</f>
        <v>0</v>
      </c>
      <c r="BW26" s="1" t="n">
        <f aca="false">BT26*MIN(Slot6_Cost,BV26)</f>
        <v>0</v>
      </c>
      <c r="BX26" s="1" t="n">
        <f aca="false">BT26*Slot6_SpendLike*MIN(Slot6_Cost-BW26,BP26)</f>
        <v>0</v>
      </c>
      <c r="BY26" s="1" t="n">
        <f aca="false">BW26+BX26</f>
        <v>0</v>
      </c>
      <c r="BZ26" s="1" t="n">
        <f aca="false">BP26-BX26+BT26*IF(Slot6_SpendLike=1,BV26-BW26,IF(Slot6_PotFree=1,BV26,0))</f>
        <v>0</v>
      </c>
      <c r="CA26" s="1" t="n">
        <f aca="false">BQ26+BT26*Slot6_BufPot*BV26</f>
        <v>0</v>
      </c>
      <c r="CB26" s="1" t="n">
        <f aca="false">IF(AND(BT26=1,Slot6_IsMfree=1),IF(BY26&gt;=Slot6_Cost-1,0,MAX(0,BR26-BY26)),BR26)</f>
        <v>0</v>
      </c>
      <c r="CC26" s="1" t="n">
        <f aca="false">BT26*(Slot6_Cost-BY26)</f>
        <v>0</v>
      </c>
      <c r="CD26" s="1" t="n">
        <f aca="false">IF(AND(Slot7_On=1,D26=Slot7_Age),1,0)</f>
        <v>0</v>
      </c>
      <c r="CE26" s="1" t="n">
        <f aca="false">IF(AND(Slot7_On=1,Slot7_Age&gt;D26),1,0)</f>
        <v>0</v>
      </c>
      <c r="CF26" s="1" t="n">
        <f aca="false">ID25</f>
        <v>0</v>
      </c>
      <c r="CG26" s="1" t="n">
        <f aca="false">CD26*MIN(Slot7_Cost,CF26)</f>
        <v>0</v>
      </c>
      <c r="CH26" s="1" t="n">
        <f aca="false">CD26*Slot7_SpendLike*MIN(Slot7_Cost-CG26,BZ26)</f>
        <v>0</v>
      </c>
      <c r="CI26" s="1" t="n">
        <f aca="false">CG26+CH26</f>
        <v>0</v>
      </c>
      <c r="CJ26" s="1" t="n">
        <f aca="false">BZ26-CH26+CD26*IF(Slot7_SpendLike=1,CF26-CG26,IF(Slot7_PotFree=1,CF26,0))</f>
        <v>0</v>
      </c>
      <c r="CK26" s="1" t="n">
        <f aca="false">CA26+CD26*Slot7_BufPot*CF26</f>
        <v>0</v>
      </c>
      <c r="CL26" s="1" t="n">
        <f aca="false">IF(AND(CD26=1,Slot7_IsMfree=1),IF(CI26&gt;=Slot7_Cost-1,0,MAX(0,CB26-CI26)),CB26)</f>
        <v>0</v>
      </c>
      <c r="CM26" s="1" t="n">
        <f aca="false">CD26*(Slot7_Cost-CI26)</f>
        <v>0</v>
      </c>
      <c r="CN26" s="1" t="n">
        <f aca="false">IF(AND(Slot8_On=1,D26=Slot8_Age),1,0)</f>
        <v>0</v>
      </c>
      <c r="CO26" s="1" t="n">
        <f aca="false">IF(AND(Slot8_On=1,Slot8_Age&gt;D26),1,0)</f>
        <v>0</v>
      </c>
      <c r="CP26" s="1" t="n">
        <f aca="false">IH25</f>
        <v>0</v>
      </c>
      <c r="CQ26" s="1" t="n">
        <f aca="false">CN26*MIN(Slot8_Cost,CP26)</f>
        <v>0</v>
      </c>
      <c r="CR26" s="1" t="n">
        <f aca="false">CN26*Slot8_SpendLike*MIN(Slot8_Cost-CQ26,CJ26)</f>
        <v>0</v>
      </c>
      <c r="CS26" s="1" t="n">
        <f aca="false">CQ26+CR26</f>
        <v>0</v>
      </c>
      <c r="CT26" s="1" t="n">
        <f aca="false">CJ26-CR26+CN26*IF(Slot8_SpendLike=1,CP26-CQ26,IF(Slot8_PotFree=1,CP26,0))</f>
        <v>0</v>
      </c>
      <c r="CU26" s="1" t="n">
        <f aca="false">CK26+CN26*Slot8_BufPot*CP26</f>
        <v>0</v>
      </c>
      <c r="CV26" s="1" t="n">
        <f aca="false">IF(AND(CN26=1,Slot8_IsMfree=1),IF(CS26&gt;=Slot8_Cost-1,0,MAX(0,CL26-CS26)),CL26)</f>
        <v>0</v>
      </c>
      <c r="CW26" s="1" t="n">
        <f aca="false">CN26*(Slot8_Cost-CS26)</f>
        <v>0</v>
      </c>
      <c r="CX26" s="1" t="n">
        <f aca="false">U26*Slot1_SpendLike*Z26+AF26*Slot2_SpendLike*AK26+AP26*Slot3_SpendLike*AU26+AZ26*Slot4_SpendLike*BE26+BJ26*Slot5_SpendLike*BO26+BT26*Slot6_SpendLike*BY26+CD26*Slot7_SpendLike*CI26+CN26*Slot8_SpendLike*CS26</f>
        <v>0</v>
      </c>
      <c r="CY26" s="1" t="n">
        <f aca="false">AD26+AO26+AY26+BI26+BS26+CC26+CM26+CW26</f>
        <v>0</v>
      </c>
      <c r="CZ26" s="1" t="n">
        <f aca="false">U26*Slot1_Cost+AF26*Slot2_Cost+AP26*Slot3_Cost+AZ26*Slot4_Cost+BJ26*Slot5_Cost+BT26*Slot6_Cost+CD26*Slot7_Cost+CN26*Slot8_Cost</f>
        <v>0</v>
      </c>
      <c r="DA26" s="1" t="n">
        <f aca="false">CV26</f>
        <v>0</v>
      </c>
      <c r="DB26" s="1" t="n">
        <f aca="false">G26-H26-R26</f>
        <v>0</v>
      </c>
      <c r="DC26" s="1" t="n">
        <f aca="false">IF(B26=0,IF(AND(Has_q6=1,In_q6=4),PR_ShareVaries*(MAX(0,DB26)/12),MIN(IF(Has_q6=1,CHOOSE(In_q6+1,PR_SaveB1,PR_SaveB2,PR_SaveB3,PR_SaveB4,0),AS_NoAnswer),AS_SaveShare*(MAX(0,DB26)/12))),DC25)</f>
        <v>0</v>
      </c>
      <c r="DD26" s="1" t="n">
        <f aca="false">IF(DB26&gt;=0,1,0)</f>
        <v>1</v>
      </c>
      <c r="DE26" s="1" t="n">
        <f aca="false">MAX(0,DB26/12/E26)</f>
        <v>0</v>
      </c>
      <c r="DF26" s="1" t="n">
        <f aca="false">IF(AND(Has_q6=1,In_q6=4),PR_ShareVaries*(DE26),MIN(IF(Has_q6=1,CHOOSE(In_q6+1,PR_SaveB1,PR_SaveB2,PR_SaveB3,PR_SaveB4,0),AS_NoAnswer),AS_SaveShare*(DE26)))</f>
        <v>0</v>
      </c>
      <c r="DG26" s="1" t="n">
        <f aca="false">IF(Has_saveM=1,IF(In_saveUp="Yes",1,IF(In_saveUp="No",0,IF(In_saveM&gt;=DC26-0.5,1,0))),0)</f>
        <v>0</v>
      </c>
      <c r="DH26" s="1" t="n">
        <f aca="false">IF(Has_saveM=1,MIN(DE26,IF(DG26=1,MAX(In_saveM,DF26),MIN(In_saveM,DF26))),DF26)</f>
        <v>0</v>
      </c>
      <c r="DI26" s="1" t="n">
        <f aca="false">IF(F26=1,DH26*12*E26,0)</f>
        <v>0</v>
      </c>
      <c r="DJ26" s="1" t="n">
        <f aca="false">MAX(0,DI26+IF(AND(WI_Retire=0,WI_M&lt;0,F26=1),WI_M*12*E26,0))</f>
        <v>0</v>
      </c>
      <c r="DK26" s="1" t="n">
        <f aca="false">Slot1_IsWG*V26+Slot2_IsWG*AG26+Slot3_IsWG*AQ26+Slot4_IsWG*BA26+Slot5_IsWG*BK26+Slot6_IsWG*BU26+Slot7_IsWG*CE26+Slot8_IsWG*CO26</f>
        <v>0</v>
      </c>
      <c r="DL26" s="1" t="n">
        <f aca="false">IF(AND(WI_Retire=0,WI_M&gt;0,F26=1,DK26&gt;=1),WI_M*12*E26,0)</f>
        <v>0</v>
      </c>
      <c r="DM26" s="1" t="n">
        <f aca="false">IF(DD26=1,MIN(DJ26,DB26),0)</f>
        <v>0</v>
      </c>
      <c r="DN26" s="1" t="n">
        <f aca="false">IF(DD26=1,MIN(DL26,DB26-DM26),0)</f>
        <v>0</v>
      </c>
      <c r="DO26" s="1" t="n">
        <f aca="false">IF(V26=1,IF(ABS((1+AS_Wage)/(1+Slot1_Rate)-1)&lt;0.000000000001,(Slot1_Age-D26)*(1+Slot1_Rate)^(Slot1_Age-D26),(1+Slot1_Rate)^(Slot1_Age-D26)*(1-((1+AS_Wage)/(1+Slot1_Rate))^(Slot1_Age-D26))/(1-(1+AS_Wage)/(1+Slot1_Rate))),1)</f>
        <v>1</v>
      </c>
      <c r="DP26" s="1" t="n">
        <f aca="false">IF(AND(DD26=1,DN26&gt;0,Slot1_IsWG=1,V26=1),MAX(0,(Slot1_Cost-W26*(1+Slot1_Rate)^(Slot1_Age-D26))/DO26),0)</f>
        <v>0</v>
      </c>
      <c r="DQ26" s="1" t="n">
        <f aca="false">IF(AND(DD26=1,DN26&gt;0,Slot1_IsWG=1,V26=1),MIN(DN26,DP26),0)</f>
        <v>0</v>
      </c>
      <c r="DR26" s="1" t="n">
        <f aca="false">W26+DQ26</f>
        <v>0</v>
      </c>
      <c r="DS26" s="1" t="n">
        <f aca="false">IF(V26=1,MAX(0,(Slot1_Cost-DR26*(1+Slot1_Rate)^(Slot1_Age-D26))/DO26),0)</f>
        <v>0</v>
      </c>
      <c r="DT26" s="1" t="n">
        <f aca="false">IF(V26=1,MAX(0,(Slot1_Cost-W26*(1+Slot1_Rate)^(Slot1_Age-D26))/DO26),0)</f>
        <v>0</v>
      </c>
      <c r="DU26" s="1" t="n">
        <f aca="false">IF(AND(DD26=1,V26=1),MIN(DM26,DS26),0)</f>
        <v>0</v>
      </c>
      <c r="DV26" s="1" t="n">
        <f aca="false">DM26-DU26</f>
        <v>0</v>
      </c>
      <c r="DW26" s="1" t="n">
        <f aca="false">IF(AG26=1,IF(ABS((1+AS_Wage)/(1+Slot2_Rate)-1)&lt;0.000000000001,(Slot2_Age-D26)*(1+Slot2_Rate)^(Slot2_Age-D26),(1+Slot2_Rate)^(Slot2_Age-D26)*(1-((1+AS_Wage)/(1+Slot2_Rate))^(Slot2_Age-D26))/(1-(1+AS_Wage)/(1+Slot2_Rate))),1)</f>
        <v>1</v>
      </c>
      <c r="DX26" s="1" t="n">
        <f aca="false">IF(AND(DD26=1,DN26&gt;0,Slot2_IsWG=1,AG26=1),MAX(0,(Slot2_Cost-AH26*(1+Slot2_Rate)^(Slot2_Age-D26))/DW26),0)</f>
        <v>0</v>
      </c>
      <c r="DY26" s="1" t="n">
        <f aca="false">IF(AND(DD26=1,DN26&gt;0,Slot2_IsWG=1,AG26=1),MIN(DN26,DX26),0)</f>
        <v>0</v>
      </c>
      <c r="DZ26" s="1" t="n">
        <f aca="false">AH26+DY26</f>
        <v>0</v>
      </c>
      <c r="EA26" s="1" t="n">
        <f aca="false">IF(AG26=1,MAX(0,(Slot2_Cost-DZ26*(1+Slot2_Rate)^(Slot2_Age-D26))/DW26),0)</f>
        <v>0</v>
      </c>
      <c r="EB26" s="1" t="n">
        <f aca="false">IF(AG26=1,MAX(0,(Slot2_Cost-AH26*(1+Slot2_Rate)^(Slot2_Age-D26))/DW26),0)</f>
        <v>0</v>
      </c>
      <c r="EC26" s="1" t="n">
        <f aca="false">IF(AND(DD26=1,AG26=1),MIN(DV26,EA26),0)</f>
        <v>0</v>
      </c>
      <c r="ED26" s="1" t="n">
        <f aca="false">DV26-EC26</f>
        <v>0</v>
      </c>
      <c r="EE26" s="1" t="n">
        <f aca="false">IF(AQ26=1,IF(ABS((1+AS_Wage)/(1+Slot3_Rate)-1)&lt;0.000000000001,(Slot3_Age-D26)*(1+Slot3_Rate)^(Slot3_Age-D26),(1+Slot3_Rate)^(Slot3_Age-D26)*(1-((1+AS_Wage)/(1+Slot3_Rate))^(Slot3_Age-D26))/(1-(1+AS_Wage)/(1+Slot3_Rate))),1)</f>
        <v>1</v>
      </c>
      <c r="EF26" s="1" t="n">
        <f aca="false">IF(AND(DD26=1,DN26&gt;0,Slot3_IsWG=1,AQ26=1),MAX(0,(Slot3_Cost-AR26*(1+Slot3_Rate)^(Slot3_Age-D26))/EE26),0)</f>
        <v>0</v>
      </c>
      <c r="EG26" s="1" t="n">
        <f aca="false">IF(AND(DD26=1,DN26&gt;0,Slot3_IsWG=1,AQ26=1),MIN(DN26,EF26),0)</f>
        <v>0</v>
      </c>
      <c r="EH26" s="1" t="n">
        <f aca="false">AR26+EG26</f>
        <v>0</v>
      </c>
      <c r="EI26" s="1" t="n">
        <f aca="false">IF(AQ26=1,MAX(0,(Slot3_Cost-EH26*(1+Slot3_Rate)^(Slot3_Age-D26))/EE26),0)</f>
        <v>0</v>
      </c>
      <c r="EJ26" s="1" t="n">
        <f aca="false">IF(AQ26=1,MAX(0,(Slot3_Cost-AR26*(1+Slot3_Rate)^(Slot3_Age-D26))/EE26),0)</f>
        <v>0</v>
      </c>
      <c r="EK26" s="1" t="n">
        <f aca="false">IF(AND(DD26=1,AQ26=1),MIN(ED26,EI26),0)</f>
        <v>0</v>
      </c>
      <c r="EL26" s="1" t="n">
        <f aca="false">ED26-EK26</f>
        <v>0</v>
      </c>
      <c r="EM26" s="1" t="n">
        <f aca="false">IF(BA26=1,IF(ABS((1+AS_Wage)/(1+Slot4_Rate)-1)&lt;0.000000000001,(Slot4_Age-D26)*(1+Slot4_Rate)^(Slot4_Age-D26),(1+Slot4_Rate)^(Slot4_Age-D26)*(1-((1+AS_Wage)/(1+Slot4_Rate))^(Slot4_Age-D26))/(1-(1+AS_Wage)/(1+Slot4_Rate))),1)</f>
        <v>1</v>
      </c>
      <c r="EN26" s="1" t="n">
        <f aca="false">IF(AND(DD26=1,DN26&gt;0,Slot4_IsWG=1,BA26=1),MAX(0,(Slot4_Cost-BB26*(1+Slot4_Rate)^(Slot4_Age-D26))/EM26),0)</f>
        <v>0</v>
      </c>
      <c r="EO26" s="1" t="n">
        <f aca="false">IF(AND(DD26=1,DN26&gt;0,Slot4_IsWG=1,BA26=1),MIN(DN26,EN26),0)</f>
        <v>0</v>
      </c>
      <c r="EP26" s="1" t="n">
        <f aca="false">BB26+EO26</f>
        <v>0</v>
      </c>
      <c r="EQ26" s="1" t="n">
        <f aca="false">IF(BA26=1,MAX(0,(Slot4_Cost-EP26*(1+Slot4_Rate)^(Slot4_Age-D26))/EM26),0)</f>
        <v>0</v>
      </c>
      <c r="ER26" s="1" t="n">
        <f aca="false">IF(BA26=1,MAX(0,(Slot4_Cost-BB26*(1+Slot4_Rate)^(Slot4_Age-D26))/EM26),0)</f>
        <v>0</v>
      </c>
      <c r="ES26" s="1" t="n">
        <f aca="false">IF(AND(DD26=1,BA26=1),MIN(EL26,EQ26),0)</f>
        <v>0</v>
      </c>
      <c r="ET26" s="1" t="n">
        <f aca="false">EL26-ES26</f>
        <v>0</v>
      </c>
      <c r="EU26" s="1" t="n">
        <f aca="false">IF(BK26=1,IF(ABS((1+AS_Wage)/(1+Slot5_Rate)-1)&lt;0.000000000001,(Slot5_Age-D26)*(1+Slot5_Rate)^(Slot5_Age-D26),(1+Slot5_Rate)^(Slot5_Age-D26)*(1-((1+AS_Wage)/(1+Slot5_Rate))^(Slot5_Age-D26))/(1-(1+AS_Wage)/(1+Slot5_Rate))),1)</f>
        <v>1</v>
      </c>
      <c r="EV26" s="1" t="n">
        <f aca="false">IF(AND(DD26=1,DN26&gt;0,Slot5_IsWG=1,BK26=1),MAX(0,(Slot5_Cost-BL26*(1+Slot5_Rate)^(Slot5_Age-D26))/EU26),0)</f>
        <v>0</v>
      </c>
      <c r="EW26" s="1" t="n">
        <f aca="false">IF(AND(DD26=1,DN26&gt;0,Slot5_IsWG=1,BK26=1),MIN(DN26,EV26),0)</f>
        <v>0</v>
      </c>
      <c r="EX26" s="1" t="n">
        <f aca="false">BL26+EW26</f>
        <v>0</v>
      </c>
      <c r="EY26" s="1" t="n">
        <f aca="false">IF(BK26=1,MAX(0,(Slot5_Cost-EX26*(1+Slot5_Rate)^(Slot5_Age-D26))/EU26),0)</f>
        <v>0</v>
      </c>
      <c r="EZ26" s="1" t="n">
        <f aca="false">IF(BK26=1,MAX(0,(Slot5_Cost-BL26*(1+Slot5_Rate)^(Slot5_Age-D26))/EU26),0)</f>
        <v>0</v>
      </c>
      <c r="FA26" s="1" t="n">
        <f aca="false">IF(AND(DD26=1,BK26=1),MIN(ET26,EY26),0)</f>
        <v>0</v>
      </c>
      <c r="FB26" s="1" t="n">
        <f aca="false">ET26-FA26</f>
        <v>0</v>
      </c>
      <c r="FC26" s="1" t="n">
        <f aca="false">IF(BU26=1,IF(ABS((1+AS_Wage)/(1+Slot6_Rate)-1)&lt;0.000000000001,(Slot6_Age-D26)*(1+Slot6_Rate)^(Slot6_Age-D26),(1+Slot6_Rate)^(Slot6_Age-D26)*(1-((1+AS_Wage)/(1+Slot6_Rate))^(Slot6_Age-D26))/(1-(1+AS_Wage)/(1+Slot6_Rate))),1)</f>
        <v>1</v>
      </c>
      <c r="FD26" s="1" t="n">
        <f aca="false">IF(AND(DD26=1,DN26&gt;0,Slot6_IsWG=1,BU26=1),MAX(0,(Slot6_Cost-BV26*(1+Slot6_Rate)^(Slot6_Age-D26))/FC26),0)</f>
        <v>0</v>
      </c>
      <c r="FE26" s="1" t="n">
        <f aca="false">IF(AND(DD26=1,DN26&gt;0,Slot6_IsWG=1,BU26=1),MIN(DN26,FD26),0)</f>
        <v>0</v>
      </c>
      <c r="FF26" s="1" t="n">
        <f aca="false">BV26+FE26</f>
        <v>0</v>
      </c>
      <c r="FG26" s="1" t="n">
        <f aca="false">IF(BU26=1,MAX(0,(Slot6_Cost-FF26*(1+Slot6_Rate)^(Slot6_Age-D26))/FC26),0)</f>
        <v>0</v>
      </c>
      <c r="FH26" s="1" t="n">
        <f aca="false">IF(BU26=1,MAX(0,(Slot6_Cost-BV26*(1+Slot6_Rate)^(Slot6_Age-D26))/FC26),0)</f>
        <v>0</v>
      </c>
      <c r="FI26" s="1" t="n">
        <f aca="false">IF(AND(DD26=1,BU26=1),MIN(FB26,FG26),0)</f>
        <v>0</v>
      </c>
      <c r="FJ26" s="1" t="n">
        <f aca="false">FB26-FI26</f>
        <v>0</v>
      </c>
      <c r="FK26" s="1" t="n">
        <f aca="false">IF(CE26=1,IF(ABS((1+AS_Wage)/(1+Slot7_Rate)-1)&lt;0.000000000001,(Slot7_Age-D26)*(1+Slot7_Rate)^(Slot7_Age-D26),(1+Slot7_Rate)^(Slot7_Age-D26)*(1-((1+AS_Wage)/(1+Slot7_Rate))^(Slot7_Age-D26))/(1-(1+AS_Wage)/(1+Slot7_Rate))),1)</f>
        <v>1</v>
      </c>
      <c r="FL26" s="1" t="n">
        <f aca="false">IF(AND(DD26=1,DN26&gt;0,Slot7_IsWG=1,CE26=1),MAX(0,(Slot7_Cost-CF26*(1+Slot7_Rate)^(Slot7_Age-D26))/FK26),0)</f>
        <v>0</v>
      </c>
      <c r="FM26" s="1" t="n">
        <f aca="false">IF(AND(DD26=1,DN26&gt;0,Slot7_IsWG=1,CE26=1),MIN(DN26,FL26),0)</f>
        <v>0</v>
      </c>
      <c r="FN26" s="1" t="n">
        <f aca="false">CF26+FM26</f>
        <v>0</v>
      </c>
      <c r="FO26" s="1" t="n">
        <f aca="false">IF(CE26=1,MAX(0,(Slot7_Cost-FN26*(1+Slot7_Rate)^(Slot7_Age-D26))/FK26),0)</f>
        <v>0</v>
      </c>
      <c r="FP26" s="1" t="n">
        <f aca="false">IF(CE26=1,MAX(0,(Slot7_Cost-CF26*(1+Slot7_Rate)^(Slot7_Age-D26))/FK26),0)</f>
        <v>0</v>
      </c>
      <c r="FQ26" s="1" t="n">
        <f aca="false">IF(AND(DD26=1,CE26=1),MIN(FJ26,FO26),0)</f>
        <v>0</v>
      </c>
      <c r="FR26" s="1" t="n">
        <f aca="false">FJ26-FQ26</f>
        <v>0</v>
      </c>
      <c r="FS26" s="1" t="n">
        <f aca="false">IF(CO26=1,IF(ABS((1+AS_Wage)/(1+Slot8_Rate)-1)&lt;0.000000000001,(Slot8_Age-D26)*(1+Slot8_Rate)^(Slot8_Age-D26),(1+Slot8_Rate)^(Slot8_Age-D26)*(1-((1+AS_Wage)/(1+Slot8_Rate))^(Slot8_Age-D26))/(1-(1+AS_Wage)/(1+Slot8_Rate))),1)</f>
        <v>1</v>
      </c>
      <c r="FT26" s="1" t="n">
        <f aca="false">IF(AND(DD26=1,DN26&gt;0,Slot8_IsWG=1,CO26=1),MAX(0,(Slot8_Cost-CP26*(1+Slot8_Rate)^(Slot8_Age-D26))/FS26),0)</f>
        <v>0</v>
      </c>
      <c r="FU26" s="1" t="n">
        <f aca="false">IF(AND(DD26=1,DN26&gt;0,Slot8_IsWG=1,CO26=1),MIN(DN26,FT26),0)</f>
        <v>0</v>
      </c>
      <c r="FV26" s="1" t="n">
        <f aca="false">CP26+FU26</f>
        <v>0</v>
      </c>
      <c r="FW26" s="1" t="n">
        <f aca="false">IF(CO26=1,MAX(0,(Slot8_Cost-FV26*(1+Slot8_Rate)^(Slot8_Age-D26))/FS26),0)</f>
        <v>0</v>
      </c>
      <c r="FX26" s="1" t="n">
        <f aca="false">IF(CO26=1,MAX(0,(Slot8_Cost-CP26*(1+Slot8_Rate)^(Slot8_Age-D26))/FS26),0)</f>
        <v>0</v>
      </c>
      <c r="FY26" s="1" t="n">
        <f aca="false">IF(AND(DD26=1,CO26=1),MIN(FR26,FW26),0)</f>
        <v>0</v>
      </c>
      <c r="FZ26" s="1" t="n">
        <f aca="false">FR26-FY26</f>
        <v>0</v>
      </c>
      <c r="GA26" s="1" t="n">
        <f aca="false">DN26-(DQ26+DY26+EG26+EO26+EW26+FE26+FM26+FU26)</f>
        <v>0</v>
      </c>
      <c r="GB26" s="1" t="n">
        <f aca="false">IF(DD26=1,DB26-DM26-DN26,0)</f>
        <v>0</v>
      </c>
      <c r="GC26" s="1" t="n">
        <f aca="false">IF(DD26=0,-DB26,0)</f>
        <v>0</v>
      </c>
      <c r="GD26" s="1" t="n">
        <f aca="false">MIN(GC26,CT26)</f>
        <v>0</v>
      </c>
      <c r="GE26" s="1" t="n">
        <f aca="false">GC26-GD26</f>
        <v>0</v>
      </c>
      <c r="GF26" s="1" t="n">
        <f aca="false">MIN(GE26,CU26)</f>
        <v>0</v>
      </c>
      <c r="GG26" s="1" t="n">
        <f aca="false">GE26-GF26</f>
        <v>0</v>
      </c>
      <c r="GH26" s="1" t="n">
        <f aca="false">IF(AND(DD26=0,CO26=1,GG26&gt;0),MIN(GG26,CP26),0)</f>
        <v>0</v>
      </c>
      <c r="GI26" s="1" t="n">
        <f aca="false">GG26-GH26</f>
        <v>0</v>
      </c>
      <c r="GJ26" s="1" t="n">
        <f aca="false">IF(AND(DD26=0,CE26=1,GI26&gt;0),MIN(GI26,CF26),0)</f>
        <v>0</v>
      </c>
      <c r="GK26" s="1" t="n">
        <f aca="false">GI26-GJ26</f>
        <v>0</v>
      </c>
      <c r="GL26" s="1" t="n">
        <f aca="false">IF(AND(DD26=0,BU26=1,GK26&gt;0),MIN(GK26,BV26),0)</f>
        <v>0</v>
      </c>
      <c r="GM26" s="1" t="n">
        <f aca="false">GK26-GL26</f>
        <v>0</v>
      </c>
      <c r="GN26" s="1" t="n">
        <f aca="false">IF(AND(DD26=0,BK26=1,GM26&gt;0),MIN(GM26,BL26),0)</f>
        <v>0</v>
      </c>
      <c r="GO26" s="1" t="n">
        <f aca="false">GM26-GN26</f>
        <v>0</v>
      </c>
      <c r="GP26" s="1" t="n">
        <f aca="false">IF(AND(DD26=0,BA26=1,GO26&gt;0),MIN(GO26,BB26),0)</f>
        <v>0</v>
      </c>
      <c r="GQ26" s="1" t="n">
        <f aca="false">GO26-GP26</f>
        <v>0</v>
      </c>
      <c r="GR26" s="1" t="n">
        <f aca="false">IF(AND(DD26=0,AQ26=1,GQ26&gt;0),MIN(GQ26,AR26),0)</f>
        <v>0</v>
      </c>
      <c r="GS26" s="1" t="n">
        <f aca="false">GQ26-GR26</f>
        <v>0</v>
      </c>
      <c r="GT26" s="1" t="n">
        <f aca="false">IF(AND(DD26=0,AG26=1,GS26&gt;0),MIN(GS26,AH26),0)</f>
        <v>0</v>
      </c>
      <c r="GU26" s="1" t="n">
        <f aca="false">GS26-GT26</f>
        <v>0</v>
      </c>
      <c r="GV26" s="1" t="n">
        <f aca="false">IF(AND(DD26=0,V26=1,GU26&gt;0),MIN(GU26,W26),0)</f>
        <v>0</v>
      </c>
      <c r="GW26" s="1" t="n">
        <f aca="false">GU26-GV26</f>
        <v>0</v>
      </c>
      <c r="GX26" s="1" t="n">
        <f aca="false">IF(DD26=0,GW26,0)</f>
        <v>0</v>
      </c>
      <c r="GY26" s="1" t="n">
        <f aca="false">GD26+GF26+GV26+GT26+GR26+GP26+GN26+GL26+GJ26+GH26</f>
        <v>0</v>
      </c>
      <c r="GZ26" s="1" t="n">
        <f aca="false">IF(DD26=1,CT26+GA26+FZ26+IF(F26=1,0,GB26),CT26-GD26)</f>
        <v>0</v>
      </c>
      <c r="HA26" s="1" t="n">
        <f aca="false">CU26-GF26</f>
        <v>0</v>
      </c>
      <c r="HB26" s="1" t="n">
        <f aca="false">IF(DD26=1,IF(F26=1,DM26+DN26,DB26),0)</f>
        <v>0</v>
      </c>
      <c r="HC26" s="1" t="n">
        <f aca="false">IF(DD26=1,IF(F26=1,DB26-DM26-DN26,0),0)</f>
        <v>0</v>
      </c>
      <c r="HD26" s="1" t="n">
        <f aca="false">GZ26*(1+GR)</f>
        <v>0</v>
      </c>
      <c r="HE26" s="1" t="n">
        <f aca="false">HA26*(1+AS_Cash)</f>
        <v>0</v>
      </c>
      <c r="HF26" s="1" t="n">
        <f aca="false">IF(V26=1,IF(DD26=1,DR26+DU26,W26-GV26)*(1+Slot1_Rate),0)</f>
        <v>0</v>
      </c>
      <c r="HG26" s="1" t="n">
        <f aca="false">IF(AND(DD26=1,V26=1),(DQ26+DU26)/E26,0)</f>
        <v>0</v>
      </c>
      <c r="HH26" s="1" t="n">
        <f aca="false">IF(B26=0,DQ26+DU26,0)</f>
        <v>0</v>
      </c>
      <c r="HI26" s="1" t="n">
        <f aca="false">IF(B26=0,IF(DD26=1,DS26,DT26),0)</f>
        <v>0</v>
      </c>
      <c r="HJ26" s="1" t="n">
        <f aca="false">IF(AG26=1,IF(DD26=1,DZ26+EC26,AH26-GT26)*(1+Slot2_Rate),0)</f>
        <v>0</v>
      </c>
      <c r="HK26" s="1" t="n">
        <f aca="false">IF(AND(DD26=1,AG26=1),(DY26+EC26)/E26,0)</f>
        <v>0</v>
      </c>
      <c r="HL26" s="1" t="n">
        <f aca="false">IF(B26=0,DY26+EC26,0)</f>
        <v>0</v>
      </c>
      <c r="HM26" s="1" t="n">
        <f aca="false">IF(B26=0,IF(DD26=1,EA26,EB26),0)</f>
        <v>0</v>
      </c>
      <c r="HN26" s="1" t="n">
        <f aca="false">IF(AQ26=1,IF(DD26=1,EH26+EK26,AR26-GR26)*(1+Slot3_Rate),0)</f>
        <v>0</v>
      </c>
      <c r="HO26" s="1" t="n">
        <f aca="false">IF(AND(DD26=1,AQ26=1),(EG26+EK26)/E26,0)</f>
        <v>0</v>
      </c>
      <c r="HP26" s="1" t="n">
        <f aca="false">IF(B26=0,EG26+EK26,0)</f>
        <v>0</v>
      </c>
      <c r="HQ26" s="1" t="n">
        <f aca="false">IF(B26=0,IF(DD26=1,EI26,EJ26),0)</f>
        <v>0</v>
      </c>
      <c r="HR26" s="1" t="n">
        <f aca="false">IF(BA26=1,IF(DD26=1,EP26+ES26,BB26-GP26)*(1+Slot4_Rate),0)</f>
        <v>0</v>
      </c>
      <c r="HS26" s="1" t="n">
        <f aca="false">IF(AND(DD26=1,BA26=1),(EO26+ES26)/E26,0)</f>
        <v>0</v>
      </c>
      <c r="HT26" s="1" t="n">
        <f aca="false">IF(B26=0,EO26+ES26,0)</f>
        <v>0</v>
      </c>
      <c r="HU26" s="1" t="n">
        <f aca="false">IF(B26=0,IF(DD26=1,EQ26,ER26),0)</f>
        <v>0</v>
      </c>
      <c r="HV26" s="1" t="n">
        <f aca="false">IF(BK26=1,IF(DD26=1,EX26+FA26,BL26-GN26)*(1+Slot5_Rate),0)</f>
        <v>0</v>
      </c>
      <c r="HW26" s="1" t="n">
        <f aca="false">IF(AND(DD26=1,BK26=1),(EW26+FA26)/E26,0)</f>
        <v>0</v>
      </c>
      <c r="HX26" s="1" t="n">
        <f aca="false">IF(B26=0,EW26+FA26,0)</f>
        <v>0</v>
      </c>
      <c r="HY26" s="1" t="n">
        <f aca="false">IF(B26=0,IF(DD26=1,EY26,EZ26),0)</f>
        <v>0</v>
      </c>
      <c r="HZ26" s="1" t="n">
        <f aca="false">IF(BU26=1,IF(DD26=1,FF26+FI26,BV26-GL26)*(1+Slot6_Rate),0)</f>
        <v>0</v>
      </c>
      <c r="IA26" s="1" t="n">
        <f aca="false">IF(AND(DD26=1,BU26=1),(FE26+FI26)/E26,0)</f>
        <v>0</v>
      </c>
      <c r="IB26" s="1" t="n">
        <f aca="false">IF(B26=0,FE26+FI26,0)</f>
        <v>0</v>
      </c>
      <c r="IC26" s="1" t="n">
        <f aca="false">IF(B26=0,IF(DD26=1,FG26,FH26),0)</f>
        <v>0</v>
      </c>
      <c r="ID26" s="1" t="n">
        <f aca="false">IF(CE26=1,IF(DD26=1,FN26+FQ26,CF26-GJ26)*(1+Slot7_Rate),0)</f>
        <v>0</v>
      </c>
      <c r="IE26" s="1" t="n">
        <f aca="false">IF(AND(DD26=1,CE26=1),(FM26+FQ26)/E26,0)</f>
        <v>0</v>
      </c>
      <c r="IF26" s="1" t="n">
        <f aca="false">IF(B26=0,FM26+FQ26,0)</f>
        <v>0</v>
      </c>
      <c r="IG26" s="1" t="n">
        <f aca="false">IF(B26=0,IF(DD26=1,FO26,FP26),0)</f>
        <v>0</v>
      </c>
      <c r="IH26" s="1" t="n">
        <f aca="false">IF(CO26=1,IF(DD26=1,FV26+FY26,CP26-GH26)*(1+Slot8_Rate),0)</f>
        <v>0</v>
      </c>
      <c r="II26" s="1" t="n">
        <f aca="false">IF(AND(DD26=1,CO26=1),(FU26+FY26)/E26,0)</f>
        <v>0</v>
      </c>
      <c r="IJ26" s="1" t="n">
        <f aca="false">IF(B26=0,FU26+FY26,0)</f>
        <v>0</v>
      </c>
      <c r="IK26" s="1" t="n">
        <f aca="false">IF(B26=0,IF(DD26=1,FW26,FX26),0)</f>
        <v>0</v>
      </c>
      <c r="IL26" s="1" t="n">
        <f aca="false">HD26+HE26+HF26+HJ26+HN26+HR26+HV26+HZ26+ID26+IH26</f>
        <v>0</v>
      </c>
      <c r="IM26" s="1" t="n">
        <f aca="false">GX26+CY26</f>
        <v>0</v>
      </c>
      <c r="IN26" s="1" t="n">
        <f aca="false">H26+R26</f>
        <v>0</v>
      </c>
      <c r="IO26" s="1" t="n">
        <f aca="false">1-F26</f>
        <v>1</v>
      </c>
      <c r="IP26" s="1" t="n">
        <f aca="false">IF(AND(RG_Exists=1,F26=0,C26=1),H26,0)</f>
        <v>0</v>
      </c>
      <c r="IQ26" s="1" t="n">
        <f aca="false">IF(AND(RG_Exists=1,F26=0,C26=1),H26-MIN(GX26,H26),0)</f>
        <v>0</v>
      </c>
      <c r="IR26" s="1" t="n">
        <f aca="false">'Plan pay &amp; tax'!AD228</f>
        <v>0</v>
      </c>
      <c r="IS26" s="1" t="n">
        <f aca="false">IF(AND(C26=1,GX26&gt;MAX(PR_Short1,IN26*PR_Short2)),1,0)</f>
        <v>0</v>
      </c>
      <c r="IT26" s="1" t="n">
        <f aca="false">MIN(G26,H26+R26)</f>
        <v>0</v>
      </c>
      <c r="IU26" s="1" t="n">
        <f aca="false">GY26+MAX(0,CZ26-CY26)</f>
        <v>0</v>
      </c>
      <c r="IV26" s="1" t="n">
        <f aca="false">GX26+CY26</f>
        <v>0</v>
      </c>
      <c r="IW26" s="1" t="n">
        <f aca="false">IF(AND(C26=1,IV26&gt;0.5),1,0)</f>
        <v>0</v>
      </c>
      <c r="IX26" s="1" t="n">
        <f aca="false">IF(AND(C26=1,IW26=0,IU26&gt;0.5),1,0)</f>
        <v>0</v>
      </c>
      <c r="IY26" s="1" t="n">
        <f aca="false">IF(AND(C26=1,GX26&gt;0.5),1,0)</f>
        <v>0</v>
      </c>
      <c r="IZ26" s="1" t="n">
        <f aca="false">IF(AND(C26=1,GY26&gt;1,JF26=0),1,0)</f>
        <v>0</v>
      </c>
      <c r="JA26" s="1" t="n">
        <f aca="false">IF(AND(INT(D26/10)*10=90,B26&gt;0),80,INT(D26/10)*10)</f>
        <v>10</v>
      </c>
      <c r="JB26" s="1" t="n">
        <f aca="false">IF(B26=0,1,IF(JA26&lt;&gt;JA25,JB25+1,JB25))</f>
        <v>2</v>
      </c>
      <c r="JC26" s="1" t="n">
        <f aca="false">IF(AND(C26=1,F26=1,GX26&gt;MAX(PR_Short1,IN26*PR_Short2)),1,0)</f>
        <v>0</v>
      </c>
      <c r="JD26" s="1" t="n">
        <f aca="false">IO26*IS26</f>
        <v>0</v>
      </c>
      <c r="JE26" s="1" t="n">
        <f aca="false">IF(AND(U26=1,Slot1_PctLow=1),1,0)+IF(AND(AF26=1,Slot2_PctLow=1),1,0)+IF(AND(AP26=1,Slot3_PctLow=1),1,0)+IF(AND(AZ26=1,Slot4_PctLow=1),1,0)+IF(AND(BJ26=1,Slot5_PctLow=1),1,0)+IF(AND(BT26=1,Slot6_PctLow=1),1,0)+IF(AND(CD26=1,Slot7_PctLow=1),1,0)+IF(AND(CN26=1,Slot8_PctLow=1),1,0)</f>
        <v>0</v>
      </c>
      <c r="JF26" s="1" t="n">
        <f aca="false">IF(C26=1,IF(OR(IS26=1,JE26&gt;0),1,0),0)</f>
        <v>0</v>
      </c>
    </row>
    <row r="27" customFormat="false" ht="15" hidden="false" customHeight="false" outlineLevel="0" collapsed="false">
      <c r="B27" s="1" t="n">
        <v>19</v>
      </c>
      <c r="C27" s="1" t="n">
        <f aca="false">IF(B27&lt;=F_N,1,0)</f>
        <v>1</v>
      </c>
      <c r="D27" s="1" t="n">
        <f aca="false">'Plan pay &amp; tax'!C229</f>
        <v>19</v>
      </c>
      <c r="E27" s="106" t="n">
        <f aca="false">'Plan pay &amp; tax'!E229</f>
        <v>1.4568111725278</v>
      </c>
      <c r="F27" s="1" t="n">
        <f aca="false">'Plan pay &amp; tax'!G229</f>
        <v>0</v>
      </c>
      <c r="G27" s="1" t="n">
        <f aca="false">'Plan pay &amp; tax'!BT229-'Plan pay &amp; tax'!BS229-'Plan pay &amp; tax'!R229</f>
        <v>0</v>
      </c>
      <c r="H27" s="1" t="n">
        <f aca="false">IF(F27=1,F_CostsM*12,IF(RG_Exists=1,RG_Amount,F_CostsM*12*AS_RetireSpend))*E27+F_OneOffY*E27</f>
        <v>0</v>
      </c>
      <c r="I27" s="1" t="n">
        <f aca="false">DA26</f>
        <v>0</v>
      </c>
      <c r="J27" s="1" t="n">
        <f aca="false">IF(I27&gt;1,'Plan debt months'!AC27,0)</f>
        <v>0</v>
      </c>
      <c r="K27" s="1" t="n">
        <f aca="false">IF(I27&gt;1,'Plan debt months'!AB27,I27)</f>
        <v>0</v>
      </c>
      <c r="L27" s="1" t="n">
        <f aca="false">N26</f>
        <v>0</v>
      </c>
      <c r="M27" s="1" t="n">
        <f aca="false">IF(L27&gt;1,'Plan debt months'!BD27,0)</f>
        <v>0</v>
      </c>
      <c r="N27" s="1" t="n">
        <f aca="false">IF(L27&gt;1,'Plan debt months'!BC27,L27)</f>
        <v>0</v>
      </c>
      <c r="O27" s="1" t="n">
        <f aca="false">Q26</f>
        <v>0</v>
      </c>
      <c r="P27" s="1" t="n">
        <f aca="false">IF(O27&gt;1,'Plan debt months'!CE27,0)</f>
        <v>0</v>
      </c>
      <c r="Q27" s="1" t="n">
        <f aca="false">IF(O27&gt;1,'Plan debt months'!CD27,O27)</f>
        <v>0</v>
      </c>
      <c r="R27" s="1" t="n">
        <f aca="false">J27+M27+P27</f>
        <v>0</v>
      </c>
      <c r="S27" s="1" t="n">
        <f aca="false">HD26+'Plan pay &amp; tax'!Y229</f>
        <v>0</v>
      </c>
      <c r="T27" s="1" t="n">
        <f aca="false">HD26</f>
        <v>0</v>
      </c>
      <c r="U27" s="1" t="n">
        <f aca="false">IF(AND(Slot1_On=1,D27=Slot1_Age),1,0)</f>
        <v>0</v>
      </c>
      <c r="V27" s="1" t="n">
        <f aca="false">IF(AND(Slot1_On=1,Slot1_Age&gt;D27),1,0)</f>
        <v>0</v>
      </c>
      <c r="W27" s="1" t="n">
        <f aca="false">HF26</f>
        <v>0</v>
      </c>
      <c r="X27" s="1" t="n">
        <f aca="false">U27*MIN(Slot1_Cost,W27)</f>
        <v>0</v>
      </c>
      <c r="Y27" s="1" t="n">
        <f aca="false">U27*Slot1_SpendLike*MIN(Slot1_Cost-X27,S27)</f>
        <v>0</v>
      </c>
      <c r="Z27" s="1" t="n">
        <f aca="false">X27+Y27</f>
        <v>0</v>
      </c>
      <c r="AA27" s="1" t="n">
        <f aca="false">S27-Y27+U27*IF(Slot1_SpendLike=1,W27-X27,IF(Slot1_PotFree=1,W27,0))</f>
        <v>0</v>
      </c>
      <c r="AB27" s="1" t="n">
        <f aca="false">AE27+U27*Slot1_BufPot*W27</f>
        <v>0</v>
      </c>
      <c r="AC27" s="1" t="n">
        <f aca="false">IF(AND(U27=1,Slot1_IsMfree=1),IF(Z27&gt;=Slot1_Cost-1,0,MAX(0,K27-Z27)),K27)</f>
        <v>0</v>
      </c>
      <c r="AD27" s="1" t="n">
        <f aca="false">U27*(Slot1_Cost-Z27)</f>
        <v>0</v>
      </c>
      <c r="AE27" s="1" t="n">
        <f aca="false">HE26</f>
        <v>0</v>
      </c>
      <c r="AF27" s="1" t="n">
        <f aca="false">IF(AND(Slot2_On=1,D27=Slot2_Age),1,0)</f>
        <v>0</v>
      </c>
      <c r="AG27" s="1" t="n">
        <f aca="false">IF(AND(Slot2_On=1,Slot2_Age&gt;D27),1,0)</f>
        <v>0</v>
      </c>
      <c r="AH27" s="1" t="n">
        <f aca="false">HJ26</f>
        <v>0</v>
      </c>
      <c r="AI27" s="1" t="n">
        <f aca="false">AF27*MIN(Slot2_Cost,AH27)</f>
        <v>0</v>
      </c>
      <c r="AJ27" s="1" t="n">
        <f aca="false">AF27*Slot2_SpendLike*MIN(Slot2_Cost-AI27,AA27)</f>
        <v>0</v>
      </c>
      <c r="AK27" s="1" t="n">
        <f aca="false">AI27+AJ27</f>
        <v>0</v>
      </c>
      <c r="AL27" s="1" t="n">
        <f aca="false">AA27-AJ27+AF27*IF(Slot2_SpendLike=1,AH27-AI27,IF(Slot2_PotFree=1,AH27,0))</f>
        <v>0</v>
      </c>
      <c r="AM27" s="1" t="n">
        <f aca="false">AB27+AF27*Slot2_BufPot*AH27</f>
        <v>0</v>
      </c>
      <c r="AN27" s="1" t="n">
        <f aca="false">IF(AND(AF27=1,Slot2_IsMfree=1),IF(AK27&gt;=Slot2_Cost-1,0,MAX(0,AC27-AK27)),AC27)</f>
        <v>0</v>
      </c>
      <c r="AO27" s="1" t="n">
        <f aca="false">AF27*(Slot2_Cost-AK27)</f>
        <v>0</v>
      </c>
      <c r="AP27" s="1" t="n">
        <f aca="false">IF(AND(Slot3_On=1,D27=Slot3_Age),1,0)</f>
        <v>0</v>
      </c>
      <c r="AQ27" s="1" t="n">
        <f aca="false">IF(AND(Slot3_On=1,Slot3_Age&gt;D27),1,0)</f>
        <v>0</v>
      </c>
      <c r="AR27" s="1" t="n">
        <f aca="false">HN26</f>
        <v>0</v>
      </c>
      <c r="AS27" s="1" t="n">
        <f aca="false">AP27*MIN(Slot3_Cost,AR27)</f>
        <v>0</v>
      </c>
      <c r="AT27" s="1" t="n">
        <f aca="false">AP27*Slot3_SpendLike*MIN(Slot3_Cost-AS27,AL27)</f>
        <v>0</v>
      </c>
      <c r="AU27" s="1" t="n">
        <f aca="false">AS27+AT27</f>
        <v>0</v>
      </c>
      <c r="AV27" s="1" t="n">
        <f aca="false">AL27-AT27+AP27*IF(Slot3_SpendLike=1,AR27-AS27,IF(Slot3_PotFree=1,AR27,0))</f>
        <v>0</v>
      </c>
      <c r="AW27" s="1" t="n">
        <f aca="false">AM27+AP27*Slot3_BufPot*AR27</f>
        <v>0</v>
      </c>
      <c r="AX27" s="1" t="n">
        <f aca="false">IF(AND(AP27=1,Slot3_IsMfree=1),IF(AU27&gt;=Slot3_Cost-1,0,MAX(0,AN27-AU27)),AN27)</f>
        <v>0</v>
      </c>
      <c r="AY27" s="1" t="n">
        <f aca="false">AP27*(Slot3_Cost-AU27)</f>
        <v>0</v>
      </c>
      <c r="AZ27" s="1" t="n">
        <f aca="false">IF(AND(Slot4_On=1,D27=Slot4_Age),1,0)</f>
        <v>0</v>
      </c>
      <c r="BA27" s="1" t="n">
        <f aca="false">IF(AND(Slot4_On=1,Slot4_Age&gt;D27),1,0)</f>
        <v>0</v>
      </c>
      <c r="BB27" s="1" t="n">
        <f aca="false">HR26</f>
        <v>0</v>
      </c>
      <c r="BC27" s="1" t="n">
        <f aca="false">AZ27*MIN(Slot4_Cost,BB27)</f>
        <v>0</v>
      </c>
      <c r="BD27" s="1" t="n">
        <f aca="false">AZ27*Slot4_SpendLike*MIN(Slot4_Cost-BC27,AV27)</f>
        <v>0</v>
      </c>
      <c r="BE27" s="1" t="n">
        <f aca="false">BC27+BD27</f>
        <v>0</v>
      </c>
      <c r="BF27" s="1" t="n">
        <f aca="false">AV27-BD27+AZ27*IF(Slot4_SpendLike=1,BB27-BC27,IF(Slot4_PotFree=1,BB27,0))</f>
        <v>0</v>
      </c>
      <c r="BG27" s="1" t="n">
        <f aca="false">AW27+AZ27*Slot4_BufPot*BB27</f>
        <v>0</v>
      </c>
      <c r="BH27" s="1" t="n">
        <f aca="false">IF(AND(AZ27=1,Slot4_IsMfree=1),IF(BE27&gt;=Slot4_Cost-1,0,MAX(0,AX27-BE27)),AX27)</f>
        <v>0</v>
      </c>
      <c r="BI27" s="1" t="n">
        <f aca="false">AZ27*(Slot4_Cost-BE27)</f>
        <v>0</v>
      </c>
      <c r="BJ27" s="1" t="n">
        <f aca="false">IF(AND(Slot5_On=1,D27=Slot5_Age),1,0)</f>
        <v>0</v>
      </c>
      <c r="BK27" s="1" t="n">
        <f aca="false">IF(AND(Slot5_On=1,Slot5_Age&gt;D27),1,0)</f>
        <v>0</v>
      </c>
      <c r="BL27" s="1" t="n">
        <f aca="false">HV26</f>
        <v>0</v>
      </c>
      <c r="BM27" s="1" t="n">
        <f aca="false">BJ27*MIN(Slot5_Cost,BL27)</f>
        <v>0</v>
      </c>
      <c r="BN27" s="1" t="n">
        <f aca="false">BJ27*Slot5_SpendLike*MIN(Slot5_Cost-BM27,BF27)</f>
        <v>0</v>
      </c>
      <c r="BO27" s="1" t="n">
        <f aca="false">BM27+BN27</f>
        <v>0</v>
      </c>
      <c r="BP27" s="1" t="n">
        <f aca="false">BF27-BN27+BJ27*IF(Slot5_SpendLike=1,BL27-BM27,IF(Slot5_PotFree=1,BL27,0))</f>
        <v>0</v>
      </c>
      <c r="BQ27" s="1" t="n">
        <f aca="false">BG27+BJ27*Slot5_BufPot*BL27</f>
        <v>0</v>
      </c>
      <c r="BR27" s="1" t="n">
        <f aca="false">IF(AND(BJ27=1,Slot5_IsMfree=1),IF(BO27&gt;=Slot5_Cost-1,0,MAX(0,BH27-BO27)),BH27)</f>
        <v>0</v>
      </c>
      <c r="BS27" s="1" t="n">
        <f aca="false">BJ27*(Slot5_Cost-BO27)</f>
        <v>0</v>
      </c>
      <c r="BT27" s="1" t="n">
        <f aca="false">IF(AND(Slot6_On=1,D27=Slot6_Age),1,0)</f>
        <v>0</v>
      </c>
      <c r="BU27" s="1" t="n">
        <f aca="false">IF(AND(Slot6_On=1,Slot6_Age&gt;D27),1,0)</f>
        <v>0</v>
      </c>
      <c r="BV27" s="1" t="n">
        <f aca="false">HZ26</f>
        <v>0</v>
      </c>
      <c r="BW27" s="1" t="n">
        <f aca="false">BT27*MIN(Slot6_Cost,BV27)</f>
        <v>0</v>
      </c>
      <c r="BX27" s="1" t="n">
        <f aca="false">BT27*Slot6_SpendLike*MIN(Slot6_Cost-BW27,BP27)</f>
        <v>0</v>
      </c>
      <c r="BY27" s="1" t="n">
        <f aca="false">BW27+BX27</f>
        <v>0</v>
      </c>
      <c r="BZ27" s="1" t="n">
        <f aca="false">BP27-BX27+BT27*IF(Slot6_SpendLike=1,BV27-BW27,IF(Slot6_PotFree=1,BV27,0))</f>
        <v>0</v>
      </c>
      <c r="CA27" s="1" t="n">
        <f aca="false">BQ27+BT27*Slot6_BufPot*BV27</f>
        <v>0</v>
      </c>
      <c r="CB27" s="1" t="n">
        <f aca="false">IF(AND(BT27=1,Slot6_IsMfree=1),IF(BY27&gt;=Slot6_Cost-1,0,MAX(0,BR27-BY27)),BR27)</f>
        <v>0</v>
      </c>
      <c r="CC27" s="1" t="n">
        <f aca="false">BT27*(Slot6_Cost-BY27)</f>
        <v>0</v>
      </c>
      <c r="CD27" s="1" t="n">
        <f aca="false">IF(AND(Slot7_On=1,D27=Slot7_Age),1,0)</f>
        <v>0</v>
      </c>
      <c r="CE27" s="1" t="n">
        <f aca="false">IF(AND(Slot7_On=1,Slot7_Age&gt;D27),1,0)</f>
        <v>0</v>
      </c>
      <c r="CF27" s="1" t="n">
        <f aca="false">ID26</f>
        <v>0</v>
      </c>
      <c r="CG27" s="1" t="n">
        <f aca="false">CD27*MIN(Slot7_Cost,CF27)</f>
        <v>0</v>
      </c>
      <c r="CH27" s="1" t="n">
        <f aca="false">CD27*Slot7_SpendLike*MIN(Slot7_Cost-CG27,BZ27)</f>
        <v>0</v>
      </c>
      <c r="CI27" s="1" t="n">
        <f aca="false">CG27+CH27</f>
        <v>0</v>
      </c>
      <c r="CJ27" s="1" t="n">
        <f aca="false">BZ27-CH27+CD27*IF(Slot7_SpendLike=1,CF27-CG27,IF(Slot7_PotFree=1,CF27,0))</f>
        <v>0</v>
      </c>
      <c r="CK27" s="1" t="n">
        <f aca="false">CA27+CD27*Slot7_BufPot*CF27</f>
        <v>0</v>
      </c>
      <c r="CL27" s="1" t="n">
        <f aca="false">IF(AND(CD27=1,Slot7_IsMfree=1),IF(CI27&gt;=Slot7_Cost-1,0,MAX(0,CB27-CI27)),CB27)</f>
        <v>0</v>
      </c>
      <c r="CM27" s="1" t="n">
        <f aca="false">CD27*(Slot7_Cost-CI27)</f>
        <v>0</v>
      </c>
      <c r="CN27" s="1" t="n">
        <f aca="false">IF(AND(Slot8_On=1,D27=Slot8_Age),1,0)</f>
        <v>0</v>
      </c>
      <c r="CO27" s="1" t="n">
        <f aca="false">IF(AND(Slot8_On=1,Slot8_Age&gt;D27),1,0)</f>
        <v>0</v>
      </c>
      <c r="CP27" s="1" t="n">
        <f aca="false">IH26</f>
        <v>0</v>
      </c>
      <c r="CQ27" s="1" t="n">
        <f aca="false">CN27*MIN(Slot8_Cost,CP27)</f>
        <v>0</v>
      </c>
      <c r="CR27" s="1" t="n">
        <f aca="false">CN27*Slot8_SpendLike*MIN(Slot8_Cost-CQ27,CJ27)</f>
        <v>0</v>
      </c>
      <c r="CS27" s="1" t="n">
        <f aca="false">CQ27+CR27</f>
        <v>0</v>
      </c>
      <c r="CT27" s="1" t="n">
        <f aca="false">CJ27-CR27+CN27*IF(Slot8_SpendLike=1,CP27-CQ27,IF(Slot8_PotFree=1,CP27,0))</f>
        <v>0</v>
      </c>
      <c r="CU27" s="1" t="n">
        <f aca="false">CK27+CN27*Slot8_BufPot*CP27</f>
        <v>0</v>
      </c>
      <c r="CV27" s="1" t="n">
        <f aca="false">IF(AND(CN27=1,Slot8_IsMfree=1),IF(CS27&gt;=Slot8_Cost-1,0,MAX(0,CL27-CS27)),CL27)</f>
        <v>0</v>
      </c>
      <c r="CW27" s="1" t="n">
        <f aca="false">CN27*(Slot8_Cost-CS27)</f>
        <v>0</v>
      </c>
      <c r="CX27" s="1" t="n">
        <f aca="false">U27*Slot1_SpendLike*Z27+AF27*Slot2_SpendLike*AK27+AP27*Slot3_SpendLike*AU27+AZ27*Slot4_SpendLike*BE27+BJ27*Slot5_SpendLike*BO27+BT27*Slot6_SpendLike*BY27+CD27*Slot7_SpendLike*CI27+CN27*Slot8_SpendLike*CS27</f>
        <v>0</v>
      </c>
      <c r="CY27" s="1" t="n">
        <f aca="false">AD27+AO27+AY27+BI27+BS27+CC27+CM27+CW27</f>
        <v>0</v>
      </c>
      <c r="CZ27" s="1" t="n">
        <f aca="false">U27*Slot1_Cost+AF27*Slot2_Cost+AP27*Slot3_Cost+AZ27*Slot4_Cost+BJ27*Slot5_Cost+BT27*Slot6_Cost+CD27*Slot7_Cost+CN27*Slot8_Cost</f>
        <v>0</v>
      </c>
      <c r="DA27" s="1" t="n">
        <f aca="false">CV27</f>
        <v>0</v>
      </c>
      <c r="DB27" s="1" t="n">
        <f aca="false">G27-H27-R27</f>
        <v>0</v>
      </c>
      <c r="DC27" s="1" t="n">
        <f aca="false">IF(B27=0,IF(AND(Has_q6=1,In_q6=4),PR_ShareVaries*(MAX(0,DB27)/12),MIN(IF(Has_q6=1,CHOOSE(In_q6+1,PR_SaveB1,PR_SaveB2,PR_SaveB3,PR_SaveB4,0),AS_NoAnswer),AS_SaveShare*(MAX(0,DB27)/12))),DC26)</f>
        <v>0</v>
      </c>
      <c r="DD27" s="1" t="n">
        <f aca="false">IF(DB27&gt;=0,1,0)</f>
        <v>1</v>
      </c>
      <c r="DE27" s="1" t="n">
        <f aca="false">MAX(0,DB27/12/E27)</f>
        <v>0</v>
      </c>
      <c r="DF27" s="1" t="n">
        <f aca="false">IF(AND(Has_q6=1,In_q6=4),PR_ShareVaries*(DE27),MIN(IF(Has_q6=1,CHOOSE(In_q6+1,PR_SaveB1,PR_SaveB2,PR_SaveB3,PR_SaveB4,0),AS_NoAnswer),AS_SaveShare*(DE27)))</f>
        <v>0</v>
      </c>
      <c r="DG27" s="1" t="n">
        <f aca="false">IF(Has_saveM=1,IF(In_saveUp="Yes",1,IF(In_saveUp="No",0,IF(In_saveM&gt;=DC27-0.5,1,0))),0)</f>
        <v>0</v>
      </c>
      <c r="DH27" s="1" t="n">
        <f aca="false">IF(Has_saveM=1,MIN(DE27,IF(DG27=1,MAX(In_saveM,DF27),MIN(In_saveM,DF27))),DF27)</f>
        <v>0</v>
      </c>
      <c r="DI27" s="1" t="n">
        <f aca="false">IF(F27=1,DH27*12*E27,0)</f>
        <v>0</v>
      </c>
      <c r="DJ27" s="1" t="n">
        <f aca="false">MAX(0,DI27+IF(AND(WI_Retire=0,WI_M&lt;0,F27=1),WI_M*12*E27,0))</f>
        <v>0</v>
      </c>
      <c r="DK27" s="1" t="n">
        <f aca="false">Slot1_IsWG*V27+Slot2_IsWG*AG27+Slot3_IsWG*AQ27+Slot4_IsWG*BA27+Slot5_IsWG*BK27+Slot6_IsWG*BU27+Slot7_IsWG*CE27+Slot8_IsWG*CO27</f>
        <v>0</v>
      </c>
      <c r="DL27" s="1" t="n">
        <f aca="false">IF(AND(WI_Retire=0,WI_M&gt;0,F27=1,DK27&gt;=1),WI_M*12*E27,0)</f>
        <v>0</v>
      </c>
      <c r="DM27" s="1" t="n">
        <f aca="false">IF(DD27=1,MIN(DJ27,DB27),0)</f>
        <v>0</v>
      </c>
      <c r="DN27" s="1" t="n">
        <f aca="false">IF(DD27=1,MIN(DL27,DB27-DM27),0)</f>
        <v>0</v>
      </c>
      <c r="DO27" s="1" t="n">
        <f aca="false">IF(V27=1,IF(ABS((1+AS_Wage)/(1+Slot1_Rate)-1)&lt;0.000000000001,(Slot1_Age-D27)*(1+Slot1_Rate)^(Slot1_Age-D27),(1+Slot1_Rate)^(Slot1_Age-D27)*(1-((1+AS_Wage)/(1+Slot1_Rate))^(Slot1_Age-D27))/(1-(1+AS_Wage)/(1+Slot1_Rate))),1)</f>
        <v>1</v>
      </c>
      <c r="DP27" s="1" t="n">
        <f aca="false">IF(AND(DD27=1,DN27&gt;0,Slot1_IsWG=1,V27=1),MAX(0,(Slot1_Cost-W27*(1+Slot1_Rate)^(Slot1_Age-D27))/DO27),0)</f>
        <v>0</v>
      </c>
      <c r="DQ27" s="1" t="n">
        <f aca="false">IF(AND(DD27=1,DN27&gt;0,Slot1_IsWG=1,V27=1),MIN(DN27,DP27),0)</f>
        <v>0</v>
      </c>
      <c r="DR27" s="1" t="n">
        <f aca="false">W27+DQ27</f>
        <v>0</v>
      </c>
      <c r="DS27" s="1" t="n">
        <f aca="false">IF(V27=1,MAX(0,(Slot1_Cost-DR27*(1+Slot1_Rate)^(Slot1_Age-D27))/DO27),0)</f>
        <v>0</v>
      </c>
      <c r="DT27" s="1" t="n">
        <f aca="false">IF(V27=1,MAX(0,(Slot1_Cost-W27*(1+Slot1_Rate)^(Slot1_Age-D27))/DO27),0)</f>
        <v>0</v>
      </c>
      <c r="DU27" s="1" t="n">
        <f aca="false">IF(AND(DD27=1,V27=1),MIN(DM27,DS27),0)</f>
        <v>0</v>
      </c>
      <c r="DV27" s="1" t="n">
        <f aca="false">DM27-DU27</f>
        <v>0</v>
      </c>
      <c r="DW27" s="1" t="n">
        <f aca="false">IF(AG27=1,IF(ABS((1+AS_Wage)/(1+Slot2_Rate)-1)&lt;0.000000000001,(Slot2_Age-D27)*(1+Slot2_Rate)^(Slot2_Age-D27),(1+Slot2_Rate)^(Slot2_Age-D27)*(1-((1+AS_Wage)/(1+Slot2_Rate))^(Slot2_Age-D27))/(1-(1+AS_Wage)/(1+Slot2_Rate))),1)</f>
        <v>1</v>
      </c>
      <c r="DX27" s="1" t="n">
        <f aca="false">IF(AND(DD27=1,DN27&gt;0,Slot2_IsWG=1,AG27=1),MAX(0,(Slot2_Cost-AH27*(1+Slot2_Rate)^(Slot2_Age-D27))/DW27),0)</f>
        <v>0</v>
      </c>
      <c r="DY27" s="1" t="n">
        <f aca="false">IF(AND(DD27=1,DN27&gt;0,Slot2_IsWG=1,AG27=1),MIN(DN27,DX27),0)</f>
        <v>0</v>
      </c>
      <c r="DZ27" s="1" t="n">
        <f aca="false">AH27+DY27</f>
        <v>0</v>
      </c>
      <c r="EA27" s="1" t="n">
        <f aca="false">IF(AG27=1,MAX(0,(Slot2_Cost-DZ27*(1+Slot2_Rate)^(Slot2_Age-D27))/DW27),0)</f>
        <v>0</v>
      </c>
      <c r="EB27" s="1" t="n">
        <f aca="false">IF(AG27=1,MAX(0,(Slot2_Cost-AH27*(1+Slot2_Rate)^(Slot2_Age-D27))/DW27),0)</f>
        <v>0</v>
      </c>
      <c r="EC27" s="1" t="n">
        <f aca="false">IF(AND(DD27=1,AG27=1),MIN(DV27,EA27),0)</f>
        <v>0</v>
      </c>
      <c r="ED27" s="1" t="n">
        <f aca="false">DV27-EC27</f>
        <v>0</v>
      </c>
      <c r="EE27" s="1" t="n">
        <f aca="false">IF(AQ27=1,IF(ABS((1+AS_Wage)/(1+Slot3_Rate)-1)&lt;0.000000000001,(Slot3_Age-D27)*(1+Slot3_Rate)^(Slot3_Age-D27),(1+Slot3_Rate)^(Slot3_Age-D27)*(1-((1+AS_Wage)/(1+Slot3_Rate))^(Slot3_Age-D27))/(1-(1+AS_Wage)/(1+Slot3_Rate))),1)</f>
        <v>1</v>
      </c>
      <c r="EF27" s="1" t="n">
        <f aca="false">IF(AND(DD27=1,DN27&gt;0,Slot3_IsWG=1,AQ27=1),MAX(0,(Slot3_Cost-AR27*(1+Slot3_Rate)^(Slot3_Age-D27))/EE27),0)</f>
        <v>0</v>
      </c>
      <c r="EG27" s="1" t="n">
        <f aca="false">IF(AND(DD27=1,DN27&gt;0,Slot3_IsWG=1,AQ27=1),MIN(DN27,EF27),0)</f>
        <v>0</v>
      </c>
      <c r="EH27" s="1" t="n">
        <f aca="false">AR27+EG27</f>
        <v>0</v>
      </c>
      <c r="EI27" s="1" t="n">
        <f aca="false">IF(AQ27=1,MAX(0,(Slot3_Cost-EH27*(1+Slot3_Rate)^(Slot3_Age-D27))/EE27),0)</f>
        <v>0</v>
      </c>
      <c r="EJ27" s="1" t="n">
        <f aca="false">IF(AQ27=1,MAX(0,(Slot3_Cost-AR27*(1+Slot3_Rate)^(Slot3_Age-D27))/EE27),0)</f>
        <v>0</v>
      </c>
      <c r="EK27" s="1" t="n">
        <f aca="false">IF(AND(DD27=1,AQ27=1),MIN(ED27,EI27),0)</f>
        <v>0</v>
      </c>
      <c r="EL27" s="1" t="n">
        <f aca="false">ED27-EK27</f>
        <v>0</v>
      </c>
      <c r="EM27" s="1" t="n">
        <f aca="false">IF(BA27=1,IF(ABS((1+AS_Wage)/(1+Slot4_Rate)-1)&lt;0.000000000001,(Slot4_Age-D27)*(1+Slot4_Rate)^(Slot4_Age-D27),(1+Slot4_Rate)^(Slot4_Age-D27)*(1-((1+AS_Wage)/(1+Slot4_Rate))^(Slot4_Age-D27))/(1-(1+AS_Wage)/(1+Slot4_Rate))),1)</f>
        <v>1</v>
      </c>
      <c r="EN27" s="1" t="n">
        <f aca="false">IF(AND(DD27=1,DN27&gt;0,Slot4_IsWG=1,BA27=1),MAX(0,(Slot4_Cost-BB27*(1+Slot4_Rate)^(Slot4_Age-D27))/EM27),0)</f>
        <v>0</v>
      </c>
      <c r="EO27" s="1" t="n">
        <f aca="false">IF(AND(DD27=1,DN27&gt;0,Slot4_IsWG=1,BA27=1),MIN(DN27,EN27),0)</f>
        <v>0</v>
      </c>
      <c r="EP27" s="1" t="n">
        <f aca="false">BB27+EO27</f>
        <v>0</v>
      </c>
      <c r="EQ27" s="1" t="n">
        <f aca="false">IF(BA27=1,MAX(0,(Slot4_Cost-EP27*(1+Slot4_Rate)^(Slot4_Age-D27))/EM27),0)</f>
        <v>0</v>
      </c>
      <c r="ER27" s="1" t="n">
        <f aca="false">IF(BA27=1,MAX(0,(Slot4_Cost-BB27*(1+Slot4_Rate)^(Slot4_Age-D27))/EM27),0)</f>
        <v>0</v>
      </c>
      <c r="ES27" s="1" t="n">
        <f aca="false">IF(AND(DD27=1,BA27=1),MIN(EL27,EQ27),0)</f>
        <v>0</v>
      </c>
      <c r="ET27" s="1" t="n">
        <f aca="false">EL27-ES27</f>
        <v>0</v>
      </c>
      <c r="EU27" s="1" t="n">
        <f aca="false">IF(BK27=1,IF(ABS((1+AS_Wage)/(1+Slot5_Rate)-1)&lt;0.000000000001,(Slot5_Age-D27)*(1+Slot5_Rate)^(Slot5_Age-D27),(1+Slot5_Rate)^(Slot5_Age-D27)*(1-((1+AS_Wage)/(1+Slot5_Rate))^(Slot5_Age-D27))/(1-(1+AS_Wage)/(1+Slot5_Rate))),1)</f>
        <v>1</v>
      </c>
      <c r="EV27" s="1" t="n">
        <f aca="false">IF(AND(DD27=1,DN27&gt;0,Slot5_IsWG=1,BK27=1),MAX(0,(Slot5_Cost-BL27*(1+Slot5_Rate)^(Slot5_Age-D27))/EU27),0)</f>
        <v>0</v>
      </c>
      <c r="EW27" s="1" t="n">
        <f aca="false">IF(AND(DD27=1,DN27&gt;0,Slot5_IsWG=1,BK27=1),MIN(DN27,EV27),0)</f>
        <v>0</v>
      </c>
      <c r="EX27" s="1" t="n">
        <f aca="false">BL27+EW27</f>
        <v>0</v>
      </c>
      <c r="EY27" s="1" t="n">
        <f aca="false">IF(BK27=1,MAX(0,(Slot5_Cost-EX27*(1+Slot5_Rate)^(Slot5_Age-D27))/EU27),0)</f>
        <v>0</v>
      </c>
      <c r="EZ27" s="1" t="n">
        <f aca="false">IF(BK27=1,MAX(0,(Slot5_Cost-BL27*(1+Slot5_Rate)^(Slot5_Age-D27))/EU27),0)</f>
        <v>0</v>
      </c>
      <c r="FA27" s="1" t="n">
        <f aca="false">IF(AND(DD27=1,BK27=1),MIN(ET27,EY27),0)</f>
        <v>0</v>
      </c>
      <c r="FB27" s="1" t="n">
        <f aca="false">ET27-FA27</f>
        <v>0</v>
      </c>
      <c r="FC27" s="1" t="n">
        <f aca="false">IF(BU27=1,IF(ABS((1+AS_Wage)/(1+Slot6_Rate)-1)&lt;0.000000000001,(Slot6_Age-D27)*(1+Slot6_Rate)^(Slot6_Age-D27),(1+Slot6_Rate)^(Slot6_Age-D27)*(1-((1+AS_Wage)/(1+Slot6_Rate))^(Slot6_Age-D27))/(1-(1+AS_Wage)/(1+Slot6_Rate))),1)</f>
        <v>1</v>
      </c>
      <c r="FD27" s="1" t="n">
        <f aca="false">IF(AND(DD27=1,DN27&gt;0,Slot6_IsWG=1,BU27=1),MAX(0,(Slot6_Cost-BV27*(1+Slot6_Rate)^(Slot6_Age-D27))/FC27),0)</f>
        <v>0</v>
      </c>
      <c r="FE27" s="1" t="n">
        <f aca="false">IF(AND(DD27=1,DN27&gt;0,Slot6_IsWG=1,BU27=1),MIN(DN27,FD27),0)</f>
        <v>0</v>
      </c>
      <c r="FF27" s="1" t="n">
        <f aca="false">BV27+FE27</f>
        <v>0</v>
      </c>
      <c r="FG27" s="1" t="n">
        <f aca="false">IF(BU27=1,MAX(0,(Slot6_Cost-FF27*(1+Slot6_Rate)^(Slot6_Age-D27))/FC27),0)</f>
        <v>0</v>
      </c>
      <c r="FH27" s="1" t="n">
        <f aca="false">IF(BU27=1,MAX(0,(Slot6_Cost-BV27*(1+Slot6_Rate)^(Slot6_Age-D27))/FC27),0)</f>
        <v>0</v>
      </c>
      <c r="FI27" s="1" t="n">
        <f aca="false">IF(AND(DD27=1,BU27=1),MIN(FB27,FG27),0)</f>
        <v>0</v>
      </c>
      <c r="FJ27" s="1" t="n">
        <f aca="false">FB27-FI27</f>
        <v>0</v>
      </c>
      <c r="FK27" s="1" t="n">
        <f aca="false">IF(CE27=1,IF(ABS((1+AS_Wage)/(1+Slot7_Rate)-1)&lt;0.000000000001,(Slot7_Age-D27)*(1+Slot7_Rate)^(Slot7_Age-D27),(1+Slot7_Rate)^(Slot7_Age-D27)*(1-((1+AS_Wage)/(1+Slot7_Rate))^(Slot7_Age-D27))/(1-(1+AS_Wage)/(1+Slot7_Rate))),1)</f>
        <v>1</v>
      </c>
      <c r="FL27" s="1" t="n">
        <f aca="false">IF(AND(DD27=1,DN27&gt;0,Slot7_IsWG=1,CE27=1),MAX(0,(Slot7_Cost-CF27*(1+Slot7_Rate)^(Slot7_Age-D27))/FK27),0)</f>
        <v>0</v>
      </c>
      <c r="FM27" s="1" t="n">
        <f aca="false">IF(AND(DD27=1,DN27&gt;0,Slot7_IsWG=1,CE27=1),MIN(DN27,FL27),0)</f>
        <v>0</v>
      </c>
      <c r="FN27" s="1" t="n">
        <f aca="false">CF27+FM27</f>
        <v>0</v>
      </c>
      <c r="FO27" s="1" t="n">
        <f aca="false">IF(CE27=1,MAX(0,(Slot7_Cost-FN27*(1+Slot7_Rate)^(Slot7_Age-D27))/FK27),0)</f>
        <v>0</v>
      </c>
      <c r="FP27" s="1" t="n">
        <f aca="false">IF(CE27=1,MAX(0,(Slot7_Cost-CF27*(1+Slot7_Rate)^(Slot7_Age-D27))/FK27),0)</f>
        <v>0</v>
      </c>
      <c r="FQ27" s="1" t="n">
        <f aca="false">IF(AND(DD27=1,CE27=1),MIN(FJ27,FO27),0)</f>
        <v>0</v>
      </c>
      <c r="FR27" s="1" t="n">
        <f aca="false">FJ27-FQ27</f>
        <v>0</v>
      </c>
      <c r="FS27" s="1" t="n">
        <f aca="false">IF(CO27=1,IF(ABS((1+AS_Wage)/(1+Slot8_Rate)-1)&lt;0.000000000001,(Slot8_Age-D27)*(1+Slot8_Rate)^(Slot8_Age-D27),(1+Slot8_Rate)^(Slot8_Age-D27)*(1-((1+AS_Wage)/(1+Slot8_Rate))^(Slot8_Age-D27))/(1-(1+AS_Wage)/(1+Slot8_Rate))),1)</f>
        <v>1</v>
      </c>
      <c r="FT27" s="1" t="n">
        <f aca="false">IF(AND(DD27=1,DN27&gt;0,Slot8_IsWG=1,CO27=1),MAX(0,(Slot8_Cost-CP27*(1+Slot8_Rate)^(Slot8_Age-D27))/FS27),0)</f>
        <v>0</v>
      </c>
      <c r="FU27" s="1" t="n">
        <f aca="false">IF(AND(DD27=1,DN27&gt;0,Slot8_IsWG=1,CO27=1),MIN(DN27,FT27),0)</f>
        <v>0</v>
      </c>
      <c r="FV27" s="1" t="n">
        <f aca="false">CP27+FU27</f>
        <v>0</v>
      </c>
      <c r="FW27" s="1" t="n">
        <f aca="false">IF(CO27=1,MAX(0,(Slot8_Cost-FV27*(1+Slot8_Rate)^(Slot8_Age-D27))/FS27),0)</f>
        <v>0</v>
      </c>
      <c r="FX27" s="1" t="n">
        <f aca="false">IF(CO27=1,MAX(0,(Slot8_Cost-CP27*(1+Slot8_Rate)^(Slot8_Age-D27))/FS27),0)</f>
        <v>0</v>
      </c>
      <c r="FY27" s="1" t="n">
        <f aca="false">IF(AND(DD27=1,CO27=1),MIN(FR27,FW27),0)</f>
        <v>0</v>
      </c>
      <c r="FZ27" s="1" t="n">
        <f aca="false">FR27-FY27</f>
        <v>0</v>
      </c>
      <c r="GA27" s="1" t="n">
        <f aca="false">DN27-(DQ27+DY27+EG27+EO27+EW27+FE27+FM27+FU27)</f>
        <v>0</v>
      </c>
      <c r="GB27" s="1" t="n">
        <f aca="false">IF(DD27=1,DB27-DM27-DN27,0)</f>
        <v>0</v>
      </c>
      <c r="GC27" s="1" t="n">
        <f aca="false">IF(DD27=0,-DB27,0)</f>
        <v>0</v>
      </c>
      <c r="GD27" s="1" t="n">
        <f aca="false">MIN(GC27,CT27)</f>
        <v>0</v>
      </c>
      <c r="GE27" s="1" t="n">
        <f aca="false">GC27-GD27</f>
        <v>0</v>
      </c>
      <c r="GF27" s="1" t="n">
        <f aca="false">MIN(GE27,CU27)</f>
        <v>0</v>
      </c>
      <c r="GG27" s="1" t="n">
        <f aca="false">GE27-GF27</f>
        <v>0</v>
      </c>
      <c r="GH27" s="1" t="n">
        <f aca="false">IF(AND(DD27=0,CO27=1,GG27&gt;0),MIN(GG27,CP27),0)</f>
        <v>0</v>
      </c>
      <c r="GI27" s="1" t="n">
        <f aca="false">GG27-GH27</f>
        <v>0</v>
      </c>
      <c r="GJ27" s="1" t="n">
        <f aca="false">IF(AND(DD27=0,CE27=1,GI27&gt;0),MIN(GI27,CF27),0)</f>
        <v>0</v>
      </c>
      <c r="GK27" s="1" t="n">
        <f aca="false">GI27-GJ27</f>
        <v>0</v>
      </c>
      <c r="GL27" s="1" t="n">
        <f aca="false">IF(AND(DD27=0,BU27=1,GK27&gt;0),MIN(GK27,BV27),0)</f>
        <v>0</v>
      </c>
      <c r="GM27" s="1" t="n">
        <f aca="false">GK27-GL27</f>
        <v>0</v>
      </c>
      <c r="GN27" s="1" t="n">
        <f aca="false">IF(AND(DD27=0,BK27=1,GM27&gt;0),MIN(GM27,BL27),0)</f>
        <v>0</v>
      </c>
      <c r="GO27" s="1" t="n">
        <f aca="false">GM27-GN27</f>
        <v>0</v>
      </c>
      <c r="GP27" s="1" t="n">
        <f aca="false">IF(AND(DD27=0,BA27=1,GO27&gt;0),MIN(GO27,BB27),0)</f>
        <v>0</v>
      </c>
      <c r="GQ27" s="1" t="n">
        <f aca="false">GO27-GP27</f>
        <v>0</v>
      </c>
      <c r="GR27" s="1" t="n">
        <f aca="false">IF(AND(DD27=0,AQ27=1,GQ27&gt;0),MIN(GQ27,AR27),0)</f>
        <v>0</v>
      </c>
      <c r="GS27" s="1" t="n">
        <f aca="false">GQ27-GR27</f>
        <v>0</v>
      </c>
      <c r="GT27" s="1" t="n">
        <f aca="false">IF(AND(DD27=0,AG27=1,GS27&gt;0),MIN(GS27,AH27),0)</f>
        <v>0</v>
      </c>
      <c r="GU27" s="1" t="n">
        <f aca="false">GS27-GT27</f>
        <v>0</v>
      </c>
      <c r="GV27" s="1" t="n">
        <f aca="false">IF(AND(DD27=0,V27=1,GU27&gt;0),MIN(GU27,W27),0)</f>
        <v>0</v>
      </c>
      <c r="GW27" s="1" t="n">
        <f aca="false">GU27-GV27</f>
        <v>0</v>
      </c>
      <c r="GX27" s="1" t="n">
        <f aca="false">IF(DD27=0,GW27,0)</f>
        <v>0</v>
      </c>
      <c r="GY27" s="1" t="n">
        <f aca="false">GD27+GF27+GV27+GT27+GR27+GP27+GN27+GL27+GJ27+GH27</f>
        <v>0</v>
      </c>
      <c r="GZ27" s="1" t="n">
        <f aca="false">IF(DD27=1,CT27+GA27+FZ27+IF(F27=1,0,GB27),CT27-GD27)</f>
        <v>0</v>
      </c>
      <c r="HA27" s="1" t="n">
        <f aca="false">CU27-GF27</f>
        <v>0</v>
      </c>
      <c r="HB27" s="1" t="n">
        <f aca="false">IF(DD27=1,IF(F27=1,DM27+DN27,DB27),0)</f>
        <v>0</v>
      </c>
      <c r="HC27" s="1" t="n">
        <f aca="false">IF(DD27=1,IF(F27=1,DB27-DM27-DN27,0),0)</f>
        <v>0</v>
      </c>
      <c r="HD27" s="1" t="n">
        <f aca="false">GZ27*(1+GR)</f>
        <v>0</v>
      </c>
      <c r="HE27" s="1" t="n">
        <f aca="false">HA27*(1+AS_Cash)</f>
        <v>0</v>
      </c>
      <c r="HF27" s="1" t="n">
        <f aca="false">IF(V27=1,IF(DD27=1,DR27+DU27,W27-GV27)*(1+Slot1_Rate),0)</f>
        <v>0</v>
      </c>
      <c r="HG27" s="1" t="n">
        <f aca="false">IF(AND(DD27=1,V27=1),(DQ27+DU27)/E27,0)</f>
        <v>0</v>
      </c>
      <c r="HH27" s="1" t="n">
        <f aca="false">IF(B27=0,DQ27+DU27,0)</f>
        <v>0</v>
      </c>
      <c r="HI27" s="1" t="n">
        <f aca="false">IF(B27=0,IF(DD27=1,DS27,DT27),0)</f>
        <v>0</v>
      </c>
      <c r="HJ27" s="1" t="n">
        <f aca="false">IF(AG27=1,IF(DD27=1,DZ27+EC27,AH27-GT27)*(1+Slot2_Rate),0)</f>
        <v>0</v>
      </c>
      <c r="HK27" s="1" t="n">
        <f aca="false">IF(AND(DD27=1,AG27=1),(DY27+EC27)/E27,0)</f>
        <v>0</v>
      </c>
      <c r="HL27" s="1" t="n">
        <f aca="false">IF(B27=0,DY27+EC27,0)</f>
        <v>0</v>
      </c>
      <c r="HM27" s="1" t="n">
        <f aca="false">IF(B27=0,IF(DD27=1,EA27,EB27),0)</f>
        <v>0</v>
      </c>
      <c r="HN27" s="1" t="n">
        <f aca="false">IF(AQ27=1,IF(DD27=1,EH27+EK27,AR27-GR27)*(1+Slot3_Rate),0)</f>
        <v>0</v>
      </c>
      <c r="HO27" s="1" t="n">
        <f aca="false">IF(AND(DD27=1,AQ27=1),(EG27+EK27)/E27,0)</f>
        <v>0</v>
      </c>
      <c r="HP27" s="1" t="n">
        <f aca="false">IF(B27=0,EG27+EK27,0)</f>
        <v>0</v>
      </c>
      <c r="HQ27" s="1" t="n">
        <f aca="false">IF(B27=0,IF(DD27=1,EI27,EJ27),0)</f>
        <v>0</v>
      </c>
      <c r="HR27" s="1" t="n">
        <f aca="false">IF(BA27=1,IF(DD27=1,EP27+ES27,BB27-GP27)*(1+Slot4_Rate),0)</f>
        <v>0</v>
      </c>
      <c r="HS27" s="1" t="n">
        <f aca="false">IF(AND(DD27=1,BA27=1),(EO27+ES27)/E27,0)</f>
        <v>0</v>
      </c>
      <c r="HT27" s="1" t="n">
        <f aca="false">IF(B27=0,EO27+ES27,0)</f>
        <v>0</v>
      </c>
      <c r="HU27" s="1" t="n">
        <f aca="false">IF(B27=0,IF(DD27=1,EQ27,ER27),0)</f>
        <v>0</v>
      </c>
      <c r="HV27" s="1" t="n">
        <f aca="false">IF(BK27=1,IF(DD27=1,EX27+FA27,BL27-GN27)*(1+Slot5_Rate),0)</f>
        <v>0</v>
      </c>
      <c r="HW27" s="1" t="n">
        <f aca="false">IF(AND(DD27=1,BK27=1),(EW27+FA27)/E27,0)</f>
        <v>0</v>
      </c>
      <c r="HX27" s="1" t="n">
        <f aca="false">IF(B27=0,EW27+FA27,0)</f>
        <v>0</v>
      </c>
      <c r="HY27" s="1" t="n">
        <f aca="false">IF(B27=0,IF(DD27=1,EY27,EZ27),0)</f>
        <v>0</v>
      </c>
      <c r="HZ27" s="1" t="n">
        <f aca="false">IF(BU27=1,IF(DD27=1,FF27+FI27,BV27-GL27)*(1+Slot6_Rate),0)</f>
        <v>0</v>
      </c>
      <c r="IA27" s="1" t="n">
        <f aca="false">IF(AND(DD27=1,BU27=1),(FE27+FI27)/E27,0)</f>
        <v>0</v>
      </c>
      <c r="IB27" s="1" t="n">
        <f aca="false">IF(B27=0,FE27+FI27,0)</f>
        <v>0</v>
      </c>
      <c r="IC27" s="1" t="n">
        <f aca="false">IF(B27=0,IF(DD27=1,FG27,FH27),0)</f>
        <v>0</v>
      </c>
      <c r="ID27" s="1" t="n">
        <f aca="false">IF(CE27=1,IF(DD27=1,FN27+FQ27,CF27-GJ27)*(1+Slot7_Rate),0)</f>
        <v>0</v>
      </c>
      <c r="IE27" s="1" t="n">
        <f aca="false">IF(AND(DD27=1,CE27=1),(FM27+FQ27)/E27,0)</f>
        <v>0</v>
      </c>
      <c r="IF27" s="1" t="n">
        <f aca="false">IF(B27=0,FM27+FQ27,0)</f>
        <v>0</v>
      </c>
      <c r="IG27" s="1" t="n">
        <f aca="false">IF(B27=0,IF(DD27=1,FO27,FP27),0)</f>
        <v>0</v>
      </c>
      <c r="IH27" s="1" t="n">
        <f aca="false">IF(CO27=1,IF(DD27=1,FV27+FY27,CP27-GH27)*(1+Slot8_Rate),0)</f>
        <v>0</v>
      </c>
      <c r="II27" s="1" t="n">
        <f aca="false">IF(AND(DD27=1,CO27=1),(FU27+FY27)/E27,0)</f>
        <v>0</v>
      </c>
      <c r="IJ27" s="1" t="n">
        <f aca="false">IF(B27=0,FU27+FY27,0)</f>
        <v>0</v>
      </c>
      <c r="IK27" s="1" t="n">
        <f aca="false">IF(B27=0,IF(DD27=1,FW27,FX27),0)</f>
        <v>0</v>
      </c>
      <c r="IL27" s="1" t="n">
        <f aca="false">HD27+HE27+HF27+HJ27+HN27+HR27+HV27+HZ27+ID27+IH27</f>
        <v>0</v>
      </c>
      <c r="IM27" s="1" t="n">
        <f aca="false">GX27+CY27</f>
        <v>0</v>
      </c>
      <c r="IN27" s="1" t="n">
        <f aca="false">H27+R27</f>
        <v>0</v>
      </c>
      <c r="IO27" s="1" t="n">
        <f aca="false">1-F27</f>
        <v>1</v>
      </c>
      <c r="IP27" s="1" t="n">
        <f aca="false">IF(AND(RG_Exists=1,F27=0,C27=1),H27,0)</f>
        <v>0</v>
      </c>
      <c r="IQ27" s="1" t="n">
        <f aca="false">IF(AND(RG_Exists=1,F27=0,C27=1),H27-MIN(GX27,H27),0)</f>
        <v>0</v>
      </c>
      <c r="IR27" s="1" t="n">
        <f aca="false">'Plan pay &amp; tax'!AD229</f>
        <v>0</v>
      </c>
      <c r="IS27" s="1" t="n">
        <f aca="false">IF(AND(C27=1,GX27&gt;MAX(PR_Short1,IN27*PR_Short2)),1,0)</f>
        <v>0</v>
      </c>
      <c r="IT27" s="1" t="n">
        <f aca="false">MIN(G27,H27+R27)</f>
        <v>0</v>
      </c>
      <c r="IU27" s="1" t="n">
        <f aca="false">GY27+MAX(0,CZ27-CY27)</f>
        <v>0</v>
      </c>
      <c r="IV27" s="1" t="n">
        <f aca="false">GX27+CY27</f>
        <v>0</v>
      </c>
      <c r="IW27" s="1" t="n">
        <f aca="false">IF(AND(C27=1,IV27&gt;0.5),1,0)</f>
        <v>0</v>
      </c>
      <c r="IX27" s="1" t="n">
        <f aca="false">IF(AND(C27=1,IW27=0,IU27&gt;0.5),1,0)</f>
        <v>0</v>
      </c>
      <c r="IY27" s="1" t="n">
        <f aca="false">IF(AND(C27=1,GX27&gt;0.5),1,0)</f>
        <v>0</v>
      </c>
      <c r="IZ27" s="1" t="n">
        <f aca="false">IF(AND(C27=1,GY27&gt;1,JF27=0),1,0)</f>
        <v>0</v>
      </c>
      <c r="JA27" s="1" t="n">
        <f aca="false">IF(AND(INT(D27/10)*10=90,B27&gt;0),80,INT(D27/10)*10)</f>
        <v>10</v>
      </c>
      <c r="JB27" s="1" t="n">
        <f aca="false">IF(B27=0,1,IF(JA27&lt;&gt;JA26,JB26+1,JB26))</f>
        <v>2</v>
      </c>
      <c r="JC27" s="1" t="n">
        <f aca="false">IF(AND(C27=1,F27=1,GX27&gt;MAX(PR_Short1,IN27*PR_Short2)),1,0)</f>
        <v>0</v>
      </c>
      <c r="JD27" s="1" t="n">
        <f aca="false">IO27*IS27</f>
        <v>0</v>
      </c>
      <c r="JE27" s="1" t="n">
        <f aca="false">IF(AND(U27=1,Slot1_PctLow=1),1,0)+IF(AND(AF27=1,Slot2_PctLow=1),1,0)+IF(AND(AP27=1,Slot3_PctLow=1),1,0)+IF(AND(AZ27=1,Slot4_PctLow=1),1,0)+IF(AND(BJ27=1,Slot5_PctLow=1),1,0)+IF(AND(BT27=1,Slot6_PctLow=1),1,0)+IF(AND(CD27=1,Slot7_PctLow=1),1,0)+IF(AND(CN27=1,Slot8_PctLow=1),1,0)</f>
        <v>0</v>
      </c>
      <c r="JF27" s="1" t="n">
        <f aca="false">IF(C27=1,IF(OR(IS27=1,JE27&gt;0),1,0),0)</f>
        <v>0</v>
      </c>
    </row>
    <row r="28" customFormat="false" ht="15" hidden="false" customHeight="false" outlineLevel="0" collapsed="false">
      <c r="B28" s="1" t="n">
        <v>20</v>
      </c>
      <c r="C28" s="1" t="n">
        <f aca="false">IF(B28&lt;=F_N,1,0)</f>
        <v>1</v>
      </c>
      <c r="D28" s="1" t="n">
        <f aca="false">'Plan pay &amp; tax'!C230</f>
        <v>20</v>
      </c>
      <c r="E28" s="106" t="n">
        <f aca="false">'Plan pay &amp; tax'!E230</f>
        <v>1.48594739597836</v>
      </c>
      <c r="F28" s="1" t="n">
        <f aca="false">'Plan pay &amp; tax'!G230</f>
        <v>0</v>
      </c>
      <c r="G28" s="1" t="n">
        <f aca="false">'Plan pay &amp; tax'!BT230-'Plan pay &amp; tax'!BS230-'Plan pay &amp; tax'!R230</f>
        <v>0</v>
      </c>
      <c r="H28" s="1" t="n">
        <f aca="false">IF(F28=1,F_CostsM*12,IF(RG_Exists=1,RG_Amount,F_CostsM*12*AS_RetireSpend))*E28+F_OneOffY*E28</f>
        <v>0</v>
      </c>
      <c r="I28" s="1" t="n">
        <f aca="false">DA27</f>
        <v>0</v>
      </c>
      <c r="J28" s="1" t="n">
        <f aca="false">IF(I28&gt;1,'Plan debt months'!AC28,0)</f>
        <v>0</v>
      </c>
      <c r="K28" s="1" t="n">
        <f aca="false">IF(I28&gt;1,'Plan debt months'!AB28,I28)</f>
        <v>0</v>
      </c>
      <c r="L28" s="1" t="n">
        <f aca="false">N27</f>
        <v>0</v>
      </c>
      <c r="M28" s="1" t="n">
        <f aca="false">IF(L28&gt;1,'Plan debt months'!BD28,0)</f>
        <v>0</v>
      </c>
      <c r="N28" s="1" t="n">
        <f aca="false">IF(L28&gt;1,'Plan debt months'!BC28,L28)</f>
        <v>0</v>
      </c>
      <c r="O28" s="1" t="n">
        <f aca="false">Q27</f>
        <v>0</v>
      </c>
      <c r="P28" s="1" t="n">
        <f aca="false">IF(O28&gt;1,'Plan debt months'!CE28,0)</f>
        <v>0</v>
      </c>
      <c r="Q28" s="1" t="n">
        <f aca="false">IF(O28&gt;1,'Plan debt months'!CD28,O28)</f>
        <v>0</v>
      </c>
      <c r="R28" s="1" t="n">
        <f aca="false">J28+M28+P28</f>
        <v>0</v>
      </c>
      <c r="S28" s="1" t="n">
        <f aca="false">HD27+'Plan pay &amp; tax'!Y230</f>
        <v>0</v>
      </c>
      <c r="T28" s="1" t="n">
        <f aca="false">HD27</f>
        <v>0</v>
      </c>
      <c r="U28" s="1" t="n">
        <f aca="false">IF(AND(Slot1_On=1,D28=Slot1_Age),1,0)</f>
        <v>0</v>
      </c>
      <c r="V28" s="1" t="n">
        <f aca="false">IF(AND(Slot1_On=1,Slot1_Age&gt;D28),1,0)</f>
        <v>0</v>
      </c>
      <c r="W28" s="1" t="n">
        <f aca="false">HF27</f>
        <v>0</v>
      </c>
      <c r="X28" s="1" t="n">
        <f aca="false">U28*MIN(Slot1_Cost,W28)</f>
        <v>0</v>
      </c>
      <c r="Y28" s="1" t="n">
        <f aca="false">U28*Slot1_SpendLike*MIN(Slot1_Cost-X28,S28)</f>
        <v>0</v>
      </c>
      <c r="Z28" s="1" t="n">
        <f aca="false">X28+Y28</f>
        <v>0</v>
      </c>
      <c r="AA28" s="1" t="n">
        <f aca="false">S28-Y28+U28*IF(Slot1_SpendLike=1,W28-X28,IF(Slot1_PotFree=1,W28,0))</f>
        <v>0</v>
      </c>
      <c r="AB28" s="1" t="n">
        <f aca="false">AE28+U28*Slot1_BufPot*W28</f>
        <v>0</v>
      </c>
      <c r="AC28" s="1" t="n">
        <f aca="false">IF(AND(U28=1,Slot1_IsMfree=1),IF(Z28&gt;=Slot1_Cost-1,0,MAX(0,K28-Z28)),K28)</f>
        <v>0</v>
      </c>
      <c r="AD28" s="1" t="n">
        <f aca="false">U28*(Slot1_Cost-Z28)</f>
        <v>0</v>
      </c>
      <c r="AE28" s="1" t="n">
        <f aca="false">HE27</f>
        <v>0</v>
      </c>
      <c r="AF28" s="1" t="n">
        <f aca="false">IF(AND(Slot2_On=1,D28=Slot2_Age),1,0)</f>
        <v>0</v>
      </c>
      <c r="AG28" s="1" t="n">
        <f aca="false">IF(AND(Slot2_On=1,Slot2_Age&gt;D28),1,0)</f>
        <v>0</v>
      </c>
      <c r="AH28" s="1" t="n">
        <f aca="false">HJ27</f>
        <v>0</v>
      </c>
      <c r="AI28" s="1" t="n">
        <f aca="false">AF28*MIN(Slot2_Cost,AH28)</f>
        <v>0</v>
      </c>
      <c r="AJ28" s="1" t="n">
        <f aca="false">AF28*Slot2_SpendLike*MIN(Slot2_Cost-AI28,AA28)</f>
        <v>0</v>
      </c>
      <c r="AK28" s="1" t="n">
        <f aca="false">AI28+AJ28</f>
        <v>0</v>
      </c>
      <c r="AL28" s="1" t="n">
        <f aca="false">AA28-AJ28+AF28*IF(Slot2_SpendLike=1,AH28-AI28,IF(Slot2_PotFree=1,AH28,0))</f>
        <v>0</v>
      </c>
      <c r="AM28" s="1" t="n">
        <f aca="false">AB28+AF28*Slot2_BufPot*AH28</f>
        <v>0</v>
      </c>
      <c r="AN28" s="1" t="n">
        <f aca="false">IF(AND(AF28=1,Slot2_IsMfree=1),IF(AK28&gt;=Slot2_Cost-1,0,MAX(0,AC28-AK28)),AC28)</f>
        <v>0</v>
      </c>
      <c r="AO28" s="1" t="n">
        <f aca="false">AF28*(Slot2_Cost-AK28)</f>
        <v>0</v>
      </c>
      <c r="AP28" s="1" t="n">
        <f aca="false">IF(AND(Slot3_On=1,D28=Slot3_Age),1,0)</f>
        <v>0</v>
      </c>
      <c r="AQ28" s="1" t="n">
        <f aca="false">IF(AND(Slot3_On=1,Slot3_Age&gt;D28),1,0)</f>
        <v>0</v>
      </c>
      <c r="AR28" s="1" t="n">
        <f aca="false">HN27</f>
        <v>0</v>
      </c>
      <c r="AS28" s="1" t="n">
        <f aca="false">AP28*MIN(Slot3_Cost,AR28)</f>
        <v>0</v>
      </c>
      <c r="AT28" s="1" t="n">
        <f aca="false">AP28*Slot3_SpendLike*MIN(Slot3_Cost-AS28,AL28)</f>
        <v>0</v>
      </c>
      <c r="AU28" s="1" t="n">
        <f aca="false">AS28+AT28</f>
        <v>0</v>
      </c>
      <c r="AV28" s="1" t="n">
        <f aca="false">AL28-AT28+AP28*IF(Slot3_SpendLike=1,AR28-AS28,IF(Slot3_PotFree=1,AR28,0))</f>
        <v>0</v>
      </c>
      <c r="AW28" s="1" t="n">
        <f aca="false">AM28+AP28*Slot3_BufPot*AR28</f>
        <v>0</v>
      </c>
      <c r="AX28" s="1" t="n">
        <f aca="false">IF(AND(AP28=1,Slot3_IsMfree=1),IF(AU28&gt;=Slot3_Cost-1,0,MAX(0,AN28-AU28)),AN28)</f>
        <v>0</v>
      </c>
      <c r="AY28" s="1" t="n">
        <f aca="false">AP28*(Slot3_Cost-AU28)</f>
        <v>0</v>
      </c>
      <c r="AZ28" s="1" t="n">
        <f aca="false">IF(AND(Slot4_On=1,D28=Slot4_Age),1,0)</f>
        <v>0</v>
      </c>
      <c r="BA28" s="1" t="n">
        <f aca="false">IF(AND(Slot4_On=1,Slot4_Age&gt;D28),1,0)</f>
        <v>0</v>
      </c>
      <c r="BB28" s="1" t="n">
        <f aca="false">HR27</f>
        <v>0</v>
      </c>
      <c r="BC28" s="1" t="n">
        <f aca="false">AZ28*MIN(Slot4_Cost,BB28)</f>
        <v>0</v>
      </c>
      <c r="BD28" s="1" t="n">
        <f aca="false">AZ28*Slot4_SpendLike*MIN(Slot4_Cost-BC28,AV28)</f>
        <v>0</v>
      </c>
      <c r="BE28" s="1" t="n">
        <f aca="false">BC28+BD28</f>
        <v>0</v>
      </c>
      <c r="BF28" s="1" t="n">
        <f aca="false">AV28-BD28+AZ28*IF(Slot4_SpendLike=1,BB28-BC28,IF(Slot4_PotFree=1,BB28,0))</f>
        <v>0</v>
      </c>
      <c r="BG28" s="1" t="n">
        <f aca="false">AW28+AZ28*Slot4_BufPot*BB28</f>
        <v>0</v>
      </c>
      <c r="BH28" s="1" t="n">
        <f aca="false">IF(AND(AZ28=1,Slot4_IsMfree=1),IF(BE28&gt;=Slot4_Cost-1,0,MAX(0,AX28-BE28)),AX28)</f>
        <v>0</v>
      </c>
      <c r="BI28" s="1" t="n">
        <f aca="false">AZ28*(Slot4_Cost-BE28)</f>
        <v>0</v>
      </c>
      <c r="BJ28" s="1" t="n">
        <f aca="false">IF(AND(Slot5_On=1,D28=Slot5_Age),1,0)</f>
        <v>0</v>
      </c>
      <c r="BK28" s="1" t="n">
        <f aca="false">IF(AND(Slot5_On=1,Slot5_Age&gt;D28),1,0)</f>
        <v>0</v>
      </c>
      <c r="BL28" s="1" t="n">
        <f aca="false">HV27</f>
        <v>0</v>
      </c>
      <c r="BM28" s="1" t="n">
        <f aca="false">BJ28*MIN(Slot5_Cost,BL28)</f>
        <v>0</v>
      </c>
      <c r="BN28" s="1" t="n">
        <f aca="false">BJ28*Slot5_SpendLike*MIN(Slot5_Cost-BM28,BF28)</f>
        <v>0</v>
      </c>
      <c r="BO28" s="1" t="n">
        <f aca="false">BM28+BN28</f>
        <v>0</v>
      </c>
      <c r="BP28" s="1" t="n">
        <f aca="false">BF28-BN28+BJ28*IF(Slot5_SpendLike=1,BL28-BM28,IF(Slot5_PotFree=1,BL28,0))</f>
        <v>0</v>
      </c>
      <c r="BQ28" s="1" t="n">
        <f aca="false">BG28+BJ28*Slot5_BufPot*BL28</f>
        <v>0</v>
      </c>
      <c r="BR28" s="1" t="n">
        <f aca="false">IF(AND(BJ28=1,Slot5_IsMfree=1),IF(BO28&gt;=Slot5_Cost-1,0,MAX(0,BH28-BO28)),BH28)</f>
        <v>0</v>
      </c>
      <c r="BS28" s="1" t="n">
        <f aca="false">BJ28*(Slot5_Cost-BO28)</f>
        <v>0</v>
      </c>
      <c r="BT28" s="1" t="n">
        <f aca="false">IF(AND(Slot6_On=1,D28=Slot6_Age),1,0)</f>
        <v>0</v>
      </c>
      <c r="BU28" s="1" t="n">
        <f aca="false">IF(AND(Slot6_On=1,Slot6_Age&gt;D28),1,0)</f>
        <v>0</v>
      </c>
      <c r="BV28" s="1" t="n">
        <f aca="false">HZ27</f>
        <v>0</v>
      </c>
      <c r="BW28" s="1" t="n">
        <f aca="false">BT28*MIN(Slot6_Cost,BV28)</f>
        <v>0</v>
      </c>
      <c r="BX28" s="1" t="n">
        <f aca="false">BT28*Slot6_SpendLike*MIN(Slot6_Cost-BW28,BP28)</f>
        <v>0</v>
      </c>
      <c r="BY28" s="1" t="n">
        <f aca="false">BW28+BX28</f>
        <v>0</v>
      </c>
      <c r="BZ28" s="1" t="n">
        <f aca="false">BP28-BX28+BT28*IF(Slot6_SpendLike=1,BV28-BW28,IF(Slot6_PotFree=1,BV28,0))</f>
        <v>0</v>
      </c>
      <c r="CA28" s="1" t="n">
        <f aca="false">BQ28+BT28*Slot6_BufPot*BV28</f>
        <v>0</v>
      </c>
      <c r="CB28" s="1" t="n">
        <f aca="false">IF(AND(BT28=1,Slot6_IsMfree=1),IF(BY28&gt;=Slot6_Cost-1,0,MAX(0,BR28-BY28)),BR28)</f>
        <v>0</v>
      </c>
      <c r="CC28" s="1" t="n">
        <f aca="false">BT28*(Slot6_Cost-BY28)</f>
        <v>0</v>
      </c>
      <c r="CD28" s="1" t="n">
        <f aca="false">IF(AND(Slot7_On=1,D28=Slot7_Age),1,0)</f>
        <v>0</v>
      </c>
      <c r="CE28" s="1" t="n">
        <f aca="false">IF(AND(Slot7_On=1,Slot7_Age&gt;D28),1,0)</f>
        <v>0</v>
      </c>
      <c r="CF28" s="1" t="n">
        <f aca="false">ID27</f>
        <v>0</v>
      </c>
      <c r="CG28" s="1" t="n">
        <f aca="false">CD28*MIN(Slot7_Cost,CF28)</f>
        <v>0</v>
      </c>
      <c r="CH28" s="1" t="n">
        <f aca="false">CD28*Slot7_SpendLike*MIN(Slot7_Cost-CG28,BZ28)</f>
        <v>0</v>
      </c>
      <c r="CI28" s="1" t="n">
        <f aca="false">CG28+CH28</f>
        <v>0</v>
      </c>
      <c r="CJ28" s="1" t="n">
        <f aca="false">BZ28-CH28+CD28*IF(Slot7_SpendLike=1,CF28-CG28,IF(Slot7_PotFree=1,CF28,0))</f>
        <v>0</v>
      </c>
      <c r="CK28" s="1" t="n">
        <f aca="false">CA28+CD28*Slot7_BufPot*CF28</f>
        <v>0</v>
      </c>
      <c r="CL28" s="1" t="n">
        <f aca="false">IF(AND(CD28=1,Slot7_IsMfree=1),IF(CI28&gt;=Slot7_Cost-1,0,MAX(0,CB28-CI28)),CB28)</f>
        <v>0</v>
      </c>
      <c r="CM28" s="1" t="n">
        <f aca="false">CD28*(Slot7_Cost-CI28)</f>
        <v>0</v>
      </c>
      <c r="CN28" s="1" t="n">
        <f aca="false">IF(AND(Slot8_On=1,D28=Slot8_Age),1,0)</f>
        <v>0</v>
      </c>
      <c r="CO28" s="1" t="n">
        <f aca="false">IF(AND(Slot8_On=1,Slot8_Age&gt;D28),1,0)</f>
        <v>0</v>
      </c>
      <c r="CP28" s="1" t="n">
        <f aca="false">IH27</f>
        <v>0</v>
      </c>
      <c r="CQ28" s="1" t="n">
        <f aca="false">CN28*MIN(Slot8_Cost,CP28)</f>
        <v>0</v>
      </c>
      <c r="CR28" s="1" t="n">
        <f aca="false">CN28*Slot8_SpendLike*MIN(Slot8_Cost-CQ28,CJ28)</f>
        <v>0</v>
      </c>
      <c r="CS28" s="1" t="n">
        <f aca="false">CQ28+CR28</f>
        <v>0</v>
      </c>
      <c r="CT28" s="1" t="n">
        <f aca="false">CJ28-CR28+CN28*IF(Slot8_SpendLike=1,CP28-CQ28,IF(Slot8_PotFree=1,CP28,0))</f>
        <v>0</v>
      </c>
      <c r="CU28" s="1" t="n">
        <f aca="false">CK28+CN28*Slot8_BufPot*CP28</f>
        <v>0</v>
      </c>
      <c r="CV28" s="1" t="n">
        <f aca="false">IF(AND(CN28=1,Slot8_IsMfree=1),IF(CS28&gt;=Slot8_Cost-1,0,MAX(0,CL28-CS28)),CL28)</f>
        <v>0</v>
      </c>
      <c r="CW28" s="1" t="n">
        <f aca="false">CN28*(Slot8_Cost-CS28)</f>
        <v>0</v>
      </c>
      <c r="CX28" s="1" t="n">
        <f aca="false">U28*Slot1_SpendLike*Z28+AF28*Slot2_SpendLike*AK28+AP28*Slot3_SpendLike*AU28+AZ28*Slot4_SpendLike*BE28+BJ28*Slot5_SpendLike*BO28+BT28*Slot6_SpendLike*BY28+CD28*Slot7_SpendLike*CI28+CN28*Slot8_SpendLike*CS28</f>
        <v>0</v>
      </c>
      <c r="CY28" s="1" t="n">
        <f aca="false">AD28+AO28+AY28+BI28+BS28+CC28+CM28+CW28</f>
        <v>0</v>
      </c>
      <c r="CZ28" s="1" t="n">
        <f aca="false">U28*Slot1_Cost+AF28*Slot2_Cost+AP28*Slot3_Cost+AZ28*Slot4_Cost+BJ28*Slot5_Cost+BT28*Slot6_Cost+CD28*Slot7_Cost+CN28*Slot8_Cost</f>
        <v>0</v>
      </c>
      <c r="DA28" s="1" t="n">
        <f aca="false">CV28</f>
        <v>0</v>
      </c>
      <c r="DB28" s="1" t="n">
        <f aca="false">G28-H28-R28</f>
        <v>0</v>
      </c>
      <c r="DC28" s="1" t="n">
        <f aca="false">IF(B28=0,IF(AND(Has_q6=1,In_q6=4),PR_ShareVaries*(MAX(0,DB28)/12),MIN(IF(Has_q6=1,CHOOSE(In_q6+1,PR_SaveB1,PR_SaveB2,PR_SaveB3,PR_SaveB4,0),AS_NoAnswer),AS_SaveShare*(MAX(0,DB28)/12))),DC27)</f>
        <v>0</v>
      </c>
      <c r="DD28" s="1" t="n">
        <f aca="false">IF(DB28&gt;=0,1,0)</f>
        <v>1</v>
      </c>
      <c r="DE28" s="1" t="n">
        <f aca="false">MAX(0,DB28/12/E28)</f>
        <v>0</v>
      </c>
      <c r="DF28" s="1" t="n">
        <f aca="false">IF(AND(Has_q6=1,In_q6=4),PR_ShareVaries*(DE28),MIN(IF(Has_q6=1,CHOOSE(In_q6+1,PR_SaveB1,PR_SaveB2,PR_SaveB3,PR_SaveB4,0),AS_NoAnswer),AS_SaveShare*(DE28)))</f>
        <v>0</v>
      </c>
      <c r="DG28" s="1" t="n">
        <f aca="false">IF(Has_saveM=1,IF(In_saveUp="Yes",1,IF(In_saveUp="No",0,IF(In_saveM&gt;=DC28-0.5,1,0))),0)</f>
        <v>0</v>
      </c>
      <c r="DH28" s="1" t="n">
        <f aca="false">IF(Has_saveM=1,MIN(DE28,IF(DG28=1,MAX(In_saveM,DF28),MIN(In_saveM,DF28))),DF28)</f>
        <v>0</v>
      </c>
      <c r="DI28" s="1" t="n">
        <f aca="false">IF(F28=1,DH28*12*E28,0)</f>
        <v>0</v>
      </c>
      <c r="DJ28" s="1" t="n">
        <f aca="false">MAX(0,DI28+IF(AND(WI_Retire=0,WI_M&lt;0,F28=1),WI_M*12*E28,0))</f>
        <v>0</v>
      </c>
      <c r="DK28" s="1" t="n">
        <f aca="false">Slot1_IsWG*V28+Slot2_IsWG*AG28+Slot3_IsWG*AQ28+Slot4_IsWG*BA28+Slot5_IsWG*BK28+Slot6_IsWG*BU28+Slot7_IsWG*CE28+Slot8_IsWG*CO28</f>
        <v>0</v>
      </c>
      <c r="DL28" s="1" t="n">
        <f aca="false">IF(AND(WI_Retire=0,WI_M&gt;0,F28=1,DK28&gt;=1),WI_M*12*E28,0)</f>
        <v>0</v>
      </c>
      <c r="DM28" s="1" t="n">
        <f aca="false">IF(DD28=1,MIN(DJ28,DB28),0)</f>
        <v>0</v>
      </c>
      <c r="DN28" s="1" t="n">
        <f aca="false">IF(DD28=1,MIN(DL28,DB28-DM28),0)</f>
        <v>0</v>
      </c>
      <c r="DO28" s="1" t="n">
        <f aca="false">IF(V28=1,IF(ABS((1+AS_Wage)/(1+Slot1_Rate)-1)&lt;0.000000000001,(Slot1_Age-D28)*(1+Slot1_Rate)^(Slot1_Age-D28),(1+Slot1_Rate)^(Slot1_Age-D28)*(1-((1+AS_Wage)/(1+Slot1_Rate))^(Slot1_Age-D28))/(1-(1+AS_Wage)/(1+Slot1_Rate))),1)</f>
        <v>1</v>
      </c>
      <c r="DP28" s="1" t="n">
        <f aca="false">IF(AND(DD28=1,DN28&gt;0,Slot1_IsWG=1,V28=1),MAX(0,(Slot1_Cost-W28*(1+Slot1_Rate)^(Slot1_Age-D28))/DO28),0)</f>
        <v>0</v>
      </c>
      <c r="DQ28" s="1" t="n">
        <f aca="false">IF(AND(DD28=1,DN28&gt;0,Slot1_IsWG=1,V28=1),MIN(DN28,DP28),0)</f>
        <v>0</v>
      </c>
      <c r="DR28" s="1" t="n">
        <f aca="false">W28+DQ28</f>
        <v>0</v>
      </c>
      <c r="DS28" s="1" t="n">
        <f aca="false">IF(V28=1,MAX(0,(Slot1_Cost-DR28*(1+Slot1_Rate)^(Slot1_Age-D28))/DO28),0)</f>
        <v>0</v>
      </c>
      <c r="DT28" s="1" t="n">
        <f aca="false">IF(V28=1,MAX(0,(Slot1_Cost-W28*(1+Slot1_Rate)^(Slot1_Age-D28))/DO28),0)</f>
        <v>0</v>
      </c>
      <c r="DU28" s="1" t="n">
        <f aca="false">IF(AND(DD28=1,V28=1),MIN(DM28,DS28),0)</f>
        <v>0</v>
      </c>
      <c r="DV28" s="1" t="n">
        <f aca="false">DM28-DU28</f>
        <v>0</v>
      </c>
      <c r="DW28" s="1" t="n">
        <f aca="false">IF(AG28=1,IF(ABS((1+AS_Wage)/(1+Slot2_Rate)-1)&lt;0.000000000001,(Slot2_Age-D28)*(1+Slot2_Rate)^(Slot2_Age-D28),(1+Slot2_Rate)^(Slot2_Age-D28)*(1-((1+AS_Wage)/(1+Slot2_Rate))^(Slot2_Age-D28))/(1-(1+AS_Wage)/(1+Slot2_Rate))),1)</f>
        <v>1</v>
      </c>
      <c r="DX28" s="1" t="n">
        <f aca="false">IF(AND(DD28=1,DN28&gt;0,Slot2_IsWG=1,AG28=1),MAX(0,(Slot2_Cost-AH28*(1+Slot2_Rate)^(Slot2_Age-D28))/DW28),0)</f>
        <v>0</v>
      </c>
      <c r="DY28" s="1" t="n">
        <f aca="false">IF(AND(DD28=1,DN28&gt;0,Slot2_IsWG=1,AG28=1),MIN(DN28,DX28),0)</f>
        <v>0</v>
      </c>
      <c r="DZ28" s="1" t="n">
        <f aca="false">AH28+DY28</f>
        <v>0</v>
      </c>
      <c r="EA28" s="1" t="n">
        <f aca="false">IF(AG28=1,MAX(0,(Slot2_Cost-DZ28*(1+Slot2_Rate)^(Slot2_Age-D28))/DW28),0)</f>
        <v>0</v>
      </c>
      <c r="EB28" s="1" t="n">
        <f aca="false">IF(AG28=1,MAX(0,(Slot2_Cost-AH28*(1+Slot2_Rate)^(Slot2_Age-D28))/DW28),0)</f>
        <v>0</v>
      </c>
      <c r="EC28" s="1" t="n">
        <f aca="false">IF(AND(DD28=1,AG28=1),MIN(DV28,EA28),0)</f>
        <v>0</v>
      </c>
      <c r="ED28" s="1" t="n">
        <f aca="false">DV28-EC28</f>
        <v>0</v>
      </c>
      <c r="EE28" s="1" t="n">
        <f aca="false">IF(AQ28=1,IF(ABS((1+AS_Wage)/(1+Slot3_Rate)-1)&lt;0.000000000001,(Slot3_Age-D28)*(1+Slot3_Rate)^(Slot3_Age-D28),(1+Slot3_Rate)^(Slot3_Age-D28)*(1-((1+AS_Wage)/(1+Slot3_Rate))^(Slot3_Age-D28))/(1-(1+AS_Wage)/(1+Slot3_Rate))),1)</f>
        <v>1</v>
      </c>
      <c r="EF28" s="1" t="n">
        <f aca="false">IF(AND(DD28=1,DN28&gt;0,Slot3_IsWG=1,AQ28=1),MAX(0,(Slot3_Cost-AR28*(1+Slot3_Rate)^(Slot3_Age-D28))/EE28),0)</f>
        <v>0</v>
      </c>
      <c r="EG28" s="1" t="n">
        <f aca="false">IF(AND(DD28=1,DN28&gt;0,Slot3_IsWG=1,AQ28=1),MIN(DN28,EF28),0)</f>
        <v>0</v>
      </c>
      <c r="EH28" s="1" t="n">
        <f aca="false">AR28+EG28</f>
        <v>0</v>
      </c>
      <c r="EI28" s="1" t="n">
        <f aca="false">IF(AQ28=1,MAX(0,(Slot3_Cost-EH28*(1+Slot3_Rate)^(Slot3_Age-D28))/EE28),0)</f>
        <v>0</v>
      </c>
      <c r="EJ28" s="1" t="n">
        <f aca="false">IF(AQ28=1,MAX(0,(Slot3_Cost-AR28*(1+Slot3_Rate)^(Slot3_Age-D28))/EE28),0)</f>
        <v>0</v>
      </c>
      <c r="EK28" s="1" t="n">
        <f aca="false">IF(AND(DD28=1,AQ28=1),MIN(ED28,EI28),0)</f>
        <v>0</v>
      </c>
      <c r="EL28" s="1" t="n">
        <f aca="false">ED28-EK28</f>
        <v>0</v>
      </c>
      <c r="EM28" s="1" t="n">
        <f aca="false">IF(BA28=1,IF(ABS((1+AS_Wage)/(1+Slot4_Rate)-1)&lt;0.000000000001,(Slot4_Age-D28)*(1+Slot4_Rate)^(Slot4_Age-D28),(1+Slot4_Rate)^(Slot4_Age-D28)*(1-((1+AS_Wage)/(1+Slot4_Rate))^(Slot4_Age-D28))/(1-(1+AS_Wage)/(1+Slot4_Rate))),1)</f>
        <v>1</v>
      </c>
      <c r="EN28" s="1" t="n">
        <f aca="false">IF(AND(DD28=1,DN28&gt;0,Slot4_IsWG=1,BA28=1),MAX(0,(Slot4_Cost-BB28*(1+Slot4_Rate)^(Slot4_Age-D28))/EM28),0)</f>
        <v>0</v>
      </c>
      <c r="EO28" s="1" t="n">
        <f aca="false">IF(AND(DD28=1,DN28&gt;0,Slot4_IsWG=1,BA28=1),MIN(DN28,EN28),0)</f>
        <v>0</v>
      </c>
      <c r="EP28" s="1" t="n">
        <f aca="false">BB28+EO28</f>
        <v>0</v>
      </c>
      <c r="EQ28" s="1" t="n">
        <f aca="false">IF(BA28=1,MAX(0,(Slot4_Cost-EP28*(1+Slot4_Rate)^(Slot4_Age-D28))/EM28),0)</f>
        <v>0</v>
      </c>
      <c r="ER28" s="1" t="n">
        <f aca="false">IF(BA28=1,MAX(0,(Slot4_Cost-BB28*(1+Slot4_Rate)^(Slot4_Age-D28))/EM28),0)</f>
        <v>0</v>
      </c>
      <c r="ES28" s="1" t="n">
        <f aca="false">IF(AND(DD28=1,BA28=1),MIN(EL28,EQ28),0)</f>
        <v>0</v>
      </c>
      <c r="ET28" s="1" t="n">
        <f aca="false">EL28-ES28</f>
        <v>0</v>
      </c>
      <c r="EU28" s="1" t="n">
        <f aca="false">IF(BK28=1,IF(ABS((1+AS_Wage)/(1+Slot5_Rate)-1)&lt;0.000000000001,(Slot5_Age-D28)*(1+Slot5_Rate)^(Slot5_Age-D28),(1+Slot5_Rate)^(Slot5_Age-D28)*(1-((1+AS_Wage)/(1+Slot5_Rate))^(Slot5_Age-D28))/(1-(1+AS_Wage)/(1+Slot5_Rate))),1)</f>
        <v>1</v>
      </c>
      <c r="EV28" s="1" t="n">
        <f aca="false">IF(AND(DD28=1,DN28&gt;0,Slot5_IsWG=1,BK28=1),MAX(0,(Slot5_Cost-BL28*(1+Slot5_Rate)^(Slot5_Age-D28))/EU28),0)</f>
        <v>0</v>
      </c>
      <c r="EW28" s="1" t="n">
        <f aca="false">IF(AND(DD28=1,DN28&gt;0,Slot5_IsWG=1,BK28=1),MIN(DN28,EV28),0)</f>
        <v>0</v>
      </c>
      <c r="EX28" s="1" t="n">
        <f aca="false">BL28+EW28</f>
        <v>0</v>
      </c>
      <c r="EY28" s="1" t="n">
        <f aca="false">IF(BK28=1,MAX(0,(Slot5_Cost-EX28*(1+Slot5_Rate)^(Slot5_Age-D28))/EU28),0)</f>
        <v>0</v>
      </c>
      <c r="EZ28" s="1" t="n">
        <f aca="false">IF(BK28=1,MAX(0,(Slot5_Cost-BL28*(1+Slot5_Rate)^(Slot5_Age-D28))/EU28),0)</f>
        <v>0</v>
      </c>
      <c r="FA28" s="1" t="n">
        <f aca="false">IF(AND(DD28=1,BK28=1),MIN(ET28,EY28),0)</f>
        <v>0</v>
      </c>
      <c r="FB28" s="1" t="n">
        <f aca="false">ET28-FA28</f>
        <v>0</v>
      </c>
      <c r="FC28" s="1" t="n">
        <f aca="false">IF(BU28=1,IF(ABS((1+AS_Wage)/(1+Slot6_Rate)-1)&lt;0.000000000001,(Slot6_Age-D28)*(1+Slot6_Rate)^(Slot6_Age-D28),(1+Slot6_Rate)^(Slot6_Age-D28)*(1-((1+AS_Wage)/(1+Slot6_Rate))^(Slot6_Age-D28))/(1-(1+AS_Wage)/(1+Slot6_Rate))),1)</f>
        <v>1</v>
      </c>
      <c r="FD28" s="1" t="n">
        <f aca="false">IF(AND(DD28=1,DN28&gt;0,Slot6_IsWG=1,BU28=1),MAX(0,(Slot6_Cost-BV28*(1+Slot6_Rate)^(Slot6_Age-D28))/FC28),0)</f>
        <v>0</v>
      </c>
      <c r="FE28" s="1" t="n">
        <f aca="false">IF(AND(DD28=1,DN28&gt;0,Slot6_IsWG=1,BU28=1),MIN(DN28,FD28),0)</f>
        <v>0</v>
      </c>
      <c r="FF28" s="1" t="n">
        <f aca="false">BV28+FE28</f>
        <v>0</v>
      </c>
      <c r="FG28" s="1" t="n">
        <f aca="false">IF(BU28=1,MAX(0,(Slot6_Cost-FF28*(1+Slot6_Rate)^(Slot6_Age-D28))/FC28),0)</f>
        <v>0</v>
      </c>
      <c r="FH28" s="1" t="n">
        <f aca="false">IF(BU28=1,MAX(0,(Slot6_Cost-BV28*(1+Slot6_Rate)^(Slot6_Age-D28))/FC28),0)</f>
        <v>0</v>
      </c>
      <c r="FI28" s="1" t="n">
        <f aca="false">IF(AND(DD28=1,BU28=1),MIN(FB28,FG28),0)</f>
        <v>0</v>
      </c>
      <c r="FJ28" s="1" t="n">
        <f aca="false">FB28-FI28</f>
        <v>0</v>
      </c>
      <c r="FK28" s="1" t="n">
        <f aca="false">IF(CE28=1,IF(ABS((1+AS_Wage)/(1+Slot7_Rate)-1)&lt;0.000000000001,(Slot7_Age-D28)*(1+Slot7_Rate)^(Slot7_Age-D28),(1+Slot7_Rate)^(Slot7_Age-D28)*(1-((1+AS_Wage)/(1+Slot7_Rate))^(Slot7_Age-D28))/(1-(1+AS_Wage)/(1+Slot7_Rate))),1)</f>
        <v>1</v>
      </c>
      <c r="FL28" s="1" t="n">
        <f aca="false">IF(AND(DD28=1,DN28&gt;0,Slot7_IsWG=1,CE28=1),MAX(0,(Slot7_Cost-CF28*(1+Slot7_Rate)^(Slot7_Age-D28))/FK28),0)</f>
        <v>0</v>
      </c>
      <c r="FM28" s="1" t="n">
        <f aca="false">IF(AND(DD28=1,DN28&gt;0,Slot7_IsWG=1,CE28=1),MIN(DN28,FL28),0)</f>
        <v>0</v>
      </c>
      <c r="FN28" s="1" t="n">
        <f aca="false">CF28+FM28</f>
        <v>0</v>
      </c>
      <c r="FO28" s="1" t="n">
        <f aca="false">IF(CE28=1,MAX(0,(Slot7_Cost-FN28*(1+Slot7_Rate)^(Slot7_Age-D28))/FK28),0)</f>
        <v>0</v>
      </c>
      <c r="FP28" s="1" t="n">
        <f aca="false">IF(CE28=1,MAX(0,(Slot7_Cost-CF28*(1+Slot7_Rate)^(Slot7_Age-D28))/FK28),0)</f>
        <v>0</v>
      </c>
      <c r="FQ28" s="1" t="n">
        <f aca="false">IF(AND(DD28=1,CE28=1),MIN(FJ28,FO28),0)</f>
        <v>0</v>
      </c>
      <c r="FR28" s="1" t="n">
        <f aca="false">FJ28-FQ28</f>
        <v>0</v>
      </c>
      <c r="FS28" s="1" t="n">
        <f aca="false">IF(CO28=1,IF(ABS((1+AS_Wage)/(1+Slot8_Rate)-1)&lt;0.000000000001,(Slot8_Age-D28)*(1+Slot8_Rate)^(Slot8_Age-D28),(1+Slot8_Rate)^(Slot8_Age-D28)*(1-((1+AS_Wage)/(1+Slot8_Rate))^(Slot8_Age-D28))/(1-(1+AS_Wage)/(1+Slot8_Rate))),1)</f>
        <v>1</v>
      </c>
      <c r="FT28" s="1" t="n">
        <f aca="false">IF(AND(DD28=1,DN28&gt;0,Slot8_IsWG=1,CO28=1),MAX(0,(Slot8_Cost-CP28*(1+Slot8_Rate)^(Slot8_Age-D28))/FS28),0)</f>
        <v>0</v>
      </c>
      <c r="FU28" s="1" t="n">
        <f aca="false">IF(AND(DD28=1,DN28&gt;0,Slot8_IsWG=1,CO28=1),MIN(DN28,FT28),0)</f>
        <v>0</v>
      </c>
      <c r="FV28" s="1" t="n">
        <f aca="false">CP28+FU28</f>
        <v>0</v>
      </c>
      <c r="FW28" s="1" t="n">
        <f aca="false">IF(CO28=1,MAX(0,(Slot8_Cost-FV28*(1+Slot8_Rate)^(Slot8_Age-D28))/FS28),0)</f>
        <v>0</v>
      </c>
      <c r="FX28" s="1" t="n">
        <f aca="false">IF(CO28=1,MAX(0,(Slot8_Cost-CP28*(1+Slot8_Rate)^(Slot8_Age-D28))/FS28),0)</f>
        <v>0</v>
      </c>
      <c r="FY28" s="1" t="n">
        <f aca="false">IF(AND(DD28=1,CO28=1),MIN(FR28,FW28),0)</f>
        <v>0</v>
      </c>
      <c r="FZ28" s="1" t="n">
        <f aca="false">FR28-FY28</f>
        <v>0</v>
      </c>
      <c r="GA28" s="1" t="n">
        <f aca="false">DN28-(DQ28+DY28+EG28+EO28+EW28+FE28+FM28+FU28)</f>
        <v>0</v>
      </c>
      <c r="GB28" s="1" t="n">
        <f aca="false">IF(DD28=1,DB28-DM28-DN28,0)</f>
        <v>0</v>
      </c>
      <c r="GC28" s="1" t="n">
        <f aca="false">IF(DD28=0,-DB28,0)</f>
        <v>0</v>
      </c>
      <c r="GD28" s="1" t="n">
        <f aca="false">MIN(GC28,CT28)</f>
        <v>0</v>
      </c>
      <c r="GE28" s="1" t="n">
        <f aca="false">GC28-GD28</f>
        <v>0</v>
      </c>
      <c r="GF28" s="1" t="n">
        <f aca="false">MIN(GE28,CU28)</f>
        <v>0</v>
      </c>
      <c r="GG28" s="1" t="n">
        <f aca="false">GE28-GF28</f>
        <v>0</v>
      </c>
      <c r="GH28" s="1" t="n">
        <f aca="false">IF(AND(DD28=0,CO28=1,GG28&gt;0),MIN(GG28,CP28),0)</f>
        <v>0</v>
      </c>
      <c r="GI28" s="1" t="n">
        <f aca="false">GG28-GH28</f>
        <v>0</v>
      </c>
      <c r="GJ28" s="1" t="n">
        <f aca="false">IF(AND(DD28=0,CE28=1,GI28&gt;0),MIN(GI28,CF28),0)</f>
        <v>0</v>
      </c>
      <c r="GK28" s="1" t="n">
        <f aca="false">GI28-GJ28</f>
        <v>0</v>
      </c>
      <c r="GL28" s="1" t="n">
        <f aca="false">IF(AND(DD28=0,BU28=1,GK28&gt;0),MIN(GK28,BV28),0)</f>
        <v>0</v>
      </c>
      <c r="GM28" s="1" t="n">
        <f aca="false">GK28-GL28</f>
        <v>0</v>
      </c>
      <c r="GN28" s="1" t="n">
        <f aca="false">IF(AND(DD28=0,BK28=1,GM28&gt;0),MIN(GM28,BL28),0)</f>
        <v>0</v>
      </c>
      <c r="GO28" s="1" t="n">
        <f aca="false">GM28-GN28</f>
        <v>0</v>
      </c>
      <c r="GP28" s="1" t="n">
        <f aca="false">IF(AND(DD28=0,BA28=1,GO28&gt;0),MIN(GO28,BB28),0)</f>
        <v>0</v>
      </c>
      <c r="GQ28" s="1" t="n">
        <f aca="false">GO28-GP28</f>
        <v>0</v>
      </c>
      <c r="GR28" s="1" t="n">
        <f aca="false">IF(AND(DD28=0,AQ28=1,GQ28&gt;0),MIN(GQ28,AR28),0)</f>
        <v>0</v>
      </c>
      <c r="GS28" s="1" t="n">
        <f aca="false">GQ28-GR28</f>
        <v>0</v>
      </c>
      <c r="GT28" s="1" t="n">
        <f aca="false">IF(AND(DD28=0,AG28=1,GS28&gt;0),MIN(GS28,AH28),0)</f>
        <v>0</v>
      </c>
      <c r="GU28" s="1" t="n">
        <f aca="false">GS28-GT28</f>
        <v>0</v>
      </c>
      <c r="GV28" s="1" t="n">
        <f aca="false">IF(AND(DD28=0,V28=1,GU28&gt;0),MIN(GU28,W28),0)</f>
        <v>0</v>
      </c>
      <c r="GW28" s="1" t="n">
        <f aca="false">GU28-GV28</f>
        <v>0</v>
      </c>
      <c r="GX28" s="1" t="n">
        <f aca="false">IF(DD28=0,GW28,0)</f>
        <v>0</v>
      </c>
      <c r="GY28" s="1" t="n">
        <f aca="false">GD28+GF28+GV28+GT28+GR28+GP28+GN28+GL28+GJ28+GH28</f>
        <v>0</v>
      </c>
      <c r="GZ28" s="1" t="n">
        <f aca="false">IF(DD28=1,CT28+GA28+FZ28+IF(F28=1,0,GB28),CT28-GD28)</f>
        <v>0</v>
      </c>
      <c r="HA28" s="1" t="n">
        <f aca="false">CU28-GF28</f>
        <v>0</v>
      </c>
      <c r="HB28" s="1" t="n">
        <f aca="false">IF(DD28=1,IF(F28=1,DM28+DN28,DB28),0)</f>
        <v>0</v>
      </c>
      <c r="HC28" s="1" t="n">
        <f aca="false">IF(DD28=1,IF(F28=1,DB28-DM28-DN28,0),0)</f>
        <v>0</v>
      </c>
      <c r="HD28" s="1" t="n">
        <f aca="false">GZ28*(1+GR)</f>
        <v>0</v>
      </c>
      <c r="HE28" s="1" t="n">
        <f aca="false">HA28*(1+AS_Cash)</f>
        <v>0</v>
      </c>
      <c r="HF28" s="1" t="n">
        <f aca="false">IF(V28=1,IF(DD28=1,DR28+DU28,W28-GV28)*(1+Slot1_Rate),0)</f>
        <v>0</v>
      </c>
      <c r="HG28" s="1" t="n">
        <f aca="false">IF(AND(DD28=1,V28=1),(DQ28+DU28)/E28,0)</f>
        <v>0</v>
      </c>
      <c r="HH28" s="1" t="n">
        <f aca="false">IF(B28=0,DQ28+DU28,0)</f>
        <v>0</v>
      </c>
      <c r="HI28" s="1" t="n">
        <f aca="false">IF(B28=0,IF(DD28=1,DS28,DT28),0)</f>
        <v>0</v>
      </c>
      <c r="HJ28" s="1" t="n">
        <f aca="false">IF(AG28=1,IF(DD28=1,DZ28+EC28,AH28-GT28)*(1+Slot2_Rate),0)</f>
        <v>0</v>
      </c>
      <c r="HK28" s="1" t="n">
        <f aca="false">IF(AND(DD28=1,AG28=1),(DY28+EC28)/E28,0)</f>
        <v>0</v>
      </c>
      <c r="HL28" s="1" t="n">
        <f aca="false">IF(B28=0,DY28+EC28,0)</f>
        <v>0</v>
      </c>
      <c r="HM28" s="1" t="n">
        <f aca="false">IF(B28=0,IF(DD28=1,EA28,EB28),0)</f>
        <v>0</v>
      </c>
      <c r="HN28" s="1" t="n">
        <f aca="false">IF(AQ28=1,IF(DD28=1,EH28+EK28,AR28-GR28)*(1+Slot3_Rate),0)</f>
        <v>0</v>
      </c>
      <c r="HO28" s="1" t="n">
        <f aca="false">IF(AND(DD28=1,AQ28=1),(EG28+EK28)/E28,0)</f>
        <v>0</v>
      </c>
      <c r="HP28" s="1" t="n">
        <f aca="false">IF(B28=0,EG28+EK28,0)</f>
        <v>0</v>
      </c>
      <c r="HQ28" s="1" t="n">
        <f aca="false">IF(B28=0,IF(DD28=1,EI28,EJ28),0)</f>
        <v>0</v>
      </c>
      <c r="HR28" s="1" t="n">
        <f aca="false">IF(BA28=1,IF(DD28=1,EP28+ES28,BB28-GP28)*(1+Slot4_Rate),0)</f>
        <v>0</v>
      </c>
      <c r="HS28" s="1" t="n">
        <f aca="false">IF(AND(DD28=1,BA28=1),(EO28+ES28)/E28,0)</f>
        <v>0</v>
      </c>
      <c r="HT28" s="1" t="n">
        <f aca="false">IF(B28=0,EO28+ES28,0)</f>
        <v>0</v>
      </c>
      <c r="HU28" s="1" t="n">
        <f aca="false">IF(B28=0,IF(DD28=1,EQ28,ER28),0)</f>
        <v>0</v>
      </c>
      <c r="HV28" s="1" t="n">
        <f aca="false">IF(BK28=1,IF(DD28=1,EX28+FA28,BL28-GN28)*(1+Slot5_Rate),0)</f>
        <v>0</v>
      </c>
      <c r="HW28" s="1" t="n">
        <f aca="false">IF(AND(DD28=1,BK28=1),(EW28+FA28)/E28,0)</f>
        <v>0</v>
      </c>
      <c r="HX28" s="1" t="n">
        <f aca="false">IF(B28=0,EW28+FA28,0)</f>
        <v>0</v>
      </c>
      <c r="HY28" s="1" t="n">
        <f aca="false">IF(B28=0,IF(DD28=1,EY28,EZ28),0)</f>
        <v>0</v>
      </c>
      <c r="HZ28" s="1" t="n">
        <f aca="false">IF(BU28=1,IF(DD28=1,FF28+FI28,BV28-GL28)*(1+Slot6_Rate),0)</f>
        <v>0</v>
      </c>
      <c r="IA28" s="1" t="n">
        <f aca="false">IF(AND(DD28=1,BU28=1),(FE28+FI28)/E28,0)</f>
        <v>0</v>
      </c>
      <c r="IB28" s="1" t="n">
        <f aca="false">IF(B28=0,FE28+FI28,0)</f>
        <v>0</v>
      </c>
      <c r="IC28" s="1" t="n">
        <f aca="false">IF(B28=0,IF(DD28=1,FG28,FH28),0)</f>
        <v>0</v>
      </c>
      <c r="ID28" s="1" t="n">
        <f aca="false">IF(CE28=1,IF(DD28=1,FN28+FQ28,CF28-GJ28)*(1+Slot7_Rate),0)</f>
        <v>0</v>
      </c>
      <c r="IE28" s="1" t="n">
        <f aca="false">IF(AND(DD28=1,CE28=1),(FM28+FQ28)/E28,0)</f>
        <v>0</v>
      </c>
      <c r="IF28" s="1" t="n">
        <f aca="false">IF(B28=0,FM28+FQ28,0)</f>
        <v>0</v>
      </c>
      <c r="IG28" s="1" t="n">
        <f aca="false">IF(B28=0,IF(DD28=1,FO28,FP28),0)</f>
        <v>0</v>
      </c>
      <c r="IH28" s="1" t="n">
        <f aca="false">IF(CO28=1,IF(DD28=1,FV28+FY28,CP28-GH28)*(1+Slot8_Rate),0)</f>
        <v>0</v>
      </c>
      <c r="II28" s="1" t="n">
        <f aca="false">IF(AND(DD28=1,CO28=1),(FU28+FY28)/E28,0)</f>
        <v>0</v>
      </c>
      <c r="IJ28" s="1" t="n">
        <f aca="false">IF(B28=0,FU28+FY28,0)</f>
        <v>0</v>
      </c>
      <c r="IK28" s="1" t="n">
        <f aca="false">IF(B28=0,IF(DD28=1,FW28,FX28),0)</f>
        <v>0</v>
      </c>
      <c r="IL28" s="1" t="n">
        <f aca="false">HD28+HE28+HF28+HJ28+HN28+HR28+HV28+HZ28+ID28+IH28</f>
        <v>0</v>
      </c>
      <c r="IM28" s="1" t="n">
        <f aca="false">GX28+CY28</f>
        <v>0</v>
      </c>
      <c r="IN28" s="1" t="n">
        <f aca="false">H28+R28</f>
        <v>0</v>
      </c>
      <c r="IO28" s="1" t="n">
        <f aca="false">1-F28</f>
        <v>1</v>
      </c>
      <c r="IP28" s="1" t="n">
        <f aca="false">IF(AND(RG_Exists=1,F28=0,C28=1),H28,0)</f>
        <v>0</v>
      </c>
      <c r="IQ28" s="1" t="n">
        <f aca="false">IF(AND(RG_Exists=1,F28=0,C28=1),H28-MIN(GX28,H28),0)</f>
        <v>0</v>
      </c>
      <c r="IR28" s="1" t="n">
        <f aca="false">'Plan pay &amp; tax'!AD230</f>
        <v>0</v>
      </c>
      <c r="IS28" s="1" t="n">
        <f aca="false">IF(AND(C28=1,GX28&gt;MAX(PR_Short1,IN28*PR_Short2)),1,0)</f>
        <v>0</v>
      </c>
      <c r="IT28" s="1" t="n">
        <f aca="false">MIN(G28,H28+R28)</f>
        <v>0</v>
      </c>
      <c r="IU28" s="1" t="n">
        <f aca="false">GY28+MAX(0,CZ28-CY28)</f>
        <v>0</v>
      </c>
      <c r="IV28" s="1" t="n">
        <f aca="false">GX28+CY28</f>
        <v>0</v>
      </c>
      <c r="IW28" s="1" t="n">
        <f aca="false">IF(AND(C28=1,IV28&gt;0.5),1,0)</f>
        <v>0</v>
      </c>
      <c r="IX28" s="1" t="n">
        <f aca="false">IF(AND(C28=1,IW28=0,IU28&gt;0.5),1,0)</f>
        <v>0</v>
      </c>
      <c r="IY28" s="1" t="n">
        <f aca="false">IF(AND(C28=1,GX28&gt;0.5),1,0)</f>
        <v>0</v>
      </c>
      <c r="IZ28" s="1" t="n">
        <f aca="false">IF(AND(C28=1,GY28&gt;1,JF28=0),1,0)</f>
        <v>0</v>
      </c>
      <c r="JA28" s="1" t="n">
        <f aca="false">IF(AND(INT(D28/10)*10=90,B28&gt;0),80,INT(D28/10)*10)</f>
        <v>20</v>
      </c>
      <c r="JB28" s="1" t="n">
        <f aca="false">IF(B28=0,1,IF(JA28&lt;&gt;JA27,JB27+1,JB27))</f>
        <v>3</v>
      </c>
      <c r="JC28" s="1" t="n">
        <f aca="false">IF(AND(C28=1,F28=1,GX28&gt;MAX(PR_Short1,IN28*PR_Short2)),1,0)</f>
        <v>0</v>
      </c>
      <c r="JD28" s="1" t="n">
        <f aca="false">IO28*IS28</f>
        <v>0</v>
      </c>
      <c r="JE28" s="1" t="n">
        <f aca="false">IF(AND(U28=1,Slot1_PctLow=1),1,0)+IF(AND(AF28=1,Slot2_PctLow=1),1,0)+IF(AND(AP28=1,Slot3_PctLow=1),1,0)+IF(AND(AZ28=1,Slot4_PctLow=1),1,0)+IF(AND(BJ28=1,Slot5_PctLow=1),1,0)+IF(AND(BT28=1,Slot6_PctLow=1),1,0)+IF(AND(CD28=1,Slot7_PctLow=1),1,0)+IF(AND(CN28=1,Slot8_PctLow=1),1,0)</f>
        <v>0</v>
      </c>
      <c r="JF28" s="1" t="n">
        <f aca="false">IF(C28=1,IF(OR(IS28=1,JE28&gt;0),1,0),0)</f>
        <v>0</v>
      </c>
    </row>
    <row r="29" customFormat="false" ht="15" hidden="false" customHeight="false" outlineLevel="0" collapsed="false">
      <c r="B29" s="1" t="n">
        <v>21</v>
      </c>
      <c r="C29" s="1" t="n">
        <f aca="false">IF(B29&lt;=F_N,1,0)</f>
        <v>1</v>
      </c>
      <c r="D29" s="1" t="n">
        <f aca="false">'Plan pay &amp; tax'!C231</f>
        <v>21</v>
      </c>
      <c r="E29" s="106" t="n">
        <f aca="false">'Plan pay &amp; tax'!E231</f>
        <v>1.51566634389792</v>
      </c>
      <c r="F29" s="1" t="n">
        <f aca="false">'Plan pay &amp; tax'!G231</f>
        <v>0</v>
      </c>
      <c r="G29" s="1" t="n">
        <f aca="false">'Plan pay &amp; tax'!BT231-'Plan pay &amp; tax'!BS231-'Plan pay &amp; tax'!R231</f>
        <v>0</v>
      </c>
      <c r="H29" s="1" t="n">
        <f aca="false">IF(F29=1,F_CostsM*12,IF(RG_Exists=1,RG_Amount,F_CostsM*12*AS_RetireSpend))*E29+F_OneOffY*E29</f>
        <v>0</v>
      </c>
      <c r="I29" s="1" t="n">
        <f aca="false">DA28</f>
        <v>0</v>
      </c>
      <c r="J29" s="1" t="n">
        <f aca="false">IF(I29&gt;1,'Plan debt months'!AC29,0)</f>
        <v>0</v>
      </c>
      <c r="K29" s="1" t="n">
        <f aca="false">IF(I29&gt;1,'Plan debt months'!AB29,I29)</f>
        <v>0</v>
      </c>
      <c r="L29" s="1" t="n">
        <f aca="false">N28</f>
        <v>0</v>
      </c>
      <c r="M29" s="1" t="n">
        <f aca="false">IF(L29&gt;1,'Plan debt months'!BD29,0)</f>
        <v>0</v>
      </c>
      <c r="N29" s="1" t="n">
        <f aca="false">IF(L29&gt;1,'Plan debt months'!BC29,L29)</f>
        <v>0</v>
      </c>
      <c r="O29" s="1" t="n">
        <f aca="false">Q28</f>
        <v>0</v>
      </c>
      <c r="P29" s="1" t="n">
        <f aca="false">IF(O29&gt;1,'Plan debt months'!CE29,0)</f>
        <v>0</v>
      </c>
      <c r="Q29" s="1" t="n">
        <f aca="false">IF(O29&gt;1,'Plan debt months'!CD29,O29)</f>
        <v>0</v>
      </c>
      <c r="R29" s="1" t="n">
        <f aca="false">J29+M29+P29</f>
        <v>0</v>
      </c>
      <c r="S29" s="1" t="n">
        <f aca="false">HD28+'Plan pay &amp; tax'!Y231</f>
        <v>0</v>
      </c>
      <c r="T29" s="1" t="n">
        <f aca="false">HD28</f>
        <v>0</v>
      </c>
      <c r="U29" s="1" t="n">
        <f aca="false">IF(AND(Slot1_On=1,D29=Slot1_Age),1,0)</f>
        <v>0</v>
      </c>
      <c r="V29" s="1" t="n">
        <f aca="false">IF(AND(Slot1_On=1,Slot1_Age&gt;D29),1,0)</f>
        <v>0</v>
      </c>
      <c r="W29" s="1" t="n">
        <f aca="false">HF28</f>
        <v>0</v>
      </c>
      <c r="X29" s="1" t="n">
        <f aca="false">U29*MIN(Slot1_Cost,W29)</f>
        <v>0</v>
      </c>
      <c r="Y29" s="1" t="n">
        <f aca="false">U29*Slot1_SpendLike*MIN(Slot1_Cost-X29,S29)</f>
        <v>0</v>
      </c>
      <c r="Z29" s="1" t="n">
        <f aca="false">X29+Y29</f>
        <v>0</v>
      </c>
      <c r="AA29" s="1" t="n">
        <f aca="false">S29-Y29+U29*IF(Slot1_SpendLike=1,W29-X29,IF(Slot1_PotFree=1,W29,0))</f>
        <v>0</v>
      </c>
      <c r="AB29" s="1" t="n">
        <f aca="false">AE29+U29*Slot1_BufPot*W29</f>
        <v>0</v>
      </c>
      <c r="AC29" s="1" t="n">
        <f aca="false">IF(AND(U29=1,Slot1_IsMfree=1),IF(Z29&gt;=Slot1_Cost-1,0,MAX(0,K29-Z29)),K29)</f>
        <v>0</v>
      </c>
      <c r="AD29" s="1" t="n">
        <f aca="false">U29*(Slot1_Cost-Z29)</f>
        <v>0</v>
      </c>
      <c r="AE29" s="1" t="n">
        <f aca="false">HE28</f>
        <v>0</v>
      </c>
      <c r="AF29" s="1" t="n">
        <f aca="false">IF(AND(Slot2_On=1,D29=Slot2_Age),1,0)</f>
        <v>0</v>
      </c>
      <c r="AG29" s="1" t="n">
        <f aca="false">IF(AND(Slot2_On=1,Slot2_Age&gt;D29),1,0)</f>
        <v>0</v>
      </c>
      <c r="AH29" s="1" t="n">
        <f aca="false">HJ28</f>
        <v>0</v>
      </c>
      <c r="AI29" s="1" t="n">
        <f aca="false">AF29*MIN(Slot2_Cost,AH29)</f>
        <v>0</v>
      </c>
      <c r="AJ29" s="1" t="n">
        <f aca="false">AF29*Slot2_SpendLike*MIN(Slot2_Cost-AI29,AA29)</f>
        <v>0</v>
      </c>
      <c r="AK29" s="1" t="n">
        <f aca="false">AI29+AJ29</f>
        <v>0</v>
      </c>
      <c r="AL29" s="1" t="n">
        <f aca="false">AA29-AJ29+AF29*IF(Slot2_SpendLike=1,AH29-AI29,IF(Slot2_PotFree=1,AH29,0))</f>
        <v>0</v>
      </c>
      <c r="AM29" s="1" t="n">
        <f aca="false">AB29+AF29*Slot2_BufPot*AH29</f>
        <v>0</v>
      </c>
      <c r="AN29" s="1" t="n">
        <f aca="false">IF(AND(AF29=1,Slot2_IsMfree=1),IF(AK29&gt;=Slot2_Cost-1,0,MAX(0,AC29-AK29)),AC29)</f>
        <v>0</v>
      </c>
      <c r="AO29" s="1" t="n">
        <f aca="false">AF29*(Slot2_Cost-AK29)</f>
        <v>0</v>
      </c>
      <c r="AP29" s="1" t="n">
        <f aca="false">IF(AND(Slot3_On=1,D29=Slot3_Age),1,0)</f>
        <v>0</v>
      </c>
      <c r="AQ29" s="1" t="n">
        <f aca="false">IF(AND(Slot3_On=1,Slot3_Age&gt;D29),1,0)</f>
        <v>0</v>
      </c>
      <c r="AR29" s="1" t="n">
        <f aca="false">HN28</f>
        <v>0</v>
      </c>
      <c r="AS29" s="1" t="n">
        <f aca="false">AP29*MIN(Slot3_Cost,AR29)</f>
        <v>0</v>
      </c>
      <c r="AT29" s="1" t="n">
        <f aca="false">AP29*Slot3_SpendLike*MIN(Slot3_Cost-AS29,AL29)</f>
        <v>0</v>
      </c>
      <c r="AU29" s="1" t="n">
        <f aca="false">AS29+AT29</f>
        <v>0</v>
      </c>
      <c r="AV29" s="1" t="n">
        <f aca="false">AL29-AT29+AP29*IF(Slot3_SpendLike=1,AR29-AS29,IF(Slot3_PotFree=1,AR29,0))</f>
        <v>0</v>
      </c>
      <c r="AW29" s="1" t="n">
        <f aca="false">AM29+AP29*Slot3_BufPot*AR29</f>
        <v>0</v>
      </c>
      <c r="AX29" s="1" t="n">
        <f aca="false">IF(AND(AP29=1,Slot3_IsMfree=1),IF(AU29&gt;=Slot3_Cost-1,0,MAX(0,AN29-AU29)),AN29)</f>
        <v>0</v>
      </c>
      <c r="AY29" s="1" t="n">
        <f aca="false">AP29*(Slot3_Cost-AU29)</f>
        <v>0</v>
      </c>
      <c r="AZ29" s="1" t="n">
        <f aca="false">IF(AND(Slot4_On=1,D29=Slot4_Age),1,0)</f>
        <v>0</v>
      </c>
      <c r="BA29" s="1" t="n">
        <f aca="false">IF(AND(Slot4_On=1,Slot4_Age&gt;D29),1,0)</f>
        <v>0</v>
      </c>
      <c r="BB29" s="1" t="n">
        <f aca="false">HR28</f>
        <v>0</v>
      </c>
      <c r="BC29" s="1" t="n">
        <f aca="false">AZ29*MIN(Slot4_Cost,BB29)</f>
        <v>0</v>
      </c>
      <c r="BD29" s="1" t="n">
        <f aca="false">AZ29*Slot4_SpendLike*MIN(Slot4_Cost-BC29,AV29)</f>
        <v>0</v>
      </c>
      <c r="BE29" s="1" t="n">
        <f aca="false">BC29+BD29</f>
        <v>0</v>
      </c>
      <c r="BF29" s="1" t="n">
        <f aca="false">AV29-BD29+AZ29*IF(Slot4_SpendLike=1,BB29-BC29,IF(Slot4_PotFree=1,BB29,0))</f>
        <v>0</v>
      </c>
      <c r="BG29" s="1" t="n">
        <f aca="false">AW29+AZ29*Slot4_BufPot*BB29</f>
        <v>0</v>
      </c>
      <c r="BH29" s="1" t="n">
        <f aca="false">IF(AND(AZ29=1,Slot4_IsMfree=1),IF(BE29&gt;=Slot4_Cost-1,0,MAX(0,AX29-BE29)),AX29)</f>
        <v>0</v>
      </c>
      <c r="BI29" s="1" t="n">
        <f aca="false">AZ29*(Slot4_Cost-BE29)</f>
        <v>0</v>
      </c>
      <c r="BJ29" s="1" t="n">
        <f aca="false">IF(AND(Slot5_On=1,D29=Slot5_Age),1,0)</f>
        <v>0</v>
      </c>
      <c r="BK29" s="1" t="n">
        <f aca="false">IF(AND(Slot5_On=1,Slot5_Age&gt;D29),1,0)</f>
        <v>0</v>
      </c>
      <c r="BL29" s="1" t="n">
        <f aca="false">HV28</f>
        <v>0</v>
      </c>
      <c r="BM29" s="1" t="n">
        <f aca="false">BJ29*MIN(Slot5_Cost,BL29)</f>
        <v>0</v>
      </c>
      <c r="BN29" s="1" t="n">
        <f aca="false">BJ29*Slot5_SpendLike*MIN(Slot5_Cost-BM29,BF29)</f>
        <v>0</v>
      </c>
      <c r="BO29" s="1" t="n">
        <f aca="false">BM29+BN29</f>
        <v>0</v>
      </c>
      <c r="BP29" s="1" t="n">
        <f aca="false">BF29-BN29+BJ29*IF(Slot5_SpendLike=1,BL29-BM29,IF(Slot5_PotFree=1,BL29,0))</f>
        <v>0</v>
      </c>
      <c r="BQ29" s="1" t="n">
        <f aca="false">BG29+BJ29*Slot5_BufPot*BL29</f>
        <v>0</v>
      </c>
      <c r="BR29" s="1" t="n">
        <f aca="false">IF(AND(BJ29=1,Slot5_IsMfree=1),IF(BO29&gt;=Slot5_Cost-1,0,MAX(0,BH29-BO29)),BH29)</f>
        <v>0</v>
      </c>
      <c r="BS29" s="1" t="n">
        <f aca="false">BJ29*(Slot5_Cost-BO29)</f>
        <v>0</v>
      </c>
      <c r="BT29" s="1" t="n">
        <f aca="false">IF(AND(Slot6_On=1,D29=Slot6_Age),1,0)</f>
        <v>0</v>
      </c>
      <c r="BU29" s="1" t="n">
        <f aca="false">IF(AND(Slot6_On=1,Slot6_Age&gt;D29),1,0)</f>
        <v>0</v>
      </c>
      <c r="BV29" s="1" t="n">
        <f aca="false">HZ28</f>
        <v>0</v>
      </c>
      <c r="BW29" s="1" t="n">
        <f aca="false">BT29*MIN(Slot6_Cost,BV29)</f>
        <v>0</v>
      </c>
      <c r="BX29" s="1" t="n">
        <f aca="false">BT29*Slot6_SpendLike*MIN(Slot6_Cost-BW29,BP29)</f>
        <v>0</v>
      </c>
      <c r="BY29" s="1" t="n">
        <f aca="false">BW29+BX29</f>
        <v>0</v>
      </c>
      <c r="BZ29" s="1" t="n">
        <f aca="false">BP29-BX29+BT29*IF(Slot6_SpendLike=1,BV29-BW29,IF(Slot6_PotFree=1,BV29,0))</f>
        <v>0</v>
      </c>
      <c r="CA29" s="1" t="n">
        <f aca="false">BQ29+BT29*Slot6_BufPot*BV29</f>
        <v>0</v>
      </c>
      <c r="CB29" s="1" t="n">
        <f aca="false">IF(AND(BT29=1,Slot6_IsMfree=1),IF(BY29&gt;=Slot6_Cost-1,0,MAX(0,BR29-BY29)),BR29)</f>
        <v>0</v>
      </c>
      <c r="CC29" s="1" t="n">
        <f aca="false">BT29*(Slot6_Cost-BY29)</f>
        <v>0</v>
      </c>
      <c r="CD29" s="1" t="n">
        <f aca="false">IF(AND(Slot7_On=1,D29=Slot7_Age),1,0)</f>
        <v>0</v>
      </c>
      <c r="CE29" s="1" t="n">
        <f aca="false">IF(AND(Slot7_On=1,Slot7_Age&gt;D29),1,0)</f>
        <v>0</v>
      </c>
      <c r="CF29" s="1" t="n">
        <f aca="false">ID28</f>
        <v>0</v>
      </c>
      <c r="CG29" s="1" t="n">
        <f aca="false">CD29*MIN(Slot7_Cost,CF29)</f>
        <v>0</v>
      </c>
      <c r="CH29" s="1" t="n">
        <f aca="false">CD29*Slot7_SpendLike*MIN(Slot7_Cost-CG29,BZ29)</f>
        <v>0</v>
      </c>
      <c r="CI29" s="1" t="n">
        <f aca="false">CG29+CH29</f>
        <v>0</v>
      </c>
      <c r="CJ29" s="1" t="n">
        <f aca="false">BZ29-CH29+CD29*IF(Slot7_SpendLike=1,CF29-CG29,IF(Slot7_PotFree=1,CF29,0))</f>
        <v>0</v>
      </c>
      <c r="CK29" s="1" t="n">
        <f aca="false">CA29+CD29*Slot7_BufPot*CF29</f>
        <v>0</v>
      </c>
      <c r="CL29" s="1" t="n">
        <f aca="false">IF(AND(CD29=1,Slot7_IsMfree=1),IF(CI29&gt;=Slot7_Cost-1,0,MAX(0,CB29-CI29)),CB29)</f>
        <v>0</v>
      </c>
      <c r="CM29" s="1" t="n">
        <f aca="false">CD29*(Slot7_Cost-CI29)</f>
        <v>0</v>
      </c>
      <c r="CN29" s="1" t="n">
        <f aca="false">IF(AND(Slot8_On=1,D29=Slot8_Age),1,0)</f>
        <v>0</v>
      </c>
      <c r="CO29" s="1" t="n">
        <f aca="false">IF(AND(Slot8_On=1,Slot8_Age&gt;D29),1,0)</f>
        <v>0</v>
      </c>
      <c r="CP29" s="1" t="n">
        <f aca="false">IH28</f>
        <v>0</v>
      </c>
      <c r="CQ29" s="1" t="n">
        <f aca="false">CN29*MIN(Slot8_Cost,CP29)</f>
        <v>0</v>
      </c>
      <c r="CR29" s="1" t="n">
        <f aca="false">CN29*Slot8_SpendLike*MIN(Slot8_Cost-CQ29,CJ29)</f>
        <v>0</v>
      </c>
      <c r="CS29" s="1" t="n">
        <f aca="false">CQ29+CR29</f>
        <v>0</v>
      </c>
      <c r="CT29" s="1" t="n">
        <f aca="false">CJ29-CR29+CN29*IF(Slot8_SpendLike=1,CP29-CQ29,IF(Slot8_PotFree=1,CP29,0))</f>
        <v>0</v>
      </c>
      <c r="CU29" s="1" t="n">
        <f aca="false">CK29+CN29*Slot8_BufPot*CP29</f>
        <v>0</v>
      </c>
      <c r="CV29" s="1" t="n">
        <f aca="false">IF(AND(CN29=1,Slot8_IsMfree=1),IF(CS29&gt;=Slot8_Cost-1,0,MAX(0,CL29-CS29)),CL29)</f>
        <v>0</v>
      </c>
      <c r="CW29" s="1" t="n">
        <f aca="false">CN29*(Slot8_Cost-CS29)</f>
        <v>0</v>
      </c>
      <c r="CX29" s="1" t="n">
        <f aca="false">U29*Slot1_SpendLike*Z29+AF29*Slot2_SpendLike*AK29+AP29*Slot3_SpendLike*AU29+AZ29*Slot4_SpendLike*BE29+BJ29*Slot5_SpendLike*BO29+BT29*Slot6_SpendLike*BY29+CD29*Slot7_SpendLike*CI29+CN29*Slot8_SpendLike*CS29</f>
        <v>0</v>
      </c>
      <c r="CY29" s="1" t="n">
        <f aca="false">AD29+AO29+AY29+BI29+BS29+CC29+CM29+CW29</f>
        <v>0</v>
      </c>
      <c r="CZ29" s="1" t="n">
        <f aca="false">U29*Slot1_Cost+AF29*Slot2_Cost+AP29*Slot3_Cost+AZ29*Slot4_Cost+BJ29*Slot5_Cost+BT29*Slot6_Cost+CD29*Slot7_Cost+CN29*Slot8_Cost</f>
        <v>0</v>
      </c>
      <c r="DA29" s="1" t="n">
        <f aca="false">CV29</f>
        <v>0</v>
      </c>
      <c r="DB29" s="1" t="n">
        <f aca="false">G29-H29-R29</f>
        <v>0</v>
      </c>
      <c r="DC29" s="1" t="n">
        <f aca="false">IF(B29=0,IF(AND(Has_q6=1,In_q6=4),PR_ShareVaries*(MAX(0,DB29)/12),MIN(IF(Has_q6=1,CHOOSE(In_q6+1,PR_SaveB1,PR_SaveB2,PR_SaveB3,PR_SaveB4,0),AS_NoAnswer),AS_SaveShare*(MAX(0,DB29)/12))),DC28)</f>
        <v>0</v>
      </c>
      <c r="DD29" s="1" t="n">
        <f aca="false">IF(DB29&gt;=0,1,0)</f>
        <v>1</v>
      </c>
      <c r="DE29" s="1" t="n">
        <f aca="false">MAX(0,DB29/12/E29)</f>
        <v>0</v>
      </c>
      <c r="DF29" s="1" t="n">
        <f aca="false">IF(AND(Has_q6=1,In_q6=4),PR_ShareVaries*(DE29),MIN(IF(Has_q6=1,CHOOSE(In_q6+1,PR_SaveB1,PR_SaveB2,PR_SaveB3,PR_SaveB4,0),AS_NoAnswer),AS_SaveShare*(DE29)))</f>
        <v>0</v>
      </c>
      <c r="DG29" s="1" t="n">
        <f aca="false">IF(Has_saveM=1,IF(In_saveUp="Yes",1,IF(In_saveUp="No",0,IF(In_saveM&gt;=DC29-0.5,1,0))),0)</f>
        <v>0</v>
      </c>
      <c r="DH29" s="1" t="n">
        <f aca="false">IF(Has_saveM=1,MIN(DE29,IF(DG29=1,MAX(In_saveM,DF29),MIN(In_saveM,DF29))),DF29)</f>
        <v>0</v>
      </c>
      <c r="DI29" s="1" t="n">
        <f aca="false">IF(F29=1,DH29*12*E29,0)</f>
        <v>0</v>
      </c>
      <c r="DJ29" s="1" t="n">
        <f aca="false">MAX(0,DI29+IF(AND(WI_Retire=0,WI_M&lt;0,F29=1),WI_M*12*E29,0))</f>
        <v>0</v>
      </c>
      <c r="DK29" s="1" t="n">
        <f aca="false">Slot1_IsWG*V29+Slot2_IsWG*AG29+Slot3_IsWG*AQ29+Slot4_IsWG*BA29+Slot5_IsWG*BK29+Slot6_IsWG*BU29+Slot7_IsWG*CE29+Slot8_IsWG*CO29</f>
        <v>0</v>
      </c>
      <c r="DL29" s="1" t="n">
        <f aca="false">IF(AND(WI_Retire=0,WI_M&gt;0,F29=1,DK29&gt;=1),WI_M*12*E29,0)</f>
        <v>0</v>
      </c>
      <c r="DM29" s="1" t="n">
        <f aca="false">IF(DD29=1,MIN(DJ29,DB29),0)</f>
        <v>0</v>
      </c>
      <c r="DN29" s="1" t="n">
        <f aca="false">IF(DD29=1,MIN(DL29,DB29-DM29),0)</f>
        <v>0</v>
      </c>
      <c r="DO29" s="1" t="n">
        <f aca="false">IF(V29=1,IF(ABS((1+AS_Wage)/(1+Slot1_Rate)-1)&lt;0.000000000001,(Slot1_Age-D29)*(1+Slot1_Rate)^(Slot1_Age-D29),(1+Slot1_Rate)^(Slot1_Age-D29)*(1-((1+AS_Wage)/(1+Slot1_Rate))^(Slot1_Age-D29))/(1-(1+AS_Wage)/(1+Slot1_Rate))),1)</f>
        <v>1</v>
      </c>
      <c r="DP29" s="1" t="n">
        <f aca="false">IF(AND(DD29=1,DN29&gt;0,Slot1_IsWG=1,V29=1),MAX(0,(Slot1_Cost-W29*(1+Slot1_Rate)^(Slot1_Age-D29))/DO29),0)</f>
        <v>0</v>
      </c>
      <c r="DQ29" s="1" t="n">
        <f aca="false">IF(AND(DD29=1,DN29&gt;0,Slot1_IsWG=1,V29=1),MIN(DN29,DP29),0)</f>
        <v>0</v>
      </c>
      <c r="DR29" s="1" t="n">
        <f aca="false">W29+DQ29</f>
        <v>0</v>
      </c>
      <c r="DS29" s="1" t="n">
        <f aca="false">IF(V29=1,MAX(0,(Slot1_Cost-DR29*(1+Slot1_Rate)^(Slot1_Age-D29))/DO29),0)</f>
        <v>0</v>
      </c>
      <c r="DT29" s="1" t="n">
        <f aca="false">IF(V29=1,MAX(0,(Slot1_Cost-W29*(1+Slot1_Rate)^(Slot1_Age-D29))/DO29),0)</f>
        <v>0</v>
      </c>
      <c r="DU29" s="1" t="n">
        <f aca="false">IF(AND(DD29=1,V29=1),MIN(DM29,DS29),0)</f>
        <v>0</v>
      </c>
      <c r="DV29" s="1" t="n">
        <f aca="false">DM29-DU29</f>
        <v>0</v>
      </c>
      <c r="DW29" s="1" t="n">
        <f aca="false">IF(AG29=1,IF(ABS((1+AS_Wage)/(1+Slot2_Rate)-1)&lt;0.000000000001,(Slot2_Age-D29)*(1+Slot2_Rate)^(Slot2_Age-D29),(1+Slot2_Rate)^(Slot2_Age-D29)*(1-((1+AS_Wage)/(1+Slot2_Rate))^(Slot2_Age-D29))/(1-(1+AS_Wage)/(1+Slot2_Rate))),1)</f>
        <v>1</v>
      </c>
      <c r="DX29" s="1" t="n">
        <f aca="false">IF(AND(DD29=1,DN29&gt;0,Slot2_IsWG=1,AG29=1),MAX(0,(Slot2_Cost-AH29*(1+Slot2_Rate)^(Slot2_Age-D29))/DW29),0)</f>
        <v>0</v>
      </c>
      <c r="DY29" s="1" t="n">
        <f aca="false">IF(AND(DD29=1,DN29&gt;0,Slot2_IsWG=1,AG29=1),MIN(DN29,DX29),0)</f>
        <v>0</v>
      </c>
      <c r="DZ29" s="1" t="n">
        <f aca="false">AH29+DY29</f>
        <v>0</v>
      </c>
      <c r="EA29" s="1" t="n">
        <f aca="false">IF(AG29=1,MAX(0,(Slot2_Cost-DZ29*(1+Slot2_Rate)^(Slot2_Age-D29))/DW29),0)</f>
        <v>0</v>
      </c>
      <c r="EB29" s="1" t="n">
        <f aca="false">IF(AG29=1,MAX(0,(Slot2_Cost-AH29*(1+Slot2_Rate)^(Slot2_Age-D29))/DW29),0)</f>
        <v>0</v>
      </c>
      <c r="EC29" s="1" t="n">
        <f aca="false">IF(AND(DD29=1,AG29=1),MIN(DV29,EA29),0)</f>
        <v>0</v>
      </c>
      <c r="ED29" s="1" t="n">
        <f aca="false">DV29-EC29</f>
        <v>0</v>
      </c>
      <c r="EE29" s="1" t="n">
        <f aca="false">IF(AQ29=1,IF(ABS((1+AS_Wage)/(1+Slot3_Rate)-1)&lt;0.000000000001,(Slot3_Age-D29)*(1+Slot3_Rate)^(Slot3_Age-D29),(1+Slot3_Rate)^(Slot3_Age-D29)*(1-((1+AS_Wage)/(1+Slot3_Rate))^(Slot3_Age-D29))/(1-(1+AS_Wage)/(1+Slot3_Rate))),1)</f>
        <v>1</v>
      </c>
      <c r="EF29" s="1" t="n">
        <f aca="false">IF(AND(DD29=1,DN29&gt;0,Slot3_IsWG=1,AQ29=1),MAX(0,(Slot3_Cost-AR29*(1+Slot3_Rate)^(Slot3_Age-D29))/EE29),0)</f>
        <v>0</v>
      </c>
      <c r="EG29" s="1" t="n">
        <f aca="false">IF(AND(DD29=1,DN29&gt;0,Slot3_IsWG=1,AQ29=1),MIN(DN29,EF29),0)</f>
        <v>0</v>
      </c>
      <c r="EH29" s="1" t="n">
        <f aca="false">AR29+EG29</f>
        <v>0</v>
      </c>
      <c r="EI29" s="1" t="n">
        <f aca="false">IF(AQ29=1,MAX(0,(Slot3_Cost-EH29*(1+Slot3_Rate)^(Slot3_Age-D29))/EE29),0)</f>
        <v>0</v>
      </c>
      <c r="EJ29" s="1" t="n">
        <f aca="false">IF(AQ29=1,MAX(0,(Slot3_Cost-AR29*(1+Slot3_Rate)^(Slot3_Age-D29))/EE29),0)</f>
        <v>0</v>
      </c>
      <c r="EK29" s="1" t="n">
        <f aca="false">IF(AND(DD29=1,AQ29=1),MIN(ED29,EI29),0)</f>
        <v>0</v>
      </c>
      <c r="EL29" s="1" t="n">
        <f aca="false">ED29-EK29</f>
        <v>0</v>
      </c>
      <c r="EM29" s="1" t="n">
        <f aca="false">IF(BA29=1,IF(ABS((1+AS_Wage)/(1+Slot4_Rate)-1)&lt;0.000000000001,(Slot4_Age-D29)*(1+Slot4_Rate)^(Slot4_Age-D29),(1+Slot4_Rate)^(Slot4_Age-D29)*(1-((1+AS_Wage)/(1+Slot4_Rate))^(Slot4_Age-D29))/(1-(1+AS_Wage)/(1+Slot4_Rate))),1)</f>
        <v>1</v>
      </c>
      <c r="EN29" s="1" t="n">
        <f aca="false">IF(AND(DD29=1,DN29&gt;0,Slot4_IsWG=1,BA29=1),MAX(0,(Slot4_Cost-BB29*(1+Slot4_Rate)^(Slot4_Age-D29))/EM29),0)</f>
        <v>0</v>
      </c>
      <c r="EO29" s="1" t="n">
        <f aca="false">IF(AND(DD29=1,DN29&gt;0,Slot4_IsWG=1,BA29=1),MIN(DN29,EN29),0)</f>
        <v>0</v>
      </c>
      <c r="EP29" s="1" t="n">
        <f aca="false">BB29+EO29</f>
        <v>0</v>
      </c>
      <c r="EQ29" s="1" t="n">
        <f aca="false">IF(BA29=1,MAX(0,(Slot4_Cost-EP29*(1+Slot4_Rate)^(Slot4_Age-D29))/EM29),0)</f>
        <v>0</v>
      </c>
      <c r="ER29" s="1" t="n">
        <f aca="false">IF(BA29=1,MAX(0,(Slot4_Cost-BB29*(1+Slot4_Rate)^(Slot4_Age-D29))/EM29),0)</f>
        <v>0</v>
      </c>
      <c r="ES29" s="1" t="n">
        <f aca="false">IF(AND(DD29=1,BA29=1),MIN(EL29,EQ29),0)</f>
        <v>0</v>
      </c>
      <c r="ET29" s="1" t="n">
        <f aca="false">EL29-ES29</f>
        <v>0</v>
      </c>
      <c r="EU29" s="1" t="n">
        <f aca="false">IF(BK29=1,IF(ABS((1+AS_Wage)/(1+Slot5_Rate)-1)&lt;0.000000000001,(Slot5_Age-D29)*(1+Slot5_Rate)^(Slot5_Age-D29),(1+Slot5_Rate)^(Slot5_Age-D29)*(1-((1+AS_Wage)/(1+Slot5_Rate))^(Slot5_Age-D29))/(1-(1+AS_Wage)/(1+Slot5_Rate))),1)</f>
        <v>1</v>
      </c>
      <c r="EV29" s="1" t="n">
        <f aca="false">IF(AND(DD29=1,DN29&gt;0,Slot5_IsWG=1,BK29=1),MAX(0,(Slot5_Cost-BL29*(1+Slot5_Rate)^(Slot5_Age-D29))/EU29),0)</f>
        <v>0</v>
      </c>
      <c r="EW29" s="1" t="n">
        <f aca="false">IF(AND(DD29=1,DN29&gt;0,Slot5_IsWG=1,BK29=1),MIN(DN29,EV29),0)</f>
        <v>0</v>
      </c>
      <c r="EX29" s="1" t="n">
        <f aca="false">BL29+EW29</f>
        <v>0</v>
      </c>
      <c r="EY29" s="1" t="n">
        <f aca="false">IF(BK29=1,MAX(0,(Slot5_Cost-EX29*(1+Slot5_Rate)^(Slot5_Age-D29))/EU29),0)</f>
        <v>0</v>
      </c>
      <c r="EZ29" s="1" t="n">
        <f aca="false">IF(BK29=1,MAX(0,(Slot5_Cost-BL29*(1+Slot5_Rate)^(Slot5_Age-D29))/EU29),0)</f>
        <v>0</v>
      </c>
      <c r="FA29" s="1" t="n">
        <f aca="false">IF(AND(DD29=1,BK29=1),MIN(ET29,EY29),0)</f>
        <v>0</v>
      </c>
      <c r="FB29" s="1" t="n">
        <f aca="false">ET29-FA29</f>
        <v>0</v>
      </c>
      <c r="FC29" s="1" t="n">
        <f aca="false">IF(BU29=1,IF(ABS((1+AS_Wage)/(1+Slot6_Rate)-1)&lt;0.000000000001,(Slot6_Age-D29)*(1+Slot6_Rate)^(Slot6_Age-D29),(1+Slot6_Rate)^(Slot6_Age-D29)*(1-((1+AS_Wage)/(1+Slot6_Rate))^(Slot6_Age-D29))/(1-(1+AS_Wage)/(1+Slot6_Rate))),1)</f>
        <v>1</v>
      </c>
      <c r="FD29" s="1" t="n">
        <f aca="false">IF(AND(DD29=1,DN29&gt;0,Slot6_IsWG=1,BU29=1),MAX(0,(Slot6_Cost-BV29*(1+Slot6_Rate)^(Slot6_Age-D29))/FC29),0)</f>
        <v>0</v>
      </c>
      <c r="FE29" s="1" t="n">
        <f aca="false">IF(AND(DD29=1,DN29&gt;0,Slot6_IsWG=1,BU29=1),MIN(DN29,FD29),0)</f>
        <v>0</v>
      </c>
      <c r="FF29" s="1" t="n">
        <f aca="false">BV29+FE29</f>
        <v>0</v>
      </c>
      <c r="FG29" s="1" t="n">
        <f aca="false">IF(BU29=1,MAX(0,(Slot6_Cost-FF29*(1+Slot6_Rate)^(Slot6_Age-D29))/FC29),0)</f>
        <v>0</v>
      </c>
      <c r="FH29" s="1" t="n">
        <f aca="false">IF(BU29=1,MAX(0,(Slot6_Cost-BV29*(1+Slot6_Rate)^(Slot6_Age-D29))/FC29),0)</f>
        <v>0</v>
      </c>
      <c r="FI29" s="1" t="n">
        <f aca="false">IF(AND(DD29=1,BU29=1),MIN(FB29,FG29),0)</f>
        <v>0</v>
      </c>
      <c r="FJ29" s="1" t="n">
        <f aca="false">FB29-FI29</f>
        <v>0</v>
      </c>
      <c r="FK29" s="1" t="n">
        <f aca="false">IF(CE29=1,IF(ABS((1+AS_Wage)/(1+Slot7_Rate)-1)&lt;0.000000000001,(Slot7_Age-D29)*(1+Slot7_Rate)^(Slot7_Age-D29),(1+Slot7_Rate)^(Slot7_Age-D29)*(1-((1+AS_Wage)/(1+Slot7_Rate))^(Slot7_Age-D29))/(1-(1+AS_Wage)/(1+Slot7_Rate))),1)</f>
        <v>1</v>
      </c>
      <c r="FL29" s="1" t="n">
        <f aca="false">IF(AND(DD29=1,DN29&gt;0,Slot7_IsWG=1,CE29=1),MAX(0,(Slot7_Cost-CF29*(1+Slot7_Rate)^(Slot7_Age-D29))/FK29),0)</f>
        <v>0</v>
      </c>
      <c r="FM29" s="1" t="n">
        <f aca="false">IF(AND(DD29=1,DN29&gt;0,Slot7_IsWG=1,CE29=1),MIN(DN29,FL29),0)</f>
        <v>0</v>
      </c>
      <c r="FN29" s="1" t="n">
        <f aca="false">CF29+FM29</f>
        <v>0</v>
      </c>
      <c r="FO29" s="1" t="n">
        <f aca="false">IF(CE29=1,MAX(0,(Slot7_Cost-FN29*(1+Slot7_Rate)^(Slot7_Age-D29))/FK29),0)</f>
        <v>0</v>
      </c>
      <c r="FP29" s="1" t="n">
        <f aca="false">IF(CE29=1,MAX(0,(Slot7_Cost-CF29*(1+Slot7_Rate)^(Slot7_Age-D29))/FK29),0)</f>
        <v>0</v>
      </c>
      <c r="FQ29" s="1" t="n">
        <f aca="false">IF(AND(DD29=1,CE29=1),MIN(FJ29,FO29),0)</f>
        <v>0</v>
      </c>
      <c r="FR29" s="1" t="n">
        <f aca="false">FJ29-FQ29</f>
        <v>0</v>
      </c>
      <c r="FS29" s="1" t="n">
        <f aca="false">IF(CO29=1,IF(ABS((1+AS_Wage)/(1+Slot8_Rate)-1)&lt;0.000000000001,(Slot8_Age-D29)*(1+Slot8_Rate)^(Slot8_Age-D29),(1+Slot8_Rate)^(Slot8_Age-D29)*(1-((1+AS_Wage)/(1+Slot8_Rate))^(Slot8_Age-D29))/(1-(1+AS_Wage)/(1+Slot8_Rate))),1)</f>
        <v>1</v>
      </c>
      <c r="FT29" s="1" t="n">
        <f aca="false">IF(AND(DD29=1,DN29&gt;0,Slot8_IsWG=1,CO29=1),MAX(0,(Slot8_Cost-CP29*(1+Slot8_Rate)^(Slot8_Age-D29))/FS29),0)</f>
        <v>0</v>
      </c>
      <c r="FU29" s="1" t="n">
        <f aca="false">IF(AND(DD29=1,DN29&gt;0,Slot8_IsWG=1,CO29=1),MIN(DN29,FT29),0)</f>
        <v>0</v>
      </c>
      <c r="FV29" s="1" t="n">
        <f aca="false">CP29+FU29</f>
        <v>0</v>
      </c>
      <c r="FW29" s="1" t="n">
        <f aca="false">IF(CO29=1,MAX(0,(Slot8_Cost-FV29*(1+Slot8_Rate)^(Slot8_Age-D29))/FS29),0)</f>
        <v>0</v>
      </c>
      <c r="FX29" s="1" t="n">
        <f aca="false">IF(CO29=1,MAX(0,(Slot8_Cost-CP29*(1+Slot8_Rate)^(Slot8_Age-D29))/FS29),0)</f>
        <v>0</v>
      </c>
      <c r="FY29" s="1" t="n">
        <f aca="false">IF(AND(DD29=1,CO29=1),MIN(FR29,FW29),0)</f>
        <v>0</v>
      </c>
      <c r="FZ29" s="1" t="n">
        <f aca="false">FR29-FY29</f>
        <v>0</v>
      </c>
      <c r="GA29" s="1" t="n">
        <f aca="false">DN29-(DQ29+DY29+EG29+EO29+EW29+FE29+FM29+FU29)</f>
        <v>0</v>
      </c>
      <c r="GB29" s="1" t="n">
        <f aca="false">IF(DD29=1,DB29-DM29-DN29,0)</f>
        <v>0</v>
      </c>
      <c r="GC29" s="1" t="n">
        <f aca="false">IF(DD29=0,-DB29,0)</f>
        <v>0</v>
      </c>
      <c r="GD29" s="1" t="n">
        <f aca="false">MIN(GC29,CT29)</f>
        <v>0</v>
      </c>
      <c r="GE29" s="1" t="n">
        <f aca="false">GC29-GD29</f>
        <v>0</v>
      </c>
      <c r="GF29" s="1" t="n">
        <f aca="false">MIN(GE29,CU29)</f>
        <v>0</v>
      </c>
      <c r="GG29" s="1" t="n">
        <f aca="false">GE29-GF29</f>
        <v>0</v>
      </c>
      <c r="GH29" s="1" t="n">
        <f aca="false">IF(AND(DD29=0,CO29=1,GG29&gt;0),MIN(GG29,CP29),0)</f>
        <v>0</v>
      </c>
      <c r="GI29" s="1" t="n">
        <f aca="false">GG29-GH29</f>
        <v>0</v>
      </c>
      <c r="GJ29" s="1" t="n">
        <f aca="false">IF(AND(DD29=0,CE29=1,GI29&gt;0),MIN(GI29,CF29),0)</f>
        <v>0</v>
      </c>
      <c r="GK29" s="1" t="n">
        <f aca="false">GI29-GJ29</f>
        <v>0</v>
      </c>
      <c r="GL29" s="1" t="n">
        <f aca="false">IF(AND(DD29=0,BU29=1,GK29&gt;0),MIN(GK29,BV29),0)</f>
        <v>0</v>
      </c>
      <c r="GM29" s="1" t="n">
        <f aca="false">GK29-GL29</f>
        <v>0</v>
      </c>
      <c r="GN29" s="1" t="n">
        <f aca="false">IF(AND(DD29=0,BK29=1,GM29&gt;0),MIN(GM29,BL29),0)</f>
        <v>0</v>
      </c>
      <c r="GO29" s="1" t="n">
        <f aca="false">GM29-GN29</f>
        <v>0</v>
      </c>
      <c r="GP29" s="1" t="n">
        <f aca="false">IF(AND(DD29=0,BA29=1,GO29&gt;0),MIN(GO29,BB29),0)</f>
        <v>0</v>
      </c>
      <c r="GQ29" s="1" t="n">
        <f aca="false">GO29-GP29</f>
        <v>0</v>
      </c>
      <c r="GR29" s="1" t="n">
        <f aca="false">IF(AND(DD29=0,AQ29=1,GQ29&gt;0),MIN(GQ29,AR29),0)</f>
        <v>0</v>
      </c>
      <c r="GS29" s="1" t="n">
        <f aca="false">GQ29-GR29</f>
        <v>0</v>
      </c>
      <c r="GT29" s="1" t="n">
        <f aca="false">IF(AND(DD29=0,AG29=1,GS29&gt;0),MIN(GS29,AH29),0)</f>
        <v>0</v>
      </c>
      <c r="GU29" s="1" t="n">
        <f aca="false">GS29-GT29</f>
        <v>0</v>
      </c>
      <c r="GV29" s="1" t="n">
        <f aca="false">IF(AND(DD29=0,V29=1,GU29&gt;0),MIN(GU29,W29),0)</f>
        <v>0</v>
      </c>
      <c r="GW29" s="1" t="n">
        <f aca="false">GU29-GV29</f>
        <v>0</v>
      </c>
      <c r="GX29" s="1" t="n">
        <f aca="false">IF(DD29=0,GW29,0)</f>
        <v>0</v>
      </c>
      <c r="GY29" s="1" t="n">
        <f aca="false">GD29+GF29+GV29+GT29+GR29+GP29+GN29+GL29+GJ29+GH29</f>
        <v>0</v>
      </c>
      <c r="GZ29" s="1" t="n">
        <f aca="false">IF(DD29=1,CT29+GA29+FZ29+IF(F29=1,0,GB29),CT29-GD29)</f>
        <v>0</v>
      </c>
      <c r="HA29" s="1" t="n">
        <f aca="false">CU29-GF29</f>
        <v>0</v>
      </c>
      <c r="HB29" s="1" t="n">
        <f aca="false">IF(DD29=1,IF(F29=1,DM29+DN29,DB29),0)</f>
        <v>0</v>
      </c>
      <c r="HC29" s="1" t="n">
        <f aca="false">IF(DD29=1,IF(F29=1,DB29-DM29-DN29,0),0)</f>
        <v>0</v>
      </c>
      <c r="HD29" s="1" t="n">
        <f aca="false">GZ29*(1+GR)</f>
        <v>0</v>
      </c>
      <c r="HE29" s="1" t="n">
        <f aca="false">HA29*(1+AS_Cash)</f>
        <v>0</v>
      </c>
      <c r="HF29" s="1" t="n">
        <f aca="false">IF(V29=1,IF(DD29=1,DR29+DU29,W29-GV29)*(1+Slot1_Rate),0)</f>
        <v>0</v>
      </c>
      <c r="HG29" s="1" t="n">
        <f aca="false">IF(AND(DD29=1,V29=1),(DQ29+DU29)/E29,0)</f>
        <v>0</v>
      </c>
      <c r="HH29" s="1" t="n">
        <f aca="false">IF(B29=0,DQ29+DU29,0)</f>
        <v>0</v>
      </c>
      <c r="HI29" s="1" t="n">
        <f aca="false">IF(B29=0,IF(DD29=1,DS29,DT29),0)</f>
        <v>0</v>
      </c>
      <c r="HJ29" s="1" t="n">
        <f aca="false">IF(AG29=1,IF(DD29=1,DZ29+EC29,AH29-GT29)*(1+Slot2_Rate),0)</f>
        <v>0</v>
      </c>
      <c r="HK29" s="1" t="n">
        <f aca="false">IF(AND(DD29=1,AG29=1),(DY29+EC29)/E29,0)</f>
        <v>0</v>
      </c>
      <c r="HL29" s="1" t="n">
        <f aca="false">IF(B29=0,DY29+EC29,0)</f>
        <v>0</v>
      </c>
      <c r="HM29" s="1" t="n">
        <f aca="false">IF(B29=0,IF(DD29=1,EA29,EB29),0)</f>
        <v>0</v>
      </c>
      <c r="HN29" s="1" t="n">
        <f aca="false">IF(AQ29=1,IF(DD29=1,EH29+EK29,AR29-GR29)*(1+Slot3_Rate),0)</f>
        <v>0</v>
      </c>
      <c r="HO29" s="1" t="n">
        <f aca="false">IF(AND(DD29=1,AQ29=1),(EG29+EK29)/E29,0)</f>
        <v>0</v>
      </c>
      <c r="HP29" s="1" t="n">
        <f aca="false">IF(B29=0,EG29+EK29,0)</f>
        <v>0</v>
      </c>
      <c r="HQ29" s="1" t="n">
        <f aca="false">IF(B29=0,IF(DD29=1,EI29,EJ29),0)</f>
        <v>0</v>
      </c>
      <c r="HR29" s="1" t="n">
        <f aca="false">IF(BA29=1,IF(DD29=1,EP29+ES29,BB29-GP29)*(1+Slot4_Rate),0)</f>
        <v>0</v>
      </c>
      <c r="HS29" s="1" t="n">
        <f aca="false">IF(AND(DD29=1,BA29=1),(EO29+ES29)/E29,0)</f>
        <v>0</v>
      </c>
      <c r="HT29" s="1" t="n">
        <f aca="false">IF(B29=0,EO29+ES29,0)</f>
        <v>0</v>
      </c>
      <c r="HU29" s="1" t="n">
        <f aca="false">IF(B29=0,IF(DD29=1,EQ29,ER29),0)</f>
        <v>0</v>
      </c>
      <c r="HV29" s="1" t="n">
        <f aca="false">IF(BK29=1,IF(DD29=1,EX29+FA29,BL29-GN29)*(1+Slot5_Rate),0)</f>
        <v>0</v>
      </c>
      <c r="HW29" s="1" t="n">
        <f aca="false">IF(AND(DD29=1,BK29=1),(EW29+FA29)/E29,0)</f>
        <v>0</v>
      </c>
      <c r="HX29" s="1" t="n">
        <f aca="false">IF(B29=0,EW29+FA29,0)</f>
        <v>0</v>
      </c>
      <c r="HY29" s="1" t="n">
        <f aca="false">IF(B29=0,IF(DD29=1,EY29,EZ29),0)</f>
        <v>0</v>
      </c>
      <c r="HZ29" s="1" t="n">
        <f aca="false">IF(BU29=1,IF(DD29=1,FF29+FI29,BV29-GL29)*(1+Slot6_Rate),0)</f>
        <v>0</v>
      </c>
      <c r="IA29" s="1" t="n">
        <f aca="false">IF(AND(DD29=1,BU29=1),(FE29+FI29)/E29,0)</f>
        <v>0</v>
      </c>
      <c r="IB29" s="1" t="n">
        <f aca="false">IF(B29=0,FE29+FI29,0)</f>
        <v>0</v>
      </c>
      <c r="IC29" s="1" t="n">
        <f aca="false">IF(B29=0,IF(DD29=1,FG29,FH29),0)</f>
        <v>0</v>
      </c>
      <c r="ID29" s="1" t="n">
        <f aca="false">IF(CE29=1,IF(DD29=1,FN29+FQ29,CF29-GJ29)*(1+Slot7_Rate),0)</f>
        <v>0</v>
      </c>
      <c r="IE29" s="1" t="n">
        <f aca="false">IF(AND(DD29=1,CE29=1),(FM29+FQ29)/E29,0)</f>
        <v>0</v>
      </c>
      <c r="IF29" s="1" t="n">
        <f aca="false">IF(B29=0,FM29+FQ29,0)</f>
        <v>0</v>
      </c>
      <c r="IG29" s="1" t="n">
        <f aca="false">IF(B29=0,IF(DD29=1,FO29,FP29),0)</f>
        <v>0</v>
      </c>
      <c r="IH29" s="1" t="n">
        <f aca="false">IF(CO29=1,IF(DD29=1,FV29+FY29,CP29-GH29)*(1+Slot8_Rate),0)</f>
        <v>0</v>
      </c>
      <c r="II29" s="1" t="n">
        <f aca="false">IF(AND(DD29=1,CO29=1),(FU29+FY29)/E29,0)</f>
        <v>0</v>
      </c>
      <c r="IJ29" s="1" t="n">
        <f aca="false">IF(B29=0,FU29+FY29,0)</f>
        <v>0</v>
      </c>
      <c r="IK29" s="1" t="n">
        <f aca="false">IF(B29=0,IF(DD29=1,FW29,FX29),0)</f>
        <v>0</v>
      </c>
      <c r="IL29" s="1" t="n">
        <f aca="false">HD29+HE29+HF29+HJ29+HN29+HR29+HV29+HZ29+ID29+IH29</f>
        <v>0</v>
      </c>
      <c r="IM29" s="1" t="n">
        <f aca="false">GX29+CY29</f>
        <v>0</v>
      </c>
      <c r="IN29" s="1" t="n">
        <f aca="false">H29+R29</f>
        <v>0</v>
      </c>
      <c r="IO29" s="1" t="n">
        <f aca="false">1-F29</f>
        <v>1</v>
      </c>
      <c r="IP29" s="1" t="n">
        <f aca="false">IF(AND(RG_Exists=1,F29=0,C29=1),H29,0)</f>
        <v>0</v>
      </c>
      <c r="IQ29" s="1" t="n">
        <f aca="false">IF(AND(RG_Exists=1,F29=0,C29=1),H29-MIN(GX29,H29),0)</f>
        <v>0</v>
      </c>
      <c r="IR29" s="1" t="n">
        <f aca="false">'Plan pay &amp; tax'!AD231</f>
        <v>0</v>
      </c>
      <c r="IS29" s="1" t="n">
        <f aca="false">IF(AND(C29=1,GX29&gt;MAX(PR_Short1,IN29*PR_Short2)),1,0)</f>
        <v>0</v>
      </c>
      <c r="IT29" s="1" t="n">
        <f aca="false">MIN(G29,H29+R29)</f>
        <v>0</v>
      </c>
      <c r="IU29" s="1" t="n">
        <f aca="false">GY29+MAX(0,CZ29-CY29)</f>
        <v>0</v>
      </c>
      <c r="IV29" s="1" t="n">
        <f aca="false">GX29+CY29</f>
        <v>0</v>
      </c>
      <c r="IW29" s="1" t="n">
        <f aca="false">IF(AND(C29=1,IV29&gt;0.5),1,0)</f>
        <v>0</v>
      </c>
      <c r="IX29" s="1" t="n">
        <f aca="false">IF(AND(C29=1,IW29=0,IU29&gt;0.5),1,0)</f>
        <v>0</v>
      </c>
      <c r="IY29" s="1" t="n">
        <f aca="false">IF(AND(C29=1,GX29&gt;0.5),1,0)</f>
        <v>0</v>
      </c>
      <c r="IZ29" s="1" t="n">
        <f aca="false">IF(AND(C29=1,GY29&gt;1,JF29=0),1,0)</f>
        <v>0</v>
      </c>
      <c r="JA29" s="1" t="n">
        <f aca="false">IF(AND(INT(D29/10)*10=90,B29&gt;0),80,INT(D29/10)*10)</f>
        <v>20</v>
      </c>
      <c r="JB29" s="1" t="n">
        <f aca="false">IF(B29=0,1,IF(JA29&lt;&gt;JA28,JB28+1,JB28))</f>
        <v>3</v>
      </c>
      <c r="JC29" s="1" t="n">
        <f aca="false">IF(AND(C29=1,F29=1,GX29&gt;MAX(PR_Short1,IN29*PR_Short2)),1,0)</f>
        <v>0</v>
      </c>
      <c r="JD29" s="1" t="n">
        <f aca="false">IO29*IS29</f>
        <v>0</v>
      </c>
      <c r="JE29" s="1" t="n">
        <f aca="false">IF(AND(U29=1,Slot1_PctLow=1),1,0)+IF(AND(AF29=1,Slot2_PctLow=1),1,0)+IF(AND(AP29=1,Slot3_PctLow=1),1,0)+IF(AND(AZ29=1,Slot4_PctLow=1),1,0)+IF(AND(BJ29=1,Slot5_PctLow=1),1,0)+IF(AND(BT29=1,Slot6_PctLow=1),1,0)+IF(AND(CD29=1,Slot7_PctLow=1),1,0)+IF(AND(CN29=1,Slot8_PctLow=1),1,0)</f>
        <v>0</v>
      </c>
      <c r="JF29" s="1" t="n">
        <f aca="false">IF(C29=1,IF(OR(IS29=1,JE29&gt;0),1,0),0)</f>
        <v>0</v>
      </c>
    </row>
    <row r="30" customFormat="false" ht="15" hidden="false" customHeight="false" outlineLevel="0" collapsed="false">
      <c r="B30" s="1" t="n">
        <v>22</v>
      </c>
      <c r="C30" s="1" t="n">
        <f aca="false">IF(B30&lt;=F_N,1,0)</f>
        <v>1</v>
      </c>
      <c r="D30" s="1" t="n">
        <f aca="false">'Plan pay &amp; tax'!C232</f>
        <v>22</v>
      </c>
      <c r="E30" s="106" t="n">
        <f aca="false">'Plan pay &amp; tax'!E232</f>
        <v>1.54597967077588</v>
      </c>
      <c r="F30" s="1" t="n">
        <f aca="false">'Plan pay &amp; tax'!G232</f>
        <v>0</v>
      </c>
      <c r="G30" s="1" t="n">
        <f aca="false">'Plan pay &amp; tax'!BT232-'Plan pay &amp; tax'!BS232-'Plan pay &amp; tax'!R232</f>
        <v>0</v>
      </c>
      <c r="H30" s="1" t="n">
        <f aca="false">IF(F30=1,F_CostsM*12,IF(RG_Exists=1,RG_Amount,F_CostsM*12*AS_RetireSpend))*E30+F_OneOffY*E30</f>
        <v>0</v>
      </c>
      <c r="I30" s="1" t="n">
        <f aca="false">DA29</f>
        <v>0</v>
      </c>
      <c r="J30" s="1" t="n">
        <f aca="false">IF(I30&gt;1,'Plan debt months'!AC30,0)</f>
        <v>0</v>
      </c>
      <c r="K30" s="1" t="n">
        <f aca="false">IF(I30&gt;1,'Plan debt months'!AB30,I30)</f>
        <v>0</v>
      </c>
      <c r="L30" s="1" t="n">
        <f aca="false">N29</f>
        <v>0</v>
      </c>
      <c r="M30" s="1" t="n">
        <f aca="false">IF(L30&gt;1,'Plan debt months'!BD30,0)</f>
        <v>0</v>
      </c>
      <c r="N30" s="1" t="n">
        <f aca="false">IF(L30&gt;1,'Plan debt months'!BC30,L30)</f>
        <v>0</v>
      </c>
      <c r="O30" s="1" t="n">
        <f aca="false">Q29</f>
        <v>0</v>
      </c>
      <c r="P30" s="1" t="n">
        <f aca="false">IF(O30&gt;1,'Plan debt months'!CE30,0)</f>
        <v>0</v>
      </c>
      <c r="Q30" s="1" t="n">
        <f aca="false">IF(O30&gt;1,'Plan debt months'!CD30,O30)</f>
        <v>0</v>
      </c>
      <c r="R30" s="1" t="n">
        <f aca="false">J30+M30+P30</f>
        <v>0</v>
      </c>
      <c r="S30" s="1" t="n">
        <f aca="false">HD29+'Plan pay &amp; tax'!Y232</f>
        <v>0</v>
      </c>
      <c r="T30" s="1" t="n">
        <f aca="false">HD29</f>
        <v>0</v>
      </c>
      <c r="U30" s="1" t="n">
        <f aca="false">IF(AND(Slot1_On=1,D30=Slot1_Age),1,0)</f>
        <v>0</v>
      </c>
      <c r="V30" s="1" t="n">
        <f aca="false">IF(AND(Slot1_On=1,Slot1_Age&gt;D30),1,0)</f>
        <v>0</v>
      </c>
      <c r="W30" s="1" t="n">
        <f aca="false">HF29</f>
        <v>0</v>
      </c>
      <c r="X30" s="1" t="n">
        <f aca="false">U30*MIN(Slot1_Cost,W30)</f>
        <v>0</v>
      </c>
      <c r="Y30" s="1" t="n">
        <f aca="false">U30*Slot1_SpendLike*MIN(Slot1_Cost-X30,S30)</f>
        <v>0</v>
      </c>
      <c r="Z30" s="1" t="n">
        <f aca="false">X30+Y30</f>
        <v>0</v>
      </c>
      <c r="AA30" s="1" t="n">
        <f aca="false">S30-Y30+U30*IF(Slot1_SpendLike=1,W30-X30,IF(Slot1_PotFree=1,W30,0))</f>
        <v>0</v>
      </c>
      <c r="AB30" s="1" t="n">
        <f aca="false">AE30+U30*Slot1_BufPot*W30</f>
        <v>0</v>
      </c>
      <c r="AC30" s="1" t="n">
        <f aca="false">IF(AND(U30=1,Slot1_IsMfree=1),IF(Z30&gt;=Slot1_Cost-1,0,MAX(0,K30-Z30)),K30)</f>
        <v>0</v>
      </c>
      <c r="AD30" s="1" t="n">
        <f aca="false">U30*(Slot1_Cost-Z30)</f>
        <v>0</v>
      </c>
      <c r="AE30" s="1" t="n">
        <f aca="false">HE29</f>
        <v>0</v>
      </c>
      <c r="AF30" s="1" t="n">
        <f aca="false">IF(AND(Slot2_On=1,D30=Slot2_Age),1,0)</f>
        <v>0</v>
      </c>
      <c r="AG30" s="1" t="n">
        <f aca="false">IF(AND(Slot2_On=1,Slot2_Age&gt;D30),1,0)</f>
        <v>0</v>
      </c>
      <c r="AH30" s="1" t="n">
        <f aca="false">HJ29</f>
        <v>0</v>
      </c>
      <c r="AI30" s="1" t="n">
        <f aca="false">AF30*MIN(Slot2_Cost,AH30)</f>
        <v>0</v>
      </c>
      <c r="AJ30" s="1" t="n">
        <f aca="false">AF30*Slot2_SpendLike*MIN(Slot2_Cost-AI30,AA30)</f>
        <v>0</v>
      </c>
      <c r="AK30" s="1" t="n">
        <f aca="false">AI30+AJ30</f>
        <v>0</v>
      </c>
      <c r="AL30" s="1" t="n">
        <f aca="false">AA30-AJ30+AF30*IF(Slot2_SpendLike=1,AH30-AI30,IF(Slot2_PotFree=1,AH30,0))</f>
        <v>0</v>
      </c>
      <c r="AM30" s="1" t="n">
        <f aca="false">AB30+AF30*Slot2_BufPot*AH30</f>
        <v>0</v>
      </c>
      <c r="AN30" s="1" t="n">
        <f aca="false">IF(AND(AF30=1,Slot2_IsMfree=1),IF(AK30&gt;=Slot2_Cost-1,0,MAX(0,AC30-AK30)),AC30)</f>
        <v>0</v>
      </c>
      <c r="AO30" s="1" t="n">
        <f aca="false">AF30*(Slot2_Cost-AK30)</f>
        <v>0</v>
      </c>
      <c r="AP30" s="1" t="n">
        <f aca="false">IF(AND(Slot3_On=1,D30=Slot3_Age),1,0)</f>
        <v>0</v>
      </c>
      <c r="AQ30" s="1" t="n">
        <f aca="false">IF(AND(Slot3_On=1,Slot3_Age&gt;D30),1,0)</f>
        <v>0</v>
      </c>
      <c r="AR30" s="1" t="n">
        <f aca="false">HN29</f>
        <v>0</v>
      </c>
      <c r="AS30" s="1" t="n">
        <f aca="false">AP30*MIN(Slot3_Cost,AR30)</f>
        <v>0</v>
      </c>
      <c r="AT30" s="1" t="n">
        <f aca="false">AP30*Slot3_SpendLike*MIN(Slot3_Cost-AS30,AL30)</f>
        <v>0</v>
      </c>
      <c r="AU30" s="1" t="n">
        <f aca="false">AS30+AT30</f>
        <v>0</v>
      </c>
      <c r="AV30" s="1" t="n">
        <f aca="false">AL30-AT30+AP30*IF(Slot3_SpendLike=1,AR30-AS30,IF(Slot3_PotFree=1,AR30,0))</f>
        <v>0</v>
      </c>
      <c r="AW30" s="1" t="n">
        <f aca="false">AM30+AP30*Slot3_BufPot*AR30</f>
        <v>0</v>
      </c>
      <c r="AX30" s="1" t="n">
        <f aca="false">IF(AND(AP30=1,Slot3_IsMfree=1),IF(AU30&gt;=Slot3_Cost-1,0,MAX(0,AN30-AU30)),AN30)</f>
        <v>0</v>
      </c>
      <c r="AY30" s="1" t="n">
        <f aca="false">AP30*(Slot3_Cost-AU30)</f>
        <v>0</v>
      </c>
      <c r="AZ30" s="1" t="n">
        <f aca="false">IF(AND(Slot4_On=1,D30=Slot4_Age),1,0)</f>
        <v>0</v>
      </c>
      <c r="BA30" s="1" t="n">
        <f aca="false">IF(AND(Slot4_On=1,Slot4_Age&gt;D30),1,0)</f>
        <v>0</v>
      </c>
      <c r="BB30" s="1" t="n">
        <f aca="false">HR29</f>
        <v>0</v>
      </c>
      <c r="BC30" s="1" t="n">
        <f aca="false">AZ30*MIN(Slot4_Cost,BB30)</f>
        <v>0</v>
      </c>
      <c r="BD30" s="1" t="n">
        <f aca="false">AZ30*Slot4_SpendLike*MIN(Slot4_Cost-BC30,AV30)</f>
        <v>0</v>
      </c>
      <c r="BE30" s="1" t="n">
        <f aca="false">BC30+BD30</f>
        <v>0</v>
      </c>
      <c r="BF30" s="1" t="n">
        <f aca="false">AV30-BD30+AZ30*IF(Slot4_SpendLike=1,BB30-BC30,IF(Slot4_PotFree=1,BB30,0))</f>
        <v>0</v>
      </c>
      <c r="BG30" s="1" t="n">
        <f aca="false">AW30+AZ30*Slot4_BufPot*BB30</f>
        <v>0</v>
      </c>
      <c r="BH30" s="1" t="n">
        <f aca="false">IF(AND(AZ30=1,Slot4_IsMfree=1),IF(BE30&gt;=Slot4_Cost-1,0,MAX(0,AX30-BE30)),AX30)</f>
        <v>0</v>
      </c>
      <c r="BI30" s="1" t="n">
        <f aca="false">AZ30*(Slot4_Cost-BE30)</f>
        <v>0</v>
      </c>
      <c r="BJ30" s="1" t="n">
        <f aca="false">IF(AND(Slot5_On=1,D30=Slot5_Age),1,0)</f>
        <v>0</v>
      </c>
      <c r="BK30" s="1" t="n">
        <f aca="false">IF(AND(Slot5_On=1,Slot5_Age&gt;D30),1,0)</f>
        <v>0</v>
      </c>
      <c r="BL30" s="1" t="n">
        <f aca="false">HV29</f>
        <v>0</v>
      </c>
      <c r="BM30" s="1" t="n">
        <f aca="false">BJ30*MIN(Slot5_Cost,BL30)</f>
        <v>0</v>
      </c>
      <c r="BN30" s="1" t="n">
        <f aca="false">BJ30*Slot5_SpendLike*MIN(Slot5_Cost-BM30,BF30)</f>
        <v>0</v>
      </c>
      <c r="BO30" s="1" t="n">
        <f aca="false">BM30+BN30</f>
        <v>0</v>
      </c>
      <c r="BP30" s="1" t="n">
        <f aca="false">BF30-BN30+BJ30*IF(Slot5_SpendLike=1,BL30-BM30,IF(Slot5_PotFree=1,BL30,0))</f>
        <v>0</v>
      </c>
      <c r="BQ30" s="1" t="n">
        <f aca="false">BG30+BJ30*Slot5_BufPot*BL30</f>
        <v>0</v>
      </c>
      <c r="BR30" s="1" t="n">
        <f aca="false">IF(AND(BJ30=1,Slot5_IsMfree=1),IF(BO30&gt;=Slot5_Cost-1,0,MAX(0,BH30-BO30)),BH30)</f>
        <v>0</v>
      </c>
      <c r="BS30" s="1" t="n">
        <f aca="false">BJ30*(Slot5_Cost-BO30)</f>
        <v>0</v>
      </c>
      <c r="BT30" s="1" t="n">
        <f aca="false">IF(AND(Slot6_On=1,D30=Slot6_Age),1,0)</f>
        <v>0</v>
      </c>
      <c r="BU30" s="1" t="n">
        <f aca="false">IF(AND(Slot6_On=1,Slot6_Age&gt;D30),1,0)</f>
        <v>0</v>
      </c>
      <c r="BV30" s="1" t="n">
        <f aca="false">HZ29</f>
        <v>0</v>
      </c>
      <c r="BW30" s="1" t="n">
        <f aca="false">BT30*MIN(Slot6_Cost,BV30)</f>
        <v>0</v>
      </c>
      <c r="BX30" s="1" t="n">
        <f aca="false">BT30*Slot6_SpendLike*MIN(Slot6_Cost-BW30,BP30)</f>
        <v>0</v>
      </c>
      <c r="BY30" s="1" t="n">
        <f aca="false">BW30+BX30</f>
        <v>0</v>
      </c>
      <c r="BZ30" s="1" t="n">
        <f aca="false">BP30-BX30+BT30*IF(Slot6_SpendLike=1,BV30-BW30,IF(Slot6_PotFree=1,BV30,0))</f>
        <v>0</v>
      </c>
      <c r="CA30" s="1" t="n">
        <f aca="false">BQ30+BT30*Slot6_BufPot*BV30</f>
        <v>0</v>
      </c>
      <c r="CB30" s="1" t="n">
        <f aca="false">IF(AND(BT30=1,Slot6_IsMfree=1),IF(BY30&gt;=Slot6_Cost-1,0,MAX(0,BR30-BY30)),BR30)</f>
        <v>0</v>
      </c>
      <c r="CC30" s="1" t="n">
        <f aca="false">BT30*(Slot6_Cost-BY30)</f>
        <v>0</v>
      </c>
      <c r="CD30" s="1" t="n">
        <f aca="false">IF(AND(Slot7_On=1,D30=Slot7_Age),1,0)</f>
        <v>0</v>
      </c>
      <c r="CE30" s="1" t="n">
        <f aca="false">IF(AND(Slot7_On=1,Slot7_Age&gt;D30),1,0)</f>
        <v>0</v>
      </c>
      <c r="CF30" s="1" t="n">
        <f aca="false">ID29</f>
        <v>0</v>
      </c>
      <c r="CG30" s="1" t="n">
        <f aca="false">CD30*MIN(Slot7_Cost,CF30)</f>
        <v>0</v>
      </c>
      <c r="CH30" s="1" t="n">
        <f aca="false">CD30*Slot7_SpendLike*MIN(Slot7_Cost-CG30,BZ30)</f>
        <v>0</v>
      </c>
      <c r="CI30" s="1" t="n">
        <f aca="false">CG30+CH30</f>
        <v>0</v>
      </c>
      <c r="CJ30" s="1" t="n">
        <f aca="false">BZ30-CH30+CD30*IF(Slot7_SpendLike=1,CF30-CG30,IF(Slot7_PotFree=1,CF30,0))</f>
        <v>0</v>
      </c>
      <c r="CK30" s="1" t="n">
        <f aca="false">CA30+CD30*Slot7_BufPot*CF30</f>
        <v>0</v>
      </c>
      <c r="CL30" s="1" t="n">
        <f aca="false">IF(AND(CD30=1,Slot7_IsMfree=1),IF(CI30&gt;=Slot7_Cost-1,0,MAX(0,CB30-CI30)),CB30)</f>
        <v>0</v>
      </c>
      <c r="CM30" s="1" t="n">
        <f aca="false">CD30*(Slot7_Cost-CI30)</f>
        <v>0</v>
      </c>
      <c r="CN30" s="1" t="n">
        <f aca="false">IF(AND(Slot8_On=1,D30=Slot8_Age),1,0)</f>
        <v>0</v>
      </c>
      <c r="CO30" s="1" t="n">
        <f aca="false">IF(AND(Slot8_On=1,Slot8_Age&gt;D30),1,0)</f>
        <v>0</v>
      </c>
      <c r="CP30" s="1" t="n">
        <f aca="false">IH29</f>
        <v>0</v>
      </c>
      <c r="CQ30" s="1" t="n">
        <f aca="false">CN30*MIN(Slot8_Cost,CP30)</f>
        <v>0</v>
      </c>
      <c r="CR30" s="1" t="n">
        <f aca="false">CN30*Slot8_SpendLike*MIN(Slot8_Cost-CQ30,CJ30)</f>
        <v>0</v>
      </c>
      <c r="CS30" s="1" t="n">
        <f aca="false">CQ30+CR30</f>
        <v>0</v>
      </c>
      <c r="CT30" s="1" t="n">
        <f aca="false">CJ30-CR30+CN30*IF(Slot8_SpendLike=1,CP30-CQ30,IF(Slot8_PotFree=1,CP30,0))</f>
        <v>0</v>
      </c>
      <c r="CU30" s="1" t="n">
        <f aca="false">CK30+CN30*Slot8_BufPot*CP30</f>
        <v>0</v>
      </c>
      <c r="CV30" s="1" t="n">
        <f aca="false">IF(AND(CN30=1,Slot8_IsMfree=1),IF(CS30&gt;=Slot8_Cost-1,0,MAX(0,CL30-CS30)),CL30)</f>
        <v>0</v>
      </c>
      <c r="CW30" s="1" t="n">
        <f aca="false">CN30*(Slot8_Cost-CS30)</f>
        <v>0</v>
      </c>
      <c r="CX30" s="1" t="n">
        <f aca="false">U30*Slot1_SpendLike*Z30+AF30*Slot2_SpendLike*AK30+AP30*Slot3_SpendLike*AU30+AZ30*Slot4_SpendLike*BE30+BJ30*Slot5_SpendLike*BO30+BT30*Slot6_SpendLike*BY30+CD30*Slot7_SpendLike*CI30+CN30*Slot8_SpendLike*CS30</f>
        <v>0</v>
      </c>
      <c r="CY30" s="1" t="n">
        <f aca="false">AD30+AO30+AY30+BI30+BS30+CC30+CM30+CW30</f>
        <v>0</v>
      </c>
      <c r="CZ30" s="1" t="n">
        <f aca="false">U30*Slot1_Cost+AF30*Slot2_Cost+AP30*Slot3_Cost+AZ30*Slot4_Cost+BJ30*Slot5_Cost+BT30*Slot6_Cost+CD30*Slot7_Cost+CN30*Slot8_Cost</f>
        <v>0</v>
      </c>
      <c r="DA30" s="1" t="n">
        <f aca="false">CV30</f>
        <v>0</v>
      </c>
      <c r="DB30" s="1" t="n">
        <f aca="false">G30-H30-R30</f>
        <v>0</v>
      </c>
      <c r="DC30" s="1" t="n">
        <f aca="false">IF(B30=0,IF(AND(Has_q6=1,In_q6=4),PR_ShareVaries*(MAX(0,DB30)/12),MIN(IF(Has_q6=1,CHOOSE(In_q6+1,PR_SaveB1,PR_SaveB2,PR_SaveB3,PR_SaveB4,0),AS_NoAnswer),AS_SaveShare*(MAX(0,DB30)/12))),DC29)</f>
        <v>0</v>
      </c>
      <c r="DD30" s="1" t="n">
        <f aca="false">IF(DB30&gt;=0,1,0)</f>
        <v>1</v>
      </c>
      <c r="DE30" s="1" t="n">
        <f aca="false">MAX(0,DB30/12/E30)</f>
        <v>0</v>
      </c>
      <c r="DF30" s="1" t="n">
        <f aca="false">IF(AND(Has_q6=1,In_q6=4),PR_ShareVaries*(DE30),MIN(IF(Has_q6=1,CHOOSE(In_q6+1,PR_SaveB1,PR_SaveB2,PR_SaveB3,PR_SaveB4,0),AS_NoAnswer),AS_SaveShare*(DE30)))</f>
        <v>0</v>
      </c>
      <c r="DG30" s="1" t="n">
        <f aca="false">IF(Has_saveM=1,IF(In_saveUp="Yes",1,IF(In_saveUp="No",0,IF(In_saveM&gt;=DC30-0.5,1,0))),0)</f>
        <v>0</v>
      </c>
      <c r="DH30" s="1" t="n">
        <f aca="false">IF(Has_saveM=1,MIN(DE30,IF(DG30=1,MAX(In_saveM,DF30),MIN(In_saveM,DF30))),DF30)</f>
        <v>0</v>
      </c>
      <c r="DI30" s="1" t="n">
        <f aca="false">IF(F30=1,DH30*12*E30,0)</f>
        <v>0</v>
      </c>
      <c r="DJ30" s="1" t="n">
        <f aca="false">MAX(0,DI30+IF(AND(WI_Retire=0,WI_M&lt;0,F30=1),WI_M*12*E30,0))</f>
        <v>0</v>
      </c>
      <c r="DK30" s="1" t="n">
        <f aca="false">Slot1_IsWG*V30+Slot2_IsWG*AG30+Slot3_IsWG*AQ30+Slot4_IsWG*BA30+Slot5_IsWG*BK30+Slot6_IsWG*BU30+Slot7_IsWG*CE30+Slot8_IsWG*CO30</f>
        <v>0</v>
      </c>
      <c r="DL30" s="1" t="n">
        <f aca="false">IF(AND(WI_Retire=0,WI_M&gt;0,F30=1,DK30&gt;=1),WI_M*12*E30,0)</f>
        <v>0</v>
      </c>
      <c r="DM30" s="1" t="n">
        <f aca="false">IF(DD30=1,MIN(DJ30,DB30),0)</f>
        <v>0</v>
      </c>
      <c r="DN30" s="1" t="n">
        <f aca="false">IF(DD30=1,MIN(DL30,DB30-DM30),0)</f>
        <v>0</v>
      </c>
      <c r="DO30" s="1" t="n">
        <f aca="false">IF(V30=1,IF(ABS((1+AS_Wage)/(1+Slot1_Rate)-1)&lt;0.000000000001,(Slot1_Age-D30)*(1+Slot1_Rate)^(Slot1_Age-D30),(1+Slot1_Rate)^(Slot1_Age-D30)*(1-((1+AS_Wage)/(1+Slot1_Rate))^(Slot1_Age-D30))/(1-(1+AS_Wage)/(1+Slot1_Rate))),1)</f>
        <v>1</v>
      </c>
      <c r="DP30" s="1" t="n">
        <f aca="false">IF(AND(DD30=1,DN30&gt;0,Slot1_IsWG=1,V30=1),MAX(0,(Slot1_Cost-W30*(1+Slot1_Rate)^(Slot1_Age-D30))/DO30),0)</f>
        <v>0</v>
      </c>
      <c r="DQ30" s="1" t="n">
        <f aca="false">IF(AND(DD30=1,DN30&gt;0,Slot1_IsWG=1,V30=1),MIN(DN30,DP30),0)</f>
        <v>0</v>
      </c>
      <c r="DR30" s="1" t="n">
        <f aca="false">W30+DQ30</f>
        <v>0</v>
      </c>
      <c r="DS30" s="1" t="n">
        <f aca="false">IF(V30=1,MAX(0,(Slot1_Cost-DR30*(1+Slot1_Rate)^(Slot1_Age-D30))/DO30),0)</f>
        <v>0</v>
      </c>
      <c r="DT30" s="1" t="n">
        <f aca="false">IF(V30=1,MAX(0,(Slot1_Cost-W30*(1+Slot1_Rate)^(Slot1_Age-D30))/DO30),0)</f>
        <v>0</v>
      </c>
      <c r="DU30" s="1" t="n">
        <f aca="false">IF(AND(DD30=1,V30=1),MIN(DM30,DS30),0)</f>
        <v>0</v>
      </c>
      <c r="DV30" s="1" t="n">
        <f aca="false">DM30-DU30</f>
        <v>0</v>
      </c>
      <c r="DW30" s="1" t="n">
        <f aca="false">IF(AG30=1,IF(ABS((1+AS_Wage)/(1+Slot2_Rate)-1)&lt;0.000000000001,(Slot2_Age-D30)*(1+Slot2_Rate)^(Slot2_Age-D30),(1+Slot2_Rate)^(Slot2_Age-D30)*(1-((1+AS_Wage)/(1+Slot2_Rate))^(Slot2_Age-D30))/(1-(1+AS_Wage)/(1+Slot2_Rate))),1)</f>
        <v>1</v>
      </c>
      <c r="DX30" s="1" t="n">
        <f aca="false">IF(AND(DD30=1,DN30&gt;0,Slot2_IsWG=1,AG30=1),MAX(0,(Slot2_Cost-AH30*(1+Slot2_Rate)^(Slot2_Age-D30))/DW30),0)</f>
        <v>0</v>
      </c>
      <c r="DY30" s="1" t="n">
        <f aca="false">IF(AND(DD30=1,DN30&gt;0,Slot2_IsWG=1,AG30=1),MIN(DN30,DX30),0)</f>
        <v>0</v>
      </c>
      <c r="DZ30" s="1" t="n">
        <f aca="false">AH30+DY30</f>
        <v>0</v>
      </c>
      <c r="EA30" s="1" t="n">
        <f aca="false">IF(AG30=1,MAX(0,(Slot2_Cost-DZ30*(1+Slot2_Rate)^(Slot2_Age-D30))/DW30),0)</f>
        <v>0</v>
      </c>
      <c r="EB30" s="1" t="n">
        <f aca="false">IF(AG30=1,MAX(0,(Slot2_Cost-AH30*(1+Slot2_Rate)^(Slot2_Age-D30))/DW30),0)</f>
        <v>0</v>
      </c>
      <c r="EC30" s="1" t="n">
        <f aca="false">IF(AND(DD30=1,AG30=1),MIN(DV30,EA30),0)</f>
        <v>0</v>
      </c>
      <c r="ED30" s="1" t="n">
        <f aca="false">DV30-EC30</f>
        <v>0</v>
      </c>
      <c r="EE30" s="1" t="n">
        <f aca="false">IF(AQ30=1,IF(ABS((1+AS_Wage)/(1+Slot3_Rate)-1)&lt;0.000000000001,(Slot3_Age-D30)*(1+Slot3_Rate)^(Slot3_Age-D30),(1+Slot3_Rate)^(Slot3_Age-D30)*(1-((1+AS_Wage)/(1+Slot3_Rate))^(Slot3_Age-D30))/(1-(1+AS_Wage)/(1+Slot3_Rate))),1)</f>
        <v>1</v>
      </c>
      <c r="EF30" s="1" t="n">
        <f aca="false">IF(AND(DD30=1,DN30&gt;0,Slot3_IsWG=1,AQ30=1),MAX(0,(Slot3_Cost-AR30*(1+Slot3_Rate)^(Slot3_Age-D30))/EE30),0)</f>
        <v>0</v>
      </c>
      <c r="EG30" s="1" t="n">
        <f aca="false">IF(AND(DD30=1,DN30&gt;0,Slot3_IsWG=1,AQ30=1),MIN(DN30,EF30),0)</f>
        <v>0</v>
      </c>
      <c r="EH30" s="1" t="n">
        <f aca="false">AR30+EG30</f>
        <v>0</v>
      </c>
      <c r="EI30" s="1" t="n">
        <f aca="false">IF(AQ30=1,MAX(0,(Slot3_Cost-EH30*(1+Slot3_Rate)^(Slot3_Age-D30))/EE30),0)</f>
        <v>0</v>
      </c>
      <c r="EJ30" s="1" t="n">
        <f aca="false">IF(AQ30=1,MAX(0,(Slot3_Cost-AR30*(1+Slot3_Rate)^(Slot3_Age-D30))/EE30),0)</f>
        <v>0</v>
      </c>
      <c r="EK30" s="1" t="n">
        <f aca="false">IF(AND(DD30=1,AQ30=1),MIN(ED30,EI30),0)</f>
        <v>0</v>
      </c>
      <c r="EL30" s="1" t="n">
        <f aca="false">ED30-EK30</f>
        <v>0</v>
      </c>
      <c r="EM30" s="1" t="n">
        <f aca="false">IF(BA30=1,IF(ABS((1+AS_Wage)/(1+Slot4_Rate)-1)&lt;0.000000000001,(Slot4_Age-D30)*(1+Slot4_Rate)^(Slot4_Age-D30),(1+Slot4_Rate)^(Slot4_Age-D30)*(1-((1+AS_Wage)/(1+Slot4_Rate))^(Slot4_Age-D30))/(1-(1+AS_Wage)/(1+Slot4_Rate))),1)</f>
        <v>1</v>
      </c>
      <c r="EN30" s="1" t="n">
        <f aca="false">IF(AND(DD30=1,DN30&gt;0,Slot4_IsWG=1,BA30=1),MAX(0,(Slot4_Cost-BB30*(1+Slot4_Rate)^(Slot4_Age-D30))/EM30),0)</f>
        <v>0</v>
      </c>
      <c r="EO30" s="1" t="n">
        <f aca="false">IF(AND(DD30=1,DN30&gt;0,Slot4_IsWG=1,BA30=1),MIN(DN30,EN30),0)</f>
        <v>0</v>
      </c>
      <c r="EP30" s="1" t="n">
        <f aca="false">BB30+EO30</f>
        <v>0</v>
      </c>
      <c r="EQ30" s="1" t="n">
        <f aca="false">IF(BA30=1,MAX(0,(Slot4_Cost-EP30*(1+Slot4_Rate)^(Slot4_Age-D30))/EM30),0)</f>
        <v>0</v>
      </c>
      <c r="ER30" s="1" t="n">
        <f aca="false">IF(BA30=1,MAX(0,(Slot4_Cost-BB30*(1+Slot4_Rate)^(Slot4_Age-D30))/EM30),0)</f>
        <v>0</v>
      </c>
      <c r="ES30" s="1" t="n">
        <f aca="false">IF(AND(DD30=1,BA30=1),MIN(EL30,EQ30),0)</f>
        <v>0</v>
      </c>
      <c r="ET30" s="1" t="n">
        <f aca="false">EL30-ES30</f>
        <v>0</v>
      </c>
      <c r="EU30" s="1" t="n">
        <f aca="false">IF(BK30=1,IF(ABS((1+AS_Wage)/(1+Slot5_Rate)-1)&lt;0.000000000001,(Slot5_Age-D30)*(1+Slot5_Rate)^(Slot5_Age-D30),(1+Slot5_Rate)^(Slot5_Age-D30)*(1-((1+AS_Wage)/(1+Slot5_Rate))^(Slot5_Age-D30))/(1-(1+AS_Wage)/(1+Slot5_Rate))),1)</f>
        <v>1</v>
      </c>
      <c r="EV30" s="1" t="n">
        <f aca="false">IF(AND(DD30=1,DN30&gt;0,Slot5_IsWG=1,BK30=1),MAX(0,(Slot5_Cost-BL30*(1+Slot5_Rate)^(Slot5_Age-D30))/EU30),0)</f>
        <v>0</v>
      </c>
      <c r="EW30" s="1" t="n">
        <f aca="false">IF(AND(DD30=1,DN30&gt;0,Slot5_IsWG=1,BK30=1),MIN(DN30,EV30),0)</f>
        <v>0</v>
      </c>
      <c r="EX30" s="1" t="n">
        <f aca="false">BL30+EW30</f>
        <v>0</v>
      </c>
      <c r="EY30" s="1" t="n">
        <f aca="false">IF(BK30=1,MAX(0,(Slot5_Cost-EX30*(1+Slot5_Rate)^(Slot5_Age-D30))/EU30),0)</f>
        <v>0</v>
      </c>
      <c r="EZ30" s="1" t="n">
        <f aca="false">IF(BK30=1,MAX(0,(Slot5_Cost-BL30*(1+Slot5_Rate)^(Slot5_Age-D30))/EU30),0)</f>
        <v>0</v>
      </c>
      <c r="FA30" s="1" t="n">
        <f aca="false">IF(AND(DD30=1,BK30=1),MIN(ET30,EY30),0)</f>
        <v>0</v>
      </c>
      <c r="FB30" s="1" t="n">
        <f aca="false">ET30-FA30</f>
        <v>0</v>
      </c>
      <c r="FC30" s="1" t="n">
        <f aca="false">IF(BU30=1,IF(ABS((1+AS_Wage)/(1+Slot6_Rate)-1)&lt;0.000000000001,(Slot6_Age-D30)*(1+Slot6_Rate)^(Slot6_Age-D30),(1+Slot6_Rate)^(Slot6_Age-D30)*(1-((1+AS_Wage)/(1+Slot6_Rate))^(Slot6_Age-D30))/(1-(1+AS_Wage)/(1+Slot6_Rate))),1)</f>
        <v>1</v>
      </c>
      <c r="FD30" s="1" t="n">
        <f aca="false">IF(AND(DD30=1,DN30&gt;0,Slot6_IsWG=1,BU30=1),MAX(0,(Slot6_Cost-BV30*(1+Slot6_Rate)^(Slot6_Age-D30))/FC30),0)</f>
        <v>0</v>
      </c>
      <c r="FE30" s="1" t="n">
        <f aca="false">IF(AND(DD30=1,DN30&gt;0,Slot6_IsWG=1,BU30=1),MIN(DN30,FD30),0)</f>
        <v>0</v>
      </c>
      <c r="FF30" s="1" t="n">
        <f aca="false">BV30+FE30</f>
        <v>0</v>
      </c>
      <c r="FG30" s="1" t="n">
        <f aca="false">IF(BU30=1,MAX(0,(Slot6_Cost-FF30*(1+Slot6_Rate)^(Slot6_Age-D30))/FC30),0)</f>
        <v>0</v>
      </c>
      <c r="FH30" s="1" t="n">
        <f aca="false">IF(BU30=1,MAX(0,(Slot6_Cost-BV30*(1+Slot6_Rate)^(Slot6_Age-D30))/FC30),0)</f>
        <v>0</v>
      </c>
      <c r="FI30" s="1" t="n">
        <f aca="false">IF(AND(DD30=1,BU30=1),MIN(FB30,FG30),0)</f>
        <v>0</v>
      </c>
      <c r="FJ30" s="1" t="n">
        <f aca="false">FB30-FI30</f>
        <v>0</v>
      </c>
      <c r="FK30" s="1" t="n">
        <f aca="false">IF(CE30=1,IF(ABS((1+AS_Wage)/(1+Slot7_Rate)-1)&lt;0.000000000001,(Slot7_Age-D30)*(1+Slot7_Rate)^(Slot7_Age-D30),(1+Slot7_Rate)^(Slot7_Age-D30)*(1-((1+AS_Wage)/(1+Slot7_Rate))^(Slot7_Age-D30))/(1-(1+AS_Wage)/(1+Slot7_Rate))),1)</f>
        <v>1</v>
      </c>
      <c r="FL30" s="1" t="n">
        <f aca="false">IF(AND(DD30=1,DN30&gt;0,Slot7_IsWG=1,CE30=1),MAX(0,(Slot7_Cost-CF30*(1+Slot7_Rate)^(Slot7_Age-D30))/FK30),0)</f>
        <v>0</v>
      </c>
      <c r="FM30" s="1" t="n">
        <f aca="false">IF(AND(DD30=1,DN30&gt;0,Slot7_IsWG=1,CE30=1),MIN(DN30,FL30),0)</f>
        <v>0</v>
      </c>
      <c r="FN30" s="1" t="n">
        <f aca="false">CF30+FM30</f>
        <v>0</v>
      </c>
      <c r="FO30" s="1" t="n">
        <f aca="false">IF(CE30=1,MAX(0,(Slot7_Cost-FN30*(1+Slot7_Rate)^(Slot7_Age-D30))/FK30),0)</f>
        <v>0</v>
      </c>
      <c r="FP30" s="1" t="n">
        <f aca="false">IF(CE30=1,MAX(0,(Slot7_Cost-CF30*(1+Slot7_Rate)^(Slot7_Age-D30))/FK30),0)</f>
        <v>0</v>
      </c>
      <c r="FQ30" s="1" t="n">
        <f aca="false">IF(AND(DD30=1,CE30=1),MIN(FJ30,FO30),0)</f>
        <v>0</v>
      </c>
      <c r="FR30" s="1" t="n">
        <f aca="false">FJ30-FQ30</f>
        <v>0</v>
      </c>
      <c r="FS30" s="1" t="n">
        <f aca="false">IF(CO30=1,IF(ABS((1+AS_Wage)/(1+Slot8_Rate)-1)&lt;0.000000000001,(Slot8_Age-D30)*(1+Slot8_Rate)^(Slot8_Age-D30),(1+Slot8_Rate)^(Slot8_Age-D30)*(1-((1+AS_Wage)/(1+Slot8_Rate))^(Slot8_Age-D30))/(1-(1+AS_Wage)/(1+Slot8_Rate))),1)</f>
        <v>1</v>
      </c>
      <c r="FT30" s="1" t="n">
        <f aca="false">IF(AND(DD30=1,DN30&gt;0,Slot8_IsWG=1,CO30=1),MAX(0,(Slot8_Cost-CP30*(1+Slot8_Rate)^(Slot8_Age-D30))/FS30),0)</f>
        <v>0</v>
      </c>
      <c r="FU30" s="1" t="n">
        <f aca="false">IF(AND(DD30=1,DN30&gt;0,Slot8_IsWG=1,CO30=1),MIN(DN30,FT30),0)</f>
        <v>0</v>
      </c>
      <c r="FV30" s="1" t="n">
        <f aca="false">CP30+FU30</f>
        <v>0</v>
      </c>
      <c r="FW30" s="1" t="n">
        <f aca="false">IF(CO30=1,MAX(0,(Slot8_Cost-FV30*(1+Slot8_Rate)^(Slot8_Age-D30))/FS30),0)</f>
        <v>0</v>
      </c>
      <c r="FX30" s="1" t="n">
        <f aca="false">IF(CO30=1,MAX(0,(Slot8_Cost-CP30*(1+Slot8_Rate)^(Slot8_Age-D30))/FS30),0)</f>
        <v>0</v>
      </c>
      <c r="FY30" s="1" t="n">
        <f aca="false">IF(AND(DD30=1,CO30=1),MIN(FR30,FW30),0)</f>
        <v>0</v>
      </c>
      <c r="FZ30" s="1" t="n">
        <f aca="false">FR30-FY30</f>
        <v>0</v>
      </c>
      <c r="GA30" s="1" t="n">
        <f aca="false">DN30-(DQ30+DY30+EG30+EO30+EW30+FE30+FM30+FU30)</f>
        <v>0</v>
      </c>
      <c r="GB30" s="1" t="n">
        <f aca="false">IF(DD30=1,DB30-DM30-DN30,0)</f>
        <v>0</v>
      </c>
      <c r="GC30" s="1" t="n">
        <f aca="false">IF(DD30=0,-DB30,0)</f>
        <v>0</v>
      </c>
      <c r="GD30" s="1" t="n">
        <f aca="false">MIN(GC30,CT30)</f>
        <v>0</v>
      </c>
      <c r="GE30" s="1" t="n">
        <f aca="false">GC30-GD30</f>
        <v>0</v>
      </c>
      <c r="GF30" s="1" t="n">
        <f aca="false">MIN(GE30,CU30)</f>
        <v>0</v>
      </c>
      <c r="GG30" s="1" t="n">
        <f aca="false">GE30-GF30</f>
        <v>0</v>
      </c>
      <c r="GH30" s="1" t="n">
        <f aca="false">IF(AND(DD30=0,CO30=1,GG30&gt;0),MIN(GG30,CP30),0)</f>
        <v>0</v>
      </c>
      <c r="GI30" s="1" t="n">
        <f aca="false">GG30-GH30</f>
        <v>0</v>
      </c>
      <c r="GJ30" s="1" t="n">
        <f aca="false">IF(AND(DD30=0,CE30=1,GI30&gt;0),MIN(GI30,CF30),0)</f>
        <v>0</v>
      </c>
      <c r="GK30" s="1" t="n">
        <f aca="false">GI30-GJ30</f>
        <v>0</v>
      </c>
      <c r="GL30" s="1" t="n">
        <f aca="false">IF(AND(DD30=0,BU30=1,GK30&gt;0),MIN(GK30,BV30),0)</f>
        <v>0</v>
      </c>
      <c r="GM30" s="1" t="n">
        <f aca="false">GK30-GL30</f>
        <v>0</v>
      </c>
      <c r="GN30" s="1" t="n">
        <f aca="false">IF(AND(DD30=0,BK30=1,GM30&gt;0),MIN(GM30,BL30),0)</f>
        <v>0</v>
      </c>
      <c r="GO30" s="1" t="n">
        <f aca="false">GM30-GN30</f>
        <v>0</v>
      </c>
      <c r="GP30" s="1" t="n">
        <f aca="false">IF(AND(DD30=0,BA30=1,GO30&gt;0),MIN(GO30,BB30),0)</f>
        <v>0</v>
      </c>
      <c r="GQ30" s="1" t="n">
        <f aca="false">GO30-GP30</f>
        <v>0</v>
      </c>
      <c r="GR30" s="1" t="n">
        <f aca="false">IF(AND(DD30=0,AQ30=1,GQ30&gt;0),MIN(GQ30,AR30),0)</f>
        <v>0</v>
      </c>
      <c r="GS30" s="1" t="n">
        <f aca="false">GQ30-GR30</f>
        <v>0</v>
      </c>
      <c r="GT30" s="1" t="n">
        <f aca="false">IF(AND(DD30=0,AG30=1,GS30&gt;0),MIN(GS30,AH30),0)</f>
        <v>0</v>
      </c>
      <c r="GU30" s="1" t="n">
        <f aca="false">GS30-GT30</f>
        <v>0</v>
      </c>
      <c r="GV30" s="1" t="n">
        <f aca="false">IF(AND(DD30=0,V30=1,GU30&gt;0),MIN(GU30,W30),0)</f>
        <v>0</v>
      </c>
      <c r="GW30" s="1" t="n">
        <f aca="false">GU30-GV30</f>
        <v>0</v>
      </c>
      <c r="GX30" s="1" t="n">
        <f aca="false">IF(DD30=0,GW30,0)</f>
        <v>0</v>
      </c>
      <c r="GY30" s="1" t="n">
        <f aca="false">GD30+GF30+GV30+GT30+GR30+GP30+GN30+GL30+GJ30+GH30</f>
        <v>0</v>
      </c>
      <c r="GZ30" s="1" t="n">
        <f aca="false">IF(DD30=1,CT30+GA30+FZ30+IF(F30=1,0,GB30),CT30-GD30)</f>
        <v>0</v>
      </c>
      <c r="HA30" s="1" t="n">
        <f aca="false">CU30-GF30</f>
        <v>0</v>
      </c>
      <c r="HB30" s="1" t="n">
        <f aca="false">IF(DD30=1,IF(F30=1,DM30+DN30,DB30),0)</f>
        <v>0</v>
      </c>
      <c r="HC30" s="1" t="n">
        <f aca="false">IF(DD30=1,IF(F30=1,DB30-DM30-DN30,0),0)</f>
        <v>0</v>
      </c>
      <c r="HD30" s="1" t="n">
        <f aca="false">GZ30*(1+GR)</f>
        <v>0</v>
      </c>
      <c r="HE30" s="1" t="n">
        <f aca="false">HA30*(1+AS_Cash)</f>
        <v>0</v>
      </c>
      <c r="HF30" s="1" t="n">
        <f aca="false">IF(V30=1,IF(DD30=1,DR30+DU30,W30-GV30)*(1+Slot1_Rate),0)</f>
        <v>0</v>
      </c>
      <c r="HG30" s="1" t="n">
        <f aca="false">IF(AND(DD30=1,V30=1),(DQ30+DU30)/E30,0)</f>
        <v>0</v>
      </c>
      <c r="HH30" s="1" t="n">
        <f aca="false">IF(B30=0,DQ30+DU30,0)</f>
        <v>0</v>
      </c>
      <c r="HI30" s="1" t="n">
        <f aca="false">IF(B30=0,IF(DD30=1,DS30,DT30),0)</f>
        <v>0</v>
      </c>
      <c r="HJ30" s="1" t="n">
        <f aca="false">IF(AG30=1,IF(DD30=1,DZ30+EC30,AH30-GT30)*(1+Slot2_Rate),0)</f>
        <v>0</v>
      </c>
      <c r="HK30" s="1" t="n">
        <f aca="false">IF(AND(DD30=1,AG30=1),(DY30+EC30)/E30,0)</f>
        <v>0</v>
      </c>
      <c r="HL30" s="1" t="n">
        <f aca="false">IF(B30=0,DY30+EC30,0)</f>
        <v>0</v>
      </c>
      <c r="HM30" s="1" t="n">
        <f aca="false">IF(B30=0,IF(DD30=1,EA30,EB30),0)</f>
        <v>0</v>
      </c>
      <c r="HN30" s="1" t="n">
        <f aca="false">IF(AQ30=1,IF(DD30=1,EH30+EK30,AR30-GR30)*(1+Slot3_Rate),0)</f>
        <v>0</v>
      </c>
      <c r="HO30" s="1" t="n">
        <f aca="false">IF(AND(DD30=1,AQ30=1),(EG30+EK30)/E30,0)</f>
        <v>0</v>
      </c>
      <c r="HP30" s="1" t="n">
        <f aca="false">IF(B30=0,EG30+EK30,0)</f>
        <v>0</v>
      </c>
      <c r="HQ30" s="1" t="n">
        <f aca="false">IF(B30=0,IF(DD30=1,EI30,EJ30),0)</f>
        <v>0</v>
      </c>
      <c r="HR30" s="1" t="n">
        <f aca="false">IF(BA30=1,IF(DD30=1,EP30+ES30,BB30-GP30)*(1+Slot4_Rate),0)</f>
        <v>0</v>
      </c>
      <c r="HS30" s="1" t="n">
        <f aca="false">IF(AND(DD30=1,BA30=1),(EO30+ES30)/E30,0)</f>
        <v>0</v>
      </c>
      <c r="HT30" s="1" t="n">
        <f aca="false">IF(B30=0,EO30+ES30,0)</f>
        <v>0</v>
      </c>
      <c r="HU30" s="1" t="n">
        <f aca="false">IF(B30=0,IF(DD30=1,EQ30,ER30),0)</f>
        <v>0</v>
      </c>
      <c r="HV30" s="1" t="n">
        <f aca="false">IF(BK30=1,IF(DD30=1,EX30+FA30,BL30-GN30)*(1+Slot5_Rate),0)</f>
        <v>0</v>
      </c>
      <c r="HW30" s="1" t="n">
        <f aca="false">IF(AND(DD30=1,BK30=1),(EW30+FA30)/E30,0)</f>
        <v>0</v>
      </c>
      <c r="HX30" s="1" t="n">
        <f aca="false">IF(B30=0,EW30+FA30,0)</f>
        <v>0</v>
      </c>
      <c r="HY30" s="1" t="n">
        <f aca="false">IF(B30=0,IF(DD30=1,EY30,EZ30),0)</f>
        <v>0</v>
      </c>
      <c r="HZ30" s="1" t="n">
        <f aca="false">IF(BU30=1,IF(DD30=1,FF30+FI30,BV30-GL30)*(1+Slot6_Rate),0)</f>
        <v>0</v>
      </c>
      <c r="IA30" s="1" t="n">
        <f aca="false">IF(AND(DD30=1,BU30=1),(FE30+FI30)/E30,0)</f>
        <v>0</v>
      </c>
      <c r="IB30" s="1" t="n">
        <f aca="false">IF(B30=0,FE30+FI30,0)</f>
        <v>0</v>
      </c>
      <c r="IC30" s="1" t="n">
        <f aca="false">IF(B30=0,IF(DD30=1,FG30,FH30),0)</f>
        <v>0</v>
      </c>
      <c r="ID30" s="1" t="n">
        <f aca="false">IF(CE30=1,IF(DD30=1,FN30+FQ30,CF30-GJ30)*(1+Slot7_Rate),0)</f>
        <v>0</v>
      </c>
      <c r="IE30" s="1" t="n">
        <f aca="false">IF(AND(DD30=1,CE30=1),(FM30+FQ30)/E30,0)</f>
        <v>0</v>
      </c>
      <c r="IF30" s="1" t="n">
        <f aca="false">IF(B30=0,FM30+FQ30,0)</f>
        <v>0</v>
      </c>
      <c r="IG30" s="1" t="n">
        <f aca="false">IF(B30=0,IF(DD30=1,FO30,FP30),0)</f>
        <v>0</v>
      </c>
      <c r="IH30" s="1" t="n">
        <f aca="false">IF(CO30=1,IF(DD30=1,FV30+FY30,CP30-GH30)*(1+Slot8_Rate),0)</f>
        <v>0</v>
      </c>
      <c r="II30" s="1" t="n">
        <f aca="false">IF(AND(DD30=1,CO30=1),(FU30+FY30)/E30,0)</f>
        <v>0</v>
      </c>
      <c r="IJ30" s="1" t="n">
        <f aca="false">IF(B30=0,FU30+FY30,0)</f>
        <v>0</v>
      </c>
      <c r="IK30" s="1" t="n">
        <f aca="false">IF(B30=0,IF(DD30=1,FW30,FX30),0)</f>
        <v>0</v>
      </c>
      <c r="IL30" s="1" t="n">
        <f aca="false">HD30+HE30+HF30+HJ30+HN30+HR30+HV30+HZ30+ID30+IH30</f>
        <v>0</v>
      </c>
      <c r="IM30" s="1" t="n">
        <f aca="false">GX30+CY30</f>
        <v>0</v>
      </c>
      <c r="IN30" s="1" t="n">
        <f aca="false">H30+R30</f>
        <v>0</v>
      </c>
      <c r="IO30" s="1" t="n">
        <f aca="false">1-F30</f>
        <v>1</v>
      </c>
      <c r="IP30" s="1" t="n">
        <f aca="false">IF(AND(RG_Exists=1,F30=0,C30=1),H30,0)</f>
        <v>0</v>
      </c>
      <c r="IQ30" s="1" t="n">
        <f aca="false">IF(AND(RG_Exists=1,F30=0,C30=1),H30-MIN(GX30,H30),0)</f>
        <v>0</v>
      </c>
      <c r="IR30" s="1" t="n">
        <f aca="false">'Plan pay &amp; tax'!AD232</f>
        <v>0</v>
      </c>
      <c r="IS30" s="1" t="n">
        <f aca="false">IF(AND(C30=1,GX30&gt;MAX(PR_Short1,IN30*PR_Short2)),1,0)</f>
        <v>0</v>
      </c>
      <c r="IT30" s="1" t="n">
        <f aca="false">MIN(G30,H30+R30)</f>
        <v>0</v>
      </c>
      <c r="IU30" s="1" t="n">
        <f aca="false">GY30+MAX(0,CZ30-CY30)</f>
        <v>0</v>
      </c>
      <c r="IV30" s="1" t="n">
        <f aca="false">GX30+CY30</f>
        <v>0</v>
      </c>
      <c r="IW30" s="1" t="n">
        <f aca="false">IF(AND(C30=1,IV30&gt;0.5),1,0)</f>
        <v>0</v>
      </c>
      <c r="IX30" s="1" t="n">
        <f aca="false">IF(AND(C30=1,IW30=0,IU30&gt;0.5),1,0)</f>
        <v>0</v>
      </c>
      <c r="IY30" s="1" t="n">
        <f aca="false">IF(AND(C30=1,GX30&gt;0.5),1,0)</f>
        <v>0</v>
      </c>
      <c r="IZ30" s="1" t="n">
        <f aca="false">IF(AND(C30=1,GY30&gt;1,JF30=0),1,0)</f>
        <v>0</v>
      </c>
      <c r="JA30" s="1" t="n">
        <f aca="false">IF(AND(INT(D30/10)*10=90,B30&gt;0),80,INT(D30/10)*10)</f>
        <v>20</v>
      </c>
      <c r="JB30" s="1" t="n">
        <f aca="false">IF(B30=0,1,IF(JA30&lt;&gt;JA29,JB29+1,JB29))</f>
        <v>3</v>
      </c>
      <c r="JC30" s="1" t="n">
        <f aca="false">IF(AND(C30=1,F30=1,GX30&gt;MAX(PR_Short1,IN30*PR_Short2)),1,0)</f>
        <v>0</v>
      </c>
      <c r="JD30" s="1" t="n">
        <f aca="false">IO30*IS30</f>
        <v>0</v>
      </c>
      <c r="JE30" s="1" t="n">
        <f aca="false">IF(AND(U30=1,Slot1_PctLow=1),1,0)+IF(AND(AF30=1,Slot2_PctLow=1),1,0)+IF(AND(AP30=1,Slot3_PctLow=1),1,0)+IF(AND(AZ30=1,Slot4_PctLow=1),1,0)+IF(AND(BJ30=1,Slot5_PctLow=1),1,0)+IF(AND(BT30=1,Slot6_PctLow=1),1,0)+IF(AND(CD30=1,Slot7_PctLow=1),1,0)+IF(AND(CN30=1,Slot8_PctLow=1),1,0)</f>
        <v>0</v>
      </c>
      <c r="JF30" s="1" t="n">
        <f aca="false">IF(C30=1,IF(OR(IS30=1,JE30&gt;0),1,0),0)</f>
        <v>0</v>
      </c>
    </row>
    <row r="31" customFormat="false" ht="15" hidden="false" customHeight="false" outlineLevel="0" collapsed="false">
      <c r="B31" s="1" t="n">
        <v>23</v>
      </c>
      <c r="C31" s="1" t="n">
        <f aca="false">IF(B31&lt;=F_N,1,0)</f>
        <v>1</v>
      </c>
      <c r="D31" s="1" t="n">
        <f aca="false">'Plan pay &amp; tax'!C233</f>
        <v>23</v>
      </c>
      <c r="E31" s="106" t="n">
        <f aca="false">'Plan pay &amp; tax'!E233</f>
        <v>1.5768992641914</v>
      </c>
      <c r="F31" s="1" t="n">
        <f aca="false">'Plan pay &amp; tax'!G233</f>
        <v>0</v>
      </c>
      <c r="G31" s="1" t="n">
        <f aca="false">'Plan pay &amp; tax'!BT233-'Plan pay &amp; tax'!BS233-'Plan pay &amp; tax'!R233</f>
        <v>0</v>
      </c>
      <c r="H31" s="1" t="n">
        <f aca="false">IF(F31=1,F_CostsM*12,IF(RG_Exists=1,RG_Amount,F_CostsM*12*AS_RetireSpend))*E31+F_OneOffY*E31</f>
        <v>0</v>
      </c>
      <c r="I31" s="1" t="n">
        <f aca="false">DA30</f>
        <v>0</v>
      </c>
      <c r="J31" s="1" t="n">
        <f aca="false">IF(I31&gt;1,'Plan debt months'!AC31,0)</f>
        <v>0</v>
      </c>
      <c r="K31" s="1" t="n">
        <f aca="false">IF(I31&gt;1,'Plan debt months'!AB31,I31)</f>
        <v>0</v>
      </c>
      <c r="L31" s="1" t="n">
        <f aca="false">N30</f>
        <v>0</v>
      </c>
      <c r="M31" s="1" t="n">
        <f aca="false">IF(L31&gt;1,'Plan debt months'!BD31,0)</f>
        <v>0</v>
      </c>
      <c r="N31" s="1" t="n">
        <f aca="false">IF(L31&gt;1,'Plan debt months'!BC31,L31)</f>
        <v>0</v>
      </c>
      <c r="O31" s="1" t="n">
        <f aca="false">Q30</f>
        <v>0</v>
      </c>
      <c r="P31" s="1" t="n">
        <f aca="false">IF(O31&gt;1,'Plan debt months'!CE31,0)</f>
        <v>0</v>
      </c>
      <c r="Q31" s="1" t="n">
        <f aca="false">IF(O31&gt;1,'Plan debt months'!CD31,O31)</f>
        <v>0</v>
      </c>
      <c r="R31" s="1" t="n">
        <f aca="false">J31+M31+P31</f>
        <v>0</v>
      </c>
      <c r="S31" s="1" t="n">
        <f aca="false">HD30+'Plan pay &amp; tax'!Y233</f>
        <v>0</v>
      </c>
      <c r="T31" s="1" t="n">
        <f aca="false">HD30</f>
        <v>0</v>
      </c>
      <c r="U31" s="1" t="n">
        <f aca="false">IF(AND(Slot1_On=1,D31=Slot1_Age),1,0)</f>
        <v>0</v>
      </c>
      <c r="V31" s="1" t="n">
        <f aca="false">IF(AND(Slot1_On=1,Slot1_Age&gt;D31),1,0)</f>
        <v>0</v>
      </c>
      <c r="W31" s="1" t="n">
        <f aca="false">HF30</f>
        <v>0</v>
      </c>
      <c r="X31" s="1" t="n">
        <f aca="false">U31*MIN(Slot1_Cost,W31)</f>
        <v>0</v>
      </c>
      <c r="Y31" s="1" t="n">
        <f aca="false">U31*Slot1_SpendLike*MIN(Slot1_Cost-X31,S31)</f>
        <v>0</v>
      </c>
      <c r="Z31" s="1" t="n">
        <f aca="false">X31+Y31</f>
        <v>0</v>
      </c>
      <c r="AA31" s="1" t="n">
        <f aca="false">S31-Y31+U31*IF(Slot1_SpendLike=1,W31-X31,IF(Slot1_PotFree=1,W31,0))</f>
        <v>0</v>
      </c>
      <c r="AB31" s="1" t="n">
        <f aca="false">AE31+U31*Slot1_BufPot*W31</f>
        <v>0</v>
      </c>
      <c r="AC31" s="1" t="n">
        <f aca="false">IF(AND(U31=1,Slot1_IsMfree=1),IF(Z31&gt;=Slot1_Cost-1,0,MAX(0,K31-Z31)),K31)</f>
        <v>0</v>
      </c>
      <c r="AD31" s="1" t="n">
        <f aca="false">U31*(Slot1_Cost-Z31)</f>
        <v>0</v>
      </c>
      <c r="AE31" s="1" t="n">
        <f aca="false">HE30</f>
        <v>0</v>
      </c>
      <c r="AF31" s="1" t="n">
        <f aca="false">IF(AND(Slot2_On=1,D31=Slot2_Age),1,0)</f>
        <v>0</v>
      </c>
      <c r="AG31" s="1" t="n">
        <f aca="false">IF(AND(Slot2_On=1,Slot2_Age&gt;D31),1,0)</f>
        <v>0</v>
      </c>
      <c r="AH31" s="1" t="n">
        <f aca="false">HJ30</f>
        <v>0</v>
      </c>
      <c r="AI31" s="1" t="n">
        <f aca="false">AF31*MIN(Slot2_Cost,AH31)</f>
        <v>0</v>
      </c>
      <c r="AJ31" s="1" t="n">
        <f aca="false">AF31*Slot2_SpendLike*MIN(Slot2_Cost-AI31,AA31)</f>
        <v>0</v>
      </c>
      <c r="AK31" s="1" t="n">
        <f aca="false">AI31+AJ31</f>
        <v>0</v>
      </c>
      <c r="AL31" s="1" t="n">
        <f aca="false">AA31-AJ31+AF31*IF(Slot2_SpendLike=1,AH31-AI31,IF(Slot2_PotFree=1,AH31,0))</f>
        <v>0</v>
      </c>
      <c r="AM31" s="1" t="n">
        <f aca="false">AB31+AF31*Slot2_BufPot*AH31</f>
        <v>0</v>
      </c>
      <c r="AN31" s="1" t="n">
        <f aca="false">IF(AND(AF31=1,Slot2_IsMfree=1),IF(AK31&gt;=Slot2_Cost-1,0,MAX(0,AC31-AK31)),AC31)</f>
        <v>0</v>
      </c>
      <c r="AO31" s="1" t="n">
        <f aca="false">AF31*(Slot2_Cost-AK31)</f>
        <v>0</v>
      </c>
      <c r="AP31" s="1" t="n">
        <f aca="false">IF(AND(Slot3_On=1,D31=Slot3_Age),1,0)</f>
        <v>0</v>
      </c>
      <c r="AQ31" s="1" t="n">
        <f aca="false">IF(AND(Slot3_On=1,Slot3_Age&gt;D31),1,0)</f>
        <v>0</v>
      </c>
      <c r="AR31" s="1" t="n">
        <f aca="false">HN30</f>
        <v>0</v>
      </c>
      <c r="AS31" s="1" t="n">
        <f aca="false">AP31*MIN(Slot3_Cost,AR31)</f>
        <v>0</v>
      </c>
      <c r="AT31" s="1" t="n">
        <f aca="false">AP31*Slot3_SpendLike*MIN(Slot3_Cost-AS31,AL31)</f>
        <v>0</v>
      </c>
      <c r="AU31" s="1" t="n">
        <f aca="false">AS31+AT31</f>
        <v>0</v>
      </c>
      <c r="AV31" s="1" t="n">
        <f aca="false">AL31-AT31+AP31*IF(Slot3_SpendLike=1,AR31-AS31,IF(Slot3_PotFree=1,AR31,0))</f>
        <v>0</v>
      </c>
      <c r="AW31" s="1" t="n">
        <f aca="false">AM31+AP31*Slot3_BufPot*AR31</f>
        <v>0</v>
      </c>
      <c r="AX31" s="1" t="n">
        <f aca="false">IF(AND(AP31=1,Slot3_IsMfree=1),IF(AU31&gt;=Slot3_Cost-1,0,MAX(0,AN31-AU31)),AN31)</f>
        <v>0</v>
      </c>
      <c r="AY31" s="1" t="n">
        <f aca="false">AP31*(Slot3_Cost-AU31)</f>
        <v>0</v>
      </c>
      <c r="AZ31" s="1" t="n">
        <f aca="false">IF(AND(Slot4_On=1,D31=Slot4_Age),1,0)</f>
        <v>0</v>
      </c>
      <c r="BA31" s="1" t="n">
        <f aca="false">IF(AND(Slot4_On=1,Slot4_Age&gt;D31),1,0)</f>
        <v>0</v>
      </c>
      <c r="BB31" s="1" t="n">
        <f aca="false">HR30</f>
        <v>0</v>
      </c>
      <c r="BC31" s="1" t="n">
        <f aca="false">AZ31*MIN(Slot4_Cost,BB31)</f>
        <v>0</v>
      </c>
      <c r="BD31" s="1" t="n">
        <f aca="false">AZ31*Slot4_SpendLike*MIN(Slot4_Cost-BC31,AV31)</f>
        <v>0</v>
      </c>
      <c r="BE31" s="1" t="n">
        <f aca="false">BC31+BD31</f>
        <v>0</v>
      </c>
      <c r="BF31" s="1" t="n">
        <f aca="false">AV31-BD31+AZ31*IF(Slot4_SpendLike=1,BB31-BC31,IF(Slot4_PotFree=1,BB31,0))</f>
        <v>0</v>
      </c>
      <c r="BG31" s="1" t="n">
        <f aca="false">AW31+AZ31*Slot4_BufPot*BB31</f>
        <v>0</v>
      </c>
      <c r="BH31" s="1" t="n">
        <f aca="false">IF(AND(AZ31=1,Slot4_IsMfree=1),IF(BE31&gt;=Slot4_Cost-1,0,MAX(0,AX31-BE31)),AX31)</f>
        <v>0</v>
      </c>
      <c r="BI31" s="1" t="n">
        <f aca="false">AZ31*(Slot4_Cost-BE31)</f>
        <v>0</v>
      </c>
      <c r="BJ31" s="1" t="n">
        <f aca="false">IF(AND(Slot5_On=1,D31=Slot5_Age),1,0)</f>
        <v>0</v>
      </c>
      <c r="BK31" s="1" t="n">
        <f aca="false">IF(AND(Slot5_On=1,Slot5_Age&gt;D31),1,0)</f>
        <v>0</v>
      </c>
      <c r="BL31" s="1" t="n">
        <f aca="false">HV30</f>
        <v>0</v>
      </c>
      <c r="BM31" s="1" t="n">
        <f aca="false">BJ31*MIN(Slot5_Cost,BL31)</f>
        <v>0</v>
      </c>
      <c r="BN31" s="1" t="n">
        <f aca="false">BJ31*Slot5_SpendLike*MIN(Slot5_Cost-BM31,BF31)</f>
        <v>0</v>
      </c>
      <c r="BO31" s="1" t="n">
        <f aca="false">BM31+BN31</f>
        <v>0</v>
      </c>
      <c r="BP31" s="1" t="n">
        <f aca="false">BF31-BN31+BJ31*IF(Slot5_SpendLike=1,BL31-BM31,IF(Slot5_PotFree=1,BL31,0))</f>
        <v>0</v>
      </c>
      <c r="BQ31" s="1" t="n">
        <f aca="false">BG31+BJ31*Slot5_BufPot*BL31</f>
        <v>0</v>
      </c>
      <c r="BR31" s="1" t="n">
        <f aca="false">IF(AND(BJ31=1,Slot5_IsMfree=1),IF(BO31&gt;=Slot5_Cost-1,0,MAX(0,BH31-BO31)),BH31)</f>
        <v>0</v>
      </c>
      <c r="BS31" s="1" t="n">
        <f aca="false">BJ31*(Slot5_Cost-BO31)</f>
        <v>0</v>
      </c>
      <c r="BT31" s="1" t="n">
        <f aca="false">IF(AND(Slot6_On=1,D31=Slot6_Age),1,0)</f>
        <v>0</v>
      </c>
      <c r="BU31" s="1" t="n">
        <f aca="false">IF(AND(Slot6_On=1,Slot6_Age&gt;D31),1,0)</f>
        <v>0</v>
      </c>
      <c r="BV31" s="1" t="n">
        <f aca="false">HZ30</f>
        <v>0</v>
      </c>
      <c r="BW31" s="1" t="n">
        <f aca="false">BT31*MIN(Slot6_Cost,BV31)</f>
        <v>0</v>
      </c>
      <c r="BX31" s="1" t="n">
        <f aca="false">BT31*Slot6_SpendLike*MIN(Slot6_Cost-BW31,BP31)</f>
        <v>0</v>
      </c>
      <c r="BY31" s="1" t="n">
        <f aca="false">BW31+BX31</f>
        <v>0</v>
      </c>
      <c r="BZ31" s="1" t="n">
        <f aca="false">BP31-BX31+BT31*IF(Slot6_SpendLike=1,BV31-BW31,IF(Slot6_PotFree=1,BV31,0))</f>
        <v>0</v>
      </c>
      <c r="CA31" s="1" t="n">
        <f aca="false">BQ31+BT31*Slot6_BufPot*BV31</f>
        <v>0</v>
      </c>
      <c r="CB31" s="1" t="n">
        <f aca="false">IF(AND(BT31=1,Slot6_IsMfree=1),IF(BY31&gt;=Slot6_Cost-1,0,MAX(0,BR31-BY31)),BR31)</f>
        <v>0</v>
      </c>
      <c r="CC31" s="1" t="n">
        <f aca="false">BT31*(Slot6_Cost-BY31)</f>
        <v>0</v>
      </c>
      <c r="CD31" s="1" t="n">
        <f aca="false">IF(AND(Slot7_On=1,D31=Slot7_Age),1,0)</f>
        <v>0</v>
      </c>
      <c r="CE31" s="1" t="n">
        <f aca="false">IF(AND(Slot7_On=1,Slot7_Age&gt;D31),1,0)</f>
        <v>0</v>
      </c>
      <c r="CF31" s="1" t="n">
        <f aca="false">ID30</f>
        <v>0</v>
      </c>
      <c r="CG31" s="1" t="n">
        <f aca="false">CD31*MIN(Slot7_Cost,CF31)</f>
        <v>0</v>
      </c>
      <c r="CH31" s="1" t="n">
        <f aca="false">CD31*Slot7_SpendLike*MIN(Slot7_Cost-CG31,BZ31)</f>
        <v>0</v>
      </c>
      <c r="CI31" s="1" t="n">
        <f aca="false">CG31+CH31</f>
        <v>0</v>
      </c>
      <c r="CJ31" s="1" t="n">
        <f aca="false">BZ31-CH31+CD31*IF(Slot7_SpendLike=1,CF31-CG31,IF(Slot7_PotFree=1,CF31,0))</f>
        <v>0</v>
      </c>
      <c r="CK31" s="1" t="n">
        <f aca="false">CA31+CD31*Slot7_BufPot*CF31</f>
        <v>0</v>
      </c>
      <c r="CL31" s="1" t="n">
        <f aca="false">IF(AND(CD31=1,Slot7_IsMfree=1),IF(CI31&gt;=Slot7_Cost-1,0,MAX(0,CB31-CI31)),CB31)</f>
        <v>0</v>
      </c>
      <c r="CM31" s="1" t="n">
        <f aca="false">CD31*(Slot7_Cost-CI31)</f>
        <v>0</v>
      </c>
      <c r="CN31" s="1" t="n">
        <f aca="false">IF(AND(Slot8_On=1,D31=Slot8_Age),1,0)</f>
        <v>0</v>
      </c>
      <c r="CO31" s="1" t="n">
        <f aca="false">IF(AND(Slot8_On=1,Slot8_Age&gt;D31),1,0)</f>
        <v>0</v>
      </c>
      <c r="CP31" s="1" t="n">
        <f aca="false">IH30</f>
        <v>0</v>
      </c>
      <c r="CQ31" s="1" t="n">
        <f aca="false">CN31*MIN(Slot8_Cost,CP31)</f>
        <v>0</v>
      </c>
      <c r="CR31" s="1" t="n">
        <f aca="false">CN31*Slot8_SpendLike*MIN(Slot8_Cost-CQ31,CJ31)</f>
        <v>0</v>
      </c>
      <c r="CS31" s="1" t="n">
        <f aca="false">CQ31+CR31</f>
        <v>0</v>
      </c>
      <c r="CT31" s="1" t="n">
        <f aca="false">CJ31-CR31+CN31*IF(Slot8_SpendLike=1,CP31-CQ31,IF(Slot8_PotFree=1,CP31,0))</f>
        <v>0</v>
      </c>
      <c r="CU31" s="1" t="n">
        <f aca="false">CK31+CN31*Slot8_BufPot*CP31</f>
        <v>0</v>
      </c>
      <c r="CV31" s="1" t="n">
        <f aca="false">IF(AND(CN31=1,Slot8_IsMfree=1),IF(CS31&gt;=Slot8_Cost-1,0,MAX(0,CL31-CS31)),CL31)</f>
        <v>0</v>
      </c>
      <c r="CW31" s="1" t="n">
        <f aca="false">CN31*(Slot8_Cost-CS31)</f>
        <v>0</v>
      </c>
      <c r="CX31" s="1" t="n">
        <f aca="false">U31*Slot1_SpendLike*Z31+AF31*Slot2_SpendLike*AK31+AP31*Slot3_SpendLike*AU31+AZ31*Slot4_SpendLike*BE31+BJ31*Slot5_SpendLike*BO31+BT31*Slot6_SpendLike*BY31+CD31*Slot7_SpendLike*CI31+CN31*Slot8_SpendLike*CS31</f>
        <v>0</v>
      </c>
      <c r="CY31" s="1" t="n">
        <f aca="false">AD31+AO31+AY31+BI31+BS31+CC31+CM31+CW31</f>
        <v>0</v>
      </c>
      <c r="CZ31" s="1" t="n">
        <f aca="false">U31*Slot1_Cost+AF31*Slot2_Cost+AP31*Slot3_Cost+AZ31*Slot4_Cost+BJ31*Slot5_Cost+BT31*Slot6_Cost+CD31*Slot7_Cost+CN31*Slot8_Cost</f>
        <v>0</v>
      </c>
      <c r="DA31" s="1" t="n">
        <f aca="false">CV31</f>
        <v>0</v>
      </c>
      <c r="DB31" s="1" t="n">
        <f aca="false">G31-H31-R31</f>
        <v>0</v>
      </c>
      <c r="DC31" s="1" t="n">
        <f aca="false">IF(B31=0,IF(AND(Has_q6=1,In_q6=4),PR_ShareVaries*(MAX(0,DB31)/12),MIN(IF(Has_q6=1,CHOOSE(In_q6+1,PR_SaveB1,PR_SaveB2,PR_SaveB3,PR_SaveB4,0),AS_NoAnswer),AS_SaveShare*(MAX(0,DB31)/12))),DC30)</f>
        <v>0</v>
      </c>
      <c r="DD31" s="1" t="n">
        <f aca="false">IF(DB31&gt;=0,1,0)</f>
        <v>1</v>
      </c>
      <c r="DE31" s="1" t="n">
        <f aca="false">MAX(0,DB31/12/E31)</f>
        <v>0</v>
      </c>
      <c r="DF31" s="1" t="n">
        <f aca="false">IF(AND(Has_q6=1,In_q6=4),PR_ShareVaries*(DE31),MIN(IF(Has_q6=1,CHOOSE(In_q6+1,PR_SaveB1,PR_SaveB2,PR_SaveB3,PR_SaveB4,0),AS_NoAnswer),AS_SaveShare*(DE31)))</f>
        <v>0</v>
      </c>
      <c r="DG31" s="1" t="n">
        <f aca="false">IF(Has_saveM=1,IF(In_saveUp="Yes",1,IF(In_saveUp="No",0,IF(In_saveM&gt;=DC31-0.5,1,0))),0)</f>
        <v>0</v>
      </c>
      <c r="DH31" s="1" t="n">
        <f aca="false">IF(Has_saveM=1,MIN(DE31,IF(DG31=1,MAX(In_saveM,DF31),MIN(In_saveM,DF31))),DF31)</f>
        <v>0</v>
      </c>
      <c r="DI31" s="1" t="n">
        <f aca="false">IF(F31=1,DH31*12*E31,0)</f>
        <v>0</v>
      </c>
      <c r="DJ31" s="1" t="n">
        <f aca="false">MAX(0,DI31+IF(AND(WI_Retire=0,WI_M&lt;0,F31=1),WI_M*12*E31,0))</f>
        <v>0</v>
      </c>
      <c r="DK31" s="1" t="n">
        <f aca="false">Slot1_IsWG*V31+Slot2_IsWG*AG31+Slot3_IsWG*AQ31+Slot4_IsWG*BA31+Slot5_IsWG*BK31+Slot6_IsWG*BU31+Slot7_IsWG*CE31+Slot8_IsWG*CO31</f>
        <v>0</v>
      </c>
      <c r="DL31" s="1" t="n">
        <f aca="false">IF(AND(WI_Retire=0,WI_M&gt;0,F31=1,DK31&gt;=1),WI_M*12*E31,0)</f>
        <v>0</v>
      </c>
      <c r="DM31" s="1" t="n">
        <f aca="false">IF(DD31=1,MIN(DJ31,DB31),0)</f>
        <v>0</v>
      </c>
      <c r="DN31" s="1" t="n">
        <f aca="false">IF(DD31=1,MIN(DL31,DB31-DM31),0)</f>
        <v>0</v>
      </c>
      <c r="DO31" s="1" t="n">
        <f aca="false">IF(V31=1,IF(ABS((1+AS_Wage)/(1+Slot1_Rate)-1)&lt;0.000000000001,(Slot1_Age-D31)*(1+Slot1_Rate)^(Slot1_Age-D31),(1+Slot1_Rate)^(Slot1_Age-D31)*(1-((1+AS_Wage)/(1+Slot1_Rate))^(Slot1_Age-D31))/(1-(1+AS_Wage)/(1+Slot1_Rate))),1)</f>
        <v>1</v>
      </c>
      <c r="DP31" s="1" t="n">
        <f aca="false">IF(AND(DD31=1,DN31&gt;0,Slot1_IsWG=1,V31=1),MAX(0,(Slot1_Cost-W31*(1+Slot1_Rate)^(Slot1_Age-D31))/DO31),0)</f>
        <v>0</v>
      </c>
      <c r="DQ31" s="1" t="n">
        <f aca="false">IF(AND(DD31=1,DN31&gt;0,Slot1_IsWG=1,V31=1),MIN(DN31,DP31),0)</f>
        <v>0</v>
      </c>
      <c r="DR31" s="1" t="n">
        <f aca="false">W31+DQ31</f>
        <v>0</v>
      </c>
      <c r="DS31" s="1" t="n">
        <f aca="false">IF(V31=1,MAX(0,(Slot1_Cost-DR31*(1+Slot1_Rate)^(Slot1_Age-D31))/DO31),0)</f>
        <v>0</v>
      </c>
      <c r="DT31" s="1" t="n">
        <f aca="false">IF(V31=1,MAX(0,(Slot1_Cost-W31*(1+Slot1_Rate)^(Slot1_Age-D31))/DO31),0)</f>
        <v>0</v>
      </c>
      <c r="DU31" s="1" t="n">
        <f aca="false">IF(AND(DD31=1,V31=1),MIN(DM31,DS31),0)</f>
        <v>0</v>
      </c>
      <c r="DV31" s="1" t="n">
        <f aca="false">DM31-DU31</f>
        <v>0</v>
      </c>
      <c r="DW31" s="1" t="n">
        <f aca="false">IF(AG31=1,IF(ABS((1+AS_Wage)/(1+Slot2_Rate)-1)&lt;0.000000000001,(Slot2_Age-D31)*(1+Slot2_Rate)^(Slot2_Age-D31),(1+Slot2_Rate)^(Slot2_Age-D31)*(1-((1+AS_Wage)/(1+Slot2_Rate))^(Slot2_Age-D31))/(1-(1+AS_Wage)/(1+Slot2_Rate))),1)</f>
        <v>1</v>
      </c>
      <c r="DX31" s="1" t="n">
        <f aca="false">IF(AND(DD31=1,DN31&gt;0,Slot2_IsWG=1,AG31=1),MAX(0,(Slot2_Cost-AH31*(1+Slot2_Rate)^(Slot2_Age-D31))/DW31),0)</f>
        <v>0</v>
      </c>
      <c r="DY31" s="1" t="n">
        <f aca="false">IF(AND(DD31=1,DN31&gt;0,Slot2_IsWG=1,AG31=1),MIN(DN31,DX31),0)</f>
        <v>0</v>
      </c>
      <c r="DZ31" s="1" t="n">
        <f aca="false">AH31+DY31</f>
        <v>0</v>
      </c>
      <c r="EA31" s="1" t="n">
        <f aca="false">IF(AG31=1,MAX(0,(Slot2_Cost-DZ31*(1+Slot2_Rate)^(Slot2_Age-D31))/DW31),0)</f>
        <v>0</v>
      </c>
      <c r="EB31" s="1" t="n">
        <f aca="false">IF(AG31=1,MAX(0,(Slot2_Cost-AH31*(1+Slot2_Rate)^(Slot2_Age-D31))/DW31),0)</f>
        <v>0</v>
      </c>
      <c r="EC31" s="1" t="n">
        <f aca="false">IF(AND(DD31=1,AG31=1),MIN(DV31,EA31),0)</f>
        <v>0</v>
      </c>
      <c r="ED31" s="1" t="n">
        <f aca="false">DV31-EC31</f>
        <v>0</v>
      </c>
      <c r="EE31" s="1" t="n">
        <f aca="false">IF(AQ31=1,IF(ABS((1+AS_Wage)/(1+Slot3_Rate)-1)&lt;0.000000000001,(Slot3_Age-D31)*(1+Slot3_Rate)^(Slot3_Age-D31),(1+Slot3_Rate)^(Slot3_Age-D31)*(1-((1+AS_Wage)/(1+Slot3_Rate))^(Slot3_Age-D31))/(1-(1+AS_Wage)/(1+Slot3_Rate))),1)</f>
        <v>1</v>
      </c>
      <c r="EF31" s="1" t="n">
        <f aca="false">IF(AND(DD31=1,DN31&gt;0,Slot3_IsWG=1,AQ31=1),MAX(0,(Slot3_Cost-AR31*(1+Slot3_Rate)^(Slot3_Age-D31))/EE31),0)</f>
        <v>0</v>
      </c>
      <c r="EG31" s="1" t="n">
        <f aca="false">IF(AND(DD31=1,DN31&gt;0,Slot3_IsWG=1,AQ31=1),MIN(DN31,EF31),0)</f>
        <v>0</v>
      </c>
      <c r="EH31" s="1" t="n">
        <f aca="false">AR31+EG31</f>
        <v>0</v>
      </c>
      <c r="EI31" s="1" t="n">
        <f aca="false">IF(AQ31=1,MAX(0,(Slot3_Cost-EH31*(1+Slot3_Rate)^(Slot3_Age-D31))/EE31),0)</f>
        <v>0</v>
      </c>
      <c r="EJ31" s="1" t="n">
        <f aca="false">IF(AQ31=1,MAX(0,(Slot3_Cost-AR31*(1+Slot3_Rate)^(Slot3_Age-D31))/EE31),0)</f>
        <v>0</v>
      </c>
      <c r="EK31" s="1" t="n">
        <f aca="false">IF(AND(DD31=1,AQ31=1),MIN(ED31,EI31),0)</f>
        <v>0</v>
      </c>
      <c r="EL31" s="1" t="n">
        <f aca="false">ED31-EK31</f>
        <v>0</v>
      </c>
      <c r="EM31" s="1" t="n">
        <f aca="false">IF(BA31=1,IF(ABS((1+AS_Wage)/(1+Slot4_Rate)-1)&lt;0.000000000001,(Slot4_Age-D31)*(1+Slot4_Rate)^(Slot4_Age-D31),(1+Slot4_Rate)^(Slot4_Age-D31)*(1-((1+AS_Wage)/(1+Slot4_Rate))^(Slot4_Age-D31))/(1-(1+AS_Wage)/(1+Slot4_Rate))),1)</f>
        <v>1</v>
      </c>
      <c r="EN31" s="1" t="n">
        <f aca="false">IF(AND(DD31=1,DN31&gt;0,Slot4_IsWG=1,BA31=1),MAX(0,(Slot4_Cost-BB31*(1+Slot4_Rate)^(Slot4_Age-D31))/EM31),0)</f>
        <v>0</v>
      </c>
      <c r="EO31" s="1" t="n">
        <f aca="false">IF(AND(DD31=1,DN31&gt;0,Slot4_IsWG=1,BA31=1),MIN(DN31,EN31),0)</f>
        <v>0</v>
      </c>
      <c r="EP31" s="1" t="n">
        <f aca="false">BB31+EO31</f>
        <v>0</v>
      </c>
      <c r="EQ31" s="1" t="n">
        <f aca="false">IF(BA31=1,MAX(0,(Slot4_Cost-EP31*(1+Slot4_Rate)^(Slot4_Age-D31))/EM31),0)</f>
        <v>0</v>
      </c>
      <c r="ER31" s="1" t="n">
        <f aca="false">IF(BA31=1,MAX(0,(Slot4_Cost-BB31*(1+Slot4_Rate)^(Slot4_Age-D31))/EM31),0)</f>
        <v>0</v>
      </c>
      <c r="ES31" s="1" t="n">
        <f aca="false">IF(AND(DD31=1,BA31=1),MIN(EL31,EQ31),0)</f>
        <v>0</v>
      </c>
      <c r="ET31" s="1" t="n">
        <f aca="false">EL31-ES31</f>
        <v>0</v>
      </c>
      <c r="EU31" s="1" t="n">
        <f aca="false">IF(BK31=1,IF(ABS((1+AS_Wage)/(1+Slot5_Rate)-1)&lt;0.000000000001,(Slot5_Age-D31)*(1+Slot5_Rate)^(Slot5_Age-D31),(1+Slot5_Rate)^(Slot5_Age-D31)*(1-((1+AS_Wage)/(1+Slot5_Rate))^(Slot5_Age-D31))/(1-(1+AS_Wage)/(1+Slot5_Rate))),1)</f>
        <v>1</v>
      </c>
      <c r="EV31" s="1" t="n">
        <f aca="false">IF(AND(DD31=1,DN31&gt;0,Slot5_IsWG=1,BK31=1),MAX(0,(Slot5_Cost-BL31*(1+Slot5_Rate)^(Slot5_Age-D31))/EU31),0)</f>
        <v>0</v>
      </c>
      <c r="EW31" s="1" t="n">
        <f aca="false">IF(AND(DD31=1,DN31&gt;0,Slot5_IsWG=1,BK31=1),MIN(DN31,EV31),0)</f>
        <v>0</v>
      </c>
      <c r="EX31" s="1" t="n">
        <f aca="false">BL31+EW31</f>
        <v>0</v>
      </c>
      <c r="EY31" s="1" t="n">
        <f aca="false">IF(BK31=1,MAX(0,(Slot5_Cost-EX31*(1+Slot5_Rate)^(Slot5_Age-D31))/EU31),0)</f>
        <v>0</v>
      </c>
      <c r="EZ31" s="1" t="n">
        <f aca="false">IF(BK31=1,MAX(0,(Slot5_Cost-BL31*(1+Slot5_Rate)^(Slot5_Age-D31))/EU31),0)</f>
        <v>0</v>
      </c>
      <c r="FA31" s="1" t="n">
        <f aca="false">IF(AND(DD31=1,BK31=1),MIN(ET31,EY31),0)</f>
        <v>0</v>
      </c>
      <c r="FB31" s="1" t="n">
        <f aca="false">ET31-FA31</f>
        <v>0</v>
      </c>
      <c r="FC31" s="1" t="n">
        <f aca="false">IF(BU31=1,IF(ABS((1+AS_Wage)/(1+Slot6_Rate)-1)&lt;0.000000000001,(Slot6_Age-D31)*(1+Slot6_Rate)^(Slot6_Age-D31),(1+Slot6_Rate)^(Slot6_Age-D31)*(1-((1+AS_Wage)/(1+Slot6_Rate))^(Slot6_Age-D31))/(1-(1+AS_Wage)/(1+Slot6_Rate))),1)</f>
        <v>1</v>
      </c>
      <c r="FD31" s="1" t="n">
        <f aca="false">IF(AND(DD31=1,DN31&gt;0,Slot6_IsWG=1,BU31=1),MAX(0,(Slot6_Cost-BV31*(1+Slot6_Rate)^(Slot6_Age-D31))/FC31),0)</f>
        <v>0</v>
      </c>
      <c r="FE31" s="1" t="n">
        <f aca="false">IF(AND(DD31=1,DN31&gt;0,Slot6_IsWG=1,BU31=1),MIN(DN31,FD31),0)</f>
        <v>0</v>
      </c>
      <c r="FF31" s="1" t="n">
        <f aca="false">BV31+FE31</f>
        <v>0</v>
      </c>
      <c r="FG31" s="1" t="n">
        <f aca="false">IF(BU31=1,MAX(0,(Slot6_Cost-FF31*(1+Slot6_Rate)^(Slot6_Age-D31))/FC31),0)</f>
        <v>0</v>
      </c>
      <c r="FH31" s="1" t="n">
        <f aca="false">IF(BU31=1,MAX(0,(Slot6_Cost-BV31*(1+Slot6_Rate)^(Slot6_Age-D31))/FC31),0)</f>
        <v>0</v>
      </c>
      <c r="FI31" s="1" t="n">
        <f aca="false">IF(AND(DD31=1,BU31=1),MIN(FB31,FG31),0)</f>
        <v>0</v>
      </c>
      <c r="FJ31" s="1" t="n">
        <f aca="false">FB31-FI31</f>
        <v>0</v>
      </c>
      <c r="FK31" s="1" t="n">
        <f aca="false">IF(CE31=1,IF(ABS((1+AS_Wage)/(1+Slot7_Rate)-1)&lt;0.000000000001,(Slot7_Age-D31)*(1+Slot7_Rate)^(Slot7_Age-D31),(1+Slot7_Rate)^(Slot7_Age-D31)*(1-((1+AS_Wage)/(1+Slot7_Rate))^(Slot7_Age-D31))/(1-(1+AS_Wage)/(1+Slot7_Rate))),1)</f>
        <v>1</v>
      </c>
      <c r="FL31" s="1" t="n">
        <f aca="false">IF(AND(DD31=1,DN31&gt;0,Slot7_IsWG=1,CE31=1),MAX(0,(Slot7_Cost-CF31*(1+Slot7_Rate)^(Slot7_Age-D31))/FK31),0)</f>
        <v>0</v>
      </c>
      <c r="FM31" s="1" t="n">
        <f aca="false">IF(AND(DD31=1,DN31&gt;0,Slot7_IsWG=1,CE31=1),MIN(DN31,FL31),0)</f>
        <v>0</v>
      </c>
      <c r="FN31" s="1" t="n">
        <f aca="false">CF31+FM31</f>
        <v>0</v>
      </c>
      <c r="FO31" s="1" t="n">
        <f aca="false">IF(CE31=1,MAX(0,(Slot7_Cost-FN31*(1+Slot7_Rate)^(Slot7_Age-D31))/FK31),0)</f>
        <v>0</v>
      </c>
      <c r="FP31" s="1" t="n">
        <f aca="false">IF(CE31=1,MAX(0,(Slot7_Cost-CF31*(1+Slot7_Rate)^(Slot7_Age-D31))/FK31),0)</f>
        <v>0</v>
      </c>
      <c r="FQ31" s="1" t="n">
        <f aca="false">IF(AND(DD31=1,CE31=1),MIN(FJ31,FO31),0)</f>
        <v>0</v>
      </c>
      <c r="FR31" s="1" t="n">
        <f aca="false">FJ31-FQ31</f>
        <v>0</v>
      </c>
      <c r="FS31" s="1" t="n">
        <f aca="false">IF(CO31=1,IF(ABS((1+AS_Wage)/(1+Slot8_Rate)-1)&lt;0.000000000001,(Slot8_Age-D31)*(1+Slot8_Rate)^(Slot8_Age-D31),(1+Slot8_Rate)^(Slot8_Age-D31)*(1-((1+AS_Wage)/(1+Slot8_Rate))^(Slot8_Age-D31))/(1-(1+AS_Wage)/(1+Slot8_Rate))),1)</f>
        <v>1</v>
      </c>
      <c r="FT31" s="1" t="n">
        <f aca="false">IF(AND(DD31=1,DN31&gt;0,Slot8_IsWG=1,CO31=1),MAX(0,(Slot8_Cost-CP31*(1+Slot8_Rate)^(Slot8_Age-D31))/FS31),0)</f>
        <v>0</v>
      </c>
      <c r="FU31" s="1" t="n">
        <f aca="false">IF(AND(DD31=1,DN31&gt;0,Slot8_IsWG=1,CO31=1),MIN(DN31,FT31),0)</f>
        <v>0</v>
      </c>
      <c r="FV31" s="1" t="n">
        <f aca="false">CP31+FU31</f>
        <v>0</v>
      </c>
      <c r="FW31" s="1" t="n">
        <f aca="false">IF(CO31=1,MAX(0,(Slot8_Cost-FV31*(1+Slot8_Rate)^(Slot8_Age-D31))/FS31),0)</f>
        <v>0</v>
      </c>
      <c r="FX31" s="1" t="n">
        <f aca="false">IF(CO31=1,MAX(0,(Slot8_Cost-CP31*(1+Slot8_Rate)^(Slot8_Age-D31))/FS31),0)</f>
        <v>0</v>
      </c>
      <c r="FY31" s="1" t="n">
        <f aca="false">IF(AND(DD31=1,CO31=1),MIN(FR31,FW31),0)</f>
        <v>0</v>
      </c>
      <c r="FZ31" s="1" t="n">
        <f aca="false">FR31-FY31</f>
        <v>0</v>
      </c>
      <c r="GA31" s="1" t="n">
        <f aca="false">DN31-(DQ31+DY31+EG31+EO31+EW31+FE31+FM31+FU31)</f>
        <v>0</v>
      </c>
      <c r="GB31" s="1" t="n">
        <f aca="false">IF(DD31=1,DB31-DM31-DN31,0)</f>
        <v>0</v>
      </c>
      <c r="GC31" s="1" t="n">
        <f aca="false">IF(DD31=0,-DB31,0)</f>
        <v>0</v>
      </c>
      <c r="GD31" s="1" t="n">
        <f aca="false">MIN(GC31,CT31)</f>
        <v>0</v>
      </c>
      <c r="GE31" s="1" t="n">
        <f aca="false">GC31-GD31</f>
        <v>0</v>
      </c>
      <c r="GF31" s="1" t="n">
        <f aca="false">MIN(GE31,CU31)</f>
        <v>0</v>
      </c>
      <c r="GG31" s="1" t="n">
        <f aca="false">GE31-GF31</f>
        <v>0</v>
      </c>
      <c r="GH31" s="1" t="n">
        <f aca="false">IF(AND(DD31=0,CO31=1,GG31&gt;0),MIN(GG31,CP31),0)</f>
        <v>0</v>
      </c>
      <c r="GI31" s="1" t="n">
        <f aca="false">GG31-GH31</f>
        <v>0</v>
      </c>
      <c r="GJ31" s="1" t="n">
        <f aca="false">IF(AND(DD31=0,CE31=1,GI31&gt;0),MIN(GI31,CF31),0)</f>
        <v>0</v>
      </c>
      <c r="GK31" s="1" t="n">
        <f aca="false">GI31-GJ31</f>
        <v>0</v>
      </c>
      <c r="GL31" s="1" t="n">
        <f aca="false">IF(AND(DD31=0,BU31=1,GK31&gt;0),MIN(GK31,BV31),0)</f>
        <v>0</v>
      </c>
      <c r="GM31" s="1" t="n">
        <f aca="false">GK31-GL31</f>
        <v>0</v>
      </c>
      <c r="GN31" s="1" t="n">
        <f aca="false">IF(AND(DD31=0,BK31=1,GM31&gt;0),MIN(GM31,BL31),0)</f>
        <v>0</v>
      </c>
      <c r="GO31" s="1" t="n">
        <f aca="false">GM31-GN31</f>
        <v>0</v>
      </c>
      <c r="GP31" s="1" t="n">
        <f aca="false">IF(AND(DD31=0,BA31=1,GO31&gt;0),MIN(GO31,BB31),0)</f>
        <v>0</v>
      </c>
      <c r="GQ31" s="1" t="n">
        <f aca="false">GO31-GP31</f>
        <v>0</v>
      </c>
      <c r="GR31" s="1" t="n">
        <f aca="false">IF(AND(DD31=0,AQ31=1,GQ31&gt;0),MIN(GQ31,AR31),0)</f>
        <v>0</v>
      </c>
      <c r="GS31" s="1" t="n">
        <f aca="false">GQ31-GR31</f>
        <v>0</v>
      </c>
      <c r="GT31" s="1" t="n">
        <f aca="false">IF(AND(DD31=0,AG31=1,GS31&gt;0),MIN(GS31,AH31),0)</f>
        <v>0</v>
      </c>
      <c r="GU31" s="1" t="n">
        <f aca="false">GS31-GT31</f>
        <v>0</v>
      </c>
      <c r="GV31" s="1" t="n">
        <f aca="false">IF(AND(DD31=0,V31=1,GU31&gt;0),MIN(GU31,W31),0)</f>
        <v>0</v>
      </c>
      <c r="GW31" s="1" t="n">
        <f aca="false">GU31-GV31</f>
        <v>0</v>
      </c>
      <c r="GX31" s="1" t="n">
        <f aca="false">IF(DD31=0,GW31,0)</f>
        <v>0</v>
      </c>
      <c r="GY31" s="1" t="n">
        <f aca="false">GD31+GF31+GV31+GT31+GR31+GP31+GN31+GL31+GJ31+GH31</f>
        <v>0</v>
      </c>
      <c r="GZ31" s="1" t="n">
        <f aca="false">IF(DD31=1,CT31+GA31+FZ31+IF(F31=1,0,GB31),CT31-GD31)</f>
        <v>0</v>
      </c>
      <c r="HA31" s="1" t="n">
        <f aca="false">CU31-GF31</f>
        <v>0</v>
      </c>
      <c r="HB31" s="1" t="n">
        <f aca="false">IF(DD31=1,IF(F31=1,DM31+DN31,DB31),0)</f>
        <v>0</v>
      </c>
      <c r="HC31" s="1" t="n">
        <f aca="false">IF(DD31=1,IF(F31=1,DB31-DM31-DN31,0),0)</f>
        <v>0</v>
      </c>
      <c r="HD31" s="1" t="n">
        <f aca="false">GZ31*(1+GR)</f>
        <v>0</v>
      </c>
      <c r="HE31" s="1" t="n">
        <f aca="false">HA31*(1+AS_Cash)</f>
        <v>0</v>
      </c>
      <c r="HF31" s="1" t="n">
        <f aca="false">IF(V31=1,IF(DD31=1,DR31+DU31,W31-GV31)*(1+Slot1_Rate),0)</f>
        <v>0</v>
      </c>
      <c r="HG31" s="1" t="n">
        <f aca="false">IF(AND(DD31=1,V31=1),(DQ31+DU31)/E31,0)</f>
        <v>0</v>
      </c>
      <c r="HH31" s="1" t="n">
        <f aca="false">IF(B31=0,DQ31+DU31,0)</f>
        <v>0</v>
      </c>
      <c r="HI31" s="1" t="n">
        <f aca="false">IF(B31=0,IF(DD31=1,DS31,DT31),0)</f>
        <v>0</v>
      </c>
      <c r="HJ31" s="1" t="n">
        <f aca="false">IF(AG31=1,IF(DD31=1,DZ31+EC31,AH31-GT31)*(1+Slot2_Rate),0)</f>
        <v>0</v>
      </c>
      <c r="HK31" s="1" t="n">
        <f aca="false">IF(AND(DD31=1,AG31=1),(DY31+EC31)/E31,0)</f>
        <v>0</v>
      </c>
      <c r="HL31" s="1" t="n">
        <f aca="false">IF(B31=0,DY31+EC31,0)</f>
        <v>0</v>
      </c>
      <c r="HM31" s="1" t="n">
        <f aca="false">IF(B31=0,IF(DD31=1,EA31,EB31),0)</f>
        <v>0</v>
      </c>
      <c r="HN31" s="1" t="n">
        <f aca="false">IF(AQ31=1,IF(DD31=1,EH31+EK31,AR31-GR31)*(1+Slot3_Rate),0)</f>
        <v>0</v>
      </c>
      <c r="HO31" s="1" t="n">
        <f aca="false">IF(AND(DD31=1,AQ31=1),(EG31+EK31)/E31,0)</f>
        <v>0</v>
      </c>
      <c r="HP31" s="1" t="n">
        <f aca="false">IF(B31=0,EG31+EK31,0)</f>
        <v>0</v>
      </c>
      <c r="HQ31" s="1" t="n">
        <f aca="false">IF(B31=0,IF(DD31=1,EI31,EJ31),0)</f>
        <v>0</v>
      </c>
      <c r="HR31" s="1" t="n">
        <f aca="false">IF(BA31=1,IF(DD31=1,EP31+ES31,BB31-GP31)*(1+Slot4_Rate),0)</f>
        <v>0</v>
      </c>
      <c r="HS31" s="1" t="n">
        <f aca="false">IF(AND(DD31=1,BA31=1),(EO31+ES31)/E31,0)</f>
        <v>0</v>
      </c>
      <c r="HT31" s="1" t="n">
        <f aca="false">IF(B31=0,EO31+ES31,0)</f>
        <v>0</v>
      </c>
      <c r="HU31" s="1" t="n">
        <f aca="false">IF(B31=0,IF(DD31=1,EQ31,ER31),0)</f>
        <v>0</v>
      </c>
      <c r="HV31" s="1" t="n">
        <f aca="false">IF(BK31=1,IF(DD31=1,EX31+FA31,BL31-GN31)*(1+Slot5_Rate),0)</f>
        <v>0</v>
      </c>
      <c r="HW31" s="1" t="n">
        <f aca="false">IF(AND(DD31=1,BK31=1),(EW31+FA31)/E31,0)</f>
        <v>0</v>
      </c>
      <c r="HX31" s="1" t="n">
        <f aca="false">IF(B31=0,EW31+FA31,0)</f>
        <v>0</v>
      </c>
      <c r="HY31" s="1" t="n">
        <f aca="false">IF(B31=0,IF(DD31=1,EY31,EZ31),0)</f>
        <v>0</v>
      </c>
      <c r="HZ31" s="1" t="n">
        <f aca="false">IF(BU31=1,IF(DD31=1,FF31+FI31,BV31-GL31)*(1+Slot6_Rate),0)</f>
        <v>0</v>
      </c>
      <c r="IA31" s="1" t="n">
        <f aca="false">IF(AND(DD31=1,BU31=1),(FE31+FI31)/E31,0)</f>
        <v>0</v>
      </c>
      <c r="IB31" s="1" t="n">
        <f aca="false">IF(B31=0,FE31+FI31,0)</f>
        <v>0</v>
      </c>
      <c r="IC31" s="1" t="n">
        <f aca="false">IF(B31=0,IF(DD31=1,FG31,FH31),0)</f>
        <v>0</v>
      </c>
      <c r="ID31" s="1" t="n">
        <f aca="false">IF(CE31=1,IF(DD31=1,FN31+FQ31,CF31-GJ31)*(1+Slot7_Rate),0)</f>
        <v>0</v>
      </c>
      <c r="IE31" s="1" t="n">
        <f aca="false">IF(AND(DD31=1,CE31=1),(FM31+FQ31)/E31,0)</f>
        <v>0</v>
      </c>
      <c r="IF31" s="1" t="n">
        <f aca="false">IF(B31=0,FM31+FQ31,0)</f>
        <v>0</v>
      </c>
      <c r="IG31" s="1" t="n">
        <f aca="false">IF(B31=0,IF(DD31=1,FO31,FP31),0)</f>
        <v>0</v>
      </c>
      <c r="IH31" s="1" t="n">
        <f aca="false">IF(CO31=1,IF(DD31=1,FV31+FY31,CP31-GH31)*(1+Slot8_Rate),0)</f>
        <v>0</v>
      </c>
      <c r="II31" s="1" t="n">
        <f aca="false">IF(AND(DD31=1,CO31=1),(FU31+FY31)/E31,0)</f>
        <v>0</v>
      </c>
      <c r="IJ31" s="1" t="n">
        <f aca="false">IF(B31=0,FU31+FY31,0)</f>
        <v>0</v>
      </c>
      <c r="IK31" s="1" t="n">
        <f aca="false">IF(B31=0,IF(DD31=1,FW31,FX31),0)</f>
        <v>0</v>
      </c>
      <c r="IL31" s="1" t="n">
        <f aca="false">HD31+HE31+HF31+HJ31+HN31+HR31+HV31+HZ31+ID31+IH31</f>
        <v>0</v>
      </c>
      <c r="IM31" s="1" t="n">
        <f aca="false">GX31+CY31</f>
        <v>0</v>
      </c>
      <c r="IN31" s="1" t="n">
        <f aca="false">H31+R31</f>
        <v>0</v>
      </c>
      <c r="IO31" s="1" t="n">
        <f aca="false">1-F31</f>
        <v>1</v>
      </c>
      <c r="IP31" s="1" t="n">
        <f aca="false">IF(AND(RG_Exists=1,F31=0,C31=1),H31,0)</f>
        <v>0</v>
      </c>
      <c r="IQ31" s="1" t="n">
        <f aca="false">IF(AND(RG_Exists=1,F31=0,C31=1),H31-MIN(GX31,H31),0)</f>
        <v>0</v>
      </c>
      <c r="IR31" s="1" t="n">
        <f aca="false">'Plan pay &amp; tax'!AD233</f>
        <v>0</v>
      </c>
      <c r="IS31" s="1" t="n">
        <f aca="false">IF(AND(C31=1,GX31&gt;MAX(PR_Short1,IN31*PR_Short2)),1,0)</f>
        <v>0</v>
      </c>
      <c r="IT31" s="1" t="n">
        <f aca="false">MIN(G31,H31+R31)</f>
        <v>0</v>
      </c>
      <c r="IU31" s="1" t="n">
        <f aca="false">GY31+MAX(0,CZ31-CY31)</f>
        <v>0</v>
      </c>
      <c r="IV31" s="1" t="n">
        <f aca="false">GX31+CY31</f>
        <v>0</v>
      </c>
      <c r="IW31" s="1" t="n">
        <f aca="false">IF(AND(C31=1,IV31&gt;0.5),1,0)</f>
        <v>0</v>
      </c>
      <c r="IX31" s="1" t="n">
        <f aca="false">IF(AND(C31=1,IW31=0,IU31&gt;0.5),1,0)</f>
        <v>0</v>
      </c>
      <c r="IY31" s="1" t="n">
        <f aca="false">IF(AND(C31=1,GX31&gt;0.5),1,0)</f>
        <v>0</v>
      </c>
      <c r="IZ31" s="1" t="n">
        <f aca="false">IF(AND(C31=1,GY31&gt;1,JF31=0),1,0)</f>
        <v>0</v>
      </c>
      <c r="JA31" s="1" t="n">
        <f aca="false">IF(AND(INT(D31/10)*10=90,B31&gt;0),80,INT(D31/10)*10)</f>
        <v>20</v>
      </c>
      <c r="JB31" s="1" t="n">
        <f aca="false">IF(B31=0,1,IF(JA31&lt;&gt;JA30,JB30+1,JB30))</f>
        <v>3</v>
      </c>
      <c r="JC31" s="1" t="n">
        <f aca="false">IF(AND(C31=1,F31=1,GX31&gt;MAX(PR_Short1,IN31*PR_Short2)),1,0)</f>
        <v>0</v>
      </c>
      <c r="JD31" s="1" t="n">
        <f aca="false">IO31*IS31</f>
        <v>0</v>
      </c>
      <c r="JE31" s="1" t="n">
        <f aca="false">IF(AND(U31=1,Slot1_PctLow=1),1,0)+IF(AND(AF31=1,Slot2_PctLow=1),1,0)+IF(AND(AP31=1,Slot3_PctLow=1),1,0)+IF(AND(AZ31=1,Slot4_PctLow=1),1,0)+IF(AND(BJ31=1,Slot5_PctLow=1),1,0)+IF(AND(BT31=1,Slot6_PctLow=1),1,0)+IF(AND(CD31=1,Slot7_PctLow=1),1,0)+IF(AND(CN31=1,Slot8_PctLow=1),1,0)</f>
        <v>0</v>
      </c>
      <c r="JF31" s="1" t="n">
        <f aca="false">IF(C31=1,IF(OR(IS31=1,JE31&gt;0),1,0),0)</f>
        <v>0</v>
      </c>
    </row>
    <row r="32" customFormat="false" ht="15" hidden="false" customHeight="false" outlineLevel="0" collapsed="false">
      <c r="B32" s="1" t="n">
        <v>24</v>
      </c>
      <c r="C32" s="1" t="n">
        <f aca="false">IF(B32&lt;=F_N,1,0)</f>
        <v>1</v>
      </c>
      <c r="D32" s="1" t="n">
        <f aca="false">'Plan pay &amp; tax'!C234</f>
        <v>24</v>
      </c>
      <c r="E32" s="106" t="n">
        <f aca="false">'Plan pay &amp; tax'!E234</f>
        <v>1.60843724947523</v>
      </c>
      <c r="F32" s="1" t="n">
        <f aca="false">'Plan pay &amp; tax'!G234</f>
        <v>0</v>
      </c>
      <c r="G32" s="1" t="n">
        <f aca="false">'Plan pay &amp; tax'!BT234-'Plan pay &amp; tax'!BS234-'Plan pay &amp; tax'!R234</f>
        <v>0</v>
      </c>
      <c r="H32" s="1" t="n">
        <f aca="false">IF(F32=1,F_CostsM*12,IF(RG_Exists=1,RG_Amount,F_CostsM*12*AS_RetireSpend))*E32+F_OneOffY*E32</f>
        <v>0</v>
      </c>
      <c r="I32" s="1" t="n">
        <f aca="false">DA31</f>
        <v>0</v>
      </c>
      <c r="J32" s="1" t="n">
        <f aca="false">IF(I32&gt;1,'Plan debt months'!AC32,0)</f>
        <v>0</v>
      </c>
      <c r="K32" s="1" t="n">
        <f aca="false">IF(I32&gt;1,'Plan debt months'!AB32,I32)</f>
        <v>0</v>
      </c>
      <c r="L32" s="1" t="n">
        <f aca="false">N31</f>
        <v>0</v>
      </c>
      <c r="M32" s="1" t="n">
        <f aca="false">IF(L32&gt;1,'Plan debt months'!BD32,0)</f>
        <v>0</v>
      </c>
      <c r="N32" s="1" t="n">
        <f aca="false">IF(L32&gt;1,'Plan debt months'!BC32,L32)</f>
        <v>0</v>
      </c>
      <c r="O32" s="1" t="n">
        <f aca="false">Q31</f>
        <v>0</v>
      </c>
      <c r="P32" s="1" t="n">
        <f aca="false">IF(O32&gt;1,'Plan debt months'!CE32,0)</f>
        <v>0</v>
      </c>
      <c r="Q32" s="1" t="n">
        <f aca="false">IF(O32&gt;1,'Plan debt months'!CD32,O32)</f>
        <v>0</v>
      </c>
      <c r="R32" s="1" t="n">
        <f aca="false">J32+M32+P32</f>
        <v>0</v>
      </c>
      <c r="S32" s="1" t="n">
        <f aca="false">HD31+'Plan pay &amp; tax'!Y234</f>
        <v>0</v>
      </c>
      <c r="T32" s="1" t="n">
        <f aca="false">HD31</f>
        <v>0</v>
      </c>
      <c r="U32" s="1" t="n">
        <f aca="false">IF(AND(Slot1_On=1,D32=Slot1_Age),1,0)</f>
        <v>0</v>
      </c>
      <c r="V32" s="1" t="n">
        <f aca="false">IF(AND(Slot1_On=1,Slot1_Age&gt;D32),1,0)</f>
        <v>0</v>
      </c>
      <c r="W32" s="1" t="n">
        <f aca="false">HF31</f>
        <v>0</v>
      </c>
      <c r="X32" s="1" t="n">
        <f aca="false">U32*MIN(Slot1_Cost,W32)</f>
        <v>0</v>
      </c>
      <c r="Y32" s="1" t="n">
        <f aca="false">U32*Slot1_SpendLike*MIN(Slot1_Cost-X32,S32)</f>
        <v>0</v>
      </c>
      <c r="Z32" s="1" t="n">
        <f aca="false">X32+Y32</f>
        <v>0</v>
      </c>
      <c r="AA32" s="1" t="n">
        <f aca="false">S32-Y32+U32*IF(Slot1_SpendLike=1,W32-X32,IF(Slot1_PotFree=1,W32,0))</f>
        <v>0</v>
      </c>
      <c r="AB32" s="1" t="n">
        <f aca="false">AE32+U32*Slot1_BufPot*W32</f>
        <v>0</v>
      </c>
      <c r="AC32" s="1" t="n">
        <f aca="false">IF(AND(U32=1,Slot1_IsMfree=1),IF(Z32&gt;=Slot1_Cost-1,0,MAX(0,K32-Z32)),K32)</f>
        <v>0</v>
      </c>
      <c r="AD32" s="1" t="n">
        <f aca="false">U32*(Slot1_Cost-Z32)</f>
        <v>0</v>
      </c>
      <c r="AE32" s="1" t="n">
        <f aca="false">HE31</f>
        <v>0</v>
      </c>
      <c r="AF32" s="1" t="n">
        <f aca="false">IF(AND(Slot2_On=1,D32=Slot2_Age),1,0)</f>
        <v>0</v>
      </c>
      <c r="AG32" s="1" t="n">
        <f aca="false">IF(AND(Slot2_On=1,Slot2_Age&gt;D32),1,0)</f>
        <v>0</v>
      </c>
      <c r="AH32" s="1" t="n">
        <f aca="false">HJ31</f>
        <v>0</v>
      </c>
      <c r="AI32" s="1" t="n">
        <f aca="false">AF32*MIN(Slot2_Cost,AH32)</f>
        <v>0</v>
      </c>
      <c r="AJ32" s="1" t="n">
        <f aca="false">AF32*Slot2_SpendLike*MIN(Slot2_Cost-AI32,AA32)</f>
        <v>0</v>
      </c>
      <c r="AK32" s="1" t="n">
        <f aca="false">AI32+AJ32</f>
        <v>0</v>
      </c>
      <c r="AL32" s="1" t="n">
        <f aca="false">AA32-AJ32+AF32*IF(Slot2_SpendLike=1,AH32-AI32,IF(Slot2_PotFree=1,AH32,0))</f>
        <v>0</v>
      </c>
      <c r="AM32" s="1" t="n">
        <f aca="false">AB32+AF32*Slot2_BufPot*AH32</f>
        <v>0</v>
      </c>
      <c r="AN32" s="1" t="n">
        <f aca="false">IF(AND(AF32=1,Slot2_IsMfree=1),IF(AK32&gt;=Slot2_Cost-1,0,MAX(0,AC32-AK32)),AC32)</f>
        <v>0</v>
      </c>
      <c r="AO32" s="1" t="n">
        <f aca="false">AF32*(Slot2_Cost-AK32)</f>
        <v>0</v>
      </c>
      <c r="AP32" s="1" t="n">
        <f aca="false">IF(AND(Slot3_On=1,D32=Slot3_Age),1,0)</f>
        <v>0</v>
      </c>
      <c r="AQ32" s="1" t="n">
        <f aca="false">IF(AND(Slot3_On=1,Slot3_Age&gt;D32),1,0)</f>
        <v>0</v>
      </c>
      <c r="AR32" s="1" t="n">
        <f aca="false">HN31</f>
        <v>0</v>
      </c>
      <c r="AS32" s="1" t="n">
        <f aca="false">AP32*MIN(Slot3_Cost,AR32)</f>
        <v>0</v>
      </c>
      <c r="AT32" s="1" t="n">
        <f aca="false">AP32*Slot3_SpendLike*MIN(Slot3_Cost-AS32,AL32)</f>
        <v>0</v>
      </c>
      <c r="AU32" s="1" t="n">
        <f aca="false">AS32+AT32</f>
        <v>0</v>
      </c>
      <c r="AV32" s="1" t="n">
        <f aca="false">AL32-AT32+AP32*IF(Slot3_SpendLike=1,AR32-AS32,IF(Slot3_PotFree=1,AR32,0))</f>
        <v>0</v>
      </c>
      <c r="AW32" s="1" t="n">
        <f aca="false">AM32+AP32*Slot3_BufPot*AR32</f>
        <v>0</v>
      </c>
      <c r="AX32" s="1" t="n">
        <f aca="false">IF(AND(AP32=1,Slot3_IsMfree=1),IF(AU32&gt;=Slot3_Cost-1,0,MAX(0,AN32-AU32)),AN32)</f>
        <v>0</v>
      </c>
      <c r="AY32" s="1" t="n">
        <f aca="false">AP32*(Slot3_Cost-AU32)</f>
        <v>0</v>
      </c>
      <c r="AZ32" s="1" t="n">
        <f aca="false">IF(AND(Slot4_On=1,D32=Slot4_Age),1,0)</f>
        <v>0</v>
      </c>
      <c r="BA32" s="1" t="n">
        <f aca="false">IF(AND(Slot4_On=1,Slot4_Age&gt;D32),1,0)</f>
        <v>0</v>
      </c>
      <c r="BB32" s="1" t="n">
        <f aca="false">HR31</f>
        <v>0</v>
      </c>
      <c r="BC32" s="1" t="n">
        <f aca="false">AZ32*MIN(Slot4_Cost,BB32)</f>
        <v>0</v>
      </c>
      <c r="BD32" s="1" t="n">
        <f aca="false">AZ32*Slot4_SpendLike*MIN(Slot4_Cost-BC32,AV32)</f>
        <v>0</v>
      </c>
      <c r="BE32" s="1" t="n">
        <f aca="false">BC32+BD32</f>
        <v>0</v>
      </c>
      <c r="BF32" s="1" t="n">
        <f aca="false">AV32-BD32+AZ32*IF(Slot4_SpendLike=1,BB32-BC32,IF(Slot4_PotFree=1,BB32,0))</f>
        <v>0</v>
      </c>
      <c r="BG32" s="1" t="n">
        <f aca="false">AW32+AZ32*Slot4_BufPot*BB32</f>
        <v>0</v>
      </c>
      <c r="BH32" s="1" t="n">
        <f aca="false">IF(AND(AZ32=1,Slot4_IsMfree=1),IF(BE32&gt;=Slot4_Cost-1,0,MAX(0,AX32-BE32)),AX32)</f>
        <v>0</v>
      </c>
      <c r="BI32" s="1" t="n">
        <f aca="false">AZ32*(Slot4_Cost-BE32)</f>
        <v>0</v>
      </c>
      <c r="BJ32" s="1" t="n">
        <f aca="false">IF(AND(Slot5_On=1,D32=Slot5_Age),1,0)</f>
        <v>0</v>
      </c>
      <c r="BK32" s="1" t="n">
        <f aca="false">IF(AND(Slot5_On=1,Slot5_Age&gt;D32),1,0)</f>
        <v>0</v>
      </c>
      <c r="BL32" s="1" t="n">
        <f aca="false">HV31</f>
        <v>0</v>
      </c>
      <c r="BM32" s="1" t="n">
        <f aca="false">BJ32*MIN(Slot5_Cost,BL32)</f>
        <v>0</v>
      </c>
      <c r="BN32" s="1" t="n">
        <f aca="false">BJ32*Slot5_SpendLike*MIN(Slot5_Cost-BM32,BF32)</f>
        <v>0</v>
      </c>
      <c r="BO32" s="1" t="n">
        <f aca="false">BM32+BN32</f>
        <v>0</v>
      </c>
      <c r="BP32" s="1" t="n">
        <f aca="false">BF32-BN32+BJ32*IF(Slot5_SpendLike=1,BL32-BM32,IF(Slot5_PotFree=1,BL32,0))</f>
        <v>0</v>
      </c>
      <c r="BQ32" s="1" t="n">
        <f aca="false">BG32+BJ32*Slot5_BufPot*BL32</f>
        <v>0</v>
      </c>
      <c r="BR32" s="1" t="n">
        <f aca="false">IF(AND(BJ32=1,Slot5_IsMfree=1),IF(BO32&gt;=Slot5_Cost-1,0,MAX(0,BH32-BO32)),BH32)</f>
        <v>0</v>
      </c>
      <c r="BS32" s="1" t="n">
        <f aca="false">BJ32*(Slot5_Cost-BO32)</f>
        <v>0</v>
      </c>
      <c r="BT32" s="1" t="n">
        <f aca="false">IF(AND(Slot6_On=1,D32=Slot6_Age),1,0)</f>
        <v>0</v>
      </c>
      <c r="BU32" s="1" t="n">
        <f aca="false">IF(AND(Slot6_On=1,Slot6_Age&gt;D32),1,0)</f>
        <v>0</v>
      </c>
      <c r="BV32" s="1" t="n">
        <f aca="false">HZ31</f>
        <v>0</v>
      </c>
      <c r="BW32" s="1" t="n">
        <f aca="false">BT32*MIN(Slot6_Cost,BV32)</f>
        <v>0</v>
      </c>
      <c r="BX32" s="1" t="n">
        <f aca="false">BT32*Slot6_SpendLike*MIN(Slot6_Cost-BW32,BP32)</f>
        <v>0</v>
      </c>
      <c r="BY32" s="1" t="n">
        <f aca="false">BW32+BX32</f>
        <v>0</v>
      </c>
      <c r="BZ32" s="1" t="n">
        <f aca="false">BP32-BX32+BT32*IF(Slot6_SpendLike=1,BV32-BW32,IF(Slot6_PotFree=1,BV32,0))</f>
        <v>0</v>
      </c>
      <c r="CA32" s="1" t="n">
        <f aca="false">BQ32+BT32*Slot6_BufPot*BV32</f>
        <v>0</v>
      </c>
      <c r="CB32" s="1" t="n">
        <f aca="false">IF(AND(BT32=1,Slot6_IsMfree=1),IF(BY32&gt;=Slot6_Cost-1,0,MAX(0,BR32-BY32)),BR32)</f>
        <v>0</v>
      </c>
      <c r="CC32" s="1" t="n">
        <f aca="false">BT32*(Slot6_Cost-BY32)</f>
        <v>0</v>
      </c>
      <c r="CD32" s="1" t="n">
        <f aca="false">IF(AND(Slot7_On=1,D32=Slot7_Age),1,0)</f>
        <v>0</v>
      </c>
      <c r="CE32" s="1" t="n">
        <f aca="false">IF(AND(Slot7_On=1,Slot7_Age&gt;D32),1,0)</f>
        <v>0</v>
      </c>
      <c r="CF32" s="1" t="n">
        <f aca="false">ID31</f>
        <v>0</v>
      </c>
      <c r="CG32" s="1" t="n">
        <f aca="false">CD32*MIN(Slot7_Cost,CF32)</f>
        <v>0</v>
      </c>
      <c r="CH32" s="1" t="n">
        <f aca="false">CD32*Slot7_SpendLike*MIN(Slot7_Cost-CG32,BZ32)</f>
        <v>0</v>
      </c>
      <c r="CI32" s="1" t="n">
        <f aca="false">CG32+CH32</f>
        <v>0</v>
      </c>
      <c r="CJ32" s="1" t="n">
        <f aca="false">BZ32-CH32+CD32*IF(Slot7_SpendLike=1,CF32-CG32,IF(Slot7_PotFree=1,CF32,0))</f>
        <v>0</v>
      </c>
      <c r="CK32" s="1" t="n">
        <f aca="false">CA32+CD32*Slot7_BufPot*CF32</f>
        <v>0</v>
      </c>
      <c r="CL32" s="1" t="n">
        <f aca="false">IF(AND(CD32=1,Slot7_IsMfree=1),IF(CI32&gt;=Slot7_Cost-1,0,MAX(0,CB32-CI32)),CB32)</f>
        <v>0</v>
      </c>
      <c r="CM32" s="1" t="n">
        <f aca="false">CD32*(Slot7_Cost-CI32)</f>
        <v>0</v>
      </c>
      <c r="CN32" s="1" t="n">
        <f aca="false">IF(AND(Slot8_On=1,D32=Slot8_Age),1,0)</f>
        <v>0</v>
      </c>
      <c r="CO32" s="1" t="n">
        <f aca="false">IF(AND(Slot8_On=1,Slot8_Age&gt;D32),1,0)</f>
        <v>0</v>
      </c>
      <c r="CP32" s="1" t="n">
        <f aca="false">IH31</f>
        <v>0</v>
      </c>
      <c r="CQ32" s="1" t="n">
        <f aca="false">CN32*MIN(Slot8_Cost,CP32)</f>
        <v>0</v>
      </c>
      <c r="CR32" s="1" t="n">
        <f aca="false">CN32*Slot8_SpendLike*MIN(Slot8_Cost-CQ32,CJ32)</f>
        <v>0</v>
      </c>
      <c r="CS32" s="1" t="n">
        <f aca="false">CQ32+CR32</f>
        <v>0</v>
      </c>
      <c r="CT32" s="1" t="n">
        <f aca="false">CJ32-CR32+CN32*IF(Slot8_SpendLike=1,CP32-CQ32,IF(Slot8_PotFree=1,CP32,0))</f>
        <v>0</v>
      </c>
      <c r="CU32" s="1" t="n">
        <f aca="false">CK32+CN32*Slot8_BufPot*CP32</f>
        <v>0</v>
      </c>
      <c r="CV32" s="1" t="n">
        <f aca="false">IF(AND(CN32=1,Slot8_IsMfree=1),IF(CS32&gt;=Slot8_Cost-1,0,MAX(0,CL32-CS32)),CL32)</f>
        <v>0</v>
      </c>
      <c r="CW32" s="1" t="n">
        <f aca="false">CN32*(Slot8_Cost-CS32)</f>
        <v>0</v>
      </c>
      <c r="CX32" s="1" t="n">
        <f aca="false">U32*Slot1_SpendLike*Z32+AF32*Slot2_SpendLike*AK32+AP32*Slot3_SpendLike*AU32+AZ32*Slot4_SpendLike*BE32+BJ32*Slot5_SpendLike*BO32+BT32*Slot6_SpendLike*BY32+CD32*Slot7_SpendLike*CI32+CN32*Slot8_SpendLike*CS32</f>
        <v>0</v>
      </c>
      <c r="CY32" s="1" t="n">
        <f aca="false">AD32+AO32+AY32+BI32+BS32+CC32+CM32+CW32</f>
        <v>0</v>
      </c>
      <c r="CZ32" s="1" t="n">
        <f aca="false">U32*Slot1_Cost+AF32*Slot2_Cost+AP32*Slot3_Cost+AZ32*Slot4_Cost+BJ32*Slot5_Cost+BT32*Slot6_Cost+CD32*Slot7_Cost+CN32*Slot8_Cost</f>
        <v>0</v>
      </c>
      <c r="DA32" s="1" t="n">
        <f aca="false">CV32</f>
        <v>0</v>
      </c>
      <c r="DB32" s="1" t="n">
        <f aca="false">G32-H32-R32</f>
        <v>0</v>
      </c>
      <c r="DC32" s="1" t="n">
        <f aca="false">IF(B32=0,IF(AND(Has_q6=1,In_q6=4),PR_ShareVaries*(MAX(0,DB32)/12),MIN(IF(Has_q6=1,CHOOSE(In_q6+1,PR_SaveB1,PR_SaveB2,PR_SaveB3,PR_SaveB4,0),AS_NoAnswer),AS_SaveShare*(MAX(0,DB32)/12))),DC31)</f>
        <v>0</v>
      </c>
      <c r="DD32" s="1" t="n">
        <f aca="false">IF(DB32&gt;=0,1,0)</f>
        <v>1</v>
      </c>
      <c r="DE32" s="1" t="n">
        <f aca="false">MAX(0,DB32/12/E32)</f>
        <v>0</v>
      </c>
      <c r="DF32" s="1" t="n">
        <f aca="false">IF(AND(Has_q6=1,In_q6=4),PR_ShareVaries*(DE32),MIN(IF(Has_q6=1,CHOOSE(In_q6+1,PR_SaveB1,PR_SaveB2,PR_SaveB3,PR_SaveB4,0),AS_NoAnswer),AS_SaveShare*(DE32)))</f>
        <v>0</v>
      </c>
      <c r="DG32" s="1" t="n">
        <f aca="false">IF(Has_saveM=1,IF(In_saveUp="Yes",1,IF(In_saveUp="No",0,IF(In_saveM&gt;=DC32-0.5,1,0))),0)</f>
        <v>0</v>
      </c>
      <c r="DH32" s="1" t="n">
        <f aca="false">IF(Has_saveM=1,MIN(DE32,IF(DG32=1,MAX(In_saveM,DF32),MIN(In_saveM,DF32))),DF32)</f>
        <v>0</v>
      </c>
      <c r="DI32" s="1" t="n">
        <f aca="false">IF(F32=1,DH32*12*E32,0)</f>
        <v>0</v>
      </c>
      <c r="DJ32" s="1" t="n">
        <f aca="false">MAX(0,DI32+IF(AND(WI_Retire=0,WI_M&lt;0,F32=1),WI_M*12*E32,0))</f>
        <v>0</v>
      </c>
      <c r="DK32" s="1" t="n">
        <f aca="false">Slot1_IsWG*V32+Slot2_IsWG*AG32+Slot3_IsWG*AQ32+Slot4_IsWG*BA32+Slot5_IsWG*BK32+Slot6_IsWG*BU32+Slot7_IsWG*CE32+Slot8_IsWG*CO32</f>
        <v>0</v>
      </c>
      <c r="DL32" s="1" t="n">
        <f aca="false">IF(AND(WI_Retire=0,WI_M&gt;0,F32=1,DK32&gt;=1),WI_M*12*E32,0)</f>
        <v>0</v>
      </c>
      <c r="DM32" s="1" t="n">
        <f aca="false">IF(DD32=1,MIN(DJ32,DB32),0)</f>
        <v>0</v>
      </c>
      <c r="DN32" s="1" t="n">
        <f aca="false">IF(DD32=1,MIN(DL32,DB32-DM32),0)</f>
        <v>0</v>
      </c>
      <c r="DO32" s="1" t="n">
        <f aca="false">IF(V32=1,IF(ABS((1+AS_Wage)/(1+Slot1_Rate)-1)&lt;0.000000000001,(Slot1_Age-D32)*(1+Slot1_Rate)^(Slot1_Age-D32),(1+Slot1_Rate)^(Slot1_Age-D32)*(1-((1+AS_Wage)/(1+Slot1_Rate))^(Slot1_Age-D32))/(1-(1+AS_Wage)/(1+Slot1_Rate))),1)</f>
        <v>1</v>
      </c>
      <c r="DP32" s="1" t="n">
        <f aca="false">IF(AND(DD32=1,DN32&gt;0,Slot1_IsWG=1,V32=1),MAX(0,(Slot1_Cost-W32*(1+Slot1_Rate)^(Slot1_Age-D32))/DO32),0)</f>
        <v>0</v>
      </c>
      <c r="DQ32" s="1" t="n">
        <f aca="false">IF(AND(DD32=1,DN32&gt;0,Slot1_IsWG=1,V32=1),MIN(DN32,DP32),0)</f>
        <v>0</v>
      </c>
      <c r="DR32" s="1" t="n">
        <f aca="false">W32+DQ32</f>
        <v>0</v>
      </c>
      <c r="DS32" s="1" t="n">
        <f aca="false">IF(V32=1,MAX(0,(Slot1_Cost-DR32*(1+Slot1_Rate)^(Slot1_Age-D32))/DO32),0)</f>
        <v>0</v>
      </c>
      <c r="DT32" s="1" t="n">
        <f aca="false">IF(V32=1,MAX(0,(Slot1_Cost-W32*(1+Slot1_Rate)^(Slot1_Age-D32))/DO32),0)</f>
        <v>0</v>
      </c>
      <c r="DU32" s="1" t="n">
        <f aca="false">IF(AND(DD32=1,V32=1),MIN(DM32,DS32),0)</f>
        <v>0</v>
      </c>
      <c r="DV32" s="1" t="n">
        <f aca="false">DM32-DU32</f>
        <v>0</v>
      </c>
      <c r="DW32" s="1" t="n">
        <f aca="false">IF(AG32=1,IF(ABS((1+AS_Wage)/(1+Slot2_Rate)-1)&lt;0.000000000001,(Slot2_Age-D32)*(1+Slot2_Rate)^(Slot2_Age-D32),(1+Slot2_Rate)^(Slot2_Age-D32)*(1-((1+AS_Wage)/(1+Slot2_Rate))^(Slot2_Age-D32))/(1-(1+AS_Wage)/(1+Slot2_Rate))),1)</f>
        <v>1</v>
      </c>
      <c r="DX32" s="1" t="n">
        <f aca="false">IF(AND(DD32=1,DN32&gt;0,Slot2_IsWG=1,AG32=1),MAX(0,(Slot2_Cost-AH32*(1+Slot2_Rate)^(Slot2_Age-D32))/DW32),0)</f>
        <v>0</v>
      </c>
      <c r="DY32" s="1" t="n">
        <f aca="false">IF(AND(DD32=1,DN32&gt;0,Slot2_IsWG=1,AG32=1),MIN(DN32,DX32),0)</f>
        <v>0</v>
      </c>
      <c r="DZ32" s="1" t="n">
        <f aca="false">AH32+DY32</f>
        <v>0</v>
      </c>
      <c r="EA32" s="1" t="n">
        <f aca="false">IF(AG32=1,MAX(0,(Slot2_Cost-DZ32*(1+Slot2_Rate)^(Slot2_Age-D32))/DW32),0)</f>
        <v>0</v>
      </c>
      <c r="EB32" s="1" t="n">
        <f aca="false">IF(AG32=1,MAX(0,(Slot2_Cost-AH32*(1+Slot2_Rate)^(Slot2_Age-D32))/DW32),0)</f>
        <v>0</v>
      </c>
      <c r="EC32" s="1" t="n">
        <f aca="false">IF(AND(DD32=1,AG32=1),MIN(DV32,EA32),0)</f>
        <v>0</v>
      </c>
      <c r="ED32" s="1" t="n">
        <f aca="false">DV32-EC32</f>
        <v>0</v>
      </c>
      <c r="EE32" s="1" t="n">
        <f aca="false">IF(AQ32=1,IF(ABS((1+AS_Wage)/(1+Slot3_Rate)-1)&lt;0.000000000001,(Slot3_Age-D32)*(1+Slot3_Rate)^(Slot3_Age-D32),(1+Slot3_Rate)^(Slot3_Age-D32)*(1-((1+AS_Wage)/(1+Slot3_Rate))^(Slot3_Age-D32))/(1-(1+AS_Wage)/(1+Slot3_Rate))),1)</f>
        <v>1</v>
      </c>
      <c r="EF32" s="1" t="n">
        <f aca="false">IF(AND(DD32=1,DN32&gt;0,Slot3_IsWG=1,AQ32=1),MAX(0,(Slot3_Cost-AR32*(1+Slot3_Rate)^(Slot3_Age-D32))/EE32),0)</f>
        <v>0</v>
      </c>
      <c r="EG32" s="1" t="n">
        <f aca="false">IF(AND(DD32=1,DN32&gt;0,Slot3_IsWG=1,AQ32=1),MIN(DN32,EF32),0)</f>
        <v>0</v>
      </c>
      <c r="EH32" s="1" t="n">
        <f aca="false">AR32+EG32</f>
        <v>0</v>
      </c>
      <c r="EI32" s="1" t="n">
        <f aca="false">IF(AQ32=1,MAX(0,(Slot3_Cost-EH32*(1+Slot3_Rate)^(Slot3_Age-D32))/EE32),0)</f>
        <v>0</v>
      </c>
      <c r="EJ32" s="1" t="n">
        <f aca="false">IF(AQ32=1,MAX(0,(Slot3_Cost-AR32*(1+Slot3_Rate)^(Slot3_Age-D32))/EE32),0)</f>
        <v>0</v>
      </c>
      <c r="EK32" s="1" t="n">
        <f aca="false">IF(AND(DD32=1,AQ32=1),MIN(ED32,EI32),0)</f>
        <v>0</v>
      </c>
      <c r="EL32" s="1" t="n">
        <f aca="false">ED32-EK32</f>
        <v>0</v>
      </c>
      <c r="EM32" s="1" t="n">
        <f aca="false">IF(BA32=1,IF(ABS((1+AS_Wage)/(1+Slot4_Rate)-1)&lt;0.000000000001,(Slot4_Age-D32)*(1+Slot4_Rate)^(Slot4_Age-D32),(1+Slot4_Rate)^(Slot4_Age-D32)*(1-((1+AS_Wage)/(1+Slot4_Rate))^(Slot4_Age-D32))/(1-(1+AS_Wage)/(1+Slot4_Rate))),1)</f>
        <v>1</v>
      </c>
      <c r="EN32" s="1" t="n">
        <f aca="false">IF(AND(DD32=1,DN32&gt;0,Slot4_IsWG=1,BA32=1),MAX(0,(Slot4_Cost-BB32*(1+Slot4_Rate)^(Slot4_Age-D32))/EM32),0)</f>
        <v>0</v>
      </c>
      <c r="EO32" s="1" t="n">
        <f aca="false">IF(AND(DD32=1,DN32&gt;0,Slot4_IsWG=1,BA32=1),MIN(DN32,EN32),0)</f>
        <v>0</v>
      </c>
      <c r="EP32" s="1" t="n">
        <f aca="false">BB32+EO32</f>
        <v>0</v>
      </c>
      <c r="EQ32" s="1" t="n">
        <f aca="false">IF(BA32=1,MAX(0,(Slot4_Cost-EP32*(1+Slot4_Rate)^(Slot4_Age-D32))/EM32),0)</f>
        <v>0</v>
      </c>
      <c r="ER32" s="1" t="n">
        <f aca="false">IF(BA32=1,MAX(0,(Slot4_Cost-BB32*(1+Slot4_Rate)^(Slot4_Age-D32))/EM32),0)</f>
        <v>0</v>
      </c>
      <c r="ES32" s="1" t="n">
        <f aca="false">IF(AND(DD32=1,BA32=1),MIN(EL32,EQ32),0)</f>
        <v>0</v>
      </c>
      <c r="ET32" s="1" t="n">
        <f aca="false">EL32-ES32</f>
        <v>0</v>
      </c>
      <c r="EU32" s="1" t="n">
        <f aca="false">IF(BK32=1,IF(ABS((1+AS_Wage)/(1+Slot5_Rate)-1)&lt;0.000000000001,(Slot5_Age-D32)*(1+Slot5_Rate)^(Slot5_Age-D32),(1+Slot5_Rate)^(Slot5_Age-D32)*(1-((1+AS_Wage)/(1+Slot5_Rate))^(Slot5_Age-D32))/(1-(1+AS_Wage)/(1+Slot5_Rate))),1)</f>
        <v>1</v>
      </c>
      <c r="EV32" s="1" t="n">
        <f aca="false">IF(AND(DD32=1,DN32&gt;0,Slot5_IsWG=1,BK32=1),MAX(0,(Slot5_Cost-BL32*(1+Slot5_Rate)^(Slot5_Age-D32))/EU32),0)</f>
        <v>0</v>
      </c>
      <c r="EW32" s="1" t="n">
        <f aca="false">IF(AND(DD32=1,DN32&gt;0,Slot5_IsWG=1,BK32=1),MIN(DN32,EV32),0)</f>
        <v>0</v>
      </c>
      <c r="EX32" s="1" t="n">
        <f aca="false">BL32+EW32</f>
        <v>0</v>
      </c>
      <c r="EY32" s="1" t="n">
        <f aca="false">IF(BK32=1,MAX(0,(Slot5_Cost-EX32*(1+Slot5_Rate)^(Slot5_Age-D32))/EU32),0)</f>
        <v>0</v>
      </c>
      <c r="EZ32" s="1" t="n">
        <f aca="false">IF(BK32=1,MAX(0,(Slot5_Cost-BL32*(1+Slot5_Rate)^(Slot5_Age-D32))/EU32),0)</f>
        <v>0</v>
      </c>
      <c r="FA32" s="1" t="n">
        <f aca="false">IF(AND(DD32=1,BK32=1),MIN(ET32,EY32),0)</f>
        <v>0</v>
      </c>
      <c r="FB32" s="1" t="n">
        <f aca="false">ET32-FA32</f>
        <v>0</v>
      </c>
      <c r="FC32" s="1" t="n">
        <f aca="false">IF(BU32=1,IF(ABS((1+AS_Wage)/(1+Slot6_Rate)-1)&lt;0.000000000001,(Slot6_Age-D32)*(1+Slot6_Rate)^(Slot6_Age-D32),(1+Slot6_Rate)^(Slot6_Age-D32)*(1-((1+AS_Wage)/(1+Slot6_Rate))^(Slot6_Age-D32))/(1-(1+AS_Wage)/(1+Slot6_Rate))),1)</f>
        <v>1</v>
      </c>
      <c r="FD32" s="1" t="n">
        <f aca="false">IF(AND(DD32=1,DN32&gt;0,Slot6_IsWG=1,BU32=1),MAX(0,(Slot6_Cost-BV32*(1+Slot6_Rate)^(Slot6_Age-D32))/FC32),0)</f>
        <v>0</v>
      </c>
      <c r="FE32" s="1" t="n">
        <f aca="false">IF(AND(DD32=1,DN32&gt;0,Slot6_IsWG=1,BU32=1),MIN(DN32,FD32),0)</f>
        <v>0</v>
      </c>
      <c r="FF32" s="1" t="n">
        <f aca="false">BV32+FE32</f>
        <v>0</v>
      </c>
      <c r="FG32" s="1" t="n">
        <f aca="false">IF(BU32=1,MAX(0,(Slot6_Cost-FF32*(1+Slot6_Rate)^(Slot6_Age-D32))/FC32),0)</f>
        <v>0</v>
      </c>
      <c r="FH32" s="1" t="n">
        <f aca="false">IF(BU32=1,MAX(0,(Slot6_Cost-BV32*(1+Slot6_Rate)^(Slot6_Age-D32))/FC32),0)</f>
        <v>0</v>
      </c>
      <c r="FI32" s="1" t="n">
        <f aca="false">IF(AND(DD32=1,BU32=1),MIN(FB32,FG32),0)</f>
        <v>0</v>
      </c>
      <c r="FJ32" s="1" t="n">
        <f aca="false">FB32-FI32</f>
        <v>0</v>
      </c>
      <c r="FK32" s="1" t="n">
        <f aca="false">IF(CE32=1,IF(ABS((1+AS_Wage)/(1+Slot7_Rate)-1)&lt;0.000000000001,(Slot7_Age-D32)*(1+Slot7_Rate)^(Slot7_Age-D32),(1+Slot7_Rate)^(Slot7_Age-D32)*(1-((1+AS_Wage)/(1+Slot7_Rate))^(Slot7_Age-D32))/(1-(1+AS_Wage)/(1+Slot7_Rate))),1)</f>
        <v>1</v>
      </c>
      <c r="FL32" s="1" t="n">
        <f aca="false">IF(AND(DD32=1,DN32&gt;0,Slot7_IsWG=1,CE32=1),MAX(0,(Slot7_Cost-CF32*(1+Slot7_Rate)^(Slot7_Age-D32))/FK32),0)</f>
        <v>0</v>
      </c>
      <c r="FM32" s="1" t="n">
        <f aca="false">IF(AND(DD32=1,DN32&gt;0,Slot7_IsWG=1,CE32=1),MIN(DN32,FL32),0)</f>
        <v>0</v>
      </c>
      <c r="FN32" s="1" t="n">
        <f aca="false">CF32+FM32</f>
        <v>0</v>
      </c>
      <c r="FO32" s="1" t="n">
        <f aca="false">IF(CE32=1,MAX(0,(Slot7_Cost-FN32*(1+Slot7_Rate)^(Slot7_Age-D32))/FK32),0)</f>
        <v>0</v>
      </c>
      <c r="FP32" s="1" t="n">
        <f aca="false">IF(CE32=1,MAX(0,(Slot7_Cost-CF32*(1+Slot7_Rate)^(Slot7_Age-D32))/FK32),0)</f>
        <v>0</v>
      </c>
      <c r="FQ32" s="1" t="n">
        <f aca="false">IF(AND(DD32=1,CE32=1),MIN(FJ32,FO32),0)</f>
        <v>0</v>
      </c>
      <c r="FR32" s="1" t="n">
        <f aca="false">FJ32-FQ32</f>
        <v>0</v>
      </c>
      <c r="FS32" s="1" t="n">
        <f aca="false">IF(CO32=1,IF(ABS((1+AS_Wage)/(1+Slot8_Rate)-1)&lt;0.000000000001,(Slot8_Age-D32)*(1+Slot8_Rate)^(Slot8_Age-D32),(1+Slot8_Rate)^(Slot8_Age-D32)*(1-((1+AS_Wage)/(1+Slot8_Rate))^(Slot8_Age-D32))/(1-(1+AS_Wage)/(1+Slot8_Rate))),1)</f>
        <v>1</v>
      </c>
      <c r="FT32" s="1" t="n">
        <f aca="false">IF(AND(DD32=1,DN32&gt;0,Slot8_IsWG=1,CO32=1),MAX(0,(Slot8_Cost-CP32*(1+Slot8_Rate)^(Slot8_Age-D32))/FS32),0)</f>
        <v>0</v>
      </c>
      <c r="FU32" s="1" t="n">
        <f aca="false">IF(AND(DD32=1,DN32&gt;0,Slot8_IsWG=1,CO32=1),MIN(DN32,FT32),0)</f>
        <v>0</v>
      </c>
      <c r="FV32" s="1" t="n">
        <f aca="false">CP32+FU32</f>
        <v>0</v>
      </c>
      <c r="FW32" s="1" t="n">
        <f aca="false">IF(CO32=1,MAX(0,(Slot8_Cost-FV32*(1+Slot8_Rate)^(Slot8_Age-D32))/FS32),0)</f>
        <v>0</v>
      </c>
      <c r="FX32" s="1" t="n">
        <f aca="false">IF(CO32=1,MAX(0,(Slot8_Cost-CP32*(1+Slot8_Rate)^(Slot8_Age-D32))/FS32),0)</f>
        <v>0</v>
      </c>
      <c r="FY32" s="1" t="n">
        <f aca="false">IF(AND(DD32=1,CO32=1),MIN(FR32,FW32),0)</f>
        <v>0</v>
      </c>
      <c r="FZ32" s="1" t="n">
        <f aca="false">FR32-FY32</f>
        <v>0</v>
      </c>
      <c r="GA32" s="1" t="n">
        <f aca="false">DN32-(DQ32+DY32+EG32+EO32+EW32+FE32+FM32+FU32)</f>
        <v>0</v>
      </c>
      <c r="GB32" s="1" t="n">
        <f aca="false">IF(DD32=1,DB32-DM32-DN32,0)</f>
        <v>0</v>
      </c>
      <c r="GC32" s="1" t="n">
        <f aca="false">IF(DD32=0,-DB32,0)</f>
        <v>0</v>
      </c>
      <c r="GD32" s="1" t="n">
        <f aca="false">MIN(GC32,CT32)</f>
        <v>0</v>
      </c>
      <c r="GE32" s="1" t="n">
        <f aca="false">GC32-GD32</f>
        <v>0</v>
      </c>
      <c r="GF32" s="1" t="n">
        <f aca="false">MIN(GE32,CU32)</f>
        <v>0</v>
      </c>
      <c r="GG32" s="1" t="n">
        <f aca="false">GE32-GF32</f>
        <v>0</v>
      </c>
      <c r="GH32" s="1" t="n">
        <f aca="false">IF(AND(DD32=0,CO32=1,GG32&gt;0),MIN(GG32,CP32),0)</f>
        <v>0</v>
      </c>
      <c r="GI32" s="1" t="n">
        <f aca="false">GG32-GH32</f>
        <v>0</v>
      </c>
      <c r="GJ32" s="1" t="n">
        <f aca="false">IF(AND(DD32=0,CE32=1,GI32&gt;0),MIN(GI32,CF32),0)</f>
        <v>0</v>
      </c>
      <c r="GK32" s="1" t="n">
        <f aca="false">GI32-GJ32</f>
        <v>0</v>
      </c>
      <c r="GL32" s="1" t="n">
        <f aca="false">IF(AND(DD32=0,BU32=1,GK32&gt;0),MIN(GK32,BV32),0)</f>
        <v>0</v>
      </c>
      <c r="GM32" s="1" t="n">
        <f aca="false">GK32-GL32</f>
        <v>0</v>
      </c>
      <c r="GN32" s="1" t="n">
        <f aca="false">IF(AND(DD32=0,BK32=1,GM32&gt;0),MIN(GM32,BL32),0)</f>
        <v>0</v>
      </c>
      <c r="GO32" s="1" t="n">
        <f aca="false">GM32-GN32</f>
        <v>0</v>
      </c>
      <c r="GP32" s="1" t="n">
        <f aca="false">IF(AND(DD32=0,BA32=1,GO32&gt;0),MIN(GO32,BB32),0)</f>
        <v>0</v>
      </c>
      <c r="GQ32" s="1" t="n">
        <f aca="false">GO32-GP32</f>
        <v>0</v>
      </c>
      <c r="GR32" s="1" t="n">
        <f aca="false">IF(AND(DD32=0,AQ32=1,GQ32&gt;0),MIN(GQ32,AR32),0)</f>
        <v>0</v>
      </c>
      <c r="GS32" s="1" t="n">
        <f aca="false">GQ32-GR32</f>
        <v>0</v>
      </c>
      <c r="GT32" s="1" t="n">
        <f aca="false">IF(AND(DD32=0,AG32=1,GS32&gt;0),MIN(GS32,AH32),0)</f>
        <v>0</v>
      </c>
      <c r="GU32" s="1" t="n">
        <f aca="false">GS32-GT32</f>
        <v>0</v>
      </c>
      <c r="GV32" s="1" t="n">
        <f aca="false">IF(AND(DD32=0,V32=1,GU32&gt;0),MIN(GU32,W32),0)</f>
        <v>0</v>
      </c>
      <c r="GW32" s="1" t="n">
        <f aca="false">GU32-GV32</f>
        <v>0</v>
      </c>
      <c r="GX32" s="1" t="n">
        <f aca="false">IF(DD32=0,GW32,0)</f>
        <v>0</v>
      </c>
      <c r="GY32" s="1" t="n">
        <f aca="false">GD32+GF32+GV32+GT32+GR32+GP32+GN32+GL32+GJ32+GH32</f>
        <v>0</v>
      </c>
      <c r="GZ32" s="1" t="n">
        <f aca="false">IF(DD32=1,CT32+GA32+FZ32+IF(F32=1,0,GB32),CT32-GD32)</f>
        <v>0</v>
      </c>
      <c r="HA32" s="1" t="n">
        <f aca="false">CU32-GF32</f>
        <v>0</v>
      </c>
      <c r="HB32" s="1" t="n">
        <f aca="false">IF(DD32=1,IF(F32=1,DM32+DN32,DB32),0)</f>
        <v>0</v>
      </c>
      <c r="HC32" s="1" t="n">
        <f aca="false">IF(DD32=1,IF(F32=1,DB32-DM32-DN32,0),0)</f>
        <v>0</v>
      </c>
      <c r="HD32" s="1" t="n">
        <f aca="false">GZ32*(1+GR)</f>
        <v>0</v>
      </c>
      <c r="HE32" s="1" t="n">
        <f aca="false">HA32*(1+AS_Cash)</f>
        <v>0</v>
      </c>
      <c r="HF32" s="1" t="n">
        <f aca="false">IF(V32=1,IF(DD32=1,DR32+DU32,W32-GV32)*(1+Slot1_Rate),0)</f>
        <v>0</v>
      </c>
      <c r="HG32" s="1" t="n">
        <f aca="false">IF(AND(DD32=1,V32=1),(DQ32+DU32)/E32,0)</f>
        <v>0</v>
      </c>
      <c r="HH32" s="1" t="n">
        <f aca="false">IF(B32=0,DQ32+DU32,0)</f>
        <v>0</v>
      </c>
      <c r="HI32" s="1" t="n">
        <f aca="false">IF(B32=0,IF(DD32=1,DS32,DT32),0)</f>
        <v>0</v>
      </c>
      <c r="HJ32" s="1" t="n">
        <f aca="false">IF(AG32=1,IF(DD32=1,DZ32+EC32,AH32-GT32)*(1+Slot2_Rate),0)</f>
        <v>0</v>
      </c>
      <c r="HK32" s="1" t="n">
        <f aca="false">IF(AND(DD32=1,AG32=1),(DY32+EC32)/E32,0)</f>
        <v>0</v>
      </c>
      <c r="HL32" s="1" t="n">
        <f aca="false">IF(B32=0,DY32+EC32,0)</f>
        <v>0</v>
      </c>
      <c r="HM32" s="1" t="n">
        <f aca="false">IF(B32=0,IF(DD32=1,EA32,EB32),0)</f>
        <v>0</v>
      </c>
      <c r="HN32" s="1" t="n">
        <f aca="false">IF(AQ32=1,IF(DD32=1,EH32+EK32,AR32-GR32)*(1+Slot3_Rate),0)</f>
        <v>0</v>
      </c>
      <c r="HO32" s="1" t="n">
        <f aca="false">IF(AND(DD32=1,AQ32=1),(EG32+EK32)/E32,0)</f>
        <v>0</v>
      </c>
      <c r="HP32" s="1" t="n">
        <f aca="false">IF(B32=0,EG32+EK32,0)</f>
        <v>0</v>
      </c>
      <c r="HQ32" s="1" t="n">
        <f aca="false">IF(B32=0,IF(DD32=1,EI32,EJ32),0)</f>
        <v>0</v>
      </c>
      <c r="HR32" s="1" t="n">
        <f aca="false">IF(BA32=1,IF(DD32=1,EP32+ES32,BB32-GP32)*(1+Slot4_Rate),0)</f>
        <v>0</v>
      </c>
      <c r="HS32" s="1" t="n">
        <f aca="false">IF(AND(DD32=1,BA32=1),(EO32+ES32)/E32,0)</f>
        <v>0</v>
      </c>
      <c r="HT32" s="1" t="n">
        <f aca="false">IF(B32=0,EO32+ES32,0)</f>
        <v>0</v>
      </c>
      <c r="HU32" s="1" t="n">
        <f aca="false">IF(B32=0,IF(DD32=1,EQ32,ER32),0)</f>
        <v>0</v>
      </c>
      <c r="HV32" s="1" t="n">
        <f aca="false">IF(BK32=1,IF(DD32=1,EX32+FA32,BL32-GN32)*(1+Slot5_Rate),0)</f>
        <v>0</v>
      </c>
      <c r="HW32" s="1" t="n">
        <f aca="false">IF(AND(DD32=1,BK32=1),(EW32+FA32)/E32,0)</f>
        <v>0</v>
      </c>
      <c r="HX32" s="1" t="n">
        <f aca="false">IF(B32=0,EW32+FA32,0)</f>
        <v>0</v>
      </c>
      <c r="HY32" s="1" t="n">
        <f aca="false">IF(B32=0,IF(DD32=1,EY32,EZ32),0)</f>
        <v>0</v>
      </c>
      <c r="HZ32" s="1" t="n">
        <f aca="false">IF(BU32=1,IF(DD32=1,FF32+FI32,BV32-GL32)*(1+Slot6_Rate),0)</f>
        <v>0</v>
      </c>
      <c r="IA32" s="1" t="n">
        <f aca="false">IF(AND(DD32=1,BU32=1),(FE32+FI32)/E32,0)</f>
        <v>0</v>
      </c>
      <c r="IB32" s="1" t="n">
        <f aca="false">IF(B32=0,FE32+FI32,0)</f>
        <v>0</v>
      </c>
      <c r="IC32" s="1" t="n">
        <f aca="false">IF(B32=0,IF(DD32=1,FG32,FH32),0)</f>
        <v>0</v>
      </c>
      <c r="ID32" s="1" t="n">
        <f aca="false">IF(CE32=1,IF(DD32=1,FN32+FQ32,CF32-GJ32)*(1+Slot7_Rate),0)</f>
        <v>0</v>
      </c>
      <c r="IE32" s="1" t="n">
        <f aca="false">IF(AND(DD32=1,CE32=1),(FM32+FQ32)/E32,0)</f>
        <v>0</v>
      </c>
      <c r="IF32" s="1" t="n">
        <f aca="false">IF(B32=0,FM32+FQ32,0)</f>
        <v>0</v>
      </c>
      <c r="IG32" s="1" t="n">
        <f aca="false">IF(B32=0,IF(DD32=1,FO32,FP32),0)</f>
        <v>0</v>
      </c>
      <c r="IH32" s="1" t="n">
        <f aca="false">IF(CO32=1,IF(DD32=1,FV32+FY32,CP32-GH32)*(1+Slot8_Rate),0)</f>
        <v>0</v>
      </c>
      <c r="II32" s="1" t="n">
        <f aca="false">IF(AND(DD32=1,CO32=1),(FU32+FY32)/E32,0)</f>
        <v>0</v>
      </c>
      <c r="IJ32" s="1" t="n">
        <f aca="false">IF(B32=0,FU32+FY32,0)</f>
        <v>0</v>
      </c>
      <c r="IK32" s="1" t="n">
        <f aca="false">IF(B32=0,IF(DD32=1,FW32,FX32),0)</f>
        <v>0</v>
      </c>
      <c r="IL32" s="1" t="n">
        <f aca="false">HD32+HE32+HF32+HJ32+HN32+HR32+HV32+HZ32+ID32+IH32</f>
        <v>0</v>
      </c>
      <c r="IM32" s="1" t="n">
        <f aca="false">GX32+CY32</f>
        <v>0</v>
      </c>
      <c r="IN32" s="1" t="n">
        <f aca="false">H32+R32</f>
        <v>0</v>
      </c>
      <c r="IO32" s="1" t="n">
        <f aca="false">1-F32</f>
        <v>1</v>
      </c>
      <c r="IP32" s="1" t="n">
        <f aca="false">IF(AND(RG_Exists=1,F32=0,C32=1),H32,0)</f>
        <v>0</v>
      </c>
      <c r="IQ32" s="1" t="n">
        <f aca="false">IF(AND(RG_Exists=1,F32=0,C32=1),H32-MIN(GX32,H32),0)</f>
        <v>0</v>
      </c>
      <c r="IR32" s="1" t="n">
        <f aca="false">'Plan pay &amp; tax'!AD234</f>
        <v>0</v>
      </c>
      <c r="IS32" s="1" t="n">
        <f aca="false">IF(AND(C32=1,GX32&gt;MAX(PR_Short1,IN32*PR_Short2)),1,0)</f>
        <v>0</v>
      </c>
      <c r="IT32" s="1" t="n">
        <f aca="false">MIN(G32,H32+R32)</f>
        <v>0</v>
      </c>
      <c r="IU32" s="1" t="n">
        <f aca="false">GY32+MAX(0,CZ32-CY32)</f>
        <v>0</v>
      </c>
      <c r="IV32" s="1" t="n">
        <f aca="false">GX32+CY32</f>
        <v>0</v>
      </c>
      <c r="IW32" s="1" t="n">
        <f aca="false">IF(AND(C32=1,IV32&gt;0.5),1,0)</f>
        <v>0</v>
      </c>
      <c r="IX32" s="1" t="n">
        <f aca="false">IF(AND(C32=1,IW32=0,IU32&gt;0.5),1,0)</f>
        <v>0</v>
      </c>
      <c r="IY32" s="1" t="n">
        <f aca="false">IF(AND(C32=1,GX32&gt;0.5),1,0)</f>
        <v>0</v>
      </c>
      <c r="IZ32" s="1" t="n">
        <f aca="false">IF(AND(C32=1,GY32&gt;1,JF32=0),1,0)</f>
        <v>0</v>
      </c>
      <c r="JA32" s="1" t="n">
        <f aca="false">IF(AND(INT(D32/10)*10=90,B32&gt;0),80,INT(D32/10)*10)</f>
        <v>20</v>
      </c>
      <c r="JB32" s="1" t="n">
        <f aca="false">IF(B32=0,1,IF(JA32&lt;&gt;JA31,JB31+1,JB31))</f>
        <v>3</v>
      </c>
      <c r="JC32" s="1" t="n">
        <f aca="false">IF(AND(C32=1,F32=1,GX32&gt;MAX(PR_Short1,IN32*PR_Short2)),1,0)</f>
        <v>0</v>
      </c>
      <c r="JD32" s="1" t="n">
        <f aca="false">IO32*IS32</f>
        <v>0</v>
      </c>
      <c r="JE32" s="1" t="n">
        <f aca="false">IF(AND(U32=1,Slot1_PctLow=1),1,0)+IF(AND(AF32=1,Slot2_PctLow=1),1,0)+IF(AND(AP32=1,Slot3_PctLow=1),1,0)+IF(AND(AZ32=1,Slot4_PctLow=1),1,0)+IF(AND(BJ32=1,Slot5_PctLow=1),1,0)+IF(AND(BT32=1,Slot6_PctLow=1),1,0)+IF(AND(CD32=1,Slot7_PctLow=1),1,0)+IF(AND(CN32=1,Slot8_PctLow=1),1,0)</f>
        <v>0</v>
      </c>
      <c r="JF32" s="1" t="n">
        <f aca="false">IF(C32=1,IF(OR(IS32=1,JE32&gt;0),1,0),0)</f>
        <v>0</v>
      </c>
    </row>
    <row r="33" customFormat="false" ht="15" hidden="false" customHeight="false" outlineLevel="0" collapsed="false">
      <c r="B33" s="1" t="n">
        <v>25</v>
      </c>
      <c r="C33" s="1" t="n">
        <f aca="false">IF(B33&lt;=F_N,1,0)</f>
        <v>1</v>
      </c>
      <c r="D33" s="1" t="n">
        <f aca="false">'Plan pay &amp; tax'!C235</f>
        <v>25</v>
      </c>
      <c r="E33" s="106" t="n">
        <f aca="false">'Plan pay &amp; tax'!E235</f>
        <v>1.64060599446473</v>
      </c>
      <c r="F33" s="1" t="n">
        <f aca="false">'Plan pay &amp; tax'!G235</f>
        <v>0</v>
      </c>
      <c r="G33" s="1" t="n">
        <f aca="false">'Plan pay &amp; tax'!BT235-'Plan pay &amp; tax'!BS235-'Plan pay &amp; tax'!R235</f>
        <v>0</v>
      </c>
      <c r="H33" s="1" t="n">
        <f aca="false">IF(F33=1,F_CostsM*12,IF(RG_Exists=1,RG_Amount,F_CostsM*12*AS_RetireSpend))*E33+F_OneOffY*E33</f>
        <v>0</v>
      </c>
      <c r="I33" s="1" t="n">
        <f aca="false">DA32</f>
        <v>0</v>
      </c>
      <c r="J33" s="1" t="n">
        <f aca="false">IF(I33&gt;1,'Plan debt months'!AC33,0)</f>
        <v>0</v>
      </c>
      <c r="K33" s="1" t="n">
        <f aca="false">IF(I33&gt;1,'Plan debt months'!AB33,I33)</f>
        <v>0</v>
      </c>
      <c r="L33" s="1" t="n">
        <f aca="false">N32</f>
        <v>0</v>
      </c>
      <c r="M33" s="1" t="n">
        <f aca="false">IF(L33&gt;1,'Plan debt months'!BD33,0)</f>
        <v>0</v>
      </c>
      <c r="N33" s="1" t="n">
        <f aca="false">IF(L33&gt;1,'Plan debt months'!BC33,L33)</f>
        <v>0</v>
      </c>
      <c r="O33" s="1" t="n">
        <f aca="false">Q32</f>
        <v>0</v>
      </c>
      <c r="P33" s="1" t="n">
        <f aca="false">IF(O33&gt;1,'Plan debt months'!CE33,0)</f>
        <v>0</v>
      </c>
      <c r="Q33" s="1" t="n">
        <f aca="false">IF(O33&gt;1,'Plan debt months'!CD33,O33)</f>
        <v>0</v>
      </c>
      <c r="R33" s="1" t="n">
        <f aca="false">J33+M33+P33</f>
        <v>0</v>
      </c>
      <c r="S33" s="1" t="n">
        <f aca="false">HD32+'Plan pay &amp; tax'!Y235</f>
        <v>0</v>
      </c>
      <c r="T33" s="1" t="n">
        <f aca="false">HD32</f>
        <v>0</v>
      </c>
      <c r="U33" s="1" t="n">
        <f aca="false">IF(AND(Slot1_On=1,D33=Slot1_Age),1,0)</f>
        <v>0</v>
      </c>
      <c r="V33" s="1" t="n">
        <f aca="false">IF(AND(Slot1_On=1,Slot1_Age&gt;D33),1,0)</f>
        <v>0</v>
      </c>
      <c r="W33" s="1" t="n">
        <f aca="false">HF32</f>
        <v>0</v>
      </c>
      <c r="X33" s="1" t="n">
        <f aca="false">U33*MIN(Slot1_Cost,W33)</f>
        <v>0</v>
      </c>
      <c r="Y33" s="1" t="n">
        <f aca="false">U33*Slot1_SpendLike*MIN(Slot1_Cost-X33,S33)</f>
        <v>0</v>
      </c>
      <c r="Z33" s="1" t="n">
        <f aca="false">X33+Y33</f>
        <v>0</v>
      </c>
      <c r="AA33" s="1" t="n">
        <f aca="false">S33-Y33+U33*IF(Slot1_SpendLike=1,W33-X33,IF(Slot1_PotFree=1,W33,0))</f>
        <v>0</v>
      </c>
      <c r="AB33" s="1" t="n">
        <f aca="false">AE33+U33*Slot1_BufPot*W33</f>
        <v>0</v>
      </c>
      <c r="AC33" s="1" t="n">
        <f aca="false">IF(AND(U33=1,Slot1_IsMfree=1),IF(Z33&gt;=Slot1_Cost-1,0,MAX(0,K33-Z33)),K33)</f>
        <v>0</v>
      </c>
      <c r="AD33" s="1" t="n">
        <f aca="false">U33*(Slot1_Cost-Z33)</f>
        <v>0</v>
      </c>
      <c r="AE33" s="1" t="n">
        <f aca="false">HE32</f>
        <v>0</v>
      </c>
      <c r="AF33" s="1" t="n">
        <f aca="false">IF(AND(Slot2_On=1,D33=Slot2_Age),1,0)</f>
        <v>0</v>
      </c>
      <c r="AG33" s="1" t="n">
        <f aca="false">IF(AND(Slot2_On=1,Slot2_Age&gt;D33),1,0)</f>
        <v>0</v>
      </c>
      <c r="AH33" s="1" t="n">
        <f aca="false">HJ32</f>
        <v>0</v>
      </c>
      <c r="AI33" s="1" t="n">
        <f aca="false">AF33*MIN(Slot2_Cost,AH33)</f>
        <v>0</v>
      </c>
      <c r="AJ33" s="1" t="n">
        <f aca="false">AF33*Slot2_SpendLike*MIN(Slot2_Cost-AI33,AA33)</f>
        <v>0</v>
      </c>
      <c r="AK33" s="1" t="n">
        <f aca="false">AI33+AJ33</f>
        <v>0</v>
      </c>
      <c r="AL33" s="1" t="n">
        <f aca="false">AA33-AJ33+AF33*IF(Slot2_SpendLike=1,AH33-AI33,IF(Slot2_PotFree=1,AH33,0))</f>
        <v>0</v>
      </c>
      <c r="AM33" s="1" t="n">
        <f aca="false">AB33+AF33*Slot2_BufPot*AH33</f>
        <v>0</v>
      </c>
      <c r="AN33" s="1" t="n">
        <f aca="false">IF(AND(AF33=1,Slot2_IsMfree=1),IF(AK33&gt;=Slot2_Cost-1,0,MAX(0,AC33-AK33)),AC33)</f>
        <v>0</v>
      </c>
      <c r="AO33" s="1" t="n">
        <f aca="false">AF33*(Slot2_Cost-AK33)</f>
        <v>0</v>
      </c>
      <c r="AP33" s="1" t="n">
        <f aca="false">IF(AND(Slot3_On=1,D33=Slot3_Age),1,0)</f>
        <v>0</v>
      </c>
      <c r="AQ33" s="1" t="n">
        <f aca="false">IF(AND(Slot3_On=1,Slot3_Age&gt;D33),1,0)</f>
        <v>0</v>
      </c>
      <c r="AR33" s="1" t="n">
        <f aca="false">HN32</f>
        <v>0</v>
      </c>
      <c r="AS33" s="1" t="n">
        <f aca="false">AP33*MIN(Slot3_Cost,AR33)</f>
        <v>0</v>
      </c>
      <c r="AT33" s="1" t="n">
        <f aca="false">AP33*Slot3_SpendLike*MIN(Slot3_Cost-AS33,AL33)</f>
        <v>0</v>
      </c>
      <c r="AU33" s="1" t="n">
        <f aca="false">AS33+AT33</f>
        <v>0</v>
      </c>
      <c r="AV33" s="1" t="n">
        <f aca="false">AL33-AT33+AP33*IF(Slot3_SpendLike=1,AR33-AS33,IF(Slot3_PotFree=1,AR33,0))</f>
        <v>0</v>
      </c>
      <c r="AW33" s="1" t="n">
        <f aca="false">AM33+AP33*Slot3_BufPot*AR33</f>
        <v>0</v>
      </c>
      <c r="AX33" s="1" t="n">
        <f aca="false">IF(AND(AP33=1,Slot3_IsMfree=1),IF(AU33&gt;=Slot3_Cost-1,0,MAX(0,AN33-AU33)),AN33)</f>
        <v>0</v>
      </c>
      <c r="AY33" s="1" t="n">
        <f aca="false">AP33*(Slot3_Cost-AU33)</f>
        <v>0</v>
      </c>
      <c r="AZ33" s="1" t="n">
        <f aca="false">IF(AND(Slot4_On=1,D33=Slot4_Age),1,0)</f>
        <v>0</v>
      </c>
      <c r="BA33" s="1" t="n">
        <f aca="false">IF(AND(Slot4_On=1,Slot4_Age&gt;D33),1,0)</f>
        <v>0</v>
      </c>
      <c r="BB33" s="1" t="n">
        <f aca="false">HR32</f>
        <v>0</v>
      </c>
      <c r="BC33" s="1" t="n">
        <f aca="false">AZ33*MIN(Slot4_Cost,BB33)</f>
        <v>0</v>
      </c>
      <c r="BD33" s="1" t="n">
        <f aca="false">AZ33*Slot4_SpendLike*MIN(Slot4_Cost-BC33,AV33)</f>
        <v>0</v>
      </c>
      <c r="BE33" s="1" t="n">
        <f aca="false">BC33+BD33</f>
        <v>0</v>
      </c>
      <c r="BF33" s="1" t="n">
        <f aca="false">AV33-BD33+AZ33*IF(Slot4_SpendLike=1,BB33-BC33,IF(Slot4_PotFree=1,BB33,0))</f>
        <v>0</v>
      </c>
      <c r="BG33" s="1" t="n">
        <f aca="false">AW33+AZ33*Slot4_BufPot*BB33</f>
        <v>0</v>
      </c>
      <c r="BH33" s="1" t="n">
        <f aca="false">IF(AND(AZ33=1,Slot4_IsMfree=1),IF(BE33&gt;=Slot4_Cost-1,0,MAX(0,AX33-BE33)),AX33)</f>
        <v>0</v>
      </c>
      <c r="BI33" s="1" t="n">
        <f aca="false">AZ33*(Slot4_Cost-BE33)</f>
        <v>0</v>
      </c>
      <c r="BJ33" s="1" t="n">
        <f aca="false">IF(AND(Slot5_On=1,D33=Slot5_Age),1,0)</f>
        <v>0</v>
      </c>
      <c r="BK33" s="1" t="n">
        <f aca="false">IF(AND(Slot5_On=1,Slot5_Age&gt;D33),1,0)</f>
        <v>0</v>
      </c>
      <c r="BL33" s="1" t="n">
        <f aca="false">HV32</f>
        <v>0</v>
      </c>
      <c r="BM33" s="1" t="n">
        <f aca="false">BJ33*MIN(Slot5_Cost,BL33)</f>
        <v>0</v>
      </c>
      <c r="BN33" s="1" t="n">
        <f aca="false">BJ33*Slot5_SpendLike*MIN(Slot5_Cost-BM33,BF33)</f>
        <v>0</v>
      </c>
      <c r="BO33" s="1" t="n">
        <f aca="false">BM33+BN33</f>
        <v>0</v>
      </c>
      <c r="BP33" s="1" t="n">
        <f aca="false">BF33-BN33+BJ33*IF(Slot5_SpendLike=1,BL33-BM33,IF(Slot5_PotFree=1,BL33,0))</f>
        <v>0</v>
      </c>
      <c r="BQ33" s="1" t="n">
        <f aca="false">BG33+BJ33*Slot5_BufPot*BL33</f>
        <v>0</v>
      </c>
      <c r="BR33" s="1" t="n">
        <f aca="false">IF(AND(BJ33=1,Slot5_IsMfree=1),IF(BO33&gt;=Slot5_Cost-1,0,MAX(0,BH33-BO33)),BH33)</f>
        <v>0</v>
      </c>
      <c r="BS33" s="1" t="n">
        <f aca="false">BJ33*(Slot5_Cost-BO33)</f>
        <v>0</v>
      </c>
      <c r="BT33" s="1" t="n">
        <f aca="false">IF(AND(Slot6_On=1,D33=Slot6_Age),1,0)</f>
        <v>0</v>
      </c>
      <c r="BU33" s="1" t="n">
        <f aca="false">IF(AND(Slot6_On=1,Slot6_Age&gt;D33),1,0)</f>
        <v>0</v>
      </c>
      <c r="BV33" s="1" t="n">
        <f aca="false">HZ32</f>
        <v>0</v>
      </c>
      <c r="BW33" s="1" t="n">
        <f aca="false">BT33*MIN(Slot6_Cost,BV33)</f>
        <v>0</v>
      </c>
      <c r="BX33" s="1" t="n">
        <f aca="false">BT33*Slot6_SpendLike*MIN(Slot6_Cost-BW33,BP33)</f>
        <v>0</v>
      </c>
      <c r="BY33" s="1" t="n">
        <f aca="false">BW33+BX33</f>
        <v>0</v>
      </c>
      <c r="BZ33" s="1" t="n">
        <f aca="false">BP33-BX33+BT33*IF(Slot6_SpendLike=1,BV33-BW33,IF(Slot6_PotFree=1,BV33,0))</f>
        <v>0</v>
      </c>
      <c r="CA33" s="1" t="n">
        <f aca="false">BQ33+BT33*Slot6_BufPot*BV33</f>
        <v>0</v>
      </c>
      <c r="CB33" s="1" t="n">
        <f aca="false">IF(AND(BT33=1,Slot6_IsMfree=1),IF(BY33&gt;=Slot6_Cost-1,0,MAX(0,BR33-BY33)),BR33)</f>
        <v>0</v>
      </c>
      <c r="CC33" s="1" t="n">
        <f aca="false">BT33*(Slot6_Cost-BY33)</f>
        <v>0</v>
      </c>
      <c r="CD33" s="1" t="n">
        <f aca="false">IF(AND(Slot7_On=1,D33=Slot7_Age),1,0)</f>
        <v>0</v>
      </c>
      <c r="CE33" s="1" t="n">
        <f aca="false">IF(AND(Slot7_On=1,Slot7_Age&gt;D33),1,0)</f>
        <v>0</v>
      </c>
      <c r="CF33" s="1" t="n">
        <f aca="false">ID32</f>
        <v>0</v>
      </c>
      <c r="CG33" s="1" t="n">
        <f aca="false">CD33*MIN(Slot7_Cost,CF33)</f>
        <v>0</v>
      </c>
      <c r="CH33" s="1" t="n">
        <f aca="false">CD33*Slot7_SpendLike*MIN(Slot7_Cost-CG33,BZ33)</f>
        <v>0</v>
      </c>
      <c r="CI33" s="1" t="n">
        <f aca="false">CG33+CH33</f>
        <v>0</v>
      </c>
      <c r="CJ33" s="1" t="n">
        <f aca="false">BZ33-CH33+CD33*IF(Slot7_SpendLike=1,CF33-CG33,IF(Slot7_PotFree=1,CF33,0))</f>
        <v>0</v>
      </c>
      <c r="CK33" s="1" t="n">
        <f aca="false">CA33+CD33*Slot7_BufPot*CF33</f>
        <v>0</v>
      </c>
      <c r="CL33" s="1" t="n">
        <f aca="false">IF(AND(CD33=1,Slot7_IsMfree=1),IF(CI33&gt;=Slot7_Cost-1,0,MAX(0,CB33-CI33)),CB33)</f>
        <v>0</v>
      </c>
      <c r="CM33" s="1" t="n">
        <f aca="false">CD33*(Slot7_Cost-CI33)</f>
        <v>0</v>
      </c>
      <c r="CN33" s="1" t="n">
        <f aca="false">IF(AND(Slot8_On=1,D33=Slot8_Age),1,0)</f>
        <v>0</v>
      </c>
      <c r="CO33" s="1" t="n">
        <f aca="false">IF(AND(Slot8_On=1,Slot8_Age&gt;D33),1,0)</f>
        <v>0</v>
      </c>
      <c r="CP33" s="1" t="n">
        <f aca="false">IH32</f>
        <v>0</v>
      </c>
      <c r="CQ33" s="1" t="n">
        <f aca="false">CN33*MIN(Slot8_Cost,CP33)</f>
        <v>0</v>
      </c>
      <c r="CR33" s="1" t="n">
        <f aca="false">CN33*Slot8_SpendLike*MIN(Slot8_Cost-CQ33,CJ33)</f>
        <v>0</v>
      </c>
      <c r="CS33" s="1" t="n">
        <f aca="false">CQ33+CR33</f>
        <v>0</v>
      </c>
      <c r="CT33" s="1" t="n">
        <f aca="false">CJ33-CR33+CN33*IF(Slot8_SpendLike=1,CP33-CQ33,IF(Slot8_PotFree=1,CP33,0))</f>
        <v>0</v>
      </c>
      <c r="CU33" s="1" t="n">
        <f aca="false">CK33+CN33*Slot8_BufPot*CP33</f>
        <v>0</v>
      </c>
      <c r="CV33" s="1" t="n">
        <f aca="false">IF(AND(CN33=1,Slot8_IsMfree=1),IF(CS33&gt;=Slot8_Cost-1,0,MAX(0,CL33-CS33)),CL33)</f>
        <v>0</v>
      </c>
      <c r="CW33" s="1" t="n">
        <f aca="false">CN33*(Slot8_Cost-CS33)</f>
        <v>0</v>
      </c>
      <c r="CX33" s="1" t="n">
        <f aca="false">U33*Slot1_SpendLike*Z33+AF33*Slot2_SpendLike*AK33+AP33*Slot3_SpendLike*AU33+AZ33*Slot4_SpendLike*BE33+BJ33*Slot5_SpendLike*BO33+BT33*Slot6_SpendLike*BY33+CD33*Slot7_SpendLike*CI33+CN33*Slot8_SpendLike*CS33</f>
        <v>0</v>
      </c>
      <c r="CY33" s="1" t="n">
        <f aca="false">AD33+AO33+AY33+BI33+BS33+CC33+CM33+CW33</f>
        <v>0</v>
      </c>
      <c r="CZ33" s="1" t="n">
        <f aca="false">U33*Slot1_Cost+AF33*Slot2_Cost+AP33*Slot3_Cost+AZ33*Slot4_Cost+BJ33*Slot5_Cost+BT33*Slot6_Cost+CD33*Slot7_Cost+CN33*Slot8_Cost</f>
        <v>0</v>
      </c>
      <c r="DA33" s="1" t="n">
        <f aca="false">CV33</f>
        <v>0</v>
      </c>
      <c r="DB33" s="1" t="n">
        <f aca="false">G33-H33-R33</f>
        <v>0</v>
      </c>
      <c r="DC33" s="1" t="n">
        <f aca="false">IF(B33=0,IF(AND(Has_q6=1,In_q6=4),PR_ShareVaries*(MAX(0,DB33)/12),MIN(IF(Has_q6=1,CHOOSE(In_q6+1,PR_SaveB1,PR_SaveB2,PR_SaveB3,PR_SaveB4,0),AS_NoAnswer),AS_SaveShare*(MAX(0,DB33)/12))),DC32)</f>
        <v>0</v>
      </c>
      <c r="DD33" s="1" t="n">
        <f aca="false">IF(DB33&gt;=0,1,0)</f>
        <v>1</v>
      </c>
      <c r="DE33" s="1" t="n">
        <f aca="false">MAX(0,DB33/12/E33)</f>
        <v>0</v>
      </c>
      <c r="DF33" s="1" t="n">
        <f aca="false">IF(AND(Has_q6=1,In_q6=4),PR_ShareVaries*(DE33),MIN(IF(Has_q6=1,CHOOSE(In_q6+1,PR_SaveB1,PR_SaveB2,PR_SaveB3,PR_SaveB4,0),AS_NoAnswer),AS_SaveShare*(DE33)))</f>
        <v>0</v>
      </c>
      <c r="DG33" s="1" t="n">
        <f aca="false">IF(Has_saveM=1,IF(In_saveUp="Yes",1,IF(In_saveUp="No",0,IF(In_saveM&gt;=DC33-0.5,1,0))),0)</f>
        <v>0</v>
      </c>
      <c r="DH33" s="1" t="n">
        <f aca="false">IF(Has_saveM=1,MIN(DE33,IF(DG33=1,MAX(In_saveM,DF33),MIN(In_saveM,DF33))),DF33)</f>
        <v>0</v>
      </c>
      <c r="DI33" s="1" t="n">
        <f aca="false">IF(F33=1,DH33*12*E33,0)</f>
        <v>0</v>
      </c>
      <c r="DJ33" s="1" t="n">
        <f aca="false">MAX(0,DI33+IF(AND(WI_Retire=0,WI_M&lt;0,F33=1),WI_M*12*E33,0))</f>
        <v>0</v>
      </c>
      <c r="DK33" s="1" t="n">
        <f aca="false">Slot1_IsWG*V33+Slot2_IsWG*AG33+Slot3_IsWG*AQ33+Slot4_IsWG*BA33+Slot5_IsWG*BK33+Slot6_IsWG*BU33+Slot7_IsWG*CE33+Slot8_IsWG*CO33</f>
        <v>0</v>
      </c>
      <c r="DL33" s="1" t="n">
        <f aca="false">IF(AND(WI_Retire=0,WI_M&gt;0,F33=1,DK33&gt;=1),WI_M*12*E33,0)</f>
        <v>0</v>
      </c>
      <c r="DM33" s="1" t="n">
        <f aca="false">IF(DD33=1,MIN(DJ33,DB33),0)</f>
        <v>0</v>
      </c>
      <c r="DN33" s="1" t="n">
        <f aca="false">IF(DD33=1,MIN(DL33,DB33-DM33),0)</f>
        <v>0</v>
      </c>
      <c r="DO33" s="1" t="n">
        <f aca="false">IF(V33=1,IF(ABS((1+AS_Wage)/(1+Slot1_Rate)-1)&lt;0.000000000001,(Slot1_Age-D33)*(1+Slot1_Rate)^(Slot1_Age-D33),(1+Slot1_Rate)^(Slot1_Age-D33)*(1-((1+AS_Wage)/(1+Slot1_Rate))^(Slot1_Age-D33))/(1-(1+AS_Wage)/(1+Slot1_Rate))),1)</f>
        <v>1</v>
      </c>
      <c r="DP33" s="1" t="n">
        <f aca="false">IF(AND(DD33=1,DN33&gt;0,Slot1_IsWG=1,V33=1),MAX(0,(Slot1_Cost-W33*(1+Slot1_Rate)^(Slot1_Age-D33))/DO33),0)</f>
        <v>0</v>
      </c>
      <c r="DQ33" s="1" t="n">
        <f aca="false">IF(AND(DD33=1,DN33&gt;0,Slot1_IsWG=1,V33=1),MIN(DN33,DP33),0)</f>
        <v>0</v>
      </c>
      <c r="DR33" s="1" t="n">
        <f aca="false">W33+DQ33</f>
        <v>0</v>
      </c>
      <c r="DS33" s="1" t="n">
        <f aca="false">IF(V33=1,MAX(0,(Slot1_Cost-DR33*(1+Slot1_Rate)^(Slot1_Age-D33))/DO33),0)</f>
        <v>0</v>
      </c>
      <c r="DT33" s="1" t="n">
        <f aca="false">IF(V33=1,MAX(0,(Slot1_Cost-W33*(1+Slot1_Rate)^(Slot1_Age-D33))/DO33),0)</f>
        <v>0</v>
      </c>
      <c r="DU33" s="1" t="n">
        <f aca="false">IF(AND(DD33=1,V33=1),MIN(DM33,DS33),0)</f>
        <v>0</v>
      </c>
      <c r="DV33" s="1" t="n">
        <f aca="false">DM33-DU33</f>
        <v>0</v>
      </c>
      <c r="DW33" s="1" t="n">
        <f aca="false">IF(AG33=1,IF(ABS((1+AS_Wage)/(1+Slot2_Rate)-1)&lt;0.000000000001,(Slot2_Age-D33)*(1+Slot2_Rate)^(Slot2_Age-D33),(1+Slot2_Rate)^(Slot2_Age-D33)*(1-((1+AS_Wage)/(1+Slot2_Rate))^(Slot2_Age-D33))/(1-(1+AS_Wage)/(1+Slot2_Rate))),1)</f>
        <v>1</v>
      </c>
      <c r="DX33" s="1" t="n">
        <f aca="false">IF(AND(DD33=1,DN33&gt;0,Slot2_IsWG=1,AG33=1),MAX(0,(Slot2_Cost-AH33*(1+Slot2_Rate)^(Slot2_Age-D33))/DW33),0)</f>
        <v>0</v>
      </c>
      <c r="DY33" s="1" t="n">
        <f aca="false">IF(AND(DD33=1,DN33&gt;0,Slot2_IsWG=1,AG33=1),MIN(DN33,DX33),0)</f>
        <v>0</v>
      </c>
      <c r="DZ33" s="1" t="n">
        <f aca="false">AH33+DY33</f>
        <v>0</v>
      </c>
      <c r="EA33" s="1" t="n">
        <f aca="false">IF(AG33=1,MAX(0,(Slot2_Cost-DZ33*(1+Slot2_Rate)^(Slot2_Age-D33))/DW33),0)</f>
        <v>0</v>
      </c>
      <c r="EB33" s="1" t="n">
        <f aca="false">IF(AG33=1,MAX(0,(Slot2_Cost-AH33*(1+Slot2_Rate)^(Slot2_Age-D33))/DW33),0)</f>
        <v>0</v>
      </c>
      <c r="EC33" s="1" t="n">
        <f aca="false">IF(AND(DD33=1,AG33=1),MIN(DV33,EA33),0)</f>
        <v>0</v>
      </c>
      <c r="ED33" s="1" t="n">
        <f aca="false">DV33-EC33</f>
        <v>0</v>
      </c>
      <c r="EE33" s="1" t="n">
        <f aca="false">IF(AQ33=1,IF(ABS((1+AS_Wage)/(1+Slot3_Rate)-1)&lt;0.000000000001,(Slot3_Age-D33)*(1+Slot3_Rate)^(Slot3_Age-D33),(1+Slot3_Rate)^(Slot3_Age-D33)*(1-((1+AS_Wage)/(1+Slot3_Rate))^(Slot3_Age-D33))/(1-(1+AS_Wage)/(1+Slot3_Rate))),1)</f>
        <v>1</v>
      </c>
      <c r="EF33" s="1" t="n">
        <f aca="false">IF(AND(DD33=1,DN33&gt;0,Slot3_IsWG=1,AQ33=1),MAX(0,(Slot3_Cost-AR33*(1+Slot3_Rate)^(Slot3_Age-D33))/EE33),0)</f>
        <v>0</v>
      </c>
      <c r="EG33" s="1" t="n">
        <f aca="false">IF(AND(DD33=1,DN33&gt;0,Slot3_IsWG=1,AQ33=1),MIN(DN33,EF33),0)</f>
        <v>0</v>
      </c>
      <c r="EH33" s="1" t="n">
        <f aca="false">AR33+EG33</f>
        <v>0</v>
      </c>
      <c r="EI33" s="1" t="n">
        <f aca="false">IF(AQ33=1,MAX(0,(Slot3_Cost-EH33*(1+Slot3_Rate)^(Slot3_Age-D33))/EE33),0)</f>
        <v>0</v>
      </c>
      <c r="EJ33" s="1" t="n">
        <f aca="false">IF(AQ33=1,MAX(0,(Slot3_Cost-AR33*(1+Slot3_Rate)^(Slot3_Age-D33))/EE33),0)</f>
        <v>0</v>
      </c>
      <c r="EK33" s="1" t="n">
        <f aca="false">IF(AND(DD33=1,AQ33=1),MIN(ED33,EI33),0)</f>
        <v>0</v>
      </c>
      <c r="EL33" s="1" t="n">
        <f aca="false">ED33-EK33</f>
        <v>0</v>
      </c>
      <c r="EM33" s="1" t="n">
        <f aca="false">IF(BA33=1,IF(ABS((1+AS_Wage)/(1+Slot4_Rate)-1)&lt;0.000000000001,(Slot4_Age-D33)*(1+Slot4_Rate)^(Slot4_Age-D33),(1+Slot4_Rate)^(Slot4_Age-D33)*(1-((1+AS_Wage)/(1+Slot4_Rate))^(Slot4_Age-D33))/(1-(1+AS_Wage)/(1+Slot4_Rate))),1)</f>
        <v>1</v>
      </c>
      <c r="EN33" s="1" t="n">
        <f aca="false">IF(AND(DD33=1,DN33&gt;0,Slot4_IsWG=1,BA33=1),MAX(0,(Slot4_Cost-BB33*(1+Slot4_Rate)^(Slot4_Age-D33))/EM33),0)</f>
        <v>0</v>
      </c>
      <c r="EO33" s="1" t="n">
        <f aca="false">IF(AND(DD33=1,DN33&gt;0,Slot4_IsWG=1,BA33=1),MIN(DN33,EN33),0)</f>
        <v>0</v>
      </c>
      <c r="EP33" s="1" t="n">
        <f aca="false">BB33+EO33</f>
        <v>0</v>
      </c>
      <c r="EQ33" s="1" t="n">
        <f aca="false">IF(BA33=1,MAX(0,(Slot4_Cost-EP33*(1+Slot4_Rate)^(Slot4_Age-D33))/EM33),0)</f>
        <v>0</v>
      </c>
      <c r="ER33" s="1" t="n">
        <f aca="false">IF(BA33=1,MAX(0,(Slot4_Cost-BB33*(1+Slot4_Rate)^(Slot4_Age-D33))/EM33),0)</f>
        <v>0</v>
      </c>
      <c r="ES33" s="1" t="n">
        <f aca="false">IF(AND(DD33=1,BA33=1),MIN(EL33,EQ33),0)</f>
        <v>0</v>
      </c>
      <c r="ET33" s="1" t="n">
        <f aca="false">EL33-ES33</f>
        <v>0</v>
      </c>
      <c r="EU33" s="1" t="n">
        <f aca="false">IF(BK33=1,IF(ABS((1+AS_Wage)/(1+Slot5_Rate)-1)&lt;0.000000000001,(Slot5_Age-D33)*(1+Slot5_Rate)^(Slot5_Age-D33),(1+Slot5_Rate)^(Slot5_Age-D33)*(1-((1+AS_Wage)/(1+Slot5_Rate))^(Slot5_Age-D33))/(1-(1+AS_Wage)/(1+Slot5_Rate))),1)</f>
        <v>1</v>
      </c>
      <c r="EV33" s="1" t="n">
        <f aca="false">IF(AND(DD33=1,DN33&gt;0,Slot5_IsWG=1,BK33=1),MAX(0,(Slot5_Cost-BL33*(1+Slot5_Rate)^(Slot5_Age-D33))/EU33),0)</f>
        <v>0</v>
      </c>
      <c r="EW33" s="1" t="n">
        <f aca="false">IF(AND(DD33=1,DN33&gt;0,Slot5_IsWG=1,BK33=1),MIN(DN33,EV33),0)</f>
        <v>0</v>
      </c>
      <c r="EX33" s="1" t="n">
        <f aca="false">BL33+EW33</f>
        <v>0</v>
      </c>
      <c r="EY33" s="1" t="n">
        <f aca="false">IF(BK33=1,MAX(0,(Slot5_Cost-EX33*(1+Slot5_Rate)^(Slot5_Age-D33))/EU33),0)</f>
        <v>0</v>
      </c>
      <c r="EZ33" s="1" t="n">
        <f aca="false">IF(BK33=1,MAX(0,(Slot5_Cost-BL33*(1+Slot5_Rate)^(Slot5_Age-D33))/EU33),0)</f>
        <v>0</v>
      </c>
      <c r="FA33" s="1" t="n">
        <f aca="false">IF(AND(DD33=1,BK33=1),MIN(ET33,EY33),0)</f>
        <v>0</v>
      </c>
      <c r="FB33" s="1" t="n">
        <f aca="false">ET33-FA33</f>
        <v>0</v>
      </c>
      <c r="FC33" s="1" t="n">
        <f aca="false">IF(BU33=1,IF(ABS((1+AS_Wage)/(1+Slot6_Rate)-1)&lt;0.000000000001,(Slot6_Age-D33)*(1+Slot6_Rate)^(Slot6_Age-D33),(1+Slot6_Rate)^(Slot6_Age-D33)*(1-((1+AS_Wage)/(1+Slot6_Rate))^(Slot6_Age-D33))/(1-(1+AS_Wage)/(1+Slot6_Rate))),1)</f>
        <v>1</v>
      </c>
      <c r="FD33" s="1" t="n">
        <f aca="false">IF(AND(DD33=1,DN33&gt;0,Slot6_IsWG=1,BU33=1),MAX(0,(Slot6_Cost-BV33*(1+Slot6_Rate)^(Slot6_Age-D33))/FC33),0)</f>
        <v>0</v>
      </c>
      <c r="FE33" s="1" t="n">
        <f aca="false">IF(AND(DD33=1,DN33&gt;0,Slot6_IsWG=1,BU33=1),MIN(DN33,FD33),0)</f>
        <v>0</v>
      </c>
      <c r="FF33" s="1" t="n">
        <f aca="false">BV33+FE33</f>
        <v>0</v>
      </c>
      <c r="FG33" s="1" t="n">
        <f aca="false">IF(BU33=1,MAX(0,(Slot6_Cost-FF33*(1+Slot6_Rate)^(Slot6_Age-D33))/FC33),0)</f>
        <v>0</v>
      </c>
      <c r="FH33" s="1" t="n">
        <f aca="false">IF(BU33=1,MAX(0,(Slot6_Cost-BV33*(1+Slot6_Rate)^(Slot6_Age-D33))/FC33),0)</f>
        <v>0</v>
      </c>
      <c r="FI33" s="1" t="n">
        <f aca="false">IF(AND(DD33=1,BU33=1),MIN(FB33,FG33),0)</f>
        <v>0</v>
      </c>
      <c r="FJ33" s="1" t="n">
        <f aca="false">FB33-FI33</f>
        <v>0</v>
      </c>
      <c r="FK33" s="1" t="n">
        <f aca="false">IF(CE33=1,IF(ABS((1+AS_Wage)/(1+Slot7_Rate)-1)&lt;0.000000000001,(Slot7_Age-D33)*(1+Slot7_Rate)^(Slot7_Age-D33),(1+Slot7_Rate)^(Slot7_Age-D33)*(1-((1+AS_Wage)/(1+Slot7_Rate))^(Slot7_Age-D33))/(1-(1+AS_Wage)/(1+Slot7_Rate))),1)</f>
        <v>1</v>
      </c>
      <c r="FL33" s="1" t="n">
        <f aca="false">IF(AND(DD33=1,DN33&gt;0,Slot7_IsWG=1,CE33=1),MAX(0,(Slot7_Cost-CF33*(1+Slot7_Rate)^(Slot7_Age-D33))/FK33),0)</f>
        <v>0</v>
      </c>
      <c r="FM33" s="1" t="n">
        <f aca="false">IF(AND(DD33=1,DN33&gt;0,Slot7_IsWG=1,CE33=1),MIN(DN33,FL33),0)</f>
        <v>0</v>
      </c>
      <c r="FN33" s="1" t="n">
        <f aca="false">CF33+FM33</f>
        <v>0</v>
      </c>
      <c r="FO33" s="1" t="n">
        <f aca="false">IF(CE33=1,MAX(0,(Slot7_Cost-FN33*(1+Slot7_Rate)^(Slot7_Age-D33))/FK33),0)</f>
        <v>0</v>
      </c>
      <c r="FP33" s="1" t="n">
        <f aca="false">IF(CE33=1,MAX(0,(Slot7_Cost-CF33*(1+Slot7_Rate)^(Slot7_Age-D33))/FK33),0)</f>
        <v>0</v>
      </c>
      <c r="FQ33" s="1" t="n">
        <f aca="false">IF(AND(DD33=1,CE33=1),MIN(FJ33,FO33),0)</f>
        <v>0</v>
      </c>
      <c r="FR33" s="1" t="n">
        <f aca="false">FJ33-FQ33</f>
        <v>0</v>
      </c>
      <c r="FS33" s="1" t="n">
        <f aca="false">IF(CO33=1,IF(ABS((1+AS_Wage)/(1+Slot8_Rate)-1)&lt;0.000000000001,(Slot8_Age-D33)*(1+Slot8_Rate)^(Slot8_Age-D33),(1+Slot8_Rate)^(Slot8_Age-D33)*(1-((1+AS_Wage)/(1+Slot8_Rate))^(Slot8_Age-D33))/(1-(1+AS_Wage)/(1+Slot8_Rate))),1)</f>
        <v>1</v>
      </c>
      <c r="FT33" s="1" t="n">
        <f aca="false">IF(AND(DD33=1,DN33&gt;0,Slot8_IsWG=1,CO33=1),MAX(0,(Slot8_Cost-CP33*(1+Slot8_Rate)^(Slot8_Age-D33))/FS33),0)</f>
        <v>0</v>
      </c>
      <c r="FU33" s="1" t="n">
        <f aca="false">IF(AND(DD33=1,DN33&gt;0,Slot8_IsWG=1,CO33=1),MIN(DN33,FT33),0)</f>
        <v>0</v>
      </c>
      <c r="FV33" s="1" t="n">
        <f aca="false">CP33+FU33</f>
        <v>0</v>
      </c>
      <c r="FW33" s="1" t="n">
        <f aca="false">IF(CO33=1,MAX(0,(Slot8_Cost-FV33*(1+Slot8_Rate)^(Slot8_Age-D33))/FS33),0)</f>
        <v>0</v>
      </c>
      <c r="FX33" s="1" t="n">
        <f aca="false">IF(CO33=1,MAX(0,(Slot8_Cost-CP33*(1+Slot8_Rate)^(Slot8_Age-D33))/FS33),0)</f>
        <v>0</v>
      </c>
      <c r="FY33" s="1" t="n">
        <f aca="false">IF(AND(DD33=1,CO33=1),MIN(FR33,FW33),0)</f>
        <v>0</v>
      </c>
      <c r="FZ33" s="1" t="n">
        <f aca="false">FR33-FY33</f>
        <v>0</v>
      </c>
      <c r="GA33" s="1" t="n">
        <f aca="false">DN33-(DQ33+DY33+EG33+EO33+EW33+FE33+FM33+FU33)</f>
        <v>0</v>
      </c>
      <c r="GB33" s="1" t="n">
        <f aca="false">IF(DD33=1,DB33-DM33-DN33,0)</f>
        <v>0</v>
      </c>
      <c r="GC33" s="1" t="n">
        <f aca="false">IF(DD33=0,-DB33,0)</f>
        <v>0</v>
      </c>
      <c r="GD33" s="1" t="n">
        <f aca="false">MIN(GC33,CT33)</f>
        <v>0</v>
      </c>
      <c r="GE33" s="1" t="n">
        <f aca="false">GC33-GD33</f>
        <v>0</v>
      </c>
      <c r="GF33" s="1" t="n">
        <f aca="false">MIN(GE33,CU33)</f>
        <v>0</v>
      </c>
      <c r="GG33" s="1" t="n">
        <f aca="false">GE33-GF33</f>
        <v>0</v>
      </c>
      <c r="GH33" s="1" t="n">
        <f aca="false">IF(AND(DD33=0,CO33=1,GG33&gt;0),MIN(GG33,CP33),0)</f>
        <v>0</v>
      </c>
      <c r="GI33" s="1" t="n">
        <f aca="false">GG33-GH33</f>
        <v>0</v>
      </c>
      <c r="GJ33" s="1" t="n">
        <f aca="false">IF(AND(DD33=0,CE33=1,GI33&gt;0),MIN(GI33,CF33),0)</f>
        <v>0</v>
      </c>
      <c r="GK33" s="1" t="n">
        <f aca="false">GI33-GJ33</f>
        <v>0</v>
      </c>
      <c r="GL33" s="1" t="n">
        <f aca="false">IF(AND(DD33=0,BU33=1,GK33&gt;0),MIN(GK33,BV33),0)</f>
        <v>0</v>
      </c>
      <c r="GM33" s="1" t="n">
        <f aca="false">GK33-GL33</f>
        <v>0</v>
      </c>
      <c r="GN33" s="1" t="n">
        <f aca="false">IF(AND(DD33=0,BK33=1,GM33&gt;0),MIN(GM33,BL33),0)</f>
        <v>0</v>
      </c>
      <c r="GO33" s="1" t="n">
        <f aca="false">GM33-GN33</f>
        <v>0</v>
      </c>
      <c r="GP33" s="1" t="n">
        <f aca="false">IF(AND(DD33=0,BA33=1,GO33&gt;0),MIN(GO33,BB33),0)</f>
        <v>0</v>
      </c>
      <c r="GQ33" s="1" t="n">
        <f aca="false">GO33-GP33</f>
        <v>0</v>
      </c>
      <c r="GR33" s="1" t="n">
        <f aca="false">IF(AND(DD33=0,AQ33=1,GQ33&gt;0),MIN(GQ33,AR33),0)</f>
        <v>0</v>
      </c>
      <c r="GS33" s="1" t="n">
        <f aca="false">GQ33-GR33</f>
        <v>0</v>
      </c>
      <c r="GT33" s="1" t="n">
        <f aca="false">IF(AND(DD33=0,AG33=1,GS33&gt;0),MIN(GS33,AH33),0)</f>
        <v>0</v>
      </c>
      <c r="GU33" s="1" t="n">
        <f aca="false">GS33-GT33</f>
        <v>0</v>
      </c>
      <c r="GV33" s="1" t="n">
        <f aca="false">IF(AND(DD33=0,V33=1,GU33&gt;0),MIN(GU33,W33),0)</f>
        <v>0</v>
      </c>
      <c r="GW33" s="1" t="n">
        <f aca="false">GU33-GV33</f>
        <v>0</v>
      </c>
      <c r="GX33" s="1" t="n">
        <f aca="false">IF(DD33=0,GW33,0)</f>
        <v>0</v>
      </c>
      <c r="GY33" s="1" t="n">
        <f aca="false">GD33+GF33+GV33+GT33+GR33+GP33+GN33+GL33+GJ33+GH33</f>
        <v>0</v>
      </c>
      <c r="GZ33" s="1" t="n">
        <f aca="false">IF(DD33=1,CT33+GA33+FZ33+IF(F33=1,0,GB33),CT33-GD33)</f>
        <v>0</v>
      </c>
      <c r="HA33" s="1" t="n">
        <f aca="false">CU33-GF33</f>
        <v>0</v>
      </c>
      <c r="HB33" s="1" t="n">
        <f aca="false">IF(DD33=1,IF(F33=1,DM33+DN33,DB33),0)</f>
        <v>0</v>
      </c>
      <c r="HC33" s="1" t="n">
        <f aca="false">IF(DD33=1,IF(F33=1,DB33-DM33-DN33,0),0)</f>
        <v>0</v>
      </c>
      <c r="HD33" s="1" t="n">
        <f aca="false">GZ33*(1+GR)</f>
        <v>0</v>
      </c>
      <c r="HE33" s="1" t="n">
        <f aca="false">HA33*(1+AS_Cash)</f>
        <v>0</v>
      </c>
      <c r="HF33" s="1" t="n">
        <f aca="false">IF(V33=1,IF(DD33=1,DR33+DU33,W33-GV33)*(1+Slot1_Rate),0)</f>
        <v>0</v>
      </c>
      <c r="HG33" s="1" t="n">
        <f aca="false">IF(AND(DD33=1,V33=1),(DQ33+DU33)/E33,0)</f>
        <v>0</v>
      </c>
      <c r="HH33" s="1" t="n">
        <f aca="false">IF(B33=0,DQ33+DU33,0)</f>
        <v>0</v>
      </c>
      <c r="HI33" s="1" t="n">
        <f aca="false">IF(B33=0,IF(DD33=1,DS33,DT33),0)</f>
        <v>0</v>
      </c>
      <c r="HJ33" s="1" t="n">
        <f aca="false">IF(AG33=1,IF(DD33=1,DZ33+EC33,AH33-GT33)*(1+Slot2_Rate),0)</f>
        <v>0</v>
      </c>
      <c r="HK33" s="1" t="n">
        <f aca="false">IF(AND(DD33=1,AG33=1),(DY33+EC33)/E33,0)</f>
        <v>0</v>
      </c>
      <c r="HL33" s="1" t="n">
        <f aca="false">IF(B33=0,DY33+EC33,0)</f>
        <v>0</v>
      </c>
      <c r="HM33" s="1" t="n">
        <f aca="false">IF(B33=0,IF(DD33=1,EA33,EB33),0)</f>
        <v>0</v>
      </c>
      <c r="HN33" s="1" t="n">
        <f aca="false">IF(AQ33=1,IF(DD33=1,EH33+EK33,AR33-GR33)*(1+Slot3_Rate),0)</f>
        <v>0</v>
      </c>
      <c r="HO33" s="1" t="n">
        <f aca="false">IF(AND(DD33=1,AQ33=1),(EG33+EK33)/E33,0)</f>
        <v>0</v>
      </c>
      <c r="HP33" s="1" t="n">
        <f aca="false">IF(B33=0,EG33+EK33,0)</f>
        <v>0</v>
      </c>
      <c r="HQ33" s="1" t="n">
        <f aca="false">IF(B33=0,IF(DD33=1,EI33,EJ33),0)</f>
        <v>0</v>
      </c>
      <c r="HR33" s="1" t="n">
        <f aca="false">IF(BA33=1,IF(DD33=1,EP33+ES33,BB33-GP33)*(1+Slot4_Rate),0)</f>
        <v>0</v>
      </c>
      <c r="HS33" s="1" t="n">
        <f aca="false">IF(AND(DD33=1,BA33=1),(EO33+ES33)/E33,0)</f>
        <v>0</v>
      </c>
      <c r="HT33" s="1" t="n">
        <f aca="false">IF(B33=0,EO33+ES33,0)</f>
        <v>0</v>
      </c>
      <c r="HU33" s="1" t="n">
        <f aca="false">IF(B33=0,IF(DD33=1,EQ33,ER33),0)</f>
        <v>0</v>
      </c>
      <c r="HV33" s="1" t="n">
        <f aca="false">IF(BK33=1,IF(DD33=1,EX33+FA33,BL33-GN33)*(1+Slot5_Rate),0)</f>
        <v>0</v>
      </c>
      <c r="HW33" s="1" t="n">
        <f aca="false">IF(AND(DD33=1,BK33=1),(EW33+FA33)/E33,0)</f>
        <v>0</v>
      </c>
      <c r="HX33" s="1" t="n">
        <f aca="false">IF(B33=0,EW33+FA33,0)</f>
        <v>0</v>
      </c>
      <c r="HY33" s="1" t="n">
        <f aca="false">IF(B33=0,IF(DD33=1,EY33,EZ33),0)</f>
        <v>0</v>
      </c>
      <c r="HZ33" s="1" t="n">
        <f aca="false">IF(BU33=1,IF(DD33=1,FF33+FI33,BV33-GL33)*(1+Slot6_Rate),0)</f>
        <v>0</v>
      </c>
      <c r="IA33" s="1" t="n">
        <f aca="false">IF(AND(DD33=1,BU33=1),(FE33+FI33)/E33,0)</f>
        <v>0</v>
      </c>
      <c r="IB33" s="1" t="n">
        <f aca="false">IF(B33=0,FE33+FI33,0)</f>
        <v>0</v>
      </c>
      <c r="IC33" s="1" t="n">
        <f aca="false">IF(B33=0,IF(DD33=1,FG33,FH33),0)</f>
        <v>0</v>
      </c>
      <c r="ID33" s="1" t="n">
        <f aca="false">IF(CE33=1,IF(DD33=1,FN33+FQ33,CF33-GJ33)*(1+Slot7_Rate),0)</f>
        <v>0</v>
      </c>
      <c r="IE33" s="1" t="n">
        <f aca="false">IF(AND(DD33=1,CE33=1),(FM33+FQ33)/E33,0)</f>
        <v>0</v>
      </c>
      <c r="IF33" s="1" t="n">
        <f aca="false">IF(B33=0,FM33+FQ33,0)</f>
        <v>0</v>
      </c>
      <c r="IG33" s="1" t="n">
        <f aca="false">IF(B33=0,IF(DD33=1,FO33,FP33),0)</f>
        <v>0</v>
      </c>
      <c r="IH33" s="1" t="n">
        <f aca="false">IF(CO33=1,IF(DD33=1,FV33+FY33,CP33-GH33)*(1+Slot8_Rate),0)</f>
        <v>0</v>
      </c>
      <c r="II33" s="1" t="n">
        <f aca="false">IF(AND(DD33=1,CO33=1),(FU33+FY33)/E33,0)</f>
        <v>0</v>
      </c>
      <c r="IJ33" s="1" t="n">
        <f aca="false">IF(B33=0,FU33+FY33,0)</f>
        <v>0</v>
      </c>
      <c r="IK33" s="1" t="n">
        <f aca="false">IF(B33=0,IF(DD33=1,FW33,FX33),0)</f>
        <v>0</v>
      </c>
      <c r="IL33" s="1" t="n">
        <f aca="false">HD33+HE33+HF33+HJ33+HN33+HR33+HV33+HZ33+ID33+IH33</f>
        <v>0</v>
      </c>
      <c r="IM33" s="1" t="n">
        <f aca="false">GX33+CY33</f>
        <v>0</v>
      </c>
      <c r="IN33" s="1" t="n">
        <f aca="false">H33+R33</f>
        <v>0</v>
      </c>
      <c r="IO33" s="1" t="n">
        <f aca="false">1-F33</f>
        <v>1</v>
      </c>
      <c r="IP33" s="1" t="n">
        <f aca="false">IF(AND(RG_Exists=1,F33=0,C33=1),H33,0)</f>
        <v>0</v>
      </c>
      <c r="IQ33" s="1" t="n">
        <f aca="false">IF(AND(RG_Exists=1,F33=0,C33=1),H33-MIN(GX33,H33),0)</f>
        <v>0</v>
      </c>
      <c r="IR33" s="1" t="n">
        <f aca="false">'Plan pay &amp; tax'!AD235</f>
        <v>0</v>
      </c>
      <c r="IS33" s="1" t="n">
        <f aca="false">IF(AND(C33=1,GX33&gt;MAX(PR_Short1,IN33*PR_Short2)),1,0)</f>
        <v>0</v>
      </c>
      <c r="IT33" s="1" t="n">
        <f aca="false">MIN(G33,H33+R33)</f>
        <v>0</v>
      </c>
      <c r="IU33" s="1" t="n">
        <f aca="false">GY33+MAX(0,CZ33-CY33)</f>
        <v>0</v>
      </c>
      <c r="IV33" s="1" t="n">
        <f aca="false">GX33+CY33</f>
        <v>0</v>
      </c>
      <c r="IW33" s="1" t="n">
        <f aca="false">IF(AND(C33=1,IV33&gt;0.5),1,0)</f>
        <v>0</v>
      </c>
      <c r="IX33" s="1" t="n">
        <f aca="false">IF(AND(C33=1,IW33=0,IU33&gt;0.5),1,0)</f>
        <v>0</v>
      </c>
      <c r="IY33" s="1" t="n">
        <f aca="false">IF(AND(C33=1,GX33&gt;0.5),1,0)</f>
        <v>0</v>
      </c>
      <c r="IZ33" s="1" t="n">
        <f aca="false">IF(AND(C33=1,GY33&gt;1,JF33=0),1,0)</f>
        <v>0</v>
      </c>
      <c r="JA33" s="1" t="n">
        <f aca="false">IF(AND(INT(D33/10)*10=90,B33&gt;0),80,INT(D33/10)*10)</f>
        <v>20</v>
      </c>
      <c r="JB33" s="1" t="n">
        <f aca="false">IF(B33=0,1,IF(JA33&lt;&gt;JA32,JB32+1,JB32))</f>
        <v>3</v>
      </c>
      <c r="JC33" s="1" t="n">
        <f aca="false">IF(AND(C33=1,F33=1,GX33&gt;MAX(PR_Short1,IN33*PR_Short2)),1,0)</f>
        <v>0</v>
      </c>
      <c r="JD33" s="1" t="n">
        <f aca="false">IO33*IS33</f>
        <v>0</v>
      </c>
      <c r="JE33" s="1" t="n">
        <f aca="false">IF(AND(U33=1,Slot1_PctLow=1),1,0)+IF(AND(AF33=1,Slot2_PctLow=1),1,0)+IF(AND(AP33=1,Slot3_PctLow=1),1,0)+IF(AND(AZ33=1,Slot4_PctLow=1),1,0)+IF(AND(BJ33=1,Slot5_PctLow=1),1,0)+IF(AND(BT33=1,Slot6_PctLow=1),1,0)+IF(AND(CD33=1,Slot7_PctLow=1),1,0)+IF(AND(CN33=1,Slot8_PctLow=1),1,0)</f>
        <v>0</v>
      </c>
      <c r="JF33" s="1" t="n">
        <f aca="false">IF(C33=1,IF(OR(IS33=1,JE33&gt;0),1,0),0)</f>
        <v>0</v>
      </c>
    </row>
    <row r="34" customFormat="false" ht="15" hidden="false" customHeight="false" outlineLevel="0" collapsed="false">
      <c r="B34" s="1" t="n">
        <v>26</v>
      </c>
      <c r="C34" s="1" t="n">
        <f aca="false">IF(B34&lt;=F_N,1,0)</f>
        <v>1</v>
      </c>
      <c r="D34" s="1" t="n">
        <f aca="false">'Plan pay &amp; tax'!C236</f>
        <v>26</v>
      </c>
      <c r="E34" s="106" t="n">
        <f aca="false">'Plan pay &amp; tax'!E236</f>
        <v>1.67341811435403</v>
      </c>
      <c r="F34" s="1" t="n">
        <f aca="false">'Plan pay &amp; tax'!G236</f>
        <v>0</v>
      </c>
      <c r="G34" s="1" t="n">
        <f aca="false">'Plan pay &amp; tax'!BT236-'Plan pay &amp; tax'!BS236-'Plan pay &amp; tax'!R236</f>
        <v>0</v>
      </c>
      <c r="H34" s="1" t="n">
        <f aca="false">IF(F34=1,F_CostsM*12,IF(RG_Exists=1,RG_Amount,F_CostsM*12*AS_RetireSpend))*E34+F_OneOffY*E34</f>
        <v>0</v>
      </c>
      <c r="I34" s="1" t="n">
        <f aca="false">DA33</f>
        <v>0</v>
      </c>
      <c r="J34" s="1" t="n">
        <f aca="false">IF(I34&gt;1,'Plan debt months'!AC34,0)</f>
        <v>0</v>
      </c>
      <c r="K34" s="1" t="n">
        <f aca="false">IF(I34&gt;1,'Plan debt months'!AB34,I34)</f>
        <v>0</v>
      </c>
      <c r="L34" s="1" t="n">
        <f aca="false">N33</f>
        <v>0</v>
      </c>
      <c r="M34" s="1" t="n">
        <f aca="false">IF(L34&gt;1,'Plan debt months'!BD34,0)</f>
        <v>0</v>
      </c>
      <c r="N34" s="1" t="n">
        <f aca="false">IF(L34&gt;1,'Plan debt months'!BC34,L34)</f>
        <v>0</v>
      </c>
      <c r="O34" s="1" t="n">
        <f aca="false">Q33</f>
        <v>0</v>
      </c>
      <c r="P34" s="1" t="n">
        <f aca="false">IF(O34&gt;1,'Plan debt months'!CE34,0)</f>
        <v>0</v>
      </c>
      <c r="Q34" s="1" t="n">
        <f aca="false">IF(O34&gt;1,'Plan debt months'!CD34,O34)</f>
        <v>0</v>
      </c>
      <c r="R34" s="1" t="n">
        <f aca="false">J34+M34+P34</f>
        <v>0</v>
      </c>
      <c r="S34" s="1" t="n">
        <f aca="false">HD33+'Plan pay &amp; tax'!Y236</f>
        <v>0</v>
      </c>
      <c r="T34" s="1" t="n">
        <f aca="false">HD33</f>
        <v>0</v>
      </c>
      <c r="U34" s="1" t="n">
        <f aca="false">IF(AND(Slot1_On=1,D34=Slot1_Age),1,0)</f>
        <v>0</v>
      </c>
      <c r="V34" s="1" t="n">
        <f aca="false">IF(AND(Slot1_On=1,Slot1_Age&gt;D34),1,0)</f>
        <v>0</v>
      </c>
      <c r="W34" s="1" t="n">
        <f aca="false">HF33</f>
        <v>0</v>
      </c>
      <c r="X34" s="1" t="n">
        <f aca="false">U34*MIN(Slot1_Cost,W34)</f>
        <v>0</v>
      </c>
      <c r="Y34" s="1" t="n">
        <f aca="false">U34*Slot1_SpendLike*MIN(Slot1_Cost-X34,S34)</f>
        <v>0</v>
      </c>
      <c r="Z34" s="1" t="n">
        <f aca="false">X34+Y34</f>
        <v>0</v>
      </c>
      <c r="AA34" s="1" t="n">
        <f aca="false">S34-Y34+U34*IF(Slot1_SpendLike=1,W34-X34,IF(Slot1_PotFree=1,W34,0))</f>
        <v>0</v>
      </c>
      <c r="AB34" s="1" t="n">
        <f aca="false">AE34+U34*Slot1_BufPot*W34</f>
        <v>0</v>
      </c>
      <c r="AC34" s="1" t="n">
        <f aca="false">IF(AND(U34=1,Slot1_IsMfree=1),IF(Z34&gt;=Slot1_Cost-1,0,MAX(0,K34-Z34)),K34)</f>
        <v>0</v>
      </c>
      <c r="AD34" s="1" t="n">
        <f aca="false">U34*(Slot1_Cost-Z34)</f>
        <v>0</v>
      </c>
      <c r="AE34" s="1" t="n">
        <f aca="false">HE33</f>
        <v>0</v>
      </c>
      <c r="AF34" s="1" t="n">
        <f aca="false">IF(AND(Slot2_On=1,D34=Slot2_Age),1,0)</f>
        <v>0</v>
      </c>
      <c r="AG34" s="1" t="n">
        <f aca="false">IF(AND(Slot2_On=1,Slot2_Age&gt;D34),1,0)</f>
        <v>0</v>
      </c>
      <c r="AH34" s="1" t="n">
        <f aca="false">HJ33</f>
        <v>0</v>
      </c>
      <c r="AI34" s="1" t="n">
        <f aca="false">AF34*MIN(Slot2_Cost,AH34)</f>
        <v>0</v>
      </c>
      <c r="AJ34" s="1" t="n">
        <f aca="false">AF34*Slot2_SpendLike*MIN(Slot2_Cost-AI34,AA34)</f>
        <v>0</v>
      </c>
      <c r="AK34" s="1" t="n">
        <f aca="false">AI34+AJ34</f>
        <v>0</v>
      </c>
      <c r="AL34" s="1" t="n">
        <f aca="false">AA34-AJ34+AF34*IF(Slot2_SpendLike=1,AH34-AI34,IF(Slot2_PotFree=1,AH34,0))</f>
        <v>0</v>
      </c>
      <c r="AM34" s="1" t="n">
        <f aca="false">AB34+AF34*Slot2_BufPot*AH34</f>
        <v>0</v>
      </c>
      <c r="AN34" s="1" t="n">
        <f aca="false">IF(AND(AF34=1,Slot2_IsMfree=1),IF(AK34&gt;=Slot2_Cost-1,0,MAX(0,AC34-AK34)),AC34)</f>
        <v>0</v>
      </c>
      <c r="AO34" s="1" t="n">
        <f aca="false">AF34*(Slot2_Cost-AK34)</f>
        <v>0</v>
      </c>
      <c r="AP34" s="1" t="n">
        <f aca="false">IF(AND(Slot3_On=1,D34=Slot3_Age),1,0)</f>
        <v>0</v>
      </c>
      <c r="AQ34" s="1" t="n">
        <f aca="false">IF(AND(Slot3_On=1,Slot3_Age&gt;D34),1,0)</f>
        <v>0</v>
      </c>
      <c r="AR34" s="1" t="n">
        <f aca="false">HN33</f>
        <v>0</v>
      </c>
      <c r="AS34" s="1" t="n">
        <f aca="false">AP34*MIN(Slot3_Cost,AR34)</f>
        <v>0</v>
      </c>
      <c r="AT34" s="1" t="n">
        <f aca="false">AP34*Slot3_SpendLike*MIN(Slot3_Cost-AS34,AL34)</f>
        <v>0</v>
      </c>
      <c r="AU34" s="1" t="n">
        <f aca="false">AS34+AT34</f>
        <v>0</v>
      </c>
      <c r="AV34" s="1" t="n">
        <f aca="false">AL34-AT34+AP34*IF(Slot3_SpendLike=1,AR34-AS34,IF(Slot3_PotFree=1,AR34,0))</f>
        <v>0</v>
      </c>
      <c r="AW34" s="1" t="n">
        <f aca="false">AM34+AP34*Slot3_BufPot*AR34</f>
        <v>0</v>
      </c>
      <c r="AX34" s="1" t="n">
        <f aca="false">IF(AND(AP34=1,Slot3_IsMfree=1),IF(AU34&gt;=Slot3_Cost-1,0,MAX(0,AN34-AU34)),AN34)</f>
        <v>0</v>
      </c>
      <c r="AY34" s="1" t="n">
        <f aca="false">AP34*(Slot3_Cost-AU34)</f>
        <v>0</v>
      </c>
      <c r="AZ34" s="1" t="n">
        <f aca="false">IF(AND(Slot4_On=1,D34=Slot4_Age),1,0)</f>
        <v>0</v>
      </c>
      <c r="BA34" s="1" t="n">
        <f aca="false">IF(AND(Slot4_On=1,Slot4_Age&gt;D34),1,0)</f>
        <v>0</v>
      </c>
      <c r="BB34" s="1" t="n">
        <f aca="false">HR33</f>
        <v>0</v>
      </c>
      <c r="BC34" s="1" t="n">
        <f aca="false">AZ34*MIN(Slot4_Cost,BB34)</f>
        <v>0</v>
      </c>
      <c r="BD34" s="1" t="n">
        <f aca="false">AZ34*Slot4_SpendLike*MIN(Slot4_Cost-BC34,AV34)</f>
        <v>0</v>
      </c>
      <c r="BE34" s="1" t="n">
        <f aca="false">BC34+BD34</f>
        <v>0</v>
      </c>
      <c r="BF34" s="1" t="n">
        <f aca="false">AV34-BD34+AZ34*IF(Slot4_SpendLike=1,BB34-BC34,IF(Slot4_PotFree=1,BB34,0))</f>
        <v>0</v>
      </c>
      <c r="BG34" s="1" t="n">
        <f aca="false">AW34+AZ34*Slot4_BufPot*BB34</f>
        <v>0</v>
      </c>
      <c r="BH34" s="1" t="n">
        <f aca="false">IF(AND(AZ34=1,Slot4_IsMfree=1),IF(BE34&gt;=Slot4_Cost-1,0,MAX(0,AX34-BE34)),AX34)</f>
        <v>0</v>
      </c>
      <c r="BI34" s="1" t="n">
        <f aca="false">AZ34*(Slot4_Cost-BE34)</f>
        <v>0</v>
      </c>
      <c r="BJ34" s="1" t="n">
        <f aca="false">IF(AND(Slot5_On=1,D34=Slot5_Age),1,0)</f>
        <v>0</v>
      </c>
      <c r="BK34" s="1" t="n">
        <f aca="false">IF(AND(Slot5_On=1,Slot5_Age&gt;D34),1,0)</f>
        <v>0</v>
      </c>
      <c r="BL34" s="1" t="n">
        <f aca="false">HV33</f>
        <v>0</v>
      </c>
      <c r="BM34" s="1" t="n">
        <f aca="false">BJ34*MIN(Slot5_Cost,BL34)</f>
        <v>0</v>
      </c>
      <c r="BN34" s="1" t="n">
        <f aca="false">BJ34*Slot5_SpendLike*MIN(Slot5_Cost-BM34,BF34)</f>
        <v>0</v>
      </c>
      <c r="BO34" s="1" t="n">
        <f aca="false">BM34+BN34</f>
        <v>0</v>
      </c>
      <c r="BP34" s="1" t="n">
        <f aca="false">BF34-BN34+BJ34*IF(Slot5_SpendLike=1,BL34-BM34,IF(Slot5_PotFree=1,BL34,0))</f>
        <v>0</v>
      </c>
      <c r="BQ34" s="1" t="n">
        <f aca="false">BG34+BJ34*Slot5_BufPot*BL34</f>
        <v>0</v>
      </c>
      <c r="BR34" s="1" t="n">
        <f aca="false">IF(AND(BJ34=1,Slot5_IsMfree=1),IF(BO34&gt;=Slot5_Cost-1,0,MAX(0,BH34-BO34)),BH34)</f>
        <v>0</v>
      </c>
      <c r="BS34" s="1" t="n">
        <f aca="false">BJ34*(Slot5_Cost-BO34)</f>
        <v>0</v>
      </c>
      <c r="BT34" s="1" t="n">
        <f aca="false">IF(AND(Slot6_On=1,D34=Slot6_Age),1,0)</f>
        <v>0</v>
      </c>
      <c r="BU34" s="1" t="n">
        <f aca="false">IF(AND(Slot6_On=1,Slot6_Age&gt;D34),1,0)</f>
        <v>0</v>
      </c>
      <c r="BV34" s="1" t="n">
        <f aca="false">HZ33</f>
        <v>0</v>
      </c>
      <c r="BW34" s="1" t="n">
        <f aca="false">BT34*MIN(Slot6_Cost,BV34)</f>
        <v>0</v>
      </c>
      <c r="BX34" s="1" t="n">
        <f aca="false">BT34*Slot6_SpendLike*MIN(Slot6_Cost-BW34,BP34)</f>
        <v>0</v>
      </c>
      <c r="BY34" s="1" t="n">
        <f aca="false">BW34+BX34</f>
        <v>0</v>
      </c>
      <c r="BZ34" s="1" t="n">
        <f aca="false">BP34-BX34+BT34*IF(Slot6_SpendLike=1,BV34-BW34,IF(Slot6_PotFree=1,BV34,0))</f>
        <v>0</v>
      </c>
      <c r="CA34" s="1" t="n">
        <f aca="false">BQ34+BT34*Slot6_BufPot*BV34</f>
        <v>0</v>
      </c>
      <c r="CB34" s="1" t="n">
        <f aca="false">IF(AND(BT34=1,Slot6_IsMfree=1),IF(BY34&gt;=Slot6_Cost-1,0,MAX(0,BR34-BY34)),BR34)</f>
        <v>0</v>
      </c>
      <c r="CC34" s="1" t="n">
        <f aca="false">BT34*(Slot6_Cost-BY34)</f>
        <v>0</v>
      </c>
      <c r="CD34" s="1" t="n">
        <f aca="false">IF(AND(Slot7_On=1,D34=Slot7_Age),1,0)</f>
        <v>0</v>
      </c>
      <c r="CE34" s="1" t="n">
        <f aca="false">IF(AND(Slot7_On=1,Slot7_Age&gt;D34),1,0)</f>
        <v>0</v>
      </c>
      <c r="CF34" s="1" t="n">
        <f aca="false">ID33</f>
        <v>0</v>
      </c>
      <c r="CG34" s="1" t="n">
        <f aca="false">CD34*MIN(Slot7_Cost,CF34)</f>
        <v>0</v>
      </c>
      <c r="CH34" s="1" t="n">
        <f aca="false">CD34*Slot7_SpendLike*MIN(Slot7_Cost-CG34,BZ34)</f>
        <v>0</v>
      </c>
      <c r="CI34" s="1" t="n">
        <f aca="false">CG34+CH34</f>
        <v>0</v>
      </c>
      <c r="CJ34" s="1" t="n">
        <f aca="false">BZ34-CH34+CD34*IF(Slot7_SpendLike=1,CF34-CG34,IF(Slot7_PotFree=1,CF34,0))</f>
        <v>0</v>
      </c>
      <c r="CK34" s="1" t="n">
        <f aca="false">CA34+CD34*Slot7_BufPot*CF34</f>
        <v>0</v>
      </c>
      <c r="CL34" s="1" t="n">
        <f aca="false">IF(AND(CD34=1,Slot7_IsMfree=1),IF(CI34&gt;=Slot7_Cost-1,0,MAX(0,CB34-CI34)),CB34)</f>
        <v>0</v>
      </c>
      <c r="CM34" s="1" t="n">
        <f aca="false">CD34*(Slot7_Cost-CI34)</f>
        <v>0</v>
      </c>
      <c r="CN34" s="1" t="n">
        <f aca="false">IF(AND(Slot8_On=1,D34=Slot8_Age),1,0)</f>
        <v>0</v>
      </c>
      <c r="CO34" s="1" t="n">
        <f aca="false">IF(AND(Slot8_On=1,Slot8_Age&gt;D34),1,0)</f>
        <v>0</v>
      </c>
      <c r="CP34" s="1" t="n">
        <f aca="false">IH33</f>
        <v>0</v>
      </c>
      <c r="CQ34" s="1" t="n">
        <f aca="false">CN34*MIN(Slot8_Cost,CP34)</f>
        <v>0</v>
      </c>
      <c r="CR34" s="1" t="n">
        <f aca="false">CN34*Slot8_SpendLike*MIN(Slot8_Cost-CQ34,CJ34)</f>
        <v>0</v>
      </c>
      <c r="CS34" s="1" t="n">
        <f aca="false">CQ34+CR34</f>
        <v>0</v>
      </c>
      <c r="CT34" s="1" t="n">
        <f aca="false">CJ34-CR34+CN34*IF(Slot8_SpendLike=1,CP34-CQ34,IF(Slot8_PotFree=1,CP34,0))</f>
        <v>0</v>
      </c>
      <c r="CU34" s="1" t="n">
        <f aca="false">CK34+CN34*Slot8_BufPot*CP34</f>
        <v>0</v>
      </c>
      <c r="CV34" s="1" t="n">
        <f aca="false">IF(AND(CN34=1,Slot8_IsMfree=1),IF(CS34&gt;=Slot8_Cost-1,0,MAX(0,CL34-CS34)),CL34)</f>
        <v>0</v>
      </c>
      <c r="CW34" s="1" t="n">
        <f aca="false">CN34*(Slot8_Cost-CS34)</f>
        <v>0</v>
      </c>
      <c r="CX34" s="1" t="n">
        <f aca="false">U34*Slot1_SpendLike*Z34+AF34*Slot2_SpendLike*AK34+AP34*Slot3_SpendLike*AU34+AZ34*Slot4_SpendLike*BE34+BJ34*Slot5_SpendLike*BO34+BT34*Slot6_SpendLike*BY34+CD34*Slot7_SpendLike*CI34+CN34*Slot8_SpendLike*CS34</f>
        <v>0</v>
      </c>
      <c r="CY34" s="1" t="n">
        <f aca="false">AD34+AO34+AY34+BI34+BS34+CC34+CM34+CW34</f>
        <v>0</v>
      </c>
      <c r="CZ34" s="1" t="n">
        <f aca="false">U34*Slot1_Cost+AF34*Slot2_Cost+AP34*Slot3_Cost+AZ34*Slot4_Cost+BJ34*Slot5_Cost+BT34*Slot6_Cost+CD34*Slot7_Cost+CN34*Slot8_Cost</f>
        <v>0</v>
      </c>
      <c r="DA34" s="1" t="n">
        <f aca="false">CV34</f>
        <v>0</v>
      </c>
      <c r="DB34" s="1" t="n">
        <f aca="false">G34-H34-R34</f>
        <v>0</v>
      </c>
      <c r="DC34" s="1" t="n">
        <f aca="false">IF(B34=0,IF(AND(Has_q6=1,In_q6=4),PR_ShareVaries*(MAX(0,DB34)/12),MIN(IF(Has_q6=1,CHOOSE(In_q6+1,PR_SaveB1,PR_SaveB2,PR_SaveB3,PR_SaveB4,0),AS_NoAnswer),AS_SaveShare*(MAX(0,DB34)/12))),DC33)</f>
        <v>0</v>
      </c>
      <c r="DD34" s="1" t="n">
        <f aca="false">IF(DB34&gt;=0,1,0)</f>
        <v>1</v>
      </c>
      <c r="DE34" s="1" t="n">
        <f aca="false">MAX(0,DB34/12/E34)</f>
        <v>0</v>
      </c>
      <c r="DF34" s="1" t="n">
        <f aca="false">IF(AND(Has_q6=1,In_q6=4),PR_ShareVaries*(DE34),MIN(IF(Has_q6=1,CHOOSE(In_q6+1,PR_SaveB1,PR_SaveB2,PR_SaveB3,PR_SaveB4,0),AS_NoAnswer),AS_SaveShare*(DE34)))</f>
        <v>0</v>
      </c>
      <c r="DG34" s="1" t="n">
        <f aca="false">IF(Has_saveM=1,IF(In_saveUp="Yes",1,IF(In_saveUp="No",0,IF(In_saveM&gt;=DC34-0.5,1,0))),0)</f>
        <v>0</v>
      </c>
      <c r="DH34" s="1" t="n">
        <f aca="false">IF(Has_saveM=1,MIN(DE34,IF(DG34=1,MAX(In_saveM,DF34),MIN(In_saveM,DF34))),DF34)</f>
        <v>0</v>
      </c>
      <c r="DI34" s="1" t="n">
        <f aca="false">IF(F34=1,DH34*12*E34,0)</f>
        <v>0</v>
      </c>
      <c r="DJ34" s="1" t="n">
        <f aca="false">MAX(0,DI34+IF(AND(WI_Retire=0,WI_M&lt;0,F34=1),WI_M*12*E34,0))</f>
        <v>0</v>
      </c>
      <c r="DK34" s="1" t="n">
        <f aca="false">Slot1_IsWG*V34+Slot2_IsWG*AG34+Slot3_IsWG*AQ34+Slot4_IsWG*BA34+Slot5_IsWG*BK34+Slot6_IsWG*BU34+Slot7_IsWG*CE34+Slot8_IsWG*CO34</f>
        <v>0</v>
      </c>
      <c r="DL34" s="1" t="n">
        <f aca="false">IF(AND(WI_Retire=0,WI_M&gt;0,F34=1,DK34&gt;=1),WI_M*12*E34,0)</f>
        <v>0</v>
      </c>
      <c r="DM34" s="1" t="n">
        <f aca="false">IF(DD34=1,MIN(DJ34,DB34),0)</f>
        <v>0</v>
      </c>
      <c r="DN34" s="1" t="n">
        <f aca="false">IF(DD34=1,MIN(DL34,DB34-DM34),0)</f>
        <v>0</v>
      </c>
      <c r="DO34" s="1" t="n">
        <f aca="false">IF(V34=1,IF(ABS((1+AS_Wage)/(1+Slot1_Rate)-1)&lt;0.000000000001,(Slot1_Age-D34)*(1+Slot1_Rate)^(Slot1_Age-D34),(1+Slot1_Rate)^(Slot1_Age-D34)*(1-((1+AS_Wage)/(1+Slot1_Rate))^(Slot1_Age-D34))/(1-(1+AS_Wage)/(1+Slot1_Rate))),1)</f>
        <v>1</v>
      </c>
      <c r="DP34" s="1" t="n">
        <f aca="false">IF(AND(DD34=1,DN34&gt;0,Slot1_IsWG=1,V34=1),MAX(0,(Slot1_Cost-W34*(1+Slot1_Rate)^(Slot1_Age-D34))/DO34),0)</f>
        <v>0</v>
      </c>
      <c r="DQ34" s="1" t="n">
        <f aca="false">IF(AND(DD34=1,DN34&gt;0,Slot1_IsWG=1,V34=1),MIN(DN34,DP34),0)</f>
        <v>0</v>
      </c>
      <c r="DR34" s="1" t="n">
        <f aca="false">W34+DQ34</f>
        <v>0</v>
      </c>
      <c r="DS34" s="1" t="n">
        <f aca="false">IF(V34=1,MAX(0,(Slot1_Cost-DR34*(1+Slot1_Rate)^(Slot1_Age-D34))/DO34),0)</f>
        <v>0</v>
      </c>
      <c r="DT34" s="1" t="n">
        <f aca="false">IF(V34=1,MAX(0,(Slot1_Cost-W34*(1+Slot1_Rate)^(Slot1_Age-D34))/DO34),0)</f>
        <v>0</v>
      </c>
      <c r="DU34" s="1" t="n">
        <f aca="false">IF(AND(DD34=1,V34=1),MIN(DM34,DS34),0)</f>
        <v>0</v>
      </c>
      <c r="DV34" s="1" t="n">
        <f aca="false">DM34-DU34</f>
        <v>0</v>
      </c>
      <c r="DW34" s="1" t="n">
        <f aca="false">IF(AG34=1,IF(ABS((1+AS_Wage)/(1+Slot2_Rate)-1)&lt;0.000000000001,(Slot2_Age-D34)*(1+Slot2_Rate)^(Slot2_Age-D34),(1+Slot2_Rate)^(Slot2_Age-D34)*(1-((1+AS_Wage)/(1+Slot2_Rate))^(Slot2_Age-D34))/(1-(1+AS_Wage)/(1+Slot2_Rate))),1)</f>
        <v>1</v>
      </c>
      <c r="DX34" s="1" t="n">
        <f aca="false">IF(AND(DD34=1,DN34&gt;0,Slot2_IsWG=1,AG34=1),MAX(0,(Slot2_Cost-AH34*(1+Slot2_Rate)^(Slot2_Age-D34))/DW34),0)</f>
        <v>0</v>
      </c>
      <c r="DY34" s="1" t="n">
        <f aca="false">IF(AND(DD34=1,DN34&gt;0,Slot2_IsWG=1,AG34=1),MIN(DN34,DX34),0)</f>
        <v>0</v>
      </c>
      <c r="DZ34" s="1" t="n">
        <f aca="false">AH34+DY34</f>
        <v>0</v>
      </c>
      <c r="EA34" s="1" t="n">
        <f aca="false">IF(AG34=1,MAX(0,(Slot2_Cost-DZ34*(1+Slot2_Rate)^(Slot2_Age-D34))/DW34),0)</f>
        <v>0</v>
      </c>
      <c r="EB34" s="1" t="n">
        <f aca="false">IF(AG34=1,MAX(0,(Slot2_Cost-AH34*(1+Slot2_Rate)^(Slot2_Age-D34))/DW34),0)</f>
        <v>0</v>
      </c>
      <c r="EC34" s="1" t="n">
        <f aca="false">IF(AND(DD34=1,AG34=1),MIN(DV34,EA34),0)</f>
        <v>0</v>
      </c>
      <c r="ED34" s="1" t="n">
        <f aca="false">DV34-EC34</f>
        <v>0</v>
      </c>
      <c r="EE34" s="1" t="n">
        <f aca="false">IF(AQ34=1,IF(ABS((1+AS_Wage)/(1+Slot3_Rate)-1)&lt;0.000000000001,(Slot3_Age-D34)*(1+Slot3_Rate)^(Slot3_Age-D34),(1+Slot3_Rate)^(Slot3_Age-D34)*(1-((1+AS_Wage)/(1+Slot3_Rate))^(Slot3_Age-D34))/(1-(1+AS_Wage)/(1+Slot3_Rate))),1)</f>
        <v>1</v>
      </c>
      <c r="EF34" s="1" t="n">
        <f aca="false">IF(AND(DD34=1,DN34&gt;0,Slot3_IsWG=1,AQ34=1),MAX(0,(Slot3_Cost-AR34*(1+Slot3_Rate)^(Slot3_Age-D34))/EE34),0)</f>
        <v>0</v>
      </c>
      <c r="EG34" s="1" t="n">
        <f aca="false">IF(AND(DD34=1,DN34&gt;0,Slot3_IsWG=1,AQ34=1),MIN(DN34,EF34),0)</f>
        <v>0</v>
      </c>
      <c r="EH34" s="1" t="n">
        <f aca="false">AR34+EG34</f>
        <v>0</v>
      </c>
      <c r="EI34" s="1" t="n">
        <f aca="false">IF(AQ34=1,MAX(0,(Slot3_Cost-EH34*(1+Slot3_Rate)^(Slot3_Age-D34))/EE34),0)</f>
        <v>0</v>
      </c>
      <c r="EJ34" s="1" t="n">
        <f aca="false">IF(AQ34=1,MAX(0,(Slot3_Cost-AR34*(1+Slot3_Rate)^(Slot3_Age-D34))/EE34),0)</f>
        <v>0</v>
      </c>
      <c r="EK34" s="1" t="n">
        <f aca="false">IF(AND(DD34=1,AQ34=1),MIN(ED34,EI34),0)</f>
        <v>0</v>
      </c>
      <c r="EL34" s="1" t="n">
        <f aca="false">ED34-EK34</f>
        <v>0</v>
      </c>
      <c r="EM34" s="1" t="n">
        <f aca="false">IF(BA34=1,IF(ABS((1+AS_Wage)/(1+Slot4_Rate)-1)&lt;0.000000000001,(Slot4_Age-D34)*(1+Slot4_Rate)^(Slot4_Age-D34),(1+Slot4_Rate)^(Slot4_Age-D34)*(1-((1+AS_Wage)/(1+Slot4_Rate))^(Slot4_Age-D34))/(1-(1+AS_Wage)/(1+Slot4_Rate))),1)</f>
        <v>1</v>
      </c>
      <c r="EN34" s="1" t="n">
        <f aca="false">IF(AND(DD34=1,DN34&gt;0,Slot4_IsWG=1,BA34=1),MAX(0,(Slot4_Cost-BB34*(1+Slot4_Rate)^(Slot4_Age-D34))/EM34),0)</f>
        <v>0</v>
      </c>
      <c r="EO34" s="1" t="n">
        <f aca="false">IF(AND(DD34=1,DN34&gt;0,Slot4_IsWG=1,BA34=1),MIN(DN34,EN34),0)</f>
        <v>0</v>
      </c>
      <c r="EP34" s="1" t="n">
        <f aca="false">BB34+EO34</f>
        <v>0</v>
      </c>
      <c r="EQ34" s="1" t="n">
        <f aca="false">IF(BA34=1,MAX(0,(Slot4_Cost-EP34*(1+Slot4_Rate)^(Slot4_Age-D34))/EM34),0)</f>
        <v>0</v>
      </c>
      <c r="ER34" s="1" t="n">
        <f aca="false">IF(BA34=1,MAX(0,(Slot4_Cost-BB34*(1+Slot4_Rate)^(Slot4_Age-D34))/EM34),0)</f>
        <v>0</v>
      </c>
      <c r="ES34" s="1" t="n">
        <f aca="false">IF(AND(DD34=1,BA34=1),MIN(EL34,EQ34),0)</f>
        <v>0</v>
      </c>
      <c r="ET34" s="1" t="n">
        <f aca="false">EL34-ES34</f>
        <v>0</v>
      </c>
      <c r="EU34" s="1" t="n">
        <f aca="false">IF(BK34=1,IF(ABS((1+AS_Wage)/(1+Slot5_Rate)-1)&lt;0.000000000001,(Slot5_Age-D34)*(1+Slot5_Rate)^(Slot5_Age-D34),(1+Slot5_Rate)^(Slot5_Age-D34)*(1-((1+AS_Wage)/(1+Slot5_Rate))^(Slot5_Age-D34))/(1-(1+AS_Wage)/(1+Slot5_Rate))),1)</f>
        <v>1</v>
      </c>
      <c r="EV34" s="1" t="n">
        <f aca="false">IF(AND(DD34=1,DN34&gt;0,Slot5_IsWG=1,BK34=1),MAX(0,(Slot5_Cost-BL34*(1+Slot5_Rate)^(Slot5_Age-D34))/EU34),0)</f>
        <v>0</v>
      </c>
      <c r="EW34" s="1" t="n">
        <f aca="false">IF(AND(DD34=1,DN34&gt;0,Slot5_IsWG=1,BK34=1),MIN(DN34,EV34),0)</f>
        <v>0</v>
      </c>
      <c r="EX34" s="1" t="n">
        <f aca="false">BL34+EW34</f>
        <v>0</v>
      </c>
      <c r="EY34" s="1" t="n">
        <f aca="false">IF(BK34=1,MAX(0,(Slot5_Cost-EX34*(1+Slot5_Rate)^(Slot5_Age-D34))/EU34),0)</f>
        <v>0</v>
      </c>
      <c r="EZ34" s="1" t="n">
        <f aca="false">IF(BK34=1,MAX(0,(Slot5_Cost-BL34*(1+Slot5_Rate)^(Slot5_Age-D34))/EU34),0)</f>
        <v>0</v>
      </c>
      <c r="FA34" s="1" t="n">
        <f aca="false">IF(AND(DD34=1,BK34=1),MIN(ET34,EY34),0)</f>
        <v>0</v>
      </c>
      <c r="FB34" s="1" t="n">
        <f aca="false">ET34-FA34</f>
        <v>0</v>
      </c>
      <c r="FC34" s="1" t="n">
        <f aca="false">IF(BU34=1,IF(ABS((1+AS_Wage)/(1+Slot6_Rate)-1)&lt;0.000000000001,(Slot6_Age-D34)*(1+Slot6_Rate)^(Slot6_Age-D34),(1+Slot6_Rate)^(Slot6_Age-D34)*(1-((1+AS_Wage)/(1+Slot6_Rate))^(Slot6_Age-D34))/(1-(1+AS_Wage)/(1+Slot6_Rate))),1)</f>
        <v>1</v>
      </c>
      <c r="FD34" s="1" t="n">
        <f aca="false">IF(AND(DD34=1,DN34&gt;0,Slot6_IsWG=1,BU34=1),MAX(0,(Slot6_Cost-BV34*(1+Slot6_Rate)^(Slot6_Age-D34))/FC34),0)</f>
        <v>0</v>
      </c>
      <c r="FE34" s="1" t="n">
        <f aca="false">IF(AND(DD34=1,DN34&gt;0,Slot6_IsWG=1,BU34=1),MIN(DN34,FD34),0)</f>
        <v>0</v>
      </c>
      <c r="FF34" s="1" t="n">
        <f aca="false">BV34+FE34</f>
        <v>0</v>
      </c>
      <c r="FG34" s="1" t="n">
        <f aca="false">IF(BU34=1,MAX(0,(Slot6_Cost-FF34*(1+Slot6_Rate)^(Slot6_Age-D34))/FC34),0)</f>
        <v>0</v>
      </c>
      <c r="FH34" s="1" t="n">
        <f aca="false">IF(BU34=1,MAX(0,(Slot6_Cost-BV34*(1+Slot6_Rate)^(Slot6_Age-D34))/FC34),0)</f>
        <v>0</v>
      </c>
      <c r="FI34" s="1" t="n">
        <f aca="false">IF(AND(DD34=1,BU34=1),MIN(FB34,FG34),0)</f>
        <v>0</v>
      </c>
      <c r="FJ34" s="1" t="n">
        <f aca="false">FB34-FI34</f>
        <v>0</v>
      </c>
      <c r="FK34" s="1" t="n">
        <f aca="false">IF(CE34=1,IF(ABS((1+AS_Wage)/(1+Slot7_Rate)-1)&lt;0.000000000001,(Slot7_Age-D34)*(1+Slot7_Rate)^(Slot7_Age-D34),(1+Slot7_Rate)^(Slot7_Age-D34)*(1-((1+AS_Wage)/(1+Slot7_Rate))^(Slot7_Age-D34))/(1-(1+AS_Wage)/(1+Slot7_Rate))),1)</f>
        <v>1</v>
      </c>
      <c r="FL34" s="1" t="n">
        <f aca="false">IF(AND(DD34=1,DN34&gt;0,Slot7_IsWG=1,CE34=1),MAX(0,(Slot7_Cost-CF34*(1+Slot7_Rate)^(Slot7_Age-D34))/FK34),0)</f>
        <v>0</v>
      </c>
      <c r="FM34" s="1" t="n">
        <f aca="false">IF(AND(DD34=1,DN34&gt;0,Slot7_IsWG=1,CE34=1),MIN(DN34,FL34),0)</f>
        <v>0</v>
      </c>
      <c r="FN34" s="1" t="n">
        <f aca="false">CF34+FM34</f>
        <v>0</v>
      </c>
      <c r="FO34" s="1" t="n">
        <f aca="false">IF(CE34=1,MAX(0,(Slot7_Cost-FN34*(1+Slot7_Rate)^(Slot7_Age-D34))/FK34),0)</f>
        <v>0</v>
      </c>
      <c r="FP34" s="1" t="n">
        <f aca="false">IF(CE34=1,MAX(0,(Slot7_Cost-CF34*(1+Slot7_Rate)^(Slot7_Age-D34))/FK34),0)</f>
        <v>0</v>
      </c>
      <c r="FQ34" s="1" t="n">
        <f aca="false">IF(AND(DD34=1,CE34=1),MIN(FJ34,FO34),0)</f>
        <v>0</v>
      </c>
      <c r="FR34" s="1" t="n">
        <f aca="false">FJ34-FQ34</f>
        <v>0</v>
      </c>
      <c r="FS34" s="1" t="n">
        <f aca="false">IF(CO34=1,IF(ABS((1+AS_Wage)/(1+Slot8_Rate)-1)&lt;0.000000000001,(Slot8_Age-D34)*(1+Slot8_Rate)^(Slot8_Age-D34),(1+Slot8_Rate)^(Slot8_Age-D34)*(1-((1+AS_Wage)/(1+Slot8_Rate))^(Slot8_Age-D34))/(1-(1+AS_Wage)/(1+Slot8_Rate))),1)</f>
        <v>1</v>
      </c>
      <c r="FT34" s="1" t="n">
        <f aca="false">IF(AND(DD34=1,DN34&gt;0,Slot8_IsWG=1,CO34=1),MAX(0,(Slot8_Cost-CP34*(1+Slot8_Rate)^(Slot8_Age-D34))/FS34),0)</f>
        <v>0</v>
      </c>
      <c r="FU34" s="1" t="n">
        <f aca="false">IF(AND(DD34=1,DN34&gt;0,Slot8_IsWG=1,CO34=1),MIN(DN34,FT34),0)</f>
        <v>0</v>
      </c>
      <c r="FV34" s="1" t="n">
        <f aca="false">CP34+FU34</f>
        <v>0</v>
      </c>
      <c r="FW34" s="1" t="n">
        <f aca="false">IF(CO34=1,MAX(0,(Slot8_Cost-FV34*(1+Slot8_Rate)^(Slot8_Age-D34))/FS34),0)</f>
        <v>0</v>
      </c>
      <c r="FX34" s="1" t="n">
        <f aca="false">IF(CO34=1,MAX(0,(Slot8_Cost-CP34*(1+Slot8_Rate)^(Slot8_Age-D34))/FS34),0)</f>
        <v>0</v>
      </c>
      <c r="FY34" s="1" t="n">
        <f aca="false">IF(AND(DD34=1,CO34=1),MIN(FR34,FW34),0)</f>
        <v>0</v>
      </c>
      <c r="FZ34" s="1" t="n">
        <f aca="false">FR34-FY34</f>
        <v>0</v>
      </c>
      <c r="GA34" s="1" t="n">
        <f aca="false">DN34-(DQ34+DY34+EG34+EO34+EW34+FE34+FM34+FU34)</f>
        <v>0</v>
      </c>
      <c r="GB34" s="1" t="n">
        <f aca="false">IF(DD34=1,DB34-DM34-DN34,0)</f>
        <v>0</v>
      </c>
      <c r="GC34" s="1" t="n">
        <f aca="false">IF(DD34=0,-DB34,0)</f>
        <v>0</v>
      </c>
      <c r="GD34" s="1" t="n">
        <f aca="false">MIN(GC34,CT34)</f>
        <v>0</v>
      </c>
      <c r="GE34" s="1" t="n">
        <f aca="false">GC34-GD34</f>
        <v>0</v>
      </c>
      <c r="GF34" s="1" t="n">
        <f aca="false">MIN(GE34,CU34)</f>
        <v>0</v>
      </c>
      <c r="GG34" s="1" t="n">
        <f aca="false">GE34-GF34</f>
        <v>0</v>
      </c>
      <c r="GH34" s="1" t="n">
        <f aca="false">IF(AND(DD34=0,CO34=1,GG34&gt;0),MIN(GG34,CP34),0)</f>
        <v>0</v>
      </c>
      <c r="GI34" s="1" t="n">
        <f aca="false">GG34-GH34</f>
        <v>0</v>
      </c>
      <c r="GJ34" s="1" t="n">
        <f aca="false">IF(AND(DD34=0,CE34=1,GI34&gt;0),MIN(GI34,CF34),0)</f>
        <v>0</v>
      </c>
      <c r="GK34" s="1" t="n">
        <f aca="false">GI34-GJ34</f>
        <v>0</v>
      </c>
      <c r="GL34" s="1" t="n">
        <f aca="false">IF(AND(DD34=0,BU34=1,GK34&gt;0),MIN(GK34,BV34),0)</f>
        <v>0</v>
      </c>
      <c r="GM34" s="1" t="n">
        <f aca="false">GK34-GL34</f>
        <v>0</v>
      </c>
      <c r="GN34" s="1" t="n">
        <f aca="false">IF(AND(DD34=0,BK34=1,GM34&gt;0),MIN(GM34,BL34),0)</f>
        <v>0</v>
      </c>
      <c r="GO34" s="1" t="n">
        <f aca="false">GM34-GN34</f>
        <v>0</v>
      </c>
      <c r="GP34" s="1" t="n">
        <f aca="false">IF(AND(DD34=0,BA34=1,GO34&gt;0),MIN(GO34,BB34),0)</f>
        <v>0</v>
      </c>
      <c r="GQ34" s="1" t="n">
        <f aca="false">GO34-GP34</f>
        <v>0</v>
      </c>
      <c r="GR34" s="1" t="n">
        <f aca="false">IF(AND(DD34=0,AQ34=1,GQ34&gt;0),MIN(GQ34,AR34),0)</f>
        <v>0</v>
      </c>
      <c r="GS34" s="1" t="n">
        <f aca="false">GQ34-GR34</f>
        <v>0</v>
      </c>
      <c r="GT34" s="1" t="n">
        <f aca="false">IF(AND(DD34=0,AG34=1,GS34&gt;0),MIN(GS34,AH34),0)</f>
        <v>0</v>
      </c>
      <c r="GU34" s="1" t="n">
        <f aca="false">GS34-GT34</f>
        <v>0</v>
      </c>
      <c r="GV34" s="1" t="n">
        <f aca="false">IF(AND(DD34=0,V34=1,GU34&gt;0),MIN(GU34,W34),0)</f>
        <v>0</v>
      </c>
      <c r="GW34" s="1" t="n">
        <f aca="false">GU34-GV34</f>
        <v>0</v>
      </c>
      <c r="GX34" s="1" t="n">
        <f aca="false">IF(DD34=0,GW34,0)</f>
        <v>0</v>
      </c>
      <c r="GY34" s="1" t="n">
        <f aca="false">GD34+GF34+GV34+GT34+GR34+GP34+GN34+GL34+GJ34+GH34</f>
        <v>0</v>
      </c>
      <c r="GZ34" s="1" t="n">
        <f aca="false">IF(DD34=1,CT34+GA34+FZ34+IF(F34=1,0,GB34),CT34-GD34)</f>
        <v>0</v>
      </c>
      <c r="HA34" s="1" t="n">
        <f aca="false">CU34-GF34</f>
        <v>0</v>
      </c>
      <c r="HB34" s="1" t="n">
        <f aca="false">IF(DD34=1,IF(F34=1,DM34+DN34,DB34),0)</f>
        <v>0</v>
      </c>
      <c r="HC34" s="1" t="n">
        <f aca="false">IF(DD34=1,IF(F34=1,DB34-DM34-DN34,0),0)</f>
        <v>0</v>
      </c>
      <c r="HD34" s="1" t="n">
        <f aca="false">GZ34*(1+GR)</f>
        <v>0</v>
      </c>
      <c r="HE34" s="1" t="n">
        <f aca="false">HA34*(1+AS_Cash)</f>
        <v>0</v>
      </c>
      <c r="HF34" s="1" t="n">
        <f aca="false">IF(V34=1,IF(DD34=1,DR34+DU34,W34-GV34)*(1+Slot1_Rate),0)</f>
        <v>0</v>
      </c>
      <c r="HG34" s="1" t="n">
        <f aca="false">IF(AND(DD34=1,V34=1),(DQ34+DU34)/E34,0)</f>
        <v>0</v>
      </c>
      <c r="HH34" s="1" t="n">
        <f aca="false">IF(B34=0,DQ34+DU34,0)</f>
        <v>0</v>
      </c>
      <c r="HI34" s="1" t="n">
        <f aca="false">IF(B34=0,IF(DD34=1,DS34,DT34),0)</f>
        <v>0</v>
      </c>
      <c r="HJ34" s="1" t="n">
        <f aca="false">IF(AG34=1,IF(DD34=1,DZ34+EC34,AH34-GT34)*(1+Slot2_Rate),0)</f>
        <v>0</v>
      </c>
      <c r="HK34" s="1" t="n">
        <f aca="false">IF(AND(DD34=1,AG34=1),(DY34+EC34)/E34,0)</f>
        <v>0</v>
      </c>
      <c r="HL34" s="1" t="n">
        <f aca="false">IF(B34=0,DY34+EC34,0)</f>
        <v>0</v>
      </c>
      <c r="HM34" s="1" t="n">
        <f aca="false">IF(B34=0,IF(DD34=1,EA34,EB34),0)</f>
        <v>0</v>
      </c>
      <c r="HN34" s="1" t="n">
        <f aca="false">IF(AQ34=1,IF(DD34=1,EH34+EK34,AR34-GR34)*(1+Slot3_Rate),0)</f>
        <v>0</v>
      </c>
      <c r="HO34" s="1" t="n">
        <f aca="false">IF(AND(DD34=1,AQ34=1),(EG34+EK34)/E34,0)</f>
        <v>0</v>
      </c>
      <c r="HP34" s="1" t="n">
        <f aca="false">IF(B34=0,EG34+EK34,0)</f>
        <v>0</v>
      </c>
      <c r="HQ34" s="1" t="n">
        <f aca="false">IF(B34=0,IF(DD34=1,EI34,EJ34),0)</f>
        <v>0</v>
      </c>
      <c r="HR34" s="1" t="n">
        <f aca="false">IF(BA34=1,IF(DD34=1,EP34+ES34,BB34-GP34)*(1+Slot4_Rate),0)</f>
        <v>0</v>
      </c>
      <c r="HS34" s="1" t="n">
        <f aca="false">IF(AND(DD34=1,BA34=1),(EO34+ES34)/E34,0)</f>
        <v>0</v>
      </c>
      <c r="HT34" s="1" t="n">
        <f aca="false">IF(B34=0,EO34+ES34,0)</f>
        <v>0</v>
      </c>
      <c r="HU34" s="1" t="n">
        <f aca="false">IF(B34=0,IF(DD34=1,EQ34,ER34),0)</f>
        <v>0</v>
      </c>
      <c r="HV34" s="1" t="n">
        <f aca="false">IF(BK34=1,IF(DD34=1,EX34+FA34,BL34-GN34)*(1+Slot5_Rate),0)</f>
        <v>0</v>
      </c>
      <c r="HW34" s="1" t="n">
        <f aca="false">IF(AND(DD34=1,BK34=1),(EW34+FA34)/E34,0)</f>
        <v>0</v>
      </c>
      <c r="HX34" s="1" t="n">
        <f aca="false">IF(B34=0,EW34+FA34,0)</f>
        <v>0</v>
      </c>
      <c r="HY34" s="1" t="n">
        <f aca="false">IF(B34=0,IF(DD34=1,EY34,EZ34),0)</f>
        <v>0</v>
      </c>
      <c r="HZ34" s="1" t="n">
        <f aca="false">IF(BU34=1,IF(DD34=1,FF34+FI34,BV34-GL34)*(1+Slot6_Rate),0)</f>
        <v>0</v>
      </c>
      <c r="IA34" s="1" t="n">
        <f aca="false">IF(AND(DD34=1,BU34=1),(FE34+FI34)/E34,0)</f>
        <v>0</v>
      </c>
      <c r="IB34" s="1" t="n">
        <f aca="false">IF(B34=0,FE34+FI34,0)</f>
        <v>0</v>
      </c>
      <c r="IC34" s="1" t="n">
        <f aca="false">IF(B34=0,IF(DD34=1,FG34,FH34),0)</f>
        <v>0</v>
      </c>
      <c r="ID34" s="1" t="n">
        <f aca="false">IF(CE34=1,IF(DD34=1,FN34+FQ34,CF34-GJ34)*(1+Slot7_Rate),0)</f>
        <v>0</v>
      </c>
      <c r="IE34" s="1" t="n">
        <f aca="false">IF(AND(DD34=1,CE34=1),(FM34+FQ34)/E34,0)</f>
        <v>0</v>
      </c>
      <c r="IF34" s="1" t="n">
        <f aca="false">IF(B34=0,FM34+FQ34,0)</f>
        <v>0</v>
      </c>
      <c r="IG34" s="1" t="n">
        <f aca="false">IF(B34=0,IF(DD34=1,FO34,FP34),0)</f>
        <v>0</v>
      </c>
      <c r="IH34" s="1" t="n">
        <f aca="false">IF(CO34=1,IF(DD34=1,FV34+FY34,CP34-GH34)*(1+Slot8_Rate),0)</f>
        <v>0</v>
      </c>
      <c r="II34" s="1" t="n">
        <f aca="false">IF(AND(DD34=1,CO34=1),(FU34+FY34)/E34,0)</f>
        <v>0</v>
      </c>
      <c r="IJ34" s="1" t="n">
        <f aca="false">IF(B34=0,FU34+FY34,0)</f>
        <v>0</v>
      </c>
      <c r="IK34" s="1" t="n">
        <f aca="false">IF(B34=0,IF(DD34=1,FW34,FX34),0)</f>
        <v>0</v>
      </c>
      <c r="IL34" s="1" t="n">
        <f aca="false">HD34+HE34+HF34+HJ34+HN34+HR34+HV34+HZ34+ID34+IH34</f>
        <v>0</v>
      </c>
      <c r="IM34" s="1" t="n">
        <f aca="false">GX34+CY34</f>
        <v>0</v>
      </c>
      <c r="IN34" s="1" t="n">
        <f aca="false">H34+R34</f>
        <v>0</v>
      </c>
      <c r="IO34" s="1" t="n">
        <f aca="false">1-F34</f>
        <v>1</v>
      </c>
      <c r="IP34" s="1" t="n">
        <f aca="false">IF(AND(RG_Exists=1,F34=0,C34=1),H34,0)</f>
        <v>0</v>
      </c>
      <c r="IQ34" s="1" t="n">
        <f aca="false">IF(AND(RG_Exists=1,F34=0,C34=1),H34-MIN(GX34,H34),0)</f>
        <v>0</v>
      </c>
      <c r="IR34" s="1" t="n">
        <f aca="false">'Plan pay &amp; tax'!AD236</f>
        <v>0</v>
      </c>
      <c r="IS34" s="1" t="n">
        <f aca="false">IF(AND(C34=1,GX34&gt;MAX(PR_Short1,IN34*PR_Short2)),1,0)</f>
        <v>0</v>
      </c>
      <c r="IT34" s="1" t="n">
        <f aca="false">MIN(G34,H34+R34)</f>
        <v>0</v>
      </c>
      <c r="IU34" s="1" t="n">
        <f aca="false">GY34+MAX(0,CZ34-CY34)</f>
        <v>0</v>
      </c>
      <c r="IV34" s="1" t="n">
        <f aca="false">GX34+CY34</f>
        <v>0</v>
      </c>
      <c r="IW34" s="1" t="n">
        <f aca="false">IF(AND(C34=1,IV34&gt;0.5),1,0)</f>
        <v>0</v>
      </c>
      <c r="IX34" s="1" t="n">
        <f aca="false">IF(AND(C34=1,IW34=0,IU34&gt;0.5),1,0)</f>
        <v>0</v>
      </c>
      <c r="IY34" s="1" t="n">
        <f aca="false">IF(AND(C34=1,GX34&gt;0.5),1,0)</f>
        <v>0</v>
      </c>
      <c r="IZ34" s="1" t="n">
        <f aca="false">IF(AND(C34=1,GY34&gt;1,JF34=0),1,0)</f>
        <v>0</v>
      </c>
      <c r="JA34" s="1" t="n">
        <f aca="false">IF(AND(INT(D34/10)*10=90,B34&gt;0),80,INT(D34/10)*10)</f>
        <v>20</v>
      </c>
      <c r="JB34" s="1" t="n">
        <f aca="false">IF(B34=0,1,IF(JA34&lt;&gt;JA33,JB33+1,JB33))</f>
        <v>3</v>
      </c>
      <c r="JC34" s="1" t="n">
        <f aca="false">IF(AND(C34=1,F34=1,GX34&gt;MAX(PR_Short1,IN34*PR_Short2)),1,0)</f>
        <v>0</v>
      </c>
      <c r="JD34" s="1" t="n">
        <f aca="false">IO34*IS34</f>
        <v>0</v>
      </c>
      <c r="JE34" s="1" t="n">
        <f aca="false">IF(AND(U34=1,Slot1_PctLow=1),1,0)+IF(AND(AF34=1,Slot2_PctLow=1),1,0)+IF(AND(AP34=1,Slot3_PctLow=1),1,0)+IF(AND(AZ34=1,Slot4_PctLow=1),1,0)+IF(AND(BJ34=1,Slot5_PctLow=1),1,0)+IF(AND(BT34=1,Slot6_PctLow=1),1,0)+IF(AND(CD34=1,Slot7_PctLow=1),1,0)+IF(AND(CN34=1,Slot8_PctLow=1),1,0)</f>
        <v>0</v>
      </c>
      <c r="JF34" s="1" t="n">
        <f aca="false">IF(C34=1,IF(OR(IS34=1,JE34&gt;0),1,0),0)</f>
        <v>0</v>
      </c>
    </row>
    <row r="35" customFormat="false" ht="15" hidden="false" customHeight="false" outlineLevel="0" collapsed="false">
      <c r="B35" s="1" t="n">
        <v>27</v>
      </c>
      <c r="C35" s="1" t="n">
        <f aca="false">IF(B35&lt;=F_N,1,0)</f>
        <v>1</v>
      </c>
      <c r="D35" s="1" t="n">
        <f aca="false">'Plan pay &amp; tax'!C237</f>
        <v>27</v>
      </c>
      <c r="E35" s="106" t="n">
        <f aca="false">'Plan pay &amp; tax'!E237</f>
        <v>1.70688647664111</v>
      </c>
      <c r="F35" s="1" t="n">
        <f aca="false">'Plan pay &amp; tax'!G237</f>
        <v>0</v>
      </c>
      <c r="G35" s="1" t="n">
        <f aca="false">'Plan pay &amp; tax'!BT237-'Plan pay &amp; tax'!BS237-'Plan pay &amp; tax'!R237</f>
        <v>0</v>
      </c>
      <c r="H35" s="1" t="n">
        <f aca="false">IF(F35=1,F_CostsM*12,IF(RG_Exists=1,RG_Amount,F_CostsM*12*AS_RetireSpend))*E35+F_OneOffY*E35</f>
        <v>0</v>
      </c>
      <c r="I35" s="1" t="n">
        <f aca="false">DA34</f>
        <v>0</v>
      </c>
      <c r="J35" s="1" t="n">
        <f aca="false">IF(I35&gt;1,'Plan debt months'!AC35,0)</f>
        <v>0</v>
      </c>
      <c r="K35" s="1" t="n">
        <f aca="false">IF(I35&gt;1,'Plan debt months'!AB35,I35)</f>
        <v>0</v>
      </c>
      <c r="L35" s="1" t="n">
        <f aca="false">N34</f>
        <v>0</v>
      </c>
      <c r="M35" s="1" t="n">
        <f aca="false">IF(L35&gt;1,'Plan debt months'!BD35,0)</f>
        <v>0</v>
      </c>
      <c r="N35" s="1" t="n">
        <f aca="false">IF(L35&gt;1,'Plan debt months'!BC35,L35)</f>
        <v>0</v>
      </c>
      <c r="O35" s="1" t="n">
        <f aca="false">Q34</f>
        <v>0</v>
      </c>
      <c r="P35" s="1" t="n">
        <f aca="false">IF(O35&gt;1,'Plan debt months'!CE35,0)</f>
        <v>0</v>
      </c>
      <c r="Q35" s="1" t="n">
        <f aca="false">IF(O35&gt;1,'Plan debt months'!CD35,O35)</f>
        <v>0</v>
      </c>
      <c r="R35" s="1" t="n">
        <f aca="false">J35+M35+P35</f>
        <v>0</v>
      </c>
      <c r="S35" s="1" t="n">
        <f aca="false">HD34+'Plan pay &amp; tax'!Y237</f>
        <v>0</v>
      </c>
      <c r="T35" s="1" t="n">
        <f aca="false">HD34</f>
        <v>0</v>
      </c>
      <c r="U35" s="1" t="n">
        <f aca="false">IF(AND(Slot1_On=1,D35=Slot1_Age),1,0)</f>
        <v>0</v>
      </c>
      <c r="V35" s="1" t="n">
        <f aca="false">IF(AND(Slot1_On=1,Slot1_Age&gt;D35),1,0)</f>
        <v>0</v>
      </c>
      <c r="W35" s="1" t="n">
        <f aca="false">HF34</f>
        <v>0</v>
      </c>
      <c r="X35" s="1" t="n">
        <f aca="false">U35*MIN(Slot1_Cost,W35)</f>
        <v>0</v>
      </c>
      <c r="Y35" s="1" t="n">
        <f aca="false">U35*Slot1_SpendLike*MIN(Slot1_Cost-X35,S35)</f>
        <v>0</v>
      </c>
      <c r="Z35" s="1" t="n">
        <f aca="false">X35+Y35</f>
        <v>0</v>
      </c>
      <c r="AA35" s="1" t="n">
        <f aca="false">S35-Y35+U35*IF(Slot1_SpendLike=1,W35-X35,IF(Slot1_PotFree=1,W35,0))</f>
        <v>0</v>
      </c>
      <c r="AB35" s="1" t="n">
        <f aca="false">AE35+U35*Slot1_BufPot*W35</f>
        <v>0</v>
      </c>
      <c r="AC35" s="1" t="n">
        <f aca="false">IF(AND(U35=1,Slot1_IsMfree=1),IF(Z35&gt;=Slot1_Cost-1,0,MAX(0,K35-Z35)),K35)</f>
        <v>0</v>
      </c>
      <c r="AD35" s="1" t="n">
        <f aca="false">U35*(Slot1_Cost-Z35)</f>
        <v>0</v>
      </c>
      <c r="AE35" s="1" t="n">
        <f aca="false">HE34</f>
        <v>0</v>
      </c>
      <c r="AF35" s="1" t="n">
        <f aca="false">IF(AND(Slot2_On=1,D35=Slot2_Age),1,0)</f>
        <v>0</v>
      </c>
      <c r="AG35" s="1" t="n">
        <f aca="false">IF(AND(Slot2_On=1,Slot2_Age&gt;D35),1,0)</f>
        <v>0</v>
      </c>
      <c r="AH35" s="1" t="n">
        <f aca="false">HJ34</f>
        <v>0</v>
      </c>
      <c r="AI35" s="1" t="n">
        <f aca="false">AF35*MIN(Slot2_Cost,AH35)</f>
        <v>0</v>
      </c>
      <c r="AJ35" s="1" t="n">
        <f aca="false">AF35*Slot2_SpendLike*MIN(Slot2_Cost-AI35,AA35)</f>
        <v>0</v>
      </c>
      <c r="AK35" s="1" t="n">
        <f aca="false">AI35+AJ35</f>
        <v>0</v>
      </c>
      <c r="AL35" s="1" t="n">
        <f aca="false">AA35-AJ35+AF35*IF(Slot2_SpendLike=1,AH35-AI35,IF(Slot2_PotFree=1,AH35,0))</f>
        <v>0</v>
      </c>
      <c r="AM35" s="1" t="n">
        <f aca="false">AB35+AF35*Slot2_BufPot*AH35</f>
        <v>0</v>
      </c>
      <c r="AN35" s="1" t="n">
        <f aca="false">IF(AND(AF35=1,Slot2_IsMfree=1),IF(AK35&gt;=Slot2_Cost-1,0,MAX(0,AC35-AK35)),AC35)</f>
        <v>0</v>
      </c>
      <c r="AO35" s="1" t="n">
        <f aca="false">AF35*(Slot2_Cost-AK35)</f>
        <v>0</v>
      </c>
      <c r="AP35" s="1" t="n">
        <f aca="false">IF(AND(Slot3_On=1,D35=Slot3_Age),1,0)</f>
        <v>0</v>
      </c>
      <c r="AQ35" s="1" t="n">
        <f aca="false">IF(AND(Slot3_On=1,Slot3_Age&gt;D35),1,0)</f>
        <v>0</v>
      </c>
      <c r="AR35" s="1" t="n">
        <f aca="false">HN34</f>
        <v>0</v>
      </c>
      <c r="AS35" s="1" t="n">
        <f aca="false">AP35*MIN(Slot3_Cost,AR35)</f>
        <v>0</v>
      </c>
      <c r="AT35" s="1" t="n">
        <f aca="false">AP35*Slot3_SpendLike*MIN(Slot3_Cost-AS35,AL35)</f>
        <v>0</v>
      </c>
      <c r="AU35" s="1" t="n">
        <f aca="false">AS35+AT35</f>
        <v>0</v>
      </c>
      <c r="AV35" s="1" t="n">
        <f aca="false">AL35-AT35+AP35*IF(Slot3_SpendLike=1,AR35-AS35,IF(Slot3_PotFree=1,AR35,0))</f>
        <v>0</v>
      </c>
      <c r="AW35" s="1" t="n">
        <f aca="false">AM35+AP35*Slot3_BufPot*AR35</f>
        <v>0</v>
      </c>
      <c r="AX35" s="1" t="n">
        <f aca="false">IF(AND(AP35=1,Slot3_IsMfree=1),IF(AU35&gt;=Slot3_Cost-1,0,MAX(0,AN35-AU35)),AN35)</f>
        <v>0</v>
      </c>
      <c r="AY35" s="1" t="n">
        <f aca="false">AP35*(Slot3_Cost-AU35)</f>
        <v>0</v>
      </c>
      <c r="AZ35" s="1" t="n">
        <f aca="false">IF(AND(Slot4_On=1,D35=Slot4_Age),1,0)</f>
        <v>0</v>
      </c>
      <c r="BA35" s="1" t="n">
        <f aca="false">IF(AND(Slot4_On=1,Slot4_Age&gt;D35),1,0)</f>
        <v>0</v>
      </c>
      <c r="BB35" s="1" t="n">
        <f aca="false">HR34</f>
        <v>0</v>
      </c>
      <c r="BC35" s="1" t="n">
        <f aca="false">AZ35*MIN(Slot4_Cost,BB35)</f>
        <v>0</v>
      </c>
      <c r="BD35" s="1" t="n">
        <f aca="false">AZ35*Slot4_SpendLike*MIN(Slot4_Cost-BC35,AV35)</f>
        <v>0</v>
      </c>
      <c r="BE35" s="1" t="n">
        <f aca="false">BC35+BD35</f>
        <v>0</v>
      </c>
      <c r="BF35" s="1" t="n">
        <f aca="false">AV35-BD35+AZ35*IF(Slot4_SpendLike=1,BB35-BC35,IF(Slot4_PotFree=1,BB35,0))</f>
        <v>0</v>
      </c>
      <c r="BG35" s="1" t="n">
        <f aca="false">AW35+AZ35*Slot4_BufPot*BB35</f>
        <v>0</v>
      </c>
      <c r="BH35" s="1" t="n">
        <f aca="false">IF(AND(AZ35=1,Slot4_IsMfree=1),IF(BE35&gt;=Slot4_Cost-1,0,MAX(0,AX35-BE35)),AX35)</f>
        <v>0</v>
      </c>
      <c r="BI35" s="1" t="n">
        <f aca="false">AZ35*(Slot4_Cost-BE35)</f>
        <v>0</v>
      </c>
      <c r="BJ35" s="1" t="n">
        <f aca="false">IF(AND(Slot5_On=1,D35=Slot5_Age),1,0)</f>
        <v>0</v>
      </c>
      <c r="BK35" s="1" t="n">
        <f aca="false">IF(AND(Slot5_On=1,Slot5_Age&gt;D35),1,0)</f>
        <v>0</v>
      </c>
      <c r="BL35" s="1" t="n">
        <f aca="false">HV34</f>
        <v>0</v>
      </c>
      <c r="BM35" s="1" t="n">
        <f aca="false">BJ35*MIN(Slot5_Cost,BL35)</f>
        <v>0</v>
      </c>
      <c r="BN35" s="1" t="n">
        <f aca="false">BJ35*Slot5_SpendLike*MIN(Slot5_Cost-BM35,BF35)</f>
        <v>0</v>
      </c>
      <c r="BO35" s="1" t="n">
        <f aca="false">BM35+BN35</f>
        <v>0</v>
      </c>
      <c r="BP35" s="1" t="n">
        <f aca="false">BF35-BN35+BJ35*IF(Slot5_SpendLike=1,BL35-BM35,IF(Slot5_PotFree=1,BL35,0))</f>
        <v>0</v>
      </c>
      <c r="BQ35" s="1" t="n">
        <f aca="false">BG35+BJ35*Slot5_BufPot*BL35</f>
        <v>0</v>
      </c>
      <c r="BR35" s="1" t="n">
        <f aca="false">IF(AND(BJ35=1,Slot5_IsMfree=1),IF(BO35&gt;=Slot5_Cost-1,0,MAX(0,BH35-BO35)),BH35)</f>
        <v>0</v>
      </c>
      <c r="BS35" s="1" t="n">
        <f aca="false">BJ35*(Slot5_Cost-BO35)</f>
        <v>0</v>
      </c>
      <c r="BT35" s="1" t="n">
        <f aca="false">IF(AND(Slot6_On=1,D35=Slot6_Age),1,0)</f>
        <v>0</v>
      </c>
      <c r="BU35" s="1" t="n">
        <f aca="false">IF(AND(Slot6_On=1,Slot6_Age&gt;D35),1,0)</f>
        <v>0</v>
      </c>
      <c r="BV35" s="1" t="n">
        <f aca="false">HZ34</f>
        <v>0</v>
      </c>
      <c r="BW35" s="1" t="n">
        <f aca="false">BT35*MIN(Slot6_Cost,BV35)</f>
        <v>0</v>
      </c>
      <c r="BX35" s="1" t="n">
        <f aca="false">BT35*Slot6_SpendLike*MIN(Slot6_Cost-BW35,BP35)</f>
        <v>0</v>
      </c>
      <c r="BY35" s="1" t="n">
        <f aca="false">BW35+BX35</f>
        <v>0</v>
      </c>
      <c r="BZ35" s="1" t="n">
        <f aca="false">BP35-BX35+BT35*IF(Slot6_SpendLike=1,BV35-BW35,IF(Slot6_PotFree=1,BV35,0))</f>
        <v>0</v>
      </c>
      <c r="CA35" s="1" t="n">
        <f aca="false">BQ35+BT35*Slot6_BufPot*BV35</f>
        <v>0</v>
      </c>
      <c r="CB35" s="1" t="n">
        <f aca="false">IF(AND(BT35=1,Slot6_IsMfree=1),IF(BY35&gt;=Slot6_Cost-1,0,MAX(0,BR35-BY35)),BR35)</f>
        <v>0</v>
      </c>
      <c r="CC35" s="1" t="n">
        <f aca="false">BT35*(Slot6_Cost-BY35)</f>
        <v>0</v>
      </c>
      <c r="CD35" s="1" t="n">
        <f aca="false">IF(AND(Slot7_On=1,D35=Slot7_Age),1,0)</f>
        <v>0</v>
      </c>
      <c r="CE35" s="1" t="n">
        <f aca="false">IF(AND(Slot7_On=1,Slot7_Age&gt;D35),1,0)</f>
        <v>0</v>
      </c>
      <c r="CF35" s="1" t="n">
        <f aca="false">ID34</f>
        <v>0</v>
      </c>
      <c r="CG35" s="1" t="n">
        <f aca="false">CD35*MIN(Slot7_Cost,CF35)</f>
        <v>0</v>
      </c>
      <c r="CH35" s="1" t="n">
        <f aca="false">CD35*Slot7_SpendLike*MIN(Slot7_Cost-CG35,BZ35)</f>
        <v>0</v>
      </c>
      <c r="CI35" s="1" t="n">
        <f aca="false">CG35+CH35</f>
        <v>0</v>
      </c>
      <c r="CJ35" s="1" t="n">
        <f aca="false">BZ35-CH35+CD35*IF(Slot7_SpendLike=1,CF35-CG35,IF(Slot7_PotFree=1,CF35,0))</f>
        <v>0</v>
      </c>
      <c r="CK35" s="1" t="n">
        <f aca="false">CA35+CD35*Slot7_BufPot*CF35</f>
        <v>0</v>
      </c>
      <c r="CL35" s="1" t="n">
        <f aca="false">IF(AND(CD35=1,Slot7_IsMfree=1),IF(CI35&gt;=Slot7_Cost-1,0,MAX(0,CB35-CI35)),CB35)</f>
        <v>0</v>
      </c>
      <c r="CM35" s="1" t="n">
        <f aca="false">CD35*(Slot7_Cost-CI35)</f>
        <v>0</v>
      </c>
      <c r="CN35" s="1" t="n">
        <f aca="false">IF(AND(Slot8_On=1,D35=Slot8_Age),1,0)</f>
        <v>0</v>
      </c>
      <c r="CO35" s="1" t="n">
        <f aca="false">IF(AND(Slot8_On=1,Slot8_Age&gt;D35),1,0)</f>
        <v>0</v>
      </c>
      <c r="CP35" s="1" t="n">
        <f aca="false">IH34</f>
        <v>0</v>
      </c>
      <c r="CQ35" s="1" t="n">
        <f aca="false">CN35*MIN(Slot8_Cost,CP35)</f>
        <v>0</v>
      </c>
      <c r="CR35" s="1" t="n">
        <f aca="false">CN35*Slot8_SpendLike*MIN(Slot8_Cost-CQ35,CJ35)</f>
        <v>0</v>
      </c>
      <c r="CS35" s="1" t="n">
        <f aca="false">CQ35+CR35</f>
        <v>0</v>
      </c>
      <c r="CT35" s="1" t="n">
        <f aca="false">CJ35-CR35+CN35*IF(Slot8_SpendLike=1,CP35-CQ35,IF(Slot8_PotFree=1,CP35,0))</f>
        <v>0</v>
      </c>
      <c r="CU35" s="1" t="n">
        <f aca="false">CK35+CN35*Slot8_BufPot*CP35</f>
        <v>0</v>
      </c>
      <c r="CV35" s="1" t="n">
        <f aca="false">IF(AND(CN35=1,Slot8_IsMfree=1),IF(CS35&gt;=Slot8_Cost-1,0,MAX(0,CL35-CS35)),CL35)</f>
        <v>0</v>
      </c>
      <c r="CW35" s="1" t="n">
        <f aca="false">CN35*(Slot8_Cost-CS35)</f>
        <v>0</v>
      </c>
      <c r="CX35" s="1" t="n">
        <f aca="false">U35*Slot1_SpendLike*Z35+AF35*Slot2_SpendLike*AK35+AP35*Slot3_SpendLike*AU35+AZ35*Slot4_SpendLike*BE35+BJ35*Slot5_SpendLike*BO35+BT35*Slot6_SpendLike*BY35+CD35*Slot7_SpendLike*CI35+CN35*Slot8_SpendLike*CS35</f>
        <v>0</v>
      </c>
      <c r="CY35" s="1" t="n">
        <f aca="false">AD35+AO35+AY35+BI35+BS35+CC35+CM35+CW35</f>
        <v>0</v>
      </c>
      <c r="CZ35" s="1" t="n">
        <f aca="false">U35*Slot1_Cost+AF35*Slot2_Cost+AP35*Slot3_Cost+AZ35*Slot4_Cost+BJ35*Slot5_Cost+BT35*Slot6_Cost+CD35*Slot7_Cost+CN35*Slot8_Cost</f>
        <v>0</v>
      </c>
      <c r="DA35" s="1" t="n">
        <f aca="false">CV35</f>
        <v>0</v>
      </c>
      <c r="DB35" s="1" t="n">
        <f aca="false">G35-H35-R35</f>
        <v>0</v>
      </c>
      <c r="DC35" s="1" t="n">
        <f aca="false">IF(B35=0,IF(AND(Has_q6=1,In_q6=4),PR_ShareVaries*(MAX(0,DB35)/12),MIN(IF(Has_q6=1,CHOOSE(In_q6+1,PR_SaveB1,PR_SaveB2,PR_SaveB3,PR_SaveB4,0),AS_NoAnswer),AS_SaveShare*(MAX(0,DB35)/12))),DC34)</f>
        <v>0</v>
      </c>
      <c r="DD35" s="1" t="n">
        <f aca="false">IF(DB35&gt;=0,1,0)</f>
        <v>1</v>
      </c>
      <c r="DE35" s="1" t="n">
        <f aca="false">MAX(0,DB35/12/E35)</f>
        <v>0</v>
      </c>
      <c r="DF35" s="1" t="n">
        <f aca="false">IF(AND(Has_q6=1,In_q6=4),PR_ShareVaries*(DE35),MIN(IF(Has_q6=1,CHOOSE(In_q6+1,PR_SaveB1,PR_SaveB2,PR_SaveB3,PR_SaveB4,0),AS_NoAnswer),AS_SaveShare*(DE35)))</f>
        <v>0</v>
      </c>
      <c r="DG35" s="1" t="n">
        <f aca="false">IF(Has_saveM=1,IF(In_saveUp="Yes",1,IF(In_saveUp="No",0,IF(In_saveM&gt;=DC35-0.5,1,0))),0)</f>
        <v>0</v>
      </c>
      <c r="DH35" s="1" t="n">
        <f aca="false">IF(Has_saveM=1,MIN(DE35,IF(DG35=1,MAX(In_saveM,DF35),MIN(In_saveM,DF35))),DF35)</f>
        <v>0</v>
      </c>
      <c r="DI35" s="1" t="n">
        <f aca="false">IF(F35=1,DH35*12*E35,0)</f>
        <v>0</v>
      </c>
      <c r="DJ35" s="1" t="n">
        <f aca="false">MAX(0,DI35+IF(AND(WI_Retire=0,WI_M&lt;0,F35=1),WI_M*12*E35,0))</f>
        <v>0</v>
      </c>
      <c r="DK35" s="1" t="n">
        <f aca="false">Slot1_IsWG*V35+Slot2_IsWG*AG35+Slot3_IsWG*AQ35+Slot4_IsWG*BA35+Slot5_IsWG*BK35+Slot6_IsWG*BU35+Slot7_IsWG*CE35+Slot8_IsWG*CO35</f>
        <v>0</v>
      </c>
      <c r="DL35" s="1" t="n">
        <f aca="false">IF(AND(WI_Retire=0,WI_M&gt;0,F35=1,DK35&gt;=1),WI_M*12*E35,0)</f>
        <v>0</v>
      </c>
      <c r="DM35" s="1" t="n">
        <f aca="false">IF(DD35=1,MIN(DJ35,DB35),0)</f>
        <v>0</v>
      </c>
      <c r="DN35" s="1" t="n">
        <f aca="false">IF(DD35=1,MIN(DL35,DB35-DM35),0)</f>
        <v>0</v>
      </c>
      <c r="DO35" s="1" t="n">
        <f aca="false">IF(V35=1,IF(ABS((1+AS_Wage)/(1+Slot1_Rate)-1)&lt;0.000000000001,(Slot1_Age-D35)*(1+Slot1_Rate)^(Slot1_Age-D35),(1+Slot1_Rate)^(Slot1_Age-D35)*(1-((1+AS_Wage)/(1+Slot1_Rate))^(Slot1_Age-D35))/(1-(1+AS_Wage)/(1+Slot1_Rate))),1)</f>
        <v>1</v>
      </c>
      <c r="DP35" s="1" t="n">
        <f aca="false">IF(AND(DD35=1,DN35&gt;0,Slot1_IsWG=1,V35=1),MAX(0,(Slot1_Cost-W35*(1+Slot1_Rate)^(Slot1_Age-D35))/DO35),0)</f>
        <v>0</v>
      </c>
      <c r="DQ35" s="1" t="n">
        <f aca="false">IF(AND(DD35=1,DN35&gt;0,Slot1_IsWG=1,V35=1),MIN(DN35,DP35),0)</f>
        <v>0</v>
      </c>
      <c r="DR35" s="1" t="n">
        <f aca="false">W35+DQ35</f>
        <v>0</v>
      </c>
      <c r="DS35" s="1" t="n">
        <f aca="false">IF(V35=1,MAX(0,(Slot1_Cost-DR35*(1+Slot1_Rate)^(Slot1_Age-D35))/DO35),0)</f>
        <v>0</v>
      </c>
      <c r="DT35" s="1" t="n">
        <f aca="false">IF(V35=1,MAX(0,(Slot1_Cost-W35*(1+Slot1_Rate)^(Slot1_Age-D35))/DO35),0)</f>
        <v>0</v>
      </c>
      <c r="DU35" s="1" t="n">
        <f aca="false">IF(AND(DD35=1,V35=1),MIN(DM35,DS35),0)</f>
        <v>0</v>
      </c>
      <c r="DV35" s="1" t="n">
        <f aca="false">DM35-DU35</f>
        <v>0</v>
      </c>
      <c r="DW35" s="1" t="n">
        <f aca="false">IF(AG35=1,IF(ABS((1+AS_Wage)/(1+Slot2_Rate)-1)&lt;0.000000000001,(Slot2_Age-D35)*(1+Slot2_Rate)^(Slot2_Age-D35),(1+Slot2_Rate)^(Slot2_Age-D35)*(1-((1+AS_Wage)/(1+Slot2_Rate))^(Slot2_Age-D35))/(1-(1+AS_Wage)/(1+Slot2_Rate))),1)</f>
        <v>1</v>
      </c>
      <c r="DX35" s="1" t="n">
        <f aca="false">IF(AND(DD35=1,DN35&gt;0,Slot2_IsWG=1,AG35=1),MAX(0,(Slot2_Cost-AH35*(1+Slot2_Rate)^(Slot2_Age-D35))/DW35),0)</f>
        <v>0</v>
      </c>
      <c r="DY35" s="1" t="n">
        <f aca="false">IF(AND(DD35=1,DN35&gt;0,Slot2_IsWG=1,AG35=1),MIN(DN35,DX35),0)</f>
        <v>0</v>
      </c>
      <c r="DZ35" s="1" t="n">
        <f aca="false">AH35+DY35</f>
        <v>0</v>
      </c>
      <c r="EA35" s="1" t="n">
        <f aca="false">IF(AG35=1,MAX(0,(Slot2_Cost-DZ35*(1+Slot2_Rate)^(Slot2_Age-D35))/DW35),0)</f>
        <v>0</v>
      </c>
      <c r="EB35" s="1" t="n">
        <f aca="false">IF(AG35=1,MAX(0,(Slot2_Cost-AH35*(1+Slot2_Rate)^(Slot2_Age-D35))/DW35),0)</f>
        <v>0</v>
      </c>
      <c r="EC35" s="1" t="n">
        <f aca="false">IF(AND(DD35=1,AG35=1),MIN(DV35,EA35),0)</f>
        <v>0</v>
      </c>
      <c r="ED35" s="1" t="n">
        <f aca="false">DV35-EC35</f>
        <v>0</v>
      </c>
      <c r="EE35" s="1" t="n">
        <f aca="false">IF(AQ35=1,IF(ABS((1+AS_Wage)/(1+Slot3_Rate)-1)&lt;0.000000000001,(Slot3_Age-D35)*(1+Slot3_Rate)^(Slot3_Age-D35),(1+Slot3_Rate)^(Slot3_Age-D35)*(1-((1+AS_Wage)/(1+Slot3_Rate))^(Slot3_Age-D35))/(1-(1+AS_Wage)/(1+Slot3_Rate))),1)</f>
        <v>1</v>
      </c>
      <c r="EF35" s="1" t="n">
        <f aca="false">IF(AND(DD35=1,DN35&gt;0,Slot3_IsWG=1,AQ35=1),MAX(0,(Slot3_Cost-AR35*(1+Slot3_Rate)^(Slot3_Age-D35))/EE35),0)</f>
        <v>0</v>
      </c>
      <c r="EG35" s="1" t="n">
        <f aca="false">IF(AND(DD35=1,DN35&gt;0,Slot3_IsWG=1,AQ35=1),MIN(DN35,EF35),0)</f>
        <v>0</v>
      </c>
      <c r="EH35" s="1" t="n">
        <f aca="false">AR35+EG35</f>
        <v>0</v>
      </c>
      <c r="EI35" s="1" t="n">
        <f aca="false">IF(AQ35=1,MAX(0,(Slot3_Cost-EH35*(1+Slot3_Rate)^(Slot3_Age-D35))/EE35),0)</f>
        <v>0</v>
      </c>
      <c r="EJ35" s="1" t="n">
        <f aca="false">IF(AQ35=1,MAX(0,(Slot3_Cost-AR35*(1+Slot3_Rate)^(Slot3_Age-D35))/EE35),0)</f>
        <v>0</v>
      </c>
      <c r="EK35" s="1" t="n">
        <f aca="false">IF(AND(DD35=1,AQ35=1),MIN(ED35,EI35),0)</f>
        <v>0</v>
      </c>
      <c r="EL35" s="1" t="n">
        <f aca="false">ED35-EK35</f>
        <v>0</v>
      </c>
      <c r="EM35" s="1" t="n">
        <f aca="false">IF(BA35=1,IF(ABS((1+AS_Wage)/(1+Slot4_Rate)-1)&lt;0.000000000001,(Slot4_Age-D35)*(1+Slot4_Rate)^(Slot4_Age-D35),(1+Slot4_Rate)^(Slot4_Age-D35)*(1-((1+AS_Wage)/(1+Slot4_Rate))^(Slot4_Age-D35))/(1-(1+AS_Wage)/(1+Slot4_Rate))),1)</f>
        <v>1</v>
      </c>
      <c r="EN35" s="1" t="n">
        <f aca="false">IF(AND(DD35=1,DN35&gt;0,Slot4_IsWG=1,BA35=1),MAX(0,(Slot4_Cost-BB35*(1+Slot4_Rate)^(Slot4_Age-D35))/EM35),0)</f>
        <v>0</v>
      </c>
      <c r="EO35" s="1" t="n">
        <f aca="false">IF(AND(DD35=1,DN35&gt;0,Slot4_IsWG=1,BA35=1),MIN(DN35,EN35),0)</f>
        <v>0</v>
      </c>
      <c r="EP35" s="1" t="n">
        <f aca="false">BB35+EO35</f>
        <v>0</v>
      </c>
      <c r="EQ35" s="1" t="n">
        <f aca="false">IF(BA35=1,MAX(0,(Slot4_Cost-EP35*(1+Slot4_Rate)^(Slot4_Age-D35))/EM35),0)</f>
        <v>0</v>
      </c>
      <c r="ER35" s="1" t="n">
        <f aca="false">IF(BA35=1,MAX(0,(Slot4_Cost-BB35*(1+Slot4_Rate)^(Slot4_Age-D35))/EM35),0)</f>
        <v>0</v>
      </c>
      <c r="ES35" s="1" t="n">
        <f aca="false">IF(AND(DD35=1,BA35=1),MIN(EL35,EQ35),0)</f>
        <v>0</v>
      </c>
      <c r="ET35" s="1" t="n">
        <f aca="false">EL35-ES35</f>
        <v>0</v>
      </c>
      <c r="EU35" s="1" t="n">
        <f aca="false">IF(BK35=1,IF(ABS((1+AS_Wage)/(1+Slot5_Rate)-1)&lt;0.000000000001,(Slot5_Age-D35)*(1+Slot5_Rate)^(Slot5_Age-D35),(1+Slot5_Rate)^(Slot5_Age-D35)*(1-((1+AS_Wage)/(1+Slot5_Rate))^(Slot5_Age-D35))/(1-(1+AS_Wage)/(1+Slot5_Rate))),1)</f>
        <v>1</v>
      </c>
      <c r="EV35" s="1" t="n">
        <f aca="false">IF(AND(DD35=1,DN35&gt;0,Slot5_IsWG=1,BK35=1),MAX(0,(Slot5_Cost-BL35*(1+Slot5_Rate)^(Slot5_Age-D35))/EU35),0)</f>
        <v>0</v>
      </c>
      <c r="EW35" s="1" t="n">
        <f aca="false">IF(AND(DD35=1,DN35&gt;0,Slot5_IsWG=1,BK35=1),MIN(DN35,EV35),0)</f>
        <v>0</v>
      </c>
      <c r="EX35" s="1" t="n">
        <f aca="false">BL35+EW35</f>
        <v>0</v>
      </c>
      <c r="EY35" s="1" t="n">
        <f aca="false">IF(BK35=1,MAX(0,(Slot5_Cost-EX35*(1+Slot5_Rate)^(Slot5_Age-D35))/EU35),0)</f>
        <v>0</v>
      </c>
      <c r="EZ35" s="1" t="n">
        <f aca="false">IF(BK35=1,MAX(0,(Slot5_Cost-BL35*(1+Slot5_Rate)^(Slot5_Age-D35))/EU35),0)</f>
        <v>0</v>
      </c>
      <c r="FA35" s="1" t="n">
        <f aca="false">IF(AND(DD35=1,BK35=1),MIN(ET35,EY35),0)</f>
        <v>0</v>
      </c>
      <c r="FB35" s="1" t="n">
        <f aca="false">ET35-FA35</f>
        <v>0</v>
      </c>
      <c r="FC35" s="1" t="n">
        <f aca="false">IF(BU35=1,IF(ABS((1+AS_Wage)/(1+Slot6_Rate)-1)&lt;0.000000000001,(Slot6_Age-D35)*(1+Slot6_Rate)^(Slot6_Age-D35),(1+Slot6_Rate)^(Slot6_Age-D35)*(1-((1+AS_Wage)/(1+Slot6_Rate))^(Slot6_Age-D35))/(1-(1+AS_Wage)/(1+Slot6_Rate))),1)</f>
        <v>1</v>
      </c>
      <c r="FD35" s="1" t="n">
        <f aca="false">IF(AND(DD35=1,DN35&gt;0,Slot6_IsWG=1,BU35=1),MAX(0,(Slot6_Cost-BV35*(1+Slot6_Rate)^(Slot6_Age-D35))/FC35),0)</f>
        <v>0</v>
      </c>
      <c r="FE35" s="1" t="n">
        <f aca="false">IF(AND(DD35=1,DN35&gt;0,Slot6_IsWG=1,BU35=1),MIN(DN35,FD35),0)</f>
        <v>0</v>
      </c>
      <c r="FF35" s="1" t="n">
        <f aca="false">BV35+FE35</f>
        <v>0</v>
      </c>
      <c r="FG35" s="1" t="n">
        <f aca="false">IF(BU35=1,MAX(0,(Slot6_Cost-FF35*(1+Slot6_Rate)^(Slot6_Age-D35))/FC35),0)</f>
        <v>0</v>
      </c>
      <c r="FH35" s="1" t="n">
        <f aca="false">IF(BU35=1,MAX(0,(Slot6_Cost-BV35*(1+Slot6_Rate)^(Slot6_Age-D35))/FC35),0)</f>
        <v>0</v>
      </c>
      <c r="FI35" s="1" t="n">
        <f aca="false">IF(AND(DD35=1,BU35=1),MIN(FB35,FG35),0)</f>
        <v>0</v>
      </c>
      <c r="FJ35" s="1" t="n">
        <f aca="false">FB35-FI35</f>
        <v>0</v>
      </c>
      <c r="FK35" s="1" t="n">
        <f aca="false">IF(CE35=1,IF(ABS((1+AS_Wage)/(1+Slot7_Rate)-1)&lt;0.000000000001,(Slot7_Age-D35)*(1+Slot7_Rate)^(Slot7_Age-D35),(1+Slot7_Rate)^(Slot7_Age-D35)*(1-((1+AS_Wage)/(1+Slot7_Rate))^(Slot7_Age-D35))/(1-(1+AS_Wage)/(1+Slot7_Rate))),1)</f>
        <v>1</v>
      </c>
      <c r="FL35" s="1" t="n">
        <f aca="false">IF(AND(DD35=1,DN35&gt;0,Slot7_IsWG=1,CE35=1),MAX(0,(Slot7_Cost-CF35*(1+Slot7_Rate)^(Slot7_Age-D35))/FK35),0)</f>
        <v>0</v>
      </c>
      <c r="FM35" s="1" t="n">
        <f aca="false">IF(AND(DD35=1,DN35&gt;0,Slot7_IsWG=1,CE35=1),MIN(DN35,FL35),0)</f>
        <v>0</v>
      </c>
      <c r="FN35" s="1" t="n">
        <f aca="false">CF35+FM35</f>
        <v>0</v>
      </c>
      <c r="FO35" s="1" t="n">
        <f aca="false">IF(CE35=1,MAX(0,(Slot7_Cost-FN35*(1+Slot7_Rate)^(Slot7_Age-D35))/FK35),0)</f>
        <v>0</v>
      </c>
      <c r="FP35" s="1" t="n">
        <f aca="false">IF(CE35=1,MAX(0,(Slot7_Cost-CF35*(1+Slot7_Rate)^(Slot7_Age-D35))/FK35),0)</f>
        <v>0</v>
      </c>
      <c r="FQ35" s="1" t="n">
        <f aca="false">IF(AND(DD35=1,CE35=1),MIN(FJ35,FO35),0)</f>
        <v>0</v>
      </c>
      <c r="FR35" s="1" t="n">
        <f aca="false">FJ35-FQ35</f>
        <v>0</v>
      </c>
      <c r="FS35" s="1" t="n">
        <f aca="false">IF(CO35=1,IF(ABS((1+AS_Wage)/(1+Slot8_Rate)-1)&lt;0.000000000001,(Slot8_Age-D35)*(1+Slot8_Rate)^(Slot8_Age-D35),(1+Slot8_Rate)^(Slot8_Age-D35)*(1-((1+AS_Wage)/(1+Slot8_Rate))^(Slot8_Age-D35))/(1-(1+AS_Wage)/(1+Slot8_Rate))),1)</f>
        <v>1</v>
      </c>
      <c r="FT35" s="1" t="n">
        <f aca="false">IF(AND(DD35=1,DN35&gt;0,Slot8_IsWG=1,CO35=1),MAX(0,(Slot8_Cost-CP35*(1+Slot8_Rate)^(Slot8_Age-D35))/FS35),0)</f>
        <v>0</v>
      </c>
      <c r="FU35" s="1" t="n">
        <f aca="false">IF(AND(DD35=1,DN35&gt;0,Slot8_IsWG=1,CO35=1),MIN(DN35,FT35),0)</f>
        <v>0</v>
      </c>
      <c r="FV35" s="1" t="n">
        <f aca="false">CP35+FU35</f>
        <v>0</v>
      </c>
      <c r="FW35" s="1" t="n">
        <f aca="false">IF(CO35=1,MAX(0,(Slot8_Cost-FV35*(1+Slot8_Rate)^(Slot8_Age-D35))/FS35),0)</f>
        <v>0</v>
      </c>
      <c r="FX35" s="1" t="n">
        <f aca="false">IF(CO35=1,MAX(0,(Slot8_Cost-CP35*(1+Slot8_Rate)^(Slot8_Age-D35))/FS35),0)</f>
        <v>0</v>
      </c>
      <c r="FY35" s="1" t="n">
        <f aca="false">IF(AND(DD35=1,CO35=1),MIN(FR35,FW35),0)</f>
        <v>0</v>
      </c>
      <c r="FZ35" s="1" t="n">
        <f aca="false">FR35-FY35</f>
        <v>0</v>
      </c>
      <c r="GA35" s="1" t="n">
        <f aca="false">DN35-(DQ35+DY35+EG35+EO35+EW35+FE35+FM35+FU35)</f>
        <v>0</v>
      </c>
      <c r="GB35" s="1" t="n">
        <f aca="false">IF(DD35=1,DB35-DM35-DN35,0)</f>
        <v>0</v>
      </c>
      <c r="GC35" s="1" t="n">
        <f aca="false">IF(DD35=0,-DB35,0)</f>
        <v>0</v>
      </c>
      <c r="GD35" s="1" t="n">
        <f aca="false">MIN(GC35,CT35)</f>
        <v>0</v>
      </c>
      <c r="GE35" s="1" t="n">
        <f aca="false">GC35-GD35</f>
        <v>0</v>
      </c>
      <c r="GF35" s="1" t="n">
        <f aca="false">MIN(GE35,CU35)</f>
        <v>0</v>
      </c>
      <c r="GG35" s="1" t="n">
        <f aca="false">GE35-GF35</f>
        <v>0</v>
      </c>
      <c r="GH35" s="1" t="n">
        <f aca="false">IF(AND(DD35=0,CO35=1,GG35&gt;0),MIN(GG35,CP35),0)</f>
        <v>0</v>
      </c>
      <c r="GI35" s="1" t="n">
        <f aca="false">GG35-GH35</f>
        <v>0</v>
      </c>
      <c r="GJ35" s="1" t="n">
        <f aca="false">IF(AND(DD35=0,CE35=1,GI35&gt;0),MIN(GI35,CF35),0)</f>
        <v>0</v>
      </c>
      <c r="GK35" s="1" t="n">
        <f aca="false">GI35-GJ35</f>
        <v>0</v>
      </c>
      <c r="GL35" s="1" t="n">
        <f aca="false">IF(AND(DD35=0,BU35=1,GK35&gt;0),MIN(GK35,BV35),0)</f>
        <v>0</v>
      </c>
      <c r="GM35" s="1" t="n">
        <f aca="false">GK35-GL35</f>
        <v>0</v>
      </c>
      <c r="GN35" s="1" t="n">
        <f aca="false">IF(AND(DD35=0,BK35=1,GM35&gt;0),MIN(GM35,BL35),0)</f>
        <v>0</v>
      </c>
      <c r="GO35" s="1" t="n">
        <f aca="false">GM35-GN35</f>
        <v>0</v>
      </c>
      <c r="GP35" s="1" t="n">
        <f aca="false">IF(AND(DD35=0,BA35=1,GO35&gt;0),MIN(GO35,BB35),0)</f>
        <v>0</v>
      </c>
      <c r="GQ35" s="1" t="n">
        <f aca="false">GO35-GP35</f>
        <v>0</v>
      </c>
      <c r="GR35" s="1" t="n">
        <f aca="false">IF(AND(DD35=0,AQ35=1,GQ35&gt;0),MIN(GQ35,AR35),0)</f>
        <v>0</v>
      </c>
      <c r="GS35" s="1" t="n">
        <f aca="false">GQ35-GR35</f>
        <v>0</v>
      </c>
      <c r="GT35" s="1" t="n">
        <f aca="false">IF(AND(DD35=0,AG35=1,GS35&gt;0),MIN(GS35,AH35),0)</f>
        <v>0</v>
      </c>
      <c r="GU35" s="1" t="n">
        <f aca="false">GS35-GT35</f>
        <v>0</v>
      </c>
      <c r="GV35" s="1" t="n">
        <f aca="false">IF(AND(DD35=0,V35=1,GU35&gt;0),MIN(GU35,W35),0)</f>
        <v>0</v>
      </c>
      <c r="GW35" s="1" t="n">
        <f aca="false">GU35-GV35</f>
        <v>0</v>
      </c>
      <c r="GX35" s="1" t="n">
        <f aca="false">IF(DD35=0,GW35,0)</f>
        <v>0</v>
      </c>
      <c r="GY35" s="1" t="n">
        <f aca="false">GD35+GF35+GV35+GT35+GR35+GP35+GN35+GL35+GJ35+GH35</f>
        <v>0</v>
      </c>
      <c r="GZ35" s="1" t="n">
        <f aca="false">IF(DD35=1,CT35+GA35+FZ35+IF(F35=1,0,GB35),CT35-GD35)</f>
        <v>0</v>
      </c>
      <c r="HA35" s="1" t="n">
        <f aca="false">CU35-GF35</f>
        <v>0</v>
      </c>
      <c r="HB35" s="1" t="n">
        <f aca="false">IF(DD35=1,IF(F35=1,DM35+DN35,DB35),0)</f>
        <v>0</v>
      </c>
      <c r="HC35" s="1" t="n">
        <f aca="false">IF(DD35=1,IF(F35=1,DB35-DM35-DN35,0),0)</f>
        <v>0</v>
      </c>
      <c r="HD35" s="1" t="n">
        <f aca="false">GZ35*(1+GR)</f>
        <v>0</v>
      </c>
      <c r="HE35" s="1" t="n">
        <f aca="false">HA35*(1+AS_Cash)</f>
        <v>0</v>
      </c>
      <c r="HF35" s="1" t="n">
        <f aca="false">IF(V35=1,IF(DD35=1,DR35+DU35,W35-GV35)*(1+Slot1_Rate),0)</f>
        <v>0</v>
      </c>
      <c r="HG35" s="1" t="n">
        <f aca="false">IF(AND(DD35=1,V35=1),(DQ35+DU35)/E35,0)</f>
        <v>0</v>
      </c>
      <c r="HH35" s="1" t="n">
        <f aca="false">IF(B35=0,DQ35+DU35,0)</f>
        <v>0</v>
      </c>
      <c r="HI35" s="1" t="n">
        <f aca="false">IF(B35=0,IF(DD35=1,DS35,DT35),0)</f>
        <v>0</v>
      </c>
      <c r="HJ35" s="1" t="n">
        <f aca="false">IF(AG35=1,IF(DD35=1,DZ35+EC35,AH35-GT35)*(1+Slot2_Rate),0)</f>
        <v>0</v>
      </c>
      <c r="HK35" s="1" t="n">
        <f aca="false">IF(AND(DD35=1,AG35=1),(DY35+EC35)/E35,0)</f>
        <v>0</v>
      </c>
      <c r="HL35" s="1" t="n">
        <f aca="false">IF(B35=0,DY35+EC35,0)</f>
        <v>0</v>
      </c>
      <c r="HM35" s="1" t="n">
        <f aca="false">IF(B35=0,IF(DD35=1,EA35,EB35),0)</f>
        <v>0</v>
      </c>
      <c r="HN35" s="1" t="n">
        <f aca="false">IF(AQ35=1,IF(DD35=1,EH35+EK35,AR35-GR35)*(1+Slot3_Rate),0)</f>
        <v>0</v>
      </c>
      <c r="HO35" s="1" t="n">
        <f aca="false">IF(AND(DD35=1,AQ35=1),(EG35+EK35)/E35,0)</f>
        <v>0</v>
      </c>
      <c r="HP35" s="1" t="n">
        <f aca="false">IF(B35=0,EG35+EK35,0)</f>
        <v>0</v>
      </c>
      <c r="HQ35" s="1" t="n">
        <f aca="false">IF(B35=0,IF(DD35=1,EI35,EJ35),0)</f>
        <v>0</v>
      </c>
      <c r="HR35" s="1" t="n">
        <f aca="false">IF(BA35=1,IF(DD35=1,EP35+ES35,BB35-GP35)*(1+Slot4_Rate),0)</f>
        <v>0</v>
      </c>
      <c r="HS35" s="1" t="n">
        <f aca="false">IF(AND(DD35=1,BA35=1),(EO35+ES35)/E35,0)</f>
        <v>0</v>
      </c>
      <c r="HT35" s="1" t="n">
        <f aca="false">IF(B35=0,EO35+ES35,0)</f>
        <v>0</v>
      </c>
      <c r="HU35" s="1" t="n">
        <f aca="false">IF(B35=0,IF(DD35=1,EQ35,ER35),0)</f>
        <v>0</v>
      </c>
      <c r="HV35" s="1" t="n">
        <f aca="false">IF(BK35=1,IF(DD35=1,EX35+FA35,BL35-GN35)*(1+Slot5_Rate),0)</f>
        <v>0</v>
      </c>
      <c r="HW35" s="1" t="n">
        <f aca="false">IF(AND(DD35=1,BK35=1),(EW35+FA35)/E35,0)</f>
        <v>0</v>
      </c>
      <c r="HX35" s="1" t="n">
        <f aca="false">IF(B35=0,EW35+FA35,0)</f>
        <v>0</v>
      </c>
      <c r="HY35" s="1" t="n">
        <f aca="false">IF(B35=0,IF(DD35=1,EY35,EZ35),0)</f>
        <v>0</v>
      </c>
      <c r="HZ35" s="1" t="n">
        <f aca="false">IF(BU35=1,IF(DD35=1,FF35+FI35,BV35-GL35)*(1+Slot6_Rate),0)</f>
        <v>0</v>
      </c>
      <c r="IA35" s="1" t="n">
        <f aca="false">IF(AND(DD35=1,BU35=1),(FE35+FI35)/E35,0)</f>
        <v>0</v>
      </c>
      <c r="IB35" s="1" t="n">
        <f aca="false">IF(B35=0,FE35+FI35,0)</f>
        <v>0</v>
      </c>
      <c r="IC35" s="1" t="n">
        <f aca="false">IF(B35=0,IF(DD35=1,FG35,FH35),0)</f>
        <v>0</v>
      </c>
      <c r="ID35" s="1" t="n">
        <f aca="false">IF(CE35=1,IF(DD35=1,FN35+FQ35,CF35-GJ35)*(1+Slot7_Rate),0)</f>
        <v>0</v>
      </c>
      <c r="IE35" s="1" t="n">
        <f aca="false">IF(AND(DD35=1,CE35=1),(FM35+FQ35)/E35,0)</f>
        <v>0</v>
      </c>
      <c r="IF35" s="1" t="n">
        <f aca="false">IF(B35=0,FM35+FQ35,0)</f>
        <v>0</v>
      </c>
      <c r="IG35" s="1" t="n">
        <f aca="false">IF(B35=0,IF(DD35=1,FO35,FP35),0)</f>
        <v>0</v>
      </c>
      <c r="IH35" s="1" t="n">
        <f aca="false">IF(CO35=1,IF(DD35=1,FV35+FY35,CP35-GH35)*(1+Slot8_Rate),0)</f>
        <v>0</v>
      </c>
      <c r="II35" s="1" t="n">
        <f aca="false">IF(AND(DD35=1,CO35=1),(FU35+FY35)/E35,0)</f>
        <v>0</v>
      </c>
      <c r="IJ35" s="1" t="n">
        <f aca="false">IF(B35=0,FU35+FY35,0)</f>
        <v>0</v>
      </c>
      <c r="IK35" s="1" t="n">
        <f aca="false">IF(B35=0,IF(DD35=1,FW35,FX35),0)</f>
        <v>0</v>
      </c>
      <c r="IL35" s="1" t="n">
        <f aca="false">HD35+HE35+HF35+HJ35+HN35+HR35+HV35+HZ35+ID35+IH35</f>
        <v>0</v>
      </c>
      <c r="IM35" s="1" t="n">
        <f aca="false">GX35+CY35</f>
        <v>0</v>
      </c>
      <c r="IN35" s="1" t="n">
        <f aca="false">H35+R35</f>
        <v>0</v>
      </c>
      <c r="IO35" s="1" t="n">
        <f aca="false">1-F35</f>
        <v>1</v>
      </c>
      <c r="IP35" s="1" t="n">
        <f aca="false">IF(AND(RG_Exists=1,F35=0,C35=1),H35,0)</f>
        <v>0</v>
      </c>
      <c r="IQ35" s="1" t="n">
        <f aca="false">IF(AND(RG_Exists=1,F35=0,C35=1),H35-MIN(GX35,H35),0)</f>
        <v>0</v>
      </c>
      <c r="IR35" s="1" t="n">
        <f aca="false">'Plan pay &amp; tax'!AD237</f>
        <v>0</v>
      </c>
      <c r="IS35" s="1" t="n">
        <f aca="false">IF(AND(C35=1,GX35&gt;MAX(PR_Short1,IN35*PR_Short2)),1,0)</f>
        <v>0</v>
      </c>
      <c r="IT35" s="1" t="n">
        <f aca="false">MIN(G35,H35+R35)</f>
        <v>0</v>
      </c>
      <c r="IU35" s="1" t="n">
        <f aca="false">GY35+MAX(0,CZ35-CY35)</f>
        <v>0</v>
      </c>
      <c r="IV35" s="1" t="n">
        <f aca="false">GX35+CY35</f>
        <v>0</v>
      </c>
      <c r="IW35" s="1" t="n">
        <f aca="false">IF(AND(C35=1,IV35&gt;0.5),1,0)</f>
        <v>0</v>
      </c>
      <c r="IX35" s="1" t="n">
        <f aca="false">IF(AND(C35=1,IW35=0,IU35&gt;0.5),1,0)</f>
        <v>0</v>
      </c>
      <c r="IY35" s="1" t="n">
        <f aca="false">IF(AND(C35=1,GX35&gt;0.5),1,0)</f>
        <v>0</v>
      </c>
      <c r="IZ35" s="1" t="n">
        <f aca="false">IF(AND(C35=1,GY35&gt;1,JF35=0),1,0)</f>
        <v>0</v>
      </c>
      <c r="JA35" s="1" t="n">
        <f aca="false">IF(AND(INT(D35/10)*10=90,B35&gt;0),80,INT(D35/10)*10)</f>
        <v>20</v>
      </c>
      <c r="JB35" s="1" t="n">
        <f aca="false">IF(B35=0,1,IF(JA35&lt;&gt;JA34,JB34+1,JB34))</f>
        <v>3</v>
      </c>
      <c r="JC35" s="1" t="n">
        <f aca="false">IF(AND(C35=1,F35=1,GX35&gt;MAX(PR_Short1,IN35*PR_Short2)),1,0)</f>
        <v>0</v>
      </c>
      <c r="JD35" s="1" t="n">
        <f aca="false">IO35*IS35</f>
        <v>0</v>
      </c>
      <c r="JE35" s="1" t="n">
        <f aca="false">IF(AND(U35=1,Slot1_PctLow=1),1,0)+IF(AND(AF35=1,Slot2_PctLow=1),1,0)+IF(AND(AP35=1,Slot3_PctLow=1),1,0)+IF(AND(AZ35=1,Slot4_PctLow=1),1,0)+IF(AND(BJ35=1,Slot5_PctLow=1),1,0)+IF(AND(BT35=1,Slot6_PctLow=1),1,0)+IF(AND(CD35=1,Slot7_PctLow=1),1,0)+IF(AND(CN35=1,Slot8_PctLow=1),1,0)</f>
        <v>0</v>
      </c>
      <c r="JF35" s="1" t="n">
        <f aca="false">IF(C35=1,IF(OR(IS35=1,JE35&gt;0),1,0),0)</f>
        <v>0</v>
      </c>
    </row>
    <row r="36" customFormat="false" ht="15" hidden="false" customHeight="false" outlineLevel="0" collapsed="false">
      <c r="B36" s="1" t="n">
        <v>28</v>
      </c>
      <c r="C36" s="1" t="n">
        <f aca="false">IF(B36&lt;=F_N,1,0)</f>
        <v>1</v>
      </c>
      <c r="D36" s="1" t="n">
        <f aca="false">'Plan pay &amp; tax'!C238</f>
        <v>28</v>
      </c>
      <c r="E36" s="106" t="n">
        <f aca="false">'Plan pay &amp; tax'!E238</f>
        <v>1.74102420617393</v>
      </c>
      <c r="F36" s="1" t="n">
        <f aca="false">'Plan pay &amp; tax'!G238</f>
        <v>0</v>
      </c>
      <c r="G36" s="1" t="n">
        <f aca="false">'Plan pay &amp; tax'!BT238-'Plan pay &amp; tax'!BS238-'Plan pay &amp; tax'!R238</f>
        <v>0</v>
      </c>
      <c r="H36" s="1" t="n">
        <f aca="false">IF(F36=1,F_CostsM*12,IF(RG_Exists=1,RG_Amount,F_CostsM*12*AS_RetireSpend))*E36+F_OneOffY*E36</f>
        <v>0</v>
      </c>
      <c r="I36" s="1" t="n">
        <f aca="false">DA35</f>
        <v>0</v>
      </c>
      <c r="J36" s="1" t="n">
        <f aca="false">IF(I36&gt;1,'Plan debt months'!AC36,0)</f>
        <v>0</v>
      </c>
      <c r="K36" s="1" t="n">
        <f aca="false">IF(I36&gt;1,'Plan debt months'!AB36,I36)</f>
        <v>0</v>
      </c>
      <c r="L36" s="1" t="n">
        <f aca="false">N35</f>
        <v>0</v>
      </c>
      <c r="M36" s="1" t="n">
        <f aca="false">IF(L36&gt;1,'Plan debt months'!BD36,0)</f>
        <v>0</v>
      </c>
      <c r="N36" s="1" t="n">
        <f aca="false">IF(L36&gt;1,'Plan debt months'!BC36,L36)</f>
        <v>0</v>
      </c>
      <c r="O36" s="1" t="n">
        <f aca="false">Q35</f>
        <v>0</v>
      </c>
      <c r="P36" s="1" t="n">
        <f aca="false">IF(O36&gt;1,'Plan debt months'!CE36,0)</f>
        <v>0</v>
      </c>
      <c r="Q36" s="1" t="n">
        <f aca="false">IF(O36&gt;1,'Plan debt months'!CD36,O36)</f>
        <v>0</v>
      </c>
      <c r="R36" s="1" t="n">
        <f aca="false">J36+M36+P36</f>
        <v>0</v>
      </c>
      <c r="S36" s="1" t="n">
        <f aca="false">HD35+'Plan pay &amp; tax'!Y238</f>
        <v>0</v>
      </c>
      <c r="T36" s="1" t="n">
        <f aca="false">HD35</f>
        <v>0</v>
      </c>
      <c r="U36" s="1" t="n">
        <f aca="false">IF(AND(Slot1_On=1,D36=Slot1_Age),1,0)</f>
        <v>0</v>
      </c>
      <c r="V36" s="1" t="n">
        <f aca="false">IF(AND(Slot1_On=1,Slot1_Age&gt;D36),1,0)</f>
        <v>0</v>
      </c>
      <c r="W36" s="1" t="n">
        <f aca="false">HF35</f>
        <v>0</v>
      </c>
      <c r="X36" s="1" t="n">
        <f aca="false">U36*MIN(Slot1_Cost,W36)</f>
        <v>0</v>
      </c>
      <c r="Y36" s="1" t="n">
        <f aca="false">U36*Slot1_SpendLike*MIN(Slot1_Cost-X36,S36)</f>
        <v>0</v>
      </c>
      <c r="Z36" s="1" t="n">
        <f aca="false">X36+Y36</f>
        <v>0</v>
      </c>
      <c r="AA36" s="1" t="n">
        <f aca="false">S36-Y36+U36*IF(Slot1_SpendLike=1,W36-X36,IF(Slot1_PotFree=1,W36,0))</f>
        <v>0</v>
      </c>
      <c r="AB36" s="1" t="n">
        <f aca="false">AE36+U36*Slot1_BufPot*W36</f>
        <v>0</v>
      </c>
      <c r="AC36" s="1" t="n">
        <f aca="false">IF(AND(U36=1,Slot1_IsMfree=1),IF(Z36&gt;=Slot1_Cost-1,0,MAX(0,K36-Z36)),K36)</f>
        <v>0</v>
      </c>
      <c r="AD36" s="1" t="n">
        <f aca="false">U36*(Slot1_Cost-Z36)</f>
        <v>0</v>
      </c>
      <c r="AE36" s="1" t="n">
        <f aca="false">HE35</f>
        <v>0</v>
      </c>
      <c r="AF36" s="1" t="n">
        <f aca="false">IF(AND(Slot2_On=1,D36=Slot2_Age),1,0)</f>
        <v>0</v>
      </c>
      <c r="AG36" s="1" t="n">
        <f aca="false">IF(AND(Slot2_On=1,Slot2_Age&gt;D36),1,0)</f>
        <v>0</v>
      </c>
      <c r="AH36" s="1" t="n">
        <f aca="false">HJ35</f>
        <v>0</v>
      </c>
      <c r="AI36" s="1" t="n">
        <f aca="false">AF36*MIN(Slot2_Cost,AH36)</f>
        <v>0</v>
      </c>
      <c r="AJ36" s="1" t="n">
        <f aca="false">AF36*Slot2_SpendLike*MIN(Slot2_Cost-AI36,AA36)</f>
        <v>0</v>
      </c>
      <c r="AK36" s="1" t="n">
        <f aca="false">AI36+AJ36</f>
        <v>0</v>
      </c>
      <c r="AL36" s="1" t="n">
        <f aca="false">AA36-AJ36+AF36*IF(Slot2_SpendLike=1,AH36-AI36,IF(Slot2_PotFree=1,AH36,0))</f>
        <v>0</v>
      </c>
      <c r="AM36" s="1" t="n">
        <f aca="false">AB36+AF36*Slot2_BufPot*AH36</f>
        <v>0</v>
      </c>
      <c r="AN36" s="1" t="n">
        <f aca="false">IF(AND(AF36=1,Slot2_IsMfree=1),IF(AK36&gt;=Slot2_Cost-1,0,MAX(0,AC36-AK36)),AC36)</f>
        <v>0</v>
      </c>
      <c r="AO36" s="1" t="n">
        <f aca="false">AF36*(Slot2_Cost-AK36)</f>
        <v>0</v>
      </c>
      <c r="AP36" s="1" t="n">
        <f aca="false">IF(AND(Slot3_On=1,D36=Slot3_Age),1,0)</f>
        <v>0</v>
      </c>
      <c r="AQ36" s="1" t="n">
        <f aca="false">IF(AND(Slot3_On=1,Slot3_Age&gt;D36),1,0)</f>
        <v>0</v>
      </c>
      <c r="AR36" s="1" t="n">
        <f aca="false">HN35</f>
        <v>0</v>
      </c>
      <c r="AS36" s="1" t="n">
        <f aca="false">AP36*MIN(Slot3_Cost,AR36)</f>
        <v>0</v>
      </c>
      <c r="AT36" s="1" t="n">
        <f aca="false">AP36*Slot3_SpendLike*MIN(Slot3_Cost-AS36,AL36)</f>
        <v>0</v>
      </c>
      <c r="AU36" s="1" t="n">
        <f aca="false">AS36+AT36</f>
        <v>0</v>
      </c>
      <c r="AV36" s="1" t="n">
        <f aca="false">AL36-AT36+AP36*IF(Slot3_SpendLike=1,AR36-AS36,IF(Slot3_PotFree=1,AR36,0))</f>
        <v>0</v>
      </c>
      <c r="AW36" s="1" t="n">
        <f aca="false">AM36+AP36*Slot3_BufPot*AR36</f>
        <v>0</v>
      </c>
      <c r="AX36" s="1" t="n">
        <f aca="false">IF(AND(AP36=1,Slot3_IsMfree=1),IF(AU36&gt;=Slot3_Cost-1,0,MAX(0,AN36-AU36)),AN36)</f>
        <v>0</v>
      </c>
      <c r="AY36" s="1" t="n">
        <f aca="false">AP36*(Slot3_Cost-AU36)</f>
        <v>0</v>
      </c>
      <c r="AZ36" s="1" t="n">
        <f aca="false">IF(AND(Slot4_On=1,D36=Slot4_Age),1,0)</f>
        <v>0</v>
      </c>
      <c r="BA36" s="1" t="n">
        <f aca="false">IF(AND(Slot4_On=1,Slot4_Age&gt;D36),1,0)</f>
        <v>0</v>
      </c>
      <c r="BB36" s="1" t="n">
        <f aca="false">HR35</f>
        <v>0</v>
      </c>
      <c r="BC36" s="1" t="n">
        <f aca="false">AZ36*MIN(Slot4_Cost,BB36)</f>
        <v>0</v>
      </c>
      <c r="BD36" s="1" t="n">
        <f aca="false">AZ36*Slot4_SpendLike*MIN(Slot4_Cost-BC36,AV36)</f>
        <v>0</v>
      </c>
      <c r="BE36" s="1" t="n">
        <f aca="false">BC36+BD36</f>
        <v>0</v>
      </c>
      <c r="BF36" s="1" t="n">
        <f aca="false">AV36-BD36+AZ36*IF(Slot4_SpendLike=1,BB36-BC36,IF(Slot4_PotFree=1,BB36,0))</f>
        <v>0</v>
      </c>
      <c r="BG36" s="1" t="n">
        <f aca="false">AW36+AZ36*Slot4_BufPot*BB36</f>
        <v>0</v>
      </c>
      <c r="BH36" s="1" t="n">
        <f aca="false">IF(AND(AZ36=1,Slot4_IsMfree=1),IF(BE36&gt;=Slot4_Cost-1,0,MAX(0,AX36-BE36)),AX36)</f>
        <v>0</v>
      </c>
      <c r="BI36" s="1" t="n">
        <f aca="false">AZ36*(Slot4_Cost-BE36)</f>
        <v>0</v>
      </c>
      <c r="BJ36" s="1" t="n">
        <f aca="false">IF(AND(Slot5_On=1,D36=Slot5_Age),1,0)</f>
        <v>0</v>
      </c>
      <c r="BK36" s="1" t="n">
        <f aca="false">IF(AND(Slot5_On=1,Slot5_Age&gt;D36),1,0)</f>
        <v>0</v>
      </c>
      <c r="BL36" s="1" t="n">
        <f aca="false">HV35</f>
        <v>0</v>
      </c>
      <c r="BM36" s="1" t="n">
        <f aca="false">BJ36*MIN(Slot5_Cost,BL36)</f>
        <v>0</v>
      </c>
      <c r="BN36" s="1" t="n">
        <f aca="false">BJ36*Slot5_SpendLike*MIN(Slot5_Cost-BM36,BF36)</f>
        <v>0</v>
      </c>
      <c r="BO36" s="1" t="n">
        <f aca="false">BM36+BN36</f>
        <v>0</v>
      </c>
      <c r="BP36" s="1" t="n">
        <f aca="false">BF36-BN36+BJ36*IF(Slot5_SpendLike=1,BL36-BM36,IF(Slot5_PotFree=1,BL36,0))</f>
        <v>0</v>
      </c>
      <c r="BQ36" s="1" t="n">
        <f aca="false">BG36+BJ36*Slot5_BufPot*BL36</f>
        <v>0</v>
      </c>
      <c r="BR36" s="1" t="n">
        <f aca="false">IF(AND(BJ36=1,Slot5_IsMfree=1),IF(BO36&gt;=Slot5_Cost-1,0,MAX(0,BH36-BO36)),BH36)</f>
        <v>0</v>
      </c>
      <c r="BS36" s="1" t="n">
        <f aca="false">BJ36*(Slot5_Cost-BO36)</f>
        <v>0</v>
      </c>
      <c r="BT36" s="1" t="n">
        <f aca="false">IF(AND(Slot6_On=1,D36=Slot6_Age),1,0)</f>
        <v>0</v>
      </c>
      <c r="BU36" s="1" t="n">
        <f aca="false">IF(AND(Slot6_On=1,Slot6_Age&gt;D36),1,0)</f>
        <v>0</v>
      </c>
      <c r="BV36" s="1" t="n">
        <f aca="false">HZ35</f>
        <v>0</v>
      </c>
      <c r="BW36" s="1" t="n">
        <f aca="false">BT36*MIN(Slot6_Cost,BV36)</f>
        <v>0</v>
      </c>
      <c r="BX36" s="1" t="n">
        <f aca="false">BT36*Slot6_SpendLike*MIN(Slot6_Cost-BW36,BP36)</f>
        <v>0</v>
      </c>
      <c r="BY36" s="1" t="n">
        <f aca="false">BW36+BX36</f>
        <v>0</v>
      </c>
      <c r="BZ36" s="1" t="n">
        <f aca="false">BP36-BX36+BT36*IF(Slot6_SpendLike=1,BV36-BW36,IF(Slot6_PotFree=1,BV36,0))</f>
        <v>0</v>
      </c>
      <c r="CA36" s="1" t="n">
        <f aca="false">BQ36+BT36*Slot6_BufPot*BV36</f>
        <v>0</v>
      </c>
      <c r="CB36" s="1" t="n">
        <f aca="false">IF(AND(BT36=1,Slot6_IsMfree=1),IF(BY36&gt;=Slot6_Cost-1,0,MAX(0,BR36-BY36)),BR36)</f>
        <v>0</v>
      </c>
      <c r="CC36" s="1" t="n">
        <f aca="false">BT36*(Slot6_Cost-BY36)</f>
        <v>0</v>
      </c>
      <c r="CD36" s="1" t="n">
        <f aca="false">IF(AND(Slot7_On=1,D36=Slot7_Age),1,0)</f>
        <v>0</v>
      </c>
      <c r="CE36" s="1" t="n">
        <f aca="false">IF(AND(Slot7_On=1,Slot7_Age&gt;D36),1,0)</f>
        <v>0</v>
      </c>
      <c r="CF36" s="1" t="n">
        <f aca="false">ID35</f>
        <v>0</v>
      </c>
      <c r="CG36" s="1" t="n">
        <f aca="false">CD36*MIN(Slot7_Cost,CF36)</f>
        <v>0</v>
      </c>
      <c r="CH36" s="1" t="n">
        <f aca="false">CD36*Slot7_SpendLike*MIN(Slot7_Cost-CG36,BZ36)</f>
        <v>0</v>
      </c>
      <c r="CI36" s="1" t="n">
        <f aca="false">CG36+CH36</f>
        <v>0</v>
      </c>
      <c r="CJ36" s="1" t="n">
        <f aca="false">BZ36-CH36+CD36*IF(Slot7_SpendLike=1,CF36-CG36,IF(Slot7_PotFree=1,CF36,0))</f>
        <v>0</v>
      </c>
      <c r="CK36" s="1" t="n">
        <f aca="false">CA36+CD36*Slot7_BufPot*CF36</f>
        <v>0</v>
      </c>
      <c r="CL36" s="1" t="n">
        <f aca="false">IF(AND(CD36=1,Slot7_IsMfree=1),IF(CI36&gt;=Slot7_Cost-1,0,MAX(0,CB36-CI36)),CB36)</f>
        <v>0</v>
      </c>
      <c r="CM36" s="1" t="n">
        <f aca="false">CD36*(Slot7_Cost-CI36)</f>
        <v>0</v>
      </c>
      <c r="CN36" s="1" t="n">
        <f aca="false">IF(AND(Slot8_On=1,D36=Slot8_Age),1,0)</f>
        <v>0</v>
      </c>
      <c r="CO36" s="1" t="n">
        <f aca="false">IF(AND(Slot8_On=1,Slot8_Age&gt;D36),1,0)</f>
        <v>0</v>
      </c>
      <c r="CP36" s="1" t="n">
        <f aca="false">IH35</f>
        <v>0</v>
      </c>
      <c r="CQ36" s="1" t="n">
        <f aca="false">CN36*MIN(Slot8_Cost,CP36)</f>
        <v>0</v>
      </c>
      <c r="CR36" s="1" t="n">
        <f aca="false">CN36*Slot8_SpendLike*MIN(Slot8_Cost-CQ36,CJ36)</f>
        <v>0</v>
      </c>
      <c r="CS36" s="1" t="n">
        <f aca="false">CQ36+CR36</f>
        <v>0</v>
      </c>
      <c r="CT36" s="1" t="n">
        <f aca="false">CJ36-CR36+CN36*IF(Slot8_SpendLike=1,CP36-CQ36,IF(Slot8_PotFree=1,CP36,0))</f>
        <v>0</v>
      </c>
      <c r="CU36" s="1" t="n">
        <f aca="false">CK36+CN36*Slot8_BufPot*CP36</f>
        <v>0</v>
      </c>
      <c r="CV36" s="1" t="n">
        <f aca="false">IF(AND(CN36=1,Slot8_IsMfree=1),IF(CS36&gt;=Slot8_Cost-1,0,MAX(0,CL36-CS36)),CL36)</f>
        <v>0</v>
      </c>
      <c r="CW36" s="1" t="n">
        <f aca="false">CN36*(Slot8_Cost-CS36)</f>
        <v>0</v>
      </c>
      <c r="CX36" s="1" t="n">
        <f aca="false">U36*Slot1_SpendLike*Z36+AF36*Slot2_SpendLike*AK36+AP36*Slot3_SpendLike*AU36+AZ36*Slot4_SpendLike*BE36+BJ36*Slot5_SpendLike*BO36+BT36*Slot6_SpendLike*BY36+CD36*Slot7_SpendLike*CI36+CN36*Slot8_SpendLike*CS36</f>
        <v>0</v>
      </c>
      <c r="CY36" s="1" t="n">
        <f aca="false">AD36+AO36+AY36+BI36+BS36+CC36+CM36+CW36</f>
        <v>0</v>
      </c>
      <c r="CZ36" s="1" t="n">
        <f aca="false">U36*Slot1_Cost+AF36*Slot2_Cost+AP36*Slot3_Cost+AZ36*Slot4_Cost+BJ36*Slot5_Cost+BT36*Slot6_Cost+CD36*Slot7_Cost+CN36*Slot8_Cost</f>
        <v>0</v>
      </c>
      <c r="DA36" s="1" t="n">
        <f aca="false">CV36</f>
        <v>0</v>
      </c>
      <c r="DB36" s="1" t="n">
        <f aca="false">G36-H36-R36</f>
        <v>0</v>
      </c>
      <c r="DC36" s="1" t="n">
        <f aca="false">IF(B36=0,IF(AND(Has_q6=1,In_q6=4),PR_ShareVaries*(MAX(0,DB36)/12),MIN(IF(Has_q6=1,CHOOSE(In_q6+1,PR_SaveB1,PR_SaveB2,PR_SaveB3,PR_SaveB4,0),AS_NoAnswer),AS_SaveShare*(MAX(0,DB36)/12))),DC35)</f>
        <v>0</v>
      </c>
      <c r="DD36" s="1" t="n">
        <f aca="false">IF(DB36&gt;=0,1,0)</f>
        <v>1</v>
      </c>
      <c r="DE36" s="1" t="n">
        <f aca="false">MAX(0,DB36/12/E36)</f>
        <v>0</v>
      </c>
      <c r="DF36" s="1" t="n">
        <f aca="false">IF(AND(Has_q6=1,In_q6=4),PR_ShareVaries*(DE36),MIN(IF(Has_q6=1,CHOOSE(In_q6+1,PR_SaveB1,PR_SaveB2,PR_SaveB3,PR_SaveB4,0),AS_NoAnswer),AS_SaveShare*(DE36)))</f>
        <v>0</v>
      </c>
      <c r="DG36" s="1" t="n">
        <f aca="false">IF(Has_saveM=1,IF(In_saveUp="Yes",1,IF(In_saveUp="No",0,IF(In_saveM&gt;=DC36-0.5,1,0))),0)</f>
        <v>0</v>
      </c>
      <c r="DH36" s="1" t="n">
        <f aca="false">IF(Has_saveM=1,MIN(DE36,IF(DG36=1,MAX(In_saveM,DF36),MIN(In_saveM,DF36))),DF36)</f>
        <v>0</v>
      </c>
      <c r="DI36" s="1" t="n">
        <f aca="false">IF(F36=1,DH36*12*E36,0)</f>
        <v>0</v>
      </c>
      <c r="DJ36" s="1" t="n">
        <f aca="false">MAX(0,DI36+IF(AND(WI_Retire=0,WI_M&lt;0,F36=1),WI_M*12*E36,0))</f>
        <v>0</v>
      </c>
      <c r="DK36" s="1" t="n">
        <f aca="false">Slot1_IsWG*V36+Slot2_IsWG*AG36+Slot3_IsWG*AQ36+Slot4_IsWG*BA36+Slot5_IsWG*BK36+Slot6_IsWG*BU36+Slot7_IsWG*CE36+Slot8_IsWG*CO36</f>
        <v>0</v>
      </c>
      <c r="DL36" s="1" t="n">
        <f aca="false">IF(AND(WI_Retire=0,WI_M&gt;0,F36=1,DK36&gt;=1),WI_M*12*E36,0)</f>
        <v>0</v>
      </c>
      <c r="DM36" s="1" t="n">
        <f aca="false">IF(DD36=1,MIN(DJ36,DB36),0)</f>
        <v>0</v>
      </c>
      <c r="DN36" s="1" t="n">
        <f aca="false">IF(DD36=1,MIN(DL36,DB36-DM36),0)</f>
        <v>0</v>
      </c>
      <c r="DO36" s="1" t="n">
        <f aca="false">IF(V36=1,IF(ABS((1+AS_Wage)/(1+Slot1_Rate)-1)&lt;0.000000000001,(Slot1_Age-D36)*(1+Slot1_Rate)^(Slot1_Age-D36),(1+Slot1_Rate)^(Slot1_Age-D36)*(1-((1+AS_Wage)/(1+Slot1_Rate))^(Slot1_Age-D36))/(1-(1+AS_Wage)/(1+Slot1_Rate))),1)</f>
        <v>1</v>
      </c>
      <c r="DP36" s="1" t="n">
        <f aca="false">IF(AND(DD36=1,DN36&gt;0,Slot1_IsWG=1,V36=1),MAX(0,(Slot1_Cost-W36*(1+Slot1_Rate)^(Slot1_Age-D36))/DO36),0)</f>
        <v>0</v>
      </c>
      <c r="DQ36" s="1" t="n">
        <f aca="false">IF(AND(DD36=1,DN36&gt;0,Slot1_IsWG=1,V36=1),MIN(DN36,DP36),0)</f>
        <v>0</v>
      </c>
      <c r="DR36" s="1" t="n">
        <f aca="false">W36+DQ36</f>
        <v>0</v>
      </c>
      <c r="DS36" s="1" t="n">
        <f aca="false">IF(V36=1,MAX(0,(Slot1_Cost-DR36*(1+Slot1_Rate)^(Slot1_Age-D36))/DO36),0)</f>
        <v>0</v>
      </c>
      <c r="DT36" s="1" t="n">
        <f aca="false">IF(V36=1,MAX(0,(Slot1_Cost-W36*(1+Slot1_Rate)^(Slot1_Age-D36))/DO36),0)</f>
        <v>0</v>
      </c>
      <c r="DU36" s="1" t="n">
        <f aca="false">IF(AND(DD36=1,V36=1),MIN(DM36,DS36),0)</f>
        <v>0</v>
      </c>
      <c r="DV36" s="1" t="n">
        <f aca="false">DM36-DU36</f>
        <v>0</v>
      </c>
      <c r="DW36" s="1" t="n">
        <f aca="false">IF(AG36=1,IF(ABS((1+AS_Wage)/(1+Slot2_Rate)-1)&lt;0.000000000001,(Slot2_Age-D36)*(1+Slot2_Rate)^(Slot2_Age-D36),(1+Slot2_Rate)^(Slot2_Age-D36)*(1-((1+AS_Wage)/(1+Slot2_Rate))^(Slot2_Age-D36))/(1-(1+AS_Wage)/(1+Slot2_Rate))),1)</f>
        <v>1</v>
      </c>
      <c r="DX36" s="1" t="n">
        <f aca="false">IF(AND(DD36=1,DN36&gt;0,Slot2_IsWG=1,AG36=1),MAX(0,(Slot2_Cost-AH36*(1+Slot2_Rate)^(Slot2_Age-D36))/DW36),0)</f>
        <v>0</v>
      </c>
      <c r="DY36" s="1" t="n">
        <f aca="false">IF(AND(DD36=1,DN36&gt;0,Slot2_IsWG=1,AG36=1),MIN(DN36,DX36),0)</f>
        <v>0</v>
      </c>
      <c r="DZ36" s="1" t="n">
        <f aca="false">AH36+DY36</f>
        <v>0</v>
      </c>
      <c r="EA36" s="1" t="n">
        <f aca="false">IF(AG36=1,MAX(0,(Slot2_Cost-DZ36*(1+Slot2_Rate)^(Slot2_Age-D36))/DW36),0)</f>
        <v>0</v>
      </c>
      <c r="EB36" s="1" t="n">
        <f aca="false">IF(AG36=1,MAX(0,(Slot2_Cost-AH36*(1+Slot2_Rate)^(Slot2_Age-D36))/DW36),0)</f>
        <v>0</v>
      </c>
      <c r="EC36" s="1" t="n">
        <f aca="false">IF(AND(DD36=1,AG36=1),MIN(DV36,EA36),0)</f>
        <v>0</v>
      </c>
      <c r="ED36" s="1" t="n">
        <f aca="false">DV36-EC36</f>
        <v>0</v>
      </c>
      <c r="EE36" s="1" t="n">
        <f aca="false">IF(AQ36=1,IF(ABS((1+AS_Wage)/(1+Slot3_Rate)-1)&lt;0.000000000001,(Slot3_Age-D36)*(1+Slot3_Rate)^(Slot3_Age-D36),(1+Slot3_Rate)^(Slot3_Age-D36)*(1-((1+AS_Wage)/(1+Slot3_Rate))^(Slot3_Age-D36))/(1-(1+AS_Wage)/(1+Slot3_Rate))),1)</f>
        <v>1</v>
      </c>
      <c r="EF36" s="1" t="n">
        <f aca="false">IF(AND(DD36=1,DN36&gt;0,Slot3_IsWG=1,AQ36=1),MAX(0,(Slot3_Cost-AR36*(1+Slot3_Rate)^(Slot3_Age-D36))/EE36),0)</f>
        <v>0</v>
      </c>
      <c r="EG36" s="1" t="n">
        <f aca="false">IF(AND(DD36=1,DN36&gt;0,Slot3_IsWG=1,AQ36=1),MIN(DN36,EF36),0)</f>
        <v>0</v>
      </c>
      <c r="EH36" s="1" t="n">
        <f aca="false">AR36+EG36</f>
        <v>0</v>
      </c>
      <c r="EI36" s="1" t="n">
        <f aca="false">IF(AQ36=1,MAX(0,(Slot3_Cost-EH36*(1+Slot3_Rate)^(Slot3_Age-D36))/EE36),0)</f>
        <v>0</v>
      </c>
      <c r="EJ36" s="1" t="n">
        <f aca="false">IF(AQ36=1,MAX(0,(Slot3_Cost-AR36*(1+Slot3_Rate)^(Slot3_Age-D36))/EE36),0)</f>
        <v>0</v>
      </c>
      <c r="EK36" s="1" t="n">
        <f aca="false">IF(AND(DD36=1,AQ36=1),MIN(ED36,EI36),0)</f>
        <v>0</v>
      </c>
      <c r="EL36" s="1" t="n">
        <f aca="false">ED36-EK36</f>
        <v>0</v>
      </c>
      <c r="EM36" s="1" t="n">
        <f aca="false">IF(BA36=1,IF(ABS((1+AS_Wage)/(1+Slot4_Rate)-1)&lt;0.000000000001,(Slot4_Age-D36)*(1+Slot4_Rate)^(Slot4_Age-D36),(1+Slot4_Rate)^(Slot4_Age-D36)*(1-((1+AS_Wage)/(1+Slot4_Rate))^(Slot4_Age-D36))/(1-(1+AS_Wage)/(1+Slot4_Rate))),1)</f>
        <v>1</v>
      </c>
      <c r="EN36" s="1" t="n">
        <f aca="false">IF(AND(DD36=1,DN36&gt;0,Slot4_IsWG=1,BA36=1),MAX(0,(Slot4_Cost-BB36*(1+Slot4_Rate)^(Slot4_Age-D36))/EM36),0)</f>
        <v>0</v>
      </c>
      <c r="EO36" s="1" t="n">
        <f aca="false">IF(AND(DD36=1,DN36&gt;0,Slot4_IsWG=1,BA36=1),MIN(DN36,EN36),0)</f>
        <v>0</v>
      </c>
      <c r="EP36" s="1" t="n">
        <f aca="false">BB36+EO36</f>
        <v>0</v>
      </c>
      <c r="EQ36" s="1" t="n">
        <f aca="false">IF(BA36=1,MAX(0,(Slot4_Cost-EP36*(1+Slot4_Rate)^(Slot4_Age-D36))/EM36),0)</f>
        <v>0</v>
      </c>
      <c r="ER36" s="1" t="n">
        <f aca="false">IF(BA36=1,MAX(0,(Slot4_Cost-BB36*(1+Slot4_Rate)^(Slot4_Age-D36))/EM36),0)</f>
        <v>0</v>
      </c>
      <c r="ES36" s="1" t="n">
        <f aca="false">IF(AND(DD36=1,BA36=1),MIN(EL36,EQ36),0)</f>
        <v>0</v>
      </c>
      <c r="ET36" s="1" t="n">
        <f aca="false">EL36-ES36</f>
        <v>0</v>
      </c>
      <c r="EU36" s="1" t="n">
        <f aca="false">IF(BK36=1,IF(ABS((1+AS_Wage)/(1+Slot5_Rate)-1)&lt;0.000000000001,(Slot5_Age-D36)*(1+Slot5_Rate)^(Slot5_Age-D36),(1+Slot5_Rate)^(Slot5_Age-D36)*(1-((1+AS_Wage)/(1+Slot5_Rate))^(Slot5_Age-D36))/(1-(1+AS_Wage)/(1+Slot5_Rate))),1)</f>
        <v>1</v>
      </c>
      <c r="EV36" s="1" t="n">
        <f aca="false">IF(AND(DD36=1,DN36&gt;0,Slot5_IsWG=1,BK36=1),MAX(0,(Slot5_Cost-BL36*(1+Slot5_Rate)^(Slot5_Age-D36))/EU36),0)</f>
        <v>0</v>
      </c>
      <c r="EW36" s="1" t="n">
        <f aca="false">IF(AND(DD36=1,DN36&gt;0,Slot5_IsWG=1,BK36=1),MIN(DN36,EV36),0)</f>
        <v>0</v>
      </c>
      <c r="EX36" s="1" t="n">
        <f aca="false">BL36+EW36</f>
        <v>0</v>
      </c>
      <c r="EY36" s="1" t="n">
        <f aca="false">IF(BK36=1,MAX(0,(Slot5_Cost-EX36*(1+Slot5_Rate)^(Slot5_Age-D36))/EU36),0)</f>
        <v>0</v>
      </c>
      <c r="EZ36" s="1" t="n">
        <f aca="false">IF(BK36=1,MAX(0,(Slot5_Cost-BL36*(1+Slot5_Rate)^(Slot5_Age-D36))/EU36),0)</f>
        <v>0</v>
      </c>
      <c r="FA36" s="1" t="n">
        <f aca="false">IF(AND(DD36=1,BK36=1),MIN(ET36,EY36),0)</f>
        <v>0</v>
      </c>
      <c r="FB36" s="1" t="n">
        <f aca="false">ET36-FA36</f>
        <v>0</v>
      </c>
      <c r="FC36" s="1" t="n">
        <f aca="false">IF(BU36=1,IF(ABS((1+AS_Wage)/(1+Slot6_Rate)-1)&lt;0.000000000001,(Slot6_Age-D36)*(1+Slot6_Rate)^(Slot6_Age-D36),(1+Slot6_Rate)^(Slot6_Age-D36)*(1-((1+AS_Wage)/(1+Slot6_Rate))^(Slot6_Age-D36))/(1-(1+AS_Wage)/(1+Slot6_Rate))),1)</f>
        <v>1</v>
      </c>
      <c r="FD36" s="1" t="n">
        <f aca="false">IF(AND(DD36=1,DN36&gt;0,Slot6_IsWG=1,BU36=1),MAX(0,(Slot6_Cost-BV36*(1+Slot6_Rate)^(Slot6_Age-D36))/FC36),0)</f>
        <v>0</v>
      </c>
      <c r="FE36" s="1" t="n">
        <f aca="false">IF(AND(DD36=1,DN36&gt;0,Slot6_IsWG=1,BU36=1),MIN(DN36,FD36),0)</f>
        <v>0</v>
      </c>
      <c r="FF36" s="1" t="n">
        <f aca="false">BV36+FE36</f>
        <v>0</v>
      </c>
      <c r="FG36" s="1" t="n">
        <f aca="false">IF(BU36=1,MAX(0,(Slot6_Cost-FF36*(1+Slot6_Rate)^(Slot6_Age-D36))/FC36),0)</f>
        <v>0</v>
      </c>
      <c r="FH36" s="1" t="n">
        <f aca="false">IF(BU36=1,MAX(0,(Slot6_Cost-BV36*(1+Slot6_Rate)^(Slot6_Age-D36))/FC36),0)</f>
        <v>0</v>
      </c>
      <c r="FI36" s="1" t="n">
        <f aca="false">IF(AND(DD36=1,BU36=1),MIN(FB36,FG36),0)</f>
        <v>0</v>
      </c>
      <c r="FJ36" s="1" t="n">
        <f aca="false">FB36-FI36</f>
        <v>0</v>
      </c>
      <c r="FK36" s="1" t="n">
        <f aca="false">IF(CE36=1,IF(ABS((1+AS_Wage)/(1+Slot7_Rate)-1)&lt;0.000000000001,(Slot7_Age-D36)*(1+Slot7_Rate)^(Slot7_Age-D36),(1+Slot7_Rate)^(Slot7_Age-D36)*(1-((1+AS_Wage)/(1+Slot7_Rate))^(Slot7_Age-D36))/(1-(1+AS_Wage)/(1+Slot7_Rate))),1)</f>
        <v>1</v>
      </c>
      <c r="FL36" s="1" t="n">
        <f aca="false">IF(AND(DD36=1,DN36&gt;0,Slot7_IsWG=1,CE36=1),MAX(0,(Slot7_Cost-CF36*(1+Slot7_Rate)^(Slot7_Age-D36))/FK36),0)</f>
        <v>0</v>
      </c>
      <c r="FM36" s="1" t="n">
        <f aca="false">IF(AND(DD36=1,DN36&gt;0,Slot7_IsWG=1,CE36=1),MIN(DN36,FL36),0)</f>
        <v>0</v>
      </c>
      <c r="FN36" s="1" t="n">
        <f aca="false">CF36+FM36</f>
        <v>0</v>
      </c>
      <c r="FO36" s="1" t="n">
        <f aca="false">IF(CE36=1,MAX(0,(Slot7_Cost-FN36*(1+Slot7_Rate)^(Slot7_Age-D36))/FK36),0)</f>
        <v>0</v>
      </c>
      <c r="FP36" s="1" t="n">
        <f aca="false">IF(CE36=1,MAX(0,(Slot7_Cost-CF36*(1+Slot7_Rate)^(Slot7_Age-D36))/FK36),0)</f>
        <v>0</v>
      </c>
      <c r="FQ36" s="1" t="n">
        <f aca="false">IF(AND(DD36=1,CE36=1),MIN(FJ36,FO36),0)</f>
        <v>0</v>
      </c>
      <c r="FR36" s="1" t="n">
        <f aca="false">FJ36-FQ36</f>
        <v>0</v>
      </c>
      <c r="FS36" s="1" t="n">
        <f aca="false">IF(CO36=1,IF(ABS((1+AS_Wage)/(1+Slot8_Rate)-1)&lt;0.000000000001,(Slot8_Age-D36)*(1+Slot8_Rate)^(Slot8_Age-D36),(1+Slot8_Rate)^(Slot8_Age-D36)*(1-((1+AS_Wage)/(1+Slot8_Rate))^(Slot8_Age-D36))/(1-(1+AS_Wage)/(1+Slot8_Rate))),1)</f>
        <v>1</v>
      </c>
      <c r="FT36" s="1" t="n">
        <f aca="false">IF(AND(DD36=1,DN36&gt;0,Slot8_IsWG=1,CO36=1),MAX(0,(Slot8_Cost-CP36*(1+Slot8_Rate)^(Slot8_Age-D36))/FS36),0)</f>
        <v>0</v>
      </c>
      <c r="FU36" s="1" t="n">
        <f aca="false">IF(AND(DD36=1,DN36&gt;0,Slot8_IsWG=1,CO36=1),MIN(DN36,FT36),0)</f>
        <v>0</v>
      </c>
      <c r="FV36" s="1" t="n">
        <f aca="false">CP36+FU36</f>
        <v>0</v>
      </c>
      <c r="FW36" s="1" t="n">
        <f aca="false">IF(CO36=1,MAX(0,(Slot8_Cost-FV36*(1+Slot8_Rate)^(Slot8_Age-D36))/FS36),0)</f>
        <v>0</v>
      </c>
      <c r="FX36" s="1" t="n">
        <f aca="false">IF(CO36=1,MAX(0,(Slot8_Cost-CP36*(1+Slot8_Rate)^(Slot8_Age-D36))/FS36),0)</f>
        <v>0</v>
      </c>
      <c r="FY36" s="1" t="n">
        <f aca="false">IF(AND(DD36=1,CO36=1),MIN(FR36,FW36),0)</f>
        <v>0</v>
      </c>
      <c r="FZ36" s="1" t="n">
        <f aca="false">FR36-FY36</f>
        <v>0</v>
      </c>
      <c r="GA36" s="1" t="n">
        <f aca="false">DN36-(DQ36+DY36+EG36+EO36+EW36+FE36+FM36+FU36)</f>
        <v>0</v>
      </c>
      <c r="GB36" s="1" t="n">
        <f aca="false">IF(DD36=1,DB36-DM36-DN36,0)</f>
        <v>0</v>
      </c>
      <c r="GC36" s="1" t="n">
        <f aca="false">IF(DD36=0,-DB36,0)</f>
        <v>0</v>
      </c>
      <c r="GD36" s="1" t="n">
        <f aca="false">MIN(GC36,CT36)</f>
        <v>0</v>
      </c>
      <c r="GE36" s="1" t="n">
        <f aca="false">GC36-GD36</f>
        <v>0</v>
      </c>
      <c r="GF36" s="1" t="n">
        <f aca="false">MIN(GE36,CU36)</f>
        <v>0</v>
      </c>
      <c r="GG36" s="1" t="n">
        <f aca="false">GE36-GF36</f>
        <v>0</v>
      </c>
      <c r="GH36" s="1" t="n">
        <f aca="false">IF(AND(DD36=0,CO36=1,GG36&gt;0),MIN(GG36,CP36),0)</f>
        <v>0</v>
      </c>
      <c r="GI36" s="1" t="n">
        <f aca="false">GG36-GH36</f>
        <v>0</v>
      </c>
      <c r="GJ36" s="1" t="n">
        <f aca="false">IF(AND(DD36=0,CE36=1,GI36&gt;0),MIN(GI36,CF36),0)</f>
        <v>0</v>
      </c>
      <c r="GK36" s="1" t="n">
        <f aca="false">GI36-GJ36</f>
        <v>0</v>
      </c>
      <c r="GL36" s="1" t="n">
        <f aca="false">IF(AND(DD36=0,BU36=1,GK36&gt;0),MIN(GK36,BV36),0)</f>
        <v>0</v>
      </c>
      <c r="GM36" s="1" t="n">
        <f aca="false">GK36-GL36</f>
        <v>0</v>
      </c>
      <c r="GN36" s="1" t="n">
        <f aca="false">IF(AND(DD36=0,BK36=1,GM36&gt;0),MIN(GM36,BL36),0)</f>
        <v>0</v>
      </c>
      <c r="GO36" s="1" t="n">
        <f aca="false">GM36-GN36</f>
        <v>0</v>
      </c>
      <c r="GP36" s="1" t="n">
        <f aca="false">IF(AND(DD36=0,BA36=1,GO36&gt;0),MIN(GO36,BB36),0)</f>
        <v>0</v>
      </c>
      <c r="GQ36" s="1" t="n">
        <f aca="false">GO36-GP36</f>
        <v>0</v>
      </c>
      <c r="GR36" s="1" t="n">
        <f aca="false">IF(AND(DD36=0,AQ36=1,GQ36&gt;0),MIN(GQ36,AR36),0)</f>
        <v>0</v>
      </c>
      <c r="GS36" s="1" t="n">
        <f aca="false">GQ36-GR36</f>
        <v>0</v>
      </c>
      <c r="GT36" s="1" t="n">
        <f aca="false">IF(AND(DD36=0,AG36=1,GS36&gt;0),MIN(GS36,AH36),0)</f>
        <v>0</v>
      </c>
      <c r="GU36" s="1" t="n">
        <f aca="false">GS36-GT36</f>
        <v>0</v>
      </c>
      <c r="GV36" s="1" t="n">
        <f aca="false">IF(AND(DD36=0,V36=1,GU36&gt;0),MIN(GU36,W36),0)</f>
        <v>0</v>
      </c>
      <c r="GW36" s="1" t="n">
        <f aca="false">GU36-GV36</f>
        <v>0</v>
      </c>
      <c r="GX36" s="1" t="n">
        <f aca="false">IF(DD36=0,GW36,0)</f>
        <v>0</v>
      </c>
      <c r="GY36" s="1" t="n">
        <f aca="false">GD36+GF36+GV36+GT36+GR36+GP36+GN36+GL36+GJ36+GH36</f>
        <v>0</v>
      </c>
      <c r="GZ36" s="1" t="n">
        <f aca="false">IF(DD36=1,CT36+GA36+FZ36+IF(F36=1,0,GB36),CT36-GD36)</f>
        <v>0</v>
      </c>
      <c r="HA36" s="1" t="n">
        <f aca="false">CU36-GF36</f>
        <v>0</v>
      </c>
      <c r="HB36" s="1" t="n">
        <f aca="false">IF(DD36=1,IF(F36=1,DM36+DN36,DB36),0)</f>
        <v>0</v>
      </c>
      <c r="HC36" s="1" t="n">
        <f aca="false">IF(DD36=1,IF(F36=1,DB36-DM36-DN36,0),0)</f>
        <v>0</v>
      </c>
      <c r="HD36" s="1" t="n">
        <f aca="false">GZ36*(1+GR)</f>
        <v>0</v>
      </c>
      <c r="HE36" s="1" t="n">
        <f aca="false">HA36*(1+AS_Cash)</f>
        <v>0</v>
      </c>
      <c r="HF36" s="1" t="n">
        <f aca="false">IF(V36=1,IF(DD36=1,DR36+DU36,W36-GV36)*(1+Slot1_Rate),0)</f>
        <v>0</v>
      </c>
      <c r="HG36" s="1" t="n">
        <f aca="false">IF(AND(DD36=1,V36=1),(DQ36+DU36)/E36,0)</f>
        <v>0</v>
      </c>
      <c r="HH36" s="1" t="n">
        <f aca="false">IF(B36=0,DQ36+DU36,0)</f>
        <v>0</v>
      </c>
      <c r="HI36" s="1" t="n">
        <f aca="false">IF(B36=0,IF(DD36=1,DS36,DT36),0)</f>
        <v>0</v>
      </c>
      <c r="HJ36" s="1" t="n">
        <f aca="false">IF(AG36=1,IF(DD36=1,DZ36+EC36,AH36-GT36)*(1+Slot2_Rate),0)</f>
        <v>0</v>
      </c>
      <c r="HK36" s="1" t="n">
        <f aca="false">IF(AND(DD36=1,AG36=1),(DY36+EC36)/E36,0)</f>
        <v>0</v>
      </c>
      <c r="HL36" s="1" t="n">
        <f aca="false">IF(B36=0,DY36+EC36,0)</f>
        <v>0</v>
      </c>
      <c r="HM36" s="1" t="n">
        <f aca="false">IF(B36=0,IF(DD36=1,EA36,EB36),0)</f>
        <v>0</v>
      </c>
      <c r="HN36" s="1" t="n">
        <f aca="false">IF(AQ36=1,IF(DD36=1,EH36+EK36,AR36-GR36)*(1+Slot3_Rate),0)</f>
        <v>0</v>
      </c>
      <c r="HO36" s="1" t="n">
        <f aca="false">IF(AND(DD36=1,AQ36=1),(EG36+EK36)/E36,0)</f>
        <v>0</v>
      </c>
      <c r="HP36" s="1" t="n">
        <f aca="false">IF(B36=0,EG36+EK36,0)</f>
        <v>0</v>
      </c>
      <c r="HQ36" s="1" t="n">
        <f aca="false">IF(B36=0,IF(DD36=1,EI36,EJ36),0)</f>
        <v>0</v>
      </c>
      <c r="HR36" s="1" t="n">
        <f aca="false">IF(BA36=1,IF(DD36=1,EP36+ES36,BB36-GP36)*(1+Slot4_Rate),0)</f>
        <v>0</v>
      </c>
      <c r="HS36" s="1" t="n">
        <f aca="false">IF(AND(DD36=1,BA36=1),(EO36+ES36)/E36,0)</f>
        <v>0</v>
      </c>
      <c r="HT36" s="1" t="n">
        <f aca="false">IF(B36=0,EO36+ES36,0)</f>
        <v>0</v>
      </c>
      <c r="HU36" s="1" t="n">
        <f aca="false">IF(B36=0,IF(DD36=1,EQ36,ER36),0)</f>
        <v>0</v>
      </c>
      <c r="HV36" s="1" t="n">
        <f aca="false">IF(BK36=1,IF(DD36=1,EX36+FA36,BL36-GN36)*(1+Slot5_Rate),0)</f>
        <v>0</v>
      </c>
      <c r="HW36" s="1" t="n">
        <f aca="false">IF(AND(DD36=1,BK36=1),(EW36+FA36)/E36,0)</f>
        <v>0</v>
      </c>
      <c r="HX36" s="1" t="n">
        <f aca="false">IF(B36=0,EW36+FA36,0)</f>
        <v>0</v>
      </c>
      <c r="HY36" s="1" t="n">
        <f aca="false">IF(B36=0,IF(DD36=1,EY36,EZ36),0)</f>
        <v>0</v>
      </c>
      <c r="HZ36" s="1" t="n">
        <f aca="false">IF(BU36=1,IF(DD36=1,FF36+FI36,BV36-GL36)*(1+Slot6_Rate),0)</f>
        <v>0</v>
      </c>
      <c r="IA36" s="1" t="n">
        <f aca="false">IF(AND(DD36=1,BU36=1),(FE36+FI36)/E36,0)</f>
        <v>0</v>
      </c>
      <c r="IB36" s="1" t="n">
        <f aca="false">IF(B36=0,FE36+FI36,0)</f>
        <v>0</v>
      </c>
      <c r="IC36" s="1" t="n">
        <f aca="false">IF(B36=0,IF(DD36=1,FG36,FH36),0)</f>
        <v>0</v>
      </c>
      <c r="ID36" s="1" t="n">
        <f aca="false">IF(CE36=1,IF(DD36=1,FN36+FQ36,CF36-GJ36)*(1+Slot7_Rate),0)</f>
        <v>0</v>
      </c>
      <c r="IE36" s="1" t="n">
        <f aca="false">IF(AND(DD36=1,CE36=1),(FM36+FQ36)/E36,0)</f>
        <v>0</v>
      </c>
      <c r="IF36" s="1" t="n">
        <f aca="false">IF(B36=0,FM36+FQ36,0)</f>
        <v>0</v>
      </c>
      <c r="IG36" s="1" t="n">
        <f aca="false">IF(B36=0,IF(DD36=1,FO36,FP36),0)</f>
        <v>0</v>
      </c>
      <c r="IH36" s="1" t="n">
        <f aca="false">IF(CO36=1,IF(DD36=1,FV36+FY36,CP36-GH36)*(1+Slot8_Rate),0)</f>
        <v>0</v>
      </c>
      <c r="II36" s="1" t="n">
        <f aca="false">IF(AND(DD36=1,CO36=1),(FU36+FY36)/E36,0)</f>
        <v>0</v>
      </c>
      <c r="IJ36" s="1" t="n">
        <f aca="false">IF(B36=0,FU36+FY36,0)</f>
        <v>0</v>
      </c>
      <c r="IK36" s="1" t="n">
        <f aca="false">IF(B36=0,IF(DD36=1,FW36,FX36),0)</f>
        <v>0</v>
      </c>
      <c r="IL36" s="1" t="n">
        <f aca="false">HD36+HE36+HF36+HJ36+HN36+HR36+HV36+HZ36+ID36+IH36</f>
        <v>0</v>
      </c>
      <c r="IM36" s="1" t="n">
        <f aca="false">GX36+CY36</f>
        <v>0</v>
      </c>
      <c r="IN36" s="1" t="n">
        <f aca="false">H36+R36</f>
        <v>0</v>
      </c>
      <c r="IO36" s="1" t="n">
        <f aca="false">1-F36</f>
        <v>1</v>
      </c>
      <c r="IP36" s="1" t="n">
        <f aca="false">IF(AND(RG_Exists=1,F36=0,C36=1),H36,0)</f>
        <v>0</v>
      </c>
      <c r="IQ36" s="1" t="n">
        <f aca="false">IF(AND(RG_Exists=1,F36=0,C36=1),H36-MIN(GX36,H36),0)</f>
        <v>0</v>
      </c>
      <c r="IR36" s="1" t="n">
        <f aca="false">'Plan pay &amp; tax'!AD238</f>
        <v>0</v>
      </c>
      <c r="IS36" s="1" t="n">
        <f aca="false">IF(AND(C36=1,GX36&gt;MAX(PR_Short1,IN36*PR_Short2)),1,0)</f>
        <v>0</v>
      </c>
      <c r="IT36" s="1" t="n">
        <f aca="false">MIN(G36,H36+R36)</f>
        <v>0</v>
      </c>
      <c r="IU36" s="1" t="n">
        <f aca="false">GY36+MAX(0,CZ36-CY36)</f>
        <v>0</v>
      </c>
      <c r="IV36" s="1" t="n">
        <f aca="false">GX36+CY36</f>
        <v>0</v>
      </c>
      <c r="IW36" s="1" t="n">
        <f aca="false">IF(AND(C36=1,IV36&gt;0.5),1,0)</f>
        <v>0</v>
      </c>
      <c r="IX36" s="1" t="n">
        <f aca="false">IF(AND(C36=1,IW36=0,IU36&gt;0.5),1,0)</f>
        <v>0</v>
      </c>
      <c r="IY36" s="1" t="n">
        <f aca="false">IF(AND(C36=1,GX36&gt;0.5),1,0)</f>
        <v>0</v>
      </c>
      <c r="IZ36" s="1" t="n">
        <f aca="false">IF(AND(C36=1,GY36&gt;1,JF36=0),1,0)</f>
        <v>0</v>
      </c>
      <c r="JA36" s="1" t="n">
        <f aca="false">IF(AND(INT(D36/10)*10=90,B36&gt;0),80,INT(D36/10)*10)</f>
        <v>20</v>
      </c>
      <c r="JB36" s="1" t="n">
        <f aca="false">IF(B36=0,1,IF(JA36&lt;&gt;JA35,JB35+1,JB35))</f>
        <v>3</v>
      </c>
      <c r="JC36" s="1" t="n">
        <f aca="false">IF(AND(C36=1,F36=1,GX36&gt;MAX(PR_Short1,IN36*PR_Short2)),1,0)</f>
        <v>0</v>
      </c>
      <c r="JD36" s="1" t="n">
        <f aca="false">IO36*IS36</f>
        <v>0</v>
      </c>
      <c r="JE36" s="1" t="n">
        <f aca="false">IF(AND(U36=1,Slot1_PctLow=1),1,0)+IF(AND(AF36=1,Slot2_PctLow=1),1,0)+IF(AND(AP36=1,Slot3_PctLow=1),1,0)+IF(AND(AZ36=1,Slot4_PctLow=1),1,0)+IF(AND(BJ36=1,Slot5_PctLow=1),1,0)+IF(AND(BT36=1,Slot6_PctLow=1),1,0)+IF(AND(CD36=1,Slot7_PctLow=1),1,0)+IF(AND(CN36=1,Slot8_PctLow=1),1,0)</f>
        <v>0</v>
      </c>
      <c r="JF36" s="1" t="n">
        <f aca="false">IF(C36=1,IF(OR(IS36=1,JE36&gt;0),1,0),0)</f>
        <v>0</v>
      </c>
    </row>
    <row r="37" customFormat="false" ht="15" hidden="false" customHeight="false" outlineLevel="0" collapsed="false">
      <c r="B37" s="1" t="n">
        <v>29</v>
      </c>
      <c r="C37" s="1" t="n">
        <f aca="false">IF(B37&lt;=F_N,1,0)</f>
        <v>1</v>
      </c>
      <c r="D37" s="1" t="n">
        <f aca="false">'Plan pay &amp; tax'!C239</f>
        <v>29</v>
      </c>
      <c r="E37" s="106" t="n">
        <f aca="false">'Plan pay &amp; tax'!E239</f>
        <v>1.77584469029741</v>
      </c>
      <c r="F37" s="1" t="n">
        <f aca="false">'Plan pay &amp; tax'!G239</f>
        <v>0</v>
      </c>
      <c r="G37" s="1" t="n">
        <f aca="false">'Plan pay &amp; tax'!BT239-'Plan pay &amp; tax'!BS239-'Plan pay &amp; tax'!R239</f>
        <v>0</v>
      </c>
      <c r="H37" s="1" t="n">
        <f aca="false">IF(F37=1,F_CostsM*12,IF(RG_Exists=1,RG_Amount,F_CostsM*12*AS_RetireSpend))*E37+F_OneOffY*E37</f>
        <v>0</v>
      </c>
      <c r="I37" s="1" t="n">
        <f aca="false">DA36</f>
        <v>0</v>
      </c>
      <c r="J37" s="1" t="n">
        <f aca="false">IF(I37&gt;1,'Plan debt months'!AC37,0)</f>
        <v>0</v>
      </c>
      <c r="K37" s="1" t="n">
        <f aca="false">IF(I37&gt;1,'Plan debt months'!AB37,I37)</f>
        <v>0</v>
      </c>
      <c r="L37" s="1" t="n">
        <f aca="false">N36</f>
        <v>0</v>
      </c>
      <c r="M37" s="1" t="n">
        <f aca="false">IF(L37&gt;1,'Plan debt months'!BD37,0)</f>
        <v>0</v>
      </c>
      <c r="N37" s="1" t="n">
        <f aca="false">IF(L37&gt;1,'Plan debt months'!BC37,L37)</f>
        <v>0</v>
      </c>
      <c r="O37" s="1" t="n">
        <f aca="false">Q36</f>
        <v>0</v>
      </c>
      <c r="P37" s="1" t="n">
        <f aca="false">IF(O37&gt;1,'Plan debt months'!CE37,0)</f>
        <v>0</v>
      </c>
      <c r="Q37" s="1" t="n">
        <f aca="false">IF(O37&gt;1,'Plan debt months'!CD37,O37)</f>
        <v>0</v>
      </c>
      <c r="R37" s="1" t="n">
        <f aca="false">J37+M37+P37</f>
        <v>0</v>
      </c>
      <c r="S37" s="1" t="n">
        <f aca="false">HD36+'Plan pay &amp; tax'!Y239</f>
        <v>0</v>
      </c>
      <c r="T37" s="1" t="n">
        <f aca="false">HD36</f>
        <v>0</v>
      </c>
      <c r="U37" s="1" t="n">
        <f aca="false">IF(AND(Slot1_On=1,D37=Slot1_Age),1,0)</f>
        <v>0</v>
      </c>
      <c r="V37" s="1" t="n">
        <f aca="false">IF(AND(Slot1_On=1,Slot1_Age&gt;D37),1,0)</f>
        <v>0</v>
      </c>
      <c r="W37" s="1" t="n">
        <f aca="false">HF36</f>
        <v>0</v>
      </c>
      <c r="X37" s="1" t="n">
        <f aca="false">U37*MIN(Slot1_Cost,W37)</f>
        <v>0</v>
      </c>
      <c r="Y37" s="1" t="n">
        <f aca="false">U37*Slot1_SpendLike*MIN(Slot1_Cost-X37,S37)</f>
        <v>0</v>
      </c>
      <c r="Z37" s="1" t="n">
        <f aca="false">X37+Y37</f>
        <v>0</v>
      </c>
      <c r="AA37" s="1" t="n">
        <f aca="false">S37-Y37+U37*IF(Slot1_SpendLike=1,W37-X37,IF(Slot1_PotFree=1,W37,0))</f>
        <v>0</v>
      </c>
      <c r="AB37" s="1" t="n">
        <f aca="false">AE37+U37*Slot1_BufPot*W37</f>
        <v>0</v>
      </c>
      <c r="AC37" s="1" t="n">
        <f aca="false">IF(AND(U37=1,Slot1_IsMfree=1),IF(Z37&gt;=Slot1_Cost-1,0,MAX(0,K37-Z37)),K37)</f>
        <v>0</v>
      </c>
      <c r="AD37" s="1" t="n">
        <f aca="false">U37*(Slot1_Cost-Z37)</f>
        <v>0</v>
      </c>
      <c r="AE37" s="1" t="n">
        <f aca="false">HE36</f>
        <v>0</v>
      </c>
      <c r="AF37" s="1" t="n">
        <f aca="false">IF(AND(Slot2_On=1,D37=Slot2_Age),1,0)</f>
        <v>0</v>
      </c>
      <c r="AG37" s="1" t="n">
        <f aca="false">IF(AND(Slot2_On=1,Slot2_Age&gt;D37),1,0)</f>
        <v>0</v>
      </c>
      <c r="AH37" s="1" t="n">
        <f aca="false">HJ36</f>
        <v>0</v>
      </c>
      <c r="AI37" s="1" t="n">
        <f aca="false">AF37*MIN(Slot2_Cost,AH37)</f>
        <v>0</v>
      </c>
      <c r="AJ37" s="1" t="n">
        <f aca="false">AF37*Slot2_SpendLike*MIN(Slot2_Cost-AI37,AA37)</f>
        <v>0</v>
      </c>
      <c r="AK37" s="1" t="n">
        <f aca="false">AI37+AJ37</f>
        <v>0</v>
      </c>
      <c r="AL37" s="1" t="n">
        <f aca="false">AA37-AJ37+AF37*IF(Slot2_SpendLike=1,AH37-AI37,IF(Slot2_PotFree=1,AH37,0))</f>
        <v>0</v>
      </c>
      <c r="AM37" s="1" t="n">
        <f aca="false">AB37+AF37*Slot2_BufPot*AH37</f>
        <v>0</v>
      </c>
      <c r="AN37" s="1" t="n">
        <f aca="false">IF(AND(AF37=1,Slot2_IsMfree=1),IF(AK37&gt;=Slot2_Cost-1,0,MAX(0,AC37-AK37)),AC37)</f>
        <v>0</v>
      </c>
      <c r="AO37" s="1" t="n">
        <f aca="false">AF37*(Slot2_Cost-AK37)</f>
        <v>0</v>
      </c>
      <c r="AP37" s="1" t="n">
        <f aca="false">IF(AND(Slot3_On=1,D37=Slot3_Age),1,0)</f>
        <v>0</v>
      </c>
      <c r="AQ37" s="1" t="n">
        <f aca="false">IF(AND(Slot3_On=1,Slot3_Age&gt;D37),1,0)</f>
        <v>0</v>
      </c>
      <c r="AR37" s="1" t="n">
        <f aca="false">HN36</f>
        <v>0</v>
      </c>
      <c r="AS37" s="1" t="n">
        <f aca="false">AP37*MIN(Slot3_Cost,AR37)</f>
        <v>0</v>
      </c>
      <c r="AT37" s="1" t="n">
        <f aca="false">AP37*Slot3_SpendLike*MIN(Slot3_Cost-AS37,AL37)</f>
        <v>0</v>
      </c>
      <c r="AU37" s="1" t="n">
        <f aca="false">AS37+AT37</f>
        <v>0</v>
      </c>
      <c r="AV37" s="1" t="n">
        <f aca="false">AL37-AT37+AP37*IF(Slot3_SpendLike=1,AR37-AS37,IF(Slot3_PotFree=1,AR37,0))</f>
        <v>0</v>
      </c>
      <c r="AW37" s="1" t="n">
        <f aca="false">AM37+AP37*Slot3_BufPot*AR37</f>
        <v>0</v>
      </c>
      <c r="AX37" s="1" t="n">
        <f aca="false">IF(AND(AP37=1,Slot3_IsMfree=1),IF(AU37&gt;=Slot3_Cost-1,0,MAX(0,AN37-AU37)),AN37)</f>
        <v>0</v>
      </c>
      <c r="AY37" s="1" t="n">
        <f aca="false">AP37*(Slot3_Cost-AU37)</f>
        <v>0</v>
      </c>
      <c r="AZ37" s="1" t="n">
        <f aca="false">IF(AND(Slot4_On=1,D37=Slot4_Age),1,0)</f>
        <v>0</v>
      </c>
      <c r="BA37" s="1" t="n">
        <f aca="false">IF(AND(Slot4_On=1,Slot4_Age&gt;D37),1,0)</f>
        <v>0</v>
      </c>
      <c r="BB37" s="1" t="n">
        <f aca="false">HR36</f>
        <v>0</v>
      </c>
      <c r="BC37" s="1" t="n">
        <f aca="false">AZ37*MIN(Slot4_Cost,BB37)</f>
        <v>0</v>
      </c>
      <c r="BD37" s="1" t="n">
        <f aca="false">AZ37*Slot4_SpendLike*MIN(Slot4_Cost-BC37,AV37)</f>
        <v>0</v>
      </c>
      <c r="BE37" s="1" t="n">
        <f aca="false">BC37+BD37</f>
        <v>0</v>
      </c>
      <c r="BF37" s="1" t="n">
        <f aca="false">AV37-BD37+AZ37*IF(Slot4_SpendLike=1,BB37-BC37,IF(Slot4_PotFree=1,BB37,0))</f>
        <v>0</v>
      </c>
      <c r="BG37" s="1" t="n">
        <f aca="false">AW37+AZ37*Slot4_BufPot*BB37</f>
        <v>0</v>
      </c>
      <c r="BH37" s="1" t="n">
        <f aca="false">IF(AND(AZ37=1,Slot4_IsMfree=1),IF(BE37&gt;=Slot4_Cost-1,0,MAX(0,AX37-BE37)),AX37)</f>
        <v>0</v>
      </c>
      <c r="BI37" s="1" t="n">
        <f aca="false">AZ37*(Slot4_Cost-BE37)</f>
        <v>0</v>
      </c>
      <c r="BJ37" s="1" t="n">
        <f aca="false">IF(AND(Slot5_On=1,D37=Slot5_Age),1,0)</f>
        <v>0</v>
      </c>
      <c r="BK37" s="1" t="n">
        <f aca="false">IF(AND(Slot5_On=1,Slot5_Age&gt;D37),1,0)</f>
        <v>0</v>
      </c>
      <c r="BL37" s="1" t="n">
        <f aca="false">HV36</f>
        <v>0</v>
      </c>
      <c r="BM37" s="1" t="n">
        <f aca="false">BJ37*MIN(Slot5_Cost,BL37)</f>
        <v>0</v>
      </c>
      <c r="BN37" s="1" t="n">
        <f aca="false">BJ37*Slot5_SpendLike*MIN(Slot5_Cost-BM37,BF37)</f>
        <v>0</v>
      </c>
      <c r="BO37" s="1" t="n">
        <f aca="false">BM37+BN37</f>
        <v>0</v>
      </c>
      <c r="BP37" s="1" t="n">
        <f aca="false">BF37-BN37+BJ37*IF(Slot5_SpendLike=1,BL37-BM37,IF(Slot5_PotFree=1,BL37,0))</f>
        <v>0</v>
      </c>
      <c r="BQ37" s="1" t="n">
        <f aca="false">BG37+BJ37*Slot5_BufPot*BL37</f>
        <v>0</v>
      </c>
      <c r="BR37" s="1" t="n">
        <f aca="false">IF(AND(BJ37=1,Slot5_IsMfree=1),IF(BO37&gt;=Slot5_Cost-1,0,MAX(0,BH37-BO37)),BH37)</f>
        <v>0</v>
      </c>
      <c r="BS37" s="1" t="n">
        <f aca="false">BJ37*(Slot5_Cost-BO37)</f>
        <v>0</v>
      </c>
      <c r="BT37" s="1" t="n">
        <f aca="false">IF(AND(Slot6_On=1,D37=Slot6_Age),1,0)</f>
        <v>0</v>
      </c>
      <c r="BU37" s="1" t="n">
        <f aca="false">IF(AND(Slot6_On=1,Slot6_Age&gt;D37),1,0)</f>
        <v>0</v>
      </c>
      <c r="BV37" s="1" t="n">
        <f aca="false">HZ36</f>
        <v>0</v>
      </c>
      <c r="BW37" s="1" t="n">
        <f aca="false">BT37*MIN(Slot6_Cost,BV37)</f>
        <v>0</v>
      </c>
      <c r="BX37" s="1" t="n">
        <f aca="false">BT37*Slot6_SpendLike*MIN(Slot6_Cost-BW37,BP37)</f>
        <v>0</v>
      </c>
      <c r="BY37" s="1" t="n">
        <f aca="false">BW37+BX37</f>
        <v>0</v>
      </c>
      <c r="BZ37" s="1" t="n">
        <f aca="false">BP37-BX37+BT37*IF(Slot6_SpendLike=1,BV37-BW37,IF(Slot6_PotFree=1,BV37,0))</f>
        <v>0</v>
      </c>
      <c r="CA37" s="1" t="n">
        <f aca="false">BQ37+BT37*Slot6_BufPot*BV37</f>
        <v>0</v>
      </c>
      <c r="CB37" s="1" t="n">
        <f aca="false">IF(AND(BT37=1,Slot6_IsMfree=1),IF(BY37&gt;=Slot6_Cost-1,0,MAX(0,BR37-BY37)),BR37)</f>
        <v>0</v>
      </c>
      <c r="CC37" s="1" t="n">
        <f aca="false">BT37*(Slot6_Cost-BY37)</f>
        <v>0</v>
      </c>
      <c r="CD37" s="1" t="n">
        <f aca="false">IF(AND(Slot7_On=1,D37=Slot7_Age),1,0)</f>
        <v>0</v>
      </c>
      <c r="CE37" s="1" t="n">
        <f aca="false">IF(AND(Slot7_On=1,Slot7_Age&gt;D37),1,0)</f>
        <v>0</v>
      </c>
      <c r="CF37" s="1" t="n">
        <f aca="false">ID36</f>
        <v>0</v>
      </c>
      <c r="CG37" s="1" t="n">
        <f aca="false">CD37*MIN(Slot7_Cost,CF37)</f>
        <v>0</v>
      </c>
      <c r="CH37" s="1" t="n">
        <f aca="false">CD37*Slot7_SpendLike*MIN(Slot7_Cost-CG37,BZ37)</f>
        <v>0</v>
      </c>
      <c r="CI37" s="1" t="n">
        <f aca="false">CG37+CH37</f>
        <v>0</v>
      </c>
      <c r="CJ37" s="1" t="n">
        <f aca="false">BZ37-CH37+CD37*IF(Slot7_SpendLike=1,CF37-CG37,IF(Slot7_PotFree=1,CF37,0))</f>
        <v>0</v>
      </c>
      <c r="CK37" s="1" t="n">
        <f aca="false">CA37+CD37*Slot7_BufPot*CF37</f>
        <v>0</v>
      </c>
      <c r="CL37" s="1" t="n">
        <f aca="false">IF(AND(CD37=1,Slot7_IsMfree=1),IF(CI37&gt;=Slot7_Cost-1,0,MAX(0,CB37-CI37)),CB37)</f>
        <v>0</v>
      </c>
      <c r="CM37" s="1" t="n">
        <f aca="false">CD37*(Slot7_Cost-CI37)</f>
        <v>0</v>
      </c>
      <c r="CN37" s="1" t="n">
        <f aca="false">IF(AND(Slot8_On=1,D37=Slot8_Age),1,0)</f>
        <v>0</v>
      </c>
      <c r="CO37" s="1" t="n">
        <f aca="false">IF(AND(Slot8_On=1,Slot8_Age&gt;D37),1,0)</f>
        <v>0</v>
      </c>
      <c r="CP37" s="1" t="n">
        <f aca="false">IH36</f>
        <v>0</v>
      </c>
      <c r="CQ37" s="1" t="n">
        <f aca="false">CN37*MIN(Slot8_Cost,CP37)</f>
        <v>0</v>
      </c>
      <c r="CR37" s="1" t="n">
        <f aca="false">CN37*Slot8_SpendLike*MIN(Slot8_Cost-CQ37,CJ37)</f>
        <v>0</v>
      </c>
      <c r="CS37" s="1" t="n">
        <f aca="false">CQ37+CR37</f>
        <v>0</v>
      </c>
      <c r="CT37" s="1" t="n">
        <f aca="false">CJ37-CR37+CN37*IF(Slot8_SpendLike=1,CP37-CQ37,IF(Slot8_PotFree=1,CP37,0))</f>
        <v>0</v>
      </c>
      <c r="CU37" s="1" t="n">
        <f aca="false">CK37+CN37*Slot8_BufPot*CP37</f>
        <v>0</v>
      </c>
      <c r="CV37" s="1" t="n">
        <f aca="false">IF(AND(CN37=1,Slot8_IsMfree=1),IF(CS37&gt;=Slot8_Cost-1,0,MAX(0,CL37-CS37)),CL37)</f>
        <v>0</v>
      </c>
      <c r="CW37" s="1" t="n">
        <f aca="false">CN37*(Slot8_Cost-CS37)</f>
        <v>0</v>
      </c>
      <c r="CX37" s="1" t="n">
        <f aca="false">U37*Slot1_SpendLike*Z37+AF37*Slot2_SpendLike*AK37+AP37*Slot3_SpendLike*AU37+AZ37*Slot4_SpendLike*BE37+BJ37*Slot5_SpendLike*BO37+BT37*Slot6_SpendLike*BY37+CD37*Slot7_SpendLike*CI37+CN37*Slot8_SpendLike*CS37</f>
        <v>0</v>
      </c>
      <c r="CY37" s="1" t="n">
        <f aca="false">AD37+AO37+AY37+BI37+BS37+CC37+CM37+CW37</f>
        <v>0</v>
      </c>
      <c r="CZ37" s="1" t="n">
        <f aca="false">U37*Slot1_Cost+AF37*Slot2_Cost+AP37*Slot3_Cost+AZ37*Slot4_Cost+BJ37*Slot5_Cost+BT37*Slot6_Cost+CD37*Slot7_Cost+CN37*Slot8_Cost</f>
        <v>0</v>
      </c>
      <c r="DA37" s="1" t="n">
        <f aca="false">CV37</f>
        <v>0</v>
      </c>
      <c r="DB37" s="1" t="n">
        <f aca="false">G37-H37-R37</f>
        <v>0</v>
      </c>
      <c r="DC37" s="1" t="n">
        <f aca="false">IF(B37=0,IF(AND(Has_q6=1,In_q6=4),PR_ShareVaries*(MAX(0,DB37)/12),MIN(IF(Has_q6=1,CHOOSE(In_q6+1,PR_SaveB1,PR_SaveB2,PR_SaveB3,PR_SaveB4,0),AS_NoAnswer),AS_SaveShare*(MAX(0,DB37)/12))),DC36)</f>
        <v>0</v>
      </c>
      <c r="DD37" s="1" t="n">
        <f aca="false">IF(DB37&gt;=0,1,0)</f>
        <v>1</v>
      </c>
      <c r="DE37" s="1" t="n">
        <f aca="false">MAX(0,DB37/12/E37)</f>
        <v>0</v>
      </c>
      <c r="DF37" s="1" t="n">
        <f aca="false">IF(AND(Has_q6=1,In_q6=4),PR_ShareVaries*(DE37),MIN(IF(Has_q6=1,CHOOSE(In_q6+1,PR_SaveB1,PR_SaveB2,PR_SaveB3,PR_SaveB4,0),AS_NoAnswer),AS_SaveShare*(DE37)))</f>
        <v>0</v>
      </c>
      <c r="DG37" s="1" t="n">
        <f aca="false">IF(Has_saveM=1,IF(In_saveUp="Yes",1,IF(In_saveUp="No",0,IF(In_saveM&gt;=DC37-0.5,1,0))),0)</f>
        <v>0</v>
      </c>
      <c r="DH37" s="1" t="n">
        <f aca="false">IF(Has_saveM=1,MIN(DE37,IF(DG37=1,MAX(In_saveM,DF37),MIN(In_saveM,DF37))),DF37)</f>
        <v>0</v>
      </c>
      <c r="DI37" s="1" t="n">
        <f aca="false">IF(F37=1,DH37*12*E37,0)</f>
        <v>0</v>
      </c>
      <c r="DJ37" s="1" t="n">
        <f aca="false">MAX(0,DI37+IF(AND(WI_Retire=0,WI_M&lt;0,F37=1),WI_M*12*E37,0))</f>
        <v>0</v>
      </c>
      <c r="DK37" s="1" t="n">
        <f aca="false">Slot1_IsWG*V37+Slot2_IsWG*AG37+Slot3_IsWG*AQ37+Slot4_IsWG*BA37+Slot5_IsWG*BK37+Slot6_IsWG*BU37+Slot7_IsWG*CE37+Slot8_IsWG*CO37</f>
        <v>0</v>
      </c>
      <c r="DL37" s="1" t="n">
        <f aca="false">IF(AND(WI_Retire=0,WI_M&gt;0,F37=1,DK37&gt;=1),WI_M*12*E37,0)</f>
        <v>0</v>
      </c>
      <c r="DM37" s="1" t="n">
        <f aca="false">IF(DD37=1,MIN(DJ37,DB37),0)</f>
        <v>0</v>
      </c>
      <c r="DN37" s="1" t="n">
        <f aca="false">IF(DD37=1,MIN(DL37,DB37-DM37),0)</f>
        <v>0</v>
      </c>
      <c r="DO37" s="1" t="n">
        <f aca="false">IF(V37=1,IF(ABS((1+AS_Wage)/(1+Slot1_Rate)-1)&lt;0.000000000001,(Slot1_Age-D37)*(1+Slot1_Rate)^(Slot1_Age-D37),(1+Slot1_Rate)^(Slot1_Age-D37)*(1-((1+AS_Wage)/(1+Slot1_Rate))^(Slot1_Age-D37))/(1-(1+AS_Wage)/(1+Slot1_Rate))),1)</f>
        <v>1</v>
      </c>
      <c r="DP37" s="1" t="n">
        <f aca="false">IF(AND(DD37=1,DN37&gt;0,Slot1_IsWG=1,V37=1),MAX(0,(Slot1_Cost-W37*(1+Slot1_Rate)^(Slot1_Age-D37))/DO37),0)</f>
        <v>0</v>
      </c>
      <c r="DQ37" s="1" t="n">
        <f aca="false">IF(AND(DD37=1,DN37&gt;0,Slot1_IsWG=1,V37=1),MIN(DN37,DP37),0)</f>
        <v>0</v>
      </c>
      <c r="DR37" s="1" t="n">
        <f aca="false">W37+DQ37</f>
        <v>0</v>
      </c>
      <c r="DS37" s="1" t="n">
        <f aca="false">IF(V37=1,MAX(0,(Slot1_Cost-DR37*(1+Slot1_Rate)^(Slot1_Age-D37))/DO37),0)</f>
        <v>0</v>
      </c>
      <c r="DT37" s="1" t="n">
        <f aca="false">IF(V37=1,MAX(0,(Slot1_Cost-W37*(1+Slot1_Rate)^(Slot1_Age-D37))/DO37),0)</f>
        <v>0</v>
      </c>
      <c r="DU37" s="1" t="n">
        <f aca="false">IF(AND(DD37=1,V37=1),MIN(DM37,DS37),0)</f>
        <v>0</v>
      </c>
      <c r="DV37" s="1" t="n">
        <f aca="false">DM37-DU37</f>
        <v>0</v>
      </c>
      <c r="DW37" s="1" t="n">
        <f aca="false">IF(AG37=1,IF(ABS((1+AS_Wage)/(1+Slot2_Rate)-1)&lt;0.000000000001,(Slot2_Age-D37)*(1+Slot2_Rate)^(Slot2_Age-D37),(1+Slot2_Rate)^(Slot2_Age-D37)*(1-((1+AS_Wage)/(1+Slot2_Rate))^(Slot2_Age-D37))/(1-(1+AS_Wage)/(1+Slot2_Rate))),1)</f>
        <v>1</v>
      </c>
      <c r="DX37" s="1" t="n">
        <f aca="false">IF(AND(DD37=1,DN37&gt;0,Slot2_IsWG=1,AG37=1),MAX(0,(Slot2_Cost-AH37*(1+Slot2_Rate)^(Slot2_Age-D37))/DW37),0)</f>
        <v>0</v>
      </c>
      <c r="DY37" s="1" t="n">
        <f aca="false">IF(AND(DD37=1,DN37&gt;0,Slot2_IsWG=1,AG37=1),MIN(DN37,DX37),0)</f>
        <v>0</v>
      </c>
      <c r="DZ37" s="1" t="n">
        <f aca="false">AH37+DY37</f>
        <v>0</v>
      </c>
      <c r="EA37" s="1" t="n">
        <f aca="false">IF(AG37=1,MAX(0,(Slot2_Cost-DZ37*(1+Slot2_Rate)^(Slot2_Age-D37))/DW37),0)</f>
        <v>0</v>
      </c>
      <c r="EB37" s="1" t="n">
        <f aca="false">IF(AG37=1,MAX(0,(Slot2_Cost-AH37*(1+Slot2_Rate)^(Slot2_Age-D37))/DW37),0)</f>
        <v>0</v>
      </c>
      <c r="EC37" s="1" t="n">
        <f aca="false">IF(AND(DD37=1,AG37=1),MIN(DV37,EA37),0)</f>
        <v>0</v>
      </c>
      <c r="ED37" s="1" t="n">
        <f aca="false">DV37-EC37</f>
        <v>0</v>
      </c>
      <c r="EE37" s="1" t="n">
        <f aca="false">IF(AQ37=1,IF(ABS((1+AS_Wage)/(1+Slot3_Rate)-1)&lt;0.000000000001,(Slot3_Age-D37)*(1+Slot3_Rate)^(Slot3_Age-D37),(1+Slot3_Rate)^(Slot3_Age-D37)*(1-((1+AS_Wage)/(1+Slot3_Rate))^(Slot3_Age-D37))/(1-(1+AS_Wage)/(1+Slot3_Rate))),1)</f>
        <v>1</v>
      </c>
      <c r="EF37" s="1" t="n">
        <f aca="false">IF(AND(DD37=1,DN37&gt;0,Slot3_IsWG=1,AQ37=1),MAX(0,(Slot3_Cost-AR37*(1+Slot3_Rate)^(Slot3_Age-D37))/EE37),0)</f>
        <v>0</v>
      </c>
      <c r="EG37" s="1" t="n">
        <f aca="false">IF(AND(DD37=1,DN37&gt;0,Slot3_IsWG=1,AQ37=1),MIN(DN37,EF37),0)</f>
        <v>0</v>
      </c>
      <c r="EH37" s="1" t="n">
        <f aca="false">AR37+EG37</f>
        <v>0</v>
      </c>
      <c r="EI37" s="1" t="n">
        <f aca="false">IF(AQ37=1,MAX(0,(Slot3_Cost-EH37*(1+Slot3_Rate)^(Slot3_Age-D37))/EE37),0)</f>
        <v>0</v>
      </c>
      <c r="EJ37" s="1" t="n">
        <f aca="false">IF(AQ37=1,MAX(0,(Slot3_Cost-AR37*(1+Slot3_Rate)^(Slot3_Age-D37))/EE37),0)</f>
        <v>0</v>
      </c>
      <c r="EK37" s="1" t="n">
        <f aca="false">IF(AND(DD37=1,AQ37=1),MIN(ED37,EI37),0)</f>
        <v>0</v>
      </c>
      <c r="EL37" s="1" t="n">
        <f aca="false">ED37-EK37</f>
        <v>0</v>
      </c>
      <c r="EM37" s="1" t="n">
        <f aca="false">IF(BA37=1,IF(ABS((1+AS_Wage)/(1+Slot4_Rate)-1)&lt;0.000000000001,(Slot4_Age-D37)*(1+Slot4_Rate)^(Slot4_Age-D37),(1+Slot4_Rate)^(Slot4_Age-D37)*(1-((1+AS_Wage)/(1+Slot4_Rate))^(Slot4_Age-D37))/(1-(1+AS_Wage)/(1+Slot4_Rate))),1)</f>
        <v>1</v>
      </c>
      <c r="EN37" s="1" t="n">
        <f aca="false">IF(AND(DD37=1,DN37&gt;0,Slot4_IsWG=1,BA37=1),MAX(0,(Slot4_Cost-BB37*(1+Slot4_Rate)^(Slot4_Age-D37))/EM37),0)</f>
        <v>0</v>
      </c>
      <c r="EO37" s="1" t="n">
        <f aca="false">IF(AND(DD37=1,DN37&gt;0,Slot4_IsWG=1,BA37=1),MIN(DN37,EN37),0)</f>
        <v>0</v>
      </c>
      <c r="EP37" s="1" t="n">
        <f aca="false">BB37+EO37</f>
        <v>0</v>
      </c>
      <c r="EQ37" s="1" t="n">
        <f aca="false">IF(BA37=1,MAX(0,(Slot4_Cost-EP37*(1+Slot4_Rate)^(Slot4_Age-D37))/EM37),0)</f>
        <v>0</v>
      </c>
      <c r="ER37" s="1" t="n">
        <f aca="false">IF(BA37=1,MAX(0,(Slot4_Cost-BB37*(1+Slot4_Rate)^(Slot4_Age-D37))/EM37),0)</f>
        <v>0</v>
      </c>
      <c r="ES37" s="1" t="n">
        <f aca="false">IF(AND(DD37=1,BA37=1),MIN(EL37,EQ37),0)</f>
        <v>0</v>
      </c>
      <c r="ET37" s="1" t="n">
        <f aca="false">EL37-ES37</f>
        <v>0</v>
      </c>
      <c r="EU37" s="1" t="n">
        <f aca="false">IF(BK37=1,IF(ABS((1+AS_Wage)/(1+Slot5_Rate)-1)&lt;0.000000000001,(Slot5_Age-D37)*(1+Slot5_Rate)^(Slot5_Age-D37),(1+Slot5_Rate)^(Slot5_Age-D37)*(1-((1+AS_Wage)/(1+Slot5_Rate))^(Slot5_Age-D37))/(1-(1+AS_Wage)/(1+Slot5_Rate))),1)</f>
        <v>1</v>
      </c>
      <c r="EV37" s="1" t="n">
        <f aca="false">IF(AND(DD37=1,DN37&gt;0,Slot5_IsWG=1,BK37=1),MAX(0,(Slot5_Cost-BL37*(1+Slot5_Rate)^(Slot5_Age-D37))/EU37),0)</f>
        <v>0</v>
      </c>
      <c r="EW37" s="1" t="n">
        <f aca="false">IF(AND(DD37=1,DN37&gt;0,Slot5_IsWG=1,BK37=1),MIN(DN37,EV37),0)</f>
        <v>0</v>
      </c>
      <c r="EX37" s="1" t="n">
        <f aca="false">BL37+EW37</f>
        <v>0</v>
      </c>
      <c r="EY37" s="1" t="n">
        <f aca="false">IF(BK37=1,MAX(0,(Slot5_Cost-EX37*(1+Slot5_Rate)^(Slot5_Age-D37))/EU37),0)</f>
        <v>0</v>
      </c>
      <c r="EZ37" s="1" t="n">
        <f aca="false">IF(BK37=1,MAX(0,(Slot5_Cost-BL37*(1+Slot5_Rate)^(Slot5_Age-D37))/EU37),0)</f>
        <v>0</v>
      </c>
      <c r="FA37" s="1" t="n">
        <f aca="false">IF(AND(DD37=1,BK37=1),MIN(ET37,EY37),0)</f>
        <v>0</v>
      </c>
      <c r="FB37" s="1" t="n">
        <f aca="false">ET37-FA37</f>
        <v>0</v>
      </c>
      <c r="FC37" s="1" t="n">
        <f aca="false">IF(BU37=1,IF(ABS((1+AS_Wage)/(1+Slot6_Rate)-1)&lt;0.000000000001,(Slot6_Age-D37)*(1+Slot6_Rate)^(Slot6_Age-D37),(1+Slot6_Rate)^(Slot6_Age-D37)*(1-((1+AS_Wage)/(1+Slot6_Rate))^(Slot6_Age-D37))/(1-(1+AS_Wage)/(1+Slot6_Rate))),1)</f>
        <v>1</v>
      </c>
      <c r="FD37" s="1" t="n">
        <f aca="false">IF(AND(DD37=1,DN37&gt;0,Slot6_IsWG=1,BU37=1),MAX(0,(Slot6_Cost-BV37*(1+Slot6_Rate)^(Slot6_Age-D37))/FC37),0)</f>
        <v>0</v>
      </c>
      <c r="FE37" s="1" t="n">
        <f aca="false">IF(AND(DD37=1,DN37&gt;0,Slot6_IsWG=1,BU37=1),MIN(DN37,FD37),0)</f>
        <v>0</v>
      </c>
      <c r="FF37" s="1" t="n">
        <f aca="false">BV37+FE37</f>
        <v>0</v>
      </c>
      <c r="FG37" s="1" t="n">
        <f aca="false">IF(BU37=1,MAX(0,(Slot6_Cost-FF37*(1+Slot6_Rate)^(Slot6_Age-D37))/FC37),0)</f>
        <v>0</v>
      </c>
      <c r="FH37" s="1" t="n">
        <f aca="false">IF(BU37=1,MAX(0,(Slot6_Cost-BV37*(1+Slot6_Rate)^(Slot6_Age-D37))/FC37),0)</f>
        <v>0</v>
      </c>
      <c r="FI37" s="1" t="n">
        <f aca="false">IF(AND(DD37=1,BU37=1),MIN(FB37,FG37),0)</f>
        <v>0</v>
      </c>
      <c r="FJ37" s="1" t="n">
        <f aca="false">FB37-FI37</f>
        <v>0</v>
      </c>
      <c r="FK37" s="1" t="n">
        <f aca="false">IF(CE37=1,IF(ABS((1+AS_Wage)/(1+Slot7_Rate)-1)&lt;0.000000000001,(Slot7_Age-D37)*(1+Slot7_Rate)^(Slot7_Age-D37),(1+Slot7_Rate)^(Slot7_Age-D37)*(1-((1+AS_Wage)/(1+Slot7_Rate))^(Slot7_Age-D37))/(1-(1+AS_Wage)/(1+Slot7_Rate))),1)</f>
        <v>1</v>
      </c>
      <c r="FL37" s="1" t="n">
        <f aca="false">IF(AND(DD37=1,DN37&gt;0,Slot7_IsWG=1,CE37=1),MAX(0,(Slot7_Cost-CF37*(1+Slot7_Rate)^(Slot7_Age-D37))/FK37),0)</f>
        <v>0</v>
      </c>
      <c r="FM37" s="1" t="n">
        <f aca="false">IF(AND(DD37=1,DN37&gt;0,Slot7_IsWG=1,CE37=1),MIN(DN37,FL37),0)</f>
        <v>0</v>
      </c>
      <c r="FN37" s="1" t="n">
        <f aca="false">CF37+FM37</f>
        <v>0</v>
      </c>
      <c r="FO37" s="1" t="n">
        <f aca="false">IF(CE37=1,MAX(0,(Slot7_Cost-FN37*(1+Slot7_Rate)^(Slot7_Age-D37))/FK37),0)</f>
        <v>0</v>
      </c>
      <c r="FP37" s="1" t="n">
        <f aca="false">IF(CE37=1,MAX(0,(Slot7_Cost-CF37*(1+Slot7_Rate)^(Slot7_Age-D37))/FK37),0)</f>
        <v>0</v>
      </c>
      <c r="FQ37" s="1" t="n">
        <f aca="false">IF(AND(DD37=1,CE37=1),MIN(FJ37,FO37),0)</f>
        <v>0</v>
      </c>
      <c r="FR37" s="1" t="n">
        <f aca="false">FJ37-FQ37</f>
        <v>0</v>
      </c>
      <c r="FS37" s="1" t="n">
        <f aca="false">IF(CO37=1,IF(ABS((1+AS_Wage)/(1+Slot8_Rate)-1)&lt;0.000000000001,(Slot8_Age-D37)*(1+Slot8_Rate)^(Slot8_Age-D37),(1+Slot8_Rate)^(Slot8_Age-D37)*(1-((1+AS_Wage)/(1+Slot8_Rate))^(Slot8_Age-D37))/(1-(1+AS_Wage)/(1+Slot8_Rate))),1)</f>
        <v>1</v>
      </c>
      <c r="FT37" s="1" t="n">
        <f aca="false">IF(AND(DD37=1,DN37&gt;0,Slot8_IsWG=1,CO37=1),MAX(0,(Slot8_Cost-CP37*(1+Slot8_Rate)^(Slot8_Age-D37))/FS37),0)</f>
        <v>0</v>
      </c>
      <c r="FU37" s="1" t="n">
        <f aca="false">IF(AND(DD37=1,DN37&gt;0,Slot8_IsWG=1,CO37=1),MIN(DN37,FT37),0)</f>
        <v>0</v>
      </c>
      <c r="FV37" s="1" t="n">
        <f aca="false">CP37+FU37</f>
        <v>0</v>
      </c>
      <c r="FW37" s="1" t="n">
        <f aca="false">IF(CO37=1,MAX(0,(Slot8_Cost-FV37*(1+Slot8_Rate)^(Slot8_Age-D37))/FS37),0)</f>
        <v>0</v>
      </c>
      <c r="FX37" s="1" t="n">
        <f aca="false">IF(CO37=1,MAX(0,(Slot8_Cost-CP37*(1+Slot8_Rate)^(Slot8_Age-D37))/FS37),0)</f>
        <v>0</v>
      </c>
      <c r="FY37" s="1" t="n">
        <f aca="false">IF(AND(DD37=1,CO37=1),MIN(FR37,FW37),0)</f>
        <v>0</v>
      </c>
      <c r="FZ37" s="1" t="n">
        <f aca="false">FR37-FY37</f>
        <v>0</v>
      </c>
      <c r="GA37" s="1" t="n">
        <f aca="false">DN37-(DQ37+DY37+EG37+EO37+EW37+FE37+FM37+FU37)</f>
        <v>0</v>
      </c>
      <c r="GB37" s="1" t="n">
        <f aca="false">IF(DD37=1,DB37-DM37-DN37,0)</f>
        <v>0</v>
      </c>
      <c r="GC37" s="1" t="n">
        <f aca="false">IF(DD37=0,-DB37,0)</f>
        <v>0</v>
      </c>
      <c r="GD37" s="1" t="n">
        <f aca="false">MIN(GC37,CT37)</f>
        <v>0</v>
      </c>
      <c r="GE37" s="1" t="n">
        <f aca="false">GC37-GD37</f>
        <v>0</v>
      </c>
      <c r="GF37" s="1" t="n">
        <f aca="false">MIN(GE37,CU37)</f>
        <v>0</v>
      </c>
      <c r="GG37" s="1" t="n">
        <f aca="false">GE37-GF37</f>
        <v>0</v>
      </c>
      <c r="GH37" s="1" t="n">
        <f aca="false">IF(AND(DD37=0,CO37=1,GG37&gt;0),MIN(GG37,CP37),0)</f>
        <v>0</v>
      </c>
      <c r="GI37" s="1" t="n">
        <f aca="false">GG37-GH37</f>
        <v>0</v>
      </c>
      <c r="GJ37" s="1" t="n">
        <f aca="false">IF(AND(DD37=0,CE37=1,GI37&gt;0),MIN(GI37,CF37),0)</f>
        <v>0</v>
      </c>
      <c r="GK37" s="1" t="n">
        <f aca="false">GI37-GJ37</f>
        <v>0</v>
      </c>
      <c r="GL37" s="1" t="n">
        <f aca="false">IF(AND(DD37=0,BU37=1,GK37&gt;0),MIN(GK37,BV37),0)</f>
        <v>0</v>
      </c>
      <c r="GM37" s="1" t="n">
        <f aca="false">GK37-GL37</f>
        <v>0</v>
      </c>
      <c r="GN37" s="1" t="n">
        <f aca="false">IF(AND(DD37=0,BK37=1,GM37&gt;0),MIN(GM37,BL37),0)</f>
        <v>0</v>
      </c>
      <c r="GO37" s="1" t="n">
        <f aca="false">GM37-GN37</f>
        <v>0</v>
      </c>
      <c r="GP37" s="1" t="n">
        <f aca="false">IF(AND(DD37=0,BA37=1,GO37&gt;0),MIN(GO37,BB37),0)</f>
        <v>0</v>
      </c>
      <c r="GQ37" s="1" t="n">
        <f aca="false">GO37-GP37</f>
        <v>0</v>
      </c>
      <c r="GR37" s="1" t="n">
        <f aca="false">IF(AND(DD37=0,AQ37=1,GQ37&gt;0),MIN(GQ37,AR37),0)</f>
        <v>0</v>
      </c>
      <c r="GS37" s="1" t="n">
        <f aca="false">GQ37-GR37</f>
        <v>0</v>
      </c>
      <c r="GT37" s="1" t="n">
        <f aca="false">IF(AND(DD37=0,AG37=1,GS37&gt;0),MIN(GS37,AH37),0)</f>
        <v>0</v>
      </c>
      <c r="GU37" s="1" t="n">
        <f aca="false">GS37-GT37</f>
        <v>0</v>
      </c>
      <c r="GV37" s="1" t="n">
        <f aca="false">IF(AND(DD37=0,V37=1,GU37&gt;0),MIN(GU37,W37),0)</f>
        <v>0</v>
      </c>
      <c r="GW37" s="1" t="n">
        <f aca="false">GU37-GV37</f>
        <v>0</v>
      </c>
      <c r="GX37" s="1" t="n">
        <f aca="false">IF(DD37=0,GW37,0)</f>
        <v>0</v>
      </c>
      <c r="GY37" s="1" t="n">
        <f aca="false">GD37+GF37+GV37+GT37+GR37+GP37+GN37+GL37+GJ37+GH37</f>
        <v>0</v>
      </c>
      <c r="GZ37" s="1" t="n">
        <f aca="false">IF(DD37=1,CT37+GA37+FZ37+IF(F37=1,0,GB37),CT37-GD37)</f>
        <v>0</v>
      </c>
      <c r="HA37" s="1" t="n">
        <f aca="false">CU37-GF37</f>
        <v>0</v>
      </c>
      <c r="HB37" s="1" t="n">
        <f aca="false">IF(DD37=1,IF(F37=1,DM37+DN37,DB37),0)</f>
        <v>0</v>
      </c>
      <c r="HC37" s="1" t="n">
        <f aca="false">IF(DD37=1,IF(F37=1,DB37-DM37-DN37,0),0)</f>
        <v>0</v>
      </c>
      <c r="HD37" s="1" t="n">
        <f aca="false">GZ37*(1+GR)</f>
        <v>0</v>
      </c>
      <c r="HE37" s="1" t="n">
        <f aca="false">HA37*(1+AS_Cash)</f>
        <v>0</v>
      </c>
      <c r="HF37" s="1" t="n">
        <f aca="false">IF(V37=1,IF(DD37=1,DR37+DU37,W37-GV37)*(1+Slot1_Rate),0)</f>
        <v>0</v>
      </c>
      <c r="HG37" s="1" t="n">
        <f aca="false">IF(AND(DD37=1,V37=1),(DQ37+DU37)/E37,0)</f>
        <v>0</v>
      </c>
      <c r="HH37" s="1" t="n">
        <f aca="false">IF(B37=0,DQ37+DU37,0)</f>
        <v>0</v>
      </c>
      <c r="HI37" s="1" t="n">
        <f aca="false">IF(B37=0,IF(DD37=1,DS37,DT37),0)</f>
        <v>0</v>
      </c>
      <c r="HJ37" s="1" t="n">
        <f aca="false">IF(AG37=1,IF(DD37=1,DZ37+EC37,AH37-GT37)*(1+Slot2_Rate),0)</f>
        <v>0</v>
      </c>
      <c r="HK37" s="1" t="n">
        <f aca="false">IF(AND(DD37=1,AG37=1),(DY37+EC37)/E37,0)</f>
        <v>0</v>
      </c>
      <c r="HL37" s="1" t="n">
        <f aca="false">IF(B37=0,DY37+EC37,0)</f>
        <v>0</v>
      </c>
      <c r="HM37" s="1" t="n">
        <f aca="false">IF(B37=0,IF(DD37=1,EA37,EB37),0)</f>
        <v>0</v>
      </c>
      <c r="HN37" s="1" t="n">
        <f aca="false">IF(AQ37=1,IF(DD37=1,EH37+EK37,AR37-GR37)*(1+Slot3_Rate),0)</f>
        <v>0</v>
      </c>
      <c r="HO37" s="1" t="n">
        <f aca="false">IF(AND(DD37=1,AQ37=1),(EG37+EK37)/E37,0)</f>
        <v>0</v>
      </c>
      <c r="HP37" s="1" t="n">
        <f aca="false">IF(B37=0,EG37+EK37,0)</f>
        <v>0</v>
      </c>
      <c r="HQ37" s="1" t="n">
        <f aca="false">IF(B37=0,IF(DD37=1,EI37,EJ37),0)</f>
        <v>0</v>
      </c>
      <c r="HR37" s="1" t="n">
        <f aca="false">IF(BA37=1,IF(DD37=1,EP37+ES37,BB37-GP37)*(1+Slot4_Rate),0)</f>
        <v>0</v>
      </c>
      <c r="HS37" s="1" t="n">
        <f aca="false">IF(AND(DD37=1,BA37=1),(EO37+ES37)/E37,0)</f>
        <v>0</v>
      </c>
      <c r="HT37" s="1" t="n">
        <f aca="false">IF(B37=0,EO37+ES37,0)</f>
        <v>0</v>
      </c>
      <c r="HU37" s="1" t="n">
        <f aca="false">IF(B37=0,IF(DD37=1,EQ37,ER37),0)</f>
        <v>0</v>
      </c>
      <c r="HV37" s="1" t="n">
        <f aca="false">IF(BK37=1,IF(DD37=1,EX37+FA37,BL37-GN37)*(1+Slot5_Rate),0)</f>
        <v>0</v>
      </c>
      <c r="HW37" s="1" t="n">
        <f aca="false">IF(AND(DD37=1,BK37=1),(EW37+FA37)/E37,0)</f>
        <v>0</v>
      </c>
      <c r="HX37" s="1" t="n">
        <f aca="false">IF(B37=0,EW37+FA37,0)</f>
        <v>0</v>
      </c>
      <c r="HY37" s="1" t="n">
        <f aca="false">IF(B37=0,IF(DD37=1,EY37,EZ37),0)</f>
        <v>0</v>
      </c>
      <c r="HZ37" s="1" t="n">
        <f aca="false">IF(BU37=1,IF(DD37=1,FF37+FI37,BV37-GL37)*(1+Slot6_Rate),0)</f>
        <v>0</v>
      </c>
      <c r="IA37" s="1" t="n">
        <f aca="false">IF(AND(DD37=1,BU37=1),(FE37+FI37)/E37,0)</f>
        <v>0</v>
      </c>
      <c r="IB37" s="1" t="n">
        <f aca="false">IF(B37=0,FE37+FI37,0)</f>
        <v>0</v>
      </c>
      <c r="IC37" s="1" t="n">
        <f aca="false">IF(B37=0,IF(DD37=1,FG37,FH37),0)</f>
        <v>0</v>
      </c>
      <c r="ID37" s="1" t="n">
        <f aca="false">IF(CE37=1,IF(DD37=1,FN37+FQ37,CF37-GJ37)*(1+Slot7_Rate),0)</f>
        <v>0</v>
      </c>
      <c r="IE37" s="1" t="n">
        <f aca="false">IF(AND(DD37=1,CE37=1),(FM37+FQ37)/E37,0)</f>
        <v>0</v>
      </c>
      <c r="IF37" s="1" t="n">
        <f aca="false">IF(B37=0,FM37+FQ37,0)</f>
        <v>0</v>
      </c>
      <c r="IG37" s="1" t="n">
        <f aca="false">IF(B37=0,IF(DD37=1,FO37,FP37),0)</f>
        <v>0</v>
      </c>
      <c r="IH37" s="1" t="n">
        <f aca="false">IF(CO37=1,IF(DD37=1,FV37+FY37,CP37-GH37)*(1+Slot8_Rate),0)</f>
        <v>0</v>
      </c>
      <c r="II37" s="1" t="n">
        <f aca="false">IF(AND(DD37=1,CO37=1),(FU37+FY37)/E37,0)</f>
        <v>0</v>
      </c>
      <c r="IJ37" s="1" t="n">
        <f aca="false">IF(B37=0,FU37+FY37,0)</f>
        <v>0</v>
      </c>
      <c r="IK37" s="1" t="n">
        <f aca="false">IF(B37=0,IF(DD37=1,FW37,FX37),0)</f>
        <v>0</v>
      </c>
      <c r="IL37" s="1" t="n">
        <f aca="false">HD37+HE37+HF37+HJ37+HN37+HR37+HV37+HZ37+ID37+IH37</f>
        <v>0</v>
      </c>
      <c r="IM37" s="1" t="n">
        <f aca="false">GX37+CY37</f>
        <v>0</v>
      </c>
      <c r="IN37" s="1" t="n">
        <f aca="false">H37+R37</f>
        <v>0</v>
      </c>
      <c r="IO37" s="1" t="n">
        <f aca="false">1-F37</f>
        <v>1</v>
      </c>
      <c r="IP37" s="1" t="n">
        <f aca="false">IF(AND(RG_Exists=1,F37=0,C37=1),H37,0)</f>
        <v>0</v>
      </c>
      <c r="IQ37" s="1" t="n">
        <f aca="false">IF(AND(RG_Exists=1,F37=0,C37=1),H37-MIN(GX37,H37),0)</f>
        <v>0</v>
      </c>
      <c r="IR37" s="1" t="n">
        <f aca="false">'Plan pay &amp; tax'!AD239</f>
        <v>0</v>
      </c>
      <c r="IS37" s="1" t="n">
        <f aca="false">IF(AND(C37=1,GX37&gt;MAX(PR_Short1,IN37*PR_Short2)),1,0)</f>
        <v>0</v>
      </c>
      <c r="IT37" s="1" t="n">
        <f aca="false">MIN(G37,H37+R37)</f>
        <v>0</v>
      </c>
      <c r="IU37" s="1" t="n">
        <f aca="false">GY37+MAX(0,CZ37-CY37)</f>
        <v>0</v>
      </c>
      <c r="IV37" s="1" t="n">
        <f aca="false">GX37+CY37</f>
        <v>0</v>
      </c>
      <c r="IW37" s="1" t="n">
        <f aca="false">IF(AND(C37=1,IV37&gt;0.5),1,0)</f>
        <v>0</v>
      </c>
      <c r="IX37" s="1" t="n">
        <f aca="false">IF(AND(C37=1,IW37=0,IU37&gt;0.5),1,0)</f>
        <v>0</v>
      </c>
      <c r="IY37" s="1" t="n">
        <f aca="false">IF(AND(C37=1,GX37&gt;0.5),1,0)</f>
        <v>0</v>
      </c>
      <c r="IZ37" s="1" t="n">
        <f aca="false">IF(AND(C37=1,GY37&gt;1,JF37=0),1,0)</f>
        <v>0</v>
      </c>
      <c r="JA37" s="1" t="n">
        <f aca="false">IF(AND(INT(D37/10)*10=90,B37&gt;0),80,INT(D37/10)*10)</f>
        <v>20</v>
      </c>
      <c r="JB37" s="1" t="n">
        <f aca="false">IF(B37=0,1,IF(JA37&lt;&gt;JA36,JB36+1,JB36))</f>
        <v>3</v>
      </c>
      <c r="JC37" s="1" t="n">
        <f aca="false">IF(AND(C37=1,F37=1,GX37&gt;MAX(PR_Short1,IN37*PR_Short2)),1,0)</f>
        <v>0</v>
      </c>
      <c r="JD37" s="1" t="n">
        <f aca="false">IO37*IS37</f>
        <v>0</v>
      </c>
      <c r="JE37" s="1" t="n">
        <f aca="false">IF(AND(U37=1,Slot1_PctLow=1),1,0)+IF(AND(AF37=1,Slot2_PctLow=1),1,0)+IF(AND(AP37=1,Slot3_PctLow=1),1,0)+IF(AND(AZ37=1,Slot4_PctLow=1),1,0)+IF(AND(BJ37=1,Slot5_PctLow=1),1,0)+IF(AND(BT37=1,Slot6_PctLow=1),1,0)+IF(AND(CD37=1,Slot7_PctLow=1),1,0)+IF(AND(CN37=1,Slot8_PctLow=1),1,0)</f>
        <v>0</v>
      </c>
      <c r="JF37" s="1" t="n">
        <f aca="false">IF(C37=1,IF(OR(IS37=1,JE37&gt;0),1,0),0)</f>
        <v>0</v>
      </c>
    </row>
    <row r="38" customFormat="false" ht="15" hidden="false" customHeight="false" outlineLevel="0" collapsed="false">
      <c r="B38" s="1" t="n">
        <v>30</v>
      </c>
      <c r="C38" s="1" t="n">
        <f aca="false">IF(B38&lt;=F_N,1,0)</f>
        <v>1</v>
      </c>
      <c r="D38" s="1" t="n">
        <f aca="false">'Plan pay &amp; tax'!C240</f>
        <v>30</v>
      </c>
      <c r="E38" s="106" t="n">
        <f aca="false">'Plan pay &amp; tax'!E240</f>
        <v>1.81136158410335</v>
      </c>
      <c r="F38" s="1" t="n">
        <f aca="false">'Plan pay &amp; tax'!G240</f>
        <v>0</v>
      </c>
      <c r="G38" s="1" t="n">
        <f aca="false">'Plan pay &amp; tax'!BT240-'Plan pay &amp; tax'!BS240-'Plan pay &amp; tax'!R240</f>
        <v>0</v>
      </c>
      <c r="H38" s="1" t="n">
        <f aca="false">IF(F38=1,F_CostsM*12,IF(RG_Exists=1,RG_Amount,F_CostsM*12*AS_RetireSpend))*E38+F_OneOffY*E38</f>
        <v>0</v>
      </c>
      <c r="I38" s="1" t="n">
        <f aca="false">DA37</f>
        <v>0</v>
      </c>
      <c r="J38" s="1" t="n">
        <f aca="false">IF(I38&gt;1,'Plan debt months'!AC38,0)</f>
        <v>0</v>
      </c>
      <c r="K38" s="1" t="n">
        <f aca="false">IF(I38&gt;1,'Plan debt months'!AB38,I38)</f>
        <v>0</v>
      </c>
      <c r="L38" s="1" t="n">
        <f aca="false">N37</f>
        <v>0</v>
      </c>
      <c r="M38" s="1" t="n">
        <f aca="false">IF(L38&gt;1,'Plan debt months'!BD38,0)</f>
        <v>0</v>
      </c>
      <c r="N38" s="1" t="n">
        <f aca="false">IF(L38&gt;1,'Plan debt months'!BC38,L38)</f>
        <v>0</v>
      </c>
      <c r="O38" s="1" t="n">
        <f aca="false">Q37</f>
        <v>0</v>
      </c>
      <c r="P38" s="1" t="n">
        <f aca="false">IF(O38&gt;1,'Plan debt months'!CE38,0)</f>
        <v>0</v>
      </c>
      <c r="Q38" s="1" t="n">
        <f aca="false">IF(O38&gt;1,'Plan debt months'!CD38,O38)</f>
        <v>0</v>
      </c>
      <c r="R38" s="1" t="n">
        <f aca="false">J38+M38+P38</f>
        <v>0</v>
      </c>
      <c r="S38" s="1" t="n">
        <f aca="false">HD37+'Plan pay &amp; tax'!Y240</f>
        <v>0</v>
      </c>
      <c r="T38" s="1" t="n">
        <f aca="false">HD37</f>
        <v>0</v>
      </c>
      <c r="U38" s="1" t="n">
        <f aca="false">IF(AND(Slot1_On=1,D38=Slot1_Age),1,0)</f>
        <v>0</v>
      </c>
      <c r="V38" s="1" t="n">
        <f aca="false">IF(AND(Slot1_On=1,Slot1_Age&gt;D38),1,0)</f>
        <v>0</v>
      </c>
      <c r="W38" s="1" t="n">
        <f aca="false">HF37</f>
        <v>0</v>
      </c>
      <c r="X38" s="1" t="n">
        <f aca="false">U38*MIN(Slot1_Cost,W38)</f>
        <v>0</v>
      </c>
      <c r="Y38" s="1" t="n">
        <f aca="false">U38*Slot1_SpendLike*MIN(Slot1_Cost-X38,S38)</f>
        <v>0</v>
      </c>
      <c r="Z38" s="1" t="n">
        <f aca="false">X38+Y38</f>
        <v>0</v>
      </c>
      <c r="AA38" s="1" t="n">
        <f aca="false">S38-Y38+U38*IF(Slot1_SpendLike=1,W38-X38,IF(Slot1_PotFree=1,W38,0))</f>
        <v>0</v>
      </c>
      <c r="AB38" s="1" t="n">
        <f aca="false">AE38+U38*Slot1_BufPot*W38</f>
        <v>0</v>
      </c>
      <c r="AC38" s="1" t="n">
        <f aca="false">IF(AND(U38=1,Slot1_IsMfree=1),IF(Z38&gt;=Slot1_Cost-1,0,MAX(0,K38-Z38)),K38)</f>
        <v>0</v>
      </c>
      <c r="AD38" s="1" t="n">
        <f aca="false">U38*(Slot1_Cost-Z38)</f>
        <v>0</v>
      </c>
      <c r="AE38" s="1" t="n">
        <f aca="false">HE37</f>
        <v>0</v>
      </c>
      <c r="AF38" s="1" t="n">
        <f aca="false">IF(AND(Slot2_On=1,D38=Slot2_Age),1,0)</f>
        <v>0</v>
      </c>
      <c r="AG38" s="1" t="n">
        <f aca="false">IF(AND(Slot2_On=1,Slot2_Age&gt;D38),1,0)</f>
        <v>0</v>
      </c>
      <c r="AH38" s="1" t="n">
        <f aca="false">HJ37</f>
        <v>0</v>
      </c>
      <c r="AI38" s="1" t="n">
        <f aca="false">AF38*MIN(Slot2_Cost,AH38)</f>
        <v>0</v>
      </c>
      <c r="AJ38" s="1" t="n">
        <f aca="false">AF38*Slot2_SpendLike*MIN(Slot2_Cost-AI38,AA38)</f>
        <v>0</v>
      </c>
      <c r="AK38" s="1" t="n">
        <f aca="false">AI38+AJ38</f>
        <v>0</v>
      </c>
      <c r="AL38" s="1" t="n">
        <f aca="false">AA38-AJ38+AF38*IF(Slot2_SpendLike=1,AH38-AI38,IF(Slot2_PotFree=1,AH38,0))</f>
        <v>0</v>
      </c>
      <c r="AM38" s="1" t="n">
        <f aca="false">AB38+AF38*Slot2_BufPot*AH38</f>
        <v>0</v>
      </c>
      <c r="AN38" s="1" t="n">
        <f aca="false">IF(AND(AF38=1,Slot2_IsMfree=1),IF(AK38&gt;=Slot2_Cost-1,0,MAX(0,AC38-AK38)),AC38)</f>
        <v>0</v>
      </c>
      <c r="AO38" s="1" t="n">
        <f aca="false">AF38*(Slot2_Cost-AK38)</f>
        <v>0</v>
      </c>
      <c r="AP38" s="1" t="n">
        <f aca="false">IF(AND(Slot3_On=1,D38=Slot3_Age),1,0)</f>
        <v>0</v>
      </c>
      <c r="AQ38" s="1" t="n">
        <f aca="false">IF(AND(Slot3_On=1,Slot3_Age&gt;D38),1,0)</f>
        <v>0</v>
      </c>
      <c r="AR38" s="1" t="n">
        <f aca="false">HN37</f>
        <v>0</v>
      </c>
      <c r="AS38" s="1" t="n">
        <f aca="false">AP38*MIN(Slot3_Cost,AR38)</f>
        <v>0</v>
      </c>
      <c r="AT38" s="1" t="n">
        <f aca="false">AP38*Slot3_SpendLike*MIN(Slot3_Cost-AS38,AL38)</f>
        <v>0</v>
      </c>
      <c r="AU38" s="1" t="n">
        <f aca="false">AS38+AT38</f>
        <v>0</v>
      </c>
      <c r="AV38" s="1" t="n">
        <f aca="false">AL38-AT38+AP38*IF(Slot3_SpendLike=1,AR38-AS38,IF(Slot3_PotFree=1,AR38,0))</f>
        <v>0</v>
      </c>
      <c r="AW38" s="1" t="n">
        <f aca="false">AM38+AP38*Slot3_BufPot*AR38</f>
        <v>0</v>
      </c>
      <c r="AX38" s="1" t="n">
        <f aca="false">IF(AND(AP38=1,Slot3_IsMfree=1),IF(AU38&gt;=Slot3_Cost-1,0,MAX(0,AN38-AU38)),AN38)</f>
        <v>0</v>
      </c>
      <c r="AY38" s="1" t="n">
        <f aca="false">AP38*(Slot3_Cost-AU38)</f>
        <v>0</v>
      </c>
      <c r="AZ38" s="1" t="n">
        <f aca="false">IF(AND(Slot4_On=1,D38=Slot4_Age),1,0)</f>
        <v>0</v>
      </c>
      <c r="BA38" s="1" t="n">
        <f aca="false">IF(AND(Slot4_On=1,Slot4_Age&gt;D38),1,0)</f>
        <v>0</v>
      </c>
      <c r="BB38" s="1" t="n">
        <f aca="false">HR37</f>
        <v>0</v>
      </c>
      <c r="BC38" s="1" t="n">
        <f aca="false">AZ38*MIN(Slot4_Cost,BB38)</f>
        <v>0</v>
      </c>
      <c r="BD38" s="1" t="n">
        <f aca="false">AZ38*Slot4_SpendLike*MIN(Slot4_Cost-BC38,AV38)</f>
        <v>0</v>
      </c>
      <c r="BE38" s="1" t="n">
        <f aca="false">BC38+BD38</f>
        <v>0</v>
      </c>
      <c r="BF38" s="1" t="n">
        <f aca="false">AV38-BD38+AZ38*IF(Slot4_SpendLike=1,BB38-BC38,IF(Slot4_PotFree=1,BB38,0))</f>
        <v>0</v>
      </c>
      <c r="BG38" s="1" t="n">
        <f aca="false">AW38+AZ38*Slot4_BufPot*BB38</f>
        <v>0</v>
      </c>
      <c r="BH38" s="1" t="n">
        <f aca="false">IF(AND(AZ38=1,Slot4_IsMfree=1),IF(BE38&gt;=Slot4_Cost-1,0,MAX(0,AX38-BE38)),AX38)</f>
        <v>0</v>
      </c>
      <c r="BI38" s="1" t="n">
        <f aca="false">AZ38*(Slot4_Cost-BE38)</f>
        <v>0</v>
      </c>
      <c r="BJ38" s="1" t="n">
        <f aca="false">IF(AND(Slot5_On=1,D38=Slot5_Age),1,0)</f>
        <v>0</v>
      </c>
      <c r="BK38" s="1" t="n">
        <f aca="false">IF(AND(Slot5_On=1,Slot5_Age&gt;D38),1,0)</f>
        <v>0</v>
      </c>
      <c r="BL38" s="1" t="n">
        <f aca="false">HV37</f>
        <v>0</v>
      </c>
      <c r="BM38" s="1" t="n">
        <f aca="false">BJ38*MIN(Slot5_Cost,BL38)</f>
        <v>0</v>
      </c>
      <c r="BN38" s="1" t="n">
        <f aca="false">BJ38*Slot5_SpendLike*MIN(Slot5_Cost-BM38,BF38)</f>
        <v>0</v>
      </c>
      <c r="BO38" s="1" t="n">
        <f aca="false">BM38+BN38</f>
        <v>0</v>
      </c>
      <c r="BP38" s="1" t="n">
        <f aca="false">BF38-BN38+BJ38*IF(Slot5_SpendLike=1,BL38-BM38,IF(Slot5_PotFree=1,BL38,0))</f>
        <v>0</v>
      </c>
      <c r="BQ38" s="1" t="n">
        <f aca="false">BG38+BJ38*Slot5_BufPot*BL38</f>
        <v>0</v>
      </c>
      <c r="BR38" s="1" t="n">
        <f aca="false">IF(AND(BJ38=1,Slot5_IsMfree=1),IF(BO38&gt;=Slot5_Cost-1,0,MAX(0,BH38-BO38)),BH38)</f>
        <v>0</v>
      </c>
      <c r="BS38" s="1" t="n">
        <f aca="false">BJ38*(Slot5_Cost-BO38)</f>
        <v>0</v>
      </c>
      <c r="BT38" s="1" t="n">
        <f aca="false">IF(AND(Slot6_On=1,D38=Slot6_Age),1,0)</f>
        <v>0</v>
      </c>
      <c r="BU38" s="1" t="n">
        <f aca="false">IF(AND(Slot6_On=1,Slot6_Age&gt;D38),1,0)</f>
        <v>0</v>
      </c>
      <c r="BV38" s="1" t="n">
        <f aca="false">HZ37</f>
        <v>0</v>
      </c>
      <c r="BW38" s="1" t="n">
        <f aca="false">BT38*MIN(Slot6_Cost,BV38)</f>
        <v>0</v>
      </c>
      <c r="BX38" s="1" t="n">
        <f aca="false">BT38*Slot6_SpendLike*MIN(Slot6_Cost-BW38,BP38)</f>
        <v>0</v>
      </c>
      <c r="BY38" s="1" t="n">
        <f aca="false">BW38+BX38</f>
        <v>0</v>
      </c>
      <c r="BZ38" s="1" t="n">
        <f aca="false">BP38-BX38+BT38*IF(Slot6_SpendLike=1,BV38-BW38,IF(Slot6_PotFree=1,BV38,0))</f>
        <v>0</v>
      </c>
      <c r="CA38" s="1" t="n">
        <f aca="false">BQ38+BT38*Slot6_BufPot*BV38</f>
        <v>0</v>
      </c>
      <c r="CB38" s="1" t="n">
        <f aca="false">IF(AND(BT38=1,Slot6_IsMfree=1),IF(BY38&gt;=Slot6_Cost-1,0,MAX(0,BR38-BY38)),BR38)</f>
        <v>0</v>
      </c>
      <c r="CC38" s="1" t="n">
        <f aca="false">BT38*(Slot6_Cost-BY38)</f>
        <v>0</v>
      </c>
      <c r="CD38" s="1" t="n">
        <f aca="false">IF(AND(Slot7_On=1,D38=Slot7_Age),1,0)</f>
        <v>0</v>
      </c>
      <c r="CE38" s="1" t="n">
        <f aca="false">IF(AND(Slot7_On=1,Slot7_Age&gt;D38),1,0)</f>
        <v>0</v>
      </c>
      <c r="CF38" s="1" t="n">
        <f aca="false">ID37</f>
        <v>0</v>
      </c>
      <c r="CG38" s="1" t="n">
        <f aca="false">CD38*MIN(Slot7_Cost,CF38)</f>
        <v>0</v>
      </c>
      <c r="CH38" s="1" t="n">
        <f aca="false">CD38*Slot7_SpendLike*MIN(Slot7_Cost-CG38,BZ38)</f>
        <v>0</v>
      </c>
      <c r="CI38" s="1" t="n">
        <f aca="false">CG38+CH38</f>
        <v>0</v>
      </c>
      <c r="CJ38" s="1" t="n">
        <f aca="false">BZ38-CH38+CD38*IF(Slot7_SpendLike=1,CF38-CG38,IF(Slot7_PotFree=1,CF38,0))</f>
        <v>0</v>
      </c>
      <c r="CK38" s="1" t="n">
        <f aca="false">CA38+CD38*Slot7_BufPot*CF38</f>
        <v>0</v>
      </c>
      <c r="CL38" s="1" t="n">
        <f aca="false">IF(AND(CD38=1,Slot7_IsMfree=1),IF(CI38&gt;=Slot7_Cost-1,0,MAX(0,CB38-CI38)),CB38)</f>
        <v>0</v>
      </c>
      <c r="CM38" s="1" t="n">
        <f aca="false">CD38*(Slot7_Cost-CI38)</f>
        <v>0</v>
      </c>
      <c r="CN38" s="1" t="n">
        <f aca="false">IF(AND(Slot8_On=1,D38=Slot8_Age),1,0)</f>
        <v>0</v>
      </c>
      <c r="CO38" s="1" t="n">
        <f aca="false">IF(AND(Slot8_On=1,Slot8_Age&gt;D38),1,0)</f>
        <v>0</v>
      </c>
      <c r="CP38" s="1" t="n">
        <f aca="false">IH37</f>
        <v>0</v>
      </c>
      <c r="CQ38" s="1" t="n">
        <f aca="false">CN38*MIN(Slot8_Cost,CP38)</f>
        <v>0</v>
      </c>
      <c r="CR38" s="1" t="n">
        <f aca="false">CN38*Slot8_SpendLike*MIN(Slot8_Cost-CQ38,CJ38)</f>
        <v>0</v>
      </c>
      <c r="CS38" s="1" t="n">
        <f aca="false">CQ38+CR38</f>
        <v>0</v>
      </c>
      <c r="CT38" s="1" t="n">
        <f aca="false">CJ38-CR38+CN38*IF(Slot8_SpendLike=1,CP38-CQ38,IF(Slot8_PotFree=1,CP38,0))</f>
        <v>0</v>
      </c>
      <c r="CU38" s="1" t="n">
        <f aca="false">CK38+CN38*Slot8_BufPot*CP38</f>
        <v>0</v>
      </c>
      <c r="CV38" s="1" t="n">
        <f aca="false">IF(AND(CN38=1,Slot8_IsMfree=1),IF(CS38&gt;=Slot8_Cost-1,0,MAX(0,CL38-CS38)),CL38)</f>
        <v>0</v>
      </c>
      <c r="CW38" s="1" t="n">
        <f aca="false">CN38*(Slot8_Cost-CS38)</f>
        <v>0</v>
      </c>
      <c r="CX38" s="1" t="n">
        <f aca="false">U38*Slot1_SpendLike*Z38+AF38*Slot2_SpendLike*AK38+AP38*Slot3_SpendLike*AU38+AZ38*Slot4_SpendLike*BE38+BJ38*Slot5_SpendLike*BO38+BT38*Slot6_SpendLike*BY38+CD38*Slot7_SpendLike*CI38+CN38*Slot8_SpendLike*CS38</f>
        <v>0</v>
      </c>
      <c r="CY38" s="1" t="n">
        <f aca="false">AD38+AO38+AY38+BI38+BS38+CC38+CM38+CW38</f>
        <v>0</v>
      </c>
      <c r="CZ38" s="1" t="n">
        <f aca="false">U38*Slot1_Cost+AF38*Slot2_Cost+AP38*Slot3_Cost+AZ38*Slot4_Cost+BJ38*Slot5_Cost+BT38*Slot6_Cost+CD38*Slot7_Cost+CN38*Slot8_Cost</f>
        <v>0</v>
      </c>
      <c r="DA38" s="1" t="n">
        <f aca="false">CV38</f>
        <v>0</v>
      </c>
      <c r="DB38" s="1" t="n">
        <f aca="false">G38-H38-R38</f>
        <v>0</v>
      </c>
      <c r="DC38" s="1" t="n">
        <f aca="false">IF(B38=0,IF(AND(Has_q6=1,In_q6=4),PR_ShareVaries*(MAX(0,DB38)/12),MIN(IF(Has_q6=1,CHOOSE(In_q6+1,PR_SaveB1,PR_SaveB2,PR_SaveB3,PR_SaveB4,0),AS_NoAnswer),AS_SaveShare*(MAX(0,DB38)/12))),DC37)</f>
        <v>0</v>
      </c>
      <c r="DD38" s="1" t="n">
        <f aca="false">IF(DB38&gt;=0,1,0)</f>
        <v>1</v>
      </c>
      <c r="DE38" s="1" t="n">
        <f aca="false">MAX(0,DB38/12/E38)</f>
        <v>0</v>
      </c>
      <c r="DF38" s="1" t="n">
        <f aca="false">IF(AND(Has_q6=1,In_q6=4),PR_ShareVaries*(DE38),MIN(IF(Has_q6=1,CHOOSE(In_q6+1,PR_SaveB1,PR_SaveB2,PR_SaveB3,PR_SaveB4,0),AS_NoAnswer),AS_SaveShare*(DE38)))</f>
        <v>0</v>
      </c>
      <c r="DG38" s="1" t="n">
        <f aca="false">IF(Has_saveM=1,IF(In_saveUp="Yes",1,IF(In_saveUp="No",0,IF(In_saveM&gt;=DC38-0.5,1,0))),0)</f>
        <v>0</v>
      </c>
      <c r="DH38" s="1" t="n">
        <f aca="false">IF(Has_saveM=1,MIN(DE38,IF(DG38=1,MAX(In_saveM,DF38),MIN(In_saveM,DF38))),DF38)</f>
        <v>0</v>
      </c>
      <c r="DI38" s="1" t="n">
        <f aca="false">IF(F38=1,DH38*12*E38,0)</f>
        <v>0</v>
      </c>
      <c r="DJ38" s="1" t="n">
        <f aca="false">MAX(0,DI38+IF(AND(WI_Retire=0,WI_M&lt;0,F38=1),WI_M*12*E38,0))</f>
        <v>0</v>
      </c>
      <c r="DK38" s="1" t="n">
        <f aca="false">Slot1_IsWG*V38+Slot2_IsWG*AG38+Slot3_IsWG*AQ38+Slot4_IsWG*BA38+Slot5_IsWG*BK38+Slot6_IsWG*BU38+Slot7_IsWG*CE38+Slot8_IsWG*CO38</f>
        <v>0</v>
      </c>
      <c r="DL38" s="1" t="n">
        <f aca="false">IF(AND(WI_Retire=0,WI_M&gt;0,F38=1,DK38&gt;=1),WI_M*12*E38,0)</f>
        <v>0</v>
      </c>
      <c r="DM38" s="1" t="n">
        <f aca="false">IF(DD38=1,MIN(DJ38,DB38),0)</f>
        <v>0</v>
      </c>
      <c r="DN38" s="1" t="n">
        <f aca="false">IF(DD38=1,MIN(DL38,DB38-DM38),0)</f>
        <v>0</v>
      </c>
      <c r="DO38" s="1" t="n">
        <f aca="false">IF(V38=1,IF(ABS((1+AS_Wage)/(1+Slot1_Rate)-1)&lt;0.000000000001,(Slot1_Age-D38)*(1+Slot1_Rate)^(Slot1_Age-D38),(1+Slot1_Rate)^(Slot1_Age-D38)*(1-((1+AS_Wage)/(1+Slot1_Rate))^(Slot1_Age-D38))/(1-(1+AS_Wage)/(1+Slot1_Rate))),1)</f>
        <v>1</v>
      </c>
      <c r="DP38" s="1" t="n">
        <f aca="false">IF(AND(DD38=1,DN38&gt;0,Slot1_IsWG=1,V38=1),MAX(0,(Slot1_Cost-W38*(1+Slot1_Rate)^(Slot1_Age-D38))/DO38),0)</f>
        <v>0</v>
      </c>
      <c r="DQ38" s="1" t="n">
        <f aca="false">IF(AND(DD38=1,DN38&gt;0,Slot1_IsWG=1,V38=1),MIN(DN38,DP38),0)</f>
        <v>0</v>
      </c>
      <c r="DR38" s="1" t="n">
        <f aca="false">W38+DQ38</f>
        <v>0</v>
      </c>
      <c r="DS38" s="1" t="n">
        <f aca="false">IF(V38=1,MAX(0,(Slot1_Cost-DR38*(1+Slot1_Rate)^(Slot1_Age-D38))/DO38),0)</f>
        <v>0</v>
      </c>
      <c r="DT38" s="1" t="n">
        <f aca="false">IF(V38=1,MAX(0,(Slot1_Cost-W38*(1+Slot1_Rate)^(Slot1_Age-D38))/DO38),0)</f>
        <v>0</v>
      </c>
      <c r="DU38" s="1" t="n">
        <f aca="false">IF(AND(DD38=1,V38=1),MIN(DM38,DS38),0)</f>
        <v>0</v>
      </c>
      <c r="DV38" s="1" t="n">
        <f aca="false">DM38-DU38</f>
        <v>0</v>
      </c>
      <c r="DW38" s="1" t="n">
        <f aca="false">IF(AG38=1,IF(ABS((1+AS_Wage)/(1+Slot2_Rate)-1)&lt;0.000000000001,(Slot2_Age-D38)*(1+Slot2_Rate)^(Slot2_Age-D38),(1+Slot2_Rate)^(Slot2_Age-D38)*(1-((1+AS_Wage)/(1+Slot2_Rate))^(Slot2_Age-D38))/(1-(1+AS_Wage)/(1+Slot2_Rate))),1)</f>
        <v>1</v>
      </c>
      <c r="DX38" s="1" t="n">
        <f aca="false">IF(AND(DD38=1,DN38&gt;0,Slot2_IsWG=1,AG38=1),MAX(0,(Slot2_Cost-AH38*(1+Slot2_Rate)^(Slot2_Age-D38))/DW38),0)</f>
        <v>0</v>
      </c>
      <c r="DY38" s="1" t="n">
        <f aca="false">IF(AND(DD38=1,DN38&gt;0,Slot2_IsWG=1,AG38=1),MIN(DN38,DX38),0)</f>
        <v>0</v>
      </c>
      <c r="DZ38" s="1" t="n">
        <f aca="false">AH38+DY38</f>
        <v>0</v>
      </c>
      <c r="EA38" s="1" t="n">
        <f aca="false">IF(AG38=1,MAX(0,(Slot2_Cost-DZ38*(1+Slot2_Rate)^(Slot2_Age-D38))/DW38),0)</f>
        <v>0</v>
      </c>
      <c r="EB38" s="1" t="n">
        <f aca="false">IF(AG38=1,MAX(0,(Slot2_Cost-AH38*(1+Slot2_Rate)^(Slot2_Age-D38))/DW38),0)</f>
        <v>0</v>
      </c>
      <c r="EC38" s="1" t="n">
        <f aca="false">IF(AND(DD38=1,AG38=1),MIN(DV38,EA38),0)</f>
        <v>0</v>
      </c>
      <c r="ED38" s="1" t="n">
        <f aca="false">DV38-EC38</f>
        <v>0</v>
      </c>
      <c r="EE38" s="1" t="n">
        <f aca="false">IF(AQ38=1,IF(ABS((1+AS_Wage)/(1+Slot3_Rate)-1)&lt;0.000000000001,(Slot3_Age-D38)*(1+Slot3_Rate)^(Slot3_Age-D38),(1+Slot3_Rate)^(Slot3_Age-D38)*(1-((1+AS_Wage)/(1+Slot3_Rate))^(Slot3_Age-D38))/(1-(1+AS_Wage)/(1+Slot3_Rate))),1)</f>
        <v>1</v>
      </c>
      <c r="EF38" s="1" t="n">
        <f aca="false">IF(AND(DD38=1,DN38&gt;0,Slot3_IsWG=1,AQ38=1),MAX(0,(Slot3_Cost-AR38*(1+Slot3_Rate)^(Slot3_Age-D38))/EE38),0)</f>
        <v>0</v>
      </c>
      <c r="EG38" s="1" t="n">
        <f aca="false">IF(AND(DD38=1,DN38&gt;0,Slot3_IsWG=1,AQ38=1),MIN(DN38,EF38),0)</f>
        <v>0</v>
      </c>
      <c r="EH38" s="1" t="n">
        <f aca="false">AR38+EG38</f>
        <v>0</v>
      </c>
      <c r="EI38" s="1" t="n">
        <f aca="false">IF(AQ38=1,MAX(0,(Slot3_Cost-EH38*(1+Slot3_Rate)^(Slot3_Age-D38))/EE38),0)</f>
        <v>0</v>
      </c>
      <c r="EJ38" s="1" t="n">
        <f aca="false">IF(AQ38=1,MAX(0,(Slot3_Cost-AR38*(1+Slot3_Rate)^(Slot3_Age-D38))/EE38),0)</f>
        <v>0</v>
      </c>
      <c r="EK38" s="1" t="n">
        <f aca="false">IF(AND(DD38=1,AQ38=1),MIN(ED38,EI38),0)</f>
        <v>0</v>
      </c>
      <c r="EL38" s="1" t="n">
        <f aca="false">ED38-EK38</f>
        <v>0</v>
      </c>
      <c r="EM38" s="1" t="n">
        <f aca="false">IF(BA38=1,IF(ABS((1+AS_Wage)/(1+Slot4_Rate)-1)&lt;0.000000000001,(Slot4_Age-D38)*(1+Slot4_Rate)^(Slot4_Age-D38),(1+Slot4_Rate)^(Slot4_Age-D38)*(1-((1+AS_Wage)/(1+Slot4_Rate))^(Slot4_Age-D38))/(1-(1+AS_Wage)/(1+Slot4_Rate))),1)</f>
        <v>1</v>
      </c>
      <c r="EN38" s="1" t="n">
        <f aca="false">IF(AND(DD38=1,DN38&gt;0,Slot4_IsWG=1,BA38=1),MAX(0,(Slot4_Cost-BB38*(1+Slot4_Rate)^(Slot4_Age-D38))/EM38),0)</f>
        <v>0</v>
      </c>
      <c r="EO38" s="1" t="n">
        <f aca="false">IF(AND(DD38=1,DN38&gt;0,Slot4_IsWG=1,BA38=1),MIN(DN38,EN38),0)</f>
        <v>0</v>
      </c>
      <c r="EP38" s="1" t="n">
        <f aca="false">BB38+EO38</f>
        <v>0</v>
      </c>
      <c r="EQ38" s="1" t="n">
        <f aca="false">IF(BA38=1,MAX(0,(Slot4_Cost-EP38*(1+Slot4_Rate)^(Slot4_Age-D38))/EM38),0)</f>
        <v>0</v>
      </c>
      <c r="ER38" s="1" t="n">
        <f aca="false">IF(BA38=1,MAX(0,(Slot4_Cost-BB38*(1+Slot4_Rate)^(Slot4_Age-D38))/EM38),0)</f>
        <v>0</v>
      </c>
      <c r="ES38" s="1" t="n">
        <f aca="false">IF(AND(DD38=1,BA38=1),MIN(EL38,EQ38),0)</f>
        <v>0</v>
      </c>
      <c r="ET38" s="1" t="n">
        <f aca="false">EL38-ES38</f>
        <v>0</v>
      </c>
      <c r="EU38" s="1" t="n">
        <f aca="false">IF(BK38=1,IF(ABS((1+AS_Wage)/(1+Slot5_Rate)-1)&lt;0.000000000001,(Slot5_Age-D38)*(1+Slot5_Rate)^(Slot5_Age-D38),(1+Slot5_Rate)^(Slot5_Age-D38)*(1-((1+AS_Wage)/(1+Slot5_Rate))^(Slot5_Age-D38))/(1-(1+AS_Wage)/(1+Slot5_Rate))),1)</f>
        <v>1</v>
      </c>
      <c r="EV38" s="1" t="n">
        <f aca="false">IF(AND(DD38=1,DN38&gt;0,Slot5_IsWG=1,BK38=1),MAX(0,(Slot5_Cost-BL38*(1+Slot5_Rate)^(Slot5_Age-D38))/EU38),0)</f>
        <v>0</v>
      </c>
      <c r="EW38" s="1" t="n">
        <f aca="false">IF(AND(DD38=1,DN38&gt;0,Slot5_IsWG=1,BK38=1),MIN(DN38,EV38),0)</f>
        <v>0</v>
      </c>
      <c r="EX38" s="1" t="n">
        <f aca="false">BL38+EW38</f>
        <v>0</v>
      </c>
      <c r="EY38" s="1" t="n">
        <f aca="false">IF(BK38=1,MAX(0,(Slot5_Cost-EX38*(1+Slot5_Rate)^(Slot5_Age-D38))/EU38),0)</f>
        <v>0</v>
      </c>
      <c r="EZ38" s="1" t="n">
        <f aca="false">IF(BK38=1,MAX(0,(Slot5_Cost-BL38*(1+Slot5_Rate)^(Slot5_Age-D38))/EU38),0)</f>
        <v>0</v>
      </c>
      <c r="FA38" s="1" t="n">
        <f aca="false">IF(AND(DD38=1,BK38=1),MIN(ET38,EY38),0)</f>
        <v>0</v>
      </c>
      <c r="FB38" s="1" t="n">
        <f aca="false">ET38-FA38</f>
        <v>0</v>
      </c>
      <c r="FC38" s="1" t="n">
        <f aca="false">IF(BU38=1,IF(ABS((1+AS_Wage)/(1+Slot6_Rate)-1)&lt;0.000000000001,(Slot6_Age-D38)*(1+Slot6_Rate)^(Slot6_Age-D38),(1+Slot6_Rate)^(Slot6_Age-D38)*(1-((1+AS_Wage)/(1+Slot6_Rate))^(Slot6_Age-D38))/(1-(1+AS_Wage)/(1+Slot6_Rate))),1)</f>
        <v>1</v>
      </c>
      <c r="FD38" s="1" t="n">
        <f aca="false">IF(AND(DD38=1,DN38&gt;0,Slot6_IsWG=1,BU38=1),MAX(0,(Slot6_Cost-BV38*(1+Slot6_Rate)^(Slot6_Age-D38))/FC38),0)</f>
        <v>0</v>
      </c>
      <c r="FE38" s="1" t="n">
        <f aca="false">IF(AND(DD38=1,DN38&gt;0,Slot6_IsWG=1,BU38=1),MIN(DN38,FD38),0)</f>
        <v>0</v>
      </c>
      <c r="FF38" s="1" t="n">
        <f aca="false">BV38+FE38</f>
        <v>0</v>
      </c>
      <c r="FG38" s="1" t="n">
        <f aca="false">IF(BU38=1,MAX(0,(Slot6_Cost-FF38*(1+Slot6_Rate)^(Slot6_Age-D38))/FC38),0)</f>
        <v>0</v>
      </c>
      <c r="FH38" s="1" t="n">
        <f aca="false">IF(BU38=1,MAX(0,(Slot6_Cost-BV38*(1+Slot6_Rate)^(Slot6_Age-D38))/FC38),0)</f>
        <v>0</v>
      </c>
      <c r="FI38" s="1" t="n">
        <f aca="false">IF(AND(DD38=1,BU38=1),MIN(FB38,FG38),0)</f>
        <v>0</v>
      </c>
      <c r="FJ38" s="1" t="n">
        <f aca="false">FB38-FI38</f>
        <v>0</v>
      </c>
      <c r="FK38" s="1" t="n">
        <f aca="false">IF(CE38=1,IF(ABS((1+AS_Wage)/(1+Slot7_Rate)-1)&lt;0.000000000001,(Slot7_Age-D38)*(1+Slot7_Rate)^(Slot7_Age-D38),(1+Slot7_Rate)^(Slot7_Age-D38)*(1-((1+AS_Wage)/(1+Slot7_Rate))^(Slot7_Age-D38))/(1-(1+AS_Wage)/(1+Slot7_Rate))),1)</f>
        <v>1</v>
      </c>
      <c r="FL38" s="1" t="n">
        <f aca="false">IF(AND(DD38=1,DN38&gt;0,Slot7_IsWG=1,CE38=1),MAX(0,(Slot7_Cost-CF38*(1+Slot7_Rate)^(Slot7_Age-D38))/FK38),0)</f>
        <v>0</v>
      </c>
      <c r="FM38" s="1" t="n">
        <f aca="false">IF(AND(DD38=1,DN38&gt;0,Slot7_IsWG=1,CE38=1),MIN(DN38,FL38),0)</f>
        <v>0</v>
      </c>
      <c r="FN38" s="1" t="n">
        <f aca="false">CF38+FM38</f>
        <v>0</v>
      </c>
      <c r="FO38" s="1" t="n">
        <f aca="false">IF(CE38=1,MAX(0,(Slot7_Cost-FN38*(1+Slot7_Rate)^(Slot7_Age-D38))/FK38),0)</f>
        <v>0</v>
      </c>
      <c r="FP38" s="1" t="n">
        <f aca="false">IF(CE38=1,MAX(0,(Slot7_Cost-CF38*(1+Slot7_Rate)^(Slot7_Age-D38))/FK38),0)</f>
        <v>0</v>
      </c>
      <c r="FQ38" s="1" t="n">
        <f aca="false">IF(AND(DD38=1,CE38=1),MIN(FJ38,FO38),0)</f>
        <v>0</v>
      </c>
      <c r="FR38" s="1" t="n">
        <f aca="false">FJ38-FQ38</f>
        <v>0</v>
      </c>
      <c r="FS38" s="1" t="n">
        <f aca="false">IF(CO38=1,IF(ABS((1+AS_Wage)/(1+Slot8_Rate)-1)&lt;0.000000000001,(Slot8_Age-D38)*(1+Slot8_Rate)^(Slot8_Age-D38),(1+Slot8_Rate)^(Slot8_Age-D38)*(1-((1+AS_Wage)/(1+Slot8_Rate))^(Slot8_Age-D38))/(1-(1+AS_Wage)/(1+Slot8_Rate))),1)</f>
        <v>1</v>
      </c>
      <c r="FT38" s="1" t="n">
        <f aca="false">IF(AND(DD38=1,DN38&gt;0,Slot8_IsWG=1,CO38=1),MAX(0,(Slot8_Cost-CP38*(1+Slot8_Rate)^(Slot8_Age-D38))/FS38),0)</f>
        <v>0</v>
      </c>
      <c r="FU38" s="1" t="n">
        <f aca="false">IF(AND(DD38=1,DN38&gt;0,Slot8_IsWG=1,CO38=1),MIN(DN38,FT38),0)</f>
        <v>0</v>
      </c>
      <c r="FV38" s="1" t="n">
        <f aca="false">CP38+FU38</f>
        <v>0</v>
      </c>
      <c r="FW38" s="1" t="n">
        <f aca="false">IF(CO38=1,MAX(0,(Slot8_Cost-FV38*(1+Slot8_Rate)^(Slot8_Age-D38))/FS38),0)</f>
        <v>0</v>
      </c>
      <c r="FX38" s="1" t="n">
        <f aca="false">IF(CO38=1,MAX(0,(Slot8_Cost-CP38*(1+Slot8_Rate)^(Slot8_Age-D38))/FS38),0)</f>
        <v>0</v>
      </c>
      <c r="FY38" s="1" t="n">
        <f aca="false">IF(AND(DD38=1,CO38=1),MIN(FR38,FW38),0)</f>
        <v>0</v>
      </c>
      <c r="FZ38" s="1" t="n">
        <f aca="false">FR38-FY38</f>
        <v>0</v>
      </c>
      <c r="GA38" s="1" t="n">
        <f aca="false">DN38-(DQ38+DY38+EG38+EO38+EW38+FE38+FM38+FU38)</f>
        <v>0</v>
      </c>
      <c r="GB38" s="1" t="n">
        <f aca="false">IF(DD38=1,DB38-DM38-DN38,0)</f>
        <v>0</v>
      </c>
      <c r="GC38" s="1" t="n">
        <f aca="false">IF(DD38=0,-DB38,0)</f>
        <v>0</v>
      </c>
      <c r="GD38" s="1" t="n">
        <f aca="false">MIN(GC38,CT38)</f>
        <v>0</v>
      </c>
      <c r="GE38" s="1" t="n">
        <f aca="false">GC38-GD38</f>
        <v>0</v>
      </c>
      <c r="GF38" s="1" t="n">
        <f aca="false">MIN(GE38,CU38)</f>
        <v>0</v>
      </c>
      <c r="GG38" s="1" t="n">
        <f aca="false">GE38-GF38</f>
        <v>0</v>
      </c>
      <c r="GH38" s="1" t="n">
        <f aca="false">IF(AND(DD38=0,CO38=1,GG38&gt;0),MIN(GG38,CP38),0)</f>
        <v>0</v>
      </c>
      <c r="GI38" s="1" t="n">
        <f aca="false">GG38-GH38</f>
        <v>0</v>
      </c>
      <c r="GJ38" s="1" t="n">
        <f aca="false">IF(AND(DD38=0,CE38=1,GI38&gt;0),MIN(GI38,CF38),0)</f>
        <v>0</v>
      </c>
      <c r="GK38" s="1" t="n">
        <f aca="false">GI38-GJ38</f>
        <v>0</v>
      </c>
      <c r="GL38" s="1" t="n">
        <f aca="false">IF(AND(DD38=0,BU38=1,GK38&gt;0),MIN(GK38,BV38),0)</f>
        <v>0</v>
      </c>
      <c r="GM38" s="1" t="n">
        <f aca="false">GK38-GL38</f>
        <v>0</v>
      </c>
      <c r="GN38" s="1" t="n">
        <f aca="false">IF(AND(DD38=0,BK38=1,GM38&gt;0),MIN(GM38,BL38),0)</f>
        <v>0</v>
      </c>
      <c r="GO38" s="1" t="n">
        <f aca="false">GM38-GN38</f>
        <v>0</v>
      </c>
      <c r="GP38" s="1" t="n">
        <f aca="false">IF(AND(DD38=0,BA38=1,GO38&gt;0),MIN(GO38,BB38),0)</f>
        <v>0</v>
      </c>
      <c r="GQ38" s="1" t="n">
        <f aca="false">GO38-GP38</f>
        <v>0</v>
      </c>
      <c r="GR38" s="1" t="n">
        <f aca="false">IF(AND(DD38=0,AQ38=1,GQ38&gt;0),MIN(GQ38,AR38),0)</f>
        <v>0</v>
      </c>
      <c r="GS38" s="1" t="n">
        <f aca="false">GQ38-GR38</f>
        <v>0</v>
      </c>
      <c r="GT38" s="1" t="n">
        <f aca="false">IF(AND(DD38=0,AG38=1,GS38&gt;0),MIN(GS38,AH38),0)</f>
        <v>0</v>
      </c>
      <c r="GU38" s="1" t="n">
        <f aca="false">GS38-GT38</f>
        <v>0</v>
      </c>
      <c r="GV38" s="1" t="n">
        <f aca="false">IF(AND(DD38=0,V38=1,GU38&gt;0),MIN(GU38,W38),0)</f>
        <v>0</v>
      </c>
      <c r="GW38" s="1" t="n">
        <f aca="false">GU38-GV38</f>
        <v>0</v>
      </c>
      <c r="GX38" s="1" t="n">
        <f aca="false">IF(DD38=0,GW38,0)</f>
        <v>0</v>
      </c>
      <c r="GY38" s="1" t="n">
        <f aca="false">GD38+GF38+GV38+GT38+GR38+GP38+GN38+GL38+GJ38+GH38</f>
        <v>0</v>
      </c>
      <c r="GZ38" s="1" t="n">
        <f aca="false">IF(DD38=1,CT38+GA38+FZ38+IF(F38=1,0,GB38),CT38-GD38)</f>
        <v>0</v>
      </c>
      <c r="HA38" s="1" t="n">
        <f aca="false">CU38-GF38</f>
        <v>0</v>
      </c>
      <c r="HB38" s="1" t="n">
        <f aca="false">IF(DD38=1,IF(F38=1,DM38+DN38,DB38),0)</f>
        <v>0</v>
      </c>
      <c r="HC38" s="1" t="n">
        <f aca="false">IF(DD38=1,IF(F38=1,DB38-DM38-DN38,0),0)</f>
        <v>0</v>
      </c>
      <c r="HD38" s="1" t="n">
        <f aca="false">GZ38*(1+GR)</f>
        <v>0</v>
      </c>
      <c r="HE38" s="1" t="n">
        <f aca="false">HA38*(1+AS_Cash)</f>
        <v>0</v>
      </c>
      <c r="HF38" s="1" t="n">
        <f aca="false">IF(V38=1,IF(DD38=1,DR38+DU38,W38-GV38)*(1+Slot1_Rate),0)</f>
        <v>0</v>
      </c>
      <c r="HG38" s="1" t="n">
        <f aca="false">IF(AND(DD38=1,V38=1),(DQ38+DU38)/E38,0)</f>
        <v>0</v>
      </c>
      <c r="HH38" s="1" t="n">
        <f aca="false">IF(B38=0,DQ38+DU38,0)</f>
        <v>0</v>
      </c>
      <c r="HI38" s="1" t="n">
        <f aca="false">IF(B38=0,IF(DD38=1,DS38,DT38),0)</f>
        <v>0</v>
      </c>
      <c r="HJ38" s="1" t="n">
        <f aca="false">IF(AG38=1,IF(DD38=1,DZ38+EC38,AH38-GT38)*(1+Slot2_Rate),0)</f>
        <v>0</v>
      </c>
      <c r="HK38" s="1" t="n">
        <f aca="false">IF(AND(DD38=1,AG38=1),(DY38+EC38)/E38,0)</f>
        <v>0</v>
      </c>
      <c r="HL38" s="1" t="n">
        <f aca="false">IF(B38=0,DY38+EC38,0)</f>
        <v>0</v>
      </c>
      <c r="HM38" s="1" t="n">
        <f aca="false">IF(B38=0,IF(DD38=1,EA38,EB38),0)</f>
        <v>0</v>
      </c>
      <c r="HN38" s="1" t="n">
        <f aca="false">IF(AQ38=1,IF(DD38=1,EH38+EK38,AR38-GR38)*(1+Slot3_Rate),0)</f>
        <v>0</v>
      </c>
      <c r="HO38" s="1" t="n">
        <f aca="false">IF(AND(DD38=1,AQ38=1),(EG38+EK38)/E38,0)</f>
        <v>0</v>
      </c>
      <c r="HP38" s="1" t="n">
        <f aca="false">IF(B38=0,EG38+EK38,0)</f>
        <v>0</v>
      </c>
      <c r="HQ38" s="1" t="n">
        <f aca="false">IF(B38=0,IF(DD38=1,EI38,EJ38),0)</f>
        <v>0</v>
      </c>
      <c r="HR38" s="1" t="n">
        <f aca="false">IF(BA38=1,IF(DD38=1,EP38+ES38,BB38-GP38)*(1+Slot4_Rate),0)</f>
        <v>0</v>
      </c>
      <c r="HS38" s="1" t="n">
        <f aca="false">IF(AND(DD38=1,BA38=1),(EO38+ES38)/E38,0)</f>
        <v>0</v>
      </c>
      <c r="HT38" s="1" t="n">
        <f aca="false">IF(B38=0,EO38+ES38,0)</f>
        <v>0</v>
      </c>
      <c r="HU38" s="1" t="n">
        <f aca="false">IF(B38=0,IF(DD38=1,EQ38,ER38),0)</f>
        <v>0</v>
      </c>
      <c r="HV38" s="1" t="n">
        <f aca="false">IF(BK38=1,IF(DD38=1,EX38+FA38,BL38-GN38)*(1+Slot5_Rate),0)</f>
        <v>0</v>
      </c>
      <c r="HW38" s="1" t="n">
        <f aca="false">IF(AND(DD38=1,BK38=1),(EW38+FA38)/E38,0)</f>
        <v>0</v>
      </c>
      <c r="HX38" s="1" t="n">
        <f aca="false">IF(B38=0,EW38+FA38,0)</f>
        <v>0</v>
      </c>
      <c r="HY38" s="1" t="n">
        <f aca="false">IF(B38=0,IF(DD38=1,EY38,EZ38),0)</f>
        <v>0</v>
      </c>
      <c r="HZ38" s="1" t="n">
        <f aca="false">IF(BU38=1,IF(DD38=1,FF38+FI38,BV38-GL38)*(1+Slot6_Rate),0)</f>
        <v>0</v>
      </c>
      <c r="IA38" s="1" t="n">
        <f aca="false">IF(AND(DD38=1,BU38=1),(FE38+FI38)/E38,0)</f>
        <v>0</v>
      </c>
      <c r="IB38" s="1" t="n">
        <f aca="false">IF(B38=0,FE38+FI38,0)</f>
        <v>0</v>
      </c>
      <c r="IC38" s="1" t="n">
        <f aca="false">IF(B38=0,IF(DD38=1,FG38,FH38),0)</f>
        <v>0</v>
      </c>
      <c r="ID38" s="1" t="n">
        <f aca="false">IF(CE38=1,IF(DD38=1,FN38+FQ38,CF38-GJ38)*(1+Slot7_Rate),0)</f>
        <v>0</v>
      </c>
      <c r="IE38" s="1" t="n">
        <f aca="false">IF(AND(DD38=1,CE38=1),(FM38+FQ38)/E38,0)</f>
        <v>0</v>
      </c>
      <c r="IF38" s="1" t="n">
        <f aca="false">IF(B38=0,FM38+FQ38,0)</f>
        <v>0</v>
      </c>
      <c r="IG38" s="1" t="n">
        <f aca="false">IF(B38=0,IF(DD38=1,FO38,FP38),0)</f>
        <v>0</v>
      </c>
      <c r="IH38" s="1" t="n">
        <f aca="false">IF(CO38=1,IF(DD38=1,FV38+FY38,CP38-GH38)*(1+Slot8_Rate),0)</f>
        <v>0</v>
      </c>
      <c r="II38" s="1" t="n">
        <f aca="false">IF(AND(DD38=1,CO38=1),(FU38+FY38)/E38,0)</f>
        <v>0</v>
      </c>
      <c r="IJ38" s="1" t="n">
        <f aca="false">IF(B38=0,FU38+FY38,0)</f>
        <v>0</v>
      </c>
      <c r="IK38" s="1" t="n">
        <f aca="false">IF(B38=0,IF(DD38=1,FW38,FX38),0)</f>
        <v>0</v>
      </c>
      <c r="IL38" s="1" t="n">
        <f aca="false">HD38+HE38+HF38+HJ38+HN38+HR38+HV38+HZ38+ID38+IH38</f>
        <v>0</v>
      </c>
      <c r="IM38" s="1" t="n">
        <f aca="false">GX38+CY38</f>
        <v>0</v>
      </c>
      <c r="IN38" s="1" t="n">
        <f aca="false">H38+R38</f>
        <v>0</v>
      </c>
      <c r="IO38" s="1" t="n">
        <f aca="false">1-F38</f>
        <v>1</v>
      </c>
      <c r="IP38" s="1" t="n">
        <f aca="false">IF(AND(RG_Exists=1,F38=0,C38=1),H38,0)</f>
        <v>0</v>
      </c>
      <c r="IQ38" s="1" t="n">
        <f aca="false">IF(AND(RG_Exists=1,F38=0,C38=1),H38-MIN(GX38,H38),0)</f>
        <v>0</v>
      </c>
      <c r="IR38" s="1" t="n">
        <f aca="false">'Plan pay &amp; tax'!AD240</f>
        <v>0</v>
      </c>
      <c r="IS38" s="1" t="n">
        <f aca="false">IF(AND(C38=1,GX38&gt;MAX(PR_Short1,IN38*PR_Short2)),1,0)</f>
        <v>0</v>
      </c>
      <c r="IT38" s="1" t="n">
        <f aca="false">MIN(G38,H38+R38)</f>
        <v>0</v>
      </c>
      <c r="IU38" s="1" t="n">
        <f aca="false">GY38+MAX(0,CZ38-CY38)</f>
        <v>0</v>
      </c>
      <c r="IV38" s="1" t="n">
        <f aca="false">GX38+CY38</f>
        <v>0</v>
      </c>
      <c r="IW38" s="1" t="n">
        <f aca="false">IF(AND(C38=1,IV38&gt;0.5),1,0)</f>
        <v>0</v>
      </c>
      <c r="IX38" s="1" t="n">
        <f aca="false">IF(AND(C38=1,IW38=0,IU38&gt;0.5),1,0)</f>
        <v>0</v>
      </c>
      <c r="IY38" s="1" t="n">
        <f aca="false">IF(AND(C38=1,GX38&gt;0.5),1,0)</f>
        <v>0</v>
      </c>
      <c r="IZ38" s="1" t="n">
        <f aca="false">IF(AND(C38=1,GY38&gt;1,JF38=0),1,0)</f>
        <v>0</v>
      </c>
      <c r="JA38" s="1" t="n">
        <f aca="false">IF(AND(INT(D38/10)*10=90,B38&gt;0),80,INT(D38/10)*10)</f>
        <v>30</v>
      </c>
      <c r="JB38" s="1" t="n">
        <f aca="false">IF(B38=0,1,IF(JA38&lt;&gt;JA37,JB37+1,JB37))</f>
        <v>4</v>
      </c>
      <c r="JC38" s="1" t="n">
        <f aca="false">IF(AND(C38=1,F38=1,GX38&gt;MAX(PR_Short1,IN38*PR_Short2)),1,0)</f>
        <v>0</v>
      </c>
      <c r="JD38" s="1" t="n">
        <f aca="false">IO38*IS38</f>
        <v>0</v>
      </c>
      <c r="JE38" s="1" t="n">
        <f aca="false">IF(AND(U38=1,Slot1_PctLow=1),1,0)+IF(AND(AF38=1,Slot2_PctLow=1),1,0)+IF(AND(AP38=1,Slot3_PctLow=1),1,0)+IF(AND(AZ38=1,Slot4_PctLow=1),1,0)+IF(AND(BJ38=1,Slot5_PctLow=1),1,0)+IF(AND(BT38=1,Slot6_PctLow=1),1,0)+IF(AND(CD38=1,Slot7_PctLow=1),1,0)+IF(AND(CN38=1,Slot8_PctLow=1),1,0)</f>
        <v>0</v>
      </c>
      <c r="JF38" s="1" t="n">
        <f aca="false">IF(C38=1,IF(OR(IS38=1,JE38&gt;0),1,0),0)</f>
        <v>0</v>
      </c>
    </row>
    <row r="39" customFormat="false" ht="15" hidden="false" customHeight="false" outlineLevel="0" collapsed="false">
      <c r="B39" s="1" t="n">
        <v>31</v>
      </c>
      <c r="C39" s="1" t="n">
        <f aca="false">IF(B39&lt;=F_N,1,0)</f>
        <v>1</v>
      </c>
      <c r="D39" s="1" t="n">
        <f aca="false">'Plan pay &amp; tax'!C241</f>
        <v>31</v>
      </c>
      <c r="E39" s="106" t="n">
        <f aca="false">'Plan pay &amp; tax'!E241</f>
        <v>1.84758881578542</v>
      </c>
      <c r="F39" s="1" t="n">
        <f aca="false">'Plan pay &amp; tax'!G241</f>
        <v>0</v>
      </c>
      <c r="G39" s="1" t="n">
        <f aca="false">'Plan pay &amp; tax'!BT241-'Plan pay &amp; tax'!BS241-'Plan pay &amp; tax'!R241</f>
        <v>0</v>
      </c>
      <c r="H39" s="1" t="n">
        <f aca="false">IF(F39=1,F_CostsM*12,IF(RG_Exists=1,RG_Amount,F_CostsM*12*AS_RetireSpend))*E39+F_OneOffY*E39</f>
        <v>0</v>
      </c>
      <c r="I39" s="1" t="n">
        <f aca="false">DA38</f>
        <v>0</v>
      </c>
      <c r="J39" s="1" t="n">
        <f aca="false">IF(I39&gt;1,'Plan debt months'!AC39,0)</f>
        <v>0</v>
      </c>
      <c r="K39" s="1" t="n">
        <f aca="false">IF(I39&gt;1,'Plan debt months'!AB39,I39)</f>
        <v>0</v>
      </c>
      <c r="L39" s="1" t="n">
        <f aca="false">N38</f>
        <v>0</v>
      </c>
      <c r="M39" s="1" t="n">
        <f aca="false">IF(L39&gt;1,'Plan debt months'!BD39,0)</f>
        <v>0</v>
      </c>
      <c r="N39" s="1" t="n">
        <f aca="false">IF(L39&gt;1,'Plan debt months'!BC39,L39)</f>
        <v>0</v>
      </c>
      <c r="O39" s="1" t="n">
        <f aca="false">Q38</f>
        <v>0</v>
      </c>
      <c r="P39" s="1" t="n">
        <f aca="false">IF(O39&gt;1,'Plan debt months'!CE39,0)</f>
        <v>0</v>
      </c>
      <c r="Q39" s="1" t="n">
        <f aca="false">IF(O39&gt;1,'Plan debt months'!CD39,O39)</f>
        <v>0</v>
      </c>
      <c r="R39" s="1" t="n">
        <f aca="false">J39+M39+P39</f>
        <v>0</v>
      </c>
      <c r="S39" s="1" t="n">
        <f aca="false">HD38+'Plan pay &amp; tax'!Y241</f>
        <v>0</v>
      </c>
      <c r="T39" s="1" t="n">
        <f aca="false">HD38</f>
        <v>0</v>
      </c>
      <c r="U39" s="1" t="n">
        <f aca="false">IF(AND(Slot1_On=1,D39=Slot1_Age),1,0)</f>
        <v>0</v>
      </c>
      <c r="V39" s="1" t="n">
        <f aca="false">IF(AND(Slot1_On=1,Slot1_Age&gt;D39),1,0)</f>
        <v>0</v>
      </c>
      <c r="W39" s="1" t="n">
        <f aca="false">HF38</f>
        <v>0</v>
      </c>
      <c r="X39" s="1" t="n">
        <f aca="false">U39*MIN(Slot1_Cost,W39)</f>
        <v>0</v>
      </c>
      <c r="Y39" s="1" t="n">
        <f aca="false">U39*Slot1_SpendLike*MIN(Slot1_Cost-X39,S39)</f>
        <v>0</v>
      </c>
      <c r="Z39" s="1" t="n">
        <f aca="false">X39+Y39</f>
        <v>0</v>
      </c>
      <c r="AA39" s="1" t="n">
        <f aca="false">S39-Y39+U39*IF(Slot1_SpendLike=1,W39-X39,IF(Slot1_PotFree=1,W39,0))</f>
        <v>0</v>
      </c>
      <c r="AB39" s="1" t="n">
        <f aca="false">AE39+U39*Slot1_BufPot*W39</f>
        <v>0</v>
      </c>
      <c r="AC39" s="1" t="n">
        <f aca="false">IF(AND(U39=1,Slot1_IsMfree=1),IF(Z39&gt;=Slot1_Cost-1,0,MAX(0,K39-Z39)),K39)</f>
        <v>0</v>
      </c>
      <c r="AD39" s="1" t="n">
        <f aca="false">U39*(Slot1_Cost-Z39)</f>
        <v>0</v>
      </c>
      <c r="AE39" s="1" t="n">
        <f aca="false">HE38</f>
        <v>0</v>
      </c>
      <c r="AF39" s="1" t="n">
        <f aca="false">IF(AND(Slot2_On=1,D39=Slot2_Age),1,0)</f>
        <v>0</v>
      </c>
      <c r="AG39" s="1" t="n">
        <f aca="false">IF(AND(Slot2_On=1,Slot2_Age&gt;D39),1,0)</f>
        <v>0</v>
      </c>
      <c r="AH39" s="1" t="n">
        <f aca="false">HJ38</f>
        <v>0</v>
      </c>
      <c r="AI39" s="1" t="n">
        <f aca="false">AF39*MIN(Slot2_Cost,AH39)</f>
        <v>0</v>
      </c>
      <c r="AJ39" s="1" t="n">
        <f aca="false">AF39*Slot2_SpendLike*MIN(Slot2_Cost-AI39,AA39)</f>
        <v>0</v>
      </c>
      <c r="AK39" s="1" t="n">
        <f aca="false">AI39+AJ39</f>
        <v>0</v>
      </c>
      <c r="AL39" s="1" t="n">
        <f aca="false">AA39-AJ39+AF39*IF(Slot2_SpendLike=1,AH39-AI39,IF(Slot2_PotFree=1,AH39,0))</f>
        <v>0</v>
      </c>
      <c r="AM39" s="1" t="n">
        <f aca="false">AB39+AF39*Slot2_BufPot*AH39</f>
        <v>0</v>
      </c>
      <c r="AN39" s="1" t="n">
        <f aca="false">IF(AND(AF39=1,Slot2_IsMfree=1),IF(AK39&gt;=Slot2_Cost-1,0,MAX(0,AC39-AK39)),AC39)</f>
        <v>0</v>
      </c>
      <c r="AO39" s="1" t="n">
        <f aca="false">AF39*(Slot2_Cost-AK39)</f>
        <v>0</v>
      </c>
      <c r="AP39" s="1" t="n">
        <f aca="false">IF(AND(Slot3_On=1,D39=Slot3_Age),1,0)</f>
        <v>0</v>
      </c>
      <c r="AQ39" s="1" t="n">
        <f aca="false">IF(AND(Slot3_On=1,Slot3_Age&gt;D39),1,0)</f>
        <v>0</v>
      </c>
      <c r="AR39" s="1" t="n">
        <f aca="false">HN38</f>
        <v>0</v>
      </c>
      <c r="AS39" s="1" t="n">
        <f aca="false">AP39*MIN(Slot3_Cost,AR39)</f>
        <v>0</v>
      </c>
      <c r="AT39" s="1" t="n">
        <f aca="false">AP39*Slot3_SpendLike*MIN(Slot3_Cost-AS39,AL39)</f>
        <v>0</v>
      </c>
      <c r="AU39" s="1" t="n">
        <f aca="false">AS39+AT39</f>
        <v>0</v>
      </c>
      <c r="AV39" s="1" t="n">
        <f aca="false">AL39-AT39+AP39*IF(Slot3_SpendLike=1,AR39-AS39,IF(Slot3_PotFree=1,AR39,0))</f>
        <v>0</v>
      </c>
      <c r="AW39" s="1" t="n">
        <f aca="false">AM39+AP39*Slot3_BufPot*AR39</f>
        <v>0</v>
      </c>
      <c r="AX39" s="1" t="n">
        <f aca="false">IF(AND(AP39=1,Slot3_IsMfree=1),IF(AU39&gt;=Slot3_Cost-1,0,MAX(0,AN39-AU39)),AN39)</f>
        <v>0</v>
      </c>
      <c r="AY39" s="1" t="n">
        <f aca="false">AP39*(Slot3_Cost-AU39)</f>
        <v>0</v>
      </c>
      <c r="AZ39" s="1" t="n">
        <f aca="false">IF(AND(Slot4_On=1,D39=Slot4_Age),1,0)</f>
        <v>0</v>
      </c>
      <c r="BA39" s="1" t="n">
        <f aca="false">IF(AND(Slot4_On=1,Slot4_Age&gt;D39),1,0)</f>
        <v>0</v>
      </c>
      <c r="BB39" s="1" t="n">
        <f aca="false">HR38</f>
        <v>0</v>
      </c>
      <c r="BC39" s="1" t="n">
        <f aca="false">AZ39*MIN(Slot4_Cost,BB39)</f>
        <v>0</v>
      </c>
      <c r="BD39" s="1" t="n">
        <f aca="false">AZ39*Slot4_SpendLike*MIN(Slot4_Cost-BC39,AV39)</f>
        <v>0</v>
      </c>
      <c r="BE39" s="1" t="n">
        <f aca="false">BC39+BD39</f>
        <v>0</v>
      </c>
      <c r="BF39" s="1" t="n">
        <f aca="false">AV39-BD39+AZ39*IF(Slot4_SpendLike=1,BB39-BC39,IF(Slot4_PotFree=1,BB39,0))</f>
        <v>0</v>
      </c>
      <c r="BG39" s="1" t="n">
        <f aca="false">AW39+AZ39*Slot4_BufPot*BB39</f>
        <v>0</v>
      </c>
      <c r="BH39" s="1" t="n">
        <f aca="false">IF(AND(AZ39=1,Slot4_IsMfree=1),IF(BE39&gt;=Slot4_Cost-1,0,MAX(0,AX39-BE39)),AX39)</f>
        <v>0</v>
      </c>
      <c r="BI39" s="1" t="n">
        <f aca="false">AZ39*(Slot4_Cost-BE39)</f>
        <v>0</v>
      </c>
      <c r="BJ39" s="1" t="n">
        <f aca="false">IF(AND(Slot5_On=1,D39=Slot5_Age),1,0)</f>
        <v>0</v>
      </c>
      <c r="BK39" s="1" t="n">
        <f aca="false">IF(AND(Slot5_On=1,Slot5_Age&gt;D39),1,0)</f>
        <v>0</v>
      </c>
      <c r="BL39" s="1" t="n">
        <f aca="false">HV38</f>
        <v>0</v>
      </c>
      <c r="BM39" s="1" t="n">
        <f aca="false">BJ39*MIN(Slot5_Cost,BL39)</f>
        <v>0</v>
      </c>
      <c r="BN39" s="1" t="n">
        <f aca="false">BJ39*Slot5_SpendLike*MIN(Slot5_Cost-BM39,BF39)</f>
        <v>0</v>
      </c>
      <c r="BO39" s="1" t="n">
        <f aca="false">BM39+BN39</f>
        <v>0</v>
      </c>
      <c r="BP39" s="1" t="n">
        <f aca="false">BF39-BN39+BJ39*IF(Slot5_SpendLike=1,BL39-BM39,IF(Slot5_PotFree=1,BL39,0))</f>
        <v>0</v>
      </c>
      <c r="BQ39" s="1" t="n">
        <f aca="false">BG39+BJ39*Slot5_BufPot*BL39</f>
        <v>0</v>
      </c>
      <c r="BR39" s="1" t="n">
        <f aca="false">IF(AND(BJ39=1,Slot5_IsMfree=1),IF(BO39&gt;=Slot5_Cost-1,0,MAX(0,BH39-BO39)),BH39)</f>
        <v>0</v>
      </c>
      <c r="BS39" s="1" t="n">
        <f aca="false">BJ39*(Slot5_Cost-BO39)</f>
        <v>0</v>
      </c>
      <c r="BT39" s="1" t="n">
        <f aca="false">IF(AND(Slot6_On=1,D39=Slot6_Age),1,0)</f>
        <v>0</v>
      </c>
      <c r="BU39" s="1" t="n">
        <f aca="false">IF(AND(Slot6_On=1,Slot6_Age&gt;D39),1,0)</f>
        <v>0</v>
      </c>
      <c r="BV39" s="1" t="n">
        <f aca="false">HZ38</f>
        <v>0</v>
      </c>
      <c r="BW39" s="1" t="n">
        <f aca="false">BT39*MIN(Slot6_Cost,BV39)</f>
        <v>0</v>
      </c>
      <c r="BX39" s="1" t="n">
        <f aca="false">BT39*Slot6_SpendLike*MIN(Slot6_Cost-BW39,BP39)</f>
        <v>0</v>
      </c>
      <c r="BY39" s="1" t="n">
        <f aca="false">BW39+BX39</f>
        <v>0</v>
      </c>
      <c r="BZ39" s="1" t="n">
        <f aca="false">BP39-BX39+BT39*IF(Slot6_SpendLike=1,BV39-BW39,IF(Slot6_PotFree=1,BV39,0))</f>
        <v>0</v>
      </c>
      <c r="CA39" s="1" t="n">
        <f aca="false">BQ39+BT39*Slot6_BufPot*BV39</f>
        <v>0</v>
      </c>
      <c r="CB39" s="1" t="n">
        <f aca="false">IF(AND(BT39=1,Slot6_IsMfree=1),IF(BY39&gt;=Slot6_Cost-1,0,MAX(0,BR39-BY39)),BR39)</f>
        <v>0</v>
      </c>
      <c r="CC39" s="1" t="n">
        <f aca="false">BT39*(Slot6_Cost-BY39)</f>
        <v>0</v>
      </c>
      <c r="CD39" s="1" t="n">
        <f aca="false">IF(AND(Slot7_On=1,D39=Slot7_Age),1,0)</f>
        <v>0</v>
      </c>
      <c r="CE39" s="1" t="n">
        <f aca="false">IF(AND(Slot7_On=1,Slot7_Age&gt;D39),1,0)</f>
        <v>0</v>
      </c>
      <c r="CF39" s="1" t="n">
        <f aca="false">ID38</f>
        <v>0</v>
      </c>
      <c r="CG39" s="1" t="n">
        <f aca="false">CD39*MIN(Slot7_Cost,CF39)</f>
        <v>0</v>
      </c>
      <c r="CH39" s="1" t="n">
        <f aca="false">CD39*Slot7_SpendLike*MIN(Slot7_Cost-CG39,BZ39)</f>
        <v>0</v>
      </c>
      <c r="CI39" s="1" t="n">
        <f aca="false">CG39+CH39</f>
        <v>0</v>
      </c>
      <c r="CJ39" s="1" t="n">
        <f aca="false">BZ39-CH39+CD39*IF(Slot7_SpendLike=1,CF39-CG39,IF(Slot7_PotFree=1,CF39,0))</f>
        <v>0</v>
      </c>
      <c r="CK39" s="1" t="n">
        <f aca="false">CA39+CD39*Slot7_BufPot*CF39</f>
        <v>0</v>
      </c>
      <c r="CL39" s="1" t="n">
        <f aca="false">IF(AND(CD39=1,Slot7_IsMfree=1),IF(CI39&gt;=Slot7_Cost-1,0,MAX(0,CB39-CI39)),CB39)</f>
        <v>0</v>
      </c>
      <c r="CM39" s="1" t="n">
        <f aca="false">CD39*(Slot7_Cost-CI39)</f>
        <v>0</v>
      </c>
      <c r="CN39" s="1" t="n">
        <f aca="false">IF(AND(Slot8_On=1,D39=Slot8_Age),1,0)</f>
        <v>0</v>
      </c>
      <c r="CO39" s="1" t="n">
        <f aca="false">IF(AND(Slot8_On=1,Slot8_Age&gt;D39),1,0)</f>
        <v>0</v>
      </c>
      <c r="CP39" s="1" t="n">
        <f aca="false">IH38</f>
        <v>0</v>
      </c>
      <c r="CQ39" s="1" t="n">
        <f aca="false">CN39*MIN(Slot8_Cost,CP39)</f>
        <v>0</v>
      </c>
      <c r="CR39" s="1" t="n">
        <f aca="false">CN39*Slot8_SpendLike*MIN(Slot8_Cost-CQ39,CJ39)</f>
        <v>0</v>
      </c>
      <c r="CS39" s="1" t="n">
        <f aca="false">CQ39+CR39</f>
        <v>0</v>
      </c>
      <c r="CT39" s="1" t="n">
        <f aca="false">CJ39-CR39+CN39*IF(Slot8_SpendLike=1,CP39-CQ39,IF(Slot8_PotFree=1,CP39,0))</f>
        <v>0</v>
      </c>
      <c r="CU39" s="1" t="n">
        <f aca="false">CK39+CN39*Slot8_BufPot*CP39</f>
        <v>0</v>
      </c>
      <c r="CV39" s="1" t="n">
        <f aca="false">IF(AND(CN39=1,Slot8_IsMfree=1),IF(CS39&gt;=Slot8_Cost-1,0,MAX(0,CL39-CS39)),CL39)</f>
        <v>0</v>
      </c>
      <c r="CW39" s="1" t="n">
        <f aca="false">CN39*(Slot8_Cost-CS39)</f>
        <v>0</v>
      </c>
      <c r="CX39" s="1" t="n">
        <f aca="false">U39*Slot1_SpendLike*Z39+AF39*Slot2_SpendLike*AK39+AP39*Slot3_SpendLike*AU39+AZ39*Slot4_SpendLike*BE39+BJ39*Slot5_SpendLike*BO39+BT39*Slot6_SpendLike*BY39+CD39*Slot7_SpendLike*CI39+CN39*Slot8_SpendLike*CS39</f>
        <v>0</v>
      </c>
      <c r="CY39" s="1" t="n">
        <f aca="false">AD39+AO39+AY39+BI39+BS39+CC39+CM39+CW39</f>
        <v>0</v>
      </c>
      <c r="CZ39" s="1" t="n">
        <f aca="false">U39*Slot1_Cost+AF39*Slot2_Cost+AP39*Slot3_Cost+AZ39*Slot4_Cost+BJ39*Slot5_Cost+BT39*Slot6_Cost+CD39*Slot7_Cost+CN39*Slot8_Cost</f>
        <v>0</v>
      </c>
      <c r="DA39" s="1" t="n">
        <f aca="false">CV39</f>
        <v>0</v>
      </c>
      <c r="DB39" s="1" t="n">
        <f aca="false">G39-H39-R39</f>
        <v>0</v>
      </c>
      <c r="DC39" s="1" t="n">
        <f aca="false">IF(B39=0,IF(AND(Has_q6=1,In_q6=4),PR_ShareVaries*(MAX(0,DB39)/12),MIN(IF(Has_q6=1,CHOOSE(In_q6+1,PR_SaveB1,PR_SaveB2,PR_SaveB3,PR_SaveB4,0),AS_NoAnswer),AS_SaveShare*(MAX(0,DB39)/12))),DC38)</f>
        <v>0</v>
      </c>
      <c r="DD39" s="1" t="n">
        <f aca="false">IF(DB39&gt;=0,1,0)</f>
        <v>1</v>
      </c>
      <c r="DE39" s="1" t="n">
        <f aca="false">MAX(0,DB39/12/E39)</f>
        <v>0</v>
      </c>
      <c r="DF39" s="1" t="n">
        <f aca="false">IF(AND(Has_q6=1,In_q6=4),PR_ShareVaries*(DE39),MIN(IF(Has_q6=1,CHOOSE(In_q6+1,PR_SaveB1,PR_SaveB2,PR_SaveB3,PR_SaveB4,0),AS_NoAnswer),AS_SaveShare*(DE39)))</f>
        <v>0</v>
      </c>
      <c r="DG39" s="1" t="n">
        <f aca="false">IF(Has_saveM=1,IF(In_saveUp="Yes",1,IF(In_saveUp="No",0,IF(In_saveM&gt;=DC39-0.5,1,0))),0)</f>
        <v>0</v>
      </c>
      <c r="DH39" s="1" t="n">
        <f aca="false">IF(Has_saveM=1,MIN(DE39,IF(DG39=1,MAX(In_saveM,DF39),MIN(In_saveM,DF39))),DF39)</f>
        <v>0</v>
      </c>
      <c r="DI39" s="1" t="n">
        <f aca="false">IF(F39=1,DH39*12*E39,0)</f>
        <v>0</v>
      </c>
      <c r="DJ39" s="1" t="n">
        <f aca="false">MAX(0,DI39+IF(AND(WI_Retire=0,WI_M&lt;0,F39=1),WI_M*12*E39,0))</f>
        <v>0</v>
      </c>
      <c r="DK39" s="1" t="n">
        <f aca="false">Slot1_IsWG*V39+Slot2_IsWG*AG39+Slot3_IsWG*AQ39+Slot4_IsWG*BA39+Slot5_IsWG*BK39+Slot6_IsWG*BU39+Slot7_IsWG*CE39+Slot8_IsWG*CO39</f>
        <v>0</v>
      </c>
      <c r="DL39" s="1" t="n">
        <f aca="false">IF(AND(WI_Retire=0,WI_M&gt;0,F39=1,DK39&gt;=1),WI_M*12*E39,0)</f>
        <v>0</v>
      </c>
      <c r="DM39" s="1" t="n">
        <f aca="false">IF(DD39=1,MIN(DJ39,DB39),0)</f>
        <v>0</v>
      </c>
      <c r="DN39" s="1" t="n">
        <f aca="false">IF(DD39=1,MIN(DL39,DB39-DM39),0)</f>
        <v>0</v>
      </c>
      <c r="DO39" s="1" t="n">
        <f aca="false">IF(V39=1,IF(ABS((1+AS_Wage)/(1+Slot1_Rate)-1)&lt;0.000000000001,(Slot1_Age-D39)*(1+Slot1_Rate)^(Slot1_Age-D39),(1+Slot1_Rate)^(Slot1_Age-D39)*(1-((1+AS_Wage)/(1+Slot1_Rate))^(Slot1_Age-D39))/(1-(1+AS_Wage)/(1+Slot1_Rate))),1)</f>
        <v>1</v>
      </c>
      <c r="DP39" s="1" t="n">
        <f aca="false">IF(AND(DD39=1,DN39&gt;0,Slot1_IsWG=1,V39=1),MAX(0,(Slot1_Cost-W39*(1+Slot1_Rate)^(Slot1_Age-D39))/DO39),0)</f>
        <v>0</v>
      </c>
      <c r="DQ39" s="1" t="n">
        <f aca="false">IF(AND(DD39=1,DN39&gt;0,Slot1_IsWG=1,V39=1),MIN(DN39,DP39),0)</f>
        <v>0</v>
      </c>
      <c r="DR39" s="1" t="n">
        <f aca="false">W39+DQ39</f>
        <v>0</v>
      </c>
      <c r="DS39" s="1" t="n">
        <f aca="false">IF(V39=1,MAX(0,(Slot1_Cost-DR39*(1+Slot1_Rate)^(Slot1_Age-D39))/DO39),0)</f>
        <v>0</v>
      </c>
      <c r="DT39" s="1" t="n">
        <f aca="false">IF(V39=1,MAX(0,(Slot1_Cost-W39*(1+Slot1_Rate)^(Slot1_Age-D39))/DO39),0)</f>
        <v>0</v>
      </c>
      <c r="DU39" s="1" t="n">
        <f aca="false">IF(AND(DD39=1,V39=1),MIN(DM39,DS39),0)</f>
        <v>0</v>
      </c>
      <c r="DV39" s="1" t="n">
        <f aca="false">DM39-DU39</f>
        <v>0</v>
      </c>
      <c r="DW39" s="1" t="n">
        <f aca="false">IF(AG39=1,IF(ABS((1+AS_Wage)/(1+Slot2_Rate)-1)&lt;0.000000000001,(Slot2_Age-D39)*(1+Slot2_Rate)^(Slot2_Age-D39),(1+Slot2_Rate)^(Slot2_Age-D39)*(1-((1+AS_Wage)/(1+Slot2_Rate))^(Slot2_Age-D39))/(1-(1+AS_Wage)/(1+Slot2_Rate))),1)</f>
        <v>1</v>
      </c>
      <c r="DX39" s="1" t="n">
        <f aca="false">IF(AND(DD39=1,DN39&gt;0,Slot2_IsWG=1,AG39=1),MAX(0,(Slot2_Cost-AH39*(1+Slot2_Rate)^(Slot2_Age-D39))/DW39),0)</f>
        <v>0</v>
      </c>
      <c r="DY39" s="1" t="n">
        <f aca="false">IF(AND(DD39=1,DN39&gt;0,Slot2_IsWG=1,AG39=1),MIN(DN39,DX39),0)</f>
        <v>0</v>
      </c>
      <c r="DZ39" s="1" t="n">
        <f aca="false">AH39+DY39</f>
        <v>0</v>
      </c>
      <c r="EA39" s="1" t="n">
        <f aca="false">IF(AG39=1,MAX(0,(Slot2_Cost-DZ39*(1+Slot2_Rate)^(Slot2_Age-D39))/DW39),0)</f>
        <v>0</v>
      </c>
      <c r="EB39" s="1" t="n">
        <f aca="false">IF(AG39=1,MAX(0,(Slot2_Cost-AH39*(1+Slot2_Rate)^(Slot2_Age-D39))/DW39),0)</f>
        <v>0</v>
      </c>
      <c r="EC39" s="1" t="n">
        <f aca="false">IF(AND(DD39=1,AG39=1),MIN(DV39,EA39),0)</f>
        <v>0</v>
      </c>
      <c r="ED39" s="1" t="n">
        <f aca="false">DV39-EC39</f>
        <v>0</v>
      </c>
      <c r="EE39" s="1" t="n">
        <f aca="false">IF(AQ39=1,IF(ABS((1+AS_Wage)/(1+Slot3_Rate)-1)&lt;0.000000000001,(Slot3_Age-D39)*(1+Slot3_Rate)^(Slot3_Age-D39),(1+Slot3_Rate)^(Slot3_Age-D39)*(1-((1+AS_Wage)/(1+Slot3_Rate))^(Slot3_Age-D39))/(1-(1+AS_Wage)/(1+Slot3_Rate))),1)</f>
        <v>1</v>
      </c>
      <c r="EF39" s="1" t="n">
        <f aca="false">IF(AND(DD39=1,DN39&gt;0,Slot3_IsWG=1,AQ39=1),MAX(0,(Slot3_Cost-AR39*(1+Slot3_Rate)^(Slot3_Age-D39))/EE39),0)</f>
        <v>0</v>
      </c>
      <c r="EG39" s="1" t="n">
        <f aca="false">IF(AND(DD39=1,DN39&gt;0,Slot3_IsWG=1,AQ39=1),MIN(DN39,EF39),0)</f>
        <v>0</v>
      </c>
      <c r="EH39" s="1" t="n">
        <f aca="false">AR39+EG39</f>
        <v>0</v>
      </c>
      <c r="EI39" s="1" t="n">
        <f aca="false">IF(AQ39=1,MAX(0,(Slot3_Cost-EH39*(1+Slot3_Rate)^(Slot3_Age-D39))/EE39),0)</f>
        <v>0</v>
      </c>
      <c r="EJ39" s="1" t="n">
        <f aca="false">IF(AQ39=1,MAX(0,(Slot3_Cost-AR39*(1+Slot3_Rate)^(Slot3_Age-D39))/EE39),0)</f>
        <v>0</v>
      </c>
      <c r="EK39" s="1" t="n">
        <f aca="false">IF(AND(DD39=1,AQ39=1),MIN(ED39,EI39),0)</f>
        <v>0</v>
      </c>
      <c r="EL39" s="1" t="n">
        <f aca="false">ED39-EK39</f>
        <v>0</v>
      </c>
      <c r="EM39" s="1" t="n">
        <f aca="false">IF(BA39=1,IF(ABS((1+AS_Wage)/(1+Slot4_Rate)-1)&lt;0.000000000001,(Slot4_Age-D39)*(1+Slot4_Rate)^(Slot4_Age-D39),(1+Slot4_Rate)^(Slot4_Age-D39)*(1-((1+AS_Wage)/(1+Slot4_Rate))^(Slot4_Age-D39))/(1-(1+AS_Wage)/(1+Slot4_Rate))),1)</f>
        <v>1</v>
      </c>
      <c r="EN39" s="1" t="n">
        <f aca="false">IF(AND(DD39=1,DN39&gt;0,Slot4_IsWG=1,BA39=1),MAX(0,(Slot4_Cost-BB39*(1+Slot4_Rate)^(Slot4_Age-D39))/EM39),0)</f>
        <v>0</v>
      </c>
      <c r="EO39" s="1" t="n">
        <f aca="false">IF(AND(DD39=1,DN39&gt;0,Slot4_IsWG=1,BA39=1),MIN(DN39,EN39),0)</f>
        <v>0</v>
      </c>
      <c r="EP39" s="1" t="n">
        <f aca="false">BB39+EO39</f>
        <v>0</v>
      </c>
      <c r="EQ39" s="1" t="n">
        <f aca="false">IF(BA39=1,MAX(0,(Slot4_Cost-EP39*(1+Slot4_Rate)^(Slot4_Age-D39))/EM39),0)</f>
        <v>0</v>
      </c>
      <c r="ER39" s="1" t="n">
        <f aca="false">IF(BA39=1,MAX(0,(Slot4_Cost-BB39*(1+Slot4_Rate)^(Slot4_Age-D39))/EM39),0)</f>
        <v>0</v>
      </c>
      <c r="ES39" s="1" t="n">
        <f aca="false">IF(AND(DD39=1,BA39=1),MIN(EL39,EQ39),0)</f>
        <v>0</v>
      </c>
      <c r="ET39" s="1" t="n">
        <f aca="false">EL39-ES39</f>
        <v>0</v>
      </c>
      <c r="EU39" s="1" t="n">
        <f aca="false">IF(BK39=1,IF(ABS((1+AS_Wage)/(1+Slot5_Rate)-1)&lt;0.000000000001,(Slot5_Age-D39)*(1+Slot5_Rate)^(Slot5_Age-D39),(1+Slot5_Rate)^(Slot5_Age-D39)*(1-((1+AS_Wage)/(1+Slot5_Rate))^(Slot5_Age-D39))/(1-(1+AS_Wage)/(1+Slot5_Rate))),1)</f>
        <v>1</v>
      </c>
      <c r="EV39" s="1" t="n">
        <f aca="false">IF(AND(DD39=1,DN39&gt;0,Slot5_IsWG=1,BK39=1),MAX(0,(Slot5_Cost-BL39*(1+Slot5_Rate)^(Slot5_Age-D39))/EU39),0)</f>
        <v>0</v>
      </c>
      <c r="EW39" s="1" t="n">
        <f aca="false">IF(AND(DD39=1,DN39&gt;0,Slot5_IsWG=1,BK39=1),MIN(DN39,EV39),0)</f>
        <v>0</v>
      </c>
      <c r="EX39" s="1" t="n">
        <f aca="false">BL39+EW39</f>
        <v>0</v>
      </c>
      <c r="EY39" s="1" t="n">
        <f aca="false">IF(BK39=1,MAX(0,(Slot5_Cost-EX39*(1+Slot5_Rate)^(Slot5_Age-D39))/EU39),0)</f>
        <v>0</v>
      </c>
      <c r="EZ39" s="1" t="n">
        <f aca="false">IF(BK39=1,MAX(0,(Slot5_Cost-BL39*(1+Slot5_Rate)^(Slot5_Age-D39))/EU39),0)</f>
        <v>0</v>
      </c>
      <c r="FA39" s="1" t="n">
        <f aca="false">IF(AND(DD39=1,BK39=1),MIN(ET39,EY39),0)</f>
        <v>0</v>
      </c>
      <c r="FB39" s="1" t="n">
        <f aca="false">ET39-FA39</f>
        <v>0</v>
      </c>
      <c r="FC39" s="1" t="n">
        <f aca="false">IF(BU39=1,IF(ABS((1+AS_Wage)/(1+Slot6_Rate)-1)&lt;0.000000000001,(Slot6_Age-D39)*(1+Slot6_Rate)^(Slot6_Age-D39),(1+Slot6_Rate)^(Slot6_Age-D39)*(1-((1+AS_Wage)/(1+Slot6_Rate))^(Slot6_Age-D39))/(1-(1+AS_Wage)/(1+Slot6_Rate))),1)</f>
        <v>1</v>
      </c>
      <c r="FD39" s="1" t="n">
        <f aca="false">IF(AND(DD39=1,DN39&gt;0,Slot6_IsWG=1,BU39=1),MAX(0,(Slot6_Cost-BV39*(1+Slot6_Rate)^(Slot6_Age-D39))/FC39),0)</f>
        <v>0</v>
      </c>
      <c r="FE39" s="1" t="n">
        <f aca="false">IF(AND(DD39=1,DN39&gt;0,Slot6_IsWG=1,BU39=1),MIN(DN39,FD39),0)</f>
        <v>0</v>
      </c>
      <c r="FF39" s="1" t="n">
        <f aca="false">BV39+FE39</f>
        <v>0</v>
      </c>
      <c r="FG39" s="1" t="n">
        <f aca="false">IF(BU39=1,MAX(0,(Slot6_Cost-FF39*(1+Slot6_Rate)^(Slot6_Age-D39))/FC39),0)</f>
        <v>0</v>
      </c>
      <c r="FH39" s="1" t="n">
        <f aca="false">IF(BU39=1,MAX(0,(Slot6_Cost-BV39*(1+Slot6_Rate)^(Slot6_Age-D39))/FC39),0)</f>
        <v>0</v>
      </c>
      <c r="FI39" s="1" t="n">
        <f aca="false">IF(AND(DD39=1,BU39=1),MIN(FB39,FG39),0)</f>
        <v>0</v>
      </c>
      <c r="FJ39" s="1" t="n">
        <f aca="false">FB39-FI39</f>
        <v>0</v>
      </c>
      <c r="FK39" s="1" t="n">
        <f aca="false">IF(CE39=1,IF(ABS((1+AS_Wage)/(1+Slot7_Rate)-1)&lt;0.000000000001,(Slot7_Age-D39)*(1+Slot7_Rate)^(Slot7_Age-D39),(1+Slot7_Rate)^(Slot7_Age-D39)*(1-((1+AS_Wage)/(1+Slot7_Rate))^(Slot7_Age-D39))/(1-(1+AS_Wage)/(1+Slot7_Rate))),1)</f>
        <v>1</v>
      </c>
      <c r="FL39" s="1" t="n">
        <f aca="false">IF(AND(DD39=1,DN39&gt;0,Slot7_IsWG=1,CE39=1),MAX(0,(Slot7_Cost-CF39*(1+Slot7_Rate)^(Slot7_Age-D39))/FK39),0)</f>
        <v>0</v>
      </c>
      <c r="FM39" s="1" t="n">
        <f aca="false">IF(AND(DD39=1,DN39&gt;0,Slot7_IsWG=1,CE39=1),MIN(DN39,FL39),0)</f>
        <v>0</v>
      </c>
      <c r="FN39" s="1" t="n">
        <f aca="false">CF39+FM39</f>
        <v>0</v>
      </c>
      <c r="FO39" s="1" t="n">
        <f aca="false">IF(CE39=1,MAX(0,(Slot7_Cost-FN39*(1+Slot7_Rate)^(Slot7_Age-D39))/FK39),0)</f>
        <v>0</v>
      </c>
      <c r="FP39" s="1" t="n">
        <f aca="false">IF(CE39=1,MAX(0,(Slot7_Cost-CF39*(1+Slot7_Rate)^(Slot7_Age-D39))/FK39),0)</f>
        <v>0</v>
      </c>
      <c r="FQ39" s="1" t="n">
        <f aca="false">IF(AND(DD39=1,CE39=1),MIN(FJ39,FO39),0)</f>
        <v>0</v>
      </c>
      <c r="FR39" s="1" t="n">
        <f aca="false">FJ39-FQ39</f>
        <v>0</v>
      </c>
      <c r="FS39" s="1" t="n">
        <f aca="false">IF(CO39=1,IF(ABS((1+AS_Wage)/(1+Slot8_Rate)-1)&lt;0.000000000001,(Slot8_Age-D39)*(1+Slot8_Rate)^(Slot8_Age-D39),(1+Slot8_Rate)^(Slot8_Age-D39)*(1-((1+AS_Wage)/(1+Slot8_Rate))^(Slot8_Age-D39))/(1-(1+AS_Wage)/(1+Slot8_Rate))),1)</f>
        <v>1</v>
      </c>
      <c r="FT39" s="1" t="n">
        <f aca="false">IF(AND(DD39=1,DN39&gt;0,Slot8_IsWG=1,CO39=1),MAX(0,(Slot8_Cost-CP39*(1+Slot8_Rate)^(Slot8_Age-D39))/FS39),0)</f>
        <v>0</v>
      </c>
      <c r="FU39" s="1" t="n">
        <f aca="false">IF(AND(DD39=1,DN39&gt;0,Slot8_IsWG=1,CO39=1),MIN(DN39,FT39),0)</f>
        <v>0</v>
      </c>
      <c r="FV39" s="1" t="n">
        <f aca="false">CP39+FU39</f>
        <v>0</v>
      </c>
      <c r="FW39" s="1" t="n">
        <f aca="false">IF(CO39=1,MAX(0,(Slot8_Cost-FV39*(1+Slot8_Rate)^(Slot8_Age-D39))/FS39),0)</f>
        <v>0</v>
      </c>
      <c r="FX39" s="1" t="n">
        <f aca="false">IF(CO39=1,MAX(0,(Slot8_Cost-CP39*(1+Slot8_Rate)^(Slot8_Age-D39))/FS39),0)</f>
        <v>0</v>
      </c>
      <c r="FY39" s="1" t="n">
        <f aca="false">IF(AND(DD39=1,CO39=1),MIN(FR39,FW39),0)</f>
        <v>0</v>
      </c>
      <c r="FZ39" s="1" t="n">
        <f aca="false">FR39-FY39</f>
        <v>0</v>
      </c>
      <c r="GA39" s="1" t="n">
        <f aca="false">DN39-(DQ39+DY39+EG39+EO39+EW39+FE39+FM39+FU39)</f>
        <v>0</v>
      </c>
      <c r="GB39" s="1" t="n">
        <f aca="false">IF(DD39=1,DB39-DM39-DN39,0)</f>
        <v>0</v>
      </c>
      <c r="GC39" s="1" t="n">
        <f aca="false">IF(DD39=0,-DB39,0)</f>
        <v>0</v>
      </c>
      <c r="GD39" s="1" t="n">
        <f aca="false">MIN(GC39,CT39)</f>
        <v>0</v>
      </c>
      <c r="GE39" s="1" t="n">
        <f aca="false">GC39-GD39</f>
        <v>0</v>
      </c>
      <c r="GF39" s="1" t="n">
        <f aca="false">MIN(GE39,CU39)</f>
        <v>0</v>
      </c>
      <c r="GG39" s="1" t="n">
        <f aca="false">GE39-GF39</f>
        <v>0</v>
      </c>
      <c r="GH39" s="1" t="n">
        <f aca="false">IF(AND(DD39=0,CO39=1,GG39&gt;0),MIN(GG39,CP39),0)</f>
        <v>0</v>
      </c>
      <c r="GI39" s="1" t="n">
        <f aca="false">GG39-GH39</f>
        <v>0</v>
      </c>
      <c r="GJ39" s="1" t="n">
        <f aca="false">IF(AND(DD39=0,CE39=1,GI39&gt;0),MIN(GI39,CF39),0)</f>
        <v>0</v>
      </c>
      <c r="GK39" s="1" t="n">
        <f aca="false">GI39-GJ39</f>
        <v>0</v>
      </c>
      <c r="GL39" s="1" t="n">
        <f aca="false">IF(AND(DD39=0,BU39=1,GK39&gt;0),MIN(GK39,BV39),0)</f>
        <v>0</v>
      </c>
      <c r="GM39" s="1" t="n">
        <f aca="false">GK39-GL39</f>
        <v>0</v>
      </c>
      <c r="GN39" s="1" t="n">
        <f aca="false">IF(AND(DD39=0,BK39=1,GM39&gt;0),MIN(GM39,BL39),0)</f>
        <v>0</v>
      </c>
      <c r="GO39" s="1" t="n">
        <f aca="false">GM39-GN39</f>
        <v>0</v>
      </c>
      <c r="GP39" s="1" t="n">
        <f aca="false">IF(AND(DD39=0,BA39=1,GO39&gt;0),MIN(GO39,BB39),0)</f>
        <v>0</v>
      </c>
      <c r="GQ39" s="1" t="n">
        <f aca="false">GO39-GP39</f>
        <v>0</v>
      </c>
      <c r="GR39" s="1" t="n">
        <f aca="false">IF(AND(DD39=0,AQ39=1,GQ39&gt;0),MIN(GQ39,AR39),0)</f>
        <v>0</v>
      </c>
      <c r="GS39" s="1" t="n">
        <f aca="false">GQ39-GR39</f>
        <v>0</v>
      </c>
      <c r="GT39" s="1" t="n">
        <f aca="false">IF(AND(DD39=0,AG39=1,GS39&gt;0),MIN(GS39,AH39),0)</f>
        <v>0</v>
      </c>
      <c r="GU39" s="1" t="n">
        <f aca="false">GS39-GT39</f>
        <v>0</v>
      </c>
      <c r="GV39" s="1" t="n">
        <f aca="false">IF(AND(DD39=0,V39=1,GU39&gt;0),MIN(GU39,W39),0)</f>
        <v>0</v>
      </c>
      <c r="GW39" s="1" t="n">
        <f aca="false">GU39-GV39</f>
        <v>0</v>
      </c>
      <c r="GX39" s="1" t="n">
        <f aca="false">IF(DD39=0,GW39,0)</f>
        <v>0</v>
      </c>
      <c r="GY39" s="1" t="n">
        <f aca="false">GD39+GF39+GV39+GT39+GR39+GP39+GN39+GL39+GJ39+GH39</f>
        <v>0</v>
      </c>
      <c r="GZ39" s="1" t="n">
        <f aca="false">IF(DD39=1,CT39+GA39+FZ39+IF(F39=1,0,GB39),CT39-GD39)</f>
        <v>0</v>
      </c>
      <c r="HA39" s="1" t="n">
        <f aca="false">CU39-GF39</f>
        <v>0</v>
      </c>
      <c r="HB39" s="1" t="n">
        <f aca="false">IF(DD39=1,IF(F39=1,DM39+DN39,DB39),0)</f>
        <v>0</v>
      </c>
      <c r="HC39" s="1" t="n">
        <f aca="false">IF(DD39=1,IF(F39=1,DB39-DM39-DN39,0),0)</f>
        <v>0</v>
      </c>
      <c r="HD39" s="1" t="n">
        <f aca="false">GZ39*(1+GR)</f>
        <v>0</v>
      </c>
      <c r="HE39" s="1" t="n">
        <f aca="false">HA39*(1+AS_Cash)</f>
        <v>0</v>
      </c>
      <c r="HF39" s="1" t="n">
        <f aca="false">IF(V39=1,IF(DD39=1,DR39+DU39,W39-GV39)*(1+Slot1_Rate),0)</f>
        <v>0</v>
      </c>
      <c r="HG39" s="1" t="n">
        <f aca="false">IF(AND(DD39=1,V39=1),(DQ39+DU39)/E39,0)</f>
        <v>0</v>
      </c>
      <c r="HH39" s="1" t="n">
        <f aca="false">IF(B39=0,DQ39+DU39,0)</f>
        <v>0</v>
      </c>
      <c r="HI39" s="1" t="n">
        <f aca="false">IF(B39=0,IF(DD39=1,DS39,DT39),0)</f>
        <v>0</v>
      </c>
      <c r="HJ39" s="1" t="n">
        <f aca="false">IF(AG39=1,IF(DD39=1,DZ39+EC39,AH39-GT39)*(1+Slot2_Rate),0)</f>
        <v>0</v>
      </c>
      <c r="HK39" s="1" t="n">
        <f aca="false">IF(AND(DD39=1,AG39=1),(DY39+EC39)/E39,0)</f>
        <v>0</v>
      </c>
      <c r="HL39" s="1" t="n">
        <f aca="false">IF(B39=0,DY39+EC39,0)</f>
        <v>0</v>
      </c>
      <c r="HM39" s="1" t="n">
        <f aca="false">IF(B39=0,IF(DD39=1,EA39,EB39),0)</f>
        <v>0</v>
      </c>
      <c r="HN39" s="1" t="n">
        <f aca="false">IF(AQ39=1,IF(DD39=1,EH39+EK39,AR39-GR39)*(1+Slot3_Rate),0)</f>
        <v>0</v>
      </c>
      <c r="HO39" s="1" t="n">
        <f aca="false">IF(AND(DD39=1,AQ39=1),(EG39+EK39)/E39,0)</f>
        <v>0</v>
      </c>
      <c r="HP39" s="1" t="n">
        <f aca="false">IF(B39=0,EG39+EK39,0)</f>
        <v>0</v>
      </c>
      <c r="HQ39" s="1" t="n">
        <f aca="false">IF(B39=0,IF(DD39=1,EI39,EJ39),0)</f>
        <v>0</v>
      </c>
      <c r="HR39" s="1" t="n">
        <f aca="false">IF(BA39=1,IF(DD39=1,EP39+ES39,BB39-GP39)*(1+Slot4_Rate),0)</f>
        <v>0</v>
      </c>
      <c r="HS39" s="1" t="n">
        <f aca="false">IF(AND(DD39=1,BA39=1),(EO39+ES39)/E39,0)</f>
        <v>0</v>
      </c>
      <c r="HT39" s="1" t="n">
        <f aca="false">IF(B39=0,EO39+ES39,0)</f>
        <v>0</v>
      </c>
      <c r="HU39" s="1" t="n">
        <f aca="false">IF(B39=0,IF(DD39=1,EQ39,ER39),0)</f>
        <v>0</v>
      </c>
      <c r="HV39" s="1" t="n">
        <f aca="false">IF(BK39=1,IF(DD39=1,EX39+FA39,BL39-GN39)*(1+Slot5_Rate),0)</f>
        <v>0</v>
      </c>
      <c r="HW39" s="1" t="n">
        <f aca="false">IF(AND(DD39=1,BK39=1),(EW39+FA39)/E39,0)</f>
        <v>0</v>
      </c>
      <c r="HX39" s="1" t="n">
        <f aca="false">IF(B39=0,EW39+FA39,0)</f>
        <v>0</v>
      </c>
      <c r="HY39" s="1" t="n">
        <f aca="false">IF(B39=0,IF(DD39=1,EY39,EZ39),0)</f>
        <v>0</v>
      </c>
      <c r="HZ39" s="1" t="n">
        <f aca="false">IF(BU39=1,IF(DD39=1,FF39+FI39,BV39-GL39)*(1+Slot6_Rate),0)</f>
        <v>0</v>
      </c>
      <c r="IA39" s="1" t="n">
        <f aca="false">IF(AND(DD39=1,BU39=1),(FE39+FI39)/E39,0)</f>
        <v>0</v>
      </c>
      <c r="IB39" s="1" t="n">
        <f aca="false">IF(B39=0,FE39+FI39,0)</f>
        <v>0</v>
      </c>
      <c r="IC39" s="1" t="n">
        <f aca="false">IF(B39=0,IF(DD39=1,FG39,FH39),0)</f>
        <v>0</v>
      </c>
      <c r="ID39" s="1" t="n">
        <f aca="false">IF(CE39=1,IF(DD39=1,FN39+FQ39,CF39-GJ39)*(1+Slot7_Rate),0)</f>
        <v>0</v>
      </c>
      <c r="IE39" s="1" t="n">
        <f aca="false">IF(AND(DD39=1,CE39=1),(FM39+FQ39)/E39,0)</f>
        <v>0</v>
      </c>
      <c r="IF39" s="1" t="n">
        <f aca="false">IF(B39=0,FM39+FQ39,0)</f>
        <v>0</v>
      </c>
      <c r="IG39" s="1" t="n">
        <f aca="false">IF(B39=0,IF(DD39=1,FO39,FP39),0)</f>
        <v>0</v>
      </c>
      <c r="IH39" s="1" t="n">
        <f aca="false">IF(CO39=1,IF(DD39=1,FV39+FY39,CP39-GH39)*(1+Slot8_Rate),0)</f>
        <v>0</v>
      </c>
      <c r="II39" s="1" t="n">
        <f aca="false">IF(AND(DD39=1,CO39=1),(FU39+FY39)/E39,0)</f>
        <v>0</v>
      </c>
      <c r="IJ39" s="1" t="n">
        <f aca="false">IF(B39=0,FU39+FY39,0)</f>
        <v>0</v>
      </c>
      <c r="IK39" s="1" t="n">
        <f aca="false">IF(B39=0,IF(DD39=1,FW39,FX39),0)</f>
        <v>0</v>
      </c>
      <c r="IL39" s="1" t="n">
        <f aca="false">HD39+HE39+HF39+HJ39+HN39+HR39+HV39+HZ39+ID39+IH39</f>
        <v>0</v>
      </c>
      <c r="IM39" s="1" t="n">
        <f aca="false">GX39+CY39</f>
        <v>0</v>
      </c>
      <c r="IN39" s="1" t="n">
        <f aca="false">H39+R39</f>
        <v>0</v>
      </c>
      <c r="IO39" s="1" t="n">
        <f aca="false">1-F39</f>
        <v>1</v>
      </c>
      <c r="IP39" s="1" t="n">
        <f aca="false">IF(AND(RG_Exists=1,F39=0,C39=1),H39,0)</f>
        <v>0</v>
      </c>
      <c r="IQ39" s="1" t="n">
        <f aca="false">IF(AND(RG_Exists=1,F39=0,C39=1),H39-MIN(GX39,H39),0)</f>
        <v>0</v>
      </c>
      <c r="IR39" s="1" t="n">
        <f aca="false">'Plan pay &amp; tax'!AD241</f>
        <v>0</v>
      </c>
      <c r="IS39" s="1" t="n">
        <f aca="false">IF(AND(C39=1,GX39&gt;MAX(PR_Short1,IN39*PR_Short2)),1,0)</f>
        <v>0</v>
      </c>
      <c r="IT39" s="1" t="n">
        <f aca="false">MIN(G39,H39+R39)</f>
        <v>0</v>
      </c>
      <c r="IU39" s="1" t="n">
        <f aca="false">GY39+MAX(0,CZ39-CY39)</f>
        <v>0</v>
      </c>
      <c r="IV39" s="1" t="n">
        <f aca="false">GX39+CY39</f>
        <v>0</v>
      </c>
      <c r="IW39" s="1" t="n">
        <f aca="false">IF(AND(C39=1,IV39&gt;0.5),1,0)</f>
        <v>0</v>
      </c>
      <c r="IX39" s="1" t="n">
        <f aca="false">IF(AND(C39=1,IW39=0,IU39&gt;0.5),1,0)</f>
        <v>0</v>
      </c>
      <c r="IY39" s="1" t="n">
        <f aca="false">IF(AND(C39=1,GX39&gt;0.5),1,0)</f>
        <v>0</v>
      </c>
      <c r="IZ39" s="1" t="n">
        <f aca="false">IF(AND(C39=1,GY39&gt;1,JF39=0),1,0)</f>
        <v>0</v>
      </c>
      <c r="JA39" s="1" t="n">
        <f aca="false">IF(AND(INT(D39/10)*10=90,B39&gt;0),80,INT(D39/10)*10)</f>
        <v>30</v>
      </c>
      <c r="JB39" s="1" t="n">
        <f aca="false">IF(B39=0,1,IF(JA39&lt;&gt;JA38,JB38+1,JB38))</f>
        <v>4</v>
      </c>
      <c r="JC39" s="1" t="n">
        <f aca="false">IF(AND(C39=1,F39=1,GX39&gt;MAX(PR_Short1,IN39*PR_Short2)),1,0)</f>
        <v>0</v>
      </c>
      <c r="JD39" s="1" t="n">
        <f aca="false">IO39*IS39</f>
        <v>0</v>
      </c>
      <c r="JE39" s="1" t="n">
        <f aca="false">IF(AND(U39=1,Slot1_PctLow=1),1,0)+IF(AND(AF39=1,Slot2_PctLow=1),1,0)+IF(AND(AP39=1,Slot3_PctLow=1),1,0)+IF(AND(AZ39=1,Slot4_PctLow=1),1,0)+IF(AND(BJ39=1,Slot5_PctLow=1),1,0)+IF(AND(BT39=1,Slot6_PctLow=1),1,0)+IF(AND(CD39=1,Slot7_PctLow=1),1,0)+IF(AND(CN39=1,Slot8_PctLow=1),1,0)</f>
        <v>0</v>
      </c>
      <c r="JF39" s="1" t="n">
        <f aca="false">IF(C39=1,IF(OR(IS39=1,JE39&gt;0),1,0),0)</f>
        <v>0</v>
      </c>
    </row>
    <row r="40" customFormat="false" ht="15" hidden="false" customHeight="false" outlineLevel="0" collapsed="false">
      <c r="B40" s="1" t="n">
        <v>32</v>
      </c>
      <c r="C40" s="1" t="n">
        <f aca="false">IF(B40&lt;=F_N,1,0)</f>
        <v>1</v>
      </c>
      <c r="D40" s="1" t="n">
        <f aca="false">'Plan pay &amp; tax'!C242</f>
        <v>32</v>
      </c>
      <c r="E40" s="106" t="n">
        <f aca="false">'Plan pay &amp; tax'!E242</f>
        <v>1.88454059210113</v>
      </c>
      <c r="F40" s="1" t="n">
        <f aca="false">'Plan pay &amp; tax'!G242</f>
        <v>0</v>
      </c>
      <c r="G40" s="1" t="n">
        <f aca="false">'Plan pay &amp; tax'!BT242-'Plan pay &amp; tax'!BS242-'Plan pay &amp; tax'!R242</f>
        <v>0</v>
      </c>
      <c r="H40" s="1" t="n">
        <f aca="false">IF(F40=1,F_CostsM*12,IF(RG_Exists=1,RG_Amount,F_CostsM*12*AS_RetireSpend))*E40+F_OneOffY*E40</f>
        <v>0</v>
      </c>
      <c r="I40" s="1" t="n">
        <f aca="false">DA39</f>
        <v>0</v>
      </c>
      <c r="J40" s="1" t="n">
        <f aca="false">IF(I40&gt;1,'Plan debt months'!AC40,0)</f>
        <v>0</v>
      </c>
      <c r="K40" s="1" t="n">
        <f aca="false">IF(I40&gt;1,'Plan debt months'!AB40,I40)</f>
        <v>0</v>
      </c>
      <c r="L40" s="1" t="n">
        <f aca="false">N39</f>
        <v>0</v>
      </c>
      <c r="M40" s="1" t="n">
        <f aca="false">IF(L40&gt;1,'Plan debt months'!BD40,0)</f>
        <v>0</v>
      </c>
      <c r="N40" s="1" t="n">
        <f aca="false">IF(L40&gt;1,'Plan debt months'!BC40,L40)</f>
        <v>0</v>
      </c>
      <c r="O40" s="1" t="n">
        <f aca="false">Q39</f>
        <v>0</v>
      </c>
      <c r="P40" s="1" t="n">
        <f aca="false">IF(O40&gt;1,'Plan debt months'!CE40,0)</f>
        <v>0</v>
      </c>
      <c r="Q40" s="1" t="n">
        <f aca="false">IF(O40&gt;1,'Plan debt months'!CD40,O40)</f>
        <v>0</v>
      </c>
      <c r="R40" s="1" t="n">
        <f aca="false">J40+M40+P40</f>
        <v>0</v>
      </c>
      <c r="S40" s="1" t="n">
        <f aca="false">HD39+'Plan pay &amp; tax'!Y242</f>
        <v>0</v>
      </c>
      <c r="T40" s="1" t="n">
        <f aca="false">HD39</f>
        <v>0</v>
      </c>
      <c r="U40" s="1" t="n">
        <f aca="false">IF(AND(Slot1_On=1,D40=Slot1_Age),1,0)</f>
        <v>0</v>
      </c>
      <c r="V40" s="1" t="n">
        <f aca="false">IF(AND(Slot1_On=1,Slot1_Age&gt;D40),1,0)</f>
        <v>0</v>
      </c>
      <c r="W40" s="1" t="n">
        <f aca="false">HF39</f>
        <v>0</v>
      </c>
      <c r="X40" s="1" t="n">
        <f aca="false">U40*MIN(Slot1_Cost,W40)</f>
        <v>0</v>
      </c>
      <c r="Y40" s="1" t="n">
        <f aca="false">U40*Slot1_SpendLike*MIN(Slot1_Cost-X40,S40)</f>
        <v>0</v>
      </c>
      <c r="Z40" s="1" t="n">
        <f aca="false">X40+Y40</f>
        <v>0</v>
      </c>
      <c r="AA40" s="1" t="n">
        <f aca="false">S40-Y40+U40*IF(Slot1_SpendLike=1,W40-X40,IF(Slot1_PotFree=1,W40,0))</f>
        <v>0</v>
      </c>
      <c r="AB40" s="1" t="n">
        <f aca="false">AE40+U40*Slot1_BufPot*W40</f>
        <v>0</v>
      </c>
      <c r="AC40" s="1" t="n">
        <f aca="false">IF(AND(U40=1,Slot1_IsMfree=1),IF(Z40&gt;=Slot1_Cost-1,0,MAX(0,K40-Z40)),K40)</f>
        <v>0</v>
      </c>
      <c r="AD40" s="1" t="n">
        <f aca="false">U40*(Slot1_Cost-Z40)</f>
        <v>0</v>
      </c>
      <c r="AE40" s="1" t="n">
        <f aca="false">HE39</f>
        <v>0</v>
      </c>
      <c r="AF40" s="1" t="n">
        <f aca="false">IF(AND(Slot2_On=1,D40=Slot2_Age),1,0)</f>
        <v>0</v>
      </c>
      <c r="AG40" s="1" t="n">
        <f aca="false">IF(AND(Slot2_On=1,Slot2_Age&gt;D40),1,0)</f>
        <v>0</v>
      </c>
      <c r="AH40" s="1" t="n">
        <f aca="false">HJ39</f>
        <v>0</v>
      </c>
      <c r="AI40" s="1" t="n">
        <f aca="false">AF40*MIN(Slot2_Cost,AH40)</f>
        <v>0</v>
      </c>
      <c r="AJ40" s="1" t="n">
        <f aca="false">AF40*Slot2_SpendLike*MIN(Slot2_Cost-AI40,AA40)</f>
        <v>0</v>
      </c>
      <c r="AK40" s="1" t="n">
        <f aca="false">AI40+AJ40</f>
        <v>0</v>
      </c>
      <c r="AL40" s="1" t="n">
        <f aca="false">AA40-AJ40+AF40*IF(Slot2_SpendLike=1,AH40-AI40,IF(Slot2_PotFree=1,AH40,0))</f>
        <v>0</v>
      </c>
      <c r="AM40" s="1" t="n">
        <f aca="false">AB40+AF40*Slot2_BufPot*AH40</f>
        <v>0</v>
      </c>
      <c r="AN40" s="1" t="n">
        <f aca="false">IF(AND(AF40=1,Slot2_IsMfree=1),IF(AK40&gt;=Slot2_Cost-1,0,MAX(0,AC40-AK40)),AC40)</f>
        <v>0</v>
      </c>
      <c r="AO40" s="1" t="n">
        <f aca="false">AF40*(Slot2_Cost-AK40)</f>
        <v>0</v>
      </c>
      <c r="AP40" s="1" t="n">
        <f aca="false">IF(AND(Slot3_On=1,D40=Slot3_Age),1,0)</f>
        <v>0</v>
      </c>
      <c r="AQ40" s="1" t="n">
        <f aca="false">IF(AND(Slot3_On=1,Slot3_Age&gt;D40),1,0)</f>
        <v>0</v>
      </c>
      <c r="AR40" s="1" t="n">
        <f aca="false">HN39</f>
        <v>0</v>
      </c>
      <c r="AS40" s="1" t="n">
        <f aca="false">AP40*MIN(Slot3_Cost,AR40)</f>
        <v>0</v>
      </c>
      <c r="AT40" s="1" t="n">
        <f aca="false">AP40*Slot3_SpendLike*MIN(Slot3_Cost-AS40,AL40)</f>
        <v>0</v>
      </c>
      <c r="AU40" s="1" t="n">
        <f aca="false">AS40+AT40</f>
        <v>0</v>
      </c>
      <c r="AV40" s="1" t="n">
        <f aca="false">AL40-AT40+AP40*IF(Slot3_SpendLike=1,AR40-AS40,IF(Slot3_PotFree=1,AR40,0))</f>
        <v>0</v>
      </c>
      <c r="AW40" s="1" t="n">
        <f aca="false">AM40+AP40*Slot3_BufPot*AR40</f>
        <v>0</v>
      </c>
      <c r="AX40" s="1" t="n">
        <f aca="false">IF(AND(AP40=1,Slot3_IsMfree=1),IF(AU40&gt;=Slot3_Cost-1,0,MAX(0,AN40-AU40)),AN40)</f>
        <v>0</v>
      </c>
      <c r="AY40" s="1" t="n">
        <f aca="false">AP40*(Slot3_Cost-AU40)</f>
        <v>0</v>
      </c>
      <c r="AZ40" s="1" t="n">
        <f aca="false">IF(AND(Slot4_On=1,D40=Slot4_Age),1,0)</f>
        <v>0</v>
      </c>
      <c r="BA40" s="1" t="n">
        <f aca="false">IF(AND(Slot4_On=1,Slot4_Age&gt;D40),1,0)</f>
        <v>0</v>
      </c>
      <c r="BB40" s="1" t="n">
        <f aca="false">HR39</f>
        <v>0</v>
      </c>
      <c r="BC40" s="1" t="n">
        <f aca="false">AZ40*MIN(Slot4_Cost,BB40)</f>
        <v>0</v>
      </c>
      <c r="BD40" s="1" t="n">
        <f aca="false">AZ40*Slot4_SpendLike*MIN(Slot4_Cost-BC40,AV40)</f>
        <v>0</v>
      </c>
      <c r="BE40" s="1" t="n">
        <f aca="false">BC40+BD40</f>
        <v>0</v>
      </c>
      <c r="BF40" s="1" t="n">
        <f aca="false">AV40-BD40+AZ40*IF(Slot4_SpendLike=1,BB40-BC40,IF(Slot4_PotFree=1,BB40,0))</f>
        <v>0</v>
      </c>
      <c r="BG40" s="1" t="n">
        <f aca="false">AW40+AZ40*Slot4_BufPot*BB40</f>
        <v>0</v>
      </c>
      <c r="BH40" s="1" t="n">
        <f aca="false">IF(AND(AZ40=1,Slot4_IsMfree=1),IF(BE40&gt;=Slot4_Cost-1,0,MAX(0,AX40-BE40)),AX40)</f>
        <v>0</v>
      </c>
      <c r="BI40" s="1" t="n">
        <f aca="false">AZ40*(Slot4_Cost-BE40)</f>
        <v>0</v>
      </c>
      <c r="BJ40" s="1" t="n">
        <f aca="false">IF(AND(Slot5_On=1,D40=Slot5_Age),1,0)</f>
        <v>0</v>
      </c>
      <c r="BK40" s="1" t="n">
        <f aca="false">IF(AND(Slot5_On=1,Slot5_Age&gt;D40),1,0)</f>
        <v>0</v>
      </c>
      <c r="BL40" s="1" t="n">
        <f aca="false">HV39</f>
        <v>0</v>
      </c>
      <c r="BM40" s="1" t="n">
        <f aca="false">BJ40*MIN(Slot5_Cost,BL40)</f>
        <v>0</v>
      </c>
      <c r="BN40" s="1" t="n">
        <f aca="false">BJ40*Slot5_SpendLike*MIN(Slot5_Cost-BM40,BF40)</f>
        <v>0</v>
      </c>
      <c r="BO40" s="1" t="n">
        <f aca="false">BM40+BN40</f>
        <v>0</v>
      </c>
      <c r="BP40" s="1" t="n">
        <f aca="false">BF40-BN40+BJ40*IF(Slot5_SpendLike=1,BL40-BM40,IF(Slot5_PotFree=1,BL40,0))</f>
        <v>0</v>
      </c>
      <c r="BQ40" s="1" t="n">
        <f aca="false">BG40+BJ40*Slot5_BufPot*BL40</f>
        <v>0</v>
      </c>
      <c r="BR40" s="1" t="n">
        <f aca="false">IF(AND(BJ40=1,Slot5_IsMfree=1),IF(BO40&gt;=Slot5_Cost-1,0,MAX(0,BH40-BO40)),BH40)</f>
        <v>0</v>
      </c>
      <c r="BS40" s="1" t="n">
        <f aca="false">BJ40*(Slot5_Cost-BO40)</f>
        <v>0</v>
      </c>
      <c r="BT40" s="1" t="n">
        <f aca="false">IF(AND(Slot6_On=1,D40=Slot6_Age),1,0)</f>
        <v>0</v>
      </c>
      <c r="BU40" s="1" t="n">
        <f aca="false">IF(AND(Slot6_On=1,Slot6_Age&gt;D40),1,0)</f>
        <v>0</v>
      </c>
      <c r="BV40" s="1" t="n">
        <f aca="false">HZ39</f>
        <v>0</v>
      </c>
      <c r="BW40" s="1" t="n">
        <f aca="false">BT40*MIN(Slot6_Cost,BV40)</f>
        <v>0</v>
      </c>
      <c r="BX40" s="1" t="n">
        <f aca="false">BT40*Slot6_SpendLike*MIN(Slot6_Cost-BW40,BP40)</f>
        <v>0</v>
      </c>
      <c r="BY40" s="1" t="n">
        <f aca="false">BW40+BX40</f>
        <v>0</v>
      </c>
      <c r="BZ40" s="1" t="n">
        <f aca="false">BP40-BX40+BT40*IF(Slot6_SpendLike=1,BV40-BW40,IF(Slot6_PotFree=1,BV40,0))</f>
        <v>0</v>
      </c>
      <c r="CA40" s="1" t="n">
        <f aca="false">BQ40+BT40*Slot6_BufPot*BV40</f>
        <v>0</v>
      </c>
      <c r="CB40" s="1" t="n">
        <f aca="false">IF(AND(BT40=1,Slot6_IsMfree=1),IF(BY40&gt;=Slot6_Cost-1,0,MAX(0,BR40-BY40)),BR40)</f>
        <v>0</v>
      </c>
      <c r="CC40" s="1" t="n">
        <f aca="false">BT40*(Slot6_Cost-BY40)</f>
        <v>0</v>
      </c>
      <c r="CD40" s="1" t="n">
        <f aca="false">IF(AND(Slot7_On=1,D40=Slot7_Age),1,0)</f>
        <v>0</v>
      </c>
      <c r="CE40" s="1" t="n">
        <f aca="false">IF(AND(Slot7_On=1,Slot7_Age&gt;D40),1,0)</f>
        <v>0</v>
      </c>
      <c r="CF40" s="1" t="n">
        <f aca="false">ID39</f>
        <v>0</v>
      </c>
      <c r="CG40" s="1" t="n">
        <f aca="false">CD40*MIN(Slot7_Cost,CF40)</f>
        <v>0</v>
      </c>
      <c r="CH40" s="1" t="n">
        <f aca="false">CD40*Slot7_SpendLike*MIN(Slot7_Cost-CG40,BZ40)</f>
        <v>0</v>
      </c>
      <c r="CI40" s="1" t="n">
        <f aca="false">CG40+CH40</f>
        <v>0</v>
      </c>
      <c r="CJ40" s="1" t="n">
        <f aca="false">BZ40-CH40+CD40*IF(Slot7_SpendLike=1,CF40-CG40,IF(Slot7_PotFree=1,CF40,0))</f>
        <v>0</v>
      </c>
      <c r="CK40" s="1" t="n">
        <f aca="false">CA40+CD40*Slot7_BufPot*CF40</f>
        <v>0</v>
      </c>
      <c r="CL40" s="1" t="n">
        <f aca="false">IF(AND(CD40=1,Slot7_IsMfree=1),IF(CI40&gt;=Slot7_Cost-1,0,MAX(0,CB40-CI40)),CB40)</f>
        <v>0</v>
      </c>
      <c r="CM40" s="1" t="n">
        <f aca="false">CD40*(Slot7_Cost-CI40)</f>
        <v>0</v>
      </c>
      <c r="CN40" s="1" t="n">
        <f aca="false">IF(AND(Slot8_On=1,D40=Slot8_Age),1,0)</f>
        <v>0</v>
      </c>
      <c r="CO40" s="1" t="n">
        <f aca="false">IF(AND(Slot8_On=1,Slot8_Age&gt;D40),1,0)</f>
        <v>0</v>
      </c>
      <c r="CP40" s="1" t="n">
        <f aca="false">IH39</f>
        <v>0</v>
      </c>
      <c r="CQ40" s="1" t="n">
        <f aca="false">CN40*MIN(Slot8_Cost,CP40)</f>
        <v>0</v>
      </c>
      <c r="CR40" s="1" t="n">
        <f aca="false">CN40*Slot8_SpendLike*MIN(Slot8_Cost-CQ40,CJ40)</f>
        <v>0</v>
      </c>
      <c r="CS40" s="1" t="n">
        <f aca="false">CQ40+CR40</f>
        <v>0</v>
      </c>
      <c r="CT40" s="1" t="n">
        <f aca="false">CJ40-CR40+CN40*IF(Slot8_SpendLike=1,CP40-CQ40,IF(Slot8_PotFree=1,CP40,0))</f>
        <v>0</v>
      </c>
      <c r="CU40" s="1" t="n">
        <f aca="false">CK40+CN40*Slot8_BufPot*CP40</f>
        <v>0</v>
      </c>
      <c r="CV40" s="1" t="n">
        <f aca="false">IF(AND(CN40=1,Slot8_IsMfree=1),IF(CS40&gt;=Slot8_Cost-1,0,MAX(0,CL40-CS40)),CL40)</f>
        <v>0</v>
      </c>
      <c r="CW40" s="1" t="n">
        <f aca="false">CN40*(Slot8_Cost-CS40)</f>
        <v>0</v>
      </c>
      <c r="CX40" s="1" t="n">
        <f aca="false">U40*Slot1_SpendLike*Z40+AF40*Slot2_SpendLike*AK40+AP40*Slot3_SpendLike*AU40+AZ40*Slot4_SpendLike*BE40+BJ40*Slot5_SpendLike*BO40+BT40*Slot6_SpendLike*BY40+CD40*Slot7_SpendLike*CI40+CN40*Slot8_SpendLike*CS40</f>
        <v>0</v>
      </c>
      <c r="CY40" s="1" t="n">
        <f aca="false">AD40+AO40+AY40+BI40+BS40+CC40+CM40+CW40</f>
        <v>0</v>
      </c>
      <c r="CZ40" s="1" t="n">
        <f aca="false">U40*Slot1_Cost+AF40*Slot2_Cost+AP40*Slot3_Cost+AZ40*Slot4_Cost+BJ40*Slot5_Cost+BT40*Slot6_Cost+CD40*Slot7_Cost+CN40*Slot8_Cost</f>
        <v>0</v>
      </c>
      <c r="DA40" s="1" t="n">
        <f aca="false">CV40</f>
        <v>0</v>
      </c>
      <c r="DB40" s="1" t="n">
        <f aca="false">G40-H40-R40</f>
        <v>0</v>
      </c>
      <c r="DC40" s="1" t="n">
        <f aca="false">IF(B40=0,IF(AND(Has_q6=1,In_q6=4),PR_ShareVaries*(MAX(0,DB40)/12),MIN(IF(Has_q6=1,CHOOSE(In_q6+1,PR_SaveB1,PR_SaveB2,PR_SaveB3,PR_SaveB4,0),AS_NoAnswer),AS_SaveShare*(MAX(0,DB40)/12))),DC39)</f>
        <v>0</v>
      </c>
      <c r="DD40" s="1" t="n">
        <f aca="false">IF(DB40&gt;=0,1,0)</f>
        <v>1</v>
      </c>
      <c r="DE40" s="1" t="n">
        <f aca="false">MAX(0,DB40/12/E40)</f>
        <v>0</v>
      </c>
      <c r="DF40" s="1" t="n">
        <f aca="false">IF(AND(Has_q6=1,In_q6=4),PR_ShareVaries*(DE40),MIN(IF(Has_q6=1,CHOOSE(In_q6+1,PR_SaveB1,PR_SaveB2,PR_SaveB3,PR_SaveB4,0),AS_NoAnswer),AS_SaveShare*(DE40)))</f>
        <v>0</v>
      </c>
      <c r="DG40" s="1" t="n">
        <f aca="false">IF(Has_saveM=1,IF(In_saveUp="Yes",1,IF(In_saveUp="No",0,IF(In_saveM&gt;=DC40-0.5,1,0))),0)</f>
        <v>0</v>
      </c>
      <c r="DH40" s="1" t="n">
        <f aca="false">IF(Has_saveM=1,MIN(DE40,IF(DG40=1,MAX(In_saveM,DF40),MIN(In_saveM,DF40))),DF40)</f>
        <v>0</v>
      </c>
      <c r="DI40" s="1" t="n">
        <f aca="false">IF(F40=1,DH40*12*E40,0)</f>
        <v>0</v>
      </c>
      <c r="DJ40" s="1" t="n">
        <f aca="false">MAX(0,DI40+IF(AND(WI_Retire=0,WI_M&lt;0,F40=1),WI_M*12*E40,0))</f>
        <v>0</v>
      </c>
      <c r="DK40" s="1" t="n">
        <f aca="false">Slot1_IsWG*V40+Slot2_IsWG*AG40+Slot3_IsWG*AQ40+Slot4_IsWG*BA40+Slot5_IsWG*BK40+Slot6_IsWG*BU40+Slot7_IsWG*CE40+Slot8_IsWG*CO40</f>
        <v>0</v>
      </c>
      <c r="DL40" s="1" t="n">
        <f aca="false">IF(AND(WI_Retire=0,WI_M&gt;0,F40=1,DK40&gt;=1),WI_M*12*E40,0)</f>
        <v>0</v>
      </c>
      <c r="DM40" s="1" t="n">
        <f aca="false">IF(DD40=1,MIN(DJ40,DB40),0)</f>
        <v>0</v>
      </c>
      <c r="DN40" s="1" t="n">
        <f aca="false">IF(DD40=1,MIN(DL40,DB40-DM40),0)</f>
        <v>0</v>
      </c>
      <c r="DO40" s="1" t="n">
        <f aca="false">IF(V40=1,IF(ABS((1+AS_Wage)/(1+Slot1_Rate)-1)&lt;0.000000000001,(Slot1_Age-D40)*(1+Slot1_Rate)^(Slot1_Age-D40),(1+Slot1_Rate)^(Slot1_Age-D40)*(1-((1+AS_Wage)/(1+Slot1_Rate))^(Slot1_Age-D40))/(1-(1+AS_Wage)/(1+Slot1_Rate))),1)</f>
        <v>1</v>
      </c>
      <c r="DP40" s="1" t="n">
        <f aca="false">IF(AND(DD40=1,DN40&gt;0,Slot1_IsWG=1,V40=1),MAX(0,(Slot1_Cost-W40*(1+Slot1_Rate)^(Slot1_Age-D40))/DO40),0)</f>
        <v>0</v>
      </c>
      <c r="DQ40" s="1" t="n">
        <f aca="false">IF(AND(DD40=1,DN40&gt;0,Slot1_IsWG=1,V40=1),MIN(DN40,DP40),0)</f>
        <v>0</v>
      </c>
      <c r="DR40" s="1" t="n">
        <f aca="false">W40+DQ40</f>
        <v>0</v>
      </c>
      <c r="DS40" s="1" t="n">
        <f aca="false">IF(V40=1,MAX(0,(Slot1_Cost-DR40*(1+Slot1_Rate)^(Slot1_Age-D40))/DO40),0)</f>
        <v>0</v>
      </c>
      <c r="DT40" s="1" t="n">
        <f aca="false">IF(V40=1,MAX(0,(Slot1_Cost-W40*(1+Slot1_Rate)^(Slot1_Age-D40))/DO40),0)</f>
        <v>0</v>
      </c>
      <c r="DU40" s="1" t="n">
        <f aca="false">IF(AND(DD40=1,V40=1),MIN(DM40,DS40),0)</f>
        <v>0</v>
      </c>
      <c r="DV40" s="1" t="n">
        <f aca="false">DM40-DU40</f>
        <v>0</v>
      </c>
      <c r="DW40" s="1" t="n">
        <f aca="false">IF(AG40=1,IF(ABS((1+AS_Wage)/(1+Slot2_Rate)-1)&lt;0.000000000001,(Slot2_Age-D40)*(1+Slot2_Rate)^(Slot2_Age-D40),(1+Slot2_Rate)^(Slot2_Age-D40)*(1-((1+AS_Wage)/(1+Slot2_Rate))^(Slot2_Age-D40))/(1-(1+AS_Wage)/(1+Slot2_Rate))),1)</f>
        <v>1</v>
      </c>
      <c r="DX40" s="1" t="n">
        <f aca="false">IF(AND(DD40=1,DN40&gt;0,Slot2_IsWG=1,AG40=1),MAX(0,(Slot2_Cost-AH40*(1+Slot2_Rate)^(Slot2_Age-D40))/DW40),0)</f>
        <v>0</v>
      </c>
      <c r="DY40" s="1" t="n">
        <f aca="false">IF(AND(DD40=1,DN40&gt;0,Slot2_IsWG=1,AG40=1),MIN(DN40,DX40),0)</f>
        <v>0</v>
      </c>
      <c r="DZ40" s="1" t="n">
        <f aca="false">AH40+DY40</f>
        <v>0</v>
      </c>
      <c r="EA40" s="1" t="n">
        <f aca="false">IF(AG40=1,MAX(0,(Slot2_Cost-DZ40*(1+Slot2_Rate)^(Slot2_Age-D40))/DW40),0)</f>
        <v>0</v>
      </c>
      <c r="EB40" s="1" t="n">
        <f aca="false">IF(AG40=1,MAX(0,(Slot2_Cost-AH40*(1+Slot2_Rate)^(Slot2_Age-D40))/DW40),0)</f>
        <v>0</v>
      </c>
      <c r="EC40" s="1" t="n">
        <f aca="false">IF(AND(DD40=1,AG40=1),MIN(DV40,EA40),0)</f>
        <v>0</v>
      </c>
      <c r="ED40" s="1" t="n">
        <f aca="false">DV40-EC40</f>
        <v>0</v>
      </c>
      <c r="EE40" s="1" t="n">
        <f aca="false">IF(AQ40=1,IF(ABS((1+AS_Wage)/(1+Slot3_Rate)-1)&lt;0.000000000001,(Slot3_Age-D40)*(1+Slot3_Rate)^(Slot3_Age-D40),(1+Slot3_Rate)^(Slot3_Age-D40)*(1-((1+AS_Wage)/(1+Slot3_Rate))^(Slot3_Age-D40))/(1-(1+AS_Wage)/(1+Slot3_Rate))),1)</f>
        <v>1</v>
      </c>
      <c r="EF40" s="1" t="n">
        <f aca="false">IF(AND(DD40=1,DN40&gt;0,Slot3_IsWG=1,AQ40=1),MAX(0,(Slot3_Cost-AR40*(1+Slot3_Rate)^(Slot3_Age-D40))/EE40),0)</f>
        <v>0</v>
      </c>
      <c r="EG40" s="1" t="n">
        <f aca="false">IF(AND(DD40=1,DN40&gt;0,Slot3_IsWG=1,AQ40=1),MIN(DN40,EF40),0)</f>
        <v>0</v>
      </c>
      <c r="EH40" s="1" t="n">
        <f aca="false">AR40+EG40</f>
        <v>0</v>
      </c>
      <c r="EI40" s="1" t="n">
        <f aca="false">IF(AQ40=1,MAX(0,(Slot3_Cost-EH40*(1+Slot3_Rate)^(Slot3_Age-D40))/EE40),0)</f>
        <v>0</v>
      </c>
      <c r="EJ40" s="1" t="n">
        <f aca="false">IF(AQ40=1,MAX(0,(Slot3_Cost-AR40*(1+Slot3_Rate)^(Slot3_Age-D40))/EE40),0)</f>
        <v>0</v>
      </c>
      <c r="EK40" s="1" t="n">
        <f aca="false">IF(AND(DD40=1,AQ40=1),MIN(ED40,EI40),0)</f>
        <v>0</v>
      </c>
      <c r="EL40" s="1" t="n">
        <f aca="false">ED40-EK40</f>
        <v>0</v>
      </c>
      <c r="EM40" s="1" t="n">
        <f aca="false">IF(BA40=1,IF(ABS((1+AS_Wage)/(1+Slot4_Rate)-1)&lt;0.000000000001,(Slot4_Age-D40)*(1+Slot4_Rate)^(Slot4_Age-D40),(1+Slot4_Rate)^(Slot4_Age-D40)*(1-((1+AS_Wage)/(1+Slot4_Rate))^(Slot4_Age-D40))/(1-(1+AS_Wage)/(1+Slot4_Rate))),1)</f>
        <v>1</v>
      </c>
      <c r="EN40" s="1" t="n">
        <f aca="false">IF(AND(DD40=1,DN40&gt;0,Slot4_IsWG=1,BA40=1),MAX(0,(Slot4_Cost-BB40*(1+Slot4_Rate)^(Slot4_Age-D40))/EM40),0)</f>
        <v>0</v>
      </c>
      <c r="EO40" s="1" t="n">
        <f aca="false">IF(AND(DD40=1,DN40&gt;0,Slot4_IsWG=1,BA40=1),MIN(DN40,EN40),0)</f>
        <v>0</v>
      </c>
      <c r="EP40" s="1" t="n">
        <f aca="false">BB40+EO40</f>
        <v>0</v>
      </c>
      <c r="EQ40" s="1" t="n">
        <f aca="false">IF(BA40=1,MAX(0,(Slot4_Cost-EP40*(1+Slot4_Rate)^(Slot4_Age-D40))/EM40),0)</f>
        <v>0</v>
      </c>
      <c r="ER40" s="1" t="n">
        <f aca="false">IF(BA40=1,MAX(0,(Slot4_Cost-BB40*(1+Slot4_Rate)^(Slot4_Age-D40))/EM40),0)</f>
        <v>0</v>
      </c>
      <c r="ES40" s="1" t="n">
        <f aca="false">IF(AND(DD40=1,BA40=1),MIN(EL40,EQ40),0)</f>
        <v>0</v>
      </c>
      <c r="ET40" s="1" t="n">
        <f aca="false">EL40-ES40</f>
        <v>0</v>
      </c>
      <c r="EU40" s="1" t="n">
        <f aca="false">IF(BK40=1,IF(ABS((1+AS_Wage)/(1+Slot5_Rate)-1)&lt;0.000000000001,(Slot5_Age-D40)*(1+Slot5_Rate)^(Slot5_Age-D40),(1+Slot5_Rate)^(Slot5_Age-D40)*(1-((1+AS_Wage)/(1+Slot5_Rate))^(Slot5_Age-D40))/(1-(1+AS_Wage)/(1+Slot5_Rate))),1)</f>
        <v>1</v>
      </c>
      <c r="EV40" s="1" t="n">
        <f aca="false">IF(AND(DD40=1,DN40&gt;0,Slot5_IsWG=1,BK40=1),MAX(0,(Slot5_Cost-BL40*(1+Slot5_Rate)^(Slot5_Age-D40))/EU40),0)</f>
        <v>0</v>
      </c>
      <c r="EW40" s="1" t="n">
        <f aca="false">IF(AND(DD40=1,DN40&gt;0,Slot5_IsWG=1,BK40=1),MIN(DN40,EV40),0)</f>
        <v>0</v>
      </c>
      <c r="EX40" s="1" t="n">
        <f aca="false">BL40+EW40</f>
        <v>0</v>
      </c>
      <c r="EY40" s="1" t="n">
        <f aca="false">IF(BK40=1,MAX(0,(Slot5_Cost-EX40*(1+Slot5_Rate)^(Slot5_Age-D40))/EU40),0)</f>
        <v>0</v>
      </c>
      <c r="EZ40" s="1" t="n">
        <f aca="false">IF(BK40=1,MAX(0,(Slot5_Cost-BL40*(1+Slot5_Rate)^(Slot5_Age-D40))/EU40),0)</f>
        <v>0</v>
      </c>
      <c r="FA40" s="1" t="n">
        <f aca="false">IF(AND(DD40=1,BK40=1),MIN(ET40,EY40),0)</f>
        <v>0</v>
      </c>
      <c r="FB40" s="1" t="n">
        <f aca="false">ET40-FA40</f>
        <v>0</v>
      </c>
      <c r="FC40" s="1" t="n">
        <f aca="false">IF(BU40=1,IF(ABS((1+AS_Wage)/(1+Slot6_Rate)-1)&lt;0.000000000001,(Slot6_Age-D40)*(1+Slot6_Rate)^(Slot6_Age-D40),(1+Slot6_Rate)^(Slot6_Age-D40)*(1-((1+AS_Wage)/(1+Slot6_Rate))^(Slot6_Age-D40))/(1-(1+AS_Wage)/(1+Slot6_Rate))),1)</f>
        <v>1</v>
      </c>
      <c r="FD40" s="1" t="n">
        <f aca="false">IF(AND(DD40=1,DN40&gt;0,Slot6_IsWG=1,BU40=1),MAX(0,(Slot6_Cost-BV40*(1+Slot6_Rate)^(Slot6_Age-D40))/FC40),0)</f>
        <v>0</v>
      </c>
      <c r="FE40" s="1" t="n">
        <f aca="false">IF(AND(DD40=1,DN40&gt;0,Slot6_IsWG=1,BU40=1),MIN(DN40,FD40),0)</f>
        <v>0</v>
      </c>
      <c r="FF40" s="1" t="n">
        <f aca="false">BV40+FE40</f>
        <v>0</v>
      </c>
      <c r="FG40" s="1" t="n">
        <f aca="false">IF(BU40=1,MAX(0,(Slot6_Cost-FF40*(1+Slot6_Rate)^(Slot6_Age-D40))/FC40),0)</f>
        <v>0</v>
      </c>
      <c r="FH40" s="1" t="n">
        <f aca="false">IF(BU40=1,MAX(0,(Slot6_Cost-BV40*(1+Slot6_Rate)^(Slot6_Age-D40))/FC40),0)</f>
        <v>0</v>
      </c>
      <c r="FI40" s="1" t="n">
        <f aca="false">IF(AND(DD40=1,BU40=1),MIN(FB40,FG40),0)</f>
        <v>0</v>
      </c>
      <c r="FJ40" s="1" t="n">
        <f aca="false">FB40-FI40</f>
        <v>0</v>
      </c>
      <c r="FK40" s="1" t="n">
        <f aca="false">IF(CE40=1,IF(ABS((1+AS_Wage)/(1+Slot7_Rate)-1)&lt;0.000000000001,(Slot7_Age-D40)*(1+Slot7_Rate)^(Slot7_Age-D40),(1+Slot7_Rate)^(Slot7_Age-D40)*(1-((1+AS_Wage)/(1+Slot7_Rate))^(Slot7_Age-D40))/(1-(1+AS_Wage)/(1+Slot7_Rate))),1)</f>
        <v>1</v>
      </c>
      <c r="FL40" s="1" t="n">
        <f aca="false">IF(AND(DD40=1,DN40&gt;0,Slot7_IsWG=1,CE40=1),MAX(0,(Slot7_Cost-CF40*(1+Slot7_Rate)^(Slot7_Age-D40))/FK40),0)</f>
        <v>0</v>
      </c>
      <c r="FM40" s="1" t="n">
        <f aca="false">IF(AND(DD40=1,DN40&gt;0,Slot7_IsWG=1,CE40=1),MIN(DN40,FL40),0)</f>
        <v>0</v>
      </c>
      <c r="FN40" s="1" t="n">
        <f aca="false">CF40+FM40</f>
        <v>0</v>
      </c>
      <c r="FO40" s="1" t="n">
        <f aca="false">IF(CE40=1,MAX(0,(Slot7_Cost-FN40*(1+Slot7_Rate)^(Slot7_Age-D40))/FK40),0)</f>
        <v>0</v>
      </c>
      <c r="FP40" s="1" t="n">
        <f aca="false">IF(CE40=1,MAX(0,(Slot7_Cost-CF40*(1+Slot7_Rate)^(Slot7_Age-D40))/FK40),0)</f>
        <v>0</v>
      </c>
      <c r="FQ40" s="1" t="n">
        <f aca="false">IF(AND(DD40=1,CE40=1),MIN(FJ40,FO40),0)</f>
        <v>0</v>
      </c>
      <c r="FR40" s="1" t="n">
        <f aca="false">FJ40-FQ40</f>
        <v>0</v>
      </c>
      <c r="FS40" s="1" t="n">
        <f aca="false">IF(CO40=1,IF(ABS((1+AS_Wage)/(1+Slot8_Rate)-1)&lt;0.000000000001,(Slot8_Age-D40)*(1+Slot8_Rate)^(Slot8_Age-D40),(1+Slot8_Rate)^(Slot8_Age-D40)*(1-((1+AS_Wage)/(1+Slot8_Rate))^(Slot8_Age-D40))/(1-(1+AS_Wage)/(1+Slot8_Rate))),1)</f>
        <v>1</v>
      </c>
      <c r="FT40" s="1" t="n">
        <f aca="false">IF(AND(DD40=1,DN40&gt;0,Slot8_IsWG=1,CO40=1),MAX(0,(Slot8_Cost-CP40*(1+Slot8_Rate)^(Slot8_Age-D40))/FS40),0)</f>
        <v>0</v>
      </c>
      <c r="FU40" s="1" t="n">
        <f aca="false">IF(AND(DD40=1,DN40&gt;0,Slot8_IsWG=1,CO40=1),MIN(DN40,FT40),0)</f>
        <v>0</v>
      </c>
      <c r="FV40" s="1" t="n">
        <f aca="false">CP40+FU40</f>
        <v>0</v>
      </c>
      <c r="FW40" s="1" t="n">
        <f aca="false">IF(CO40=1,MAX(0,(Slot8_Cost-FV40*(1+Slot8_Rate)^(Slot8_Age-D40))/FS40),0)</f>
        <v>0</v>
      </c>
      <c r="FX40" s="1" t="n">
        <f aca="false">IF(CO40=1,MAX(0,(Slot8_Cost-CP40*(1+Slot8_Rate)^(Slot8_Age-D40))/FS40),0)</f>
        <v>0</v>
      </c>
      <c r="FY40" s="1" t="n">
        <f aca="false">IF(AND(DD40=1,CO40=1),MIN(FR40,FW40),0)</f>
        <v>0</v>
      </c>
      <c r="FZ40" s="1" t="n">
        <f aca="false">FR40-FY40</f>
        <v>0</v>
      </c>
      <c r="GA40" s="1" t="n">
        <f aca="false">DN40-(DQ40+DY40+EG40+EO40+EW40+FE40+FM40+FU40)</f>
        <v>0</v>
      </c>
      <c r="GB40" s="1" t="n">
        <f aca="false">IF(DD40=1,DB40-DM40-DN40,0)</f>
        <v>0</v>
      </c>
      <c r="GC40" s="1" t="n">
        <f aca="false">IF(DD40=0,-DB40,0)</f>
        <v>0</v>
      </c>
      <c r="GD40" s="1" t="n">
        <f aca="false">MIN(GC40,CT40)</f>
        <v>0</v>
      </c>
      <c r="GE40" s="1" t="n">
        <f aca="false">GC40-GD40</f>
        <v>0</v>
      </c>
      <c r="GF40" s="1" t="n">
        <f aca="false">MIN(GE40,CU40)</f>
        <v>0</v>
      </c>
      <c r="GG40" s="1" t="n">
        <f aca="false">GE40-GF40</f>
        <v>0</v>
      </c>
      <c r="GH40" s="1" t="n">
        <f aca="false">IF(AND(DD40=0,CO40=1,GG40&gt;0),MIN(GG40,CP40),0)</f>
        <v>0</v>
      </c>
      <c r="GI40" s="1" t="n">
        <f aca="false">GG40-GH40</f>
        <v>0</v>
      </c>
      <c r="GJ40" s="1" t="n">
        <f aca="false">IF(AND(DD40=0,CE40=1,GI40&gt;0),MIN(GI40,CF40),0)</f>
        <v>0</v>
      </c>
      <c r="GK40" s="1" t="n">
        <f aca="false">GI40-GJ40</f>
        <v>0</v>
      </c>
      <c r="GL40" s="1" t="n">
        <f aca="false">IF(AND(DD40=0,BU40=1,GK40&gt;0),MIN(GK40,BV40),0)</f>
        <v>0</v>
      </c>
      <c r="GM40" s="1" t="n">
        <f aca="false">GK40-GL40</f>
        <v>0</v>
      </c>
      <c r="GN40" s="1" t="n">
        <f aca="false">IF(AND(DD40=0,BK40=1,GM40&gt;0),MIN(GM40,BL40),0)</f>
        <v>0</v>
      </c>
      <c r="GO40" s="1" t="n">
        <f aca="false">GM40-GN40</f>
        <v>0</v>
      </c>
      <c r="GP40" s="1" t="n">
        <f aca="false">IF(AND(DD40=0,BA40=1,GO40&gt;0),MIN(GO40,BB40),0)</f>
        <v>0</v>
      </c>
      <c r="GQ40" s="1" t="n">
        <f aca="false">GO40-GP40</f>
        <v>0</v>
      </c>
      <c r="GR40" s="1" t="n">
        <f aca="false">IF(AND(DD40=0,AQ40=1,GQ40&gt;0),MIN(GQ40,AR40),0)</f>
        <v>0</v>
      </c>
      <c r="GS40" s="1" t="n">
        <f aca="false">GQ40-GR40</f>
        <v>0</v>
      </c>
      <c r="GT40" s="1" t="n">
        <f aca="false">IF(AND(DD40=0,AG40=1,GS40&gt;0),MIN(GS40,AH40),0)</f>
        <v>0</v>
      </c>
      <c r="GU40" s="1" t="n">
        <f aca="false">GS40-GT40</f>
        <v>0</v>
      </c>
      <c r="GV40" s="1" t="n">
        <f aca="false">IF(AND(DD40=0,V40=1,GU40&gt;0),MIN(GU40,W40),0)</f>
        <v>0</v>
      </c>
      <c r="GW40" s="1" t="n">
        <f aca="false">GU40-GV40</f>
        <v>0</v>
      </c>
      <c r="GX40" s="1" t="n">
        <f aca="false">IF(DD40=0,GW40,0)</f>
        <v>0</v>
      </c>
      <c r="GY40" s="1" t="n">
        <f aca="false">GD40+GF40+GV40+GT40+GR40+GP40+GN40+GL40+GJ40+GH40</f>
        <v>0</v>
      </c>
      <c r="GZ40" s="1" t="n">
        <f aca="false">IF(DD40=1,CT40+GA40+FZ40+IF(F40=1,0,GB40),CT40-GD40)</f>
        <v>0</v>
      </c>
      <c r="HA40" s="1" t="n">
        <f aca="false">CU40-GF40</f>
        <v>0</v>
      </c>
      <c r="HB40" s="1" t="n">
        <f aca="false">IF(DD40=1,IF(F40=1,DM40+DN40,DB40),0)</f>
        <v>0</v>
      </c>
      <c r="HC40" s="1" t="n">
        <f aca="false">IF(DD40=1,IF(F40=1,DB40-DM40-DN40,0),0)</f>
        <v>0</v>
      </c>
      <c r="HD40" s="1" t="n">
        <f aca="false">GZ40*(1+GR)</f>
        <v>0</v>
      </c>
      <c r="HE40" s="1" t="n">
        <f aca="false">HA40*(1+AS_Cash)</f>
        <v>0</v>
      </c>
      <c r="HF40" s="1" t="n">
        <f aca="false">IF(V40=1,IF(DD40=1,DR40+DU40,W40-GV40)*(1+Slot1_Rate),0)</f>
        <v>0</v>
      </c>
      <c r="HG40" s="1" t="n">
        <f aca="false">IF(AND(DD40=1,V40=1),(DQ40+DU40)/E40,0)</f>
        <v>0</v>
      </c>
      <c r="HH40" s="1" t="n">
        <f aca="false">IF(B40=0,DQ40+DU40,0)</f>
        <v>0</v>
      </c>
      <c r="HI40" s="1" t="n">
        <f aca="false">IF(B40=0,IF(DD40=1,DS40,DT40),0)</f>
        <v>0</v>
      </c>
      <c r="HJ40" s="1" t="n">
        <f aca="false">IF(AG40=1,IF(DD40=1,DZ40+EC40,AH40-GT40)*(1+Slot2_Rate),0)</f>
        <v>0</v>
      </c>
      <c r="HK40" s="1" t="n">
        <f aca="false">IF(AND(DD40=1,AG40=1),(DY40+EC40)/E40,0)</f>
        <v>0</v>
      </c>
      <c r="HL40" s="1" t="n">
        <f aca="false">IF(B40=0,DY40+EC40,0)</f>
        <v>0</v>
      </c>
      <c r="HM40" s="1" t="n">
        <f aca="false">IF(B40=0,IF(DD40=1,EA40,EB40),0)</f>
        <v>0</v>
      </c>
      <c r="HN40" s="1" t="n">
        <f aca="false">IF(AQ40=1,IF(DD40=1,EH40+EK40,AR40-GR40)*(1+Slot3_Rate),0)</f>
        <v>0</v>
      </c>
      <c r="HO40" s="1" t="n">
        <f aca="false">IF(AND(DD40=1,AQ40=1),(EG40+EK40)/E40,0)</f>
        <v>0</v>
      </c>
      <c r="HP40" s="1" t="n">
        <f aca="false">IF(B40=0,EG40+EK40,0)</f>
        <v>0</v>
      </c>
      <c r="HQ40" s="1" t="n">
        <f aca="false">IF(B40=0,IF(DD40=1,EI40,EJ40),0)</f>
        <v>0</v>
      </c>
      <c r="HR40" s="1" t="n">
        <f aca="false">IF(BA40=1,IF(DD40=1,EP40+ES40,BB40-GP40)*(1+Slot4_Rate),0)</f>
        <v>0</v>
      </c>
      <c r="HS40" s="1" t="n">
        <f aca="false">IF(AND(DD40=1,BA40=1),(EO40+ES40)/E40,0)</f>
        <v>0</v>
      </c>
      <c r="HT40" s="1" t="n">
        <f aca="false">IF(B40=0,EO40+ES40,0)</f>
        <v>0</v>
      </c>
      <c r="HU40" s="1" t="n">
        <f aca="false">IF(B40=0,IF(DD40=1,EQ40,ER40),0)</f>
        <v>0</v>
      </c>
      <c r="HV40" s="1" t="n">
        <f aca="false">IF(BK40=1,IF(DD40=1,EX40+FA40,BL40-GN40)*(1+Slot5_Rate),0)</f>
        <v>0</v>
      </c>
      <c r="HW40" s="1" t="n">
        <f aca="false">IF(AND(DD40=1,BK40=1),(EW40+FA40)/E40,0)</f>
        <v>0</v>
      </c>
      <c r="HX40" s="1" t="n">
        <f aca="false">IF(B40=0,EW40+FA40,0)</f>
        <v>0</v>
      </c>
      <c r="HY40" s="1" t="n">
        <f aca="false">IF(B40=0,IF(DD40=1,EY40,EZ40),0)</f>
        <v>0</v>
      </c>
      <c r="HZ40" s="1" t="n">
        <f aca="false">IF(BU40=1,IF(DD40=1,FF40+FI40,BV40-GL40)*(1+Slot6_Rate),0)</f>
        <v>0</v>
      </c>
      <c r="IA40" s="1" t="n">
        <f aca="false">IF(AND(DD40=1,BU40=1),(FE40+FI40)/E40,0)</f>
        <v>0</v>
      </c>
      <c r="IB40" s="1" t="n">
        <f aca="false">IF(B40=0,FE40+FI40,0)</f>
        <v>0</v>
      </c>
      <c r="IC40" s="1" t="n">
        <f aca="false">IF(B40=0,IF(DD40=1,FG40,FH40),0)</f>
        <v>0</v>
      </c>
      <c r="ID40" s="1" t="n">
        <f aca="false">IF(CE40=1,IF(DD40=1,FN40+FQ40,CF40-GJ40)*(1+Slot7_Rate),0)</f>
        <v>0</v>
      </c>
      <c r="IE40" s="1" t="n">
        <f aca="false">IF(AND(DD40=1,CE40=1),(FM40+FQ40)/E40,0)</f>
        <v>0</v>
      </c>
      <c r="IF40" s="1" t="n">
        <f aca="false">IF(B40=0,FM40+FQ40,0)</f>
        <v>0</v>
      </c>
      <c r="IG40" s="1" t="n">
        <f aca="false">IF(B40=0,IF(DD40=1,FO40,FP40),0)</f>
        <v>0</v>
      </c>
      <c r="IH40" s="1" t="n">
        <f aca="false">IF(CO40=1,IF(DD40=1,FV40+FY40,CP40-GH40)*(1+Slot8_Rate),0)</f>
        <v>0</v>
      </c>
      <c r="II40" s="1" t="n">
        <f aca="false">IF(AND(DD40=1,CO40=1),(FU40+FY40)/E40,0)</f>
        <v>0</v>
      </c>
      <c r="IJ40" s="1" t="n">
        <f aca="false">IF(B40=0,FU40+FY40,0)</f>
        <v>0</v>
      </c>
      <c r="IK40" s="1" t="n">
        <f aca="false">IF(B40=0,IF(DD40=1,FW40,FX40),0)</f>
        <v>0</v>
      </c>
      <c r="IL40" s="1" t="n">
        <f aca="false">HD40+HE40+HF40+HJ40+HN40+HR40+HV40+HZ40+ID40+IH40</f>
        <v>0</v>
      </c>
      <c r="IM40" s="1" t="n">
        <f aca="false">GX40+CY40</f>
        <v>0</v>
      </c>
      <c r="IN40" s="1" t="n">
        <f aca="false">H40+R40</f>
        <v>0</v>
      </c>
      <c r="IO40" s="1" t="n">
        <f aca="false">1-F40</f>
        <v>1</v>
      </c>
      <c r="IP40" s="1" t="n">
        <f aca="false">IF(AND(RG_Exists=1,F40=0,C40=1),H40,0)</f>
        <v>0</v>
      </c>
      <c r="IQ40" s="1" t="n">
        <f aca="false">IF(AND(RG_Exists=1,F40=0,C40=1),H40-MIN(GX40,H40),0)</f>
        <v>0</v>
      </c>
      <c r="IR40" s="1" t="n">
        <f aca="false">'Plan pay &amp; tax'!AD242</f>
        <v>0</v>
      </c>
      <c r="IS40" s="1" t="n">
        <f aca="false">IF(AND(C40=1,GX40&gt;MAX(PR_Short1,IN40*PR_Short2)),1,0)</f>
        <v>0</v>
      </c>
      <c r="IT40" s="1" t="n">
        <f aca="false">MIN(G40,H40+R40)</f>
        <v>0</v>
      </c>
      <c r="IU40" s="1" t="n">
        <f aca="false">GY40+MAX(0,CZ40-CY40)</f>
        <v>0</v>
      </c>
      <c r="IV40" s="1" t="n">
        <f aca="false">GX40+CY40</f>
        <v>0</v>
      </c>
      <c r="IW40" s="1" t="n">
        <f aca="false">IF(AND(C40=1,IV40&gt;0.5),1,0)</f>
        <v>0</v>
      </c>
      <c r="IX40" s="1" t="n">
        <f aca="false">IF(AND(C40=1,IW40=0,IU40&gt;0.5),1,0)</f>
        <v>0</v>
      </c>
      <c r="IY40" s="1" t="n">
        <f aca="false">IF(AND(C40=1,GX40&gt;0.5),1,0)</f>
        <v>0</v>
      </c>
      <c r="IZ40" s="1" t="n">
        <f aca="false">IF(AND(C40=1,GY40&gt;1,JF40=0),1,0)</f>
        <v>0</v>
      </c>
      <c r="JA40" s="1" t="n">
        <f aca="false">IF(AND(INT(D40/10)*10=90,B40&gt;0),80,INT(D40/10)*10)</f>
        <v>30</v>
      </c>
      <c r="JB40" s="1" t="n">
        <f aca="false">IF(B40=0,1,IF(JA40&lt;&gt;JA39,JB39+1,JB39))</f>
        <v>4</v>
      </c>
      <c r="JC40" s="1" t="n">
        <f aca="false">IF(AND(C40=1,F40=1,GX40&gt;MAX(PR_Short1,IN40*PR_Short2)),1,0)</f>
        <v>0</v>
      </c>
      <c r="JD40" s="1" t="n">
        <f aca="false">IO40*IS40</f>
        <v>0</v>
      </c>
      <c r="JE40" s="1" t="n">
        <f aca="false">IF(AND(U40=1,Slot1_PctLow=1),1,0)+IF(AND(AF40=1,Slot2_PctLow=1),1,0)+IF(AND(AP40=1,Slot3_PctLow=1),1,0)+IF(AND(AZ40=1,Slot4_PctLow=1),1,0)+IF(AND(BJ40=1,Slot5_PctLow=1),1,0)+IF(AND(BT40=1,Slot6_PctLow=1),1,0)+IF(AND(CD40=1,Slot7_PctLow=1),1,0)+IF(AND(CN40=1,Slot8_PctLow=1),1,0)</f>
        <v>0</v>
      </c>
      <c r="JF40" s="1" t="n">
        <f aca="false">IF(C40=1,IF(OR(IS40=1,JE40&gt;0),1,0),0)</f>
        <v>0</v>
      </c>
    </row>
    <row r="41" customFormat="false" ht="15" hidden="false" customHeight="false" outlineLevel="0" collapsed="false">
      <c r="B41" s="1" t="n">
        <v>33</v>
      </c>
      <c r="C41" s="1" t="n">
        <f aca="false">IF(B41&lt;=F_N,1,0)</f>
        <v>1</v>
      </c>
      <c r="D41" s="1" t="n">
        <f aca="false">'Plan pay &amp; tax'!C243</f>
        <v>33</v>
      </c>
      <c r="E41" s="106" t="n">
        <f aca="false">'Plan pay &amp; tax'!E243</f>
        <v>1.92223140394315</v>
      </c>
      <c r="F41" s="1" t="n">
        <f aca="false">'Plan pay &amp; tax'!G243</f>
        <v>0</v>
      </c>
      <c r="G41" s="1" t="n">
        <f aca="false">'Plan pay &amp; tax'!BT243-'Plan pay &amp; tax'!BS243-'Plan pay &amp; tax'!R243</f>
        <v>0</v>
      </c>
      <c r="H41" s="1" t="n">
        <f aca="false">IF(F41=1,F_CostsM*12,IF(RG_Exists=1,RG_Amount,F_CostsM*12*AS_RetireSpend))*E41+F_OneOffY*E41</f>
        <v>0</v>
      </c>
      <c r="I41" s="1" t="n">
        <f aca="false">DA40</f>
        <v>0</v>
      </c>
      <c r="J41" s="1" t="n">
        <f aca="false">IF(I41&gt;1,'Plan debt months'!AC41,0)</f>
        <v>0</v>
      </c>
      <c r="K41" s="1" t="n">
        <f aca="false">IF(I41&gt;1,'Plan debt months'!AB41,I41)</f>
        <v>0</v>
      </c>
      <c r="L41" s="1" t="n">
        <f aca="false">N40</f>
        <v>0</v>
      </c>
      <c r="M41" s="1" t="n">
        <f aca="false">IF(L41&gt;1,'Plan debt months'!BD41,0)</f>
        <v>0</v>
      </c>
      <c r="N41" s="1" t="n">
        <f aca="false">IF(L41&gt;1,'Plan debt months'!BC41,L41)</f>
        <v>0</v>
      </c>
      <c r="O41" s="1" t="n">
        <f aca="false">Q40</f>
        <v>0</v>
      </c>
      <c r="P41" s="1" t="n">
        <f aca="false">IF(O41&gt;1,'Plan debt months'!CE41,0)</f>
        <v>0</v>
      </c>
      <c r="Q41" s="1" t="n">
        <f aca="false">IF(O41&gt;1,'Plan debt months'!CD41,O41)</f>
        <v>0</v>
      </c>
      <c r="R41" s="1" t="n">
        <f aca="false">J41+M41+P41</f>
        <v>0</v>
      </c>
      <c r="S41" s="1" t="n">
        <f aca="false">HD40+'Plan pay &amp; tax'!Y243</f>
        <v>0</v>
      </c>
      <c r="T41" s="1" t="n">
        <f aca="false">HD40</f>
        <v>0</v>
      </c>
      <c r="U41" s="1" t="n">
        <f aca="false">IF(AND(Slot1_On=1,D41=Slot1_Age),1,0)</f>
        <v>0</v>
      </c>
      <c r="V41" s="1" t="n">
        <f aca="false">IF(AND(Slot1_On=1,Slot1_Age&gt;D41),1,0)</f>
        <v>0</v>
      </c>
      <c r="W41" s="1" t="n">
        <f aca="false">HF40</f>
        <v>0</v>
      </c>
      <c r="X41" s="1" t="n">
        <f aca="false">U41*MIN(Slot1_Cost,W41)</f>
        <v>0</v>
      </c>
      <c r="Y41" s="1" t="n">
        <f aca="false">U41*Slot1_SpendLike*MIN(Slot1_Cost-X41,S41)</f>
        <v>0</v>
      </c>
      <c r="Z41" s="1" t="n">
        <f aca="false">X41+Y41</f>
        <v>0</v>
      </c>
      <c r="AA41" s="1" t="n">
        <f aca="false">S41-Y41+U41*IF(Slot1_SpendLike=1,W41-X41,IF(Slot1_PotFree=1,W41,0))</f>
        <v>0</v>
      </c>
      <c r="AB41" s="1" t="n">
        <f aca="false">AE41+U41*Slot1_BufPot*W41</f>
        <v>0</v>
      </c>
      <c r="AC41" s="1" t="n">
        <f aca="false">IF(AND(U41=1,Slot1_IsMfree=1),IF(Z41&gt;=Slot1_Cost-1,0,MAX(0,K41-Z41)),K41)</f>
        <v>0</v>
      </c>
      <c r="AD41" s="1" t="n">
        <f aca="false">U41*(Slot1_Cost-Z41)</f>
        <v>0</v>
      </c>
      <c r="AE41" s="1" t="n">
        <f aca="false">HE40</f>
        <v>0</v>
      </c>
      <c r="AF41" s="1" t="n">
        <f aca="false">IF(AND(Slot2_On=1,D41=Slot2_Age),1,0)</f>
        <v>0</v>
      </c>
      <c r="AG41" s="1" t="n">
        <f aca="false">IF(AND(Slot2_On=1,Slot2_Age&gt;D41),1,0)</f>
        <v>0</v>
      </c>
      <c r="AH41" s="1" t="n">
        <f aca="false">HJ40</f>
        <v>0</v>
      </c>
      <c r="AI41" s="1" t="n">
        <f aca="false">AF41*MIN(Slot2_Cost,AH41)</f>
        <v>0</v>
      </c>
      <c r="AJ41" s="1" t="n">
        <f aca="false">AF41*Slot2_SpendLike*MIN(Slot2_Cost-AI41,AA41)</f>
        <v>0</v>
      </c>
      <c r="AK41" s="1" t="n">
        <f aca="false">AI41+AJ41</f>
        <v>0</v>
      </c>
      <c r="AL41" s="1" t="n">
        <f aca="false">AA41-AJ41+AF41*IF(Slot2_SpendLike=1,AH41-AI41,IF(Slot2_PotFree=1,AH41,0))</f>
        <v>0</v>
      </c>
      <c r="AM41" s="1" t="n">
        <f aca="false">AB41+AF41*Slot2_BufPot*AH41</f>
        <v>0</v>
      </c>
      <c r="AN41" s="1" t="n">
        <f aca="false">IF(AND(AF41=1,Slot2_IsMfree=1),IF(AK41&gt;=Slot2_Cost-1,0,MAX(0,AC41-AK41)),AC41)</f>
        <v>0</v>
      </c>
      <c r="AO41" s="1" t="n">
        <f aca="false">AF41*(Slot2_Cost-AK41)</f>
        <v>0</v>
      </c>
      <c r="AP41" s="1" t="n">
        <f aca="false">IF(AND(Slot3_On=1,D41=Slot3_Age),1,0)</f>
        <v>0</v>
      </c>
      <c r="AQ41" s="1" t="n">
        <f aca="false">IF(AND(Slot3_On=1,Slot3_Age&gt;D41),1,0)</f>
        <v>0</v>
      </c>
      <c r="AR41" s="1" t="n">
        <f aca="false">HN40</f>
        <v>0</v>
      </c>
      <c r="AS41" s="1" t="n">
        <f aca="false">AP41*MIN(Slot3_Cost,AR41)</f>
        <v>0</v>
      </c>
      <c r="AT41" s="1" t="n">
        <f aca="false">AP41*Slot3_SpendLike*MIN(Slot3_Cost-AS41,AL41)</f>
        <v>0</v>
      </c>
      <c r="AU41" s="1" t="n">
        <f aca="false">AS41+AT41</f>
        <v>0</v>
      </c>
      <c r="AV41" s="1" t="n">
        <f aca="false">AL41-AT41+AP41*IF(Slot3_SpendLike=1,AR41-AS41,IF(Slot3_PotFree=1,AR41,0))</f>
        <v>0</v>
      </c>
      <c r="AW41" s="1" t="n">
        <f aca="false">AM41+AP41*Slot3_BufPot*AR41</f>
        <v>0</v>
      </c>
      <c r="AX41" s="1" t="n">
        <f aca="false">IF(AND(AP41=1,Slot3_IsMfree=1),IF(AU41&gt;=Slot3_Cost-1,0,MAX(0,AN41-AU41)),AN41)</f>
        <v>0</v>
      </c>
      <c r="AY41" s="1" t="n">
        <f aca="false">AP41*(Slot3_Cost-AU41)</f>
        <v>0</v>
      </c>
      <c r="AZ41" s="1" t="n">
        <f aca="false">IF(AND(Slot4_On=1,D41=Slot4_Age),1,0)</f>
        <v>0</v>
      </c>
      <c r="BA41" s="1" t="n">
        <f aca="false">IF(AND(Slot4_On=1,Slot4_Age&gt;D41),1,0)</f>
        <v>0</v>
      </c>
      <c r="BB41" s="1" t="n">
        <f aca="false">HR40</f>
        <v>0</v>
      </c>
      <c r="BC41" s="1" t="n">
        <f aca="false">AZ41*MIN(Slot4_Cost,BB41)</f>
        <v>0</v>
      </c>
      <c r="BD41" s="1" t="n">
        <f aca="false">AZ41*Slot4_SpendLike*MIN(Slot4_Cost-BC41,AV41)</f>
        <v>0</v>
      </c>
      <c r="BE41" s="1" t="n">
        <f aca="false">BC41+BD41</f>
        <v>0</v>
      </c>
      <c r="BF41" s="1" t="n">
        <f aca="false">AV41-BD41+AZ41*IF(Slot4_SpendLike=1,BB41-BC41,IF(Slot4_PotFree=1,BB41,0))</f>
        <v>0</v>
      </c>
      <c r="BG41" s="1" t="n">
        <f aca="false">AW41+AZ41*Slot4_BufPot*BB41</f>
        <v>0</v>
      </c>
      <c r="BH41" s="1" t="n">
        <f aca="false">IF(AND(AZ41=1,Slot4_IsMfree=1),IF(BE41&gt;=Slot4_Cost-1,0,MAX(0,AX41-BE41)),AX41)</f>
        <v>0</v>
      </c>
      <c r="BI41" s="1" t="n">
        <f aca="false">AZ41*(Slot4_Cost-BE41)</f>
        <v>0</v>
      </c>
      <c r="BJ41" s="1" t="n">
        <f aca="false">IF(AND(Slot5_On=1,D41=Slot5_Age),1,0)</f>
        <v>0</v>
      </c>
      <c r="BK41" s="1" t="n">
        <f aca="false">IF(AND(Slot5_On=1,Slot5_Age&gt;D41),1,0)</f>
        <v>0</v>
      </c>
      <c r="BL41" s="1" t="n">
        <f aca="false">HV40</f>
        <v>0</v>
      </c>
      <c r="BM41" s="1" t="n">
        <f aca="false">BJ41*MIN(Slot5_Cost,BL41)</f>
        <v>0</v>
      </c>
      <c r="BN41" s="1" t="n">
        <f aca="false">BJ41*Slot5_SpendLike*MIN(Slot5_Cost-BM41,BF41)</f>
        <v>0</v>
      </c>
      <c r="BO41" s="1" t="n">
        <f aca="false">BM41+BN41</f>
        <v>0</v>
      </c>
      <c r="BP41" s="1" t="n">
        <f aca="false">BF41-BN41+BJ41*IF(Slot5_SpendLike=1,BL41-BM41,IF(Slot5_PotFree=1,BL41,0))</f>
        <v>0</v>
      </c>
      <c r="BQ41" s="1" t="n">
        <f aca="false">BG41+BJ41*Slot5_BufPot*BL41</f>
        <v>0</v>
      </c>
      <c r="BR41" s="1" t="n">
        <f aca="false">IF(AND(BJ41=1,Slot5_IsMfree=1),IF(BO41&gt;=Slot5_Cost-1,0,MAX(0,BH41-BO41)),BH41)</f>
        <v>0</v>
      </c>
      <c r="BS41" s="1" t="n">
        <f aca="false">BJ41*(Slot5_Cost-BO41)</f>
        <v>0</v>
      </c>
      <c r="BT41" s="1" t="n">
        <f aca="false">IF(AND(Slot6_On=1,D41=Slot6_Age),1,0)</f>
        <v>0</v>
      </c>
      <c r="BU41" s="1" t="n">
        <f aca="false">IF(AND(Slot6_On=1,Slot6_Age&gt;D41),1,0)</f>
        <v>0</v>
      </c>
      <c r="BV41" s="1" t="n">
        <f aca="false">HZ40</f>
        <v>0</v>
      </c>
      <c r="BW41" s="1" t="n">
        <f aca="false">BT41*MIN(Slot6_Cost,BV41)</f>
        <v>0</v>
      </c>
      <c r="BX41" s="1" t="n">
        <f aca="false">BT41*Slot6_SpendLike*MIN(Slot6_Cost-BW41,BP41)</f>
        <v>0</v>
      </c>
      <c r="BY41" s="1" t="n">
        <f aca="false">BW41+BX41</f>
        <v>0</v>
      </c>
      <c r="BZ41" s="1" t="n">
        <f aca="false">BP41-BX41+BT41*IF(Slot6_SpendLike=1,BV41-BW41,IF(Slot6_PotFree=1,BV41,0))</f>
        <v>0</v>
      </c>
      <c r="CA41" s="1" t="n">
        <f aca="false">BQ41+BT41*Slot6_BufPot*BV41</f>
        <v>0</v>
      </c>
      <c r="CB41" s="1" t="n">
        <f aca="false">IF(AND(BT41=1,Slot6_IsMfree=1),IF(BY41&gt;=Slot6_Cost-1,0,MAX(0,BR41-BY41)),BR41)</f>
        <v>0</v>
      </c>
      <c r="CC41" s="1" t="n">
        <f aca="false">BT41*(Slot6_Cost-BY41)</f>
        <v>0</v>
      </c>
      <c r="CD41" s="1" t="n">
        <f aca="false">IF(AND(Slot7_On=1,D41=Slot7_Age),1,0)</f>
        <v>0</v>
      </c>
      <c r="CE41" s="1" t="n">
        <f aca="false">IF(AND(Slot7_On=1,Slot7_Age&gt;D41),1,0)</f>
        <v>0</v>
      </c>
      <c r="CF41" s="1" t="n">
        <f aca="false">ID40</f>
        <v>0</v>
      </c>
      <c r="CG41" s="1" t="n">
        <f aca="false">CD41*MIN(Slot7_Cost,CF41)</f>
        <v>0</v>
      </c>
      <c r="CH41" s="1" t="n">
        <f aca="false">CD41*Slot7_SpendLike*MIN(Slot7_Cost-CG41,BZ41)</f>
        <v>0</v>
      </c>
      <c r="CI41" s="1" t="n">
        <f aca="false">CG41+CH41</f>
        <v>0</v>
      </c>
      <c r="CJ41" s="1" t="n">
        <f aca="false">BZ41-CH41+CD41*IF(Slot7_SpendLike=1,CF41-CG41,IF(Slot7_PotFree=1,CF41,0))</f>
        <v>0</v>
      </c>
      <c r="CK41" s="1" t="n">
        <f aca="false">CA41+CD41*Slot7_BufPot*CF41</f>
        <v>0</v>
      </c>
      <c r="CL41" s="1" t="n">
        <f aca="false">IF(AND(CD41=1,Slot7_IsMfree=1),IF(CI41&gt;=Slot7_Cost-1,0,MAX(0,CB41-CI41)),CB41)</f>
        <v>0</v>
      </c>
      <c r="CM41" s="1" t="n">
        <f aca="false">CD41*(Slot7_Cost-CI41)</f>
        <v>0</v>
      </c>
      <c r="CN41" s="1" t="n">
        <f aca="false">IF(AND(Slot8_On=1,D41=Slot8_Age),1,0)</f>
        <v>0</v>
      </c>
      <c r="CO41" s="1" t="n">
        <f aca="false">IF(AND(Slot8_On=1,Slot8_Age&gt;D41),1,0)</f>
        <v>0</v>
      </c>
      <c r="CP41" s="1" t="n">
        <f aca="false">IH40</f>
        <v>0</v>
      </c>
      <c r="CQ41" s="1" t="n">
        <f aca="false">CN41*MIN(Slot8_Cost,CP41)</f>
        <v>0</v>
      </c>
      <c r="CR41" s="1" t="n">
        <f aca="false">CN41*Slot8_SpendLike*MIN(Slot8_Cost-CQ41,CJ41)</f>
        <v>0</v>
      </c>
      <c r="CS41" s="1" t="n">
        <f aca="false">CQ41+CR41</f>
        <v>0</v>
      </c>
      <c r="CT41" s="1" t="n">
        <f aca="false">CJ41-CR41+CN41*IF(Slot8_SpendLike=1,CP41-CQ41,IF(Slot8_PotFree=1,CP41,0))</f>
        <v>0</v>
      </c>
      <c r="CU41" s="1" t="n">
        <f aca="false">CK41+CN41*Slot8_BufPot*CP41</f>
        <v>0</v>
      </c>
      <c r="CV41" s="1" t="n">
        <f aca="false">IF(AND(CN41=1,Slot8_IsMfree=1),IF(CS41&gt;=Slot8_Cost-1,0,MAX(0,CL41-CS41)),CL41)</f>
        <v>0</v>
      </c>
      <c r="CW41" s="1" t="n">
        <f aca="false">CN41*(Slot8_Cost-CS41)</f>
        <v>0</v>
      </c>
      <c r="CX41" s="1" t="n">
        <f aca="false">U41*Slot1_SpendLike*Z41+AF41*Slot2_SpendLike*AK41+AP41*Slot3_SpendLike*AU41+AZ41*Slot4_SpendLike*BE41+BJ41*Slot5_SpendLike*BO41+BT41*Slot6_SpendLike*BY41+CD41*Slot7_SpendLike*CI41+CN41*Slot8_SpendLike*CS41</f>
        <v>0</v>
      </c>
      <c r="CY41" s="1" t="n">
        <f aca="false">AD41+AO41+AY41+BI41+BS41+CC41+CM41+CW41</f>
        <v>0</v>
      </c>
      <c r="CZ41" s="1" t="n">
        <f aca="false">U41*Slot1_Cost+AF41*Slot2_Cost+AP41*Slot3_Cost+AZ41*Slot4_Cost+BJ41*Slot5_Cost+BT41*Slot6_Cost+CD41*Slot7_Cost+CN41*Slot8_Cost</f>
        <v>0</v>
      </c>
      <c r="DA41" s="1" t="n">
        <f aca="false">CV41</f>
        <v>0</v>
      </c>
      <c r="DB41" s="1" t="n">
        <f aca="false">G41-H41-R41</f>
        <v>0</v>
      </c>
      <c r="DC41" s="1" t="n">
        <f aca="false">IF(B41=0,IF(AND(Has_q6=1,In_q6=4),PR_ShareVaries*(MAX(0,DB41)/12),MIN(IF(Has_q6=1,CHOOSE(In_q6+1,PR_SaveB1,PR_SaveB2,PR_SaveB3,PR_SaveB4,0),AS_NoAnswer),AS_SaveShare*(MAX(0,DB41)/12))),DC40)</f>
        <v>0</v>
      </c>
      <c r="DD41" s="1" t="n">
        <f aca="false">IF(DB41&gt;=0,1,0)</f>
        <v>1</v>
      </c>
      <c r="DE41" s="1" t="n">
        <f aca="false">MAX(0,DB41/12/E41)</f>
        <v>0</v>
      </c>
      <c r="DF41" s="1" t="n">
        <f aca="false">IF(AND(Has_q6=1,In_q6=4),PR_ShareVaries*(DE41),MIN(IF(Has_q6=1,CHOOSE(In_q6+1,PR_SaveB1,PR_SaveB2,PR_SaveB3,PR_SaveB4,0),AS_NoAnswer),AS_SaveShare*(DE41)))</f>
        <v>0</v>
      </c>
      <c r="DG41" s="1" t="n">
        <f aca="false">IF(Has_saveM=1,IF(In_saveUp="Yes",1,IF(In_saveUp="No",0,IF(In_saveM&gt;=DC41-0.5,1,0))),0)</f>
        <v>0</v>
      </c>
      <c r="DH41" s="1" t="n">
        <f aca="false">IF(Has_saveM=1,MIN(DE41,IF(DG41=1,MAX(In_saveM,DF41),MIN(In_saveM,DF41))),DF41)</f>
        <v>0</v>
      </c>
      <c r="DI41" s="1" t="n">
        <f aca="false">IF(F41=1,DH41*12*E41,0)</f>
        <v>0</v>
      </c>
      <c r="DJ41" s="1" t="n">
        <f aca="false">MAX(0,DI41+IF(AND(WI_Retire=0,WI_M&lt;0,F41=1),WI_M*12*E41,0))</f>
        <v>0</v>
      </c>
      <c r="DK41" s="1" t="n">
        <f aca="false">Slot1_IsWG*V41+Slot2_IsWG*AG41+Slot3_IsWG*AQ41+Slot4_IsWG*BA41+Slot5_IsWG*BK41+Slot6_IsWG*BU41+Slot7_IsWG*CE41+Slot8_IsWG*CO41</f>
        <v>0</v>
      </c>
      <c r="DL41" s="1" t="n">
        <f aca="false">IF(AND(WI_Retire=0,WI_M&gt;0,F41=1,DK41&gt;=1),WI_M*12*E41,0)</f>
        <v>0</v>
      </c>
      <c r="DM41" s="1" t="n">
        <f aca="false">IF(DD41=1,MIN(DJ41,DB41),0)</f>
        <v>0</v>
      </c>
      <c r="DN41" s="1" t="n">
        <f aca="false">IF(DD41=1,MIN(DL41,DB41-DM41),0)</f>
        <v>0</v>
      </c>
      <c r="DO41" s="1" t="n">
        <f aca="false">IF(V41=1,IF(ABS((1+AS_Wage)/(1+Slot1_Rate)-1)&lt;0.000000000001,(Slot1_Age-D41)*(1+Slot1_Rate)^(Slot1_Age-D41),(1+Slot1_Rate)^(Slot1_Age-D41)*(1-((1+AS_Wage)/(1+Slot1_Rate))^(Slot1_Age-D41))/(1-(1+AS_Wage)/(1+Slot1_Rate))),1)</f>
        <v>1</v>
      </c>
      <c r="DP41" s="1" t="n">
        <f aca="false">IF(AND(DD41=1,DN41&gt;0,Slot1_IsWG=1,V41=1),MAX(0,(Slot1_Cost-W41*(1+Slot1_Rate)^(Slot1_Age-D41))/DO41),0)</f>
        <v>0</v>
      </c>
      <c r="DQ41" s="1" t="n">
        <f aca="false">IF(AND(DD41=1,DN41&gt;0,Slot1_IsWG=1,V41=1),MIN(DN41,DP41),0)</f>
        <v>0</v>
      </c>
      <c r="DR41" s="1" t="n">
        <f aca="false">W41+DQ41</f>
        <v>0</v>
      </c>
      <c r="DS41" s="1" t="n">
        <f aca="false">IF(V41=1,MAX(0,(Slot1_Cost-DR41*(1+Slot1_Rate)^(Slot1_Age-D41))/DO41),0)</f>
        <v>0</v>
      </c>
      <c r="DT41" s="1" t="n">
        <f aca="false">IF(V41=1,MAX(0,(Slot1_Cost-W41*(1+Slot1_Rate)^(Slot1_Age-D41))/DO41),0)</f>
        <v>0</v>
      </c>
      <c r="DU41" s="1" t="n">
        <f aca="false">IF(AND(DD41=1,V41=1),MIN(DM41,DS41),0)</f>
        <v>0</v>
      </c>
      <c r="DV41" s="1" t="n">
        <f aca="false">DM41-DU41</f>
        <v>0</v>
      </c>
      <c r="DW41" s="1" t="n">
        <f aca="false">IF(AG41=1,IF(ABS((1+AS_Wage)/(1+Slot2_Rate)-1)&lt;0.000000000001,(Slot2_Age-D41)*(1+Slot2_Rate)^(Slot2_Age-D41),(1+Slot2_Rate)^(Slot2_Age-D41)*(1-((1+AS_Wage)/(1+Slot2_Rate))^(Slot2_Age-D41))/(1-(1+AS_Wage)/(1+Slot2_Rate))),1)</f>
        <v>1</v>
      </c>
      <c r="DX41" s="1" t="n">
        <f aca="false">IF(AND(DD41=1,DN41&gt;0,Slot2_IsWG=1,AG41=1),MAX(0,(Slot2_Cost-AH41*(1+Slot2_Rate)^(Slot2_Age-D41))/DW41),0)</f>
        <v>0</v>
      </c>
      <c r="DY41" s="1" t="n">
        <f aca="false">IF(AND(DD41=1,DN41&gt;0,Slot2_IsWG=1,AG41=1),MIN(DN41,DX41),0)</f>
        <v>0</v>
      </c>
      <c r="DZ41" s="1" t="n">
        <f aca="false">AH41+DY41</f>
        <v>0</v>
      </c>
      <c r="EA41" s="1" t="n">
        <f aca="false">IF(AG41=1,MAX(0,(Slot2_Cost-DZ41*(1+Slot2_Rate)^(Slot2_Age-D41))/DW41),0)</f>
        <v>0</v>
      </c>
      <c r="EB41" s="1" t="n">
        <f aca="false">IF(AG41=1,MAX(0,(Slot2_Cost-AH41*(1+Slot2_Rate)^(Slot2_Age-D41))/DW41),0)</f>
        <v>0</v>
      </c>
      <c r="EC41" s="1" t="n">
        <f aca="false">IF(AND(DD41=1,AG41=1),MIN(DV41,EA41),0)</f>
        <v>0</v>
      </c>
      <c r="ED41" s="1" t="n">
        <f aca="false">DV41-EC41</f>
        <v>0</v>
      </c>
      <c r="EE41" s="1" t="n">
        <f aca="false">IF(AQ41=1,IF(ABS((1+AS_Wage)/(1+Slot3_Rate)-1)&lt;0.000000000001,(Slot3_Age-D41)*(1+Slot3_Rate)^(Slot3_Age-D41),(1+Slot3_Rate)^(Slot3_Age-D41)*(1-((1+AS_Wage)/(1+Slot3_Rate))^(Slot3_Age-D41))/(1-(1+AS_Wage)/(1+Slot3_Rate))),1)</f>
        <v>1</v>
      </c>
      <c r="EF41" s="1" t="n">
        <f aca="false">IF(AND(DD41=1,DN41&gt;0,Slot3_IsWG=1,AQ41=1),MAX(0,(Slot3_Cost-AR41*(1+Slot3_Rate)^(Slot3_Age-D41))/EE41),0)</f>
        <v>0</v>
      </c>
      <c r="EG41" s="1" t="n">
        <f aca="false">IF(AND(DD41=1,DN41&gt;0,Slot3_IsWG=1,AQ41=1),MIN(DN41,EF41),0)</f>
        <v>0</v>
      </c>
      <c r="EH41" s="1" t="n">
        <f aca="false">AR41+EG41</f>
        <v>0</v>
      </c>
      <c r="EI41" s="1" t="n">
        <f aca="false">IF(AQ41=1,MAX(0,(Slot3_Cost-EH41*(1+Slot3_Rate)^(Slot3_Age-D41))/EE41),0)</f>
        <v>0</v>
      </c>
      <c r="EJ41" s="1" t="n">
        <f aca="false">IF(AQ41=1,MAX(0,(Slot3_Cost-AR41*(1+Slot3_Rate)^(Slot3_Age-D41))/EE41),0)</f>
        <v>0</v>
      </c>
      <c r="EK41" s="1" t="n">
        <f aca="false">IF(AND(DD41=1,AQ41=1),MIN(ED41,EI41),0)</f>
        <v>0</v>
      </c>
      <c r="EL41" s="1" t="n">
        <f aca="false">ED41-EK41</f>
        <v>0</v>
      </c>
      <c r="EM41" s="1" t="n">
        <f aca="false">IF(BA41=1,IF(ABS((1+AS_Wage)/(1+Slot4_Rate)-1)&lt;0.000000000001,(Slot4_Age-D41)*(1+Slot4_Rate)^(Slot4_Age-D41),(1+Slot4_Rate)^(Slot4_Age-D41)*(1-((1+AS_Wage)/(1+Slot4_Rate))^(Slot4_Age-D41))/(1-(1+AS_Wage)/(1+Slot4_Rate))),1)</f>
        <v>1</v>
      </c>
      <c r="EN41" s="1" t="n">
        <f aca="false">IF(AND(DD41=1,DN41&gt;0,Slot4_IsWG=1,BA41=1),MAX(0,(Slot4_Cost-BB41*(1+Slot4_Rate)^(Slot4_Age-D41))/EM41),0)</f>
        <v>0</v>
      </c>
      <c r="EO41" s="1" t="n">
        <f aca="false">IF(AND(DD41=1,DN41&gt;0,Slot4_IsWG=1,BA41=1),MIN(DN41,EN41),0)</f>
        <v>0</v>
      </c>
      <c r="EP41" s="1" t="n">
        <f aca="false">BB41+EO41</f>
        <v>0</v>
      </c>
      <c r="EQ41" s="1" t="n">
        <f aca="false">IF(BA41=1,MAX(0,(Slot4_Cost-EP41*(1+Slot4_Rate)^(Slot4_Age-D41))/EM41),0)</f>
        <v>0</v>
      </c>
      <c r="ER41" s="1" t="n">
        <f aca="false">IF(BA41=1,MAX(0,(Slot4_Cost-BB41*(1+Slot4_Rate)^(Slot4_Age-D41))/EM41),0)</f>
        <v>0</v>
      </c>
      <c r="ES41" s="1" t="n">
        <f aca="false">IF(AND(DD41=1,BA41=1),MIN(EL41,EQ41),0)</f>
        <v>0</v>
      </c>
      <c r="ET41" s="1" t="n">
        <f aca="false">EL41-ES41</f>
        <v>0</v>
      </c>
      <c r="EU41" s="1" t="n">
        <f aca="false">IF(BK41=1,IF(ABS((1+AS_Wage)/(1+Slot5_Rate)-1)&lt;0.000000000001,(Slot5_Age-D41)*(1+Slot5_Rate)^(Slot5_Age-D41),(1+Slot5_Rate)^(Slot5_Age-D41)*(1-((1+AS_Wage)/(1+Slot5_Rate))^(Slot5_Age-D41))/(1-(1+AS_Wage)/(1+Slot5_Rate))),1)</f>
        <v>1</v>
      </c>
      <c r="EV41" s="1" t="n">
        <f aca="false">IF(AND(DD41=1,DN41&gt;0,Slot5_IsWG=1,BK41=1),MAX(0,(Slot5_Cost-BL41*(1+Slot5_Rate)^(Slot5_Age-D41))/EU41),0)</f>
        <v>0</v>
      </c>
      <c r="EW41" s="1" t="n">
        <f aca="false">IF(AND(DD41=1,DN41&gt;0,Slot5_IsWG=1,BK41=1),MIN(DN41,EV41),0)</f>
        <v>0</v>
      </c>
      <c r="EX41" s="1" t="n">
        <f aca="false">BL41+EW41</f>
        <v>0</v>
      </c>
      <c r="EY41" s="1" t="n">
        <f aca="false">IF(BK41=1,MAX(0,(Slot5_Cost-EX41*(1+Slot5_Rate)^(Slot5_Age-D41))/EU41),0)</f>
        <v>0</v>
      </c>
      <c r="EZ41" s="1" t="n">
        <f aca="false">IF(BK41=1,MAX(0,(Slot5_Cost-BL41*(1+Slot5_Rate)^(Slot5_Age-D41))/EU41),0)</f>
        <v>0</v>
      </c>
      <c r="FA41" s="1" t="n">
        <f aca="false">IF(AND(DD41=1,BK41=1),MIN(ET41,EY41),0)</f>
        <v>0</v>
      </c>
      <c r="FB41" s="1" t="n">
        <f aca="false">ET41-FA41</f>
        <v>0</v>
      </c>
      <c r="FC41" s="1" t="n">
        <f aca="false">IF(BU41=1,IF(ABS((1+AS_Wage)/(1+Slot6_Rate)-1)&lt;0.000000000001,(Slot6_Age-D41)*(1+Slot6_Rate)^(Slot6_Age-D41),(1+Slot6_Rate)^(Slot6_Age-D41)*(1-((1+AS_Wage)/(1+Slot6_Rate))^(Slot6_Age-D41))/(1-(1+AS_Wage)/(1+Slot6_Rate))),1)</f>
        <v>1</v>
      </c>
      <c r="FD41" s="1" t="n">
        <f aca="false">IF(AND(DD41=1,DN41&gt;0,Slot6_IsWG=1,BU41=1),MAX(0,(Slot6_Cost-BV41*(1+Slot6_Rate)^(Slot6_Age-D41))/FC41),0)</f>
        <v>0</v>
      </c>
      <c r="FE41" s="1" t="n">
        <f aca="false">IF(AND(DD41=1,DN41&gt;0,Slot6_IsWG=1,BU41=1),MIN(DN41,FD41),0)</f>
        <v>0</v>
      </c>
      <c r="FF41" s="1" t="n">
        <f aca="false">BV41+FE41</f>
        <v>0</v>
      </c>
      <c r="FG41" s="1" t="n">
        <f aca="false">IF(BU41=1,MAX(0,(Slot6_Cost-FF41*(1+Slot6_Rate)^(Slot6_Age-D41))/FC41),0)</f>
        <v>0</v>
      </c>
      <c r="FH41" s="1" t="n">
        <f aca="false">IF(BU41=1,MAX(0,(Slot6_Cost-BV41*(1+Slot6_Rate)^(Slot6_Age-D41))/FC41),0)</f>
        <v>0</v>
      </c>
      <c r="FI41" s="1" t="n">
        <f aca="false">IF(AND(DD41=1,BU41=1),MIN(FB41,FG41),0)</f>
        <v>0</v>
      </c>
      <c r="FJ41" s="1" t="n">
        <f aca="false">FB41-FI41</f>
        <v>0</v>
      </c>
      <c r="FK41" s="1" t="n">
        <f aca="false">IF(CE41=1,IF(ABS((1+AS_Wage)/(1+Slot7_Rate)-1)&lt;0.000000000001,(Slot7_Age-D41)*(1+Slot7_Rate)^(Slot7_Age-D41),(1+Slot7_Rate)^(Slot7_Age-D41)*(1-((1+AS_Wage)/(1+Slot7_Rate))^(Slot7_Age-D41))/(1-(1+AS_Wage)/(1+Slot7_Rate))),1)</f>
        <v>1</v>
      </c>
      <c r="FL41" s="1" t="n">
        <f aca="false">IF(AND(DD41=1,DN41&gt;0,Slot7_IsWG=1,CE41=1),MAX(0,(Slot7_Cost-CF41*(1+Slot7_Rate)^(Slot7_Age-D41))/FK41),0)</f>
        <v>0</v>
      </c>
      <c r="FM41" s="1" t="n">
        <f aca="false">IF(AND(DD41=1,DN41&gt;0,Slot7_IsWG=1,CE41=1),MIN(DN41,FL41),0)</f>
        <v>0</v>
      </c>
      <c r="FN41" s="1" t="n">
        <f aca="false">CF41+FM41</f>
        <v>0</v>
      </c>
      <c r="FO41" s="1" t="n">
        <f aca="false">IF(CE41=1,MAX(0,(Slot7_Cost-FN41*(1+Slot7_Rate)^(Slot7_Age-D41))/FK41),0)</f>
        <v>0</v>
      </c>
      <c r="FP41" s="1" t="n">
        <f aca="false">IF(CE41=1,MAX(0,(Slot7_Cost-CF41*(1+Slot7_Rate)^(Slot7_Age-D41))/FK41),0)</f>
        <v>0</v>
      </c>
      <c r="FQ41" s="1" t="n">
        <f aca="false">IF(AND(DD41=1,CE41=1),MIN(FJ41,FO41),0)</f>
        <v>0</v>
      </c>
      <c r="FR41" s="1" t="n">
        <f aca="false">FJ41-FQ41</f>
        <v>0</v>
      </c>
      <c r="FS41" s="1" t="n">
        <f aca="false">IF(CO41=1,IF(ABS((1+AS_Wage)/(1+Slot8_Rate)-1)&lt;0.000000000001,(Slot8_Age-D41)*(1+Slot8_Rate)^(Slot8_Age-D41),(1+Slot8_Rate)^(Slot8_Age-D41)*(1-((1+AS_Wage)/(1+Slot8_Rate))^(Slot8_Age-D41))/(1-(1+AS_Wage)/(1+Slot8_Rate))),1)</f>
        <v>1</v>
      </c>
      <c r="FT41" s="1" t="n">
        <f aca="false">IF(AND(DD41=1,DN41&gt;0,Slot8_IsWG=1,CO41=1),MAX(0,(Slot8_Cost-CP41*(1+Slot8_Rate)^(Slot8_Age-D41))/FS41),0)</f>
        <v>0</v>
      </c>
      <c r="FU41" s="1" t="n">
        <f aca="false">IF(AND(DD41=1,DN41&gt;0,Slot8_IsWG=1,CO41=1),MIN(DN41,FT41),0)</f>
        <v>0</v>
      </c>
      <c r="FV41" s="1" t="n">
        <f aca="false">CP41+FU41</f>
        <v>0</v>
      </c>
      <c r="FW41" s="1" t="n">
        <f aca="false">IF(CO41=1,MAX(0,(Slot8_Cost-FV41*(1+Slot8_Rate)^(Slot8_Age-D41))/FS41),0)</f>
        <v>0</v>
      </c>
      <c r="FX41" s="1" t="n">
        <f aca="false">IF(CO41=1,MAX(0,(Slot8_Cost-CP41*(1+Slot8_Rate)^(Slot8_Age-D41))/FS41),0)</f>
        <v>0</v>
      </c>
      <c r="FY41" s="1" t="n">
        <f aca="false">IF(AND(DD41=1,CO41=1),MIN(FR41,FW41),0)</f>
        <v>0</v>
      </c>
      <c r="FZ41" s="1" t="n">
        <f aca="false">FR41-FY41</f>
        <v>0</v>
      </c>
      <c r="GA41" s="1" t="n">
        <f aca="false">DN41-(DQ41+DY41+EG41+EO41+EW41+FE41+FM41+FU41)</f>
        <v>0</v>
      </c>
      <c r="GB41" s="1" t="n">
        <f aca="false">IF(DD41=1,DB41-DM41-DN41,0)</f>
        <v>0</v>
      </c>
      <c r="GC41" s="1" t="n">
        <f aca="false">IF(DD41=0,-DB41,0)</f>
        <v>0</v>
      </c>
      <c r="GD41" s="1" t="n">
        <f aca="false">MIN(GC41,CT41)</f>
        <v>0</v>
      </c>
      <c r="GE41" s="1" t="n">
        <f aca="false">GC41-GD41</f>
        <v>0</v>
      </c>
      <c r="GF41" s="1" t="n">
        <f aca="false">MIN(GE41,CU41)</f>
        <v>0</v>
      </c>
      <c r="GG41" s="1" t="n">
        <f aca="false">GE41-GF41</f>
        <v>0</v>
      </c>
      <c r="GH41" s="1" t="n">
        <f aca="false">IF(AND(DD41=0,CO41=1,GG41&gt;0),MIN(GG41,CP41),0)</f>
        <v>0</v>
      </c>
      <c r="GI41" s="1" t="n">
        <f aca="false">GG41-GH41</f>
        <v>0</v>
      </c>
      <c r="GJ41" s="1" t="n">
        <f aca="false">IF(AND(DD41=0,CE41=1,GI41&gt;0),MIN(GI41,CF41),0)</f>
        <v>0</v>
      </c>
      <c r="GK41" s="1" t="n">
        <f aca="false">GI41-GJ41</f>
        <v>0</v>
      </c>
      <c r="GL41" s="1" t="n">
        <f aca="false">IF(AND(DD41=0,BU41=1,GK41&gt;0),MIN(GK41,BV41),0)</f>
        <v>0</v>
      </c>
      <c r="GM41" s="1" t="n">
        <f aca="false">GK41-GL41</f>
        <v>0</v>
      </c>
      <c r="GN41" s="1" t="n">
        <f aca="false">IF(AND(DD41=0,BK41=1,GM41&gt;0),MIN(GM41,BL41),0)</f>
        <v>0</v>
      </c>
      <c r="GO41" s="1" t="n">
        <f aca="false">GM41-GN41</f>
        <v>0</v>
      </c>
      <c r="GP41" s="1" t="n">
        <f aca="false">IF(AND(DD41=0,BA41=1,GO41&gt;0),MIN(GO41,BB41),0)</f>
        <v>0</v>
      </c>
      <c r="GQ41" s="1" t="n">
        <f aca="false">GO41-GP41</f>
        <v>0</v>
      </c>
      <c r="GR41" s="1" t="n">
        <f aca="false">IF(AND(DD41=0,AQ41=1,GQ41&gt;0),MIN(GQ41,AR41),0)</f>
        <v>0</v>
      </c>
      <c r="GS41" s="1" t="n">
        <f aca="false">GQ41-GR41</f>
        <v>0</v>
      </c>
      <c r="GT41" s="1" t="n">
        <f aca="false">IF(AND(DD41=0,AG41=1,GS41&gt;0),MIN(GS41,AH41),0)</f>
        <v>0</v>
      </c>
      <c r="GU41" s="1" t="n">
        <f aca="false">GS41-GT41</f>
        <v>0</v>
      </c>
      <c r="GV41" s="1" t="n">
        <f aca="false">IF(AND(DD41=0,V41=1,GU41&gt;0),MIN(GU41,W41),0)</f>
        <v>0</v>
      </c>
      <c r="GW41" s="1" t="n">
        <f aca="false">GU41-GV41</f>
        <v>0</v>
      </c>
      <c r="GX41" s="1" t="n">
        <f aca="false">IF(DD41=0,GW41,0)</f>
        <v>0</v>
      </c>
      <c r="GY41" s="1" t="n">
        <f aca="false">GD41+GF41+GV41+GT41+GR41+GP41+GN41+GL41+GJ41+GH41</f>
        <v>0</v>
      </c>
      <c r="GZ41" s="1" t="n">
        <f aca="false">IF(DD41=1,CT41+GA41+FZ41+IF(F41=1,0,GB41),CT41-GD41)</f>
        <v>0</v>
      </c>
      <c r="HA41" s="1" t="n">
        <f aca="false">CU41-GF41</f>
        <v>0</v>
      </c>
      <c r="HB41" s="1" t="n">
        <f aca="false">IF(DD41=1,IF(F41=1,DM41+DN41,DB41),0)</f>
        <v>0</v>
      </c>
      <c r="HC41" s="1" t="n">
        <f aca="false">IF(DD41=1,IF(F41=1,DB41-DM41-DN41,0),0)</f>
        <v>0</v>
      </c>
      <c r="HD41" s="1" t="n">
        <f aca="false">GZ41*(1+GR)</f>
        <v>0</v>
      </c>
      <c r="HE41" s="1" t="n">
        <f aca="false">HA41*(1+AS_Cash)</f>
        <v>0</v>
      </c>
      <c r="HF41" s="1" t="n">
        <f aca="false">IF(V41=1,IF(DD41=1,DR41+DU41,W41-GV41)*(1+Slot1_Rate),0)</f>
        <v>0</v>
      </c>
      <c r="HG41" s="1" t="n">
        <f aca="false">IF(AND(DD41=1,V41=1),(DQ41+DU41)/E41,0)</f>
        <v>0</v>
      </c>
      <c r="HH41" s="1" t="n">
        <f aca="false">IF(B41=0,DQ41+DU41,0)</f>
        <v>0</v>
      </c>
      <c r="HI41" s="1" t="n">
        <f aca="false">IF(B41=0,IF(DD41=1,DS41,DT41),0)</f>
        <v>0</v>
      </c>
      <c r="HJ41" s="1" t="n">
        <f aca="false">IF(AG41=1,IF(DD41=1,DZ41+EC41,AH41-GT41)*(1+Slot2_Rate),0)</f>
        <v>0</v>
      </c>
      <c r="HK41" s="1" t="n">
        <f aca="false">IF(AND(DD41=1,AG41=1),(DY41+EC41)/E41,0)</f>
        <v>0</v>
      </c>
      <c r="HL41" s="1" t="n">
        <f aca="false">IF(B41=0,DY41+EC41,0)</f>
        <v>0</v>
      </c>
      <c r="HM41" s="1" t="n">
        <f aca="false">IF(B41=0,IF(DD41=1,EA41,EB41),0)</f>
        <v>0</v>
      </c>
      <c r="HN41" s="1" t="n">
        <f aca="false">IF(AQ41=1,IF(DD41=1,EH41+EK41,AR41-GR41)*(1+Slot3_Rate),0)</f>
        <v>0</v>
      </c>
      <c r="HO41" s="1" t="n">
        <f aca="false">IF(AND(DD41=1,AQ41=1),(EG41+EK41)/E41,0)</f>
        <v>0</v>
      </c>
      <c r="HP41" s="1" t="n">
        <f aca="false">IF(B41=0,EG41+EK41,0)</f>
        <v>0</v>
      </c>
      <c r="HQ41" s="1" t="n">
        <f aca="false">IF(B41=0,IF(DD41=1,EI41,EJ41),0)</f>
        <v>0</v>
      </c>
      <c r="HR41" s="1" t="n">
        <f aca="false">IF(BA41=1,IF(DD41=1,EP41+ES41,BB41-GP41)*(1+Slot4_Rate),0)</f>
        <v>0</v>
      </c>
      <c r="HS41" s="1" t="n">
        <f aca="false">IF(AND(DD41=1,BA41=1),(EO41+ES41)/E41,0)</f>
        <v>0</v>
      </c>
      <c r="HT41" s="1" t="n">
        <f aca="false">IF(B41=0,EO41+ES41,0)</f>
        <v>0</v>
      </c>
      <c r="HU41" s="1" t="n">
        <f aca="false">IF(B41=0,IF(DD41=1,EQ41,ER41),0)</f>
        <v>0</v>
      </c>
      <c r="HV41" s="1" t="n">
        <f aca="false">IF(BK41=1,IF(DD41=1,EX41+FA41,BL41-GN41)*(1+Slot5_Rate),0)</f>
        <v>0</v>
      </c>
      <c r="HW41" s="1" t="n">
        <f aca="false">IF(AND(DD41=1,BK41=1),(EW41+FA41)/E41,0)</f>
        <v>0</v>
      </c>
      <c r="HX41" s="1" t="n">
        <f aca="false">IF(B41=0,EW41+FA41,0)</f>
        <v>0</v>
      </c>
      <c r="HY41" s="1" t="n">
        <f aca="false">IF(B41=0,IF(DD41=1,EY41,EZ41),0)</f>
        <v>0</v>
      </c>
      <c r="HZ41" s="1" t="n">
        <f aca="false">IF(BU41=1,IF(DD41=1,FF41+FI41,BV41-GL41)*(1+Slot6_Rate),0)</f>
        <v>0</v>
      </c>
      <c r="IA41" s="1" t="n">
        <f aca="false">IF(AND(DD41=1,BU41=1),(FE41+FI41)/E41,0)</f>
        <v>0</v>
      </c>
      <c r="IB41" s="1" t="n">
        <f aca="false">IF(B41=0,FE41+FI41,0)</f>
        <v>0</v>
      </c>
      <c r="IC41" s="1" t="n">
        <f aca="false">IF(B41=0,IF(DD41=1,FG41,FH41),0)</f>
        <v>0</v>
      </c>
      <c r="ID41" s="1" t="n">
        <f aca="false">IF(CE41=1,IF(DD41=1,FN41+FQ41,CF41-GJ41)*(1+Slot7_Rate),0)</f>
        <v>0</v>
      </c>
      <c r="IE41" s="1" t="n">
        <f aca="false">IF(AND(DD41=1,CE41=1),(FM41+FQ41)/E41,0)</f>
        <v>0</v>
      </c>
      <c r="IF41" s="1" t="n">
        <f aca="false">IF(B41=0,FM41+FQ41,0)</f>
        <v>0</v>
      </c>
      <c r="IG41" s="1" t="n">
        <f aca="false">IF(B41=0,IF(DD41=1,FO41,FP41),0)</f>
        <v>0</v>
      </c>
      <c r="IH41" s="1" t="n">
        <f aca="false">IF(CO41=1,IF(DD41=1,FV41+FY41,CP41-GH41)*(1+Slot8_Rate),0)</f>
        <v>0</v>
      </c>
      <c r="II41" s="1" t="n">
        <f aca="false">IF(AND(DD41=1,CO41=1),(FU41+FY41)/E41,0)</f>
        <v>0</v>
      </c>
      <c r="IJ41" s="1" t="n">
        <f aca="false">IF(B41=0,FU41+FY41,0)</f>
        <v>0</v>
      </c>
      <c r="IK41" s="1" t="n">
        <f aca="false">IF(B41=0,IF(DD41=1,FW41,FX41),0)</f>
        <v>0</v>
      </c>
      <c r="IL41" s="1" t="n">
        <f aca="false">HD41+HE41+HF41+HJ41+HN41+HR41+HV41+HZ41+ID41+IH41</f>
        <v>0</v>
      </c>
      <c r="IM41" s="1" t="n">
        <f aca="false">GX41+CY41</f>
        <v>0</v>
      </c>
      <c r="IN41" s="1" t="n">
        <f aca="false">H41+R41</f>
        <v>0</v>
      </c>
      <c r="IO41" s="1" t="n">
        <f aca="false">1-F41</f>
        <v>1</v>
      </c>
      <c r="IP41" s="1" t="n">
        <f aca="false">IF(AND(RG_Exists=1,F41=0,C41=1),H41,0)</f>
        <v>0</v>
      </c>
      <c r="IQ41" s="1" t="n">
        <f aca="false">IF(AND(RG_Exists=1,F41=0,C41=1),H41-MIN(GX41,H41),0)</f>
        <v>0</v>
      </c>
      <c r="IR41" s="1" t="n">
        <f aca="false">'Plan pay &amp; tax'!AD243</f>
        <v>0</v>
      </c>
      <c r="IS41" s="1" t="n">
        <f aca="false">IF(AND(C41=1,GX41&gt;MAX(PR_Short1,IN41*PR_Short2)),1,0)</f>
        <v>0</v>
      </c>
      <c r="IT41" s="1" t="n">
        <f aca="false">MIN(G41,H41+R41)</f>
        <v>0</v>
      </c>
      <c r="IU41" s="1" t="n">
        <f aca="false">GY41+MAX(0,CZ41-CY41)</f>
        <v>0</v>
      </c>
      <c r="IV41" s="1" t="n">
        <f aca="false">GX41+CY41</f>
        <v>0</v>
      </c>
      <c r="IW41" s="1" t="n">
        <f aca="false">IF(AND(C41=1,IV41&gt;0.5),1,0)</f>
        <v>0</v>
      </c>
      <c r="IX41" s="1" t="n">
        <f aca="false">IF(AND(C41=1,IW41=0,IU41&gt;0.5),1,0)</f>
        <v>0</v>
      </c>
      <c r="IY41" s="1" t="n">
        <f aca="false">IF(AND(C41=1,GX41&gt;0.5),1,0)</f>
        <v>0</v>
      </c>
      <c r="IZ41" s="1" t="n">
        <f aca="false">IF(AND(C41=1,GY41&gt;1,JF41=0),1,0)</f>
        <v>0</v>
      </c>
      <c r="JA41" s="1" t="n">
        <f aca="false">IF(AND(INT(D41/10)*10=90,B41&gt;0),80,INT(D41/10)*10)</f>
        <v>30</v>
      </c>
      <c r="JB41" s="1" t="n">
        <f aca="false">IF(B41=0,1,IF(JA41&lt;&gt;JA40,JB40+1,JB40))</f>
        <v>4</v>
      </c>
      <c r="JC41" s="1" t="n">
        <f aca="false">IF(AND(C41=1,F41=1,GX41&gt;MAX(PR_Short1,IN41*PR_Short2)),1,0)</f>
        <v>0</v>
      </c>
      <c r="JD41" s="1" t="n">
        <f aca="false">IO41*IS41</f>
        <v>0</v>
      </c>
      <c r="JE41" s="1" t="n">
        <f aca="false">IF(AND(U41=1,Slot1_PctLow=1),1,0)+IF(AND(AF41=1,Slot2_PctLow=1),1,0)+IF(AND(AP41=1,Slot3_PctLow=1),1,0)+IF(AND(AZ41=1,Slot4_PctLow=1),1,0)+IF(AND(BJ41=1,Slot5_PctLow=1),1,0)+IF(AND(BT41=1,Slot6_PctLow=1),1,0)+IF(AND(CD41=1,Slot7_PctLow=1),1,0)+IF(AND(CN41=1,Slot8_PctLow=1),1,0)</f>
        <v>0</v>
      </c>
      <c r="JF41" s="1" t="n">
        <f aca="false">IF(C41=1,IF(OR(IS41=1,JE41&gt;0),1,0),0)</f>
        <v>0</v>
      </c>
    </row>
    <row r="42" customFormat="false" ht="15" hidden="false" customHeight="false" outlineLevel="0" collapsed="false">
      <c r="B42" s="1" t="n">
        <v>34</v>
      </c>
      <c r="C42" s="1" t="n">
        <f aca="false">IF(B42&lt;=F_N,1,0)</f>
        <v>1</v>
      </c>
      <c r="D42" s="1" t="n">
        <f aca="false">'Plan pay &amp; tax'!C244</f>
        <v>34</v>
      </c>
      <c r="E42" s="106" t="n">
        <f aca="false">'Plan pay &amp; tax'!E244</f>
        <v>1.96067603202202</v>
      </c>
      <c r="F42" s="1" t="n">
        <f aca="false">'Plan pay &amp; tax'!G244</f>
        <v>0</v>
      </c>
      <c r="G42" s="1" t="n">
        <f aca="false">'Plan pay &amp; tax'!BT244-'Plan pay &amp; tax'!BS244-'Plan pay &amp; tax'!R244</f>
        <v>0</v>
      </c>
      <c r="H42" s="1" t="n">
        <f aca="false">IF(F42=1,F_CostsM*12,IF(RG_Exists=1,RG_Amount,F_CostsM*12*AS_RetireSpend))*E42+F_OneOffY*E42</f>
        <v>0</v>
      </c>
      <c r="I42" s="1" t="n">
        <f aca="false">DA41</f>
        <v>0</v>
      </c>
      <c r="J42" s="1" t="n">
        <f aca="false">IF(I42&gt;1,'Plan debt months'!AC42,0)</f>
        <v>0</v>
      </c>
      <c r="K42" s="1" t="n">
        <f aca="false">IF(I42&gt;1,'Plan debt months'!AB42,I42)</f>
        <v>0</v>
      </c>
      <c r="L42" s="1" t="n">
        <f aca="false">N41</f>
        <v>0</v>
      </c>
      <c r="M42" s="1" t="n">
        <f aca="false">IF(L42&gt;1,'Plan debt months'!BD42,0)</f>
        <v>0</v>
      </c>
      <c r="N42" s="1" t="n">
        <f aca="false">IF(L42&gt;1,'Plan debt months'!BC42,L42)</f>
        <v>0</v>
      </c>
      <c r="O42" s="1" t="n">
        <f aca="false">Q41</f>
        <v>0</v>
      </c>
      <c r="P42" s="1" t="n">
        <f aca="false">IF(O42&gt;1,'Plan debt months'!CE42,0)</f>
        <v>0</v>
      </c>
      <c r="Q42" s="1" t="n">
        <f aca="false">IF(O42&gt;1,'Plan debt months'!CD42,O42)</f>
        <v>0</v>
      </c>
      <c r="R42" s="1" t="n">
        <f aca="false">J42+M42+P42</f>
        <v>0</v>
      </c>
      <c r="S42" s="1" t="n">
        <f aca="false">HD41+'Plan pay &amp; tax'!Y244</f>
        <v>0</v>
      </c>
      <c r="T42" s="1" t="n">
        <f aca="false">HD41</f>
        <v>0</v>
      </c>
      <c r="U42" s="1" t="n">
        <f aca="false">IF(AND(Slot1_On=1,D42=Slot1_Age),1,0)</f>
        <v>0</v>
      </c>
      <c r="V42" s="1" t="n">
        <f aca="false">IF(AND(Slot1_On=1,Slot1_Age&gt;D42),1,0)</f>
        <v>0</v>
      </c>
      <c r="W42" s="1" t="n">
        <f aca="false">HF41</f>
        <v>0</v>
      </c>
      <c r="X42" s="1" t="n">
        <f aca="false">U42*MIN(Slot1_Cost,W42)</f>
        <v>0</v>
      </c>
      <c r="Y42" s="1" t="n">
        <f aca="false">U42*Slot1_SpendLike*MIN(Slot1_Cost-X42,S42)</f>
        <v>0</v>
      </c>
      <c r="Z42" s="1" t="n">
        <f aca="false">X42+Y42</f>
        <v>0</v>
      </c>
      <c r="AA42" s="1" t="n">
        <f aca="false">S42-Y42+U42*IF(Slot1_SpendLike=1,W42-X42,IF(Slot1_PotFree=1,W42,0))</f>
        <v>0</v>
      </c>
      <c r="AB42" s="1" t="n">
        <f aca="false">AE42+U42*Slot1_BufPot*W42</f>
        <v>0</v>
      </c>
      <c r="AC42" s="1" t="n">
        <f aca="false">IF(AND(U42=1,Slot1_IsMfree=1),IF(Z42&gt;=Slot1_Cost-1,0,MAX(0,K42-Z42)),K42)</f>
        <v>0</v>
      </c>
      <c r="AD42" s="1" t="n">
        <f aca="false">U42*(Slot1_Cost-Z42)</f>
        <v>0</v>
      </c>
      <c r="AE42" s="1" t="n">
        <f aca="false">HE41</f>
        <v>0</v>
      </c>
      <c r="AF42" s="1" t="n">
        <f aca="false">IF(AND(Slot2_On=1,D42=Slot2_Age),1,0)</f>
        <v>0</v>
      </c>
      <c r="AG42" s="1" t="n">
        <f aca="false">IF(AND(Slot2_On=1,Slot2_Age&gt;D42),1,0)</f>
        <v>0</v>
      </c>
      <c r="AH42" s="1" t="n">
        <f aca="false">HJ41</f>
        <v>0</v>
      </c>
      <c r="AI42" s="1" t="n">
        <f aca="false">AF42*MIN(Slot2_Cost,AH42)</f>
        <v>0</v>
      </c>
      <c r="AJ42" s="1" t="n">
        <f aca="false">AF42*Slot2_SpendLike*MIN(Slot2_Cost-AI42,AA42)</f>
        <v>0</v>
      </c>
      <c r="AK42" s="1" t="n">
        <f aca="false">AI42+AJ42</f>
        <v>0</v>
      </c>
      <c r="AL42" s="1" t="n">
        <f aca="false">AA42-AJ42+AF42*IF(Slot2_SpendLike=1,AH42-AI42,IF(Slot2_PotFree=1,AH42,0))</f>
        <v>0</v>
      </c>
      <c r="AM42" s="1" t="n">
        <f aca="false">AB42+AF42*Slot2_BufPot*AH42</f>
        <v>0</v>
      </c>
      <c r="AN42" s="1" t="n">
        <f aca="false">IF(AND(AF42=1,Slot2_IsMfree=1),IF(AK42&gt;=Slot2_Cost-1,0,MAX(0,AC42-AK42)),AC42)</f>
        <v>0</v>
      </c>
      <c r="AO42" s="1" t="n">
        <f aca="false">AF42*(Slot2_Cost-AK42)</f>
        <v>0</v>
      </c>
      <c r="AP42" s="1" t="n">
        <f aca="false">IF(AND(Slot3_On=1,D42=Slot3_Age),1,0)</f>
        <v>0</v>
      </c>
      <c r="AQ42" s="1" t="n">
        <f aca="false">IF(AND(Slot3_On=1,Slot3_Age&gt;D42),1,0)</f>
        <v>0</v>
      </c>
      <c r="AR42" s="1" t="n">
        <f aca="false">HN41</f>
        <v>0</v>
      </c>
      <c r="AS42" s="1" t="n">
        <f aca="false">AP42*MIN(Slot3_Cost,AR42)</f>
        <v>0</v>
      </c>
      <c r="AT42" s="1" t="n">
        <f aca="false">AP42*Slot3_SpendLike*MIN(Slot3_Cost-AS42,AL42)</f>
        <v>0</v>
      </c>
      <c r="AU42" s="1" t="n">
        <f aca="false">AS42+AT42</f>
        <v>0</v>
      </c>
      <c r="AV42" s="1" t="n">
        <f aca="false">AL42-AT42+AP42*IF(Slot3_SpendLike=1,AR42-AS42,IF(Slot3_PotFree=1,AR42,0))</f>
        <v>0</v>
      </c>
      <c r="AW42" s="1" t="n">
        <f aca="false">AM42+AP42*Slot3_BufPot*AR42</f>
        <v>0</v>
      </c>
      <c r="AX42" s="1" t="n">
        <f aca="false">IF(AND(AP42=1,Slot3_IsMfree=1),IF(AU42&gt;=Slot3_Cost-1,0,MAX(0,AN42-AU42)),AN42)</f>
        <v>0</v>
      </c>
      <c r="AY42" s="1" t="n">
        <f aca="false">AP42*(Slot3_Cost-AU42)</f>
        <v>0</v>
      </c>
      <c r="AZ42" s="1" t="n">
        <f aca="false">IF(AND(Slot4_On=1,D42=Slot4_Age),1,0)</f>
        <v>0</v>
      </c>
      <c r="BA42" s="1" t="n">
        <f aca="false">IF(AND(Slot4_On=1,Slot4_Age&gt;D42),1,0)</f>
        <v>0</v>
      </c>
      <c r="BB42" s="1" t="n">
        <f aca="false">HR41</f>
        <v>0</v>
      </c>
      <c r="BC42" s="1" t="n">
        <f aca="false">AZ42*MIN(Slot4_Cost,BB42)</f>
        <v>0</v>
      </c>
      <c r="BD42" s="1" t="n">
        <f aca="false">AZ42*Slot4_SpendLike*MIN(Slot4_Cost-BC42,AV42)</f>
        <v>0</v>
      </c>
      <c r="BE42" s="1" t="n">
        <f aca="false">BC42+BD42</f>
        <v>0</v>
      </c>
      <c r="BF42" s="1" t="n">
        <f aca="false">AV42-BD42+AZ42*IF(Slot4_SpendLike=1,BB42-BC42,IF(Slot4_PotFree=1,BB42,0))</f>
        <v>0</v>
      </c>
      <c r="BG42" s="1" t="n">
        <f aca="false">AW42+AZ42*Slot4_BufPot*BB42</f>
        <v>0</v>
      </c>
      <c r="BH42" s="1" t="n">
        <f aca="false">IF(AND(AZ42=1,Slot4_IsMfree=1),IF(BE42&gt;=Slot4_Cost-1,0,MAX(0,AX42-BE42)),AX42)</f>
        <v>0</v>
      </c>
      <c r="BI42" s="1" t="n">
        <f aca="false">AZ42*(Slot4_Cost-BE42)</f>
        <v>0</v>
      </c>
      <c r="BJ42" s="1" t="n">
        <f aca="false">IF(AND(Slot5_On=1,D42=Slot5_Age),1,0)</f>
        <v>0</v>
      </c>
      <c r="BK42" s="1" t="n">
        <f aca="false">IF(AND(Slot5_On=1,Slot5_Age&gt;D42),1,0)</f>
        <v>0</v>
      </c>
      <c r="BL42" s="1" t="n">
        <f aca="false">HV41</f>
        <v>0</v>
      </c>
      <c r="BM42" s="1" t="n">
        <f aca="false">BJ42*MIN(Slot5_Cost,BL42)</f>
        <v>0</v>
      </c>
      <c r="BN42" s="1" t="n">
        <f aca="false">BJ42*Slot5_SpendLike*MIN(Slot5_Cost-BM42,BF42)</f>
        <v>0</v>
      </c>
      <c r="BO42" s="1" t="n">
        <f aca="false">BM42+BN42</f>
        <v>0</v>
      </c>
      <c r="BP42" s="1" t="n">
        <f aca="false">BF42-BN42+BJ42*IF(Slot5_SpendLike=1,BL42-BM42,IF(Slot5_PotFree=1,BL42,0))</f>
        <v>0</v>
      </c>
      <c r="BQ42" s="1" t="n">
        <f aca="false">BG42+BJ42*Slot5_BufPot*BL42</f>
        <v>0</v>
      </c>
      <c r="BR42" s="1" t="n">
        <f aca="false">IF(AND(BJ42=1,Slot5_IsMfree=1),IF(BO42&gt;=Slot5_Cost-1,0,MAX(0,BH42-BO42)),BH42)</f>
        <v>0</v>
      </c>
      <c r="BS42" s="1" t="n">
        <f aca="false">BJ42*(Slot5_Cost-BO42)</f>
        <v>0</v>
      </c>
      <c r="BT42" s="1" t="n">
        <f aca="false">IF(AND(Slot6_On=1,D42=Slot6_Age),1,0)</f>
        <v>0</v>
      </c>
      <c r="BU42" s="1" t="n">
        <f aca="false">IF(AND(Slot6_On=1,Slot6_Age&gt;D42),1,0)</f>
        <v>0</v>
      </c>
      <c r="BV42" s="1" t="n">
        <f aca="false">HZ41</f>
        <v>0</v>
      </c>
      <c r="BW42" s="1" t="n">
        <f aca="false">BT42*MIN(Slot6_Cost,BV42)</f>
        <v>0</v>
      </c>
      <c r="BX42" s="1" t="n">
        <f aca="false">BT42*Slot6_SpendLike*MIN(Slot6_Cost-BW42,BP42)</f>
        <v>0</v>
      </c>
      <c r="BY42" s="1" t="n">
        <f aca="false">BW42+BX42</f>
        <v>0</v>
      </c>
      <c r="BZ42" s="1" t="n">
        <f aca="false">BP42-BX42+BT42*IF(Slot6_SpendLike=1,BV42-BW42,IF(Slot6_PotFree=1,BV42,0))</f>
        <v>0</v>
      </c>
      <c r="CA42" s="1" t="n">
        <f aca="false">BQ42+BT42*Slot6_BufPot*BV42</f>
        <v>0</v>
      </c>
      <c r="CB42" s="1" t="n">
        <f aca="false">IF(AND(BT42=1,Slot6_IsMfree=1),IF(BY42&gt;=Slot6_Cost-1,0,MAX(0,BR42-BY42)),BR42)</f>
        <v>0</v>
      </c>
      <c r="CC42" s="1" t="n">
        <f aca="false">BT42*(Slot6_Cost-BY42)</f>
        <v>0</v>
      </c>
      <c r="CD42" s="1" t="n">
        <f aca="false">IF(AND(Slot7_On=1,D42=Slot7_Age),1,0)</f>
        <v>0</v>
      </c>
      <c r="CE42" s="1" t="n">
        <f aca="false">IF(AND(Slot7_On=1,Slot7_Age&gt;D42),1,0)</f>
        <v>0</v>
      </c>
      <c r="CF42" s="1" t="n">
        <f aca="false">ID41</f>
        <v>0</v>
      </c>
      <c r="CG42" s="1" t="n">
        <f aca="false">CD42*MIN(Slot7_Cost,CF42)</f>
        <v>0</v>
      </c>
      <c r="CH42" s="1" t="n">
        <f aca="false">CD42*Slot7_SpendLike*MIN(Slot7_Cost-CG42,BZ42)</f>
        <v>0</v>
      </c>
      <c r="CI42" s="1" t="n">
        <f aca="false">CG42+CH42</f>
        <v>0</v>
      </c>
      <c r="CJ42" s="1" t="n">
        <f aca="false">BZ42-CH42+CD42*IF(Slot7_SpendLike=1,CF42-CG42,IF(Slot7_PotFree=1,CF42,0))</f>
        <v>0</v>
      </c>
      <c r="CK42" s="1" t="n">
        <f aca="false">CA42+CD42*Slot7_BufPot*CF42</f>
        <v>0</v>
      </c>
      <c r="CL42" s="1" t="n">
        <f aca="false">IF(AND(CD42=1,Slot7_IsMfree=1),IF(CI42&gt;=Slot7_Cost-1,0,MAX(0,CB42-CI42)),CB42)</f>
        <v>0</v>
      </c>
      <c r="CM42" s="1" t="n">
        <f aca="false">CD42*(Slot7_Cost-CI42)</f>
        <v>0</v>
      </c>
      <c r="CN42" s="1" t="n">
        <f aca="false">IF(AND(Slot8_On=1,D42=Slot8_Age),1,0)</f>
        <v>0</v>
      </c>
      <c r="CO42" s="1" t="n">
        <f aca="false">IF(AND(Slot8_On=1,Slot8_Age&gt;D42),1,0)</f>
        <v>0</v>
      </c>
      <c r="CP42" s="1" t="n">
        <f aca="false">IH41</f>
        <v>0</v>
      </c>
      <c r="CQ42" s="1" t="n">
        <f aca="false">CN42*MIN(Slot8_Cost,CP42)</f>
        <v>0</v>
      </c>
      <c r="CR42" s="1" t="n">
        <f aca="false">CN42*Slot8_SpendLike*MIN(Slot8_Cost-CQ42,CJ42)</f>
        <v>0</v>
      </c>
      <c r="CS42" s="1" t="n">
        <f aca="false">CQ42+CR42</f>
        <v>0</v>
      </c>
      <c r="CT42" s="1" t="n">
        <f aca="false">CJ42-CR42+CN42*IF(Slot8_SpendLike=1,CP42-CQ42,IF(Slot8_PotFree=1,CP42,0))</f>
        <v>0</v>
      </c>
      <c r="CU42" s="1" t="n">
        <f aca="false">CK42+CN42*Slot8_BufPot*CP42</f>
        <v>0</v>
      </c>
      <c r="CV42" s="1" t="n">
        <f aca="false">IF(AND(CN42=1,Slot8_IsMfree=1),IF(CS42&gt;=Slot8_Cost-1,0,MAX(0,CL42-CS42)),CL42)</f>
        <v>0</v>
      </c>
      <c r="CW42" s="1" t="n">
        <f aca="false">CN42*(Slot8_Cost-CS42)</f>
        <v>0</v>
      </c>
      <c r="CX42" s="1" t="n">
        <f aca="false">U42*Slot1_SpendLike*Z42+AF42*Slot2_SpendLike*AK42+AP42*Slot3_SpendLike*AU42+AZ42*Slot4_SpendLike*BE42+BJ42*Slot5_SpendLike*BO42+BT42*Slot6_SpendLike*BY42+CD42*Slot7_SpendLike*CI42+CN42*Slot8_SpendLike*CS42</f>
        <v>0</v>
      </c>
      <c r="CY42" s="1" t="n">
        <f aca="false">AD42+AO42+AY42+BI42+BS42+CC42+CM42+CW42</f>
        <v>0</v>
      </c>
      <c r="CZ42" s="1" t="n">
        <f aca="false">U42*Slot1_Cost+AF42*Slot2_Cost+AP42*Slot3_Cost+AZ42*Slot4_Cost+BJ42*Slot5_Cost+BT42*Slot6_Cost+CD42*Slot7_Cost+CN42*Slot8_Cost</f>
        <v>0</v>
      </c>
      <c r="DA42" s="1" t="n">
        <f aca="false">CV42</f>
        <v>0</v>
      </c>
      <c r="DB42" s="1" t="n">
        <f aca="false">G42-H42-R42</f>
        <v>0</v>
      </c>
      <c r="DC42" s="1" t="n">
        <f aca="false">IF(B42=0,IF(AND(Has_q6=1,In_q6=4),PR_ShareVaries*(MAX(0,DB42)/12),MIN(IF(Has_q6=1,CHOOSE(In_q6+1,PR_SaveB1,PR_SaveB2,PR_SaveB3,PR_SaveB4,0),AS_NoAnswer),AS_SaveShare*(MAX(0,DB42)/12))),DC41)</f>
        <v>0</v>
      </c>
      <c r="DD42" s="1" t="n">
        <f aca="false">IF(DB42&gt;=0,1,0)</f>
        <v>1</v>
      </c>
      <c r="DE42" s="1" t="n">
        <f aca="false">MAX(0,DB42/12/E42)</f>
        <v>0</v>
      </c>
      <c r="DF42" s="1" t="n">
        <f aca="false">IF(AND(Has_q6=1,In_q6=4),PR_ShareVaries*(DE42),MIN(IF(Has_q6=1,CHOOSE(In_q6+1,PR_SaveB1,PR_SaveB2,PR_SaveB3,PR_SaveB4,0),AS_NoAnswer),AS_SaveShare*(DE42)))</f>
        <v>0</v>
      </c>
      <c r="DG42" s="1" t="n">
        <f aca="false">IF(Has_saveM=1,IF(In_saveUp="Yes",1,IF(In_saveUp="No",0,IF(In_saveM&gt;=DC42-0.5,1,0))),0)</f>
        <v>0</v>
      </c>
      <c r="DH42" s="1" t="n">
        <f aca="false">IF(Has_saveM=1,MIN(DE42,IF(DG42=1,MAX(In_saveM,DF42),MIN(In_saveM,DF42))),DF42)</f>
        <v>0</v>
      </c>
      <c r="DI42" s="1" t="n">
        <f aca="false">IF(F42=1,DH42*12*E42,0)</f>
        <v>0</v>
      </c>
      <c r="DJ42" s="1" t="n">
        <f aca="false">MAX(0,DI42+IF(AND(WI_Retire=0,WI_M&lt;0,F42=1),WI_M*12*E42,0))</f>
        <v>0</v>
      </c>
      <c r="DK42" s="1" t="n">
        <f aca="false">Slot1_IsWG*V42+Slot2_IsWG*AG42+Slot3_IsWG*AQ42+Slot4_IsWG*BA42+Slot5_IsWG*BK42+Slot6_IsWG*BU42+Slot7_IsWG*CE42+Slot8_IsWG*CO42</f>
        <v>0</v>
      </c>
      <c r="DL42" s="1" t="n">
        <f aca="false">IF(AND(WI_Retire=0,WI_M&gt;0,F42=1,DK42&gt;=1),WI_M*12*E42,0)</f>
        <v>0</v>
      </c>
      <c r="DM42" s="1" t="n">
        <f aca="false">IF(DD42=1,MIN(DJ42,DB42),0)</f>
        <v>0</v>
      </c>
      <c r="DN42" s="1" t="n">
        <f aca="false">IF(DD42=1,MIN(DL42,DB42-DM42),0)</f>
        <v>0</v>
      </c>
      <c r="DO42" s="1" t="n">
        <f aca="false">IF(V42=1,IF(ABS((1+AS_Wage)/(1+Slot1_Rate)-1)&lt;0.000000000001,(Slot1_Age-D42)*(1+Slot1_Rate)^(Slot1_Age-D42),(1+Slot1_Rate)^(Slot1_Age-D42)*(1-((1+AS_Wage)/(1+Slot1_Rate))^(Slot1_Age-D42))/(1-(1+AS_Wage)/(1+Slot1_Rate))),1)</f>
        <v>1</v>
      </c>
      <c r="DP42" s="1" t="n">
        <f aca="false">IF(AND(DD42=1,DN42&gt;0,Slot1_IsWG=1,V42=1),MAX(0,(Slot1_Cost-W42*(1+Slot1_Rate)^(Slot1_Age-D42))/DO42),0)</f>
        <v>0</v>
      </c>
      <c r="DQ42" s="1" t="n">
        <f aca="false">IF(AND(DD42=1,DN42&gt;0,Slot1_IsWG=1,V42=1),MIN(DN42,DP42),0)</f>
        <v>0</v>
      </c>
      <c r="DR42" s="1" t="n">
        <f aca="false">W42+DQ42</f>
        <v>0</v>
      </c>
      <c r="DS42" s="1" t="n">
        <f aca="false">IF(V42=1,MAX(0,(Slot1_Cost-DR42*(1+Slot1_Rate)^(Slot1_Age-D42))/DO42),0)</f>
        <v>0</v>
      </c>
      <c r="DT42" s="1" t="n">
        <f aca="false">IF(V42=1,MAX(0,(Slot1_Cost-W42*(1+Slot1_Rate)^(Slot1_Age-D42))/DO42),0)</f>
        <v>0</v>
      </c>
      <c r="DU42" s="1" t="n">
        <f aca="false">IF(AND(DD42=1,V42=1),MIN(DM42,DS42),0)</f>
        <v>0</v>
      </c>
      <c r="DV42" s="1" t="n">
        <f aca="false">DM42-DU42</f>
        <v>0</v>
      </c>
      <c r="DW42" s="1" t="n">
        <f aca="false">IF(AG42=1,IF(ABS((1+AS_Wage)/(1+Slot2_Rate)-1)&lt;0.000000000001,(Slot2_Age-D42)*(1+Slot2_Rate)^(Slot2_Age-D42),(1+Slot2_Rate)^(Slot2_Age-D42)*(1-((1+AS_Wage)/(1+Slot2_Rate))^(Slot2_Age-D42))/(1-(1+AS_Wage)/(1+Slot2_Rate))),1)</f>
        <v>1</v>
      </c>
      <c r="DX42" s="1" t="n">
        <f aca="false">IF(AND(DD42=1,DN42&gt;0,Slot2_IsWG=1,AG42=1),MAX(0,(Slot2_Cost-AH42*(1+Slot2_Rate)^(Slot2_Age-D42))/DW42),0)</f>
        <v>0</v>
      </c>
      <c r="DY42" s="1" t="n">
        <f aca="false">IF(AND(DD42=1,DN42&gt;0,Slot2_IsWG=1,AG42=1),MIN(DN42,DX42),0)</f>
        <v>0</v>
      </c>
      <c r="DZ42" s="1" t="n">
        <f aca="false">AH42+DY42</f>
        <v>0</v>
      </c>
      <c r="EA42" s="1" t="n">
        <f aca="false">IF(AG42=1,MAX(0,(Slot2_Cost-DZ42*(1+Slot2_Rate)^(Slot2_Age-D42))/DW42),0)</f>
        <v>0</v>
      </c>
      <c r="EB42" s="1" t="n">
        <f aca="false">IF(AG42=1,MAX(0,(Slot2_Cost-AH42*(1+Slot2_Rate)^(Slot2_Age-D42))/DW42),0)</f>
        <v>0</v>
      </c>
      <c r="EC42" s="1" t="n">
        <f aca="false">IF(AND(DD42=1,AG42=1),MIN(DV42,EA42),0)</f>
        <v>0</v>
      </c>
      <c r="ED42" s="1" t="n">
        <f aca="false">DV42-EC42</f>
        <v>0</v>
      </c>
      <c r="EE42" s="1" t="n">
        <f aca="false">IF(AQ42=1,IF(ABS((1+AS_Wage)/(1+Slot3_Rate)-1)&lt;0.000000000001,(Slot3_Age-D42)*(1+Slot3_Rate)^(Slot3_Age-D42),(1+Slot3_Rate)^(Slot3_Age-D42)*(1-((1+AS_Wage)/(1+Slot3_Rate))^(Slot3_Age-D42))/(1-(1+AS_Wage)/(1+Slot3_Rate))),1)</f>
        <v>1</v>
      </c>
      <c r="EF42" s="1" t="n">
        <f aca="false">IF(AND(DD42=1,DN42&gt;0,Slot3_IsWG=1,AQ42=1),MAX(0,(Slot3_Cost-AR42*(1+Slot3_Rate)^(Slot3_Age-D42))/EE42),0)</f>
        <v>0</v>
      </c>
      <c r="EG42" s="1" t="n">
        <f aca="false">IF(AND(DD42=1,DN42&gt;0,Slot3_IsWG=1,AQ42=1),MIN(DN42,EF42),0)</f>
        <v>0</v>
      </c>
      <c r="EH42" s="1" t="n">
        <f aca="false">AR42+EG42</f>
        <v>0</v>
      </c>
      <c r="EI42" s="1" t="n">
        <f aca="false">IF(AQ42=1,MAX(0,(Slot3_Cost-EH42*(1+Slot3_Rate)^(Slot3_Age-D42))/EE42),0)</f>
        <v>0</v>
      </c>
      <c r="EJ42" s="1" t="n">
        <f aca="false">IF(AQ42=1,MAX(0,(Slot3_Cost-AR42*(1+Slot3_Rate)^(Slot3_Age-D42))/EE42),0)</f>
        <v>0</v>
      </c>
      <c r="EK42" s="1" t="n">
        <f aca="false">IF(AND(DD42=1,AQ42=1),MIN(ED42,EI42),0)</f>
        <v>0</v>
      </c>
      <c r="EL42" s="1" t="n">
        <f aca="false">ED42-EK42</f>
        <v>0</v>
      </c>
      <c r="EM42" s="1" t="n">
        <f aca="false">IF(BA42=1,IF(ABS((1+AS_Wage)/(1+Slot4_Rate)-1)&lt;0.000000000001,(Slot4_Age-D42)*(1+Slot4_Rate)^(Slot4_Age-D42),(1+Slot4_Rate)^(Slot4_Age-D42)*(1-((1+AS_Wage)/(1+Slot4_Rate))^(Slot4_Age-D42))/(1-(1+AS_Wage)/(1+Slot4_Rate))),1)</f>
        <v>1</v>
      </c>
      <c r="EN42" s="1" t="n">
        <f aca="false">IF(AND(DD42=1,DN42&gt;0,Slot4_IsWG=1,BA42=1),MAX(0,(Slot4_Cost-BB42*(1+Slot4_Rate)^(Slot4_Age-D42))/EM42),0)</f>
        <v>0</v>
      </c>
      <c r="EO42" s="1" t="n">
        <f aca="false">IF(AND(DD42=1,DN42&gt;0,Slot4_IsWG=1,BA42=1),MIN(DN42,EN42),0)</f>
        <v>0</v>
      </c>
      <c r="EP42" s="1" t="n">
        <f aca="false">BB42+EO42</f>
        <v>0</v>
      </c>
      <c r="EQ42" s="1" t="n">
        <f aca="false">IF(BA42=1,MAX(0,(Slot4_Cost-EP42*(1+Slot4_Rate)^(Slot4_Age-D42))/EM42),0)</f>
        <v>0</v>
      </c>
      <c r="ER42" s="1" t="n">
        <f aca="false">IF(BA42=1,MAX(0,(Slot4_Cost-BB42*(1+Slot4_Rate)^(Slot4_Age-D42))/EM42),0)</f>
        <v>0</v>
      </c>
      <c r="ES42" s="1" t="n">
        <f aca="false">IF(AND(DD42=1,BA42=1),MIN(EL42,EQ42),0)</f>
        <v>0</v>
      </c>
      <c r="ET42" s="1" t="n">
        <f aca="false">EL42-ES42</f>
        <v>0</v>
      </c>
      <c r="EU42" s="1" t="n">
        <f aca="false">IF(BK42=1,IF(ABS((1+AS_Wage)/(1+Slot5_Rate)-1)&lt;0.000000000001,(Slot5_Age-D42)*(1+Slot5_Rate)^(Slot5_Age-D42),(1+Slot5_Rate)^(Slot5_Age-D42)*(1-((1+AS_Wage)/(1+Slot5_Rate))^(Slot5_Age-D42))/(1-(1+AS_Wage)/(1+Slot5_Rate))),1)</f>
        <v>1</v>
      </c>
      <c r="EV42" s="1" t="n">
        <f aca="false">IF(AND(DD42=1,DN42&gt;0,Slot5_IsWG=1,BK42=1),MAX(0,(Slot5_Cost-BL42*(1+Slot5_Rate)^(Slot5_Age-D42))/EU42),0)</f>
        <v>0</v>
      </c>
      <c r="EW42" s="1" t="n">
        <f aca="false">IF(AND(DD42=1,DN42&gt;0,Slot5_IsWG=1,BK42=1),MIN(DN42,EV42),0)</f>
        <v>0</v>
      </c>
      <c r="EX42" s="1" t="n">
        <f aca="false">BL42+EW42</f>
        <v>0</v>
      </c>
      <c r="EY42" s="1" t="n">
        <f aca="false">IF(BK42=1,MAX(0,(Slot5_Cost-EX42*(1+Slot5_Rate)^(Slot5_Age-D42))/EU42),0)</f>
        <v>0</v>
      </c>
      <c r="EZ42" s="1" t="n">
        <f aca="false">IF(BK42=1,MAX(0,(Slot5_Cost-BL42*(1+Slot5_Rate)^(Slot5_Age-D42))/EU42),0)</f>
        <v>0</v>
      </c>
      <c r="FA42" s="1" t="n">
        <f aca="false">IF(AND(DD42=1,BK42=1),MIN(ET42,EY42),0)</f>
        <v>0</v>
      </c>
      <c r="FB42" s="1" t="n">
        <f aca="false">ET42-FA42</f>
        <v>0</v>
      </c>
      <c r="FC42" s="1" t="n">
        <f aca="false">IF(BU42=1,IF(ABS((1+AS_Wage)/(1+Slot6_Rate)-1)&lt;0.000000000001,(Slot6_Age-D42)*(1+Slot6_Rate)^(Slot6_Age-D42),(1+Slot6_Rate)^(Slot6_Age-D42)*(1-((1+AS_Wage)/(1+Slot6_Rate))^(Slot6_Age-D42))/(1-(1+AS_Wage)/(1+Slot6_Rate))),1)</f>
        <v>1</v>
      </c>
      <c r="FD42" s="1" t="n">
        <f aca="false">IF(AND(DD42=1,DN42&gt;0,Slot6_IsWG=1,BU42=1),MAX(0,(Slot6_Cost-BV42*(1+Slot6_Rate)^(Slot6_Age-D42))/FC42),0)</f>
        <v>0</v>
      </c>
      <c r="FE42" s="1" t="n">
        <f aca="false">IF(AND(DD42=1,DN42&gt;0,Slot6_IsWG=1,BU42=1),MIN(DN42,FD42),0)</f>
        <v>0</v>
      </c>
      <c r="FF42" s="1" t="n">
        <f aca="false">BV42+FE42</f>
        <v>0</v>
      </c>
      <c r="FG42" s="1" t="n">
        <f aca="false">IF(BU42=1,MAX(0,(Slot6_Cost-FF42*(1+Slot6_Rate)^(Slot6_Age-D42))/FC42),0)</f>
        <v>0</v>
      </c>
      <c r="FH42" s="1" t="n">
        <f aca="false">IF(BU42=1,MAX(0,(Slot6_Cost-BV42*(1+Slot6_Rate)^(Slot6_Age-D42))/FC42),0)</f>
        <v>0</v>
      </c>
      <c r="FI42" s="1" t="n">
        <f aca="false">IF(AND(DD42=1,BU42=1),MIN(FB42,FG42),0)</f>
        <v>0</v>
      </c>
      <c r="FJ42" s="1" t="n">
        <f aca="false">FB42-FI42</f>
        <v>0</v>
      </c>
      <c r="FK42" s="1" t="n">
        <f aca="false">IF(CE42=1,IF(ABS((1+AS_Wage)/(1+Slot7_Rate)-1)&lt;0.000000000001,(Slot7_Age-D42)*(1+Slot7_Rate)^(Slot7_Age-D42),(1+Slot7_Rate)^(Slot7_Age-D42)*(1-((1+AS_Wage)/(1+Slot7_Rate))^(Slot7_Age-D42))/(1-(1+AS_Wage)/(1+Slot7_Rate))),1)</f>
        <v>1</v>
      </c>
      <c r="FL42" s="1" t="n">
        <f aca="false">IF(AND(DD42=1,DN42&gt;0,Slot7_IsWG=1,CE42=1),MAX(0,(Slot7_Cost-CF42*(1+Slot7_Rate)^(Slot7_Age-D42))/FK42),0)</f>
        <v>0</v>
      </c>
      <c r="FM42" s="1" t="n">
        <f aca="false">IF(AND(DD42=1,DN42&gt;0,Slot7_IsWG=1,CE42=1),MIN(DN42,FL42),0)</f>
        <v>0</v>
      </c>
      <c r="FN42" s="1" t="n">
        <f aca="false">CF42+FM42</f>
        <v>0</v>
      </c>
      <c r="FO42" s="1" t="n">
        <f aca="false">IF(CE42=1,MAX(0,(Slot7_Cost-FN42*(1+Slot7_Rate)^(Slot7_Age-D42))/FK42),0)</f>
        <v>0</v>
      </c>
      <c r="FP42" s="1" t="n">
        <f aca="false">IF(CE42=1,MAX(0,(Slot7_Cost-CF42*(1+Slot7_Rate)^(Slot7_Age-D42))/FK42),0)</f>
        <v>0</v>
      </c>
      <c r="FQ42" s="1" t="n">
        <f aca="false">IF(AND(DD42=1,CE42=1),MIN(FJ42,FO42),0)</f>
        <v>0</v>
      </c>
      <c r="FR42" s="1" t="n">
        <f aca="false">FJ42-FQ42</f>
        <v>0</v>
      </c>
      <c r="FS42" s="1" t="n">
        <f aca="false">IF(CO42=1,IF(ABS((1+AS_Wage)/(1+Slot8_Rate)-1)&lt;0.000000000001,(Slot8_Age-D42)*(1+Slot8_Rate)^(Slot8_Age-D42),(1+Slot8_Rate)^(Slot8_Age-D42)*(1-((1+AS_Wage)/(1+Slot8_Rate))^(Slot8_Age-D42))/(1-(1+AS_Wage)/(1+Slot8_Rate))),1)</f>
        <v>1</v>
      </c>
      <c r="FT42" s="1" t="n">
        <f aca="false">IF(AND(DD42=1,DN42&gt;0,Slot8_IsWG=1,CO42=1),MAX(0,(Slot8_Cost-CP42*(1+Slot8_Rate)^(Slot8_Age-D42))/FS42),0)</f>
        <v>0</v>
      </c>
      <c r="FU42" s="1" t="n">
        <f aca="false">IF(AND(DD42=1,DN42&gt;0,Slot8_IsWG=1,CO42=1),MIN(DN42,FT42),0)</f>
        <v>0</v>
      </c>
      <c r="FV42" s="1" t="n">
        <f aca="false">CP42+FU42</f>
        <v>0</v>
      </c>
      <c r="FW42" s="1" t="n">
        <f aca="false">IF(CO42=1,MAX(0,(Slot8_Cost-FV42*(1+Slot8_Rate)^(Slot8_Age-D42))/FS42),0)</f>
        <v>0</v>
      </c>
      <c r="FX42" s="1" t="n">
        <f aca="false">IF(CO42=1,MAX(0,(Slot8_Cost-CP42*(1+Slot8_Rate)^(Slot8_Age-D42))/FS42),0)</f>
        <v>0</v>
      </c>
      <c r="FY42" s="1" t="n">
        <f aca="false">IF(AND(DD42=1,CO42=1),MIN(FR42,FW42),0)</f>
        <v>0</v>
      </c>
      <c r="FZ42" s="1" t="n">
        <f aca="false">FR42-FY42</f>
        <v>0</v>
      </c>
      <c r="GA42" s="1" t="n">
        <f aca="false">DN42-(DQ42+DY42+EG42+EO42+EW42+FE42+FM42+FU42)</f>
        <v>0</v>
      </c>
      <c r="GB42" s="1" t="n">
        <f aca="false">IF(DD42=1,DB42-DM42-DN42,0)</f>
        <v>0</v>
      </c>
      <c r="GC42" s="1" t="n">
        <f aca="false">IF(DD42=0,-DB42,0)</f>
        <v>0</v>
      </c>
      <c r="GD42" s="1" t="n">
        <f aca="false">MIN(GC42,CT42)</f>
        <v>0</v>
      </c>
      <c r="GE42" s="1" t="n">
        <f aca="false">GC42-GD42</f>
        <v>0</v>
      </c>
      <c r="GF42" s="1" t="n">
        <f aca="false">MIN(GE42,CU42)</f>
        <v>0</v>
      </c>
      <c r="GG42" s="1" t="n">
        <f aca="false">GE42-GF42</f>
        <v>0</v>
      </c>
      <c r="GH42" s="1" t="n">
        <f aca="false">IF(AND(DD42=0,CO42=1,GG42&gt;0),MIN(GG42,CP42),0)</f>
        <v>0</v>
      </c>
      <c r="GI42" s="1" t="n">
        <f aca="false">GG42-GH42</f>
        <v>0</v>
      </c>
      <c r="GJ42" s="1" t="n">
        <f aca="false">IF(AND(DD42=0,CE42=1,GI42&gt;0),MIN(GI42,CF42),0)</f>
        <v>0</v>
      </c>
      <c r="GK42" s="1" t="n">
        <f aca="false">GI42-GJ42</f>
        <v>0</v>
      </c>
      <c r="GL42" s="1" t="n">
        <f aca="false">IF(AND(DD42=0,BU42=1,GK42&gt;0),MIN(GK42,BV42),0)</f>
        <v>0</v>
      </c>
      <c r="GM42" s="1" t="n">
        <f aca="false">GK42-GL42</f>
        <v>0</v>
      </c>
      <c r="GN42" s="1" t="n">
        <f aca="false">IF(AND(DD42=0,BK42=1,GM42&gt;0),MIN(GM42,BL42),0)</f>
        <v>0</v>
      </c>
      <c r="GO42" s="1" t="n">
        <f aca="false">GM42-GN42</f>
        <v>0</v>
      </c>
      <c r="GP42" s="1" t="n">
        <f aca="false">IF(AND(DD42=0,BA42=1,GO42&gt;0),MIN(GO42,BB42),0)</f>
        <v>0</v>
      </c>
      <c r="GQ42" s="1" t="n">
        <f aca="false">GO42-GP42</f>
        <v>0</v>
      </c>
      <c r="GR42" s="1" t="n">
        <f aca="false">IF(AND(DD42=0,AQ42=1,GQ42&gt;0),MIN(GQ42,AR42),0)</f>
        <v>0</v>
      </c>
      <c r="GS42" s="1" t="n">
        <f aca="false">GQ42-GR42</f>
        <v>0</v>
      </c>
      <c r="GT42" s="1" t="n">
        <f aca="false">IF(AND(DD42=0,AG42=1,GS42&gt;0),MIN(GS42,AH42),0)</f>
        <v>0</v>
      </c>
      <c r="GU42" s="1" t="n">
        <f aca="false">GS42-GT42</f>
        <v>0</v>
      </c>
      <c r="GV42" s="1" t="n">
        <f aca="false">IF(AND(DD42=0,V42=1,GU42&gt;0),MIN(GU42,W42),0)</f>
        <v>0</v>
      </c>
      <c r="GW42" s="1" t="n">
        <f aca="false">GU42-GV42</f>
        <v>0</v>
      </c>
      <c r="GX42" s="1" t="n">
        <f aca="false">IF(DD42=0,GW42,0)</f>
        <v>0</v>
      </c>
      <c r="GY42" s="1" t="n">
        <f aca="false">GD42+GF42+GV42+GT42+GR42+GP42+GN42+GL42+GJ42+GH42</f>
        <v>0</v>
      </c>
      <c r="GZ42" s="1" t="n">
        <f aca="false">IF(DD42=1,CT42+GA42+FZ42+IF(F42=1,0,GB42),CT42-GD42)</f>
        <v>0</v>
      </c>
      <c r="HA42" s="1" t="n">
        <f aca="false">CU42-GF42</f>
        <v>0</v>
      </c>
      <c r="HB42" s="1" t="n">
        <f aca="false">IF(DD42=1,IF(F42=1,DM42+DN42,DB42),0)</f>
        <v>0</v>
      </c>
      <c r="HC42" s="1" t="n">
        <f aca="false">IF(DD42=1,IF(F42=1,DB42-DM42-DN42,0),0)</f>
        <v>0</v>
      </c>
      <c r="HD42" s="1" t="n">
        <f aca="false">GZ42*(1+GR)</f>
        <v>0</v>
      </c>
      <c r="HE42" s="1" t="n">
        <f aca="false">HA42*(1+AS_Cash)</f>
        <v>0</v>
      </c>
      <c r="HF42" s="1" t="n">
        <f aca="false">IF(V42=1,IF(DD42=1,DR42+DU42,W42-GV42)*(1+Slot1_Rate),0)</f>
        <v>0</v>
      </c>
      <c r="HG42" s="1" t="n">
        <f aca="false">IF(AND(DD42=1,V42=1),(DQ42+DU42)/E42,0)</f>
        <v>0</v>
      </c>
      <c r="HH42" s="1" t="n">
        <f aca="false">IF(B42=0,DQ42+DU42,0)</f>
        <v>0</v>
      </c>
      <c r="HI42" s="1" t="n">
        <f aca="false">IF(B42=0,IF(DD42=1,DS42,DT42),0)</f>
        <v>0</v>
      </c>
      <c r="HJ42" s="1" t="n">
        <f aca="false">IF(AG42=1,IF(DD42=1,DZ42+EC42,AH42-GT42)*(1+Slot2_Rate),0)</f>
        <v>0</v>
      </c>
      <c r="HK42" s="1" t="n">
        <f aca="false">IF(AND(DD42=1,AG42=1),(DY42+EC42)/E42,0)</f>
        <v>0</v>
      </c>
      <c r="HL42" s="1" t="n">
        <f aca="false">IF(B42=0,DY42+EC42,0)</f>
        <v>0</v>
      </c>
      <c r="HM42" s="1" t="n">
        <f aca="false">IF(B42=0,IF(DD42=1,EA42,EB42),0)</f>
        <v>0</v>
      </c>
      <c r="HN42" s="1" t="n">
        <f aca="false">IF(AQ42=1,IF(DD42=1,EH42+EK42,AR42-GR42)*(1+Slot3_Rate),0)</f>
        <v>0</v>
      </c>
      <c r="HO42" s="1" t="n">
        <f aca="false">IF(AND(DD42=1,AQ42=1),(EG42+EK42)/E42,0)</f>
        <v>0</v>
      </c>
      <c r="HP42" s="1" t="n">
        <f aca="false">IF(B42=0,EG42+EK42,0)</f>
        <v>0</v>
      </c>
      <c r="HQ42" s="1" t="n">
        <f aca="false">IF(B42=0,IF(DD42=1,EI42,EJ42),0)</f>
        <v>0</v>
      </c>
      <c r="HR42" s="1" t="n">
        <f aca="false">IF(BA42=1,IF(DD42=1,EP42+ES42,BB42-GP42)*(1+Slot4_Rate),0)</f>
        <v>0</v>
      </c>
      <c r="HS42" s="1" t="n">
        <f aca="false">IF(AND(DD42=1,BA42=1),(EO42+ES42)/E42,0)</f>
        <v>0</v>
      </c>
      <c r="HT42" s="1" t="n">
        <f aca="false">IF(B42=0,EO42+ES42,0)</f>
        <v>0</v>
      </c>
      <c r="HU42" s="1" t="n">
        <f aca="false">IF(B42=0,IF(DD42=1,EQ42,ER42),0)</f>
        <v>0</v>
      </c>
      <c r="HV42" s="1" t="n">
        <f aca="false">IF(BK42=1,IF(DD42=1,EX42+FA42,BL42-GN42)*(1+Slot5_Rate),0)</f>
        <v>0</v>
      </c>
      <c r="HW42" s="1" t="n">
        <f aca="false">IF(AND(DD42=1,BK42=1),(EW42+FA42)/E42,0)</f>
        <v>0</v>
      </c>
      <c r="HX42" s="1" t="n">
        <f aca="false">IF(B42=0,EW42+FA42,0)</f>
        <v>0</v>
      </c>
      <c r="HY42" s="1" t="n">
        <f aca="false">IF(B42=0,IF(DD42=1,EY42,EZ42),0)</f>
        <v>0</v>
      </c>
      <c r="HZ42" s="1" t="n">
        <f aca="false">IF(BU42=1,IF(DD42=1,FF42+FI42,BV42-GL42)*(1+Slot6_Rate),0)</f>
        <v>0</v>
      </c>
      <c r="IA42" s="1" t="n">
        <f aca="false">IF(AND(DD42=1,BU42=1),(FE42+FI42)/E42,0)</f>
        <v>0</v>
      </c>
      <c r="IB42" s="1" t="n">
        <f aca="false">IF(B42=0,FE42+FI42,0)</f>
        <v>0</v>
      </c>
      <c r="IC42" s="1" t="n">
        <f aca="false">IF(B42=0,IF(DD42=1,FG42,FH42),0)</f>
        <v>0</v>
      </c>
      <c r="ID42" s="1" t="n">
        <f aca="false">IF(CE42=1,IF(DD42=1,FN42+FQ42,CF42-GJ42)*(1+Slot7_Rate),0)</f>
        <v>0</v>
      </c>
      <c r="IE42" s="1" t="n">
        <f aca="false">IF(AND(DD42=1,CE42=1),(FM42+FQ42)/E42,0)</f>
        <v>0</v>
      </c>
      <c r="IF42" s="1" t="n">
        <f aca="false">IF(B42=0,FM42+FQ42,0)</f>
        <v>0</v>
      </c>
      <c r="IG42" s="1" t="n">
        <f aca="false">IF(B42=0,IF(DD42=1,FO42,FP42),0)</f>
        <v>0</v>
      </c>
      <c r="IH42" s="1" t="n">
        <f aca="false">IF(CO42=1,IF(DD42=1,FV42+FY42,CP42-GH42)*(1+Slot8_Rate),0)</f>
        <v>0</v>
      </c>
      <c r="II42" s="1" t="n">
        <f aca="false">IF(AND(DD42=1,CO42=1),(FU42+FY42)/E42,0)</f>
        <v>0</v>
      </c>
      <c r="IJ42" s="1" t="n">
        <f aca="false">IF(B42=0,FU42+FY42,0)</f>
        <v>0</v>
      </c>
      <c r="IK42" s="1" t="n">
        <f aca="false">IF(B42=0,IF(DD42=1,FW42,FX42),0)</f>
        <v>0</v>
      </c>
      <c r="IL42" s="1" t="n">
        <f aca="false">HD42+HE42+HF42+HJ42+HN42+HR42+HV42+HZ42+ID42+IH42</f>
        <v>0</v>
      </c>
      <c r="IM42" s="1" t="n">
        <f aca="false">GX42+CY42</f>
        <v>0</v>
      </c>
      <c r="IN42" s="1" t="n">
        <f aca="false">H42+R42</f>
        <v>0</v>
      </c>
      <c r="IO42" s="1" t="n">
        <f aca="false">1-F42</f>
        <v>1</v>
      </c>
      <c r="IP42" s="1" t="n">
        <f aca="false">IF(AND(RG_Exists=1,F42=0,C42=1),H42,0)</f>
        <v>0</v>
      </c>
      <c r="IQ42" s="1" t="n">
        <f aca="false">IF(AND(RG_Exists=1,F42=0,C42=1),H42-MIN(GX42,H42),0)</f>
        <v>0</v>
      </c>
      <c r="IR42" s="1" t="n">
        <f aca="false">'Plan pay &amp; tax'!AD244</f>
        <v>0</v>
      </c>
      <c r="IS42" s="1" t="n">
        <f aca="false">IF(AND(C42=1,GX42&gt;MAX(PR_Short1,IN42*PR_Short2)),1,0)</f>
        <v>0</v>
      </c>
      <c r="IT42" s="1" t="n">
        <f aca="false">MIN(G42,H42+R42)</f>
        <v>0</v>
      </c>
      <c r="IU42" s="1" t="n">
        <f aca="false">GY42+MAX(0,CZ42-CY42)</f>
        <v>0</v>
      </c>
      <c r="IV42" s="1" t="n">
        <f aca="false">GX42+CY42</f>
        <v>0</v>
      </c>
      <c r="IW42" s="1" t="n">
        <f aca="false">IF(AND(C42=1,IV42&gt;0.5),1,0)</f>
        <v>0</v>
      </c>
      <c r="IX42" s="1" t="n">
        <f aca="false">IF(AND(C42=1,IW42=0,IU42&gt;0.5),1,0)</f>
        <v>0</v>
      </c>
      <c r="IY42" s="1" t="n">
        <f aca="false">IF(AND(C42=1,GX42&gt;0.5),1,0)</f>
        <v>0</v>
      </c>
      <c r="IZ42" s="1" t="n">
        <f aca="false">IF(AND(C42=1,GY42&gt;1,JF42=0),1,0)</f>
        <v>0</v>
      </c>
      <c r="JA42" s="1" t="n">
        <f aca="false">IF(AND(INT(D42/10)*10=90,B42&gt;0),80,INT(D42/10)*10)</f>
        <v>30</v>
      </c>
      <c r="JB42" s="1" t="n">
        <f aca="false">IF(B42=0,1,IF(JA42&lt;&gt;JA41,JB41+1,JB41))</f>
        <v>4</v>
      </c>
      <c r="JC42" s="1" t="n">
        <f aca="false">IF(AND(C42=1,F42=1,GX42&gt;MAX(PR_Short1,IN42*PR_Short2)),1,0)</f>
        <v>0</v>
      </c>
      <c r="JD42" s="1" t="n">
        <f aca="false">IO42*IS42</f>
        <v>0</v>
      </c>
      <c r="JE42" s="1" t="n">
        <f aca="false">IF(AND(U42=1,Slot1_PctLow=1),1,0)+IF(AND(AF42=1,Slot2_PctLow=1),1,0)+IF(AND(AP42=1,Slot3_PctLow=1),1,0)+IF(AND(AZ42=1,Slot4_PctLow=1),1,0)+IF(AND(BJ42=1,Slot5_PctLow=1),1,0)+IF(AND(BT42=1,Slot6_PctLow=1),1,0)+IF(AND(CD42=1,Slot7_PctLow=1),1,0)+IF(AND(CN42=1,Slot8_PctLow=1),1,0)</f>
        <v>0</v>
      </c>
      <c r="JF42" s="1" t="n">
        <f aca="false">IF(C42=1,IF(OR(IS42=1,JE42&gt;0),1,0),0)</f>
        <v>0</v>
      </c>
    </row>
    <row r="43" customFormat="false" ht="15" hidden="false" customHeight="false" outlineLevel="0" collapsed="false">
      <c r="B43" s="1" t="n">
        <v>35</v>
      </c>
      <c r="C43" s="1" t="n">
        <f aca="false">IF(B43&lt;=F_N,1,0)</f>
        <v>1</v>
      </c>
      <c r="D43" s="1" t="n">
        <f aca="false">'Plan pay &amp; tax'!C245</f>
        <v>35</v>
      </c>
      <c r="E43" s="106" t="n">
        <f aca="false">'Plan pay &amp; tax'!E245</f>
        <v>1.99988955266246</v>
      </c>
      <c r="F43" s="1" t="n">
        <f aca="false">'Plan pay &amp; tax'!G245</f>
        <v>0</v>
      </c>
      <c r="G43" s="1" t="n">
        <f aca="false">'Plan pay &amp; tax'!BT245-'Plan pay &amp; tax'!BS245-'Plan pay &amp; tax'!R245</f>
        <v>0</v>
      </c>
      <c r="H43" s="1" t="n">
        <f aca="false">IF(F43=1,F_CostsM*12,IF(RG_Exists=1,RG_Amount,F_CostsM*12*AS_RetireSpend))*E43+F_OneOffY*E43</f>
        <v>0</v>
      </c>
      <c r="I43" s="1" t="n">
        <f aca="false">DA42</f>
        <v>0</v>
      </c>
      <c r="J43" s="1" t="n">
        <f aca="false">IF(I43&gt;1,'Plan debt months'!AC43,0)</f>
        <v>0</v>
      </c>
      <c r="K43" s="1" t="n">
        <f aca="false">IF(I43&gt;1,'Plan debt months'!AB43,I43)</f>
        <v>0</v>
      </c>
      <c r="L43" s="1" t="n">
        <f aca="false">N42</f>
        <v>0</v>
      </c>
      <c r="M43" s="1" t="n">
        <f aca="false">IF(L43&gt;1,'Plan debt months'!BD43,0)</f>
        <v>0</v>
      </c>
      <c r="N43" s="1" t="n">
        <f aca="false">IF(L43&gt;1,'Plan debt months'!BC43,L43)</f>
        <v>0</v>
      </c>
      <c r="O43" s="1" t="n">
        <f aca="false">Q42</f>
        <v>0</v>
      </c>
      <c r="P43" s="1" t="n">
        <f aca="false">IF(O43&gt;1,'Plan debt months'!CE43,0)</f>
        <v>0</v>
      </c>
      <c r="Q43" s="1" t="n">
        <f aca="false">IF(O43&gt;1,'Plan debt months'!CD43,O43)</f>
        <v>0</v>
      </c>
      <c r="R43" s="1" t="n">
        <f aca="false">J43+M43+P43</f>
        <v>0</v>
      </c>
      <c r="S43" s="1" t="n">
        <f aca="false">HD42+'Plan pay &amp; tax'!Y245</f>
        <v>0</v>
      </c>
      <c r="T43" s="1" t="n">
        <f aca="false">HD42</f>
        <v>0</v>
      </c>
      <c r="U43" s="1" t="n">
        <f aca="false">IF(AND(Slot1_On=1,D43=Slot1_Age),1,0)</f>
        <v>0</v>
      </c>
      <c r="V43" s="1" t="n">
        <f aca="false">IF(AND(Slot1_On=1,Slot1_Age&gt;D43),1,0)</f>
        <v>0</v>
      </c>
      <c r="W43" s="1" t="n">
        <f aca="false">HF42</f>
        <v>0</v>
      </c>
      <c r="X43" s="1" t="n">
        <f aca="false">U43*MIN(Slot1_Cost,W43)</f>
        <v>0</v>
      </c>
      <c r="Y43" s="1" t="n">
        <f aca="false">U43*Slot1_SpendLike*MIN(Slot1_Cost-X43,S43)</f>
        <v>0</v>
      </c>
      <c r="Z43" s="1" t="n">
        <f aca="false">X43+Y43</f>
        <v>0</v>
      </c>
      <c r="AA43" s="1" t="n">
        <f aca="false">S43-Y43+U43*IF(Slot1_SpendLike=1,W43-X43,IF(Slot1_PotFree=1,W43,0))</f>
        <v>0</v>
      </c>
      <c r="AB43" s="1" t="n">
        <f aca="false">AE43+U43*Slot1_BufPot*W43</f>
        <v>0</v>
      </c>
      <c r="AC43" s="1" t="n">
        <f aca="false">IF(AND(U43=1,Slot1_IsMfree=1),IF(Z43&gt;=Slot1_Cost-1,0,MAX(0,K43-Z43)),K43)</f>
        <v>0</v>
      </c>
      <c r="AD43" s="1" t="n">
        <f aca="false">U43*(Slot1_Cost-Z43)</f>
        <v>0</v>
      </c>
      <c r="AE43" s="1" t="n">
        <f aca="false">HE42</f>
        <v>0</v>
      </c>
      <c r="AF43" s="1" t="n">
        <f aca="false">IF(AND(Slot2_On=1,D43=Slot2_Age),1,0)</f>
        <v>0</v>
      </c>
      <c r="AG43" s="1" t="n">
        <f aca="false">IF(AND(Slot2_On=1,Slot2_Age&gt;D43),1,0)</f>
        <v>0</v>
      </c>
      <c r="AH43" s="1" t="n">
        <f aca="false">HJ42</f>
        <v>0</v>
      </c>
      <c r="AI43" s="1" t="n">
        <f aca="false">AF43*MIN(Slot2_Cost,AH43)</f>
        <v>0</v>
      </c>
      <c r="AJ43" s="1" t="n">
        <f aca="false">AF43*Slot2_SpendLike*MIN(Slot2_Cost-AI43,AA43)</f>
        <v>0</v>
      </c>
      <c r="AK43" s="1" t="n">
        <f aca="false">AI43+AJ43</f>
        <v>0</v>
      </c>
      <c r="AL43" s="1" t="n">
        <f aca="false">AA43-AJ43+AF43*IF(Slot2_SpendLike=1,AH43-AI43,IF(Slot2_PotFree=1,AH43,0))</f>
        <v>0</v>
      </c>
      <c r="AM43" s="1" t="n">
        <f aca="false">AB43+AF43*Slot2_BufPot*AH43</f>
        <v>0</v>
      </c>
      <c r="AN43" s="1" t="n">
        <f aca="false">IF(AND(AF43=1,Slot2_IsMfree=1),IF(AK43&gt;=Slot2_Cost-1,0,MAX(0,AC43-AK43)),AC43)</f>
        <v>0</v>
      </c>
      <c r="AO43" s="1" t="n">
        <f aca="false">AF43*(Slot2_Cost-AK43)</f>
        <v>0</v>
      </c>
      <c r="AP43" s="1" t="n">
        <f aca="false">IF(AND(Slot3_On=1,D43=Slot3_Age),1,0)</f>
        <v>0</v>
      </c>
      <c r="AQ43" s="1" t="n">
        <f aca="false">IF(AND(Slot3_On=1,Slot3_Age&gt;D43),1,0)</f>
        <v>0</v>
      </c>
      <c r="AR43" s="1" t="n">
        <f aca="false">HN42</f>
        <v>0</v>
      </c>
      <c r="AS43" s="1" t="n">
        <f aca="false">AP43*MIN(Slot3_Cost,AR43)</f>
        <v>0</v>
      </c>
      <c r="AT43" s="1" t="n">
        <f aca="false">AP43*Slot3_SpendLike*MIN(Slot3_Cost-AS43,AL43)</f>
        <v>0</v>
      </c>
      <c r="AU43" s="1" t="n">
        <f aca="false">AS43+AT43</f>
        <v>0</v>
      </c>
      <c r="AV43" s="1" t="n">
        <f aca="false">AL43-AT43+AP43*IF(Slot3_SpendLike=1,AR43-AS43,IF(Slot3_PotFree=1,AR43,0))</f>
        <v>0</v>
      </c>
      <c r="AW43" s="1" t="n">
        <f aca="false">AM43+AP43*Slot3_BufPot*AR43</f>
        <v>0</v>
      </c>
      <c r="AX43" s="1" t="n">
        <f aca="false">IF(AND(AP43=1,Slot3_IsMfree=1),IF(AU43&gt;=Slot3_Cost-1,0,MAX(0,AN43-AU43)),AN43)</f>
        <v>0</v>
      </c>
      <c r="AY43" s="1" t="n">
        <f aca="false">AP43*(Slot3_Cost-AU43)</f>
        <v>0</v>
      </c>
      <c r="AZ43" s="1" t="n">
        <f aca="false">IF(AND(Slot4_On=1,D43=Slot4_Age),1,0)</f>
        <v>0</v>
      </c>
      <c r="BA43" s="1" t="n">
        <f aca="false">IF(AND(Slot4_On=1,Slot4_Age&gt;D43),1,0)</f>
        <v>0</v>
      </c>
      <c r="BB43" s="1" t="n">
        <f aca="false">HR42</f>
        <v>0</v>
      </c>
      <c r="BC43" s="1" t="n">
        <f aca="false">AZ43*MIN(Slot4_Cost,BB43)</f>
        <v>0</v>
      </c>
      <c r="BD43" s="1" t="n">
        <f aca="false">AZ43*Slot4_SpendLike*MIN(Slot4_Cost-BC43,AV43)</f>
        <v>0</v>
      </c>
      <c r="BE43" s="1" t="n">
        <f aca="false">BC43+BD43</f>
        <v>0</v>
      </c>
      <c r="BF43" s="1" t="n">
        <f aca="false">AV43-BD43+AZ43*IF(Slot4_SpendLike=1,BB43-BC43,IF(Slot4_PotFree=1,BB43,0))</f>
        <v>0</v>
      </c>
      <c r="BG43" s="1" t="n">
        <f aca="false">AW43+AZ43*Slot4_BufPot*BB43</f>
        <v>0</v>
      </c>
      <c r="BH43" s="1" t="n">
        <f aca="false">IF(AND(AZ43=1,Slot4_IsMfree=1),IF(BE43&gt;=Slot4_Cost-1,0,MAX(0,AX43-BE43)),AX43)</f>
        <v>0</v>
      </c>
      <c r="BI43" s="1" t="n">
        <f aca="false">AZ43*(Slot4_Cost-BE43)</f>
        <v>0</v>
      </c>
      <c r="BJ43" s="1" t="n">
        <f aca="false">IF(AND(Slot5_On=1,D43=Slot5_Age),1,0)</f>
        <v>0</v>
      </c>
      <c r="BK43" s="1" t="n">
        <f aca="false">IF(AND(Slot5_On=1,Slot5_Age&gt;D43),1,0)</f>
        <v>0</v>
      </c>
      <c r="BL43" s="1" t="n">
        <f aca="false">HV42</f>
        <v>0</v>
      </c>
      <c r="BM43" s="1" t="n">
        <f aca="false">BJ43*MIN(Slot5_Cost,BL43)</f>
        <v>0</v>
      </c>
      <c r="BN43" s="1" t="n">
        <f aca="false">BJ43*Slot5_SpendLike*MIN(Slot5_Cost-BM43,BF43)</f>
        <v>0</v>
      </c>
      <c r="BO43" s="1" t="n">
        <f aca="false">BM43+BN43</f>
        <v>0</v>
      </c>
      <c r="BP43" s="1" t="n">
        <f aca="false">BF43-BN43+BJ43*IF(Slot5_SpendLike=1,BL43-BM43,IF(Slot5_PotFree=1,BL43,0))</f>
        <v>0</v>
      </c>
      <c r="BQ43" s="1" t="n">
        <f aca="false">BG43+BJ43*Slot5_BufPot*BL43</f>
        <v>0</v>
      </c>
      <c r="BR43" s="1" t="n">
        <f aca="false">IF(AND(BJ43=1,Slot5_IsMfree=1),IF(BO43&gt;=Slot5_Cost-1,0,MAX(0,BH43-BO43)),BH43)</f>
        <v>0</v>
      </c>
      <c r="BS43" s="1" t="n">
        <f aca="false">BJ43*(Slot5_Cost-BO43)</f>
        <v>0</v>
      </c>
      <c r="BT43" s="1" t="n">
        <f aca="false">IF(AND(Slot6_On=1,D43=Slot6_Age),1,0)</f>
        <v>0</v>
      </c>
      <c r="BU43" s="1" t="n">
        <f aca="false">IF(AND(Slot6_On=1,Slot6_Age&gt;D43),1,0)</f>
        <v>0</v>
      </c>
      <c r="BV43" s="1" t="n">
        <f aca="false">HZ42</f>
        <v>0</v>
      </c>
      <c r="BW43" s="1" t="n">
        <f aca="false">BT43*MIN(Slot6_Cost,BV43)</f>
        <v>0</v>
      </c>
      <c r="BX43" s="1" t="n">
        <f aca="false">BT43*Slot6_SpendLike*MIN(Slot6_Cost-BW43,BP43)</f>
        <v>0</v>
      </c>
      <c r="BY43" s="1" t="n">
        <f aca="false">BW43+BX43</f>
        <v>0</v>
      </c>
      <c r="BZ43" s="1" t="n">
        <f aca="false">BP43-BX43+BT43*IF(Slot6_SpendLike=1,BV43-BW43,IF(Slot6_PotFree=1,BV43,0))</f>
        <v>0</v>
      </c>
      <c r="CA43" s="1" t="n">
        <f aca="false">BQ43+BT43*Slot6_BufPot*BV43</f>
        <v>0</v>
      </c>
      <c r="CB43" s="1" t="n">
        <f aca="false">IF(AND(BT43=1,Slot6_IsMfree=1),IF(BY43&gt;=Slot6_Cost-1,0,MAX(0,BR43-BY43)),BR43)</f>
        <v>0</v>
      </c>
      <c r="CC43" s="1" t="n">
        <f aca="false">BT43*(Slot6_Cost-BY43)</f>
        <v>0</v>
      </c>
      <c r="CD43" s="1" t="n">
        <f aca="false">IF(AND(Slot7_On=1,D43=Slot7_Age),1,0)</f>
        <v>0</v>
      </c>
      <c r="CE43" s="1" t="n">
        <f aca="false">IF(AND(Slot7_On=1,Slot7_Age&gt;D43),1,0)</f>
        <v>0</v>
      </c>
      <c r="CF43" s="1" t="n">
        <f aca="false">ID42</f>
        <v>0</v>
      </c>
      <c r="CG43" s="1" t="n">
        <f aca="false">CD43*MIN(Slot7_Cost,CF43)</f>
        <v>0</v>
      </c>
      <c r="CH43" s="1" t="n">
        <f aca="false">CD43*Slot7_SpendLike*MIN(Slot7_Cost-CG43,BZ43)</f>
        <v>0</v>
      </c>
      <c r="CI43" s="1" t="n">
        <f aca="false">CG43+CH43</f>
        <v>0</v>
      </c>
      <c r="CJ43" s="1" t="n">
        <f aca="false">BZ43-CH43+CD43*IF(Slot7_SpendLike=1,CF43-CG43,IF(Slot7_PotFree=1,CF43,0))</f>
        <v>0</v>
      </c>
      <c r="CK43" s="1" t="n">
        <f aca="false">CA43+CD43*Slot7_BufPot*CF43</f>
        <v>0</v>
      </c>
      <c r="CL43" s="1" t="n">
        <f aca="false">IF(AND(CD43=1,Slot7_IsMfree=1),IF(CI43&gt;=Slot7_Cost-1,0,MAX(0,CB43-CI43)),CB43)</f>
        <v>0</v>
      </c>
      <c r="CM43" s="1" t="n">
        <f aca="false">CD43*(Slot7_Cost-CI43)</f>
        <v>0</v>
      </c>
      <c r="CN43" s="1" t="n">
        <f aca="false">IF(AND(Slot8_On=1,D43=Slot8_Age),1,0)</f>
        <v>0</v>
      </c>
      <c r="CO43" s="1" t="n">
        <f aca="false">IF(AND(Slot8_On=1,Slot8_Age&gt;D43),1,0)</f>
        <v>0</v>
      </c>
      <c r="CP43" s="1" t="n">
        <f aca="false">IH42</f>
        <v>0</v>
      </c>
      <c r="CQ43" s="1" t="n">
        <f aca="false">CN43*MIN(Slot8_Cost,CP43)</f>
        <v>0</v>
      </c>
      <c r="CR43" s="1" t="n">
        <f aca="false">CN43*Slot8_SpendLike*MIN(Slot8_Cost-CQ43,CJ43)</f>
        <v>0</v>
      </c>
      <c r="CS43" s="1" t="n">
        <f aca="false">CQ43+CR43</f>
        <v>0</v>
      </c>
      <c r="CT43" s="1" t="n">
        <f aca="false">CJ43-CR43+CN43*IF(Slot8_SpendLike=1,CP43-CQ43,IF(Slot8_PotFree=1,CP43,0))</f>
        <v>0</v>
      </c>
      <c r="CU43" s="1" t="n">
        <f aca="false">CK43+CN43*Slot8_BufPot*CP43</f>
        <v>0</v>
      </c>
      <c r="CV43" s="1" t="n">
        <f aca="false">IF(AND(CN43=1,Slot8_IsMfree=1),IF(CS43&gt;=Slot8_Cost-1,0,MAX(0,CL43-CS43)),CL43)</f>
        <v>0</v>
      </c>
      <c r="CW43" s="1" t="n">
        <f aca="false">CN43*(Slot8_Cost-CS43)</f>
        <v>0</v>
      </c>
      <c r="CX43" s="1" t="n">
        <f aca="false">U43*Slot1_SpendLike*Z43+AF43*Slot2_SpendLike*AK43+AP43*Slot3_SpendLike*AU43+AZ43*Slot4_SpendLike*BE43+BJ43*Slot5_SpendLike*BO43+BT43*Slot6_SpendLike*BY43+CD43*Slot7_SpendLike*CI43+CN43*Slot8_SpendLike*CS43</f>
        <v>0</v>
      </c>
      <c r="CY43" s="1" t="n">
        <f aca="false">AD43+AO43+AY43+BI43+BS43+CC43+CM43+CW43</f>
        <v>0</v>
      </c>
      <c r="CZ43" s="1" t="n">
        <f aca="false">U43*Slot1_Cost+AF43*Slot2_Cost+AP43*Slot3_Cost+AZ43*Slot4_Cost+BJ43*Slot5_Cost+BT43*Slot6_Cost+CD43*Slot7_Cost+CN43*Slot8_Cost</f>
        <v>0</v>
      </c>
      <c r="DA43" s="1" t="n">
        <f aca="false">CV43</f>
        <v>0</v>
      </c>
      <c r="DB43" s="1" t="n">
        <f aca="false">G43-H43-R43</f>
        <v>0</v>
      </c>
      <c r="DC43" s="1" t="n">
        <f aca="false">IF(B43=0,IF(AND(Has_q6=1,In_q6=4),PR_ShareVaries*(MAX(0,DB43)/12),MIN(IF(Has_q6=1,CHOOSE(In_q6+1,PR_SaveB1,PR_SaveB2,PR_SaveB3,PR_SaveB4,0),AS_NoAnswer),AS_SaveShare*(MAX(0,DB43)/12))),DC42)</f>
        <v>0</v>
      </c>
      <c r="DD43" s="1" t="n">
        <f aca="false">IF(DB43&gt;=0,1,0)</f>
        <v>1</v>
      </c>
      <c r="DE43" s="1" t="n">
        <f aca="false">MAX(0,DB43/12/E43)</f>
        <v>0</v>
      </c>
      <c r="DF43" s="1" t="n">
        <f aca="false">IF(AND(Has_q6=1,In_q6=4),PR_ShareVaries*(DE43),MIN(IF(Has_q6=1,CHOOSE(In_q6+1,PR_SaveB1,PR_SaveB2,PR_SaveB3,PR_SaveB4,0),AS_NoAnswer),AS_SaveShare*(DE43)))</f>
        <v>0</v>
      </c>
      <c r="DG43" s="1" t="n">
        <f aca="false">IF(Has_saveM=1,IF(In_saveUp="Yes",1,IF(In_saveUp="No",0,IF(In_saveM&gt;=DC43-0.5,1,0))),0)</f>
        <v>0</v>
      </c>
      <c r="DH43" s="1" t="n">
        <f aca="false">IF(Has_saveM=1,MIN(DE43,IF(DG43=1,MAX(In_saveM,DF43),MIN(In_saveM,DF43))),DF43)</f>
        <v>0</v>
      </c>
      <c r="DI43" s="1" t="n">
        <f aca="false">IF(F43=1,DH43*12*E43,0)</f>
        <v>0</v>
      </c>
      <c r="DJ43" s="1" t="n">
        <f aca="false">MAX(0,DI43+IF(AND(WI_Retire=0,WI_M&lt;0,F43=1),WI_M*12*E43,0))</f>
        <v>0</v>
      </c>
      <c r="DK43" s="1" t="n">
        <f aca="false">Slot1_IsWG*V43+Slot2_IsWG*AG43+Slot3_IsWG*AQ43+Slot4_IsWG*BA43+Slot5_IsWG*BK43+Slot6_IsWG*BU43+Slot7_IsWG*CE43+Slot8_IsWG*CO43</f>
        <v>0</v>
      </c>
      <c r="DL43" s="1" t="n">
        <f aca="false">IF(AND(WI_Retire=0,WI_M&gt;0,F43=1,DK43&gt;=1),WI_M*12*E43,0)</f>
        <v>0</v>
      </c>
      <c r="DM43" s="1" t="n">
        <f aca="false">IF(DD43=1,MIN(DJ43,DB43),0)</f>
        <v>0</v>
      </c>
      <c r="DN43" s="1" t="n">
        <f aca="false">IF(DD43=1,MIN(DL43,DB43-DM43),0)</f>
        <v>0</v>
      </c>
      <c r="DO43" s="1" t="n">
        <f aca="false">IF(V43=1,IF(ABS((1+AS_Wage)/(1+Slot1_Rate)-1)&lt;0.000000000001,(Slot1_Age-D43)*(1+Slot1_Rate)^(Slot1_Age-D43),(1+Slot1_Rate)^(Slot1_Age-D43)*(1-((1+AS_Wage)/(1+Slot1_Rate))^(Slot1_Age-D43))/(1-(1+AS_Wage)/(1+Slot1_Rate))),1)</f>
        <v>1</v>
      </c>
      <c r="DP43" s="1" t="n">
        <f aca="false">IF(AND(DD43=1,DN43&gt;0,Slot1_IsWG=1,V43=1),MAX(0,(Slot1_Cost-W43*(1+Slot1_Rate)^(Slot1_Age-D43))/DO43),0)</f>
        <v>0</v>
      </c>
      <c r="DQ43" s="1" t="n">
        <f aca="false">IF(AND(DD43=1,DN43&gt;0,Slot1_IsWG=1,V43=1),MIN(DN43,DP43),0)</f>
        <v>0</v>
      </c>
      <c r="DR43" s="1" t="n">
        <f aca="false">W43+DQ43</f>
        <v>0</v>
      </c>
      <c r="DS43" s="1" t="n">
        <f aca="false">IF(V43=1,MAX(0,(Slot1_Cost-DR43*(1+Slot1_Rate)^(Slot1_Age-D43))/DO43),0)</f>
        <v>0</v>
      </c>
      <c r="DT43" s="1" t="n">
        <f aca="false">IF(V43=1,MAX(0,(Slot1_Cost-W43*(1+Slot1_Rate)^(Slot1_Age-D43))/DO43),0)</f>
        <v>0</v>
      </c>
      <c r="DU43" s="1" t="n">
        <f aca="false">IF(AND(DD43=1,V43=1),MIN(DM43,DS43),0)</f>
        <v>0</v>
      </c>
      <c r="DV43" s="1" t="n">
        <f aca="false">DM43-DU43</f>
        <v>0</v>
      </c>
      <c r="DW43" s="1" t="n">
        <f aca="false">IF(AG43=1,IF(ABS((1+AS_Wage)/(1+Slot2_Rate)-1)&lt;0.000000000001,(Slot2_Age-D43)*(1+Slot2_Rate)^(Slot2_Age-D43),(1+Slot2_Rate)^(Slot2_Age-D43)*(1-((1+AS_Wage)/(1+Slot2_Rate))^(Slot2_Age-D43))/(1-(1+AS_Wage)/(1+Slot2_Rate))),1)</f>
        <v>1</v>
      </c>
      <c r="DX43" s="1" t="n">
        <f aca="false">IF(AND(DD43=1,DN43&gt;0,Slot2_IsWG=1,AG43=1),MAX(0,(Slot2_Cost-AH43*(1+Slot2_Rate)^(Slot2_Age-D43))/DW43),0)</f>
        <v>0</v>
      </c>
      <c r="DY43" s="1" t="n">
        <f aca="false">IF(AND(DD43=1,DN43&gt;0,Slot2_IsWG=1,AG43=1),MIN(DN43,DX43),0)</f>
        <v>0</v>
      </c>
      <c r="DZ43" s="1" t="n">
        <f aca="false">AH43+DY43</f>
        <v>0</v>
      </c>
      <c r="EA43" s="1" t="n">
        <f aca="false">IF(AG43=1,MAX(0,(Slot2_Cost-DZ43*(1+Slot2_Rate)^(Slot2_Age-D43))/DW43),0)</f>
        <v>0</v>
      </c>
      <c r="EB43" s="1" t="n">
        <f aca="false">IF(AG43=1,MAX(0,(Slot2_Cost-AH43*(1+Slot2_Rate)^(Slot2_Age-D43))/DW43),0)</f>
        <v>0</v>
      </c>
      <c r="EC43" s="1" t="n">
        <f aca="false">IF(AND(DD43=1,AG43=1),MIN(DV43,EA43),0)</f>
        <v>0</v>
      </c>
      <c r="ED43" s="1" t="n">
        <f aca="false">DV43-EC43</f>
        <v>0</v>
      </c>
      <c r="EE43" s="1" t="n">
        <f aca="false">IF(AQ43=1,IF(ABS((1+AS_Wage)/(1+Slot3_Rate)-1)&lt;0.000000000001,(Slot3_Age-D43)*(1+Slot3_Rate)^(Slot3_Age-D43),(1+Slot3_Rate)^(Slot3_Age-D43)*(1-((1+AS_Wage)/(1+Slot3_Rate))^(Slot3_Age-D43))/(1-(1+AS_Wage)/(1+Slot3_Rate))),1)</f>
        <v>1</v>
      </c>
      <c r="EF43" s="1" t="n">
        <f aca="false">IF(AND(DD43=1,DN43&gt;0,Slot3_IsWG=1,AQ43=1),MAX(0,(Slot3_Cost-AR43*(1+Slot3_Rate)^(Slot3_Age-D43))/EE43),0)</f>
        <v>0</v>
      </c>
      <c r="EG43" s="1" t="n">
        <f aca="false">IF(AND(DD43=1,DN43&gt;0,Slot3_IsWG=1,AQ43=1),MIN(DN43,EF43),0)</f>
        <v>0</v>
      </c>
      <c r="EH43" s="1" t="n">
        <f aca="false">AR43+EG43</f>
        <v>0</v>
      </c>
      <c r="EI43" s="1" t="n">
        <f aca="false">IF(AQ43=1,MAX(0,(Slot3_Cost-EH43*(1+Slot3_Rate)^(Slot3_Age-D43))/EE43),0)</f>
        <v>0</v>
      </c>
      <c r="EJ43" s="1" t="n">
        <f aca="false">IF(AQ43=1,MAX(0,(Slot3_Cost-AR43*(1+Slot3_Rate)^(Slot3_Age-D43))/EE43),0)</f>
        <v>0</v>
      </c>
      <c r="EK43" s="1" t="n">
        <f aca="false">IF(AND(DD43=1,AQ43=1),MIN(ED43,EI43),0)</f>
        <v>0</v>
      </c>
      <c r="EL43" s="1" t="n">
        <f aca="false">ED43-EK43</f>
        <v>0</v>
      </c>
      <c r="EM43" s="1" t="n">
        <f aca="false">IF(BA43=1,IF(ABS((1+AS_Wage)/(1+Slot4_Rate)-1)&lt;0.000000000001,(Slot4_Age-D43)*(1+Slot4_Rate)^(Slot4_Age-D43),(1+Slot4_Rate)^(Slot4_Age-D43)*(1-((1+AS_Wage)/(1+Slot4_Rate))^(Slot4_Age-D43))/(1-(1+AS_Wage)/(1+Slot4_Rate))),1)</f>
        <v>1</v>
      </c>
      <c r="EN43" s="1" t="n">
        <f aca="false">IF(AND(DD43=1,DN43&gt;0,Slot4_IsWG=1,BA43=1),MAX(0,(Slot4_Cost-BB43*(1+Slot4_Rate)^(Slot4_Age-D43))/EM43),0)</f>
        <v>0</v>
      </c>
      <c r="EO43" s="1" t="n">
        <f aca="false">IF(AND(DD43=1,DN43&gt;0,Slot4_IsWG=1,BA43=1),MIN(DN43,EN43),0)</f>
        <v>0</v>
      </c>
      <c r="EP43" s="1" t="n">
        <f aca="false">BB43+EO43</f>
        <v>0</v>
      </c>
      <c r="EQ43" s="1" t="n">
        <f aca="false">IF(BA43=1,MAX(0,(Slot4_Cost-EP43*(1+Slot4_Rate)^(Slot4_Age-D43))/EM43),0)</f>
        <v>0</v>
      </c>
      <c r="ER43" s="1" t="n">
        <f aca="false">IF(BA43=1,MAX(0,(Slot4_Cost-BB43*(1+Slot4_Rate)^(Slot4_Age-D43))/EM43),0)</f>
        <v>0</v>
      </c>
      <c r="ES43" s="1" t="n">
        <f aca="false">IF(AND(DD43=1,BA43=1),MIN(EL43,EQ43),0)</f>
        <v>0</v>
      </c>
      <c r="ET43" s="1" t="n">
        <f aca="false">EL43-ES43</f>
        <v>0</v>
      </c>
      <c r="EU43" s="1" t="n">
        <f aca="false">IF(BK43=1,IF(ABS((1+AS_Wage)/(1+Slot5_Rate)-1)&lt;0.000000000001,(Slot5_Age-D43)*(1+Slot5_Rate)^(Slot5_Age-D43),(1+Slot5_Rate)^(Slot5_Age-D43)*(1-((1+AS_Wage)/(1+Slot5_Rate))^(Slot5_Age-D43))/(1-(1+AS_Wage)/(1+Slot5_Rate))),1)</f>
        <v>1</v>
      </c>
      <c r="EV43" s="1" t="n">
        <f aca="false">IF(AND(DD43=1,DN43&gt;0,Slot5_IsWG=1,BK43=1),MAX(0,(Slot5_Cost-BL43*(1+Slot5_Rate)^(Slot5_Age-D43))/EU43),0)</f>
        <v>0</v>
      </c>
      <c r="EW43" s="1" t="n">
        <f aca="false">IF(AND(DD43=1,DN43&gt;0,Slot5_IsWG=1,BK43=1),MIN(DN43,EV43),0)</f>
        <v>0</v>
      </c>
      <c r="EX43" s="1" t="n">
        <f aca="false">BL43+EW43</f>
        <v>0</v>
      </c>
      <c r="EY43" s="1" t="n">
        <f aca="false">IF(BK43=1,MAX(0,(Slot5_Cost-EX43*(1+Slot5_Rate)^(Slot5_Age-D43))/EU43),0)</f>
        <v>0</v>
      </c>
      <c r="EZ43" s="1" t="n">
        <f aca="false">IF(BK43=1,MAX(0,(Slot5_Cost-BL43*(1+Slot5_Rate)^(Slot5_Age-D43))/EU43),0)</f>
        <v>0</v>
      </c>
      <c r="FA43" s="1" t="n">
        <f aca="false">IF(AND(DD43=1,BK43=1),MIN(ET43,EY43),0)</f>
        <v>0</v>
      </c>
      <c r="FB43" s="1" t="n">
        <f aca="false">ET43-FA43</f>
        <v>0</v>
      </c>
      <c r="FC43" s="1" t="n">
        <f aca="false">IF(BU43=1,IF(ABS((1+AS_Wage)/(1+Slot6_Rate)-1)&lt;0.000000000001,(Slot6_Age-D43)*(1+Slot6_Rate)^(Slot6_Age-D43),(1+Slot6_Rate)^(Slot6_Age-D43)*(1-((1+AS_Wage)/(1+Slot6_Rate))^(Slot6_Age-D43))/(1-(1+AS_Wage)/(1+Slot6_Rate))),1)</f>
        <v>1</v>
      </c>
      <c r="FD43" s="1" t="n">
        <f aca="false">IF(AND(DD43=1,DN43&gt;0,Slot6_IsWG=1,BU43=1),MAX(0,(Slot6_Cost-BV43*(1+Slot6_Rate)^(Slot6_Age-D43))/FC43),0)</f>
        <v>0</v>
      </c>
      <c r="FE43" s="1" t="n">
        <f aca="false">IF(AND(DD43=1,DN43&gt;0,Slot6_IsWG=1,BU43=1),MIN(DN43,FD43),0)</f>
        <v>0</v>
      </c>
      <c r="FF43" s="1" t="n">
        <f aca="false">BV43+FE43</f>
        <v>0</v>
      </c>
      <c r="FG43" s="1" t="n">
        <f aca="false">IF(BU43=1,MAX(0,(Slot6_Cost-FF43*(1+Slot6_Rate)^(Slot6_Age-D43))/FC43),0)</f>
        <v>0</v>
      </c>
      <c r="FH43" s="1" t="n">
        <f aca="false">IF(BU43=1,MAX(0,(Slot6_Cost-BV43*(1+Slot6_Rate)^(Slot6_Age-D43))/FC43),0)</f>
        <v>0</v>
      </c>
      <c r="FI43" s="1" t="n">
        <f aca="false">IF(AND(DD43=1,BU43=1),MIN(FB43,FG43),0)</f>
        <v>0</v>
      </c>
      <c r="FJ43" s="1" t="n">
        <f aca="false">FB43-FI43</f>
        <v>0</v>
      </c>
      <c r="FK43" s="1" t="n">
        <f aca="false">IF(CE43=1,IF(ABS((1+AS_Wage)/(1+Slot7_Rate)-1)&lt;0.000000000001,(Slot7_Age-D43)*(1+Slot7_Rate)^(Slot7_Age-D43),(1+Slot7_Rate)^(Slot7_Age-D43)*(1-((1+AS_Wage)/(1+Slot7_Rate))^(Slot7_Age-D43))/(1-(1+AS_Wage)/(1+Slot7_Rate))),1)</f>
        <v>1</v>
      </c>
      <c r="FL43" s="1" t="n">
        <f aca="false">IF(AND(DD43=1,DN43&gt;0,Slot7_IsWG=1,CE43=1),MAX(0,(Slot7_Cost-CF43*(1+Slot7_Rate)^(Slot7_Age-D43))/FK43),0)</f>
        <v>0</v>
      </c>
      <c r="FM43" s="1" t="n">
        <f aca="false">IF(AND(DD43=1,DN43&gt;0,Slot7_IsWG=1,CE43=1),MIN(DN43,FL43),0)</f>
        <v>0</v>
      </c>
      <c r="FN43" s="1" t="n">
        <f aca="false">CF43+FM43</f>
        <v>0</v>
      </c>
      <c r="FO43" s="1" t="n">
        <f aca="false">IF(CE43=1,MAX(0,(Slot7_Cost-FN43*(1+Slot7_Rate)^(Slot7_Age-D43))/FK43),0)</f>
        <v>0</v>
      </c>
      <c r="FP43" s="1" t="n">
        <f aca="false">IF(CE43=1,MAX(0,(Slot7_Cost-CF43*(1+Slot7_Rate)^(Slot7_Age-D43))/FK43),0)</f>
        <v>0</v>
      </c>
      <c r="FQ43" s="1" t="n">
        <f aca="false">IF(AND(DD43=1,CE43=1),MIN(FJ43,FO43),0)</f>
        <v>0</v>
      </c>
      <c r="FR43" s="1" t="n">
        <f aca="false">FJ43-FQ43</f>
        <v>0</v>
      </c>
      <c r="FS43" s="1" t="n">
        <f aca="false">IF(CO43=1,IF(ABS((1+AS_Wage)/(1+Slot8_Rate)-1)&lt;0.000000000001,(Slot8_Age-D43)*(1+Slot8_Rate)^(Slot8_Age-D43),(1+Slot8_Rate)^(Slot8_Age-D43)*(1-((1+AS_Wage)/(1+Slot8_Rate))^(Slot8_Age-D43))/(1-(1+AS_Wage)/(1+Slot8_Rate))),1)</f>
        <v>1</v>
      </c>
      <c r="FT43" s="1" t="n">
        <f aca="false">IF(AND(DD43=1,DN43&gt;0,Slot8_IsWG=1,CO43=1),MAX(0,(Slot8_Cost-CP43*(1+Slot8_Rate)^(Slot8_Age-D43))/FS43),0)</f>
        <v>0</v>
      </c>
      <c r="FU43" s="1" t="n">
        <f aca="false">IF(AND(DD43=1,DN43&gt;0,Slot8_IsWG=1,CO43=1),MIN(DN43,FT43),0)</f>
        <v>0</v>
      </c>
      <c r="FV43" s="1" t="n">
        <f aca="false">CP43+FU43</f>
        <v>0</v>
      </c>
      <c r="FW43" s="1" t="n">
        <f aca="false">IF(CO43=1,MAX(0,(Slot8_Cost-FV43*(1+Slot8_Rate)^(Slot8_Age-D43))/FS43),0)</f>
        <v>0</v>
      </c>
      <c r="FX43" s="1" t="n">
        <f aca="false">IF(CO43=1,MAX(0,(Slot8_Cost-CP43*(1+Slot8_Rate)^(Slot8_Age-D43))/FS43),0)</f>
        <v>0</v>
      </c>
      <c r="FY43" s="1" t="n">
        <f aca="false">IF(AND(DD43=1,CO43=1),MIN(FR43,FW43),0)</f>
        <v>0</v>
      </c>
      <c r="FZ43" s="1" t="n">
        <f aca="false">FR43-FY43</f>
        <v>0</v>
      </c>
      <c r="GA43" s="1" t="n">
        <f aca="false">DN43-(DQ43+DY43+EG43+EO43+EW43+FE43+FM43+FU43)</f>
        <v>0</v>
      </c>
      <c r="GB43" s="1" t="n">
        <f aca="false">IF(DD43=1,DB43-DM43-DN43,0)</f>
        <v>0</v>
      </c>
      <c r="GC43" s="1" t="n">
        <f aca="false">IF(DD43=0,-DB43,0)</f>
        <v>0</v>
      </c>
      <c r="GD43" s="1" t="n">
        <f aca="false">MIN(GC43,CT43)</f>
        <v>0</v>
      </c>
      <c r="GE43" s="1" t="n">
        <f aca="false">GC43-GD43</f>
        <v>0</v>
      </c>
      <c r="GF43" s="1" t="n">
        <f aca="false">MIN(GE43,CU43)</f>
        <v>0</v>
      </c>
      <c r="GG43" s="1" t="n">
        <f aca="false">GE43-GF43</f>
        <v>0</v>
      </c>
      <c r="GH43" s="1" t="n">
        <f aca="false">IF(AND(DD43=0,CO43=1,GG43&gt;0),MIN(GG43,CP43),0)</f>
        <v>0</v>
      </c>
      <c r="GI43" s="1" t="n">
        <f aca="false">GG43-GH43</f>
        <v>0</v>
      </c>
      <c r="GJ43" s="1" t="n">
        <f aca="false">IF(AND(DD43=0,CE43=1,GI43&gt;0),MIN(GI43,CF43),0)</f>
        <v>0</v>
      </c>
      <c r="GK43" s="1" t="n">
        <f aca="false">GI43-GJ43</f>
        <v>0</v>
      </c>
      <c r="GL43" s="1" t="n">
        <f aca="false">IF(AND(DD43=0,BU43=1,GK43&gt;0),MIN(GK43,BV43),0)</f>
        <v>0</v>
      </c>
      <c r="GM43" s="1" t="n">
        <f aca="false">GK43-GL43</f>
        <v>0</v>
      </c>
      <c r="GN43" s="1" t="n">
        <f aca="false">IF(AND(DD43=0,BK43=1,GM43&gt;0),MIN(GM43,BL43),0)</f>
        <v>0</v>
      </c>
      <c r="GO43" s="1" t="n">
        <f aca="false">GM43-GN43</f>
        <v>0</v>
      </c>
      <c r="GP43" s="1" t="n">
        <f aca="false">IF(AND(DD43=0,BA43=1,GO43&gt;0),MIN(GO43,BB43),0)</f>
        <v>0</v>
      </c>
      <c r="GQ43" s="1" t="n">
        <f aca="false">GO43-GP43</f>
        <v>0</v>
      </c>
      <c r="GR43" s="1" t="n">
        <f aca="false">IF(AND(DD43=0,AQ43=1,GQ43&gt;0),MIN(GQ43,AR43),0)</f>
        <v>0</v>
      </c>
      <c r="GS43" s="1" t="n">
        <f aca="false">GQ43-GR43</f>
        <v>0</v>
      </c>
      <c r="GT43" s="1" t="n">
        <f aca="false">IF(AND(DD43=0,AG43=1,GS43&gt;0),MIN(GS43,AH43),0)</f>
        <v>0</v>
      </c>
      <c r="GU43" s="1" t="n">
        <f aca="false">GS43-GT43</f>
        <v>0</v>
      </c>
      <c r="GV43" s="1" t="n">
        <f aca="false">IF(AND(DD43=0,V43=1,GU43&gt;0),MIN(GU43,W43),0)</f>
        <v>0</v>
      </c>
      <c r="GW43" s="1" t="n">
        <f aca="false">GU43-GV43</f>
        <v>0</v>
      </c>
      <c r="GX43" s="1" t="n">
        <f aca="false">IF(DD43=0,GW43,0)</f>
        <v>0</v>
      </c>
      <c r="GY43" s="1" t="n">
        <f aca="false">GD43+GF43+GV43+GT43+GR43+GP43+GN43+GL43+GJ43+GH43</f>
        <v>0</v>
      </c>
      <c r="GZ43" s="1" t="n">
        <f aca="false">IF(DD43=1,CT43+GA43+FZ43+IF(F43=1,0,GB43),CT43-GD43)</f>
        <v>0</v>
      </c>
      <c r="HA43" s="1" t="n">
        <f aca="false">CU43-GF43</f>
        <v>0</v>
      </c>
      <c r="HB43" s="1" t="n">
        <f aca="false">IF(DD43=1,IF(F43=1,DM43+DN43,DB43),0)</f>
        <v>0</v>
      </c>
      <c r="HC43" s="1" t="n">
        <f aca="false">IF(DD43=1,IF(F43=1,DB43-DM43-DN43,0),0)</f>
        <v>0</v>
      </c>
      <c r="HD43" s="1" t="n">
        <f aca="false">GZ43*(1+GR)</f>
        <v>0</v>
      </c>
      <c r="HE43" s="1" t="n">
        <f aca="false">HA43*(1+AS_Cash)</f>
        <v>0</v>
      </c>
      <c r="HF43" s="1" t="n">
        <f aca="false">IF(V43=1,IF(DD43=1,DR43+DU43,W43-GV43)*(1+Slot1_Rate),0)</f>
        <v>0</v>
      </c>
      <c r="HG43" s="1" t="n">
        <f aca="false">IF(AND(DD43=1,V43=1),(DQ43+DU43)/E43,0)</f>
        <v>0</v>
      </c>
      <c r="HH43" s="1" t="n">
        <f aca="false">IF(B43=0,DQ43+DU43,0)</f>
        <v>0</v>
      </c>
      <c r="HI43" s="1" t="n">
        <f aca="false">IF(B43=0,IF(DD43=1,DS43,DT43),0)</f>
        <v>0</v>
      </c>
      <c r="HJ43" s="1" t="n">
        <f aca="false">IF(AG43=1,IF(DD43=1,DZ43+EC43,AH43-GT43)*(1+Slot2_Rate),0)</f>
        <v>0</v>
      </c>
      <c r="HK43" s="1" t="n">
        <f aca="false">IF(AND(DD43=1,AG43=1),(DY43+EC43)/E43,0)</f>
        <v>0</v>
      </c>
      <c r="HL43" s="1" t="n">
        <f aca="false">IF(B43=0,DY43+EC43,0)</f>
        <v>0</v>
      </c>
      <c r="HM43" s="1" t="n">
        <f aca="false">IF(B43=0,IF(DD43=1,EA43,EB43),0)</f>
        <v>0</v>
      </c>
      <c r="HN43" s="1" t="n">
        <f aca="false">IF(AQ43=1,IF(DD43=1,EH43+EK43,AR43-GR43)*(1+Slot3_Rate),0)</f>
        <v>0</v>
      </c>
      <c r="HO43" s="1" t="n">
        <f aca="false">IF(AND(DD43=1,AQ43=1),(EG43+EK43)/E43,0)</f>
        <v>0</v>
      </c>
      <c r="HP43" s="1" t="n">
        <f aca="false">IF(B43=0,EG43+EK43,0)</f>
        <v>0</v>
      </c>
      <c r="HQ43" s="1" t="n">
        <f aca="false">IF(B43=0,IF(DD43=1,EI43,EJ43),0)</f>
        <v>0</v>
      </c>
      <c r="HR43" s="1" t="n">
        <f aca="false">IF(BA43=1,IF(DD43=1,EP43+ES43,BB43-GP43)*(1+Slot4_Rate),0)</f>
        <v>0</v>
      </c>
      <c r="HS43" s="1" t="n">
        <f aca="false">IF(AND(DD43=1,BA43=1),(EO43+ES43)/E43,0)</f>
        <v>0</v>
      </c>
      <c r="HT43" s="1" t="n">
        <f aca="false">IF(B43=0,EO43+ES43,0)</f>
        <v>0</v>
      </c>
      <c r="HU43" s="1" t="n">
        <f aca="false">IF(B43=0,IF(DD43=1,EQ43,ER43),0)</f>
        <v>0</v>
      </c>
      <c r="HV43" s="1" t="n">
        <f aca="false">IF(BK43=1,IF(DD43=1,EX43+FA43,BL43-GN43)*(1+Slot5_Rate),0)</f>
        <v>0</v>
      </c>
      <c r="HW43" s="1" t="n">
        <f aca="false">IF(AND(DD43=1,BK43=1),(EW43+FA43)/E43,0)</f>
        <v>0</v>
      </c>
      <c r="HX43" s="1" t="n">
        <f aca="false">IF(B43=0,EW43+FA43,0)</f>
        <v>0</v>
      </c>
      <c r="HY43" s="1" t="n">
        <f aca="false">IF(B43=0,IF(DD43=1,EY43,EZ43),0)</f>
        <v>0</v>
      </c>
      <c r="HZ43" s="1" t="n">
        <f aca="false">IF(BU43=1,IF(DD43=1,FF43+FI43,BV43-GL43)*(1+Slot6_Rate),0)</f>
        <v>0</v>
      </c>
      <c r="IA43" s="1" t="n">
        <f aca="false">IF(AND(DD43=1,BU43=1),(FE43+FI43)/E43,0)</f>
        <v>0</v>
      </c>
      <c r="IB43" s="1" t="n">
        <f aca="false">IF(B43=0,FE43+FI43,0)</f>
        <v>0</v>
      </c>
      <c r="IC43" s="1" t="n">
        <f aca="false">IF(B43=0,IF(DD43=1,FG43,FH43),0)</f>
        <v>0</v>
      </c>
      <c r="ID43" s="1" t="n">
        <f aca="false">IF(CE43=1,IF(DD43=1,FN43+FQ43,CF43-GJ43)*(1+Slot7_Rate),0)</f>
        <v>0</v>
      </c>
      <c r="IE43" s="1" t="n">
        <f aca="false">IF(AND(DD43=1,CE43=1),(FM43+FQ43)/E43,0)</f>
        <v>0</v>
      </c>
      <c r="IF43" s="1" t="n">
        <f aca="false">IF(B43=0,FM43+FQ43,0)</f>
        <v>0</v>
      </c>
      <c r="IG43" s="1" t="n">
        <f aca="false">IF(B43=0,IF(DD43=1,FO43,FP43),0)</f>
        <v>0</v>
      </c>
      <c r="IH43" s="1" t="n">
        <f aca="false">IF(CO43=1,IF(DD43=1,FV43+FY43,CP43-GH43)*(1+Slot8_Rate),0)</f>
        <v>0</v>
      </c>
      <c r="II43" s="1" t="n">
        <f aca="false">IF(AND(DD43=1,CO43=1),(FU43+FY43)/E43,0)</f>
        <v>0</v>
      </c>
      <c r="IJ43" s="1" t="n">
        <f aca="false">IF(B43=0,FU43+FY43,0)</f>
        <v>0</v>
      </c>
      <c r="IK43" s="1" t="n">
        <f aca="false">IF(B43=0,IF(DD43=1,FW43,FX43),0)</f>
        <v>0</v>
      </c>
      <c r="IL43" s="1" t="n">
        <f aca="false">HD43+HE43+HF43+HJ43+HN43+HR43+HV43+HZ43+ID43+IH43</f>
        <v>0</v>
      </c>
      <c r="IM43" s="1" t="n">
        <f aca="false">GX43+CY43</f>
        <v>0</v>
      </c>
      <c r="IN43" s="1" t="n">
        <f aca="false">H43+R43</f>
        <v>0</v>
      </c>
      <c r="IO43" s="1" t="n">
        <f aca="false">1-F43</f>
        <v>1</v>
      </c>
      <c r="IP43" s="1" t="n">
        <f aca="false">IF(AND(RG_Exists=1,F43=0,C43=1),H43,0)</f>
        <v>0</v>
      </c>
      <c r="IQ43" s="1" t="n">
        <f aca="false">IF(AND(RG_Exists=1,F43=0,C43=1),H43-MIN(GX43,H43),0)</f>
        <v>0</v>
      </c>
      <c r="IR43" s="1" t="n">
        <f aca="false">'Plan pay &amp; tax'!AD245</f>
        <v>0</v>
      </c>
      <c r="IS43" s="1" t="n">
        <f aca="false">IF(AND(C43=1,GX43&gt;MAX(PR_Short1,IN43*PR_Short2)),1,0)</f>
        <v>0</v>
      </c>
      <c r="IT43" s="1" t="n">
        <f aca="false">MIN(G43,H43+R43)</f>
        <v>0</v>
      </c>
      <c r="IU43" s="1" t="n">
        <f aca="false">GY43+MAX(0,CZ43-CY43)</f>
        <v>0</v>
      </c>
      <c r="IV43" s="1" t="n">
        <f aca="false">GX43+CY43</f>
        <v>0</v>
      </c>
      <c r="IW43" s="1" t="n">
        <f aca="false">IF(AND(C43=1,IV43&gt;0.5),1,0)</f>
        <v>0</v>
      </c>
      <c r="IX43" s="1" t="n">
        <f aca="false">IF(AND(C43=1,IW43=0,IU43&gt;0.5),1,0)</f>
        <v>0</v>
      </c>
      <c r="IY43" s="1" t="n">
        <f aca="false">IF(AND(C43=1,GX43&gt;0.5),1,0)</f>
        <v>0</v>
      </c>
      <c r="IZ43" s="1" t="n">
        <f aca="false">IF(AND(C43=1,GY43&gt;1,JF43=0),1,0)</f>
        <v>0</v>
      </c>
      <c r="JA43" s="1" t="n">
        <f aca="false">IF(AND(INT(D43/10)*10=90,B43&gt;0),80,INT(D43/10)*10)</f>
        <v>30</v>
      </c>
      <c r="JB43" s="1" t="n">
        <f aca="false">IF(B43=0,1,IF(JA43&lt;&gt;JA42,JB42+1,JB42))</f>
        <v>4</v>
      </c>
      <c r="JC43" s="1" t="n">
        <f aca="false">IF(AND(C43=1,F43=1,GX43&gt;MAX(PR_Short1,IN43*PR_Short2)),1,0)</f>
        <v>0</v>
      </c>
      <c r="JD43" s="1" t="n">
        <f aca="false">IO43*IS43</f>
        <v>0</v>
      </c>
      <c r="JE43" s="1" t="n">
        <f aca="false">IF(AND(U43=1,Slot1_PctLow=1),1,0)+IF(AND(AF43=1,Slot2_PctLow=1),1,0)+IF(AND(AP43=1,Slot3_PctLow=1),1,0)+IF(AND(AZ43=1,Slot4_PctLow=1),1,0)+IF(AND(BJ43=1,Slot5_PctLow=1),1,0)+IF(AND(BT43=1,Slot6_PctLow=1),1,0)+IF(AND(CD43=1,Slot7_PctLow=1),1,0)+IF(AND(CN43=1,Slot8_PctLow=1),1,0)</f>
        <v>0</v>
      </c>
      <c r="JF43" s="1" t="n">
        <f aca="false">IF(C43=1,IF(OR(IS43=1,JE43&gt;0),1,0),0)</f>
        <v>0</v>
      </c>
    </row>
    <row r="44" customFormat="false" ht="15" hidden="false" customHeight="false" outlineLevel="0" collapsed="false">
      <c r="B44" s="1" t="n">
        <v>36</v>
      </c>
      <c r="C44" s="1" t="n">
        <f aca="false">IF(B44&lt;=F_N,1,0)</f>
        <v>1</v>
      </c>
      <c r="D44" s="1" t="n">
        <f aca="false">'Plan pay &amp; tax'!C246</f>
        <v>36</v>
      </c>
      <c r="E44" s="106" t="n">
        <f aca="false">'Plan pay &amp; tax'!E246</f>
        <v>2.03988734371571</v>
      </c>
      <c r="F44" s="1" t="n">
        <f aca="false">'Plan pay &amp; tax'!G246</f>
        <v>0</v>
      </c>
      <c r="G44" s="1" t="n">
        <f aca="false">'Plan pay &amp; tax'!BT246-'Plan pay &amp; tax'!BS246-'Plan pay &amp; tax'!R246</f>
        <v>0</v>
      </c>
      <c r="H44" s="1" t="n">
        <f aca="false">IF(F44=1,F_CostsM*12,IF(RG_Exists=1,RG_Amount,F_CostsM*12*AS_RetireSpend))*E44+F_OneOffY*E44</f>
        <v>0</v>
      </c>
      <c r="I44" s="1" t="n">
        <f aca="false">DA43</f>
        <v>0</v>
      </c>
      <c r="J44" s="1" t="n">
        <f aca="false">IF(I44&gt;1,'Plan debt months'!AC44,0)</f>
        <v>0</v>
      </c>
      <c r="K44" s="1" t="n">
        <f aca="false">IF(I44&gt;1,'Plan debt months'!AB44,I44)</f>
        <v>0</v>
      </c>
      <c r="L44" s="1" t="n">
        <f aca="false">N43</f>
        <v>0</v>
      </c>
      <c r="M44" s="1" t="n">
        <f aca="false">IF(L44&gt;1,'Plan debt months'!BD44,0)</f>
        <v>0</v>
      </c>
      <c r="N44" s="1" t="n">
        <f aca="false">IF(L44&gt;1,'Plan debt months'!BC44,L44)</f>
        <v>0</v>
      </c>
      <c r="O44" s="1" t="n">
        <f aca="false">Q43</f>
        <v>0</v>
      </c>
      <c r="P44" s="1" t="n">
        <f aca="false">IF(O44&gt;1,'Plan debt months'!CE44,0)</f>
        <v>0</v>
      </c>
      <c r="Q44" s="1" t="n">
        <f aca="false">IF(O44&gt;1,'Plan debt months'!CD44,O44)</f>
        <v>0</v>
      </c>
      <c r="R44" s="1" t="n">
        <f aca="false">J44+M44+P44</f>
        <v>0</v>
      </c>
      <c r="S44" s="1" t="n">
        <f aca="false">HD43+'Plan pay &amp; tax'!Y246</f>
        <v>0</v>
      </c>
      <c r="T44" s="1" t="n">
        <f aca="false">HD43</f>
        <v>0</v>
      </c>
      <c r="U44" s="1" t="n">
        <f aca="false">IF(AND(Slot1_On=1,D44=Slot1_Age),1,0)</f>
        <v>0</v>
      </c>
      <c r="V44" s="1" t="n">
        <f aca="false">IF(AND(Slot1_On=1,Slot1_Age&gt;D44),1,0)</f>
        <v>0</v>
      </c>
      <c r="W44" s="1" t="n">
        <f aca="false">HF43</f>
        <v>0</v>
      </c>
      <c r="X44" s="1" t="n">
        <f aca="false">U44*MIN(Slot1_Cost,W44)</f>
        <v>0</v>
      </c>
      <c r="Y44" s="1" t="n">
        <f aca="false">U44*Slot1_SpendLike*MIN(Slot1_Cost-X44,S44)</f>
        <v>0</v>
      </c>
      <c r="Z44" s="1" t="n">
        <f aca="false">X44+Y44</f>
        <v>0</v>
      </c>
      <c r="AA44" s="1" t="n">
        <f aca="false">S44-Y44+U44*IF(Slot1_SpendLike=1,W44-X44,IF(Slot1_PotFree=1,W44,0))</f>
        <v>0</v>
      </c>
      <c r="AB44" s="1" t="n">
        <f aca="false">AE44+U44*Slot1_BufPot*W44</f>
        <v>0</v>
      </c>
      <c r="AC44" s="1" t="n">
        <f aca="false">IF(AND(U44=1,Slot1_IsMfree=1),IF(Z44&gt;=Slot1_Cost-1,0,MAX(0,K44-Z44)),K44)</f>
        <v>0</v>
      </c>
      <c r="AD44" s="1" t="n">
        <f aca="false">U44*(Slot1_Cost-Z44)</f>
        <v>0</v>
      </c>
      <c r="AE44" s="1" t="n">
        <f aca="false">HE43</f>
        <v>0</v>
      </c>
      <c r="AF44" s="1" t="n">
        <f aca="false">IF(AND(Slot2_On=1,D44=Slot2_Age),1,0)</f>
        <v>0</v>
      </c>
      <c r="AG44" s="1" t="n">
        <f aca="false">IF(AND(Slot2_On=1,Slot2_Age&gt;D44),1,0)</f>
        <v>0</v>
      </c>
      <c r="AH44" s="1" t="n">
        <f aca="false">HJ43</f>
        <v>0</v>
      </c>
      <c r="AI44" s="1" t="n">
        <f aca="false">AF44*MIN(Slot2_Cost,AH44)</f>
        <v>0</v>
      </c>
      <c r="AJ44" s="1" t="n">
        <f aca="false">AF44*Slot2_SpendLike*MIN(Slot2_Cost-AI44,AA44)</f>
        <v>0</v>
      </c>
      <c r="AK44" s="1" t="n">
        <f aca="false">AI44+AJ44</f>
        <v>0</v>
      </c>
      <c r="AL44" s="1" t="n">
        <f aca="false">AA44-AJ44+AF44*IF(Slot2_SpendLike=1,AH44-AI44,IF(Slot2_PotFree=1,AH44,0))</f>
        <v>0</v>
      </c>
      <c r="AM44" s="1" t="n">
        <f aca="false">AB44+AF44*Slot2_BufPot*AH44</f>
        <v>0</v>
      </c>
      <c r="AN44" s="1" t="n">
        <f aca="false">IF(AND(AF44=1,Slot2_IsMfree=1),IF(AK44&gt;=Slot2_Cost-1,0,MAX(0,AC44-AK44)),AC44)</f>
        <v>0</v>
      </c>
      <c r="AO44" s="1" t="n">
        <f aca="false">AF44*(Slot2_Cost-AK44)</f>
        <v>0</v>
      </c>
      <c r="AP44" s="1" t="n">
        <f aca="false">IF(AND(Slot3_On=1,D44=Slot3_Age),1,0)</f>
        <v>0</v>
      </c>
      <c r="AQ44" s="1" t="n">
        <f aca="false">IF(AND(Slot3_On=1,Slot3_Age&gt;D44),1,0)</f>
        <v>0</v>
      </c>
      <c r="AR44" s="1" t="n">
        <f aca="false">HN43</f>
        <v>0</v>
      </c>
      <c r="AS44" s="1" t="n">
        <f aca="false">AP44*MIN(Slot3_Cost,AR44)</f>
        <v>0</v>
      </c>
      <c r="AT44" s="1" t="n">
        <f aca="false">AP44*Slot3_SpendLike*MIN(Slot3_Cost-AS44,AL44)</f>
        <v>0</v>
      </c>
      <c r="AU44" s="1" t="n">
        <f aca="false">AS44+AT44</f>
        <v>0</v>
      </c>
      <c r="AV44" s="1" t="n">
        <f aca="false">AL44-AT44+AP44*IF(Slot3_SpendLike=1,AR44-AS44,IF(Slot3_PotFree=1,AR44,0))</f>
        <v>0</v>
      </c>
      <c r="AW44" s="1" t="n">
        <f aca="false">AM44+AP44*Slot3_BufPot*AR44</f>
        <v>0</v>
      </c>
      <c r="AX44" s="1" t="n">
        <f aca="false">IF(AND(AP44=1,Slot3_IsMfree=1),IF(AU44&gt;=Slot3_Cost-1,0,MAX(0,AN44-AU44)),AN44)</f>
        <v>0</v>
      </c>
      <c r="AY44" s="1" t="n">
        <f aca="false">AP44*(Slot3_Cost-AU44)</f>
        <v>0</v>
      </c>
      <c r="AZ44" s="1" t="n">
        <f aca="false">IF(AND(Slot4_On=1,D44=Slot4_Age),1,0)</f>
        <v>0</v>
      </c>
      <c r="BA44" s="1" t="n">
        <f aca="false">IF(AND(Slot4_On=1,Slot4_Age&gt;D44),1,0)</f>
        <v>0</v>
      </c>
      <c r="BB44" s="1" t="n">
        <f aca="false">HR43</f>
        <v>0</v>
      </c>
      <c r="BC44" s="1" t="n">
        <f aca="false">AZ44*MIN(Slot4_Cost,BB44)</f>
        <v>0</v>
      </c>
      <c r="BD44" s="1" t="n">
        <f aca="false">AZ44*Slot4_SpendLike*MIN(Slot4_Cost-BC44,AV44)</f>
        <v>0</v>
      </c>
      <c r="BE44" s="1" t="n">
        <f aca="false">BC44+BD44</f>
        <v>0</v>
      </c>
      <c r="BF44" s="1" t="n">
        <f aca="false">AV44-BD44+AZ44*IF(Slot4_SpendLike=1,BB44-BC44,IF(Slot4_PotFree=1,BB44,0))</f>
        <v>0</v>
      </c>
      <c r="BG44" s="1" t="n">
        <f aca="false">AW44+AZ44*Slot4_BufPot*BB44</f>
        <v>0</v>
      </c>
      <c r="BH44" s="1" t="n">
        <f aca="false">IF(AND(AZ44=1,Slot4_IsMfree=1),IF(BE44&gt;=Slot4_Cost-1,0,MAX(0,AX44-BE44)),AX44)</f>
        <v>0</v>
      </c>
      <c r="BI44" s="1" t="n">
        <f aca="false">AZ44*(Slot4_Cost-BE44)</f>
        <v>0</v>
      </c>
      <c r="BJ44" s="1" t="n">
        <f aca="false">IF(AND(Slot5_On=1,D44=Slot5_Age),1,0)</f>
        <v>0</v>
      </c>
      <c r="BK44" s="1" t="n">
        <f aca="false">IF(AND(Slot5_On=1,Slot5_Age&gt;D44),1,0)</f>
        <v>0</v>
      </c>
      <c r="BL44" s="1" t="n">
        <f aca="false">HV43</f>
        <v>0</v>
      </c>
      <c r="BM44" s="1" t="n">
        <f aca="false">BJ44*MIN(Slot5_Cost,BL44)</f>
        <v>0</v>
      </c>
      <c r="BN44" s="1" t="n">
        <f aca="false">BJ44*Slot5_SpendLike*MIN(Slot5_Cost-BM44,BF44)</f>
        <v>0</v>
      </c>
      <c r="BO44" s="1" t="n">
        <f aca="false">BM44+BN44</f>
        <v>0</v>
      </c>
      <c r="BP44" s="1" t="n">
        <f aca="false">BF44-BN44+BJ44*IF(Slot5_SpendLike=1,BL44-BM44,IF(Slot5_PotFree=1,BL44,0))</f>
        <v>0</v>
      </c>
      <c r="BQ44" s="1" t="n">
        <f aca="false">BG44+BJ44*Slot5_BufPot*BL44</f>
        <v>0</v>
      </c>
      <c r="BR44" s="1" t="n">
        <f aca="false">IF(AND(BJ44=1,Slot5_IsMfree=1),IF(BO44&gt;=Slot5_Cost-1,0,MAX(0,BH44-BO44)),BH44)</f>
        <v>0</v>
      </c>
      <c r="BS44" s="1" t="n">
        <f aca="false">BJ44*(Slot5_Cost-BO44)</f>
        <v>0</v>
      </c>
      <c r="BT44" s="1" t="n">
        <f aca="false">IF(AND(Slot6_On=1,D44=Slot6_Age),1,0)</f>
        <v>0</v>
      </c>
      <c r="BU44" s="1" t="n">
        <f aca="false">IF(AND(Slot6_On=1,Slot6_Age&gt;D44),1,0)</f>
        <v>0</v>
      </c>
      <c r="BV44" s="1" t="n">
        <f aca="false">HZ43</f>
        <v>0</v>
      </c>
      <c r="BW44" s="1" t="n">
        <f aca="false">BT44*MIN(Slot6_Cost,BV44)</f>
        <v>0</v>
      </c>
      <c r="BX44" s="1" t="n">
        <f aca="false">BT44*Slot6_SpendLike*MIN(Slot6_Cost-BW44,BP44)</f>
        <v>0</v>
      </c>
      <c r="BY44" s="1" t="n">
        <f aca="false">BW44+BX44</f>
        <v>0</v>
      </c>
      <c r="BZ44" s="1" t="n">
        <f aca="false">BP44-BX44+BT44*IF(Slot6_SpendLike=1,BV44-BW44,IF(Slot6_PotFree=1,BV44,0))</f>
        <v>0</v>
      </c>
      <c r="CA44" s="1" t="n">
        <f aca="false">BQ44+BT44*Slot6_BufPot*BV44</f>
        <v>0</v>
      </c>
      <c r="CB44" s="1" t="n">
        <f aca="false">IF(AND(BT44=1,Slot6_IsMfree=1),IF(BY44&gt;=Slot6_Cost-1,0,MAX(0,BR44-BY44)),BR44)</f>
        <v>0</v>
      </c>
      <c r="CC44" s="1" t="n">
        <f aca="false">BT44*(Slot6_Cost-BY44)</f>
        <v>0</v>
      </c>
      <c r="CD44" s="1" t="n">
        <f aca="false">IF(AND(Slot7_On=1,D44=Slot7_Age),1,0)</f>
        <v>0</v>
      </c>
      <c r="CE44" s="1" t="n">
        <f aca="false">IF(AND(Slot7_On=1,Slot7_Age&gt;D44),1,0)</f>
        <v>0</v>
      </c>
      <c r="CF44" s="1" t="n">
        <f aca="false">ID43</f>
        <v>0</v>
      </c>
      <c r="CG44" s="1" t="n">
        <f aca="false">CD44*MIN(Slot7_Cost,CF44)</f>
        <v>0</v>
      </c>
      <c r="CH44" s="1" t="n">
        <f aca="false">CD44*Slot7_SpendLike*MIN(Slot7_Cost-CG44,BZ44)</f>
        <v>0</v>
      </c>
      <c r="CI44" s="1" t="n">
        <f aca="false">CG44+CH44</f>
        <v>0</v>
      </c>
      <c r="CJ44" s="1" t="n">
        <f aca="false">BZ44-CH44+CD44*IF(Slot7_SpendLike=1,CF44-CG44,IF(Slot7_PotFree=1,CF44,0))</f>
        <v>0</v>
      </c>
      <c r="CK44" s="1" t="n">
        <f aca="false">CA44+CD44*Slot7_BufPot*CF44</f>
        <v>0</v>
      </c>
      <c r="CL44" s="1" t="n">
        <f aca="false">IF(AND(CD44=1,Slot7_IsMfree=1),IF(CI44&gt;=Slot7_Cost-1,0,MAX(0,CB44-CI44)),CB44)</f>
        <v>0</v>
      </c>
      <c r="CM44" s="1" t="n">
        <f aca="false">CD44*(Slot7_Cost-CI44)</f>
        <v>0</v>
      </c>
      <c r="CN44" s="1" t="n">
        <f aca="false">IF(AND(Slot8_On=1,D44=Slot8_Age),1,0)</f>
        <v>0</v>
      </c>
      <c r="CO44" s="1" t="n">
        <f aca="false">IF(AND(Slot8_On=1,Slot8_Age&gt;D44),1,0)</f>
        <v>0</v>
      </c>
      <c r="CP44" s="1" t="n">
        <f aca="false">IH43</f>
        <v>0</v>
      </c>
      <c r="CQ44" s="1" t="n">
        <f aca="false">CN44*MIN(Slot8_Cost,CP44)</f>
        <v>0</v>
      </c>
      <c r="CR44" s="1" t="n">
        <f aca="false">CN44*Slot8_SpendLike*MIN(Slot8_Cost-CQ44,CJ44)</f>
        <v>0</v>
      </c>
      <c r="CS44" s="1" t="n">
        <f aca="false">CQ44+CR44</f>
        <v>0</v>
      </c>
      <c r="CT44" s="1" t="n">
        <f aca="false">CJ44-CR44+CN44*IF(Slot8_SpendLike=1,CP44-CQ44,IF(Slot8_PotFree=1,CP44,0))</f>
        <v>0</v>
      </c>
      <c r="CU44" s="1" t="n">
        <f aca="false">CK44+CN44*Slot8_BufPot*CP44</f>
        <v>0</v>
      </c>
      <c r="CV44" s="1" t="n">
        <f aca="false">IF(AND(CN44=1,Slot8_IsMfree=1),IF(CS44&gt;=Slot8_Cost-1,0,MAX(0,CL44-CS44)),CL44)</f>
        <v>0</v>
      </c>
      <c r="CW44" s="1" t="n">
        <f aca="false">CN44*(Slot8_Cost-CS44)</f>
        <v>0</v>
      </c>
      <c r="CX44" s="1" t="n">
        <f aca="false">U44*Slot1_SpendLike*Z44+AF44*Slot2_SpendLike*AK44+AP44*Slot3_SpendLike*AU44+AZ44*Slot4_SpendLike*BE44+BJ44*Slot5_SpendLike*BO44+BT44*Slot6_SpendLike*BY44+CD44*Slot7_SpendLike*CI44+CN44*Slot8_SpendLike*CS44</f>
        <v>0</v>
      </c>
      <c r="CY44" s="1" t="n">
        <f aca="false">AD44+AO44+AY44+BI44+BS44+CC44+CM44+CW44</f>
        <v>0</v>
      </c>
      <c r="CZ44" s="1" t="n">
        <f aca="false">U44*Slot1_Cost+AF44*Slot2_Cost+AP44*Slot3_Cost+AZ44*Slot4_Cost+BJ44*Slot5_Cost+BT44*Slot6_Cost+CD44*Slot7_Cost+CN44*Slot8_Cost</f>
        <v>0</v>
      </c>
      <c r="DA44" s="1" t="n">
        <f aca="false">CV44</f>
        <v>0</v>
      </c>
      <c r="DB44" s="1" t="n">
        <f aca="false">G44-H44-R44</f>
        <v>0</v>
      </c>
      <c r="DC44" s="1" t="n">
        <f aca="false">IF(B44=0,IF(AND(Has_q6=1,In_q6=4),PR_ShareVaries*(MAX(0,DB44)/12),MIN(IF(Has_q6=1,CHOOSE(In_q6+1,PR_SaveB1,PR_SaveB2,PR_SaveB3,PR_SaveB4,0),AS_NoAnswer),AS_SaveShare*(MAX(0,DB44)/12))),DC43)</f>
        <v>0</v>
      </c>
      <c r="DD44" s="1" t="n">
        <f aca="false">IF(DB44&gt;=0,1,0)</f>
        <v>1</v>
      </c>
      <c r="DE44" s="1" t="n">
        <f aca="false">MAX(0,DB44/12/E44)</f>
        <v>0</v>
      </c>
      <c r="DF44" s="1" t="n">
        <f aca="false">IF(AND(Has_q6=1,In_q6=4),PR_ShareVaries*(DE44),MIN(IF(Has_q6=1,CHOOSE(In_q6+1,PR_SaveB1,PR_SaveB2,PR_SaveB3,PR_SaveB4,0),AS_NoAnswer),AS_SaveShare*(DE44)))</f>
        <v>0</v>
      </c>
      <c r="DG44" s="1" t="n">
        <f aca="false">IF(Has_saveM=1,IF(In_saveUp="Yes",1,IF(In_saveUp="No",0,IF(In_saveM&gt;=DC44-0.5,1,0))),0)</f>
        <v>0</v>
      </c>
      <c r="DH44" s="1" t="n">
        <f aca="false">IF(Has_saveM=1,MIN(DE44,IF(DG44=1,MAX(In_saveM,DF44),MIN(In_saveM,DF44))),DF44)</f>
        <v>0</v>
      </c>
      <c r="DI44" s="1" t="n">
        <f aca="false">IF(F44=1,DH44*12*E44,0)</f>
        <v>0</v>
      </c>
      <c r="DJ44" s="1" t="n">
        <f aca="false">MAX(0,DI44+IF(AND(WI_Retire=0,WI_M&lt;0,F44=1),WI_M*12*E44,0))</f>
        <v>0</v>
      </c>
      <c r="DK44" s="1" t="n">
        <f aca="false">Slot1_IsWG*V44+Slot2_IsWG*AG44+Slot3_IsWG*AQ44+Slot4_IsWG*BA44+Slot5_IsWG*BK44+Slot6_IsWG*BU44+Slot7_IsWG*CE44+Slot8_IsWG*CO44</f>
        <v>0</v>
      </c>
      <c r="DL44" s="1" t="n">
        <f aca="false">IF(AND(WI_Retire=0,WI_M&gt;0,F44=1,DK44&gt;=1),WI_M*12*E44,0)</f>
        <v>0</v>
      </c>
      <c r="DM44" s="1" t="n">
        <f aca="false">IF(DD44=1,MIN(DJ44,DB44),0)</f>
        <v>0</v>
      </c>
      <c r="DN44" s="1" t="n">
        <f aca="false">IF(DD44=1,MIN(DL44,DB44-DM44),0)</f>
        <v>0</v>
      </c>
      <c r="DO44" s="1" t="n">
        <f aca="false">IF(V44=1,IF(ABS((1+AS_Wage)/(1+Slot1_Rate)-1)&lt;0.000000000001,(Slot1_Age-D44)*(1+Slot1_Rate)^(Slot1_Age-D44),(1+Slot1_Rate)^(Slot1_Age-D44)*(1-((1+AS_Wage)/(1+Slot1_Rate))^(Slot1_Age-D44))/(1-(1+AS_Wage)/(1+Slot1_Rate))),1)</f>
        <v>1</v>
      </c>
      <c r="DP44" s="1" t="n">
        <f aca="false">IF(AND(DD44=1,DN44&gt;0,Slot1_IsWG=1,V44=1),MAX(0,(Slot1_Cost-W44*(1+Slot1_Rate)^(Slot1_Age-D44))/DO44),0)</f>
        <v>0</v>
      </c>
      <c r="DQ44" s="1" t="n">
        <f aca="false">IF(AND(DD44=1,DN44&gt;0,Slot1_IsWG=1,V44=1),MIN(DN44,DP44),0)</f>
        <v>0</v>
      </c>
      <c r="DR44" s="1" t="n">
        <f aca="false">W44+DQ44</f>
        <v>0</v>
      </c>
      <c r="DS44" s="1" t="n">
        <f aca="false">IF(V44=1,MAX(0,(Slot1_Cost-DR44*(1+Slot1_Rate)^(Slot1_Age-D44))/DO44),0)</f>
        <v>0</v>
      </c>
      <c r="DT44" s="1" t="n">
        <f aca="false">IF(V44=1,MAX(0,(Slot1_Cost-W44*(1+Slot1_Rate)^(Slot1_Age-D44))/DO44),0)</f>
        <v>0</v>
      </c>
      <c r="DU44" s="1" t="n">
        <f aca="false">IF(AND(DD44=1,V44=1),MIN(DM44,DS44),0)</f>
        <v>0</v>
      </c>
      <c r="DV44" s="1" t="n">
        <f aca="false">DM44-DU44</f>
        <v>0</v>
      </c>
      <c r="DW44" s="1" t="n">
        <f aca="false">IF(AG44=1,IF(ABS((1+AS_Wage)/(1+Slot2_Rate)-1)&lt;0.000000000001,(Slot2_Age-D44)*(1+Slot2_Rate)^(Slot2_Age-D44),(1+Slot2_Rate)^(Slot2_Age-D44)*(1-((1+AS_Wage)/(1+Slot2_Rate))^(Slot2_Age-D44))/(1-(1+AS_Wage)/(1+Slot2_Rate))),1)</f>
        <v>1</v>
      </c>
      <c r="DX44" s="1" t="n">
        <f aca="false">IF(AND(DD44=1,DN44&gt;0,Slot2_IsWG=1,AG44=1),MAX(0,(Slot2_Cost-AH44*(1+Slot2_Rate)^(Slot2_Age-D44))/DW44),0)</f>
        <v>0</v>
      </c>
      <c r="DY44" s="1" t="n">
        <f aca="false">IF(AND(DD44=1,DN44&gt;0,Slot2_IsWG=1,AG44=1),MIN(DN44,DX44),0)</f>
        <v>0</v>
      </c>
      <c r="DZ44" s="1" t="n">
        <f aca="false">AH44+DY44</f>
        <v>0</v>
      </c>
      <c r="EA44" s="1" t="n">
        <f aca="false">IF(AG44=1,MAX(0,(Slot2_Cost-DZ44*(1+Slot2_Rate)^(Slot2_Age-D44))/DW44),0)</f>
        <v>0</v>
      </c>
      <c r="EB44" s="1" t="n">
        <f aca="false">IF(AG44=1,MAX(0,(Slot2_Cost-AH44*(1+Slot2_Rate)^(Slot2_Age-D44))/DW44),0)</f>
        <v>0</v>
      </c>
      <c r="EC44" s="1" t="n">
        <f aca="false">IF(AND(DD44=1,AG44=1),MIN(DV44,EA44),0)</f>
        <v>0</v>
      </c>
      <c r="ED44" s="1" t="n">
        <f aca="false">DV44-EC44</f>
        <v>0</v>
      </c>
      <c r="EE44" s="1" t="n">
        <f aca="false">IF(AQ44=1,IF(ABS((1+AS_Wage)/(1+Slot3_Rate)-1)&lt;0.000000000001,(Slot3_Age-D44)*(1+Slot3_Rate)^(Slot3_Age-D44),(1+Slot3_Rate)^(Slot3_Age-D44)*(1-((1+AS_Wage)/(1+Slot3_Rate))^(Slot3_Age-D44))/(1-(1+AS_Wage)/(1+Slot3_Rate))),1)</f>
        <v>1</v>
      </c>
      <c r="EF44" s="1" t="n">
        <f aca="false">IF(AND(DD44=1,DN44&gt;0,Slot3_IsWG=1,AQ44=1),MAX(0,(Slot3_Cost-AR44*(1+Slot3_Rate)^(Slot3_Age-D44))/EE44),0)</f>
        <v>0</v>
      </c>
      <c r="EG44" s="1" t="n">
        <f aca="false">IF(AND(DD44=1,DN44&gt;0,Slot3_IsWG=1,AQ44=1),MIN(DN44,EF44),0)</f>
        <v>0</v>
      </c>
      <c r="EH44" s="1" t="n">
        <f aca="false">AR44+EG44</f>
        <v>0</v>
      </c>
      <c r="EI44" s="1" t="n">
        <f aca="false">IF(AQ44=1,MAX(0,(Slot3_Cost-EH44*(1+Slot3_Rate)^(Slot3_Age-D44))/EE44),0)</f>
        <v>0</v>
      </c>
      <c r="EJ44" s="1" t="n">
        <f aca="false">IF(AQ44=1,MAX(0,(Slot3_Cost-AR44*(1+Slot3_Rate)^(Slot3_Age-D44))/EE44),0)</f>
        <v>0</v>
      </c>
      <c r="EK44" s="1" t="n">
        <f aca="false">IF(AND(DD44=1,AQ44=1),MIN(ED44,EI44),0)</f>
        <v>0</v>
      </c>
      <c r="EL44" s="1" t="n">
        <f aca="false">ED44-EK44</f>
        <v>0</v>
      </c>
      <c r="EM44" s="1" t="n">
        <f aca="false">IF(BA44=1,IF(ABS((1+AS_Wage)/(1+Slot4_Rate)-1)&lt;0.000000000001,(Slot4_Age-D44)*(1+Slot4_Rate)^(Slot4_Age-D44),(1+Slot4_Rate)^(Slot4_Age-D44)*(1-((1+AS_Wage)/(1+Slot4_Rate))^(Slot4_Age-D44))/(1-(1+AS_Wage)/(1+Slot4_Rate))),1)</f>
        <v>1</v>
      </c>
      <c r="EN44" s="1" t="n">
        <f aca="false">IF(AND(DD44=1,DN44&gt;0,Slot4_IsWG=1,BA44=1),MAX(0,(Slot4_Cost-BB44*(1+Slot4_Rate)^(Slot4_Age-D44))/EM44),0)</f>
        <v>0</v>
      </c>
      <c r="EO44" s="1" t="n">
        <f aca="false">IF(AND(DD44=1,DN44&gt;0,Slot4_IsWG=1,BA44=1),MIN(DN44,EN44),0)</f>
        <v>0</v>
      </c>
      <c r="EP44" s="1" t="n">
        <f aca="false">BB44+EO44</f>
        <v>0</v>
      </c>
      <c r="EQ44" s="1" t="n">
        <f aca="false">IF(BA44=1,MAX(0,(Slot4_Cost-EP44*(1+Slot4_Rate)^(Slot4_Age-D44))/EM44),0)</f>
        <v>0</v>
      </c>
      <c r="ER44" s="1" t="n">
        <f aca="false">IF(BA44=1,MAX(0,(Slot4_Cost-BB44*(1+Slot4_Rate)^(Slot4_Age-D44))/EM44),0)</f>
        <v>0</v>
      </c>
      <c r="ES44" s="1" t="n">
        <f aca="false">IF(AND(DD44=1,BA44=1),MIN(EL44,EQ44),0)</f>
        <v>0</v>
      </c>
      <c r="ET44" s="1" t="n">
        <f aca="false">EL44-ES44</f>
        <v>0</v>
      </c>
      <c r="EU44" s="1" t="n">
        <f aca="false">IF(BK44=1,IF(ABS((1+AS_Wage)/(1+Slot5_Rate)-1)&lt;0.000000000001,(Slot5_Age-D44)*(1+Slot5_Rate)^(Slot5_Age-D44),(1+Slot5_Rate)^(Slot5_Age-D44)*(1-((1+AS_Wage)/(1+Slot5_Rate))^(Slot5_Age-D44))/(1-(1+AS_Wage)/(1+Slot5_Rate))),1)</f>
        <v>1</v>
      </c>
      <c r="EV44" s="1" t="n">
        <f aca="false">IF(AND(DD44=1,DN44&gt;0,Slot5_IsWG=1,BK44=1),MAX(0,(Slot5_Cost-BL44*(1+Slot5_Rate)^(Slot5_Age-D44))/EU44),0)</f>
        <v>0</v>
      </c>
      <c r="EW44" s="1" t="n">
        <f aca="false">IF(AND(DD44=1,DN44&gt;0,Slot5_IsWG=1,BK44=1),MIN(DN44,EV44),0)</f>
        <v>0</v>
      </c>
      <c r="EX44" s="1" t="n">
        <f aca="false">BL44+EW44</f>
        <v>0</v>
      </c>
      <c r="EY44" s="1" t="n">
        <f aca="false">IF(BK44=1,MAX(0,(Slot5_Cost-EX44*(1+Slot5_Rate)^(Slot5_Age-D44))/EU44),0)</f>
        <v>0</v>
      </c>
      <c r="EZ44" s="1" t="n">
        <f aca="false">IF(BK44=1,MAX(0,(Slot5_Cost-BL44*(1+Slot5_Rate)^(Slot5_Age-D44))/EU44),0)</f>
        <v>0</v>
      </c>
      <c r="FA44" s="1" t="n">
        <f aca="false">IF(AND(DD44=1,BK44=1),MIN(ET44,EY44),0)</f>
        <v>0</v>
      </c>
      <c r="FB44" s="1" t="n">
        <f aca="false">ET44-FA44</f>
        <v>0</v>
      </c>
      <c r="FC44" s="1" t="n">
        <f aca="false">IF(BU44=1,IF(ABS((1+AS_Wage)/(1+Slot6_Rate)-1)&lt;0.000000000001,(Slot6_Age-D44)*(1+Slot6_Rate)^(Slot6_Age-D44),(1+Slot6_Rate)^(Slot6_Age-D44)*(1-((1+AS_Wage)/(1+Slot6_Rate))^(Slot6_Age-D44))/(1-(1+AS_Wage)/(1+Slot6_Rate))),1)</f>
        <v>1</v>
      </c>
      <c r="FD44" s="1" t="n">
        <f aca="false">IF(AND(DD44=1,DN44&gt;0,Slot6_IsWG=1,BU44=1),MAX(0,(Slot6_Cost-BV44*(1+Slot6_Rate)^(Slot6_Age-D44))/FC44),0)</f>
        <v>0</v>
      </c>
      <c r="FE44" s="1" t="n">
        <f aca="false">IF(AND(DD44=1,DN44&gt;0,Slot6_IsWG=1,BU44=1),MIN(DN44,FD44),0)</f>
        <v>0</v>
      </c>
      <c r="FF44" s="1" t="n">
        <f aca="false">BV44+FE44</f>
        <v>0</v>
      </c>
      <c r="FG44" s="1" t="n">
        <f aca="false">IF(BU44=1,MAX(0,(Slot6_Cost-FF44*(1+Slot6_Rate)^(Slot6_Age-D44))/FC44),0)</f>
        <v>0</v>
      </c>
      <c r="FH44" s="1" t="n">
        <f aca="false">IF(BU44=1,MAX(0,(Slot6_Cost-BV44*(1+Slot6_Rate)^(Slot6_Age-D44))/FC44),0)</f>
        <v>0</v>
      </c>
      <c r="FI44" s="1" t="n">
        <f aca="false">IF(AND(DD44=1,BU44=1),MIN(FB44,FG44),0)</f>
        <v>0</v>
      </c>
      <c r="FJ44" s="1" t="n">
        <f aca="false">FB44-FI44</f>
        <v>0</v>
      </c>
      <c r="FK44" s="1" t="n">
        <f aca="false">IF(CE44=1,IF(ABS((1+AS_Wage)/(1+Slot7_Rate)-1)&lt;0.000000000001,(Slot7_Age-D44)*(1+Slot7_Rate)^(Slot7_Age-D44),(1+Slot7_Rate)^(Slot7_Age-D44)*(1-((1+AS_Wage)/(1+Slot7_Rate))^(Slot7_Age-D44))/(1-(1+AS_Wage)/(1+Slot7_Rate))),1)</f>
        <v>1</v>
      </c>
      <c r="FL44" s="1" t="n">
        <f aca="false">IF(AND(DD44=1,DN44&gt;0,Slot7_IsWG=1,CE44=1),MAX(0,(Slot7_Cost-CF44*(1+Slot7_Rate)^(Slot7_Age-D44))/FK44),0)</f>
        <v>0</v>
      </c>
      <c r="FM44" s="1" t="n">
        <f aca="false">IF(AND(DD44=1,DN44&gt;0,Slot7_IsWG=1,CE44=1),MIN(DN44,FL44),0)</f>
        <v>0</v>
      </c>
      <c r="FN44" s="1" t="n">
        <f aca="false">CF44+FM44</f>
        <v>0</v>
      </c>
      <c r="FO44" s="1" t="n">
        <f aca="false">IF(CE44=1,MAX(0,(Slot7_Cost-FN44*(1+Slot7_Rate)^(Slot7_Age-D44))/FK44),0)</f>
        <v>0</v>
      </c>
      <c r="FP44" s="1" t="n">
        <f aca="false">IF(CE44=1,MAX(0,(Slot7_Cost-CF44*(1+Slot7_Rate)^(Slot7_Age-D44))/FK44),0)</f>
        <v>0</v>
      </c>
      <c r="FQ44" s="1" t="n">
        <f aca="false">IF(AND(DD44=1,CE44=1),MIN(FJ44,FO44),0)</f>
        <v>0</v>
      </c>
      <c r="FR44" s="1" t="n">
        <f aca="false">FJ44-FQ44</f>
        <v>0</v>
      </c>
      <c r="FS44" s="1" t="n">
        <f aca="false">IF(CO44=1,IF(ABS((1+AS_Wage)/(1+Slot8_Rate)-1)&lt;0.000000000001,(Slot8_Age-D44)*(1+Slot8_Rate)^(Slot8_Age-D44),(1+Slot8_Rate)^(Slot8_Age-D44)*(1-((1+AS_Wage)/(1+Slot8_Rate))^(Slot8_Age-D44))/(1-(1+AS_Wage)/(1+Slot8_Rate))),1)</f>
        <v>1</v>
      </c>
      <c r="FT44" s="1" t="n">
        <f aca="false">IF(AND(DD44=1,DN44&gt;0,Slot8_IsWG=1,CO44=1),MAX(0,(Slot8_Cost-CP44*(1+Slot8_Rate)^(Slot8_Age-D44))/FS44),0)</f>
        <v>0</v>
      </c>
      <c r="FU44" s="1" t="n">
        <f aca="false">IF(AND(DD44=1,DN44&gt;0,Slot8_IsWG=1,CO44=1),MIN(DN44,FT44),0)</f>
        <v>0</v>
      </c>
      <c r="FV44" s="1" t="n">
        <f aca="false">CP44+FU44</f>
        <v>0</v>
      </c>
      <c r="FW44" s="1" t="n">
        <f aca="false">IF(CO44=1,MAX(0,(Slot8_Cost-FV44*(1+Slot8_Rate)^(Slot8_Age-D44))/FS44),0)</f>
        <v>0</v>
      </c>
      <c r="FX44" s="1" t="n">
        <f aca="false">IF(CO44=1,MAX(0,(Slot8_Cost-CP44*(1+Slot8_Rate)^(Slot8_Age-D44))/FS44),0)</f>
        <v>0</v>
      </c>
      <c r="FY44" s="1" t="n">
        <f aca="false">IF(AND(DD44=1,CO44=1),MIN(FR44,FW44),0)</f>
        <v>0</v>
      </c>
      <c r="FZ44" s="1" t="n">
        <f aca="false">FR44-FY44</f>
        <v>0</v>
      </c>
      <c r="GA44" s="1" t="n">
        <f aca="false">DN44-(DQ44+DY44+EG44+EO44+EW44+FE44+FM44+FU44)</f>
        <v>0</v>
      </c>
      <c r="GB44" s="1" t="n">
        <f aca="false">IF(DD44=1,DB44-DM44-DN44,0)</f>
        <v>0</v>
      </c>
      <c r="GC44" s="1" t="n">
        <f aca="false">IF(DD44=0,-DB44,0)</f>
        <v>0</v>
      </c>
      <c r="GD44" s="1" t="n">
        <f aca="false">MIN(GC44,CT44)</f>
        <v>0</v>
      </c>
      <c r="GE44" s="1" t="n">
        <f aca="false">GC44-GD44</f>
        <v>0</v>
      </c>
      <c r="GF44" s="1" t="n">
        <f aca="false">MIN(GE44,CU44)</f>
        <v>0</v>
      </c>
      <c r="GG44" s="1" t="n">
        <f aca="false">GE44-GF44</f>
        <v>0</v>
      </c>
      <c r="GH44" s="1" t="n">
        <f aca="false">IF(AND(DD44=0,CO44=1,GG44&gt;0),MIN(GG44,CP44),0)</f>
        <v>0</v>
      </c>
      <c r="GI44" s="1" t="n">
        <f aca="false">GG44-GH44</f>
        <v>0</v>
      </c>
      <c r="GJ44" s="1" t="n">
        <f aca="false">IF(AND(DD44=0,CE44=1,GI44&gt;0),MIN(GI44,CF44),0)</f>
        <v>0</v>
      </c>
      <c r="GK44" s="1" t="n">
        <f aca="false">GI44-GJ44</f>
        <v>0</v>
      </c>
      <c r="GL44" s="1" t="n">
        <f aca="false">IF(AND(DD44=0,BU44=1,GK44&gt;0),MIN(GK44,BV44),0)</f>
        <v>0</v>
      </c>
      <c r="GM44" s="1" t="n">
        <f aca="false">GK44-GL44</f>
        <v>0</v>
      </c>
      <c r="GN44" s="1" t="n">
        <f aca="false">IF(AND(DD44=0,BK44=1,GM44&gt;0),MIN(GM44,BL44),0)</f>
        <v>0</v>
      </c>
      <c r="GO44" s="1" t="n">
        <f aca="false">GM44-GN44</f>
        <v>0</v>
      </c>
      <c r="GP44" s="1" t="n">
        <f aca="false">IF(AND(DD44=0,BA44=1,GO44&gt;0),MIN(GO44,BB44),0)</f>
        <v>0</v>
      </c>
      <c r="GQ44" s="1" t="n">
        <f aca="false">GO44-GP44</f>
        <v>0</v>
      </c>
      <c r="GR44" s="1" t="n">
        <f aca="false">IF(AND(DD44=0,AQ44=1,GQ44&gt;0),MIN(GQ44,AR44),0)</f>
        <v>0</v>
      </c>
      <c r="GS44" s="1" t="n">
        <f aca="false">GQ44-GR44</f>
        <v>0</v>
      </c>
      <c r="GT44" s="1" t="n">
        <f aca="false">IF(AND(DD44=0,AG44=1,GS44&gt;0),MIN(GS44,AH44),0)</f>
        <v>0</v>
      </c>
      <c r="GU44" s="1" t="n">
        <f aca="false">GS44-GT44</f>
        <v>0</v>
      </c>
      <c r="GV44" s="1" t="n">
        <f aca="false">IF(AND(DD44=0,V44=1,GU44&gt;0),MIN(GU44,W44),0)</f>
        <v>0</v>
      </c>
      <c r="GW44" s="1" t="n">
        <f aca="false">GU44-GV44</f>
        <v>0</v>
      </c>
      <c r="GX44" s="1" t="n">
        <f aca="false">IF(DD44=0,GW44,0)</f>
        <v>0</v>
      </c>
      <c r="GY44" s="1" t="n">
        <f aca="false">GD44+GF44+GV44+GT44+GR44+GP44+GN44+GL44+GJ44+GH44</f>
        <v>0</v>
      </c>
      <c r="GZ44" s="1" t="n">
        <f aca="false">IF(DD44=1,CT44+GA44+FZ44+IF(F44=1,0,GB44),CT44-GD44)</f>
        <v>0</v>
      </c>
      <c r="HA44" s="1" t="n">
        <f aca="false">CU44-GF44</f>
        <v>0</v>
      </c>
      <c r="HB44" s="1" t="n">
        <f aca="false">IF(DD44=1,IF(F44=1,DM44+DN44,DB44),0)</f>
        <v>0</v>
      </c>
      <c r="HC44" s="1" t="n">
        <f aca="false">IF(DD44=1,IF(F44=1,DB44-DM44-DN44,0),0)</f>
        <v>0</v>
      </c>
      <c r="HD44" s="1" t="n">
        <f aca="false">GZ44*(1+GR)</f>
        <v>0</v>
      </c>
      <c r="HE44" s="1" t="n">
        <f aca="false">HA44*(1+AS_Cash)</f>
        <v>0</v>
      </c>
      <c r="HF44" s="1" t="n">
        <f aca="false">IF(V44=1,IF(DD44=1,DR44+DU44,W44-GV44)*(1+Slot1_Rate),0)</f>
        <v>0</v>
      </c>
      <c r="HG44" s="1" t="n">
        <f aca="false">IF(AND(DD44=1,V44=1),(DQ44+DU44)/E44,0)</f>
        <v>0</v>
      </c>
      <c r="HH44" s="1" t="n">
        <f aca="false">IF(B44=0,DQ44+DU44,0)</f>
        <v>0</v>
      </c>
      <c r="HI44" s="1" t="n">
        <f aca="false">IF(B44=0,IF(DD44=1,DS44,DT44),0)</f>
        <v>0</v>
      </c>
      <c r="HJ44" s="1" t="n">
        <f aca="false">IF(AG44=1,IF(DD44=1,DZ44+EC44,AH44-GT44)*(1+Slot2_Rate),0)</f>
        <v>0</v>
      </c>
      <c r="HK44" s="1" t="n">
        <f aca="false">IF(AND(DD44=1,AG44=1),(DY44+EC44)/E44,0)</f>
        <v>0</v>
      </c>
      <c r="HL44" s="1" t="n">
        <f aca="false">IF(B44=0,DY44+EC44,0)</f>
        <v>0</v>
      </c>
      <c r="HM44" s="1" t="n">
        <f aca="false">IF(B44=0,IF(DD44=1,EA44,EB44),0)</f>
        <v>0</v>
      </c>
      <c r="HN44" s="1" t="n">
        <f aca="false">IF(AQ44=1,IF(DD44=1,EH44+EK44,AR44-GR44)*(1+Slot3_Rate),0)</f>
        <v>0</v>
      </c>
      <c r="HO44" s="1" t="n">
        <f aca="false">IF(AND(DD44=1,AQ44=1),(EG44+EK44)/E44,0)</f>
        <v>0</v>
      </c>
      <c r="HP44" s="1" t="n">
        <f aca="false">IF(B44=0,EG44+EK44,0)</f>
        <v>0</v>
      </c>
      <c r="HQ44" s="1" t="n">
        <f aca="false">IF(B44=0,IF(DD44=1,EI44,EJ44),0)</f>
        <v>0</v>
      </c>
      <c r="HR44" s="1" t="n">
        <f aca="false">IF(BA44=1,IF(DD44=1,EP44+ES44,BB44-GP44)*(1+Slot4_Rate),0)</f>
        <v>0</v>
      </c>
      <c r="HS44" s="1" t="n">
        <f aca="false">IF(AND(DD44=1,BA44=1),(EO44+ES44)/E44,0)</f>
        <v>0</v>
      </c>
      <c r="HT44" s="1" t="n">
        <f aca="false">IF(B44=0,EO44+ES44,0)</f>
        <v>0</v>
      </c>
      <c r="HU44" s="1" t="n">
        <f aca="false">IF(B44=0,IF(DD44=1,EQ44,ER44),0)</f>
        <v>0</v>
      </c>
      <c r="HV44" s="1" t="n">
        <f aca="false">IF(BK44=1,IF(DD44=1,EX44+FA44,BL44-GN44)*(1+Slot5_Rate),0)</f>
        <v>0</v>
      </c>
      <c r="HW44" s="1" t="n">
        <f aca="false">IF(AND(DD44=1,BK44=1),(EW44+FA44)/E44,0)</f>
        <v>0</v>
      </c>
      <c r="HX44" s="1" t="n">
        <f aca="false">IF(B44=0,EW44+FA44,0)</f>
        <v>0</v>
      </c>
      <c r="HY44" s="1" t="n">
        <f aca="false">IF(B44=0,IF(DD44=1,EY44,EZ44),0)</f>
        <v>0</v>
      </c>
      <c r="HZ44" s="1" t="n">
        <f aca="false">IF(BU44=1,IF(DD44=1,FF44+FI44,BV44-GL44)*(1+Slot6_Rate),0)</f>
        <v>0</v>
      </c>
      <c r="IA44" s="1" t="n">
        <f aca="false">IF(AND(DD44=1,BU44=1),(FE44+FI44)/E44,0)</f>
        <v>0</v>
      </c>
      <c r="IB44" s="1" t="n">
        <f aca="false">IF(B44=0,FE44+FI44,0)</f>
        <v>0</v>
      </c>
      <c r="IC44" s="1" t="n">
        <f aca="false">IF(B44=0,IF(DD44=1,FG44,FH44),0)</f>
        <v>0</v>
      </c>
      <c r="ID44" s="1" t="n">
        <f aca="false">IF(CE44=1,IF(DD44=1,FN44+FQ44,CF44-GJ44)*(1+Slot7_Rate),0)</f>
        <v>0</v>
      </c>
      <c r="IE44" s="1" t="n">
        <f aca="false">IF(AND(DD44=1,CE44=1),(FM44+FQ44)/E44,0)</f>
        <v>0</v>
      </c>
      <c r="IF44" s="1" t="n">
        <f aca="false">IF(B44=0,FM44+FQ44,0)</f>
        <v>0</v>
      </c>
      <c r="IG44" s="1" t="n">
        <f aca="false">IF(B44=0,IF(DD44=1,FO44,FP44),0)</f>
        <v>0</v>
      </c>
      <c r="IH44" s="1" t="n">
        <f aca="false">IF(CO44=1,IF(DD44=1,FV44+FY44,CP44-GH44)*(1+Slot8_Rate),0)</f>
        <v>0</v>
      </c>
      <c r="II44" s="1" t="n">
        <f aca="false">IF(AND(DD44=1,CO44=1),(FU44+FY44)/E44,0)</f>
        <v>0</v>
      </c>
      <c r="IJ44" s="1" t="n">
        <f aca="false">IF(B44=0,FU44+FY44,0)</f>
        <v>0</v>
      </c>
      <c r="IK44" s="1" t="n">
        <f aca="false">IF(B44=0,IF(DD44=1,FW44,FX44),0)</f>
        <v>0</v>
      </c>
      <c r="IL44" s="1" t="n">
        <f aca="false">HD44+HE44+HF44+HJ44+HN44+HR44+HV44+HZ44+ID44+IH44</f>
        <v>0</v>
      </c>
      <c r="IM44" s="1" t="n">
        <f aca="false">GX44+CY44</f>
        <v>0</v>
      </c>
      <c r="IN44" s="1" t="n">
        <f aca="false">H44+R44</f>
        <v>0</v>
      </c>
      <c r="IO44" s="1" t="n">
        <f aca="false">1-F44</f>
        <v>1</v>
      </c>
      <c r="IP44" s="1" t="n">
        <f aca="false">IF(AND(RG_Exists=1,F44=0,C44=1),H44,0)</f>
        <v>0</v>
      </c>
      <c r="IQ44" s="1" t="n">
        <f aca="false">IF(AND(RG_Exists=1,F44=0,C44=1),H44-MIN(GX44,H44),0)</f>
        <v>0</v>
      </c>
      <c r="IR44" s="1" t="n">
        <f aca="false">'Plan pay &amp; tax'!AD246</f>
        <v>0</v>
      </c>
      <c r="IS44" s="1" t="n">
        <f aca="false">IF(AND(C44=1,GX44&gt;MAX(PR_Short1,IN44*PR_Short2)),1,0)</f>
        <v>0</v>
      </c>
      <c r="IT44" s="1" t="n">
        <f aca="false">MIN(G44,H44+R44)</f>
        <v>0</v>
      </c>
      <c r="IU44" s="1" t="n">
        <f aca="false">GY44+MAX(0,CZ44-CY44)</f>
        <v>0</v>
      </c>
      <c r="IV44" s="1" t="n">
        <f aca="false">GX44+CY44</f>
        <v>0</v>
      </c>
      <c r="IW44" s="1" t="n">
        <f aca="false">IF(AND(C44=1,IV44&gt;0.5),1,0)</f>
        <v>0</v>
      </c>
      <c r="IX44" s="1" t="n">
        <f aca="false">IF(AND(C44=1,IW44=0,IU44&gt;0.5),1,0)</f>
        <v>0</v>
      </c>
      <c r="IY44" s="1" t="n">
        <f aca="false">IF(AND(C44=1,GX44&gt;0.5),1,0)</f>
        <v>0</v>
      </c>
      <c r="IZ44" s="1" t="n">
        <f aca="false">IF(AND(C44=1,GY44&gt;1,JF44=0),1,0)</f>
        <v>0</v>
      </c>
      <c r="JA44" s="1" t="n">
        <f aca="false">IF(AND(INT(D44/10)*10=90,B44&gt;0),80,INT(D44/10)*10)</f>
        <v>30</v>
      </c>
      <c r="JB44" s="1" t="n">
        <f aca="false">IF(B44=0,1,IF(JA44&lt;&gt;JA43,JB43+1,JB43))</f>
        <v>4</v>
      </c>
      <c r="JC44" s="1" t="n">
        <f aca="false">IF(AND(C44=1,F44=1,GX44&gt;MAX(PR_Short1,IN44*PR_Short2)),1,0)</f>
        <v>0</v>
      </c>
      <c r="JD44" s="1" t="n">
        <f aca="false">IO44*IS44</f>
        <v>0</v>
      </c>
      <c r="JE44" s="1" t="n">
        <f aca="false">IF(AND(U44=1,Slot1_PctLow=1),1,0)+IF(AND(AF44=1,Slot2_PctLow=1),1,0)+IF(AND(AP44=1,Slot3_PctLow=1),1,0)+IF(AND(AZ44=1,Slot4_PctLow=1),1,0)+IF(AND(BJ44=1,Slot5_PctLow=1),1,0)+IF(AND(BT44=1,Slot6_PctLow=1),1,0)+IF(AND(CD44=1,Slot7_PctLow=1),1,0)+IF(AND(CN44=1,Slot8_PctLow=1),1,0)</f>
        <v>0</v>
      </c>
      <c r="JF44" s="1" t="n">
        <f aca="false">IF(C44=1,IF(OR(IS44=1,JE44&gt;0),1,0),0)</f>
        <v>0</v>
      </c>
    </row>
    <row r="45" customFormat="false" ht="15" hidden="false" customHeight="false" outlineLevel="0" collapsed="false">
      <c r="B45" s="1" t="n">
        <v>37</v>
      </c>
      <c r="C45" s="1" t="n">
        <f aca="false">IF(B45&lt;=F_N,1,0)</f>
        <v>1</v>
      </c>
      <c r="D45" s="1" t="n">
        <f aca="false">'Plan pay &amp; tax'!C247</f>
        <v>37</v>
      </c>
      <c r="E45" s="106" t="n">
        <f aca="false">'Plan pay &amp; tax'!E247</f>
        <v>2.08068509059002</v>
      </c>
      <c r="F45" s="1" t="n">
        <f aca="false">'Plan pay &amp; tax'!G247</f>
        <v>0</v>
      </c>
      <c r="G45" s="1" t="n">
        <f aca="false">'Plan pay &amp; tax'!BT247-'Plan pay &amp; tax'!BS247-'Plan pay &amp; tax'!R247</f>
        <v>0</v>
      </c>
      <c r="H45" s="1" t="n">
        <f aca="false">IF(F45=1,F_CostsM*12,IF(RG_Exists=1,RG_Amount,F_CostsM*12*AS_RetireSpend))*E45+F_OneOffY*E45</f>
        <v>0</v>
      </c>
      <c r="I45" s="1" t="n">
        <f aca="false">DA44</f>
        <v>0</v>
      </c>
      <c r="J45" s="1" t="n">
        <f aca="false">IF(I45&gt;1,'Plan debt months'!AC45,0)</f>
        <v>0</v>
      </c>
      <c r="K45" s="1" t="n">
        <f aca="false">IF(I45&gt;1,'Plan debt months'!AB45,I45)</f>
        <v>0</v>
      </c>
      <c r="L45" s="1" t="n">
        <f aca="false">N44</f>
        <v>0</v>
      </c>
      <c r="M45" s="1" t="n">
        <f aca="false">IF(L45&gt;1,'Plan debt months'!BD45,0)</f>
        <v>0</v>
      </c>
      <c r="N45" s="1" t="n">
        <f aca="false">IF(L45&gt;1,'Plan debt months'!BC45,L45)</f>
        <v>0</v>
      </c>
      <c r="O45" s="1" t="n">
        <f aca="false">Q44</f>
        <v>0</v>
      </c>
      <c r="P45" s="1" t="n">
        <f aca="false">IF(O45&gt;1,'Plan debt months'!CE45,0)</f>
        <v>0</v>
      </c>
      <c r="Q45" s="1" t="n">
        <f aca="false">IF(O45&gt;1,'Plan debt months'!CD45,O45)</f>
        <v>0</v>
      </c>
      <c r="R45" s="1" t="n">
        <f aca="false">J45+M45+P45</f>
        <v>0</v>
      </c>
      <c r="S45" s="1" t="n">
        <f aca="false">HD44+'Plan pay &amp; tax'!Y247</f>
        <v>0</v>
      </c>
      <c r="T45" s="1" t="n">
        <f aca="false">HD44</f>
        <v>0</v>
      </c>
      <c r="U45" s="1" t="n">
        <f aca="false">IF(AND(Slot1_On=1,D45=Slot1_Age),1,0)</f>
        <v>0</v>
      </c>
      <c r="V45" s="1" t="n">
        <f aca="false">IF(AND(Slot1_On=1,Slot1_Age&gt;D45),1,0)</f>
        <v>0</v>
      </c>
      <c r="W45" s="1" t="n">
        <f aca="false">HF44</f>
        <v>0</v>
      </c>
      <c r="X45" s="1" t="n">
        <f aca="false">U45*MIN(Slot1_Cost,W45)</f>
        <v>0</v>
      </c>
      <c r="Y45" s="1" t="n">
        <f aca="false">U45*Slot1_SpendLike*MIN(Slot1_Cost-X45,S45)</f>
        <v>0</v>
      </c>
      <c r="Z45" s="1" t="n">
        <f aca="false">X45+Y45</f>
        <v>0</v>
      </c>
      <c r="AA45" s="1" t="n">
        <f aca="false">S45-Y45+U45*IF(Slot1_SpendLike=1,W45-X45,IF(Slot1_PotFree=1,W45,0))</f>
        <v>0</v>
      </c>
      <c r="AB45" s="1" t="n">
        <f aca="false">AE45+U45*Slot1_BufPot*W45</f>
        <v>0</v>
      </c>
      <c r="AC45" s="1" t="n">
        <f aca="false">IF(AND(U45=1,Slot1_IsMfree=1),IF(Z45&gt;=Slot1_Cost-1,0,MAX(0,K45-Z45)),K45)</f>
        <v>0</v>
      </c>
      <c r="AD45" s="1" t="n">
        <f aca="false">U45*(Slot1_Cost-Z45)</f>
        <v>0</v>
      </c>
      <c r="AE45" s="1" t="n">
        <f aca="false">HE44</f>
        <v>0</v>
      </c>
      <c r="AF45" s="1" t="n">
        <f aca="false">IF(AND(Slot2_On=1,D45=Slot2_Age),1,0)</f>
        <v>0</v>
      </c>
      <c r="AG45" s="1" t="n">
        <f aca="false">IF(AND(Slot2_On=1,Slot2_Age&gt;D45),1,0)</f>
        <v>0</v>
      </c>
      <c r="AH45" s="1" t="n">
        <f aca="false">HJ44</f>
        <v>0</v>
      </c>
      <c r="AI45" s="1" t="n">
        <f aca="false">AF45*MIN(Slot2_Cost,AH45)</f>
        <v>0</v>
      </c>
      <c r="AJ45" s="1" t="n">
        <f aca="false">AF45*Slot2_SpendLike*MIN(Slot2_Cost-AI45,AA45)</f>
        <v>0</v>
      </c>
      <c r="AK45" s="1" t="n">
        <f aca="false">AI45+AJ45</f>
        <v>0</v>
      </c>
      <c r="AL45" s="1" t="n">
        <f aca="false">AA45-AJ45+AF45*IF(Slot2_SpendLike=1,AH45-AI45,IF(Slot2_PotFree=1,AH45,0))</f>
        <v>0</v>
      </c>
      <c r="AM45" s="1" t="n">
        <f aca="false">AB45+AF45*Slot2_BufPot*AH45</f>
        <v>0</v>
      </c>
      <c r="AN45" s="1" t="n">
        <f aca="false">IF(AND(AF45=1,Slot2_IsMfree=1),IF(AK45&gt;=Slot2_Cost-1,0,MAX(0,AC45-AK45)),AC45)</f>
        <v>0</v>
      </c>
      <c r="AO45" s="1" t="n">
        <f aca="false">AF45*(Slot2_Cost-AK45)</f>
        <v>0</v>
      </c>
      <c r="AP45" s="1" t="n">
        <f aca="false">IF(AND(Slot3_On=1,D45=Slot3_Age),1,0)</f>
        <v>0</v>
      </c>
      <c r="AQ45" s="1" t="n">
        <f aca="false">IF(AND(Slot3_On=1,Slot3_Age&gt;D45),1,0)</f>
        <v>0</v>
      </c>
      <c r="AR45" s="1" t="n">
        <f aca="false">HN44</f>
        <v>0</v>
      </c>
      <c r="AS45" s="1" t="n">
        <f aca="false">AP45*MIN(Slot3_Cost,AR45)</f>
        <v>0</v>
      </c>
      <c r="AT45" s="1" t="n">
        <f aca="false">AP45*Slot3_SpendLike*MIN(Slot3_Cost-AS45,AL45)</f>
        <v>0</v>
      </c>
      <c r="AU45" s="1" t="n">
        <f aca="false">AS45+AT45</f>
        <v>0</v>
      </c>
      <c r="AV45" s="1" t="n">
        <f aca="false">AL45-AT45+AP45*IF(Slot3_SpendLike=1,AR45-AS45,IF(Slot3_PotFree=1,AR45,0))</f>
        <v>0</v>
      </c>
      <c r="AW45" s="1" t="n">
        <f aca="false">AM45+AP45*Slot3_BufPot*AR45</f>
        <v>0</v>
      </c>
      <c r="AX45" s="1" t="n">
        <f aca="false">IF(AND(AP45=1,Slot3_IsMfree=1),IF(AU45&gt;=Slot3_Cost-1,0,MAX(0,AN45-AU45)),AN45)</f>
        <v>0</v>
      </c>
      <c r="AY45" s="1" t="n">
        <f aca="false">AP45*(Slot3_Cost-AU45)</f>
        <v>0</v>
      </c>
      <c r="AZ45" s="1" t="n">
        <f aca="false">IF(AND(Slot4_On=1,D45=Slot4_Age),1,0)</f>
        <v>0</v>
      </c>
      <c r="BA45" s="1" t="n">
        <f aca="false">IF(AND(Slot4_On=1,Slot4_Age&gt;D45),1,0)</f>
        <v>0</v>
      </c>
      <c r="BB45" s="1" t="n">
        <f aca="false">HR44</f>
        <v>0</v>
      </c>
      <c r="BC45" s="1" t="n">
        <f aca="false">AZ45*MIN(Slot4_Cost,BB45)</f>
        <v>0</v>
      </c>
      <c r="BD45" s="1" t="n">
        <f aca="false">AZ45*Slot4_SpendLike*MIN(Slot4_Cost-BC45,AV45)</f>
        <v>0</v>
      </c>
      <c r="BE45" s="1" t="n">
        <f aca="false">BC45+BD45</f>
        <v>0</v>
      </c>
      <c r="BF45" s="1" t="n">
        <f aca="false">AV45-BD45+AZ45*IF(Slot4_SpendLike=1,BB45-BC45,IF(Slot4_PotFree=1,BB45,0))</f>
        <v>0</v>
      </c>
      <c r="BG45" s="1" t="n">
        <f aca="false">AW45+AZ45*Slot4_BufPot*BB45</f>
        <v>0</v>
      </c>
      <c r="BH45" s="1" t="n">
        <f aca="false">IF(AND(AZ45=1,Slot4_IsMfree=1),IF(BE45&gt;=Slot4_Cost-1,0,MAX(0,AX45-BE45)),AX45)</f>
        <v>0</v>
      </c>
      <c r="BI45" s="1" t="n">
        <f aca="false">AZ45*(Slot4_Cost-BE45)</f>
        <v>0</v>
      </c>
      <c r="BJ45" s="1" t="n">
        <f aca="false">IF(AND(Slot5_On=1,D45=Slot5_Age),1,0)</f>
        <v>0</v>
      </c>
      <c r="BK45" s="1" t="n">
        <f aca="false">IF(AND(Slot5_On=1,Slot5_Age&gt;D45),1,0)</f>
        <v>0</v>
      </c>
      <c r="BL45" s="1" t="n">
        <f aca="false">HV44</f>
        <v>0</v>
      </c>
      <c r="BM45" s="1" t="n">
        <f aca="false">BJ45*MIN(Slot5_Cost,BL45)</f>
        <v>0</v>
      </c>
      <c r="BN45" s="1" t="n">
        <f aca="false">BJ45*Slot5_SpendLike*MIN(Slot5_Cost-BM45,BF45)</f>
        <v>0</v>
      </c>
      <c r="BO45" s="1" t="n">
        <f aca="false">BM45+BN45</f>
        <v>0</v>
      </c>
      <c r="BP45" s="1" t="n">
        <f aca="false">BF45-BN45+BJ45*IF(Slot5_SpendLike=1,BL45-BM45,IF(Slot5_PotFree=1,BL45,0))</f>
        <v>0</v>
      </c>
      <c r="BQ45" s="1" t="n">
        <f aca="false">BG45+BJ45*Slot5_BufPot*BL45</f>
        <v>0</v>
      </c>
      <c r="BR45" s="1" t="n">
        <f aca="false">IF(AND(BJ45=1,Slot5_IsMfree=1),IF(BO45&gt;=Slot5_Cost-1,0,MAX(0,BH45-BO45)),BH45)</f>
        <v>0</v>
      </c>
      <c r="BS45" s="1" t="n">
        <f aca="false">BJ45*(Slot5_Cost-BO45)</f>
        <v>0</v>
      </c>
      <c r="BT45" s="1" t="n">
        <f aca="false">IF(AND(Slot6_On=1,D45=Slot6_Age),1,0)</f>
        <v>0</v>
      </c>
      <c r="BU45" s="1" t="n">
        <f aca="false">IF(AND(Slot6_On=1,Slot6_Age&gt;D45),1,0)</f>
        <v>0</v>
      </c>
      <c r="BV45" s="1" t="n">
        <f aca="false">HZ44</f>
        <v>0</v>
      </c>
      <c r="BW45" s="1" t="n">
        <f aca="false">BT45*MIN(Slot6_Cost,BV45)</f>
        <v>0</v>
      </c>
      <c r="BX45" s="1" t="n">
        <f aca="false">BT45*Slot6_SpendLike*MIN(Slot6_Cost-BW45,BP45)</f>
        <v>0</v>
      </c>
      <c r="BY45" s="1" t="n">
        <f aca="false">BW45+BX45</f>
        <v>0</v>
      </c>
      <c r="BZ45" s="1" t="n">
        <f aca="false">BP45-BX45+BT45*IF(Slot6_SpendLike=1,BV45-BW45,IF(Slot6_PotFree=1,BV45,0))</f>
        <v>0</v>
      </c>
      <c r="CA45" s="1" t="n">
        <f aca="false">BQ45+BT45*Slot6_BufPot*BV45</f>
        <v>0</v>
      </c>
      <c r="CB45" s="1" t="n">
        <f aca="false">IF(AND(BT45=1,Slot6_IsMfree=1),IF(BY45&gt;=Slot6_Cost-1,0,MAX(0,BR45-BY45)),BR45)</f>
        <v>0</v>
      </c>
      <c r="CC45" s="1" t="n">
        <f aca="false">BT45*(Slot6_Cost-BY45)</f>
        <v>0</v>
      </c>
      <c r="CD45" s="1" t="n">
        <f aca="false">IF(AND(Slot7_On=1,D45=Slot7_Age),1,0)</f>
        <v>0</v>
      </c>
      <c r="CE45" s="1" t="n">
        <f aca="false">IF(AND(Slot7_On=1,Slot7_Age&gt;D45),1,0)</f>
        <v>0</v>
      </c>
      <c r="CF45" s="1" t="n">
        <f aca="false">ID44</f>
        <v>0</v>
      </c>
      <c r="CG45" s="1" t="n">
        <f aca="false">CD45*MIN(Slot7_Cost,CF45)</f>
        <v>0</v>
      </c>
      <c r="CH45" s="1" t="n">
        <f aca="false">CD45*Slot7_SpendLike*MIN(Slot7_Cost-CG45,BZ45)</f>
        <v>0</v>
      </c>
      <c r="CI45" s="1" t="n">
        <f aca="false">CG45+CH45</f>
        <v>0</v>
      </c>
      <c r="CJ45" s="1" t="n">
        <f aca="false">BZ45-CH45+CD45*IF(Slot7_SpendLike=1,CF45-CG45,IF(Slot7_PotFree=1,CF45,0))</f>
        <v>0</v>
      </c>
      <c r="CK45" s="1" t="n">
        <f aca="false">CA45+CD45*Slot7_BufPot*CF45</f>
        <v>0</v>
      </c>
      <c r="CL45" s="1" t="n">
        <f aca="false">IF(AND(CD45=1,Slot7_IsMfree=1),IF(CI45&gt;=Slot7_Cost-1,0,MAX(0,CB45-CI45)),CB45)</f>
        <v>0</v>
      </c>
      <c r="CM45" s="1" t="n">
        <f aca="false">CD45*(Slot7_Cost-CI45)</f>
        <v>0</v>
      </c>
      <c r="CN45" s="1" t="n">
        <f aca="false">IF(AND(Slot8_On=1,D45=Slot8_Age),1,0)</f>
        <v>0</v>
      </c>
      <c r="CO45" s="1" t="n">
        <f aca="false">IF(AND(Slot8_On=1,Slot8_Age&gt;D45),1,0)</f>
        <v>0</v>
      </c>
      <c r="CP45" s="1" t="n">
        <f aca="false">IH44</f>
        <v>0</v>
      </c>
      <c r="CQ45" s="1" t="n">
        <f aca="false">CN45*MIN(Slot8_Cost,CP45)</f>
        <v>0</v>
      </c>
      <c r="CR45" s="1" t="n">
        <f aca="false">CN45*Slot8_SpendLike*MIN(Slot8_Cost-CQ45,CJ45)</f>
        <v>0</v>
      </c>
      <c r="CS45" s="1" t="n">
        <f aca="false">CQ45+CR45</f>
        <v>0</v>
      </c>
      <c r="CT45" s="1" t="n">
        <f aca="false">CJ45-CR45+CN45*IF(Slot8_SpendLike=1,CP45-CQ45,IF(Slot8_PotFree=1,CP45,0))</f>
        <v>0</v>
      </c>
      <c r="CU45" s="1" t="n">
        <f aca="false">CK45+CN45*Slot8_BufPot*CP45</f>
        <v>0</v>
      </c>
      <c r="CV45" s="1" t="n">
        <f aca="false">IF(AND(CN45=1,Slot8_IsMfree=1),IF(CS45&gt;=Slot8_Cost-1,0,MAX(0,CL45-CS45)),CL45)</f>
        <v>0</v>
      </c>
      <c r="CW45" s="1" t="n">
        <f aca="false">CN45*(Slot8_Cost-CS45)</f>
        <v>0</v>
      </c>
      <c r="CX45" s="1" t="n">
        <f aca="false">U45*Slot1_SpendLike*Z45+AF45*Slot2_SpendLike*AK45+AP45*Slot3_SpendLike*AU45+AZ45*Slot4_SpendLike*BE45+BJ45*Slot5_SpendLike*BO45+BT45*Slot6_SpendLike*BY45+CD45*Slot7_SpendLike*CI45+CN45*Slot8_SpendLike*CS45</f>
        <v>0</v>
      </c>
      <c r="CY45" s="1" t="n">
        <f aca="false">AD45+AO45+AY45+BI45+BS45+CC45+CM45+CW45</f>
        <v>0</v>
      </c>
      <c r="CZ45" s="1" t="n">
        <f aca="false">U45*Slot1_Cost+AF45*Slot2_Cost+AP45*Slot3_Cost+AZ45*Slot4_Cost+BJ45*Slot5_Cost+BT45*Slot6_Cost+CD45*Slot7_Cost+CN45*Slot8_Cost</f>
        <v>0</v>
      </c>
      <c r="DA45" s="1" t="n">
        <f aca="false">CV45</f>
        <v>0</v>
      </c>
      <c r="DB45" s="1" t="n">
        <f aca="false">G45-H45-R45</f>
        <v>0</v>
      </c>
      <c r="DC45" s="1" t="n">
        <f aca="false">IF(B45=0,IF(AND(Has_q6=1,In_q6=4),PR_ShareVaries*(MAX(0,DB45)/12),MIN(IF(Has_q6=1,CHOOSE(In_q6+1,PR_SaveB1,PR_SaveB2,PR_SaveB3,PR_SaveB4,0),AS_NoAnswer),AS_SaveShare*(MAX(0,DB45)/12))),DC44)</f>
        <v>0</v>
      </c>
      <c r="DD45" s="1" t="n">
        <f aca="false">IF(DB45&gt;=0,1,0)</f>
        <v>1</v>
      </c>
      <c r="DE45" s="1" t="n">
        <f aca="false">MAX(0,DB45/12/E45)</f>
        <v>0</v>
      </c>
      <c r="DF45" s="1" t="n">
        <f aca="false">IF(AND(Has_q6=1,In_q6=4),PR_ShareVaries*(DE45),MIN(IF(Has_q6=1,CHOOSE(In_q6+1,PR_SaveB1,PR_SaveB2,PR_SaveB3,PR_SaveB4,0),AS_NoAnswer),AS_SaveShare*(DE45)))</f>
        <v>0</v>
      </c>
      <c r="DG45" s="1" t="n">
        <f aca="false">IF(Has_saveM=1,IF(In_saveUp="Yes",1,IF(In_saveUp="No",0,IF(In_saveM&gt;=DC45-0.5,1,0))),0)</f>
        <v>0</v>
      </c>
      <c r="DH45" s="1" t="n">
        <f aca="false">IF(Has_saveM=1,MIN(DE45,IF(DG45=1,MAX(In_saveM,DF45),MIN(In_saveM,DF45))),DF45)</f>
        <v>0</v>
      </c>
      <c r="DI45" s="1" t="n">
        <f aca="false">IF(F45=1,DH45*12*E45,0)</f>
        <v>0</v>
      </c>
      <c r="DJ45" s="1" t="n">
        <f aca="false">MAX(0,DI45+IF(AND(WI_Retire=0,WI_M&lt;0,F45=1),WI_M*12*E45,0))</f>
        <v>0</v>
      </c>
      <c r="DK45" s="1" t="n">
        <f aca="false">Slot1_IsWG*V45+Slot2_IsWG*AG45+Slot3_IsWG*AQ45+Slot4_IsWG*BA45+Slot5_IsWG*BK45+Slot6_IsWG*BU45+Slot7_IsWG*CE45+Slot8_IsWG*CO45</f>
        <v>0</v>
      </c>
      <c r="DL45" s="1" t="n">
        <f aca="false">IF(AND(WI_Retire=0,WI_M&gt;0,F45=1,DK45&gt;=1),WI_M*12*E45,0)</f>
        <v>0</v>
      </c>
      <c r="DM45" s="1" t="n">
        <f aca="false">IF(DD45=1,MIN(DJ45,DB45),0)</f>
        <v>0</v>
      </c>
      <c r="DN45" s="1" t="n">
        <f aca="false">IF(DD45=1,MIN(DL45,DB45-DM45),0)</f>
        <v>0</v>
      </c>
      <c r="DO45" s="1" t="n">
        <f aca="false">IF(V45=1,IF(ABS((1+AS_Wage)/(1+Slot1_Rate)-1)&lt;0.000000000001,(Slot1_Age-D45)*(1+Slot1_Rate)^(Slot1_Age-D45),(1+Slot1_Rate)^(Slot1_Age-D45)*(1-((1+AS_Wage)/(1+Slot1_Rate))^(Slot1_Age-D45))/(1-(1+AS_Wage)/(1+Slot1_Rate))),1)</f>
        <v>1</v>
      </c>
      <c r="DP45" s="1" t="n">
        <f aca="false">IF(AND(DD45=1,DN45&gt;0,Slot1_IsWG=1,V45=1),MAX(0,(Slot1_Cost-W45*(1+Slot1_Rate)^(Slot1_Age-D45))/DO45),0)</f>
        <v>0</v>
      </c>
      <c r="DQ45" s="1" t="n">
        <f aca="false">IF(AND(DD45=1,DN45&gt;0,Slot1_IsWG=1,V45=1),MIN(DN45,DP45),0)</f>
        <v>0</v>
      </c>
      <c r="DR45" s="1" t="n">
        <f aca="false">W45+DQ45</f>
        <v>0</v>
      </c>
      <c r="DS45" s="1" t="n">
        <f aca="false">IF(V45=1,MAX(0,(Slot1_Cost-DR45*(1+Slot1_Rate)^(Slot1_Age-D45))/DO45),0)</f>
        <v>0</v>
      </c>
      <c r="DT45" s="1" t="n">
        <f aca="false">IF(V45=1,MAX(0,(Slot1_Cost-W45*(1+Slot1_Rate)^(Slot1_Age-D45))/DO45),0)</f>
        <v>0</v>
      </c>
      <c r="DU45" s="1" t="n">
        <f aca="false">IF(AND(DD45=1,V45=1),MIN(DM45,DS45),0)</f>
        <v>0</v>
      </c>
      <c r="DV45" s="1" t="n">
        <f aca="false">DM45-DU45</f>
        <v>0</v>
      </c>
      <c r="DW45" s="1" t="n">
        <f aca="false">IF(AG45=1,IF(ABS((1+AS_Wage)/(1+Slot2_Rate)-1)&lt;0.000000000001,(Slot2_Age-D45)*(1+Slot2_Rate)^(Slot2_Age-D45),(1+Slot2_Rate)^(Slot2_Age-D45)*(1-((1+AS_Wage)/(1+Slot2_Rate))^(Slot2_Age-D45))/(1-(1+AS_Wage)/(1+Slot2_Rate))),1)</f>
        <v>1</v>
      </c>
      <c r="DX45" s="1" t="n">
        <f aca="false">IF(AND(DD45=1,DN45&gt;0,Slot2_IsWG=1,AG45=1),MAX(0,(Slot2_Cost-AH45*(1+Slot2_Rate)^(Slot2_Age-D45))/DW45),0)</f>
        <v>0</v>
      </c>
      <c r="DY45" s="1" t="n">
        <f aca="false">IF(AND(DD45=1,DN45&gt;0,Slot2_IsWG=1,AG45=1),MIN(DN45,DX45),0)</f>
        <v>0</v>
      </c>
      <c r="DZ45" s="1" t="n">
        <f aca="false">AH45+DY45</f>
        <v>0</v>
      </c>
      <c r="EA45" s="1" t="n">
        <f aca="false">IF(AG45=1,MAX(0,(Slot2_Cost-DZ45*(1+Slot2_Rate)^(Slot2_Age-D45))/DW45),0)</f>
        <v>0</v>
      </c>
      <c r="EB45" s="1" t="n">
        <f aca="false">IF(AG45=1,MAX(0,(Slot2_Cost-AH45*(1+Slot2_Rate)^(Slot2_Age-D45))/DW45),0)</f>
        <v>0</v>
      </c>
      <c r="EC45" s="1" t="n">
        <f aca="false">IF(AND(DD45=1,AG45=1),MIN(DV45,EA45),0)</f>
        <v>0</v>
      </c>
      <c r="ED45" s="1" t="n">
        <f aca="false">DV45-EC45</f>
        <v>0</v>
      </c>
      <c r="EE45" s="1" t="n">
        <f aca="false">IF(AQ45=1,IF(ABS((1+AS_Wage)/(1+Slot3_Rate)-1)&lt;0.000000000001,(Slot3_Age-D45)*(1+Slot3_Rate)^(Slot3_Age-D45),(1+Slot3_Rate)^(Slot3_Age-D45)*(1-((1+AS_Wage)/(1+Slot3_Rate))^(Slot3_Age-D45))/(1-(1+AS_Wage)/(1+Slot3_Rate))),1)</f>
        <v>1</v>
      </c>
      <c r="EF45" s="1" t="n">
        <f aca="false">IF(AND(DD45=1,DN45&gt;0,Slot3_IsWG=1,AQ45=1),MAX(0,(Slot3_Cost-AR45*(1+Slot3_Rate)^(Slot3_Age-D45))/EE45),0)</f>
        <v>0</v>
      </c>
      <c r="EG45" s="1" t="n">
        <f aca="false">IF(AND(DD45=1,DN45&gt;0,Slot3_IsWG=1,AQ45=1),MIN(DN45,EF45),0)</f>
        <v>0</v>
      </c>
      <c r="EH45" s="1" t="n">
        <f aca="false">AR45+EG45</f>
        <v>0</v>
      </c>
      <c r="EI45" s="1" t="n">
        <f aca="false">IF(AQ45=1,MAX(0,(Slot3_Cost-EH45*(1+Slot3_Rate)^(Slot3_Age-D45))/EE45),0)</f>
        <v>0</v>
      </c>
      <c r="EJ45" s="1" t="n">
        <f aca="false">IF(AQ45=1,MAX(0,(Slot3_Cost-AR45*(1+Slot3_Rate)^(Slot3_Age-D45))/EE45),0)</f>
        <v>0</v>
      </c>
      <c r="EK45" s="1" t="n">
        <f aca="false">IF(AND(DD45=1,AQ45=1),MIN(ED45,EI45),0)</f>
        <v>0</v>
      </c>
      <c r="EL45" s="1" t="n">
        <f aca="false">ED45-EK45</f>
        <v>0</v>
      </c>
      <c r="EM45" s="1" t="n">
        <f aca="false">IF(BA45=1,IF(ABS((1+AS_Wage)/(1+Slot4_Rate)-1)&lt;0.000000000001,(Slot4_Age-D45)*(1+Slot4_Rate)^(Slot4_Age-D45),(1+Slot4_Rate)^(Slot4_Age-D45)*(1-((1+AS_Wage)/(1+Slot4_Rate))^(Slot4_Age-D45))/(1-(1+AS_Wage)/(1+Slot4_Rate))),1)</f>
        <v>1</v>
      </c>
      <c r="EN45" s="1" t="n">
        <f aca="false">IF(AND(DD45=1,DN45&gt;0,Slot4_IsWG=1,BA45=1),MAX(0,(Slot4_Cost-BB45*(1+Slot4_Rate)^(Slot4_Age-D45))/EM45),0)</f>
        <v>0</v>
      </c>
      <c r="EO45" s="1" t="n">
        <f aca="false">IF(AND(DD45=1,DN45&gt;0,Slot4_IsWG=1,BA45=1),MIN(DN45,EN45),0)</f>
        <v>0</v>
      </c>
      <c r="EP45" s="1" t="n">
        <f aca="false">BB45+EO45</f>
        <v>0</v>
      </c>
      <c r="EQ45" s="1" t="n">
        <f aca="false">IF(BA45=1,MAX(0,(Slot4_Cost-EP45*(1+Slot4_Rate)^(Slot4_Age-D45))/EM45),0)</f>
        <v>0</v>
      </c>
      <c r="ER45" s="1" t="n">
        <f aca="false">IF(BA45=1,MAX(0,(Slot4_Cost-BB45*(1+Slot4_Rate)^(Slot4_Age-D45))/EM45),0)</f>
        <v>0</v>
      </c>
      <c r="ES45" s="1" t="n">
        <f aca="false">IF(AND(DD45=1,BA45=1),MIN(EL45,EQ45),0)</f>
        <v>0</v>
      </c>
      <c r="ET45" s="1" t="n">
        <f aca="false">EL45-ES45</f>
        <v>0</v>
      </c>
      <c r="EU45" s="1" t="n">
        <f aca="false">IF(BK45=1,IF(ABS((1+AS_Wage)/(1+Slot5_Rate)-1)&lt;0.000000000001,(Slot5_Age-D45)*(1+Slot5_Rate)^(Slot5_Age-D45),(1+Slot5_Rate)^(Slot5_Age-D45)*(1-((1+AS_Wage)/(1+Slot5_Rate))^(Slot5_Age-D45))/(1-(1+AS_Wage)/(1+Slot5_Rate))),1)</f>
        <v>1</v>
      </c>
      <c r="EV45" s="1" t="n">
        <f aca="false">IF(AND(DD45=1,DN45&gt;0,Slot5_IsWG=1,BK45=1),MAX(0,(Slot5_Cost-BL45*(1+Slot5_Rate)^(Slot5_Age-D45))/EU45),0)</f>
        <v>0</v>
      </c>
      <c r="EW45" s="1" t="n">
        <f aca="false">IF(AND(DD45=1,DN45&gt;0,Slot5_IsWG=1,BK45=1),MIN(DN45,EV45),0)</f>
        <v>0</v>
      </c>
      <c r="EX45" s="1" t="n">
        <f aca="false">BL45+EW45</f>
        <v>0</v>
      </c>
      <c r="EY45" s="1" t="n">
        <f aca="false">IF(BK45=1,MAX(0,(Slot5_Cost-EX45*(1+Slot5_Rate)^(Slot5_Age-D45))/EU45),0)</f>
        <v>0</v>
      </c>
      <c r="EZ45" s="1" t="n">
        <f aca="false">IF(BK45=1,MAX(0,(Slot5_Cost-BL45*(1+Slot5_Rate)^(Slot5_Age-D45))/EU45),0)</f>
        <v>0</v>
      </c>
      <c r="FA45" s="1" t="n">
        <f aca="false">IF(AND(DD45=1,BK45=1),MIN(ET45,EY45),0)</f>
        <v>0</v>
      </c>
      <c r="FB45" s="1" t="n">
        <f aca="false">ET45-FA45</f>
        <v>0</v>
      </c>
      <c r="FC45" s="1" t="n">
        <f aca="false">IF(BU45=1,IF(ABS((1+AS_Wage)/(1+Slot6_Rate)-1)&lt;0.000000000001,(Slot6_Age-D45)*(1+Slot6_Rate)^(Slot6_Age-D45),(1+Slot6_Rate)^(Slot6_Age-D45)*(1-((1+AS_Wage)/(1+Slot6_Rate))^(Slot6_Age-D45))/(1-(1+AS_Wage)/(1+Slot6_Rate))),1)</f>
        <v>1</v>
      </c>
      <c r="FD45" s="1" t="n">
        <f aca="false">IF(AND(DD45=1,DN45&gt;0,Slot6_IsWG=1,BU45=1),MAX(0,(Slot6_Cost-BV45*(1+Slot6_Rate)^(Slot6_Age-D45))/FC45),0)</f>
        <v>0</v>
      </c>
      <c r="FE45" s="1" t="n">
        <f aca="false">IF(AND(DD45=1,DN45&gt;0,Slot6_IsWG=1,BU45=1),MIN(DN45,FD45),0)</f>
        <v>0</v>
      </c>
      <c r="FF45" s="1" t="n">
        <f aca="false">BV45+FE45</f>
        <v>0</v>
      </c>
      <c r="FG45" s="1" t="n">
        <f aca="false">IF(BU45=1,MAX(0,(Slot6_Cost-FF45*(1+Slot6_Rate)^(Slot6_Age-D45))/FC45),0)</f>
        <v>0</v>
      </c>
      <c r="FH45" s="1" t="n">
        <f aca="false">IF(BU45=1,MAX(0,(Slot6_Cost-BV45*(1+Slot6_Rate)^(Slot6_Age-D45))/FC45),0)</f>
        <v>0</v>
      </c>
      <c r="FI45" s="1" t="n">
        <f aca="false">IF(AND(DD45=1,BU45=1),MIN(FB45,FG45),0)</f>
        <v>0</v>
      </c>
      <c r="FJ45" s="1" t="n">
        <f aca="false">FB45-FI45</f>
        <v>0</v>
      </c>
      <c r="FK45" s="1" t="n">
        <f aca="false">IF(CE45=1,IF(ABS((1+AS_Wage)/(1+Slot7_Rate)-1)&lt;0.000000000001,(Slot7_Age-D45)*(1+Slot7_Rate)^(Slot7_Age-D45),(1+Slot7_Rate)^(Slot7_Age-D45)*(1-((1+AS_Wage)/(1+Slot7_Rate))^(Slot7_Age-D45))/(1-(1+AS_Wage)/(1+Slot7_Rate))),1)</f>
        <v>1</v>
      </c>
      <c r="FL45" s="1" t="n">
        <f aca="false">IF(AND(DD45=1,DN45&gt;0,Slot7_IsWG=1,CE45=1),MAX(0,(Slot7_Cost-CF45*(1+Slot7_Rate)^(Slot7_Age-D45))/FK45),0)</f>
        <v>0</v>
      </c>
      <c r="FM45" s="1" t="n">
        <f aca="false">IF(AND(DD45=1,DN45&gt;0,Slot7_IsWG=1,CE45=1),MIN(DN45,FL45),0)</f>
        <v>0</v>
      </c>
      <c r="FN45" s="1" t="n">
        <f aca="false">CF45+FM45</f>
        <v>0</v>
      </c>
      <c r="FO45" s="1" t="n">
        <f aca="false">IF(CE45=1,MAX(0,(Slot7_Cost-FN45*(1+Slot7_Rate)^(Slot7_Age-D45))/FK45),0)</f>
        <v>0</v>
      </c>
      <c r="FP45" s="1" t="n">
        <f aca="false">IF(CE45=1,MAX(0,(Slot7_Cost-CF45*(1+Slot7_Rate)^(Slot7_Age-D45))/FK45),0)</f>
        <v>0</v>
      </c>
      <c r="FQ45" s="1" t="n">
        <f aca="false">IF(AND(DD45=1,CE45=1),MIN(FJ45,FO45),0)</f>
        <v>0</v>
      </c>
      <c r="FR45" s="1" t="n">
        <f aca="false">FJ45-FQ45</f>
        <v>0</v>
      </c>
      <c r="FS45" s="1" t="n">
        <f aca="false">IF(CO45=1,IF(ABS((1+AS_Wage)/(1+Slot8_Rate)-1)&lt;0.000000000001,(Slot8_Age-D45)*(1+Slot8_Rate)^(Slot8_Age-D45),(1+Slot8_Rate)^(Slot8_Age-D45)*(1-((1+AS_Wage)/(1+Slot8_Rate))^(Slot8_Age-D45))/(1-(1+AS_Wage)/(1+Slot8_Rate))),1)</f>
        <v>1</v>
      </c>
      <c r="FT45" s="1" t="n">
        <f aca="false">IF(AND(DD45=1,DN45&gt;0,Slot8_IsWG=1,CO45=1),MAX(0,(Slot8_Cost-CP45*(1+Slot8_Rate)^(Slot8_Age-D45))/FS45),0)</f>
        <v>0</v>
      </c>
      <c r="FU45" s="1" t="n">
        <f aca="false">IF(AND(DD45=1,DN45&gt;0,Slot8_IsWG=1,CO45=1),MIN(DN45,FT45),0)</f>
        <v>0</v>
      </c>
      <c r="FV45" s="1" t="n">
        <f aca="false">CP45+FU45</f>
        <v>0</v>
      </c>
      <c r="FW45" s="1" t="n">
        <f aca="false">IF(CO45=1,MAX(0,(Slot8_Cost-FV45*(1+Slot8_Rate)^(Slot8_Age-D45))/FS45),0)</f>
        <v>0</v>
      </c>
      <c r="FX45" s="1" t="n">
        <f aca="false">IF(CO45=1,MAX(0,(Slot8_Cost-CP45*(1+Slot8_Rate)^(Slot8_Age-D45))/FS45),0)</f>
        <v>0</v>
      </c>
      <c r="FY45" s="1" t="n">
        <f aca="false">IF(AND(DD45=1,CO45=1),MIN(FR45,FW45),0)</f>
        <v>0</v>
      </c>
      <c r="FZ45" s="1" t="n">
        <f aca="false">FR45-FY45</f>
        <v>0</v>
      </c>
      <c r="GA45" s="1" t="n">
        <f aca="false">DN45-(DQ45+DY45+EG45+EO45+EW45+FE45+FM45+FU45)</f>
        <v>0</v>
      </c>
      <c r="GB45" s="1" t="n">
        <f aca="false">IF(DD45=1,DB45-DM45-DN45,0)</f>
        <v>0</v>
      </c>
      <c r="GC45" s="1" t="n">
        <f aca="false">IF(DD45=0,-DB45,0)</f>
        <v>0</v>
      </c>
      <c r="GD45" s="1" t="n">
        <f aca="false">MIN(GC45,CT45)</f>
        <v>0</v>
      </c>
      <c r="GE45" s="1" t="n">
        <f aca="false">GC45-GD45</f>
        <v>0</v>
      </c>
      <c r="GF45" s="1" t="n">
        <f aca="false">MIN(GE45,CU45)</f>
        <v>0</v>
      </c>
      <c r="GG45" s="1" t="n">
        <f aca="false">GE45-GF45</f>
        <v>0</v>
      </c>
      <c r="GH45" s="1" t="n">
        <f aca="false">IF(AND(DD45=0,CO45=1,GG45&gt;0),MIN(GG45,CP45),0)</f>
        <v>0</v>
      </c>
      <c r="GI45" s="1" t="n">
        <f aca="false">GG45-GH45</f>
        <v>0</v>
      </c>
      <c r="GJ45" s="1" t="n">
        <f aca="false">IF(AND(DD45=0,CE45=1,GI45&gt;0),MIN(GI45,CF45),0)</f>
        <v>0</v>
      </c>
      <c r="GK45" s="1" t="n">
        <f aca="false">GI45-GJ45</f>
        <v>0</v>
      </c>
      <c r="GL45" s="1" t="n">
        <f aca="false">IF(AND(DD45=0,BU45=1,GK45&gt;0),MIN(GK45,BV45),0)</f>
        <v>0</v>
      </c>
      <c r="GM45" s="1" t="n">
        <f aca="false">GK45-GL45</f>
        <v>0</v>
      </c>
      <c r="GN45" s="1" t="n">
        <f aca="false">IF(AND(DD45=0,BK45=1,GM45&gt;0),MIN(GM45,BL45),0)</f>
        <v>0</v>
      </c>
      <c r="GO45" s="1" t="n">
        <f aca="false">GM45-GN45</f>
        <v>0</v>
      </c>
      <c r="GP45" s="1" t="n">
        <f aca="false">IF(AND(DD45=0,BA45=1,GO45&gt;0),MIN(GO45,BB45),0)</f>
        <v>0</v>
      </c>
      <c r="GQ45" s="1" t="n">
        <f aca="false">GO45-GP45</f>
        <v>0</v>
      </c>
      <c r="GR45" s="1" t="n">
        <f aca="false">IF(AND(DD45=0,AQ45=1,GQ45&gt;0),MIN(GQ45,AR45),0)</f>
        <v>0</v>
      </c>
      <c r="GS45" s="1" t="n">
        <f aca="false">GQ45-GR45</f>
        <v>0</v>
      </c>
      <c r="GT45" s="1" t="n">
        <f aca="false">IF(AND(DD45=0,AG45=1,GS45&gt;0),MIN(GS45,AH45),0)</f>
        <v>0</v>
      </c>
      <c r="GU45" s="1" t="n">
        <f aca="false">GS45-GT45</f>
        <v>0</v>
      </c>
      <c r="GV45" s="1" t="n">
        <f aca="false">IF(AND(DD45=0,V45=1,GU45&gt;0),MIN(GU45,W45),0)</f>
        <v>0</v>
      </c>
      <c r="GW45" s="1" t="n">
        <f aca="false">GU45-GV45</f>
        <v>0</v>
      </c>
      <c r="GX45" s="1" t="n">
        <f aca="false">IF(DD45=0,GW45,0)</f>
        <v>0</v>
      </c>
      <c r="GY45" s="1" t="n">
        <f aca="false">GD45+GF45+GV45+GT45+GR45+GP45+GN45+GL45+GJ45+GH45</f>
        <v>0</v>
      </c>
      <c r="GZ45" s="1" t="n">
        <f aca="false">IF(DD45=1,CT45+GA45+FZ45+IF(F45=1,0,GB45),CT45-GD45)</f>
        <v>0</v>
      </c>
      <c r="HA45" s="1" t="n">
        <f aca="false">CU45-GF45</f>
        <v>0</v>
      </c>
      <c r="HB45" s="1" t="n">
        <f aca="false">IF(DD45=1,IF(F45=1,DM45+DN45,DB45),0)</f>
        <v>0</v>
      </c>
      <c r="HC45" s="1" t="n">
        <f aca="false">IF(DD45=1,IF(F45=1,DB45-DM45-DN45,0),0)</f>
        <v>0</v>
      </c>
      <c r="HD45" s="1" t="n">
        <f aca="false">GZ45*(1+GR)</f>
        <v>0</v>
      </c>
      <c r="HE45" s="1" t="n">
        <f aca="false">HA45*(1+AS_Cash)</f>
        <v>0</v>
      </c>
      <c r="HF45" s="1" t="n">
        <f aca="false">IF(V45=1,IF(DD45=1,DR45+DU45,W45-GV45)*(1+Slot1_Rate),0)</f>
        <v>0</v>
      </c>
      <c r="HG45" s="1" t="n">
        <f aca="false">IF(AND(DD45=1,V45=1),(DQ45+DU45)/E45,0)</f>
        <v>0</v>
      </c>
      <c r="HH45" s="1" t="n">
        <f aca="false">IF(B45=0,DQ45+DU45,0)</f>
        <v>0</v>
      </c>
      <c r="HI45" s="1" t="n">
        <f aca="false">IF(B45=0,IF(DD45=1,DS45,DT45),0)</f>
        <v>0</v>
      </c>
      <c r="HJ45" s="1" t="n">
        <f aca="false">IF(AG45=1,IF(DD45=1,DZ45+EC45,AH45-GT45)*(1+Slot2_Rate),0)</f>
        <v>0</v>
      </c>
      <c r="HK45" s="1" t="n">
        <f aca="false">IF(AND(DD45=1,AG45=1),(DY45+EC45)/E45,0)</f>
        <v>0</v>
      </c>
      <c r="HL45" s="1" t="n">
        <f aca="false">IF(B45=0,DY45+EC45,0)</f>
        <v>0</v>
      </c>
      <c r="HM45" s="1" t="n">
        <f aca="false">IF(B45=0,IF(DD45=1,EA45,EB45),0)</f>
        <v>0</v>
      </c>
      <c r="HN45" s="1" t="n">
        <f aca="false">IF(AQ45=1,IF(DD45=1,EH45+EK45,AR45-GR45)*(1+Slot3_Rate),0)</f>
        <v>0</v>
      </c>
      <c r="HO45" s="1" t="n">
        <f aca="false">IF(AND(DD45=1,AQ45=1),(EG45+EK45)/E45,0)</f>
        <v>0</v>
      </c>
      <c r="HP45" s="1" t="n">
        <f aca="false">IF(B45=0,EG45+EK45,0)</f>
        <v>0</v>
      </c>
      <c r="HQ45" s="1" t="n">
        <f aca="false">IF(B45=0,IF(DD45=1,EI45,EJ45),0)</f>
        <v>0</v>
      </c>
      <c r="HR45" s="1" t="n">
        <f aca="false">IF(BA45=1,IF(DD45=1,EP45+ES45,BB45-GP45)*(1+Slot4_Rate),0)</f>
        <v>0</v>
      </c>
      <c r="HS45" s="1" t="n">
        <f aca="false">IF(AND(DD45=1,BA45=1),(EO45+ES45)/E45,0)</f>
        <v>0</v>
      </c>
      <c r="HT45" s="1" t="n">
        <f aca="false">IF(B45=0,EO45+ES45,0)</f>
        <v>0</v>
      </c>
      <c r="HU45" s="1" t="n">
        <f aca="false">IF(B45=0,IF(DD45=1,EQ45,ER45),0)</f>
        <v>0</v>
      </c>
      <c r="HV45" s="1" t="n">
        <f aca="false">IF(BK45=1,IF(DD45=1,EX45+FA45,BL45-GN45)*(1+Slot5_Rate),0)</f>
        <v>0</v>
      </c>
      <c r="HW45" s="1" t="n">
        <f aca="false">IF(AND(DD45=1,BK45=1),(EW45+FA45)/E45,0)</f>
        <v>0</v>
      </c>
      <c r="HX45" s="1" t="n">
        <f aca="false">IF(B45=0,EW45+FA45,0)</f>
        <v>0</v>
      </c>
      <c r="HY45" s="1" t="n">
        <f aca="false">IF(B45=0,IF(DD45=1,EY45,EZ45),0)</f>
        <v>0</v>
      </c>
      <c r="HZ45" s="1" t="n">
        <f aca="false">IF(BU45=1,IF(DD45=1,FF45+FI45,BV45-GL45)*(1+Slot6_Rate),0)</f>
        <v>0</v>
      </c>
      <c r="IA45" s="1" t="n">
        <f aca="false">IF(AND(DD45=1,BU45=1),(FE45+FI45)/E45,0)</f>
        <v>0</v>
      </c>
      <c r="IB45" s="1" t="n">
        <f aca="false">IF(B45=0,FE45+FI45,0)</f>
        <v>0</v>
      </c>
      <c r="IC45" s="1" t="n">
        <f aca="false">IF(B45=0,IF(DD45=1,FG45,FH45),0)</f>
        <v>0</v>
      </c>
      <c r="ID45" s="1" t="n">
        <f aca="false">IF(CE45=1,IF(DD45=1,FN45+FQ45,CF45-GJ45)*(1+Slot7_Rate),0)</f>
        <v>0</v>
      </c>
      <c r="IE45" s="1" t="n">
        <f aca="false">IF(AND(DD45=1,CE45=1),(FM45+FQ45)/E45,0)</f>
        <v>0</v>
      </c>
      <c r="IF45" s="1" t="n">
        <f aca="false">IF(B45=0,FM45+FQ45,0)</f>
        <v>0</v>
      </c>
      <c r="IG45" s="1" t="n">
        <f aca="false">IF(B45=0,IF(DD45=1,FO45,FP45),0)</f>
        <v>0</v>
      </c>
      <c r="IH45" s="1" t="n">
        <f aca="false">IF(CO45=1,IF(DD45=1,FV45+FY45,CP45-GH45)*(1+Slot8_Rate),0)</f>
        <v>0</v>
      </c>
      <c r="II45" s="1" t="n">
        <f aca="false">IF(AND(DD45=1,CO45=1),(FU45+FY45)/E45,0)</f>
        <v>0</v>
      </c>
      <c r="IJ45" s="1" t="n">
        <f aca="false">IF(B45=0,FU45+FY45,0)</f>
        <v>0</v>
      </c>
      <c r="IK45" s="1" t="n">
        <f aca="false">IF(B45=0,IF(DD45=1,FW45,FX45),0)</f>
        <v>0</v>
      </c>
      <c r="IL45" s="1" t="n">
        <f aca="false">HD45+HE45+HF45+HJ45+HN45+HR45+HV45+HZ45+ID45+IH45</f>
        <v>0</v>
      </c>
      <c r="IM45" s="1" t="n">
        <f aca="false">GX45+CY45</f>
        <v>0</v>
      </c>
      <c r="IN45" s="1" t="n">
        <f aca="false">H45+R45</f>
        <v>0</v>
      </c>
      <c r="IO45" s="1" t="n">
        <f aca="false">1-F45</f>
        <v>1</v>
      </c>
      <c r="IP45" s="1" t="n">
        <f aca="false">IF(AND(RG_Exists=1,F45=0,C45=1),H45,0)</f>
        <v>0</v>
      </c>
      <c r="IQ45" s="1" t="n">
        <f aca="false">IF(AND(RG_Exists=1,F45=0,C45=1),H45-MIN(GX45,H45),0)</f>
        <v>0</v>
      </c>
      <c r="IR45" s="1" t="n">
        <f aca="false">'Plan pay &amp; tax'!AD247</f>
        <v>0</v>
      </c>
      <c r="IS45" s="1" t="n">
        <f aca="false">IF(AND(C45=1,GX45&gt;MAX(PR_Short1,IN45*PR_Short2)),1,0)</f>
        <v>0</v>
      </c>
      <c r="IT45" s="1" t="n">
        <f aca="false">MIN(G45,H45+R45)</f>
        <v>0</v>
      </c>
      <c r="IU45" s="1" t="n">
        <f aca="false">GY45+MAX(0,CZ45-CY45)</f>
        <v>0</v>
      </c>
      <c r="IV45" s="1" t="n">
        <f aca="false">GX45+CY45</f>
        <v>0</v>
      </c>
      <c r="IW45" s="1" t="n">
        <f aca="false">IF(AND(C45=1,IV45&gt;0.5),1,0)</f>
        <v>0</v>
      </c>
      <c r="IX45" s="1" t="n">
        <f aca="false">IF(AND(C45=1,IW45=0,IU45&gt;0.5),1,0)</f>
        <v>0</v>
      </c>
      <c r="IY45" s="1" t="n">
        <f aca="false">IF(AND(C45=1,GX45&gt;0.5),1,0)</f>
        <v>0</v>
      </c>
      <c r="IZ45" s="1" t="n">
        <f aca="false">IF(AND(C45=1,GY45&gt;1,JF45=0),1,0)</f>
        <v>0</v>
      </c>
      <c r="JA45" s="1" t="n">
        <f aca="false">IF(AND(INT(D45/10)*10=90,B45&gt;0),80,INT(D45/10)*10)</f>
        <v>30</v>
      </c>
      <c r="JB45" s="1" t="n">
        <f aca="false">IF(B45=0,1,IF(JA45&lt;&gt;JA44,JB44+1,JB44))</f>
        <v>4</v>
      </c>
      <c r="JC45" s="1" t="n">
        <f aca="false">IF(AND(C45=1,F45=1,GX45&gt;MAX(PR_Short1,IN45*PR_Short2)),1,0)</f>
        <v>0</v>
      </c>
      <c r="JD45" s="1" t="n">
        <f aca="false">IO45*IS45</f>
        <v>0</v>
      </c>
      <c r="JE45" s="1" t="n">
        <f aca="false">IF(AND(U45=1,Slot1_PctLow=1),1,0)+IF(AND(AF45=1,Slot2_PctLow=1),1,0)+IF(AND(AP45=1,Slot3_PctLow=1),1,0)+IF(AND(AZ45=1,Slot4_PctLow=1),1,0)+IF(AND(BJ45=1,Slot5_PctLow=1),1,0)+IF(AND(BT45=1,Slot6_PctLow=1),1,0)+IF(AND(CD45=1,Slot7_PctLow=1),1,0)+IF(AND(CN45=1,Slot8_PctLow=1),1,0)</f>
        <v>0</v>
      </c>
      <c r="JF45" s="1" t="n">
        <f aca="false">IF(C45=1,IF(OR(IS45=1,JE45&gt;0),1,0),0)</f>
        <v>0</v>
      </c>
    </row>
    <row r="46" customFormat="false" ht="15" hidden="false" customHeight="false" outlineLevel="0" collapsed="false">
      <c r="B46" s="1" t="n">
        <v>38</v>
      </c>
      <c r="C46" s="1" t="n">
        <f aca="false">IF(B46&lt;=F_N,1,0)</f>
        <v>1</v>
      </c>
      <c r="D46" s="1" t="n">
        <f aca="false">'Plan pay &amp; tax'!C248</f>
        <v>38</v>
      </c>
      <c r="E46" s="106" t="n">
        <f aca="false">'Plan pay &amp; tax'!E248</f>
        <v>2.12229879240182</v>
      </c>
      <c r="F46" s="1" t="n">
        <f aca="false">'Plan pay &amp; tax'!G248</f>
        <v>0</v>
      </c>
      <c r="G46" s="1" t="n">
        <f aca="false">'Plan pay &amp; tax'!BT248-'Plan pay &amp; tax'!BS248-'Plan pay &amp; tax'!R248</f>
        <v>0</v>
      </c>
      <c r="H46" s="1" t="n">
        <f aca="false">IF(F46=1,F_CostsM*12,IF(RG_Exists=1,RG_Amount,F_CostsM*12*AS_RetireSpend))*E46+F_OneOffY*E46</f>
        <v>0</v>
      </c>
      <c r="I46" s="1" t="n">
        <f aca="false">DA45</f>
        <v>0</v>
      </c>
      <c r="J46" s="1" t="n">
        <f aca="false">IF(I46&gt;1,'Plan debt months'!AC46,0)</f>
        <v>0</v>
      </c>
      <c r="K46" s="1" t="n">
        <f aca="false">IF(I46&gt;1,'Plan debt months'!AB46,I46)</f>
        <v>0</v>
      </c>
      <c r="L46" s="1" t="n">
        <f aca="false">N45</f>
        <v>0</v>
      </c>
      <c r="M46" s="1" t="n">
        <f aca="false">IF(L46&gt;1,'Plan debt months'!BD46,0)</f>
        <v>0</v>
      </c>
      <c r="N46" s="1" t="n">
        <f aca="false">IF(L46&gt;1,'Plan debt months'!BC46,L46)</f>
        <v>0</v>
      </c>
      <c r="O46" s="1" t="n">
        <f aca="false">Q45</f>
        <v>0</v>
      </c>
      <c r="P46" s="1" t="n">
        <f aca="false">IF(O46&gt;1,'Plan debt months'!CE46,0)</f>
        <v>0</v>
      </c>
      <c r="Q46" s="1" t="n">
        <f aca="false">IF(O46&gt;1,'Plan debt months'!CD46,O46)</f>
        <v>0</v>
      </c>
      <c r="R46" s="1" t="n">
        <f aca="false">J46+M46+P46</f>
        <v>0</v>
      </c>
      <c r="S46" s="1" t="n">
        <f aca="false">HD45+'Plan pay &amp; tax'!Y248</f>
        <v>0</v>
      </c>
      <c r="T46" s="1" t="n">
        <f aca="false">HD45</f>
        <v>0</v>
      </c>
      <c r="U46" s="1" t="n">
        <f aca="false">IF(AND(Slot1_On=1,D46=Slot1_Age),1,0)</f>
        <v>0</v>
      </c>
      <c r="V46" s="1" t="n">
        <f aca="false">IF(AND(Slot1_On=1,Slot1_Age&gt;D46),1,0)</f>
        <v>0</v>
      </c>
      <c r="W46" s="1" t="n">
        <f aca="false">HF45</f>
        <v>0</v>
      </c>
      <c r="X46" s="1" t="n">
        <f aca="false">U46*MIN(Slot1_Cost,W46)</f>
        <v>0</v>
      </c>
      <c r="Y46" s="1" t="n">
        <f aca="false">U46*Slot1_SpendLike*MIN(Slot1_Cost-X46,S46)</f>
        <v>0</v>
      </c>
      <c r="Z46" s="1" t="n">
        <f aca="false">X46+Y46</f>
        <v>0</v>
      </c>
      <c r="AA46" s="1" t="n">
        <f aca="false">S46-Y46+U46*IF(Slot1_SpendLike=1,W46-X46,IF(Slot1_PotFree=1,W46,0))</f>
        <v>0</v>
      </c>
      <c r="AB46" s="1" t="n">
        <f aca="false">AE46+U46*Slot1_BufPot*W46</f>
        <v>0</v>
      </c>
      <c r="AC46" s="1" t="n">
        <f aca="false">IF(AND(U46=1,Slot1_IsMfree=1),IF(Z46&gt;=Slot1_Cost-1,0,MAX(0,K46-Z46)),K46)</f>
        <v>0</v>
      </c>
      <c r="AD46" s="1" t="n">
        <f aca="false">U46*(Slot1_Cost-Z46)</f>
        <v>0</v>
      </c>
      <c r="AE46" s="1" t="n">
        <f aca="false">HE45</f>
        <v>0</v>
      </c>
      <c r="AF46" s="1" t="n">
        <f aca="false">IF(AND(Slot2_On=1,D46=Slot2_Age),1,0)</f>
        <v>0</v>
      </c>
      <c r="AG46" s="1" t="n">
        <f aca="false">IF(AND(Slot2_On=1,Slot2_Age&gt;D46),1,0)</f>
        <v>0</v>
      </c>
      <c r="AH46" s="1" t="n">
        <f aca="false">HJ45</f>
        <v>0</v>
      </c>
      <c r="AI46" s="1" t="n">
        <f aca="false">AF46*MIN(Slot2_Cost,AH46)</f>
        <v>0</v>
      </c>
      <c r="AJ46" s="1" t="n">
        <f aca="false">AF46*Slot2_SpendLike*MIN(Slot2_Cost-AI46,AA46)</f>
        <v>0</v>
      </c>
      <c r="AK46" s="1" t="n">
        <f aca="false">AI46+AJ46</f>
        <v>0</v>
      </c>
      <c r="AL46" s="1" t="n">
        <f aca="false">AA46-AJ46+AF46*IF(Slot2_SpendLike=1,AH46-AI46,IF(Slot2_PotFree=1,AH46,0))</f>
        <v>0</v>
      </c>
      <c r="AM46" s="1" t="n">
        <f aca="false">AB46+AF46*Slot2_BufPot*AH46</f>
        <v>0</v>
      </c>
      <c r="AN46" s="1" t="n">
        <f aca="false">IF(AND(AF46=1,Slot2_IsMfree=1),IF(AK46&gt;=Slot2_Cost-1,0,MAX(0,AC46-AK46)),AC46)</f>
        <v>0</v>
      </c>
      <c r="AO46" s="1" t="n">
        <f aca="false">AF46*(Slot2_Cost-AK46)</f>
        <v>0</v>
      </c>
      <c r="AP46" s="1" t="n">
        <f aca="false">IF(AND(Slot3_On=1,D46=Slot3_Age),1,0)</f>
        <v>0</v>
      </c>
      <c r="AQ46" s="1" t="n">
        <f aca="false">IF(AND(Slot3_On=1,Slot3_Age&gt;D46),1,0)</f>
        <v>0</v>
      </c>
      <c r="AR46" s="1" t="n">
        <f aca="false">HN45</f>
        <v>0</v>
      </c>
      <c r="AS46" s="1" t="n">
        <f aca="false">AP46*MIN(Slot3_Cost,AR46)</f>
        <v>0</v>
      </c>
      <c r="AT46" s="1" t="n">
        <f aca="false">AP46*Slot3_SpendLike*MIN(Slot3_Cost-AS46,AL46)</f>
        <v>0</v>
      </c>
      <c r="AU46" s="1" t="n">
        <f aca="false">AS46+AT46</f>
        <v>0</v>
      </c>
      <c r="AV46" s="1" t="n">
        <f aca="false">AL46-AT46+AP46*IF(Slot3_SpendLike=1,AR46-AS46,IF(Slot3_PotFree=1,AR46,0))</f>
        <v>0</v>
      </c>
      <c r="AW46" s="1" t="n">
        <f aca="false">AM46+AP46*Slot3_BufPot*AR46</f>
        <v>0</v>
      </c>
      <c r="AX46" s="1" t="n">
        <f aca="false">IF(AND(AP46=1,Slot3_IsMfree=1),IF(AU46&gt;=Slot3_Cost-1,0,MAX(0,AN46-AU46)),AN46)</f>
        <v>0</v>
      </c>
      <c r="AY46" s="1" t="n">
        <f aca="false">AP46*(Slot3_Cost-AU46)</f>
        <v>0</v>
      </c>
      <c r="AZ46" s="1" t="n">
        <f aca="false">IF(AND(Slot4_On=1,D46=Slot4_Age),1,0)</f>
        <v>0</v>
      </c>
      <c r="BA46" s="1" t="n">
        <f aca="false">IF(AND(Slot4_On=1,Slot4_Age&gt;D46),1,0)</f>
        <v>0</v>
      </c>
      <c r="BB46" s="1" t="n">
        <f aca="false">HR45</f>
        <v>0</v>
      </c>
      <c r="BC46" s="1" t="n">
        <f aca="false">AZ46*MIN(Slot4_Cost,BB46)</f>
        <v>0</v>
      </c>
      <c r="BD46" s="1" t="n">
        <f aca="false">AZ46*Slot4_SpendLike*MIN(Slot4_Cost-BC46,AV46)</f>
        <v>0</v>
      </c>
      <c r="BE46" s="1" t="n">
        <f aca="false">BC46+BD46</f>
        <v>0</v>
      </c>
      <c r="BF46" s="1" t="n">
        <f aca="false">AV46-BD46+AZ46*IF(Slot4_SpendLike=1,BB46-BC46,IF(Slot4_PotFree=1,BB46,0))</f>
        <v>0</v>
      </c>
      <c r="BG46" s="1" t="n">
        <f aca="false">AW46+AZ46*Slot4_BufPot*BB46</f>
        <v>0</v>
      </c>
      <c r="BH46" s="1" t="n">
        <f aca="false">IF(AND(AZ46=1,Slot4_IsMfree=1),IF(BE46&gt;=Slot4_Cost-1,0,MAX(0,AX46-BE46)),AX46)</f>
        <v>0</v>
      </c>
      <c r="BI46" s="1" t="n">
        <f aca="false">AZ46*(Slot4_Cost-BE46)</f>
        <v>0</v>
      </c>
      <c r="BJ46" s="1" t="n">
        <f aca="false">IF(AND(Slot5_On=1,D46=Slot5_Age),1,0)</f>
        <v>0</v>
      </c>
      <c r="BK46" s="1" t="n">
        <f aca="false">IF(AND(Slot5_On=1,Slot5_Age&gt;D46),1,0)</f>
        <v>0</v>
      </c>
      <c r="BL46" s="1" t="n">
        <f aca="false">HV45</f>
        <v>0</v>
      </c>
      <c r="BM46" s="1" t="n">
        <f aca="false">BJ46*MIN(Slot5_Cost,BL46)</f>
        <v>0</v>
      </c>
      <c r="BN46" s="1" t="n">
        <f aca="false">BJ46*Slot5_SpendLike*MIN(Slot5_Cost-BM46,BF46)</f>
        <v>0</v>
      </c>
      <c r="BO46" s="1" t="n">
        <f aca="false">BM46+BN46</f>
        <v>0</v>
      </c>
      <c r="BP46" s="1" t="n">
        <f aca="false">BF46-BN46+BJ46*IF(Slot5_SpendLike=1,BL46-BM46,IF(Slot5_PotFree=1,BL46,0))</f>
        <v>0</v>
      </c>
      <c r="BQ46" s="1" t="n">
        <f aca="false">BG46+BJ46*Slot5_BufPot*BL46</f>
        <v>0</v>
      </c>
      <c r="BR46" s="1" t="n">
        <f aca="false">IF(AND(BJ46=1,Slot5_IsMfree=1),IF(BO46&gt;=Slot5_Cost-1,0,MAX(0,BH46-BO46)),BH46)</f>
        <v>0</v>
      </c>
      <c r="BS46" s="1" t="n">
        <f aca="false">BJ46*(Slot5_Cost-BO46)</f>
        <v>0</v>
      </c>
      <c r="BT46" s="1" t="n">
        <f aca="false">IF(AND(Slot6_On=1,D46=Slot6_Age),1,0)</f>
        <v>0</v>
      </c>
      <c r="BU46" s="1" t="n">
        <f aca="false">IF(AND(Slot6_On=1,Slot6_Age&gt;D46),1,0)</f>
        <v>0</v>
      </c>
      <c r="BV46" s="1" t="n">
        <f aca="false">HZ45</f>
        <v>0</v>
      </c>
      <c r="BW46" s="1" t="n">
        <f aca="false">BT46*MIN(Slot6_Cost,BV46)</f>
        <v>0</v>
      </c>
      <c r="BX46" s="1" t="n">
        <f aca="false">BT46*Slot6_SpendLike*MIN(Slot6_Cost-BW46,BP46)</f>
        <v>0</v>
      </c>
      <c r="BY46" s="1" t="n">
        <f aca="false">BW46+BX46</f>
        <v>0</v>
      </c>
      <c r="BZ46" s="1" t="n">
        <f aca="false">BP46-BX46+BT46*IF(Slot6_SpendLike=1,BV46-BW46,IF(Slot6_PotFree=1,BV46,0))</f>
        <v>0</v>
      </c>
      <c r="CA46" s="1" t="n">
        <f aca="false">BQ46+BT46*Slot6_BufPot*BV46</f>
        <v>0</v>
      </c>
      <c r="CB46" s="1" t="n">
        <f aca="false">IF(AND(BT46=1,Slot6_IsMfree=1),IF(BY46&gt;=Slot6_Cost-1,0,MAX(0,BR46-BY46)),BR46)</f>
        <v>0</v>
      </c>
      <c r="CC46" s="1" t="n">
        <f aca="false">BT46*(Slot6_Cost-BY46)</f>
        <v>0</v>
      </c>
      <c r="CD46" s="1" t="n">
        <f aca="false">IF(AND(Slot7_On=1,D46=Slot7_Age),1,0)</f>
        <v>0</v>
      </c>
      <c r="CE46" s="1" t="n">
        <f aca="false">IF(AND(Slot7_On=1,Slot7_Age&gt;D46),1,0)</f>
        <v>0</v>
      </c>
      <c r="CF46" s="1" t="n">
        <f aca="false">ID45</f>
        <v>0</v>
      </c>
      <c r="CG46" s="1" t="n">
        <f aca="false">CD46*MIN(Slot7_Cost,CF46)</f>
        <v>0</v>
      </c>
      <c r="CH46" s="1" t="n">
        <f aca="false">CD46*Slot7_SpendLike*MIN(Slot7_Cost-CG46,BZ46)</f>
        <v>0</v>
      </c>
      <c r="CI46" s="1" t="n">
        <f aca="false">CG46+CH46</f>
        <v>0</v>
      </c>
      <c r="CJ46" s="1" t="n">
        <f aca="false">BZ46-CH46+CD46*IF(Slot7_SpendLike=1,CF46-CG46,IF(Slot7_PotFree=1,CF46,0))</f>
        <v>0</v>
      </c>
      <c r="CK46" s="1" t="n">
        <f aca="false">CA46+CD46*Slot7_BufPot*CF46</f>
        <v>0</v>
      </c>
      <c r="CL46" s="1" t="n">
        <f aca="false">IF(AND(CD46=1,Slot7_IsMfree=1),IF(CI46&gt;=Slot7_Cost-1,0,MAX(0,CB46-CI46)),CB46)</f>
        <v>0</v>
      </c>
      <c r="CM46" s="1" t="n">
        <f aca="false">CD46*(Slot7_Cost-CI46)</f>
        <v>0</v>
      </c>
      <c r="CN46" s="1" t="n">
        <f aca="false">IF(AND(Slot8_On=1,D46=Slot8_Age),1,0)</f>
        <v>0</v>
      </c>
      <c r="CO46" s="1" t="n">
        <f aca="false">IF(AND(Slot8_On=1,Slot8_Age&gt;D46),1,0)</f>
        <v>0</v>
      </c>
      <c r="CP46" s="1" t="n">
        <f aca="false">IH45</f>
        <v>0</v>
      </c>
      <c r="CQ46" s="1" t="n">
        <f aca="false">CN46*MIN(Slot8_Cost,CP46)</f>
        <v>0</v>
      </c>
      <c r="CR46" s="1" t="n">
        <f aca="false">CN46*Slot8_SpendLike*MIN(Slot8_Cost-CQ46,CJ46)</f>
        <v>0</v>
      </c>
      <c r="CS46" s="1" t="n">
        <f aca="false">CQ46+CR46</f>
        <v>0</v>
      </c>
      <c r="CT46" s="1" t="n">
        <f aca="false">CJ46-CR46+CN46*IF(Slot8_SpendLike=1,CP46-CQ46,IF(Slot8_PotFree=1,CP46,0))</f>
        <v>0</v>
      </c>
      <c r="CU46" s="1" t="n">
        <f aca="false">CK46+CN46*Slot8_BufPot*CP46</f>
        <v>0</v>
      </c>
      <c r="CV46" s="1" t="n">
        <f aca="false">IF(AND(CN46=1,Slot8_IsMfree=1),IF(CS46&gt;=Slot8_Cost-1,0,MAX(0,CL46-CS46)),CL46)</f>
        <v>0</v>
      </c>
      <c r="CW46" s="1" t="n">
        <f aca="false">CN46*(Slot8_Cost-CS46)</f>
        <v>0</v>
      </c>
      <c r="CX46" s="1" t="n">
        <f aca="false">U46*Slot1_SpendLike*Z46+AF46*Slot2_SpendLike*AK46+AP46*Slot3_SpendLike*AU46+AZ46*Slot4_SpendLike*BE46+BJ46*Slot5_SpendLike*BO46+BT46*Slot6_SpendLike*BY46+CD46*Slot7_SpendLike*CI46+CN46*Slot8_SpendLike*CS46</f>
        <v>0</v>
      </c>
      <c r="CY46" s="1" t="n">
        <f aca="false">AD46+AO46+AY46+BI46+BS46+CC46+CM46+CW46</f>
        <v>0</v>
      </c>
      <c r="CZ46" s="1" t="n">
        <f aca="false">U46*Slot1_Cost+AF46*Slot2_Cost+AP46*Slot3_Cost+AZ46*Slot4_Cost+BJ46*Slot5_Cost+BT46*Slot6_Cost+CD46*Slot7_Cost+CN46*Slot8_Cost</f>
        <v>0</v>
      </c>
      <c r="DA46" s="1" t="n">
        <f aca="false">CV46</f>
        <v>0</v>
      </c>
      <c r="DB46" s="1" t="n">
        <f aca="false">G46-H46-R46</f>
        <v>0</v>
      </c>
      <c r="DC46" s="1" t="n">
        <f aca="false">IF(B46=0,IF(AND(Has_q6=1,In_q6=4),PR_ShareVaries*(MAX(0,DB46)/12),MIN(IF(Has_q6=1,CHOOSE(In_q6+1,PR_SaveB1,PR_SaveB2,PR_SaveB3,PR_SaveB4,0),AS_NoAnswer),AS_SaveShare*(MAX(0,DB46)/12))),DC45)</f>
        <v>0</v>
      </c>
      <c r="DD46" s="1" t="n">
        <f aca="false">IF(DB46&gt;=0,1,0)</f>
        <v>1</v>
      </c>
      <c r="DE46" s="1" t="n">
        <f aca="false">MAX(0,DB46/12/E46)</f>
        <v>0</v>
      </c>
      <c r="DF46" s="1" t="n">
        <f aca="false">IF(AND(Has_q6=1,In_q6=4),PR_ShareVaries*(DE46),MIN(IF(Has_q6=1,CHOOSE(In_q6+1,PR_SaveB1,PR_SaveB2,PR_SaveB3,PR_SaveB4,0),AS_NoAnswer),AS_SaveShare*(DE46)))</f>
        <v>0</v>
      </c>
      <c r="DG46" s="1" t="n">
        <f aca="false">IF(Has_saveM=1,IF(In_saveUp="Yes",1,IF(In_saveUp="No",0,IF(In_saveM&gt;=DC46-0.5,1,0))),0)</f>
        <v>0</v>
      </c>
      <c r="DH46" s="1" t="n">
        <f aca="false">IF(Has_saveM=1,MIN(DE46,IF(DG46=1,MAX(In_saveM,DF46),MIN(In_saveM,DF46))),DF46)</f>
        <v>0</v>
      </c>
      <c r="DI46" s="1" t="n">
        <f aca="false">IF(F46=1,DH46*12*E46,0)</f>
        <v>0</v>
      </c>
      <c r="DJ46" s="1" t="n">
        <f aca="false">MAX(0,DI46+IF(AND(WI_Retire=0,WI_M&lt;0,F46=1),WI_M*12*E46,0))</f>
        <v>0</v>
      </c>
      <c r="DK46" s="1" t="n">
        <f aca="false">Slot1_IsWG*V46+Slot2_IsWG*AG46+Slot3_IsWG*AQ46+Slot4_IsWG*BA46+Slot5_IsWG*BK46+Slot6_IsWG*BU46+Slot7_IsWG*CE46+Slot8_IsWG*CO46</f>
        <v>0</v>
      </c>
      <c r="DL46" s="1" t="n">
        <f aca="false">IF(AND(WI_Retire=0,WI_M&gt;0,F46=1,DK46&gt;=1),WI_M*12*E46,0)</f>
        <v>0</v>
      </c>
      <c r="DM46" s="1" t="n">
        <f aca="false">IF(DD46=1,MIN(DJ46,DB46),0)</f>
        <v>0</v>
      </c>
      <c r="DN46" s="1" t="n">
        <f aca="false">IF(DD46=1,MIN(DL46,DB46-DM46),0)</f>
        <v>0</v>
      </c>
      <c r="DO46" s="1" t="n">
        <f aca="false">IF(V46=1,IF(ABS((1+AS_Wage)/(1+Slot1_Rate)-1)&lt;0.000000000001,(Slot1_Age-D46)*(1+Slot1_Rate)^(Slot1_Age-D46),(1+Slot1_Rate)^(Slot1_Age-D46)*(1-((1+AS_Wage)/(1+Slot1_Rate))^(Slot1_Age-D46))/(1-(1+AS_Wage)/(1+Slot1_Rate))),1)</f>
        <v>1</v>
      </c>
      <c r="DP46" s="1" t="n">
        <f aca="false">IF(AND(DD46=1,DN46&gt;0,Slot1_IsWG=1,V46=1),MAX(0,(Slot1_Cost-W46*(1+Slot1_Rate)^(Slot1_Age-D46))/DO46),0)</f>
        <v>0</v>
      </c>
      <c r="DQ46" s="1" t="n">
        <f aca="false">IF(AND(DD46=1,DN46&gt;0,Slot1_IsWG=1,V46=1),MIN(DN46,DP46),0)</f>
        <v>0</v>
      </c>
      <c r="DR46" s="1" t="n">
        <f aca="false">W46+DQ46</f>
        <v>0</v>
      </c>
      <c r="DS46" s="1" t="n">
        <f aca="false">IF(V46=1,MAX(0,(Slot1_Cost-DR46*(1+Slot1_Rate)^(Slot1_Age-D46))/DO46),0)</f>
        <v>0</v>
      </c>
      <c r="DT46" s="1" t="n">
        <f aca="false">IF(V46=1,MAX(0,(Slot1_Cost-W46*(1+Slot1_Rate)^(Slot1_Age-D46))/DO46),0)</f>
        <v>0</v>
      </c>
      <c r="DU46" s="1" t="n">
        <f aca="false">IF(AND(DD46=1,V46=1),MIN(DM46,DS46),0)</f>
        <v>0</v>
      </c>
      <c r="DV46" s="1" t="n">
        <f aca="false">DM46-DU46</f>
        <v>0</v>
      </c>
      <c r="DW46" s="1" t="n">
        <f aca="false">IF(AG46=1,IF(ABS((1+AS_Wage)/(1+Slot2_Rate)-1)&lt;0.000000000001,(Slot2_Age-D46)*(1+Slot2_Rate)^(Slot2_Age-D46),(1+Slot2_Rate)^(Slot2_Age-D46)*(1-((1+AS_Wage)/(1+Slot2_Rate))^(Slot2_Age-D46))/(1-(1+AS_Wage)/(1+Slot2_Rate))),1)</f>
        <v>1</v>
      </c>
      <c r="DX46" s="1" t="n">
        <f aca="false">IF(AND(DD46=1,DN46&gt;0,Slot2_IsWG=1,AG46=1),MAX(0,(Slot2_Cost-AH46*(1+Slot2_Rate)^(Slot2_Age-D46))/DW46),0)</f>
        <v>0</v>
      </c>
      <c r="DY46" s="1" t="n">
        <f aca="false">IF(AND(DD46=1,DN46&gt;0,Slot2_IsWG=1,AG46=1),MIN(DN46,DX46),0)</f>
        <v>0</v>
      </c>
      <c r="DZ46" s="1" t="n">
        <f aca="false">AH46+DY46</f>
        <v>0</v>
      </c>
      <c r="EA46" s="1" t="n">
        <f aca="false">IF(AG46=1,MAX(0,(Slot2_Cost-DZ46*(1+Slot2_Rate)^(Slot2_Age-D46))/DW46),0)</f>
        <v>0</v>
      </c>
      <c r="EB46" s="1" t="n">
        <f aca="false">IF(AG46=1,MAX(0,(Slot2_Cost-AH46*(1+Slot2_Rate)^(Slot2_Age-D46))/DW46),0)</f>
        <v>0</v>
      </c>
      <c r="EC46" s="1" t="n">
        <f aca="false">IF(AND(DD46=1,AG46=1),MIN(DV46,EA46),0)</f>
        <v>0</v>
      </c>
      <c r="ED46" s="1" t="n">
        <f aca="false">DV46-EC46</f>
        <v>0</v>
      </c>
      <c r="EE46" s="1" t="n">
        <f aca="false">IF(AQ46=1,IF(ABS((1+AS_Wage)/(1+Slot3_Rate)-1)&lt;0.000000000001,(Slot3_Age-D46)*(1+Slot3_Rate)^(Slot3_Age-D46),(1+Slot3_Rate)^(Slot3_Age-D46)*(1-((1+AS_Wage)/(1+Slot3_Rate))^(Slot3_Age-D46))/(1-(1+AS_Wage)/(1+Slot3_Rate))),1)</f>
        <v>1</v>
      </c>
      <c r="EF46" s="1" t="n">
        <f aca="false">IF(AND(DD46=1,DN46&gt;0,Slot3_IsWG=1,AQ46=1),MAX(0,(Slot3_Cost-AR46*(1+Slot3_Rate)^(Slot3_Age-D46))/EE46),0)</f>
        <v>0</v>
      </c>
      <c r="EG46" s="1" t="n">
        <f aca="false">IF(AND(DD46=1,DN46&gt;0,Slot3_IsWG=1,AQ46=1),MIN(DN46,EF46),0)</f>
        <v>0</v>
      </c>
      <c r="EH46" s="1" t="n">
        <f aca="false">AR46+EG46</f>
        <v>0</v>
      </c>
      <c r="EI46" s="1" t="n">
        <f aca="false">IF(AQ46=1,MAX(0,(Slot3_Cost-EH46*(1+Slot3_Rate)^(Slot3_Age-D46))/EE46),0)</f>
        <v>0</v>
      </c>
      <c r="EJ46" s="1" t="n">
        <f aca="false">IF(AQ46=1,MAX(0,(Slot3_Cost-AR46*(1+Slot3_Rate)^(Slot3_Age-D46))/EE46),0)</f>
        <v>0</v>
      </c>
      <c r="EK46" s="1" t="n">
        <f aca="false">IF(AND(DD46=1,AQ46=1),MIN(ED46,EI46),0)</f>
        <v>0</v>
      </c>
      <c r="EL46" s="1" t="n">
        <f aca="false">ED46-EK46</f>
        <v>0</v>
      </c>
      <c r="EM46" s="1" t="n">
        <f aca="false">IF(BA46=1,IF(ABS((1+AS_Wage)/(1+Slot4_Rate)-1)&lt;0.000000000001,(Slot4_Age-D46)*(1+Slot4_Rate)^(Slot4_Age-D46),(1+Slot4_Rate)^(Slot4_Age-D46)*(1-((1+AS_Wage)/(1+Slot4_Rate))^(Slot4_Age-D46))/(1-(1+AS_Wage)/(1+Slot4_Rate))),1)</f>
        <v>1</v>
      </c>
      <c r="EN46" s="1" t="n">
        <f aca="false">IF(AND(DD46=1,DN46&gt;0,Slot4_IsWG=1,BA46=1),MAX(0,(Slot4_Cost-BB46*(1+Slot4_Rate)^(Slot4_Age-D46))/EM46),0)</f>
        <v>0</v>
      </c>
      <c r="EO46" s="1" t="n">
        <f aca="false">IF(AND(DD46=1,DN46&gt;0,Slot4_IsWG=1,BA46=1),MIN(DN46,EN46),0)</f>
        <v>0</v>
      </c>
      <c r="EP46" s="1" t="n">
        <f aca="false">BB46+EO46</f>
        <v>0</v>
      </c>
      <c r="EQ46" s="1" t="n">
        <f aca="false">IF(BA46=1,MAX(0,(Slot4_Cost-EP46*(1+Slot4_Rate)^(Slot4_Age-D46))/EM46),0)</f>
        <v>0</v>
      </c>
      <c r="ER46" s="1" t="n">
        <f aca="false">IF(BA46=1,MAX(0,(Slot4_Cost-BB46*(1+Slot4_Rate)^(Slot4_Age-D46))/EM46),0)</f>
        <v>0</v>
      </c>
      <c r="ES46" s="1" t="n">
        <f aca="false">IF(AND(DD46=1,BA46=1),MIN(EL46,EQ46),0)</f>
        <v>0</v>
      </c>
      <c r="ET46" s="1" t="n">
        <f aca="false">EL46-ES46</f>
        <v>0</v>
      </c>
      <c r="EU46" s="1" t="n">
        <f aca="false">IF(BK46=1,IF(ABS((1+AS_Wage)/(1+Slot5_Rate)-1)&lt;0.000000000001,(Slot5_Age-D46)*(1+Slot5_Rate)^(Slot5_Age-D46),(1+Slot5_Rate)^(Slot5_Age-D46)*(1-((1+AS_Wage)/(1+Slot5_Rate))^(Slot5_Age-D46))/(1-(1+AS_Wage)/(1+Slot5_Rate))),1)</f>
        <v>1</v>
      </c>
      <c r="EV46" s="1" t="n">
        <f aca="false">IF(AND(DD46=1,DN46&gt;0,Slot5_IsWG=1,BK46=1),MAX(0,(Slot5_Cost-BL46*(1+Slot5_Rate)^(Slot5_Age-D46))/EU46),0)</f>
        <v>0</v>
      </c>
      <c r="EW46" s="1" t="n">
        <f aca="false">IF(AND(DD46=1,DN46&gt;0,Slot5_IsWG=1,BK46=1),MIN(DN46,EV46),0)</f>
        <v>0</v>
      </c>
      <c r="EX46" s="1" t="n">
        <f aca="false">BL46+EW46</f>
        <v>0</v>
      </c>
      <c r="EY46" s="1" t="n">
        <f aca="false">IF(BK46=1,MAX(0,(Slot5_Cost-EX46*(1+Slot5_Rate)^(Slot5_Age-D46))/EU46),0)</f>
        <v>0</v>
      </c>
      <c r="EZ46" s="1" t="n">
        <f aca="false">IF(BK46=1,MAX(0,(Slot5_Cost-BL46*(1+Slot5_Rate)^(Slot5_Age-D46))/EU46),0)</f>
        <v>0</v>
      </c>
      <c r="FA46" s="1" t="n">
        <f aca="false">IF(AND(DD46=1,BK46=1),MIN(ET46,EY46),0)</f>
        <v>0</v>
      </c>
      <c r="FB46" s="1" t="n">
        <f aca="false">ET46-FA46</f>
        <v>0</v>
      </c>
      <c r="FC46" s="1" t="n">
        <f aca="false">IF(BU46=1,IF(ABS((1+AS_Wage)/(1+Slot6_Rate)-1)&lt;0.000000000001,(Slot6_Age-D46)*(1+Slot6_Rate)^(Slot6_Age-D46),(1+Slot6_Rate)^(Slot6_Age-D46)*(1-((1+AS_Wage)/(1+Slot6_Rate))^(Slot6_Age-D46))/(1-(1+AS_Wage)/(1+Slot6_Rate))),1)</f>
        <v>1</v>
      </c>
      <c r="FD46" s="1" t="n">
        <f aca="false">IF(AND(DD46=1,DN46&gt;0,Slot6_IsWG=1,BU46=1),MAX(0,(Slot6_Cost-BV46*(1+Slot6_Rate)^(Slot6_Age-D46))/FC46),0)</f>
        <v>0</v>
      </c>
      <c r="FE46" s="1" t="n">
        <f aca="false">IF(AND(DD46=1,DN46&gt;0,Slot6_IsWG=1,BU46=1),MIN(DN46,FD46),0)</f>
        <v>0</v>
      </c>
      <c r="FF46" s="1" t="n">
        <f aca="false">BV46+FE46</f>
        <v>0</v>
      </c>
      <c r="FG46" s="1" t="n">
        <f aca="false">IF(BU46=1,MAX(0,(Slot6_Cost-FF46*(1+Slot6_Rate)^(Slot6_Age-D46))/FC46),0)</f>
        <v>0</v>
      </c>
      <c r="FH46" s="1" t="n">
        <f aca="false">IF(BU46=1,MAX(0,(Slot6_Cost-BV46*(1+Slot6_Rate)^(Slot6_Age-D46))/FC46),0)</f>
        <v>0</v>
      </c>
      <c r="FI46" s="1" t="n">
        <f aca="false">IF(AND(DD46=1,BU46=1),MIN(FB46,FG46),0)</f>
        <v>0</v>
      </c>
      <c r="FJ46" s="1" t="n">
        <f aca="false">FB46-FI46</f>
        <v>0</v>
      </c>
      <c r="FK46" s="1" t="n">
        <f aca="false">IF(CE46=1,IF(ABS((1+AS_Wage)/(1+Slot7_Rate)-1)&lt;0.000000000001,(Slot7_Age-D46)*(1+Slot7_Rate)^(Slot7_Age-D46),(1+Slot7_Rate)^(Slot7_Age-D46)*(1-((1+AS_Wage)/(1+Slot7_Rate))^(Slot7_Age-D46))/(1-(1+AS_Wage)/(1+Slot7_Rate))),1)</f>
        <v>1</v>
      </c>
      <c r="FL46" s="1" t="n">
        <f aca="false">IF(AND(DD46=1,DN46&gt;0,Slot7_IsWG=1,CE46=1),MAX(0,(Slot7_Cost-CF46*(1+Slot7_Rate)^(Slot7_Age-D46))/FK46),0)</f>
        <v>0</v>
      </c>
      <c r="FM46" s="1" t="n">
        <f aca="false">IF(AND(DD46=1,DN46&gt;0,Slot7_IsWG=1,CE46=1),MIN(DN46,FL46),0)</f>
        <v>0</v>
      </c>
      <c r="FN46" s="1" t="n">
        <f aca="false">CF46+FM46</f>
        <v>0</v>
      </c>
      <c r="FO46" s="1" t="n">
        <f aca="false">IF(CE46=1,MAX(0,(Slot7_Cost-FN46*(1+Slot7_Rate)^(Slot7_Age-D46))/FK46),0)</f>
        <v>0</v>
      </c>
      <c r="FP46" s="1" t="n">
        <f aca="false">IF(CE46=1,MAX(0,(Slot7_Cost-CF46*(1+Slot7_Rate)^(Slot7_Age-D46))/FK46),0)</f>
        <v>0</v>
      </c>
      <c r="FQ46" s="1" t="n">
        <f aca="false">IF(AND(DD46=1,CE46=1),MIN(FJ46,FO46),0)</f>
        <v>0</v>
      </c>
      <c r="FR46" s="1" t="n">
        <f aca="false">FJ46-FQ46</f>
        <v>0</v>
      </c>
      <c r="FS46" s="1" t="n">
        <f aca="false">IF(CO46=1,IF(ABS((1+AS_Wage)/(1+Slot8_Rate)-1)&lt;0.000000000001,(Slot8_Age-D46)*(1+Slot8_Rate)^(Slot8_Age-D46),(1+Slot8_Rate)^(Slot8_Age-D46)*(1-((1+AS_Wage)/(1+Slot8_Rate))^(Slot8_Age-D46))/(1-(1+AS_Wage)/(1+Slot8_Rate))),1)</f>
        <v>1</v>
      </c>
      <c r="FT46" s="1" t="n">
        <f aca="false">IF(AND(DD46=1,DN46&gt;0,Slot8_IsWG=1,CO46=1),MAX(0,(Slot8_Cost-CP46*(1+Slot8_Rate)^(Slot8_Age-D46))/FS46),0)</f>
        <v>0</v>
      </c>
      <c r="FU46" s="1" t="n">
        <f aca="false">IF(AND(DD46=1,DN46&gt;0,Slot8_IsWG=1,CO46=1),MIN(DN46,FT46),0)</f>
        <v>0</v>
      </c>
      <c r="FV46" s="1" t="n">
        <f aca="false">CP46+FU46</f>
        <v>0</v>
      </c>
      <c r="FW46" s="1" t="n">
        <f aca="false">IF(CO46=1,MAX(0,(Slot8_Cost-FV46*(1+Slot8_Rate)^(Slot8_Age-D46))/FS46),0)</f>
        <v>0</v>
      </c>
      <c r="FX46" s="1" t="n">
        <f aca="false">IF(CO46=1,MAX(0,(Slot8_Cost-CP46*(1+Slot8_Rate)^(Slot8_Age-D46))/FS46),0)</f>
        <v>0</v>
      </c>
      <c r="FY46" s="1" t="n">
        <f aca="false">IF(AND(DD46=1,CO46=1),MIN(FR46,FW46),0)</f>
        <v>0</v>
      </c>
      <c r="FZ46" s="1" t="n">
        <f aca="false">FR46-FY46</f>
        <v>0</v>
      </c>
      <c r="GA46" s="1" t="n">
        <f aca="false">DN46-(DQ46+DY46+EG46+EO46+EW46+FE46+FM46+FU46)</f>
        <v>0</v>
      </c>
      <c r="GB46" s="1" t="n">
        <f aca="false">IF(DD46=1,DB46-DM46-DN46,0)</f>
        <v>0</v>
      </c>
      <c r="GC46" s="1" t="n">
        <f aca="false">IF(DD46=0,-DB46,0)</f>
        <v>0</v>
      </c>
      <c r="GD46" s="1" t="n">
        <f aca="false">MIN(GC46,CT46)</f>
        <v>0</v>
      </c>
      <c r="GE46" s="1" t="n">
        <f aca="false">GC46-GD46</f>
        <v>0</v>
      </c>
      <c r="GF46" s="1" t="n">
        <f aca="false">MIN(GE46,CU46)</f>
        <v>0</v>
      </c>
      <c r="GG46" s="1" t="n">
        <f aca="false">GE46-GF46</f>
        <v>0</v>
      </c>
      <c r="GH46" s="1" t="n">
        <f aca="false">IF(AND(DD46=0,CO46=1,GG46&gt;0),MIN(GG46,CP46),0)</f>
        <v>0</v>
      </c>
      <c r="GI46" s="1" t="n">
        <f aca="false">GG46-GH46</f>
        <v>0</v>
      </c>
      <c r="GJ46" s="1" t="n">
        <f aca="false">IF(AND(DD46=0,CE46=1,GI46&gt;0),MIN(GI46,CF46),0)</f>
        <v>0</v>
      </c>
      <c r="GK46" s="1" t="n">
        <f aca="false">GI46-GJ46</f>
        <v>0</v>
      </c>
      <c r="GL46" s="1" t="n">
        <f aca="false">IF(AND(DD46=0,BU46=1,GK46&gt;0),MIN(GK46,BV46),0)</f>
        <v>0</v>
      </c>
      <c r="GM46" s="1" t="n">
        <f aca="false">GK46-GL46</f>
        <v>0</v>
      </c>
      <c r="GN46" s="1" t="n">
        <f aca="false">IF(AND(DD46=0,BK46=1,GM46&gt;0),MIN(GM46,BL46),0)</f>
        <v>0</v>
      </c>
      <c r="GO46" s="1" t="n">
        <f aca="false">GM46-GN46</f>
        <v>0</v>
      </c>
      <c r="GP46" s="1" t="n">
        <f aca="false">IF(AND(DD46=0,BA46=1,GO46&gt;0),MIN(GO46,BB46),0)</f>
        <v>0</v>
      </c>
      <c r="GQ46" s="1" t="n">
        <f aca="false">GO46-GP46</f>
        <v>0</v>
      </c>
      <c r="GR46" s="1" t="n">
        <f aca="false">IF(AND(DD46=0,AQ46=1,GQ46&gt;0),MIN(GQ46,AR46),0)</f>
        <v>0</v>
      </c>
      <c r="GS46" s="1" t="n">
        <f aca="false">GQ46-GR46</f>
        <v>0</v>
      </c>
      <c r="GT46" s="1" t="n">
        <f aca="false">IF(AND(DD46=0,AG46=1,GS46&gt;0),MIN(GS46,AH46),0)</f>
        <v>0</v>
      </c>
      <c r="GU46" s="1" t="n">
        <f aca="false">GS46-GT46</f>
        <v>0</v>
      </c>
      <c r="GV46" s="1" t="n">
        <f aca="false">IF(AND(DD46=0,V46=1,GU46&gt;0),MIN(GU46,W46),0)</f>
        <v>0</v>
      </c>
      <c r="GW46" s="1" t="n">
        <f aca="false">GU46-GV46</f>
        <v>0</v>
      </c>
      <c r="GX46" s="1" t="n">
        <f aca="false">IF(DD46=0,GW46,0)</f>
        <v>0</v>
      </c>
      <c r="GY46" s="1" t="n">
        <f aca="false">GD46+GF46+GV46+GT46+GR46+GP46+GN46+GL46+GJ46+GH46</f>
        <v>0</v>
      </c>
      <c r="GZ46" s="1" t="n">
        <f aca="false">IF(DD46=1,CT46+GA46+FZ46+IF(F46=1,0,GB46),CT46-GD46)</f>
        <v>0</v>
      </c>
      <c r="HA46" s="1" t="n">
        <f aca="false">CU46-GF46</f>
        <v>0</v>
      </c>
      <c r="HB46" s="1" t="n">
        <f aca="false">IF(DD46=1,IF(F46=1,DM46+DN46,DB46),0)</f>
        <v>0</v>
      </c>
      <c r="HC46" s="1" t="n">
        <f aca="false">IF(DD46=1,IF(F46=1,DB46-DM46-DN46,0),0)</f>
        <v>0</v>
      </c>
      <c r="HD46" s="1" t="n">
        <f aca="false">GZ46*(1+GR)</f>
        <v>0</v>
      </c>
      <c r="HE46" s="1" t="n">
        <f aca="false">HA46*(1+AS_Cash)</f>
        <v>0</v>
      </c>
      <c r="HF46" s="1" t="n">
        <f aca="false">IF(V46=1,IF(DD46=1,DR46+DU46,W46-GV46)*(1+Slot1_Rate),0)</f>
        <v>0</v>
      </c>
      <c r="HG46" s="1" t="n">
        <f aca="false">IF(AND(DD46=1,V46=1),(DQ46+DU46)/E46,0)</f>
        <v>0</v>
      </c>
      <c r="HH46" s="1" t="n">
        <f aca="false">IF(B46=0,DQ46+DU46,0)</f>
        <v>0</v>
      </c>
      <c r="HI46" s="1" t="n">
        <f aca="false">IF(B46=0,IF(DD46=1,DS46,DT46),0)</f>
        <v>0</v>
      </c>
      <c r="HJ46" s="1" t="n">
        <f aca="false">IF(AG46=1,IF(DD46=1,DZ46+EC46,AH46-GT46)*(1+Slot2_Rate),0)</f>
        <v>0</v>
      </c>
      <c r="HK46" s="1" t="n">
        <f aca="false">IF(AND(DD46=1,AG46=1),(DY46+EC46)/E46,0)</f>
        <v>0</v>
      </c>
      <c r="HL46" s="1" t="n">
        <f aca="false">IF(B46=0,DY46+EC46,0)</f>
        <v>0</v>
      </c>
      <c r="HM46" s="1" t="n">
        <f aca="false">IF(B46=0,IF(DD46=1,EA46,EB46),0)</f>
        <v>0</v>
      </c>
      <c r="HN46" s="1" t="n">
        <f aca="false">IF(AQ46=1,IF(DD46=1,EH46+EK46,AR46-GR46)*(1+Slot3_Rate),0)</f>
        <v>0</v>
      </c>
      <c r="HO46" s="1" t="n">
        <f aca="false">IF(AND(DD46=1,AQ46=1),(EG46+EK46)/E46,0)</f>
        <v>0</v>
      </c>
      <c r="HP46" s="1" t="n">
        <f aca="false">IF(B46=0,EG46+EK46,0)</f>
        <v>0</v>
      </c>
      <c r="HQ46" s="1" t="n">
        <f aca="false">IF(B46=0,IF(DD46=1,EI46,EJ46),0)</f>
        <v>0</v>
      </c>
      <c r="HR46" s="1" t="n">
        <f aca="false">IF(BA46=1,IF(DD46=1,EP46+ES46,BB46-GP46)*(1+Slot4_Rate),0)</f>
        <v>0</v>
      </c>
      <c r="HS46" s="1" t="n">
        <f aca="false">IF(AND(DD46=1,BA46=1),(EO46+ES46)/E46,0)</f>
        <v>0</v>
      </c>
      <c r="HT46" s="1" t="n">
        <f aca="false">IF(B46=0,EO46+ES46,0)</f>
        <v>0</v>
      </c>
      <c r="HU46" s="1" t="n">
        <f aca="false">IF(B46=0,IF(DD46=1,EQ46,ER46),0)</f>
        <v>0</v>
      </c>
      <c r="HV46" s="1" t="n">
        <f aca="false">IF(BK46=1,IF(DD46=1,EX46+FA46,BL46-GN46)*(1+Slot5_Rate),0)</f>
        <v>0</v>
      </c>
      <c r="HW46" s="1" t="n">
        <f aca="false">IF(AND(DD46=1,BK46=1),(EW46+FA46)/E46,0)</f>
        <v>0</v>
      </c>
      <c r="HX46" s="1" t="n">
        <f aca="false">IF(B46=0,EW46+FA46,0)</f>
        <v>0</v>
      </c>
      <c r="HY46" s="1" t="n">
        <f aca="false">IF(B46=0,IF(DD46=1,EY46,EZ46),0)</f>
        <v>0</v>
      </c>
      <c r="HZ46" s="1" t="n">
        <f aca="false">IF(BU46=1,IF(DD46=1,FF46+FI46,BV46-GL46)*(1+Slot6_Rate),0)</f>
        <v>0</v>
      </c>
      <c r="IA46" s="1" t="n">
        <f aca="false">IF(AND(DD46=1,BU46=1),(FE46+FI46)/E46,0)</f>
        <v>0</v>
      </c>
      <c r="IB46" s="1" t="n">
        <f aca="false">IF(B46=0,FE46+FI46,0)</f>
        <v>0</v>
      </c>
      <c r="IC46" s="1" t="n">
        <f aca="false">IF(B46=0,IF(DD46=1,FG46,FH46),0)</f>
        <v>0</v>
      </c>
      <c r="ID46" s="1" t="n">
        <f aca="false">IF(CE46=1,IF(DD46=1,FN46+FQ46,CF46-GJ46)*(1+Slot7_Rate),0)</f>
        <v>0</v>
      </c>
      <c r="IE46" s="1" t="n">
        <f aca="false">IF(AND(DD46=1,CE46=1),(FM46+FQ46)/E46,0)</f>
        <v>0</v>
      </c>
      <c r="IF46" s="1" t="n">
        <f aca="false">IF(B46=0,FM46+FQ46,0)</f>
        <v>0</v>
      </c>
      <c r="IG46" s="1" t="n">
        <f aca="false">IF(B46=0,IF(DD46=1,FO46,FP46),0)</f>
        <v>0</v>
      </c>
      <c r="IH46" s="1" t="n">
        <f aca="false">IF(CO46=1,IF(DD46=1,FV46+FY46,CP46-GH46)*(1+Slot8_Rate),0)</f>
        <v>0</v>
      </c>
      <c r="II46" s="1" t="n">
        <f aca="false">IF(AND(DD46=1,CO46=1),(FU46+FY46)/E46,0)</f>
        <v>0</v>
      </c>
      <c r="IJ46" s="1" t="n">
        <f aca="false">IF(B46=0,FU46+FY46,0)</f>
        <v>0</v>
      </c>
      <c r="IK46" s="1" t="n">
        <f aca="false">IF(B46=0,IF(DD46=1,FW46,FX46),0)</f>
        <v>0</v>
      </c>
      <c r="IL46" s="1" t="n">
        <f aca="false">HD46+HE46+HF46+HJ46+HN46+HR46+HV46+HZ46+ID46+IH46</f>
        <v>0</v>
      </c>
      <c r="IM46" s="1" t="n">
        <f aca="false">GX46+CY46</f>
        <v>0</v>
      </c>
      <c r="IN46" s="1" t="n">
        <f aca="false">H46+R46</f>
        <v>0</v>
      </c>
      <c r="IO46" s="1" t="n">
        <f aca="false">1-F46</f>
        <v>1</v>
      </c>
      <c r="IP46" s="1" t="n">
        <f aca="false">IF(AND(RG_Exists=1,F46=0,C46=1),H46,0)</f>
        <v>0</v>
      </c>
      <c r="IQ46" s="1" t="n">
        <f aca="false">IF(AND(RG_Exists=1,F46=0,C46=1),H46-MIN(GX46,H46),0)</f>
        <v>0</v>
      </c>
      <c r="IR46" s="1" t="n">
        <f aca="false">'Plan pay &amp; tax'!AD248</f>
        <v>0</v>
      </c>
      <c r="IS46" s="1" t="n">
        <f aca="false">IF(AND(C46=1,GX46&gt;MAX(PR_Short1,IN46*PR_Short2)),1,0)</f>
        <v>0</v>
      </c>
      <c r="IT46" s="1" t="n">
        <f aca="false">MIN(G46,H46+R46)</f>
        <v>0</v>
      </c>
      <c r="IU46" s="1" t="n">
        <f aca="false">GY46+MAX(0,CZ46-CY46)</f>
        <v>0</v>
      </c>
      <c r="IV46" s="1" t="n">
        <f aca="false">GX46+CY46</f>
        <v>0</v>
      </c>
      <c r="IW46" s="1" t="n">
        <f aca="false">IF(AND(C46=1,IV46&gt;0.5),1,0)</f>
        <v>0</v>
      </c>
      <c r="IX46" s="1" t="n">
        <f aca="false">IF(AND(C46=1,IW46=0,IU46&gt;0.5),1,0)</f>
        <v>0</v>
      </c>
      <c r="IY46" s="1" t="n">
        <f aca="false">IF(AND(C46=1,GX46&gt;0.5),1,0)</f>
        <v>0</v>
      </c>
      <c r="IZ46" s="1" t="n">
        <f aca="false">IF(AND(C46=1,GY46&gt;1,JF46=0),1,0)</f>
        <v>0</v>
      </c>
      <c r="JA46" s="1" t="n">
        <f aca="false">IF(AND(INT(D46/10)*10=90,B46&gt;0),80,INT(D46/10)*10)</f>
        <v>30</v>
      </c>
      <c r="JB46" s="1" t="n">
        <f aca="false">IF(B46=0,1,IF(JA46&lt;&gt;JA45,JB45+1,JB45))</f>
        <v>4</v>
      </c>
      <c r="JC46" s="1" t="n">
        <f aca="false">IF(AND(C46=1,F46=1,GX46&gt;MAX(PR_Short1,IN46*PR_Short2)),1,0)</f>
        <v>0</v>
      </c>
      <c r="JD46" s="1" t="n">
        <f aca="false">IO46*IS46</f>
        <v>0</v>
      </c>
      <c r="JE46" s="1" t="n">
        <f aca="false">IF(AND(U46=1,Slot1_PctLow=1),1,0)+IF(AND(AF46=1,Slot2_PctLow=1),1,0)+IF(AND(AP46=1,Slot3_PctLow=1),1,0)+IF(AND(AZ46=1,Slot4_PctLow=1),1,0)+IF(AND(BJ46=1,Slot5_PctLow=1),1,0)+IF(AND(BT46=1,Slot6_PctLow=1),1,0)+IF(AND(CD46=1,Slot7_PctLow=1),1,0)+IF(AND(CN46=1,Slot8_PctLow=1),1,0)</f>
        <v>0</v>
      </c>
      <c r="JF46" s="1" t="n">
        <f aca="false">IF(C46=1,IF(OR(IS46=1,JE46&gt;0),1,0),0)</f>
        <v>0</v>
      </c>
    </row>
    <row r="47" customFormat="false" ht="15" hidden="false" customHeight="false" outlineLevel="0" collapsed="false">
      <c r="B47" s="1" t="n">
        <v>39</v>
      </c>
      <c r="C47" s="1" t="n">
        <f aca="false">IF(B47&lt;=F_N,1,0)</f>
        <v>1</v>
      </c>
      <c r="D47" s="1" t="n">
        <f aca="false">'Plan pay &amp; tax'!C249</f>
        <v>39</v>
      </c>
      <c r="E47" s="106" t="n">
        <f aca="false">'Plan pay &amp; tax'!E249</f>
        <v>2.16474476824986</v>
      </c>
      <c r="F47" s="1" t="n">
        <f aca="false">'Plan pay &amp; tax'!G249</f>
        <v>0</v>
      </c>
      <c r="G47" s="1" t="n">
        <f aca="false">'Plan pay &amp; tax'!BT249-'Plan pay &amp; tax'!BS249-'Plan pay &amp; tax'!R249</f>
        <v>0</v>
      </c>
      <c r="H47" s="1" t="n">
        <f aca="false">IF(F47=1,F_CostsM*12,IF(RG_Exists=1,RG_Amount,F_CostsM*12*AS_RetireSpend))*E47+F_OneOffY*E47</f>
        <v>0</v>
      </c>
      <c r="I47" s="1" t="n">
        <f aca="false">DA46</f>
        <v>0</v>
      </c>
      <c r="J47" s="1" t="n">
        <f aca="false">IF(I47&gt;1,'Plan debt months'!AC47,0)</f>
        <v>0</v>
      </c>
      <c r="K47" s="1" t="n">
        <f aca="false">IF(I47&gt;1,'Plan debt months'!AB47,I47)</f>
        <v>0</v>
      </c>
      <c r="L47" s="1" t="n">
        <f aca="false">N46</f>
        <v>0</v>
      </c>
      <c r="M47" s="1" t="n">
        <f aca="false">IF(L47&gt;1,'Plan debt months'!BD47,0)</f>
        <v>0</v>
      </c>
      <c r="N47" s="1" t="n">
        <f aca="false">IF(L47&gt;1,'Plan debt months'!BC47,L47)</f>
        <v>0</v>
      </c>
      <c r="O47" s="1" t="n">
        <f aca="false">Q46</f>
        <v>0</v>
      </c>
      <c r="P47" s="1" t="n">
        <f aca="false">IF(O47&gt;1,'Plan debt months'!CE47,0)</f>
        <v>0</v>
      </c>
      <c r="Q47" s="1" t="n">
        <f aca="false">IF(O47&gt;1,'Plan debt months'!CD47,O47)</f>
        <v>0</v>
      </c>
      <c r="R47" s="1" t="n">
        <f aca="false">J47+M47+P47</f>
        <v>0</v>
      </c>
      <c r="S47" s="1" t="n">
        <f aca="false">HD46+'Plan pay &amp; tax'!Y249</f>
        <v>0</v>
      </c>
      <c r="T47" s="1" t="n">
        <f aca="false">HD46</f>
        <v>0</v>
      </c>
      <c r="U47" s="1" t="n">
        <f aca="false">IF(AND(Slot1_On=1,D47=Slot1_Age),1,0)</f>
        <v>0</v>
      </c>
      <c r="V47" s="1" t="n">
        <f aca="false">IF(AND(Slot1_On=1,Slot1_Age&gt;D47),1,0)</f>
        <v>0</v>
      </c>
      <c r="W47" s="1" t="n">
        <f aca="false">HF46</f>
        <v>0</v>
      </c>
      <c r="X47" s="1" t="n">
        <f aca="false">U47*MIN(Slot1_Cost,W47)</f>
        <v>0</v>
      </c>
      <c r="Y47" s="1" t="n">
        <f aca="false">U47*Slot1_SpendLike*MIN(Slot1_Cost-X47,S47)</f>
        <v>0</v>
      </c>
      <c r="Z47" s="1" t="n">
        <f aca="false">X47+Y47</f>
        <v>0</v>
      </c>
      <c r="AA47" s="1" t="n">
        <f aca="false">S47-Y47+U47*IF(Slot1_SpendLike=1,W47-X47,IF(Slot1_PotFree=1,W47,0))</f>
        <v>0</v>
      </c>
      <c r="AB47" s="1" t="n">
        <f aca="false">AE47+U47*Slot1_BufPot*W47</f>
        <v>0</v>
      </c>
      <c r="AC47" s="1" t="n">
        <f aca="false">IF(AND(U47=1,Slot1_IsMfree=1),IF(Z47&gt;=Slot1_Cost-1,0,MAX(0,K47-Z47)),K47)</f>
        <v>0</v>
      </c>
      <c r="AD47" s="1" t="n">
        <f aca="false">U47*(Slot1_Cost-Z47)</f>
        <v>0</v>
      </c>
      <c r="AE47" s="1" t="n">
        <f aca="false">HE46</f>
        <v>0</v>
      </c>
      <c r="AF47" s="1" t="n">
        <f aca="false">IF(AND(Slot2_On=1,D47=Slot2_Age),1,0)</f>
        <v>0</v>
      </c>
      <c r="AG47" s="1" t="n">
        <f aca="false">IF(AND(Slot2_On=1,Slot2_Age&gt;D47),1,0)</f>
        <v>0</v>
      </c>
      <c r="AH47" s="1" t="n">
        <f aca="false">HJ46</f>
        <v>0</v>
      </c>
      <c r="AI47" s="1" t="n">
        <f aca="false">AF47*MIN(Slot2_Cost,AH47)</f>
        <v>0</v>
      </c>
      <c r="AJ47" s="1" t="n">
        <f aca="false">AF47*Slot2_SpendLike*MIN(Slot2_Cost-AI47,AA47)</f>
        <v>0</v>
      </c>
      <c r="AK47" s="1" t="n">
        <f aca="false">AI47+AJ47</f>
        <v>0</v>
      </c>
      <c r="AL47" s="1" t="n">
        <f aca="false">AA47-AJ47+AF47*IF(Slot2_SpendLike=1,AH47-AI47,IF(Slot2_PotFree=1,AH47,0))</f>
        <v>0</v>
      </c>
      <c r="AM47" s="1" t="n">
        <f aca="false">AB47+AF47*Slot2_BufPot*AH47</f>
        <v>0</v>
      </c>
      <c r="AN47" s="1" t="n">
        <f aca="false">IF(AND(AF47=1,Slot2_IsMfree=1),IF(AK47&gt;=Slot2_Cost-1,0,MAX(0,AC47-AK47)),AC47)</f>
        <v>0</v>
      </c>
      <c r="AO47" s="1" t="n">
        <f aca="false">AF47*(Slot2_Cost-AK47)</f>
        <v>0</v>
      </c>
      <c r="AP47" s="1" t="n">
        <f aca="false">IF(AND(Slot3_On=1,D47=Slot3_Age),1,0)</f>
        <v>0</v>
      </c>
      <c r="AQ47" s="1" t="n">
        <f aca="false">IF(AND(Slot3_On=1,Slot3_Age&gt;D47),1,0)</f>
        <v>0</v>
      </c>
      <c r="AR47" s="1" t="n">
        <f aca="false">HN46</f>
        <v>0</v>
      </c>
      <c r="AS47" s="1" t="n">
        <f aca="false">AP47*MIN(Slot3_Cost,AR47)</f>
        <v>0</v>
      </c>
      <c r="AT47" s="1" t="n">
        <f aca="false">AP47*Slot3_SpendLike*MIN(Slot3_Cost-AS47,AL47)</f>
        <v>0</v>
      </c>
      <c r="AU47" s="1" t="n">
        <f aca="false">AS47+AT47</f>
        <v>0</v>
      </c>
      <c r="AV47" s="1" t="n">
        <f aca="false">AL47-AT47+AP47*IF(Slot3_SpendLike=1,AR47-AS47,IF(Slot3_PotFree=1,AR47,0))</f>
        <v>0</v>
      </c>
      <c r="AW47" s="1" t="n">
        <f aca="false">AM47+AP47*Slot3_BufPot*AR47</f>
        <v>0</v>
      </c>
      <c r="AX47" s="1" t="n">
        <f aca="false">IF(AND(AP47=1,Slot3_IsMfree=1),IF(AU47&gt;=Slot3_Cost-1,0,MAX(0,AN47-AU47)),AN47)</f>
        <v>0</v>
      </c>
      <c r="AY47" s="1" t="n">
        <f aca="false">AP47*(Slot3_Cost-AU47)</f>
        <v>0</v>
      </c>
      <c r="AZ47" s="1" t="n">
        <f aca="false">IF(AND(Slot4_On=1,D47=Slot4_Age),1,0)</f>
        <v>0</v>
      </c>
      <c r="BA47" s="1" t="n">
        <f aca="false">IF(AND(Slot4_On=1,Slot4_Age&gt;D47),1,0)</f>
        <v>0</v>
      </c>
      <c r="BB47" s="1" t="n">
        <f aca="false">HR46</f>
        <v>0</v>
      </c>
      <c r="BC47" s="1" t="n">
        <f aca="false">AZ47*MIN(Slot4_Cost,BB47)</f>
        <v>0</v>
      </c>
      <c r="BD47" s="1" t="n">
        <f aca="false">AZ47*Slot4_SpendLike*MIN(Slot4_Cost-BC47,AV47)</f>
        <v>0</v>
      </c>
      <c r="BE47" s="1" t="n">
        <f aca="false">BC47+BD47</f>
        <v>0</v>
      </c>
      <c r="BF47" s="1" t="n">
        <f aca="false">AV47-BD47+AZ47*IF(Slot4_SpendLike=1,BB47-BC47,IF(Slot4_PotFree=1,BB47,0))</f>
        <v>0</v>
      </c>
      <c r="BG47" s="1" t="n">
        <f aca="false">AW47+AZ47*Slot4_BufPot*BB47</f>
        <v>0</v>
      </c>
      <c r="BH47" s="1" t="n">
        <f aca="false">IF(AND(AZ47=1,Slot4_IsMfree=1),IF(BE47&gt;=Slot4_Cost-1,0,MAX(0,AX47-BE47)),AX47)</f>
        <v>0</v>
      </c>
      <c r="BI47" s="1" t="n">
        <f aca="false">AZ47*(Slot4_Cost-BE47)</f>
        <v>0</v>
      </c>
      <c r="BJ47" s="1" t="n">
        <f aca="false">IF(AND(Slot5_On=1,D47=Slot5_Age),1,0)</f>
        <v>0</v>
      </c>
      <c r="BK47" s="1" t="n">
        <f aca="false">IF(AND(Slot5_On=1,Slot5_Age&gt;D47),1,0)</f>
        <v>0</v>
      </c>
      <c r="BL47" s="1" t="n">
        <f aca="false">HV46</f>
        <v>0</v>
      </c>
      <c r="BM47" s="1" t="n">
        <f aca="false">BJ47*MIN(Slot5_Cost,BL47)</f>
        <v>0</v>
      </c>
      <c r="BN47" s="1" t="n">
        <f aca="false">BJ47*Slot5_SpendLike*MIN(Slot5_Cost-BM47,BF47)</f>
        <v>0</v>
      </c>
      <c r="BO47" s="1" t="n">
        <f aca="false">BM47+BN47</f>
        <v>0</v>
      </c>
      <c r="BP47" s="1" t="n">
        <f aca="false">BF47-BN47+BJ47*IF(Slot5_SpendLike=1,BL47-BM47,IF(Slot5_PotFree=1,BL47,0))</f>
        <v>0</v>
      </c>
      <c r="BQ47" s="1" t="n">
        <f aca="false">BG47+BJ47*Slot5_BufPot*BL47</f>
        <v>0</v>
      </c>
      <c r="BR47" s="1" t="n">
        <f aca="false">IF(AND(BJ47=1,Slot5_IsMfree=1),IF(BO47&gt;=Slot5_Cost-1,0,MAX(0,BH47-BO47)),BH47)</f>
        <v>0</v>
      </c>
      <c r="BS47" s="1" t="n">
        <f aca="false">BJ47*(Slot5_Cost-BO47)</f>
        <v>0</v>
      </c>
      <c r="BT47" s="1" t="n">
        <f aca="false">IF(AND(Slot6_On=1,D47=Slot6_Age),1,0)</f>
        <v>0</v>
      </c>
      <c r="BU47" s="1" t="n">
        <f aca="false">IF(AND(Slot6_On=1,Slot6_Age&gt;D47),1,0)</f>
        <v>0</v>
      </c>
      <c r="BV47" s="1" t="n">
        <f aca="false">HZ46</f>
        <v>0</v>
      </c>
      <c r="BW47" s="1" t="n">
        <f aca="false">BT47*MIN(Slot6_Cost,BV47)</f>
        <v>0</v>
      </c>
      <c r="BX47" s="1" t="n">
        <f aca="false">BT47*Slot6_SpendLike*MIN(Slot6_Cost-BW47,BP47)</f>
        <v>0</v>
      </c>
      <c r="BY47" s="1" t="n">
        <f aca="false">BW47+BX47</f>
        <v>0</v>
      </c>
      <c r="BZ47" s="1" t="n">
        <f aca="false">BP47-BX47+BT47*IF(Slot6_SpendLike=1,BV47-BW47,IF(Slot6_PotFree=1,BV47,0))</f>
        <v>0</v>
      </c>
      <c r="CA47" s="1" t="n">
        <f aca="false">BQ47+BT47*Slot6_BufPot*BV47</f>
        <v>0</v>
      </c>
      <c r="CB47" s="1" t="n">
        <f aca="false">IF(AND(BT47=1,Slot6_IsMfree=1),IF(BY47&gt;=Slot6_Cost-1,0,MAX(0,BR47-BY47)),BR47)</f>
        <v>0</v>
      </c>
      <c r="CC47" s="1" t="n">
        <f aca="false">BT47*(Slot6_Cost-BY47)</f>
        <v>0</v>
      </c>
      <c r="CD47" s="1" t="n">
        <f aca="false">IF(AND(Slot7_On=1,D47=Slot7_Age),1,0)</f>
        <v>0</v>
      </c>
      <c r="CE47" s="1" t="n">
        <f aca="false">IF(AND(Slot7_On=1,Slot7_Age&gt;D47),1,0)</f>
        <v>0</v>
      </c>
      <c r="CF47" s="1" t="n">
        <f aca="false">ID46</f>
        <v>0</v>
      </c>
      <c r="CG47" s="1" t="n">
        <f aca="false">CD47*MIN(Slot7_Cost,CF47)</f>
        <v>0</v>
      </c>
      <c r="CH47" s="1" t="n">
        <f aca="false">CD47*Slot7_SpendLike*MIN(Slot7_Cost-CG47,BZ47)</f>
        <v>0</v>
      </c>
      <c r="CI47" s="1" t="n">
        <f aca="false">CG47+CH47</f>
        <v>0</v>
      </c>
      <c r="CJ47" s="1" t="n">
        <f aca="false">BZ47-CH47+CD47*IF(Slot7_SpendLike=1,CF47-CG47,IF(Slot7_PotFree=1,CF47,0))</f>
        <v>0</v>
      </c>
      <c r="CK47" s="1" t="n">
        <f aca="false">CA47+CD47*Slot7_BufPot*CF47</f>
        <v>0</v>
      </c>
      <c r="CL47" s="1" t="n">
        <f aca="false">IF(AND(CD47=1,Slot7_IsMfree=1),IF(CI47&gt;=Slot7_Cost-1,0,MAX(0,CB47-CI47)),CB47)</f>
        <v>0</v>
      </c>
      <c r="CM47" s="1" t="n">
        <f aca="false">CD47*(Slot7_Cost-CI47)</f>
        <v>0</v>
      </c>
      <c r="CN47" s="1" t="n">
        <f aca="false">IF(AND(Slot8_On=1,D47=Slot8_Age),1,0)</f>
        <v>0</v>
      </c>
      <c r="CO47" s="1" t="n">
        <f aca="false">IF(AND(Slot8_On=1,Slot8_Age&gt;D47),1,0)</f>
        <v>0</v>
      </c>
      <c r="CP47" s="1" t="n">
        <f aca="false">IH46</f>
        <v>0</v>
      </c>
      <c r="CQ47" s="1" t="n">
        <f aca="false">CN47*MIN(Slot8_Cost,CP47)</f>
        <v>0</v>
      </c>
      <c r="CR47" s="1" t="n">
        <f aca="false">CN47*Slot8_SpendLike*MIN(Slot8_Cost-CQ47,CJ47)</f>
        <v>0</v>
      </c>
      <c r="CS47" s="1" t="n">
        <f aca="false">CQ47+CR47</f>
        <v>0</v>
      </c>
      <c r="CT47" s="1" t="n">
        <f aca="false">CJ47-CR47+CN47*IF(Slot8_SpendLike=1,CP47-CQ47,IF(Slot8_PotFree=1,CP47,0))</f>
        <v>0</v>
      </c>
      <c r="CU47" s="1" t="n">
        <f aca="false">CK47+CN47*Slot8_BufPot*CP47</f>
        <v>0</v>
      </c>
      <c r="CV47" s="1" t="n">
        <f aca="false">IF(AND(CN47=1,Slot8_IsMfree=1),IF(CS47&gt;=Slot8_Cost-1,0,MAX(0,CL47-CS47)),CL47)</f>
        <v>0</v>
      </c>
      <c r="CW47" s="1" t="n">
        <f aca="false">CN47*(Slot8_Cost-CS47)</f>
        <v>0</v>
      </c>
      <c r="CX47" s="1" t="n">
        <f aca="false">U47*Slot1_SpendLike*Z47+AF47*Slot2_SpendLike*AK47+AP47*Slot3_SpendLike*AU47+AZ47*Slot4_SpendLike*BE47+BJ47*Slot5_SpendLike*BO47+BT47*Slot6_SpendLike*BY47+CD47*Slot7_SpendLike*CI47+CN47*Slot8_SpendLike*CS47</f>
        <v>0</v>
      </c>
      <c r="CY47" s="1" t="n">
        <f aca="false">AD47+AO47+AY47+BI47+BS47+CC47+CM47+CW47</f>
        <v>0</v>
      </c>
      <c r="CZ47" s="1" t="n">
        <f aca="false">U47*Slot1_Cost+AF47*Slot2_Cost+AP47*Slot3_Cost+AZ47*Slot4_Cost+BJ47*Slot5_Cost+BT47*Slot6_Cost+CD47*Slot7_Cost+CN47*Slot8_Cost</f>
        <v>0</v>
      </c>
      <c r="DA47" s="1" t="n">
        <f aca="false">CV47</f>
        <v>0</v>
      </c>
      <c r="DB47" s="1" t="n">
        <f aca="false">G47-H47-R47</f>
        <v>0</v>
      </c>
      <c r="DC47" s="1" t="n">
        <f aca="false">IF(B47=0,IF(AND(Has_q6=1,In_q6=4),PR_ShareVaries*(MAX(0,DB47)/12),MIN(IF(Has_q6=1,CHOOSE(In_q6+1,PR_SaveB1,PR_SaveB2,PR_SaveB3,PR_SaveB4,0),AS_NoAnswer),AS_SaveShare*(MAX(0,DB47)/12))),DC46)</f>
        <v>0</v>
      </c>
      <c r="DD47" s="1" t="n">
        <f aca="false">IF(DB47&gt;=0,1,0)</f>
        <v>1</v>
      </c>
      <c r="DE47" s="1" t="n">
        <f aca="false">MAX(0,DB47/12/E47)</f>
        <v>0</v>
      </c>
      <c r="DF47" s="1" t="n">
        <f aca="false">IF(AND(Has_q6=1,In_q6=4),PR_ShareVaries*(DE47),MIN(IF(Has_q6=1,CHOOSE(In_q6+1,PR_SaveB1,PR_SaveB2,PR_SaveB3,PR_SaveB4,0),AS_NoAnswer),AS_SaveShare*(DE47)))</f>
        <v>0</v>
      </c>
      <c r="DG47" s="1" t="n">
        <f aca="false">IF(Has_saveM=1,IF(In_saveUp="Yes",1,IF(In_saveUp="No",0,IF(In_saveM&gt;=DC47-0.5,1,0))),0)</f>
        <v>0</v>
      </c>
      <c r="DH47" s="1" t="n">
        <f aca="false">IF(Has_saveM=1,MIN(DE47,IF(DG47=1,MAX(In_saveM,DF47),MIN(In_saveM,DF47))),DF47)</f>
        <v>0</v>
      </c>
      <c r="DI47" s="1" t="n">
        <f aca="false">IF(F47=1,DH47*12*E47,0)</f>
        <v>0</v>
      </c>
      <c r="DJ47" s="1" t="n">
        <f aca="false">MAX(0,DI47+IF(AND(WI_Retire=0,WI_M&lt;0,F47=1),WI_M*12*E47,0))</f>
        <v>0</v>
      </c>
      <c r="DK47" s="1" t="n">
        <f aca="false">Slot1_IsWG*V47+Slot2_IsWG*AG47+Slot3_IsWG*AQ47+Slot4_IsWG*BA47+Slot5_IsWG*BK47+Slot6_IsWG*BU47+Slot7_IsWG*CE47+Slot8_IsWG*CO47</f>
        <v>0</v>
      </c>
      <c r="DL47" s="1" t="n">
        <f aca="false">IF(AND(WI_Retire=0,WI_M&gt;0,F47=1,DK47&gt;=1),WI_M*12*E47,0)</f>
        <v>0</v>
      </c>
      <c r="DM47" s="1" t="n">
        <f aca="false">IF(DD47=1,MIN(DJ47,DB47),0)</f>
        <v>0</v>
      </c>
      <c r="DN47" s="1" t="n">
        <f aca="false">IF(DD47=1,MIN(DL47,DB47-DM47),0)</f>
        <v>0</v>
      </c>
      <c r="DO47" s="1" t="n">
        <f aca="false">IF(V47=1,IF(ABS((1+AS_Wage)/(1+Slot1_Rate)-1)&lt;0.000000000001,(Slot1_Age-D47)*(1+Slot1_Rate)^(Slot1_Age-D47),(1+Slot1_Rate)^(Slot1_Age-D47)*(1-((1+AS_Wage)/(1+Slot1_Rate))^(Slot1_Age-D47))/(1-(1+AS_Wage)/(1+Slot1_Rate))),1)</f>
        <v>1</v>
      </c>
      <c r="DP47" s="1" t="n">
        <f aca="false">IF(AND(DD47=1,DN47&gt;0,Slot1_IsWG=1,V47=1),MAX(0,(Slot1_Cost-W47*(1+Slot1_Rate)^(Slot1_Age-D47))/DO47),0)</f>
        <v>0</v>
      </c>
      <c r="DQ47" s="1" t="n">
        <f aca="false">IF(AND(DD47=1,DN47&gt;0,Slot1_IsWG=1,V47=1),MIN(DN47,DP47),0)</f>
        <v>0</v>
      </c>
      <c r="DR47" s="1" t="n">
        <f aca="false">W47+DQ47</f>
        <v>0</v>
      </c>
      <c r="DS47" s="1" t="n">
        <f aca="false">IF(V47=1,MAX(0,(Slot1_Cost-DR47*(1+Slot1_Rate)^(Slot1_Age-D47))/DO47),0)</f>
        <v>0</v>
      </c>
      <c r="DT47" s="1" t="n">
        <f aca="false">IF(V47=1,MAX(0,(Slot1_Cost-W47*(1+Slot1_Rate)^(Slot1_Age-D47))/DO47),0)</f>
        <v>0</v>
      </c>
      <c r="DU47" s="1" t="n">
        <f aca="false">IF(AND(DD47=1,V47=1),MIN(DM47,DS47),0)</f>
        <v>0</v>
      </c>
      <c r="DV47" s="1" t="n">
        <f aca="false">DM47-DU47</f>
        <v>0</v>
      </c>
      <c r="DW47" s="1" t="n">
        <f aca="false">IF(AG47=1,IF(ABS((1+AS_Wage)/(1+Slot2_Rate)-1)&lt;0.000000000001,(Slot2_Age-D47)*(1+Slot2_Rate)^(Slot2_Age-D47),(1+Slot2_Rate)^(Slot2_Age-D47)*(1-((1+AS_Wage)/(1+Slot2_Rate))^(Slot2_Age-D47))/(1-(1+AS_Wage)/(1+Slot2_Rate))),1)</f>
        <v>1</v>
      </c>
      <c r="DX47" s="1" t="n">
        <f aca="false">IF(AND(DD47=1,DN47&gt;0,Slot2_IsWG=1,AG47=1),MAX(0,(Slot2_Cost-AH47*(1+Slot2_Rate)^(Slot2_Age-D47))/DW47),0)</f>
        <v>0</v>
      </c>
      <c r="DY47" s="1" t="n">
        <f aca="false">IF(AND(DD47=1,DN47&gt;0,Slot2_IsWG=1,AG47=1),MIN(DN47,DX47),0)</f>
        <v>0</v>
      </c>
      <c r="DZ47" s="1" t="n">
        <f aca="false">AH47+DY47</f>
        <v>0</v>
      </c>
      <c r="EA47" s="1" t="n">
        <f aca="false">IF(AG47=1,MAX(0,(Slot2_Cost-DZ47*(1+Slot2_Rate)^(Slot2_Age-D47))/DW47),0)</f>
        <v>0</v>
      </c>
      <c r="EB47" s="1" t="n">
        <f aca="false">IF(AG47=1,MAX(0,(Slot2_Cost-AH47*(1+Slot2_Rate)^(Slot2_Age-D47))/DW47),0)</f>
        <v>0</v>
      </c>
      <c r="EC47" s="1" t="n">
        <f aca="false">IF(AND(DD47=1,AG47=1),MIN(DV47,EA47),0)</f>
        <v>0</v>
      </c>
      <c r="ED47" s="1" t="n">
        <f aca="false">DV47-EC47</f>
        <v>0</v>
      </c>
      <c r="EE47" s="1" t="n">
        <f aca="false">IF(AQ47=1,IF(ABS((1+AS_Wage)/(1+Slot3_Rate)-1)&lt;0.000000000001,(Slot3_Age-D47)*(1+Slot3_Rate)^(Slot3_Age-D47),(1+Slot3_Rate)^(Slot3_Age-D47)*(1-((1+AS_Wage)/(1+Slot3_Rate))^(Slot3_Age-D47))/(1-(1+AS_Wage)/(1+Slot3_Rate))),1)</f>
        <v>1</v>
      </c>
      <c r="EF47" s="1" t="n">
        <f aca="false">IF(AND(DD47=1,DN47&gt;0,Slot3_IsWG=1,AQ47=1),MAX(0,(Slot3_Cost-AR47*(1+Slot3_Rate)^(Slot3_Age-D47))/EE47),0)</f>
        <v>0</v>
      </c>
      <c r="EG47" s="1" t="n">
        <f aca="false">IF(AND(DD47=1,DN47&gt;0,Slot3_IsWG=1,AQ47=1),MIN(DN47,EF47),0)</f>
        <v>0</v>
      </c>
      <c r="EH47" s="1" t="n">
        <f aca="false">AR47+EG47</f>
        <v>0</v>
      </c>
      <c r="EI47" s="1" t="n">
        <f aca="false">IF(AQ47=1,MAX(0,(Slot3_Cost-EH47*(1+Slot3_Rate)^(Slot3_Age-D47))/EE47),0)</f>
        <v>0</v>
      </c>
      <c r="EJ47" s="1" t="n">
        <f aca="false">IF(AQ47=1,MAX(0,(Slot3_Cost-AR47*(1+Slot3_Rate)^(Slot3_Age-D47))/EE47),0)</f>
        <v>0</v>
      </c>
      <c r="EK47" s="1" t="n">
        <f aca="false">IF(AND(DD47=1,AQ47=1),MIN(ED47,EI47),0)</f>
        <v>0</v>
      </c>
      <c r="EL47" s="1" t="n">
        <f aca="false">ED47-EK47</f>
        <v>0</v>
      </c>
      <c r="EM47" s="1" t="n">
        <f aca="false">IF(BA47=1,IF(ABS((1+AS_Wage)/(1+Slot4_Rate)-1)&lt;0.000000000001,(Slot4_Age-D47)*(1+Slot4_Rate)^(Slot4_Age-D47),(1+Slot4_Rate)^(Slot4_Age-D47)*(1-((1+AS_Wage)/(1+Slot4_Rate))^(Slot4_Age-D47))/(1-(1+AS_Wage)/(1+Slot4_Rate))),1)</f>
        <v>1</v>
      </c>
      <c r="EN47" s="1" t="n">
        <f aca="false">IF(AND(DD47=1,DN47&gt;0,Slot4_IsWG=1,BA47=1),MAX(0,(Slot4_Cost-BB47*(1+Slot4_Rate)^(Slot4_Age-D47))/EM47),0)</f>
        <v>0</v>
      </c>
      <c r="EO47" s="1" t="n">
        <f aca="false">IF(AND(DD47=1,DN47&gt;0,Slot4_IsWG=1,BA47=1),MIN(DN47,EN47),0)</f>
        <v>0</v>
      </c>
      <c r="EP47" s="1" t="n">
        <f aca="false">BB47+EO47</f>
        <v>0</v>
      </c>
      <c r="EQ47" s="1" t="n">
        <f aca="false">IF(BA47=1,MAX(0,(Slot4_Cost-EP47*(1+Slot4_Rate)^(Slot4_Age-D47))/EM47),0)</f>
        <v>0</v>
      </c>
      <c r="ER47" s="1" t="n">
        <f aca="false">IF(BA47=1,MAX(0,(Slot4_Cost-BB47*(1+Slot4_Rate)^(Slot4_Age-D47))/EM47),0)</f>
        <v>0</v>
      </c>
      <c r="ES47" s="1" t="n">
        <f aca="false">IF(AND(DD47=1,BA47=1),MIN(EL47,EQ47),0)</f>
        <v>0</v>
      </c>
      <c r="ET47" s="1" t="n">
        <f aca="false">EL47-ES47</f>
        <v>0</v>
      </c>
      <c r="EU47" s="1" t="n">
        <f aca="false">IF(BK47=1,IF(ABS((1+AS_Wage)/(1+Slot5_Rate)-1)&lt;0.000000000001,(Slot5_Age-D47)*(1+Slot5_Rate)^(Slot5_Age-D47),(1+Slot5_Rate)^(Slot5_Age-D47)*(1-((1+AS_Wage)/(1+Slot5_Rate))^(Slot5_Age-D47))/(1-(1+AS_Wage)/(1+Slot5_Rate))),1)</f>
        <v>1</v>
      </c>
      <c r="EV47" s="1" t="n">
        <f aca="false">IF(AND(DD47=1,DN47&gt;0,Slot5_IsWG=1,BK47=1),MAX(0,(Slot5_Cost-BL47*(1+Slot5_Rate)^(Slot5_Age-D47))/EU47),0)</f>
        <v>0</v>
      </c>
      <c r="EW47" s="1" t="n">
        <f aca="false">IF(AND(DD47=1,DN47&gt;0,Slot5_IsWG=1,BK47=1),MIN(DN47,EV47),0)</f>
        <v>0</v>
      </c>
      <c r="EX47" s="1" t="n">
        <f aca="false">BL47+EW47</f>
        <v>0</v>
      </c>
      <c r="EY47" s="1" t="n">
        <f aca="false">IF(BK47=1,MAX(0,(Slot5_Cost-EX47*(1+Slot5_Rate)^(Slot5_Age-D47))/EU47),0)</f>
        <v>0</v>
      </c>
      <c r="EZ47" s="1" t="n">
        <f aca="false">IF(BK47=1,MAX(0,(Slot5_Cost-BL47*(1+Slot5_Rate)^(Slot5_Age-D47))/EU47),0)</f>
        <v>0</v>
      </c>
      <c r="FA47" s="1" t="n">
        <f aca="false">IF(AND(DD47=1,BK47=1),MIN(ET47,EY47),0)</f>
        <v>0</v>
      </c>
      <c r="FB47" s="1" t="n">
        <f aca="false">ET47-FA47</f>
        <v>0</v>
      </c>
      <c r="FC47" s="1" t="n">
        <f aca="false">IF(BU47=1,IF(ABS((1+AS_Wage)/(1+Slot6_Rate)-1)&lt;0.000000000001,(Slot6_Age-D47)*(1+Slot6_Rate)^(Slot6_Age-D47),(1+Slot6_Rate)^(Slot6_Age-D47)*(1-((1+AS_Wage)/(1+Slot6_Rate))^(Slot6_Age-D47))/(1-(1+AS_Wage)/(1+Slot6_Rate))),1)</f>
        <v>1</v>
      </c>
      <c r="FD47" s="1" t="n">
        <f aca="false">IF(AND(DD47=1,DN47&gt;0,Slot6_IsWG=1,BU47=1),MAX(0,(Slot6_Cost-BV47*(1+Slot6_Rate)^(Slot6_Age-D47))/FC47),0)</f>
        <v>0</v>
      </c>
      <c r="FE47" s="1" t="n">
        <f aca="false">IF(AND(DD47=1,DN47&gt;0,Slot6_IsWG=1,BU47=1),MIN(DN47,FD47),0)</f>
        <v>0</v>
      </c>
      <c r="FF47" s="1" t="n">
        <f aca="false">BV47+FE47</f>
        <v>0</v>
      </c>
      <c r="FG47" s="1" t="n">
        <f aca="false">IF(BU47=1,MAX(0,(Slot6_Cost-FF47*(1+Slot6_Rate)^(Slot6_Age-D47))/FC47),0)</f>
        <v>0</v>
      </c>
      <c r="FH47" s="1" t="n">
        <f aca="false">IF(BU47=1,MAX(0,(Slot6_Cost-BV47*(1+Slot6_Rate)^(Slot6_Age-D47))/FC47),0)</f>
        <v>0</v>
      </c>
      <c r="FI47" s="1" t="n">
        <f aca="false">IF(AND(DD47=1,BU47=1),MIN(FB47,FG47),0)</f>
        <v>0</v>
      </c>
      <c r="FJ47" s="1" t="n">
        <f aca="false">FB47-FI47</f>
        <v>0</v>
      </c>
      <c r="FK47" s="1" t="n">
        <f aca="false">IF(CE47=1,IF(ABS((1+AS_Wage)/(1+Slot7_Rate)-1)&lt;0.000000000001,(Slot7_Age-D47)*(1+Slot7_Rate)^(Slot7_Age-D47),(1+Slot7_Rate)^(Slot7_Age-D47)*(1-((1+AS_Wage)/(1+Slot7_Rate))^(Slot7_Age-D47))/(1-(1+AS_Wage)/(1+Slot7_Rate))),1)</f>
        <v>1</v>
      </c>
      <c r="FL47" s="1" t="n">
        <f aca="false">IF(AND(DD47=1,DN47&gt;0,Slot7_IsWG=1,CE47=1),MAX(0,(Slot7_Cost-CF47*(1+Slot7_Rate)^(Slot7_Age-D47))/FK47),0)</f>
        <v>0</v>
      </c>
      <c r="FM47" s="1" t="n">
        <f aca="false">IF(AND(DD47=1,DN47&gt;0,Slot7_IsWG=1,CE47=1),MIN(DN47,FL47),0)</f>
        <v>0</v>
      </c>
      <c r="FN47" s="1" t="n">
        <f aca="false">CF47+FM47</f>
        <v>0</v>
      </c>
      <c r="FO47" s="1" t="n">
        <f aca="false">IF(CE47=1,MAX(0,(Slot7_Cost-FN47*(1+Slot7_Rate)^(Slot7_Age-D47))/FK47),0)</f>
        <v>0</v>
      </c>
      <c r="FP47" s="1" t="n">
        <f aca="false">IF(CE47=1,MAX(0,(Slot7_Cost-CF47*(1+Slot7_Rate)^(Slot7_Age-D47))/FK47),0)</f>
        <v>0</v>
      </c>
      <c r="FQ47" s="1" t="n">
        <f aca="false">IF(AND(DD47=1,CE47=1),MIN(FJ47,FO47),0)</f>
        <v>0</v>
      </c>
      <c r="FR47" s="1" t="n">
        <f aca="false">FJ47-FQ47</f>
        <v>0</v>
      </c>
      <c r="FS47" s="1" t="n">
        <f aca="false">IF(CO47=1,IF(ABS((1+AS_Wage)/(1+Slot8_Rate)-1)&lt;0.000000000001,(Slot8_Age-D47)*(1+Slot8_Rate)^(Slot8_Age-D47),(1+Slot8_Rate)^(Slot8_Age-D47)*(1-((1+AS_Wage)/(1+Slot8_Rate))^(Slot8_Age-D47))/(1-(1+AS_Wage)/(1+Slot8_Rate))),1)</f>
        <v>1</v>
      </c>
      <c r="FT47" s="1" t="n">
        <f aca="false">IF(AND(DD47=1,DN47&gt;0,Slot8_IsWG=1,CO47=1),MAX(0,(Slot8_Cost-CP47*(1+Slot8_Rate)^(Slot8_Age-D47))/FS47),0)</f>
        <v>0</v>
      </c>
      <c r="FU47" s="1" t="n">
        <f aca="false">IF(AND(DD47=1,DN47&gt;0,Slot8_IsWG=1,CO47=1),MIN(DN47,FT47),0)</f>
        <v>0</v>
      </c>
      <c r="FV47" s="1" t="n">
        <f aca="false">CP47+FU47</f>
        <v>0</v>
      </c>
      <c r="FW47" s="1" t="n">
        <f aca="false">IF(CO47=1,MAX(0,(Slot8_Cost-FV47*(1+Slot8_Rate)^(Slot8_Age-D47))/FS47),0)</f>
        <v>0</v>
      </c>
      <c r="FX47" s="1" t="n">
        <f aca="false">IF(CO47=1,MAX(0,(Slot8_Cost-CP47*(1+Slot8_Rate)^(Slot8_Age-D47))/FS47),0)</f>
        <v>0</v>
      </c>
      <c r="FY47" s="1" t="n">
        <f aca="false">IF(AND(DD47=1,CO47=1),MIN(FR47,FW47),0)</f>
        <v>0</v>
      </c>
      <c r="FZ47" s="1" t="n">
        <f aca="false">FR47-FY47</f>
        <v>0</v>
      </c>
      <c r="GA47" s="1" t="n">
        <f aca="false">DN47-(DQ47+DY47+EG47+EO47+EW47+FE47+FM47+FU47)</f>
        <v>0</v>
      </c>
      <c r="GB47" s="1" t="n">
        <f aca="false">IF(DD47=1,DB47-DM47-DN47,0)</f>
        <v>0</v>
      </c>
      <c r="GC47" s="1" t="n">
        <f aca="false">IF(DD47=0,-DB47,0)</f>
        <v>0</v>
      </c>
      <c r="GD47" s="1" t="n">
        <f aca="false">MIN(GC47,CT47)</f>
        <v>0</v>
      </c>
      <c r="GE47" s="1" t="n">
        <f aca="false">GC47-GD47</f>
        <v>0</v>
      </c>
      <c r="GF47" s="1" t="n">
        <f aca="false">MIN(GE47,CU47)</f>
        <v>0</v>
      </c>
      <c r="GG47" s="1" t="n">
        <f aca="false">GE47-GF47</f>
        <v>0</v>
      </c>
      <c r="GH47" s="1" t="n">
        <f aca="false">IF(AND(DD47=0,CO47=1,GG47&gt;0),MIN(GG47,CP47),0)</f>
        <v>0</v>
      </c>
      <c r="GI47" s="1" t="n">
        <f aca="false">GG47-GH47</f>
        <v>0</v>
      </c>
      <c r="GJ47" s="1" t="n">
        <f aca="false">IF(AND(DD47=0,CE47=1,GI47&gt;0),MIN(GI47,CF47),0)</f>
        <v>0</v>
      </c>
      <c r="GK47" s="1" t="n">
        <f aca="false">GI47-GJ47</f>
        <v>0</v>
      </c>
      <c r="GL47" s="1" t="n">
        <f aca="false">IF(AND(DD47=0,BU47=1,GK47&gt;0),MIN(GK47,BV47),0)</f>
        <v>0</v>
      </c>
      <c r="GM47" s="1" t="n">
        <f aca="false">GK47-GL47</f>
        <v>0</v>
      </c>
      <c r="GN47" s="1" t="n">
        <f aca="false">IF(AND(DD47=0,BK47=1,GM47&gt;0),MIN(GM47,BL47),0)</f>
        <v>0</v>
      </c>
      <c r="GO47" s="1" t="n">
        <f aca="false">GM47-GN47</f>
        <v>0</v>
      </c>
      <c r="GP47" s="1" t="n">
        <f aca="false">IF(AND(DD47=0,BA47=1,GO47&gt;0),MIN(GO47,BB47),0)</f>
        <v>0</v>
      </c>
      <c r="GQ47" s="1" t="n">
        <f aca="false">GO47-GP47</f>
        <v>0</v>
      </c>
      <c r="GR47" s="1" t="n">
        <f aca="false">IF(AND(DD47=0,AQ47=1,GQ47&gt;0),MIN(GQ47,AR47),0)</f>
        <v>0</v>
      </c>
      <c r="GS47" s="1" t="n">
        <f aca="false">GQ47-GR47</f>
        <v>0</v>
      </c>
      <c r="GT47" s="1" t="n">
        <f aca="false">IF(AND(DD47=0,AG47=1,GS47&gt;0),MIN(GS47,AH47),0)</f>
        <v>0</v>
      </c>
      <c r="GU47" s="1" t="n">
        <f aca="false">GS47-GT47</f>
        <v>0</v>
      </c>
      <c r="GV47" s="1" t="n">
        <f aca="false">IF(AND(DD47=0,V47=1,GU47&gt;0),MIN(GU47,W47),0)</f>
        <v>0</v>
      </c>
      <c r="GW47" s="1" t="n">
        <f aca="false">GU47-GV47</f>
        <v>0</v>
      </c>
      <c r="GX47" s="1" t="n">
        <f aca="false">IF(DD47=0,GW47,0)</f>
        <v>0</v>
      </c>
      <c r="GY47" s="1" t="n">
        <f aca="false">GD47+GF47+GV47+GT47+GR47+GP47+GN47+GL47+GJ47+GH47</f>
        <v>0</v>
      </c>
      <c r="GZ47" s="1" t="n">
        <f aca="false">IF(DD47=1,CT47+GA47+FZ47+IF(F47=1,0,GB47),CT47-GD47)</f>
        <v>0</v>
      </c>
      <c r="HA47" s="1" t="n">
        <f aca="false">CU47-GF47</f>
        <v>0</v>
      </c>
      <c r="HB47" s="1" t="n">
        <f aca="false">IF(DD47=1,IF(F47=1,DM47+DN47,DB47),0)</f>
        <v>0</v>
      </c>
      <c r="HC47" s="1" t="n">
        <f aca="false">IF(DD47=1,IF(F47=1,DB47-DM47-DN47,0),0)</f>
        <v>0</v>
      </c>
      <c r="HD47" s="1" t="n">
        <f aca="false">GZ47*(1+GR)</f>
        <v>0</v>
      </c>
      <c r="HE47" s="1" t="n">
        <f aca="false">HA47*(1+AS_Cash)</f>
        <v>0</v>
      </c>
      <c r="HF47" s="1" t="n">
        <f aca="false">IF(V47=1,IF(DD47=1,DR47+DU47,W47-GV47)*(1+Slot1_Rate),0)</f>
        <v>0</v>
      </c>
      <c r="HG47" s="1" t="n">
        <f aca="false">IF(AND(DD47=1,V47=1),(DQ47+DU47)/E47,0)</f>
        <v>0</v>
      </c>
      <c r="HH47" s="1" t="n">
        <f aca="false">IF(B47=0,DQ47+DU47,0)</f>
        <v>0</v>
      </c>
      <c r="HI47" s="1" t="n">
        <f aca="false">IF(B47=0,IF(DD47=1,DS47,DT47),0)</f>
        <v>0</v>
      </c>
      <c r="HJ47" s="1" t="n">
        <f aca="false">IF(AG47=1,IF(DD47=1,DZ47+EC47,AH47-GT47)*(1+Slot2_Rate),0)</f>
        <v>0</v>
      </c>
      <c r="HK47" s="1" t="n">
        <f aca="false">IF(AND(DD47=1,AG47=1),(DY47+EC47)/E47,0)</f>
        <v>0</v>
      </c>
      <c r="HL47" s="1" t="n">
        <f aca="false">IF(B47=0,DY47+EC47,0)</f>
        <v>0</v>
      </c>
      <c r="HM47" s="1" t="n">
        <f aca="false">IF(B47=0,IF(DD47=1,EA47,EB47),0)</f>
        <v>0</v>
      </c>
      <c r="HN47" s="1" t="n">
        <f aca="false">IF(AQ47=1,IF(DD47=1,EH47+EK47,AR47-GR47)*(1+Slot3_Rate),0)</f>
        <v>0</v>
      </c>
      <c r="HO47" s="1" t="n">
        <f aca="false">IF(AND(DD47=1,AQ47=1),(EG47+EK47)/E47,0)</f>
        <v>0</v>
      </c>
      <c r="HP47" s="1" t="n">
        <f aca="false">IF(B47=0,EG47+EK47,0)</f>
        <v>0</v>
      </c>
      <c r="HQ47" s="1" t="n">
        <f aca="false">IF(B47=0,IF(DD47=1,EI47,EJ47),0)</f>
        <v>0</v>
      </c>
      <c r="HR47" s="1" t="n">
        <f aca="false">IF(BA47=1,IF(DD47=1,EP47+ES47,BB47-GP47)*(1+Slot4_Rate),0)</f>
        <v>0</v>
      </c>
      <c r="HS47" s="1" t="n">
        <f aca="false">IF(AND(DD47=1,BA47=1),(EO47+ES47)/E47,0)</f>
        <v>0</v>
      </c>
      <c r="HT47" s="1" t="n">
        <f aca="false">IF(B47=0,EO47+ES47,0)</f>
        <v>0</v>
      </c>
      <c r="HU47" s="1" t="n">
        <f aca="false">IF(B47=0,IF(DD47=1,EQ47,ER47),0)</f>
        <v>0</v>
      </c>
      <c r="HV47" s="1" t="n">
        <f aca="false">IF(BK47=1,IF(DD47=1,EX47+FA47,BL47-GN47)*(1+Slot5_Rate),0)</f>
        <v>0</v>
      </c>
      <c r="HW47" s="1" t="n">
        <f aca="false">IF(AND(DD47=1,BK47=1),(EW47+FA47)/E47,0)</f>
        <v>0</v>
      </c>
      <c r="HX47" s="1" t="n">
        <f aca="false">IF(B47=0,EW47+FA47,0)</f>
        <v>0</v>
      </c>
      <c r="HY47" s="1" t="n">
        <f aca="false">IF(B47=0,IF(DD47=1,EY47,EZ47),0)</f>
        <v>0</v>
      </c>
      <c r="HZ47" s="1" t="n">
        <f aca="false">IF(BU47=1,IF(DD47=1,FF47+FI47,BV47-GL47)*(1+Slot6_Rate),0)</f>
        <v>0</v>
      </c>
      <c r="IA47" s="1" t="n">
        <f aca="false">IF(AND(DD47=1,BU47=1),(FE47+FI47)/E47,0)</f>
        <v>0</v>
      </c>
      <c r="IB47" s="1" t="n">
        <f aca="false">IF(B47=0,FE47+FI47,0)</f>
        <v>0</v>
      </c>
      <c r="IC47" s="1" t="n">
        <f aca="false">IF(B47=0,IF(DD47=1,FG47,FH47),0)</f>
        <v>0</v>
      </c>
      <c r="ID47" s="1" t="n">
        <f aca="false">IF(CE47=1,IF(DD47=1,FN47+FQ47,CF47-GJ47)*(1+Slot7_Rate),0)</f>
        <v>0</v>
      </c>
      <c r="IE47" s="1" t="n">
        <f aca="false">IF(AND(DD47=1,CE47=1),(FM47+FQ47)/E47,0)</f>
        <v>0</v>
      </c>
      <c r="IF47" s="1" t="n">
        <f aca="false">IF(B47=0,FM47+FQ47,0)</f>
        <v>0</v>
      </c>
      <c r="IG47" s="1" t="n">
        <f aca="false">IF(B47=0,IF(DD47=1,FO47,FP47),0)</f>
        <v>0</v>
      </c>
      <c r="IH47" s="1" t="n">
        <f aca="false">IF(CO47=1,IF(DD47=1,FV47+FY47,CP47-GH47)*(1+Slot8_Rate),0)</f>
        <v>0</v>
      </c>
      <c r="II47" s="1" t="n">
        <f aca="false">IF(AND(DD47=1,CO47=1),(FU47+FY47)/E47,0)</f>
        <v>0</v>
      </c>
      <c r="IJ47" s="1" t="n">
        <f aca="false">IF(B47=0,FU47+FY47,0)</f>
        <v>0</v>
      </c>
      <c r="IK47" s="1" t="n">
        <f aca="false">IF(B47=0,IF(DD47=1,FW47,FX47),0)</f>
        <v>0</v>
      </c>
      <c r="IL47" s="1" t="n">
        <f aca="false">HD47+HE47+HF47+HJ47+HN47+HR47+HV47+HZ47+ID47+IH47</f>
        <v>0</v>
      </c>
      <c r="IM47" s="1" t="n">
        <f aca="false">GX47+CY47</f>
        <v>0</v>
      </c>
      <c r="IN47" s="1" t="n">
        <f aca="false">H47+R47</f>
        <v>0</v>
      </c>
      <c r="IO47" s="1" t="n">
        <f aca="false">1-F47</f>
        <v>1</v>
      </c>
      <c r="IP47" s="1" t="n">
        <f aca="false">IF(AND(RG_Exists=1,F47=0,C47=1),H47,0)</f>
        <v>0</v>
      </c>
      <c r="IQ47" s="1" t="n">
        <f aca="false">IF(AND(RG_Exists=1,F47=0,C47=1),H47-MIN(GX47,H47),0)</f>
        <v>0</v>
      </c>
      <c r="IR47" s="1" t="n">
        <f aca="false">'Plan pay &amp; tax'!AD249</f>
        <v>0</v>
      </c>
      <c r="IS47" s="1" t="n">
        <f aca="false">IF(AND(C47=1,GX47&gt;MAX(PR_Short1,IN47*PR_Short2)),1,0)</f>
        <v>0</v>
      </c>
      <c r="IT47" s="1" t="n">
        <f aca="false">MIN(G47,H47+R47)</f>
        <v>0</v>
      </c>
      <c r="IU47" s="1" t="n">
        <f aca="false">GY47+MAX(0,CZ47-CY47)</f>
        <v>0</v>
      </c>
      <c r="IV47" s="1" t="n">
        <f aca="false">GX47+CY47</f>
        <v>0</v>
      </c>
      <c r="IW47" s="1" t="n">
        <f aca="false">IF(AND(C47=1,IV47&gt;0.5),1,0)</f>
        <v>0</v>
      </c>
      <c r="IX47" s="1" t="n">
        <f aca="false">IF(AND(C47=1,IW47=0,IU47&gt;0.5),1,0)</f>
        <v>0</v>
      </c>
      <c r="IY47" s="1" t="n">
        <f aca="false">IF(AND(C47=1,GX47&gt;0.5),1,0)</f>
        <v>0</v>
      </c>
      <c r="IZ47" s="1" t="n">
        <f aca="false">IF(AND(C47=1,GY47&gt;1,JF47=0),1,0)</f>
        <v>0</v>
      </c>
      <c r="JA47" s="1" t="n">
        <f aca="false">IF(AND(INT(D47/10)*10=90,B47&gt;0),80,INT(D47/10)*10)</f>
        <v>30</v>
      </c>
      <c r="JB47" s="1" t="n">
        <f aca="false">IF(B47=0,1,IF(JA47&lt;&gt;JA46,JB46+1,JB46))</f>
        <v>4</v>
      </c>
      <c r="JC47" s="1" t="n">
        <f aca="false">IF(AND(C47=1,F47=1,GX47&gt;MAX(PR_Short1,IN47*PR_Short2)),1,0)</f>
        <v>0</v>
      </c>
      <c r="JD47" s="1" t="n">
        <f aca="false">IO47*IS47</f>
        <v>0</v>
      </c>
      <c r="JE47" s="1" t="n">
        <f aca="false">IF(AND(U47=1,Slot1_PctLow=1),1,0)+IF(AND(AF47=1,Slot2_PctLow=1),1,0)+IF(AND(AP47=1,Slot3_PctLow=1),1,0)+IF(AND(AZ47=1,Slot4_PctLow=1),1,0)+IF(AND(BJ47=1,Slot5_PctLow=1),1,0)+IF(AND(BT47=1,Slot6_PctLow=1),1,0)+IF(AND(CD47=1,Slot7_PctLow=1),1,0)+IF(AND(CN47=1,Slot8_PctLow=1),1,0)</f>
        <v>0</v>
      </c>
      <c r="JF47" s="1" t="n">
        <f aca="false">IF(C47=1,IF(OR(IS47=1,JE47&gt;0),1,0),0)</f>
        <v>0</v>
      </c>
    </row>
    <row r="48" customFormat="false" ht="15" hidden="false" customHeight="false" outlineLevel="0" collapsed="false">
      <c r="B48" s="1" t="n">
        <v>40</v>
      </c>
      <c r="C48" s="1" t="n">
        <f aca="false">IF(B48&lt;=F_N,1,0)</f>
        <v>1</v>
      </c>
      <c r="D48" s="1" t="n">
        <f aca="false">'Plan pay &amp; tax'!C250</f>
        <v>40</v>
      </c>
      <c r="E48" s="106" t="n">
        <f aca="false">'Plan pay &amp; tax'!E250</f>
        <v>2.20803966361485</v>
      </c>
      <c r="F48" s="1" t="n">
        <f aca="false">'Plan pay &amp; tax'!G250</f>
        <v>0</v>
      </c>
      <c r="G48" s="1" t="n">
        <f aca="false">'Plan pay &amp; tax'!BT250-'Plan pay &amp; tax'!BS250-'Plan pay &amp; tax'!R250</f>
        <v>0</v>
      </c>
      <c r="H48" s="1" t="n">
        <f aca="false">IF(F48=1,F_CostsM*12,IF(RG_Exists=1,RG_Amount,F_CostsM*12*AS_RetireSpend))*E48+F_OneOffY*E48</f>
        <v>0</v>
      </c>
      <c r="I48" s="1" t="n">
        <f aca="false">DA47</f>
        <v>0</v>
      </c>
      <c r="J48" s="1" t="n">
        <f aca="false">IF(I48&gt;1,'Plan debt months'!AC48,0)</f>
        <v>0</v>
      </c>
      <c r="K48" s="1" t="n">
        <f aca="false">IF(I48&gt;1,'Plan debt months'!AB48,I48)</f>
        <v>0</v>
      </c>
      <c r="L48" s="1" t="n">
        <f aca="false">N47</f>
        <v>0</v>
      </c>
      <c r="M48" s="1" t="n">
        <f aca="false">IF(L48&gt;1,'Plan debt months'!BD48,0)</f>
        <v>0</v>
      </c>
      <c r="N48" s="1" t="n">
        <f aca="false">IF(L48&gt;1,'Plan debt months'!BC48,L48)</f>
        <v>0</v>
      </c>
      <c r="O48" s="1" t="n">
        <f aca="false">Q47</f>
        <v>0</v>
      </c>
      <c r="P48" s="1" t="n">
        <f aca="false">IF(O48&gt;1,'Plan debt months'!CE48,0)</f>
        <v>0</v>
      </c>
      <c r="Q48" s="1" t="n">
        <f aca="false">IF(O48&gt;1,'Plan debt months'!CD48,O48)</f>
        <v>0</v>
      </c>
      <c r="R48" s="1" t="n">
        <f aca="false">J48+M48+P48</f>
        <v>0</v>
      </c>
      <c r="S48" s="1" t="n">
        <f aca="false">HD47+'Plan pay &amp; tax'!Y250</f>
        <v>0</v>
      </c>
      <c r="T48" s="1" t="n">
        <f aca="false">HD47</f>
        <v>0</v>
      </c>
      <c r="U48" s="1" t="n">
        <f aca="false">IF(AND(Slot1_On=1,D48=Slot1_Age),1,0)</f>
        <v>0</v>
      </c>
      <c r="V48" s="1" t="n">
        <f aca="false">IF(AND(Slot1_On=1,Slot1_Age&gt;D48),1,0)</f>
        <v>0</v>
      </c>
      <c r="W48" s="1" t="n">
        <f aca="false">HF47</f>
        <v>0</v>
      </c>
      <c r="X48" s="1" t="n">
        <f aca="false">U48*MIN(Slot1_Cost,W48)</f>
        <v>0</v>
      </c>
      <c r="Y48" s="1" t="n">
        <f aca="false">U48*Slot1_SpendLike*MIN(Slot1_Cost-X48,S48)</f>
        <v>0</v>
      </c>
      <c r="Z48" s="1" t="n">
        <f aca="false">X48+Y48</f>
        <v>0</v>
      </c>
      <c r="AA48" s="1" t="n">
        <f aca="false">S48-Y48+U48*IF(Slot1_SpendLike=1,W48-X48,IF(Slot1_PotFree=1,W48,0))</f>
        <v>0</v>
      </c>
      <c r="AB48" s="1" t="n">
        <f aca="false">AE48+U48*Slot1_BufPot*W48</f>
        <v>0</v>
      </c>
      <c r="AC48" s="1" t="n">
        <f aca="false">IF(AND(U48=1,Slot1_IsMfree=1),IF(Z48&gt;=Slot1_Cost-1,0,MAX(0,K48-Z48)),K48)</f>
        <v>0</v>
      </c>
      <c r="AD48" s="1" t="n">
        <f aca="false">U48*(Slot1_Cost-Z48)</f>
        <v>0</v>
      </c>
      <c r="AE48" s="1" t="n">
        <f aca="false">HE47</f>
        <v>0</v>
      </c>
      <c r="AF48" s="1" t="n">
        <f aca="false">IF(AND(Slot2_On=1,D48=Slot2_Age),1,0)</f>
        <v>0</v>
      </c>
      <c r="AG48" s="1" t="n">
        <f aca="false">IF(AND(Slot2_On=1,Slot2_Age&gt;D48),1,0)</f>
        <v>0</v>
      </c>
      <c r="AH48" s="1" t="n">
        <f aca="false">HJ47</f>
        <v>0</v>
      </c>
      <c r="AI48" s="1" t="n">
        <f aca="false">AF48*MIN(Slot2_Cost,AH48)</f>
        <v>0</v>
      </c>
      <c r="AJ48" s="1" t="n">
        <f aca="false">AF48*Slot2_SpendLike*MIN(Slot2_Cost-AI48,AA48)</f>
        <v>0</v>
      </c>
      <c r="AK48" s="1" t="n">
        <f aca="false">AI48+AJ48</f>
        <v>0</v>
      </c>
      <c r="AL48" s="1" t="n">
        <f aca="false">AA48-AJ48+AF48*IF(Slot2_SpendLike=1,AH48-AI48,IF(Slot2_PotFree=1,AH48,0))</f>
        <v>0</v>
      </c>
      <c r="AM48" s="1" t="n">
        <f aca="false">AB48+AF48*Slot2_BufPot*AH48</f>
        <v>0</v>
      </c>
      <c r="AN48" s="1" t="n">
        <f aca="false">IF(AND(AF48=1,Slot2_IsMfree=1),IF(AK48&gt;=Slot2_Cost-1,0,MAX(0,AC48-AK48)),AC48)</f>
        <v>0</v>
      </c>
      <c r="AO48" s="1" t="n">
        <f aca="false">AF48*(Slot2_Cost-AK48)</f>
        <v>0</v>
      </c>
      <c r="AP48" s="1" t="n">
        <f aca="false">IF(AND(Slot3_On=1,D48=Slot3_Age),1,0)</f>
        <v>0</v>
      </c>
      <c r="AQ48" s="1" t="n">
        <f aca="false">IF(AND(Slot3_On=1,Slot3_Age&gt;D48),1,0)</f>
        <v>0</v>
      </c>
      <c r="AR48" s="1" t="n">
        <f aca="false">HN47</f>
        <v>0</v>
      </c>
      <c r="AS48" s="1" t="n">
        <f aca="false">AP48*MIN(Slot3_Cost,AR48)</f>
        <v>0</v>
      </c>
      <c r="AT48" s="1" t="n">
        <f aca="false">AP48*Slot3_SpendLike*MIN(Slot3_Cost-AS48,AL48)</f>
        <v>0</v>
      </c>
      <c r="AU48" s="1" t="n">
        <f aca="false">AS48+AT48</f>
        <v>0</v>
      </c>
      <c r="AV48" s="1" t="n">
        <f aca="false">AL48-AT48+AP48*IF(Slot3_SpendLike=1,AR48-AS48,IF(Slot3_PotFree=1,AR48,0))</f>
        <v>0</v>
      </c>
      <c r="AW48" s="1" t="n">
        <f aca="false">AM48+AP48*Slot3_BufPot*AR48</f>
        <v>0</v>
      </c>
      <c r="AX48" s="1" t="n">
        <f aca="false">IF(AND(AP48=1,Slot3_IsMfree=1),IF(AU48&gt;=Slot3_Cost-1,0,MAX(0,AN48-AU48)),AN48)</f>
        <v>0</v>
      </c>
      <c r="AY48" s="1" t="n">
        <f aca="false">AP48*(Slot3_Cost-AU48)</f>
        <v>0</v>
      </c>
      <c r="AZ48" s="1" t="n">
        <f aca="false">IF(AND(Slot4_On=1,D48=Slot4_Age),1,0)</f>
        <v>0</v>
      </c>
      <c r="BA48" s="1" t="n">
        <f aca="false">IF(AND(Slot4_On=1,Slot4_Age&gt;D48),1,0)</f>
        <v>0</v>
      </c>
      <c r="BB48" s="1" t="n">
        <f aca="false">HR47</f>
        <v>0</v>
      </c>
      <c r="BC48" s="1" t="n">
        <f aca="false">AZ48*MIN(Slot4_Cost,BB48)</f>
        <v>0</v>
      </c>
      <c r="BD48" s="1" t="n">
        <f aca="false">AZ48*Slot4_SpendLike*MIN(Slot4_Cost-BC48,AV48)</f>
        <v>0</v>
      </c>
      <c r="BE48" s="1" t="n">
        <f aca="false">BC48+BD48</f>
        <v>0</v>
      </c>
      <c r="BF48" s="1" t="n">
        <f aca="false">AV48-BD48+AZ48*IF(Slot4_SpendLike=1,BB48-BC48,IF(Slot4_PotFree=1,BB48,0))</f>
        <v>0</v>
      </c>
      <c r="BG48" s="1" t="n">
        <f aca="false">AW48+AZ48*Slot4_BufPot*BB48</f>
        <v>0</v>
      </c>
      <c r="BH48" s="1" t="n">
        <f aca="false">IF(AND(AZ48=1,Slot4_IsMfree=1),IF(BE48&gt;=Slot4_Cost-1,0,MAX(0,AX48-BE48)),AX48)</f>
        <v>0</v>
      </c>
      <c r="BI48" s="1" t="n">
        <f aca="false">AZ48*(Slot4_Cost-BE48)</f>
        <v>0</v>
      </c>
      <c r="BJ48" s="1" t="n">
        <f aca="false">IF(AND(Slot5_On=1,D48=Slot5_Age),1,0)</f>
        <v>0</v>
      </c>
      <c r="BK48" s="1" t="n">
        <f aca="false">IF(AND(Slot5_On=1,Slot5_Age&gt;D48),1,0)</f>
        <v>0</v>
      </c>
      <c r="BL48" s="1" t="n">
        <f aca="false">HV47</f>
        <v>0</v>
      </c>
      <c r="BM48" s="1" t="n">
        <f aca="false">BJ48*MIN(Slot5_Cost,BL48)</f>
        <v>0</v>
      </c>
      <c r="BN48" s="1" t="n">
        <f aca="false">BJ48*Slot5_SpendLike*MIN(Slot5_Cost-BM48,BF48)</f>
        <v>0</v>
      </c>
      <c r="BO48" s="1" t="n">
        <f aca="false">BM48+BN48</f>
        <v>0</v>
      </c>
      <c r="BP48" s="1" t="n">
        <f aca="false">BF48-BN48+BJ48*IF(Slot5_SpendLike=1,BL48-BM48,IF(Slot5_PotFree=1,BL48,0))</f>
        <v>0</v>
      </c>
      <c r="BQ48" s="1" t="n">
        <f aca="false">BG48+BJ48*Slot5_BufPot*BL48</f>
        <v>0</v>
      </c>
      <c r="BR48" s="1" t="n">
        <f aca="false">IF(AND(BJ48=1,Slot5_IsMfree=1),IF(BO48&gt;=Slot5_Cost-1,0,MAX(0,BH48-BO48)),BH48)</f>
        <v>0</v>
      </c>
      <c r="BS48" s="1" t="n">
        <f aca="false">BJ48*(Slot5_Cost-BO48)</f>
        <v>0</v>
      </c>
      <c r="BT48" s="1" t="n">
        <f aca="false">IF(AND(Slot6_On=1,D48=Slot6_Age),1,0)</f>
        <v>0</v>
      </c>
      <c r="BU48" s="1" t="n">
        <f aca="false">IF(AND(Slot6_On=1,Slot6_Age&gt;D48),1,0)</f>
        <v>0</v>
      </c>
      <c r="BV48" s="1" t="n">
        <f aca="false">HZ47</f>
        <v>0</v>
      </c>
      <c r="BW48" s="1" t="n">
        <f aca="false">BT48*MIN(Slot6_Cost,BV48)</f>
        <v>0</v>
      </c>
      <c r="BX48" s="1" t="n">
        <f aca="false">BT48*Slot6_SpendLike*MIN(Slot6_Cost-BW48,BP48)</f>
        <v>0</v>
      </c>
      <c r="BY48" s="1" t="n">
        <f aca="false">BW48+BX48</f>
        <v>0</v>
      </c>
      <c r="BZ48" s="1" t="n">
        <f aca="false">BP48-BX48+BT48*IF(Slot6_SpendLike=1,BV48-BW48,IF(Slot6_PotFree=1,BV48,0))</f>
        <v>0</v>
      </c>
      <c r="CA48" s="1" t="n">
        <f aca="false">BQ48+BT48*Slot6_BufPot*BV48</f>
        <v>0</v>
      </c>
      <c r="CB48" s="1" t="n">
        <f aca="false">IF(AND(BT48=1,Slot6_IsMfree=1),IF(BY48&gt;=Slot6_Cost-1,0,MAX(0,BR48-BY48)),BR48)</f>
        <v>0</v>
      </c>
      <c r="CC48" s="1" t="n">
        <f aca="false">BT48*(Slot6_Cost-BY48)</f>
        <v>0</v>
      </c>
      <c r="CD48" s="1" t="n">
        <f aca="false">IF(AND(Slot7_On=1,D48=Slot7_Age),1,0)</f>
        <v>0</v>
      </c>
      <c r="CE48" s="1" t="n">
        <f aca="false">IF(AND(Slot7_On=1,Slot7_Age&gt;D48),1,0)</f>
        <v>0</v>
      </c>
      <c r="CF48" s="1" t="n">
        <f aca="false">ID47</f>
        <v>0</v>
      </c>
      <c r="CG48" s="1" t="n">
        <f aca="false">CD48*MIN(Slot7_Cost,CF48)</f>
        <v>0</v>
      </c>
      <c r="CH48" s="1" t="n">
        <f aca="false">CD48*Slot7_SpendLike*MIN(Slot7_Cost-CG48,BZ48)</f>
        <v>0</v>
      </c>
      <c r="CI48" s="1" t="n">
        <f aca="false">CG48+CH48</f>
        <v>0</v>
      </c>
      <c r="CJ48" s="1" t="n">
        <f aca="false">BZ48-CH48+CD48*IF(Slot7_SpendLike=1,CF48-CG48,IF(Slot7_PotFree=1,CF48,0))</f>
        <v>0</v>
      </c>
      <c r="CK48" s="1" t="n">
        <f aca="false">CA48+CD48*Slot7_BufPot*CF48</f>
        <v>0</v>
      </c>
      <c r="CL48" s="1" t="n">
        <f aca="false">IF(AND(CD48=1,Slot7_IsMfree=1),IF(CI48&gt;=Slot7_Cost-1,0,MAX(0,CB48-CI48)),CB48)</f>
        <v>0</v>
      </c>
      <c r="CM48" s="1" t="n">
        <f aca="false">CD48*(Slot7_Cost-CI48)</f>
        <v>0</v>
      </c>
      <c r="CN48" s="1" t="n">
        <f aca="false">IF(AND(Slot8_On=1,D48=Slot8_Age),1,0)</f>
        <v>0</v>
      </c>
      <c r="CO48" s="1" t="n">
        <f aca="false">IF(AND(Slot8_On=1,Slot8_Age&gt;D48),1,0)</f>
        <v>0</v>
      </c>
      <c r="CP48" s="1" t="n">
        <f aca="false">IH47</f>
        <v>0</v>
      </c>
      <c r="CQ48" s="1" t="n">
        <f aca="false">CN48*MIN(Slot8_Cost,CP48)</f>
        <v>0</v>
      </c>
      <c r="CR48" s="1" t="n">
        <f aca="false">CN48*Slot8_SpendLike*MIN(Slot8_Cost-CQ48,CJ48)</f>
        <v>0</v>
      </c>
      <c r="CS48" s="1" t="n">
        <f aca="false">CQ48+CR48</f>
        <v>0</v>
      </c>
      <c r="CT48" s="1" t="n">
        <f aca="false">CJ48-CR48+CN48*IF(Slot8_SpendLike=1,CP48-CQ48,IF(Slot8_PotFree=1,CP48,0))</f>
        <v>0</v>
      </c>
      <c r="CU48" s="1" t="n">
        <f aca="false">CK48+CN48*Slot8_BufPot*CP48</f>
        <v>0</v>
      </c>
      <c r="CV48" s="1" t="n">
        <f aca="false">IF(AND(CN48=1,Slot8_IsMfree=1),IF(CS48&gt;=Slot8_Cost-1,0,MAX(0,CL48-CS48)),CL48)</f>
        <v>0</v>
      </c>
      <c r="CW48" s="1" t="n">
        <f aca="false">CN48*(Slot8_Cost-CS48)</f>
        <v>0</v>
      </c>
      <c r="CX48" s="1" t="n">
        <f aca="false">U48*Slot1_SpendLike*Z48+AF48*Slot2_SpendLike*AK48+AP48*Slot3_SpendLike*AU48+AZ48*Slot4_SpendLike*BE48+BJ48*Slot5_SpendLike*BO48+BT48*Slot6_SpendLike*BY48+CD48*Slot7_SpendLike*CI48+CN48*Slot8_SpendLike*CS48</f>
        <v>0</v>
      </c>
      <c r="CY48" s="1" t="n">
        <f aca="false">AD48+AO48+AY48+BI48+BS48+CC48+CM48+CW48</f>
        <v>0</v>
      </c>
      <c r="CZ48" s="1" t="n">
        <f aca="false">U48*Slot1_Cost+AF48*Slot2_Cost+AP48*Slot3_Cost+AZ48*Slot4_Cost+BJ48*Slot5_Cost+BT48*Slot6_Cost+CD48*Slot7_Cost+CN48*Slot8_Cost</f>
        <v>0</v>
      </c>
      <c r="DA48" s="1" t="n">
        <f aca="false">CV48</f>
        <v>0</v>
      </c>
      <c r="DB48" s="1" t="n">
        <f aca="false">G48-H48-R48</f>
        <v>0</v>
      </c>
      <c r="DC48" s="1" t="n">
        <f aca="false">IF(B48=0,IF(AND(Has_q6=1,In_q6=4),PR_ShareVaries*(MAX(0,DB48)/12),MIN(IF(Has_q6=1,CHOOSE(In_q6+1,PR_SaveB1,PR_SaveB2,PR_SaveB3,PR_SaveB4,0),AS_NoAnswer),AS_SaveShare*(MAX(0,DB48)/12))),DC47)</f>
        <v>0</v>
      </c>
      <c r="DD48" s="1" t="n">
        <f aca="false">IF(DB48&gt;=0,1,0)</f>
        <v>1</v>
      </c>
      <c r="DE48" s="1" t="n">
        <f aca="false">MAX(0,DB48/12/E48)</f>
        <v>0</v>
      </c>
      <c r="DF48" s="1" t="n">
        <f aca="false">IF(AND(Has_q6=1,In_q6=4),PR_ShareVaries*(DE48),MIN(IF(Has_q6=1,CHOOSE(In_q6+1,PR_SaveB1,PR_SaveB2,PR_SaveB3,PR_SaveB4,0),AS_NoAnswer),AS_SaveShare*(DE48)))</f>
        <v>0</v>
      </c>
      <c r="DG48" s="1" t="n">
        <f aca="false">IF(Has_saveM=1,IF(In_saveUp="Yes",1,IF(In_saveUp="No",0,IF(In_saveM&gt;=DC48-0.5,1,0))),0)</f>
        <v>0</v>
      </c>
      <c r="DH48" s="1" t="n">
        <f aca="false">IF(Has_saveM=1,MIN(DE48,IF(DG48=1,MAX(In_saveM,DF48),MIN(In_saveM,DF48))),DF48)</f>
        <v>0</v>
      </c>
      <c r="DI48" s="1" t="n">
        <f aca="false">IF(F48=1,DH48*12*E48,0)</f>
        <v>0</v>
      </c>
      <c r="DJ48" s="1" t="n">
        <f aca="false">MAX(0,DI48+IF(AND(WI_Retire=0,WI_M&lt;0,F48=1),WI_M*12*E48,0))</f>
        <v>0</v>
      </c>
      <c r="DK48" s="1" t="n">
        <f aca="false">Slot1_IsWG*V48+Slot2_IsWG*AG48+Slot3_IsWG*AQ48+Slot4_IsWG*BA48+Slot5_IsWG*BK48+Slot6_IsWG*BU48+Slot7_IsWG*CE48+Slot8_IsWG*CO48</f>
        <v>0</v>
      </c>
      <c r="DL48" s="1" t="n">
        <f aca="false">IF(AND(WI_Retire=0,WI_M&gt;0,F48=1,DK48&gt;=1),WI_M*12*E48,0)</f>
        <v>0</v>
      </c>
      <c r="DM48" s="1" t="n">
        <f aca="false">IF(DD48=1,MIN(DJ48,DB48),0)</f>
        <v>0</v>
      </c>
      <c r="DN48" s="1" t="n">
        <f aca="false">IF(DD48=1,MIN(DL48,DB48-DM48),0)</f>
        <v>0</v>
      </c>
      <c r="DO48" s="1" t="n">
        <f aca="false">IF(V48=1,IF(ABS((1+AS_Wage)/(1+Slot1_Rate)-1)&lt;0.000000000001,(Slot1_Age-D48)*(1+Slot1_Rate)^(Slot1_Age-D48),(1+Slot1_Rate)^(Slot1_Age-D48)*(1-((1+AS_Wage)/(1+Slot1_Rate))^(Slot1_Age-D48))/(1-(1+AS_Wage)/(1+Slot1_Rate))),1)</f>
        <v>1</v>
      </c>
      <c r="DP48" s="1" t="n">
        <f aca="false">IF(AND(DD48=1,DN48&gt;0,Slot1_IsWG=1,V48=1),MAX(0,(Slot1_Cost-W48*(1+Slot1_Rate)^(Slot1_Age-D48))/DO48),0)</f>
        <v>0</v>
      </c>
      <c r="DQ48" s="1" t="n">
        <f aca="false">IF(AND(DD48=1,DN48&gt;0,Slot1_IsWG=1,V48=1),MIN(DN48,DP48),0)</f>
        <v>0</v>
      </c>
      <c r="DR48" s="1" t="n">
        <f aca="false">W48+DQ48</f>
        <v>0</v>
      </c>
      <c r="DS48" s="1" t="n">
        <f aca="false">IF(V48=1,MAX(0,(Slot1_Cost-DR48*(1+Slot1_Rate)^(Slot1_Age-D48))/DO48),0)</f>
        <v>0</v>
      </c>
      <c r="DT48" s="1" t="n">
        <f aca="false">IF(V48=1,MAX(0,(Slot1_Cost-W48*(1+Slot1_Rate)^(Slot1_Age-D48))/DO48),0)</f>
        <v>0</v>
      </c>
      <c r="DU48" s="1" t="n">
        <f aca="false">IF(AND(DD48=1,V48=1),MIN(DM48,DS48),0)</f>
        <v>0</v>
      </c>
      <c r="DV48" s="1" t="n">
        <f aca="false">DM48-DU48</f>
        <v>0</v>
      </c>
      <c r="DW48" s="1" t="n">
        <f aca="false">IF(AG48=1,IF(ABS((1+AS_Wage)/(1+Slot2_Rate)-1)&lt;0.000000000001,(Slot2_Age-D48)*(1+Slot2_Rate)^(Slot2_Age-D48),(1+Slot2_Rate)^(Slot2_Age-D48)*(1-((1+AS_Wage)/(1+Slot2_Rate))^(Slot2_Age-D48))/(1-(1+AS_Wage)/(1+Slot2_Rate))),1)</f>
        <v>1</v>
      </c>
      <c r="DX48" s="1" t="n">
        <f aca="false">IF(AND(DD48=1,DN48&gt;0,Slot2_IsWG=1,AG48=1),MAX(0,(Slot2_Cost-AH48*(1+Slot2_Rate)^(Slot2_Age-D48))/DW48),0)</f>
        <v>0</v>
      </c>
      <c r="DY48" s="1" t="n">
        <f aca="false">IF(AND(DD48=1,DN48&gt;0,Slot2_IsWG=1,AG48=1),MIN(DN48,DX48),0)</f>
        <v>0</v>
      </c>
      <c r="DZ48" s="1" t="n">
        <f aca="false">AH48+DY48</f>
        <v>0</v>
      </c>
      <c r="EA48" s="1" t="n">
        <f aca="false">IF(AG48=1,MAX(0,(Slot2_Cost-DZ48*(1+Slot2_Rate)^(Slot2_Age-D48))/DW48),0)</f>
        <v>0</v>
      </c>
      <c r="EB48" s="1" t="n">
        <f aca="false">IF(AG48=1,MAX(0,(Slot2_Cost-AH48*(1+Slot2_Rate)^(Slot2_Age-D48))/DW48),0)</f>
        <v>0</v>
      </c>
      <c r="EC48" s="1" t="n">
        <f aca="false">IF(AND(DD48=1,AG48=1),MIN(DV48,EA48),0)</f>
        <v>0</v>
      </c>
      <c r="ED48" s="1" t="n">
        <f aca="false">DV48-EC48</f>
        <v>0</v>
      </c>
      <c r="EE48" s="1" t="n">
        <f aca="false">IF(AQ48=1,IF(ABS((1+AS_Wage)/(1+Slot3_Rate)-1)&lt;0.000000000001,(Slot3_Age-D48)*(1+Slot3_Rate)^(Slot3_Age-D48),(1+Slot3_Rate)^(Slot3_Age-D48)*(1-((1+AS_Wage)/(1+Slot3_Rate))^(Slot3_Age-D48))/(1-(1+AS_Wage)/(1+Slot3_Rate))),1)</f>
        <v>1</v>
      </c>
      <c r="EF48" s="1" t="n">
        <f aca="false">IF(AND(DD48=1,DN48&gt;0,Slot3_IsWG=1,AQ48=1),MAX(0,(Slot3_Cost-AR48*(1+Slot3_Rate)^(Slot3_Age-D48))/EE48),0)</f>
        <v>0</v>
      </c>
      <c r="EG48" s="1" t="n">
        <f aca="false">IF(AND(DD48=1,DN48&gt;0,Slot3_IsWG=1,AQ48=1),MIN(DN48,EF48),0)</f>
        <v>0</v>
      </c>
      <c r="EH48" s="1" t="n">
        <f aca="false">AR48+EG48</f>
        <v>0</v>
      </c>
      <c r="EI48" s="1" t="n">
        <f aca="false">IF(AQ48=1,MAX(0,(Slot3_Cost-EH48*(1+Slot3_Rate)^(Slot3_Age-D48))/EE48),0)</f>
        <v>0</v>
      </c>
      <c r="EJ48" s="1" t="n">
        <f aca="false">IF(AQ48=1,MAX(0,(Slot3_Cost-AR48*(1+Slot3_Rate)^(Slot3_Age-D48))/EE48),0)</f>
        <v>0</v>
      </c>
      <c r="EK48" s="1" t="n">
        <f aca="false">IF(AND(DD48=1,AQ48=1),MIN(ED48,EI48),0)</f>
        <v>0</v>
      </c>
      <c r="EL48" s="1" t="n">
        <f aca="false">ED48-EK48</f>
        <v>0</v>
      </c>
      <c r="EM48" s="1" t="n">
        <f aca="false">IF(BA48=1,IF(ABS((1+AS_Wage)/(1+Slot4_Rate)-1)&lt;0.000000000001,(Slot4_Age-D48)*(1+Slot4_Rate)^(Slot4_Age-D48),(1+Slot4_Rate)^(Slot4_Age-D48)*(1-((1+AS_Wage)/(1+Slot4_Rate))^(Slot4_Age-D48))/(1-(1+AS_Wage)/(1+Slot4_Rate))),1)</f>
        <v>1</v>
      </c>
      <c r="EN48" s="1" t="n">
        <f aca="false">IF(AND(DD48=1,DN48&gt;0,Slot4_IsWG=1,BA48=1),MAX(0,(Slot4_Cost-BB48*(1+Slot4_Rate)^(Slot4_Age-D48))/EM48),0)</f>
        <v>0</v>
      </c>
      <c r="EO48" s="1" t="n">
        <f aca="false">IF(AND(DD48=1,DN48&gt;0,Slot4_IsWG=1,BA48=1),MIN(DN48,EN48),0)</f>
        <v>0</v>
      </c>
      <c r="EP48" s="1" t="n">
        <f aca="false">BB48+EO48</f>
        <v>0</v>
      </c>
      <c r="EQ48" s="1" t="n">
        <f aca="false">IF(BA48=1,MAX(0,(Slot4_Cost-EP48*(1+Slot4_Rate)^(Slot4_Age-D48))/EM48),0)</f>
        <v>0</v>
      </c>
      <c r="ER48" s="1" t="n">
        <f aca="false">IF(BA48=1,MAX(0,(Slot4_Cost-BB48*(1+Slot4_Rate)^(Slot4_Age-D48))/EM48),0)</f>
        <v>0</v>
      </c>
      <c r="ES48" s="1" t="n">
        <f aca="false">IF(AND(DD48=1,BA48=1),MIN(EL48,EQ48),0)</f>
        <v>0</v>
      </c>
      <c r="ET48" s="1" t="n">
        <f aca="false">EL48-ES48</f>
        <v>0</v>
      </c>
      <c r="EU48" s="1" t="n">
        <f aca="false">IF(BK48=1,IF(ABS((1+AS_Wage)/(1+Slot5_Rate)-1)&lt;0.000000000001,(Slot5_Age-D48)*(1+Slot5_Rate)^(Slot5_Age-D48),(1+Slot5_Rate)^(Slot5_Age-D48)*(1-((1+AS_Wage)/(1+Slot5_Rate))^(Slot5_Age-D48))/(1-(1+AS_Wage)/(1+Slot5_Rate))),1)</f>
        <v>1</v>
      </c>
      <c r="EV48" s="1" t="n">
        <f aca="false">IF(AND(DD48=1,DN48&gt;0,Slot5_IsWG=1,BK48=1),MAX(0,(Slot5_Cost-BL48*(1+Slot5_Rate)^(Slot5_Age-D48))/EU48),0)</f>
        <v>0</v>
      </c>
      <c r="EW48" s="1" t="n">
        <f aca="false">IF(AND(DD48=1,DN48&gt;0,Slot5_IsWG=1,BK48=1),MIN(DN48,EV48),0)</f>
        <v>0</v>
      </c>
      <c r="EX48" s="1" t="n">
        <f aca="false">BL48+EW48</f>
        <v>0</v>
      </c>
      <c r="EY48" s="1" t="n">
        <f aca="false">IF(BK48=1,MAX(0,(Slot5_Cost-EX48*(1+Slot5_Rate)^(Slot5_Age-D48))/EU48),0)</f>
        <v>0</v>
      </c>
      <c r="EZ48" s="1" t="n">
        <f aca="false">IF(BK48=1,MAX(0,(Slot5_Cost-BL48*(1+Slot5_Rate)^(Slot5_Age-D48))/EU48),0)</f>
        <v>0</v>
      </c>
      <c r="FA48" s="1" t="n">
        <f aca="false">IF(AND(DD48=1,BK48=1),MIN(ET48,EY48),0)</f>
        <v>0</v>
      </c>
      <c r="FB48" s="1" t="n">
        <f aca="false">ET48-FA48</f>
        <v>0</v>
      </c>
      <c r="FC48" s="1" t="n">
        <f aca="false">IF(BU48=1,IF(ABS((1+AS_Wage)/(1+Slot6_Rate)-1)&lt;0.000000000001,(Slot6_Age-D48)*(1+Slot6_Rate)^(Slot6_Age-D48),(1+Slot6_Rate)^(Slot6_Age-D48)*(1-((1+AS_Wage)/(1+Slot6_Rate))^(Slot6_Age-D48))/(1-(1+AS_Wage)/(1+Slot6_Rate))),1)</f>
        <v>1</v>
      </c>
      <c r="FD48" s="1" t="n">
        <f aca="false">IF(AND(DD48=1,DN48&gt;0,Slot6_IsWG=1,BU48=1),MAX(0,(Slot6_Cost-BV48*(1+Slot6_Rate)^(Slot6_Age-D48))/FC48),0)</f>
        <v>0</v>
      </c>
      <c r="FE48" s="1" t="n">
        <f aca="false">IF(AND(DD48=1,DN48&gt;0,Slot6_IsWG=1,BU48=1),MIN(DN48,FD48),0)</f>
        <v>0</v>
      </c>
      <c r="FF48" s="1" t="n">
        <f aca="false">BV48+FE48</f>
        <v>0</v>
      </c>
      <c r="FG48" s="1" t="n">
        <f aca="false">IF(BU48=1,MAX(0,(Slot6_Cost-FF48*(1+Slot6_Rate)^(Slot6_Age-D48))/FC48),0)</f>
        <v>0</v>
      </c>
      <c r="FH48" s="1" t="n">
        <f aca="false">IF(BU48=1,MAX(0,(Slot6_Cost-BV48*(1+Slot6_Rate)^(Slot6_Age-D48))/FC48),0)</f>
        <v>0</v>
      </c>
      <c r="FI48" s="1" t="n">
        <f aca="false">IF(AND(DD48=1,BU48=1),MIN(FB48,FG48),0)</f>
        <v>0</v>
      </c>
      <c r="FJ48" s="1" t="n">
        <f aca="false">FB48-FI48</f>
        <v>0</v>
      </c>
      <c r="FK48" s="1" t="n">
        <f aca="false">IF(CE48=1,IF(ABS((1+AS_Wage)/(1+Slot7_Rate)-1)&lt;0.000000000001,(Slot7_Age-D48)*(1+Slot7_Rate)^(Slot7_Age-D48),(1+Slot7_Rate)^(Slot7_Age-D48)*(1-((1+AS_Wage)/(1+Slot7_Rate))^(Slot7_Age-D48))/(1-(1+AS_Wage)/(1+Slot7_Rate))),1)</f>
        <v>1</v>
      </c>
      <c r="FL48" s="1" t="n">
        <f aca="false">IF(AND(DD48=1,DN48&gt;0,Slot7_IsWG=1,CE48=1),MAX(0,(Slot7_Cost-CF48*(1+Slot7_Rate)^(Slot7_Age-D48))/FK48),0)</f>
        <v>0</v>
      </c>
      <c r="FM48" s="1" t="n">
        <f aca="false">IF(AND(DD48=1,DN48&gt;0,Slot7_IsWG=1,CE48=1),MIN(DN48,FL48),0)</f>
        <v>0</v>
      </c>
      <c r="FN48" s="1" t="n">
        <f aca="false">CF48+FM48</f>
        <v>0</v>
      </c>
      <c r="FO48" s="1" t="n">
        <f aca="false">IF(CE48=1,MAX(0,(Slot7_Cost-FN48*(1+Slot7_Rate)^(Slot7_Age-D48))/FK48),0)</f>
        <v>0</v>
      </c>
      <c r="FP48" s="1" t="n">
        <f aca="false">IF(CE48=1,MAX(0,(Slot7_Cost-CF48*(1+Slot7_Rate)^(Slot7_Age-D48))/FK48),0)</f>
        <v>0</v>
      </c>
      <c r="FQ48" s="1" t="n">
        <f aca="false">IF(AND(DD48=1,CE48=1),MIN(FJ48,FO48),0)</f>
        <v>0</v>
      </c>
      <c r="FR48" s="1" t="n">
        <f aca="false">FJ48-FQ48</f>
        <v>0</v>
      </c>
      <c r="FS48" s="1" t="n">
        <f aca="false">IF(CO48=1,IF(ABS((1+AS_Wage)/(1+Slot8_Rate)-1)&lt;0.000000000001,(Slot8_Age-D48)*(1+Slot8_Rate)^(Slot8_Age-D48),(1+Slot8_Rate)^(Slot8_Age-D48)*(1-((1+AS_Wage)/(1+Slot8_Rate))^(Slot8_Age-D48))/(1-(1+AS_Wage)/(1+Slot8_Rate))),1)</f>
        <v>1</v>
      </c>
      <c r="FT48" s="1" t="n">
        <f aca="false">IF(AND(DD48=1,DN48&gt;0,Slot8_IsWG=1,CO48=1),MAX(0,(Slot8_Cost-CP48*(1+Slot8_Rate)^(Slot8_Age-D48))/FS48),0)</f>
        <v>0</v>
      </c>
      <c r="FU48" s="1" t="n">
        <f aca="false">IF(AND(DD48=1,DN48&gt;0,Slot8_IsWG=1,CO48=1),MIN(DN48,FT48),0)</f>
        <v>0</v>
      </c>
      <c r="FV48" s="1" t="n">
        <f aca="false">CP48+FU48</f>
        <v>0</v>
      </c>
      <c r="FW48" s="1" t="n">
        <f aca="false">IF(CO48=1,MAX(0,(Slot8_Cost-FV48*(1+Slot8_Rate)^(Slot8_Age-D48))/FS48),0)</f>
        <v>0</v>
      </c>
      <c r="FX48" s="1" t="n">
        <f aca="false">IF(CO48=1,MAX(0,(Slot8_Cost-CP48*(1+Slot8_Rate)^(Slot8_Age-D48))/FS48),0)</f>
        <v>0</v>
      </c>
      <c r="FY48" s="1" t="n">
        <f aca="false">IF(AND(DD48=1,CO48=1),MIN(FR48,FW48),0)</f>
        <v>0</v>
      </c>
      <c r="FZ48" s="1" t="n">
        <f aca="false">FR48-FY48</f>
        <v>0</v>
      </c>
      <c r="GA48" s="1" t="n">
        <f aca="false">DN48-(DQ48+DY48+EG48+EO48+EW48+FE48+FM48+FU48)</f>
        <v>0</v>
      </c>
      <c r="GB48" s="1" t="n">
        <f aca="false">IF(DD48=1,DB48-DM48-DN48,0)</f>
        <v>0</v>
      </c>
      <c r="GC48" s="1" t="n">
        <f aca="false">IF(DD48=0,-DB48,0)</f>
        <v>0</v>
      </c>
      <c r="GD48" s="1" t="n">
        <f aca="false">MIN(GC48,CT48)</f>
        <v>0</v>
      </c>
      <c r="GE48" s="1" t="n">
        <f aca="false">GC48-GD48</f>
        <v>0</v>
      </c>
      <c r="GF48" s="1" t="n">
        <f aca="false">MIN(GE48,CU48)</f>
        <v>0</v>
      </c>
      <c r="GG48" s="1" t="n">
        <f aca="false">GE48-GF48</f>
        <v>0</v>
      </c>
      <c r="GH48" s="1" t="n">
        <f aca="false">IF(AND(DD48=0,CO48=1,GG48&gt;0),MIN(GG48,CP48),0)</f>
        <v>0</v>
      </c>
      <c r="GI48" s="1" t="n">
        <f aca="false">GG48-GH48</f>
        <v>0</v>
      </c>
      <c r="GJ48" s="1" t="n">
        <f aca="false">IF(AND(DD48=0,CE48=1,GI48&gt;0),MIN(GI48,CF48),0)</f>
        <v>0</v>
      </c>
      <c r="GK48" s="1" t="n">
        <f aca="false">GI48-GJ48</f>
        <v>0</v>
      </c>
      <c r="GL48" s="1" t="n">
        <f aca="false">IF(AND(DD48=0,BU48=1,GK48&gt;0),MIN(GK48,BV48),0)</f>
        <v>0</v>
      </c>
      <c r="GM48" s="1" t="n">
        <f aca="false">GK48-GL48</f>
        <v>0</v>
      </c>
      <c r="GN48" s="1" t="n">
        <f aca="false">IF(AND(DD48=0,BK48=1,GM48&gt;0),MIN(GM48,BL48),0)</f>
        <v>0</v>
      </c>
      <c r="GO48" s="1" t="n">
        <f aca="false">GM48-GN48</f>
        <v>0</v>
      </c>
      <c r="GP48" s="1" t="n">
        <f aca="false">IF(AND(DD48=0,BA48=1,GO48&gt;0),MIN(GO48,BB48),0)</f>
        <v>0</v>
      </c>
      <c r="GQ48" s="1" t="n">
        <f aca="false">GO48-GP48</f>
        <v>0</v>
      </c>
      <c r="GR48" s="1" t="n">
        <f aca="false">IF(AND(DD48=0,AQ48=1,GQ48&gt;0),MIN(GQ48,AR48),0)</f>
        <v>0</v>
      </c>
      <c r="GS48" s="1" t="n">
        <f aca="false">GQ48-GR48</f>
        <v>0</v>
      </c>
      <c r="GT48" s="1" t="n">
        <f aca="false">IF(AND(DD48=0,AG48=1,GS48&gt;0),MIN(GS48,AH48),0)</f>
        <v>0</v>
      </c>
      <c r="GU48" s="1" t="n">
        <f aca="false">GS48-GT48</f>
        <v>0</v>
      </c>
      <c r="GV48" s="1" t="n">
        <f aca="false">IF(AND(DD48=0,V48=1,GU48&gt;0),MIN(GU48,W48),0)</f>
        <v>0</v>
      </c>
      <c r="GW48" s="1" t="n">
        <f aca="false">GU48-GV48</f>
        <v>0</v>
      </c>
      <c r="GX48" s="1" t="n">
        <f aca="false">IF(DD48=0,GW48,0)</f>
        <v>0</v>
      </c>
      <c r="GY48" s="1" t="n">
        <f aca="false">GD48+GF48+GV48+GT48+GR48+GP48+GN48+GL48+GJ48+GH48</f>
        <v>0</v>
      </c>
      <c r="GZ48" s="1" t="n">
        <f aca="false">IF(DD48=1,CT48+GA48+FZ48+IF(F48=1,0,GB48),CT48-GD48)</f>
        <v>0</v>
      </c>
      <c r="HA48" s="1" t="n">
        <f aca="false">CU48-GF48</f>
        <v>0</v>
      </c>
      <c r="HB48" s="1" t="n">
        <f aca="false">IF(DD48=1,IF(F48=1,DM48+DN48,DB48),0)</f>
        <v>0</v>
      </c>
      <c r="HC48" s="1" t="n">
        <f aca="false">IF(DD48=1,IF(F48=1,DB48-DM48-DN48,0),0)</f>
        <v>0</v>
      </c>
      <c r="HD48" s="1" t="n">
        <f aca="false">GZ48*(1+GR)</f>
        <v>0</v>
      </c>
      <c r="HE48" s="1" t="n">
        <f aca="false">HA48*(1+AS_Cash)</f>
        <v>0</v>
      </c>
      <c r="HF48" s="1" t="n">
        <f aca="false">IF(V48=1,IF(DD48=1,DR48+DU48,W48-GV48)*(1+Slot1_Rate),0)</f>
        <v>0</v>
      </c>
      <c r="HG48" s="1" t="n">
        <f aca="false">IF(AND(DD48=1,V48=1),(DQ48+DU48)/E48,0)</f>
        <v>0</v>
      </c>
      <c r="HH48" s="1" t="n">
        <f aca="false">IF(B48=0,DQ48+DU48,0)</f>
        <v>0</v>
      </c>
      <c r="HI48" s="1" t="n">
        <f aca="false">IF(B48=0,IF(DD48=1,DS48,DT48),0)</f>
        <v>0</v>
      </c>
      <c r="HJ48" s="1" t="n">
        <f aca="false">IF(AG48=1,IF(DD48=1,DZ48+EC48,AH48-GT48)*(1+Slot2_Rate),0)</f>
        <v>0</v>
      </c>
      <c r="HK48" s="1" t="n">
        <f aca="false">IF(AND(DD48=1,AG48=1),(DY48+EC48)/E48,0)</f>
        <v>0</v>
      </c>
      <c r="HL48" s="1" t="n">
        <f aca="false">IF(B48=0,DY48+EC48,0)</f>
        <v>0</v>
      </c>
      <c r="HM48" s="1" t="n">
        <f aca="false">IF(B48=0,IF(DD48=1,EA48,EB48),0)</f>
        <v>0</v>
      </c>
      <c r="HN48" s="1" t="n">
        <f aca="false">IF(AQ48=1,IF(DD48=1,EH48+EK48,AR48-GR48)*(1+Slot3_Rate),0)</f>
        <v>0</v>
      </c>
      <c r="HO48" s="1" t="n">
        <f aca="false">IF(AND(DD48=1,AQ48=1),(EG48+EK48)/E48,0)</f>
        <v>0</v>
      </c>
      <c r="HP48" s="1" t="n">
        <f aca="false">IF(B48=0,EG48+EK48,0)</f>
        <v>0</v>
      </c>
      <c r="HQ48" s="1" t="n">
        <f aca="false">IF(B48=0,IF(DD48=1,EI48,EJ48),0)</f>
        <v>0</v>
      </c>
      <c r="HR48" s="1" t="n">
        <f aca="false">IF(BA48=1,IF(DD48=1,EP48+ES48,BB48-GP48)*(1+Slot4_Rate),0)</f>
        <v>0</v>
      </c>
      <c r="HS48" s="1" t="n">
        <f aca="false">IF(AND(DD48=1,BA48=1),(EO48+ES48)/E48,0)</f>
        <v>0</v>
      </c>
      <c r="HT48" s="1" t="n">
        <f aca="false">IF(B48=0,EO48+ES48,0)</f>
        <v>0</v>
      </c>
      <c r="HU48" s="1" t="n">
        <f aca="false">IF(B48=0,IF(DD48=1,EQ48,ER48),0)</f>
        <v>0</v>
      </c>
      <c r="HV48" s="1" t="n">
        <f aca="false">IF(BK48=1,IF(DD48=1,EX48+FA48,BL48-GN48)*(1+Slot5_Rate),0)</f>
        <v>0</v>
      </c>
      <c r="HW48" s="1" t="n">
        <f aca="false">IF(AND(DD48=1,BK48=1),(EW48+FA48)/E48,0)</f>
        <v>0</v>
      </c>
      <c r="HX48" s="1" t="n">
        <f aca="false">IF(B48=0,EW48+FA48,0)</f>
        <v>0</v>
      </c>
      <c r="HY48" s="1" t="n">
        <f aca="false">IF(B48=0,IF(DD48=1,EY48,EZ48),0)</f>
        <v>0</v>
      </c>
      <c r="HZ48" s="1" t="n">
        <f aca="false">IF(BU48=1,IF(DD48=1,FF48+FI48,BV48-GL48)*(1+Slot6_Rate),0)</f>
        <v>0</v>
      </c>
      <c r="IA48" s="1" t="n">
        <f aca="false">IF(AND(DD48=1,BU48=1),(FE48+FI48)/E48,0)</f>
        <v>0</v>
      </c>
      <c r="IB48" s="1" t="n">
        <f aca="false">IF(B48=0,FE48+FI48,0)</f>
        <v>0</v>
      </c>
      <c r="IC48" s="1" t="n">
        <f aca="false">IF(B48=0,IF(DD48=1,FG48,FH48),0)</f>
        <v>0</v>
      </c>
      <c r="ID48" s="1" t="n">
        <f aca="false">IF(CE48=1,IF(DD48=1,FN48+FQ48,CF48-GJ48)*(1+Slot7_Rate),0)</f>
        <v>0</v>
      </c>
      <c r="IE48" s="1" t="n">
        <f aca="false">IF(AND(DD48=1,CE48=1),(FM48+FQ48)/E48,0)</f>
        <v>0</v>
      </c>
      <c r="IF48" s="1" t="n">
        <f aca="false">IF(B48=0,FM48+FQ48,0)</f>
        <v>0</v>
      </c>
      <c r="IG48" s="1" t="n">
        <f aca="false">IF(B48=0,IF(DD48=1,FO48,FP48),0)</f>
        <v>0</v>
      </c>
      <c r="IH48" s="1" t="n">
        <f aca="false">IF(CO48=1,IF(DD48=1,FV48+FY48,CP48-GH48)*(1+Slot8_Rate),0)</f>
        <v>0</v>
      </c>
      <c r="II48" s="1" t="n">
        <f aca="false">IF(AND(DD48=1,CO48=1),(FU48+FY48)/E48,0)</f>
        <v>0</v>
      </c>
      <c r="IJ48" s="1" t="n">
        <f aca="false">IF(B48=0,FU48+FY48,0)</f>
        <v>0</v>
      </c>
      <c r="IK48" s="1" t="n">
        <f aca="false">IF(B48=0,IF(DD48=1,FW48,FX48),0)</f>
        <v>0</v>
      </c>
      <c r="IL48" s="1" t="n">
        <f aca="false">HD48+HE48+HF48+HJ48+HN48+HR48+HV48+HZ48+ID48+IH48</f>
        <v>0</v>
      </c>
      <c r="IM48" s="1" t="n">
        <f aca="false">GX48+CY48</f>
        <v>0</v>
      </c>
      <c r="IN48" s="1" t="n">
        <f aca="false">H48+R48</f>
        <v>0</v>
      </c>
      <c r="IO48" s="1" t="n">
        <f aca="false">1-F48</f>
        <v>1</v>
      </c>
      <c r="IP48" s="1" t="n">
        <f aca="false">IF(AND(RG_Exists=1,F48=0,C48=1),H48,0)</f>
        <v>0</v>
      </c>
      <c r="IQ48" s="1" t="n">
        <f aca="false">IF(AND(RG_Exists=1,F48=0,C48=1),H48-MIN(GX48,H48),0)</f>
        <v>0</v>
      </c>
      <c r="IR48" s="1" t="n">
        <f aca="false">'Plan pay &amp; tax'!AD250</f>
        <v>0</v>
      </c>
      <c r="IS48" s="1" t="n">
        <f aca="false">IF(AND(C48=1,GX48&gt;MAX(PR_Short1,IN48*PR_Short2)),1,0)</f>
        <v>0</v>
      </c>
      <c r="IT48" s="1" t="n">
        <f aca="false">MIN(G48,H48+R48)</f>
        <v>0</v>
      </c>
      <c r="IU48" s="1" t="n">
        <f aca="false">GY48+MAX(0,CZ48-CY48)</f>
        <v>0</v>
      </c>
      <c r="IV48" s="1" t="n">
        <f aca="false">GX48+CY48</f>
        <v>0</v>
      </c>
      <c r="IW48" s="1" t="n">
        <f aca="false">IF(AND(C48=1,IV48&gt;0.5),1,0)</f>
        <v>0</v>
      </c>
      <c r="IX48" s="1" t="n">
        <f aca="false">IF(AND(C48=1,IW48=0,IU48&gt;0.5),1,0)</f>
        <v>0</v>
      </c>
      <c r="IY48" s="1" t="n">
        <f aca="false">IF(AND(C48=1,GX48&gt;0.5),1,0)</f>
        <v>0</v>
      </c>
      <c r="IZ48" s="1" t="n">
        <f aca="false">IF(AND(C48=1,GY48&gt;1,JF48=0),1,0)</f>
        <v>0</v>
      </c>
      <c r="JA48" s="1" t="n">
        <f aca="false">IF(AND(INT(D48/10)*10=90,B48&gt;0),80,INT(D48/10)*10)</f>
        <v>40</v>
      </c>
      <c r="JB48" s="1" t="n">
        <f aca="false">IF(B48=0,1,IF(JA48&lt;&gt;JA47,JB47+1,JB47))</f>
        <v>5</v>
      </c>
      <c r="JC48" s="1" t="n">
        <f aca="false">IF(AND(C48=1,F48=1,GX48&gt;MAX(PR_Short1,IN48*PR_Short2)),1,0)</f>
        <v>0</v>
      </c>
      <c r="JD48" s="1" t="n">
        <f aca="false">IO48*IS48</f>
        <v>0</v>
      </c>
      <c r="JE48" s="1" t="n">
        <f aca="false">IF(AND(U48=1,Slot1_PctLow=1),1,0)+IF(AND(AF48=1,Slot2_PctLow=1),1,0)+IF(AND(AP48=1,Slot3_PctLow=1),1,0)+IF(AND(AZ48=1,Slot4_PctLow=1),1,0)+IF(AND(BJ48=1,Slot5_PctLow=1),1,0)+IF(AND(BT48=1,Slot6_PctLow=1),1,0)+IF(AND(CD48=1,Slot7_PctLow=1),1,0)+IF(AND(CN48=1,Slot8_PctLow=1),1,0)</f>
        <v>0</v>
      </c>
      <c r="JF48" s="1" t="n">
        <f aca="false">IF(C48=1,IF(OR(IS48=1,JE48&gt;0),1,0),0)</f>
        <v>0</v>
      </c>
    </row>
    <row r="49" customFormat="false" ht="15" hidden="false" customHeight="false" outlineLevel="0" collapsed="false">
      <c r="B49" s="1" t="n">
        <v>41</v>
      </c>
      <c r="C49" s="1" t="n">
        <f aca="false">IF(B49&lt;=F_N,1,0)</f>
        <v>1</v>
      </c>
      <c r="D49" s="1" t="n">
        <f aca="false">'Plan pay &amp; tax'!C251</f>
        <v>41</v>
      </c>
      <c r="E49" s="106" t="n">
        <f aca="false">'Plan pay &amp; tax'!E251</f>
        <v>2.25220045688715</v>
      </c>
      <c r="F49" s="1" t="n">
        <f aca="false">'Plan pay &amp; tax'!G251</f>
        <v>0</v>
      </c>
      <c r="G49" s="1" t="n">
        <f aca="false">'Plan pay &amp; tax'!BT251-'Plan pay &amp; tax'!BS251-'Plan pay &amp; tax'!R251</f>
        <v>0</v>
      </c>
      <c r="H49" s="1" t="n">
        <f aca="false">IF(F49=1,F_CostsM*12,IF(RG_Exists=1,RG_Amount,F_CostsM*12*AS_RetireSpend))*E49+F_OneOffY*E49</f>
        <v>0</v>
      </c>
      <c r="I49" s="1" t="n">
        <f aca="false">DA48</f>
        <v>0</v>
      </c>
      <c r="J49" s="1" t="n">
        <f aca="false">IF(I49&gt;1,'Plan debt months'!AC49,0)</f>
        <v>0</v>
      </c>
      <c r="K49" s="1" t="n">
        <f aca="false">IF(I49&gt;1,'Plan debt months'!AB49,I49)</f>
        <v>0</v>
      </c>
      <c r="L49" s="1" t="n">
        <f aca="false">N48</f>
        <v>0</v>
      </c>
      <c r="M49" s="1" t="n">
        <f aca="false">IF(L49&gt;1,'Plan debt months'!BD49,0)</f>
        <v>0</v>
      </c>
      <c r="N49" s="1" t="n">
        <f aca="false">IF(L49&gt;1,'Plan debt months'!BC49,L49)</f>
        <v>0</v>
      </c>
      <c r="O49" s="1" t="n">
        <f aca="false">Q48</f>
        <v>0</v>
      </c>
      <c r="P49" s="1" t="n">
        <f aca="false">IF(O49&gt;1,'Plan debt months'!CE49,0)</f>
        <v>0</v>
      </c>
      <c r="Q49" s="1" t="n">
        <f aca="false">IF(O49&gt;1,'Plan debt months'!CD49,O49)</f>
        <v>0</v>
      </c>
      <c r="R49" s="1" t="n">
        <f aca="false">J49+M49+P49</f>
        <v>0</v>
      </c>
      <c r="S49" s="1" t="n">
        <f aca="false">HD48+'Plan pay &amp; tax'!Y251</f>
        <v>0</v>
      </c>
      <c r="T49" s="1" t="n">
        <f aca="false">HD48</f>
        <v>0</v>
      </c>
      <c r="U49" s="1" t="n">
        <f aca="false">IF(AND(Slot1_On=1,D49=Slot1_Age),1,0)</f>
        <v>0</v>
      </c>
      <c r="V49" s="1" t="n">
        <f aca="false">IF(AND(Slot1_On=1,Slot1_Age&gt;D49),1,0)</f>
        <v>0</v>
      </c>
      <c r="W49" s="1" t="n">
        <f aca="false">HF48</f>
        <v>0</v>
      </c>
      <c r="X49" s="1" t="n">
        <f aca="false">U49*MIN(Slot1_Cost,W49)</f>
        <v>0</v>
      </c>
      <c r="Y49" s="1" t="n">
        <f aca="false">U49*Slot1_SpendLike*MIN(Slot1_Cost-X49,S49)</f>
        <v>0</v>
      </c>
      <c r="Z49" s="1" t="n">
        <f aca="false">X49+Y49</f>
        <v>0</v>
      </c>
      <c r="AA49" s="1" t="n">
        <f aca="false">S49-Y49+U49*IF(Slot1_SpendLike=1,W49-X49,IF(Slot1_PotFree=1,W49,0))</f>
        <v>0</v>
      </c>
      <c r="AB49" s="1" t="n">
        <f aca="false">AE49+U49*Slot1_BufPot*W49</f>
        <v>0</v>
      </c>
      <c r="AC49" s="1" t="n">
        <f aca="false">IF(AND(U49=1,Slot1_IsMfree=1),IF(Z49&gt;=Slot1_Cost-1,0,MAX(0,K49-Z49)),K49)</f>
        <v>0</v>
      </c>
      <c r="AD49" s="1" t="n">
        <f aca="false">U49*(Slot1_Cost-Z49)</f>
        <v>0</v>
      </c>
      <c r="AE49" s="1" t="n">
        <f aca="false">HE48</f>
        <v>0</v>
      </c>
      <c r="AF49" s="1" t="n">
        <f aca="false">IF(AND(Slot2_On=1,D49=Slot2_Age),1,0)</f>
        <v>0</v>
      </c>
      <c r="AG49" s="1" t="n">
        <f aca="false">IF(AND(Slot2_On=1,Slot2_Age&gt;D49),1,0)</f>
        <v>0</v>
      </c>
      <c r="AH49" s="1" t="n">
        <f aca="false">HJ48</f>
        <v>0</v>
      </c>
      <c r="AI49" s="1" t="n">
        <f aca="false">AF49*MIN(Slot2_Cost,AH49)</f>
        <v>0</v>
      </c>
      <c r="AJ49" s="1" t="n">
        <f aca="false">AF49*Slot2_SpendLike*MIN(Slot2_Cost-AI49,AA49)</f>
        <v>0</v>
      </c>
      <c r="AK49" s="1" t="n">
        <f aca="false">AI49+AJ49</f>
        <v>0</v>
      </c>
      <c r="AL49" s="1" t="n">
        <f aca="false">AA49-AJ49+AF49*IF(Slot2_SpendLike=1,AH49-AI49,IF(Slot2_PotFree=1,AH49,0))</f>
        <v>0</v>
      </c>
      <c r="AM49" s="1" t="n">
        <f aca="false">AB49+AF49*Slot2_BufPot*AH49</f>
        <v>0</v>
      </c>
      <c r="AN49" s="1" t="n">
        <f aca="false">IF(AND(AF49=1,Slot2_IsMfree=1),IF(AK49&gt;=Slot2_Cost-1,0,MAX(0,AC49-AK49)),AC49)</f>
        <v>0</v>
      </c>
      <c r="AO49" s="1" t="n">
        <f aca="false">AF49*(Slot2_Cost-AK49)</f>
        <v>0</v>
      </c>
      <c r="AP49" s="1" t="n">
        <f aca="false">IF(AND(Slot3_On=1,D49=Slot3_Age),1,0)</f>
        <v>0</v>
      </c>
      <c r="AQ49" s="1" t="n">
        <f aca="false">IF(AND(Slot3_On=1,Slot3_Age&gt;D49),1,0)</f>
        <v>0</v>
      </c>
      <c r="AR49" s="1" t="n">
        <f aca="false">HN48</f>
        <v>0</v>
      </c>
      <c r="AS49" s="1" t="n">
        <f aca="false">AP49*MIN(Slot3_Cost,AR49)</f>
        <v>0</v>
      </c>
      <c r="AT49" s="1" t="n">
        <f aca="false">AP49*Slot3_SpendLike*MIN(Slot3_Cost-AS49,AL49)</f>
        <v>0</v>
      </c>
      <c r="AU49" s="1" t="n">
        <f aca="false">AS49+AT49</f>
        <v>0</v>
      </c>
      <c r="AV49" s="1" t="n">
        <f aca="false">AL49-AT49+AP49*IF(Slot3_SpendLike=1,AR49-AS49,IF(Slot3_PotFree=1,AR49,0))</f>
        <v>0</v>
      </c>
      <c r="AW49" s="1" t="n">
        <f aca="false">AM49+AP49*Slot3_BufPot*AR49</f>
        <v>0</v>
      </c>
      <c r="AX49" s="1" t="n">
        <f aca="false">IF(AND(AP49=1,Slot3_IsMfree=1),IF(AU49&gt;=Slot3_Cost-1,0,MAX(0,AN49-AU49)),AN49)</f>
        <v>0</v>
      </c>
      <c r="AY49" s="1" t="n">
        <f aca="false">AP49*(Slot3_Cost-AU49)</f>
        <v>0</v>
      </c>
      <c r="AZ49" s="1" t="n">
        <f aca="false">IF(AND(Slot4_On=1,D49=Slot4_Age),1,0)</f>
        <v>0</v>
      </c>
      <c r="BA49" s="1" t="n">
        <f aca="false">IF(AND(Slot4_On=1,Slot4_Age&gt;D49),1,0)</f>
        <v>0</v>
      </c>
      <c r="BB49" s="1" t="n">
        <f aca="false">HR48</f>
        <v>0</v>
      </c>
      <c r="BC49" s="1" t="n">
        <f aca="false">AZ49*MIN(Slot4_Cost,BB49)</f>
        <v>0</v>
      </c>
      <c r="BD49" s="1" t="n">
        <f aca="false">AZ49*Slot4_SpendLike*MIN(Slot4_Cost-BC49,AV49)</f>
        <v>0</v>
      </c>
      <c r="BE49" s="1" t="n">
        <f aca="false">BC49+BD49</f>
        <v>0</v>
      </c>
      <c r="BF49" s="1" t="n">
        <f aca="false">AV49-BD49+AZ49*IF(Slot4_SpendLike=1,BB49-BC49,IF(Slot4_PotFree=1,BB49,0))</f>
        <v>0</v>
      </c>
      <c r="BG49" s="1" t="n">
        <f aca="false">AW49+AZ49*Slot4_BufPot*BB49</f>
        <v>0</v>
      </c>
      <c r="BH49" s="1" t="n">
        <f aca="false">IF(AND(AZ49=1,Slot4_IsMfree=1),IF(BE49&gt;=Slot4_Cost-1,0,MAX(0,AX49-BE49)),AX49)</f>
        <v>0</v>
      </c>
      <c r="BI49" s="1" t="n">
        <f aca="false">AZ49*(Slot4_Cost-BE49)</f>
        <v>0</v>
      </c>
      <c r="BJ49" s="1" t="n">
        <f aca="false">IF(AND(Slot5_On=1,D49=Slot5_Age),1,0)</f>
        <v>0</v>
      </c>
      <c r="BK49" s="1" t="n">
        <f aca="false">IF(AND(Slot5_On=1,Slot5_Age&gt;D49),1,0)</f>
        <v>0</v>
      </c>
      <c r="BL49" s="1" t="n">
        <f aca="false">HV48</f>
        <v>0</v>
      </c>
      <c r="BM49" s="1" t="n">
        <f aca="false">BJ49*MIN(Slot5_Cost,BL49)</f>
        <v>0</v>
      </c>
      <c r="BN49" s="1" t="n">
        <f aca="false">BJ49*Slot5_SpendLike*MIN(Slot5_Cost-BM49,BF49)</f>
        <v>0</v>
      </c>
      <c r="BO49" s="1" t="n">
        <f aca="false">BM49+BN49</f>
        <v>0</v>
      </c>
      <c r="BP49" s="1" t="n">
        <f aca="false">BF49-BN49+BJ49*IF(Slot5_SpendLike=1,BL49-BM49,IF(Slot5_PotFree=1,BL49,0))</f>
        <v>0</v>
      </c>
      <c r="BQ49" s="1" t="n">
        <f aca="false">BG49+BJ49*Slot5_BufPot*BL49</f>
        <v>0</v>
      </c>
      <c r="BR49" s="1" t="n">
        <f aca="false">IF(AND(BJ49=1,Slot5_IsMfree=1),IF(BO49&gt;=Slot5_Cost-1,0,MAX(0,BH49-BO49)),BH49)</f>
        <v>0</v>
      </c>
      <c r="BS49" s="1" t="n">
        <f aca="false">BJ49*(Slot5_Cost-BO49)</f>
        <v>0</v>
      </c>
      <c r="BT49" s="1" t="n">
        <f aca="false">IF(AND(Slot6_On=1,D49=Slot6_Age),1,0)</f>
        <v>0</v>
      </c>
      <c r="BU49" s="1" t="n">
        <f aca="false">IF(AND(Slot6_On=1,Slot6_Age&gt;D49),1,0)</f>
        <v>0</v>
      </c>
      <c r="BV49" s="1" t="n">
        <f aca="false">HZ48</f>
        <v>0</v>
      </c>
      <c r="BW49" s="1" t="n">
        <f aca="false">BT49*MIN(Slot6_Cost,BV49)</f>
        <v>0</v>
      </c>
      <c r="BX49" s="1" t="n">
        <f aca="false">BT49*Slot6_SpendLike*MIN(Slot6_Cost-BW49,BP49)</f>
        <v>0</v>
      </c>
      <c r="BY49" s="1" t="n">
        <f aca="false">BW49+BX49</f>
        <v>0</v>
      </c>
      <c r="BZ49" s="1" t="n">
        <f aca="false">BP49-BX49+BT49*IF(Slot6_SpendLike=1,BV49-BW49,IF(Slot6_PotFree=1,BV49,0))</f>
        <v>0</v>
      </c>
      <c r="CA49" s="1" t="n">
        <f aca="false">BQ49+BT49*Slot6_BufPot*BV49</f>
        <v>0</v>
      </c>
      <c r="CB49" s="1" t="n">
        <f aca="false">IF(AND(BT49=1,Slot6_IsMfree=1),IF(BY49&gt;=Slot6_Cost-1,0,MAX(0,BR49-BY49)),BR49)</f>
        <v>0</v>
      </c>
      <c r="CC49" s="1" t="n">
        <f aca="false">BT49*(Slot6_Cost-BY49)</f>
        <v>0</v>
      </c>
      <c r="CD49" s="1" t="n">
        <f aca="false">IF(AND(Slot7_On=1,D49=Slot7_Age),1,0)</f>
        <v>0</v>
      </c>
      <c r="CE49" s="1" t="n">
        <f aca="false">IF(AND(Slot7_On=1,Slot7_Age&gt;D49),1,0)</f>
        <v>0</v>
      </c>
      <c r="CF49" s="1" t="n">
        <f aca="false">ID48</f>
        <v>0</v>
      </c>
      <c r="CG49" s="1" t="n">
        <f aca="false">CD49*MIN(Slot7_Cost,CF49)</f>
        <v>0</v>
      </c>
      <c r="CH49" s="1" t="n">
        <f aca="false">CD49*Slot7_SpendLike*MIN(Slot7_Cost-CG49,BZ49)</f>
        <v>0</v>
      </c>
      <c r="CI49" s="1" t="n">
        <f aca="false">CG49+CH49</f>
        <v>0</v>
      </c>
      <c r="CJ49" s="1" t="n">
        <f aca="false">BZ49-CH49+CD49*IF(Slot7_SpendLike=1,CF49-CG49,IF(Slot7_PotFree=1,CF49,0))</f>
        <v>0</v>
      </c>
      <c r="CK49" s="1" t="n">
        <f aca="false">CA49+CD49*Slot7_BufPot*CF49</f>
        <v>0</v>
      </c>
      <c r="CL49" s="1" t="n">
        <f aca="false">IF(AND(CD49=1,Slot7_IsMfree=1),IF(CI49&gt;=Slot7_Cost-1,0,MAX(0,CB49-CI49)),CB49)</f>
        <v>0</v>
      </c>
      <c r="CM49" s="1" t="n">
        <f aca="false">CD49*(Slot7_Cost-CI49)</f>
        <v>0</v>
      </c>
      <c r="CN49" s="1" t="n">
        <f aca="false">IF(AND(Slot8_On=1,D49=Slot8_Age),1,0)</f>
        <v>0</v>
      </c>
      <c r="CO49" s="1" t="n">
        <f aca="false">IF(AND(Slot8_On=1,Slot8_Age&gt;D49),1,0)</f>
        <v>0</v>
      </c>
      <c r="CP49" s="1" t="n">
        <f aca="false">IH48</f>
        <v>0</v>
      </c>
      <c r="CQ49" s="1" t="n">
        <f aca="false">CN49*MIN(Slot8_Cost,CP49)</f>
        <v>0</v>
      </c>
      <c r="CR49" s="1" t="n">
        <f aca="false">CN49*Slot8_SpendLike*MIN(Slot8_Cost-CQ49,CJ49)</f>
        <v>0</v>
      </c>
      <c r="CS49" s="1" t="n">
        <f aca="false">CQ49+CR49</f>
        <v>0</v>
      </c>
      <c r="CT49" s="1" t="n">
        <f aca="false">CJ49-CR49+CN49*IF(Slot8_SpendLike=1,CP49-CQ49,IF(Slot8_PotFree=1,CP49,0))</f>
        <v>0</v>
      </c>
      <c r="CU49" s="1" t="n">
        <f aca="false">CK49+CN49*Slot8_BufPot*CP49</f>
        <v>0</v>
      </c>
      <c r="CV49" s="1" t="n">
        <f aca="false">IF(AND(CN49=1,Slot8_IsMfree=1),IF(CS49&gt;=Slot8_Cost-1,0,MAX(0,CL49-CS49)),CL49)</f>
        <v>0</v>
      </c>
      <c r="CW49" s="1" t="n">
        <f aca="false">CN49*(Slot8_Cost-CS49)</f>
        <v>0</v>
      </c>
      <c r="CX49" s="1" t="n">
        <f aca="false">U49*Slot1_SpendLike*Z49+AF49*Slot2_SpendLike*AK49+AP49*Slot3_SpendLike*AU49+AZ49*Slot4_SpendLike*BE49+BJ49*Slot5_SpendLike*BO49+BT49*Slot6_SpendLike*BY49+CD49*Slot7_SpendLike*CI49+CN49*Slot8_SpendLike*CS49</f>
        <v>0</v>
      </c>
      <c r="CY49" s="1" t="n">
        <f aca="false">AD49+AO49+AY49+BI49+BS49+CC49+CM49+CW49</f>
        <v>0</v>
      </c>
      <c r="CZ49" s="1" t="n">
        <f aca="false">U49*Slot1_Cost+AF49*Slot2_Cost+AP49*Slot3_Cost+AZ49*Slot4_Cost+BJ49*Slot5_Cost+BT49*Slot6_Cost+CD49*Slot7_Cost+CN49*Slot8_Cost</f>
        <v>0</v>
      </c>
      <c r="DA49" s="1" t="n">
        <f aca="false">CV49</f>
        <v>0</v>
      </c>
      <c r="DB49" s="1" t="n">
        <f aca="false">G49-H49-R49</f>
        <v>0</v>
      </c>
      <c r="DC49" s="1" t="n">
        <f aca="false">IF(B49=0,IF(AND(Has_q6=1,In_q6=4),PR_ShareVaries*(MAX(0,DB49)/12),MIN(IF(Has_q6=1,CHOOSE(In_q6+1,PR_SaveB1,PR_SaveB2,PR_SaveB3,PR_SaveB4,0),AS_NoAnswer),AS_SaveShare*(MAX(0,DB49)/12))),DC48)</f>
        <v>0</v>
      </c>
      <c r="DD49" s="1" t="n">
        <f aca="false">IF(DB49&gt;=0,1,0)</f>
        <v>1</v>
      </c>
      <c r="DE49" s="1" t="n">
        <f aca="false">MAX(0,DB49/12/E49)</f>
        <v>0</v>
      </c>
      <c r="DF49" s="1" t="n">
        <f aca="false">IF(AND(Has_q6=1,In_q6=4),PR_ShareVaries*(DE49),MIN(IF(Has_q6=1,CHOOSE(In_q6+1,PR_SaveB1,PR_SaveB2,PR_SaveB3,PR_SaveB4,0),AS_NoAnswer),AS_SaveShare*(DE49)))</f>
        <v>0</v>
      </c>
      <c r="DG49" s="1" t="n">
        <f aca="false">IF(Has_saveM=1,IF(In_saveUp="Yes",1,IF(In_saveUp="No",0,IF(In_saveM&gt;=DC49-0.5,1,0))),0)</f>
        <v>0</v>
      </c>
      <c r="DH49" s="1" t="n">
        <f aca="false">IF(Has_saveM=1,MIN(DE49,IF(DG49=1,MAX(In_saveM,DF49),MIN(In_saveM,DF49))),DF49)</f>
        <v>0</v>
      </c>
      <c r="DI49" s="1" t="n">
        <f aca="false">IF(F49=1,DH49*12*E49,0)</f>
        <v>0</v>
      </c>
      <c r="DJ49" s="1" t="n">
        <f aca="false">MAX(0,DI49+IF(AND(WI_Retire=0,WI_M&lt;0,F49=1),WI_M*12*E49,0))</f>
        <v>0</v>
      </c>
      <c r="DK49" s="1" t="n">
        <f aca="false">Slot1_IsWG*V49+Slot2_IsWG*AG49+Slot3_IsWG*AQ49+Slot4_IsWG*BA49+Slot5_IsWG*BK49+Slot6_IsWG*BU49+Slot7_IsWG*CE49+Slot8_IsWG*CO49</f>
        <v>0</v>
      </c>
      <c r="DL49" s="1" t="n">
        <f aca="false">IF(AND(WI_Retire=0,WI_M&gt;0,F49=1,DK49&gt;=1),WI_M*12*E49,0)</f>
        <v>0</v>
      </c>
      <c r="DM49" s="1" t="n">
        <f aca="false">IF(DD49=1,MIN(DJ49,DB49),0)</f>
        <v>0</v>
      </c>
      <c r="DN49" s="1" t="n">
        <f aca="false">IF(DD49=1,MIN(DL49,DB49-DM49),0)</f>
        <v>0</v>
      </c>
      <c r="DO49" s="1" t="n">
        <f aca="false">IF(V49=1,IF(ABS((1+AS_Wage)/(1+Slot1_Rate)-1)&lt;0.000000000001,(Slot1_Age-D49)*(1+Slot1_Rate)^(Slot1_Age-D49),(1+Slot1_Rate)^(Slot1_Age-D49)*(1-((1+AS_Wage)/(1+Slot1_Rate))^(Slot1_Age-D49))/(1-(1+AS_Wage)/(1+Slot1_Rate))),1)</f>
        <v>1</v>
      </c>
      <c r="DP49" s="1" t="n">
        <f aca="false">IF(AND(DD49=1,DN49&gt;0,Slot1_IsWG=1,V49=1),MAX(0,(Slot1_Cost-W49*(1+Slot1_Rate)^(Slot1_Age-D49))/DO49),0)</f>
        <v>0</v>
      </c>
      <c r="DQ49" s="1" t="n">
        <f aca="false">IF(AND(DD49=1,DN49&gt;0,Slot1_IsWG=1,V49=1),MIN(DN49,DP49),0)</f>
        <v>0</v>
      </c>
      <c r="DR49" s="1" t="n">
        <f aca="false">W49+DQ49</f>
        <v>0</v>
      </c>
      <c r="DS49" s="1" t="n">
        <f aca="false">IF(V49=1,MAX(0,(Slot1_Cost-DR49*(1+Slot1_Rate)^(Slot1_Age-D49))/DO49),0)</f>
        <v>0</v>
      </c>
      <c r="DT49" s="1" t="n">
        <f aca="false">IF(V49=1,MAX(0,(Slot1_Cost-W49*(1+Slot1_Rate)^(Slot1_Age-D49))/DO49),0)</f>
        <v>0</v>
      </c>
      <c r="DU49" s="1" t="n">
        <f aca="false">IF(AND(DD49=1,V49=1),MIN(DM49,DS49),0)</f>
        <v>0</v>
      </c>
      <c r="DV49" s="1" t="n">
        <f aca="false">DM49-DU49</f>
        <v>0</v>
      </c>
      <c r="DW49" s="1" t="n">
        <f aca="false">IF(AG49=1,IF(ABS((1+AS_Wage)/(1+Slot2_Rate)-1)&lt;0.000000000001,(Slot2_Age-D49)*(1+Slot2_Rate)^(Slot2_Age-D49),(1+Slot2_Rate)^(Slot2_Age-D49)*(1-((1+AS_Wage)/(1+Slot2_Rate))^(Slot2_Age-D49))/(1-(1+AS_Wage)/(1+Slot2_Rate))),1)</f>
        <v>1</v>
      </c>
      <c r="DX49" s="1" t="n">
        <f aca="false">IF(AND(DD49=1,DN49&gt;0,Slot2_IsWG=1,AG49=1),MAX(0,(Slot2_Cost-AH49*(1+Slot2_Rate)^(Slot2_Age-D49))/DW49),0)</f>
        <v>0</v>
      </c>
      <c r="DY49" s="1" t="n">
        <f aca="false">IF(AND(DD49=1,DN49&gt;0,Slot2_IsWG=1,AG49=1),MIN(DN49,DX49),0)</f>
        <v>0</v>
      </c>
      <c r="DZ49" s="1" t="n">
        <f aca="false">AH49+DY49</f>
        <v>0</v>
      </c>
      <c r="EA49" s="1" t="n">
        <f aca="false">IF(AG49=1,MAX(0,(Slot2_Cost-DZ49*(1+Slot2_Rate)^(Slot2_Age-D49))/DW49),0)</f>
        <v>0</v>
      </c>
      <c r="EB49" s="1" t="n">
        <f aca="false">IF(AG49=1,MAX(0,(Slot2_Cost-AH49*(1+Slot2_Rate)^(Slot2_Age-D49))/DW49),0)</f>
        <v>0</v>
      </c>
      <c r="EC49" s="1" t="n">
        <f aca="false">IF(AND(DD49=1,AG49=1),MIN(DV49,EA49),0)</f>
        <v>0</v>
      </c>
      <c r="ED49" s="1" t="n">
        <f aca="false">DV49-EC49</f>
        <v>0</v>
      </c>
      <c r="EE49" s="1" t="n">
        <f aca="false">IF(AQ49=1,IF(ABS((1+AS_Wage)/(1+Slot3_Rate)-1)&lt;0.000000000001,(Slot3_Age-D49)*(1+Slot3_Rate)^(Slot3_Age-D49),(1+Slot3_Rate)^(Slot3_Age-D49)*(1-((1+AS_Wage)/(1+Slot3_Rate))^(Slot3_Age-D49))/(1-(1+AS_Wage)/(1+Slot3_Rate))),1)</f>
        <v>1</v>
      </c>
      <c r="EF49" s="1" t="n">
        <f aca="false">IF(AND(DD49=1,DN49&gt;0,Slot3_IsWG=1,AQ49=1),MAX(0,(Slot3_Cost-AR49*(1+Slot3_Rate)^(Slot3_Age-D49))/EE49),0)</f>
        <v>0</v>
      </c>
      <c r="EG49" s="1" t="n">
        <f aca="false">IF(AND(DD49=1,DN49&gt;0,Slot3_IsWG=1,AQ49=1),MIN(DN49,EF49),0)</f>
        <v>0</v>
      </c>
      <c r="EH49" s="1" t="n">
        <f aca="false">AR49+EG49</f>
        <v>0</v>
      </c>
      <c r="EI49" s="1" t="n">
        <f aca="false">IF(AQ49=1,MAX(0,(Slot3_Cost-EH49*(1+Slot3_Rate)^(Slot3_Age-D49))/EE49),0)</f>
        <v>0</v>
      </c>
      <c r="EJ49" s="1" t="n">
        <f aca="false">IF(AQ49=1,MAX(0,(Slot3_Cost-AR49*(1+Slot3_Rate)^(Slot3_Age-D49))/EE49),0)</f>
        <v>0</v>
      </c>
      <c r="EK49" s="1" t="n">
        <f aca="false">IF(AND(DD49=1,AQ49=1),MIN(ED49,EI49),0)</f>
        <v>0</v>
      </c>
      <c r="EL49" s="1" t="n">
        <f aca="false">ED49-EK49</f>
        <v>0</v>
      </c>
      <c r="EM49" s="1" t="n">
        <f aca="false">IF(BA49=1,IF(ABS((1+AS_Wage)/(1+Slot4_Rate)-1)&lt;0.000000000001,(Slot4_Age-D49)*(1+Slot4_Rate)^(Slot4_Age-D49),(1+Slot4_Rate)^(Slot4_Age-D49)*(1-((1+AS_Wage)/(1+Slot4_Rate))^(Slot4_Age-D49))/(1-(1+AS_Wage)/(1+Slot4_Rate))),1)</f>
        <v>1</v>
      </c>
      <c r="EN49" s="1" t="n">
        <f aca="false">IF(AND(DD49=1,DN49&gt;0,Slot4_IsWG=1,BA49=1),MAX(0,(Slot4_Cost-BB49*(1+Slot4_Rate)^(Slot4_Age-D49))/EM49),0)</f>
        <v>0</v>
      </c>
      <c r="EO49" s="1" t="n">
        <f aca="false">IF(AND(DD49=1,DN49&gt;0,Slot4_IsWG=1,BA49=1),MIN(DN49,EN49),0)</f>
        <v>0</v>
      </c>
      <c r="EP49" s="1" t="n">
        <f aca="false">BB49+EO49</f>
        <v>0</v>
      </c>
      <c r="EQ49" s="1" t="n">
        <f aca="false">IF(BA49=1,MAX(0,(Slot4_Cost-EP49*(1+Slot4_Rate)^(Slot4_Age-D49))/EM49),0)</f>
        <v>0</v>
      </c>
      <c r="ER49" s="1" t="n">
        <f aca="false">IF(BA49=1,MAX(0,(Slot4_Cost-BB49*(1+Slot4_Rate)^(Slot4_Age-D49))/EM49),0)</f>
        <v>0</v>
      </c>
      <c r="ES49" s="1" t="n">
        <f aca="false">IF(AND(DD49=1,BA49=1),MIN(EL49,EQ49),0)</f>
        <v>0</v>
      </c>
      <c r="ET49" s="1" t="n">
        <f aca="false">EL49-ES49</f>
        <v>0</v>
      </c>
      <c r="EU49" s="1" t="n">
        <f aca="false">IF(BK49=1,IF(ABS((1+AS_Wage)/(1+Slot5_Rate)-1)&lt;0.000000000001,(Slot5_Age-D49)*(1+Slot5_Rate)^(Slot5_Age-D49),(1+Slot5_Rate)^(Slot5_Age-D49)*(1-((1+AS_Wage)/(1+Slot5_Rate))^(Slot5_Age-D49))/(1-(1+AS_Wage)/(1+Slot5_Rate))),1)</f>
        <v>1</v>
      </c>
      <c r="EV49" s="1" t="n">
        <f aca="false">IF(AND(DD49=1,DN49&gt;0,Slot5_IsWG=1,BK49=1),MAX(0,(Slot5_Cost-BL49*(1+Slot5_Rate)^(Slot5_Age-D49))/EU49),0)</f>
        <v>0</v>
      </c>
      <c r="EW49" s="1" t="n">
        <f aca="false">IF(AND(DD49=1,DN49&gt;0,Slot5_IsWG=1,BK49=1),MIN(DN49,EV49),0)</f>
        <v>0</v>
      </c>
      <c r="EX49" s="1" t="n">
        <f aca="false">BL49+EW49</f>
        <v>0</v>
      </c>
      <c r="EY49" s="1" t="n">
        <f aca="false">IF(BK49=1,MAX(0,(Slot5_Cost-EX49*(1+Slot5_Rate)^(Slot5_Age-D49))/EU49),0)</f>
        <v>0</v>
      </c>
      <c r="EZ49" s="1" t="n">
        <f aca="false">IF(BK49=1,MAX(0,(Slot5_Cost-BL49*(1+Slot5_Rate)^(Slot5_Age-D49))/EU49),0)</f>
        <v>0</v>
      </c>
      <c r="FA49" s="1" t="n">
        <f aca="false">IF(AND(DD49=1,BK49=1),MIN(ET49,EY49),0)</f>
        <v>0</v>
      </c>
      <c r="FB49" s="1" t="n">
        <f aca="false">ET49-FA49</f>
        <v>0</v>
      </c>
      <c r="FC49" s="1" t="n">
        <f aca="false">IF(BU49=1,IF(ABS((1+AS_Wage)/(1+Slot6_Rate)-1)&lt;0.000000000001,(Slot6_Age-D49)*(1+Slot6_Rate)^(Slot6_Age-D49),(1+Slot6_Rate)^(Slot6_Age-D49)*(1-((1+AS_Wage)/(1+Slot6_Rate))^(Slot6_Age-D49))/(1-(1+AS_Wage)/(1+Slot6_Rate))),1)</f>
        <v>1</v>
      </c>
      <c r="FD49" s="1" t="n">
        <f aca="false">IF(AND(DD49=1,DN49&gt;0,Slot6_IsWG=1,BU49=1),MAX(0,(Slot6_Cost-BV49*(1+Slot6_Rate)^(Slot6_Age-D49))/FC49),0)</f>
        <v>0</v>
      </c>
      <c r="FE49" s="1" t="n">
        <f aca="false">IF(AND(DD49=1,DN49&gt;0,Slot6_IsWG=1,BU49=1),MIN(DN49,FD49),0)</f>
        <v>0</v>
      </c>
      <c r="FF49" s="1" t="n">
        <f aca="false">BV49+FE49</f>
        <v>0</v>
      </c>
      <c r="FG49" s="1" t="n">
        <f aca="false">IF(BU49=1,MAX(0,(Slot6_Cost-FF49*(1+Slot6_Rate)^(Slot6_Age-D49))/FC49),0)</f>
        <v>0</v>
      </c>
      <c r="FH49" s="1" t="n">
        <f aca="false">IF(BU49=1,MAX(0,(Slot6_Cost-BV49*(1+Slot6_Rate)^(Slot6_Age-D49))/FC49),0)</f>
        <v>0</v>
      </c>
      <c r="FI49" s="1" t="n">
        <f aca="false">IF(AND(DD49=1,BU49=1),MIN(FB49,FG49),0)</f>
        <v>0</v>
      </c>
      <c r="FJ49" s="1" t="n">
        <f aca="false">FB49-FI49</f>
        <v>0</v>
      </c>
      <c r="FK49" s="1" t="n">
        <f aca="false">IF(CE49=1,IF(ABS((1+AS_Wage)/(1+Slot7_Rate)-1)&lt;0.000000000001,(Slot7_Age-D49)*(1+Slot7_Rate)^(Slot7_Age-D49),(1+Slot7_Rate)^(Slot7_Age-D49)*(1-((1+AS_Wage)/(1+Slot7_Rate))^(Slot7_Age-D49))/(1-(1+AS_Wage)/(1+Slot7_Rate))),1)</f>
        <v>1</v>
      </c>
      <c r="FL49" s="1" t="n">
        <f aca="false">IF(AND(DD49=1,DN49&gt;0,Slot7_IsWG=1,CE49=1),MAX(0,(Slot7_Cost-CF49*(1+Slot7_Rate)^(Slot7_Age-D49))/FK49),0)</f>
        <v>0</v>
      </c>
      <c r="FM49" s="1" t="n">
        <f aca="false">IF(AND(DD49=1,DN49&gt;0,Slot7_IsWG=1,CE49=1),MIN(DN49,FL49),0)</f>
        <v>0</v>
      </c>
      <c r="FN49" s="1" t="n">
        <f aca="false">CF49+FM49</f>
        <v>0</v>
      </c>
      <c r="FO49" s="1" t="n">
        <f aca="false">IF(CE49=1,MAX(0,(Slot7_Cost-FN49*(1+Slot7_Rate)^(Slot7_Age-D49))/FK49),0)</f>
        <v>0</v>
      </c>
      <c r="FP49" s="1" t="n">
        <f aca="false">IF(CE49=1,MAX(0,(Slot7_Cost-CF49*(1+Slot7_Rate)^(Slot7_Age-D49))/FK49),0)</f>
        <v>0</v>
      </c>
      <c r="FQ49" s="1" t="n">
        <f aca="false">IF(AND(DD49=1,CE49=1),MIN(FJ49,FO49),0)</f>
        <v>0</v>
      </c>
      <c r="FR49" s="1" t="n">
        <f aca="false">FJ49-FQ49</f>
        <v>0</v>
      </c>
      <c r="FS49" s="1" t="n">
        <f aca="false">IF(CO49=1,IF(ABS((1+AS_Wage)/(1+Slot8_Rate)-1)&lt;0.000000000001,(Slot8_Age-D49)*(1+Slot8_Rate)^(Slot8_Age-D49),(1+Slot8_Rate)^(Slot8_Age-D49)*(1-((1+AS_Wage)/(1+Slot8_Rate))^(Slot8_Age-D49))/(1-(1+AS_Wage)/(1+Slot8_Rate))),1)</f>
        <v>1</v>
      </c>
      <c r="FT49" s="1" t="n">
        <f aca="false">IF(AND(DD49=1,DN49&gt;0,Slot8_IsWG=1,CO49=1),MAX(0,(Slot8_Cost-CP49*(1+Slot8_Rate)^(Slot8_Age-D49))/FS49),0)</f>
        <v>0</v>
      </c>
      <c r="FU49" s="1" t="n">
        <f aca="false">IF(AND(DD49=1,DN49&gt;0,Slot8_IsWG=1,CO49=1),MIN(DN49,FT49),0)</f>
        <v>0</v>
      </c>
      <c r="FV49" s="1" t="n">
        <f aca="false">CP49+FU49</f>
        <v>0</v>
      </c>
      <c r="FW49" s="1" t="n">
        <f aca="false">IF(CO49=1,MAX(0,(Slot8_Cost-FV49*(1+Slot8_Rate)^(Slot8_Age-D49))/FS49),0)</f>
        <v>0</v>
      </c>
      <c r="FX49" s="1" t="n">
        <f aca="false">IF(CO49=1,MAX(0,(Slot8_Cost-CP49*(1+Slot8_Rate)^(Slot8_Age-D49))/FS49),0)</f>
        <v>0</v>
      </c>
      <c r="FY49" s="1" t="n">
        <f aca="false">IF(AND(DD49=1,CO49=1),MIN(FR49,FW49),0)</f>
        <v>0</v>
      </c>
      <c r="FZ49" s="1" t="n">
        <f aca="false">FR49-FY49</f>
        <v>0</v>
      </c>
      <c r="GA49" s="1" t="n">
        <f aca="false">DN49-(DQ49+DY49+EG49+EO49+EW49+FE49+FM49+FU49)</f>
        <v>0</v>
      </c>
      <c r="GB49" s="1" t="n">
        <f aca="false">IF(DD49=1,DB49-DM49-DN49,0)</f>
        <v>0</v>
      </c>
      <c r="GC49" s="1" t="n">
        <f aca="false">IF(DD49=0,-DB49,0)</f>
        <v>0</v>
      </c>
      <c r="GD49" s="1" t="n">
        <f aca="false">MIN(GC49,CT49)</f>
        <v>0</v>
      </c>
      <c r="GE49" s="1" t="n">
        <f aca="false">GC49-GD49</f>
        <v>0</v>
      </c>
      <c r="GF49" s="1" t="n">
        <f aca="false">MIN(GE49,CU49)</f>
        <v>0</v>
      </c>
      <c r="GG49" s="1" t="n">
        <f aca="false">GE49-GF49</f>
        <v>0</v>
      </c>
      <c r="GH49" s="1" t="n">
        <f aca="false">IF(AND(DD49=0,CO49=1,GG49&gt;0),MIN(GG49,CP49),0)</f>
        <v>0</v>
      </c>
      <c r="GI49" s="1" t="n">
        <f aca="false">GG49-GH49</f>
        <v>0</v>
      </c>
      <c r="GJ49" s="1" t="n">
        <f aca="false">IF(AND(DD49=0,CE49=1,GI49&gt;0),MIN(GI49,CF49),0)</f>
        <v>0</v>
      </c>
      <c r="GK49" s="1" t="n">
        <f aca="false">GI49-GJ49</f>
        <v>0</v>
      </c>
      <c r="GL49" s="1" t="n">
        <f aca="false">IF(AND(DD49=0,BU49=1,GK49&gt;0),MIN(GK49,BV49),0)</f>
        <v>0</v>
      </c>
      <c r="GM49" s="1" t="n">
        <f aca="false">GK49-GL49</f>
        <v>0</v>
      </c>
      <c r="GN49" s="1" t="n">
        <f aca="false">IF(AND(DD49=0,BK49=1,GM49&gt;0),MIN(GM49,BL49),0)</f>
        <v>0</v>
      </c>
      <c r="GO49" s="1" t="n">
        <f aca="false">GM49-GN49</f>
        <v>0</v>
      </c>
      <c r="GP49" s="1" t="n">
        <f aca="false">IF(AND(DD49=0,BA49=1,GO49&gt;0),MIN(GO49,BB49),0)</f>
        <v>0</v>
      </c>
      <c r="GQ49" s="1" t="n">
        <f aca="false">GO49-GP49</f>
        <v>0</v>
      </c>
      <c r="GR49" s="1" t="n">
        <f aca="false">IF(AND(DD49=0,AQ49=1,GQ49&gt;0),MIN(GQ49,AR49),0)</f>
        <v>0</v>
      </c>
      <c r="GS49" s="1" t="n">
        <f aca="false">GQ49-GR49</f>
        <v>0</v>
      </c>
      <c r="GT49" s="1" t="n">
        <f aca="false">IF(AND(DD49=0,AG49=1,GS49&gt;0),MIN(GS49,AH49),0)</f>
        <v>0</v>
      </c>
      <c r="GU49" s="1" t="n">
        <f aca="false">GS49-GT49</f>
        <v>0</v>
      </c>
      <c r="GV49" s="1" t="n">
        <f aca="false">IF(AND(DD49=0,V49=1,GU49&gt;0),MIN(GU49,W49),0)</f>
        <v>0</v>
      </c>
      <c r="GW49" s="1" t="n">
        <f aca="false">GU49-GV49</f>
        <v>0</v>
      </c>
      <c r="GX49" s="1" t="n">
        <f aca="false">IF(DD49=0,GW49,0)</f>
        <v>0</v>
      </c>
      <c r="GY49" s="1" t="n">
        <f aca="false">GD49+GF49+GV49+GT49+GR49+GP49+GN49+GL49+GJ49+GH49</f>
        <v>0</v>
      </c>
      <c r="GZ49" s="1" t="n">
        <f aca="false">IF(DD49=1,CT49+GA49+FZ49+IF(F49=1,0,GB49),CT49-GD49)</f>
        <v>0</v>
      </c>
      <c r="HA49" s="1" t="n">
        <f aca="false">CU49-GF49</f>
        <v>0</v>
      </c>
      <c r="HB49" s="1" t="n">
        <f aca="false">IF(DD49=1,IF(F49=1,DM49+DN49,DB49),0)</f>
        <v>0</v>
      </c>
      <c r="HC49" s="1" t="n">
        <f aca="false">IF(DD49=1,IF(F49=1,DB49-DM49-DN49,0),0)</f>
        <v>0</v>
      </c>
      <c r="HD49" s="1" t="n">
        <f aca="false">GZ49*(1+GR)</f>
        <v>0</v>
      </c>
      <c r="HE49" s="1" t="n">
        <f aca="false">HA49*(1+AS_Cash)</f>
        <v>0</v>
      </c>
      <c r="HF49" s="1" t="n">
        <f aca="false">IF(V49=1,IF(DD49=1,DR49+DU49,W49-GV49)*(1+Slot1_Rate),0)</f>
        <v>0</v>
      </c>
      <c r="HG49" s="1" t="n">
        <f aca="false">IF(AND(DD49=1,V49=1),(DQ49+DU49)/E49,0)</f>
        <v>0</v>
      </c>
      <c r="HH49" s="1" t="n">
        <f aca="false">IF(B49=0,DQ49+DU49,0)</f>
        <v>0</v>
      </c>
      <c r="HI49" s="1" t="n">
        <f aca="false">IF(B49=0,IF(DD49=1,DS49,DT49),0)</f>
        <v>0</v>
      </c>
      <c r="HJ49" s="1" t="n">
        <f aca="false">IF(AG49=1,IF(DD49=1,DZ49+EC49,AH49-GT49)*(1+Slot2_Rate),0)</f>
        <v>0</v>
      </c>
      <c r="HK49" s="1" t="n">
        <f aca="false">IF(AND(DD49=1,AG49=1),(DY49+EC49)/E49,0)</f>
        <v>0</v>
      </c>
      <c r="HL49" s="1" t="n">
        <f aca="false">IF(B49=0,DY49+EC49,0)</f>
        <v>0</v>
      </c>
      <c r="HM49" s="1" t="n">
        <f aca="false">IF(B49=0,IF(DD49=1,EA49,EB49),0)</f>
        <v>0</v>
      </c>
      <c r="HN49" s="1" t="n">
        <f aca="false">IF(AQ49=1,IF(DD49=1,EH49+EK49,AR49-GR49)*(1+Slot3_Rate),0)</f>
        <v>0</v>
      </c>
      <c r="HO49" s="1" t="n">
        <f aca="false">IF(AND(DD49=1,AQ49=1),(EG49+EK49)/E49,0)</f>
        <v>0</v>
      </c>
      <c r="HP49" s="1" t="n">
        <f aca="false">IF(B49=0,EG49+EK49,0)</f>
        <v>0</v>
      </c>
      <c r="HQ49" s="1" t="n">
        <f aca="false">IF(B49=0,IF(DD49=1,EI49,EJ49),0)</f>
        <v>0</v>
      </c>
      <c r="HR49" s="1" t="n">
        <f aca="false">IF(BA49=1,IF(DD49=1,EP49+ES49,BB49-GP49)*(1+Slot4_Rate),0)</f>
        <v>0</v>
      </c>
      <c r="HS49" s="1" t="n">
        <f aca="false">IF(AND(DD49=1,BA49=1),(EO49+ES49)/E49,0)</f>
        <v>0</v>
      </c>
      <c r="HT49" s="1" t="n">
        <f aca="false">IF(B49=0,EO49+ES49,0)</f>
        <v>0</v>
      </c>
      <c r="HU49" s="1" t="n">
        <f aca="false">IF(B49=0,IF(DD49=1,EQ49,ER49),0)</f>
        <v>0</v>
      </c>
      <c r="HV49" s="1" t="n">
        <f aca="false">IF(BK49=1,IF(DD49=1,EX49+FA49,BL49-GN49)*(1+Slot5_Rate),0)</f>
        <v>0</v>
      </c>
      <c r="HW49" s="1" t="n">
        <f aca="false">IF(AND(DD49=1,BK49=1),(EW49+FA49)/E49,0)</f>
        <v>0</v>
      </c>
      <c r="HX49" s="1" t="n">
        <f aca="false">IF(B49=0,EW49+FA49,0)</f>
        <v>0</v>
      </c>
      <c r="HY49" s="1" t="n">
        <f aca="false">IF(B49=0,IF(DD49=1,EY49,EZ49),0)</f>
        <v>0</v>
      </c>
      <c r="HZ49" s="1" t="n">
        <f aca="false">IF(BU49=1,IF(DD49=1,FF49+FI49,BV49-GL49)*(1+Slot6_Rate),0)</f>
        <v>0</v>
      </c>
      <c r="IA49" s="1" t="n">
        <f aca="false">IF(AND(DD49=1,BU49=1),(FE49+FI49)/E49,0)</f>
        <v>0</v>
      </c>
      <c r="IB49" s="1" t="n">
        <f aca="false">IF(B49=0,FE49+FI49,0)</f>
        <v>0</v>
      </c>
      <c r="IC49" s="1" t="n">
        <f aca="false">IF(B49=0,IF(DD49=1,FG49,FH49),0)</f>
        <v>0</v>
      </c>
      <c r="ID49" s="1" t="n">
        <f aca="false">IF(CE49=1,IF(DD49=1,FN49+FQ49,CF49-GJ49)*(1+Slot7_Rate),0)</f>
        <v>0</v>
      </c>
      <c r="IE49" s="1" t="n">
        <f aca="false">IF(AND(DD49=1,CE49=1),(FM49+FQ49)/E49,0)</f>
        <v>0</v>
      </c>
      <c r="IF49" s="1" t="n">
        <f aca="false">IF(B49=0,FM49+FQ49,0)</f>
        <v>0</v>
      </c>
      <c r="IG49" s="1" t="n">
        <f aca="false">IF(B49=0,IF(DD49=1,FO49,FP49),0)</f>
        <v>0</v>
      </c>
      <c r="IH49" s="1" t="n">
        <f aca="false">IF(CO49=1,IF(DD49=1,FV49+FY49,CP49-GH49)*(1+Slot8_Rate),0)</f>
        <v>0</v>
      </c>
      <c r="II49" s="1" t="n">
        <f aca="false">IF(AND(DD49=1,CO49=1),(FU49+FY49)/E49,0)</f>
        <v>0</v>
      </c>
      <c r="IJ49" s="1" t="n">
        <f aca="false">IF(B49=0,FU49+FY49,0)</f>
        <v>0</v>
      </c>
      <c r="IK49" s="1" t="n">
        <f aca="false">IF(B49=0,IF(DD49=1,FW49,FX49),0)</f>
        <v>0</v>
      </c>
      <c r="IL49" s="1" t="n">
        <f aca="false">HD49+HE49+HF49+HJ49+HN49+HR49+HV49+HZ49+ID49+IH49</f>
        <v>0</v>
      </c>
      <c r="IM49" s="1" t="n">
        <f aca="false">GX49+CY49</f>
        <v>0</v>
      </c>
      <c r="IN49" s="1" t="n">
        <f aca="false">H49+R49</f>
        <v>0</v>
      </c>
      <c r="IO49" s="1" t="n">
        <f aca="false">1-F49</f>
        <v>1</v>
      </c>
      <c r="IP49" s="1" t="n">
        <f aca="false">IF(AND(RG_Exists=1,F49=0,C49=1),H49,0)</f>
        <v>0</v>
      </c>
      <c r="IQ49" s="1" t="n">
        <f aca="false">IF(AND(RG_Exists=1,F49=0,C49=1),H49-MIN(GX49,H49),0)</f>
        <v>0</v>
      </c>
      <c r="IR49" s="1" t="n">
        <f aca="false">'Plan pay &amp; tax'!AD251</f>
        <v>0</v>
      </c>
      <c r="IS49" s="1" t="n">
        <f aca="false">IF(AND(C49=1,GX49&gt;MAX(PR_Short1,IN49*PR_Short2)),1,0)</f>
        <v>0</v>
      </c>
      <c r="IT49" s="1" t="n">
        <f aca="false">MIN(G49,H49+R49)</f>
        <v>0</v>
      </c>
      <c r="IU49" s="1" t="n">
        <f aca="false">GY49+MAX(0,CZ49-CY49)</f>
        <v>0</v>
      </c>
      <c r="IV49" s="1" t="n">
        <f aca="false">GX49+CY49</f>
        <v>0</v>
      </c>
      <c r="IW49" s="1" t="n">
        <f aca="false">IF(AND(C49=1,IV49&gt;0.5),1,0)</f>
        <v>0</v>
      </c>
      <c r="IX49" s="1" t="n">
        <f aca="false">IF(AND(C49=1,IW49=0,IU49&gt;0.5),1,0)</f>
        <v>0</v>
      </c>
      <c r="IY49" s="1" t="n">
        <f aca="false">IF(AND(C49=1,GX49&gt;0.5),1,0)</f>
        <v>0</v>
      </c>
      <c r="IZ49" s="1" t="n">
        <f aca="false">IF(AND(C49=1,GY49&gt;1,JF49=0),1,0)</f>
        <v>0</v>
      </c>
      <c r="JA49" s="1" t="n">
        <f aca="false">IF(AND(INT(D49/10)*10=90,B49&gt;0),80,INT(D49/10)*10)</f>
        <v>40</v>
      </c>
      <c r="JB49" s="1" t="n">
        <f aca="false">IF(B49=0,1,IF(JA49&lt;&gt;JA48,JB48+1,JB48))</f>
        <v>5</v>
      </c>
      <c r="JC49" s="1" t="n">
        <f aca="false">IF(AND(C49=1,F49=1,GX49&gt;MAX(PR_Short1,IN49*PR_Short2)),1,0)</f>
        <v>0</v>
      </c>
      <c r="JD49" s="1" t="n">
        <f aca="false">IO49*IS49</f>
        <v>0</v>
      </c>
      <c r="JE49" s="1" t="n">
        <f aca="false">IF(AND(U49=1,Slot1_PctLow=1),1,0)+IF(AND(AF49=1,Slot2_PctLow=1),1,0)+IF(AND(AP49=1,Slot3_PctLow=1),1,0)+IF(AND(AZ49=1,Slot4_PctLow=1),1,0)+IF(AND(BJ49=1,Slot5_PctLow=1),1,0)+IF(AND(BT49=1,Slot6_PctLow=1),1,0)+IF(AND(CD49=1,Slot7_PctLow=1),1,0)+IF(AND(CN49=1,Slot8_PctLow=1),1,0)</f>
        <v>0</v>
      </c>
      <c r="JF49" s="1" t="n">
        <f aca="false">IF(C49=1,IF(OR(IS49=1,JE49&gt;0),1,0),0)</f>
        <v>0</v>
      </c>
    </row>
    <row r="50" customFormat="false" ht="15" hidden="false" customHeight="false" outlineLevel="0" collapsed="false">
      <c r="B50" s="1" t="n">
        <v>42</v>
      </c>
      <c r="C50" s="1" t="n">
        <f aca="false">IF(B50&lt;=F_N,1,0)</f>
        <v>1</v>
      </c>
      <c r="D50" s="1" t="n">
        <f aca="false">'Plan pay &amp; tax'!C252</f>
        <v>42</v>
      </c>
      <c r="E50" s="106" t="n">
        <f aca="false">'Plan pay &amp; tax'!E252</f>
        <v>2.29724446602489</v>
      </c>
      <c r="F50" s="1" t="n">
        <f aca="false">'Plan pay &amp; tax'!G252</f>
        <v>0</v>
      </c>
      <c r="G50" s="1" t="n">
        <f aca="false">'Plan pay &amp; tax'!BT252-'Plan pay &amp; tax'!BS252-'Plan pay &amp; tax'!R252</f>
        <v>0</v>
      </c>
      <c r="H50" s="1" t="n">
        <f aca="false">IF(F50=1,F_CostsM*12,IF(RG_Exists=1,RG_Amount,F_CostsM*12*AS_RetireSpend))*E50+F_OneOffY*E50</f>
        <v>0</v>
      </c>
      <c r="I50" s="1" t="n">
        <f aca="false">DA49</f>
        <v>0</v>
      </c>
      <c r="J50" s="1" t="n">
        <f aca="false">IF(I50&gt;1,'Plan debt months'!AC50,0)</f>
        <v>0</v>
      </c>
      <c r="K50" s="1" t="n">
        <f aca="false">IF(I50&gt;1,'Plan debt months'!AB50,I50)</f>
        <v>0</v>
      </c>
      <c r="L50" s="1" t="n">
        <f aca="false">N49</f>
        <v>0</v>
      </c>
      <c r="M50" s="1" t="n">
        <f aca="false">IF(L50&gt;1,'Plan debt months'!BD50,0)</f>
        <v>0</v>
      </c>
      <c r="N50" s="1" t="n">
        <f aca="false">IF(L50&gt;1,'Plan debt months'!BC50,L50)</f>
        <v>0</v>
      </c>
      <c r="O50" s="1" t="n">
        <f aca="false">Q49</f>
        <v>0</v>
      </c>
      <c r="P50" s="1" t="n">
        <f aca="false">IF(O50&gt;1,'Plan debt months'!CE50,0)</f>
        <v>0</v>
      </c>
      <c r="Q50" s="1" t="n">
        <f aca="false">IF(O50&gt;1,'Plan debt months'!CD50,O50)</f>
        <v>0</v>
      </c>
      <c r="R50" s="1" t="n">
        <f aca="false">J50+M50+P50</f>
        <v>0</v>
      </c>
      <c r="S50" s="1" t="n">
        <f aca="false">HD49+'Plan pay &amp; tax'!Y252</f>
        <v>0</v>
      </c>
      <c r="T50" s="1" t="n">
        <f aca="false">HD49</f>
        <v>0</v>
      </c>
      <c r="U50" s="1" t="n">
        <f aca="false">IF(AND(Slot1_On=1,D50=Slot1_Age),1,0)</f>
        <v>0</v>
      </c>
      <c r="V50" s="1" t="n">
        <f aca="false">IF(AND(Slot1_On=1,Slot1_Age&gt;D50),1,0)</f>
        <v>0</v>
      </c>
      <c r="W50" s="1" t="n">
        <f aca="false">HF49</f>
        <v>0</v>
      </c>
      <c r="X50" s="1" t="n">
        <f aca="false">U50*MIN(Slot1_Cost,W50)</f>
        <v>0</v>
      </c>
      <c r="Y50" s="1" t="n">
        <f aca="false">U50*Slot1_SpendLike*MIN(Slot1_Cost-X50,S50)</f>
        <v>0</v>
      </c>
      <c r="Z50" s="1" t="n">
        <f aca="false">X50+Y50</f>
        <v>0</v>
      </c>
      <c r="AA50" s="1" t="n">
        <f aca="false">S50-Y50+U50*IF(Slot1_SpendLike=1,W50-X50,IF(Slot1_PotFree=1,W50,0))</f>
        <v>0</v>
      </c>
      <c r="AB50" s="1" t="n">
        <f aca="false">AE50+U50*Slot1_BufPot*W50</f>
        <v>0</v>
      </c>
      <c r="AC50" s="1" t="n">
        <f aca="false">IF(AND(U50=1,Slot1_IsMfree=1),IF(Z50&gt;=Slot1_Cost-1,0,MAX(0,K50-Z50)),K50)</f>
        <v>0</v>
      </c>
      <c r="AD50" s="1" t="n">
        <f aca="false">U50*(Slot1_Cost-Z50)</f>
        <v>0</v>
      </c>
      <c r="AE50" s="1" t="n">
        <f aca="false">HE49</f>
        <v>0</v>
      </c>
      <c r="AF50" s="1" t="n">
        <f aca="false">IF(AND(Slot2_On=1,D50=Slot2_Age),1,0)</f>
        <v>0</v>
      </c>
      <c r="AG50" s="1" t="n">
        <f aca="false">IF(AND(Slot2_On=1,Slot2_Age&gt;D50),1,0)</f>
        <v>0</v>
      </c>
      <c r="AH50" s="1" t="n">
        <f aca="false">HJ49</f>
        <v>0</v>
      </c>
      <c r="AI50" s="1" t="n">
        <f aca="false">AF50*MIN(Slot2_Cost,AH50)</f>
        <v>0</v>
      </c>
      <c r="AJ50" s="1" t="n">
        <f aca="false">AF50*Slot2_SpendLike*MIN(Slot2_Cost-AI50,AA50)</f>
        <v>0</v>
      </c>
      <c r="AK50" s="1" t="n">
        <f aca="false">AI50+AJ50</f>
        <v>0</v>
      </c>
      <c r="AL50" s="1" t="n">
        <f aca="false">AA50-AJ50+AF50*IF(Slot2_SpendLike=1,AH50-AI50,IF(Slot2_PotFree=1,AH50,0))</f>
        <v>0</v>
      </c>
      <c r="AM50" s="1" t="n">
        <f aca="false">AB50+AF50*Slot2_BufPot*AH50</f>
        <v>0</v>
      </c>
      <c r="AN50" s="1" t="n">
        <f aca="false">IF(AND(AF50=1,Slot2_IsMfree=1),IF(AK50&gt;=Slot2_Cost-1,0,MAX(0,AC50-AK50)),AC50)</f>
        <v>0</v>
      </c>
      <c r="AO50" s="1" t="n">
        <f aca="false">AF50*(Slot2_Cost-AK50)</f>
        <v>0</v>
      </c>
      <c r="AP50" s="1" t="n">
        <f aca="false">IF(AND(Slot3_On=1,D50=Slot3_Age),1,0)</f>
        <v>0</v>
      </c>
      <c r="AQ50" s="1" t="n">
        <f aca="false">IF(AND(Slot3_On=1,Slot3_Age&gt;D50),1,0)</f>
        <v>0</v>
      </c>
      <c r="AR50" s="1" t="n">
        <f aca="false">HN49</f>
        <v>0</v>
      </c>
      <c r="AS50" s="1" t="n">
        <f aca="false">AP50*MIN(Slot3_Cost,AR50)</f>
        <v>0</v>
      </c>
      <c r="AT50" s="1" t="n">
        <f aca="false">AP50*Slot3_SpendLike*MIN(Slot3_Cost-AS50,AL50)</f>
        <v>0</v>
      </c>
      <c r="AU50" s="1" t="n">
        <f aca="false">AS50+AT50</f>
        <v>0</v>
      </c>
      <c r="AV50" s="1" t="n">
        <f aca="false">AL50-AT50+AP50*IF(Slot3_SpendLike=1,AR50-AS50,IF(Slot3_PotFree=1,AR50,0))</f>
        <v>0</v>
      </c>
      <c r="AW50" s="1" t="n">
        <f aca="false">AM50+AP50*Slot3_BufPot*AR50</f>
        <v>0</v>
      </c>
      <c r="AX50" s="1" t="n">
        <f aca="false">IF(AND(AP50=1,Slot3_IsMfree=1),IF(AU50&gt;=Slot3_Cost-1,0,MAX(0,AN50-AU50)),AN50)</f>
        <v>0</v>
      </c>
      <c r="AY50" s="1" t="n">
        <f aca="false">AP50*(Slot3_Cost-AU50)</f>
        <v>0</v>
      </c>
      <c r="AZ50" s="1" t="n">
        <f aca="false">IF(AND(Slot4_On=1,D50=Slot4_Age),1,0)</f>
        <v>0</v>
      </c>
      <c r="BA50" s="1" t="n">
        <f aca="false">IF(AND(Slot4_On=1,Slot4_Age&gt;D50),1,0)</f>
        <v>0</v>
      </c>
      <c r="BB50" s="1" t="n">
        <f aca="false">HR49</f>
        <v>0</v>
      </c>
      <c r="BC50" s="1" t="n">
        <f aca="false">AZ50*MIN(Slot4_Cost,BB50)</f>
        <v>0</v>
      </c>
      <c r="BD50" s="1" t="n">
        <f aca="false">AZ50*Slot4_SpendLike*MIN(Slot4_Cost-BC50,AV50)</f>
        <v>0</v>
      </c>
      <c r="BE50" s="1" t="n">
        <f aca="false">BC50+BD50</f>
        <v>0</v>
      </c>
      <c r="BF50" s="1" t="n">
        <f aca="false">AV50-BD50+AZ50*IF(Slot4_SpendLike=1,BB50-BC50,IF(Slot4_PotFree=1,BB50,0))</f>
        <v>0</v>
      </c>
      <c r="BG50" s="1" t="n">
        <f aca="false">AW50+AZ50*Slot4_BufPot*BB50</f>
        <v>0</v>
      </c>
      <c r="BH50" s="1" t="n">
        <f aca="false">IF(AND(AZ50=1,Slot4_IsMfree=1),IF(BE50&gt;=Slot4_Cost-1,0,MAX(0,AX50-BE50)),AX50)</f>
        <v>0</v>
      </c>
      <c r="BI50" s="1" t="n">
        <f aca="false">AZ50*(Slot4_Cost-BE50)</f>
        <v>0</v>
      </c>
      <c r="BJ50" s="1" t="n">
        <f aca="false">IF(AND(Slot5_On=1,D50=Slot5_Age),1,0)</f>
        <v>0</v>
      </c>
      <c r="BK50" s="1" t="n">
        <f aca="false">IF(AND(Slot5_On=1,Slot5_Age&gt;D50),1,0)</f>
        <v>0</v>
      </c>
      <c r="BL50" s="1" t="n">
        <f aca="false">HV49</f>
        <v>0</v>
      </c>
      <c r="BM50" s="1" t="n">
        <f aca="false">BJ50*MIN(Slot5_Cost,BL50)</f>
        <v>0</v>
      </c>
      <c r="BN50" s="1" t="n">
        <f aca="false">BJ50*Slot5_SpendLike*MIN(Slot5_Cost-BM50,BF50)</f>
        <v>0</v>
      </c>
      <c r="BO50" s="1" t="n">
        <f aca="false">BM50+BN50</f>
        <v>0</v>
      </c>
      <c r="BP50" s="1" t="n">
        <f aca="false">BF50-BN50+BJ50*IF(Slot5_SpendLike=1,BL50-BM50,IF(Slot5_PotFree=1,BL50,0))</f>
        <v>0</v>
      </c>
      <c r="BQ50" s="1" t="n">
        <f aca="false">BG50+BJ50*Slot5_BufPot*BL50</f>
        <v>0</v>
      </c>
      <c r="BR50" s="1" t="n">
        <f aca="false">IF(AND(BJ50=1,Slot5_IsMfree=1),IF(BO50&gt;=Slot5_Cost-1,0,MAX(0,BH50-BO50)),BH50)</f>
        <v>0</v>
      </c>
      <c r="BS50" s="1" t="n">
        <f aca="false">BJ50*(Slot5_Cost-BO50)</f>
        <v>0</v>
      </c>
      <c r="BT50" s="1" t="n">
        <f aca="false">IF(AND(Slot6_On=1,D50=Slot6_Age),1,0)</f>
        <v>0</v>
      </c>
      <c r="BU50" s="1" t="n">
        <f aca="false">IF(AND(Slot6_On=1,Slot6_Age&gt;D50),1,0)</f>
        <v>0</v>
      </c>
      <c r="BV50" s="1" t="n">
        <f aca="false">HZ49</f>
        <v>0</v>
      </c>
      <c r="BW50" s="1" t="n">
        <f aca="false">BT50*MIN(Slot6_Cost,BV50)</f>
        <v>0</v>
      </c>
      <c r="BX50" s="1" t="n">
        <f aca="false">BT50*Slot6_SpendLike*MIN(Slot6_Cost-BW50,BP50)</f>
        <v>0</v>
      </c>
      <c r="BY50" s="1" t="n">
        <f aca="false">BW50+BX50</f>
        <v>0</v>
      </c>
      <c r="BZ50" s="1" t="n">
        <f aca="false">BP50-BX50+BT50*IF(Slot6_SpendLike=1,BV50-BW50,IF(Slot6_PotFree=1,BV50,0))</f>
        <v>0</v>
      </c>
      <c r="CA50" s="1" t="n">
        <f aca="false">BQ50+BT50*Slot6_BufPot*BV50</f>
        <v>0</v>
      </c>
      <c r="CB50" s="1" t="n">
        <f aca="false">IF(AND(BT50=1,Slot6_IsMfree=1),IF(BY50&gt;=Slot6_Cost-1,0,MAX(0,BR50-BY50)),BR50)</f>
        <v>0</v>
      </c>
      <c r="CC50" s="1" t="n">
        <f aca="false">BT50*(Slot6_Cost-BY50)</f>
        <v>0</v>
      </c>
      <c r="CD50" s="1" t="n">
        <f aca="false">IF(AND(Slot7_On=1,D50=Slot7_Age),1,0)</f>
        <v>0</v>
      </c>
      <c r="CE50" s="1" t="n">
        <f aca="false">IF(AND(Slot7_On=1,Slot7_Age&gt;D50),1,0)</f>
        <v>0</v>
      </c>
      <c r="CF50" s="1" t="n">
        <f aca="false">ID49</f>
        <v>0</v>
      </c>
      <c r="CG50" s="1" t="n">
        <f aca="false">CD50*MIN(Slot7_Cost,CF50)</f>
        <v>0</v>
      </c>
      <c r="CH50" s="1" t="n">
        <f aca="false">CD50*Slot7_SpendLike*MIN(Slot7_Cost-CG50,BZ50)</f>
        <v>0</v>
      </c>
      <c r="CI50" s="1" t="n">
        <f aca="false">CG50+CH50</f>
        <v>0</v>
      </c>
      <c r="CJ50" s="1" t="n">
        <f aca="false">BZ50-CH50+CD50*IF(Slot7_SpendLike=1,CF50-CG50,IF(Slot7_PotFree=1,CF50,0))</f>
        <v>0</v>
      </c>
      <c r="CK50" s="1" t="n">
        <f aca="false">CA50+CD50*Slot7_BufPot*CF50</f>
        <v>0</v>
      </c>
      <c r="CL50" s="1" t="n">
        <f aca="false">IF(AND(CD50=1,Slot7_IsMfree=1),IF(CI50&gt;=Slot7_Cost-1,0,MAX(0,CB50-CI50)),CB50)</f>
        <v>0</v>
      </c>
      <c r="CM50" s="1" t="n">
        <f aca="false">CD50*(Slot7_Cost-CI50)</f>
        <v>0</v>
      </c>
      <c r="CN50" s="1" t="n">
        <f aca="false">IF(AND(Slot8_On=1,D50=Slot8_Age),1,0)</f>
        <v>0</v>
      </c>
      <c r="CO50" s="1" t="n">
        <f aca="false">IF(AND(Slot8_On=1,Slot8_Age&gt;D50),1,0)</f>
        <v>0</v>
      </c>
      <c r="CP50" s="1" t="n">
        <f aca="false">IH49</f>
        <v>0</v>
      </c>
      <c r="CQ50" s="1" t="n">
        <f aca="false">CN50*MIN(Slot8_Cost,CP50)</f>
        <v>0</v>
      </c>
      <c r="CR50" s="1" t="n">
        <f aca="false">CN50*Slot8_SpendLike*MIN(Slot8_Cost-CQ50,CJ50)</f>
        <v>0</v>
      </c>
      <c r="CS50" s="1" t="n">
        <f aca="false">CQ50+CR50</f>
        <v>0</v>
      </c>
      <c r="CT50" s="1" t="n">
        <f aca="false">CJ50-CR50+CN50*IF(Slot8_SpendLike=1,CP50-CQ50,IF(Slot8_PotFree=1,CP50,0))</f>
        <v>0</v>
      </c>
      <c r="CU50" s="1" t="n">
        <f aca="false">CK50+CN50*Slot8_BufPot*CP50</f>
        <v>0</v>
      </c>
      <c r="CV50" s="1" t="n">
        <f aca="false">IF(AND(CN50=1,Slot8_IsMfree=1),IF(CS50&gt;=Slot8_Cost-1,0,MAX(0,CL50-CS50)),CL50)</f>
        <v>0</v>
      </c>
      <c r="CW50" s="1" t="n">
        <f aca="false">CN50*(Slot8_Cost-CS50)</f>
        <v>0</v>
      </c>
      <c r="CX50" s="1" t="n">
        <f aca="false">U50*Slot1_SpendLike*Z50+AF50*Slot2_SpendLike*AK50+AP50*Slot3_SpendLike*AU50+AZ50*Slot4_SpendLike*BE50+BJ50*Slot5_SpendLike*BO50+BT50*Slot6_SpendLike*BY50+CD50*Slot7_SpendLike*CI50+CN50*Slot8_SpendLike*CS50</f>
        <v>0</v>
      </c>
      <c r="CY50" s="1" t="n">
        <f aca="false">AD50+AO50+AY50+BI50+BS50+CC50+CM50+CW50</f>
        <v>0</v>
      </c>
      <c r="CZ50" s="1" t="n">
        <f aca="false">U50*Slot1_Cost+AF50*Slot2_Cost+AP50*Slot3_Cost+AZ50*Slot4_Cost+BJ50*Slot5_Cost+BT50*Slot6_Cost+CD50*Slot7_Cost+CN50*Slot8_Cost</f>
        <v>0</v>
      </c>
      <c r="DA50" s="1" t="n">
        <f aca="false">CV50</f>
        <v>0</v>
      </c>
      <c r="DB50" s="1" t="n">
        <f aca="false">G50-H50-R50</f>
        <v>0</v>
      </c>
      <c r="DC50" s="1" t="n">
        <f aca="false">IF(B50=0,IF(AND(Has_q6=1,In_q6=4),PR_ShareVaries*(MAX(0,DB50)/12),MIN(IF(Has_q6=1,CHOOSE(In_q6+1,PR_SaveB1,PR_SaveB2,PR_SaveB3,PR_SaveB4,0),AS_NoAnswer),AS_SaveShare*(MAX(0,DB50)/12))),DC49)</f>
        <v>0</v>
      </c>
      <c r="DD50" s="1" t="n">
        <f aca="false">IF(DB50&gt;=0,1,0)</f>
        <v>1</v>
      </c>
      <c r="DE50" s="1" t="n">
        <f aca="false">MAX(0,DB50/12/E50)</f>
        <v>0</v>
      </c>
      <c r="DF50" s="1" t="n">
        <f aca="false">IF(AND(Has_q6=1,In_q6=4),PR_ShareVaries*(DE50),MIN(IF(Has_q6=1,CHOOSE(In_q6+1,PR_SaveB1,PR_SaveB2,PR_SaveB3,PR_SaveB4,0),AS_NoAnswer),AS_SaveShare*(DE50)))</f>
        <v>0</v>
      </c>
      <c r="DG50" s="1" t="n">
        <f aca="false">IF(Has_saveM=1,IF(In_saveUp="Yes",1,IF(In_saveUp="No",0,IF(In_saveM&gt;=DC50-0.5,1,0))),0)</f>
        <v>0</v>
      </c>
      <c r="DH50" s="1" t="n">
        <f aca="false">IF(Has_saveM=1,MIN(DE50,IF(DG50=1,MAX(In_saveM,DF50),MIN(In_saveM,DF50))),DF50)</f>
        <v>0</v>
      </c>
      <c r="DI50" s="1" t="n">
        <f aca="false">IF(F50=1,DH50*12*E50,0)</f>
        <v>0</v>
      </c>
      <c r="DJ50" s="1" t="n">
        <f aca="false">MAX(0,DI50+IF(AND(WI_Retire=0,WI_M&lt;0,F50=1),WI_M*12*E50,0))</f>
        <v>0</v>
      </c>
      <c r="DK50" s="1" t="n">
        <f aca="false">Slot1_IsWG*V50+Slot2_IsWG*AG50+Slot3_IsWG*AQ50+Slot4_IsWG*BA50+Slot5_IsWG*BK50+Slot6_IsWG*BU50+Slot7_IsWG*CE50+Slot8_IsWG*CO50</f>
        <v>0</v>
      </c>
      <c r="DL50" s="1" t="n">
        <f aca="false">IF(AND(WI_Retire=0,WI_M&gt;0,F50=1,DK50&gt;=1),WI_M*12*E50,0)</f>
        <v>0</v>
      </c>
      <c r="DM50" s="1" t="n">
        <f aca="false">IF(DD50=1,MIN(DJ50,DB50),0)</f>
        <v>0</v>
      </c>
      <c r="DN50" s="1" t="n">
        <f aca="false">IF(DD50=1,MIN(DL50,DB50-DM50),0)</f>
        <v>0</v>
      </c>
      <c r="DO50" s="1" t="n">
        <f aca="false">IF(V50=1,IF(ABS((1+AS_Wage)/(1+Slot1_Rate)-1)&lt;0.000000000001,(Slot1_Age-D50)*(1+Slot1_Rate)^(Slot1_Age-D50),(1+Slot1_Rate)^(Slot1_Age-D50)*(1-((1+AS_Wage)/(1+Slot1_Rate))^(Slot1_Age-D50))/(1-(1+AS_Wage)/(1+Slot1_Rate))),1)</f>
        <v>1</v>
      </c>
      <c r="DP50" s="1" t="n">
        <f aca="false">IF(AND(DD50=1,DN50&gt;0,Slot1_IsWG=1,V50=1),MAX(0,(Slot1_Cost-W50*(1+Slot1_Rate)^(Slot1_Age-D50))/DO50),0)</f>
        <v>0</v>
      </c>
      <c r="DQ50" s="1" t="n">
        <f aca="false">IF(AND(DD50=1,DN50&gt;0,Slot1_IsWG=1,V50=1),MIN(DN50,DP50),0)</f>
        <v>0</v>
      </c>
      <c r="DR50" s="1" t="n">
        <f aca="false">W50+DQ50</f>
        <v>0</v>
      </c>
      <c r="DS50" s="1" t="n">
        <f aca="false">IF(V50=1,MAX(0,(Slot1_Cost-DR50*(1+Slot1_Rate)^(Slot1_Age-D50))/DO50),0)</f>
        <v>0</v>
      </c>
      <c r="DT50" s="1" t="n">
        <f aca="false">IF(V50=1,MAX(0,(Slot1_Cost-W50*(1+Slot1_Rate)^(Slot1_Age-D50))/DO50),0)</f>
        <v>0</v>
      </c>
      <c r="DU50" s="1" t="n">
        <f aca="false">IF(AND(DD50=1,V50=1),MIN(DM50,DS50),0)</f>
        <v>0</v>
      </c>
      <c r="DV50" s="1" t="n">
        <f aca="false">DM50-DU50</f>
        <v>0</v>
      </c>
      <c r="DW50" s="1" t="n">
        <f aca="false">IF(AG50=1,IF(ABS((1+AS_Wage)/(1+Slot2_Rate)-1)&lt;0.000000000001,(Slot2_Age-D50)*(1+Slot2_Rate)^(Slot2_Age-D50),(1+Slot2_Rate)^(Slot2_Age-D50)*(1-((1+AS_Wage)/(1+Slot2_Rate))^(Slot2_Age-D50))/(1-(1+AS_Wage)/(1+Slot2_Rate))),1)</f>
        <v>1</v>
      </c>
      <c r="DX50" s="1" t="n">
        <f aca="false">IF(AND(DD50=1,DN50&gt;0,Slot2_IsWG=1,AG50=1),MAX(0,(Slot2_Cost-AH50*(1+Slot2_Rate)^(Slot2_Age-D50))/DW50),0)</f>
        <v>0</v>
      </c>
      <c r="DY50" s="1" t="n">
        <f aca="false">IF(AND(DD50=1,DN50&gt;0,Slot2_IsWG=1,AG50=1),MIN(DN50,DX50),0)</f>
        <v>0</v>
      </c>
      <c r="DZ50" s="1" t="n">
        <f aca="false">AH50+DY50</f>
        <v>0</v>
      </c>
      <c r="EA50" s="1" t="n">
        <f aca="false">IF(AG50=1,MAX(0,(Slot2_Cost-DZ50*(1+Slot2_Rate)^(Slot2_Age-D50))/DW50),0)</f>
        <v>0</v>
      </c>
      <c r="EB50" s="1" t="n">
        <f aca="false">IF(AG50=1,MAX(0,(Slot2_Cost-AH50*(1+Slot2_Rate)^(Slot2_Age-D50))/DW50),0)</f>
        <v>0</v>
      </c>
      <c r="EC50" s="1" t="n">
        <f aca="false">IF(AND(DD50=1,AG50=1),MIN(DV50,EA50),0)</f>
        <v>0</v>
      </c>
      <c r="ED50" s="1" t="n">
        <f aca="false">DV50-EC50</f>
        <v>0</v>
      </c>
      <c r="EE50" s="1" t="n">
        <f aca="false">IF(AQ50=1,IF(ABS((1+AS_Wage)/(1+Slot3_Rate)-1)&lt;0.000000000001,(Slot3_Age-D50)*(1+Slot3_Rate)^(Slot3_Age-D50),(1+Slot3_Rate)^(Slot3_Age-D50)*(1-((1+AS_Wage)/(1+Slot3_Rate))^(Slot3_Age-D50))/(1-(1+AS_Wage)/(1+Slot3_Rate))),1)</f>
        <v>1</v>
      </c>
      <c r="EF50" s="1" t="n">
        <f aca="false">IF(AND(DD50=1,DN50&gt;0,Slot3_IsWG=1,AQ50=1),MAX(0,(Slot3_Cost-AR50*(1+Slot3_Rate)^(Slot3_Age-D50))/EE50),0)</f>
        <v>0</v>
      </c>
      <c r="EG50" s="1" t="n">
        <f aca="false">IF(AND(DD50=1,DN50&gt;0,Slot3_IsWG=1,AQ50=1),MIN(DN50,EF50),0)</f>
        <v>0</v>
      </c>
      <c r="EH50" s="1" t="n">
        <f aca="false">AR50+EG50</f>
        <v>0</v>
      </c>
      <c r="EI50" s="1" t="n">
        <f aca="false">IF(AQ50=1,MAX(0,(Slot3_Cost-EH50*(1+Slot3_Rate)^(Slot3_Age-D50))/EE50),0)</f>
        <v>0</v>
      </c>
      <c r="EJ50" s="1" t="n">
        <f aca="false">IF(AQ50=1,MAX(0,(Slot3_Cost-AR50*(1+Slot3_Rate)^(Slot3_Age-D50))/EE50),0)</f>
        <v>0</v>
      </c>
      <c r="EK50" s="1" t="n">
        <f aca="false">IF(AND(DD50=1,AQ50=1),MIN(ED50,EI50),0)</f>
        <v>0</v>
      </c>
      <c r="EL50" s="1" t="n">
        <f aca="false">ED50-EK50</f>
        <v>0</v>
      </c>
      <c r="EM50" s="1" t="n">
        <f aca="false">IF(BA50=1,IF(ABS((1+AS_Wage)/(1+Slot4_Rate)-1)&lt;0.000000000001,(Slot4_Age-D50)*(1+Slot4_Rate)^(Slot4_Age-D50),(1+Slot4_Rate)^(Slot4_Age-D50)*(1-((1+AS_Wage)/(1+Slot4_Rate))^(Slot4_Age-D50))/(1-(1+AS_Wage)/(1+Slot4_Rate))),1)</f>
        <v>1</v>
      </c>
      <c r="EN50" s="1" t="n">
        <f aca="false">IF(AND(DD50=1,DN50&gt;0,Slot4_IsWG=1,BA50=1),MAX(0,(Slot4_Cost-BB50*(1+Slot4_Rate)^(Slot4_Age-D50))/EM50),0)</f>
        <v>0</v>
      </c>
      <c r="EO50" s="1" t="n">
        <f aca="false">IF(AND(DD50=1,DN50&gt;0,Slot4_IsWG=1,BA50=1),MIN(DN50,EN50),0)</f>
        <v>0</v>
      </c>
      <c r="EP50" s="1" t="n">
        <f aca="false">BB50+EO50</f>
        <v>0</v>
      </c>
      <c r="EQ50" s="1" t="n">
        <f aca="false">IF(BA50=1,MAX(0,(Slot4_Cost-EP50*(1+Slot4_Rate)^(Slot4_Age-D50))/EM50),0)</f>
        <v>0</v>
      </c>
      <c r="ER50" s="1" t="n">
        <f aca="false">IF(BA50=1,MAX(0,(Slot4_Cost-BB50*(1+Slot4_Rate)^(Slot4_Age-D50))/EM50),0)</f>
        <v>0</v>
      </c>
      <c r="ES50" s="1" t="n">
        <f aca="false">IF(AND(DD50=1,BA50=1),MIN(EL50,EQ50),0)</f>
        <v>0</v>
      </c>
      <c r="ET50" s="1" t="n">
        <f aca="false">EL50-ES50</f>
        <v>0</v>
      </c>
      <c r="EU50" s="1" t="n">
        <f aca="false">IF(BK50=1,IF(ABS((1+AS_Wage)/(1+Slot5_Rate)-1)&lt;0.000000000001,(Slot5_Age-D50)*(1+Slot5_Rate)^(Slot5_Age-D50),(1+Slot5_Rate)^(Slot5_Age-D50)*(1-((1+AS_Wage)/(1+Slot5_Rate))^(Slot5_Age-D50))/(1-(1+AS_Wage)/(1+Slot5_Rate))),1)</f>
        <v>1</v>
      </c>
      <c r="EV50" s="1" t="n">
        <f aca="false">IF(AND(DD50=1,DN50&gt;0,Slot5_IsWG=1,BK50=1),MAX(0,(Slot5_Cost-BL50*(1+Slot5_Rate)^(Slot5_Age-D50))/EU50),0)</f>
        <v>0</v>
      </c>
      <c r="EW50" s="1" t="n">
        <f aca="false">IF(AND(DD50=1,DN50&gt;0,Slot5_IsWG=1,BK50=1),MIN(DN50,EV50),0)</f>
        <v>0</v>
      </c>
      <c r="EX50" s="1" t="n">
        <f aca="false">BL50+EW50</f>
        <v>0</v>
      </c>
      <c r="EY50" s="1" t="n">
        <f aca="false">IF(BK50=1,MAX(0,(Slot5_Cost-EX50*(1+Slot5_Rate)^(Slot5_Age-D50))/EU50),0)</f>
        <v>0</v>
      </c>
      <c r="EZ50" s="1" t="n">
        <f aca="false">IF(BK50=1,MAX(0,(Slot5_Cost-BL50*(1+Slot5_Rate)^(Slot5_Age-D50))/EU50),0)</f>
        <v>0</v>
      </c>
      <c r="FA50" s="1" t="n">
        <f aca="false">IF(AND(DD50=1,BK50=1),MIN(ET50,EY50),0)</f>
        <v>0</v>
      </c>
      <c r="FB50" s="1" t="n">
        <f aca="false">ET50-FA50</f>
        <v>0</v>
      </c>
      <c r="FC50" s="1" t="n">
        <f aca="false">IF(BU50=1,IF(ABS((1+AS_Wage)/(1+Slot6_Rate)-1)&lt;0.000000000001,(Slot6_Age-D50)*(1+Slot6_Rate)^(Slot6_Age-D50),(1+Slot6_Rate)^(Slot6_Age-D50)*(1-((1+AS_Wage)/(1+Slot6_Rate))^(Slot6_Age-D50))/(1-(1+AS_Wage)/(1+Slot6_Rate))),1)</f>
        <v>1</v>
      </c>
      <c r="FD50" s="1" t="n">
        <f aca="false">IF(AND(DD50=1,DN50&gt;0,Slot6_IsWG=1,BU50=1),MAX(0,(Slot6_Cost-BV50*(1+Slot6_Rate)^(Slot6_Age-D50))/FC50),0)</f>
        <v>0</v>
      </c>
      <c r="FE50" s="1" t="n">
        <f aca="false">IF(AND(DD50=1,DN50&gt;0,Slot6_IsWG=1,BU50=1),MIN(DN50,FD50),0)</f>
        <v>0</v>
      </c>
      <c r="FF50" s="1" t="n">
        <f aca="false">BV50+FE50</f>
        <v>0</v>
      </c>
      <c r="FG50" s="1" t="n">
        <f aca="false">IF(BU50=1,MAX(0,(Slot6_Cost-FF50*(1+Slot6_Rate)^(Slot6_Age-D50))/FC50),0)</f>
        <v>0</v>
      </c>
      <c r="FH50" s="1" t="n">
        <f aca="false">IF(BU50=1,MAX(0,(Slot6_Cost-BV50*(1+Slot6_Rate)^(Slot6_Age-D50))/FC50),0)</f>
        <v>0</v>
      </c>
      <c r="FI50" s="1" t="n">
        <f aca="false">IF(AND(DD50=1,BU50=1),MIN(FB50,FG50),0)</f>
        <v>0</v>
      </c>
      <c r="FJ50" s="1" t="n">
        <f aca="false">FB50-FI50</f>
        <v>0</v>
      </c>
      <c r="FK50" s="1" t="n">
        <f aca="false">IF(CE50=1,IF(ABS((1+AS_Wage)/(1+Slot7_Rate)-1)&lt;0.000000000001,(Slot7_Age-D50)*(1+Slot7_Rate)^(Slot7_Age-D50),(1+Slot7_Rate)^(Slot7_Age-D50)*(1-((1+AS_Wage)/(1+Slot7_Rate))^(Slot7_Age-D50))/(1-(1+AS_Wage)/(1+Slot7_Rate))),1)</f>
        <v>1</v>
      </c>
      <c r="FL50" s="1" t="n">
        <f aca="false">IF(AND(DD50=1,DN50&gt;0,Slot7_IsWG=1,CE50=1),MAX(0,(Slot7_Cost-CF50*(1+Slot7_Rate)^(Slot7_Age-D50))/FK50),0)</f>
        <v>0</v>
      </c>
      <c r="FM50" s="1" t="n">
        <f aca="false">IF(AND(DD50=1,DN50&gt;0,Slot7_IsWG=1,CE50=1),MIN(DN50,FL50),0)</f>
        <v>0</v>
      </c>
      <c r="FN50" s="1" t="n">
        <f aca="false">CF50+FM50</f>
        <v>0</v>
      </c>
      <c r="FO50" s="1" t="n">
        <f aca="false">IF(CE50=1,MAX(0,(Slot7_Cost-FN50*(1+Slot7_Rate)^(Slot7_Age-D50))/FK50),0)</f>
        <v>0</v>
      </c>
      <c r="FP50" s="1" t="n">
        <f aca="false">IF(CE50=1,MAX(0,(Slot7_Cost-CF50*(1+Slot7_Rate)^(Slot7_Age-D50))/FK50),0)</f>
        <v>0</v>
      </c>
      <c r="FQ50" s="1" t="n">
        <f aca="false">IF(AND(DD50=1,CE50=1),MIN(FJ50,FO50),0)</f>
        <v>0</v>
      </c>
      <c r="FR50" s="1" t="n">
        <f aca="false">FJ50-FQ50</f>
        <v>0</v>
      </c>
      <c r="FS50" s="1" t="n">
        <f aca="false">IF(CO50=1,IF(ABS((1+AS_Wage)/(1+Slot8_Rate)-1)&lt;0.000000000001,(Slot8_Age-D50)*(1+Slot8_Rate)^(Slot8_Age-D50),(1+Slot8_Rate)^(Slot8_Age-D50)*(1-((1+AS_Wage)/(1+Slot8_Rate))^(Slot8_Age-D50))/(1-(1+AS_Wage)/(1+Slot8_Rate))),1)</f>
        <v>1</v>
      </c>
      <c r="FT50" s="1" t="n">
        <f aca="false">IF(AND(DD50=1,DN50&gt;0,Slot8_IsWG=1,CO50=1),MAX(0,(Slot8_Cost-CP50*(1+Slot8_Rate)^(Slot8_Age-D50))/FS50),0)</f>
        <v>0</v>
      </c>
      <c r="FU50" s="1" t="n">
        <f aca="false">IF(AND(DD50=1,DN50&gt;0,Slot8_IsWG=1,CO50=1),MIN(DN50,FT50),0)</f>
        <v>0</v>
      </c>
      <c r="FV50" s="1" t="n">
        <f aca="false">CP50+FU50</f>
        <v>0</v>
      </c>
      <c r="FW50" s="1" t="n">
        <f aca="false">IF(CO50=1,MAX(0,(Slot8_Cost-FV50*(1+Slot8_Rate)^(Slot8_Age-D50))/FS50),0)</f>
        <v>0</v>
      </c>
      <c r="FX50" s="1" t="n">
        <f aca="false">IF(CO50=1,MAX(0,(Slot8_Cost-CP50*(1+Slot8_Rate)^(Slot8_Age-D50))/FS50),0)</f>
        <v>0</v>
      </c>
      <c r="FY50" s="1" t="n">
        <f aca="false">IF(AND(DD50=1,CO50=1),MIN(FR50,FW50),0)</f>
        <v>0</v>
      </c>
      <c r="FZ50" s="1" t="n">
        <f aca="false">FR50-FY50</f>
        <v>0</v>
      </c>
      <c r="GA50" s="1" t="n">
        <f aca="false">DN50-(DQ50+DY50+EG50+EO50+EW50+FE50+FM50+FU50)</f>
        <v>0</v>
      </c>
      <c r="GB50" s="1" t="n">
        <f aca="false">IF(DD50=1,DB50-DM50-DN50,0)</f>
        <v>0</v>
      </c>
      <c r="GC50" s="1" t="n">
        <f aca="false">IF(DD50=0,-DB50,0)</f>
        <v>0</v>
      </c>
      <c r="GD50" s="1" t="n">
        <f aca="false">MIN(GC50,CT50)</f>
        <v>0</v>
      </c>
      <c r="GE50" s="1" t="n">
        <f aca="false">GC50-GD50</f>
        <v>0</v>
      </c>
      <c r="GF50" s="1" t="n">
        <f aca="false">MIN(GE50,CU50)</f>
        <v>0</v>
      </c>
      <c r="GG50" s="1" t="n">
        <f aca="false">GE50-GF50</f>
        <v>0</v>
      </c>
      <c r="GH50" s="1" t="n">
        <f aca="false">IF(AND(DD50=0,CO50=1,GG50&gt;0),MIN(GG50,CP50),0)</f>
        <v>0</v>
      </c>
      <c r="GI50" s="1" t="n">
        <f aca="false">GG50-GH50</f>
        <v>0</v>
      </c>
      <c r="GJ50" s="1" t="n">
        <f aca="false">IF(AND(DD50=0,CE50=1,GI50&gt;0),MIN(GI50,CF50),0)</f>
        <v>0</v>
      </c>
      <c r="GK50" s="1" t="n">
        <f aca="false">GI50-GJ50</f>
        <v>0</v>
      </c>
      <c r="GL50" s="1" t="n">
        <f aca="false">IF(AND(DD50=0,BU50=1,GK50&gt;0),MIN(GK50,BV50),0)</f>
        <v>0</v>
      </c>
      <c r="GM50" s="1" t="n">
        <f aca="false">GK50-GL50</f>
        <v>0</v>
      </c>
      <c r="GN50" s="1" t="n">
        <f aca="false">IF(AND(DD50=0,BK50=1,GM50&gt;0),MIN(GM50,BL50),0)</f>
        <v>0</v>
      </c>
      <c r="GO50" s="1" t="n">
        <f aca="false">GM50-GN50</f>
        <v>0</v>
      </c>
      <c r="GP50" s="1" t="n">
        <f aca="false">IF(AND(DD50=0,BA50=1,GO50&gt;0),MIN(GO50,BB50),0)</f>
        <v>0</v>
      </c>
      <c r="GQ50" s="1" t="n">
        <f aca="false">GO50-GP50</f>
        <v>0</v>
      </c>
      <c r="GR50" s="1" t="n">
        <f aca="false">IF(AND(DD50=0,AQ50=1,GQ50&gt;0),MIN(GQ50,AR50),0)</f>
        <v>0</v>
      </c>
      <c r="GS50" s="1" t="n">
        <f aca="false">GQ50-GR50</f>
        <v>0</v>
      </c>
      <c r="GT50" s="1" t="n">
        <f aca="false">IF(AND(DD50=0,AG50=1,GS50&gt;0),MIN(GS50,AH50),0)</f>
        <v>0</v>
      </c>
      <c r="GU50" s="1" t="n">
        <f aca="false">GS50-GT50</f>
        <v>0</v>
      </c>
      <c r="GV50" s="1" t="n">
        <f aca="false">IF(AND(DD50=0,V50=1,GU50&gt;0),MIN(GU50,W50),0)</f>
        <v>0</v>
      </c>
      <c r="GW50" s="1" t="n">
        <f aca="false">GU50-GV50</f>
        <v>0</v>
      </c>
      <c r="GX50" s="1" t="n">
        <f aca="false">IF(DD50=0,GW50,0)</f>
        <v>0</v>
      </c>
      <c r="GY50" s="1" t="n">
        <f aca="false">GD50+GF50+GV50+GT50+GR50+GP50+GN50+GL50+GJ50+GH50</f>
        <v>0</v>
      </c>
      <c r="GZ50" s="1" t="n">
        <f aca="false">IF(DD50=1,CT50+GA50+FZ50+IF(F50=1,0,GB50),CT50-GD50)</f>
        <v>0</v>
      </c>
      <c r="HA50" s="1" t="n">
        <f aca="false">CU50-GF50</f>
        <v>0</v>
      </c>
      <c r="HB50" s="1" t="n">
        <f aca="false">IF(DD50=1,IF(F50=1,DM50+DN50,DB50),0)</f>
        <v>0</v>
      </c>
      <c r="HC50" s="1" t="n">
        <f aca="false">IF(DD50=1,IF(F50=1,DB50-DM50-DN50,0),0)</f>
        <v>0</v>
      </c>
      <c r="HD50" s="1" t="n">
        <f aca="false">GZ50*(1+GR)</f>
        <v>0</v>
      </c>
      <c r="HE50" s="1" t="n">
        <f aca="false">HA50*(1+AS_Cash)</f>
        <v>0</v>
      </c>
      <c r="HF50" s="1" t="n">
        <f aca="false">IF(V50=1,IF(DD50=1,DR50+DU50,W50-GV50)*(1+Slot1_Rate),0)</f>
        <v>0</v>
      </c>
      <c r="HG50" s="1" t="n">
        <f aca="false">IF(AND(DD50=1,V50=1),(DQ50+DU50)/E50,0)</f>
        <v>0</v>
      </c>
      <c r="HH50" s="1" t="n">
        <f aca="false">IF(B50=0,DQ50+DU50,0)</f>
        <v>0</v>
      </c>
      <c r="HI50" s="1" t="n">
        <f aca="false">IF(B50=0,IF(DD50=1,DS50,DT50),0)</f>
        <v>0</v>
      </c>
      <c r="HJ50" s="1" t="n">
        <f aca="false">IF(AG50=1,IF(DD50=1,DZ50+EC50,AH50-GT50)*(1+Slot2_Rate),0)</f>
        <v>0</v>
      </c>
      <c r="HK50" s="1" t="n">
        <f aca="false">IF(AND(DD50=1,AG50=1),(DY50+EC50)/E50,0)</f>
        <v>0</v>
      </c>
      <c r="HL50" s="1" t="n">
        <f aca="false">IF(B50=0,DY50+EC50,0)</f>
        <v>0</v>
      </c>
      <c r="HM50" s="1" t="n">
        <f aca="false">IF(B50=0,IF(DD50=1,EA50,EB50),0)</f>
        <v>0</v>
      </c>
      <c r="HN50" s="1" t="n">
        <f aca="false">IF(AQ50=1,IF(DD50=1,EH50+EK50,AR50-GR50)*(1+Slot3_Rate),0)</f>
        <v>0</v>
      </c>
      <c r="HO50" s="1" t="n">
        <f aca="false">IF(AND(DD50=1,AQ50=1),(EG50+EK50)/E50,0)</f>
        <v>0</v>
      </c>
      <c r="HP50" s="1" t="n">
        <f aca="false">IF(B50=0,EG50+EK50,0)</f>
        <v>0</v>
      </c>
      <c r="HQ50" s="1" t="n">
        <f aca="false">IF(B50=0,IF(DD50=1,EI50,EJ50),0)</f>
        <v>0</v>
      </c>
      <c r="HR50" s="1" t="n">
        <f aca="false">IF(BA50=1,IF(DD50=1,EP50+ES50,BB50-GP50)*(1+Slot4_Rate),0)</f>
        <v>0</v>
      </c>
      <c r="HS50" s="1" t="n">
        <f aca="false">IF(AND(DD50=1,BA50=1),(EO50+ES50)/E50,0)</f>
        <v>0</v>
      </c>
      <c r="HT50" s="1" t="n">
        <f aca="false">IF(B50=0,EO50+ES50,0)</f>
        <v>0</v>
      </c>
      <c r="HU50" s="1" t="n">
        <f aca="false">IF(B50=0,IF(DD50=1,EQ50,ER50),0)</f>
        <v>0</v>
      </c>
      <c r="HV50" s="1" t="n">
        <f aca="false">IF(BK50=1,IF(DD50=1,EX50+FA50,BL50-GN50)*(1+Slot5_Rate),0)</f>
        <v>0</v>
      </c>
      <c r="HW50" s="1" t="n">
        <f aca="false">IF(AND(DD50=1,BK50=1),(EW50+FA50)/E50,0)</f>
        <v>0</v>
      </c>
      <c r="HX50" s="1" t="n">
        <f aca="false">IF(B50=0,EW50+FA50,0)</f>
        <v>0</v>
      </c>
      <c r="HY50" s="1" t="n">
        <f aca="false">IF(B50=0,IF(DD50=1,EY50,EZ50),0)</f>
        <v>0</v>
      </c>
      <c r="HZ50" s="1" t="n">
        <f aca="false">IF(BU50=1,IF(DD50=1,FF50+FI50,BV50-GL50)*(1+Slot6_Rate),0)</f>
        <v>0</v>
      </c>
      <c r="IA50" s="1" t="n">
        <f aca="false">IF(AND(DD50=1,BU50=1),(FE50+FI50)/E50,0)</f>
        <v>0</v>
      </c>
      <c r="IB50" s="1" t="n">
        <f aca="false">IF(B50=0,FE50+FI50,0)</f>
        <v>0</v>
      </c>
      <c r="IC50" s="1" t="n">
        <f aca="false">IF(B50=0,IF(DD50=1,FG50,FH50),0)</f>
        <v>0</v>
      </c>
      <c r="ID50" s="1" t="n">
        <f aca="false">IF(CE50=1,IF(DD50=1,FN50+FQ50,CF50-GJ50)*(1+Slot7_Rate),0)</f>
        <v>0</v>
      </c>
      <c r="IE50" s="1" t="n">
        <f aca="false">IF(AND(DD50=1,CE50=1),(FM50+FQ50)/E50,0)</f>
        <v>0</v>
      </c>
      <c r="IF50" s="1" t="n">
        <f aca="false">IF(B50=0,FM50+FQ50,0)</f>
        <v>0</v>
      </c>
      <c r="IG50" s="1" t="n">
        <f aca="false">IF(B50=0,IF(DD50=1,FO50,FP50),0)</f>
        <v>0</v>
      </c>
      <c r="IH50" s="1" t="n">
        <f aca="false">IF(CO50=1,IF(DD50=1,FV50+FY50,CP50-GH50)*(1+Slot8_Rate),0)</f>
        <v>0</v>
      </c>
      <c r="II50" s="1" t="n">
        <f aca="false">IF(AND(DD50=1,CO50=1),(FU50+FY50)/E50,0)</f>
        <v>0</v>
      </c>
      <c r="IJ50" s="1" t="n">
        <f aca="false">IF(B50=0,FU50+FY50,0)</f>
        <v>0</v>
      </c>
      <c r="IK50" s="1" t="n">
        <f aca="false">IF(B50=0,IF(DD50=1,FW50,FX50),0)</f>
        <v>0</v>
      </c>
      <c r="IL50" s="1" t="n">
        <f aca="false">HD50+HE50+HF50+HJ50+HN50+HR50+HV50+HZ50+ID50+IH50</f>
        <v>0</v>
      </c>
      <c r="IM50" s="1" t="n">
        <f aca="false">GX50+CY50</f>
        <v>0</v>
      </c>
      <c r="IN50" s="1" t="n">
        <f aca="false">H50+R50</f>
        <v>0</v>
      </c>
      <c r="IO50" s="1" t="n">
        <f aca="false">1-F50</f>
        <v>1</v>
      </c>
      <c r="IP50" s="1" t="n">
        <f aca="false">IF(AND(RG_Exists=1,F50=0,C50=1),H50,0)</f>
        <v>0</v>
      </c>
      <c r="IQ50" s="1" t="n">
        <f aca="false">IF(AND(RG_Exists=1,F50=0,C50=1),H50-MIN(GX50,H50),0)</f>
        <v>0</v>
      </c>
      <c r="IR50" s="1" t="n">
        <f aca="false">'Plan pay &amp; tax'!AD252</f>
        <v>0</v>
      </c>
      <c r="IS50" s="1" t="n">
        <f aca="false">IF(AND(C50=1,GX50&gt;MAX(PR_Short1,IN50*PR_Short2)),1,0)</f>
        <v>0</v>
      </c>
      <c r="IT50" s="1" t="n">
        <f aca="false">MIN(G50,H50+R50)</f>
        <v>0</v>
      </c>
      <c r="IU50" s="1" t="n">
        <f aca="false">GY50+MAX(0,CZ50-CY50)</f>
        <v>0</v>
      </c>
      <c r="IV50" s="1" t="n">
        <f aca="false">GX50+CY50</f>
        <v>0</v>
      </c>
      <c r="IW50" s="1" t="n">
        <f aca="false">IF(AND(C50=1,IV50&gt;0.5),1,0)</f>
        <v>0</v>
      </c>
      <c r="IX50" s="1" t="n">
        <f aca="false">IF(AND(C50=1,IW50=0,IU50&gt;0.5),1,0)</f>
        <v>0</v>
      </c>
      <c r="IY50" s="1" t="n">
        <f aca="false">IF(AND(C50=1,GX50&gt;0.5),1,0)</f>
        <v>0</v>
      </c>
      <c r="IZ50" s="1" t="n">
        <f aca="false">IF(AND(C50=1,GY50&gt;1,JF50=0),1,0)</f>
        <v>0</v>
      </c>
      <c r="JA50" s="1" t="n">
        <f aca="false">IF(AND(INT(D50/10)*10=90,B50&gt;0),80,INT(D50/10)*10)</f>
        <v>40</v>
      </c>
      <c r="JB50" s="1" t="n">
        <f aca="false">IF(B50=0,1,IF(JA50&lt;&gt;JA49,JB49+1,JB49))</f>
        <v>5</v>
      </c>
      <c r="JC50" s="1" t="n">
        <f aca="false">IF(AND(C50=1,F50=1,GX50&gt;MAX(PR_Short1,IN50*PR_Short2)),1,0)</f>
        <v>0</v>
      </c>
      <c r="JD50" s="1" t="n">
        <f aca="false">IO50*IS50</f>
        <v>0</v>
      </c>
      <c r="JE50" s="1" t="n">
        <f aca="false">IF(AND(U50=1,Slot1_PctLow=1),1,0)+IF(AND(AF50=1,Slot2_PctLow=1),1,0)+IF(AND(AP50=1,Slot3_PctLow=1),1,0)+IF(AND(AZ50=1,Slot4_PctLow=1),1,0)+IF(AND(BJ50=1,Slot5_PctLow=1),1,0)+IF(AND(BT50=1,Slot6_PctLow=1),1,0)+IF(AND(CD50=1,Slot7_PctLow=1),1,0)+IF(AND(CN50=1,Slot8_PctLow=1),1,0)</f>
        <v>0</v>
      </c>
      <c r="JF50" s="1" t="n">
        <f aca="false">IF(C50=1,IF(OR(IS50=1,JE50&gt;0),1,0),0)</f>
        <v>0</v>
      </c>
    </row>
    <row r="51" customFormat="false" ht="15" hidden="false" customHeight="false" outlineLevel="0" collapsed="false">
      <c r="B51" s="1" t="n">
        <v>43</v>
      </c>
      <c r="C51" s="1" t="n">
        <f aca="false">IF(B51&lt;=F_N,1,0)</f>
        <v>1</v>
      </c>
      <c r="D51" s="1" t="n">
        <f aca="false">'Plan pay &amp; tax'!C253</f>
        <v>43</v>
      </c>
      <c r="E51" s="106" t="n">
        <f aca="false">'Plan pay &amp; tax'!E253</f>
        <v>2.34318935534539</v>
      </c>
      <c r="F51" s="1" t="n">
        <f aca="false">'Plan pay &amp; tax'!G253</f>
        <v>0</v>
      </c>
      <c r="G51" s="1" t="n">
        <f aca="false">'Plan pay &amp; tax'!BT253-'Plan pay &amp; tax'!BS253-'Plan pay &amp; tax'!R253</f>
        <v>0</v>
      </c>
      <c r="H51" s="1" t="n">
        <f aca="false">IF(F51=1,F_CostsM*12,IF(RG_Exists=1,RG_Amount,F_CostsM*12*AS_RetireSpend))*E51+F_OneOffY*E51</f>
        <v>0</v>
      </c>
      <c r="I51" s="1" t="n">
        <f aca="false">DA50</f>
        <v>0</v>
      </c>
      <c r="J51" s="1" t="n">
        <f aca="false">IF(I51&gt;1,'Plan debt months'!AC51,0)</f>
        <v>0</v>
      </c>
      <c r="K51" s="1" t="n">
        <f aca="false">IF(I51&gt;1,'Plan debt months'!AB51,I51)</f>
        <v>0</v>
      </c>
      <c r="L51" s="1" t="n">
        <f aca="false">N50</f>
        <v>0</v>
      </c>
      <c r="M51" s="1" t="n">
        <f aca="false">IF(L51&gt;1,'Plan debt months'!BD51,0)</f>
        <v>0</v>
      </c>
      <c r="N51" s="1" t="n">
        <f aca="false">IF(L51&gt;1,'Plan debt months'!BC51,L51)</f>
        <v>0</v>
      </c>
      <c r="O51" s="1" t="n">
        <f aca="false">Q50</f>
        <v>0</v>
      </c>
      <c r="P51" s="1" t="n">
        <f aca="false">IF(O51&gt;1,'Plan debt months'!CE51,0)</f>
        <v>0</v>
      </c>
      <c r="Q51" s="1" t="n">
        <f aca="false">IF(O51&gt;1,'Plan debt months'!CD51,O51)</f>
        <v>0</v>
      </c>
      <c r="R51" s="1" t="n">
        <f aca="false">J51+M51+P51</f>
        <v>0</v>
      </c>
      <c r="S51" s="1" t="n">
        <f aca="false">HD50+'Plan pay &amp; tax'!Y253</f>
        <v>0</v>
      </c>
      <c r="T51" s="1" t="n">
        <f aca="false">HD50</f>
        <v>0</v>
      </c>
      <c r="U51" s="1" t="n">
        <f aca="false">IF(AND(Slot1_On=1,D51=Slot1_Age),1,0)</f>
        <v>0</v>
      </c>
      <c r="V51" s="1" t="n">
        <f aca="false">IF(AND(Slot1_On=1,Slot1_Age&gt;D51),1,0)</f>
        <v>0</v>
      </c>
      <c r="W51" s="1" t="n">
        <f aca="false">HF50</f>
        <v>0</v>
      </c>
      <c r="X51" s="1" t="n">
        <f aca="false">U51*MIN(Slot1_Cost,W51)</f>
        <v>0</v>
      </c>
      <c r="Y51" s="1" t="n">
        <f aca="false">U51*Slot1_SpendLike*MIN(Slot1_Cost-X51,S51)</f>
        <v>0</v>
      </c>
      <c r="Z51" s="1" t="n">
        <f aca="false">X51+Y51</f>
        <v>0</v>
      </c>
      <c r="AA51" s="1" t="n">
        <f aca="false">S51-Y51+U51*IF(Slot1_SpendLike=1,W51-X51,IF(Slot1_PotFree=1,W51,0))</f>
        <v>0</v>
      </c>
      <c r="AB51" s="1" t="n">
        <f aca="false">AE51+U51*Slot1_BufPot*W51</f>
        <v>0</v>
      </c>
      <c r="AC51" s="1" t="n">
        <f aca="false">IF(AND(U51=1,Slot1_IsMfree=1),IF(Z51&gt;=Slot1_Cost-1,0,MAX(0,K51-Z51)),K51)</f>
        <v>0</v>
      </c>
      <c r="AD51" s="1" t="n">
        <f aca="false">U51*(Slot1_Cost-Z51)</f>
        <v>0</v>
      </c>
      <c r="AE51" s="1" t="n">
        <f aca="false">HE50</f>
        <v>0</v>
      </c>
      <c r="AF51" s="1" t="n">
        <f aca="false">IF(AND(Slot2_On=1,D51=Slot2_Age),1,0)</f>
        <v>0</v>
      </c>
      <c r="AG51" s="1" t="n">
        <f aca="false">IF(AND(Slot2_On=1,Slot2_Age&gt;D51),1,0)</f>
        <v>0</v>
      </c>
      <c r="AH51" s="1" t="n">
        <f aca="false">HJ50</f>
        <v>0</v>
      </c>
      <c r="AI51" s="1" t="n">
        <f aca="false">AF51*MIN(Slot2_Cost,AH51)</f>
        <v>0</v>
      </c>
      <c r="AJ51" s="1" t="n">
        <f aca="false">AF51*Slot2_SpendLike*MIN(Slot2_Cost-AI51,AA51)</f>
        <v>0</v>
      </c>
      <c r="AK51" s="1" t="n">
        <f aca="false">AI51+AJ51</f>
        <v>0</v>
      </c>
      <c r="AL51" s="1" t="n">
        <f aca="false">AA51-AJ51+AF51*IF(Slot2_SpendLike=1,AH51-AI51,IF(Slot2_PotFree=1,AH51,0))</f>
        <v>0</v>
      </c>
      <c r="AM51" s="1" t="n">
        <f aca="false">AB51+AF51*Slot2_BufPot*AH51</f>
        <v>0</v>
      </c>
      <c r="AN51" s="1" t="n">
        <f aca="false">IF(AND(AF51=1,Slot2_IsMfree=1),IF(AK51&gt;=Slot2_Cost-1,0,MAX(0,AC51-AK51)),AC51)</f>
        <v>0</v>
      </c>
      <c r="AO51" s="1" t="n">
        <f aca="false">AF51*(Slot2_Cost-AK51)</f>
        <v>0</v>
      </c>
      <c r="AP51" s="1" t="n">
        <f aca="false">IF(AND(Slot3_On=1,D51=Slot3_Age),1,0)</f>
        <v>0</v>
      </c>
      <c r="AQ51" s="1" t="n">
        <f aca="false">IF(AND(Slot3_On=1,Slot3_Age&gt;D51),1,0)</f>
        <v>0</v>
      </c>
      <c r="AR51" s="1" t="n">
        <f aca="false">HN50</f>
        <v>0</v>
      </c>
      <c r="AS51" s="1" t="n">
        <f aca="false">AP51*MIN(Slot3_Cost,AR51)</f>
        <v>0</v>
      </c>
      <c r="AT51" s="1" t="n">
        <f aca="false">AP51*Slot3_SpendLike*MIN(Slot3_Cost-AS51,AL51)</f>
        <v>0</v>
      </c>
      <c r="AU51" s="1" t="n">
        <f aca="false">AS51+AT51</f>
        <v>0</v>
      </c>
      <c r="AV51" s="1" t="n">
        <f aca="false">AL51-AT51+AP51*IF(Slot3_SpendLike=1,AR51-AS51,IF(Slot3_PotFree=1,AR51,0))</f>
        <v>0</v>
      </c>
      <c r="AW51" s="1" t="n">
        <f aca="false">AM51+AP51*Slot3_BufPot*AR51</f>
        <v>0</v>
      </c>
      <c r="AX51" s="1" t="n">
        <f aca="false">IF(AND(AP51=1,Slot3_IsMfree=1),IF(AU51&gt;=Slot3_Cost-1,0,MAX(0,AN51-AU51)),AN51)</f>
        <v>0</v>
      </c>
      <c r="AY51" s="1" t="n">
        <f aca="false">AP51*(Slot3_Cost-AU51)</f>
        <v>0</v>
      </c>
      <c r="AZ51" s="1" t="n">
        <f aca="false">IF(AND(Slot4_On=1,D51=Slot4_Age),1,0)</f>
        <v>0</v>
      </c>
      <c r="BA51" s="1" t="n">
        <f aca="false">IF(AND(Slot4_On=1,Slot4_Age&gt;D51),1,0)</f>
        <v>0</v>
      </c>
      <c r="BB51" s="1" t="n">
        <f aca="false">HR50</f>
        <v>0</v>
      </c>
      <c r="BC51" s="1" t="n">
        <f aca="false">AZ51*MIN(Slot4_Cost,BB51)</f>
        <v>0</v>
      </c>
      <c r="BD51" s="1" t="n">
        <f aca="false">AZ51*Slot4_SpendLike*MIN(Slot4_Cost-BC51,AV51)</f>
        <v>0</v>
      </c>
      <c r="BE51" s="1" t="n">
        <f aca="false">BC51+BD51</f>
        <v>0</v>
      </c>
      <c r="BF51" s="1" t="n">
        <f aca="false">AV51-BD51+AZ51*IF(Slot4_SpendLike=1,BB51-BC51,IF(Slot4_PotFree=1,BB51,0))</f>
        <v>0</v>
      </c>
      <c r="BG51" s="1" t="n">
        <f aca="false">AW51+AZ51*Slot4_BufPot*BB51</f>
        <v>0</v>
      </c>
      <c r="BH51" s="1" t="n">
        <f aca="false">IF(AND(AZ51=1,Slot4_IsMfree=1),IF(BE51&gt;=Slot4_Cost-1,0,MAX(0,AX51-BE51)),AX51)</f>
        <v>0</v>
      </c>
      <c r="BI51" s="1" t="n">
        <f aca="false">AZ51*(Slot4_Cost-BE51)</f>
        <v>0</v>
      </c>
      <c r="BJ51" s="1" t="n">
        <f aca="false">IF(AND(Slot5_On=1,D51=Slot5_Age),1,0)</f>
        <v>0</v>
      </c>
      <c r="BK51" s="1" t="n">
        <f aca="false">IF(AND(Slot5_On=1,Slot5_Age&gt;D51),1,0)</f>
        <v>0</v>
      </c>
      <c r="BL51" s="1" t="n">
        <f aca="false">HV50</f>
        <v>0</v>
      </c>
      <c r="BM51" s="1" t="n">
        <f aca="false">BJ51*MIN(Slot5_Cost,BL51)</f>
        <v>0</v>
      </c>
      <c r="BN51" s="1" t="n">
        <f aca="false">BJ51*Slot5_SpendLike*MIN(Slot5_Cost-BM51,BF51)</f>
        <v>0</v>
      </c>
      <c r="BO51" s="1" t="n">
        <f aca="false">BM51+BN51</f>
        <v>0</v>
      </c>
      <c r="BP51" s="1" t="n">
        <f aca="false">BF51-BN51+BJ51*IF(Slot5_SpendLike=1,BL51-BM51,IF(Slot5_PotFree=1,BL51,0))</f>
        <v>0</v>
      </c>
      <c r="BQ51" s="1" t="n">
        <f aca="false">BG51+BJ51*Slot5_BufPot*BL51</f>
        <v>0</v>
      </c>
      <c r="BR51" s="1" t="n">
        <f aca="false">IF(AND(BJ51=1,Slot5_IsMfree=1),IF(BO51&gt;=Slot5_Cost-1,0,MAX(0,BH51-BO51)),BH51)</f>
        <v>0</v>
      </c>
      <c r="BS51" s="1" t="n">
        <f aca="false">BJ51*(Slot5_Cost-BO51)</f>
        <v>0</v>
      </c>
      <c r="BT51" s="1" t="n">
        <f aca="false">IF(AND(Slot6_On=1,D51=Slot6_Age),1,0)</f>
        <v>0</v>
      </c>
      <c r="BU51" s="1" t="n">
        <f aca="false">IF(AND(Slot6_On=1,Slot6_Age&gt;D51),1,0)</f>
        <v>0</v>
      </c>
      <c r="BV51" s="1" t="n">
        <f aca="false">HZ50</f>
        <v>0</v>
      </c>
      <c r="BW51" s="1" t="n">
        <f aca="false">BT51*MIN(Slot6_Cost,BV51)</f>
        <v>0</v>
      </c>
      <c r="BX51" s="1" t="n">
        <f aca="false">BT51*Slot6_SpendLike*MIN(Slot6_Cost-BW51,BP51)</f>
        <v>0</v>
      </c>
      <c r="BY51" s="1" t="n">
        <f aca="false">BW51+BX51</f>
        <v>0</v>
      </c>
      <c r="BZ51" s="1" t="n">
        <f aca="false">BP51-BX51+BT51*IF(Slot6_SpendLike=1,BV51-BW51,IF(Slot6_PotFree=1,BV51,0))</f>
        <v>0</v>
      </c>
      <c r="CA51" s="1" t="n">
        <f aca="false">BQ51+BT51*Slot6_BufPot*BV51</f>
        <v>0</v>
      </c>
      <c r="CB51" s="1" t="n">
        <f aca="false">IF(AND(BT51=1,Slot6_IsMfree=1),IF(BY51&gt;=Slot6_Cost-1,0,MAX(0,BR51-BY51)),BR51)</f>
        <v>0</v>
      </c>
      <c r="CC51" s="1" t="n">
        <f aca="false">BT51*(Slot6_Cost-BY51)</f>
        <v>0</v>
      </c>
      <c r="CD51" s="1" t="n">
        <f aca="false">IF(AND(Slot7_On=1,D51=Slot7_Age),1,0)</f>
        <v>0</v>
      </c>
      <c r="CE51" s="1" t="n">
        <f aca="false">IF(AND(Slot7_On=1,Slot7_Age&gt;D51),1,0)</f>
        <v>0</v>
      </c>
      <c r="CF51" s="1" t="n">
        <f aca="false">ID50</f>
        <v>0</v>
      </c>
      <c r="CG51" s="1" t="n">
        <f aca="false">CD51*MIN(Slot7_Cost,CF51)</f>
        <v>0</v>
      </c>
      <c r="CH51" s="1" t="n">
        <f aca="false">CD51*Slot7_SpendLike*MIN(Slot7_Cost-CG51,BZ51)</f>
        <v>0</v>
      </c>
      <c r="CI51" s="1" t="n">
        <f aca="false">CG51+CH51</f>
        <v>0</v>
      </c>
      <c r="CJ51" s="1" t="n">
        <f aca="false">BZ51-CH51+CD51*IF(Slot7_SpendLike=1,CF51-CG51,IF(Slot7_PotFree=1,CF51,0))</f>
        <v>0</v>
      </c>
      <c r="CK51" s="1" t="n">
        <f aca="false">CA51+CD51*Slot7_BufPot*CF51</f>
        <v>0</v>
      </c>
      <c r="CL51" s="1" t="n">
        <f aca="false">IF(AND(CD51=1,Slot7_IsMfree=1),IF(CI51&gt;=Slot7_Cost-1,0,MAX(0,CB51-CI51)),CB51)</f>
        <v>0</v>
      </c>
      <c r="CM51" s="1" t="n">
        <f aca="false">CD51*(Slot7_Cost-CI51)</f>
        <v>0</v>
      </c>
      <c r="CN51" s="1" t="n">
        <f aca="false">IF(AND(Slot8_On=1,D51=Slot8_Age),1,0)</f>
        <v>0</v>
      </c>
      <c r="CO51" s="1" t="n">
        <f aca="false">IF(AND(Slot8_On=1,Slot8_Age&gt;D51),1,0)</f>
        <v>0</v>
      </c>
      <c r="CP51" s="1" t="n">
        <f aca="false">IH50</f>
        <v>0</v>
      </c>
      <c r="CQ51" s="1" t="n">
        <f aca="false">CN51*MIN(Slot8_Cost,CP51)</f>
        <v>0</v>
      </c>
      <c r="CR51" s="1" t="n">
        <f aca="false">CN51*Slot8_SpendLike*MIN(Slot8_Cost-CQ51,CJ51)</f>
        <v>0</v>
      </c>
      <c r="CS51" s="1" t="n">
        <f aca="false">CQ51+CR51</f>
        <v>0</v>
      </c>
      <c r="CT51" s="1" t="n">
        <f aca="false">CJ51-CR51+CN51*IF(Slot8_SpendLike=1,CP51-CQ51,IF(Slot8_PotFree=1,CP51,0))</f>
        <v>0</v>
      </c>
      <c r="CU51" s="1" t="n">
        <f aca="false">CK51+CN51*Slot8_BufPot*CP51</f>
        <v>0</v>
      </c>
      <c r="CV51" s="1" t="n">
        <f aca="false">IF(AND(CN51=1,Slot8_IsMfree=1),IF(CS51&gt;=Slot8_Cost-1,0,MAX(0,CL51-CS51)),CL51)</f>
        <v>0</v>
      </c>
      <c r="CW51" s="1" t="n">
        <f aca="false">CN51*(Slot8_Cost-CS51)</f>
        <v>0</v>
      </c>
      <c r="CX51" s="1" t="n">
        <f aca="false">U51*Slot1_SpendLike*Z51+AF51*Slot2_SpendLike*AK51+AP51*Slot3_SpendLike*AU51+AZ51*Slot4_SpendLike*BE51+BJ51*Slot5_SpendLike*BO51+BT51*Slot6_SpendLike*BY51+CD51*Slot7_SpendLike*CI51+CN51*Slot8_SpendLike*CS51</f>
        <v>0</v>
      </c>
      <c r="CY51" s="1" t="n">
        <f aca="false">AD51+AO51+AY51+BI51+BS51+CC51+CM51+CW51</f>
        <v>0</v>
      </c>
      <c r="CZ51" s="1" t="n">
        <f aca="false">U51*Slot1_Cost+AF51*Slot2_Cost+AP51*Slot3_Cost+AZ51*Slot4_Cost+BJ51*Slot5_Cost+BT51*Slot6_Cost+CD51*Slot7_Cost+CN51*Slot8_Cost</f>
        <v>0</v>
      </c>
      <c r="DA51" s="1" t="n">
        <f aca="false">CV51</f>
        <v>0</v>
      </c>
      <c r="DB51" s="1" t="n">
        <f aca="false">G51-H51-R51</f>
        <v>0</v>
      </c>
      <c r="DC51" s="1" t="n">
        <f aca="false">IF(B51=0,IF(AND(Has_q6=1,In_q6=4),PR_ShareVaries*(MAX(0,DB51)/12),MIN(IF(Has_q6=1,CHOOSE(In_q6+1,PR_SaveB1,PR_SaveB2,PR_SaveB3,PR_SaveB4,0),AS_NoAnswer),AS_SaveShare*(MAX(0,DB51)/12))),DC50)</f>
        <v>0</v>
      </c>
      <c r="DD51" s="1" t="n">
        <f aca="false">IF(DB51&gt;=0,1,0)</f>
        <v>1</v>
      </c>
      <c r="DE51" s="1" t="n">
        <f aca="false">MAX(0,DB51/12/E51)</f>
        <v>0</v>
      </c>
      <c r="DF51" s="1" t="n">
        <f aca="false">IF(AND(Has_q6=1,In_q6=4),PR_ShareVaries*(DE51),MIN(IF(Has_q6=1,CHOOSE(In_q6+1,PR_SaveB1,PR_SaveB2,PR_SaveB3,PR_SaveB4,0),AS_NoAnswer),AS_SaveShare*(DE51)))</f>
        <v>0</v>
      </c>
      <c r="DG51" s="1" t="n">
        <f aca="false">IF(Has_saveM=1,IF(In_saveUp="Yes",1,IF(In_saveUp="No",0,IF(In_saveM&gt;=DC51-0.5,1,0))),0)</f>
        <v>0</v>
      </c>
      <c r="DH51" s="1" t="n">
        <f aca="false">IF(Has_saveM=1,MIN(DE51,IF(DG51=1,MAX(In_saveM,DF51),MIN(In_saveM,DF51))),DF51)</f>
        <v>0</v>
      </c>
      <c r="DI51" s="1" t="n">
        <f aca="false">IF(F51=1,DH51*12*E51,0)</f>
        <v>0</v>
      </c>
      <c r="DJ51" s="1" t="n">
        <f aca="false">MAX(0,DI51+IF(AND(WI_Retire=0,WI_M&lt;0,F51=1),WI_M*12*E51,0))</f>
        <v>0</v>
      </c>
      <c r="DK51" s="1" t="n">
        <f aca="false">Slot1_IsWG*V51+Slot2_IsWG*AG51+Slot3_IsWG*AQ51+Slot4_IsWG*BA51+Slot5_IsWG*BK51+Slot6_IsWG*BU51+Slot7_IsWG*CE51+Slot8_IsWG*CO51</f>
        <v>0</v>
      </c>
      <c r="DL51" s="1" t="n">
        <f aca="false">IF(AND(WI_Retire=0,WI_M&gt;0,F51=1,DK51&gt;=1),WI_M*12*E51,0)</f>
        <v>0</v>
      </c>
      <c r="DM51" s="1" t="n">
        <f aca="false">IF(DD51=1,MIN(DJ51,DB51),0)</f>
        <v>0</v>
      </c>
      <c r="DN51" s="1" t="n">
        <f aca="false">IF(DD51=1,MIN(DL51,DB51-DM51),0)</f>
        <v>0</v>
      </c>
      <c r="DO51" s="1" t="n">
        <f aca="false">IF(V51=1,IF(ABS((1+AS_Wage)/(1+Slot1_Rate)-1)&lt;0.000000000001,(Slot1_Age-D51)*(1+Slot1_Rate)^(Slot1_Age-D51),(1+Slot1_Rate)^(Slot1_Age-D51)*(1-((1+AS_Wage)/(1+Slot1_Rate))^(Slot1_Age-D51))/(1-(1+AS_Wage)/(1+Slot1_Rate))),1)</f>
        <v>1</v>
      </c>
      <c r="DP51" s="1" t="n">
        <f aca="false">IF(AND(DD51=1,DN51&gt;0,Slot1_IsWG=1,V51=1),MAX(0,(Slot1_Cost-W51*(1+Slot1_Rate)^(Slot1_Age-D51))/DO51),0)</f>
        <v>0</v>
      </c>
      <c r="DQ51" s="1" t="n">
        <f aca="false">IF(AND(DD51=1,DN51&gt;0,Slot1_IsWG=1,V51=1),MIN(DN51,DP51),0)</f>
        <v>0</v>
      </c>
      <c r="DR51" s="1" t="n">
        <f aca="false">W51+DQ51</f>
        <v>0</v>
      </c>
      <c r="DS51" s="1" t="n">
        <f aca="false">IF(V51=1,MAX(0,(Slot1_Cost-DR51*(1+Slot1_Rate)^(Slot1_Age-D51))/DO51),0)</f>
        <v>0</v>
      </c>
      <c r="DT51" s="1" t="n">
        <f aca="false">IF(V51=1,MAX(0,(Slot1_Cost-W51*(1+Slot1_Rate)^(Slot1_Age-D51))/DO51),0)</f>
        <v>0</v>
      </c>
      <c r="DU51" s="1" t="n">
        <f aca="false">IF(AND(DD51=1,V51=1),MIN(DM51,DS51),0)</f>
        <v>0</v>
      </c>
      <c r="DV51" s="1" t="n">
        <f aca="false">DM51-DU51</f>
        <v>0</v>
      </c>
      <c r="DW51" s="1" t="n">
        <f aca="false">IF(AG51=1,IF(ABS((1+AS_Wage)/(1+Slot2_Rate)-1)&lt;0.000000000001,(Slot2_Age-D51)*(1+Slot2_Rate)^(Slot2_Age-D51),(1+Slot2_Rate)^(Slot2_Age-D51)*(1-((1+AS_Wage)/(1+Slot2_Rate))^(Slot2_Age-D51))/(1-(1+AS_Wage)/(1+Slot2_Rate))),1)</f>
        <v>1</v>
      </c>
      <c r="DX51" s="1" t="n">
        <f aca="false">IF(AND(DD51=1,DN51&gt;0,Slot2_IsWG=1,AG51=1),MAX(0,(Slot2_Cost-AH51*(1+Slot2_Rate)^(Slot2_Age-D51))/DW51),0)</f>
        <v>0</v>
      </c>
      <c r="DY51" s="1" t="n">
        <f aca="false">IF(AND(DD51=1,DN51&gt;0,Slot2_IsWG=1,AG51=1),MIN(DN51,DX51),0)</f>
        <v>0</v>
      </c>
      <c r="DZ51" s="1" t="n">
        <f aca="false">AH51+DY51</f>
        <v>0</v>
      </c>
      <c r="EA51" s="1" t="n">
        <f aca="false">IF(AG51=1,MAX(0,(Slot2_Cost-DZ51*(1+Slot2_Rate)^(Slot2_Age-D51))/DW51),0)</f>
        <v>0</v>
      </c>
      <c r="EB51" s="1" t="n">
        <f aca="false">IF(AG51=1,MAX(0,(Slot2_Cost-AH51*(1+Slot2_Rate)^(Slot2_Age-D51))/DW51),0)</f>
        <v>0</v>
      </c>
      <c r="EC51" s="1" t="n">
        <f aca="false">IF(AND(DD51=1,AG51=1),MIN(DV51,EA51),0)</f>
        <v>0</v>
      </c>
      <c r="ED51" s="1" t="n">
        <f aca="false">DV51-EC51</f>
        <v>0</v>
      </c>
      <c r="EE51" s="1" t="n">
        <f aca="false">IF(AQ51=1,IF(ABS((1+AS_Wage)/(1+Slot3_Rate)-1)&lt;0.000000000001,(Slot3_Age-D51)*(1+Slot3_Rate)^(Slot3_Age-D51),(1+Slot3_Rate)^(Slot3_Age-D51)*(1-((1+AS_Wage)/(1+Slot3_Rate))^(Slot3_Age-D51))/(1-(1+AS_Wage)/(1+Slot3_Rate))),1)</f>
        <v>1</v>
      </c>
      <c r="EF51" s="1" t="n">
        <f aca="false">IF(AND(DD51=1,DN51&gt;0,Slot3_IsWG=1,AQ51=1),MAX(0,(Slot3_Cost-AR51*(1+Slot3_Rate)^(Slot3_Age-D51))/EE51),0)</f>
        <v>0</v>
      </c>
      <c r="EG51" s="1" t="n">
        <f aca="false">IF(AND(DD51=1,DN51&gt;0,Slot3_IsWG=1,AQ51=1),MIN(DN51,EF51),0)</f>
        <v>0</v>
      </c>
      <c r="EH51" s="1" t="n">
        <f aca="false">AR51+EG51</f>
        <v>0</v>
      </c>
      <c r="EI51" s="1" t="n">
        <f aca="false">IF(AQ51=1,MAX(0,(Slot3_Cost-EH51*(1+Slot3_Rate)^(Slot3_Age-D51))/EE51),0)</f>
        <v>0</v>
      </c>
      <c r="EJ51" s="1" t="n">
        <f aca="false">IF(AQ51=1,MAX(0,(Slot3_Cost-AR51*(1+Slot3_Rate)^(Slot3_Age-D51))/EE51),0)</f>
        <v>0</v>
      </c>
      <c r="EK51" s="1" t="n">
        <f aca="false">IF(AND(DD51=1,AQ51=1),MIN(ED51,EI51),0)</f>
        <v>0</v>
      </c>
      <c r="EL51" s="1" t="n">
        <f aca="false">ED51-EK51</f>
        <v>0</v>
      </c>
      <c r="EM51" s="1" t="n">
        <f aca="false">IF(BA51=1,IF(ABS((1+AS_Wage)/(1+Slot4_Rate)-1)&lt;0.000000000001,(Slot4_Age-D51)*(1+Slot4_Rate)^(Slot4_Age-D51),(1+Slot4_Rate)^(Slot4_Age-D51)*(1-((1+AS_Wage)/(1+Slot4_Rate))^(Slot4_Age-D51))/(1-(1+AS_Wage)/(1+Slot4_Rate))),1)</f>
        <v>1</v>
      </c>
      <c r="EN51" s="1" t="n">
        <f aca="false">IF(AND(DD51=1,DN51&gt;0,Slot4_IsWG=1,BA51=1),MAX(0,(Slot4_Cost-BB51*(1+Slot4_Rate)^(Slot4_Age-D51))/EM51),0)</f>
        <v>0</v>
      </c>
      <c r="EO51" s="1" t="n">
        <f aca="false">IF(AND(DD51=1,DN51&gt;0,Slot4_IsWG=1,BA51=1),MIN(DN51,EN51),0)</f>
        <v>0</v>
      </c>
      <c r="EP51" s="1" t="n">
        <f aca="false">BB51+EO51</f>
        <v>0</v>
      </c>
      <c r="EQ51" s="1" t="n">
        <f aca="false">IF(BA51=1,MAX(0,(Slot4_Cost-EP51*(1+Slot4_Rate)^(Slot4_Age-D51))/EM51),0)</f>
        <v>0</v>
      </c>
      <c r="ER51" s="1" t="n">
        <f aca="false">IF(BA51=1,MAX(0,(Slot4_Cost-BB51*(1+Slot4_Rate)^(Slot4_Age-D51))/EM51),0)</f>
        <v>0</v>
      </c>
      <c r="ES51" s="1" t="n">
        <f aca="false">IF(AND(DD51=1,BA51=1),MIN(EL51,EQ51),0)</f>
        <v>0</v>
      </c>
      <c r="ET51" s="1" t="n">
        <f aca="false">EL51-ES51</f>
        <v>0</v>
      </c>
      <c r="EU51" s="1" t="n">
        <f aca="false">IF(BK51=1,IF(ABS((1+AS_Wage)/(1+Slot5_Rate)-1)&lt;0.000000000001,(Slot5_Age-D51)*(1+Slot5_Rate)^(Slot5_Age-D51),(1+Slot5_Rate)^(Slot5_Age-D51)*(1-((1+AS_Wage)/(1+Slot5_Rate))^(Slot5_Age-D51))/(1-(1+AS_Wage)/(1+Slot5_Rate))),1)</f>
        <v>1</v>
      </c>
      <c r="EV51" s="1" t="n">
        <f aca="false">IF(AND(DD51=1,DN51&gt;0,Slot5_IsWG=1,BK51=1),MAX(0,(Slot5_Cost-BL51*(1+Slot5_Rate)^(Slot5_Age-D51))/EU51),0)</f>
        <v>0</v>
      </c>
      <c r="EW51" s="1" t="n">
        <f aca="false">IF(AND(DD51=1,DN51&gt;0,Slot5_IsWG=1,BK51=1),MIN(DN51,EV51),0)</f>
        <v>0</v>
      </c>
      <c r="EX51" s="1" t="n">
        <f aca="false">BL51+EW51</f>
        <v>0</v>
      </c>
      <c r="EY51" s="1" t="n">
        <f aca="false">IF(BK51=1,MAX(0,(Slot5_Cost-EX51*(1+Slot5_Rate)^(Slot5_Age-D51))/EU51),0)</f>
        <v>0</v>
      </c>
      <c r="EZ51" s="1" t="n">
        <f aca="false">IF(BK51=1,MAX(0,(Slot5_Cost-BL51*(1+Slot5_Rate)^(Slot5_Age-D51))/EU51),0)</f>
        <v>0</v>
      </c>
      <c r="FA51" s="1" t="n">
        <f aca="false">IF(AND(DD51=1,BK51=1),MIN(ET51,EY51),0)</f>
        <v>0</v>
      </c>
      <c r="FB51" s="1" t="n">
        <f aca="false">ET51-FA51</f>
        <v>0</v>
      </c>
      <c r="FC51" s="1" t="n">
        <f aca="false">IF(BU51=1,IF(ABS((1+AS_Wage)/(1+Slot6_Rate)-1)&lt;0.000000000001,(Slot6_Age-D51)*(1+Slot6_Rate)^(Slot6_Age-D51),(1+Slot6_Rate)^(Slot6_Age-D51)*(1-((1+AS_Wage)/(1+Slot6_Rate))^(Slot6_Age-D51))/(1-(1+AS_Wage)/(1+Slot6_Rate))),1)</f>
        <v>1</v>
      </c>
      <c r="FD51" s="1" t="n">
        <f aca="false">IF(AND(DD51=1,DN51&gt;0,Slot6_IsWG=1,BU51=1),MAX(0,(Slot6_Cost-BV51*(1+Slot6_Rate)^(Slot6_Age-D51))/FC51),0)</f>
        <v>0</v>
      </c>
      <c r="FE51" s="1" t="n">
        <f aca="false">IF(AND(DD51=1,DN51&gt;0,Slot6_IsWG=1,BU51=1),MIN(DN51,FD51),0)</f>
        <v>0</v>
      </c>
      <c r="FF51" s="1" t="n">
        <f aca="false">BV51+FE51</f>
        <v>0</v>
      </c>
      <c r="FG51" s="1" t="n">
        <f aca="false">IF(BU51=1,MAX(0,(Slot6_Cost-FF51*(1+Slot6_Rate)^(Slot6_Age-D51))/FC51),0)</f>
        <v>0</v>
      </c>
      <c r="FH51" s="1" t="n">
        <f aca="false">IF(BU51=1,MAX(0,(Slot6_Cost-BV51*(1+Slot6_Rate)^(Slot6_Age-D51))/FC51),0)</f>
        <v>0</v>
      </c>
      <c r="FI51" s="1" t="n">
        <f aca="false">IF(AND(DD51=1,BU51=1),MIN(FB51,FG51),0)</f>
        <v>0</v>
      </c>
      <c r="FJ51" s="1" t="n">
        <f aca="false">FB51-FI51</f>
        <v>0</v>
      </c>
      <c r="FK51" s="1" t="n">
        <f aca="false">IF(CE51=1,IF(ABS((1+AS_Wage)/(1+Slot7_Rate)-1)&lt;0.000000000001,(Slot7_Age-D51)*(1+Slot7_Rate)^(Slot7_Age-D51),(1+Slot7_Rate)^(Slot7_Age-D51)*(1-((1+AS_Wage)/(1+Slot7_Rate))^(Slot7_Age-D51))/(1-(1+AS_Wage)/(1+Slot7_Rate))),1)</f>
        <v>1</v>
      </c>
      <c r="FL51" s="1" t="n">
        <f aca="false">IF(AND(DD51=1,DN51&gt;0,Slot7_IsWG=1,CE51=1),MAX(0,(Slot7_Cost-CF51*(1+Slot7_Rate)^(Slot7_Age-D51))/FK51),0)</f>
        <v>0</v>
      </c>
      <c r="FM51" s="1" t="n">
        <f aca="false">IF(AND(DD51=1,DN51&gt;0,Slot7_IsWG=1,CE51=1),MIN(DN51,FL51),0)</f>
        <v>0</v>
      </c>
      <c r="FN51" s="1" t="n">
        <f aca="false">CF51+FM51</f>
        <v>0</v>
      </c>
      <c r="FO51" s="1" t="n">
        <f aca="false">IF(CE51=1,MAX(0,(Slot7_Cost-FN51*(1+Slot7_Rate)^(Slot7_Age-D51))/FK51),0)</f>
        <v>0</v>
      </c>
      <c r="FP51" s="1" t="n">
        <f aca="false">IF(CE51=1,MAX(0,(Slot7_Cost-CF51*(1+Slot7_Rate)^(Slot7_Age-D51))/FK51),0)</f>
        <v>0</v>
      </c>
      <c r="FQ51" s="1" t="n">
        <f aca="false">IF(AND(DD51=1,CE51=1),MIN(FJ51,FO51),0)</f>
        <v>0</v>
      </c>
      <c r="FR51" s="1" t="n">
        <f aca="false">FJ51-FQ51</f>
        <v>0</v>
      </c>
      <c r="FS51" s="1" t="n">
        <f aca="false">IF(CO51=1,IF(ABS((1+AS_Wage)/(1+Slot8_Rate)-1)&lt;0.000000000001,(Slot8_Age-D51)*(1+Slot8_Rate)^(Slot8_Age-D51),(1+Slot8_Rate)^(Slot8_Age-D51)*(1-((1+AS_Wage)/(1+Slot8_Rate))^(Slot8_Age-D51))/(1-(1+AS_Wage)/(1+Slot8_Rate))),1)</f>
        <v>1</v>
      </c>
      <c r="FT51" s="1" t="n">
        <f aca="false">IF(AND(DD51=1,DN51&gt;0,Slot8_IsWG=1,CO51=1),MAX(0,(Slot8_Cost-CP51*(1+Slot8_Rate)^(Slot8_Age-D51))/FS51),0)</f>
        <v>0</v>
      </c>
      <c r="FU51" s="1" t="n">
        <f aca="false">IF(AND(DD51=1,DN51&gt;0,Slot8_IsWG=1,CO51=1),MIN(DN51,FT51),0)</f>
        <v>0</v>
      </c>
      <c r="FV51" s="1" t="n">
        <f aca="false">CP51+FU51</f>
        <v>0</v>
      </c>
      <c r="FW51" s="1" t="n">
        <f aca="false">IF(CO51=1,MAX(0,(Slot8_Cost-FV51*(1+Slot8_Rate)^(Slot8_Age-D51))/FS51),0)</f>
        <v>0</v>
      </c>
      <c r="FX51" s="1" t="n">
        <f aca="false">IF(CO51=1,MAX(0,(Slot8_Cost-CP51*(1+Slot8_Rate)^(Slot8_Age-D51))/FS51),0)</f>
        <v>0</v>
      </c>
      <c r="FY51" s="1" t="n">
        <f aca="false">IF(AND(DD51=1,CO51=1),MIN(FR51,FW51),0)</f>
        <v>0</v>
      </c>
      <c r="FZ51" s="1" t="n">
        <f aca="false">FR51-FY51</f>
        <v>0</v>
      </c>
      <c r="GA51" s="1" t="n">
        <f aca="false">DN51-(DQ51+DY51+EG51+EO51+EW51+FE51+FM51+FU51)</f>
        <v>0</v>
      </c>
      <c r="GB51" s="1" t="n">
        <f aca="false">IF(DD51=1,DB51-DM51-DN51,0)</f>
        <v>0</v>
      </c>
      <c r="GC51" s="1" t="n">
        <f aca="false">IF(DD51=0,-DB51,0)</f>
        <v>0</v>
      </c>
      <c r="GD51" s="1" t="n">
        <f aca="false">MIN(GC51,CT51)</f>
        <v>0</v>
      </c>
      <c r="GE51" s="1" t="n">
        <f aca="false">GC51-GD51</f>
        <v>0</v>
      </c>
      <c r="GF51" s="1" t="n">
        <f aca="false">MIN(GE51,CU51)</f>
        <v>0</v>
      </c>
      <c r="GG51" s="1" t="n">
        <f aca="false">GE51-GF51</f>
        <v>0</v>
      </c>
      <c r="GH51" s="1" t="n">
        <f aca="false">IF(AND(DD51=0,CO51=1,GG51&gt;0),MIN(GG51,CP51),0)</f>
        <v>0</v>
      </c>
      <c r="GI51" s="1" t="n">
        <f aca="false">GG51-GH51</f>
        <v>0</v>
      </c>
      <c r="GJ51" s="1" t="n">
        <f aca="false">IF(AND(DD51=0,CE51=1,GI51&gt;0),MIN(GI51,CF51),0)</f>
        <v>0</v>
      </c>
      <c r="GK51" s="1" t="n">
        <f aca="false">GI51-GJ51</f>
        <v>0</v>
      </c>
      <c r="GL51" s="1" t="n">
        <f aca="false">IF(AND(DD51=0,BU51=1,GK51&gt;0),MIN(GK51,BV51),0)</f>
        <v>0</v>
      </c>
      <c r="GM51" s="1" t="n">
        <f aca="false">GK51-GL51</f>
        <v>0</v>
      </c>
      <c r="GN51" s="1" t="n">
        <f aca="false">IF(AND(DD51=0,BK51=1,GM51&gt;0),MIN(GM51,BL51),0)</f>
        <v>0</v>
      </c>
      <c r="GO51" s="1" t="n">
        <f aca="false">GM51-GN51</f>
        <v>0</v>
      </c>
      <c r="GP51" s="1" t="n">
        <f aca="false">IF(AND(DD51=0,BA51=1,GO51&gt;0),MIN(GO51,BB51),0)</f>
        <v>0</v>
      </c>
      <c r="GQ51" s="1" t="n">
        <f aca="false">GO51-GP51</f>
        <v>0</v>
      </c>
      <c r="GR51" s="1" t="n">
        <f aca="false">IF(AND(DD51=0,AQ51=1,GQ51&gt;0),MIN(GQ51,AR51),0)</f>
        <v>0</v>
      </c>
      <c r="GS51" s="1" t="n">
        <f aca="false">GQ51-GR51</f>
        <v>0</v>
      </c>
      <c r="GT51" s="1" t="n">
        <f aca="false">IF(AND(DD51=0,AG51=1,GS51&gt;0),MIN(GS51,AH51),0)</f>
        <v>0</v>
      </c>
      <c r="GU51" s="1" t="n">
        <f aca="false">GS51-GT51</f>
        <v>0</v>
      </c>
      <c r="GV51" s="1" t="n">
        <f aca="false">IF(AND(DD51=0,V51=1,GU51&gt;0),MIN(GU51,W51),0)</f>
        <v>0</v>
      </c>
      <c r="GW51" s="1" t="n">
        <f aca="false">GU51-GV51</f>
        <v>0</v>
      </c>
      <c r="GX51" s="1" t="n">
        <f aca="false">IF(DD51=0,GW51,0)</f>
        <v>0</v>
      </c>
      <c r="GY51" s="1" t="n">
        <f aca="false">GD51+GF51+GV51+GT51+GR51+GP51+GN51+GL51+GJ51+GH51</f>
        <v>0</v>
      </c>
      <c r="GZ51" s="1" t="n">
        <f aca="false">IF(DD51=1,CT51+GA51+FZ51+IF(F51=1,0,GB51),CT51-GD51)</f>
        <v>0</v>
      </c>
      <c r="HA51" s="1" t="n">
        <f aca="false">CU51-GF51</f>
        <v>0</v>
      </c>
      <c r="HB51" s="1" t="n">
        <f aca="false">IF(DD51=1,IF(F51=1,DM51+DN51,DB51),0)</f>
        <v>0</v>
      </c>
      <c r="HC51" s="1" t="n">
        <f aca="false">IF(DD51=1,IF(F51=1,DB51-DM51-DN51,0),0)</f>
        <v>0</v>
      </c>
      <c r="HD51" s="1" t="n">
        <f aca="false">GZ51*(1+GR)</f>
        <v>0</v>
      </c>
      <c r="HE51" s="1" t="n">
        <f aca="false">HA51*(1+AS_Cash)</f>
        <v>0</v>
      </c>
      <c r="HF51" s="1" t="n">
        <f aca="false">IF(V51=1,IF(DD51=1,DR51+DU51,W51-GV51)*(1+Slot1_Rate),0)</f>
        <v>0</v>
      </c>
      <c r="HG51" s="1" t="n">
        <f aca="false">IF(AND(DD51=1,V51=1),(DQ51+DU51)/E51,0)</f>
        <v>0</v>
      </c>
      <c r="HH51" s="1" t="n">
        <f aca="false">IF(B51=0,DQ51+DU51,0)</f>
        <v>0</v>
      </c>
      <c r="HI51" s="1" t="n">
        <f aca="false">IF(B51=0,IF(DD51=1,DS51,DT51),0)</f>
        <v>0</v>
      </c>
      <c r="HJ51" s="1" t="n">
        <f aca="false">IF(AG51=1,IF(DD51=1,DZ51+EC51,AH51-GT51)*(1+Slot2_Rate),0)</f>
        <v>0</v>
      </c>
      <c r="HK51" s="1" t="n">
        <f aca="false">IF(AND(DD51=1,AG51=1),(DY51+EC51)/E51,0)</f>
        <v>0</v>
      </c>
      <c r="HL51" s="1" t="n">
        <f aca="false">IF(B51=0,DY51+EC51,0)</f>
        <v>0</v>
      </c>
      <c r="HM51" s="1" t="n">
        <f aca="false">IF(B51=0,IF(DD51=1,EA51,EB51),0)</f>
        <v>0</v>
      </c>
      <c r="HN51" s="1" t="n">
        <f aca="false">IF(AQ51=1,IF(DD51=1,EH51+EK51,AR51-GR51)*(1+Slot3_Rate),0)</f>
        <v>0</v>
      </c>
      <c r="HO51" s="1" t="n">
        <f aca="false">IF(AND(DD51=1,AQ51=1),(EG51+EK51)/E51,0)</f>
        <v>0</v>
      </c>
      <c r="HP51" s="1" t="n">
        <f aca="false">IF(B51=0,EG51+EK51,0)</f>
        <v>0</v>
      </c>
      <c r="HQ51" s="1" t="n">
        <f aca="false">IF(B51=0,IF(DD51=1,EI51,EJ51),0)</f>
        <v>0</v>
      </c>
      <c r="HR51" s="1" t="n">
        <f aca="false">IF(BA51=1,IF(DD51=1,EP51+ES51,BB51-GP51)*(1+Slot4_Rate),0)</f>
        <v>0</v>
      </c>
      <c r="HS51" s="1" t="n">
        <f aca="false">IF(AND(DD51=1,BA51=1),(EO51+ES51)/E51,0)</f>
        <v>0</v>
      </c>
      <c r="HT51" s="1" t="n">
        <f aca="false">IF(B51=0,EO51+ES51,0)</f>
        <v>0</v>
      </c>
      <c r="HU51" s="1" t="n">
        <f aca="false">IF(B51=0,IF(DD51=1,EQ51,ER51),0)</f>
        <v>0</v>
      </c>
      <c r="HV51" s="1" t="n">
        <f aca="false">IF(BK51=1,IF(DD51=1,EX51+FA51,BL51-GN51)*(1+Slot5_Rate),0)</f>
        <v>0</v>
      </c>
      <c r="HW51" s="1" t="n">
        <f aca="false">IF(AND(DD51=1,BK51=1),(EW51+FA51)/E51,0)</f>
        <v>0</v>
      </c>
      <c r="HX51" s="1" t="n">
        <f aca="false">IF(B51=0,EW51+FA51,0)</f>
        <v>0</v>
      </c>
      <c r="HY51" s="1" t="n">
        <f aca="false">IF(B51=0,IF(DD51=1,EY51,EZ51),0)</f>
        <v>0</v>
      </c>
      <c r="HZ51" s="1" t="n">
        <f aca="false">IF(BU51=1,IF(DD51=1,FF51+FI51,BV51-GL51)*(1+Slot6_Rate),0)</f>
        <v>0</v>
      </c>
      <c r="IA51" s="1" t="n">
        <f aca="false">IF(AND(DD51=1,BU51=1),(FE51+FI51)/E51,0)</f>
        <v>0</v>
      </c>
      <c r="IB51" s="1" t="n">
        <f aca="false">IF(B51=0,FE51+FI51,0)</f>
        <v>0</v>
      </c>
      <c r="IC51" s="1" t="n">
        <f aca="false">IF(B51=0,IF(DD51=1,FG51,FH51),0)</f>
        <v>0</v>
      </c>
      <c r="ID51" s="1" t="n">
        <f aca="false">IF(CE51=1,IF(DD51=1,FN51+FQ51,CF51-GJ51)*(1+Slot7_Rate),0)</f>
        <v>0</v>
      </c>
      <c r="IE51" s="1" t="n">
        <f aca="false">IF(AND(DD51=1,CE51=1),(FM51+FQ51)/E51,0)</f>
        <v>0</v>
      </c>
      <c r="IF51" s="1" t="n">
        <f aca="false">IF(B51=0,FM51+FQ51,0)</f>
        <v>0</v>
      </c>
      <c r="IG51" s="1" t="n">
        <f aca="false">IF(B51=0,IF(DD51=1,FO51,FP51),0)</f>
        <v>0</v>
      </c>
      <c r="IH51" s="1" t="n">
        <f aca="false">IF(CO51=1,IF(DD51=1,FV51+FY51,CP51-GH51)*(1+Slot8_Rate),0)</f>
        <v>0</v>
      </c>
      <c r="II51" s="1" t="n">
        <f aca="false">IF(AND(DD51=1,CO51=1),(FU51+FY51)/E51,0)</f>
        <v>0</v>
      </c>
      <c r="IJ51" s="1" t="n">
        <f aca="false">IF(B51=0,FU51+FY51,0)</f>
        <v>0</v>
      </c>
      <c r="IK51" s="1" t="n">
        <f aca="false">IF(B51=0,IF(DD51=1,FW51,FX51),0)</f>
        <v>0</v>
      </c>
      <c r="IL51" s="1" t="n">
        <f aca="false">HD51+HE51+HF51+HJ51+HN51+HR51+HV51+HZ51+ID51+IH51</f>
        <v>0</v>
      </c>
      <c r="IM51" s="1" t="n">
        <f aca="false">GX51+CY51</f>
        <v>0</v>
      </c>
      <c r="IN51" s="1" t="n">
        <f aca="false">H51+R51</f>
        <v>0</v>
      </c>
      <c r="IO51" s="1" t="n">
        <f aca="false">1-F51</f>
        <v>1</v>
      </c>
      <c r="IP51" s="1" t="n">
        <f aca="false">IF(AND(RG_Exists=1,F51=0,C51=1),H51,0)</f>
        <v>0</v>
      </c>
      <c r="IQ51" s="1" t="n">
        <f aca="false">IF(AND(RG_Exists=1,F51=0,C51=1),H51-MIN(GX51,H51),0)</f>
        <v>0</v>
      </c>
      <c r="IR51" s="1" t="n">
        <f aca="false">'Plan pay &amp; tax'!AD253</f>
        <v>0</v>
      </c>
      <c r="IS51" s="1" t="n">
        <f aca="false">IF(AND(C51=1,GX51&gt;MAX(PR_Short1,IN51*PR_Short2)),1,0)</f>
        <v>0</v>
      </c>
      <c r="IT51" s="1" t="n">
        <f aca="false">MIN(G51,H51+R51)</f>
        <v>0</v>
      </c>
      <c r="IU51" s="1" t="n">
        <f aca="false">GY51+MAX(0,CZ51-CY51)</f>
        <v>0</v>
      </c>
      <c r="IV51" s="1" t="n">
        <f aca="false">GX51+CY51</f>
        <v>0</v>
      </c>
      <c r="IW51" s="1" t="n">
        <f aca="false">IF(AND(C51=1,IV51&gt;0.5),1,0)</f>
        <v>0</v>
      </c>
      <c r="IX51" s="1" t="n">
        <f aca="false">IF(AND(C51=1,IW51=0,IU51&gt;0.5),1,0)</f>
        <v>0</v>
      </c>
      <c r="IY51" s="1" t="n">
        <f aca="false">IF(AND(C51=1,GX51&gt;0.5),1,0)</f>
        <v>0</v>
      </c>
      <c r="IZ51" s="1" t="n">
        <f aca="false">IF(AND(C51=1,GY51&gt;1,JF51=0),1,0)</f>
        <v>0</v>
      </c>
      <c r="JA51" s="1" t="n">
        <f aca="false">IF(AND(INT(D51/10)*10=90,B51&gt;0),80,INT(D51/10)*10)</f>
        <v>40</v>
      </c>
      <c r="JB51" s="1" t="n">
        <f aca="false">IF(B51=0,1,IF(JA51&lt;&gt;JA50,JB50+1,JB50))</f>
        <v>5</v>
      </c>
      <c r="JC51" s="1" t="n">
        <f aca="false">IF(AND(C51=1,F51=1,GX51&gt;MAX(PR_Short1,IN51*PR_Short2)),1,0)</f>
        <v>0</v>
      </c>
      <c r="JD51" s="1" t="n">
        <f aca="false">IO51*IS51</f>
        <v>0</v>
      </c>
      <c r="JE51" s="1" t="n">
        <f aca="false">IF(AND(U51=1,Slot1_PctLow=1),1,0)+IF(AND(AF51=1,Slot2_PctLow=1),1,0)+IF(AND(AP51=1,Slot3_PctLow=1),1,0)+IF(AND(AZ51=1,Slot4_PctLow=1),1,0)+IF(AND(BJ51=1,Slot5_PctLow=1),1,0)+IF(AND(BT51=1,Slot6_PctLow=1),1,0)+IF(AND(CD51=1,Slot7_PctLow=1),1,0)+IF(AND(CN51=1,Slot8_PctLow=1),1,0)</f>
        <v>0</v>
      </c>
      <c r="JF51" s="1" t="n">
        <f aca="false">IF(C51=1,IF(OR(IS51=1,JE51&gt;0),1,0),0)</f>
        <v>0</v>
      </c>
    </row>
    <row r="52" customFormat="false" ht="15" hidden="false" customHeight="false" outlineLevel="0" collapsed="false">
      <c r="B52" s="1" t="n">
        <v>44</v>
      </c>
      <c r="C52" s="1" t="n">
        <f aca="false">IF(B52&lt;=F_N,1,0)</f>
        <v>1</v>
      </c>
      <c r="D52" s="1" t="n">
        <f aca="false">'Plan pay &amp; tax'!C254</f>
        <v>44</v>
      </c>
      <c r="E52" s="106" t="n">
        <f aca="false">'Plan pay &amp; tax'!E254</f>
        <v>2.3900531424523</v>
      </c>
      <c r="F52" s="1" t="n">
        <f aca="false">'Plan pay &amp; tax'!G254</f>
        <v>0</v>
      </c>
      <c r="G52" s="1" t="n">
        <f aca="false">'Plan pay &amp; tax'!BT254-'Plan pay &amp; tax'!BS254-'Plan pay &amp; tax'!R254</f>
        <v>0</v>
      </c>
      <c r="H52" s="1" t="n">
        <f aca="false">IF(F52=1,F_CostsM*12,IF(RG_Exists=1,RG_Amount,F_CostsM*12*AS_RetireSpend))*E52+F_OneOffY*E52</f>
        <v>0</v>
      </c>
      <c r="I52" s="1" t="n">
        <f aca="false">DA51</f>
        <v>0</v>
      </c>
      <c r="J52" s="1" t="n">
        <f aca="false">IF(I52&gt;1,'Plan debt months'!AC52,0)</f>
        <v>0</v>
      </c>
      <c r="K52" s="1" t="n">
        <f aca="false">IF(I52&gt;1,'Plan debt months'!AB52,I52)</f>
        <v>0</v>
      </c>
      <c r="L52" s="1" t="n">
        <f aca="false">N51</f>
        <v>0</v>
      </c>
      <c r="M52" s="1" t="n">
        <f aca="false">IF(L52&gt;1,'Plan debt months'!BD52,0)</f>
        <v>0</v>
      </c>
      <c r="N52" s="1" t="n">
        <f aca="false">IF(L52&gt;1,'Plan debt months'!BC52,L52)</f>
        <v>0</v>
      </c>
      <c r="O52" s="1" t="n">
        <f aca="false">Q51</f>
        <v>0</v>
      </c>
      <c r="P52" s="1" t="n">
        <f aca="false">IF(O52&gt;1,'Plan debt months'!CE52,0)</f>
        <v>0</v>
      </c>
      <c r="Q52" s="1" t="n">
        <f aca="false">IF(O52&gt;1,'Plan debt months'!CD52,O52)</f>
        <v>0</v>
      </c>
      <c r="R52" s="1" t="n">
        <f aca="false">J52+M52+P52</f>
        <v>0</v>
      </c>
      <c r="S52" s="1" t="n">
        <f aca="false">HD51+'Plan pay &amp; tax'!Y254</f>
        <v>0</v>
      </c>
      <c r="T52" s="1" t="n">
        <f aca="false">HD51</f>
        <v>0</v>
      </c>
      <c r="U52" s="1" t="n">
        <f aca="false">IF(AND(Slot1_On=1,D52=Slot1_Age),1,0)</f>
        <v>0</v>
      </c>
      <c r="V52" s="1" t="n">
        <f aca="false">IF(AND(Slot1_On=1,Slot1_Age&gt;D52),1,0)</f>
        <v>0</v>
      </c>
      <c r="W52" s="1" t="n">
        <f aca="false">HF51</f>
        <v>0</v>
      </c>
      <c r="X52" s="1" t="n">
        <f aca="false">U52*MIN(Slot1_Cost,W52)</f>
        <v>0</v>
      </c>
      <c r="Y52" s="1" t="n">
        <f aca="false">U52*Slot1_SpendLike*MIN(Slot1_Cost-X52,S52)</f>
        <v>0</v>
      </c>
      <c r="Z52" s="1" t="n">
        <f aca="false">X52+Y52</f>
        <v>0</v>
      </c>
      <c r="AA52" s="1" t="n">
        <f aca="false">S52-Y52+U52*IF(Slot1_SpendLike=1,W52-X52,IF(Slot1_PotFree=1,W52,0))</f>
        <v>0</v>
      </c>
      <c r="AB52" s="1" t="n">
        <f aca="false">AE52+U52*Slot1_BufPot*W52</f>
        <v>0</v>
      </c>
      <c r="AC52" s="1" t="n">
        <f aca="false">IF(AND(U52=1,Slot1_IsMfree=1),IF(Z52&gt;=Slot1_Cost-1,0,MAX(0,K52-Z52)),K52)</f>
        <v>0</v>
      </c>
      <c r="AD52" s="1" t="n">
        <f aca="false">U52*(Slot1_Cost-Z52)</f>
        <v>0</v>
      </c>
      <c r="AE52" s="1" t="n">
        <f aca="false">HE51</f>
        <v>0</v>
      </c>
      <c r="AF52" s="1" t="n">
        <f aca="false">IF(AND(Slot2_On=1,D52=Slot2_Age),1,0)</f>
        <v>0</v>
      </c>
      <c r="AG52" s="1" t="n">
        <f aca="false">IF(AND(Slot2_On=1,Slot2_Age&gt;D52),1,0)</f>
        <v>0</v>
      </c>
      <c r="AH52" s="1" t="n">
        <f aca="false">HJ51</f>
        <v>0</v>
      </c>
      <c r="AI52" s="1" t="n">
        <f aca="false">AF52*MIN(Slot2_Cost,AH52)</f>
        <v>0</v>
      </c>
      <c r="AJ52" s="1" t="n">
        <f aca="false">AF52*Slot2_SpendLike*MIN(Slot2_Cost-AI52,AA52)</f>
        <v>0</v>
      </c>
      <c r="AK52" s="1" t="n">
        <f aca="false">AI52+AJ52</f>
        <v>0</v>
      </c>
      <c r="AL52" s="1" t="n">
        <f aca="false">AA52-AJ52+AF52*IF(Slot2_SpendLike=1,AH52-AI52,IF(Slot2_PotFree=1,AH52,0))</f>
        <v>0</v>
      </c>
      <c r="AM52" s="1" t="n">
        <f aca="false">AB52+AF52*Slot2_BufPot*AH52</f>
        <v>0</v>
      </c>
      <c r="AN52" s="1" t="n">
        <f aca="false">IF(AND(AF52=1,Slot2_IsMfree=1),IF(AK52&gt;=Slot2_Cost-1,0,MAX(0,AC52-AK52)),AC52)</f>
        <v>0</v>
      </c>
      <c r="AO52" s="1" t="n">
        <f aca="false">AF52*(Slot2_Cost-AK52)</f>
        <v>0</v>
      </c>
      <c r="AP52" s="1" t="n">
        <f aca="false">IF(AND(Slot3_On=1,D52=Slot3_Age),1,0)</f>
        <v>0</v>
      </c>
      <c r="AQ52" s="1" t="n">
        <f aca="false">IF(AND(Slot3_On=1,Slot3_Age&gt;D52),1,0)</f>
        <v>0</v>
      </c>
      <c r="AR52" s="1" t="n">
        <f aca="false">HN51</f>
        <v>0</v>
      </c>
      <c r="AS52" s="1" t="n">
        <f aca="false">AP52*MIN(Slot3_Cost,AR52)</f>
        <v>0</v>
      </c>
      <c r="AT52" s="1" t="n">
        <f aca="false">AP52*Slot3_SpendLike*MIN(Slot3_Cost-AS52,AL52)</f>
        <v>0</v>
      </c>
      <c r="AU52" s="1" t="n">
        <f aca="false">AS52+AT52</f>
        <v>0</v>
      </c>
      <c r="AV52" s="1" t="n">
        <f aca="false">AL52-AT52+AP52*IF(Slot3_SpendLike=1,AR52-AS52,IF(Slot3_PotFree=1,AR52,0))</f>
        <v>0</v>
      </c>
      <c r="AW52" s="1" t="n">
        <f aca="false">AM52+AP52*Slot3_BufPot*AR52</f>
        <v>0</v>
      </c>
      <c r="AX52" s="1" t="n">
        <f aca="false">IF(AND(AP52=1,Slot3_IsMfree=1),IF(AU52&gt;=Slot3_Cost-1,0,MAX(0,AN52-AU52)),AN52)</f>
        <v>0</v>
      </c>
      <c r="AY52" s="1" t="n">
        <f aca="false">AP52*(Slot3_Cost-AU52)</f>
        <v>0</v>
      </c>
      <c r="AZ52" s="1" t="n">
        <f aca="false">IF(AND(Slot4_On=1,D52=Slot4_Age),1,0)</f>
        <v>0</v>
      </c>
      <c r="BA52" s="1" t="n">
        <f aca="false">IF(AND(Slot4_On=1,Slot4_Age&gt;D52),1,0)</f>
        <v>0</v>
      </c>
      <c r="BB52" s="1" t="n">
        <f aca="false">HR51</f>
        <v>0</v>
      </c>
      <c r="BC52" s="1" t="n">
        <f aca="false">AZ52*MIN(Slot4_Cost,BB52)</f>
        <v>0</v>
      </c>
      <c r="BD52" s="1" t="n">
        <f aca="false">AZ52*Slot4_SpendLike*MIN(Slot4_Cost-BC52,AV52)</f>
        <v>0</v>
      </c>
      <c r="BE52" s="1" t="n">
        <f aca="false">BC52+BD52</f>
        <v>0</v>
      </c>
      <c r="BF52" s="1" t="n">
        <f aca="false">AV52-BD52+AZ52*IF(Slot4_SpendLike=1,BB52-BC52,IF(Slot4_PotFree=1,BB52,0))</f>
        <v>0</v>
      </c>
      <c r="BG52" s="1" t="n">
        <f aca="false">AW52+AZ52*Slot4_BufPot*BB52</f>
        <v>0</v>
      </c>
      <c r="BH52" s="1" t="n">
        <f aca="false">IF(AND(AZ52=1,Slot4_IsMfree=1),IF(BE52&gt;=Slot4_Cost-1,0,MAX(0,AX52-BE52)),AX52)</f>
        <v>0</v>
      </c>
      <c r="BI52" s="1" t="n">
        <f aca="false">AZ52*(Slot4_Cost-BE52)</f>
        <v>0</v>
      </c>
      <c r="BJ52" s="1" t="n">
        <f aca="false">IF(AND(Slot5_On=1,D52=Slot5_Age),1,0)</f>
        <v>0</v>
      </c>
      <c r="BK52" s="1" t="n">
        <f aca="false">IF(AND(Slot5_On=1,Slot5_Age&gt;D52),1,0)</f>
        <v>0</v>
      </c>
      <c r="BL52" s="1" t="n">
        <f aca="false">HV51</f>
        <v>0</v>
      </c>
      <c r="BM52" s="1" t="n">
        <f aca="false">BJ52*MIN(Slot5_Cost,BL52)</f>
        <v>0</v>
      </c>
      <c r="BN52" s="1" t="n">
        <f aca="false">BJ52*Slot5_SpendLike*MIN(Slot5_Cost-BM52,BF52)</f>
        <v>0</v>
      </c>
      <c r="BO52" s="1" t="n">
        <f aca="false">BM52+BN52</f>
        <v>0</v>
      </c>
      <c r="BP52" s="1" t="n">
        <f aca="false">BF52-BN52+BJ52*IF(Slot5_SpendLike=1,BL52-BM52,IF(Slot5_PotFree=1,BL52,0))</f>
        <v>0</v>
      </c>
      <c r="BQ52" s="1" t="n">
        <f aca="false">BG52+BJ52*Slot5_BufPot*BL52</f>
        <v>0</v>
      </c>
      <c r="BR52" s="1" t="n">
        <f aca="false">IF(AND(BJ52=1,Slot5_IsMfree=1),IF(BO52&gt;=Slot5_Cost-1,0,MAX(0,BH52-BO52)),BH52)</f>
        <v>0</v>
      </c>
      <c r="BS52" s="1" t="n">
        <f aca="false">BJ52*(Slot5_Cost-BO52)</f>
        <v>0</v>
      </c>
      <c r="BT52" s="1" t="n">
        <f aca="false">IF(AND(Slot6_On=1,D52=Slot6_Age),1,0)</f>
        <v>0</v>
      </c>
      <c r="BU52" s="1" t="n">
        <f aca="false">IF(AND(Slot6_On=1,Slot6_Age&gt;D52),1,0)</f>
        <v>0</v>
      </c>
      <c r="BV52" s="1" t="n">
        <f aca="false">HZ51</f>
        <v>0</v>
      </c>
      <c r="BW52" s="1" t="n">
        <f aca="false">BT52*MIN(Slot6_Cost,BV52)</f>
        <v>0</v>
      </c>
      <c r="BX52" s="1" t="n">
        <f aca="false">BT52*Slot6_SpendLike*MIN(Slot6_Cost-BW52,BP52)</f>
        <v>0</v>
      </c>
      <c r="BY52" s="1" t="n">
        <f aca="false">BW52+BX52</f>
        <v>0</v>
      </c>
      <c r="BZ52" s="1" t="n">
        <f aca="false">BP52-BX52+BT52*IF(Slot6_SpendLike=1,BV52-BW52,IF(Slot6_PotFree=1,BV52,0))</f>
        <v>0</v>
      </c>
      <c r="CA52" s="1" t="n">
        <f aca="false">BQ52+BT52*Slot6_BufPot*BV52</f>
        <v>0</v>
      </c>
      <c r="CB52" s="1" t="n">
        <f aca="false">IF(AND(BT52=1,Slot6_IsMfree=1),IF(BY52&gt;=Slot6_Cost-1,0,MAX(0,BR52-BY52)),BR52)</f>
        <v>0</v>
      </c>
      <c r="CC52" s="1" t="n">
        <f aca="false">BT52*(Slot6_Cost-BY52)</f>
        <v>0</v>
      </c>
      <c r="CD52" s="1" t="n">
        <f aca="false">IF(AND(Slot7_On=1,D52=Slot7_Age),1,0)</f>
        <v>0</v>
      </c>
      <c r="CE52" s="1" t="n">
        <f aca="false">IF(AND(Slot7_On=1,Slot7_Age&gt;D52),1,0)</f>
        <v>0</v>
      </c>
      <c r="CF52" s="1" t="n">
        <f aca="false">ID51</f>
        <v>0</v>
      </c>
      <c r="CG52" s="1" t="n">
        <f aca="false">CD52*MIN(Slot7_Cost,CF52)</f>
        <v>0</v>
      </c>
      <c r="CH52" s="1" t="n">
        <f aca="false">CD52*Slot7_SpendLike*MIN(Slot7_Cost-CG52,BZ52)</f>
        <v>0</v>
      </c>
      <c r="CI52" s="1" t="n">
        <f aca="false">CG52+CH52</f>
        <v>0</v>
      </c>
      <c r="CJ52" s="1" t="n">
        <f aca="false">BZ52-CH52+CD52*IF(Slot7_SpendLike=1,CF52-CG52,IF(Slot7_PotFree=1,CF52,0))</f>
        <v>0</v>
      </c>
      <c r="CK52" s="1" t="n">
        <f aca="false">CA52+CD52*Slot7_BufPot*CF52</f>
        <v>0</v>
      </c>
      <c r="CL52" s="1" t="n">
        <f aca="false">IF(AND(CD52=1,Slot7_IsMfree=1),IF(CI52&gt;=Slot7_Cost-1,0,MAX(0,CB52-CI52)),CB52)</f>
        <v>0</v>
      </c>
      <c r="CM52" s="1" t="n">
        <f aca="false">CD52*(Slot7_Cost-CI52)</f>
        <v>0</v>
      </c>
      <c r="CN52" s="1" t="n">
        <f aca="false">IF(AND(Slot8_On=1,D52=Slot8_Age),1,0)</f>
        <v>0</v>
      </c>
      <c r="CO52" s="1" t="n">
        <f aca="false">IF(AND(Slot8_On=1,Slot8_Age&gt;D52),1,0)</f>
        <v>0</v>
      </c>
      <c r="CP52" s="1" t="n">
        <f aca="false">IH51</f>
        <v>0</v>
      </c>
      <c r="CQ52" s="1" t="n">
        <f aca="false">CN52*MIN(Slot8_Cost,CP52)</f>
        <v>0</v>
      </c>
      <c r="CR52" s="1" t="n">
        <f aca="false">CN52*Slot8_SpendLike*MIN(Slot8_Cost-CQ52,CJ52)</f>
        <v>0</v>
      </c>
      <c r="CS52" s="1" t="n">
        <f aca="false">CQ52+CR52</f>
        <v>0</v>
      </c>
      <c r="CT52" s="1" t="n">
        <f aca="false">CJ52-CR52+CN52*IF(Slot8_SpendLike=1,CP52-CQ52,IF(Slot8_PotFree=1,CP52,0))</f>
        <v>0</v>
      </c>
      <c r="CU52" s="1" t="n">
        <f aca="false">CK52+CN52*Slot8_BufPot*CP52</f>
        <v>0</v>
      </c>
      <c r="CV52" s="1" t="n">
        <f aca="false">IF(AND(CN52=1,Slot8_IsMfree=1),IF(CS52&gt;=Slot8_Cost-1,0,MAX(0,CL52-CS52)),CL52)</f>
        <v>0</v>
      </c>
      <c r="CW52" s="1" t="n">
        <f aca="false">CN52*(Slot8_Cost-CS52)</f>
        <v>0</v>
      </c>
      <c r="CX52" s="1" t="n">
        <f aca="false">U52*Slot1_SpendLike*Z52+AF52*Slot2_SpendLike*AK52+AP52*Slot3_SpendLike*AU52+AZ52*Slot4_SpendLike*BE52+BJ52*Slot5_SpendLike*BO52+BT52*Slot6_SpendLike*BY52+CD52*Slot7_SpendLike*CI52+CN52*Slot8_SpendLike*CS52</f>
        <v>0</v>
      </c>
      <c r="CY52" s="1" t="n">
        <f aca="false">AD52+AO52+AY52+BI52+BS52+CC52+CM52+CW52</f>
        <v>0</v>
      </c>
      <c r="CZ52" s="1" t="n">
        <f aca="false">U52*Slot1_Cost+AF52*Slot2_Cost+AP52*Slot3_Cost+AZ52*Slot4_Cost+BJ52*Slot5_Cost+BT52*Slot6_Cost+CD52*Slot7_Cost+CN52*Slot8_Cost</f>
        <v>0</v>
      </c>
      <c r="DA52" s="1" t="n">
        <f aca="false">CV52</f>
        <v>0</v>
      </c>
      <c r="DB52" s="1" t="n">
        <f aca="false">G52-H52-R52</f>
        <v>0</v>
      </c>
      <c r="DC52" s="1" t="n">
        <f aca="false">IF(B52=0,IF(AND(Has_q6=1,In_q6=4),PR_ShareVaries*(MAX(0,DB52)/12),MIN(IF(Has_q6=1,CHOOSE(In_q6+1,PR_SaveB1,PR_SaveB2,PR_SaveB3,PR_SaveB4,0),AS_NoAnswer),AS_SaveShare*(MAX(0,DB52)/12))),DC51)</f>
        <v>0</v>
      </c>
      <c r="DD52" s="1" t="n">
        <f aca="false">IF(DB52&gt;=0,1,0)</f>
        <v>1</v>
      </c>
      <c r="DE52" s="1" t="n">
        <f aca="false">MAX(0,DB52/12/E52)</f>
        <v>0</v>
      </c>
      <c r="DF52" s="1" t="n">
        <f aca="false">IF(AND(Has_q6=1,In_q6=4),PR_ShareVaries*(DE52),MIN(IF(Has_q6=1,CHOOSE(In_q6+1,PR_SaveB1,PR_SaveB2,PR_SaveB3,PR_SaveB4,0),AS_NoAnswer),AS_SaveShare*(DE52)))</f>
        <v>0</v>
      </c>
      <c r="DG52" s="1" t="n">
        <f aca="false">IF(Has_saveM=1,IF(In_saveUp="Yes",1,IF(In_saveUp="No",0,IF(In_saveM&gt;=DC52-0.5,1,0))),0)</f>
        <v>0</v>
      </c>
      <c r="DH52" s="1" t="n">
        <f aca="false">IF(Has_saveM=1,MIN(DE52,IF(DG52=1,MAX(In_saveM,DF52),MIN(In_saveM,DF52))),DF52)</f>
        <v>0</v>
      </c>
      <c r="DI52" s="1" t="n">
        <f aca="false">IF(F52=1,DH52*12*E52,0)</f>
        <v>0</v>
      </c>
      <c r="DJ52" s="1" t="n">
        <f aca="false">MAX(0,DI52+IF(AND(WI_Retire=0,WI_M&lt;0,F52=1),WI_M*12*E52,0))</f>
        <v>0</v>
      </c>
      <c r="DK52" s="1" t="n">
        <f aca="false">Slot1_IsWG*V52+Slot2_IsWG*AG52+Slot3_IsWG*AQ52+Slot4_IsWG*BA52+Slot5_IsWG*BK52+Slot6_IsWG*BU52+Slot7_IsWG*CE52+Slot8_IsWG*CO52</f>
        <v>0</v>
      </c>
      <c r="DL52" s="1" t="n">
        <f aca="false">IF(AND(WI_Retire=0,WI_M&gt;0,F52=1,DK52&gt;=1),WI_M*12*E52,0)</f>
        <v>0</v>
      </c>
      <c r="DM52" s="1" t="n">
        <f aca="false">IF(DD52=1,MIN(DJ52,DB52),0)</f>
        <v>0</v>
      </c>
      <c r="DN52" s="1" t="n">
        <f aca="false">IF(DD52=1,MIN(DL52,DB52-DM52),0)</f>
        <v>0</v>
      </c>
      <c r="DO52" s="1" t="n">
        <f aca="false">IF(V52=1,IF(ABS((1+AS_Wage)/(1+Slot1_Rate)-1)&lt;0.000000000001,(Slot1_Age-D52)*(1+Slot1_Rate)^(Slot1_Age-D52),(1+Slot1_Rate)^(Slot1_Age-D52)*(1-((1+AS_Wage)/(1+Slot1_Rate))^(Slot1_Age-D52))/(1-(1+AS_Wage)/(1+Slot1_Rate))),1)</f>
        <v>1</v>
      </c>
      <c r="DP52" s="1" t="n">
        <f aca="false">IF(AND(DD52=1,DN52&gt;0,Slot1_IsWG=1,V52=1),MAX(0,(Slot1_Cost-W52*(1+Slot1_Rate)^(Slot1_Age-D52))/DO52),0)</f>
        <v>0</v>
      </c>
      <c r="DQ52" s="1" t="n">
        <f aca="false">IF(AND(DD52=1,DN52&gt;0,Slot1_IsWG=1,V52=1),MIN(DN52,DP52),0)</f>
        <v>0</v>
      </c>
      <c r="DR52" s="1" t="n">
        <f aca="false">W52+DQ52</f>
        <v>0</v>
      </c>
      <c r="DS52" s="1" t="n">
        <f aca="false">IF(V52=1,MAX(0,(Slot1_Cost-DR52*(1+Slot1_Rate)^(Slot1_Age-D52))/DO52),0)</f>
        <v>0</v>
      </c>
      <c r="DT52" s="1" t="n">
        <f aca="false">IF(V52=1,MAX(0,(Slot1_Cost-W52*(1+Slot1_Rate)^(Slot1_Age-D52))/DO52),0)</f>
        <v>0</v>
      </c>
      <c r="DU52" s="1" t="n">
        <f aca="false">IF(AND(DD52=1,V52=1),MIN(DM52,DS52),0)</f>
        <v>0</v>
      </c>
      <c r="DV52" s="1" t="n">
        <f aca="false">DM52-DU52</f>
        <v>0</v>
      </c>
      <c r="DW52" s="1" t="n">
        <f aca="false">IF(AG52=1,IF(ABS((1+AS_Wage)/(1+Slot2_Rate)-1)&lt;0.000000000001,(Slot2_Age-D52)*(1+Slot2_Rate)^(Slot2_Age-D52),(1+Slot2_Rate)^(Slot2_Age-D52)*(1-((1+AS_Wage)/(1+Slot2_Rate))^(Slot2_Age-D52))/(1-(1+AS_Wage)/(1+Slot2_Rate))),1)</f>
        <v>1</v>
      </c>
      <c r="DX52" s="1" t="n">
        <f aca="false">IF(AND(DD52=1,DN52&gt;0,Slot2_IsWG=1,AG52=1),MAX(0,(Slot2_Cost-AH52*(1+Slot2_Rate)^(Slot2_Age-D52))/DW52),0)</f>
        <v>0</v>
      </c>
      <c r="DY52" s="1" t="n">
        <f aca="false">IF(AND(DD52=1,DN52&gt;0,Slot2_IsWG=1,AG52=1),MIN(DN52,DX52),0)</f>
        <v>0</v>
      </c>
      <c r="DZ52" s="1" t="n">
        <f aca="false">AH52+DY52</f>
        <v>0</v>
      </c>
      <c r="EA52" s="1" t="n">
        <f aca="false">IF(AG52=1,MAX(0,(Slot2_Cost-DZ52*(1+Slot2_Rate)^(Slot2_Age-D52))/DW52),0)</f>
        <v>0</v>
      </c>
      <c r="EB52" s="1" t="n">
        <f aca="false">IF(AG52=1,MAX(0,(Slot2_Cost-AH52*(1+Slot2_Rate)^(Slot2_Age-D52))/DW52),0)</f>
        <v>0</v>
      </c>
      <c r="EC52" s="1" t="n">
        <f aca="false">IF(AND(DD52=1,AG52=1),MIN(DV52,EA52),0)</f>
        <v>0</v>
      </c>
      <c r="ED52" s="1" t="n">
        <f aca="false">DV52-EC52</f>
        <v>0</v>
      </c>
      <c r="EE52" s="1" t="n">
        <f aca="false">IF(AQ52=1,IF(ABS((1+AS_Wage)/(1+Slot3_Rate)-1)&lt;0.000000000001,(Slot3_Age-D52)*(1+Slot3_Rate)^(Slot3_Age-D52),(1+Slot3_Rate)^(Slot3_Age-D52)*(1-((1+AS_Wage)/(1+Slot3_Rate))^(Slot3_Age-D52))/(1-(1+AS_Wage)/(1+Slot3_Rate))),1)</f>
        <v>1</v>
      </c>
      <c r="EF52" s="1" t="n">
        <f aca="false">IF(AND(DD52=1,DN52&gt;0,Slot3_IsWG=1,AQ52=1),MAX(0,(Slot3_Cost-AR52*(1+Slot3_Rate)^(Slot3_Age-D52))/EE52),0)</f>
        <v>0</v>
      </c>
      <c r="EG52" s="1" t="n">
        <f aca="false">IF(AND(DD52=1,DN52&gt;0,Slot3_IsWG=1,AQ52=1),MIN(DN52,EF52),0)</f>
        <v>0</v>
      </c>
      <c r="EH52" s="1" t="n">
        <f aca="false">AR52+EG52</f>
        <v>0</v>
      </c>
      <c r="EI52" s="1" t="n">
        <f aca="false">IF(AQ52=1,MAX(0,(Slot3_Cost-EH52*(1+Slot3_Rate)^(Slot3_Age-D52))/EE52),0)</f>
        <v>0</v>
      </c>
      <c r="EJ52" s="1" t="n">
        <f aca="false">IF(AQ52=1,MAX(0,(Slot3_Cost-AR52*(1+Slot3_Rate)^(Slot3_Age-D52))/EE52),0)</f>
        <v>0</v>
      </c>
      <c r="EK52" s="1" t="n">
        <f aca="false">IF(AND(DD52=1,AQ52=1),MIN(ED52,EI52),0)</f>
        <v>0</v>
      </c>
      <c r="EL52" s="1" t="n">
        <f aca="false">ED52-EK52</f>
        <v>0</v>
      </c>
      <c r="EM52" s="1" t="n">
        <f aca="false">IF(BA52=1,IF(ABS((1+AS_Wage)/(1+Slot4_Rate)-1)&lt;0.000000000001,(Slot4_Age-D52)*(1+Slot4_Rate)^(Slot4_Age-D52),(1+Slot4_Rate)^(Slot4_Age-D52)*(1-((1+AS_Wage)/(1+Slot4_Rate))^(Slot4_Age-D52))/(1-(1+AS_Wage)/(1+Slot4_Rate))),1)</f>
        <v>1</v>
      </c>
      <c r="EN52" s="1" t="n">
        <f aca="false">IF(AND(DD52=1,DN52&gt;0,Slot4_IsWG=1,BA52=1),MAX(0,(Slot4_Cost-BB52*(1+Slot4_Rate)^(Slot4_Age-D52))/EM52),0)</f>
        <v>0</v>
      </c>
      <c r="EO52" s="1" t="n">
        <f aca="false">IF(AND(DD52=1,DN52&gt;0,Slot4_IsWG=1,BA52=1),MIN(DN52,EN52),0)</f>
        <v>0</v>
      </c>
      <c r="EP52" s="1" t="n">
        <f aca="false">BB52+EO52</f>
        <v>0</v>
      </c>
      <c r="EQ52" s="1" t="n">
        <f aca="false">IF(BA52=1,MAX(0,(Slot4_Cost-EP52*(1+Slot4_Rate)^(Slot4_Age-D52))/EM52),0)</f>
        <v>0</v>
      </c>
      <c r="ER52" s="1" t="n">
        <f aca="false">IF(BA52=1,MAX(0,(Slot4_Cost-BB52*(1+Slot4_Rate)^(Slot4_Age-D52))/EM52),0)</f>
        <v>0</v>
      </c>
      <c r="ES52" s="1" t="n">
        <f aca="false">IF(AND(DD52=1,BA52=1),MIN(EL52,EQ52),0)</f>
        <v>0</v>
      </c>
      <c r="ET52" s="1" t="n">
        <f aca="false">EL52-ES52</f>
        <v>0</v>
      </c>
      <c r="EU52" s="1" t="n">
        <f aca="false">IF(BK52=1,IF(ABS((1+AS_Wage)/(1+Slot5_Rate)-1)&lt;0.000000000001,(Slot5_Age-D52)*(1+Slot5_Rate)^(Slot5_Age-D52),(1+Slot5_Rate)^(Slot5_Age-D52)*(1-((1+AS_Wage)/(1+Slot5_Rate))^(Slot5_Age-D52))/(1-(1+AS_Wage)/(1+Slot5_Rate))),1)</f>
        <v>1</v>
      </c>
      <c r="EV52" s="1" t="n">
        <f aca="false">IF(AND(DD52=1,DN52&gt;0,Slot5_IsWG=1,BK52=1),MAX(0,(Slot5_Cost-BL52*(1+Slot5_Rate)^(Slot5_Age-D52))/EU52),0)</f>
        <v>0</v>
      </c>
      <c r="EW52" s="1" t="n">
        <f aca="false">IF(AND(DD52=1,DN52&gt;0,Slot5_IsWG=1,BK52=1),MIN(DN52,EV52),0)</f>
        <v>0</v>
      </c>
      <c r="EX52" s="1" t="n">
        <f aca="false">BL52+EW52</f>
        <v>0</v>
      </c>
      <c r="EY52" s="1" t="n">
        <f aca="false">IF(BK52=1,MAX(0,(Slot5_Cost-EX52*(1+Slot5_Rate)^(Slot5_Age-D52))/EU52),0)</f>
        <v>0</v>
      </c>
      <c r="EZ52" s="1" t="n">
        <f aca="false">IF(BK52=1,MAX(0,(Slot5_Cost-BL52*(1+Slot5_Rate)^(Slot5_Age-D52))/EU52),0)</f>
        <v>0</v>
      </c>
      <c r="FA52" s="1" t="n">
        <f aca="false">IF(AND(DD52=1,BK52=1),MIN(ET52,EY52),0)</f>
        <v>0</v>
      </c>
      <c r="FB52" s="1" t="n">
        <f aca="false">ET52-FA52</f>
        <v>0</v>
      </c>
      <c r="FC52" s="1" t="n">
        <f aca="false">IF(BU52=1,IF(ABS((1+AS_Wage)/(1+Slot6_Rate)-1)&lt;0.000000000001,(Slot6_Age-D52)*(1+Slot6_Rate)^(Slot6_Age-D52),(1+Slot6_Rate)^(Slot6_Age-D52)*(1-((1+AS_Wage)/(1+Slot6_Rate))^(Slot6_Age-D52))/(1-(1+AS_Wage)/(1+Slot6_Rate))),1)</f>
        <v>1</v>
      </c>
      <c r="FD52" s="1" t="n">
        <f aca="false">IF(AND(DD52=1,DN52&gt;0,Slot6_IsWG=1,BU52=1),MAX(0,(Slot6_Cost-BV52*(1+Slot6_Rate)^(Slot6_Age-D52))/FC52),0)</f>
        <v>0</v>
      </c>
      <c r="FE52" s="1" t="n">
        <f aca="false">IF(AND(DD52=1,DN52&gt;0,Slot6_IsWG=1,BU52=1),MIN(DN52,FD52),0)</f>
        <v>0</v>
      </c>
      <c r="FF52" s="1" t="n">
        <f aca="false">BV52+FE52</f>
        <v>0</v>
      </c>
      <c r="FG52" s="1" t="n">
        <f aca="false">IF(BU52=1,MAX(0,(Slot6_Cost-FF52*(1+Slot6_Rate)^(Slot6_Age-D52))/FC52),0)</f>
        <v>0</v>
      </c>
      <c r="FH52" s="1" t="n">
        <f aca="false">IF(BU52=1,MAX(0,(Slot6_Cost-BV52*(1+Slot6_Rate)^(Slot6_Age-D52))/FC52),0)</f>
        <v>0</v>
      </c>
      <c r="FI52" s="1" t="n">
        <f aca="false">IF(AND(DD52=1,BU52=1),MIN(FB52,FG52),0)</f>
        <v>0</v>
      </c>
      <c r="FJ52" s="1" t="n">
        <f aca="false">FB52-FI52</f>
        <v>0</v>
      </c>
      <c r="FK52" s="1" t="n">
        <f aca="false">IF(CE52=1,IF(ABS((1+AS_Wage)/(1+Slot7_Rate)-1)&lt;0.000000000001,(Slot7_Age-D52)*(1+Slot7_Rate)^(Slot7_Age-D52),(1+Slot7_Rate)^(Slot7_Age-D52)*(1-((1+AS_Wage)/(1+Slot7_Rate))^(Slot7_Age-D52))/(1-(1+AS_Wage)/(1+Slot7_Rate))),1)</f>
        <v>1</v>
      </c>
      <c r="FL52" s="1" t="n">
        <f aca="false">IF(AND(DD52=1,DN52&gt;0,Slot7_IsWG=1,CE52=1),MAX(0,(Slot7_Cost-CF52*(1+Slot7_Rate)^(Slot7_Age-D52))/FK52),0)</f>
        <v>0</v>
      </c>
      <c r="FM52" s="1" t="n">
        <f aca="false">IF(AND(DD52=1,DN52&gt;0,Slot7_IsWG=1,CE52=1),MIN(DN52,FL52),0)</f>
        <v>0</v>
      </c>
      <c r="FN52" s="1" t="n">
        <f aca="false">CF52+FM52</f>
        <v>0</v>
      </c>
      <c r="FO52" s="1" t="n">
        <f aca="false">IF(CE52=1,MAX(0,(Slot7_Cost-FN52*(1+Slot7_Rate)^(Slot7_Age-D52))/FK52),0)</f>
        <v>0</v>
      </c>
      <c r="FP52" s="1" t="n">
        <f aca="false">IF(CE52=1,MAX(0,(Slot7_Cost-CF52*(1+Slot7_Rate)^(Slot7_Age-D52))/FK52),0)</f>
        <v>0</v>
      </c>
      <c r="FQ52" s="1" t="n">
        <f aca="false">IF(AND(DD52=1,CE52=1),MIN(FJ52,FO52),0)</f>
        <v>0</v>
      </c>
      <c r="FR52" s="1" t="n">
        <f aca="false">FJ52-FQ52</f>
        <v>0</v>
      </c>
      <c r="FS52" s="1" t="n">
        <f aca="false">IF(CO52=1,IF(ABS((1+AS_Wage)/(1+Slot8_Rate)-1)&lt;0.000000000001,(Slot8_Age-D52)*(1+Slot8_Rate)^(Slot8_Age-D52),(1+Slot8_Rate)^(Slot8_Age-D52)*(1-((1+AS_Wage)/(1+Slot8_Rate))^(Slot8_Age-D52))/(1-(1+AS_Wage)/(1+Slot8_Rate))),1)</f>
        <v>1</v>
      </c>
      <c r="FT52" s="1" t="n">
        <f aca="false">IF(AND(DD52=1,DN52&gt;0,Slot8_IsWG=1,CO52=1),MAX(0,(Slot8_Cost-CP52*(1+Slot8_Rate)^(Slot8_Age-D52))/FS52),0)</f>
        <v>0</v>
      </c>
      <c r="FU52" s="1" t="n">
        <f aca="false">IF(AND(DD52=1,DN52&gt;0,Slot8_IsWG=1,CO52=1),MIN(DN52,FT52),0)</f>
        <v>0</v>
      </c>
      <c r="FV52" s="1" t="n">
        <f aca="false">CP52+FU52</f>
        <v>0</v>
      </c>
      <c r="FW52" s="1" t="n">
        <f aca="false">IF(CO52=1,MAX(0,(Slot8_Cost-FV52*(1+Slot8_Rate)^(Slot8_Age-D52))/FS52),0)</f>
        <v>0</v>
      </c>
      <c r="FX52" s="1" t="n">
        <f aca="false">IF(CO52=1,MAX(0,(Slot8_Cost-CP52*(1+Slot8_Rate)^(Slot8_Age-D52))/FS52),0)</f>
        <v>0</v>
      </c>
      <c r="FY52" s="1" t="n">
        <f aca="false">IF(AND(DD52=1,CO52=1),MIN(FR52,FW52),0)</f>
        <v>0</v>
      </c>
      <c r="FZ52" s="1" t="n">
        <f aca="false">FR52-FY52</f>
        <v>0</v>
      </c>
      <c r="GA52" s="1" t="n">
        <f aca="false">DN52-(DQ52+DY52+EG52+EO52+EW52+FE52+FM52+FU52)</f>
        <v>0</v>
      </c>
      <c r="GB52" s="1" t="n">
        <f aca="false">IF(DD52=1,DB52-DM52-DN52,0)</f>
        <v>0</v>
      </c>
      <c r="GC52" s="1" t="n">
        <f aca="false">IF(DD52=0,-DB52,0)</f>
        <v>0</v>
      </c>
      <c r="GD52" s="1" t="n">
        <f aca="false">MIN(GC52,CT52)</f>
        <v>0</v>
      </c>
      <c r="GE52" s="1" t="n">
        <f aca="false">GC52-GD52</f>
        <v>0</v>
      </c>
      <c r="GF52" s="1" t="n">
        <f aca="false">MIN(GE52,CU52)</f>
        <v>0</v>
      </c>
      <c r="GG52" s="1" t="n">
        <f aca="false">GE52-GF52</f>
        <v>0</v>
      </c>
      <c r="GH52" s="1" t="n">
        <f aca="false">IF(AND(DD52=0,CO52=1,GG52&gt;0),MIN(GG52,CP52),0)</f>
        <v>0</v>
      </c>
      <c r="GI52" s="1" t="n">
        <f aca="false">GG52-GH52</f>
        <v>0</v>
      </c>
      <c r="GJ52" s="1" t="n">
        <f aca="false">IF(AND(DD52=0,CE52=1,GI52&gt;0),MIN(GI52,CF52),0)</f>
        <v>0</v>
      </c>
      <c r="GK52" s="1" t="n">
        <f aca="false">GI52-GJ52</f>
        <v>0</v>
      </c>
      <c r="GL52" s="1" t="n">
        <f aca="false">IF(AND(DD52=0,BU52=1,GK52&gt;0),MIN(GK52,BV52),0)</f>
        <v>0</v>
      </c>
      <c r="GM52" s="1" t="n">
        <f aca="false">GK52-GL52</f>
        <v>0</v>
      </c>
      <c r="GN52" s="1" t="n">
        <f aca="false">IF(AND(DD52=0,BK52=1,GM52&gt;0),MIN(GM52,BL52),0)</f>
        <v>0</v>
      </c>
      <c r="GO52" s="1" t="n">
        <f aca="false">GM52-GN52</f>
        <v>0</v>
      </c>
      <c r="GP52" s="1" t="n">
        <f aca="false">IF(AND(DD52=0,BA52=1,GO52&gt;0),MIN(GO52,BB52),0)</f>
        <v>0</v>
      </c>
      <c r="GQ52" s="1" t="n">
        <f aca="false">GO52-GP52</f>
        <v>0</v>
      </c>
      <c r="GR52" s="1" t="n">
        <f aca="false">IF(AND(DD52=0,AQ52=1,GQ52&gt;0),MIN(GQ52,AR52),0)</f>
        <v>0</v>
      </c>
      <c r="GS52" s="1" t="n">
        <f aca="false">GQ52-GR52</f>
        <v>0</v>
      </c>
      <c r="GT52" s="1" t="n">
        <f aca="false">IF(AND(DD52=0,AG52=1,GS52&gt;0),MIN(GS52,AH52),0)</f>
        <v>0</v>
      </c>
      <c r="GU52" s="1" t="n">
        <f aca="false">GS52-GT52</f>
        <v>0</v>
      </c>
      <c r="GV52" s="1" t="n">
        <f aca="false">IF(AND(DD52=0,V52=1,GU52&gt;0),MIN(GU52,W52),0)</f>
        <v>0</v>
      </c>
      <c r="GW52" s="1" t="n">
        <f aca="false">GU52-GV52</f>
        <v>0</v>
      </c>
      <c r="GX52" s="1" t="n">
        <f aca="false">IF(DD52=0,GW52,0)</f>
        <v>0</v>
      </c>
      <c r="GY52" s="1" t="n">
        <f aca="false">GD52+GF52+GV52+GT52+GR52+GP52+GN52+GL52+GJ52+GH52</f>
        <v>0</v>
      </c>
      <c r="GZ52" s="1" t="n">
        <f aca="false">IF(DD52=1,CT52+GA52+FZ52+IF(F52=1,0,GB52),CT52-GD52)</f>
        <v>0</v>
      </c>
      <c r="HA52" s="1" t="n">
        <f aca="false">CU52-GF52</f>
        <v>0</v>
      </c>
      <c r="HB52" s="1" t="n">
        <f aca="false">IF(DD52=1,IF(F52=1,DM52+DN52,DB52),0)</f>
        <v>0</v>
      </c>
      <c r="HC52" s="1" t="n">
        <f aca="false">IF(DD52=1,IF(F52=1,DB52-DM52-DN52,0),0)</f>
        <v>0</v>
      </c>
      <c r="HD52" s="1" t="n">
        <f aca="false">GZ52*(1+GR)</f>
        <v>0</v>
      </c>
      <c r="HE52" s="1" t="n">
        <f aca="false">HA52*(1+AS_Cash)</f>
        <v>0</v>
      </c>
      <c r="HF52" s="1" t="n">
        <f aca="false">IF(V52=1,IF(DD52=1,DR52+DU52,W52-GV52)*(1+Slot1_Rate),0)</f>
        <v>0</v>
      </c>
      <c r="HG52" s="1" t="n">
        <f aca="false">IF(AND(DD52=1,V52=1),(DQ52+DU52)/E52,0)</f>
        <v>0</v>
      </c>
      <c r="HH52" s="1" t="n">
        <f aca="false">IF(B52=0,DQ52+DU52,0)</f>
        <v>0</v>
      </c>
      <c r="HI52" s="1" t="n">
        <f aca="false">IF(B52=0,IF(DD52=1,DS52,DT52),0)</f>
        <v>0</v>
      </c>
      <c r="HJ52" s="1" t="n">
        <f aca="false">IF(AG52=1,IF(DD52=1,DZ52+EC52,AH52-GT52)*(1+Slot2_Rate),0)</f>
        <v>0</v>
      </c>
      <c r="HK52" s="1" t="n">
        <f aca="false">IF(AND(DD52=1,AG52=1),(DY52+EC52)/E52,0)</f>
        <v>0</v>
      </c>
      <c r="HL52" s="1" t="n">
        <f aca="false">IF(B52=0,DY52+EC52,0)</f>
        <v>0</v>
      </c>
      <c r="HM52" s="1" t="n">
        <f aca="false">IF(B52=0,IF(DD52=1,EA52,EB52),0)</f>
        <v>0</v>
      </c>
      <c r="HN52" s="1" t="n">
        <f aca="false">IF(AQ52=1,IF(DD52=1,EH52+EK52,AR52-GR52)*(1+Slot3_Rate),0)</f>
        <v>0</v>
      </c>
      <c r="HO52" s="1" t="n">
        <f aca="false">IF(AND(DD52=1,AQ52=1),(EG52+EK52)/E52,0)</f>
        <v>0</v>
      </c>
      <c r="HP52" s="1" t="n">
        <f aca="false">IF(B52=0,EG52+EK52,0)</f>
        <v>0</v>
      </c>
      <c r="HQ52" s="1" t="n">
        <f aca="false">IF(B52=0,IF(DD52=1,EI52,EJ52),0)</f>
        <v>0</v>
      </c>
      <c r="HR52" s="1" t="n">
        <f aca="false">IF(BA52=1,IF(DD52=1,EP52+ES52,BB52-GP52)*(1+Slot4_Rate),0)</f>
        <v>0</v>
      </c>
      <c r="HS52" s="1" t="n">
        <f aca="false">IF(AND(DD52=1,BA52=1),(EO52+ES52)/E52,0)</f>
        <v>0</v>
      </c>
      <c r="HT52" s="1" t="n">
        <f aca="false">IF(B52=0,EO52+ES52,0)</f>
        <v>0</v>
      </c>
      <c r="HU52" s="1" t="n">
        <f aca="false">IF(B52=0,IF(DD52=1,EQ52,ER52),0)</f>
        <v>0</v>
      </c>
      <c r="HV52" s="1" t="n">
        <f aca="false">IF(BK52=1,IF(DD52=1,EX52+FA52,BL52-GN52)*(1+Slot5_Rate),0)</f>
        <v>0</v>
      </c>
      <c r="HW52" s="1" t="n">
        <f aca="false">IF(AND(DD52=1,BK52=1),(EW52+FA52)/E52,0)</f>
        <v>0</v>
      </c>
      <c r="HX52" s="1" t="n">
        <f aca="false">IF(B52=0,EW52+FA52,0)</f>
        <v>0</v>
      </c>
      <c r="HY52" s="1" t="n">
        <f aca="false">IF(B52=0,IF(DD52=1,EY52,EZ52),0)</f>
        <v>0</v>
      </c>
      <c r="HZ52" s="1" t="n">
        <f aca="false">IF(BU52=1,IF(DD52=1,FF52+FI52,BV52-GL52)*(1+Slot6_Rate),0)</f>
        <v>0</v>
      </c>
      <c r="IA52" s="1" t="n">
        <f aca="false">IF(AND(DD52=1,BU52=1),(FE52+FI52)/E52,0)</f>
        <v>0</v>
      </c>
      <c r="IB52" s="1" t="n">
        <f aca="false">IF(B52=0,FE52+FI52,0)</f>
        <v>0</v>
      </c>
      <c r="IC52" s="1" t="n">
        <f aca="false">IF(B52=0,IF(DD52=1,FG52,FH52),0)</f>
        <v>0</v>
      </c>
      <c r="ID52" s="1" t="n">
        <f aca="false">IF(CE52=1,IF(DD52=1,FN52+FQ52,CF52-GJ52)*(1+Slot7_Rate),0)</f>
        <v>0</v>
      </c>
      <c r="IE52" s="1" t="n">
        <f aca="false">IF(AND(DD52=1,CE52=1),(FM52+FQ52)/E52,0)</f>
        <v>0</v>
      </c>
      <c r="IF52" s="1" t="n">
        <f aca="false">IF(B52=0,FM52+FQ52,0)</f>
        <v>0</v>
      </c>
      <c r="IG52" s="1" t="n">
        <f aca="false">IF(B52=0,IF(DD52=1,FO52,FP52),0)</f>
        <v>0</v>
      </c>
      <c r="IH52" s="1" t="n">
        <f aca="false">IF(CO52=1,IF(DD52=1,FV52+FY52,CP52-GH52)*(1+Slot8_Rate),0)</f>
        <v>0</v>
      </c>
      <c r="II52" s="1" t="n">
        <f aca="false">IF(AND(DD52=1,CO52=1),(FU52+FY52)/E52,0)</f>
        <v>0</v>
      </c>
      <c r="IJ52" s="1" t="n">
        <f aca="false">IF(B52=0,FU52+FY52,0)</f>
        <v>0</v>
      </c>
      <c r="IK52" s="1" t="n">
        <f aca="false">IF(B52=0,IF(DD52=1,FW52,FX52),0)</f>
        <v>0</v>
      </c>
      <c r="IL52" s="1" t="n">
        <f aca="false">HD52+HE52+HF52+HJ52+HN52+HR52+HV52+HZ52+ID52+IH52</f>
        <v>0</v>
      </c>
      <c r="IM52" s="1" t="n">
        <f aca="false">GX52+CY52</f>
        <v>0</v>
      </c>
      <c r="IN52" s="1" t="n">
        <f aca="false">H52+R52</f>
        <v>0</v>
      </c>
      <c r="IO52" s="1" t="n">
        <f aca="false">1-F52</f>
        <v>1</v>
      </c>
      <c r="IP52" s="1" t="n">
        <f aca="false">IF(AND(RG_Exists=1,F52=0,C52=1),H52,0)</f>
        <v>0</v>
      </c>
      <c r="IQ52" s="1" t="n">
        <f aca="false">IF(AND(RG_Exists=1,F52=0,C52=1),H52-MIN(GX52,H52),0)</f>
        <v>0</v>
      </c>
      <c r="IR52" s="1" t="n">
        <f aca="false">'Plan pay &amp; tax'!AD254</f>
        <v>0</v>
      </c>
      <c r="IS52" s="1" t="n">
        <f aca="false">IF(AND(C52=1,GX52&gt;MAX(PR_Short1,IN52*PR_Short2)),1,0)</f>
        <v>0</v>
      </c>
      <c r="IT52" s="1" t="n">
        <f aca="false">MIN(G52,H52+R52)</f>
        <v>0</v>
      </c>
      <c r="IU52" s="1" t="n">
        <f aca="false">GY52+MAX(0,CZ52-CY52)</f>
        <v>0</v>
      </c>
      <c r="IV52" s="1" t="n">
        <f aca="false">GX52+CY52</f>
        <v>0</v>
      </c>
      <c r="IW52" s="1" t="n">
        <f aca="false">IF(AND(C52=1,IV52&gt;0.5),1,0)</f>
        <v>0</v>
      </c>
      <c r="IX52" s="1" t="n">
        <f aca="false">IF(AND(C52=1,IW52=0,IU52&gt;0.5),1,0)</f>
        <v>0</v>
      </c>
      <c r="IY52" s="1" t="n">
        <f aca="false">IF(AND(C52=1,GX52&gt;0.5),1,0)</f>
        <v>0</v>
      </c>
      <c r="IZ52" s="1" t="n">
        <f aca="false">IF(AND(C52=1,GY52&gt;1,JF52=0),1,0)</f>
        <v>0</v>
      </c>
      <c r="JA52" s="1" t="n">
        <f aca="false">IF(AND(INT(D52/10)*10=90,B52&gt;0),80,INT(D52/10)*10)</f>
        <v>40</v>
      </c>
      <c r="JB52" s="1" t="n">
        <f aca="false">IF(B52=0,1,IF(JA52&lt;&gt;JA51,JB51+1,JB51))</f>
        <v>5</v>
      </c>
      <c r="JC52" s="1" t="n">
        <f aca="false">IF(AND(C52=1,F52=1,GX52&gt;MAX(PR_Short1,IN52*PR_Short2)),1,0)</f>
        <v>0</v>
      </c>
      <c r="JD52" s="1" t="n">
        <f aca="false">IO52*IS52</f>
        <v>0</v>
      </c>
      <c r="JE52" s="1" t="n">
        <f aca="false">IF(AND(U52=1,Slot1_PctLow=1),1,0)+IF(AND(AF52=1,Slot2_PctLow=1),1,0)+IF(AND(AP52=1,Slot3_PctLow=1),1,0)+IF(AND(AZ52=1,Slot4_PctLow=1),1,0)+IF(AND(BJ52=1,Slot5_PctLow=1),1,0)+IF(AND(BT52=1,Slot6_PctLow=1),1,0)+IF(AND(CD52=1,Slot7_PctLow=1),1,0)+IF(AND(CN52=1,Slot8_PctLow=1),1,0)</f>
        <v>0</v>
      </c>
      <c r="JF52" s="1" t="n">
        <f aca="false">IF(C52=1,IF(OR(IS52=1,JE52&gt;0),1,0),0)</f>
        <v>0</v>
      </c>
    </row>
    <row r="53" customFormat="false" ht="15" hidden="false" customHeight="false" outlineLevel="0" collapsed="false">
      <c r="B53" s="1" t="n">
        <v>45</v>
      </c>
      <c r="C53" s="1" t="n">
        <f aca="false">IF(B53&lt;=F_N,1,0)</f>
        <v>1</v>
      </c>
      <c r="D53" s="1" t="n">
        <f aca="false">'Plan pay &amp; tax'!C255</f>
        <v>45</v>
      </c>
      <c r="E53" s="106" t="n">
        <f aca="false">'Plan pay &amp; tax'!E255</f>
        <v>2.43785420530135</v>
      </c>
      <c r="F53" s="1" t="n">
        <f aca="false">'Plan pay &amp; tax'!G255</f>
        <v>0</v>
      </c>
      <c r="G53" s="1" t="n">
        <f aca="false">'Plan pay &amp; tax'!BT255-'Plan pay &amp; tax'!BS255-'Plan pay &amp; tax'!R255</f>
        <v>0</v>
      </c>
      <c r="H53" s="1" t="n">
        <f aca="false">IF(F53=1,F_CostsM*12,IF(RG_Exists=1,RG_Amount,F_CostsM*12*AS_RetireSpend))*E53+F_OneOffY*E53</f>
        <v>0</v>
      </c>
      <c r="I53" s="1" t="n">
        <f aca="false">DA52</f>
        <v>0</v>
      </c>
      <c r="J53" s="1" t="n">
        <f aca="false">IF(I53&gt;1,'Plan debt months'!AC53,0)</f>
        <v>0</v>
      </c>
      <c r="K53" s="1" t="n">
        <f aca="false">IF(I53&gt;1,'Plan debt months'!AB53,I53)</f>
        <v>0</v>
      </c>
      <c r="L53" s="1" t="n">
        <f aca="false">N52</f>
        <v>0</v>
      </c>
      <c r="M53" s="1" t="n">
        <f aca="false">IF(L53&gt;1,'Plan debt months'!BD53,0)</f>
        <v>0</v>
      </c>
      <c r="N53" s="1" t="n">
        <f aca="false">IF(L53&gt;1,'Plan debt months'!BC53,L53)</f>
        <v>0</v>
      </c>
      <c r="O53" s="1" t="n">
        <f aca="false">Q52</f>
        <v>0</v>
      </c>
      <c r="P53" s="1" t="n">
        <f aca="false">IF(O53&gt;1,'Plan debt months'!CE53,0)</f>
        <v>0</v>
      </c>
      <c r="Q53" s="1" t="n">
        <f aca="false">IF(O53&gt;1,'Plan debt months'!CD53,O53)</f>
        <v>0</v>
      </c>
      <c r="R53" s="1" t="n">
        <f aca="false">J53+M53+P53</f>
        <v>0</v>
      </c>
      <c r="S53" s="1" t="n">
        <f aca="false">HD52+'Plan pay &amp; tax'!Y255</f>
        <v>0</v>
      </c>
      <c r="T53" s="1" t="n">
        <f aca="false">HD52</f>
        <v>0</v>
      </c>
      <c r="U53" s="1" t="n">
        <f aca="false">IF(AND(Slot1_On=1,D53=Slot1_Age),1,0)</f>
        <v>0</v>
      </c>
      <c r="V53" s="1" t="n">
        <f aca="false">IF(AND(Slot1_On=1,Slot1_Age&gt;D53),1,0)</f>
        <v>0</v>
      </c>
      <c r="W53" s="1" t="n">
        <f aca="false">HF52</f>
        <v>0</v>
      </c>
      <c r="X53" s="1" t="n">
        <f aca="false">U53*MIN(Slot1_Cost,W53)</f>
        <v>0</v>
      </c>
      <c r="Y53" s="1" t="n">
        <f aca="false">U53*Slot1_SpendLike*MIN(Slot1_Cost-X53,S53)</f>
        <v>0</v>
      </c>
      <c r="Z53" s="1" t="n">
        <f aca="false">X53+Y53</f>
        <v>0</v>
      </c>
      <c r="AA53" s="1" t="n">
        <f aca="false">S53-Y53+U53*IF(Slot1_SpendLike=1,W53-X53,IF(Slot1_PotFree=1,W53,0))</f>
        <v>0</v>
      </c>
      <c r="AB53" s="1" t="n">
        <f aca="false">AE53+U53*Slot1_BufPot*W53</f>
        <v>0</v>
      </c>
      <c r="AC53" s="1" t="n">
        <f aca="false">IF(AND(U53=1,Slot1_IsMfree=1),IF(Z53&gt;=Slot1_Cost-1,0,MAX(0,K53-Z53)),K53)</f>
        <v>0</v>
      </c>
      <c r="AD53" s="1" t="n">
        <f aca="false">U53*(Slot1_Cost-Z53)</f>
        <v>0</v>
      </c>
      <c r="AE53" s="1" t="n">
        <f aca="false">HE52</f>
        <v>0</v>
      </c>
      <c r="AF53" s="1" t="n">
        <f aca="false">IF(AND(Slot2_On=1,D53=Slot2_Age),1,0)</f>
        <v>0</v>
      </c>
      <c r="AG53" s="1" t="n">
        <f aca="false">IF(AND(Slot2_On=1,Slot2_Age&gt;D53),1,0)</f>
        <v>0</v>
      </c>
      <c r="AH53" s="1" t="n">
        <f aca="false">HJ52</f>
        <v>0</v>
      </c>
      <c r="AI53" s="1" t="n">
        <f aca="false">AF53*MIN(Slot2_Cost,AH53)</f>
        <v>0</v>
      </c>
      <c r="AJ53" s="1" t="n">
        <f aca="false">AF53*Slot2_SpendLike*MIN(Slot2_Cost-AI53,AA53)</f>
        <v>0</v>
      </c>
      <c r="AK53" s="1" t="n">
        <f aca="false">AI53+AJ53</f>
        <v>0</v>
      </c>
      <c r="AL53" s="1" t="n">
        <f aca="false">AA53-AJ53+AF53*IF(Slot2_SpendLike=1,AH53-AI53,IF(Slot2_PotFree=1,AH53,0))</f>
        <v>0</v>
      </c>
      <c r="AM53" s="1" t="n">
        <f aca="false">AB53+AF53*Slot2_BufPot*AH53</f>
        <v>0</v>
      </c>
      <c r="AN53" s="1" t="n">
        <f aca="false">IF(AND(AF53=1,Slot2_IsMfree=1),IF(AK53&gt;=Slot2_Cost-1,0,MAX(0,AC53-AK53)),AC53)</f>
        <v>0</v>
      </c>
      <c r="AO53" s="1" t="n">
        <f aca="false">AF53*(Slot2_Cost-AK53)</f>
        <v>0</v>
      </c>
      <c r="AP53" s="1" t="n">
        <f aca="false">IF(AND(Slot3_On=1,D53=Slot3_Age),1,0)</f>
        <v>0</v>
      </c>
      <c r="AQ53" s="1" t="n">
        <f aca="false">IF(AND(Slot3_On=1,Slot3_Age&gt;D53),1,0)</f>
        <v>0</v>
      </c>
      <c r="AR53" s="1" t="n">
        <f aca="false">HN52</f>
        <v>0</v>
      </c>
      <c r="AS53" s="1" t="n">
        <f aca="false">AP53*MIN(Slot3_Cost,AR53)</f>
        <v>0</v>
      </c>
      <c r="AT53" s="1" t="n">
        <f aca="false">AP53*Slot3_SpendLike*MIN(Slot3_Cost-AS53,AL53)</f>
        <v>0</v>
      </c>
      <c r="AU53" s="1" t="n">
        <f aca="false">AS53+AT53</f>
        <v>0</v>
      </c>
      <c r="AV53" s="1" t="n">
        <f aca="false">AL53-AT53+AP53*IF(Slot3_SpendLike=1,AR53-AS53,IF(Slot3_PotFree=1,AR53,0))</f>
        <v>0</v>
      </c>
      <c r="AW53" s="1" t="n">
        <f aca="false">AM53+AP53*Slot3_BufPot*AR53</f>
        <v>0</v>
      </c>
      <c r="AX53" s="1" t="n">
        <f aca="false">IF(AND(AP53=1,Slot3_IsMfree=1),IF(AU53&gt;=Slot3_Cost-1,0,MAX(0,AN53-AU53)),AN53)</f>
        <v>0</v>
      </c>
      <c r="AY53" s="1" t="n">
        <f aca="false">AP53*(Slot3_Cost-AU53)</f>
        <v>0</v>
      </c>
      <c r="AZ53" s="1" t="n">
        <f aca="false">IF(AND(Slot4_On=1,D53=Slot4_Age),1,0)</f>
        <v>0</v>
      </c>
      <c r="BA53" s="1" t="n">
        <f aca="false">IF(AND(Slot4_On=1,Slot4_Age&gt;D53),1,0)</f>
        <v>0</v>
      </c>
      <c r="BB53" s="1" t="n">
        <f aca="false">HR52</f>
        <v>0</v>
      </c>
      <c r="BC53" s="1" t="n">
        <f aca="false">AZ53*MIN(Slot4_Cost,BB53)</f>
        <v>0</v>
      </c>
      <c r="BD53" s="1" t="n">
        <f aca="false">AZ53*Slot4_SpendLike*MIN(Slot4_Cost-BC53,AV53)</f>
        <v>0</v>
      </c>
      <c r="BE53" s="1" t="n">
        <f aca="false">BC53+BD53</f>
        <v>0</v>
      </c>
      <c r="BF53" s="1" t="n">
        <f aca="false">AV53-BD53+AZ53*IF(Slot4_SpendLike=1,BB53-BC53,IF(Slot4_PotFree=1,BB53,0))</f>
        <v>0</v>
      </c>
      <c r="BG53" s="1" t="n">
        <f aca="false">AW53+AZ53*Slot4_BufPot*BB53</f>
        <v>0</v>
      </c>
      <c r="BH53" s="1" t="n">
        <f aca="false">IF(AND(AZ53=1,Slot4_IsMfree=1),IF(BE53&gt;=Slot4_Cost-1,0,MAX(0,AX53-BE53)),AX53)</f>
        <v>0</v>
      </c>
      <c r="BI53" s="1" t="n">
        <f aca="false">AZ53*(Slot4_Cost-BE53)</f>
        <v>0</v>
      </c>
      <c r="BJ53" s="1" t="n">
        <f aca="false">IF(AND(Slot5_On=1,D53=Slot5_Age),1,0)</f>
        <v>0</v>
      </c>
      <c r="BK53" s="1" t="n">
        <f aca="false">IF(AND(Slot5_On=1,Slot5_Age&gt;D53),1,0)</f>
        <v>0</v>
      </c>
      <c r="BL53" s="1" t="n">
        <f aca="false">HV52</f>
        <v>0</v>
      </c>
      <c r="BM53" s="1" t="n">
        <f aca="false">BJ53*MIN(Slot5_Cost,BL53)</f>
        <v>0</v>
      </c>
      <c r="BN53" s="1" t="n">
        <f aca="false">BJ53*Slot5_SpendLike*MIN(Slot5_Cost-BM53,BF53)</f>
        <v>0</v>
      </c>
      <c r="BO53" s="1" t="n">
        <f aca="false">BM53+BN53</f>
        <v>0</v>
      </c>
      <c r="BP53" s="1" t="n">
        <f aca="false">BF53-BN53+BJ53*IF(Slot5_SpendLike=1,BL53-BM53,IF(Slot5_PotFree=1,BL53,0))</f>
        <v>0</v>
      </c>
      <c r="BQ53" s="1" t="n">
        <f aca="false">BG53+BJ53*Slot5_BufPot*BL53</f>
        <v>0</v>
      </c>
      <c r="BR53" s="1" t="n">
        <f aca="false">IF(AND(BJ53=1,Slot5_IsMfree=1),IF(BO53&gt;=Slot5_Cost-1,0,MAX(0,BH53-BO53)),BH53)</f>
        <v>0</v>
      </c>
      <c r="BS53" s="1" t="n">
        <f aca="false">BJ53*(Slot5_Cost-BO53)</f>
        <v>0</v>
      </c>
      <c r="BT53" s="1" t="n">
        <f aca="false">IF(AND(Slot6_On=1,D53=Slot6_Age),1,0)</f>
        <v>0</v>
      </c>
      <c r="BU53" s="1" t="n">
        <f aca="false">IF(AND(Slot6_On=1,Slot6_Age&gt;D53),1,0)</f>
        <v>0</v>
      </c>
      <c r="BV53" s="1" t="n">
        <f aca="false">HZ52</f>
        <v>0</v>
      </c>
      <c r="BW53" s="1" t="n">
        <f aca="false">BT53*MIN(Slot6_Cost,BV53)</f>
        <v>0</v>
      </c>
      <c r="BX53" s="1" t="n">
        <f aca="false">BT53*Slot6_SpendLike*MIN(Slot6_Cost-BW53,BP53)</f>
        <v>0</v>
      </c>
      <c r="BY53" s="1" t="n">
        <f aca="false">BW53+BX53</f>
        <v>0</v>
      </c>
      <c r="BZ53" s="1" t="n">
        <f aca="false">BP53-BX53+BT53*IF(Slot6_SpendLike=1,BV53-BW53,IF(Slot6_PotFree=1,BV53,0))</f>
        <v>0</v>
      </c>
      <c r="CA53" s="1" t="n">
        <f aca="false">BQ53+BT53*Slot6_BufPot*BV53</f>
        <v>0</v>
      </c>
      <c r="CB53" s="1" t="n">
        <f aca="false">IF(AND(BT53=1,Slot6_IsMfree=1),IF(BY53&gt;=Slot6_Cost-1,0,MAX(0,BR53-BY53)),BR53)</f>
        <v>0</v>
      </c>
      <c r="CC53" s="1" t="n">
        <f aca="false">BT53*(Slot6_Cost-BY53)</f>
        <v>0</v>
      </c>
      <c r="CD53" s="1" t="n">
        <f aca="false">IF(AND(Slot7_On=1,D53=Slot7_Age),1,0)</f>
        <v>0</v>
      </c>
      <c r="CE53" s="1" t="n">
        <f aca="false">IF(AND(Slot7_On=1,Slot7_Age&gt;D53),1,0)</f>
        <v>0</v>
      </c>
      <c r="CF53" s="1" t="n">
        <f aca="false">ID52</f>
        <v>0</v>
      </c>
      <c r="CG53" s="1" t="n">
        <f aca="false">CD53*MIN(Slot7_Cost,CF53)</f>
        <v>0</v>
      </c>
      <c r="CH53" s="1" t="n">
        <f aca="false">CD53*Slot7_SpendLike*MIN(Slot7_Cost-CG53,BZ53)</f>
        <v>0</v>
      </c>
      <c r="CI53" s="1" t="n">
        <f aca="false">CG53+CH53</f>
        <v>0</v>
      </c>
      <c r="CJ53" s="1" t="n">
        <f aca="false">BZ53-CH53+CD53*IF(Slot7_SpendLike=1,CF53-CG53,IF(Slot7_PotFree=1,CF53,0))</f>
        <v>0</v>
      </c>
      <c r="CK53" s="1" t="n">
        <f aca="false">CA53+CD53*Slot7_BufPot*CF53</f>
        <v>0</v>
      </c>
      <c r="CL53" s="1" t="n">
        <f aca="false">IF(AND(CD53=1,Slot7_IsMfree=1),IF(CI53&gt;=Slot7_Cost-1,0,MAX(0,CB53-CI53)),CB53)</f>
        <v>0</v>
      </c>
      <c r="CM53" s="1" t="n">
        <f aca="false">CD53*(Slot7_Cost-CI53)</f>
        <v>0</v>
      </c>
      <c r="CN53" s="1" t="n">
        <f aca="false">IF(AND(Slot8_On=1,D53=Slot8_Age),1,0)</f>
        <v>0</v>
      </c>
      <c r="CO53" s="1" t="n">
        <f aca="false">IF(AND(Slot8_On=1,Slot8_Age&gt;D53),1,0)</f>
        <v>0</v>
      </c>
      <c r="CP53" s="1" t="n">
        <f aca="false">IH52</f>
        <v>0</v>
      </c>
      <c r="CQ53" s="1" t="n">
        <f aca="false">CN53*MIN(Slot8_Cost,CP53)</f>
        <v>0</v>
      </c>
      <c r="CR53" s="1" t="n">
        <f aca="false">CN53*Slot8_SpendLike*MIN(Slot8_Cost-CQ53,CJ53)</f>
        <v>0</v>
      </c>
      <c r="CS53" s="1" t="n">
        <f aca="false">CQ53+CR53</f>
        <v>0</v>
      </c>
      <c r="CT53" s="1" t="n">
        <f aca="false">CJ53-CR53+CN53*IF(Slot8_SpendLike=1,CP53-CQ53,IF(Slot8_PotFree=1,CP53,0))</f>
        <v>0</v>
      </c>
      <c r="CU53" s="1" t="n">
        <f aca="false">CK53+CN53*Slot8_BufPot*CP53</f>
        <v>0</v>
      </c>
      <c r="CV53" s="1" t="n">
        <f aca="false">IF(AND(CN53=1,Slot8_IsMfree=1),IF(CS53&gt;=Slot8_Cost-1,0,MAX(0,CL53-CS53)),CL53)</f>
        <v>0</v>
      </c>
      <c r="CW53" s="1" t="n">
        <f aca="false">CN53*(Slot8_Cost-CS53)</f>
        <v>0</v>
      </c>
      <c r="CX53" s="1" t="n">
        <f aca="false">U53*Slot1_SpendLike*Z53+AF53*Slot2_SpendLike*AK53+AP53*Slot3_SpendLike*AU53+AZ53*Slot4_SpendLike*BE53+BJ53*Slot5_SpendLike*BO53+BT53*Slot6_SpendLike*BY53+CD53*Slot7_SpendLike*CI53+CN53*Slot8_SpendLike*CS53</f>
        <v>0</v>
      </c>
      <c r="CY53" s="1" t="n">
        <f aca="false">AD53+AO53+AY53+BI53+BS53+CC53+CM53+CW53</f>
        <v>0</v>
      </c>
      <c r="CZ53" s="1" t="n">
        <f aca="false">U53*Slot1_Cost+AF53*Slot2_Cost+AP53*Slot3_Cost+AZ53*Slot4_Cost+BJ53*Slot5_Cost+BT53*Slot6_Cost+CD53*Slot7_Cost+CN53*Slot8_Cost</f>
        <v>0</v>
      </c>
      <c r="DA53" s="1" t="n">
        <f aca="false">CV53</f>
        <v>0</v>
      </c>
      <c r="DB53" s="1" t="n">
        <f aca="false">G53-H53-R53</f>
        <v>0</v>
      </c>
      <c r="DC53" s="1" t="n">
        <f aca="false">IF(B53=0,IF(AND(Has_q6=1,In_q6=4),PR_ShareVaries*(MAX(0,DB53)/12),MIN(IF(Has_q6=1,CHOOSE(In_q6+1,PR_SaveB1,PR_SaveB2,PR_SaveB3,PR_SaveB4,0),AS_NoAnswer),AS_SaveShare*(MAX(0,DB53)/12))),DC52)</f>
        <v>0</v>
      </c>
      <c r="DD53" s="1" t="n">
        <f aca="false">IF(DB53&gt;=0,1,0)</f>
        <v>1</v>
      </c>
      <c r="DE53" s="1" t="n">
        <f aca="false">MAX(0,DB53/12/E53)</f>
        <v>0</v>
      </c>
      <c r="DF53" s="1" t="n">
        <f aca="false">IF(AND(Has_q6=1,In_q6=4),PR_ShareVaries*(DE53),MIN(IF(Has_q6=1,CHOOSE(In_q6+1,PR_SaveB1,PR_SaveB2,PR_SaveB3,PR_SaveB4,0),AS_NoAnswer),AS_SaveShare*(DE53)))</f>
        <v>0</v>
      </c>
      <c r="DG53" s="1" t="n">
        <f aca="false">IF(Has_saveM=1,IF(In_saveUp="Yes",1,IF(In_saveUp="No",0,IF(In_saveM&gt;=DC53-0.5,1,0))),0)</f>
        <v>0</v>
      </c>
      <c r="DH53" s="1" t="n">
        <f aca="false">IF(Has_saveM=1,MIN(DE53,IF(DG53=1,MAX(In_saveM,DF53),MIN(In_saveM,DF53))),DF53)</f>
        <v>0</v>
      </c>
      <c r="DI53" s="1" t="n">
        <f aca="false">IF(F53=1,DH53*12*E53,0)</f>
        <v>0</v>
      </c>
      <c r="DJ53" s="1" t="n">
        <f aca="false">MAX(0,DI53+IF(AND(WI_Retire=0,WI_M&lt;0,F53=1),WI_M*12*E53,0))</f>
        <v>0</v>
      </c>
      <c r="DK53" s="1" t="n">
        <f aca="false">Slot1_IsWG*V53+Slot2_IsWG*AG53+Slot3_IsWG*AQ53+Slot4_IsWG*BA53+Slot5_IsWG*BK53+Slot6_IsWG*BU53+Slot7_IsWG*CE53+Slot8_IsWG*CO53</f>
        <v>0</v>
      </c>
      <c r="DL53" s="1" t="n">
        <f aca="false">IF(AND(WI_Retire=0,WI_M&gt;0,F53=1,DK53&gt;=1),WI_M*12*E53,0)</f>
        <v>0</v>
      </c>
      <c r="DM53" s="1" t="n">
        <f aca="false">IF(DD53=1,MIN(DJ53,DB53),0)</f>
        <v>0</v>
      </c>
      <c r="DN53" s="1" t="n">
        <f aca="false">IF(DD53=1,MIN(DL53,DB53-DM53),0)</f>
        <v>0</v>
      </c>
      <c r="DO53" s="1" t="n">
        <f aca="false">IF(V53=1,IF(ABS((1+AS_Wage)/(1+Slot1_Rate)-1)&lt;0.000000000001,(Slot1_Age-D53)*(1+Slot1_Rate)^(Slot1_Age-D53),(1+Slot1_Rate)^(Slot1_Age-D53)*(1-((1+AS_Wage)/(1+Slot1_Rate))^(Slot1_Age-D53))/(1-(1+AS_Wage)/(1+Slot1_Rate))),1)</f>
        <v>1</v>
      </c>
      <c r="DP53" s="1" t="n">
        <f aca="false">IF(AND(DD53=1,DN53&gt;0,Slot1_IsWG=1,V53=1),MAX(0,(Slot1_Cost-W53*(1+Slot1_Rate)^(Slot1_Age-D53))/DO53),0)</f>
        <v>0</v>
      </c>
      <c r="DQ53" s="1" t="n">
        <f aca="false">IF(AND(DD53=1,DN53&gt;0,Slot1_IsWG=1,V53=1),MIN(DN53,DP53),0)</f>
        <v>0</v>
      </c>
      <c r="DR53" s="1" t="n">
        <f aca="false">W53+DQ53</f>
        <v>0</v>
      </c>
      <c r="DS53" s="1" t="n">
        <f aca="false">IF(V53=1,MAX(0,(Slot1_Cost-DR53*(1+Slot1_Rate)^(Slot1_Age-D53))/DO53),0)</f>
        <v>0</v>
      </c>
      <c r="DT53" s="1" t="n">
        <f aca="false">IF(V53=1,MAX(0,(Slot1_Cost-W53*(1+Slot1_Rate)^(Slot1_Age-D53))/DO53),0)</f>
        <v>0</v>
      </c>
      <c r="DU53" s="1" t="n">
        <f aca="false">IF(AND(DD53=1,V53=1),MIN(DM53,DS53),0)</f>
        <v>0</v>
      </c>
      <c r="DV53" s="1" t="n">
        <f aca="false">DM53-DU53</f>
        <v>0</v>
      </c>
      <c r="DW53" s="1" t="n">
        <f aca="false">IF(AG53=1,IF(ABS((1+AS_Wage)/(1+Slot2_Rate)-1)&lt;0.000000000001,(Slot2_Age-D53)*(1+Slot2_Rate)^(Slot2_Age-D53),(1+Slot2_Rate)^(Slot2_Age-D53)*(1-((1+AS_Wage)/(1+Slot2_Rate))^(Slot2_Age-D53))/(1-(1+AS_Wage)/(1+Slot2_Rate))),1)</f>
        <v>1</v>
      </c>
      <c r="DX53" s="1" t="n">
        <f aca="false">IF(AND(DD53=1,DN53&gt;0,Slot2_IsWG=1,AG53=1),MAX(0,(Slot2_Cost-AH53*(1+Slot2_Rate)^(Slot2_Age-D53))/DW53),0)</f>
        <v>0</v>
      </c>
      <c r="DY53" s="1" t="n">
        <f aca="false">IF(AND(DD53=1,DN53&gt;0,Slot2_IsWG=1,AG53=1),MIN(DN53,DX53),0)</f>
        <v>0</v>
      </c>
      <c r="DZ53" s="1" t="n">
        <f aca="false">AH53+DY53</f>
        <v>0</v>
      </c>
      <c r="EA53" s="1" t="n">
        <f aca="false">IF(AG53=1,MAX(0,(Slot2_Cost-DZ53*(1+Slot2_Rate)^(Slot2_Age-D53))/DW53),0)</f>
        <v>0</v>
      </c>
      <c r="EB53" s="1" t="n">
        <f aca="false">IF(AG53=1,MAX(0,(Slot2_Cost-AH53*(1+Slot2_Rate)^(Slot2_Age-D53))/DW53),0)</f>
        <v>0</v>
      </c>
      <c r="EC53" s="1" t="n">
        <f aca="false">IF(AND(DD53=1,AG53=1),MIN(DV53,EA53),0)</f>
        <v>0</v>
      </c>
      <c r="ED53" s="1" t="n">
        <f aca="false">DV53-EC53</f>
        <v>0</v>
      </c>
      <c r="EE53" s="1" t="n">
        <f aca="false">IF(AQ53=1,IF(ABS((1+AS_Wage)/(1+Slot3_Rate)-1)&lt;0.000000000001,(Slot3_Age-D53)*(1+Slot3_Rate)^(Slot3_Age-D53),(1+Slot3_Rate)^(Slot3_Age-D53)*(1-((1+AS_Wage)/(1+Slot3_Rate))^(Slot3_Age-D53))/(1-(1+AS_Wage)/(1+Slot3_Rate))),1)</f>
        <v>1</v>
      </c>
      <c r="EF53" s="1" t="n">
        <f aca="false">IF(AND(DD53=1,DN53&gt;0,Slot3_IsWG=1,AQ53=1),MAX(0,(Slot3_Cost-AR53*(1+Slot3_Rate)^(Slot3_Age-D53))/EE53),0)</f>
        <v>0</v>
      </c>
      <c r="EG53" s="1" t="n">
        <f aca="false">IF(AND(DD53=1,DN53&gt;0,Slot3_IsWG=1,AQ53=1),MIN(DN53,EF53),0)</f>
        <v>0</v>
      </c>
      <c r="EH53" s="1" t="n">
        <f aca="false">AR53+EG53</f>
        <v>0</v>
      </c>
      <c r="EI53" s="1" t="n">
        <f aca="false">IF(AQ53=1,MAX(0,(Slot3_Cost-EH53*(1+Slot3_Rate)^(Slot3_Age-D53))/EE53),0)</f>
        <v>0</v>
      </c>
      <c r="EJ53" s="1" t="n">
        <f aca="false">IF(AQ53=1,MAX(0,(Slot3_Cost-AR53*(1+Slot3_Rate)^(Slot3_Age-D53))/EE53),0)</f>
        <v>0</v>
      </c>
      <c r="EK53" s="1" t="n">
        <f aca="false">IF(AND(DD53=1,AQ53=1),MIN(ED53,EI53),0)</f>
        <v>0</v>
      </c>
      <c r="EL53" s="1" t="n">
        <f aca="false">ED53-EK53</f>
        <v>0</v>
      </c>
      <c r="EM53" s="1" t="n">
        <f aca="false">IF(BA53=1,IF(ABS((1+AS_Wage)/(1+Slot4_Rate)-1)&lt;0.000000000001,(Slot4_Age-D53)*(1+Slot4_Rate)^(Slot4_Age-D53),(1+Slot4_Rate)^(Slot4_Age-D53)*(1-((1+AS_Wage)/(1+Slot4_Rate))^(Slot4_Age-D53))/(1-(1+AS_Wage)/(1+Slot4_Rate))),1)</f>
        <v>1</v>
      </c>
      <c r="EN53" s="1" t="n">
        <f aca="false">IF(AND(DD53=1,DN53&gt;0,Slot4_IsWG=1,BA53=1),MAX(0,(Slot4_Cost-BB53*(1+Slot4_Rate)^(Slot4_Age-D53))/EM53),0)</f>
        <v>0</v>
      </c>
      <c r="EO53" s="1" t="n">
        <f aca="false">IF(AND(DD53=1,DN53&gt;0,Slot4_IsWG=1,BA53=1),MIN(DN53,EN53),0)</f>
        <v>0</v>
      </c>
      <c r="EP53" s="1" t="n">
        <f aca="false">BB53+EO53</f>
        <v>0</v>
      </c>
      <c r="EQ53" s="1" t="n">
        <f aca="false">IF(BA53=1,MAX(0,(Slot4_Cost-EP53*(1+Slot4_Rate)^(Slot4_Age-D53))/EM53),0)</f>
        <v>0</v>
      </c>
      <c r="ER53" s="1" t="n">
        <f aca="false">IF(BA53=1,MAX(0,(Slot4_Cost-BB53*(1+Slot4_Rate)^(Slot4_Age-D53))/EM53),0)</f>
        <v>0</v>
      </c>
      <c r="ES53" s="1" t="n">
        <f aca="false">IF(AND(DD53=1,BA53=1),MIN(EL53,EQ53),0)</f>
        <v>0</v>
      </c>
      <c r="ET53" s="1" t="n">
        <f aca="false">EL53-ES53</f>
        <v>0</v>
      </c>
      <c r="EU53" s="1" t="n">
        <f aca="false">IF(BK53=1,IF(ABS((1+AS_Wage)/(1+Slot5_Rate)-1)&lt;0.000000000001,(Slot5_Age-D53)*(1+Slot5_Rate)^(Slot5_Age-D53),(1+Slot5_Rate)^(Slot5_Age-D53)*(1-((1+AS_Wage)/(1+Slot5_Rate))^(Slot5_Age-D53))/(1-(1+AS_Wage)/(1+Slot5_Rate))),1)</f>
        <v>1</v>
      </c>
      <c r="EV53" s="1" t="n">
        <f aca="false">IF(AND(DD53=1,DN53&gt;0,Slot5_IsWG=1,BK53=1),MAX(0,(Slot5_Cost-BL53*(1+Slot5_Rate)^(Slot5_Age-D53))/EU53),0)</f>
        <v>0</v>
      </c>
      <c r="EW53" s="1" t="n">
        <f aca="false">IF(AND(DD53=1,DN53&gt;0,Slot5_IsWG=1,BK53=1),MIN(DN53,EV53),0)</f>
        <v>0</v>
      </c>
      <c r="EX53" s="1" t="n">
        <f aca="false">BL53+EW53</f>
        <v>0</v>
      </c>
      <c r="EY53" s="1" t="n">
        <f aca="false">IF(BK53=1,MAX(0,(Slot5_Cost-EX53*(1+Slot5_Rate)^(Slot5_Age-D53))/EU53),0)</f>
        <v>0</v>
      </c>
      <c r="EZ53" s="1" t="n">
        <f aca="false">IF(BK53=1,MAX(0,(Slot5_Cost-BL53*(1+Slot5_Rate)^(Slot5_Age-D53))/EU53),0)</f>
        <v>0</v>
      </c>
      <c r="FA53" s="1" t="n">
        <f aca="false">IF(AND(DD53=1,BK53=1),MIN(ET53,EY53),0)</f>
        <v>0</v>
      </c>
      <c r="FB53" s="1" t="n">
        <f aca="false">ET53-FA53</f>
        <v>0</v>
      </c>
      <c r="FC53" s="1" t="n">
        <f aca="false">IF(BU53=1,IF(ABS((1+AS_Wage)/(1+Slot6_Rate)-1)&lt;0.000000000001,(Slot6_Age-D53)*(1+Slot6_Rate)^(Slot6_Age-D53),(1+Slot6_Rate)^(Slot6_Age-D53)*(1-((1+AS_Wage)/(1+Slot6_Rate))^(Slot6_Age-D53))/(1-(1+AS_Wage)/(1+Slot6_Rate))),1)</f>
        <v>1</v>
      </c>
      <c r="FD53" s="1" t="n">
        <f aca="false">IF(AND(DD53=1,DN53&gt;0,Slot6_IsWG=1,BU53=1),MAX(0,(Slot6_Cost-BV53*(1+Slot6_Rate)^(Slot6_Age-D53))/FC53),0)</f>
        <v>0</v>
      </c>
      <c r="FE53" s="1" t="n">
        <f aca="false">IF(AND(DD53=1,DN53&gt;0,Slot6_IsWG=1,BU53=1),MIN(DN53,FD53),0)</f>
        <v>0</v>
      </c>
      <c r="FF53" s="1" t="n">
        <f aca="false">BV53+FE53</f>
        <v>0</v>
      </c>
      <c r="FG53" s="1" t="n">
        <f aca="false">IF(BU53=1,MAX(0,(Slot6_Cost-FF53*(1+Slot6_Rate)^(Slot6_Age-D53))/FC53),0)</f>
        <v>0</v>
      </c>
      <c r="FH53" s="1" t="n">
        <f aca="false">IF(BU53=1,MAX(0,(Slot6_Cost-BV53*(1+Slot6_Rate)^(Slot6_Age-D53))/FC53),0)</f>
        <v>0</v>
      </c>
      <c r="FI53" s="1" t="n">
        <f aca="false">IF(AND(DD53=1,BU53=1),MIN(FB53,FG53),0)</f>
        <v>0</v>
      </c>
      <c r="FJ53" s="1" t="n">
        <f aca="false">FB53-FI53</f>
        <v>0</v>
      </c>
      <c r="FK53" s="1" t="n">
        <f aca="false">IF(CE53=1,IF(ABS((1+AS_Wage)/(1+Slot7_Rate)-1)&lt;0.000000000001,(Slot7_Age-D53)*(1+Slot7_Rate)^(Slot7_Age-D53),(1+Slot7_Rate)^(Slot7_Age-D53)*(1-((1+AS_Wage)/(1+Slot7_Rate))^(Slot7_Age-D53))/(1-(1+AS_Wage)/(1+Slot7_Rate))),1)</f>
        <v>1</v>
      </c>
      <c r="FL53" s="1" t="n">
        <f aca="false">IF(AND(DD53=1,DN53&gt;0,Slot7_IsWG=1,CE53=1),MAX(0,(Slot7_Cost-CF53*(1+Slot7_Rate)^(Slot7_Age-D53))/FK53),0)</f>
        <v>0</v>
      </c>
      <c r="FM53" s="1" t="n">
        <f aca="false">IF(AND(DD53=1,DN53&gt;0,Slot7_IsWG=1,CE53=1),MIN(DN53,FL53),0)</f>
        <v>0</v>
      </c>
      <c r="FN53" s="1" t="n">
        <f aca="false">CF53+FM53</f>
        <v>0</v>
      </c>
      <c r="FO53" s="1" t="n">
        <f aca="false">IF(CE53=1,MAX(0,(Slot7_Cost-FN53*(1+Slot7_Rate)^(Slot7_Age-D53))/FK53),0)</f>
        <v>0</v>
      </c>
      <c r="FP53" s="1" t="n">
        <f aca="false">IF(CE53=1,MAX(0,(Slot7_Cost-CF53*(1+Slot7_Rate)^(Slot7_Age-D53))/FK53),0)</f>
        <v>0</v>
      </c>
      <c r="FQ53" s="1" t="n">
        <f aca="false">IF(AND(DD53=1,CE53=1),MIN(FJ53,FO53),0)</f>
        <v>0</v>
      </c>
      <c r="FR53" s="1" t="n">
        <f aca="false">FJ53-FQ53</f>
        <v>0</v>
      </c>
      <c r="FS53" s="1" t="n">
        <f aca="false">IF(CO53=1,IF(ABS((1+AS_Wage)/(1+Slot8_Rate)-1)&lt;0.000000000001,(Slot8_Age-D53)*(1+Slot8_Rate)^(Slot8_Age-D53),(1+Slot8_Rate)^(Slot8_Age-D53)*(1-((1+AS_Wage)/(1+Slot8_Rate))^(Slot8_Age-D53))/(1-(1+AS_Wage)/(1+Slot8_Rate))),1)</f>
        <v>1</v>
      </c>
      <c r="FT53" s="1" t="n">
        <f aca="false">IF(AND(DD53=1,DN53&gt;0,Slot8_IsWG=1,CO53=1),MAX(0,(Slot8_Cost-CP53*(1+Slot8_Rate)^(Slot8_Age-D53))/FS53),0)</f>
        <v>0</v>
      </c>
      <c r="FU53" s="1" t="n">
        <f aca="false">IF(AND(DD53=1,DN53&gt;0,Slot8_IsWG=1,CO53=1),MIN(DN53,FT53),0)</f>
        <v>0</v>
      </c>
      <c r="FV53" s="1" t="n">
        <f aca="false">CP53+FU53</f>
        <v>0</v>
      </c>
      <c r="FW53" s="1" t="n">
        <f aca="false">IF(CO53=1,MAX(0,(Slot8_Cost-FV53*(1+Slot8_Rate)^(Slot8_Age-D53))/FS53),0)</f>
        <v>0</v>
      </c>
      <c r="FX53" s="1" t="n">
        <f aca="false">IF(CO53=1,MAX(0,(Slot8_Cost-CP53*(1+Slot8_Rate)^(Slot8_Age-D53))/FS53),0)</f>
        <v>0</v>
      </c>
      <c r="FY53" s="1" t="n">
        <f aca="false">IF(AND(DD53=1,CO53=1),MIN(FR53,FW53),0)</f>
        <v>0</v>
      </c>
      <c r="FZ53" s="1" t="n">
        <f aca="false">FR53-FY53</f>
        <v>0</v>
      </c>
      <c r="GA53" s="1" t="n">
        <f aca="false">DN53-(DQ53+DY53+EG53+EO53+EW53+FE53+FM53+FU53)</f>
        <v>0</v>
      </c>
      <c r="GB53" s="1" t="n">
        <f aca="false">IF(DD53=1,DB53-DM53-DN53,0)</f>
        <v>0</v>
      </c>
      <c r="GC53" s="1" t="n">
        <f aca="false">IF(DD53=0,-DB53,0)</f>
        <v>0</v>
      </c>
      <c r="GD53" s="1" t="n">
        <f aca="false">MIN(GC53,CT53)</f>
        <v>0</v>
      </c>
      <c r="GE53" s="1" t="n">
        <f aca="false">GC53-GD53</f>
        <v>0</v>
      </c>
      <c r="GF53" s="1" t="n">
        <f aca="false">MIN(GE53,CU53)</f>
        <v>0</v>
      </c>
      <c r="GG53" s="1" t="n">
        <f aca="false">GE53-GF53</f>
        <v>0</v>
      </c>
      <c r="GH53" s="1" t="n">
        <f aca="false">IF(AND(DD53=0,CO53=1,GG53&gt;0),MIN(GG53,CP53),0)</f>
        <v>0</v>
      </c>
      <c r="GI53" s="1" t="n">
        <f aca="false">GG53-GH53</f>
        <v>0</v>
      </c>
      <c r="GJ53" s="1" t="n">
        <f aca="false">IF(AND(DD53=0,CE53=1,GI53&gt;0),MIN(GI53,CF53),0)</f>
        <v>0</v>
      </c>
      <c r="GK53" s="1" t="n">
        <f aca="false">GI53-GJ53</f>
        <v>0</v>
      </c>
      <c r="GL53" s="1" t="n">
        <f aca="false">IF(AND(DD53=0,BU53=1,GK53&gt;0),MIN(GK53,BV53),0)</f>
        <v>0</v>
      </c>
      <c r="GM53" s="1" t="n">
        <f aca="false">GK53-GL53</f>
        <v>0</v>
      </c>
      <c r="GN53" s="1" t="n">
        <f aca="false">IF(AND(DD53=0,BK53=1,GM53&gt;0),MIN(GM53,BL53),0)</f>
        <v>0</v>
      </c>
      <c r="GO53" s="1" t="n">
        <f aca="false">GM53-GN53</f>
        <v>0</v>
      </c>
      <c r="GP53" s="1" t="n">
        <f aca="false">IF(AND(DD53=0,BA53=1,GO53&gt;0),MIN(GO53,BB53),0)</f>
        <v>0</v>
      </c>
      <c r="GQ53" s="1" t="n">
        <f aca="false">GO53-GP53</f>
        <v>0</v>
      </c>
      <c r="GR53" s="1" t="n">
        <f aca="false">IF(AND(DD53=0,AQ53=1,GQ53&gt;0),MIN(GQ53,AR53),0)</f>
        <v>0</v>
      </c>
      <c r="GS53" s="1" t="n">
        <f aca="false">GQ53-GR53</f>
        <v>0</v>
      </c>
      <c r="GT53" s="1" t="n">
        <f aca="false">IF(AND(DD53=0,AG53=1,GS53&gt;0),MIN(GS53,AH53),0)</f>
        <v>0</v>
      </c>
      <c r="GU53" s="1" t="n">
        <f aca="false">GS53-GT53</f>
        <v>0</v>
      </c>
      <c r="GV53" s="1" t="n">
        <f aca="false">IF(AND(DD53=0,V53=1,GU53&gt;0),MIN(GU53,W53),0)</f>
        <v>0</v>
      </c>
      <c r="GW53" s="1" t="n">
        <f aca="false">GU53-GV53</f>
        <v>0</v>
      </c>
      <c r="GX53" s="1" t="n">
        <f aca="false">IF(DD53=0,GW53,0)</f>
        <v>0</v>
      </c>
      <c r="GY53" s="1" t="n">
        <f aca="false">GD53+GF53+GV53+GT53+GR53+GP53+GN53+GL53+GJ53+GH53</f>
        <v>0</v>
      </c>
      <c r="GZ53" s="1" t="n">
        <f aca="false">IF(DD53=1,CT53+GA53+FZ53+IF(F53=1,0,GB53),CT53-GD53)</f>
        <v>0</v>
      </c>
      <c r="HA53" s="1" t="n">
        <f aca="false">CU53-GF53</f>
        <v>0</v>
      </c>
      <c r="HB53" s="1" t="n">
        <f aca="false">IF(DD53=1,IF(F53=1,DM53+DN53,DB53),0)</f>
        <v>0</v>
      </c>
      <c r="HC53" s="1" t="n">
        <f aca="false">IF(DD53=1,IF(F53=1,DB53-DM53-DN53,0),0)</f>
        <v>0</v>
      </c>
      <c r="HD53" s="1" t="n">
        <f aca="false">GZ53*(1+GR)</f>
        <v>0</v>
      </c>
      <c r="HE53" s="1" t="n">
        <f aca="false">HA53*(1+AS_Cash)</f>
        <v>0</v>
      </c>
      <c r="HF53" s="1" t="n">
        <f aca="false">IF(V53=1,IF(DD53=1,DR53+DU53,W53-GV53)*(1+Slot1_Rate),0)</f>
        <v>0</v>
      </c>
      <c r="HG53" s="1" t="n">
        <f aca="false">IF(AND(DD53=1,V53=1),(DQ53+DU53)/E53,0)</f>
        <v>0</v>
      </c>
      <c r="HH53" s="1" t="n">
        <f aca="false">IF(B53=0,DQ53+DU53,0)</f>
        <v>0</v>
      </c>
      <c r="HI53" s="1" t="n">
        <f aca="false">IF(B53=0,IF(DD53=1,DS53,DT53),0)</f>
        <v>0</v>
      </c>
      <c r="HJ53" s="1" t="n">
        <f aca="false">IF(AG53=1,IF(DD53=1,DZ53+EC53,AH53-GT53)*(1+Slot2_Rate),0)</f>
        <v>0</v>
      </c>
      <c r="HK53" s="1" t="n">
        <f aca="false">IF(AND(DD53=1,AG53=1),(DY53+EC53)/E53,0)</f>
        <v>0</v>
      </c>
      <c r="HL53" s="1" t="n">
        <f aca="false">IF(B53=0,DY53+EC53,0)</f>
        <v>0</v>
      </c>
      <c r="HM53" s="1" t="n">
        <f aca="false">IF(B53=0,IF(DD53=1,EA53,EB53),0)</f>
        <v>0</v>
      </c>
      <c r="HN53" s="1" t="n">
        <f aca="false">IF(AQ53=1,IF(DD53=1,EH53+EK53,AR53-GR53)*(1+Slot3_Rate),0)</f>
        <v>0</v>
      </c>
      <c r="HO53" s="1" t="n">
        <f aca="false">IF(AND(DD53=1,AQ53=1),(EG53+EK53)/E53,0)</f>
        <v>0</v>
      </c>
      <c r="HP53" s="1" t="n">
        <f aca="false">IF(B53=0,EG53+EK53,0)</f>
        <v>0</v>
      </c>
      <c r="HQ53" s="1" t="n">
        <f aca="false">IF(B53=0,IF(DD53=1,EI53,EJ53),0)</f>
        <v>0</v>
      </c>
      <c r="HR53" s="1" t="n">
        <f aca="false">IF(BA53=1,IF(DD53=1,EP53+ES53,BB53-GP53)*(1+Slot4_Rate),0)</f>
        <v>0</v>
      </c>
      <c r="HS53" s="1" t="n">
        <f aca="false">IF(AND(DD53=1,BA53=1),(EO53+ES53)/E53,0)</f>
        <v>0</v>
      </c>
      <c r="HT53" s="1" t="n">
        <f aca="false">IF(B53=0,EO53+ES53,0)</f>
        <v>0</v>
      </c>
      <c r="HU53" s="1" t="n">
        <f aca="false">IF(B53=0,IF(DD53=1,EQ53,ER53),0)</f>
        <v>0</v>
      </c>
      <c r="HV53" s="1" t="n">
        <f aca="false">IF(BK53=1,IF(DD53=1,EX53+FA53,BL53-GN53)*(1+Slot5_Rate),0)</f>
        <v>0</v>
      </c>
      <c r="HW53" s="1" t="n">
        <f aca="false">IF(AND(DD53=1,BK53=1),(EW53+FA53)/E53,0)</f>
        <v>0</v>
      </c>
      <c r="HX53" s="1" t="n">
        <f aca="false">IF(B53=0,EW53+FA53,0)</f>
        <v>0</v>
      </c>
      <c r="HY53" s="1" t="n">
        <f aca="false">IF(B53=0,IF(DD53=1,EY53,EZ53),0)</f>
        <v>0</v>
      </c>
      <c r="HZ53" s="1" t="n">
        <f aca="false">IF(BU53=1,IF(DD53=1,FF53+FI53,BV53-GL53)*(1+Slot6_Rate),0)</f>
        <v>0</v>
      </c>
      <c r="IA53" s="1" t="n">
        <f aca="false">IF(AND(DD53=1,BU53=1),(FE53+FI53)/E53,0)</f>
        <v>0</v>
      </c>
      <c r="IB53" s="1" t="n">
        <f aca="false">IF(B53=0,FE53+FI53,0)</f>
        <v>0</v>
      </c>
      <c r="IC53" s="1" t="n">
        <f aca="false">IF(B53=0,IF(DD53=1,FG53,FH53),0)</f>
        <v>0</v>
      </c>
      <c r="ID53" s="1" t="n">
        <f aca="false">IF(CE53=1,IF(DD53=1,FN53+FQ53,CF53-GJ53)*(1+Slot7_Rate),0)</f>
        <v>0</v>
      </c>
      <c r="IE53" s="1" t="n">
        <f aca="false">IF(AND(DD53=1,CE53=1),(FM53+FQ53)/E53,0)</f>
        <v>0</v>
      </c>
      <c r="IF53" s="1" t="n">
        <f aca="false">IF(B53=0,FM53+FQ53,0)</f>
        <v>0</v>
      </c>
      <c r="IG53" s="1" t="n">
        <f aca="false">IF(B53=0,IF(DD53=1,FO53,FP53),0)</f>
        <v>0</v>
      </c>
      <c r="IH53" s="1" t="n">
        <f aca="false">IF(CO53=1,IF(DD53=1,FV53+FY53,CP53-GH53)*(1+Slot8_Rate),0)</f>
        <v>0</v>
      </c>
      <c r="II53" s="1" t="n">
        <f aca="false">IF(AND(DD53=1,CO53=1),(FU53+FY53)/E53,0)</f>
        <v>0</v>
      </c>
      <c r="IJ53" s="1" t="n">
        <f aca="false">IF(B53=0,FU53+FY53,0)</f>
        <v>0</v>
      </c>
      <c r="IK53" s="1" t="n">
        <f aca="false">IF(B53=0,IF(DD53=1,FW53,FX53),0)</f>
        <v>0</v>
      </c>
      <c r="IL53" s="1" t="n">
        <f aca="false">HD53+HE53+HF53+HJ53+HN53+HR53+HV53+HZ53+ID53+IH53</f>
        <v>0</v>
      </c>
      <c r="IM53" s="1" t="n">
        <f aca="false">GX53+CY53</f>
        <v>0</v>
      </c>
      <c r="IN53" s="1" t="n">
        <f aca="false">H53+R53</f>
        <v>0</v>
      </c>
      <c r="IO53" s="1" t="n">
        <f aca="false">1-F53</f>
        <v>1</v>
      </c>
      <c r="IP53" s="1" t="n">
        <f aca="false">IF(AND(RG_Exists=1,F53=0,C53=1),H53,0)</f>
        <v>0</v>
      </c>
      <c r="IQ53" s="1" t="n">
        <f aca="false">IF(AND(RG_Exists=1,F53=0,C53=1),H53-MIN(GX53,H53),0)</f>
        <v>0</v>
      </c>
      <c r="IR53" s="1" t="n">
        <f aca="false">'Plan pay &amp; tax'!AD255</f>
        <v>0</v>
      </c>
      <c r="IS53" s="1" t="n">
        <f aca="false">IF(AND(C53=1,GX53&gt;MAX(PR_Short1,IN53*PR_Short2)),1,0)</f>
        <v>0</v>
      </c>
      <c r="IT53" s="1" t="n">
        <f aca="false">MIN(G53,H53+R53)</f>
        <v>0</v>
      </c>
      <c r="IU53" s="1" t="n">
        <f aca="false">GY53+MAX(0,CZ53-CY53)</f>
        <v>0</v>
      </c>
      <c r="IV53" s="1" t="n">
        <f aca="false">GX53+CY53</f>
        <v>0</v>
      </c>
      <c r="IW53" s="1" t="n">
        <f aca="false">IF(AND(C53=1,IV53&gt;0.5),1,0)</f>
        <v>0</v>
      </c>
      <c r="IX53" s="1" t="n">
        <f aca="false">IF(AND(C53=1,IW53=0,IU53&gt;0.5),1,0)</f>
        <v>0</v>
      </c>
      <c r="IY53" s="1" t="n">
        <f aca="false">IF(AND(C53=1,GX53&gt;0.5),1,0)</f>
        <v>0</v>
      </c>
      <c r="IZ53" s="1" t="n">
        <f aca="false">IF(AND(C53=1,GY53&gt;1,JF53=0),1,0)</f>
        <v>0</v>
      </c>
      <c r="JA53" s="1" t="n">
        <f aca="false">IF(AND(INT(D53/10)*10=90,B53&gt;0),80,INT(D53/10)*10)</f>
        <v>40</v>
      </c>
      <c r="JB53" s="1" t="n">
        <f aca="false">IF(B53=0,1,IF(JA53&lt;&gt;JA52,JB52+1,JB52))</f>
        <v>5</v>
      </c>
      <c r="JC53" s="1" t="n">
        <f aca="false">IF(AND(C53=1,F53=1,GX53&gt;MAX(PR_Short1,IN53*PR_Short2)),1,0)</f>
        <v>0</v>
      </c>
      <c r="JD53" s="1" t="n">
        <f aca="false">IO53*IS53</f>
        <v>0</v>
      </c>
      <c r="JE53" s="1" t="n">
        <f aca="false">IF(AND(U53=1,Slot1_PctLow=1),1,0)+IF(AND(AF53=1,Slot2_PctLow=1),1,0)+IF(AND(AP53=1,Slot3_PctLow=1),1,0)+IF(AND(AZ53=1,Slot4_PctLow=1),1,0)+IF(AND(BJ53=1,Slot5_PctLow=1),1,0)+IF(AND(BT53=1,Slot6_PctLow=1),1,0)+IF(AND(CD53=1,Slot7_PctLow=1),1,0)+IF(AND(CN53=1,Slot8_PctLow=1),1,0)</f>
        <v>0</v>
      </c>
      <c r="JF53" s="1" t="n">
        <f aca="false">IF(C53=1,IF(OR(IS53=1,JE53&gt;0),1,0),0)</f>
        <v>0</v>
      </c>
    </row>
    <row r="54" customFormat="false" ht="15" hidden="false" customHeight="false" outlineLevel="0" collapsed="false">
      <c r="B54" s="1" t="n">
        <v>46</v>
      </c>
      <c r="C54" s="1" t="n">
        <f aca="false">IF(B54&lt;=F_N,1,0)</f>
        <v>1</v>
      </c>
      <c r="D54" s="1" t="n">
        <f aca="false">'Plan pay &amp; tax'!C256</f>
        <v>46</v>
      </c>
      <c r="E54" s="106" t="n">
        <f aca="false">'Plan pay &amp; tax'!E256</f>
        <v>2.48661128940737</v>
      </c>
      <c r="F54" s="1" t="n">
        <f aca="false">'Plan pay &amp; tax'!G256</f>
        <v>0</v>
      </c>
      <c r="G54" s="1" t="n">
        <f aca="false">'Plan pay &amp; tax'!BT256-'Plan pay &amp; tax'!BS256-'Plan pay &amp; tax'!R256</f>
        <v>0</v>
      </c>
      <c r="H54" s="1" t="n">
        <f aca="false">IF(F54=1,F_CostsM*12,IF(RG_Exists=1,RG_Amount,F_CostsM*12*AS_RetireSpend))*E54+F_OneOffY*E54</f>
        <v>0</v>
      </c>
      <c r="I54" s="1" t="n">
        <f aca="false">DA53</f>
        <v>0</v>
      </c>
      <c r="J54" s="1" t="n">
        <f aca="false">IF(I54&gt;1,'Plan debt months'!AC54,0)</f>
        <v>0</v>
      </c>
      <c r="K54" s="1" t="n">
        <f aca="false">IF(I54&gt;1,'Plan debt months'!AB54,I54)</f>
        <v>0</v>
      </c>
      <c r="L54" s="1" t="n">
        <f aca="false">N53</f>
        <v>0</v>
      </c>
      <c r="M54" s="1" t="n">
        <f aca="false">IF(L54&gt;1,'Plan debt months'!BD54,0)</f>
        <v>0</v>
      </c>
      <c r="N54" s="1" t="n">
        <f aca="false">IF(L54&gt;1,'Plan debt months'!BC54,L54)</f>
        <v>0</v>
      </c>
      <c r="O54" s="1" t="n">
        <f aca="false">Q53</f>
        <v>0</v>
      </c>
      <c r="P54" s="1" t="n">
        <f aca="false">IF(O54&gt;1,'Plan debt months'!CE54,0)</f>
        <v>0</v>
      </c>
      <c r="Q54" s="1" t="n">
        <f aca="false">IF(O54&gt;1,'Plan debt months'!CD54,O54)</f>
        <v>0</v>
      </c>
      <c r="R54" s="1" t="n">
        <f aca="false">J54+M54+P54</f>
        <v>0</v>
      </c>
      <c r="S54" s="1" t="n">
        <f aca="false">HD53+'Plan pay &amp; tax'!Y256</f>
        <v>0</v>
      </c>
      <c r="T54" s="1" t="n">
        <f aca="false">HD53</f>
        <v>0</v>
      </c>
      <c r="U54" s="1" t="n">
        <f aca="false">IF(AND(Slot1_On=1,D54=Slot1_Age),1,0)</f>
        <v>0</v>
      </c>
      <c r="V54" s="1" t="n">
        <f aca="false">IF(AND(Slot1_On=1,Slot1_Age&gt;D54),1,0)</f>
        <v>0</v>
      </c>
      <c r="W54" s="1" t="n">
        <f aca="false">HF53</f>
        <v>0</v>
      </c>
      <c r="X54" s="1" t="n">
        <f aca="false">U54*MIN(Slot1_Cost,W54)</f>
        <v>0</v>
      </c>
      <c r="Y54" s="1" t="n">
        <f aca="false">U54*Slot1_SpendLike*MIN(Slot1_Cost-X54,S54)</f>
        <v>0</v>
      </c>
      <c r="Z54" s="1" t="n">
        <f aca="false">X54+Y54</f>
        <v>0</v>
      </c>
      <c r="AA54" s="1" t="n">
        <f aca="false">S54-Y54+U54*IF(Slot1_SpendLike=1,W54-X54,IF(Slot1_PotFree=1,W54,0))</f>
        <v>0</v>
      </c>
      <c r="AB54" s="1" t="n">
        <f aca="false">AE54+U54*Slot1_BufPot*W54</f>
        <v>0</v>
      </c>
      <c r="AC54" s="1" t="n">
        <f aca="false">IF(AND(U54=1,Slot1_IsMfree=1),IF(Z54&gt;=Slot1_Cost-1,0,MAX(0,K54-Z54)),K54)</f>
        <v>0</v>
      </c>
      <c r="AD54" s="1" t="n">
        <f aca="false">U54*(Slot1_Cost-Z54)</f>
        <v>0</v>
      </c>
      <c r="AE54" s="1" t="n">
        <f aca="false">HE53</f>
        <v>0</v>
      </c>
      <c r="AF54" s="1" t="n">
        <f aca="false">IF(AND(Slot2_On=1,D54=Slot2_Age),1,0)</f>
        <v>0</v>
      </c>
      <c r="AG54" s="1" t="n">
        <f aca="false">IF(AND(Slot2_On=1,Slot2_Age&gt;D54),1,0)</f>
        <v>0</v>
      </c>
      <c r="AH54" s="1" t="n">
        <f aca="false">HJ53</f>
        <v>0</v>
      </c>
      <c r="AI54" s="1" t="n">
        <f aca="false">AF54*MIN(Slot2_Cost,AH54)</f>
        <v>0</v>
      </c>
      <c r="AJ54" s="1" t="n">
        <f aca="false">AF54*Slot2_SpendLike*MIN(Slot2_Cost-AI54,AA54)</f>
        <v>0</v>
      </c>
      <c r="AK54" s="1" t="n">
        <f aca="false">AI54+AJ54</f>
        <v>0</v>
      </c>
      <c r="AL54" s="1" t="n">
        <f aca="false">AA54-AJ54+AF54*IF(Slot2_SpendLike=1,AH54-AI54,IF(Slot2_PotFree=1,AH54,0))</f>
        <v>0</v>
      </c>
      <c r="AM54" s="1" t="n">
        <f aca="false">AB54+AF54*Slot2_BufPot*AH54</f>
        <v>0</v>
      </c>
      <c r="AN54" s="1" t="n">
        <f aca="false">IF(AND(AF54=1,Slot2_IsMfree=1),IF(AK54&gt;=Slot2_Cost-1,0,MAX(0,AC54-AK54)),AC54)</f>
        <v>0</v>
      </c>
      <c r="AO54" s="1" t="n">
        <f aca="false">AF54*(Slot2_Cost-AK54)</f>
        <v>0</v>
      </c>
      <c r="AP54" s="1" t="n">
        <f aca="false">IF(AND(Slot3_On=1,D54=Slot3_Age),1,0)</f>
        <v>0</v>
      </c>
      <c r="AQ54" s="1" t="n">
        <f aca="false">IF(AND(Slot3_On=1,Slot3_Age&gt;D54),1,0)</f>
        <v>0</v>
      </c>
      <c r="AR54" s="1" t="n">
        <f aca="false">HN53</f>
        <v>0</v>
      </c>
      <c r="AS54" s="1" t="n">
        <f aca="false">AP54*MIN(Slot3_Cost,AR54)</f>
        <v>0</v>
      </c>
      <c r="AT54" s="1" t="n">
        <f aca="false">AP54*Slot3_SpendLike*MIN(Slot3_Cost-AS54,AL54)</f>
        <v>0</v>
      </c>
      <c r="AU54" s="1" t="n">
        <f aca="false">AS54+AT54</f>
        <v>0</v>
      </c>
      <c r="AV54" s="1" t="n">
        <f aca="false">AL54-AT54+AP54*IF(Slot3_SpendLike=1,AR54-AS54,IF(Slot3_PotFree=1,AR54,0))</f>
        <v>0</v>
      </c>
      <c r="AW54" s="1" t="n">
        <f aca="false">AM54+AP54*Slot3_BufPot*AR54</f>
        <v>0</v>
      </c>
      <c r="AX54" s="1" t="n">
        <f aca="false">IF(AND(AP54=1,Slot3_IsMfree=1),IF(AU54&gt;=Slot3_Cost-1,0,MAX(0,AN54-AU54)),AN54)</f>
        <v>0</v>
      </c>
      <c r="AY54" s="1" t="n">
        <f aca="false">AP54*(Slot3_Cost-AU54)</f>
        <v>0</v>
      </c>
      <c r="AZ54" s="1" t="n">
        <f aca="false">IF(AND(Slot4_On=1,D54=Slot4_Age),1,0)</f>
        <v>0</v>
      </c>
      <c r="BA54" s="1" t="n">
        <f aca="false">IF(AND(Slot4_On=1,Slot4_Age&gt;D54),1,0)</f>
        <v>0</v>
      </c>
      <c r="BB54" s="1" t="n">
        <f aca="false">HR53</f>
        <v>0</v>
      </c>
      <c r="BC54" s="1" t="n">
        <f aca="false">AZ54*MIN(Slot4_Cost,BB54)</f>
        <v>0</v>
      </c>
      <c r="BD54" s="1" t="n">
        <f aca="false">AZ54*Slot4_SpendLike*MIN(Slot4_Cost-BC54,AV54)</f>
        <v>0</v>
      </c>
      <c r="BE54" s="1" t="n">
        <f aca="false">BC54+BD54</f>
        <v>0</v>
      </c>
      <c r="BF54" s="1" t="n">
        <f aca="false">AV54-BD54+AZ54*IF(Slot4_SpendLike=1,BB54-BC54,IF(Slot4_PotFree=1,BB54,0))</f>
        <v>0</v>
      </c>
      <c r="BG54" s="1" t="n">
        <f aca="false">AW54+AZ54*Slot4_BufPot*BB54</f>
        <v>0</v>
      </c>
      <c r="BH54" s="1" t="n">
        <f aca="false">IF(AND(AZ54=1,Slot4_IsMfree=1),IF(BE54&gt;=Slot4_Cost-1,0,MAX(0,AX54-BE54)),AX54)</f>
        <v>0</v>
      </c>
      <c r="BI54" s="1" t="n">
        <f aca="false">AZ54*(Slot4_Cost-BE54)</f>
        <v>0</v>
      </c>
      <c r="BJ54" s="1" t="n">
        <f aca="false">IF(AND(Slot5_On=1,D54=Slot5_Age),1,0)</f>
        <v>0</v>
      </c>
      <c r="BK54" s="1" t="n">
        <f aca="false">IF(AND(Slot5_On=1,Slot5_Age&gt;D54),1,0)</f>
        <v>0</v>
      </c>
      <c r="BL54" s="1" t="n">
        <f aca="false">HV53</f>
        <v>0</v>
      </c>
      <c r="BM54" s="1" t="n">
        <f aca="false">BJ54*MIN(Slot5_Cost,BL54)</f>
        <v>0</v>
      </c>
      <c r="BN54" s="1" t="n">
        <f aca="false">BJ54*Slot5_SpendLike*MIN(Slot5_Cost-BM54,BF54)</f>
        <v>0</v>
      </c>
      <c r="BO54" s="1" t="n">
        <f aca="false">BM54+BN54</f>
        <v>0</v>
      </c>
      <c r="BP54" s="1" t="n">
        <f aca="false">BF54-BN54+BJ54*IF(Slot5_SpendLike=1,BL54-BM54,IF(Slot5_PotFree=1,BL54,0))</f>
        <v>0</v>
      </c>
      <c r="BQ54" s="1" t="n">
        <f aca="false">BG54+BJ54*Slot5_BufPot*BL54</f>
        <v>0</v>
      </c>
      <c r="BR54" s="1" t="n">
        <f aca="false">IF(AND(BJ54=1,Slot5_IsMfree=1),IF(BO54&gt;=Slot5_Cost-1,0,MAX(0,BH54-BO54)),BH54)</f>
        <v>0</v>
      </c>
      <c r="BS54" s="1" t="n">
        <f aca="false">BJ54*(Slot5_Cost-BO54)</f>
        <v>0</v>
      </c>
      <c r="BT54" s="1" t="n">
        <f aca="false">IF(AND(Slot6_On=1,D54=Slot6_Age),1,0)</f>
        <v>0</v>
      </c>
      <c r="BU54" s="1" t="n">
        <f aca="false">IF(AND(Slot6_On=1,Slot6_Age&gt;D54),1,0)</f>
        <v>0</v>
      </c>
      <c r="BV54" s="1" t="n">
        <f aca="false">HZ53</f>
        <v>0</v>
      </c>
      <c r="BW54" s="1" t="n">
        <f aca="false">BT54*MIN(Slot6_Cost,BV54)</f>
        <v>0</v>
      </c>
      <c r="BX54" s="1" t="n">
        <f aca="false">BT54*Slot6_SpendLike*MIN(Slot6_Cost-BW54,BP54)</f>
        <v>0</v>
      </c>
      <c r="BY54" s="1" t="n">
        <f aca="false">BW54+BX54</f>
        <v>0</v>
      </c>
      <c r="BZ54" s="1" t="n">
        <f aca="false">BP54-BX54+BT54*IF(Slot6_SpendLike=1,BV54-BW54,IF(Slot6_PotFree=1,BV54,0))</f>
        <v>0</v>
      </c>
      <c r="CA54" s="1" t="n">
        <f aca="false">BQ54+BT54*Slot6_BufPot*BV54</f>
        <v>0</v>
      </c>
      <c r="CB54" s="1" t="n">
        <f aca="false">IF(AND(BT54=1,Slot6_IsMfree=1),IF(BY54&gt;=Slot6_Cost-1,0,MAX(0,BR54-BY54)),BR54)</f>
        <v>0</v>
      </c>
      <c r="CC54" s="1" t="n">
        <f aca="false">BT54*(Slot6_Cost-BY54)</f>
        <v>0</v>
      </c>
      <c r="CD54" s="1" t="n">
        <f aca="false">IF(AND(Slot7_On=1,D54=Slot7_Age),1,0)</f>
        <v>0</v>
      </c>
      <c r="CE54" s="1" t="n">
        <f aca="false">IF(AND(Slot7_On=1,Slot7_Age&gt;D54),1,0)</f>
        <v>0</v>
      </c>
      <c r="CF54" s="1" t="n">
        <f aca="false">ID53</f>
        <v>0</v>
      </c>
      <c r="CG54" s="1" t="n">
        <f aca="false">CD54*MIN(Slot7_Cost,CF54)</f>
        <v>0</v>
      </c>
      <c r="CH54" s="1" t="n">
        <f aca="false">CD54*Slot7_SpendLike*MIN(Slot7_Cost-CG54,BZ54)</f>
        <v>0</v>
      </c>
      <c r="CI54" s="1" t="n">
        <f aca="false">CG54+CH54</f>
        <v>0</v>
      </c>
      <c r="CJ54" s="1" t="n">
        <f aca="false">BZ54-CH54+CD54*IF(Slot7_SpendLike=1,CF54-CG54,IF(Slot7_PotFree=1,CF54,0))</f>
        <v>0</v>
      </c>
      <c r="CK54" s="1" t="n">
        <f aca="false">CA54+CD54*Slot7_BufPot*CF54</f>
        <v>0</v>
      </c>
      <c r="CL54" s="1" t="n">
        <f aca="false">IF(AND(CD54=1,Slot7_IsMfree=1),IF(CI54&gt;=Slot7_Cost-1,0,MAX(0,CB54-CI54)),CB54)</f>
        <v>0</v>
      </c>
      <c r="CM54" s="1" t="n">
        <f aca="false">CD54*(Slot7_Cost-CI54)</f>
        <v>0</v>
      </c>
      <c r="CN54" s="1" t="n">
        <f aca="false">IF(AND(Slot8_On=1,D54=Slot8_Age),1,0)</f>
        <v>0</v>
      </c>
      <c r="CO54" s="1" t="n">
        <f aca="false">IF(AND(Slot8_On=1,Slot8_Age&gt;D54),1,0)</f>
        <v>0</v>
      </c>
      <c r="CP54" s="1" t="n">
        <f aca="false">IH53</f>
        <v>0</v>
      </c>
      <c r="CQ54" s="1" t="n">
        <f aca="false">CN54*MIN(Slot8_Cost,CP54)</f>
        <v>0</v>
      </c>
      <c r="CR54" s="1" t="n">
        <f aca="false">CN54*Slot8_SpendLike*MIN(Slot8_Cost-CQ54,CJ54)</f>
        <v>0</v>
      </c>
      <c r="CS54" s="1" t="n">
        <f aca="false">CQ54+CR54</f>
        <v>0</v>
      </c>
      <c r="CT54" s="1" t="n">
        <f aca="false">CJ54-CR54+CN54*IF(Slot8_SpendLike=1,CP54-CQ54,IF(Slot8_PotFree=1,CP54,0))</f>
        <v>0</v>
      </c>
      <c r="CU54" s="1" t="n">
        <f aca="false">CK54+CN54*Slot8_BufPot*CP54</f>
        <v>0</v>
      </c>
      <c r="CV54" s="1" t="n">
        <f aca="false">IF(AND(CN54=1,Slot8_IsMfree=1),IF(CS54&gt;=Slot8_Cost-1,0,MAX(0,CL54-CS54)),CL54)</f>
        <v>0</v>
      </c>
      <c r="CW54" s="1" t="n">
        <f aca="false">CN54*(Slot8_Cost-CS54)</f>
        <v>0</v>
      </c>
      <c r="CX54" s="1" t="n">
        <f aca="false">U54*Slot1_SpendLike*Z54+AF54*Slot2_SpendLike*AK54+AP54*Slot3_SpendLike*AU54+AZ54*Slot4_SpendLike*BE54+BJ54*Slot5_SpendLike*BO54+BT54*Slot6_SpendLike*BY54+CD54*Slot7_SpendLike*CI54+CN54*Slot8_SpendLike*CS54</f>
        <v>0</v>
      </c>
      <c r="CY54" s="1" t="n">
        <f aca="false">AD54+AO54+AY54+BI54+BS54+CC54+CM54+CW54</f>
        <v>0</v>
      </c>
      <c r="CZ54" s="1" t="n">
        <f aca="false">U54*Slot1_Cost+AF54*Slot2_Cost+AP54*Slot3_Cost+AZ54*Slot4_Cost+BJ54*Slot5_Cost+BT54*Slot6_Cost+CD54*Slot7_Cost+CN54*Slot8_Cost</f>
        <v>0</v>
      </c>
      <c r="DA54" s="1" t="n">
        <f aca="false">CV54</f>
        <v>0</v>
      </c>
      <c r="DB54" s="1" t="n">
        <f aca="false">G54-H54-R54</f>
        <v>0</v>
      </c>
      <c r="DC54" s="1" t="n">
        <f aca="false">IF(B54=0,IF(AND(Has_q6=1,In_q6=4),PR_ShareVaries*(MAX(0,DB54)/12),MIN(IF(Has_q6=1,CHOOSE(In_q6+1,PR_SaveB1,PR_SaveB2,PR_SaveB3,PR_SaveB4,0),AS_NoAnswer),AS_SaveShare*(MAX(0,DB54)/12))),DC53)</f>
        <v>0</v>
      </c>
      <c r="DD54" s="1" t="n">
        <f aca="false">IF(DB54&gt;=0,1,0)</f>
        <v>1</v>
      </c>
      <c r="DE54" s="1" t="n">
        <f aca="false">MAX(0,DB54/12/E54)</f>
        <v>0</v>
      </c>
      <c r="DF54" s="1" t="n">
        <f aca="false">IF(AND(Has_q6=1,In_q6=4),PR_ShareVaries*(DE54),MIN(IF(Has_q6=1,CHOOSE(In_q6+1,PR_SaveB1,PR_SaveB2,PR_SaveB3,PR_SaveB4,0),AS_NoAnswer),AS_SaveShare*(DE54)))</f>
        <v>0</v>
      </c>
      <c r="DG54" s="1" t="n">
        <f aca="false">IF(Has_saveM=1,IF(In_saveUp="Yes",1,IF(In_saveUp="No",0,IF(In_saveM&gt;=DC54-0.5,1,0))),0)</f>
        <v>0</v>
      </c>
      <c r="DH54" s="1" t="n">
        <f aca="false">IF(Has_saveM=1,MIN(DE54,IF(DG54=1,MAX(In_saveM,DF54),MIN(In_saveM,DF54))),DF54)</f>
        <v>0</v>
      </c>
      <c r="DI54" s="1" t="n">
        <f aca="false">IF(F54=1,DH54*12*E54,0)</f>
        <v>0</v>
      </c>
      <c r="DJ54" s="1" t="n">
        <f aca="false">MAX(0,DI54+IF(AND(WI_Retire=0,WI_M&lt;0,F54=1),WI_M*12*E54,0))</f>
        <v>0</v>
      </c>
      <c r="DK54" s="1" t="n">
        <f aca="false">Slot1_IsWG*V54+Slot2_IsWG*AG54+Slot3_IsWG*AQ54+Slot4_IsWG*BA54+Slot5_IsWG*BK54+Slot6_IsWG*BU54+Slot7_IsWG*CE54+Slot8_IsWG*CO54</f>
        <v>0</v>
      </c>
      <c r="DL54" s="1" t="n">
        <f aca="false">IF(AND(WI_Retire=0,WI_M&gt;0,F54=1,DK54&gt;=1),WI_M*12*E54,0)</f>
        <v>0</v>
      </c>
      <c r="DM54" s="1" t="n">
        <f aca="false">IF(DD54=1,MIN(DJ54,DB54),0)</f>
        <v>0</v>
      </c>
      <c r="DN54" s="1" t="n">
        <f aca="false">IF(DD54=1,MIN(DL54,DB54-DM54),0)</f>
        <v>0</v>
      </c>
      <c r="DO54" s="1" t="n">
        <f aca="false">IF(V54=1,IF(ABS((1+AS_Wage)/(1+Slot1_Rate)-1)&lt;0.000000000001,(Slot1_Age-D54)*(1+Slot1_Rate)^(Slot1_Age-D54),(1+Slot1_Rate)^(Slot1_Age-D54)*(1-((1+AS_Wage)/(1+Slot1_Rate))^(Slot1_Age-D54))/(1-(1+AS_Wage)/(1+Slot1_Rate))),1)</f>
        <v>1</v>
      </c>
      <c r="DP54" s="1" t="n">
        <f aca="false">IF(AND(DD54=1,DN54&gt;0,Slot1_IsWG=1,V54=1),MAX(0,(Slot1_Cost-W54*(1+Slot1_Rate)^(Slot1_Age-D54))/DO54),0)</f>
        <v>0</v>
      </c>
      <c r="DQ54" s="1" t="n">
        <f aca="false">IF(AND(DD54=1,DN54&gt;0,Slot1_IsWG=1,V54=1),MIN(DN54,DP54),0)</f>
        <v>0</v>
      </c>
      <c r="DR54" s="1" t="n">
        <f aca="false">W54+DQ54</f>
        <v>0</v>
      </c>
      <c r="DS54" s="1" t="n">
        <f aca="false">IF(V54=1,MAX(0,(Slot1_Cost-DR54*(1+Slot1_Rate)^(Slot1_Age-D54))/DO54),0)</f>
        <v>0</v>
      </c>
      <c r="DT54" s="1" t="n">
        <f aca="false">IF(V54=1,MAX(0,(Slot1_Cost-W54*(1+Slot1_Rate)^(Slot1_Age-D54))/DO54),0)</f>
        <v>0</v>
      </c>
      <c r="DU54" s="1" t="n">
        <f aca="false">IF(AND(DD54=1,V54=1),MIN(DM54,DS54),0)</f>
        <v>0</v>
      </c>
      <c r="DV54" s="1" t="n">
        <f aca="false">DM54-DU54</f>
        <v>0</v>
      </c>
      <c r="DW54" s="1" t="n">
        <f aca="false">IF(AG54=1,IF(ABS((1+AS_Wage)/(1+Slot2_Rate)-1)&lt;0.000000000001,(Slot2_Age-D54)*(1+Slot2_Rate)^(Slot2_Age-D54),(1+Slot2_Rate)^(Slot2_Age-D54)*(1-((1+AS_Wage)/(1+Slot2_Rate))^(Slot2_Age-D54))/(1-(1+AS_Wage)/(1+Slot2_Rate))),1)</f>
        <v>1</v>
      </c>
      <c r="DX54" s="1" t="n">
        <f aca="false">IF(AND(DD54=1,DN54&gt;0,Slot2_IsWG=1,AG54=1),MAX(0,(Slot2_Cost-AH54*(1+Slot2_Rate)^(Slot2_Age-D54))/DW54),0)</f>
        <v>0</v>
      </c>
      <c r="DY54" s="1" t="n">
        <f aca="false">IF(AND(DD54=1,DN54&gt;0,Slot2_IsWG=1,AG54=1),MIN(DN54,DX54),0)</f>
        <v>0</v>
      </c>
      <c r="DZ54" s="1" t="n">
        <f aca="false">AH54+DY54</f>
        <v>0</v>
      </c>
      <c r="EA54" s="1" t="n">
        <f aca="false">IF(AG54=1,MAX(0,(Slot2_Cost-DZ54*(1+Slot2_Rate)^(Slot2_Age-D54))/DW54),0)</f>
        <v>0</v>
      </c>
      <c r="EB54" s="1" t="n">
        <f aca="false">IF(AG54=1,MAX(0,(Slot2_Cost-AH54*(1+Slot2_Rate)^(Slot2_Age-D54))/DW54),0)</f>
        <v>0</v>
      </c>
      <c r="EC54" s="1" t="n">
        <f aca="false">IF(AND(DD54=1,AG54=1),MIN(DV54,EA54),0)</f>
        <v>0</v>
      </c>
      <c r="ED54" s="1" t="n">
        <f aca="false">DV54-EC54</f>
        <v>0</v>
      </c>
      <c r="EE54" s="1" t="n">
        <f aca="false">IF(AQ54=1,IF(ABS((1+AS_Wage)/(1+Slot3_Rate)-1)&lt;0.000000000001,(Slot3_Age-D54)*(1+Slot3_Rate)^(Slot3_Age-D54),(1+Slot3_Rate)^(Slot3_Age-D54)*(1-((1+AS_Wage)/(1+Slot3_Rate))^(Slot3_Age-D54))/(1-(1+AS_Wage)/(1+Slot3_Rate))),1)</f>
        <v>1</v>
      </c>
      <c r="EF54" s="1" t="n">
        <f aca="false">IF(AND(DD54=1,DN54&gt;0,Slot3_IsWG=1,AQ54=1),MAX(0,(Slot3_Cost-AR54*(1+Slot3_Rate)^(Slot3_Age-D54))/EE54),0)</f>
        <v>0</v>
      </c>
      <c r="EG54" s="1" t="n">
        <f aca="false">IF(AND(DD54=1,DN54&gt;0,Slot3_IsWG=1,AQ54=1),MIN(DN54,EF54),0)</f>
        <v>0</v>
      </c>
      <c r="EH54" s="1" t="n">
        <f aca="false">AR54+EG54</f>
        <v>0</v>
      </c>
      <c r="EI54" s="1" t="n">
        <f aca="false">IF(AQ54=1,MAX(0,(Slot3_Cost-EH54*(1+Slot3_Rate)^(Slot3_Age-D54))/EE54),0)</f>
        <v>0</v>
      </c>
      <c r="EJ54" s="1" t="n">
        <f aca="false">IF(AQ54=1,MAX(0,(Slot3_Cost-AR54*(1+Slot3_Rate)^(Slot3_Age-D54))/EE54),0)</f>
        <v>0</v>
      </c>
      <c r="EK54" s="1" t="n">
        <f aca="false">IF(AND(DD54=1,AQ54=1),MIN(ED54,EI54),0)</f>
        <v>0</v>
      </c>
      <c r="EL54" s="1" t="n">
        <f aca="false">ED54-EK54</f>
        <v>0</v>
      </c>
      <c r="EM54" s="1" t="n">
        <f aca="false">IF(BA54=1,IF(ABS((1+AS_Wage)/(1+Slot4_Rate)-1)&lt;0.000000000001,(Slot4_Age-D54)*(1+Slot4_Rate)^(Slot4_Age-D54),(1+Slot4_Rate)^(Slot4_Age-D54)*(1-((1+AS_Wage)/(1+Slot4_Rate))^(Slot4_Age-D54))/(1-(1+AS_Wage)/(1+Slot4_Rate))),1)</f>
        <v>1</v>
      </c>
      <c r="EN54" s="1" t="n">
        <f aca="false">IF(AND(DD54=1,DN54&gt;0,Slot4_IsWG=1,BA54=1),MAX(0,(Slot4_Cost-BB54*(1+Slot4_Rate)^(Slot4_Age-D54))/EM54),0)</f>
        <v>0</v>
      </c>
      <c r="EO54" s="1" t="n">
        <f aca="false">IF(AND(DD54=1,DN54&gt;0,Slot4_IsWG=1,BA54=1),MIN(DN54,EN54),0)</f>
        <v>0</v>
      </c>
      <c r="EP54" s="1" t="n">
        <f aca="false">BB54+EO54</f>
        <v>0</v>
      </c>
      <c r="EQ54" s="1" t="n">
        <f aca="false">IF(BA54=1,MAX(0,(Slot4_Cost-EP54*(1+Slot4_Rate)^(Slot4_Age-D54))/EM54),0)</f>
        <v>0</v>
      </c>
      <c r="ER54" s="1" t="n">
        <f aca="false">IF(BA54=1,MAX(0,(Slot4_Cost-BB54*(1+Slot4_Rate)^(Slot4_Age-D54))/EM54),0)</f>
        <v>0</v>
      </c>
      <c r="ES54" s="1" t="n">
        <f aca="false">IF(AND(DD54=1,BA54=1),MIN(EL54,EQ54),0)</f>
        <v>0</v>
      </c>
      <c r="ET54" s="1" t="n">
        <f aca="false">EL54-ES54</f>
        <v>0</v>
      </c>
      <c r="EU54" s="1" t="n">
        <f aca="false">IF(BK54=1,IF(ABS((1+AS_Wage)/(1+Slot5_Rate)-1)&lt;0.000000000001,(Slot5_Age-D54)*(1+Slot5_Rate)^(Slot5_Age-D54),(1+Slot5_Rate)^(Slot5_Age-D54)*(1-((1+AS_Wage)/(1+Slot5_Rate))^(Slot5_Age-D54))/(1-(1+AS_Wage)/(1+Slot5_Rate))),1)</f>
        <v>1</v>
      </c>
      <c r="EV54" s="1" t="n">
        <f aca="false">IF(AND(DD54=1,DN54&gt;0,Slot5_IsWG=1,BK54=1),MAX(0,(Slot5_Cost-BL54*(1+Slot5_Rate)^(Slot5_Age-D54))/EU54),0)</f>
        <v>0</v>
      </c>
      <c r="EW54" s="1" t="n">
        <f aca="false">IF(AND(DD54=1,DN54&gt;0,Slot5_IsWG=1,BK54=1),MIN(DN54,EV54),0)</f>
        <v>0</v>
      </c>
      <c r="EX54" s="1" t="n">
        <f aca="false">BL54+EW54</f>
        <v>0</v>
      </c>
      <c r="EY54" s="1" t="n">
        <f aca="false">IF(BK54=1,MAX(0,(Slot5_Cost-EX54*(1+Slot5_Rate)^(Slot5_Age-D54))/EU54),0)</f>
        <v>0</v>
      </c>
      <c r="EZ54" s="1" t="n">
        <f aca="false">IF(BK54=1,MAX(0,(Slot5_Cost-BL54*(1+Slot5_Rate)^(Slot5_Age-D54))/EU54),0)</f>
        <v>0</v>
      </c>
      <c r="FA54" s="1" t="n">
        <f aca="false">IF(AND(DD54=1,BK54=1),MIN(ET54,EY54),0)</f>
        <v>0</v>
      </c>
      <c r="FB54" s="1" t="n">
        <f aca="false">ET54-FA54</f>
        <v>0</v>
      </c>
      <c r="FC54" s="1" t="n">
        <f aca="false">IF(BU54=1,IF(ABS((1+AS_Wage)/(1+Slot6_Rate)-1)&lt;0.000000000001,(Slot6_Age-D54)*(1+Slot6_Rate)^(Slot6_Age-D54),(1+Slot6_Rate)^(Slot6_Age-D54)*(1-((1+AS_Wage)/(1+Slot6_Rate))^(Slot6_Age-D54))/(1-(1+AS_Wage)/(1+Slot6_Rate))),1)</f>
        <v>1</v>
      </c>
      <c r="FD54" s="1" t="n">
        <f aca="false">IF(AND(DD54=1,DN54&gt;0,Slot6_IsWG=1,BU54=1),MAX(0,(Slot6_Cost-BV54*(1+Slot6_Rate)^(Slot6_Age-D54))/FC54),0)</f>
        <v>0</v>
      </c>
      <c r="FE54" s="1" t="n">
        <f aca="false">IF(AND(DD54=1,DN54&gt;0,Slot6_IsWG=1,BU54=1),MIN(DN54,FD54),0)</f>
        <v>0</v>
      </c>
      <c r="FF54" s="1" t="n">
        <f aca="false">BV54+FE54</f>
        <v>0</v>
      </c>
      <c r="FG54" s="1" t="n">
        <f aca="false">IF(BU54=1,MAX(0,(Slot6_Cost-FF54*(1+Slot6_Rate)^(Slot6_Age-D54))/FC54),0)</f>
        <v>0</v>
      </c>
      <c r="FH54" s="1" t="n">
        <f aca="false">IF(BU54=1,MAX(0,(Slot6_Cost-BV54*(1+Slot6_Rate)^(Slot6_Age-D54))/FC54),0)</f>
        <v>0</v>
      </c>
      <c r="FI54" s="1" t="n">
        <f aca="false">IF(AND(DD54=1,BU54=1),MIN(FB54,FG54),0)</f>
        <v>0</v>
      </c>
      <c r="FJ54" s="1" t="n">
        <f aca="false">FB54-FI54</f>
        <v>0</v>
      </c>
      <c r="FK54" s="1" t="n">
        <f aca="false">IF(CE54=1,IF(ABS((1+AS_Wage)/(1+Slot7_Rate)-1)&lt;0.000000000001,(Slot7_Age-D54)*(1+Slot7_Rate)^(Slot7_Age-D54),(1+Slot7_Rate)^(Slot7_Age-D54)*(1-((1+AS_Wage)/(1+Slot7_Rate))^(Slot7_Age-D54))/(1-(1+AS_Wage)/(1+Slot7_Rate))),1)</f>
        <v>1</v>
      </c>
      <c r="FL54" s="1" t="n">
        <f aca="false">IF(AND(DD54=1,DN54&gt;0,Slot7_IsWG=1,CE54=1),MAX(0,(Slot7_Cost-CF54*(1+Slot7_Rate)^(Slot7_Age-D54))/FK54),0)</f>
        <v>0</v>
      </c>
      <c r="FM54" s="1" t="n">
        <f aca="false">IF(AND(DD54=1,DN54&gt;0,Slot7_IsWG=1,CE54=1),MIN(DN54,FL54),0)</f>
        <v>0</v>
      </c>
      <c r="FN54" s="1" t="n">
        <f aca="false">CF54+FM54</f>
        <v>0</v>
      </c>
      <c r="FO54" s="1" t="n">
        <f aca="false">IF(CE54=1,MAX(0,(Slot7_Cost-FN54*(1+Slot7_Rate)^(Slot7_Age-D54))/FK54),0)</f>
        <v>0</v>
      </c>
      <c r="FP54" s="1" t="n">
        <f aca="false">IF(CE54=1,MAX(0,(Slot7_Cost-CF54*(1+Slot7_Rate)^(Slot7_Age-D54))/FK54),0)</f>
        <v>0</v>
      </c>
      <c r="FQ54" s="1" t="n">
        <f aca="false">IF(AND(DD54=1,CE54=1),MIN(FJ54,FO54),0)</f>
        <v>0</v>
      </c>
      <c r="FR54" s="1" t="n">
        <f aca="false">FJ54-FQ54</f>
        <v>0</v>
      </c>
      <c r="FS54" s="1" t="n">
        <f aca="false">IF(CO54=1,IF(ABS((1+AS_Wage)/(1+Slot8_Rate)-1)&lt;0.000000000001,(Slot8_Age-D54)*(1+Slot8_Rate)^(Slot8_Age-D54),(1+Slot8_Rate)^(Slot8_Age-D54)*(1-((1+AS_Wage)/(1+Slot8_Rate))^(Slot8_Age-D54))/(1-(1+AS_Wage)/(1+Slot8_Rate))),1)</f>
        <v>1</v>
      </c>
      <c r="FT54" s="1" t="n">
        <f aca="false">IF(AND(DD54=1,DN54&gt;0,Slot8_IsWG=1,CO54=1),MAX(0,(Slot8_Cost-CP54*(1+Slot8_Rate)^(Slot8_Age-D54))/FS54),0)</f>
        <v>0</v>
      </c>
      <c r="FU54" s="1" t="n">
        <f aca="false">IF(AND(DD54=1,DN54&gt;0,Slot8_IsWG=1,CO54=1),MIN(DN54,FT54),0)</f>
        <v>0</v>
      </c>
      <c r="FV54" s="1" t="n">
        <f aca="false">CP54+FU54</f>
        <v>0</v>
      </c>
      <c r="FW54" s="1" t="n">
        <f aca="false">IF(CO54=1,MAX(0,(Slot8_Cost-FV54*(1+Slot8_Rate)^(Slot8_Age-D54))/FS54),0)</f>
        <v>0</v>
      </c>
      <c r="FX54" s="1" t="n">
        <f aca="false">IF(CO54=1,MAX(0,(Slot8_Cost-CP54*(1+Slot8_Rate)^(Slot8_Age-D54))/FS54),0)</f>
        <v>0</v>
      </c>
      <c r="FY54" s="1" t="n">
        <f aca="false">IF(AND(DD54=1,CO54=1),MIN(FR54,FW54),0)</f>
        <v>0</v>
      </c>
      <c r="FZ54" s="1" t="n">
        <f aca="false">FR54-FY54</f>
        <v>0</v>
      </c>
      <c r="GA54" s="1" t="n">
        <f aca="false">DN54-(DQ54+DY54+EG54+EO54+EW54+FE54+FM54+FU54)</f>
        <v>0</v>
      </c>
      <c r="GB54" s="1" t="n">
        <f aca="false">IF(DD54=1,DB54-DM54-DN54,0)</f>
        <v>0</v>
      </c>
      <c r="GC54" s="1" t="n">
        <f aca="false">IF(DD54=0,-DB54,0)</f>
        <v>0</v>
      </c>
      <c r="GD54" s="1" t="n">
        <f aca="false">MIN(GC54,CT54)</f>
        <v>0</v>
      </c>
      <c r="GE54" s="1" t="n">
        <f aca="false">GC54-GD54</f>
        <v>0</v>
      </c>
      <c r="GF54" s="1" t="n">
        <f aca="false">MIN(GE54,CU54)</f>
        <v>0</v>
      </c>
      <c r="GG54" s="1" t="n">
        <f aca="false">GE54-GF54</f>
        <v>0</v>
      </c>
      <c r="GH54" s="1" t="n">
        <f aca="false">IF(AND(DD54=0,CO54=1,GG54&gt;0),MIN(GG54,CP54),0)</f>
        <v>0</v>
      </c>
      <c r="GI54" s="1" t="n">
        <f aca="false">GG54-GH54</f>
        <v>0</v>
      </c>
      <c r="GJ54" s="1" t="n">
        <f aca="false">IF(AND(DD54=0,CE54=1,GI54&gt;0),MIN(GI54,CF54),0)</f>
        <v>0</v>
      </c>
      <c r="GK54" s="1" t="n">
        <f aca="false">GI54-GJ54</f>
        <v>0</v>
      </c>
      <c r="GL54" s="1" t="n">
        <f aca="false">IF(AND(DD54=0,BU54=1,GK54&gt;0),MIN(GK54,BV54),0)</f>
        <v>0</v>
      </c>
      <c r="GM54" s="1" t="n">
        <f aca="false">GK54-GL54</f>
        <v>0</v>
      </c>
      <c r="GN54" s="1" t="n">
        <f aca="false">IF(AND(DD54=0,BK54=1,GM54&gt;0),MIN(GM54,BL54),0)</f>
        <v>0</v>
      </c>
      <c r="GO54" s="1" t="n">
        <f aca="false">GM54-GN54</f>
        <v>0</v>
      </c>
      <c r="GP54" s="1" t="n">
        <f aca="false">IF(AND(DD54=0,BA54=1,GO54&gt;0),MIN(GO54,BB54),0)</f>
        <v>0</v>
      </c>
      <c r="GQ54" s="1" t="n">
        <f aca="false">GO54-GP54</f>
        <v>0</v>
      </c>
      <c r="GR54" s="1" t="n">
        <f aca="false">IF(AND(DD54=0,AQ54=1,GQ54&gt;0),MIN(GQ54,AR54),0)</f>
        <v>0</v>
      </c>
      <c r="GS54" s="1" t="n">
        <f aca="false">GQ54-GR54</f>
        <v>0</v>
      </c>
      <c r="GT54" s="1" t="n">
        <f aca="false">IF(AND(DD54=0,AG54=1,GS54&gt;0),MIN(GS54,AH54),0)</f>
        <v>0</v>
      </c>
      <c r="GU54" s="1" t="n">
        <f aca="false">GS54-GT54</f>
        <v>0</v>
      </c>
      <c r="GV54" s="1" t="n">
        <f aca="false">IF(AND(DD54=0,V54=1,GU54&gt;0),MIN(GU54,W54),0)</f>
        <v>0</v>
      </c>
      <c r="GW54" s="1" t="n">
        <f aca="false">GU54-GV54</f>
        <v>0</v>
      </c>
      <c r="GX54" s="1" t="n">
        <f aca="false">IF(DD54=0,GW54,0)</f>
        <v>0</v>
      </c>
      <c r="GY54" s="1" t="n">
        <f aca="false">GD54+GF54+GV54+GT54+GR54+GP54+GN54+GL54+GJ54+GH54</f>
        <v>0</v>
      </c>
      <c r="GZ54" s="1" t="n">
        <f aca="false">IF(DD54=1,CT54+GA54+FZ54+IF(F54=1,0,GB54),CT54-GD54)</f>
        <v>0</v>
      </c>
      <c r="HA54" s="1" t="n">
        <f aca="false">CU54-GF54</f>
        <v>0</v>
      </c>
      <c r="HB54" s="1" t="n">
        <f aca="false">IF(DD54=1,IF(F54=1,DM54+DN54,DB54),0)</f>
        <v>0</v>
      </c>
      <c r="HC54" s="1" t="n">
        <f aca="false">IF(DD54=1,IF(F54=1,DB54-DM54-DN54,0),0)</f>
        <v>0</v>
      </c>
      <c r="HD54" s="1" t="n">
        <f aca="false">GZ54*(1+GR)</f>
        <v>0</v>
      </c>
      <c r="HE54" s="1" t="n">
        <f aca="false">HA54*(1+AS_Cash)</f>
        <v>0</v>
      </c>
      <c r="HF54" s="1" t="n">
        <f aca="false">IF(V54=1,IF(DD54=1,DR54+DU54,W54-GV54)*(1+Slot1_Rate),0)</f>
        <v>0</v>
      </c>
      <c r="HG54" s="1" t="n">
        <f aca="false">IF(AND(DD54=1,V54=1),(DQ54+DU54)/E54,0)</f>
        <v>0</v>
      </c>
      <c r="HH54" s="1" t="n">
        <f aca="false">IF(B54=0,DQ54+DU54,0)</f>
        <v>0</v>
      </c>
      <c r="HI54" s="1" t="n">
        <f aca="false">IF(B54=0,IF(DD54=1,DS54,DT54),0)</f>
        <v>0</v>
      </c>
      <c r="HJ54" s="1" t="n">
        <f aca="false">IF(AG54=1,IF(DD54=1,DZ54+EC54,AH54-GT54)*(1+Slot2_Rate),0)</f>
        <v>0</v>
      </c>
      <c r="HK54" s="1" t="n">
        <f aca="false">IF(AND(DD54=1,AG54=1),(DY54+EC54)/E54,0)</f>
        <v>0</v>
      </c>
      <c r="HL54" s="1" t="n">
        <f aca="false">IF(B54=0,DY54+EC54,0)</f>
        <v>0</v>
      </c>
      <c r="HM54" s="1" t="n">
        <f aca="false">IF(B54=0,IF(DD54=1,EA54,EB54),0)</f>
        <v>0</v>
      </c>
      <c r="HN54" s="1" t="n">
        <f aca="false">IF(AQ54=1,IF(DD54=1,EH54+EK54,AR54-GR54)*(1+Slot3_Rate),0)</f>
        <v>0</v>
      </c>
      <c r="HO54" s="1" t="n">
        <f aca="false">IF(AND(DD54=1,AQ54=1),(EG54+EK54)/E54,0)</f>
        <v>0</v>
      </c>
      <c r="HP54" s="1" t="n">
        <f aca="false">IF(B54=0,EG54+EK54,0)</f>
        <v>0</v>
      </c>
      <c r="HQ54" s="1" t="n">
        <f aca="false">IF(B54=0,IF(DD54=1,EI54,EJ54),0)</f>
        <v>0</v>
      </c>
      <c r="HR54" s="1" t="n">
        <f aca="false">IF(BA54=1,IF(DD54=1,EP54+ES54,BB54-GP54)*(1+Slot4_Rate),0)</f>
        <v>0</v>
      </c>
      <c r="HS54" s="1" t="n">
        <f aca="false">IF(AND(DD54=1,BA54=1),(EO54+ES54)/E54,0)</f>
        <v>0</v>
      </c>
      <c r="HT54" s="1" t="n">
        <f aca="false">IF(B54=0,EO54+ES54,0)</f>
        <v>0</v>
      </c>
      <c r="HU54" s="1" t="n">
        <f aca="false">IF(B54=0,IF(DD54=1,EQ54,ER54),0)</f>
        <v>0</v>
      </c>
      <c r="HV54" s="1" t="n">
        <f aca="false">IF(BK54=1,IF(DD54=1,EX54+FA54,BL54-GN54)*(1+Slot5_Rate),0)</f>
        <v>0</v>
      </c>
      <c r="HW54" s="1" t="n">
        <f aca="false">IF(AND(DD54=1,BK54=1),(EW54+FA54)/E54,0)</f>
        <v>0</v>
      </c>
      <c r="HX54" s="1" t="n">
        <f aca="false">IF(B54=0,EW54+FA54,0)</f>
        <v>0</v>
      </c>
      <c r="HY54" s="1" t="n">
        <f aca="false">IF(B54=0,IF(DD54=1,EY54,EZ54),0)</f>
        <v>0</v>
      </c>
      <c r="HZ54" s="1" t="n">
        <f aca="false">IF(BU54=1,IF(DD54=1,FF54+FI54,BV54-GL54)*(1+Slot6_Rate),0)</f>
        <v>0</v>
      </c>
      <c r="IA54" s="1" t="n">
        <f aca="false">IF(AND(DD54=1,BU54=1),(FE54+FI54)/E54,0)</f>
        <v>0</v>
      </c>
      <c r="IB54" s="1" t="n">
        <f aca="false">IF(B54=0,FE54+FI54,0)</f>
        <v>0</v>
      </c>
      <c r="IC54" s="1" t="n">
        <f aca="false">IF(B54=0,IF(DD54=1,FG54,FH54),0)</f>
        <v>0</v>
      </c>
      <c r="ID54" s="1" t="n">
        <f aca="false">IF(CE54=1,IF(DD54=1,FN54+FQ54,CF54-GJ54)*(1+Slot7_Rate),0)</f>
        <v>0</v>
      </c>
      <c r="IE54" s="1" t="n">
        <f aca="false">IF(AND(DD54=1,CE54=1),(FM54+FQ54)/E54,0)</f>
        <v>0</v>
      </c>
      <c r="IF54" s="1" t="n">
        <f aca="false">IF(B54=0,FM54+FQ54,0)</f>
        <v>0</v>
      </c>
      <c r="IG54" s="1" t="n">
        <f aca="false">IF(B54=0,IF(DD54=1,FO54,FP54),0)</f>
        <v>0</v>
      </c>
      <c r="IH54" s="1" t="n">
        <f aca="false">IF(CO54=1,IF(DD54=1,FV54+FY54,CP54-GH54)*(1+Slot8_Rate),0)</f>
        <v>0</v>
      </c>
      <c r="II54" s="1" t="n">
        <f aca="false">IF(AND(DD54=1,CO54=1),(FU54+FY54)/E54,0)</f>
        <v>0</v>
      </c>
      <c r="IJ54" s="1" t="n">
        <f aca="false">IF(B54=0,FU54+FY54,0)</f>
        <v>0</v>
      </c>
      <c r="IK54" s="1" t="n">
        <f aca="false">IF(B54=0,IF(DD54=1,FW54,FX54),0)</f>
        <v>0</v>
      </c>
      <c r="IL54" s="1" t="n">
        <f aca="false">HD54+HE54+HF54+HJ54+HN54+HR54+HV54+HZ54+ID54+IH54</f>
        <v>0</v>
      </c>
      <c r="IM54" s="1" t="n">
        <f aca="false">GX54+CY54</f>
        <v>0</v>
      </c>
      <c r="IN54" s="1" t="n">
        <f aca="false">H54+R54</f>
        <v>0</v>
      </c>
      <c r="IO54" s="1" t="n">
        <f aca="false">1-F54</f>
        <v>1</v>
      </c>
      <c r="IP54" s="1" t="n">
        <f aca="false">IF(AND(RG_Exists=1,F54=0,C54=1),H54,0)</f>
        <v>0</v>
      </c>
      <c r="IQ54" s="1" t="n">
        <f aca="false">IF(AND(RG_Exists=1,F54=0,C54=1),H54-MIN(GX54,H54),0)</f>
        <v>0</v>
      </c>
      <c r="IR54" s="1" t="n">
        <f aca="false">'Plan pay &amp; tax'!AD256</f>
        <v>0</v>
      </c>
      <c r="IS54" s="1" t="n">
        <f aca="false">IF(AND(C54=1,GX54&gt;MAX(PR_Short1,IN54*PR_Short2)),1,0)</f>
        <v>0</v>
      </c>
      <c r="IT54" s="1" t="n">
        <f aca="false">MIN(G54,H54+R54)</f>
        <v>0</v>
      </c>
      <c r="IU54" s="1" t="n">
        <f aca="false">GY54+MAX(0,CZ54-CY54)</f>
        <v>0</v>
      </c>
      <c r="IV54" s="1" t="n">
        <f aca="false">GX54+CY54</f>
        <v>0</v>
      </c>
      <c r="IW54" s="1" t="n">
        <f aca="false">IF(AND(C54=1,IV54&gt;0.5),1,0)</f>
        <v>0</v>
      </c>
      <c r="IX54" s="1" t="n">
        <f aca="false">IF(AND(C54=1,IW54=0,IU54&gt;0.5),1,0)</f>
        <v>0</v>
      </c>
      <c r="IY54" s="1" t="n">
        <f aca="false">IF(AND(C54=1,GX54&gt;0.5),1,0)</f>
        <v>0</v>
      </c>
      <c r="IZ54" s="1" t="n">
        <f aca="false">IF(AND(C54=1,GY54&gt;1,JF54=0),1,0)</f>
        <v>0</v>
      </c>
      <c r="JA54" s="1" t="n">
        <f aca="false">IF(AND(INT(D54/10)*10=90,B54&gt;0),80,INT(D54/10)*10)</f>
        <v>40</v>
      </c>
      <c r="JB54" s="1" t="n">
        <f aca="false">IF(B54=0,1,IF(JA54&lt;&gt;JA53,JB53+1,JB53))</f>
        <v>5</v>
      </c>
      <c r="JC54" s="1" t="n">
        <f aca="false">IF(AND(C54=1,F54=1,GX54&gt;MAX(PR_Short1,IN54*PR_Short2)),1,0)</f>
        <v>0</v>
      </c>
      <c r="JD54" s="1" t="n">
        <f aca="false">IO54*IS54</f>
        <v>0</v>
      </c>
      <c r="JE54" s="1" t="n">
        <f aca="false">IF(AND(U54=1,Slot1_PctLow=1),1,0)+IF(AND(AF54=1,Slot2_PctLow=1),1,0)+IF(AND(AP54=1,Slot3_PctLow=1),1,0)+IF(AND(AZ54=1,Slot4_PctLow=1),1,0)+IF(AND(BJ54=1,Slot5_PctLow=1),1,0)+IF(AND(BT54=1,Slot6_PctLow=1),1,0)+IF(AND(CD54=1,Slot7_PctLow=1),1,0)+IF(AND(CN54=1,Slot8_PctLow=1),1,0)</f>
        <v>0</v>
      </c>
      <c r="JF54" s="1" t="n">
        <f aca="false">IF(C54=1,IF(OR(IS54=1,JE54&gt;0),1,0),0)</f>
        <v>0</v>
      </c>
    </row>
    <row r="55" customFormat="false" ht="15" hidden="false" customHeight="false" outlineLevel="0" collapsed="false">
      <c r="B55" s="1" t="n">
        <v>47</v>
      </c>
      <c r="C55" s="1" t="n">
        <f aca="false">IF(B55&lt;=F_N,1,0)</f>
        <v>1</v>
      </c>
      <c r="D55" s="1" t="n">
        <f aca="false">'Plan pay &amp; tax'!C257</f>
        <v>47</v>
      </c>
      <c r="E55" s="106" t="n">
        <f aca="false">'Plan pay &amp; tax'!E257</f>
        <v>2.53634351519552</v>
      </c>
      <c r="F55" s="1" t="n">
        <f aca="false">'Plan pay &amp; tax'!G257</f>
        <v>0</v>
      </c>
      <c r="G55" s="1" t="n">
        <f aca="false">'Plan pay &amp; tax'!BT257-'Plan pay &amp; tax'!BS257-'Plan pay &amp; tax'!R257</f>
        <v>0</v>
      </c>
      <c r="H55" s="1" t="n">
        <f aca="false">IF(F55=1,F_CostsM*12,IF(RG_Exists=1,RG_Amount,F_CostsM*12*AS_RetireSpend))*E55+F_OneOffY*E55</f>
        <v>0</v>
      </c>
      <c r="I55" s="1" t="n">
        <f aca="false">DA54</f>
        <v>0</v>
      </c>
      <c r="J55" s="1" t="n">
        <f aca="false">IF(I55&gt;1,'Plan debt months'!AC55,0)</f>
        <v>0</v>
      </c>
      <c r="K55" s="1" t="n">
        <f aca="false">IF(I55&gt;1,'Plan debt months'!AB55,I55)</f>
        <v>0</v>
      </c>
      <c r="L55" s="1" t="n">
        <f aca="false">N54</f>
        <v>0</v>
      </c>
      <c r="M55" s="1" t="n">
        <f aca="false">IF(L55&gt;1,'Plan debt months'!BD55,0)</f>
        <v>0</v>
      </c>
      <c r="N55" s="1" t="n">
        <f aca="false">IF(L55&gt;1,'Plan debt months'!BC55,L55)</f>
        <v>0</v>
      </c>
      <c r="O55" s="1" t="n">
        <f aca="false">Q54</f>
        <v>0</v>
      </c>
      <c r="P55" s="1" t="n">
        <f aca="false">IF(O55&gt;1,'Plan debt months'!CE55,0)</f>
        <v>0</v>
      </c>
      <c r="Q55" s="1" t="n">
        <f aca="false">IF(O55&gt;1,'Plan debt months'!CD55,O55)</f>
        <v>0</v>
      </c>
      <c r="R55" s="1" t="n">
        <f aca="false">J55+M55+P55</f>
        <v>0</v>
      </c>
      <c r="S55" s="1" t="n">
        <f aca="false">HD54+'Plan pay &amp; tax'!Y257</f>
        <v>0</v>
      </c>
      <c r="T55" s="1" t="n">
        <f aca="false">HD54</f>
        <v>0</v>
      </c>
      <c r="U55" s="1" t="n">
        <f aca="false">IF(AND(Slot1_On=1,D55=Slot1_Age),1,0)</f>
        <v>0</v>
      </c>
      <c r="V55" s="1" t="n">
        <f aca="false">IF(AND(Slot1_On=1,Slot1_Age&gt;D55),1,0)</f>
        <v>0</v>
      </c>
      <c r="W55" s="1" t="n">
        <f aca="false">HF54</f>
        <v>0</v>
      </c>
      <c r="X55" s="1" t="n">
        <f aca="false">U55*MIN(Slot1_Cost,W55)</f>
        <v>0</v>
      </c>
      <c r="Y55" s="1" t="n">
        <f aca="false">U55*Slot1_SpendLike*MIN(Slot1_Cost-X55,S55)</f>
        <v>0</v>
      </c>
      <c r="Z55" s="1" t="n">
        <f aca="false">X55+Y55</f>
        <v>0</v>
      </c>
      <c r="AA55" s="1" t="n">
        <f aca="false">S55-Y55+U55*IF(Slot1_SpendLike=1,W55-X55,IF(Slot1_PotFree=1,W55,0))</f>
        <v>0</v>
      </c>
      <c r="AB55" s="1" t="n">
        <f aca="false">AE55+U55*Slot1_BufPot*W55</f>
        <v>0</v>
      </c>
      <c r="AC55" s="1" t="n">
        <f aca="false">IF(AND(U55=1,Slot1_IsMfree=1),IF(Z55&gt;=Slot1_Cost-1,0,MAX(0,K55-Z55)),K55)</f>
        <v>0</v>
      </c>
      <c r="AD55" s="1" t="n">
        <f aca="false">U55*(Slot1_Cost-Z55)</f>
        <v>0</v>
      </c>
      <c r="AE55" s="1" t="n">
        <f aca="false">HE54</f>
        <v>0</v>
      </c>
      <c r="AF55" s="1" t="n">
        <f aca="false">IF(AND(Slot2_On=1,D55=Slot2_Age),1,0)</f>
        <v>0</v>
      </c>
      <c r="AG55" s="1" t="n">
        <f aca="false">IF(AND(Slot2_On=1,Slot2_Age&gt;D55),1,0)</f>
        <v>0</v>
      </c>
      <c r="AH55" s="1" t="n">
        <f aca="false">HJ54</f>
        <v>0</v>
      </c>
      <c r="AI55" s="1" t="n">
        <f aca="false">AF55*MIN(Slot2_Cost,AH55)</f>
        <v>0</v>
      </c>
      <c r="AJ55" s="1" t="n">
        <f aca="false">AF55*Slot2_SpendLike*MIN(Slot2_Cost-AI55,AA55)</f>
        <v>0</v>
      </c>
      <c r="AK55" s="1" t="n">
        <f aca="false">AI55+AJ55</f>
        <v>0</v>
      </c>
      <c r="AL55" s="1" t="n">
        <f aca="false">AA55-AJ55+AF55*IF(Slot2_SpendLike=1,AH55-AI55,IF(Slot2_PotFree=1,AH55,0))</f>
        <v>0</v>
      </c>
      <c r="AM55" s="1" t="n">
        <f aca="false">AB55+AF55*Slot2_BufPot*AH55</f>
        <v>0</v>
      </c>
      <c r="AN55" s="1" t="n">
        <f aca="false">IF(AND(AF55=1,Slot2_IsMfree=1),IF(AK55&gt;=Slot2_Cost-1,0,MAX(0,AC55-AK55)),AC55)</f>
        <v>0</v>
      </c>
      <c r="AO55" s="1" t="n">
        <f aca="false">AF55*(Slot2_Cost-AK55)</f>
        <v>0</v>
      </c>
      <c r="AP55" s="1" t="n">
        <f aca="false">IF(AND(Slot3_On=1,D55=Slot3_Age),1,0)</f>
        <v>0</v>
      </c>
      <c r="AQ55" s="1" t="n">
        <f aca="false">IF(AND(Slot3_On=1,Slot3_Age&gt;D55),1,0)</f>
        <v>0</v>
      </c>
      <c r="AR55" s="1" t="n">
        <f aca="false">HN54</f>
        <v>0</v>
      </c>
      <c r="AS55" s="1" t="n">
        <f aca="false">AP55*MIN(Slot3_Cost,AR55)</f>
        <v>0</v>
      </c>
      <c r="AT55" s="1" t="n">
        <f aca="false">AP55*Slot3_SpendLike*MIN(Slot3_Cost-AS55,AL55)</f>
        <v>0</v>
      </c>
      <c r="AU55" s="1" t="n">
        <f aca="false">AS55+AT55</f>
        <v>0</v>
      </c>
      <c r="AV55" s="1" t="n">
        <f aca="false">AL55-AT55+AP55*IF(Slot3_SpendLike=1,AR55-AS55,IF(Slot3_PotFree=1,AR55,0))</f>
        <v>0</v>
      </c>
      <c r="AW55" s="1" t="n">
        <f aca="false">AM55+AP55*Slot3_BufPot*AR55</f>
        <v>0</v>
      </c>
      <c r="AX55" s="1" t="n">
        <f aca="false">IF(AND(AP55=1,Slot3_IsMfree=1),IF(AU55&gt;=Slot3_Cost-1,0,MAX(0,AN55-AU55)),AN55)</f>
        <v>0</v>
      </c>
      <c r="AY55" s="1" t="n">
        <f aca="false">AP55*(Slot3_Cost-AU55)</f>
        <v>0</v>
      </c>
      <c r="AZ55" s="1" t="n">
        <f aca="false">IF(AND(Slot4_On=1,D55=Slot4_Age),1,0)</f>
        <v>0</v>
      </c>
      <c r="BA55" s="1" t="n">
        <f aca="false">IF(AND(Slot4_On=1,Slot4_Age&gt;D55),1,0)</f>
        <v>0</v>
      </c>
      <c r="BB55" s="1" t="n">
        <f aca="false">HR54</f>
        <v>0</v>
      </c>
      <c r="BC55" s="1" t="n">
        <f aca="false">AZ55*MIN(Slot4_Cost,BB55)</f>
        <v>0</v>
      </c>
      <c r="BD55" s="1" t="n">
        <f aca="false">AZ55*Slot4_SpendLike*MIN(Slot4_Cost-BC55,AV55)</f>
        <v>0</v>
      </c>
      <c r="BE55" s="1" t="n">
        <f aca="false">BC55+BD55</f>
        <v>0</v>
      </c>
      <c r="BF55" s="1" t="n">
        <f aca="false">AV55-BD55+AZ55*IF(Slot4_SpendLike=1,BB55-BC55,IF(Slot4_PotFree=1,BB55,0))</f>
        <v>0</v>
      </c>
      <c r="BG55" s="1" t="n">
        <f aca="false">AW55+AZ55*Slot4_BufPot*BB55</f>
        <v>0</v>
      </c>
      <c r="BH55" s="1" t="n">
        <f aca="false">IF(AND(AZ55=1,Slot4_IsMfree=1),IF(BE55&gt;=Slot4_Cost-1,0,MAX(0,AX55-BE55)),AX55)</f>
        <v>0</v>
      </c>
      <c r="BI55" s="1" t="n">
        <f aca="false">AZ55*(Slot4_Cost-BE55)</f>
        <v>0</v>
      </c>
      <c r="BJ55" s="1" t="n">
        <f aca="false">IF(AND(Slot5_On=1,D55=Slot5_Age),1,0)</f>
        <v>0</v>
      </c>
      <c r="BK55" s="1" t="n">
        <f aca="false">IF(AND(Slot5_On=1,Slot5_Age&gt;D55),1,0)</f>
        <v>0</v>
      </c>
      <c r="BL55" s="1" t="n">
        <f aca="false">HV54</f>
        <v>0</v>
      </c>
      <c r="BM55" s="1" t="n">
        <f aca="false">BJ55*MIN(Slot5_Cost,BL55)</f>
        <v>0</v>
      </c>
      <c r="BN55" s="1" t="n">
        <f aca="false">BJ55*Slot5_SpendLike*MIN(Slot5_Cost-BM55,BF55)</f>
        <v>0</v>
      </c>
      <c r="BO55" s="1" t="n">
        <f aca="false">BM55+BN55</f>
        <v>0</v>
      </c>
      <c r="BP55" s="1" t="n">
        <f aca="false">BF55-BN55+BJ55*IF(Slot5_SpendLike=1,BL55-BM55,IF(Slot5_PotFree=1,BL55,0))</f>
        <v>0</v>
      </c>
      <c r="BQ55" s="1" t="n">
        <f aca="false">BG55+BJ55*Slot5_BufPot*BL55</f>
        <v>0</v>
      </c>
      <c r="BR55" s="1" t="n">
        <f aca="false">IF(AND(BJ55=1,Slot5_IsMfree=1),IF(BO55&gt;=Slot5_Cost-1,0,MAX(0,BH55-BO55)),BH55)</f>
        <v>0</v>
      </c>
      <c r="BS55" s="1" t="n">
        <f aca="false">BJ55*(Slot5_Cost-BO55)</f>
        <v>0</v>
      </c>
      <c r="BT55" s="1" t="n">
        <f aca="false">IF(AND(Slot6_On=1,D55=Slot6_Age),1,0)</f>
        <v>0</v>
      </c>
      <c r="BU55" s="1" t="n">
        <f aca="false">IF(AND(Slot6_On=1,Slot6_Age&gt;D55),1,0)</f>
        <v>0</v>
      </c>
      <c r="BV55" s="1" t="n">
        <f aca="false">HZ54</f>
        <v>0</v>
      </c>
      <c r="BW55" s="1" t="n">
        <f aca="false">BT55*MIN(Slot6_Cost,BV55)</f>
        <v>0</v>
      </c>
      <c r="BX55" s="1" t="n">
        <f aca="false">BT55*Slot6_SpendLike*MIN(Slot6_Cost-BW55,BP55)</f>
        <v>0</v>
      </c>
      <c r="BY55" s="1" t="n">
        <f aca="false">BW55+BX55</f>
        <v>0</v>
      </c>
      <c r="BZ55" s="1" t="n">
        <f aca="false">BP55-BX55+BT55*IF(Slot6_SpendLike=1,BV55-BW55,IF(Slot6_PotFree=1,BV55,0))</f>
        <v>0</v>
      </c>
      <c r="CA55" s="1" t="n">
        <f aca="false">BQ55+BT55*Slot6_BufPot*BV55</f>
        <v>0</v>
      </c>
      <c r="CB55" s="1" t="n">
        <f aca="false">IF(AND(BT55=1,Slot6_IsMfree=1),IF(BY55&gt;=Slot6_Cost-1,0,MAX(0,BR55-BY55)),BR55)</f>
        <v>0</v>
      </c>
      <c r="CC55" s="1" t="n">
        <f aca="false">BT55*(Slot6_Cost-BY55)</f>
        <v>0</v>
      </c>
      <c r="CD55" s="1" t="n">
        <f aca="false">IF(AND(Slot7_On=1,D55=Slot7_Age),1,0)</f>
        <v>0</v>
      </c>
      <c r="CE55" s="1" t="n">
        <f aca="false">IF(AND(Slot7_On=1,Slot7_Age&gt;D55),1,0)</f>
        <v>0</v>
      </c>
      <c r="CF55" s="1" t="n">
        <f aca="false">ID54</f>
        <v>0</v>
      </c>
      <c r="CG55" s="1" t="n">
        <f aca="false">CD55*MIN(Slot7_Cost,CF55)</f>
        <v>0</v>
      </c>
      <c r="CH55" s="1" t="n">
        <f aca="false">CD55*Slot7_SpendLike*MIN(Slot7_Cost-CG55,BZ55)</f>
        <v>0</v>
      </c>
      <c r="CI55" s="1" t="n">
        <f aca="false">CG55+CH55</f>
        <v>0</v>
      </c>
      <c r="CJ55" s="1" t="n">
        <f aca="false">BZ55-CH55+CD55*IF(Slot7_SpendLike=1,CF55-CG55,IF(Slot7_PotFree=1,CF55,0))</f>
        <v>0</v>
      </c>
      <c r="CK55" s="1" t="n">
        <f aca="false">CA55+CD55*Slot7_BufPot*CF55</f>
        <v>0</v>
      </c>
      <c r="CL55" s="1" t="n">
        <f aca="false">IF(AND(CD55=1,Slot7_IsMfree=1),IF(CI55&gt;=Slot7_Cost-1,0,MAX(0,CB55-CI55)),CB55)</f>
        <v>0</v>
      </c>
      <c r="CM55" s="1" t="n">
        <f aca="false">CD55*(Slot7_Cost-CI55)</f>
        <v>0</v>
      </c>
      <c r="CN55" s="1" t="n">
        <f aca="false">IF(AND(Slot8_On=1,D55=Slot8_Age),1,0)</f>
        <v>0</v>
      </c>
      <c r="CO55" s="1" t="n">
        <f aca="false">IF(AND(Slot8_On=1,Slot8_Age&gt;D55),1,0)</f>
        <v>0</v>
      </c>
      <c r="CP55" s="1" t="n">
        <f aca="false">IH54</f>
        <v>0</v>
      </c>
      <c r="CQ55" s="1" t="n">
        <f aca="false">CN55*MIN(Slot8_Cost,CP55)</f>
        <v>0</v>
      </c>
      <c r="CR55" s="1" t="n">
        <f aca="false">CN55*Slot8_SpendLike*MIN(Slot8_Cost-CQ55,CJ55)</f>
        <v>0</v>
      </c>
      <c r="CS55" s="1" t="n">
        <f aca="false">CQ55+CR55</f>
        <v>0</v>
      </c>
      <c r="CT55" s="1" t="n">
        <f aca="false">CJ55-CR55+CN55*IF(Slot8_SpendLike=1,CP55-CQ55,IF(Slot8_PotFree=1,CP55,0))</f>
        <v>0</v>
      </c>
      <c r="CU55" s="1" t="n">
        <f aca="false">CK55+CN55*Slot8_BufPot*CP55</f>
        <v>0</v>
      </c>
      <c r="CV55" s="1" t="n">
        <f aca="false">IF(AND(CN55=1,Slot8_IsMfree=1),IF(CS55&gt;=Slot8_Cost-1,0,MAX(0,CL55-CS55)),CL55)</f>
        <v>0</v>
      </c>
      <c r="CW55" s="1" t="n">
        <f aca="false">CN55*(Slot8_Cost-CS55)</f>
        <v>0</v>
      </c>
      <c r="CX55" s="1" t="n">
        <f aca="false">U55*Slot1_SpendLike*Z55+AF55*Slot2_SpendLike*AK55+AP55*Slot3_SpendLike*AU55+AZ55*Slot4_SpendLike*BE55+BJ55*Slot5_SpendLike*BO55+BT55*Slot6_SpendLike*BY55+CD55*Slot7_SpendLike*CI55+CN55*Slot8_SpendLike*CS55</f>
        <v>0</v>
      </c>
      <c r="CY55" s="1" t="n">
        <f aca="false">AD55+AO55+AY55+BI55+BS55+CC55+CM55+CW55</f>
        <v>0</v>
      </c>
      <c r="CZ55" s="1" t="n">
        <f aca="false">U55*Slot1_Cost+AF55*Slot2_Cost+AP55*Slot3_Cost+AZ55*Slot4_Cost+BJ55*Slot5_Cost+BT55*Slot6_Cost+CD55*Slot7_Cost+CN55*Slot8_Cost</f>
        <v>0</v>
      </c>
      <c r="DA55" s="1" t="n">
        <f aca="false">CV55</f>
        <v>0</v>
      </c>
      <c r="DB55" s="1" t="n">
        <f aca="false">G55-H55-R55</f>
        <v>0</v>
      </c>
      <c r="DC55" s="1" t="n">
        <f aca="false">IF(B55=0,IF(AND(Has_q6=1,In_q6=4),PR_ShareVaries*(MAX(0,DB55)/12),MIN(IF(Has_q6=1,CHOOSE(In_q6+1,PR_SaveB1,PR_SaveB2,PR_SaveB3,PR_SaveB4,0),AS_NoAnswer),AS_SaveShare*(MAX(0,DB55)/12))),DC54)</f>
        <v>0</v>
      </c>
      <c r="DD55" s="1" t="n">
        <f aca="false">IF(DB55&gt;=0,1,0)</f>
        <v>1</v>
      </c>
      <c r="DE55" s="1" t="n">
        <f aca="false">MAX(0,DB55/12/E55)</f>
        <v>0</v>
      </c>
      <c r="DF55" s="1" t="n">
        <f aca="false">IF(AND(Has_q6=1,In_q6=4),PR_ShareVaries*(DE55),MIN(IF(Has_q6=1,CHOOSE(In_q6+1,PR_SaveB1,PR_SaveB2,PR_SaveB3,PR_SaveB4,0),AS_NoAnswer),AS_SaveShare*(DE55)))</f>
        <v>0</v>
      </c>
      <c r="DG55" s="1" t="n">
        <f aca="false">IF(Has_saveM=1,IF(In_saveUp="Yes",1,IF(In_saveUp="No",0,IF(In_saveM&gt;=DC55-0.5,1,0))),0)</f>
        <v>0</v>
      </c>
      <c r="DH55" s="1" t="n">
        <f aca="false">IF(Has_saveM=1,MIN(DE55,IF(DG55=1,MAX(In_saveM,DF55),MIN(In_saveM,DF55))),DF55)</f>
        <v>0</v>
      </c>
      <c r="DI55" s="1" t="n">
        <f aca="false">IF(F55=1,DH55*12*E55,0)</f>
        <v>0</v>
      </c>
      <c r="DJ55" s="1" t="n">
        <f aca="false">MAX(0,DI55+IF(AND(WI_Retire=0,WI_M&lt;0,F55=1),WI_M*12*E55,0))</f>
        <v>0</v>
      </c>
      <c r="DK55" s="1" t="n">
        <f aca="false">Slot1_IsWG*V55+Slot2_IsWG*AG55+Slot3_IsWG*AQ55+Slot4_IsWG*BA55+Slot5_IsWG*BK55+Slot6_IsWG*BU55+Slot7_IsWG*CE55+Slot8_IsWG*CO55</f>
        <v>0</v>
      </c>
      <c r="DL55" s="1" t="n">
        <f aca="false">IF(AND(WI_Retire=0,WI_M&gt;0,F55=1,DK55&gt;=1),WI_M*12*E55,0)</f>
        <v>0</v>
      </c>
      <c r="DM55" s="1" t="n">
        <f aca="false">IF(DD55=1,MIN(DJ55,DB55),0)</f>
        <v>0</v>
      </c>
      <c r="DN55" s="1" t="n">
        <f aca="false">IF(DD55=1,MIN(DL55,DB55-DM55),0)</f>
        <v>0</v>
      </c>
      <c r="DO55" s="1" t="n">
        <f aca="false">IF(V55=1,IF(ABS((1+AS_Wage)/(1+Slot1_Rate)-1)&lt;0.000000000001,(Slot1_Age-D55)*(1+Slot1_Rate)^(Slot1_Age-D55),(1+Slot1_Rate)^(Slot1_Age-D55)*(1-((1+AS_Wage)/(1+Slot1_Rate))^(Slot1_Age-D55))/(1-(1+AS_Wage)/(1+Slot1_Rate))),1)</f>
        <v>1</v>
      </c>
      <c r="DP55" s="1" t="n">
        <f aca="false">IF(AND(DD55=1,DN55&gt;0,Slot1_IsWG=1,V55=1),MAX(0,(Slot1_Cost-W55*(1+Slot1_Rate)^(Slot1_Age-D55))/DO55),0)</f>
        <v>0</v>
      </c>
      <c r="DQ55" s="1" t="n">
        <f aca="false">IF(AND(DD55=1,DN55&gt;0,Slot1_IsWG=1,V55=1),MIN(DN55,DP55),0)</f>
        <v>0</v>
      </c>
      <c r="DR55" s="1" t="n">
        <f aca="false">W55+DQ55</f>
        <v>0</v>
      </c>
      <c r="DS55" s="1" t="n">
        <f aca="false">IF(V55=1,MAX(0,(Slot1_Cost-DR55*(1+Slot1_Rate)^(Slot1_Age-D55))/DO55),0)</f>
        <v>0</v>
      </c>
      <c r="DT55" s="1" t="n">
        <f aca="false">IF(V55=1,MAX(0,(Slot1_Cost-W55*(1+Slot1_Rate)^(Slot1_Age-D55))/DO55),0)</f>
        <v>0</v>
      </c>
      <c r="DU55" s="1" t="n">
        <f aca="false">IF(AND(DD55=1,V55=1),MIN(DM55,DS55),0)</f>
        <v>0</v>
      </c>
      <c r="DV55" s="1" t="n">
        <f aca="false">DM55-DU55</f>
        <v>0</v>
      </c>
      <c r="DW55" s="1" t="n">
        <f aca="false">IF(AG55=1,IF(ABS((1+AS_Wage)/(1+Slot2_Rate)-1)&lt;0.000000000001,(Slot2_Age-D55)*(1+Slot2_Rate)^(Slot2_Age-D55),(1+Slot2_Rate)^(Slot2_Age-D55)*(1-((1+AS_Wage)/(1+Slot2_Rate))^(Slot2_Age-D55))/(1-(1+AS_Wage)/(1+Slot2_Rate))),1)</f>
        <v>1</v>
      </c>
      <c r="DX55" s="1" t="n">
        <f aca="false">IF(AND(DD55=1,DN55&gt;0,Slot2_IsWG=1,AG55=1),MAX(0,(Slot2_Cost-AH55*(1+Slot2_Rate)^(Slot2_Age-D55))/DW55),0)</f>
        <v>0</v>
      </c>
      <c r="DY55" s="1" t="n">
        <f aca="false">IF(AND(DD55=1,DN55&gt;0,Slot2_IsWG=1,AG55=1),MIN(DN55,DX55),0)</f>
        <v>0</v>
      </c>
      <c r="DZ55" s="1" t="n">
        <f aca="false">AH55+DY55</f>
        <v>0</v>
      </c>
      <c r="EA55" s="1" t="n">
        <f aca="false">IF(AG55=1,MAX(0,(Slot2_Cost-DZ55*(1+Slot2_Rate)^(Slot2_Age-D55))/DW55),0)</f>
        <v>0</v>
      </c>
      <c r="EB55" s="1" t="n">
        <f aca="false">IF(AG55=1,MAX(0,(Slot2_Cost-AH55*(1+Slot2_Rate)^(Slot2_Age-D55))/DW55),0)</f>
        <v>0</v>
      </c>
      <c r="EC55" s="1" t="n">
        <f aca="false">IF(AND(DD55=1,AG55=1),MIN(DV55,EA55),0)</f>
        <v>0</v>
      </c>
      <c r="ED55" s="1" t="n">
        <f aca="false">DV55-EC55</f>
        <v>0</v>
      </c>
      <c r="EE55" s="1" t="n">
        <f aca="false">IF(AQ55=1,IF(ABS((1+AS_Wage)/(1+Slot3_Rate)-1)&lt;0.000000000001,(Slot3_Age-D55)*(1+Slot3_Rate)^(Slot3_Age-D55),(1+Slot3_Rate)^(Slot3_Age-D55)*(1-((1+AS_Wage)/(1+Slot3_Rate))^(Slot3_Age-D55))/(1-(1+AS_Wage)/(1+Slot3_Rate))),1)</f>
        <v>1</v>
      </c>
      <c r="EF55" s="1" t="n">
        <f aca="false">IF(AND(DD55=1,DN55&gt;0,Slot3_IsWG=1,AQ55=1),MAX(0,(Slot3_Cost-AR55*(1+Slot3_Rate)^(Slot3_Age-D55))/EE55),0)</f>
        <v>0</v>
      </c>
      <c r="EG55" s="1" t="n">
        <f aca="false">IF(AND(DD55=1,DN55&gt;0,Slot3_IsWG=1,AQ55=1),MIN(DN55,EF55),0)</f>
        <v>0</v>
      </c>
      <c r="EH55" s="1" t="n">
        <f aca="false">AR55+EG55</f>
        <v>0</v>
      </c>
      <c r="EI55" s="1" t="n">
        <f aca="false">IF(AQ55=1,MAX(0,(Slot3_Cost-EH55*(1+Slot3_Rate)^(Slot3_Age-D55))/EE55),0)</f>
        <v>0</v>
      </c>
      <c r="EJ55" s="1" t="n">
        <f aca="false">IF(AQ55=1,MAX(0,(Slot3_Cost-AR55*(1+Slot3_Rate)^(Slot3_Age-D55))/EE55),0)</f>
        <v>0</v>
      </c>
      <c r="EK55" s="1" t="n">
        <f aca="false">IF(AND(DD55=1,AQ55=1),MIN(ED55,EI55),0)</f>
        <v>0</v>
      </c>
      <c r="EL55" s="1" t="n">
        <f aca="false">ED55-EK55</f>
        <v>0</v>
      </c>
      <c r="EM55" s="1" t="n">
        <f aca="false">IF(BA55=1,IF(ABS((1+AS_Wage)/(1+Slot4_Rate)-1)&lt;0.000000000001,(Slot4_Age-D55)*(1+Slot4_Rate)^(Slot4_Age-D55),(1+Slot4_Rate)^(Slot4_Age-D55)*(1-((1+AS_Wage)/(1+Slot4_Rate))^(Slot4_Age-D55))/(1-(1+AS_Wage)/(1+Slot4_Rate))),1)</f>
        <v>1</v>
      </c>
      <c r="EN55" s="1" t="n">
        <f aca="false">IF(AND(DD55=1,DN55&gt;0,Slot4_IsWG=1,BA55=1),MAX(0,(Slot4_Cost-BB55*(1+Slot4_Rate)^(Slot4_Age-D55))/EM55),0)</f>
        <v>0</v>
      </c>
      <c r="EO55" s="1" t="n">
        <f aca="false">IF(AND(DD55=1,DN55&gt;0,Slot4_IsWG=1,BA55=1),MIN(DN55,EN55),0)</f>
        <v>0</v>
      </c>
      <c r="EP55" s="1" t="n">
        <f aca="false">BB55+EO55</f>
        <v>0</v>
      </c>
      <c r="EQ55" s="1" t="n">
        <f aca="false">IF(BA55=1,MAX(0,(Slot4_Cost-EP55*(1+Slot4_Rate)^(Slot4_Age-D55))/EM55),0)</f>
        <v>0</v>
      </c>
      <c r="ER55" s="1" t="n">
        <f aca="false">IF(BA55=1,MAX(0,(Slot4_Cost-BB55*(1+Slot4_Rate)^(Slot4_Age-D55))/EM55),0)</f>
        <v>0</v>
      </c>
      <c r="ES55" s="1" t="n">
        <f aca="false">IF(AND(DD55=1,BA55=1),MIN(EL55,EQ55),0)</f>
        <v>0</v>
      </c>
      <c r="ET55" s="1" t="n">
        <f aca="false">EL55-ES55</f>
        <v>0</v>
      </c>
      <c r="EU55" s="1" t="n">
        <f aca="false">IF(BK55=1,IF(ABS((1+AS_Wage)/(1+Slot5_Rate)-1)&lt;0.000000000001,(Slot5_Age-D55)*(1+Slot5_Rate)^(Slot5_Age-D55),(1+Slot5_Rate)^(Slot5_Age-D55)*(1-((1+AS_Wage)/(1+Slot5_Rate))^(Slot5_Age-D55))/(1-(1+AS_Wage)/(1+Slot5_Rate))),1)</f>
        <v>1</v>
      </c>
      <c r="EV55" s="1" t="n">
        <f aca="false">IF(AND(DD55=1,DN55&gt;0,Slot5_IsWG=1,BK55=1),MAX(0,(Slot5_Cost-BL55*(1+Slot5_Rate)^(Slot5_Age-D55))/EU55),0)</f>
        <v>0</v>
      </c>
      <c r="EW55" s="1" t="n">
        <f aca="false">IF(AND(DD55=1,DN55&gt;0,Slot5_IsWG=1,BK55=1),MIN(DN55,EV55),0)</f>
        <v>0</v>
      </c>
      <c r="EX55" s="1" t="n">
        <f aca="false">BL55+EW55</f>
        <v>0</v>
      </c>
      <c r="EY55" s="1" t="n">
        <f aca="false">IF(BK55=1,MAX(0,(Slot5_Cost-EX55*(1+Slot5_Rate)^(Slot5_Age-D55))/EU55),0)</f>
        <v>0</v>
      </c>
      <c r="EZ55" s="1" t="n">
        <f aca="false">IF(BK55=1,MAX(0,(Slot5_Cost-BL55*(1+Slot5_Rate)^(Slot5_Age-D55))/EU55),0)</f>
        <v>0</v>
      </c>
      <c r="FA55" s="1" t="n">
        <f aca="false">IF(AND(DD55=1,BK55=1),MIN(ET55,EY55),0)</f>
        <v>0</v>
      </c>
      <c r="FB55" s="1" t="n">
        <f aca="false">ET55-FA55</f>
        <v>0</v>
      </c>
      <c r="FC55" s="1" t="n">
        <f aca="false">IF(BU55=1,IF(ABS((1+AS_Wage)/(1+Slot6_Rate)-1)&lt;0.000000000001,(Slot6_Age-D55)*(1+Slot6_Rate)^(Slot6_Age-D55),(1+Slot6_Rate)^(Slot6_Age-D55)*(1-((1+AS_Wage)/(1+Slot6_Rate))^(Slot6_Age-D55))/(1-(1+AS_Wage)/(1+Slot6_Rate))),1)</f>
        <v>1</v>
      </c>
      <c r="FD55" s="1" t="n">
        <f aca="false">IF(AND(DD55=1,DN55&gt;0,Slot6_IsWG=1,BU55=1),MAX(0,(Slot6_Cost-BV55*(1+Slot6_Rate)^(Slot6_Age-D55))/FC55),0)</f>
        <v>0</v>
      </c>
      <c r="FE55" s="1" t="n">
        <f aca="false">IF(AND(DD55=1,DN55&gt;0,Slot6_IsWG=1,BU55=1),MIN(DN55,FD55),0)</f>
        <v>0</v>
      </c>
      <c r="FF55" s="1" t="n">
        <f aca="false">BV55+FE55</f>
        <v>0</v>
      </c>
      <c r="FG55" s="1" t="n">
        <f aca="false">IF(BU55=1,MAX(0,(Slot6_Cost-FF55*(1+Slot6_Rate)^(Slot6_Age-D55))/FC55),0)</f>
        <v>0</v>
      </c>
      <c r="FH55" s="1" t="n">
        <f aca="false">IF(BU55=1,MAX(0,(Slot6_Cost-BV55*(1+Slot6_Rate)^(Slot6_Age-D55))/FC55),0)</f>
        <v>0</v>
      </c>
      <c r="FI55" s="1" t="n">
        <f aca="false">IF(AND(DD55=1,BU55=1),MIN(FB55,FG55),0)</f>
        <v>0</v>
      </c>
      <c r="FJ55" s="1" t="n">
        <f aca="false">FB55-FI55</f>
        <v>0</v>
      </c>
      <c r="FK55" s="1" t="n">
        <f aca="false">IF(CE55=1,IF(ABS((1+AS_Wage)/(1+Slot7_Rate)-1)&lt;0.000000000001,(Slot7_Age-D55)*(1+Slot7_Rate)^(Slot7_Age-D55),(1+Slot7_Rate)^(Slot7_Age-D55)*(1-((1+AS_Wage)/(1+Slot7_Rate))^(Slot7_Age-D55))/(1-(1+AS_Wage)/(1+Slot7_Rate))),1)</f>
        <v>1</v>
      </c>
      <c r="FL55" s="1" t="n">
        <f aca="false">IF(AND(DD55=1,DN55&gt;0,Slot7_IsWG=1,CE55=1),MAX(0,(Slot7_Cost-CF55*(1+Slot7_Rate)^(Slot7_Age-D55))/FK55),0)</f>
        <v>0</v>
      </c>
      <c r="FM55" s="1" t="n">
        <f aca="false">IF(AND(DD55=1,DN55&gt;0,Slot7_IsWG=1,CE55=1),MIN(DN55,FL55),0)</f>
        <v>0</v>
      </c>
      <c r="FN55" s="1" t="n">
        <f aca="false">CF55+FM55</f>
        <v>0</v>
      </c>
      <c r="FO55" s="1" t="n">
        <f aca="false">IF(CE55=1,MAX(0,(Slot7_Cost-FN55*(1+Slot7_Rate)^(Slot7_Age-D55))/FK55),0)</f>
        <v>0</v>
      </c>
      <c r="FP55" s="1" t="n">
        <f aca="false">IF(CE55=1,MAX(0,(Slot7_Cost-CF55*(1+Slot7_Rate)^(Slot7_Age-D55))/FK55),0)</f>
        <v>0</v>
      </c>
      <c r="FQ55" s="1" t="n">
        <f aca="false">IF(AND(DD55=1,CE55=1),MIN(FJ55,FO55),0)</f>
        <v>0</v>
      </c>
      <c r="FR55" s="1" t="n">
        <f aca="false">FJ55-FQ55</f>
        <v>0</v>
      </c>
      <c r="FS55" s="1" t="n">
        <f aca="false">IF(CO55=1,IF(ABS((1+AS_Wage)/(1+Slot8_Rate)-1)&lt;0.000000000001,(Slot8_Age-D55)*(1+Slot8_Rate)^(Slot8_Age-D55),(1+Slot8_Rate)^(Slot8_Age-D55)*(1-((1+AS_Wage)/(1+Slot8_Rate))^(Slot8_Age-D55))/(1-(1+AS_Wage)/(1+Slot8_Rate))),1)</f>
        <v>1</v>
      </c>
      <c r="FT55" s="1" t="n">
        <f aca="false">IF(AND(DD55=1,DN55&gt;0,Slot8_IsWG=1,CO55=1),MAX(0,(Slot8_Cost-CP55*(1+Slot8_Rate)^(Slot8_Age-D55))/FS55),0)</f>
        <v>0</v>
      </c>
      <c r="FU55" s="1" t="n">
        <f aca="false">IF(AND(DD55=1,DN55&gt;0,Slot8_IsWG=1,CO55=1),MIN(DN55,FT55),0)</f>
        <v>0</v>
      </c>
      <c r="FV55" s="1" t="n">
        <f aca="false">CP55+FU55</f>
        <v>0</v>
      </c>
      <c r="FW55" s="1" t="n">
        <f aca="false">IF(CO55=1,MAX(0,(Slot8_Cost-FV55*(1+Slot8_Rate)^(Slot8_Age-D55))/FS55),0)</f>
        <v>0</v>
      </c>
      <c r="FX55" s="1" t="n">
        <f aca="false">IF(CO55=1,MAX(0,(Slot8_Cost-CP55*(1+Slot8_Rate)^(Slot8_Age-D55))/FS55),0)</f>
        <v>0</v>
      </c>
      <c r="FY55" s="1" t="n">
        <f aca="false">IF(AND(DD55=1,CO55=1),MIN(FR55,FW55),0)</f>
        <v>0</v>
      </c>
      <c r="FZ55" s="1" t="n">
        <f aca="false">FR55-FY55</f>
        <v>0</v>
      </c>
      <c r="GA55" s="1" t="n">
        <f aca="false">DN55-(DQ55+DY55+EG55+EO55+EW55+FE55+FM55+FU55)</f>
        <v>0</v>
      </c>
      <c r="GB55" s="1" t="n">
        <f aca="false">IF(DD55=1,DB55-DM55-DN55,0)</f>
        <v>0</v>
      </c>
      <c r="GC55" s="1" t="n">
        <f aca="false">IF(DD55=0,-DB55,0)</f>
        <v>0</v>
      </c>
      <c r="GD55" s="1" t="n">
        <f aca="false">MIN(GC55,CT55)</f>
        <v>0</v>
      </c>
      <c r="GE55" s="1" t="n">
        <f aca="false">GC55-GD55</f>
        <v>0</v>
      </c>
      <c r="GF55" s="1" t="n">
        <f aca="false">MIN(GE55,CU55)</f>
        <v>0</v>
      </c>
      <c r="GG55" s="1" t="n">
        <f aca="false">GE55-GF55</f>
        <v>0</v>
      </c>
      <c r="GH55" s="1" t="n">
        <f aca="false">IF(AND(DD55=0,CO55=1,GG55&gt;0),MIN(GG55,CP55),0)</f>
        <v>0</v>
      </c>
      <c r="GI55" s="1" t="n">
        <f aca="false">GG55-GH55</f>
        <v>0</v>
      </c>
      <c r="GJ55" s="1" t="n">
        <f aca="false">IF(AND(DD55=0,CE55=1,GI55&gt;0),MIN(GI55,CF55),0)</f>
        <v>0</v>
      </c>
      <c r="GK55" s="1" t="n">
        <f aca="false">GI55-GJ55</f>
        <v>0</v>
      </c>
      <c r="GL55" s="1" t="n">
        <f aca="false">IF(AND(DD55=0,BU55=1,GK55&gt;0),MIN(GK55,BV55),0)</f>
        <v>0</v>
      </c>
      <c r="GM55" s="1" t="n">
        <f aca="false">GK55-GL55</f>
        <v>0</v>
      </c>
      <c r="GN55" s="1" t="n">
        <f aca="false">IF(AND(DD55=0,BK55=1,GM55&gt;0),MIN(GM55,BL55),0)</f>
        <v>0</v>
      </c>
      <c r="GO55" s="1" t="n">
        <f aca="false">GM55-GN55</f>
        <v>0</v>
      </c>
      <c r="GP55" s="1" t="n">
        <f aca="false">IF(AND(DD55=0,BA55=1,GO55&gt;0),MIN(GO55,BB55),0)</f>
        <v>0</v>
      </c>
      <c r="GQ55" s="1" t="n">
        <f aca="false">GO55-GP55</f>
        <v>0</v>
      </c>
      <c r="GR55" s="1" t="n">
        <f aca="false">IF(AND(DD55=0,AQ55=1,GQ55&gt;0),MIN(GQ55,AR55),0)</f>
        <v>0</v>
      </c>
      <c r="GS55" s="1" t="n">
        <f aca="false">GQ55-GR55</f>
        <v>0</v>
      </c>
      <c r="GT55" s="1" t="n">
        <f aca="false">IF(AND(DD55=0,AG55=1,GS55&gt;0),MIN(GS55,AH55),0)</f>
        <v>0</v>
      </c>
      <c r="GU55" s="1" t="n">
        <f aca="false">GS55-GT55</f>
        <v>0</v>
      </c>
      <c r="GV55" s="1" t="n">
        <f aca="false">IF(AND(DD55=0,V55=1,GU55&gt;0),MIN(GU55,W55),0)</f>
        <v>0</v>
      </c>
      <c r="GW55" s="1" t="n">
        <f aca="false">GU55-GV55</f>
        <v>0</v>
      </c>
      <c r="GX55" s="1" t="n">
        <f aca="false">IF(DD55=0,GW55,0)</f>
        <v>0</v>
      </c>
      <c r="GY55" s="1" t="n">
        <f aca="false">GD55+GF55+GV55+GT55+GR55+GP55+GN55+GL55+GJ55+GH55</f>
        <v>0</v>
      </c>
      <c r="GZ55" s="1" t="n">
        <f aca="false">IF(DD55=1,CT55+GA55+FZ55+IF(F55=1,0,GB55),CT55-GD55)</f>
        <v>0</v>
      </c>
      <c r="HA55" s="1" t="n">
        <f aca="false">CU55-GF55</f>
        <v>0</v>
      </c>
      <c r="HB55" s="1" t="n">
        <f aca="false">IF(DD55=1,IF(F55=1,DM55+DN55,DB55),0)</f>
        <v>0</v>
      </c>
      <c r="HC55" s="1" t="n">
        <f aca="false">IF(DD55=1,IF(F55=1,DB55-DM55-DN55,0),0)</f>
        <v>0</v>
      </c>
      <c r="HD55" s="1" t="n">
        <f aca="false">GZ55*(1+GR)</f>
        <v>0</v>
      </c>
      <c r="HE55" s="1" t="n">
        <f aca="false">HA55*(1+AS_Cash)</f>
        <v>0</v>
      </c>
      <c r="HF55" s="1" t="n">
        <f aca="false">IF(V55=1,IF(DD55=1,DR55+DU55,W55-GV55)*(1+Slot1_Rate),0)</f>
        <v>0</v>
      </c>
      <c r="HG55" s="1" t="n">
        <f aca="false">IF(AND(DD55=1,V55=1),(DQ55+DU55)/E55,0)</f>
        <v>0</v>
      </c>
      <c r="HH55" s="1" t="n">
        <f aca="false">IF(B55=0,DQ55+DU55,0)</f>
        <v>0</v>
      </c>
      <c r="HI55" s="1" t="n">
        <f aca="false">IF(B55=0,IF(DD55=1,DS55,DT55),0)</f>
        <v>0</v>
      </c>
      <c r="HJ55" s="1" t="n">
        <f aca="false">IF(AG55=1,IF(DD55=1,DZ55+EC55,AH55-GT55)*(1+Slot2_Rate),0)</f>
        <v>0</v>
      </c>
      <c r="HK55" s="1" t="n">
        <f aca="false">IF(AND(DD55=1,AG55=1),(DY55+EC55)/E55,0)</f>
        <v>0</v>
      </c>
      <c r="HL55" s="1" t="n">
        <f aca="false">IF(B55=0,DY55+EC55,0)</f>
        <v>0</v>
      </c>
      <c r="HM55" s="1" t="n">
        <f aca="false">IF(B55=0,IF(DD55=1,EA55,EB55),0)</f>
        <v>0</v>
      </c>
      <c r="HN55" s="1" t="n">
        <f aca="false">IF(AQ55=1,IF(DD55=1,EH55+EK55,AR55-GR55)*(1+Slot3_Rate),0)</f>
        <v>0</v>
      </c>
      <c r="HO55" s="1" t="n">
        <f aca="false">IF(AND(DD55=1,AQ55=1),(EG55+EK55)/E55,0)</f>
        <v>0</v>
      </c>
      <c r="HP55" s="1" t="n">
        <f aca="false">IF(B55=0,EG55+EK55,0)</f>
        <v>0</v>
      </c>
      <c r="HQ55" s="1" t="n">
        <f aca="false">IF(B55=0,IF(DD55=1,EI55,EJ55),0)</f>
        <v>0</v>
      </c>
      <c r="HR55" s="1" t="n">
        <f aca="false">IF(BA55=1,IF(DD55=1,EP55+ES55,BB55-GP55)*(1+Slot4_Rate),0)</f>
        <v>0</v>
      </c>
      <c r="HS55" s="1" t="n">
        <f aca="false">IF(AND(DD55=1,BA55=1),(EO55+ES55)/E55,0)</f>
        <v>0</v>
      </c>
      <c r="HT55" s="1" t="n">
        <f aca="false">IF(B55=0,EO55+ES55,0)</f>
        <v>0</v>
      </c>
      <c r="HU55" s="1" t="n">
        <f aca="false">IF(B55=0,IF(DD55=1,EQ55,ER55),0)</f>
        <v>0</v>
      </c>
      <c r="HV55" s="1" t="n">
        <f aca="false">IF(BK55=1,IF(DD55=1,EX55+FA55,BL55-GN55)*(1+Slot5_Rate),0)</f>
        <v>0</v>
      </c>
      <c r="HW55" s="1" t="n">
        <f aca="false">IF(AND(DD55=1,BK55=1),(EW55+FA55)/E55,0)</f>
        <v>0</v>
      </c>
      <c r="HX55" s="1" t="n">
        <f aca="false">IF(B55=0,EW55+FA55,0)</f>
        <v>0</v>
      </c>
      <c r="HY55" s="1" t="n">
        <f aca="false">IF(B55=0,IF(DD55=1,EY55,EZ55),0)</f>
        <v>0</v>
      </c>
      <c r="HZ55" s="1" t="n">
        <f aca="false">IF(BU55=1,IF(DD55=1,FF55+FI55,BV55-GL55)*(1+Slot6_Rate),0)</f>
        <v>0</v>
      </c>
      <c r="IA55" s="1" t="n">
        <f aca="false">IF(AND(DD55=1,BU55=1),(FE55+FI55)/E55,0)</f>
        <v>0</v>
      </c>
      <c r="IB55" s="1" t="n">
        <f aca="false">IF(B55=0,FE55+FI55,0)</f>
        <v>0</v>
      </c>
      <c r="IC55" s="1" t="n">
        <f aca="false">IF(B55=0,IF(DD55=1,FG55,FH55),0)</f>
        <v>0</v>
      </c>
      <c r="ID55" s="1" t="n">
        <f aca="false">IF(CE55=1,IF(DD55=1,FN55+FQ55,CF55-GJ55)*(1+Slot7_Rate),0)</f>
        <v>0</v>
      </c>
      <c r="IE55" s="1" t="n">
        <f aca="false">IF(AND(DD55=1,CE55=1),(FM55+FQ55)/E55,0)</f>
        <v>0</v>
      </c>
      <c r="IF55" s="1" t="n">
        <f aca="false">IF(B55=0,FM55+FQ55,0)</f>
        <v>0</v>
      </c>
      <c r="IG55" s="1" t="n">
        <f aca="false">IF(B55=0,IF(DD55=1,FO55,FP55),0)</f>
        <v>0</v>
      </c>
      <c r="IH55" s="1" t="n">
        <f aca="false">IF(CO55=1,IF(DD55=1,FV55+FY55,CP55-GH55)*(1+Slot8_Rate),0)</f>
        <v>0</v>
      </c>
      <c r="II55" s="1" t="n">
        <f aca="false">IF(AND(DD55=1,CO55=1),(FU55+FY55)/E55,0)</f>
        <v>0</v>
      </c>
      <c r="IJ55" s="1" t="n">
        <f aca="false">IF(B55=0,FU55+FY55,0)</f>
        <v>0</v>
      </c>
      <c r="IK55" s="1" t="n">
        <f aca="false">IF(B55=0,IF(DD55=1,FW55,FX55),0)</f>
        <v>0</v>
      </c>
      <c r="IL55" s="1" t="n">
        <f aca="false">HD55+HE55+HF55+HJ55+HN55+HR55+HV55+HZ55+ID55+IH55</f>
        <v>0</v>
      </c>
      <c r="IM55" s="1" t="n">
        <f aca="false">GX55+CY55</f>
        <v>0</v>
      </c>
      <c r="IN55" s="1" t="n">
        <f aca="false">H55+R55</f>
        <v>0</v>
      </c>
      <c r="IO55" s="1" t="n">
        <f aca="false">1-F55</f>
        <v>1</v>
      </c>
      <c r="IP55" s="1" t="n">
        <f aca="false">IF(AND(RG_Exists=1,F55=0,C55=1),H55,0)</f>
        <v>0</v>
      </c>
      <c r="IQ55" s="1" t="n">
        <f aca="false">IF(AND(RG_Exists=1,F55=0,C55=1),H55-MIN(GX55,H55),0)</f>
        <v>0</v>
      </c>
      <c r="IR55" s="1" t="n">
        <f aca="false">'Plan pay &amp; tax'!AD257</f>
        <v>0</v>
      </c>
      <c r="IS55" s="1" t="n">
        <f aca="false">IF(AND(C55=1,GX55&gt;MAX(PR_Short1,IN55*PR_Short2)),1,0)</f>
        <v>0</v>
      </c>
      <c r="IT55" s="1" t="n">
        <f aca="false">MIN(G55,H55+R55)</f>
        <v>0</v>
      </c>
      <c r="IU55" s="1" t="n">
        <f aca="false">GY55+MAX(0,CZ55-CY55)</f>
        <v>0</v>
      </c>
      <c r="IV55" s="1" t="n">
        <f aca="false">GX55+CY55</f>
        <v>0</v>
      </c>
      <c r="IW55" s="1" t="n">
        <f aca="false">IF(AND(C55=1,IV55&gt;0.5),1,0)</f>
        <v>0</v>
      </c>
      <c r="IX55" s="1" t="n">
        <f aca="false">IF(AND(C55=1,IW55=0,IU55&gt;0.5),1,0)</f>
        <v>0</v>
      </c>
      <c r="IY55" s="1" t="n">
        <f aca="false">IF(AND(C55=1,GX55&gt;0.5),1,0)</f>
        <v>0</v>
      </c>
      <c r="IZ55" s="1" t="n">
        <f aca="false">IF(AND(C55=1,GY55&gt;1,JF55=0),1,0)</f>
        <v>0</v>
      </c>
      <c r="JA55" s="1" t="n">
        <f aca="false">IF(AND(INT(D55/10)*10=90,B55&gt;0),80,INT(D55/10)*10)</f>
        <v>40</v>
      </c>
      <c r="JB55" s="1" t="n">
        <f aca="false">IF(B55=0,1,IF(JA55&lt;&gt;JA54,JB54+1,JB54))</f>
        <v>5</v>
      </c>
      <c r="JC55" s="1" t="n">
        <f aca="false">IF(AND(C55=1,F55=1,GX55&gt;MAX(PR_Short1,IN55*PR_Short2)),1,0)</f>
        <v>0</v>
      </c>
      <c r="JD55" s="1" t="n">
        <f aca="false">IO55*IS55</f>
        <v>0</v>
      </c>
      <c r="JE55" s="1" t="n">
        <f aca="false">IF(AND(U55=1,Slot1_PctLow=1),1,0)+IF(AND(AF55=1,Slot2_PctLow=1),1,0)+IF(AND(AP55=1,Slot3_PctLow=1),1,0)+IF(AND(AZ55=1,Slot4_PctLow=1),1,0)+IF(AND(BJ55=1,Slot5_PctLow=1),1,0)+IF(AND(BT55=1,Slot6_PctLow=1),1,0)+IF(AND(CD55=1,Slot7_PctLow=1),1,0)+IF(AND(CN55=1,Slot8_PctLow=1),1,0)</f>
        <v>0</v>
      </c>
      <c r="JF55" s="1" t="n">
        <f aca="false">IF(C55=1,IF(OR(IS55=1,JE55&gt;0),1,0),0)</f>
        <v>0</v>
      </c>
    </row>
    <row r="56" customFormat="false" ht="15" hidden="false" customHeight="false" outlineLevel="0" collapsed="false">
      <c r="B56" s="1" t="n">
        <v>48</v>
      </c>
      <c r="C56" s="1" t="n">
        <f aca="false">IF(B56&lt;=F_N,1,0)</f>
        <v>1</v>
      </c>
      <c r="D56" s="1" t="n">
        <f aca="false">'Plan pay &amp; tax'!C258</f>
        <v>48</v>
      </c>
      <c r="E56" s="106" t="n">
        <f aca="false">'Plan pay &amp; tax'!E258</f>
        <v>2.58707038549943</v>
      </c>
      <c r="F56" s="1" t="n">
        <f aca="false">'Plan pay &amp; tax'!G258</f>
        <v>0</v>
      </c>
      <c r="G56" s="1" t="n">
        <f aca="false">'Plan pay &amp; tax'!BT258-'Plan pay &amp; tax'!BS258-'Plan pay &amp; tax'!R258</f>
        <v>0</v>
      </c>
      <c r="H56" s="1" t="n">
        <f aca="false">IF(F56=1,F_CostsM*12,IF(RG_Exists=1,RG_Amount,F_CostsM*12*AS_RetireSpend))*E56+F_OneOffY*E56</f>
        <v>0</v>
      </c>
      <c r="I56" s="1" t="n">
        <f aca="false">DA55</f>
        <v>0</v>
      </c>
      <c r="J56" s="1" t="n">
        <f aca="false">IF(I56&gt;1,'Plan debt months'!AC56,0)</f>
        <v>0</v>
      </c>
      <c r="K56" s="1" t="n">
        <f aca="false">IF(I56&gt;1,'Plan debt months'!AB56,I56)</f>
        <v>0</v>
      </c>
      <c r="L56" s="1" t="n">
        <f aca="false">N55</f>
        <v>0</v>
      </c>
      <c r="M56" s="1" t="n">
        <f aca="false">IF(L56&gt;1,'Plan debt months'!BD56,0)</f>
        <v>0</v>
      </c>
      <c r="N56" s="1" t="n">
        <f aca="false">IF(L56&gt;1,'Plan debt months'!BC56,L56)</f>
        <v>0</v>
      </c>
      <c r="O56" s="1" t="n">
        <f aca="false">Q55</f>
        <v>0</v>
      </c>
      <c r="P56" s="1" t="n">
        <f aca="false">IF(O56&gt;1,'Plan debt months'!CE56,0)</f>
        <v>0</v>
      </c>
      <c r="Q56" s="1" t="n">
        <f aca="false">IF(O56&gt;1,'Plan debt months'!CD56,O56)</f>
        <v>0</v>
      </c>
      <c r="R56" s="1" t="n">
        <f aca="false">J56+M56+P56</f>
        <v>0</v>
      </c>
      <c r="S56" s="1" t="n">
        <f aca="false">HD55+'Plan pay &amp; tax'!Y258</f>
        <v>0</v>
      </c>
      <c r="T56" s="1" t="n">
        <f aca="false">HD55</f>
        <v>0</v>
      </c>
      <c r="U56" s="1" t="n">
        <f aca="false">IF(AND(Slot1_On=1,D56=Slot1_Age),1,0)</f>
        <v>0</v>
      </c>
      <c r="V56" s="1" t="n">
        <f aca="false">IF(AND(Slot1_On=1,Slot1_Age&gt;D56),1,0)</f>
        <v>0</v>
      </c>
      <c r="W56" s="1" t="n">
        <f aca="false">HF55</f>
        <v>0</v>
      </c>
      <c r="X56" s="1" t="n">
        <f aca="false">U56*MIN(Slot1_Cost,W56)</f>
        <v>0</v>
      </c>
      <c r="Y56" s="1" t="n">
        <f aca="false">U56*Slot1_SpendLike*MIN(Slot1_Cost-X56,S56)</f>
        <v>0</v>
      </c>
      <c r="Z56" s="1" t="n">
        <f aca="false">X56+Y56</f>
        <v>0</v>
      </c>
      <c r="AA56" s="1" t="n">
        <f aca="false">S56-Y56+U56*IF(Slot1_SpendLike=1,W56-X56,IF(Slot1_PotFree=1,W56,0))</f>
        <v>0</v>
      </c>
      <c r="AB56" s="1" t="n">
        <f aca="false">AE56+U56*Slot1_BufPot*W56</f>
        <v>0</v>
      </c>
      <c r="AC56" s="1" t="n">
        <f aca="false">IF(AND(U56=1,Slot1_IsMfree=1),IF(Z56&gt;=Slot1_Cost-1,0,MAX(0,K56-Z56)),K56)</f>
        <v>0</v>
      </c>
      <c r="AD56" s="1" t="n">
        <f aca="false">U56*(Slot1_Cost-Z56)</f>
        <v>0</v>
      </c>
      <c r="AE56" s="1" t="n">
        <f aca="false">HE55</f>
        <v>0</v>
      </c>
      <c r="AF56" s="1" t="n">
        <f aca="false">IF(AND(Slot2_On=1,D56=Slot2_Age),1,0)</f>
        <v>0</v>
      </c>
      <c r="AG56" s="1" t="n">
        <f aca="false">IF(AND(Slot2_On=1,Slot2_Age&gt;D56),1,0)</f>
        <v>0</v>
      </c>
      <c r="AH56" s="1" t="n">
        <f aca="false">HJ55</f>
        <v>0</v>
      </c>
      <c r="AI56" s="1" t="n">
        <f aca="false">AF56*MIN(Slot2_Cost,AH56)</f>
        <v>0</v>
      </c>
      <c r="AJ56" s="1" t="n">
        <f aca="false">AF56*Slot2_SpendLike*MIN(Slot2_Cost-AI56,AA56)</f>
        <v>0</v>
      </c>
      <c r="AK56" s="1" t="n">
        <f aca="false">AI56+AJ56</f>
        <v>0</v>
      </c>
      <c r="AL56" s="1" t="n">
        <f aca="false">AA56-AJ56+AF56*IF(Slot2_SpendLike=1,AH56-AI56,IF(Slot2_PotFree=1,AH56,0))</f>
        <v>0</v>
      </c>
      <c r="AM56" s="1" t="n">
        <f aca="false">AB56+AF56*Slot2_BufPot*AH56</f>
        <v>0</v>
      </c>
      <c r="AN56" s="1" t="n">
        <f aca="false">IF(AND(AF56=1,Slot2_IsMfree=1),IF(AK56&gt;=Slot2_Cost-1,0,MAX(0,AC56-AK56)),AC56)</f>
        <v>0</v>
      </c>
      <c r="AO56" s="1" t="n">
        <f aca="false">AF56*(Slot2_Cost-AK56)</f>
        <v>0</v>
      </c>
      <c r="AP56" s="1" t="n">
        <f aca="false">IF(AND(Slot3_On=1,D56=Slot3_Age),1,0)</f>
        <v>0</v>
      </c>
      <c r="AQ56" s="1" t="n">
        <f aca="false">IF(AND(Slot3_On=1,Slot3_Age&gt;D56),1,0)</f>
        <v>0</v>
      </c>
      <c r="AR56" s="1" t="n">
        <f aca="false">HN55</f>
        <v>0</v>
      </c>
      <c r="AS56" s="1" t="n">
        <f aca="false">AP56*MIN(Slot3_Cost,AR56)</f>
        <v>0</v>
      </c>
      <c r="AT56" s="1" t="n">
        <f aca="false">AP56*Slot3_SpendLike*MIN(Slot3_Cost-AS56,AL56)</f>
        <v>0</v>
      </c>
      <c r="AU56" s="1" t="n">
        <f aca="false">AS56+AT56</f>
        <v>0</v>
      </c>
      <c r="AV56" s="1" t="n">
        <f aca="false">AL56-AT56+AP56*IF(Slot3_SpendLike=1,AR56-AS56,IF(Slot3_PotFree=1,AR56,0))</f>
        <v>0</v>
      </c>
      <c r="AW56" s="1" t="n">
        <f aca="false">AM56+AP56*Slot3_BufPot*AR56</f>
        <v>0</v>
      </c>
      <c r="AX56" s="1" t="n">
        <f aca="false">IF(AND(AP56=1,Slot3_IsMfree=1),IF(AU56&gt;=Slot3_Cost-1,0,MAX(0,AN56-AU56)),AN56)</f>
        <v>0</v>
      </c>
      <c r="AY56" s="1" t="n">
        <f aca="false">AP56*(Slot3_Cost-AU56)</f>
        <v>0</v>
      </c>
      <c r="AZ56" s="1" t="n">
        <f aca="false">IF(AND(Slot4_On=1,D56=Slot4_Age),1,0)</f>
        <v>0</v>
      </c>
      <c r="BA56" s="1" t="n">
        <f aca="false">IF(AND(Slot4_On=1,Slot4_Age&gt;D56),1,0)</f>
        <v>0</v>
      </c>
      <c r="BB56" s="1" t="n">
        <f aca="false">HR55</f>
        <v>0</v>
      </c>
      <c r="BC56" s="1" t="n">
        <f aca="false">AZ56*MIN(Slot4_Cost,BB56)</f>
        <v>0</v>
      </c>
      <c r="BD56" s="1" t="n">
        <f aca="false">AZ56*Slot4_SpendLike*MIN(Slot4_Cost-BC56,AV56)</f>
        <v>0</v>
      </c>
      <c r="BE56" s="1" t="n">
        <f aca="false">BC56+BD56</f>
        <v>0</v>
      </c>
      <c r="BF56" s="1" t="n">
        <f aca="false">AV56-BD56+AZ56*IF(Slot4_SpendLike=1,BB56-BC56,IF(Slot4_PotFree=1,BB56,0))</f>
        <v>0</v>
      </c>
      <c r="BG56" s="1" t="n">
        <f aca="false">AW56+AZ56*Slot4_BufPot*BB56</f>
        <v>0</v>
      </c>
      <c r="BH56" s="1" t="n">
        <f aca="false">IF(AND(AZ56=1,Slot4_IsMfree=1),IF(BE56&gt;=Slot4_Cost-1,0,MAX(0,AX56-BE56)),AX56)</f>
        <v>0</v>
      </c>
      <c r="BI56" s="1" t="n">
        <f aca="false">AZ56*(Slot4_Cost-BE56)</f>
        <v>0</v>
      </c>
      <c r="BJ56" s="1" t="n">
        <f aca="false">IF(AND(Slot5_On=1,D56=Slot5_Age),1,0)</f>
        <v>0</v>
      </c>
      <c r="BK56" s="1" t="n">
        <f aca="false">IF(AND(Slot5_On=1,Slot5_Age&gt;D56),1,0)</f>
        <v>0</v>
      </c>
      <c r="BL56" s="1" t="n">
        <f aca="false">HV55</f>
        <v>0</v>
      </c>
      <c r="BM56" s="1" t="n">
        <f aca="false">BJ56*MIN(Slot5_Cost,BL56)</f>
        <v>0</v>
      </c>
      <c r="BN56" s="1" t="n">
        <f aca="false">BJ56*Slot5_SpendLike*MIN(Slot5_Cost-BM56,BF56)</f>
        <v>0</v>
      </c>
      <c r="BO56" s="1" t="n">
        <f aca="false">BM56+BN56</f>
        <v>0</v>
      </c>
      <c r="BP56" s="1" t="n">
        <f aca="false">BF56-BN56+BJ56*IF(Slot5_SpendLike=1,BL56-BM56,IF(Slot5_PotFree=1,BL56,0))</f>
        <v>0</v>
      </c>
      <c r="BQ56" s="1" t="n">
        <f aca="false">BG56+BJ56*Slot5_BufPot*BL56</f>
        <v>0</v>
      </c>
      <c r="BR56" s="1" t="n">
        <f aca="false">IF(AND(BJ56=1,Slot5_IsMfree=1),IF(BO56&gt;=Slot5_Cost-1,0,MAX(0,BH56-BO56)),BH56)</f>
        <v>0</v>
      </c>
      <c r="BS56" s="1" t="n">
        <f aca="false">BJ56*(Slot5_Cost-BO56)</f>
        <v>0</v>
      </c>
      <c r="BT56" s="1" t="n">
        <f aca="false">IF(AND(Slot6_On=1,D56=Slot6_Age),1,0)</f>
        <v>0</v>
      </c>
      <c r="BU56" s="1" t="n">
        <f aca="false">IF(AND(Slot6_On=1,Slot6_Age&gt;D56),1,0)</f>
        <v>0</v>
      </c>
      <c r="BV56" s="1" t="n">
        <f aca="false">HZ55</f>
        <v>0</v>
      </c>
      <c r="BW56" s="1" t="n">
        <f aca="false">BT56*MIN(Slot6_Cost,BV56)</f>
        <v>0</v>
      </c>
      <c r="BX56" s="1" t="n">
        <f aca="false">BT56*Slot6_SpendLike*MIN(Slot6_Cost-BW56,BP56)</f>
        <v>0</v>
      </c>
      <c r="BY56" s="1" t="n">
        <f aca="false">BW56+BX56</f>
        <v>0</v>
      </c>
      <c r="BZ56" s="1" t="n">
        <f aca="false">BP56-BX56+BT56*IF(Slot6_SpendLike=1,BV56-BW56,IF(Slot6_PotFree=1,BV56,0))</f>
        <v>0</v>
      </c>
      <c r="CA56" s="1" t="n">
        <f aca="false">BQ56+BT56*Slot6_BufPot*BV56</f>
        <v>0</v>
      </c>
      <c r="CB56" s="1" t="n">
        <f aca="false">IF(AND(BT56=1,Slot6_IsMfree=1),IF(BY56&gt;=Slot6_Cost-1,0,MAX(0,BR56-BY56)),BR56)</f>
        <v>0</v>
      </c>
      <c r="CC56" s="1" t="n">
        <f aca="false">BT56*(Slot6_Cost-BY56)</f>
        <v>0</v>
      </c>
      <c r="CD56" s="1" t="n">
        <f aca="false">IF(AND(Slot7_On=1,D56=Slot7_Age),1,0)</f>
        <v>0</v>
      </c>
      <c r="CE56" s="1" t="n">
        <f aca="false">IF(AND(Slot7_On=1,Slot7_Age&gt;D56),1,0)</f>
        <v>0</v>
      </c>
      <c r="CF56" s="1" t="n">
        <f aca="false">ID55</f>
        <v>0</v>
      </c>
      <c r="CG56" s="1" t="n">
        <f aca="false">CD56*MIN(Slot7_Cost,CF56)</f>
        <v>0</v>
      </c>
      <c r="CH56" s="1" t="n">
        <f aca="false">CD56*Slot7_SpendLike*MIN(Slot7_Cost-CG56,BZ56)</f>
        <v>0</v>
      </c>
      <c r="CI56" s="1" t="n">
        <f aca="false">CG56+CH56</f>
        <v>0</v>
      </c>
      <c r="CJ56" s="1" t="n">
        <f aca="false">BZ56-CH56+CD56*IF(Slot7_SpendLike=1,CF56-CG56,IF(Slot7_PotFree=1,CF56,0))</f>
        <v>0</v>
      </c>
      <c r="CK56" s="1" t="n">
        <f aca="false">CA56+CD56*Slot7_BufPot*CF56</f>
        <v>0</v>
      </c>
      <c r="CL56" s="1" t="n">
        <f aca="false">IF(AND(CD56=1,Slot7_IsMfree=1),IF(CI56&gt;=Slot7_Cost-1,0,MAX(0,CB56-CI56)),CB56)</f>
        <v>0</v>
      </c>
      <c r="CM56" s="1" t="n">
        <f aca="false">CD56*(Slot7_Cost-CI56)</f>
        <v>0</v>
      </c>
      <c r="CN56" s="1" t="n">
        <f aca="false">IF(AND(Slot8_On=1,D56=Slot8_Age),1,0)</f>
        <v>0</v>
      </c>
      <c r="CO56" s="1" t="n">
        <f aca="false">IF(AND(Slot8_On=1,Slot8_Age&gt;D56),1,0)</f>
        <v>0</v>
      </c>
      <c r="CP56" s="1" t="n">
        <f aca="false">IH55</f>
        <v>0</v>
      </c>
      <c r="CQ56" s="1" t="n">
        <f aca="false">CN56*MIN(Slot8_Cost,CP56)</f>
        <v>0</v>
      </c>
      <c r="CR56" s="1" t="n">
        <f aca="false">CN56*Slot8_SpendLike*MIN(Slot8_Cost-CQ56,CJ56)</f>
        <v>0</v>
      </c>
      <c r="CS56" s="1" t="n">
        <f aca="false">CQ56+CR56</f>
        <v>0</v>
      </c>
      <c r="CT56" s="1" t="n">
        <f aca="false">CJ56-CR56+CN56*IF(Slot8_SpendLike=1,CP56-CQ56,IF(Slot8_PotFree=1,CP56,0))</f>
        <v>0</v>
      </c>
      <c r="CU56" s="1" t="n">
        <f aca="false">CK56+CN56*Slot8_BufPot*CP56</f>
        <v>0</v>
      </c>
      <c r="CV56" s="1" t="n">
        <f aca="false">IF(AND(CN56=1,Slot8_IsMfree=1),IF(CS56&gt;=Slot8_Cost-1,0,MAX(0,CL56-CS56)),CL56)</f>
        <v>0</v>
      </c>
      <c r="CW56" s="1" t="n">
        <f aca="false">CN56*(Slot8_Cost-CS56)</f>
        <v>0</v>
      </c>
      <c r="CX56" s="1" t="n">
        <f aca="false">U56*Slot1_SpendLike*Z56+AF56*Slot2_SpendLike*AK56+AP56*Slot3_SpendLike*AU56+AZ56*Slot4_SpendLike*BE56+BJ56*Slot5_SpendLike*BO56+BT56*Slot6_SpendLike*BY56+CD56*Slot7_SpendLike*CI56+CN56*Slot8_SpendLike*CS56</f>
        <v>0</v>
      </c>
      <c r="CY56" s="1" t="n">
        <f aca="false">AD56+AO56+AY56+BI56+BS56+CC56+CM56+CW56</f>
        <v>0</v>
      </c>
      <c r="CZ56" s="1" t="n">
        <f aca="false">U56*Slot1_Cost+AF56*Slot2_Cost+AP56*Slot3_Cost+AZ56*Slot4_Cost+BJ56*Slot5_Cost+BT56*Slot6_Cost+CD56*Slot7_Cost+CN56*Slot8_Cost</f>
        <v>0</v>
      </c>
      <c r="DA56" s="1" t="n">
        <f aca="false">CV56</f>
        <v>0</v>
      </c>
      <c r="DB56" s="1" t="n">
        <f aca="false">G56-H56-R56</f>
        <v>0</v>
      </c>
      <c r="DC56" s="1" t="n">
        <f aca="false">IF(B56=0,IF(AND(Has_q6=1,In_q6=4),PR_ShareVaries*(MAX(0,DB56)/12),MIN(IF(Has_q6=1,CHOOSE(In_q6+1,PR_SaveB1,PR_SaveB2,PR_SaveB3,PR_SaveB4,0),AS_NoAnswer),AS_SaveShare*(MAX(0,DB56)/12))),DC55)</f>
        <v>0</v>
      </c>
      <c r="DD56" s="1" t="n">
        <f aca="false">IF(DB56&gt;=0,1,0)</f>
        <v>1</v>
      </c>
      <c r="DE56" s="1" t="n">
        <f aca="false">MAX(0,DB56/12/E56)</f>
        <v>0</v>
      </c>
      <c r="DF56" s="1" t="n">
        <f aca="false">IF(AND(Has_q6=1,In_q6=4),PR_ShareVaries*(DE56),MIN(IF(Has_q6=1,CHOOSE(In_q6+1,PR_SaveB1,PR_SaveB2,PR_SaveB3,PR_SaveB4,0),AS_NoAnswer),AS_SaveShare*(DE56)))</f>
        <v>0</v>
      </c>
      <c r="DG56" s="1" t="n">
        <f aca="false">IF(Has_saveM=1,IF(In_saveUp="Yes",1,IF(In_saveUp="No",0,IF(In_saveM&gt;=DC56-0.5,1,0))),0)</f>
        <v>0</v>
      </c>
      <c r="DH56" s="1" t="n">
        <f aca="false">IF(Has_saveM=1,MIN(DE56,IF(DG56=1,MAX(In_saveM,DF56),MIN(In_saveM,DF56))),DF56)</f>
        <v>0</v>
      </c>
      <c r="DI56" s="1" t="n">
        <f aca="false">IF(F56=1,DH56*12*E56,0)</f>
        <v>0</v>
      </c>
      <c r="DJ56" s="1" t="n">
        <f aca="false">MAX(0,DI56+IF(AND(WI_Retire=0,WI_M&lt;0,F56=1),WI_M*12*E56,0))</f>
        <v>0</v>
      </c>
      <c r="DK56" s="1" t="n">
        <f aca="false">Slot1_IsWG*V56+Slot2_IsWG*AG56+Slot3_IsWG*AQ56+Slot4_IsWG*BA56+Slot5_IsWG*BK56+Slot6_IsWG*BU56+Slot7_IsWG*CE56+Slot8_IsWG*CO56</f>
        <v>0</v>
      </c>
      <c r="DL56" s="1" t="n">
        <f aca="false">IF(AND(WI_Retire=0,WI_M&gt;0,F56=1,DK56&gt;=1),WI_M*12*E56,0)</f>
        <v>0</v>
      </c>
      <c r="DM56" s="1" t="n">
        <f aca="false">IF(DD56=1,MIN(DJ56,DB56),0)</f>
        <v>0</v>
      </c>
      <c r="DN56" s="1" t="n">
        <f aca="false">IF(DD56=1,MIN(DL56,DB56-DM56),0)</f>
        <v>0</v>
      </c>
      <c r="DO56" s="1" t="n">
        <f aca="false">IF(V56=1,IF(ABS((1+AS_Wage)/(1+Slot1_Rate)-1)&lt;0.000000000001,(Slot1_Age-D56)*(1+Slot1_Rate)^(Slot1_Age-D56),(1+Slot1_Rate)^(Slot1_Age-D56)*(1-((1+AS_Wage)/(1+Slot1_Rate))^(Slot1_Age-D56))/(1-(1+AS_Wage)/(1+Slot1_Rate))),1)</f>
        <v>1</v>
      </c>
      <c r="DP56" s="1" t="n">
        <f aca="false">IF(AND(DD56=1,DN56&gt;0,Slot1_IsWG=1,V56=1),MAX(0,(Slot1_Cost-W56*(1+Slot1_Rate)^(Slot1_Age-D56))/DO56),0)</f>
        <v>0</v>
      </c>
      <c r="DQ56" s="1" t="n">
        <f aca="false">IF(AND(DD56=1,DN56&gt;0,Slot1_IsWG=1,V56=1),MIN(DN56,DP56),0)</f>
        <v>0</v>
      </c>
      <c r="DR56" s="1" t="n">
        <f aca="false">W56+DQ56</f>
        <v>0</v>
      </c>
      <c r="DS56" s="1" t="n">
        <f aca="false">IF(V56=1,MAX(0,(Slot1_Cost-DR56*(1+Slot1_Rate)^(Slot1_Age-D56))/DO56),0)</f>
        <v>0</v>
      </c>
      <c r="DT56" s="1" t="n">
        <f aca="false">IF(V56=1,MAX(0,(Slot1_Cost-W56*(1+Slot1_Rate)^(Slot1_Age-D56))/DO56),0)</f>
        <v>0</v>
      </c>
      <c r="DU56" s="1" t="n">
        <f aca="false">IF(AND(DD56=1,V56=1),MIN(DM56,DS56),0)</f>
        <v>0</v>
      </c>
      <c r="DV56" s="1" t="n">
        <f aca="false">DM56-DU56</f>
        <v>0</v>
      </c>
      <c r="DW56" s="1" t="n">
        <f aca="false">IF(AG56=1,IF(ABS((1+AS_Wage)/(1+Slot2_Rate)-1)&lt;0.000000000001,(Slot2_Age-D56)*(1+Slot2_Rate)^(Slot2_Age-D56),(1+Slot2_Rate)^(Slot2_Age-D56)*(1-((1+AS_Wage)/(1+Slot2_Rate))^(Slot2_Age-D56))/(1-(1+AS_Wage)/(1+Slot2_Rate))),1)</f>
        <v>1</v>
      </c>
      <c r="DX56" s="1" t="n">
        <f aca="false">IF(AND(DD56=1,DN56&gt;0,Slot2_IsWG=1,AG56=1),MAX(0,(Slot2_Cost-AH56*(1+Slot2_Rate)^(Slot2_Age-D56))/DW56),0)</f>
        <v>0</v>
      </c>
      <c r="DY56" s="1" t="n">
        <f aca="false">IF(AND(DD56=1,DN56&gt;0,Slot2_IsWG=1,AG56=1),MIN(DN56,DX56),0)</f>
        <v>0</v>
      </c>
      <c r="DZ56" s="1" t="n">
        <f aca="false">AH56+DY56</f>
        <v>0</v>
      </c>
      <c r="EA56" s="1" t="n">
        <f aca="false">IF(AG56=1,MAX(0,(Slot2_Cost-DZ56*(1+Slot2_Rate)^(Slot2_Age-D56))/DW56),0)</f>
        <v>0</v>
      </c>
      <c r="EB56" s="1" t="n">
        <f aca="false">IF(AG56=1,MAX(0,(Slot2_Cost-AH56*(1+Slot2_Rate)^(Slot2_Age-D56))/DW56),0)</f>
        <v>0</v>
      </c>
      <c r="EC56" s="1" t="n">
        <f aca="false">IF(AND(DD56=1,AG56=1),MIN(DV56,EA56),0)</f>
        <v>0</v>
      </c>
      <c r="ED56" s="1" t="n">
        <f aca="false">DV56-EC56</f>
        <v>0</v>
      </c>
      <c r="EE56" s="1" t="n">
        <f aca="false">IF(AQ56=1,IF(ABS((1+AS_Wage)/(1+Slot3_Rate)-1)&lt;0.000000000001,(Slot3_Age-D56)*(1+Slot3_Rate)^(Slot3_Age-D56),(1+Slot3_Rate)^(Slot3_Age-D56)*(1-((1+AS_Wage)/(1+Slot3_Rate))^(Slot3_Age-D56))/(1-(1+AS_Wage)/(1+Slot3_Rate))),1)</f>
        <v>1</v>
      </c>
      <c r="EF56" s="1" t="n">
        <f aca="false">IF(AND(DD56=1,DN56&gt;0,Slot3_IsWG=1,AQ56=1),MAX(0,(Slot3_Cost-AR56*(1+Slot3_Rate)^(Slot3_Age-D56))/EE56),0)</f>
        <v>0</v>
      </c>
      <c r="EG56" s="1" t="n">
        <f aca="false">IF(AND(DD56=1,DN56&gt;0,Slot3_IsWG=1,AQ56=1),MIN(DN56,EF56),0)</f>
        <v>0</v>
      </c>
      <c r="EH56" s="1" t="n">
        <f aca="false">AR56+EG56</f>
        <v>0</v>
      </c>
      <c r="EI56" s="1" t="n">
        <f aca="false">IF(AQ56=1,MAX(0,(Slot3_Cost-EH56*(1+Slot3_Rate)^(Slot3_Age-D56))/EE56),0)</f>
        <v>0</v>
      </c>
      <c r="EJ56" s="1" t="n">
        <f aca="false">IF(AQ56=1,MAX(0,(Slot3_Cost-AR56*(1+Slot3_Rate)^(Slot3_Age-D56))/EE56),0)</f>
        <v>0</v>
      </c>
      <c r="EK56" s="1" t="n">
        <f aca="false">IF(AND(DD56=1,AQ56=1),MIN(ED56,EI56),0)</f>
        <v>0</v>
      </c>
      <c r="EL56" s="1" t="n">
        <f aca="false">ED56-EK56</f>
        <v>0</v>
      </c>
      <c r="EM56" s="1" t="n">
        <f aca="false">IF(BA56=1,IF(ABS((1+AS_Wage)/(1+Slot4_Rate)-1)&lt;0.000000000001,(Slot4_Age-D56)*(1+Slot4_Rate)^(Slot4_Age-D56),(1+Slot4_Rate)^(Slot4_Age-D56)*(1-((1+AS_Wage)/(1+Slot4_Rate))^(Slot4_Age-D56))/(1-(1+AS_Wage)/(1+Slot4_Rate))),1)</f>
        <v>1</v>
      </c>
      <c r="EN56" s="1" t="n">
        <f aca="false">IF(AND(DD56=1,DN56&gt;0,Slot4_IsWG=1,BA56=1),MAX(0,(Slot4_Cost-BB56*(1+Slot4_Rate)^(Slot4_Age-D56))/EM56),0)</f>
        <v>0</v>
      </c>
      <c r="EO56" s="1" t="n">
        <f aca="false">IF(AND(DD56=1,DN56&gt;0,Slot4_IsWG=1,BA56=1),MIN(DN56,EN56),0)</f>
        <v>0</v>
      </c>
      <c r="EP56" s="1" t="n">
        <f aca="false">BB56+EO56</f>
        <v>0</v>
      </c>
      <c r="EQ56" s="1" t="n">
        <f aca="false">IF(BA56=1,MAX(0,(Slot4_Cost-EP56*(1+Slot4_Rate)^(Slot4_Age-D56))/EM56),0)</f>
        <v>0</v>
      </c>
      <c r="ER56" s="1" t="n">
        <f aca="false">IF(BA56=1,MAX(0,(Slot4_Cost-BB56*(1+Slot4_Rate)^(Slot4_Age-D56))/EM56),0)</f>
        <v>0</v>
      </c>
      <c r="ES56" s="1" t="n">
        <f aca="false">IF(AND(DD56=1,BA56=1),MIN(EL56,EQ56),0)</f>
        <v>0</v>
      </c>
      <c r="ET56" s="1" t="n">
        <f aca="false">EL56-ES56</f>
        <v>0</v>
      </c>
      <c r="EU56" s="1" t="n">
        <f aca="false">IF(BK56=1,IF(ABS((1+AS_Wage)/(1+Slot5_Rate)-1)&lt;0.000000000001,(Slot5_Age-D56)*(1+Slot5_Rate)^(Slot5_Age-D56),(1+Slot5_Rate)^(Slot5_Age-D56)*(1-((1+AS_Wage)/(1+Slot5_Rate))^(Slot5_Age-D56))/(1-(1+AS_Wage)/(1+Slot5_Rate))),1)</f>
        <v>1</v>
      </c>
      <c r="EV56" s="1" t="n">
        <f aca="false">IF(AND(DD56=1,DN56&gt;0,Slot5_IsWG=1,BK56=1),MAX(0,(Slot5_Cost-BL56*(1+Slot5_Rate)^(Slot5_Age-D56))/EU56),0)</f>
        <v>0</v>
      </c>
      <c r="EW56" s="1" t="n">
        <f aca="false">IF(AND(DD56=1,DN56&gt;0,Slot5_IsWG=1,BK56=1),MIN(DN56,EV56),0)</f>
        <v>0</v>
      </c>
      <c r="EX56" s="1" t="n">
        <f aca="false">BL56+EW56</f>
        <v>0</v>
      </c>
      <c r="EY56" s="1" t="n">
        <f aca="false">IF(BK56=1,MAX(0,(Slot5_Cost-EX56*(1+Slot5_Rate)^(Slot5_Age-D56))/EU56),0)</f>
        <v>0</v>
      </c>
      <c r="EZ56" s="1" t="n">
        <f aca="false">IF(BK56=1,MAX(0,(Slot5_Cost-BL56*(1+Slot5_Rate)^(Slot5_Age-D56))/EU56),0)</f>
        <v>0</v>
      </c>
      <c r="FA56" s="1" t="n">
        <f aca="false">IF(AND(DD56=1,BK56=1),MIN(ET56,EY56),0)</f>
        <v>0</v>
      </c>
      <c r="FB56" s="1" t="n">
        <f aca="false">ET56-FA56</f>
        <v>0</v>
      </c>
      <c r="FC56" s="1" t="n">
        <f aca="false">IF(BU56=1,IF(ABS((1+AS_Wage)/(1+Slot6_Rate)-1)&lt;0.000000000001,(Slot6_Age-D56)*(1+Slot6_Rate)^(Slot6_Age-D56),(1+Slot6_Rate)^(Slot6_Age-D56)*(1-((1+AS_Wage)/(1+Slot6_Rate))^(Slot6_Age-D56))/(1-(1+AS_Wage)/(1+Slot6_Rate))),1)</f>
        <v>1</v>
      </c>
      <c r="FD56" s="1" t="n">
        <f aca="false">IF(AND(DD56=1,DN56&gt;0,Slot6_IsWG=1,BU56=1),MAX(0,(Slot6_Cost-BV56*(1+Slot6_Rate)^(Slot6_Age-D56))/FC56),0)</f>
        <v>0</v>
      </c>
      <c r="FE56" s="1" t="n">
        <f aca="false">IF(AND(DD56=1,DN56&gt;0,Slot6_IsWG=1,BU56=1),MIN(DN56,FD56),0)</f>
        <v>0</v>
      </c>
      <c r="FF56" s="1" t="n">
        <f aca="false">BV56+FE56</f>
        <v>0</v>
      </c>
      <c r="FG56" s="1" t="n">
        <f aca="false">IF(BU56=1,MAX(0,(Slot6_Cost-FF56*(1+Slot6_Rate)^(Slot6_Age-D56))/FC56),0)</f>
        <v>0</v>
      </c>
      <c r="FH56" s="1" t="n">
        <f aca="false">IF(BU56=1,MAX(0,(Slot6_Cost-BV56*(1+Slot6_Rate)^(Slot6_Age-D56))/FC56),0)</f>
        <v>0</v>
      </c>
      <c r="FI56" s="1" t="n">
        <f aca="false">IF(AND(DD56=1,BU56=1),MIN(FB56,FG56),0)</f>
        <v>0</v>
      </c>
      <c r="FJ56" s="1" t="n">
        <f aca="false">FB56-FI56</f>
        <v>0</v>
      </c>
      <c r="FK56" s="1" t="n">
        <f aca="false">IF(CE56=1,IF(ABS((1+AS_Wage)/(1+Slot7_Rate)-1)&lt;0.000000000001,(Slot7_Age-D56)*(1+Slot7_Rate)^(Slot7_Age-D56),(1+Slot7_Rate)^(Slot7_Age-D56)*(1-((1+AS_Wage)/(1+Slot7_Rate))^(Slot7_Age-D56))/(1-(1+AS_Wage)/(1+Slot7_Rate))),1)</f>
        <v>1</v>
      </c>
      <c r="FL56" s="1" t="n">
        <f aca="false">IF(AND(DD56=1,DN56&gt;0,Slot7_IsWG=1,CE56=1),MAX(0,(Slot7_Cost-CF56*(1+Slot7_Rate)^(Slot7_Age-D56))/FK56),0)</f>
        <v>0</v>
      </c>
      <c r="FM56" s="1" t="n">
        <f aca="false">IF(AND(DD56=1,DN56&gt;0,Slot7_IsWG=1,CE56=1),MIN(DN56,FL56),0)</f>
        <v>0</v>
      </c>
      <c r="FN56" s="1" t="n">
        <f aca="false">CF56+FM56</f>
        <v>0</v>
      </c>
      <c r="FO56" s="1" t="n">
        <f aca="false">IF(CE56=1,MAX(0,(Slot7_Cost-FN56*(1+Slot7_Rate)^(Slot7_Age-D56))/FK56),0)</f>
        <v>0</v>
      </c>
      <c r="FP56" s="1" t="n">
        <f aca="false">IF(CE56=1,MAX(0,(Slot7_Cost-CF56*(1+Slot7_Rate)^(Slot7_Age-D56))/FK56),0)</f>
        <v>0</v>
      </c>
      <c r="FQ56" s="1" t="n">
        <f aca="false">IF(AND(DD56=1,CE56=1),MIN(FJ56,FO56),0)</f>
        <v>0</v>
      </c>
      <c r="FR56" s="1" t="n">
        <f aca="false">FJ56-FQ56</f>
        <v>0</v>
      </c>
      <c r="FS56" s="1" t="n">
        <f aca="false">IF(CO56=1,IF(ABS((1+AS_Wage)/(1+Slot8_Rate)-1)&lt;0.000000000001,(Slot8_Age-D56)*(1+Slot8_Rate)^(Slot8_Age-D56),(1+Slot8_Rate)^(Slot8_Age-D56)*(1-((1+AS_Wage)/(1+Slot8_Rate))^(Slot8_Age-D56))/(1-(1+AS_Wage)/(1+Slot8_Rate))),1)</f>
        <v>1</v>
      </c>
      <c r="FT56" s="1" t="n">
        <f aca="false">IF(AND(DD56=1,DN56&gt;0,Slot8_IsWG=1,CO56=1),MAX(0,(Slot8_Cost-CP56*(1+Slot8_Rate)^(Slot8_Age-D56))/FS56),0)</f>
        <v>0</v>
      </c>
      <c r="FU56" s="1" t="n">
        <f aca="false">IF(AND(DD56=1,DN56&gt;0,Slot8_IsWG=1,CO56=1),MIN(DN56,FT56),0)</f>
        <v>0</v>
      </c>
      <c r="FV56" s="1" t="n">
        <f aca="false">CP56+FU56</f>
        <v>0</v>
      </c>
      <c r="FW56" s="1" t="n">
        <f aca="false">IF(CO56=1,MAX(0,(Slot8_Cost-FV56*(1+Slot8_Rate)^(Slot8_Age-D56))/FS56),0)</f>
        <v>0</v>
      </c>
      <c r="FX56" s="1" t="n">
        <f aca="false">IF(CO56=1,MAX(0,(Slot8_Cost-CP56*(1+Slot8_Rate)^(Slot8_Age-D56))/FS56),0)</f>
        <v>0</v>
      </c>
      <c r="FY56" s="1" t="n">
        <f aca="false">IF(AND(DD56=1,CO56=1),MIN(FR56,FW56),0)</f>
        <v>0</v>
      </c>
      <c r="FZ56" s="1" t="n">
        <f aca="false">FR56-FY56</f>
        <v>0</v>
      </c>
      <c r="GA56" s="1" t="n">
        <f aca="false">DN56-(DQ56+DY56+EG56+EO56+EW56+FE56+FM56+FU56)</f>
        <v>0</v>
      </c>
      <c r="GB56" s="1" t="n">
        <f aca="false">IF(DD56=1,DB56-DM56-DN56,0)</f>
        <v>0</v>
      </c>
      <c r="GC56" s="1" t="n">
        <f aca="false">IF(DD56=0,-DB56,0)</f>
        <v>0</v>
      </c>
      <c r="GD56" s="1" t="n">
        <f aca="false">MIN(GC56,CT56)</f>
        <v>0</v>
      </c>
      <c r="GE56" s="1" t="n">
        <f aca="false">GC56-GD56</f>
        <v>0</v>
      </c>
      <c r="GF56" s="1" t="n">
        <f aca="false">MIN(GE56,CU56)</f>
        <v>0</v>
      </c>
      <c r="GG56" s="1" t="n">
        <f aca="false">GE56-GF56</f>
        <v>0</v>
      </c>
      <c r="GH56" s="1" t="n">
        <f aca="false">IF(AND(DD56=0,CO56=1,GG56&gt;0),MIN(GG56,CP56),0)</f>
        <v>0</v>
      </c>
      <c r="GI56" s="1" t="n">
        <f aca="false">GG56-GH56</f>
        <v>0</v>
      </c>
      <c r="GJ56" s="1" t="n">
        <f aca="false">IF(AND(DD56=0,CE56=1,GI56&gt;0),MIN(GI56,CF56),0)</f>
        <v>0</v>
      </c>
      <c r="GK56" s="1" t="n">
        <f aca="false">GI56-GJ56</f>
        <v>0</v>
      </c>
      <c r="GL56" s="1" t="n">
        <f aca="false">IF(AND(DD56=0,BU56=1,GK56&gt;0),MIN(GK56,BV56),0)</f>
        <v>0</v>
      </c>
      <c r="GM56" s="1" t="n">
        <f aca="false">GK56-GL56</f>
        <v>0</v>
      </c>
      <c r="GN56" s="1" t="n">
        <f aca="false">IF(AND(DD56=0,BK56=1,GM56&gt;0),MIN(GM56,BL56),0)</f>
        <v>0</v>
      </c>
      <c r="GO56" s="1" t="n">
        <f aca="false">GM56-GN56</f>
        <v>0</v>
      </c>
      <c r="GP56" s="1" t="n">
        <f aca="false">IF(AND(DD56=0,BA56=1,GO56&gt;0),MIN(GO56,BB56),0)</f>
        <v>0</v>
      </c>
      <c r="GQ56" s="1" t="n">
        <f aca="false">GO56-GP56</f>
        <v>0</v>
      </c>
      <c r="GR56" s="1" t="n">
        <f aca="false">IF(AND(DD56=0,AQ56=1,GQ56&gt;0),MIN(GQ56,AR56),0)</f>
        <v>0</v>
      </c>
      <c r="GS56" s="1" t="n">
        <f aca="false">GQ56-GR56</f>
        <v>0</v>
      </c>
      <c r="GT56" s="1" t="n">
        <f aca="false">IF(AND(DD56=0,AG56=1,GS56&gt;0),MIN(GS56,AH56),0)</f>
        <v>0</v>
      </c>
      <c r="GU56" s="1" t="n">
        <f aca="false">GS56-GT56</f>
        <v>0</v>
      </c>
      <c r="GV56" s="1" t="n">
        <f aca="false">IF(AND(DD56=0,V56=1,GU56&gt;0),MIN(GU56,W56),0)</f>
        <v>0</v>
      </c>
      <c r="GW56" s="1" t="n">
        <f aca="false">GU56-GV56</f>
        <v>0</v>
      </c>
      <c r="GX56" s="1" t="n">
        <f aca="false">IF(DD56=0,GW56,0)</f>
        <v>0</v>
      </c>
      <c r="GY56" s="1" t="n">
        <f aca="false">GD56+GF56+GV56+GT56+GR56+GP56+GN56+GL56+GJ56+GH56</f>
        <v>0</v>
      </c>
      <c r="GZ56" s="1" t="n">
        <f aca="false">IF(DD56=1,CT56+GA56+FZ56+IF(F56=1,0,GB56),CT56-GD56)</f>
        <v>0</v>
      </c>
      <c r="HA56" s="1" t="n">
        <f aca="false">CU56-GF56</f>
        <v>0</v>
      </c>
      <c r="HB56" s="1" t="n">
        <f aca="false">IF(DD56=1,IF(F56=1,DM56+DN56,DB56),0)</f>
        <v>0</v>
      </c>
      <c r="HC56" s="1" t="n">
        <f aca="false">IF(DD56=1,IF(F56=1,DB56-DM56-DN56,0),0)</f>
        <v>0</v>
      </c>
      <c r="HD56" s="1" t="n">
        <f aca="false">GZ56*(1+GR)</f>
        <v>0</v>
      </c>
      <c r="HE56" s="1" t="n">
        <f aca="false">HA56*(1+AS_Cash)</f>
        <v>0</v>
      </c>
      <c r="HF56" s="1" t="n">
        <f aca="false">IF(V56=1,IF(DD56=1,DR56+DU56,W56-GV56)*(1+Slot1_Rate),0)</f>
        <v>0</v>
      </c>
      <c r="HG56" s="1" t="n">
        <f aca="false">IF(AND(DD56=1,V56=1),(DQ56+DU56)/E56,0)</f>
        <v>0</v>
      </c>
      <c r="HH56" s="1" t="n">
        <f aca="false">IF(B56=0,DQ56+DU56,0)</f>
        <v>0</v>
      </c>
      <c r="HI56" s="1" t="n">
        <f aca="false">IF(B56=0,IF(DD56=1,DS56,DT56),0)</f>
        <v>0</v>
      </c>
      <c r="HJ56" s="1" t="n">
        <f aca="false">IF(AG56=1,IF(DD56=1,DZ56+EC56,AH56-GT56)*(1+Slot2_Rate),0)</f>
        <v>0</v>
      </c>
      <c r="HK56" s="1" t="n">
        <f aca="false">IF(AND(DD56=1,AG56=1),(DY56+EC56)/E56,0)</f>
        <v>0</v>
      </c>
      <c r="HL56" s="1" t="n">
        <f aca="false">IF(B56=0,DY56+EC56,0)</f>
        <v>0</v>
      </c>
      <c r="HM56" s="1" t="n">
        <f aca="false">IF(B56=0,IF(DD56=1,EA56,EB56),0)</f>
        <v>0</v>
      </c>
      <c r="HN56" s="1" t="n">
        <f aca="false">IF(AQ56=1,IF(DD56=1,EH56+EK56,AR56-GR56)*(1+Slot3_Rate),0)</f>
        <v>0</v>
      </c>
      <c r="HO56" s="1" t="n">
        <f aca="false">IF(AND(DD56=1,AQ56=1),(EG56+EK56)/E56,0)</f>
        <v>0</v>
      </c>
      <c r="HP56" s="1" t="n">
        <f aca="false">IF(B56=0,EG56+EK56,0)</f>
        <v>0</v>
      </c>
      <c r="HQ56" s="1" t="n">
        <f aca="false">IF(B56=0,IF(DD56=1,EI56,EJ56),0)</f>
        <v>0</v>
      </c>
      <c r="HR56" s="1" t="n">
        <f aca="false">IF(BA56=1,IF(DD56=1,EP56+ES56,BB56-GP56)*(1+Slot4_Rate),0)</f>
        <v>0</v>
      </c>
      <c r="HS56" s="1" t="n">
        <f aca="false">IF(AND(DD56=1,BA56=1),(EO56+ES56)/E56,0)</f>
        <v>0</v>
      </c>
      <c r="HT56" s="1" t="n">
        <f aca="false">IF(B56=0,EO56+ES56,0)</f>
        <v>0</v>
      </c>
      <c r="HU56" s="1" t="n">
        <f aca="false">IF(B56=0,IF(DD56=1,EQ56,ER56),0)</f>
        <v>0</v>
      </c>
      <c r="HV56" s="1" t="n">
        <f aca="false">IF(BK56=1,IF(DD56=1,EX56+FA56,BL56-GN56)*(1+Slot5_Rate),0)</f>
        <v>0</v>
      </c>
      <c r="HW56" s="1" t="n">
        <f aca="false">IF(AND(DD56=1,BK56=1),(EW56+FA56)/E56,0)</f>
        <v>0</v>
      </c>
      <c r="HX56" s="1" t="n">
        <f aca="false">IF(B56=0,EW56+FA56,0)</f>
        <v>0</v>
      </c>
      <c r="HY56" s="1" t="n">
        <f aca="false">IF(B56=0,IF(DD56=1,EY56,EZ56),0)</f>
        <v>0</v>
      </c>
      <c r="HZ56" s="1" t="n">
        <f aca="false">IF(BU56=1,IF(DD56=1,FF56+FI56,BV56-GL56)*(1+Slot6_Rate),0)</f>
        <v>0</v>
      </c>
      <c r="IA56" s="1" t="n">
        <f aca="false">IF(AND(DD56=1,BU56=1),(FE56+FI56)/E56,0)</f>
        <v>0</v>
      </c>
      <c r="IB56" s="1" t="n">
        <f aca="false">IF(B56=0,FE56+FI56,0)</f>
        <v>0</v>
      </c>
      <c r="IC56" s="1" t="n">
        <f aca="false">IF(B56=0,IF(DD56=1,FG56,FH56),0)</f>
        <v>0</v>
      </c>
      <c r="ID56" s="1" t="n">
        <f aca="false">IF(CE56=1,IF(DD56=1,FN56+FQ56,CF56-GJ56)*(1+Slot7_Rate),0)</f>
        <v>0</v>
      </c>
      <c r="IE56" s="1" t="n">
        <f aca="false">IF(AND(DD56=1,CE56=1),(FM56+FQ56)/E56,0)</f>
        <v>0</v>
      </c>
      <c r="IF56" s="1" t="n">
        <f aca="false">IF(B56=0,FM56+FQ56,0)</f>
        <v>0</v>
      </c>
      <c r="IG56" s="1" t="n">
        <f aca="false">IF(B56=0,IF(DD56=1,FO56,FP56),0)</f>
        <v>0</v>
      </c>
      <c r="IH56" s="1" t="n">
        <f aca="false">IF(CO56=1,IF(DD56=1,FV56+FY56,CP56-GH56)*(1+Slot8_Rate),0)</f>
        <v>0</v>
      </c>
      <c r="II56" s="1" t="n">
        <f aca="false">IF(AND(DD56=1,CO56=1),(FU56+FY56)/E56,0)</f>
        <v>0</v>
      </c>
      <c r="IJ56" s="1" t="n">
        <f aca="false">IF(B56=0,FU56+FY56,0)</f>
        <v>0</v>
      </c>
      <c r="IK56" s="1" t="n">
        <f aca="false">IF(B56=0,IF(DD56=1,FW56,FX56),0)</f>
        <v>0</v>
      </c>
      <c r="IL56" s="1" t="n">
        <f aca="false">HD56+HE56+HF56+HJ56+HN56+HR56+HV56+HZ56+ID56+IH56</f>
        <v>0</v>
      </c>
      <c r="IM56" s="1" t="n">
        <f aca="false">GX56+CY56</f>
        <v>0</v>
      </c>
      <c r="IN56" s="1" t="n">
        <f aca="false">H56+R56</f>
        <v>0</v>
      </c>
      <c r="IO56" s="1" t="n">
        <f aca="false">1-F56</f>
        <v>1</v>
      </c>
      <c r="IP56" s="1" t="n">
        <f aca="false">IF(AND(RG_Exists=1,F56=0,C56=1),H56,0)</f>
        <v>0</v>
      </c>
      <c r="IQ56" s="1" t="n">
        <f aca="false">IF(AND(RG_Exists=1,F56=0,C56=1),H56-MIN(GX56,H56),0)</f>
        <v>0</v>
      </c>
      <c r="IR56" s="1" t="n">
        <f aca="false">'Plan pay &amp; tax'!AD258</f>
        <v>0</v>
      </c>
      <c r="IS56" s="1" t="n">
        <f aca="false">IF(AND(C56=1,GX56&gt;MAX(PR_Short1,IN56*PR_Short2)),1,0)</f>
        <v>0</v>
      </c>
      <c r="IT56" s="1" t="n">
        <f aca="false">MIN(G56,H56+R56)</f>
        <v>0</v>
      </c>
      <c r="IU56" s="1" t="n">
        <f aca="false">GY56+MAX(0,CZ56-CY56)</f>
        <v>0</v>
      </c>
      <c r="IV56" s="1" t="n">
        <f aca="false">GX56+CY56</f>
        <v>0</v>
      </c>
      <c r="IW56" s="1" t="n">
        <f aca="false">IF(AND(C56=1,IV56&gt;0.5),1,0)</f>
        <v>0</v>
      </c>
      <c r="IX56" s="1" t="n">
        <f aca="false">IF(AND(C56=1,IW56=0,IU56&gt;0.5),1,0)</f>
        <v>0</v>
      </c>
      <c r="IY56" s="1" t="n">
        <f aca="false">IF(AND(C56=1,GX56&gt;0.5),1,0)</f>
        <v>0</v>
      </c>
      <c r="IZ56" s="1" t="n">
        <f aca="false">IF(AND(C56=1,GY56&gt;1,JF56=0),1,0)</f>
        <v>0</v>
      </c>
      <c r="JA56" s="1" t="n">
        <f aca="false">IF(AND(INT(D56/10)*10=90,B56&gt;0),80,INT(D56/10)*10)</f>
        <v>40</v>
      </c>
      <c r="JB56" s="1" t="n">
        <f aca="false">IF(B56=0,1,IF(JA56&lt;&gt;JA55,JB55+1,JB55))</f>
        <v>5</v>
      </c>
      <c r="JC56" s="1" t="n">
        <f aca="false">IF(AND(C56=1,F56=1,GX56&gt;MAX(PR_Short1,IN56*PR_Short2)),1,0)</f>
        <v>0</v>
      </c>
      <c r="JD56" s="1" t="n">
        <f aca="false">IO56*IS56</f>
        <v>0</v>
      </c>
      <c r="JE56" s="1" t="n">
        <f aca="false">IF(AND(U56=1,Slot1_PctLow=1),1,0)+IF(AND(AF56=1,Slot2_PctLow=1),1,0)+IF(AND(AP56=1,Slot3_PctLow=1),1,0)+IF(AND(AZ56=1,Slot4_PctLow=1),1,0)+IF(AND(BJ56=1,Slot5_PctLow=1),1,0)+IF(AND(BT56=1,Slot6_PctLow=1),1,0)+IF(AND(CD56=1,Slot7_PctLow=1),1,0)+IF(AND(CN56=1,Slot8_PctLow=1),1,0)</f>
        <v>0</v>
      </c>
      <c r="JF56" s="1" t="n">
        <f aca="false">IF(C56=1,IF(OR(IS56=1,JE56&gt;0),1,0),0)</f>
        <v>0</v>
      </c>
    </row>
    <row r="57" customFormat="false" ht="15" hidden="false" customHeight="false" outlineLevel="0" collapsed="false">
      <c r="B57" s="1" t="n">
        <v>49</v>
      </c>
      <c r="C57" s="1" t="n">
        <f aca="false">IF(B57&lt;=F_N,1,0)</f>
        <v>1</v>
      </c>
      <c r="D57" s="1" t="n">
        <f aca="false">'Plan pay &amp; tax'!C259</f>
        <v>49</v>
      </c>
      <c r="E57" s="106" t="n">
        <f aca="false">'Plan pay &amp; tax'!E259</f>
        <v>2.63881179320942</v>
      </c>
      <c r="F57" s="1" t="n">
        <f aca="false">'Plan pay &amp; tax'!G259</f>
        <v>0</v>
      </c>
      <c r="G57" s="1" t="n">
        <f aca="false">'Plan pay &amp; tax'!BT259-'Plan pay &amp; tax'!BS259-'Plan pay &amp; tax'!R259</f>
        <v>0</v>
      </c>
      <c r="H57" s="1" t="n">
        <f aca="false">IF(F57=1,F_CostsM*12,IF(RG_Exists=1,RG_Amount,F_CostsM*12*AS_RetireSpend))*E57+F_OneOffY*E57</f>
        <v>0</v>
      </c>
      <c r="I57" s="1" t="n">
        <f aca="false">DA56</f>
        <v>0</v>
      </c>
      <c r="J57" s="1" t="n">
        <f aca="false">IF(I57&gt;1,'Plan debt months'!AC57,0)</f>
        <v>0</v>
      </c>
      <c r="K57" s="1" t="n">
        <f aca="false">IF(I57&gt;1,'Plan debt months'!AB57,I57)</f>
        <v>0</v>
      </c>
      <c r="L57" s="1" t="n">
        <f aca="false">N56</f>
        <v>0</v>
      </c>
      <c r="M57" s="1" t="n">
        <f aca="false">IF(L57&gt;1,'Plan debt months'!BD57,0)</f>
        <v>0</v>
      </c>
      <c r="N57" s="1" t="n">
        <f aca="false">IF(L57&gt;1,'Plan debt months'!BC57,L57)</f>
        <v>0</v>
      </c>
      <c r="O57" s="1" t="n">
        <f aca="false">Q56</f>
        <v>0</v>
      </c>
      <c r="P57" s="1" t="n">
        <f aca="false">IF(O57&gt;1,'Plan debt months'!CE57,0)</f>
        <v>0</v>
      </c>
      <c r="Q57" s="1" t="n">
        <f aca="false">IF(O57&gt;1,'Plan debt months'!CD57,O57)</f>
        <v>0</v>
      </c>
      <c r="R57" s="1" t="n">
        <f aca="false">J57+M57+P57</f>
        <v>0</v>
      </c>
      <c r="S57" s="1" t="n">
        <f aca="false">HD56+'Plan pay &amp; tax'!Y259</f>
        <v>0</v>
      </c>
      <c r="T57" s="1" t="n">
        <f aca="false">HD56</f>
        <v>0</v>
      </c>
      <c r="U57" s="1" t="n">
        <f aca="false">IF(AND(Slot1_On=1,D57=Slot1_Age),1,0)</f>
        <v>0</v>
      </c>
      <c r="V57" s="1" t="n">
        <f aca="false">IF(AND(Slot1_On=1,Slot1_Age&gt;D57),1,0)</f>
        <v>0</v>
      </c>
      <c r="W57" s="1" t="n">
        <f aca="false">HF56</f>
        <v>0</v>
      </c>
      <c r="X57" s="1" t="n">
        <f aca="false">U57*MIN(Slot1_Cost,W57)</f>
        <v>0</v>
      </c>
      <c r="Y57" s="1" t="n">
        <f aca="false">U57*Slot1_SpendLike*MIN(Slot1_Cost-X57,S57)</f>
        <v>0</v>
      </c>
      <c r="Z57" s="1" t="n">
        <f aca="false">X57+Y57</f>
        <v>0</v>
      </c>
      <c r="AA57" s="1" t="n">
        <f aca="false">S57-Y57+U57*IF(Slot1_SpendLike=1,W57-X57,IF(Slot1_PotFree=1,W57,0))</f>
        <v>0</v>
      </c>
      <c r="AB57" s="1" t="n">
        <f aca="false">AE57+U57*Slot1_BufPot*W57</f>
        <v>0</v>
      </c>
      <c r="AC57" s="1" t="n">
        <f aca="false">IF(AND(U57=1,Slot1_IsMfree=1),IF(Z57&gt;=Slot1_Cost-1,0,MAX(0,K57-Z57)),K57)</f>
        <v>0</v>
      </c>
      <c r="AD57" s="1" t="n">
        <f aca="false">U57*(Slot1_Cost-Z57)</f>
        <v>0</v>
      </c>
      <c r="AE57" s="1" t="n">
        <f aca="false">HE56</f>
        <v>0</v>
      </c>
      <c r="AF57" s="1" t="n">
        <f aca="false">IF(AND(Slot2_On=1,D57=Slot2_Age),1,0)</f>
        <v>0</v>
      </c>
      <c r="AG57" s="1" t="n">
        <f aca="false">IF(AND(Slot2_On=1,Slot2_Age&gt;D57),1,0)</f>
        <v>0</v>
      </c>
      <c r="AH57" s="1" t="n">
        <f aca="false">HJ56</f>
        <v>0</v>
      </c>
      <c r="AI57" s="1" t="n">
        <f aca="false">AF57*MIN(Slot2_Cost,AH57)</f>
        <v>0</v>
      </c>
      <c r="AJ57" s="1" t="n">
        <f aca="false">AF57*Slot2_SpendLike*MIN(Slot2_Cost-AI57,AA57)</f>
        <v>0</v>
      </c>
      <c r="AK57" s="1" t="n">
        <f aca="false">AI57+AJ57</f>
        <v>0</v>
      </c>
      <c r="AL57" s="1" t="n">
        <f aca="false">AA57-AJ57+AF57*IF(Slot2_SpendLike=1,AH57-AI57,IF(Slot2_PotFree=1,AH57,0))</f>
        <v>0</v>
      </c>
      <c r="AM57" s="1" t="n">
        <f aca="false">AB57+AF57*Slot2_BufPot*AH57</f>
        <v>0</v>
      </c>
      <c r="AN57" s="1" t="n">
        <f aca="false">IF(AND(AF57=1,Slot2_IsMfree=1),IF(AK57&gt;=Slot2_Cost-1,0,MAX(0,AC57-AK57)),AC57)</f>
        <v>0</v>
      </c>
      <c r="AO57" s="1" t="n">
        <f aca="false">AF57*(Slot2_Cost-AK57)</f>
        <v>0</v>
      </c>
      <c r="AP57" s="1" t="n">
        <f aca="false">IF(AND(Slot3_On=1,D57=Slot3_Age),1,0)</f>
        <v>0</v>
      </c>
      <c r="AQ57" s="1" t="n">
        <f aca="false">IF(AND(Slot3_On=1,Slot3_Age&gt;D57),1,0)</f>
        <v>0</v>
      </c>
      <c r="AR57" s="1" t="n">
        <f aca="false">HN56</f>
        <v>0</v>
      </c>
      <c r="AS57" s="1" t="n">
        <f aca="false">AP57*MIN(Slot3_Cost,AR57)</f>
        <v>0</v>
      </c>
      <c r="AT57" s="1" t="n">
        <f aca="false">AP57*Slot3_SpendLike*MIN(Slot3_Cost-AS57,AL57)</f>
        <v>0</v>
      </c>
      <c r="AU57" s="1" t="n">
        <f aca="false">AS57+AT57</f>
        <v>0</v>
      </c>
      <c r="AV57" s="1" t="n">
        <f aca="false">AL57-AT57+AP57*IF(Slot3_SpendLike=1,AR57-AS57,IF(Slot3_PotFree=1,AR57,0))</f>
        <v>0</v>
      </c>
      <c r="AW57" s="1" t="n">
        <f aca="false">AM57+AP57*Slot3_BufPot*AR57</f>
        <v>0</v>
      </c>
      <c r="AX57" s="1" t="n">
        <f aca="false">IF(AND(AP57=1,Slot3_IsMfree=1),IF(AU57&gt;=Slot3_Cost-1,0,MAX(0,AN57-AU57)),AN57)</f>
        <v>0</v>
      </c>
      <c r="AY57" s="1" t="n">
        <f aca="false">AP57*(Slot3_Cost-AU57)</f>
        <v>0</v>
      </c>
      <c r="AZ57" s="1" t="n">
        <f aca="false">IF(AND(Slot4_On=1,D57=Slot4_Age),1,0)</f>
        <v>0</v>
      </c>
      <c r="BA57" s="1" t="n">
        <f aca="false">IF(AND(Slot4_On=1,Slot4_Age&gt;D57),1,0)</f>
        <v>0</v>
      </c>
      <c r="BB57" s="1" t="n">
        <f aca="false">HR56</f>
        <v>0</v>
      </c>
      <c r="BC57" s="1" t="n">
        <f aca="false">AZ57*MIN(Slot4_Cost,BB57)</f>
        <v>0</v>
      </c>
      <c r="BD57" s="1" t="n">
        <f aca="false">AZ57*Slot4_SpendLike*MIN(Slot4_Cost-BC57,AV57)</f>
        <v>0</v>
      </c>
      <c r="BE57" s="1" t="n">
        <f aca="false">BC57+BD57</f>
        <v>0</v>
      </c>
      <c r="BF57" s="1" t="n">
        <f aca="false">AV57-BD57+AZ57*IF(Slot4_SpendLike=1,BB57-BC57,IF(Slot4_PotFree=1,BB57,0))</f>
        <v>0</v>
      </c>
      <c r="BG57" s="1" t="n">
        <f aca="false">AW57+AZ57*Slot4_BufPot*BB57</f>
        <v>0</v>
      </c>
      <c r="BH57" s="1" t="n">
        <f aca="false">IF(AND(AZ57=1,Slot4_IsMfree=1),IF(BE57&gt;=Slot4_Cost-1,0,MAX(0,AX57-BE57)),AX57)</f>
        <v>0</v>
      </c>
      <c r="BI57" s="1" t="n">
        <f aca="false">AZ57*(Slot4_Cost-BE57)</f>
        <v>0</v>
      </c>
      <c r="BJ57" s="1" t="n">
        <f aca="false">IF(AND(Slot5_On=1,D57=Slot5_Age),1,0)</f>
        <v>0</v>
      </c>
      <c r="BK57" s="1" t="n">
        <f aca="false">IF(AND(Slot5_On=1,Slot5_Age&gt;D57),1,0)</f>
        <v>0</v>
      </c>
      <c r="BL57" s="1" t="n">
        <f aca="false">HV56</f>
        <v>0</v>
      </c>
      <c r="BM57" s="1" t="n">
        <f aca="false">BJ57*MIN(Slot5_Cost,BL57)</f>
        <v>0</v>
      </c>
      <c r="BN57" s="1" t="n">
        <f aca="false">BJ57*Slot5_SpendLike*MIN(Slot5_Cost-BM57,BF57)</f>
        <v>0</v>
      </c>
      <c r="BO57" s="1" t="n">
        <f aca="false">BM57+BN57</f>
        <v>0</v>
      </c>
      <c r="BP57" s="1" t="n">
        <f aca="false">BF57-BN57+BJ57*IF(Slot5_SpendLike=1,BL57-BM57,IF(Slot5_PotFree=1,BL57,0))</f>
        <v>0</v>
      </c>
      <c r="BQ57" s="1" t="n">
        <f aca="false">BG57+BJ57*Slot5_BufPot*BL57</f>
        <v>0</v>
      </c>
      <c r="BR57" s="1" t="n">
        <f aca="false">IF(AND(BJ57=1,Slot5_IsMfree=1),IF(BO57&gt;=Slot5_Cost-1,0,MAX(0,BH57-BO57)),BH57)</f>
        <v>0</v>
      </c>
      <c r="BS57" s="1" t="n">
        <f aca="false">BJ57*(Slot5_Cost-BO57)</f>
        <v>0</v>
      </c>
      <c r="BT57" s="1" t="n">
        <f aca="false">IF(AND(Slot6_On=1,D57=Slot6_Age),1,0)</f>
        <v>0</v>
      </c>
      <c r="BU57" s="1" t="n">
        <f aca="false">IF(AND(Slot6_On=1,Slot6_Age&gt;D57),1,0)</f>
        <v>0</v>
      </c>
      <c r="BV57" s="1" t="n">
        <f aca="false">HZ56</f>
        <v>0</v>
      </c>
      <c r="BW57" s="1" t="n">
        <f aca="false">BT57*MIN(Slot6_Cost,BV57)</f>
        <v>0</v>
      </c>
      <c r="BX57" s="1" t="n">
        <f aca="false">BT57*Slot6_SpendLike*MIN(Slot6_Cost-BW57,BP57)</f>
        <v>0</v>
      </c>
      <c r="BY57" s="1" t="n">
        <f aca="false">BW57+BX57</f>
        <v>0</v>
      </c>
      <c r="BZ57" s="1" t="n">
        <f aca="false">BP57-BX57+BT57*IF(Slot6_SpendLike=1,BV57-BW57,IF(Slot6_PotFree=1,BV57,0))</f>
        <v>0</v>
      </c>
      <c r="CA57" s="1" t="n">
        <f aca="false">BQ57+BT57*Slot6_BufPot*BV57</f>
        <v>0</v>
      </c>
      <c r="CB57" s="1" t="n">
        <f aca="false">IF(AND(BT57=1,Slot6_IsMfree=1),IF(BY57&gt;=Slot6_Cost-1,0,MAX(0,BR57-BY57)),BR57)</f>
        <v>0</v>
      </c>
      <c r="CC57" s="1" t="n">
        <f aca="false">BT57*(Slot6_Cost-BY57)</f>
        <v>0</v>
      </c>
      <c r="CD57" s="1" t="n">
        <f aca="false">IF(AND(Slot7_On=1,D57=Slot7_Age),1,0)</f>
        <v>0</v>
      </c>
      <c r="CE57" s="1" t="n">
        <f aca="false">IF(AND(Slot7_On=1,Slot7_Age&gt;D57),1,0)</f>
        <v>0</v>
      </c>
      <c r="CF57" s="1" t="n">
        <f aca="false">ID56</f>
        <v>0</v>
      </c>
      <c r="CG57" s="1" t="n">
        <f aca="false">CD57*MIN(Slot7_Cost,CF57)</f>
        <v>0</v>
      </c>
      <c r="CH57" s="1" t="n">
        <f aca="false">CD57*Slot7_SpendLike*MIN(Slot7_Cost-CG57,BZ57)</f>
        <v>0</v>
      </c>
      <c r="CI57" s="1" t="n">
        <f aca="false">CG57+CH57</f>
        <v>0</v>
      </c>
      <c r="CJ57" s="1" t="n">
        <f aca="false">BZ57-CH57+CD57*IF(Slot7_SpendLike=1,CF57-CG57,IF(Slot7_PotFree=1,CF57,0))</f>
        <v>0</v>
      </c>
      <c r="CK57" s="1" t="n">
        <f aca="false">CA57+CD57*Slot7_BufPot*CF57</f>
        <v>0</v>
      </c>
      <c r="CL57" s="1" t="n">
        <f aca="false">IF(AND(CD57=1,Slot7_IsMfree=1),IF(CI57&gt;=Slot7_Cost-1,0,MAX(0,CB57-CI57)),CB57)</f>
        <v>0</v>
      </c>
      <c r="CM57" s="1" t="n">
        <f aca="false">CD57*(Slot7_Cost-CI57)</f>
        <v>0</v>
      </c>
      <c r="CN57" s="1" t="n">
        <f aca="false">IF(AND(Slot8_On=1,D57=Slot8_Age),1,0)</f>
        <v>0</v>
      </c>
      <c r="CO57" s="1" t="n">
        <f aca="false">IF(AND(Slot8_On=1,Slot8_Age&gt;D57),1,0)</f>
        <v>0</v>
      </c>
      <c r="CP57" s="1" t="n">
        <f aca="false">IH56</f>
        <v>0</v>
      </c>
      <c r="CQ57" s="1" t="n">
        <f aca="false">CN57*MIN(Slot8_Cost,CP57)</f>
        <v>0</v>
      </c>
      <c r="CR57" s="1" t="n">
        <f aca="false">CN57*Slot8_SpendLike*MIN(Slot8_Cost-CQ57,CJ57)</f>
        <v>0</v>
      </c>
      <c r="CS57" s="1" t="n">
        <f aca="false">CQ57+CR57</f>
        <v>0</v>
      </c>
      <c r="CT57" s="1" t="n">
        <f aca="false">CJ57-CR57+CN57*IF(Slot8_SpendLike=1,CP57-CQ57,IF(Slot8_PotFree=1,CP57,0))</f>
        <v>0</v>
      </c>
      <c r="CU57" s="1" t="n">
        <f aca="false">CK57+CN57*Slot8_BufPot*CP57</f>
        <v>0</v>
      </c>
      <c r="CV57" s="1" t="n">
        <f aca="false">IF(AND(CN57=1,Slot8_IsMfree=1),IF(CS57&gt;=Slot8_Cost-1,0,MAX(0,CL57-CS57)),CL57)</f>
        <v>0</v>
      </c>
      <c r="CW57" s="1" t="n">
        <f aca="false">CN57*(Slot8_Cost-CS57)</f>
        <v>0</v>
      </c>
      <c r="CX57" s="1" t="n">
        <f aca="false">U57*Slot1_SpendLike*Z57+AF57*Slot2_SpendLike*AK57+AP57*Slot3_SpendLike*AU57+AZ57*Slot4_SpendLike*BE57+BJ57*Slot5_SpendLike*BO57+BT57*Slot6_SpendLike*BY57+CD57*Slot7_SpendLike*CI57+CN57*Slot8_SpendLike*CS57</f>
        <v>0</v>
      </c>
      <c r="CY57" s="1" t="n">
        <f aca="false">AD57+AO57+AY57+BI57+BS57+CC57+CM57+CW57</f>
        <v>0</v>
      </c>
      <c r="CZ57" s="1" t="n">
        <f aca="false">U57*Slot1_Cost+AF57*Slot2_Cost+AP57*Slot3_Cost+AZ57*Slot4_Cost+BJ57*Slot5_Cost+BT57*Slot6_Cost+CD57*Slot7_Cost+CN57*Slot8_Cost</f>
        <v>0</v>
      </c>
      <c r="DA57" s="1" t="n">
        <f aca="false">CV57</f>
        <v>0</v>
      </c>
      <c r="DB57" s="1" t="n">
        <f aca="false">G57-H57-R57</f>
        <v>0</v>
      </c>
      <c r="DC57" s="1" t="n">
        <f aca="false">IF(B57=0,IF(AND(Has_q6=1,In_q6=4),PR_ShareVaries*(MAX(0,DB57)/12),MIN(IF(Has_q6=1,CHOOSE(In_q6+1,PR_SaveB1,PR_SaveB2,PR_SaveB3,PR_SaveB4,0),AS_NoAnswer),AS_SaveShare*(MAX(0,DB57)/12))),DC56)</f>
        <v>0</v>
      </c>
      <c r="DD57" s="1" t="n">
        <f aca="false">IF(DB57&gt;=0,1,0)</f>
        <v>1</v>
      </c>
      <c r="DE57" s="1" t="n">
        <f aca="false">MAX(0,DB57/12/E57)</f>
        <v>0</v>
      </c>
      <c r="DF57" s="1" t="n">
        <f aca="false">IF(AND(Has_q6=1,In_q6=4),PR_ShareVaries*(DE57),MIN(IF(Has_q6=1,CHOOSE(In_q6+1,PR_SaveB1,PR_SaveB2,PR_SaveB3,PR_SaveB4,0),AS_NoAnswer),AS_SaveShare*(DE57)))</f>
        <v>0</v>
      </c>
      <c r="DG57" s="1" t="n">
        <f aca="false">IF(Has_saveM=1,IF(In_saveUp="Yes",1,IF(In_saveUp="No",0,IF(In_saveM&gt;=DC57-0.5,1,0))),0)</f>
        <v>0</v>
      </c>
      <c r="DH57" s="1" t="n">
        <f aca="false">IF(Has_saveM=1,MIN(DE57,IF(DG57=1,MAX(In_saveM,DF57),MIN(In_saveM,DF57))),DF57)</f>
        <v>0</v>
      </c>
      <c r="DI57" s="1" t="n">
        <f aca="false">IF(F57=1,DH57*12*E57,0)</f>
        <v>0</v>
      </c>
      <c r="DJ57" s="1" t="n">
        <f aca="false">MAX(0,DI57+IF(AND(WI_Retire=0,WI_M&lt;0,F57=1),WI_M*12*E57,0))</f>
        <v>0</v>
      </c>
      <c r="DK57" s="1" t="n">
        <f aca="false">Slot1_IsWG*V57+Slot2_IsWG*AG57+Slot3_IsWG*AQ57+Slot4_IsWG*BA57+Slot5_IsWG*BK57+Slot6_IsWG*BU57+Slot7_IsWG*CE57+Slot8_IsWG*CO57</f>
        <v>0</v>
      </c>
      <c r="DL57" s="1" t="n">
        <f aca="false">IF(AND(WI_Retire=0,WI_M&gt;0,F57=1,DK57&gt;=1),WI_M*12*E57,0)</f>
        <v>0</v>
      </c>
      <c r="DM57" s="1" t="n">
        <f aca="false">IF(DD57=1,MIN(DJ57,DB57),0)</f>
        <v>0</v>
      </c>
      <c r="DN57" s="1" t="n">
        <f aca="false">IF(DD57=1,MIN(DL57,DB57-DM57),0)</f>
        <v>0</v>
      </c>
      <c r="DO57" s="1" t="n">
        <f aca="false">IF(V57=1,IF(ABS((1+AS_Wage)/(1+Slot1_Rate)-1)&lt;0.000000000001,(Slot1_Age-D57)*(1+Slot1_Rate)^(Slot1_Age-D57),(1+Slot1_Rate)^(Slot1_Age-D57)*(1-((1+AS_Wage)/(1+Slot1_Rate))^(Slot1_Age-D57))/(1-(1+AS_Wage)/(1+Slot1_Rate))),1)</f>
        <v>1</v>
      </c>
      <c r="DP57" s="1" t="n">
        <f aca="false">IF(AND(DD57=1,DN57&gt;0,Slot1_IsWG=1,V57=1),MAX(0,(Slot1_Cost-W57*(1+Slot1_Rate)^(Slot1_Age-D57))/DO57),0)</f>
        <v>0</v>
      </c>
      <c r="DQ57" s="1" t="n">
        <f aca="false">IF(AND(DD57=1,DN57&gt;0,Slot1_IsWG=1,V57=1),MIN(DN57,DP57),0)</f>
        <v>0</v>
      </c>
      <c r="DR57" s="1" t="n">
        <f aca="false">W57+DQ57</f>
        <v>0</v>
      </c>
      <c r="DS57" s="1" t="n">
        <f aca="false">IF(V57=1,MAX(0,(Slot1_Cost-DR57*(1+Slot1_Rate)^(Slot1_Age-D57))/DO57),0)</f>
        <v>0</v>
      </c>
      <c r="DT57" s="1" t="n">
        <f aca="false">IF(V57=1,MAX(0,(Slot1_Cost-W57*(1+Slot1_Rate)^(Slot1_Age-D57))/DO57),0)</f>
        <v>0</v>
      </c>
      <c r="DU57" s="1" t="n">
        <f aca="false">IF(AND(DD57=1,V57=1),MIN(DM57,DS57),0)</f>
        <v>0</v>
      </c>
      <c r="DV57" s="1" t="n">
        <f aca="false">DM57-DU57</f>
        <v>0</v>
      </c>
      <c r="DW57" s="1" t="n">
        <f aca="false">IF(AG57=1,IF(ABS((1+AS_Wage)/(1+Slot2_Rate)-1)&lt;0.000000000001,(Slot2_Age-D57)*(1+Slot2_Rate)^(Slot2_Age-D57),(1+Slot2_Rate)^(Slot2_Age-D57)*(1-((1+AS_Wage)/(1+Slot2_Rate))^(Slot2_Age-D57))/(1-(1+AS_Wage)/(1+Slot2_Rate))),1)</f>
        <v>1</v>
      </c>
      <c r="DX57" s="1" t="n">
        <f aca="false">IF(AND(DD57=1,DN57&gt;0,Slot2_IsWG=1,AG57=1),MAX(0,(Slot2_Cost-AH57*(1+Slot2_Rate)^(Slot2_Age-D57))/DW57),0)</f>
        <v>0</v>
      </c>
      <c r="DY57" s="1" t="n">
        <f aca="false">IF(AND(DD57=1,DN57&gt;0,Slot2_IsWG=1,AG57=1),MIN(DN57,DX57),0)</f>
        <v>0</v>
      </c>
      <c r="DZ57" s="1" t="n">
        <f aca="false">AH57+DY57</f>
        <v>0</v>
      </c>
      <c r="EA57" s="1" t="n">
        <f aca="false">IF(AG57=1,MAX(0,(Slot2_Cost-DZ57*(1+Slot2_Rate)^(Slot2_Age-D57))/DW57),0)</f>
        <v>0</v>
      </c>
      <c r="EB57" s="1" t="n">
        <f aca="false">IF(AG57=1,MAX(0,(Slot2_Cost-AH57*(1+Slot2_Rate)^(Slot2_Age-D57))/DW57),0)</f>
        <v>0</v>
      </c>
      <c r="EC57" s="1" t="n">
        <f aca="false">IF(AND(DD57=1,AG57=1),MIN(DV57,EA57),0)</f>
        <v>0</v>
      </c>
      <c r="ED57" s="1" t="n">
        <f aca="false">DV57-EC57</f>
        <v>0</v>
      </c>
      <c r="EE57" s="1" t="n">
        <f aca="false">IF(AQ57=1,IF(ABS((1+AS_Wage)/(1+Slot3_Rate)-1)&lt;0.000000000001,(Slot3_Age-D57)*(1+Slot3_Rate)^(Slot3_Age-D57),(1+Slot3_Rate)^(Slot3_Age-D57)*(1-((1+AS_Wage)/(1+Slot3_Rate))^(Slot3_Age-D57))/(1-(1+AS_Wage)/(1+Slot3_Rate))),1)</f>
        <v>1</v>
      </c>
      <c r="EF57" s="1" t="n">
        <f aca="false">IF(AND(DD57=1,DN57&gt;0,Slot3_IsWG=1,AQ57=1),MAX(0,(Slot3_Cost-AR57*(1+Slot3_Rate)^(Slot3_Age-D57))/EE57),0)</f>
        <v>0</v>
      </c>
      <c r="EG57" s="1" t="n">
        <f aca="false">IF(AND(DD57=1,DN57&gt;0,Slot3_IsWG=1,AQ57=1),MIN(DN57,EF57),0)</f>
        <v>0</v>
      </c>
      <c r="EH57" s="1" t="n">
        <f aca="false">AR57+EG57</f>
        <v>0</v>
      </c>
      <c r="EI57" s="1" t="n">
        <f aca="false">IF(AQ57=1,MAX(0,(Slot3_Cost-EH57*(1+Slot3_Rate)^(Slot3_Age-D57))/EE57),0)</f>
        <v>0</v>
      </c>
      <c r="EJ57" s="1" t="n">
        <f aca="false">IF(AQ57=1,MAX(0,(Slot3_Cost-AR57*(1+Slot3_Rate)^(Slot3_Age-D57))/EE57),0)</f>
        <v>0</v>
      </c>
      <c r="EK57" s="1" t="n">
        <f aca="false">IF(AND(DD57=1,AQ57=1),MIN(ED57,EI57),0)</f>
        <v>0</v>
      </c>
      <c r="EL57" s="1" t="n">
        <f aca="false">ED57-EK57</f>
        <v>0</v>
      </c>
      <c r="EM57" s="1" t="n">
        <f aca="false">IF(BA57=1,IF(ABS((1+AS_Wage)/(1+Slot4_Rate)-1)&lt;0.000000000001,(Slot4_Age-D57)*(1+Slot4_Rate)^(Slot4_Age-D57),(1+Slot4_Rate)^(Slot4_Age-D57)*(1-((1+AS_Wage)/(1+Slot4_Rate))^(Slot4_Age-D57))/(1-(1+AS_Wage)/(1+Slot4_Rate))),1)</f>
        <v>1</v>
      </c>
      <c r="EN57" s="1" t="n">
        <f aca="false">IF(AND(DD57=1,DN57&gt;0,Slot4_IsWG=1,BA57=1),MAX(0,(Slot4_Cost-BB57*(1+Slot4_Rate)^(Slot4_Age-D57))/EM57),0)</f>
        <v>0</v>
      </c>
      <c r="EO57" s="1" t="n">
        <f aca="false">IF(AND(DD57=1,DN57&gt;0,Slot4_IsWG=1,BA57=1),MIN(DN57,EN57),0)</f>
        <v>0</v>
      </c>
      <c r="EP57" s="1" t="n">
        <f aca="false">BB57+EO57</f>
        <v>0</v>
      </c>
      <c r="EQ57" s="1" t="n">
        <f aca="false">IF(BA57=1,MAX(0,(Slot4_Cost-EP57*(1+Slot4_Rate)^(Slot4_Age-D57))/EM57),0)</f>
        <v>0</v>
      </c>
      <c r="ER57" s="1" t="n">
        <f aca="false">IF(BA57=1,MAX(0,(Slot4_Cost-BB57*(1+Slot4_Rate)^(Slot4_Age-D57))/EM57),0)</f>
        <v>0</v>
      </c>
      <c r="ES57" s="1" t="n">
        <f aca="false">IF(AND(DD57=1,BA57=1),MIN(EL57,EQ57),0)</f>
        <v>0</v>
      </c>
      <c r="ET57" s="1" t="n">
        <f aca="false">EL57-ES57</f>
        <v>0</v>
      </c>
      <c r="EU57" s="1" t="n">
        <f aca="false">IF(BK57=1,IF(ABS((1+AS_Wage)/(1+Slot5_Rate)-1)&lt;0.000000000001,(Slot5_Age-D57)*(1+Slot5_Rate)^(Slot5_Age-D57),(1+Slot5_Rate)^(Slot5_Age-D57)*(1-((1+AS_Wage)/(1+Slot5_Rate))^(Slot5_Age-D57))/(1-(1+AS_Wage)/(1+Slot5_Rate))),1)</f>
        <v>1</v>
      </c>
      <c r="EV57" s="1" t="n">
        <f aca="false">IF(AND(DD57=1,DN57&gt;0,Slot5_IsWG=1,BK57=1),MAX(0,(Slot5_Cost-BL57*(1+Slot5_Rate)^(Slot5_Age-D57))/EU57),0)</f>
        <v>0</v>
      </c>
      <c r="EW57" s="1" t="n">
        <f aca="false">IF(AND(DD57=1,DN57&gt;0,Slot5_IsWG=1,BK57=1),MIN(DN57,EV57),0)</f>
        <v>0</v>
      </c>
      <c r="EX57" s="1" t="n">
        <f aca="false">BL57+EW57</f>
        <v>0</v>
      </c>
      <c r="EY57" s="1" t="n">
        <f aca="false">IF(BK57=1,MAX(0,(Slot5_Cost-EX57*(1+Slot5_Rate)^(Slot5_Age-D57))/EU57),0)</f>
        <v>0</v>
      </c>
      <c r="EZ57" s="1" t="n">
        <f aca="false">IF(BK57=1,MAX(0,(Slot5_Cost-BL57*(1+Slot5_Rate)^(Slot5_Age-D57))/EU57),0)</f>
        <v>0</v>
      </c>
      <c r="FA57" s="1" t="n">
        <f aca="false">IF(AND(DD57=1,BK57=1),MIN(ET57,EY57),0)</f>
        <v>0</v>
      </c>
      <c r="FB57" s="1" t="n">
        <f aca="false">ET57-FA57</f>
        <v>0</v>
      </c>
      <c r="FC57" s="1" t="n">
        <f aca="false">IF(BU57=1,IF(ABS((1+AS_Wage)/(1+Slot6_Rate)-1)&lt;0.000000000001,(Slot6_Age-D57)*(1+Slot6_Rate)^(Slot6_Age-D57),(1+Slot6_Rate)^(Slot6_Age-D57)*(1-((1+AS_Wage)/(1+Slot6_Rate))^(Slot6_Age-D57))/(1-(1+AS_Wage)/(1+Slot6_Rate))),1)</f>
        <v>1</v>
      </c>
      <c r="FD57" s="1" t="n">
        <f aca="false">IF(AND(DD57=1,DN57&gt;0,Slot6_IsWG=1,BU57=1),MAX(0,(Slot6_Cost-BV57*(1+Slot6_Rate)^(Slot6_Age-D57))/FC57),0)</f>
        <v>0</v>
      </c>
      <c r="FE57" s="1" t="n">
        <f aca="false">IF(AND(DD57=1,DN57&gt;0,Slot6_IsWG=1,BU57=1),MIN(DN57,FD57),0)</f>
        <v>0</v>
      </c>
      <c r="FF57" s="1" t="n">
        <f aca="false">BV57+FE57</f>
        <v>0</v>
      </c>
      <c r="FG57" s="1" t="n">
        <f aca="false">IF(BU57=1,MAX(0,(Slot6_Cost-FF57*(1+Slot6_Rate)^(Slot6_Age-D57))/FC57),0)</f>
        <v>0</v>
      </c>
      <c r="FH57" s="1" t="n">
        <f aca="false">IF(BU57=1,MAX(0,(Slot6_Cost-BV57*(1+Slot6_Rate)^(Slot6_Age-D57))/FC57),0)</f>
        <v>0</v>
      </c>
      <c r="FI57" s="1" t="n">
        <f aca="false">IF(AND(DD57=1,BU57=1),MIN(FB57,FG57),0)</f>
        <v>0</v>
      </c>
      <c r="FJ57" s="1" t="n">
        <f aca="false">FB57-FI57</f>
        <v>0</v>
      </c>
      <c r="FK57" s="1" t="n">
        <f aca="false">IF(CE57=1,IF(ABS((1+AS_Wage)/(1+Slot7_Rate)-1)&lt;0.000000000001,(Slot7_Age-D57)*(1+Slot7_Rate)^(Slot7_Age-D57),(1+Slot7_Rate)^(Slot7_Age-D57)*(1-((1+AS_Wage)/(1+Slot7_Rate))^(Slot7_Age-D57))/(1-(1+AS_Wage)/(1+Slot7_Rate))),1)</f>
        <v>1</v>
      </c>
      <c r="FL57" s="1" t="n">
        <f aca="false">IF(AND(DD57=1,DN57&gt;0,Slot7_IsWG=1,CE57=1),MAX(0,(Slot7_Cost-CF57*(1+Slot7_Rate)^(Slot7_Age-D57))/FK57),0)</f>
        <v>0</v>
      </c>
      <c r="FM57" s="1" t="n">
        <f aca="false">IF(AND(DD57=1,DN57&gt;0,Slot7_IsWG=1,CE57=1),MIN(DN57,FL57),0)</f>
        <v>0</v>
      </c>
      <c r="FN57" s="1" t="n">
        <f aca="false">CF57+FM57</f>
        <v>0</v>
      </c>
      <c r="FO57" s="1" t="n">
        <f aca="false">IF(CE57=1,MAX(0,(Slot7_Cost-FN57*(1+Slot7_Rate)^(Slot7_Age-D57))/FK57),0)</f>
        <v>0</v>
      </c>
      <c r="FP57" s="1" t="n">
        <f aca="false">IF(CE57=1,MAX(0,(Slot7_Cost-CF57*(1+Slot7_Rate)^(Slot7_Age-D57))/FK57),0)</f>
        <v>0</v>
      </c>
      <c r="FQ57" s="1" t="n">
        <f aca="false">IF(AND(DD57=1,CE57=1),MIN(FJ57,FO57),0)</f>
        <v>0</v>
      </c>
      <c r="FR57" s="1" t="n">
        <f aca="false">FJ57-FQ57</f>
        <v>0</v>
      </c>
      <c r="FS57" s="1" t="n">
        <f aca="false">IF(CO57=1,IF(ABS((1+AS_Wage)/(1+Slot8_Rate)-1)&lt;0.000000000001,(Slot8_Age-D57)*(1+Slot8_Rate)^(Slot8_Age-D57),(1+Slot8_Rate)^(Slot8_Age-D57)*(1-((1+AS_Wage)/(1+Slot8_Rate))^(Slot8_Age-D57))/(1-(1+AS_Wage)/(1+Slot8_Rate))),1)</f>
        <v>1</v>
      </c>
      <c r="FT57" s="1" t="n">
        <f aca="false">IF(AND(DD57=1,DN57&gt;0,Slot8_IsWG=1,CO57=1),MAX(0,(Slot8_Cost-CP57*(1+Slot8_Rate)^(Slot8_Age-D57))/FS57),0)</f>
        <v>0</v>
      </c>
      <c r="FU57" s="1" t="n">
        <f aca="false">IF(AND(DD57=1,DN57&gt;0,Slot8_IsWG=1,CO57=1),MIN(DN57,FT57),0)</f>
        <v>0</v>
      </c>
      <c r="FV57" s="1" t="n">
        <f aca="false">CP57+FU57</f>
        <v>0</v>
      </c>
      <c r="FW57" s="1" t="n">
        <f aca="false">IF(CO57=1,MAX(0,(Slot8_Cost-FV57*(1+Slot8_Rate)^(Slot8_Age-D57))/FS57),0)</f>
        <v>0</v>
      </c>
      <c r="FX57" s="1" t="n">
        <f aca="false">IF(CO57=1,MAX(0,(Slot8_Cost-CP57*(1+Slot8_Rate)^(Slot8_Age-D57))/FS57),0)</f>
        <v>0</v>
      </c>
      <c r="FY57" s="1" t="n">
        <f aca="false">IF(AND(DD57=1,CO57=1),MIN(FR57,FW57),0)</f>
        <v>0</v>
      </c>
      <c r="FZ57" s="1" t="n">
        <f aca="false">FR57-FY57</f>
        <v>0</v>
      </c>
      <c r="GA57" s="1" t="n">
        <f aca="false">DN57-(DQ57+DY57+EG57+EO57+EW57+FE57+FM57+FU57)</f>
        <v>0</v>
      </c>
      <c r="GB57" s="1" t="n">
        <f aca="false">IF(DD57=1,DB57-DM57-DN57,0)</f>
        <v>0</v>
      </c>
      <c r="GC57" s="1" t="n">
        <f aca="false">IF(DD57=0,-DB57,0)</f>
        <v>0</v>
      </c>
      <c r="GD57" s="1" t="n">
        <f aca="false">MIN(GC57,CT57)</f>
        <v>0</v>
      </c>
      <c r="GE57" s="1" t="n">
        <f aca="false">GC57-GD57</f>
        <v>0</v>
      </c>
      <c r="GF57" s="1" t="n">
        <f aca="false">MIN(GE57,CU57)</f>
        <v>0</v>
      </c>
      <c r="GG57" s="1" t="n">
        <f aca="false">GE57-GF57</f>
        <v>0</v>
      </c>
      <c r="GH57" s="1" t="n">
        <f aca="false">IF(AND(DD57=0,CO57=1,GG57&gt;0),MIN(GG57,CP57),0)</f>
        <v>0</v>
      </c>
      <c r="GI57" s="1" t="n">
        <f aca="false">GG57-GH57</f>
        <v>0</v>
      </c>
      <c r="GJ57" s="1" t="n">
        <f aca="false">IF(AND(DD57=0,CE57=1,GI57&gt;0),MIN(GI57,CF57),0)</f>
        <v>0</v>
      </c>
      <c r="GK57" s="1" t="n">
        <f aca="false">GI57-GJ57</f>
        <v>0</v>
      </c>
      <c r="GL57" s="1" t="n">
        <f aca="false">IF(AND(DD57=0,BU57=1,GK57&gt;0),MIN(GK57,BV57),0)</f>
        <v>0</v>
      </c>
      <c r="GM57" s="1" t="n">
        <f aca="false">GK57-GL57</f>
        <v>0</v>
      </c>
      <c r="GN57" s="1" t="n">
        <f aca="false">IF(AND(DD57=0,BK57=1,GM57&gt;0),MIN(GM57,BL57),0)</f>
        <v>0</v>
      </c>
      <c r="GO57" s="1" t="n">
        <f aca="false">GM57-GN57</f>
        <v>0</v>
      </c>
      <c r="GP57" s="1" t="n">
        <f aca="false">IF(AND(DD57=0,BA57=1,GO57&gt;0),MIN(GO57,BB57),0)</f>
        <v>0</v>
      </c>
      <c r="GQ57" s="1" t="n">
        <f aca="false">GO57-GP57</f>
        <v>0</v>
      </c>
      <c r="GR57" s="1" t="n">
        <f aca="false">IF(AND(DD57=0,AQ57=1,GQ57&gt;0),MIN(GQ57,AR57),0)</f>
        <v>0</v>
      </c>
      <c r="GS57" s="1" t="n">
        <f aca="false">GQ57-GR57</f>
        <v>0</v>
      </c>
      <c r="GT57" s="1" t="n">
        <f aca="false">IF(AND(DD57=0,AG57=1,GS57&gt;0),MIN(GS57,AH57),0)</f>
        <v>0</v>
      </c>
      <c r="GU57" s="1" t="n">
        <f aca="false">GS57-GT57</f>
        <v>0</v>
      </c>
      <c r="GV57" s="1" t="n">
        <f aca="false">IF(AND(DD57=0,V57=1,GU57&gt;0),MIN(GU57,W57),0)</f>
        <v>0</v>
      </c>
      <c r="GW57" s="1" t="n">
        <f aca="false">GU57-GV57</f>
        <v>0</v>
      </c>
      <c r="GX57" s="1" t="n">
        <f aca="false">IF(DD57=0,GW57,0)</f>
        <v>0</v>
      </c>
      <c r="GY57" s="1" t="n">
        <f aca="false">GD57+GF57+GV57+GT57+GR57+GP57+GN57+GL57+GJ57+GH57</f>
        <v>0</v>
      </c>
      <c r="GZ57" s="1" t="n">
        <f aca="false">IF(DD57=1,CT57+GA57+FZ57+IF(F57=1,0,GB57),CT57-GD57)</f>
        <v>0</v>
      </c>
      <c r="HA57" s="1" t="n">
        <f aca="false">CU57-GF57</f>
        <v>0</v>
      </c>
      <c r="HB57" s="1" t="n">
        <f aca="false">IF(DD57=1,IF(F57=1,DM57+DN57,DB57),0)</f>
        <v>0</v>
      </c>
      <c r="HC57" s="1" t="n">
        <f aca="false">IF(DD57=1,IF(F57=1,DB57-DM57-DN57,0),0)</f>
        <v>0</v>
      </c>
      <c r="HD57" s="1" t="n">
        <f aca="false">GZ57*(1+GR)</f>
        <v>0</v>
      </c>
      <c r="HE57" s="1" t="n">
        <f aca="false">HA57*(1+AS_Cash)</f>
        <v>0</v>
      </c>
      <c r="HF57" s="1" t="n">
        <f aca="false">IF(V57=1,IF(DD57=1,DR57+DU57,W57-GV57)*(1+Slot1_Rate),0)</f>
        <v>0</v>
      </c>
      <c r="HG57" s="1" t="n">
        <f aca="false">IF(AND(DD57=1,V57=1),(DQ57+DU57)/E57,0)</f>
        <v>0</v>
      </c>
      <c r="HH57" s="1" t="n">
        <f aca="false">IF(B57=0,DQ57+DU57,0)</f>
        <v>0</v>
      </c>
      <c r="HI57" s="1" t="n">
        <f aca="false">IF(B57=0,IF(DD57=1,DS57,DT57),0)</f>
        <v>0</v>
      </c>
      <c r="HJ57" s="1" t="n">
        <f aca="false">IF(AG57=1,IF(DD57=1,DZ57+EC57,AH57-GT57)*(1+Slot2_Rate),0)</f>
        <v>0</v>
      </c>
      <c r="HK57" s="1" t="n">
        <f aca="false">IF(AND(DD57=1,AG57=1),(DY57+EC57)/E57,0)</f>
        <v>0</v>
      </c>
      <c r="HL57" s="1" t="n">
        <f aca="false">IF(B57=0,DY57+EC57,0)</f>
        <v>0</v>
      </c>
      <c r="HM57" s="1" t="n">
        <f aca="false">IF(B57=0,IF(DD57=1,EA57,EB57),0)</f>
        <v>0</v>
      </c>
      <c r="HN57" s="1" t="n">
        <f aca="false">IF(AQ57=1,IF(DD57=1,EH57+EK57,AR57-GR57)*(1+Slot3_Rate),0)</f>
        <v>0</v>
      </c>
      <c r="HO57" s="1" t="n">
        <f aca="false">IF(AND(DD57=1,AQ57=1),(EG57+EK57)/E57,0)</f>
        <v>0</v>
      </c>
      <c r="HP57" s="1" t="n">
        <f aca="false">IF(B57=0,EG57+EK57,0)</f>
        <v>0</v>
      </c>
      <c r="HQ57" s="1" t="n">
        <f aca="false">IF(B57=0,IF(DD57=1,EI57,EJ57),0)</f>
        <v>0</v>
      </c>
      <c r="HR57" s="1" t="n">
        <f aca="false">IF(BA57=1,IF(DD57=1,EP57+ES57,BB57-GP57)*(1+Slot4_Rate),0)</f>
        <v>0</v>
      </c>
      <c r="HS57" s="1" t="n">
        <f aca="false">IF(AND(DD57=1,BA57=1),(EO57+ES57)/E57,0)</f>
        <v>0</v>
      </c>
      <c r="HT57" s="1" t="n">
        <f aca="false">IF(B57=0,EO57+ES57,0)</f>
        <v>0</v>
      </c>
      <c r="HU57" s="1" t="n">
        <f aca="false">IF(B57=0,IF(DD57=1,EQ57,ER57),0)</f>
        <v>0</v>
      </c>
      <c r="HV57" s="1" t="n">
        <f aca="false">IF(BK57=1,IF(DD57=1,EX57+FA57,BL57-GN57)*(1+Slot5_Rate),0)</f>
        <v>0</v>
      </c>
      <c r="HW57" s="1" t="n">
        <f aca="false">IF(AND(DD57=1,BK57=1),(EW57+FA57)/E57,0)</f>
        <v>0</v>
      </c>
      <c r="HX57" s="1" t="n">
        <f aca="false">IF(B57=0,EW57+FA57,0)</f>
        <v>0</v>
      </c>
      <c r="HY57" s="1" t="n">
        <f aca="false">IF(B57=0,IF(DD57=1,EY57,EZ57),0)</f>
        <v>0</v>
      </c>
      <c r="HZ57" s="1" t="n">
        <f aca="false">IF(BU57=1,IF(DD57=1,FF57+FI57,BV57-GL57)*(1+Slot6_Rate),0)</f>
        <v>0</v>
      </c>
      <c r="IA57" s="1" t="n">
        <f aca="false">IF(AND(DD57=1,BU57=1),(FE57+FI57)/E57,0)</f>
        <v>0</v>
      </c>
      <c r="IB57" s="1" t="n">
        <f aca="false">IF(B57=0,FE57+FI57,0)</f>
        <v>0</v>
      </c>
      <c r="IC57" s="1" t="n">
        <f aca="false">IF(B57=0,IF(DD57=1,FG57,FH57),0)</f>
        <v>0</v>
      </c>
      <c r="ID57" s="1" t="n">
        <f aca="false">IF(CE57=1,IF(DD57=1,FN57+FQ57,CF57-GJ57)*(1+Slot7_Rate),0)</f>
        <v>0</v>
      </c>
      <c r="IE57" s="1" t="n">
        <f aca="false">IF(AND(DD57=1,CE57=1),(FM57+FQ57)/E57,0)</f>
        <v>0</v>
      </c>
      <c r="IF57" s="1" t="n">
        <f aca="false">IF(B57=0,FM57+FQ57,0)</f>
        <v>0</v>
      </c>
      <c r="IG57" s="1" t="n">
        <f aca="false">IF(B57=0,IF(DD57=1,FO57,FP57),0)</f>
        <v>0</v>
      </c>
      <c r="IH57" s="1" t="n">
        <f aca="false">IF(CO57=1,IF(DD57=1,FV57+FY57,CP57-GH57)*(1+Slot8_Rate),0)</f>
        <v>0</v>
      </c>
      <c r="II57" s="1" t="n">
        <f aca="false">IF(AND(DD57=1,CO57=1),(FU57+FY57)/E57,0)</f>
        <v>0</v>
      </c>
      <c r="IJ57" s="1" t="n">
        <f aca="false">IF(B57=0,FU57+FY57,0)</f>
        <v>0</v>
      </c>
      <c r="IK57" s="1" t="n">
        <f aca="false">IF(B57=0,IF(DD57=1,FW57,FX57),0)</f>
        <v>0</v>
      </c>
      <c r="IL57" s="1" t="n">
        <f aca="false">HD57+HE57+HF57+HJ57+HN57+HR57+HV57+HZ57+ID57+IH57</f>
        <v>0</v>
      </c>
      <c r="IM57" s="1" t="n">
        <f aca="false">GX57+CY57</f>
        <v>0</v>
      </c>
      <c r="IN57" s="1" t="n">
        <f aca="false">H57+R57</f>
        <v>0</v>
      </c>
      <c r="IO57" s="1" t="n">
        <f aca="false">1-F57</f>
        <v>1</v>
      </c>
      <c r="IP57" s="1" t="n">
        <f aca="false">IF(AND(RG_Exists=1,F57=0,C57=1),H57,0)</f>
        <v>0</v>
      </c>
      <c r="IQ57" s="1" t="n">
        <f aca="false">IF(AND(RG_Exists=1,F57=0,C57=1),H57-MIN(GX57,H57),0)</f>
        <v>0</v>
      </c>
      <c r="IR57" s="1" t="n">
        <f aca="false">'Plan pay &amp; tax'!AD259</f>
        <v>0</v>
      </c>
      <c r="IS57" s="1" t="n">
        <f aca="false">IF(AND(C57=1,GX57&gt;MAX(PR_Short1,IN57*PR_Short2)),1,0)</f>
        <v>0</v>
      </c>
      <c r="IT57" s="1" t="n">
        <f aca="false">MIN(G57,H57+R57)</f>
        <v>0</v>
      </c>
      <c r="IU57" s="1" t="n">
        <f aca="false">GY57+MAX(0,CZ57-CY57)</f>
        <v>0</v>
      </c>
      <c r="IV57" s="1" t="n">
        <f aca="false">GX57+CY57</f>
        <v>0</v>
      </c>
      <c r="IW57" s="1" t="n">
        <f aca="false">IF(AND(C57=1,IV57&gt;0.5),1,0)</f>
        <v>0</v>
      </c>
      <c r="IX57" s="1" t="n">
        <f aca="false">IF(AND(C57=1,IW57=0,IU57&gt;0.5),1,0)</f>
        <v>0</v>
      </c>
      <c r="IY57" s="1" t="n">
        <f aca="false">IF(AND(C57=1,GX57&gt;0.5),1,0)</f>
        <v>0</v>
      </c>
      <c r="IZ57" s="1" t="n">
        <f aca="false">IF(AND(C57=1,GY57&gt;1,JF57=0),1,0)</f>
        <v>0</v>
      </c>
      <c r="JA57" s="1" t="n">
        <f aca="false">IF(AND(INT(D57/10)*10=90,B57&gt;0),80,INT(D57/10)*10)</f>
        <v>40</v>
      </c>
      <c r="JB57" s="1" t="n">
        <f aca="false">IF(B57=0,1,IF(JA57&lt;&gt;JA56,JB56+1,JB56))</f>
        <v>5</v>
      </c>
      <c r="JC57" s="1" t="n">
        <f aca="false">IF(AND(C57=1,F57=1,GX57&gt;MAX(PR_Short1,IN57*PR_Short2)),1,0)</f>
        <v>0</v>
      </c>
      <c r="JD57" s="1" t="n">
        <f aca="false">IO57*IS57</f>
        <v>0</v>
      </c>
      <c r="JE57" s="1" t="n">
        <f aca="false">IF(AND(U57=1,Slot1_PctLow=1),1,0)+IF(AND(AF57=1,Slot2_PctLow=1),1,0)+IF(AND(AP57=1,Slot3_PctLow=1),1,0)+IF(AND(AZ57=1,Slot4_PctLow=1),1,0)+IF(AND(BJ57=1,Slot5_PctLow=1),1,0)+IF(AND(BT57=1,Slot6_PctLow=1),1,0)+IF(AND(CD57=1,Slot7_PctLow=1),1,0)+IF(AND(CN57=1,Slot8_PctLow=1),1,0)</f>
        <v>0</v>
      </c>
      <c r="JF57" s="1" t="n">
        <f aca="false">IF(C57=1,IF(OR(IS57=1,JE57&gt;0),1,0),0)</f>
        <v>0</v>
      </c>
    </row>
    <row r="58" customFormat="false" ht="15" hidden="false" customHeight="false" outlineLevel="0" collapsed="false">
      <c r="B58" s="1" t="n">
        <v>50</v>
      </c>
      <c r="C58" s="1" t="n">
        <f aca="false">IF(B58&lt;=F_N,1,0)</f>
        <v>1</v>
      </c>
      <c r="D58" s="1" t="n">
        <f aca="false">'Plan pay &amp; tax'!C260</f>
        <v>50</v>
      </c>
      <c r="E58" s="106" t="n">
        <f aca="false">'Plan pay &amp; tax'!E260</f>
        <v>2.69158802907361</v>
      </c>
      <c r="F58" s="1" t="n">
        <f aca="false">'Plan pay &amp; tax'!G260</f>
        <v>0</v>
      </c>
      <c r="G58" s="1" t="n">
        <f aca="false">'Plan pay &amp; tax'!BT260-'Plan pay &amp; tax'!BS260-'Plan pay &amp; tax'!R260</f>
        <v>0</v>
      </c>
      <c r="H58" s="1" t="n">
        <f aca="false">IF(F58=1,F_CostsM*12,IF(RG_Exists=1,RG_Amount,F_CostsM*12*AS_RetireSpend))*E58+F_OneOffY*E58</f>
        <v>0</v>
      </c>
      <c r="I58" s="1" t="n">
        <f aca="false">DA57</f>
        <v>0</v>
      </c>
      <c r="J58" s="1" t="n">
        <f aca="false">IF(I58&gt;1,'Plan debt months'!AC58,0)</f>
        <v>0</v>
      </c>
      <c r="K58" s="1" t="n">
        <f aca="false">IF(I58&gt;1,'Plan debt months'!AB58,I58)</f>
        <v>0</v>
      </c>
      <c r="L58" s="1" t="n">
        <f aca="false">N57</f>
        <v>0</v>
      </c>
      <c r="M58" s="1" t="n">
        <f aca="false">IF(L58&gt;1,'Plan debt months'!BD58,0)</f>
        <v>0</v>
      </c>
      <c r="N58" s="1" t="n">
        <f aca="false">IF(L58&gt;1,'Plan debt months'!BC58,L58)</f>
        <v>0</v>
      </c>
      <c r="O58" s="1" t="n">
        <f aca="false">Q57</f>
        <v>0</v>
      </c>
      <c r="P58" s="1" t="n">
        <f aca="false">IF(O58&gt;1,'Plan debt months'!CE58,0)</f>
        <v>0</v>
      </c>
      <c r="Q58" s="1" t="n">
        <f aca="false">IF(O58&gt;1,'Plan debt months'!CD58,O58)</f>
        <v>0</v>
      </c>
      <c r="R58" s="1" t="n">
        <f aca="false">J58+M58+P58</f>
        <v>0</v>
      </c>
      <c r="S58" s="1" t="n">
        <f aca="false">HD57+'Plan pay &amp; tax'!Y260</f>
        <v>0</v>
      </c>
      <c r="T58" s="1" t="n">
        <f aca="false">HD57</f>
        <v>0</v>
      </c>
      <c r="U58" s="1" t="n">
        <f aca="false">IF(AND(Slot1_On=1,D58=Slot1_Age),1,0)</f>
        <v>0</v>
      </c>
      <c r="V58" s="1" t="n">
        <f aca="false">IF(AND(Slot1_On=1,Slot1_Age&gt;D58),1,0)</f>
        <v>0</v>
      </c>
      <c r="W58" s="1" t="n">
        <f aca="false">HF57</f>
        <v>0</v>
      </c>
      <c r="X58" s="1" t="n">
        <f aca="false">U58*MIN(Slot1_Cost,W58)</f>
        <v>0</v>
      </c>
      <c r="Y58" s="1" t="n">
        <f aca="false">U58*Slot1_SpendLike*MIN(Slot1_Cost-X58,S58)</f>
        <v>0</v>
      </c>
      <c r="Z58" s="1" t="n">
        <f aca="false">X58+Y58</f>
        <v>0</v>
      </c>
      <c r="AA58" s="1" t="n">
        <f aca="false">S58-Y58+U58*IF(Slot1_SpendLike=1,W58-X58,IF(Slot1_PotFree=1,W58,0))</f>
        <v>0</v>
      </c>
      <c r="AB58" s="1" t="n">
        <f aca="false">AE58+U58*Slot1_BufPot*W58</f>
        <v>0</v>
      </c>
      <c r="AC58" s="1" t="n">
        <f aca="false">IF(AND(U58=1,Slot1_IsMfree=1),IF(Z58&gt;=Slot1_Cost-1,0,MAX(0,K58-Z58)),K58)</f>
        <v>0</v>
      </c>
      <c r="AD58" s="1" t="n">
        <f aca="false">U58*(Slot1_Cost-Z58)</f>
        <v>0</v>
      </c>
      <c r="AE58" s="1" t="n">
        <f aca="false">HE57</f>
        <v>0</v>
      </c>
      <c r="AF58" s="1" t="n">
        <f aca="false">IF(AND(Slot2_On=1,D58=Slot2_Age),1,0)</f>
        <v>0</v>
      </c>
      <c r="AG58" s="1" t="n">
        <f aca="false">IF(AND(Slot2_On=1,Slot2_Age&gt;D58),1,0)</f>
        <v>0</v>
      </c>
      <c r="AH58" s="1" t="n">
        <f aca="false">HJ57</f>
        <v>0</v>
      </c>
      <c r="AI58" s="1" t="n">
        <f aca="false">AF58*MIN(Slot2_Cost,AH58)</f>
        <v>0</v>
      </c>
      <c r="AJ58" s="1" t="n">
        <f aca="false">AF58*Slot2_SpendLike*MIN(Slot2_Cost-AI58,AA58)</f>
        <v>0</v>
      </c>
      <c r="AK58" s="1" t="n">
        <f aca="false">AI58+AJ58</f>
        <v>0</v>
      </c>
      <c r="AL58" s="1" t="n">
        <f aca="false">AA58-AJ58+AF58*IF(Slot2_SpendLike=1,AH58-AI58,IF(Slot2_PotFree=1,AH58,0))</f>
        <v>0</v>
      </c>
      <c r="AM58" s="1" t="n">
        <f aca="false">AB58+AF58*Slot2_BufPot*AH58</f>
        <v>0</v>
      </c>
      <c r="AN58" s="1" t="n">
        <f aca="false">IF(AND(AF58=1,Slot2_IsMfree=1),IF(AK58&gt;=Slot2_Cost-1,0,MAX(0,AC58-AK58)),AC58)</f>
        <v>0</v>
      </c>
      <c r="AO58" s="1" t="n">
        <f aca="false">AF58*(Slot2_Cost-AK58)</f>
        <v>0</v>
      </c>
      <c r="AP58" s="1" t="n">
        <f aca="false">IF(AND(Slot3_On=1,D58=Slot3_Age),1,0)</f>
        <v>0</v>
      </c>
      <c r="AQ58" s="1" t="n">
        <f aca="false">IF(AND(Slot3_On=1,Slot3_Age&gt;D58),1,0)</f>
        <v>0</v>
      </c>
      <c r="AR58" s="1" t="n">
        <f aca="false">HN57</f>
        <v>0</v>
      </c>
      <c r="AS58" s="1" t="n">
        <f aca="false">AP58*MIN(Slot3_Cost,AR58)</f>
        <v>0</v>
      </c>
      <c r="AT58" s="1" t="n">
        <f aca="false">AP58*Slot3_SpendLike*MIN(Slot3_Cost-AS58,AL58)</f>
        <v>0</v>
      </c>
      <c r="AU58" s="1" t="n">
        <f aca="false">AS58+AT58</f>
        <v>0</v>
      </c>
      <c r="AV58" s="1" t="n">
        <f aca="false">AL58-AT58+AP58*IF(Slot3_SpendLike=1,AR58-AS58,IF(Slot3_PotFree=1,AR58,0))</f>
        <v>0</v>
      </c>
      <c r="AW58" s="1" t="n">
        <f aca="false">AM58+AP58*Slot3_BufPot*AR58</f>
        <v>0</v>
      </c>
      <c r="AX58" s="1" t="n">
        <f aca="false">IF(AND(AP58=1,Slot3_IsMfree=1),IF(AU58&gt;=Slot3_Cost-1,0,MAX(0,AN58-AU58)),AN58)</f>
        <v>0</v>
      </c>
      <c r="AY58" s="1" t="n">
        <f aca="false">AP58*(Slot3_Cost-AU58)</f>
        <v>0</v>
      </c>
      <c r="AZ58" s="1" t="n">
        <f aca="false">IF(AND(Slot4_On=1,D58=Slot4_Age),1,0)</f>
        <v>0</v>
      </c>
      <c r="BA58" s="1" t="n">
        <f aca="false">IF(AND(Slot4_On=1,Slot4_Age&gt;D58),1,0)</f>
        <v>0</v>
      </c>
      <c r="BB58" s="1" t="n">
        <f aca="false">HR57</f>
        <v>0</v>
      </c>
      <c r="BC58" s="1" t="n">
        <f aca="false">AZ58*MIN(Slot4_Cost,BB58)</f>
        <v>0</v>
      </c>
      <c r="BD58" s="1" t="n">
        <f aca="false">AZ58*Slot4_SpendLike*MIN(Slot4_Cost-BC58,AV58)</f>
        <v>0</v>
      </c>
      <c r="BE58" s="1" t="n">
        <f aca="false">BC58+BD58</f>
        <v>0</v>
      </c>
      <c r="BF58" s="1" t="n">
        <f aca="false">AV58-BD58+AZ58*IF(Slot4_SpendLike=1,BB58-BC58,IF(Slot4_PotFree=1,BB58,0))</f>
        <v>0</v>
      </c>
      <c r="BG58" s="1" t="n">
        <f aca="false">AW58+AZ58*Slot4_BufPot*BB58</f>
        <v>0</v>
      </c>
      <c r="BH58" s="1" t="n">
        <f aca="false">IF(AND(AZ58=1,Slot4_IsMfree=1),IF(BE58&gt;=Slot4_Cost-1,0,MAX(0,AX58-BE58)),AX58)</f>
        <v>0</v>
      </c>
      <c r="BI58" s="1" t="n">
        <f aca="false">AZ58*(Slot4_Cost-BE58)</f>
        <v>0</v>
      </c>
      <c r="BJ58" s="1" t="n">
        <f aca="false">IF(AND(Slot5_On=1,D58=Slot5_Age),1,0)</f>
        <v>0</v>
      </c>
      <c r="BK58" s="1" t="n">
        <f aca="false">IF(AND(Slot5_On=1,Slot5_Age&gt;D58),1,0)</f>
        <v>0</v>
      </c>
      <c r="BL58" s="1" t="n">
        <f aca="false">HV57</f>
        <v>0</v>
      </c>
      <c r="BM58" s="1" t="n">
        <f aca="false">BJ58*MIN(Slot5_Cost,BL58)</f>
        <v>0</v>
      </c>
      <c r="BN58" s="1" t="n">
        <f aca="false">BJ58*Slot5_SpendLike*MIN(Slot5_Cost-BM58,BF58)</f>
        <v>0</v>
      </c>
      <c r="BO58" s="1" t="n">
        <f aca="false">BM58+BN58</f>
        <v>0</v>
      </c>
      <c r="BP58" s="1" t="n">
        <f aca="false">BF58-BN58+BJ58*IF(Slot5_SpendLike=1,BL58-BM58,IF(Slot5_PotFree=1,BL58,0))</f>
        <v>0</v>
      </c>
      <c r="BQ58" s="1" t="n">
        <f aca="false">BG58+BJ58*Slot5_BufPot*BL58</f>
        <v>0</v>
      </c>
      <c r="BR58" s="1" t="n">
        <f aca="false">IF(AND(BJ58=1,Slot5_IsMfree=1),IF(BO58&gt;=Slot5_Cost-1,0,MAX(0,BH58-BO58)),BH58)</f>
        <v>0</v>
      </c>
      <c r="BS58" s="1" t="n">
        <f aca="false">BJ58*(Slot5_Cost-BO58)</f>
        <v>0</v>
      </c>
      <c r="BT58" s="1" t="n">
        <f aca="false">IF(AND(Slot6_On=1,D58=Slot6_Age),1,0)</f>
        <v>0</v>
      </c>
      <c r="BU58" s="1" t="n">
        <f aca="false">IF(AND(Slot6_On=1,Slot6_Age&gt;D58),1,0)</f>
        <v>0</v>
      </c>
      <c r="BV58" s="1" t="n">
        <f aca="false">HZ57</f>
        <v>0</v>
      </c>
      <c r="BW58" s="1" t="n">
        <f aca="false">BT58*MIN(Slot6_Cost,BV58)</f>
        <v>0</v>
      </c>
      <c r="BX58" s="1" t="n">
        <f aca="false">BT58*Slot6_SpendLike*MIN(Slot6_Cost-BW58,BP58)</f>
        <v>0</v>
      </c>
      <c r="BY58" s="1" t="n">
        <f aca="false">BW58+BX58</f>
        <v>0</v>
      </c>
      <c r="BZ58" s="1" t="n">
        <f aca="false">BP58-BX58+BT58*IF(Slot6_SpendLike=1,BV58-BW58,IF(Slot6_PotFree=1,BV58,0))</f>
        <v>0</v>
      </c>
      <c r="CA58" s="1" t="n">
        <f aca="false">BQ58+BT58*Slot6_BufPot*BV58</f>
        <v>0</v>
      </c>
      <c r="CB58" s="1" t="n">
        <f aca="false">IF(AND(BT58=1,Slot6_IsMfree=1),IF(BY58&gt;=Slot6_Cost-1,0,MAX(0,BR58-BY58)),BR58)</f>
        <v>0</v>
      </c>
      <c r="CC58" s="1" t="n">
        <f aca="false">BT58*(Slot6_Cost-BY58)</f>
        <v>0</v>
      </c>
      <c r="CD58" s="1" t="n">
        <f aca="false">IF(AND(Slot7_On=1,D58=Slot7_Age),1,0)</f>
        <v>0</v>
      </c>
      <c r="CE58" s="1" t="n">
        <f aca="false">IF(AND(Slot7_On=1,Slot7_Age&gt;D58),1,0)</f>
        <v>0</v>
      </c>
      <c r="CF58" s="1" t="n">
        <f aca="false">ID57</f>
        <v>0</v>
      </c>
      <c r="CG58" s="1" t="n">
        <f aca="false">CD58*MIN(Slot7_Cost,CF58)</f>
        <v>0</v>
      </c>
      <c r="CH58" s="1" t="n">
        <f aca="false">CD58*Slot7_SpendLike*MIN(Slot7_Cost-CG58,BZ58)</f>
        <v>0</v>
      </c>
      <c r="CI58" s="1" t="n">
        <f aca="false">CG58+CH58</f>
        <v>0</v>
      </c>
      <c r="CJ58" s="1" t="n">
        <f aca="false">BZ58-CH58+CD58*IF(Slot7_SpendLike=1,CF58-CG58,IF(Slot7_PotFree=1,CF58,0))</f>
        <v>0</v>
      </c>
      <c r="CK58" s="1" t="n">
        <f aca="false">CA58+CD58*Slot7_BufPot*CF58</f>
        <v>0</v>
      </c>
      <c r="CL58" s="1" t="n">
        <f aca="false">IF(AND(CD58=1,Slot7_IsMfree=1),IF(CI58&gt;=Slot7_Cost-1,0,MAX(0,CB58-CI58)),CB58)</f>
        <v>0</v>
      </c>
      <c r="CM58" s="1" t="n">
        <f aca="false">CD58*(Slot7_Cost-CI58)</f>
        <v>0</v>
      </c>
      <c r="CN58" s="1" t="n">
        <f aca="false">IF(AND(Slot8_On=1,D58=Slot8_Age),1,0)</f>
        <v>0</v>
      </c>
      <c r="CO58" s="1" t="n">
        <f aca="false">IF(AND(Slot8_On=1,Slot8_Age&gt;D58),1,0)</f>
        <v>0</v>
      </c>
      <c r="CP58" s="1" t="n">
        <f aca="false">IH57</f>
        <v>0</v>
      </c>
      <c r="CQ58" s="1" t="n">
        <f aca="false">CN58*MIN(Slot8_Cost,CP58)</f>
        <v>0</v>
      </c>
      <c r="CR58" s="1" t="n">
        <f aca="false">CN58*Slot8_SpendLike*MIN(Slot8_Cost-CQ58,CJ58)</f>
        <v>0</v>
      </c>
      <c r="CS58" s="1" t="n">
        <f aca="false">CQ58+CR58</f>
        <v>0</v>
      </c>
      <c r="CT58" s="1" t="n">
        <f aca="false">CJ58-CR58+CN58*IF(Slot8_SpendLike=1,CP58-CQ58,IF(Slot8_PotFree=1,CP58,0))</f>
        <v>0</v>
      </c>
      <c r="CU58" s="1" t="n">
        <f aca="false">CK58+CN58*Slot8_BufPot*CP58</f>
        <v>0</v>
      </c>
      <c r="CV58" s="1" t="n">
        <f aca="false">IF(AND(CN58=1,Slot8_IsMfree=1),IF(CS58&gt;=Slot8_Cost-1,0,MAX(0,CL58-CS58)),CL58)</f>
        <v>0</v>
      </c>
      <c r="CW58" s="1" t="n">
        <f aca="false">CN58*(Slot8_Cost-CS58)</f>
        <v>0</v>
      </c>
      <c r="CX58" s="1" t="n">
        <f aca="false">U58*Slot1_SpendLike*Z58+AF58*Slot2_SpendLike*AK58+AP58*Slot3_SpendLike*AU58+AZ58*Slot4_SpendLike*BE58+BJ58*Slot5_SpendLike*BO58+BT58*Slot6_SpendLike*BY58+CD58*Slot7_SpendLike*CI58+CN58*Slot8_SpendLike*CS58</f>
        <v>0</v>
      </c>
      <c r="CY58" s="1" t="n">
        <f aca="false">AD58+AO58+AY58+BI58+BS58+CC58+CM58+CW58</f>
        <v>0</v>
      </c>
      <c r="CZ58" s="1" t="n">
        <f aca="false">U58*Slot1_Cost+AF58*Slot2_Cost+AP58*Slot3_Cost+AZ58*Slot4_Cost+BJ58*Slot5_Cost+BT58*Slot6_Cost+CD58*Slot7_Cost+CN58*Slot8_Cost</f>
        <v>0</v>
      </c>
      <c r="DA58" s="1" t="n">
        <f aca="false">CV58</f>
        <v>0</v>
      </c>
      <c r="DB58" s="1" t="n">
        <f aca="false">G58-H58-R58</f>
        <v>0</v>
      </c>
      <c r="DC58" s="1" t="n">
        <f aca="false">IF(B58=0,IF(AND(Has_q6=1,In_q6=4),PR_ShareVaries*(MAX(0,DB58)/12),MIN(IF(Has_q6=1,CHOOSE(In_q6+1,PR_SaveB1,PR_SaveB2,PR_SaveB3,PR_SaveB4,0),AS_NoAnswer),AS_SaveShare*(MAX(0,DB58)/12))),DC57)</f>
        <v>0</v>
      </c>
      <c r="DD58" s="1" t="n">
        <f aca="false">IF(DB58&gt;=0,1,0)</f>
        <v>1</v>
      </c>
      <c r="DE58" s="1" t="n">
        <f aca="false">MAX(0,DB58/12/E58)</f>
        <v>0</v>
      </c>
      <c r="DF58" s="1" t="n">
        <f aca="false">IF(AND(Has_q6=1,In_q6=4),PR_ShareVaries*(DE58),MIN(IF(Has_q6=1,CHOOSE(In_q6+1,PR_SaveB1,PR_SaveB2,PR_SaveB3,PR_SaveB4,0),AS_NoAnswer),AS_SaveShare*(DE58)))</f>
        <v>0</v>
      </c>
      <c r="DG58" s="1" t="n">
        <f aca="false">IF(Has_saveM=1,IF(In_saveUp="Yes",1,IF(In_saveUp="No",0,IF(In_saveM&gt;=DC58-0.5,1,0))),0)</f>
        <v>0</v>
      </c>
      <c r="DH58" s="1" t="n">
        <f aca="false">IF(Has_saveM=1,MIN(DE58,IF(DG58=1,MAX(In_saveM,DF58),MIN(In_saveM,DF58))),DF58)</f>
        <v>0</v>
      </c>
      <c r="DI58" s="1" t="n">
        <f aca="false">IF(F58=1,DH58*12*E58,0)</f>
        <v>0</v>
      </c>
      <c r="DJ58" s="1" t="n">
        <f aca="false">MAX(0,DI58+IF(AND(WI_Retire=0,WI_M&lt;0,F58=1),WI_M*12*E58,0))</f>
        <v>0</v>
      </c>
      <c r="DK58" s="1" t="n">
        <f aca="false">Slot1_IsWG*V58+Slot2_IsWG*AG58+Slot3_IsWG*AQ58+Slot4_IsWG*BA58+Slot5_IsWG*BK58+Slot6_IsWG*BU58+Slot7_IsWG*CE58+Slot8_IsWG*CO58</f>
        <v>0</v>
      </c>
      <c r="DL58" s="1" t="n">
        <f aca="false">IF(AND(WI_Retire=0,WI_M&gt;0,F58=1,DK58&gt;=1),WI_M*12*E58,0)</f>
        <v>0</v>
      </c>
      <c r="DM58" s="1" t="n">
        <f aca="false">IF(DD58=1,MIN(DJ58,DB58),0)</f>
        <v>0</v>
      </c>
      <c r="DN58" s="1" t="n">
        <f aca="false">IF(DD58=1,MIN(DL58,DB58-DM58),0)</f>
        <v>0</v>
      </c>
      <c r="DO58" s="1" t="n">
        <f aca="false">IF(V58=1,IF(ABS((1+AS_Wage)/(1+Slot1_Rate)-1)&lt;0.000000000001,(Slot1_Age-D58)*(1+Slot1_Rate)^(Slot1_Age-D58),(1+Slot1_Rate)^(Slot1_Age-D58)*(1-((1+AS_Wage)/(1+Slot1_Rate))^(Slot1_Age-D58))/(1-(1+AS_Wage)/(1+Slot1_Rate))),1)</f>
        <v>1</v>
      </c>
      <c r="DP58" s="1" t="n">
        <f aca="false">IF(AND(DD58=1,DN58&gt;0,Slot1_IsWG=1,V58=1),MAX(0,(Slot1_Cost-W58*(1+Slot1_Rate)^(Slot1_Age-D58))/DO58),0)</f>
        <v>0</v>
      </c>
      <c r="DQ58" s="1" t="n">
        <f aca="false">IF(AND(DD58=1,DN58&gt;0,Slot1_IsWG=1,V58=1),MIN(DN58,DP58),0)</f>
        <v>0</v>
      </c>
      <c r="DR58" s="1" t="n">
        <f aca="false">W58+DQ58</f>
        <v>0</v>
      </c>
      <c r="DS58" s="1" t="n">
        <f aca="false">IF(V58=1,MAX(0,(Slot1_Cost-DR58*(1+Slot1_Rate)^(Slot1_Age-D58))/DO58),0)</f>
        <v>0</v>
      </c>
      <c r="DT58" s="1" t="n">
        <f aca="false">IF(V58=1,MAX(0,(Slot1_Cost-W58*(1+Slot1_Rate)^(Slot1_Age-D58))/DO58),0)</f>
        <v>0</v>
      </c>
      <c r="DU58" s="1" t="n">
        <f aca="false">IF(AND(DD58=1,V58=1),MIN(DM58,DS58),0)</f>
        <v>0</v>
      </c>
      <c r="DV58" s="1" t="n">
        <f aca="false">DM58-DU58</f>
        <v>0</v>
      </c>
      <c r="DW58" s="1" t="n">
        <f aca="false">IF(AG58=1,IF(ABS((1+AS_Wage)/(1+Slot2_Rate)-1)&lt;0.000000000001,(Slot2_Age-D58)*(1+Slot2_Rate)^(Slot2_Age-D58),(1+Slot2_Rate)^(Slot2_Age-D58)*(1-((1+AS_Wage)/(1+Slot2_Rate))^(Slot2_Age-D58))/(1-(1+AS_Wage)/(1+Slot2_Rate))),1)</f>
        <v>1</v>
      </c>
      <c r="DX58" s="1" t="n">
        <f aca="false">IF(AND(DD58=1,DN58&gt;0,Slot2_IsWG=1,AG58=1),MAX(0,(Slot2_Cost-AH58*(1+Slot2_Rate)^(Slot2_Age-D58))/DW58),0)</f>
        <v>0</v>
      </c>
      <c r="DY58" s="1" t="n">
        <f aca="false">IF(AND(DD58=1,DN58&gt;0,Slot2_IsWG=1,AG58=1),MIN(DN58,DX58),0)</f>
        <v>0</v>
      </c>
      <c r="DZ58" s="1" t="n">
        <f aca="false">AH58+DY58</f>
        <v>0</v>
      </c>
      <c r="EA58" s="1" t="n">
        <f aca="false">IF(AG58=1,MAX(0,(Slot2_Cost-DZ58*(1+Slot2_Rate)^(Slot2_Age-D58))/DW58),0)</f>
        <v>0</v>
      </c>
      <c r="EB58" s="1" t="n">
        <f aca="false">IF(AG58=1,MAX(0,(Slot2_Cost-AH58*(1+Slot2_Rate)^(Slot2_Age-D58))/DW58),0)</f>
        <v>0</v>
      </c>
      <c r="EC58" s="1" t="n">
        <f aca="false">IF(AND(DD58=1,AG58=1),MIN(DV58,EA58),0)</f>
        <v>0</v>
      </c>
      <c r="ED58" s="1" t="n">
        <f aca="false">DV58-EC58</f>
        <v>0</v>
      </c>
      <c r="EE58" s="1" t="n">
        <f aca="false">IF(AQ58=1,IF(ABS((1+AS_Wage)/(1+Slot3_Rate)-1)&lt;0.000000000001,(Slot3_Age-D58)*(1+Slot3_Rate)^(Slot3_Age-D58),(1+Slot3_Rate)^(Slot3_Age-D58)*(1-((1+AS_Wage)/(1+Slot3_Rate))^(Slot3_Age-D58))/(1-(1+AS_Wage)/(1+Slot3_Rate))),1)</f>
        <v>1</v>
      </c>
      <c r="EF58" s="1" t="n">
        <f aca="false">IF(AND(DD58=1,DN58&gt;0,Slot3_IsWG=1,AQ58=1),MAX(0,(Slot3_Cost-AR58*(1+Slot3_Rate)^(Slot3_Age-D58))/EE58),0)</f>
        <v>0</v>
      </c>
      <c r="EG58" s="1" t="n">
        <f aca="false">IF(AND(DD58=1,DN58&gt;0,Slot3_IsWG=1,AQ58=1),MIN(DN58,EF58),0)</f>
        <v>0</v>
      </c>
      <c r="EH58" s="1" t="n">
        <f aca="false">AR58+EG58</f>
        <v>0</v>
      </c>
      <c r="EI58" s="1" t="n">
        <f aca="false">IF(AQ58=1,MAX(0,(Slot3_Cost-EH58*(1+Slot3_Rate)^(Slot3_Age-D58))/EE58),0)</f>
        <v>0</v>
      </c>
      <c r="EJ58" s="1" t="n">
        <f aca="false">IF(AQ58=1,MAX(0,(Slot3_Cost-AR58*(1+Slot3_Rate)^(Slot3_Age-D58))/EE58),0)</f>
        <v>0</v>
      </c>
      <c r="EK58" s="1" t="n">
        <f aca="false">IF(AND(DD58=1,AQ58=1),MIN(ED58,EI58),0)</f>
        <v>0</v>
      </c>
      <c r="EL58" s="1" t="n">
        <f aca="false">ED58-EK58</f>
        <v>0</v>
      </c>
      <c r="EM58" s="1" t="n">
        <f aca="false">IF(BA58=1,IF(ABS((1+AS_Wage)/(1+Slot4_Rate)-1)&lt;0.000000000001,(Slot4_Age-D58)*(1+Slot4_Rate)^(Slot4_Age-D58),(1+Slot4_Rate)^(Slot4_Age-D58)*(1-((1+AS_Wage)/(1+Slot4_Rate))^(Slot4_Age-D58))/(1-(1+AS_Wage)/(1+Slot4_Rate))),1)</f>
        <v>1</v>
      </c>
      <c r="EN58" s="1" t="n">
        <f aca="false">IF(AND(DD58=1,DN58&gt;0,Slot4_IsWG=1,BA58=1),MAX(0,(Slot4_Cost-BB58*(1+Slot4_Rate)^(Slot4_Age-D58))/EM58),0)</f>
        <v>0</v>
      </c>
      <c r="EO58" s="1" t="n">
        <f aca="false">IF(AND(DD58=1,DN58&gt;0,Slot4_IsWG=1,BA58=1),MIN(DN58,EN58),0)</f>
        <v>0</v>
      </c>
      <c r="EP58" s="1" t="n">
        <f aca="false">BB58+EO58</f>
        <v>0</v>
      </c>
      <c r="EQ58" s="1" t="n">
        <f aca="false">IF(BA58=1,MAX(0,(Slot4_Cost-EP58*(1+Slot4_Rate)^(Slot4_Age-D58))/EM58),0)</f>
        <v>0</v>
      </c>
      <c r="ER58" s="1" t="n">
        <f aca="false">IF(BA58=1,MAX(0,(Slot4_Cost-BB58*(1+Slot4_Rate)^(Slot4_Age-D58))/EM58),0)</f>
        <v>0</v>
      </c>
      <c r="ES58" s="1" t="n">
        <f aca="false">IF(AND(DD58=1,BA58=1),MIN(EL58,EQ58),0)</f>
        <v>0</v>
      </c>
      <c r="ET58" s="1" t="n">
        <f aca="false">EL58-ES58</f>
        <v>0</v>
      </c>
      <c r="EU58" s="1" t="n">
        <f aca="false">IF(BK58=1,IF(ABS((1+AS_Wage)/(1+Slot5_Rate)-1)&lt;0.000000000001,(Slot5_Age-D58)*(1+Slot5_Rate)^(Slot5_Age-D58),(1+Slot5_Rate)^(Slot5_Age-D58)*(1-((1+AS_Wage)/(1+Slot5_Rate))^(Slot5_Age-D58))/(1-(1+AS_Wage)/(1+Slot5_Rate))),1)</f>
        <v>1</v>
      </c>
      <c r="EV58" s="1" t="n">
        <f aca="false">IF(AND(DD58=1,DN58&gt;0,Slot5_IsWG=1,BK58=1),MAX(0,(Slot5_Cost-BL58*(1+Slot5_Rate)^(Slot5_Age-D58))/EU58),0)</f>
        <v>0</v>
      </c>
      <c r="EW58" s="1" t="n">
        <f aca="false">IF(AND(DD58=1,DN58&gt;0,Slot5_IsWG=1,BK58=1),MIN(DN58,EV58),0)</f>
        <v>0</v>
      </c>
      <c r="EX58" s="1" t="n">
        <f aca="false">BL58+EW58</f>
        <v>0</v>
      </c>
      <c r="EY58" s="1" t="n">
        <f aca="false">IF(BK58=1,MAX(0,(Slot5_Cost-EX58*(1+Slot5_Rate)^(Slot5_Age-D58))/EU58),0)</f>
        <v>0</v>
      </c>
      <c r="EZ58" s="1" t="n">
        <f aca="false">IF(BK58=1,MAX(0,(Slot5_Cost-BL58*(1+Slot5_Rate)^(Slot5_Age-D58))/EU58),0)</f>
        <v>0</v>
      </c>
      <c r="FA58" s="1" t="n">
        <f aca="false">IF(AND(DD58=1,BK58=1),MIN(ET58,EY58),0)</f>
        <v>0</v>
      </c>
      <c r="FB58" s="1" t="n">
        <f aca="false">ET58-FA58</f>
        <v>0</v>
      </c>
      <c r="FC58" s="1" t="n">
        <f aca="false">IF(BU58=1,IF(ABS((1+AS_Wage)/(1+Slot6_Rate)-1)&lt;0.000000000001,(Slot6_Age-D58)*(1+Slot6_Rate)^(Slot6_Age-D58),(1+Slot6_Rate)^(Slot6_Age-D58)*(1-((1+AS_Wage)/(1+Slot6_Rate))^(Slot6_Age-D58))/(1-(1+AS_Wage)/(1+Slot6_Rate))),1)</f>
        <v>1</v>
      </c>
      <c r="FD58" s="1" t="n">
        <f aca="false">IF(AND(DD58=1,DN58&gt;0,Slot6_IsWG=1,BU58=1),MAX(0,(Slot6_Cost-BV58*(1+Slot6_Rate)^(Slot6_Age-D58))/FC58),0)</f>
        <v>0</v>
      </c>
      <c r="FE58" s="1" t="n">
        <f aca="false">IF(AND(DD58=1,DN58&gt;0,Slot6_IsWG=1,BU58=1),MIN(DN58,FD58),0)</f>
        <v>0</v>
      </c>
      <c r="FF58" s="1" t="n">
        <f aca="false">BV58+FE58</f>
        <v>0</v>
      </c>
      <c r="FG58" s="1" t="n">
        <f aca="false">IF(BU58=1,MAX(0,(Slot6_Cost-FF58*(1+Slot6_Rate)^(Slot6_Age-D58))/FC58),0)</f>
        <v>0</v>
      </c>
      <c r="FH58" s="1" t="n">
        <f aca="false">IF(BU58=1,MAX(0,(Slot6_Cost-BV58*(1+Slot6_Rate)^(Slot6_Age-D58))/FC58),0)</f>
        <v>0</v>
      </c>
      <c r="FI58" s="1" t="n">
        <f aca="false">IF(AND(DD58=1,BU58=1),MIN(FB58,FG58),0)</f>
        <v>0</v>
      </c>
      <c r="FJ58" s="1" t="n">
        <f aca="false">FB58-FI58</f>
        <v>0</v>
      </c>
      <c r="FK58" s="1" t="n">
        <f aca="false">IF(CE58=1,IF(ABS((1+AS_Wage)/(1+Slot7_Rate)-1)&lt;0.000000000001,(Slot7_Age-D58)*(1+Slot7_Rate)^(Slot7_Age-D58),(1+Slot7_Rate)^(Slot7_Age-D58)*(1-((1+AS_Wage)/(1+Slot7_Rate))^(Slot7_Age-D58))/(1-(1+AS_Wage)/(1+Slot7_Rate))),1)</f>
        <v>1</v>
      </c>
      <c r="FL58" s="1" t="n">
        <f aca="false">IF(AND(DD58=1,DN58&gt;0,Slot7_IsWG=1,CE58=1),MAX(0,(Slot7_Cost-CF58*(1+Slot7_Rate)^(Slot7_Age-D58))/FK58),0)</f>
        <v>0</v>
      </c>
      <c r="FM58" s="1" t="n">
        <f aca="false">IF(AND(DD58=1,DN58&gt;0,Slot7_IsWG=1,CE58=1),MIN(DN58,FL58),0)</f>
        <v>0</v>
      </c>
      <c r="FN58" s="1" t="n">
        <f aca="false">CF58+FM58</f>
        <v>0</v>
      </c>
      <c r="FO58" s="1" t="n">
        <f aca="false">IF(CE58=1,MAX(0,(Slot7_Cost-FN58*(1+Slot7_Rate)^(Slot7_Age-D58))/FK58),0)</f>
        <v>0</v>
      </c>
      <c r="FP58" s="1" t="n">
        <f aca="false">IF(CE58=1,MAX(0,(Slot7_Cost-CF58*(1+Slot7_Rate)^(Slot7_Age-D58))/FK58),0)</f>
        <v>0</v>
      </c>
      <c r="FQ58" s="1" t="n">
        <f aca="false">IF(AND(DD58=1,CE58=1),MIN(FJ58,FO58),0)</f>
        <v>0</v>
      </c>
      <c r="FR58" s="1" t="n">
        <f aca="false">FJ58-FQ58</f>
        <v>0</v>
      </c>
      <c r="FS58" s="1" t="n">
        <f aca="false">IF(CO58=1,IF(ABS((1+AS_Wage)/(1+Slot8_Rate)-1)&lt;0.000000000001,(Slot8_Age-D58)*(1+Slot8_Rate)^(Slot8_Age-D58),(1+Slot8_Rate)^(Slot8_Age-D58)*(1-((1+AS_Wage)/(1+Slot8_Rate))^(Slot8_Age-D58))/(1-(1+AS_Wage)/(1+Slot8_Rate))),1)</f>
        <v>1</v>
      </c>
      <c r="FT58" s="1" t="n">
        <f aca="false">IF(AND(DD58=1,DN58&gt;0,Slot8_IsWG=1,CO58=1),MAX(0,(Slot8_Cost-CP58*(1+Slot8_Rate)^(Slot8_Age-D58))/FS58),0)</f>
        <v>0</v>
      </c>
      <c r="FU58" s="1" t="n">
        <f aca="false">IF(AND(DD58=1,DN58&gt;0,Slot8_IsWG=1,CO58=1),MIN(DN58,FT58),0)</f>
        <v>0</v>
      </c>
      <c r="FV58" s="1" t="n">
        <f aca="false">CP58+FU58</f>
        <v>0</v>
      </c>
      <c r="FW58" s="1" t="n">
        <f aca="false">IF(CO58=1,MAX(0,(Slot8_Cost-FV58*(1+Slot8_Rate)^(Slot8_Age-D58))/FS58),0)</f>
        <v>0</v>
      </c>
      <c r="FX58" s="1" t="n">
        <f aca="false">IF(CO58=1,MAX(0,(Slot8_Cost-CP58*(1+Slot8_Rate)^(Slot8_Age-D58))/FS58),0)</f>
        <v>0</v>
      </c>
      <c r="FY58" s="1" t="n">
        <f aca="false">IF(AND(DD58=1,CO58=1),MIN(FR58,FW58),0)</f>
        <v>0</v>
      </c>
      <c r="FZ58" s="1" t="n">
        <f aca="false">FR58-FY58</f>
        <v>0</v>
      </c>
      <c r="GA58" s="1" t="n">
        <f aca="false">DN58-(DQ58+DY58+EG58+EO58+EW58+FE58+FM58+FU58)</f>
        <v>0</v>
      </c>
      <c r="GB58" s="1" t="n">
        <f aca="false">IF(DD58=1,DB58-DM58-DN58,0)</f>
        <v>0</v>
      </c>
      <c r="GC58" s="1" t="n">
        <f aca="false">IF(DD58=0,-DB58,0)</f>
        <v>0</v>
      </c>
      <c r="GD58" s="1" t="n">
        <f aca="false">MIN(GC58,CT58)</f>
        <v>0</v>
      </c>
      <c r="GE58" s="1" t="n">
        <f aca="false">GC58-GD58</f>
        <v>0</v>
      </c>
      <c r="GF58" s="1" t="n">
        <f aca="false">MIN(GE58,CU58)</f>
        <v>0</v>
      </c>
      <c r="GG58" s="1" t="n">
        <f aca="false">GE58-GF58</f>
        <v>0</v>
      </c>
      <c r="GH58" s="1" t="n">
        <f aca="false">IF(AND(DD58=0,CO58=1,GG58&gt;0),MIN(GG58,CP58),0)</f>
        <v>0</v>
      </c>
      <c r="GI58" s="1" t="n">
        <f aca="false">GG58-GH58</f>
        <v>0</v>
      </c>
      <c r="GJ58" s="1" t="n">
        <f aca="false">IF(AND(DD58=0,CE58=1,GI58&gt;0),MIN(GI58,CF58),0)</f>
        <v>0</v>
      </c>
      <c r="GK58" s="1" t="n">
        <f aca="false">GI58-GJ58</f>
        <v>0</v>
      </c>
      <c r="GL58" s="1" t="n">
        <f aca="false">IF(AND(DD58=0,BU58=1,GK58&gt;0),MIN(GK58,BV58),0)</f>
        <v>0</v>
      </c>
      <c r="GM58" s="1" t="n">
        <f aca="false">GK58-GL58</f>
        <v>0</v>
      </c>
      <c r="GN58" s="1" t="n">
        <f aca="false">IF(AND(DD58=0,BK58=1,GM58&gt;0),MIN(GM58,BL58),0)</f>
        <v>0</v>
      </c>
      <c r="GO58" s="1" t="n">
        <f aca="false">GM58-GN58</f>
        <v>0</v>
      </c>
      <c r="GP58" s="1" t="n">
        <f aca="false">IF(AND(DD58=0,BA58=1,GO58&gt;0),MIN(GO58,BB58),0)</f>
        <v>0</v>
      </c>
      <c r="GQ58" s="1" t="n">
        <f aca="false">GO58-GP58</f>
        <v>0</v>
      </c>
      <c r="GR58" s="1" t="n">
        <f aca="false">IF(AND(DD58=0,AQ58=1,GQ58&gt;0),MIN(GQ58,AR58),0)</f>
        <v>0</v>
      </c>
      <c r="GS58" s="1" t="n">
        <f aca="false">GQ58-GR58</f>
        <v>0</v>
      </c>
      <c r="GT58" s="1" t="n">
        <f aca="false">IF(AND(DD58=0,AG58=1,GS58&gt;0),MIN(GS58,AH58),0)</f>
        <v>0</v>
      </c>
      <c r="GU58" s="1" t="n">
        <f aca="false">GS58-GT58</f>
        <v>0</v>
      </c>
      <c r="GV58" s="1" t="n">
        <f aca="false">IF(AND(DD58=0,V58=1,GU58&gt;0),MIN(GU58,W58),0)</f>
        <v>0</v>
      </c>
      <c r="GW58" s="1" t="n">
        <f aca="false">GU58-GV58</f>
        <v>0</v>
      </c>
      <c r="GX58" s="1" t="n">
        <f aca="false">IF(DD58=0,GW58,0)</f>
        <v>0</v>
      </c>
      <c r="GY58" s="1" t="n">
        <f aca="false">GD58+GF58+GV58+GT58+GR58+GP58+GN58+GL58+GJ58+GH58</f>
        <v>0</v>
      </c>
      <c r="GZ58" s="1" t="n">
        <f aca="false">IF(DD58=1,CT58+GA58+FZ58+IF(F58=1,0,GB58),CT58-GD58)</f>
        <v>0</v>
      </c>
      <c r="HA58" s="1" t="n">
        <f aca="false">CU58-GF58</f>
        <v>0</v>
      </c>
      <c r="HB58" s="1" t="n">
        <f aca="false">IF(DD58=1,IF(F58=1,DM58+DN58,DB58),0)</f>
        <v>0</v>
      </c>
      <c r="HC58" s="1" t="n">
        <f aca="false">IF(DD58=1,IF(F58=1,DB58-DM58-DN58,0),0)</f>
        <v>0</v>
      </c>
      <c r="HD58" s="1" t="n">
        <f aca="false">GZ58*(1+GR)</f>
        <v>0</v>
      </c>
      <c r="HE58" s="1" t="n">
        <f aca="false">HA58*(1+AS_Cash)</f>
        <v>0</v>
      </c>
      <c r="HF58" s="1" t="n">
        <f aca="false">IF(V58=1,IF(DD58=1,DR58+DU58,W58-GV58)*(1+Slot1_Rate),0)</f>
        <v>0</v>
      </c>
      <c r="HG58" s="1" t="n">
        <f aca="false">IF(AND(DD58=1,V58=1),(DQ58+DU58)/E58,0)</f>
        <v>0</v>
      </c>
      <c r="HH58" s="1" t="n">
        <f aca="false">IF(B58=0,DQ58+DU58,0)</f>
        <v>0</v>
      </c>
      <c r="HI58" s="1" t="n">
        <f aca="false">IF(B58=0,IF(DD58=1,DS58,DT58),0)</f>
        <v>0</v>
      </c>
      <c r="HJ58" s="1" t="n">
        <f aca="false">IF(AG58=1,IF(DD58=1,DZ58+EC58,AH58-GT58)*(1+Slot2_Rate),0)</f>
        <v>0</v>
      </c>
      <c r="HK58" s="1" t="n">
        <f aca="false">IF(AND(DD58=1,AG58=1),(DY58+EC58)/E58,0)</f>
        <v>0</v>
      </c>
      <c r="HL58" s="1" t="n">
        <f aca="false">IF(B58=0,DY58+EC58,0)</f>
        <v>0</v>
      </c>
      <c r="HM58" s="1" t="n">
        <f aca="false">IF(B58=0,IF(DD58=1,EA58,EB58),0)</f>
        <v>0</v>
      </c>
      <c r="HN58" s="1" t="n">
        <f aca="false">IF(AQ58=1,IF(DD58=1,EH58+EK58,AR58-GR58)*(1+Slot3_Rate),0)</f>
        <v>0</v>
      </c>
      <c r="HO58" s="1" t="n">
        <f aca="false">IF(AND(DD58=1,AQ58=1),(EG58+EK58)/E58,0)</f>
        <v>0</v>
      </c>
      <c r="HP58" s="1" t="n">
        <f aca="false">IF(B58=0,EG58+EK58,0)</f>
        <v>0</v>
      </c>
      <c r="HQ58" s="1" t="n">
        <f aca="false">IF(B58=0,IF(DD58=1,EI58,EJ58),0)</f>
        <v>0</v>
      </c>
      <c r="HR58" s="1" t="n">
        <f aca="false">IF(BA58=1,IF(DD58=1,EP58+ES58,BB58-GP58)*(1+Slot4_Rate),0)</f>
        <v>0</v>
      </c>
      <c r="HS58" s="1" t="n">
        <f aca="false">IF(AND(DD58=1,BA58=1),(EO58+ES58)/E58,0)</f>
        <v>0</v>
      </c>
      <c r="HT58" s="1" t="n">
        <f aca="false">IF(B58=0,EO58+ES58,0)</f>
        <v>0</v>
      </c>
      <c r="HU58" s="1" t="n">
        <f aca="false">IF(B58=0,IF(DD58=1,EQ58,ER58),0)</f>
        <v>0</v>
      </c>
      <c r="HV58" s="1" t="n">
        <f aca="false">IF(BK58=1,IF(DD58=1,EX58+FA58,BL58-GN58)*(1+Slot5_Rate),0)</f>
        <v>0</v>
      </c>
      <c r="HW58" s="1" t="n">
        <f aca="false">IF(AND(DD58=1,BK58=1),(EW58+FA58)/E58,0)</f>
        <v>0</v>
      </c>
      <c r="HX58" s="1" t="n">
        <f aca="false">IF(B58=0,EW58+FA58,0)</f>
        <v>0</v>
      </c>
      <c r="HY58" s="1" t="n">
        <f aca="false">IF(B58=0,IF(DD58=1,EY58,EZ58),0)</f>
        <v>0</v>
      </c>
      <c r="HZ58" s="1" t="n">
        <f aca="false">IF(BU58=1,IF(DD58=1,FF58+FI58,BV58-GL58)*(1+Slot6_Rate),0)</f>
        <v>0</v>
      </c>
      <c r="IA58" s="1" t="n">
        <f aca="false">IF(AND(DD58=1,BU58=1),(FE58+FI58)/E58,0)</f>
        <v>0</v>
      </c>
      <c r="IB58" s="1" t="n">
        <f aca="false">IF(B58=0,FE58+FI58,0)</f>
        <v>0</v>
      </c>
      <c r="IC58" s="1" t="n">
        <f aca="false">IF(B58=0,IF(DD58=1,FG58,FH58),0)</f>
        <v>0</v>
      </c>
      <c r="ID58" s="1" t="n">
        <f aca="false">IF(CE58=1,IF(DD58=1,FN58+FQ58,CF58-GJ58)*(1+Slot7_Rate),0)</f>
        <v>0</v>
      </c>
      <c r="IE58" s="1" t="n">
        <f aca="false">IF(AND(DD58=1,CE58=1),(FM58+FQ58)/E58,0)</f>
        <v>0</v>
      </c>
      <c r="IF58" s="1" t="n">
        <f aca="false">IF(B58=0,FM58+FQ58,0)</f>
        <v>0</v>
      </c>
      <c r="IG58" s="1" t="n">
        <f aca="false">IF(B58=0,IF(DD58=1,FO58,FP58),0)</f>
        <v>0</v>
      </c>
      <c r="IH58" s="1" t="n">
        <f aca="false">IF(CO58=1,IF(DD58=1,FV58+FY58,CP58-GH58)*(1+Slot8_Rate),0)</f>
        <v>0</v>
      </c>
      <c r="II58" s="1" t="n">
        <f aca="false">IF(AND(DD58=1,CO58=1),(FU58+FY58)/E58,0)</f>
        <v>0</v>
      </c>
      <c r="IJ58" s="1" t="n">
        <f aca="false">IF(B58=0,FU58+FY58,0)</f>
        <v>0</v>
      </c>
      <c r="IK58" s="1" t="n">
        <f aca="false">IF(B58=0,IF(DD58=1,FW58,FX58),0)</f>
        <v>0</v>
      </c>
      <c r="IL58" s="1" t="n">
        <f aca="false">HD58+HE58+HF58+HJ58+HN58+HR58+HV58+HZ58+ID58+IH58</f>
        <v>0</v>
      </c>
      <c r="IM58" s="1" t="n">
        <f aca="false">GX58+CY58</f>
        <v>0</v>
      </c>
      <c r="IN58" s="1" t="n">
        <f aca="false">H58+R58</f>
        <v>0</v>
      </c>
      <c r="IO58" s="1" t="n">
        <f aca="false">1-F58</f>
        <v>1</v>
      </c>
      <c r="IP58" s="1" t="n">
        <f aca="false">IF(AND(RG_Exists=1,F58=0,C58=1),H58,0)</f>
        <v>0</v>
      </c>
      <c r="IQ58" s="1" t="n">
        <f aca="false">IF(AND(RG_Exists=1,F58=0,C58=1),H58-MIN(GX58,H58),0)</f>
        <v>0</v>
      </c>
      <c r="IR58" s="1" t="n">
        <f aca="false">'Plan pay &amp; tax'!AD260</f>
        <v>0</v>
      </c>
      <c r="IS58" s="1" t="n">
        <f aca="false">IF(AND(C58=1,GX58&gt;MAX(PR_Short1,IN58*PR_Short2)),1,0)</f>
        <v>0</v>
      </c>
      <c r="IT58" s="1" t="n">
        <f aca="false">MIN(G58,H58+R58)</f>
        <v>0</v>
      </c>
      <c r="IU58" s="1" t="n">
        <f aca="false">GY58+MAX(0,CZ58-CY58)</f>
        <v>0</v>
      </c>
      <c r="IV58" s="1" t="n">
        <f aca="false">GX58+CY58</f>
        <v>0</v>
      </c>
      <c r="IW58" s="1" t="n">
        <f aca="false">IF(AND(C58=1,IV58&gt;0.5),1,0)</f>
        <v>0</v>
      </c>
      <c r="IX58" s="1" t="n">
        <f aca="false">IF(AND(C58=1,IW58=0,IU58&gt;0.5),1,0)</f>
        <v>0</v>
      </c>
      <c r="IY58" s="1" t="n">
        <f aca="false">IF(AND(C58=1,GX58&gt;0.5),1,0)</f>
        <v>0</v>
      </c>
      <c r="IZ58" s="1" t="n">
        <f aca="false">IF(AND(C58=1,GY58&gt;1,JF58=0),1,0)</f>
        <v>0</v>
      </c>
      <c r="JA58" s="1" t="n">
        <f aca="false">IF(AND(INT(D58/10)*10=90,B58&gt;0),80,INT(D58/10)*10)</f>
        <v>50</v>
      </c>
      <c r="JB58" s="1" t="n">
        <f aca="false">IF(B58=0,1,IF(JA58&lt;&gt;JA57,JB57+1,JB57))</f>
        <v>6</v>
      </c>
      <c r="JC58" s="1" t="n">
        <f aca="false">IF(AND(C58=1,F58=1,GX58&gt;MAX(PR_Short1,IN58*PR_Short2)),1,0)</f>
        <v>0</v>
      </c>
      <c r="JD58" s="1" t="n">
        <f aca="false">IO58*IS58</f>
        <v>0</v>
      </c>
      <c r="JE58" s="1" t="n">
        <f aca="false">IF(AND(U58=1,Slot1_PctLow=1),1,0)+IF(AND(AF58=1,Slot2_PctLow=1),1,0)+IF(AND(AP58=1,Slot3_PctLow=1),1,0)+IF(AND(AZ58=1,Slot4_PctLow=1),1,0)+IF(AND(BJ58=1,Slot5_PctLow=1),1,0)+IF(AND(BT58=1,Slot6_PctLow=1),1,0)+IF(AND(CD58=1,Slot7_PctLow=1),1,0)+IF(AND(CN58=1,Slot8_PctLow=1),1,0)</f>
        <v>0</v>
      </c>
      <c r="JF58" s="1" t="n">
        <f aca="false">IF(C58=1,IF(OR(IS58=1,JE58&gt;0),1,0),0)</f>
        <v>0</v>
      </c>
    </row>
    <row r="59" customFormat="false" ht="15" hidden="false" customHeight="false" outlineLevel="0" collapsed="false">
      <c r="B59" s="1" t="n">
        <v>51</v>
      </c>
      <c r="C59" s="1" t="n">
        <f aca="false">IF(B59&lt;=F_N,1,0)</f>
        <v>1</v>
      </c>
      <c r="D59" s="1" t="n">
        <f aca="false">'Plan pay &amp; tax'!C261</f>
        <v>51</v>
      </c>
      <c r="E59" s="106" t="n">
        <f aca="false">'Plan pay &amp; tax'!E261</f>
        <v>2.74541978965508</v>
      </c>
      <c r="F59" s="1" t="n">
        <f aca="false">'Plan pay &amp; tax'!G261</f>
        <v>0</v>
      </c>
      <c r="G59" s="1" t="n">
        <f aca="false">'Plan pay &amp; tax'!BT261-'Plan pay &amp; tax'!BS261-'Plan pay &amp; tax'!R261</f>
        <v>0</v>
      </c>
      <c r="H59" s="1" t="n">
        <f aca="false">IF(F59=1,F_CostsM*12,IF(RG_Exists=1,RG_Amount,F_CostsM*12*AS_RetireSpend))*E59+F_OneOffY*E59</f>
        <v>0</v>
      </c>
      <c r="I59" s="1" t="n">
        <f aca="false">DA58</f>
        <v>0</v>
      </c>
      <c r="J59" s="1" t="n">
        <f aca="false">IF(I59&gt;1,'Plan debt months'!AC59,0)</f>
        <v>0</v>
      </c>
      <c r="K59" s="1" t="n">
        <f aca="false">IF(I59&gt;1,'Plan debt months'!AB59,I59)</f>
        <v>0</v>
      </c>
      <c r="L59" s="1" t="n">
        <f aca="false">N58</f>
        <v>0</v>
      </c>
      <c r="M59" s="1" t="n">
        <f aca="false">IF(L59&gt;1,'Plan debt months'!BD59,0)</f>
        <v>0</v>
      </c>
      <c r="N59" s="1" t="n">
        <f aca="false">IF(L59&gt;1,'Plan debt months'!BC59,L59)</f>
        <v>0</v>
      </c>
      <c r="O59" s="1" t="n">
        <f aca="false">Q58</f>
        <v>0</v>
      </c>
      <c r="P59" s="1" t="n">
        <f aca="false">IF(O59&gt;1,'Plan debt months'!CE59,0)</f>
        <v>0</v>
      </c>
      <c r="Q59" s="1" t="n">
        <f aca="false">IF(O59&gt;1,'Plan debt months'!CD59,O59)</f>
        <v>0</v>
      </c>
      <c r="R59" s="1" t="n">
        <f aca="false">J59+M59+P59</f>
        <v>0</v>
      </c>
      <c r="S59" s="1" t="n">
        <f aca="false">HD58+'Plan pay &amp; tax'!Y261</f>
        <v>0</v>
      </c>
      <c r="T59" s="1" t="n">
        <f aca="false">HD58</f>
        <v>0</v>
      </c>
      <c r="U59" s="1" t="n">
        <f aca="false">IF(AND(Slot1_On=1,D59=Slot1_Age),1,0)</f>
        <v>0</v>
      </c>
      <c r="V59" s="1" t="n">
        <f aca="false">IF(AND(Slot1_On=1,Slot1_Age&gt;D59),1,0)</f>
        <v>0</v>
      </c>
      <c r="W59" s="1" t="n">
        <f aca="false">HF58</f>
        <v>0</v>
      </c>
      <c r="X59" s="1" t="n">
        <f aca="false">U59*MIN(Slot1_Cost,W59)</f>
        <v>0</v>
      </c>
      <c r="Y59" s="1" t="n">
        <f aca="false">U59*Slot1_SpendLike*MIN(Slot1_Cost-X59,S59)</f>
        <v>0</v>
      </c>
      <c r="Z59" s="1" t="n">
        <f aca="false">X59+Y59</f>
        <v>0</v>
      </c>
      <c r="AA59" s="1" t="n">
        <f aca="false">S59-Y59+U59*IF(Slot1_SpendLike=1,W59-X59,IF(Slot1_PotFree=1,W59,0))</f>
        <v>0</v>
      </c>
      <c r="AB59" s="1" t="n">
        <f aca="false">AE59+U59*Slot1_BufPot*W59</f>
        <v>0</v>
      </c>
      <c r="AC59" s="1" t="n">
        <f aca="false">IF(AND(U59=1,Slot1_IsMfree=1),IF(Z59&gt;=Slot1_Cost-1,0,MAX(0,K59-Z59)),K59)</f>
        <v>0</v>
      </c>
      <c r="AD59" s="1" t="n">
        <f aca="false">U59*(Slot1_Cost-Z59)</f>
        <v>0</v>
      </c>
      <c r="AE59" s="1" t="n">
        <f aca="false">HE58</f>
        <v>0</v>
      </c>
      <c r="AF59" s="1" t="n">
        <f aca="false">IF(AND(Slot2_On=1,D59=Slot2_Age),1,0)</f>
        <v>0</v>
      </c>
      <c r="AG59" s="1" t="n">
        <f aca="false">IF(AND(Slot2_On=1,Slot2_Age&gt;D59),1,0)</f>
        <v>0</v>
      </c>
      <c r="AH59" s="1" t="n">
        <f aca="false">HJ58</f>
        <v>0</v>
      </c>
      <c r="AI59" s="1" t="n">
        <f aca="false">AF59*MIN(Slot2_Cost,AH59)</f>
        <v>0</v>
      </c>
      <c r="AJ59" s="1" t="n">
        <f aca="false">AF59*Slot2_SpendLike*MIN(Slot2_Cost-AI59,AA59)</f>
        <v>0</v>
      </c>
      <c r="AK59" s="1" t="n">
        <f aca="false">AI59+AJ59</f>
        <v>0</v>
      </c>
      <c r="AL59" s="1" t="n">
        <f aca="false">AA59-AJ59+AF59*IF(Slot2_SpendLike=1,AH59-AI59,IF(Slot2_PotFree=1,AH59,0))</f>
        <v>0</v>
      </c>
      <c r="AM59" s="1" t="n">
        <f aca="false">AB59+AF59*Slot2_BufPot*AH59</f>
        <v>0</v>
      </c>
      <c r="AN59" s="1" t="n">
        <f aca="false">IF(AND(AF59=1,Slot2_IsMfree=1),IF(AK59&gt;=Slot2_Cost-1,0,MAX(0,AC59-AK59)),AC59)</f>
        <v>0</v>
      </c>
      <c r="AO59" s="1" t="n">
        <f aca="false">AF59*(Slot2_Cost-AK59)</f>
        <v>0</v>
      </c>
      <c r="AP59" s="1" t="n">
        <f aca="false">IF(AND(Slot3_On=1,D59=Slot3_Age),1,0)</f>
        <v>0</v>
      </c>
      <c r="AQ59" s="1" t="n">
        <f aca="false">IF(AND(Slot3_On=1,Slot3_Age&gt;D59),1,0)</f>
        <v>0</v>
      </c>
      <c r="AR59" s="1" t="n">
        <f aca="false">HN58</f>
        <v>0</v>
      </c>
      <c r="AS59" s="1" t="n">
        <f aca="false">AP59*MIN(Slot3_Cost,AR59)</f>
        <v>0</v>
      </c>
      <c r="AT59" s="1" t="n">
        <f aca="false">AP59*Slot3_SpendLike*MIN(Slot3_Cost-AS59,AL59)</f>
        <v>0</v>
      </c>
      <c r="AU59" s="1" t="n">
        <f aca="false">AS59+AT59</f>
        <v>0</v>
      </c>
      <c r="AV59" s="1" t="n">
        <f aca="false">AL59-AT59+AP59*IF(Slot3_SpendLike=1,AR59-AS59,IF(Slot3_PotFree=1,AR59,0))</f>
        <v>0</v>
      </c>
      <c r="AW59" s="1" t="n">
        <f aca="false">AM59+AP59*Slot3_BufPot*AR59</f>
        <v>0</v>
      </c>
      <c r="AX59" s="1" t="n">
        <f aca="false">IF(AND(AP59=1,Slot3_IsMfree=1),IF(AU59&gt;=Slot3_Cost-1,0,MAX(0,AN59-AU59)),AN59)</f>
        <v>0</v>
      </c>
      <c r="AY59" s="1" t="n">
        <f aca="false">AP59*(Slot3_Cost-AU59)</f>
        <v>0</v>
      </c>
      <c r="AZ59" s="1" t="n">
        <f aca="false">IF(AND(Slot4_On=1,D59=Slot4_Age),1,0)</f>
        <v>0</v>
      </c>
      <c r="BA59" s="1" t="n">
        <f aca="false">IF(AND(Slot4_On=1,Slot4_Age&gt;D59),1,0)</f>
        <v>0</v>
      </c>
      <c r="BB59" s="1" t="n">
        <f aca="false">HR58</f>
        <v>0</v>
      </c>
      <c r="BC59" s="1" t="n">
        <f aca="false">AZ59*MIN(Slot4_Cost,BB59)</f>
        <v>0</v>
      </c>
      <c r="BD59" s="1" t="n">
        <f aca="false">AZ59*Slot4_SpendLike*MIN(Slot4_Cost-BC59,AV59)</f>
        <v>0</v>
      </c>
      <c r="BE59" s="1" t="n">
        <f aca="false">BC59+BD59</f>
        <v>0</v>
      </c>
      <c r="BF59" s="1" t="n">
        <f aca="false">AV59-BD59+AZ59*IF(Slot4_SpendLike=1,BB59-BC59,IF(Slot4_PotFree=1,BB59,0))</f>
        <v>0</v>
      </c>
      <c r="BG59" s="1" t="n">
        <f aca="false">AW59+AZ59*Slot4_BufPot*BB59</f>
        <v>0</v>
      </c>
      <c r="BH59" s="1" t="n">
        <f aca="false">IF(AND(AZ59=1,Slot4_IsMfree=1),IF(BE59&gt;=Slot4_Cost-1,0,MAX(0,AX59-BE59)),AX59)</f>
        <v>0</v>
      </c>
      <c r="BI59" s="1" t="n">
        <f aca="false">AZ59*(Slot4_Cost-BE59)</f>
        <v>0</v>
      </c>
      <c r="BJ59" s="1" t="n">
        <f aca="false">IF(AND(Slot5_On=1,D59=Slot5_Age),1,0)</f>
        <v>0</v>
      </c>
      <c r="BK59" s="1" t="n">
        <f aca="false">IF(AND(Slot5_On=1,Slot5_Age&gt;D59),1,0)</f>
        <v>0</v>
      </c>
      <c r="BL59" s="1" t="n">
        <f aca="false">HV58</f>
        <v>0</v>
      </c>
      <c r="BM59" s="1" t="n">
        <f aca="false">BJ59*MIN(Slot5_Cost,BL59)</f>
        <v>0</v>
      </c>
      <c r="BN59" s="1" t="n">
        <f aca="false">BJ59*Slot5_SpendLike*MIN(Slot5_Cost-BM59,BF59)</f>
        <v>0</v>
      </c>
      <c r="BO59" s="1" t="n">
        <f aca="false">BM59+BN59</f>
        <v>0</v>
      </c>
      <c r="BP59" s="1" t="n">
        <f aca="false">BF59-BN59+BJ59*IF(Slot5_SpendLike=1,BL59-BM59,IF(Slot5_PotFree=1,BL59,0))</f>
        <v>0</v>
      </c>
      <c r="BQ59" s="1" t="n">
        <f aca="false">BG59+BJ59*Slot5_BufPot*BL59</f>
        <v>0</v>
      </c>
      <c r="BR59" s="1" t="n">
        <f aca="false">IF(AND(BJ59=1,Slot5_IsMfree=1),IF(BO59&gt;=Slot5_Cost-1,0,MAX(0,BH59-BO59)),BH59)</f>
        <v>0</v>
      </c>
      <c r="BS59" s="1" t="n">
        <f aca="false">BJ59*(Slot5_Cost-BO59)</f>
        <v>0</v>
      </c>
      <c r="BT59" s="1" t="n">
        <f aca="false">IF(AND(Slot6_On=1,D59=Slot6_Age),1,0)</f>
        <v>0</v>
      </c>
      <c r="BU59" s="1" t="n">
        <f aca="false">IF(AND(Slot6_On=1,Slot6_Age&gt;D59),1,0)</f>
        <v>0</v>
      </c>
      <c r="BV59" s="1" t="n">
        <f aca="false">HZ58</f>
        <v>0</v>
      </c>
      <c r="BW59" s="1" t="n">
        <f aca="false">BT59*MIN(Slot6_Cost,BV59)</f>
        <v>0</v>
      </c>
      <c r="BX59" s="1" t="n">
        <f aca="false">BT59*Slot6_SpendLike*MIN(Slot6_Cost-BW59,BP59)</f>
        <v>0</v>
      </c>
      <c r="BY59" s="1" t="n">
        <f aca="false">BW59+BX59</f>
        <v>0</v>
      </c>
      <c r="BZ59" s="1" t="n">
        <f aca="false">BP59-BX59+BT59*IF(Slot6_SpendLike=1,BV59-BW59,IF(Slot6_PotFree=1,BV59,0))</f>
        <v>0</v>
      </c>
      <c r="CA59" s="1" t="n">
        <f aca="false">BQ59+BT59*Slot6_BufPot*BV59</f>
        <v>0</v>
      </c>
      <c r="CB59" s="1" t="n">
        <f aca="false">IF(AND(BT59=1,Slot6_IsMfree=1),IF(BY59&gt;=Slot6_Cost-1,0,MAX(0,BR59-BY59)),BR59)</f>
        <v>0</v>
      </c>
      <c r="CC59" s="1" t="n">
        <f aca="false">BT59*(Slot6_Cost-BY59)</f>
        <v>0</v>
      </c>
      <c r="CD59" s="1" t="n">
        <f aca="false">IF(AND(Slot7_On=1,D59=Slot7_Age),1,0)</f>
        <v>0</v>
      </c>
      <c r="CE59" s="1" t="n">
        <f aca="false">IF(AND(Slot7_On=1,Slot7_Age&gt;D59),1,0)</f>
        <v>0</v>
      </c>
      <c r="CF59" s="1" t="n">
        <f aca="false">ID58</f>
        <v>0</v>
      </c>
      <c r="CG59" s="1" t="n">
        <f aca="false">CD59*MIN(Slot7_Cost,CF59)</f>
        <v>0</v>
      </c>
      <c r="CH59" s="1" t="n">
        <f aca="false">CD59*Slot7_SpendLike*MIN(Slot7_Cost-CG59,BZ59)</f>
        <v>0</v>
      </c>
      <c r="CI59" s="1" t="n">
        <f aca="false">CG59+CH59</f>
        <v>0</v>
      </c>
      <c r="CJ59" s="1" t="n">
        <f aca="false">BZ59-CH59+CD59*IF(Slot7_SpendLike=1,CF59-CG59,IF(Slot7_PotFree=1,CF59,0))</f>
        <v>0</v>
      </c>
      <c r="CK59" s="1" t="n">
        <f aca="false">CA59+CD59*Slot7_BufPot*CF59</f>
        <v>0</v>
      </c>
      <c r="CL59" s="1" t="n">
        <f aca="false">IF(AND(CD59=1,Slot7_IsMfree=1),IF(CI59&gt;=Slot7_Cost-1,0,MAX(0,CB59-CI59)),CB59)</f>
        <v>0</v>
      </c>
      <c r="CM59" s="1" t="n">
        <f aca="false">CD59*(Slot7_Cost-CI59)</f>
        <v>0</v>
      </c>
      <c r="CN59" s="1" t="n">
        <f aca="false">IF(AND(Slot8_On=1,D59=Slot8_Age),1,0)</f>
        <v>0</v>
      </c>
      <c r="CO59" s="1" t="n">
        <f aca="false">IF(AND(Slot8_On=1,Slot8_Age&gt;D59),1,0)</f>
        <v>0</v>
      </c>
      <c r="CP59" s="1" t="n">
        <f aca="false">IH58</f>
        <v>0</v>
      </c>
      <c r="CQ59" s="1" t="n">
        <f aca="false">CN59*MIN(Slot8_Cost,CP59)</f>
        <v>0</v>
      </c>
      <c r="CR59" s="1" t="n">
        <f aca="false">CN59*Slot8_SpendLike*MIN(Slot8_Cost-CQ59,CJ59)</f>
        <v>0</v>
      </c>
      <c r="CS59" s="1" t="n">
        <f aca="false">CQ59+CR59</f>
        <v>0</v>
      </c>
      <c r="CT59" s="1" t="n">
        <f aca="false">CJ59-CR59+CN59*IF(Slot8_SpendLike=1,CP59-CQ59,IF(Slot8_PotFree=1,CP59,0))</f>
        <v>0</v>
      </c>
      <c r="CU59" s="1" t="n">
        <f aca="false">CK59+CN59*Slot8_BufPot*CP59</f>
        <v>0</v>
      </c>
      <c r="CV59" s="1" t="n">
        <f aca="false">IF(AND(CN59=1,Slot8_IsMfree=1),IF(CS59&gt;=Slot8_Cost-1,0,MAX(0,CL59-CS59)),CL59)</f>
        <v>0</v>
      </c>
      <c r="CW59" s="1" t="n">
        <f aca="false">CN59*(Slot8_Cost-CS59)</f>
        <v>0</v>
      </c>
      <c r="CX59" s="1" t="n">
        <f aca="false">U59*Slot1_SpendLike*Z59+AF59*Slot2_SpendLike*AK59+AP59*Slot3_SpendLike*AU59+AZ59*Slot4_SpendLike*BE59+BJ59*Slot5_SpendLike*BO59+BT59*Slot6_SpendLike*BY59+CD59*Slot7_SpendLike*CI59+CN59*Slot8_SpendLike*CS59</f>
        <v>0</v>
      </c>
      <c r="CY59" s="1" t="n">
        <f aca="false">AD59+AO59+AY59+BI59+BS59+CC59+CM59+CW59</f>
        <v>0</v>
      </c>
      <c r="CZ59" s="1" t="n">
        <f aca="false">U59*Slot1_Cost+AF59*Slot2_Cost+AP59*Slot3_Cost+AZ59*Slot4_Cost+BJ59*Slot5_Cost+BT59*Slot6_Cost+CD59*Slot7_Cost+CN59*Slot8_Cost</f>
        <v>0</v>
      </c>
      <c r="DA59" s="1" t="n">
        <f aca="false">CV59</f>
        <v>0</v>
      </c>
      <c r="DB59" s="1" t="n">
        <f aca="false">G59-H59-R59</f>
        <v>0</v>
      </c>
      <c r="DC59" s="1" t="n">
        <f aca="false">IF(B59=0,IF(AND(Has_q6=1,In_q6=4),PR_ShareVaries*(MAX(0,DB59)/12),MIN(IF(Has_q6=1,CHOOSE(In_q6+1,PR_SaveB1,PR_SaveB2,PR_SaveB3,PR_SaveB4,0),AS_NoAnswer),AS_SaveShare*(MAX(0,DB59)/12))),DC58)</f>
        <v>0</v>
      </c>
      <c r="DD59" s="1" t="n">
        <f aca="false">IF(DB59&gt;=0,1,0)</f>
        <v>1</v>
      </c>
      <c r="DE59" s="1" t="n">
        <f aca="false">MAX(0,DB59/12/E59)</f>
        <v>0</v>
      </c>
      <c r="DF59" s="1" t="n">
        <f aca="false">IF(AND(Has_q6=1,In_q6=4),PR_ShareVaries*(DE59),MIN(IF(Has_q6=1,CHOOSE(In_q6+1,PR_SaveB1,PR_SaveB2,PR_SaveB3,PR_SaveB4,0),AS_NoAnswer),AS_SaveShare*(DE59)))</f>
        <v>0</v>
      </c>
      <c r="DG59" s="1" t="n">
        <f aca="false">IF(Has_saveM=1,IF(In_saveUp="Yes",1,IF(In_saveUp="No",0,IF(In_saveM&gt;=DC59-0.5,1,0))),0)</f>
        <v>0</v>
      </c>
      <c r="DH59" s="1" t="n">
        <f aca="false">IF(Has_saveM=1,MIN(DE59,IF(DG59=1,MAX(In_saveM,DF59),MIN(In_saveM,DF59))),DF59)</f>
        <v>0</v>
      </c>
      <c r="DI59" s="1" t="n">
        <f aca="false">IF(F59=1,DH59*12*E59,0)</f>
        <v>0</v>
      </c>
      <c r="DJ59" s="1" t="n">
        <f aca="false">MAX(0,DI59+IF(AND(WI_Retire=0,WI_M&lt;0,F59=1),WI_M*12*E59,0))</f>
        <v>0</v>
      </c>
      <c r="DK59" s="1" t="n">
        <f aca="false">Slot1_IsWG*V59+Slot2_IsWG*AG59+Slot3_IsWG*AQ59+Slot4_IsWG*BA59+Slot5_IsWG*BK59+Slot6_IsWG*BU59+Slot7_IsWG*CE59+Slot8_IsWG*CO59</f>
        <v>0</v>
      </c>
      <c r="DL59" s="1" t="n">
        <f aca="false">IF(AND(WI_Retire=0,WI_M&gt;0,F59=1,DK59&gt;=1),WI_M*12*E59,0)</f>
        <v>0</v>
      </c>
      <c r="DM59" s="1" t="n">
        <f aca="false">IF(DD59=1,MIN(DJ59,DB59),0)</f>
        <v>0</v>
      </c>
      <c r="DN59" s="1" t="n">
        <f aca="false">IF(DD59=1,MIN(DL59,DB59-DM59),0)</f>
        <v>0</v>
      </c>
      <c r="DO59" s="1" t="n">
        <f aca="false">IF(V59=1,IF(ABS((1+AS_Wage)/(1+Slot1_Rate)-1)&lt;0.000000000001,(Slot1_Age-D59)*(1+Slot1_Rate)^(Slot1_Age-D59),(1+Slot1_Rate)^(Slot1_Age-D59)*(1-((1+AS_Wage)/(1+Slot1_Rate))^(Slot1_Age-D59))/(1-(1+AS_Wage)/(1+Slot1_Rate))),1)</f>
        <v>1</v>
      </c>
      <c r="DP59" s="1" t="n">
        <f aca="false">IF(AND(DD59=1,DN59&gt;0,Slot1_IsWG=1,V59=1),MAX(0,(Slot1_Cost-W59*(1+Slot1_Rate)^(Slot1_Age-D59))/DO59),0)</f>
        <v>0</v>
      </c>
      <c r="DQ59" s="1" t="n">
        <f aca="false">IF(AND(DD59=1,DN59&gt;0,Slot1_IsWG=1,V59=1),MIN(DN59,DP59),0)</f>
        <v>0</v>
      </c>
      <c r="DR59" s="1" t="n">
        <f aca="false">W59+DQ59</f>
        <v>0</v>
      </c>
      <c r="DS59" s="1" t="n">
        <f aca="false">IF(V59=1,MAX(0,(Slot1_Cost-DR59*(1+Slot1_Rate)^(Slot1_Age-D59))/DO59),0)</f>
        <v>0</v>
      </c>
      <c r="DT59" s="1" t="n">
        <f aca="false">IF(V59=1,MAX(0,(Slot1_Cost-W59*(1+Slot1_Rate)^(Slot1_Age-D59))/DO59),0)</f>
        <v>0</v>
      </c>
      <c r="DU59" s="1" t="n">
        <f aca="false">IF(AND(DD59=1,V59=1),MIN(DM59,DS59),0)</f>
        <v>0</v>
      </c>
      <c r="DV59" s="1" t="n">
        <f aca="false">DM59-DU59</f>
        <v>0</v>
      </c>
      <c r="DW59" s="1" t="n">
        <f aca="false">IF(AG59=1,IF(ABS((1+AS_Wage)/(1+Slot2_Rate)-1)&lt;0.000000000001,(Slot2_Age-D59)*(1+Slot2_Rate)^(Slot2_Age-D59),(1+Slot2_Rate)^(Slot2_Age-D59)*(1-((1+AS_Wage)/(1+Slot2_Rate))^(Slot2_Age-D59))/(1-(1+AS_Wage)/(1+Slot2_Rate))),1)</f>
        <v>1</v>
      </c>
      <c r="DX59" s="1" t="n">
        <f aca="false">IF(AND(DD59=1,DN59&gt;0,Slot2_IsWG=1,AG59=1),MAX(0,(Slot2_Cost-AH59*(1+Slot2_Rate)^(Slot2_Age-D59))/DW59),0)</f>
        <v>0</v>
      </c>
      <c r="DY59" s="1" t="n">
        <f aca="false">IF(AND(DD59=1,DN59&gt;0,Slot2_IsWG=1,AG59=1),MIN(DN59,DX59),0)</f>
        <v>0</v>
      </c>
      <c r="DZ59" s="1" t="n">
        <f aca="false">AH59+DY59</f>
        <v>0</v>
      </c>
      <c r="EA59" s="1" t="n">
        <f aca="false">IF(AG59=1,MAX(0,(Slot2_Cost-DZ59*(1+Slot2_Rate)^(Slot2_Age-D59))/DW59),0)</f>
        <v>0</v>
      </c>
      <c r="EB59" s="1" t="n">
        <f aca="false">IF(AG59=1,MAX(0,(Slot2_Cost-AH59*(1+Slot2_Rate)^(Slot2_Age-D59))/DW59),0)</f>
        <v>0</v>
      </c>
      <c r="EC59" s="1" t="n">
        <f aca="false">IF(AND(DD59=1,AG59=1),MIN(DV59,EA59),0)</f>
        <v>0</v>
      </c>
      <c r="ED59" s="1" t="n">
        <f aca="false">DV59-EC59</f>
        <v>0</v>
      </c>
      <c r="EE59" s="1" t="n">
        <f aca="false">IF(AQ59=1,IF(ABS((1+AS_Wage)/(1+Slot3_Rate)-1)&lt;0.000000000001,(Slot3_Age-D59)*(1+Slot3_Rate)^(Slot3_Age-D59),(1+Slot3_Rate)^(Slot3_Age-D59)*(1-((1+AS_Wage)/(1+Slot3_Rate))^(Slot3_Age-D59))/(1-(1+AS_Wage)/(1+Slot3_Rate))),1)</f>
        <v>1</v>
      </c>
      <c r="EF59" s="1" t="n">
        <f aca="false">IF(AND(DD59=1,DN59&gt;0,Slot3_IsWG=1,AQ59=1),MAX(0,(Slot3_Cost-AR59*(1+Slot3_Rate)^(Slot3_Age-D59))/EE59),0)</f>
        <v>0</v>
      </c>
      <c r="EG59" s="1" t="n">
        <f aca="false">IF(AND(DD59=1,DN59&gt;0,Slot3_IsWG=1,AQ59=1),MIN(DN59,EF59),0)</f>
        <v>0</v>
      </c>
      <c r="EH59" s="1" t="n">
        <f aca="false">AR59+EG59</f>
        <v>0</v>
      </c>
      <c r="EI59" s="1" t="n">
        <f aca="false">IF(AQ59=1,MAX(0,(Slot3_Cost-EH59*(1+Slot3_Rate)^(Slot3_Age-D59))/EE59),0)</f>
        <v>0</v>
      </c>
      <c r="EJ59" s="1" t="n">
        <f aca="false">IF(AQ59=1,MAX(0,(Slot3_Cost-AR59*(1+Slot3_Rate)^(Slot3_Age-D59))/EE59),0)</f>
        <v>0</v>
      </c>
      <c r="EK59" s="1" t="n">
        <f aca="false">IF(AND(DD59=1,AQ59=1),MIN(ED59,EI59),0)</f>
        <v>0</v>
      </c>
      <c r="EL59" s="1" t="n">
        <f aca="false">ED59-EK59</f>
        <v>0</v>
      </c>
      <c r="EM59" s="1" t="n">
        <f aca="false">IF(BA59=1,IF(ABS((1+AS_Wage)/(1+Slot4_Rate)-1)&lt;0.000000000001,(Slot4_Age-D59)*(1+Slot4_Rate)^(Slot4_Age-D59),(1+Slot4_Rate)^(Slot4_Age-D59)*(1-((1+AS_Wage)/(1+Slot4_Rate))^(Slot4_Age-D59))/(1-(1+AS_Wage)/(1+Slot4_Rate))),1)</f>
        <v>1</v>
      </c>
      <c r="EN59" s="1" t="n">
        <f aca="false">IF(AND(DD59=1,DN59&gt;0,Slot4_IsWG=1,BA59=1),MAX(0,(Slot4_Cost-BB59*(1+Slot4_Rate)^(Slot4_Age-D59))/EM59),0)</f>
        <v>0</v>
      </c>
      <c r="EO59" s="1" t="n">
        <f aca="false">IF(AND(DD59=1,DN59&gt;0,Slot4_IsWG=1,BA59=1),MIN(DN59,EN59),0)</f>
        <v>0</v>
      </c>
      <c r="EP59" s="1" t="n">
        <f aca="false">BB59+EO59</f>
        <v>0</v>
      </c>
      <c r="EQ59" s="1" t="n">
        <f aca="false">IF(BA59=1,MAX(0,(Slot4_Cost-EP59*(1+Slot4_Rate)^(Slot4_Age-D59))/EM59),0)</f>
        <v>0</v>
      </c>
      <c r="ER59" s="1" t="n">
        <f aca="false">IF(BA59=1,MAX(0,(Slot4_Cost-BB59*(1+Slot4_Rate)^(Slot4_Age-D59))/EM59),0)</f>
        <v>0</v>
      </c>
      <c r="ES59" s="1" t="n">
        <f aca="false">IF(AND(DD59=1,BA59=1),MIN(EL59,EQ59),0)</f>
        <v>0</v>
      </c>
      <c r="ET59" s="1" t="n">
        <f aca="false">EL59-ES59</f>
        <v>0</v>
      </c>
      <c r="EU59" s="1" t="n">
        <f aca="false">IF(BK59=1,IF(ABS((1+AS_Wage)/(1+Slot5_Rate)-1)&lt;0.000000000001,(Slot5_Age-D59)*(1+Slot5_Rate)^(Slot5_Age-D59),(1+Slot5_Rate)^(Slot5_Age-D59)*(1-((1+AS_Wage)/(1+Slot5_Rate))^(Slot5_Age-D59))/(1-(1+AS_Wage)/(1+Slot5_Rate))),1)</f>
        <v>1</v>
      </c>
      <c r="EV59" s="1" t="n">
        <f aca="false">IF(AND(DD59=1,DN59&gt;0,Slot5_IsWG=1,BK59=1),MAX(0,(Slot5_Cost-BL59*(1+Slot5_Rate)^(Slot5_Age-D59))/EU59),0)</f>
        <v>0</v>
      </c>
      <c r="EW59" s="1" t="n">
        <f aca="false">IF(AND(DD59=1,DN59&gt;0,Slot5_IsWG=1,BK59=1),MIN(DN59,EV59),0)</f>
        <v>0</v>
      </c>
      <c r="EX59" s="1" t="n">
        <f aca="false">BL59+EW59</f>
        <v>0</v>
      </c>
      <c r="EY59" s="1" t="n">
        <f aca="false">IF(BK59=1,MAX(0,(Slot5_Cost-EX59*(1+Slot5_Rate)^(Slot5_Age-D59))/EU59),0)</f>
        <v>0</v>
      </c>
      <c r="EZ59" s="1" t="n">
        <f aca="false">IF(BK59=1,MAX(0,(Slot5_Cost-BL59*(1+Slot5_Rate)^(Slot5_Age-D59))/EU59),0)</f>
        <v>0</v>
      </c>
      <c r="FA59" s="1" t="n">
        <f aca="false">IF(AND(DD59=1,BK59=1),MIN(ET59,EY59),0)</f>
        <v>0</v>
      </c>
      <c r="FB59" s="1" t="n">
        <f aca="false">ET59-FA59</f>
        <v>0</v>
      </c>
      <c r="FC59" s="1" t="n">
        <f aca="false">IF(BU59=1,IF(ABS((1+AS_Wage)/(1+Slot6_Rate)-1)&lt;0.000000000001,(Slot6_Age-D59)*(1+Slot6_Rate)^(Slot6_Age-D59),(1+Slot6_Rate)^(Slot6_Age-D59)*(1-((1+AS_Wage)/(1+Slot6_Rate))^(Slot6_Age-D59))/(1-(1+AS_Wage)/(1+Slot6_Rate))),1)</f>
        <v>1</v>
      </c>
      <c r="FD59" s="1" t="n">
        <f aca="false">IF(AND(DD59=1,DN59&gt;0,Slot6_IsWG=1,BU59=1),MAX(0,(Slot6_Cost-BV59*(1+Slot6_Rate)^(Slot6_Age-D59))/FC59),0)</f>
        <v>0</v>
      </c>
      <c r="FE59" s="1" t="n">
        <f aca="false">IF(AND(DD59=1,DN59&gt;0,Slot6_IsWG=1,BU59=1),MIN(DN59,FD59),0)</f>
        <v>0</v>
      </c>
      <c r="FF59" s="1" t="n">
        <f aca="false">BV59+FE59</f>
        <v>0</v>
      </c>
      <c r="FG59" s="1" t="n">
        <f aca="false">IF(BU59=1,MAX(0,(Slot6_Cost-FF59*(1+Slot6_Rate)^(Slot6_Age-D59))/FC59),0)</f>
        <v>0</v>
      </c>
      <c r="FH59" s="1" t="n">
        <f aca="false">IF(BU59=1,MAX(0,(Slot6_Cost-BV59*(1+Slot6_Rate)^(Slot6_Age-D59))/FC59),0)</f>
        <v>0</v>
      </c>
      <c r="FI59" s="1" t="n">
        <f aca="false">IF(AND(DD59=1,BU59=1),MIN(FB59,FG59),0)</f>
        <v>0</v>
      </c>
      <c r="FJ59" s="1" t="n">
        <f aca="false">FB59-FI59</f>
        <v>0</v>
      </c>
      <c r="FK59" s="1" t="n">
        <f aca="false">IF(CE59=1,IF(ABS((1+AS_Wage)/(1+Slot7_Rate)-1)&lt;0.000000000001,(Slot7_Age-D59)*(1+Slot7_Rate)^(Slot7_Age-D59),(1+Slot7_Rate)^(Slot7_Age-D59)*(1-((1+AS_Wage)/(1+Slot7_Rate))^(Slot7_Age-D59))/(1-(1+AS_Wage)/(1+Slot7_Rate))),1)</f>
        <v>1</v>
      </c>
      <c r="FL59" s="1" t="n">
        <f aca="false">IF(AND(DD59=1,DN59&gt;0,Slot7_IsWG=1,CE59=1),MAX(0,(Slot7_Cost-CF59*(1+Slot7_Rate)^(Slot7_Age-D59))/FK59),0)</f>
        <v>0</v>
      </c>
      <c r="FM59" s="1" t="n">
        <f aca="false">IF(AND(DD59=1,DN59&gt;0,Slot7_IsWG=1,CE59=1),MIN(DN59,FL59),0)</f>
        <v>0</v>
      </c>
      <c r="FN59" s="1" t="n">
        <f aca="false">CF59+FM59</f>
        <v>0</v>
      </c>
      <c r="FO59" s="1" t="n">
        <f aca="false">IF(CE59=1,MAX(0,(Slot7_Cost-FN59*(1+Slot7_Rate)^(Slot7_Age-D59))/FK59),0)</f>
        <v>0</v>
      </c>
      <c r="FP59" s="1" t="n">
        <f aca="false">IF(CE59=1,MAX(0,(Slot7_Cost-CF59*(1+Slot7_Rate)^(Slot7_Age-D59))/FK59),0)</f>
        <v>0</v>
      </c>
      <c r="FQ59" s="1" t="n">
        <f aca="false">IF(AND(DD59=1,CE59=1),MIN(FJ59,FO59),0)</f>
        <v>0</v>
      </c>
      <c r="FR59" s="1" t="n">
        <f aca="false">FJ59-FQ59</f>
        <v>0</v>
      </c>
      <c r="FS59" s="1" t="n">
        <f aca="false">IF(CO59=1,IF(ABS((1+AS_Wage)/(1+Slot8_Rate)-1)&lt;0.000000000001,(Slot8_Age-D59)*(1+Slot8_Rate)^(Slot8_Age-D59),(1+Slot8_Rate)^(Slot8_Age-D59)*(1-((1+AS_Wage)/(1+Slot8_Rate))^(Slot8_Age-D59))/(1-(1+AS_Wage)/(1+Slot8_Rate))),1)</f>
        <v>1</v>
      </c>
      <c r="FT59" s="1" t="n">
        <f aca="false">IF(AND(DD59=1,DN59&gt;0,Slot8_IsWG=1,CO59=1),MAX(0,(Slot8_Cost-CP59*(1+Slot8_Rate)^(Slot8_Age-D59))/FS59),0)</f>
        <v>0</v>
      </c>
      <c r="FU59" s="1" t="n">
        <f aca="false">IF(AND(DD59=1,DN59&gt;0,Slot8_IsWG=1,CO59=1),MIN(DN59,FT59),0)</f>
        <v>0</v>
      </c>
      <c r="FV59" s="1" t="n">
        <f aca="false">CP59+FU59</f>
        <v>0</v>
      </c>
      <c r="FW59" s="1" t="n">
        <f aca="false">IF(CO59=1,MAX(0,(Slot8_Cost-FV59*(1+Slot8_Rate)^(Slot8_Age-D59))/FS59),0)</f>
        <v>0</v>
      </c>
      <c r="FX59" s="1" t="n">
        <f aca="false">IF(CO59=1,MAX(0,(Slot8_Cost-CP59*(1+Slot8_Rate)^(Slot8_Age-D59))/FS59),0)</f>
        <v>0</v>
      </c>
      <c r="FY59" s="1" t="n">
        <f aca="false">IF(AND(DD59=1,CO59=1),MIN(FR59,FW59),0)</f>
        <v>0</v>
      </c>
      <c r="FZ59" s="1" t="n">
        <f aca="false">FR59-FY59</f>
        <v>0</v>
      </c>
      <c r="GA59" s="1" t="n">
        <f aca="false">DN59-(DQ59+DY59+EG59+EO59+EW59+FE59+FM59+FU59)</f>
        <v>0</v>
      </c>
      <c r="GB59" s="1" t="n">
        <f aca="false">IF(DD59=1,DB59-DM59-DN59,0)</f>
        <v>0</v>
      </c>
      <c r="GC59" s="1" t="n">
        <f aca="false">IF(DD59=0,-DB59,0)</f>
        <v>0</v>
      </c>
      <c r="GD59" s="1" t="n">
        <f aca="false">MIN(GC59,CT59)</f>
        <v>0</v>
      </c>
      <c r="GE59" s="1" t="n">
        <f aca="false">GC59-GD59</f>
        <v>0</v>
      </c>
      <c r="GF59" s="1" t="n">
        <f aca="false">MIN(GE59,CU59)</f>
        <v>0</v>
      </c>
      <c r="GG59" s="1" t="n">
        <f aca="false">GE59-GF59</f>
        <v>0</v>
      </c>
      <c r="GH59" s="1" t="n">
        <f aca="false">IF(AND(DD59=0,CO59=1,GG59&gt;0),MIN(GG59,CP59),0)</f>
        <v>0</v>
      </c>
      <c r="GI59" s="1" t="n">
        <f aca="false">GG59-GH59</f>
        <v>0</v>
      </c>
      <c r="GJ59" s="1" t="n">
        <f aca="false">IF(AND(DD59=0,CE59=1,GI59&gt;0),MIN(GI59,CF59),0)</f>
        <v>0</v>
      </c>
      <c r="GK59" s="1" t="n">
        <f aca="false">GI59-GJ59</f>
        <v>0</v>
      </c>
      <c r="GL59" s="1" t="n">
        <f aca="false">IF(AND(DD59=0,BU59=1,GK59&gt;0),MIN(GK59,BV59),0)</f>
        <v>0</v>
      </c>
      <c r="GM59" s="1" t="n">
        <f aca="false">GK59-GL59</f>
        <v>0</v>
      </c>
      <c r="GN59" s="1" t="n">
        <f aca="false">IF(AND(DD59=0,BK59=1,GM59&gt;0),MIN(GM59,BL59),0)</f>
        <v>0</v>
      </c>
      <c r="GO59" s="1" t="n">
        <f aca="false">GM59-GN59</f>
        <v>0</v>
      </c>
      <c r="GP59" s="1" t="n">
        <f aca="false">IF(AND(DD59=0,BA59=1,GO59&gt;0),MIN(GO59,BB59),0)</f>
        <v>0</v>
      </c>
      <c r="GQ59" s="1" t="n">
        <f aca="false">GO59-GP59</f>
        <v>0</v>
      </c>
      <c r="GR59" s="1" t="n">
        <f aca="false">IF(AND(DD59=0,AQ59=1,GQ59&gt;0),MIN(GQ59,AR59),0)</f>
        <v>0</v>
      </c>
      <c r="GS59" s="1" t="n">
        <f aca="false">GQ59-GR59</f>
        <v>0</v>
      </c>
      <c r="GT59" s="1" t="n">
        <f aca="false">IF(AND(DD59=0,AG59=1,GS59&gt;0),MIN(GS59,AH59),0)</f>
        <v>0</v>
      </c>
      <c r="GU59" s="1" t="n">
        <f aca="false">GS59-GT59</f>
        <v>0</v>
      </c>
      <c r="GV59" s="1" t="n">
        <f aca="false">IF(AND(DD59=0,V59=1,GU59&gt;0),MIN(GU59,W59),0)</f>
        <v>0</v>
      </c>
      <c r="GW59" s="1" t="n">
        <f aca="false">GU59-GV59</f>
        <v>0</v>
      </c>
      <c r="GX59" s="1" t="n">
        <f aca="false">IF(DD59=0,GW59,0)</f>
        <v>0</v>
      </c>
      <c r="GY59" s="1" t="n">
        <f aca="false">GD59+GF59+GV59+GT59+GR59+GP59+GN59+GL59+GJ59+GH59</f>
        <v>0</v>
      </c>
      <c r="GZ59" s="1" t="n">
        <f aca="false">IF(DD59=1,CT59+GA59+FZ59+IF(F59=1,0,GB59),CT59-GD59)</f>
        <v>0</v>
      </c>
      <c r="HA59" s="1" t="n">
        <f aca="false">CU59-GF59</f>
        <v>0</v>
      </c>
      <c r="HB59" s="1" t="n">
        <f aca="false">IF(DD59=1,IF(F59=1,DM59+DN59,DB59),0)</f>
        <v>0</v>
      </c>
      <c r="HC59" s="1" t="n">
        <f aca="false">IF(DD59=1,IF(F59=1,DB59-DM59-DN59,0),0)</f>
        <v>0</v>
      </c>
      <c r="HD59" s="1" t="n">
        <f aca="false">GZ59*(1+GR)</f>
        <v>0</v>
      </c>
      <c r="HE59" s="1" t="n">
        <f aca="false">HA59*(1+AS_Cash)</f>
        <v>0</v>
      </c>
      <c r="HF59" s="1" t="n">
        <f aca="false">IF(V59=1,IF(DD59=1,DR59+DU59,W59-GV59)*(1+Slot1_Rate),0)</f>
        <v>0</v>
      </c>
      <c r="HG59" s="1" t="n">
        <f aca="false">IF(AND(DD59=1,V59=1),(DQ59+DU59)/E59,0)</f>
        <v>0</v>
      </c>
      <c r="HH59" s="1" t="n">
        <f aca="false">IF(B59=0,DQ59+DU59,0)</f>
        <v>0</v>
      </c>
      <c r="HI59" s="1" t="n">
        <f aca="false">IF(B59=0,IF(DD59=1,DS59,DT59),0)</f>
        <v>0</v>
      </c>
      <c r="HJ59" s="1" t="n">
        <f aca="false">IF(AG59=1,IF(DD59=1,DZ59+EC59,AH59-GT59)*(1+Slot2_Rate),0)</f>
        <v>0</v>
      </c>
      <c r="HK59" s="1" t="n">
        <f aca="false">IF(AND(DD59=1,AG59=1),(DY59+EC59)/E59,0)</f>
        <v>0</v>
      </c>
      <c r="HL59" s="1" t="n">
        <f aca="false">IF(B59=0,DY59+EC59,0)</f>
        <v>0</v>
      </c>
      <c r="HM59" s="1" t="n">
        <f aca="false">IF(B59=0,IF(DD59=1,EA59,EB59),0)</f>
        <v>0</v>
      </c>
      <c r="HN59" s="1" t="n">
        <f aca="false">IF(AQ59=1,IF(DD59=1,EH59+EK59,AR59-GR59)*(1+Slot3_Rate),0)</f>
        <v>0</v>
      </c>
      <c r="HO59" s="1" t="n">
        <f aca="false">IF(AND(DD59=1,AQ59=1),(EG59+EK59)/E59,0)</f>
        <v>0</v>
      </c>
      <c r="HP59" s="1" t="n">
        <f aca="false">IF(B59=0,EG59+EK59,0)</f>
        <v>0</v>
      </c>
      <c r="HQ59" s="1" t="n">
        <f aca="false">IF(B59=0,IF(DD59=1,EI59,EJ59),0)</f>
        <v>0</v>
      </c>
      <c r="HR59" s="1" t="n">
        <f aca="false">IF(BA59=1,IF(DD59=1,EP59+ES59,BB59-GP59)*(1+Slot4_Rate),0)</f>
        <v>0</v>
      </c>
      <c r="HS59" s="1" t="n">
        <f aca="false">IF(AND(DD59=1,BA59=1),(EO59+ES59)/E59,0)</f>
        <v>0</v>
      </c>
      <c r="HT59" s="1" t="n">
        <f aca="false">IF(B59=0,EO59+ES59,0)</f>
        <v>0</v>
      </c>
      <c r="HU59" s="1" t="n">
        <f aca="false">IF(B59=0,IF(DD59=1,EQ59,ER59),0)</f>
        <v>0</v>
      </c>
      <c r="HV59" s="1" t="n">
        <f aca="false">IF(BK59=1,IF(DD59=1,EX59+FA59,BL59-GN59)*(1+Slot5_Rate),0)</f>
        <v>0</v>
      </c>
      <c r="HW59" s="1" t="n">
        <f aca="false">IF(AND(DD59=1,BK59=1),(EW59+FA59)/E59,0)</f>
        <v>0</v>
      </c>
      <c r="HX59" s="1" t="n">
        <f aca="false">IF(B59=0,EW59+FA59,0)</f>
        <v>0</v>
      </c>
      <c r="HY59" s="1" t="n">
        <f aca="false">IF(B59=0,IF(DD59=1,EY59,EZ59),0)</f>
        <v>0</v>
      </c>
      <c r="HZ59" s="1" t="n">
        <f aca="false">IF(BU59=1,IF(DD59=1,FF59+FI59,BV59-GL59)*(1+Slot6_Rate),0)</f>
        <v>0</v>
      </c>
      <c r="IA59" s="1" t="n">
        <f aca="false">IF(AND(DD59=1,BU59=1),(FE59+FI59)/E59,0)</f>
        <v>0</v>
      </c>
      <c r="IB59" s="1" t="n">
        <f aca="false">IF(B59=0,FE59+FI59,0)</f>
        <v>0</v>
      </c>
      <c r="IC59" s="1" t="n">
        <f aca="false">IF(B59=0,IF(DD59=1,FG59,FH59),0)</f>
        <v>0</v>
      </c>
      <c r="ID59" s="1" t="n">
        <f aca="false">IF(CE59=1,IF(DD59=1,FN59+FQ59,CF59-GJ59)*(1+Slot7_Rate),0)</f>
        <v>0</v>
      </c>
      <c r="IE59" s="1" t="n">
        <f aca="false">IF(AND(DD59=1,CE59=1),(FM59+FQ59)/E59,0)</f>
        <v>0</v>
      </c>
      <c r="IF59" s="1" t="n">
        <f aca="false">IF(B59=0,FM59+FQ59,0)</f>
        <v>0</v>
      </c>
      <c r="IG59" s="1" t="n">
        <f aca="false">IF(B59=0,IF(DD59=1,FO59,FP59),0)</f>
        <v>0</v>
      </c>
      <c r="IH59" s="1" t="n">
        <f aca="false">IF(CO59=1,IF(DD59=1,FV59+FY59,CP59-GH59)*(1+Slot8_Rate),0)</f>
        <v>0</v>
      </c>
      <c r="II59" s="1" t="n">
        <f aca="false">IF(AND(DD59=1,CO59=1),(FU59+FY59)/E59,0)</f>
        <v>0</v>
      </c>
      <c r="IJ59" s="1" t="n">
        <f aca="false">IF(B59=0,FU59+FY59,0)</f>
        <v>0</v>
      </c>
      <c r="IK59" s="1" t="n">
        <f aca="false">IF(B59=0,IF(DD59=1,FW59,FX59),0)</f>
        <v>0</v>
      </c>
      <c r="IL59" s="1" t="n">
        <f aca="false">HD59+HE59+HF59+HJ59+HN59+HR59+HV59+HZ59+ID59+IH59</f>
        <v>0</v>
      </c>
      <c r="IM59" s="1" t="n">
        <f aca="false">GX59+CY59</f>
        <v>0</v>
      </c>
      <c r="IN59" s="1" t="n">
        <f aca="false">H59+R59</f>
        <v>0</v>
      </c>
      <c r="IO59" s="1" t="n">
        <f aca="false">1-F59</f>
        <v>1</v>
      </c>
      <c r="IP59" s="1" t="n">
        <f aca="false">IF(AND(RG_Exists=1,F59=0,C59=1),H59,0)</f>
        <v>0</v>
      </c>
      <c r="IQ59" s="1" t="n">
        <f aca="false">IF(AND(RG_Exists=1,F59=0,C59=1),H59-MIN(GX59,H59),0)</f>
        <v>0</v>
      </c>
      <c r="IR59" s="1" t="n">
        <f aca="false">'Plan pay &amp; tax'!AD261</f>
        <v>0</v>
      </c>
      <c r="IS59" s="1" t="n">
        <f aca="false">IF(AND(C59=1,GX59&gt;MAX(PR_Short1,IN59*PR_Short2)),1,0)</f>
        <v>0</v>
      </c>
      <c r="IT59" s="1" t="n">
        <f aca="false">MIN(G59,H59+R59)</f>
        <v>0</v>
      </c>
      <c r="IU59" s="1" t="n">
        <f aca="false">GY59+MAX(0,CZ59-CY59)</f>
        <v>0</v>
      </c>
      <c r="IV59" s="1" t="n">
        <f aca="false">GX59+CY59</f>
        <v>0</v>
      </c>
      <c r="IW59" s="1" t="n">
        <f aca="false">IF(AND(C59=1,IV59&gt;0.5),1,0)</f>
        <v>0</v>
      </c>
      <c r="IX59" s="1" t="n">
        <f aca="false">IF(AND(C59=1,IW59=0,IU59&gt;0.5),1,0)</f>
        <v>0</v>
      </c>
      <c r="IY59" s="1" t="n">
        <f aca="false">IF(AND(C59=1,GX59&gt;0.5),1,0)</f>
        <v>0</v>
      </c>
      <c r="IZ59" s="1" t="n">
        <f aca="false">IF(AND(C59=1,GY59&gt;1,JF59=0),1,0)</f>
        <v>0</v>
      </c>
      <c r="JA59" s="1" t="n">
        <f aca="false">IF(AND(INT(D59/10)*10=90,B59&gt;0),80,INT(D59/10)*10)</f>
        <v>50</v>
      </c>
      <c r="JB59" s="1" t="n">
        <f aca="false">IF(B59=0,1,IF(JA59&lt;&gt;JA58,JB58+1,JB58))</f>
        <v>6</v>
      </c>
      <c r="JC59" s="1" t="n">
        <f aca="false">IF(AND(C59=1,F59=1,GX59&gt;MAX(PR_Short1,IN59*PR_Short2)),1,0)</f>
        <v>0</v>
      </c>
      <c r="JD59" s="1" t="n">
        <f aca="false">IO59*IS59</f>
        <v>0</v>
      </c>
      <c r="JE59" s="1" t="n">
        <f aca="false">IF(AND(U59=1,Slot1_PctLow=1),1,0)+IF(AND(AF59=1,Slot2_PctLow=1),1,0)+IF(AND(AP59=1,Slot3_PctLow=1),1,0)+IF(AND(AZ59=1,Slot4_PctLow=1),1,0)+IF(AND(BJ59=1,Slot5_PctLow=1),1,0)+IF(AND(BT59=1,Slot6_PctLow=1),1,0)+IF(AND(CD59=1,Slot7_PctLow=1),1,0)+IF(AND(CN59=1,Slot8_PctLow=1),1,0)</f>
        <v>0</v>
      </c>
      <c r="JF59" s="1" t="n">
        <f aca="false">IF(C59=1,IF(OR(IS59=1,JE59&gt;0),1,0),0)</f>
        <v>0</v>
      </c>
    </row>
    <row r="60" customFormat="false" ht="15" hidden="false" customHeight="false" outlineLevel="0" collapsed="false">
      <c r="B60" s="1" t="n">
        <v>52</v>
      </c>
      <c r="C60" s="1" t="n">
        <f aca="false">IF(B60&lt;=F_N,1,0)</f>
        <v>1</v>
      </c>
      <c r="D60" s="1" t="n">
        <f aca="false">'Plan pay &amp; tax'!C262</f>
        <v>52</v>
      </c>
      <c r="E60" s="106" t="n">
        <f aca="false">'Plan pay &amp; tax'!E262</f>
        <v>2.80032818544818</v>
      </c>
      <c r="F60" s="1" t="n">
        <f aca="false">'Plan pay &amp; tax'!G262</f>
        <v>0</v>
      </c>
      <c r="G60" s="1" t="n">
        <f aca="false">'Plan pay &amp; tax'!BT262-'Plan pay &amp; tax'!BS262-'Plan pay &amp; tax'!R262</f>
        <v>0</v>
      </c>
      <c r="H60" s="1" t="n">
        <f aca="false">IF(F60=1,F_CostsM*12,IF(RG_Exists=1,RG_Amount,F_CostsM*12*AS_RetireSpend))*E60+F_OneOffY*E60</f>
        <v>0</v>
      </c>
      <c r="I60" s="1" t="n">
        <f aca="false">DA59</f>
        <v>0</v>
      </c>
      <c r="J60" s="1" t="n">
        <f aca="false">IF(I60&gt;1,'Plan debt months'!AC60,0)</f>
        <v>0</v>
      </c>
      <c r="K60" s="1" t="n">
        <f aca="false">IF(I60&gt;1,'Plan debt months'!AB60,I60)</f>
        <v>0</v>
      </c>
      <c r="L60" s="1" t="n">
        <f aca="false">N59</f>
        <v>0</v>
      </c>
      <c r="M60" s="1" t="n">
        <f aca="false">IF(L60&gt;1,'Plan debt months'!BD60,0)</f>
        <v>0</v>
      </c>
      <c r="N60" s="1" t="n">
        <f aca="false">IF(L60&gt;1,'Plan debt months'!BC60,L60)</f>
        <v>0</v>
      </c>
      <c r="O60" s="1" t="n">
        <f aca="false">Q59</f>
        <v>0</v>
      </c>
      <c r="P60" s="1" t="n">
        <f aca="false">IF(O60&gt;1,'Plan debt months'!CE60,0)</f>
        <v>0</v>
      </c>
      <c r="Q60" s="1" t="n">
        <f aca="false">IF(O60&gt;1,'Plan debt months'!CD60,O60)</f>
        <v>0</v>
      </c>
      <c r="R60" s="1" t="n">
        <f aca="false">J60+M60+P60</f>
        <v>0</v>
      </c>
      <c r="S60" s="1" t="n">
        <f aca="false">HD59+'Plan pay &amp; tax'!Y262</f>
        <v>0</v>
      </c>
      <c r="T60" s="1" t="n">
        <f aca="false">HD59</f>
        <v>0</v>
      </c>
      <c r="U60" s="1" t="n">
        <f aca="false">IF(AND(Slot1_On=1,D60=Slot1_Age),1,0)</f>
        <v>0</v>
      </c>
      <c r="V60" s="1" t="n">
        <f aca="false">IF(AND(Slot1_On=1,Slot1_Age&gt;D60),1,0)</f>
        <v>0</v>
      </c>
      <c r="W60" s="1" t="n">
        <f aca="false">HF59</f>
        <v>0</v>
      </c>
      <c r="X60" s="1" t="n">
        <f aca="false">U60*MIN(Slot1_Cost,W60)</f>
        <v>0</v>
      </c>
      <c r="Y60" s="1" t="n">
        <f aca="false">U60*Slot1_SpendLike*MIN(Slot1_Cost-X60,S60)</f>
        <v>0</v>
      </c>
      <c r="Z60" s="1" t="n">
        <f aca="false">X60+Y60</f>
        <v>0</v>
      </c>
      <c r="AA60" s="1" t="n">
        <f aca="false">S60-Y60+U60*IF(Slot1_SpendLike=1,W60-X60,IF(Slot1_PotFree=1,W60,0))</f>
        <v>0</v>
      </c>
      <c r="AB60" s="1" t="n">
        <f aca="false">AE60+U60*Slot1_BufPot*W60</f>
        <v>0</v>
      </c>
      <c r="AC60" s="1" t="n">
        <f aca="false">IF(AND(U60=1,Slot1_IsMfree=1),IF(Z60&gt;=Slot1_Cost-1,0,MAX(0,K60-Z60)),K60)</f>
        <v>0</v>
      </c>
      <c r="AD60" s="1" t="n">
        <f aca="false">U60*(Slot1_Cost-Z60)</f>
        <v>0</v>
      </c>
      <c r="AE60" s="1" t="n">
        <f aca="false">HE59</f>
        <v>0</v>
      </c>
      <c r="AF60" s="1" t="n">
        <f aca="false">IF(AND(Slot2_On=1,D60=Slot2_Age),1,0)</f>
        <v>0</v>
      </c>
      <c r="AG60" s="1" t="n">
        <f aca="false">IF(AND(Slot2_On=1,Slot2_Age&gt;D60),1,0)</f>
        <v>0</v>
      </c>
      <c r="AH60" s="1" t="n">
        <f aca="false">HJ59</f>
        <v>0</v>
      </c>
      <c r="AI60" s="1" t="n">
        <f aca="false">AF60*MIN(Slot2_Cost,AH60)</f>
        <v>0</v>
      </c>
      <c r="AJ60" s="1" t="n">
        <f aca="false">AF60*Slot2_SpendLike*MIN(Slot2_Cost-AI60,AA60)</f>
        <v>0</v>
      </c>
      <c r="AK60" s="1" t="n">
        <f aca="false">AI60+AJ60</f>
        <v>0</v>
      </c>
      <c r="AL60" s="1" t="n">
        <f aca="false">AA60-AJ60+AF60*IF(Slot2_SpendLike=1,AH60-AI60,IF(Slot2_PotFree=1,AH60,0))</f>
        <v>0</v>
      </c>
      <c r="AM60" s="1" t="n">
        <f aca="false">AB60+AF60*Slot2_BufPot*AH60</f>
        <v>0</v>
      </c>
      <c r="AN60" s="1" t="n">
        <f aca="false">IF(AND(AF60=1,Slot2_IsMfree=1),IF(AK60&gt;=Slot2_Cost-1,0,MAX(0,AC60-AK60)),AC60)</f>
        <v>0</v>
      </c>
      <c r="AO60" s="1" t="n">
        <f aca="false">AF60*(Slot2_Cost-AK60)</f>
        <v>0</v>
      </c>
      <c r="AP60" s="1" t="n">
        <f aca="false">IF(AND(Slot3_On=1,D60=Slot3_Age),1,0)</f>
        <v>0</v>
      </c>
      <c r="AQ60" s="1" t="n">
        <f aca="false">IF(AND(Slot3_On=1,Slot3_Age&gt;D60),1,0)</f>
        <v>0</v>
      </c>
      <c r="AR60" s="1" t="n">
        <f aca="false">HN59</f>
        <v>0</v>
      </c>
      <c r="AS60" s="1" t="n">
        <f aca="false">AP60*MIN(Slot3_Cost,AR60)</f>
        <v>0</v>
      </c>
      <c r="AT60" s="1" t="n">
        <f aca="false">AP60*Slot3_SpendLike*MIN(Slot3_Cost-AS60,AL60)</f>
        <v>0</v>
      </c>
      <c r="AU60" s="1" t="n">
        <f aca="false">AS60+AT60</f>
        <v>0</v>
      </c>
      <c r="AV60" s="1" t="n">
        <f aca="false">AL60-AT60+AP60*IF(Slot3_SpendLike=1,AR60-AS60,IF(Slot3_PotFree=1,AR60,0))</f>
        <v>0</v>
      </c>
      <c r="AW60" s="1" t="n">
        <f aca="false">AM60+AP60*Slot3_BufPot*AR60</f>
        <v>0</v>
      </c>
      <c r="AX60" s="1" t="n">
        <f aca="false">IF(AND(AP60=1,Slot3_IsMfree=1),IF(AU60&gt;=Slot3_Cost-1,0,MAX(0,AN60-AU60)),AN60)</f>
        <v>0</v>
      </c>
      <c r="AY60" s="1" t="n">
        <f aca="false">AP60*(Slot3_Cost-AU60)</f>
        <v>0</v>
      </c>
      <c r="AZ60" s="1" t="n">
        <f aca="false">IF(AND(Slot4_On=1,D60=Slot4_Age),1,0)</f>
        <v>0</v>
      </c>
      <c r="BA60" s="1" t="n">
        <f aca="false">IF(AND(Slot4_On=1,Slot4_Age&gt;D60),1,0)</f>
        <v>0</v>
      </c>
      <c r="BB60" s="1" t="n">
        <f aca="false">HR59</f>
        <v>0</v>
      </c>
      <c r="BC60" s="1" t="n">
        <f aca="false">AZ60*MIN(Slot4_Cost,BB60)</f>
        <v>0</v>
      </c>
      <c r="BD60" s="1" t="n">
        <f aca="false">AZ60*Slot4_SpendLike*MIN(Slot4_Cost-BC60,AV60)</f>
        <v>0</v>
      </c>
      <c r="BE60" s="1" t="n">
        <f aca="false">BC60+BD60</f>
        <v>0</v>
      </c>
      <c r="BF60" s="1" t="n">
        <f aca="false">AV60-BD60+AZ60*IF(Slot4_SpendLike=1,BB60-BC60,IF(Slot4_PotFree=1,BB60,0))</f>
        <v>0</v>
      </c>
      <c r="BG60" s="1" t="n">
        <f aca="false">AW60+AZ60*Slot4_BufPot*BB60</f>
        <v>0</v>
      </c>
      <c r="BH60" s="1" t="n">
        <f aca="false">IF(AND(AZ60=1,Slot4_IsMfree=1),IF(BE60&gt;=Slot4_Cost-1,0,MAX(0,AX60-BE60)),AX60)</f>
        <v>0</v>
      </c>
      <c r="BI60" s="1" t="n">
        <f aca="false">AZ60*(Slot4_Cost-BE60)</f>
        <v>0</v>
      </c>
      <c r="BJ60" s="1" t="n">
        <f aca="false">IF(AND(Slot5_On=1,D60=Slot5_Age),1,0)</f>
        <v>0</v>
      </c>
      <c r="BK60" s="1" t="n">
        <f aca="false">IF(AND(Slot5_On=1,Slot5_Age&gt;D60),1,0)</f>
        <v>0</v>
      </c>
      <c r="BL60" s="1" t="n">
        <f aca="false">HV59</f>
        <v>0</v>
      </c>
      <c r="BM60" s="1" t="n">
        <f aca="false">BJ60*MIN(Slot5_Cost,BL60)</f>
        <v>0</v>
      </c>
      <c r="BN60" s="1" t="n">
        <f aca="false">BJ60*Slot5_SpendLike*MIN(Slot5_Cost-BM60,BF60)</f>
        <v>0</v>
      </c>
      <c r="BO60" s="1" t="n">
        <f aca="false">BM60+BN60</f>
        <v>0</v>
      </c>
      <c r="BP60" s="1" t="n">
        <f aca="false">BF60-BN60+BJ60*IF(Slot5_SpendLike=1,BL60-BM60,IF(Slot5_PotFree=1,BL60,0))</f>
        <v>0</v>
      </c>
      <c r="BQ60" s="1" t="n">
        <f aca="false">BG60+BJ60*Slot5_BufPot*BL60</f>
        <v>0</v>
      </c>
      <c r="BR60" s="1" t="n">
        <f aca="false">IF(AND(BJ60=1,Slot5_IsMfree=1),IF(BO60&gt;=Slot5_Cost-1,0,MAX(0,BH60-BO60)),BH60)</f>
        <v>0</v>
      </c>
      <c r="BS60" s="1" t="n">
        <f aca="false">BJ60*(Slot5_Cost-BO60)</f>
        <v>0</v>
      </c>
      <c r="BT60" s="1" t="n">
        <f aca="false">IF(AND(Slot6_On=1,D60=Slot6_Age),1,0)</f>
        <v>0</v>
      </c>
      <c r="BU60" s="1" t="n">
        <f aca="false">IF(AND(Slot6_On=1,Slot6_Age&gt;D60),1,0)</f>
        <v>0</v>
      </c>
      <c r="BV60" s="1" t="n">
        <f aca="false">HZ59</f>
        <v>0</v>
      </c>
      <c r="BW60" s="1" t="n">
        <f aca="false">BT60*MIN(Slot6_Cost,BV60)</f>
        <v>0</v>
      </c>
      <c r="BX60" s="1" t="n">
        <f aca="false">BT60*Slot6_SpendLike*MIN(Slot6_Cost-BW60,BP60)</f>
        <v>0</v>
      </c>
      <c r="BY60" s="1" t="n">
        <f aca="false">BW60+BX60</f>
        <v>0</v>
      </c>
      <c r="BZ60" s="1" t="n">
        <f aca="false">BP60-BX60+BT60*IF(Slot6_SpendLike=1,BV60-BW60,IF(Slot6_PotFree=1,BV60,0))</f>
        <v>0</v>
      </c>
      <c r="CA60" s="1" t="n">
        <f aca="false">BQ60+BT60*Slot6_BufPot*BV60</f>
        <v>0</v>
      </c>
      <c r="CB60" s="1" t="n">
        <f aca="false">IF(AND(BT60=1,Slot6_IsMfree=1),IF(BY60&gt;=Slot6_Cost-1,0,MAX(0,BR60-BY60)),BR60)</f>
        <v>0</v>
      </c>
      <c r="CC60" s="1" t="n">
        <f aca="false">BT60*(Slot6_Cost-BY60)</f>
        <v>0</v>
      </c>
      <c r="CD60" s="1" t="n">
        <f aca="false">IF(AND(Slot7_On=1,D60=Slot7_Age),1,0)</f>
        <v>0</v>
      </c>
      <c r="CE60" s="1" t="n">
        <f aca="false">IF(AND(Slot7_On=1,Slot7_Age&gt;D60),1,0)</f>
        <v>0</v>
      </c>
      <c r="CF60" s="1" t="n">
        <f aca="false">ID59</f>
        <v>0</v>
      </c>
      <c r="CG60" s="1" t="n">
        <f aca="false">CD60*MIN(Slot7_Cost,CF60)</f>
        <v>0</v>
      </c>
      <c r="CH60" s="1" t="n">
        <f aca="false">CD60*Slot7_SpendLike*MIN(Slot7_Cost-CG60,BZ60)</f>
        <v>0</v>
      </c>
      <c r="CI60" s="1" t="n">
        <f aca="false">CG60+CH60</f>
        <v>0</v>
      </c>
      <c r="CJ60" s="1" t="n">
        <f aca="false">BZ60-CH60+CD60*IF(Slot7_SpendLike=1,CF60-CG60,IF(Slot7_PotFree=1,CF60,0))</f>
        <v>0</v>
      </c>
      <c r="CK60" s="1" t="n">
        <f aca="false">CA60+CD60*Slot7_BufPot*CF60</f>
        <v>0</v>
      </c>
      <c r="CL60" s="1" t="n">
        <f aca="false">IF(AND(CD60=1,Slot7_IsMfree=1),IF(CI60&gt;=Slot7_Cost-1,0,MAX(0,CB60-CI60)),CB60)</f>
        <v>0</v>
      </c>
      <c r="CM60" s="1" t="n">
        <f aca="false">CD60*(Slot7_Cost-CI60)</f>
        <v>0</v>
      </c>
      <c r="CN60" s="1" t="n">
        <f aca="false">IF(AND(Slot8_On=1,D60=Slot8_Age),1,0)</f>
        <v>0</v>
      </c>
      <c r="CO60" s="1" t="n">
        <f aca="false">IF(AND(Slot8_On=1,Slot8_Age&gt;D60),1,0)</f>
        <v>0</v>
      </c>
      <c r="CP60" s="1" t="n">
        <f aca="false">IH59</f>
        <v>0</v>
      </c>
      <c r="CQ60" s="1" t="n">
        <f aca="false">CN60*MIN(Slot8_Cost,CP60)</f>
        <v>0</v>
      </c>
      <c r="CR60" s="1" t="n">
        <f aca="false">CN60*Slot8_SpendLike*MIN(Slot8_Cost-CQ60,CJ60)</f>
        <v>0</v>
      </c>
      <c r="CS60" s="1" t="n">
        <f aca="false">CQ60+CR60</f>
        <v>0</v>
      </c>
      <c r="CT60" s="1" t="n">
        <f aca="false">CJ60-CR60+CN60*IF(Slot8_SpendLike=1,CP60-CQ60,IF(Slot8_PotFree=1,CP60,0))</f>
        <v>0</v>
      </c>
      <c r="CU60" s="1" t="n">
        <f aca="false">CK60+CN60*Slot8_BufPot*CP60</f>
        <v>0</v>
      </c>
      <c r="CV60" s="1" t="n">
        <f aca="false">IF(AND(CN60=1,Slot8_IsMfree=1),IF(CS60&gt;=Slot8_Cost-1,0,MAX(0,CL60-CS60)),CL60)</f>
        <v>0</v>
      </c>
      <c r="CW60" s="1" t="n">
        <f aca="false">CN60*(Slot8_Cost-CS60)</f>
        <v>0</v>
      </c>
      <c r="CX60" s="1" t="n">
        <f aca="false">U60*Slot1_SpendLike*Z60+AF60*Slot2_SpendLike*AK60+AP60*Slot3_SpendLike*AU60+AZ60*Slot4_SpendLike*BE60+BJ60*Slot5_SpendLike*BO60+BT60*Slot6_SpendLike*BY60+CD60*Slot7_SpendLike*CI60+CN60*Slot8_SpendLike*CS60</f>
        <v>0</v>
      </c>
      <c r="CY60" s="1" t="n">
        <f aca="false">AD60+AO60+AY60+BI60+BS60+CC60+CM60+CW60</f>
        <v>0</v>
      </c>
      <c r="CZ60" s="1" t="n">
        <f aca="false">U60*Slot1_Cost+AF60*Slot2_Cost+AP60*Slot3_Cost+AZ60*Slot4_Cost+BJ60*Slot5_Cost+BT60*Slot6_Cost+CD60*Slot7_Cost+CN60*Slot8_Cost</f>
        <v>0</v>
      </c>
      <c r="DA60" s="1" t="n">
        <f aca="false">CV60</f>
        <v>0</v>
      </c>
      <c r="DB60" s="1" t="n">
        <f aca="false">G60-H60-R60</f>
        <v>0</v>
      </c>
      <c r="DC60" s="1" t="n">
        <f aca="false">IF(B60=0,IF(AND(Has_q6=1,In_q6=4),PR_ShareVaries*(MAX(0,DB60)/12),MIN(IF(Has_q6=1,CHOOSE(In_q6+1,PR_SaveB1,PR_SaveB2,PR_SaveB3,PR_SaveB4,0),AS_NoAnswer),AS_SaveShare*(MAX(0,DB60)/12))),DC59)</f>
        <v>0</v>
      </c>
      <c r="DD60" s="1" t="n">
        <f aca="false">IF(DB60&gt;=0,1,0)</f>
        <v>1</v>
      </c>
      <c r="DE60" s="1" t="n">
        <f aca="false">MAX(0,DB60/12/E60)</f>
        <v>0</v>
      </c>
      <c r="DF60" s="1" t="n">
        <f aca="false">IF(AND(Has_q6=1,In_q6=4),PR_ShareVaries*(DE60),MIN(IF(Has_q6=1,CHOOSE(In_q6+1,PR_SaveB1,PR_SaveB2,PR_SaveB3,PR_SaveB4,0),AS_NoAnswer),AS_SaveShare*(DE60)))</f>
        <v>0</v>
      </c>
      <c r="DG60" s="1" t="n">
        <f aca="false">IF(Has_saveM=1,IF(In_saveUp="Yes",1,IF(In_saveUp="No",0,IF(In_saveM&gt;=DC60-0.5,1,0))),0)</f>
        <v>0</v>
      </c>
      <c r="DH60" s="1" t="n">
        <f aca="false">IF(Has_saveM=1,MIN(DE60,IF(DG60=1,MAX(In_saveM,DF60),MIN(In_saveM,DF60))),DF60)</f>
        <v>0</v>
      </c>
      <c r="DI60" s="1" t="n">
        <f aca="false">IF(F60=1,DH60*12*E60,0)</f>
        <v>0</v>
      </c>
      <c r="DJ60" s="1" t="n">
        <f aca="false">MAX(0,DI60+IF(AND(WI_Retire=0,WI_M&lt;0,F60=1),WI_M*12*E60,0))</f>
        <v>0</v>
      </c>
      <c r="DK60" s="1" t="n">
        <f aca="false">Slot1_IsWG*V60+Slot2_IsWG*AG60+Slot3_IsWG*AQ60+Slot4_IsWG*BA60+Slot5_IsWG*BK60+Slot6_IsWG*BU60+Slot7_IsWG*CE60+Slot8_IsWG*CO60</f>
        <v>0</v>
      </c>
      <c r="DL60" s="1" t="n">
        <f aca="false">IF(AND(WI_Retire=0,WI_M&gt;0,F60=1,DK60&gt;=1),WI_M*12*E60,0)</f>
        <v>0</v>
      </c>
      <c r="DM60" s="1" t="n">
        <f aca="false">IF(DD60=1,MIN(DJ60,DB60),0)</f>
        <v>0</v>
      </c>
      <c r="DN60" s="1" t="n">
        <f aca="false">IF(DD60=1,MIN(DL60,DB60-DM60),0)</f>
        <v>0</v>
      </c>
      <c r="DO60" s="1" t="n">
        <f aca="false">IF(V60=1,IF(ABS((1+AS_Wage)/(1+Slot1_Rate)-1)&lt;0.000000000001,(Slot1_Age-D60)*(1+Slot1_Rate)^(Slot1_Age-D60),(1+Slot1_Rate)^(Slot1_Age-D60)*(1-((1+AS_Wage)/(1+Slot1_Rate))^(Slot1_Age-D60))/(1-(1+AS_Wage)/(1+Slot1_Rate))),1)</f>
        <v>1</v>
      </c>
      <c r="DP60" s="1" t="n">
        <f aca="false">IF(AND(DD60=1,DN60&gt;0,Slot1_IsWG=1,V60=1),MAX(0,(Slot1_Cost-W60*(1+Slot1_Rate)^(Slot1_Age-D60))/DO60),0)</f>
        <v>0</v>
      </c>
      <c r="DQ60" s="1" t="n">
        <f aca="false">IF(AND(DD60=1,DN60&gt;0,Slot1_IsWG=1,V60=1),MIN(DN60,DP60),0)</f>
        <v>0</v>
      </c>
      <c r="DR60" s="1" t="n">
        <f aca="false">W60+DQ60</f>
        <v>0</v>
      </c>
      <c r="DS60" s="1" t="n">
        <f aca="false">IF(V60=1,MAX(0,(Slot1_Cost-DR60*(1+Slot1_Rate)^(Slot1_Age-D60))/DO60),0)</f>
        <v>0</v>
      </c>
      <c r="DT60" s="1" t="n">
        <f aca="false">IF(V60=1,MAX(0,(Slot1_Cost-W60*(1+Slot1_Rate)^(Slot1_Age-D60))/DO60),0)</f>
        <v>0</v>
      </c>
      <c r="DU60" s="1" t="n">
        <f aca="false">IF(AND(DD60=1,V60=1),MIN(DM60,DS60),0)</f>
        <v>0</v>
      </c>
      <c r="DV60" s="1" t="n">
        <f aca="false">DM60-DU60</f>
        <v>0</v>
      </c>
      <c r="DW60" s="1" t="n">
        <f aca="false">IF(AG60=1,IF(ABS((1+AS_Wage)/(1+Slot2_Rate)-1)&lt;0.000000000001,(Slot2_Age-D60)*(1+Slot2_Rate)^(Slot2_Age-D60),(1+Slot2_Rate)^(Slot2_Age-D60)*(1-((1+AS_Wage)/(1+Slot2_Rate))^(Slot2_Age-D60))/(1-(1+AS_Wage)/(1+Slot2_Rate))),1)</f>
        <v>1</v>
      </c>
      <c r="DX60" s="1" t="n">
        <f aca="false">IF(AND(DD60=1,DN60&gt;0,Slot2_IsWG=1,AG60=1),MAX(0,(Slot2_Cost-AH60*(1+Slot2_Rate)^(Slot2_Age-D60))/DW60),0)</f>
        <v>0</v>
      </c>
      <c r="DY60" s="1" t="n">
        <f aca="false">IF(AND(DD60=1,DN60&gt;0,Slot2_IsWG=1,AG60=1),MIN(DN60,DX60),0)</f>
        <v>0</v>
      </c>
      <c r="DZ60" s="1" t="n">
        <f aca="false">AH60+DY60</f>
        <v>0</v>
      </c>
      <c r="EA60" s="1" t="n">
        <f aca="false">IF(AG60=1,MAX(0,(Slot2_Cost-DZ60*(1+Slot2_Rate)^(Slot2_Age-D60))/DW60),0)</f>
        <v>0</v>
      </c>
      <c r="EB60" s="1" t="n">
        <f aca="false">IF(AG60=1,MAX(0,(Slot2_Cost-AH60*(1+Slot2_Rate)^(Slot2_Age-D60))/DW60),0)</f>
        <v>0</v>
      </c>
      <c r="EC60" s="1" t="n">
        <f aca="false">IF(AND(DD60=1,AG60=1),MIN(DV60,EA60),0)</f>
        <v>0</v>
      </c>
      <c r="ED60" s="1" t="n">
        <f aca="false">DV60-EC60</f>
        <v>0</v>
      </c>
      <c r="EE60" s="1" t="n">
        <f aca="false">IF(AQ60=1,IF(ABS((1+AS_Wage)/(1+Slot3_Rate)-1)&lt;0.000000000001,(Slot3_Age-D60)*(1+Slot3_Rate)^(Slot3_Age-D60),(1+Slot3_Rate)^(Slot3_Age-D60)*(1-((1+AS_Wage)/(1+Slot3_Rate))^(Slot3_Age-D60))/(1-(1+AS_Wage)/(1+Slot3_Rate))),1)</f>
        <v>1</v>
      </c>
      <c r="EF60" s="1" t="n">
        <f aca="false">IF(AND(DD60=1,DN60&gt;0,Slot3_IsWG=1,AQ60=1),MAX(0,(Slot3_Cost-AR60*(1+Slot3_Rate)^(Slot3_Age-D60))/EE60),0)</f>
        <v>0</v>
      </c>
      <c r="EG60" s="1" t="n">
        <f aca="false">IF(AND(DD60=1,DN60&gt;0,Slot3_IsWG=1,AQ60=1),MIN(DN60,EF60),0)</f>
        <v>0</v>
      </c>
      <c r="EH60" s="1" t="n">
        <f aca="false">AR60+EG60</f>
        <v>0</v>
      </c>
      <c r="EI60" s="1" t="n">
        <f aca="false">IF(AQ60=1,MAX(0,(Slot3_Cost-EH60*(1+Slot3_Rate)^(Slot3_Age-D60))/EE60),0)</f>
        <v>0</v>
      </c>
      <c r="EJ60" s="1" t="n">
        <f aca="false">IF(AQ60=1,MAX(0,(Slot3_Cost-AR60*(1+Slot3_Rate)^(Slot3_Age-D60))/EE60),0)</f>
        <v>0</v>
      </c>
      <c r="EK60" s="1" t="n">
        <f aca="false">IF(AND(DD60=1,AQ60=1),MIN(ED60,EI60),0)</f>
        <v>0</v>
      </c>
      <c r="EL60" s="1" t="n">
        <f aca="false">ED60-EK60</f>
        <v>0</v>
      </c>
      <c r="EM60" s="1" t="n">
        <f aca="false">IF(BA60=1,IF(ABS((1+AS_Wage)/(1+Slot4_Rate)-1)&lt;0.000000000001,(Slot4_Age-D60)*(1+Slot4_Rate)^(Slot4_Age-D60),(1+Slot4_Rate)^(Slot4_Age-D60)*(1-((1+AS_Wage)/(1+Slot4_Rate))^(Slot4_Age-D60))/(1-(1+AS_Wage)/(1+Slot4_Rate))),1)</f>
        <v>1</v>
      </c>
      <c r="EN60" s="1" t="n">
        <f aca="false">IF(AND(DD60=1,DN60&gt;0,Slot4_IsWG=1,BA60=1),MAX(0,(Slot4_Cost-BB60*(1+Slot4_Rate)^(Slot4_Age-D60))/EM60),0)</f>
        <v>0</v>
      </c>
      <c r="EO60" s="1" t="n">
        <f aca="false">IF(AND(DD60=1,DN60&gt;0,Slot4_IsWG=1,BA60=1),MIN(DN60,EN60),0)</f>
        <v>0</v>
      </c>
      <c r="EP60" s="1" t="n">
        <f aca="false">BB60+EO60</f>
        <v>0</v>
      </c>
      <c r="EQ60" s="1" t="n">
        <f aca="false">IF(BA60=1,MAX(0,(Slot4_Cost-EP60*(1+Slot4_Rate)^(Slot4_Age-D60))/EM60),0)</f>
        <v>0</v>
      </c>
      <c r="ER60" s="1" t="n">
        <f aca="false">IF(BA60=1,MAX(0,(Slot4_Cost-BB60*(1+Slot4_Rate)^(Slot4_Age-D60))/EM60),0)</f>
        <v>0</v>
      </c>
      <c r="ES60" s="1" t="n">
        <f aca="false">IF(AND(DD60=1,BA60=1),MIN(EL60,EQ60),0)</f>
        <v>0</v>
      </c>
      <c r="ET60" s="1" t="n">
        <f aca="false">EL60-ES60</f>
        <v>0</v>
      </c>
      <c r="EU60" s="1" t="n">
        <f aca="false">IF(BK60=1,IF(ABS((1+AS_Wage)/(1+Slot5_Rate)-1)&lt;0.000000000001,(Slot5_Age-D60)*(1+Slot5_Rate)^(Slot5_Age-D60),(1+Slot5_Rate)^(Slot5_Age-D60)*(1-((1+AS_Wage)/(1+Slot5_Rate))^(Slot5_Age-D60))/(1-(1+AS_Wage)/(1+Slot5_Rate))),1)</f>
        <v>1</v>
      </c>
      <c r="EV60" s="1" t="n">
        <f aca="false">IF(AND(DD60=1,DN60&gt;0,Slot5_IsWG=1,BK60=1),MAX(0,(Slot5_Cost-BL60*(1+Slot5_Rate)^(Slot5_Age-D60))/EU60),0)</f>
        <v>0</v>
      </c>
      <c r="EW60" s="1" t="n">
        <f aca="false">IF(AND(DD60=1,DN60&gt;0,Slot5_IsWG=1,BK60=1),MIN(DN60,EV60),0)</f>
        <v>0</v>
      </c>
      <c r="EX60" s="1" t="n">
        <f aca="false">BL60+EW60</f>
        <v>0</v>
      </c>
      <c r="EY60" s="1" t="n">
        <f aca="false">IF(BK60=1,MAX(0,(Slot5_Cost-EX60*(1+Slot5_Rate)^(Slot5_Age-D60))/EU60),0)</f>
        <v>0</v>
      </c>
      <c r="EZ60" s="1" t="n">
        <f aca="false">IF(BK60=1,MAX(0,(Slot5_Cost-BL60*(1+Slot5_Rate)^(Slot5_Age-D60))/EU60),0)</f>
        <v>0</v>
      </c>
      <c r="FA60" s="1" t="n">
        <f aca="false">IF(AND(DD60=1,BK60=1),MIN(ET60,EY60),0)</f>
        <v>0</v>
      </c>
      <c r="FB60" s="1" t="n">
        <f aca="false">ET60-FA60</f>
        <v>0</v>
      </c>
      <c r="FC60" s="1" t="n">
        <f aca="false">IF(BU60=1,IF(ABS((1+AS_Wage)/(1+Slot6_Rate)-1)&lt;0.000000000001,(Slot6_Age-D60)*(1+Slot6_Rate)^(Slot6_Age-D60),(1+Slot6_Rate)^(Slot6_Age-D60)*(1-((1+AS_Wage)/(1+Slot6_Rate))^(Slot6_Age-D60))/(1-(1+AS_Wage)/(1+Slot6_Rate))),1)</f>
        <v>1</v>
      </c>
      <c r="FD60" s="1" t="n">
        <f aca="false">IF(AND(DD60=1,DN60&gt;0,Slot6_IsWG=1,BU60=1),MAX(0,(Slot6_Cost-BV60*(1+Slot6_Rate)^(Slot6_Age-D60))/FC60),0)</f>
        <v>0</v>
      </c>
      <c r="FE60" s="1" t="n">
        <f aca="false">IF(AND(DD60=1,DN60&gt;0,Slot6_IsWG=1,BU60=1),MIN(DN60,FD60),0)</f>
        <v>0</v>
      </c>
      <c r="FF60" s="1" t="n">
        <f aca="false">BV60+FE60</f>
        <v>0</v>
      </c>
      <c r="FG60" s="1" t="n">
        <f aca="false">IF(BU60=1,MAX(0,(Slot6_Cost-FF60*(1+Slot6_Rate)^(Slot6_Age-D60))/FC60),0)</f>
        <v>0</v>
      </c>
      <c r="FH60" s="1" t="n">
        <f aca="false">IF(BU60=1,MAX(0,(Slot6_Cost-BV60*(1+Slot6_Rate)^(Slot6_Age-D60))/FC60),0)</f>
        <v>0</v>
      </c>
      <c r="FI60" s="1" t="n">
        <f aca="false">IF(AND(DD60=1,BU60=1),MIN(FB60,FG60),0)</f>
        <v>0</v>
      </c>
      <c r="FJ60" s="1" t="n">
        <f aca="false">FB60-FI60</f>
        <v>0</v>
      </c>
      <c r="FK60" s="1" t="n">
        <f aca="false">IF(CE60=1,IF(ABS((1+AS_Wage)/(1+Slot7_Rate)-1)&lt;0.000000000001,(Slot7_Age-D60)*(1+Slot7_Rate)^(Slot7_Age-D60),(1+Slot7_Rate)^(Slot7_Age-D60)*(1-((1+AS_Wage)/(1+Slot7_Rate))^(Slot7_Age-D60))/(1-(1+AS_Wage)/(1+Slot7_Rate))),1)</f>
        <v>1</v>
      </c>
      <c r="FL60" s="1" t="n">
        <f aca="false">IF(AND(DD60=1,DN60&gt;0,Slot7_IsWG=1,CE60=1),MAX(0,(Slot7_Cost-CF60*(1+Slot7_Rate)^(Slot7_Age-D60))/FK60),0)</f>
        <v>0</v>
      </c>
      <c r="FM60" s="1" t="n">
        <f aca="false">IF(AND(DD60=1,DN60&gt;0,Slot7_IsWG=1,CE60=1),MIN(DN60,FL60),0)</f>
        <v>0</v>
      </c>
      <c r="FN60" s="1" t="n">
        <f aca="false">CF60+FM60</f>
        <v>0</v>
      </c>
      <c r="FO60" s="1" t="n">
        <f aca="false">IF(CE60=1,MAX(0,(Slot7_Cost-FN60*(1+Slot7_Rate)^(Slot7_Age-D60))/FK60),0)</f>
        <v>0</v>
      </c>
      <c r="FP60" s="1" t="n">
        <f aca="false">IF(CE60=1,MAX(0,(Slot7_Cost-CF60*(1+Slot7_Rate)^(Slot7_Age-D60))/FK60),0)</f>
        <v>0</v>
      </c>
      <c r="FQ60" s="1" t="n">
        <f aca="false">IF(AND(DD60=1,CE60=1),MIN(FJ60,FO60),0)</f>
        <v>0</v>
      </c>
      <c r="FR60" s="1" t="n">
        <f aca="false">FJ60-FQ60</f>
        <v>0</v>
      </c>
      <c r="FS60" s="1" t="n">
        <f aca="false">IF(CO60=1,IF(ABS((1+AS_Wage)/(1+Slot8_Rate)-1)&lt;0.000000000001,(Slot8_Age-D60)*(1+Slot8_Rate)^(Slot8_Age-D60),(1+Slot8_Rate)^(Slot8_Age-D60)*(1-((1+AS_Wage)/(1+Slot8_Rate))^(Slot8_Age-D60))/(1-(1+AS_Wage)/(1+Slot8_Rate))),1)</f>
        <v>1</v>
      </c>
      <c r="FT60" s="1" t="n">
        <f aca="false">IF(AND(DD60=1,DN60&gt;0,Slot8_IsWG=1,CO60=1),MAX(0,(Slot8_Cost-CP60*(1+Slot8_Rate)^(Slot8_Age-D60))/FS60),0)</f>
        <v>0</v>
      </c>
      <c r="FU60" s="1" t="n">
        <f aca="false">IF(AND(DD60=1,DN60&gt;0,Slot8_IsWG=1,CO60=1),MIN(DN60,FT60),0)</f>
        <v>0</v>
      </c>
      <c r="FV60" s="1" t="n">
        <f aca="false">CP60+FU60</f>
        <v>0</v>
      </c>
      <c r="FW60" s="1" t="n">
        <f aca="false">IF(CO60=1,MAX(0,(Slot8_Cost-FV60*(1+Slot8_Rate)^(Slot8_Age-D60))/FS60),0)</f>
        <v>0</v>
      </c>
      <c r="FX60" s="1" t="n">
        <f aca="false">IF(CO60=1,MAX(0,(Slot8_Cost-CP60*(1+Slot8_Rate)^(Slot8_Age-D60))/FS60),0)</f>
        <v>0</v>
      </c>
      <c r="FY60" s="1" t="n">
        <f aca="false">IF(AND(DD60=1,CO60=1),MIN(FR60,FW60),0)</f>
        <v>0</v>
      </c>
      <c r="FZ60" s="1" t="n">
        <f aca="false">FR60-FY60</f>
        <v>0</v>
      </c>
      <c r="GA60" s="1" t="n">
        <f aca="false">DN60-(DQ60+DY60+EG60+EO60+EW60+FE60+FM60+FU60)</f>
        <v>0</v>
      </c>
      <c r="GB60" s="1" t="n">
        <f aca="false">IF(DD60=1,DB60-DM60-DN60,0)</f>
        <v>0</v>
      </c>
      <c r="GC60" s="1" t="n">
        <f aca="false">IF(DD60=0,-DB60,0)</f>
        <v>0</v>
      </c>
      <c r="GD60" s="1" t="n">
        <f aca="false">MIN(GC60,CT60)</f>
        <v>0</v>
      </c>
      <c r="GE60" s="1" t="n">
        <f aca="false">GC60-GD60</f>
        <v>0</v>
      </c>
      <c r="GF60" s="1" t="n">
        <f aca="false">MIN(GE60,CU60)</f>
        <v>0</v>
      </c>
      <c r="GG60" s="1" t="n">
        <f aca="false">GE60-GF60</f>
        <v>0</v>
      </c>
      <c r="GH60" s="1" t="n">
        <f aca="false">IF(AND(DD60=0,CO60=1,GG60&gt;0),MIN(GG60,CP60),0)</f>
        <v>0</v>
      </c>
      <c r="GI60" s="1" t="n">
        <f aca="false">GG60-GH60</f>
        <v>0</v>
      </c>
      <c r="GJ60" s="1" t="n">
        <f aca="false">IF(AND(DD60=0,CE60=1,GI60&gt;0),MIN(GI60,CF60),0)</f>
        <v>0</v>
      </c>
      <c r="GK60" s="1" t="n">
        <f aca="false">GI60-GJ60</f>
        <v>0</v>
      </c>
      <c r="GL60" s="1" t="n">
        <f aca="false">IF(AND(DD60=0,BU60=1,GK60&gt;0),MIN(GK60,BV60),0)</f>
        <v>0</v>
      </c>
      <c r="GM60" s="1" t="n">
        <f aca="false">GK60-GL60</f>
        <v>0</v>
      </c>
      <c r="GN60" s="1" t="n">
        <f aca="false">IF(AND(DD60=0,BK60=1,GM60&gt;0),MIN(GM60,BL60),0)</f>
        <v>0</v>
      </c>
      <c r="GO60" s="1" t="n">
        <f aca="false">GM60-GN60</f>
        <v>0</v>
      </c>
      <c r="GP60" s="1" t="n">
        <f aca="false">IF(AND(DD60=0,BA60=1,GO60&gt;0),MIN(GO60,BB60),0)</f>
        <v>0</v>
      </c>
      <c r="GQ60" s="1" t="n">
        <f aca="false">GO60-GP60</f>
        <v>0</v>
      </c>
      <c r="GR60" s="1" t="n">
        <f aca="false">IF(AND(DD60=0,AQ60=1,GQ60&gt;0),MIN(GQ60,AR60),0)</f>
        <v>0</v>
      </c>
      <c r="GS60" s="1" t="n">
        <f aca="false">GQ60-GR60</f>
        <v>0</v>
      </c>
      <c r="GT60" s="1" t="n">
        <f aca="false">IF(AND(DD60=0,AG60=1,GS60&gt;0),MIN(GS60,AH60),0)</f>
        <v>0</v>
      </c>
      <c r="GU60" s="1" t="n">
        <f aca="false">GS60-GT60</f>
        <v>0</v>
      </c>
      <c r="GV60" s="1" t="n">
        <f aca="false">IF(AND(DD60=0,V60=1,GU60&gt;0),MIN(GU60,W60),0)</f>
        <v>0</v>
      </c>
      <c r="GW60" s="1" t="n">
        <f aca="false">GU60-GV60</f>
        <v>0</v>
      </c>
      <c r="GX60" s="1" t="n">
        <f aca="false">IF(DD60=0,GW60,0)</f>
        <v>0</v>
      </c>
      <c r="GY60" s="1" t="n">
        <f aca="false">GD60+GF60+GV60+GT60+GR60+GP60+GN60+GL60+GJ60+GH60</f>
        <v>0</v>
      </c>
      <c r="GZ60" s="1" t="n">
        <f aca="false">IF(DD60=1,CT60+GA60+FZ60+IF(F60=1,0,GB60),CT60-GD60)</f>
        <v>0</v>
      </c>
      <c r="HA60" s="1" t="n">
        <f aca="false">CU60-GF60</f>
        <v>0</v>
      </c>
      <c r="HB60" s="1" t="n">
        <f aca="false">IF(DD60=1,IF(F60=1,DM60+DN60,DB60),0)</f>
        <v>0</v>
      </c>
      <c r="HC60" s="1" t="n">
        <f aca="false">IF(DD60=1,IF(F60=1,DB60-DM60-DN60,0),0)</f>
        <v>0</v>
      </c>
      <c r="HD60" s="1" t="n">
        <f aca="false">GZ60*(1+GR)</f>
        <v>0</v>
      </c>
      <c r="HE60" s="1" t="n">
        <f aca="false">HA60*(1+AS_Cash)</f>
        <v>0</v>
      </c>
      <c r="HF60" s="1" t="n">
        <f aca="false">IF(V60=1,IF(DD60=1,DR60+DU60,W60-GV60)*(1+Slot1_Rate),0)</f>
        <v>0</v>
      </c>
      <c r="HG60" s="1" t="n">
        <f aca="false">IF(AND(DD60=1,V60=1),(DQ60+DU60)/E60,0)</f>
        <v>0</v>
      </c>
      <c r="HH60" s="1" t="n">
        <f aca="false">IF(B60=0,DQ60+DU60,0)</f>
        <v>0</v>
      </c>
      <c r="HI60" s="1" t="n">
        <f aca="false">IF(B60=0,IF(DD60=1,DS60,DT60),0)</f>
        <v>0</v>
      </c>
      <c r="HJ60" s="1" t="n">
        <f aca="false">IF(AG60=1,IF(DD60=1,DZ60+EC60,AH60-GT60)*(1+Slot2_Rate),0)</f>
        <v>0</v>
      </c>
      <c r="HK60" s="1" t="n">
        <f aca="false">IF(AND(DD60=1,AG60=1),(DY60+EC60)/E60,0)</f>
        <v>0</v>
      </c>
      <c r="HL60" s="1" t="n">
        <f aca="false">IF(B60=0,DY60+EC60,0)</f>
        <v>0</v>
      </c>
      <c r="HM60" s="1" t="n">
        <f aca="false">IF(B60=0,IF(DD60=1,EA60,EB60),0)</f>
        <v>0</v>
      </c>
      <c r="HN60" s="1" t="n">
        <f aca="false">IF(AQ60=1,IF(DD60=1,EH60+EK60,AR60-GR60)*(1+Slot3_Rate),0)</f>
        <v>0</v>
      </c>
      <c r="HO60" s="1" t="n">
        <f aca="false">IF(AND(DD60=1,AQ60=1),(EG60+EK60)/E60,0)</f>
        <v>0</v>
      </c>
      <c r="HP60" s="1" t="n">
        <f aca="false">IF(B60=0,EG60+EK60,0)</f>
        <v>0</v>
      </c>
      <c r="HQ60" s="1" t="n">
        <f aca="false">IF(B60=0,IF(DD60=1,EI60,EJ60),0)</f>
        <v>0</v>
      </c>
      <c r="HR60" s="1" t="n">
        <f aca="false">IF(BA60=1,IF(DD60=1,EP60+ES60,BB60-GP60)*(1+Slot4_Rate),0)</f>
        <v>0</v>
      </c>
      <c r="HS60" s="1" t="n">
        <f aca="false">IF(AND(DD60=1,BA60=1),(EO60+ES60)/E60,0)</f>
        <v>0</v>
      </c>
      <c r="HT60" s="1" t="n">
        <f aca="false">IF(B60=0,EO60+ES60,0)</f>
        <v>0</v>
      </c>
      <c r="HU60" s="1" t="n">
        <f aca="false">IF(B60=0,IF(DD60=1,EQ60,ER60),0)</f>
        <v>0</v>
      </c>
      <c r="HV60" s="1" t="n">
        <f aca="false">IF(BK60=1,IF(DD60=1,EX60+FA60,BL60-GN60)*(1+Slot5_Rate),0)</f>
        <v>0</v>
      </c>
      <c r="HW60" s="1" t="n">
        <f aca="false">IF(AND(DD60=1,BK60=1),(EW60+FA60)/E60,0)</f>
        <v>0</v>
      </c>
      <c r="HX60" s="1" t="n">
        <f aca="false">IF(B60=0,EW60+FA60,0)</f>
        <v>0</v>
      </c>
      <c r="HY60" s="1" t="n">
        <f aca="false">IF(B60=0,IF(DD60=1,EY60,EZ60),0)</f>
        <v>0</v>
      </c>
      <c r="HZ60" s="1" t="n">
        <f aca="false">IF(BU60=1,IF(DD60=1,FF60+FI60,BV60-GL60)*(1+Slot6_Rate),0)</f>
        <v>0</v>
      </c>
      <c r="IA60" s="1" t="n">
        <f aca="false">IF(AND(DD60=1,BU60=1),(FE60+FI60)/E60,0)</f>
        <v>0</v>
      </c>
      <c r="IB60" s="1" t="n">
        <f aca="false">IF(B60=0,FE60+FI60,0)</f>
        <v>0</v>
      </c>
      <c r="IC60" s="1" t="n">
        <f aca="false">IF(B60=0,IF(DD60=1,FG60,FH60),0)</f>
        <v>0</v>
      </c>
      <c r="ID60" s="1" t="n">
        <f aca="false">IF(CE60=1,IF(DD60=1,FN60+FQ60,CF60-GJ60)*(1+Slot7_Rate),0)</f>
        <v>0</v>
      </c>
      <c r="IE60" s="1" t="n">
        <f aca="false">IF(AND(DD60=1,CE60=1),(FM60+FQ60)/E60,0)</f>
        <v>0</v>
      </c>
      <c r="IF60" s="1" t="n">
        <f aca="false">IF(B60=0,FM60+FQ60,0)</f>
        <v>0</v>
      </c>
      <c r="IG60" s="1" t="n">
        <f aca="false">IF(B60=0,IF(DD60=1,FO60,FP60),0)</f>
        <v>0</v>
      </c>
      <c r="IH60" s="1" t="n">
        <f aca="false">IF(CO60=1,IF(DD60=1,FV60+FY60,CP60-GH60)*(1+Slot8_Rate),0)</f>
        <v>0</v>
      </c>
      <c r="II60" s="1" t="n">
        <f aca="false">IF(AND(DD60=1,CO60=1),(FU60+FY60)/E60,0)</f>
        <v>0</v>
      </c>
      <c r="IJ60" s="1" t="n">
        <f aca="false">IF(B60=0,FU60+FY60,0)</f>
        <v>0</v>
      </c>
      <c r="IK60" s="1" t="n">
        <f aca="false">IF(B60=0,IF(DD60=1,FW60,FX60),0)</f>
        <v>0</v>
      </c>
      <c r="IL60" s="1" t="n">
        <f aca="false">HD60+HE60+HF60+HJ60+HN60+HR60+HV60+HZ60+ID60+IH60</f>
        <v>0</v>
      </c>
      <c r="IM60" s="1" t="n">
        <f aca="false">GX60+CY60</f>
        <v>0</v>
      </c>
      <c r="IN60" s="1" t="n">
        <f aca="false">H60+R60</f>
        <v>0</v>
      </c>
      <c r="IO60" s="1" t="n">
        <f aca="false">1-F60</f>
        <v>1</v>
      </c>
      <c r="IP60" s="1" t="n">
        <f aca="false">IF(AND(RG_Exists=1,F60=0,C60=1),H60,0)</f>
        <v>0</v>
      </c>
      <c r="IQ60" s="1" t="n">
        <f aca="false">IF(AND(RG_Exists=1,F60=0,C60=1),H60-MIN(GX60,H60),0)</f>
        <v>0</v>
      </c>
      <c r="IR60" s="1" t="n">
        <f aca="false">'Plan pay &amp; tax'!AD262</f>
        <v>0</v>
      </c>
      <c r="IS60" s="1" t="n">
        <f aca="false">IF(AND(C60=1,GX60&gt;MAX(PR_Short1,IN60*PR_Short2)),1,0)</f>
        <v>0</v>
      </c>
      <c r="IT60" s="1" t="n">
        <f aca="false">MIN(G60,H60+R60)</f>
        <v>0</v>
      </c>
      <c r="IU60" s="1" t="n">
        <f aca="false">GY60+MAX(0,CZ60-CY60)</f>
        <v>0</v>
      </c>
      <c r="IV60" s="1" t="n">
        <f aca="false">GX60+CY60</f>
        <v>0</v>
      </c>
      <c r="IW60" s="1" t="n">
        <f aca="false">IF(AND(C60=1,IV60&gt;0.5),1,0)</f>
        <v>0</v>
      </c>
      <c r="IX60" s="1" t="n">
        <f aca="false">IF(AND(C60=1,IW60=0,IU60&gt;0.5),1,0)</f>
        <v>0</v>
      </c>
      <c r="IY60" s="1" t="n">
        <f aca="false">IF(AND(C60=1,GX60&gt;0.5),1,0)</f>
        <v>0</v>
      </c>
      <c r="IZ60" s="1" t="n">
        <f aca="false">IF(AND(C60=1,GY60&gt;1,JF60=0),1,0)</f>
        <v>0</v>
      </c>
      <c r="JA60" s="1" t="n">
        <f aca="false">IF(AND(INT(D60/10)*10=90,B60&gt;0),80,INT(D60/10)*10)</f>
        <v>50</v>
      </c>
      <c r="JB60" s="1" t="n">
        <f aca="false">IF(B60=0,1,IF(JA60&lt;&gt;JA59,JB59+1,JB59))</f>
        <v>6</v>
      </c>
      <c r="JC60" s="1" t="n">
        <f aca="false">IF(AND(C60=1,F60=1,GX60&gt;MAX(PR_Short1,IN60*PR_Short2)),1,0)</f>
        <v>0</v>
      </c>
      <c r="JD60" s="1" t="n">
        <f aca="false">IO60*IS60</f>
        <v>0</v>
      </c>
      <c r="JE60" s="1" t="n">
        <f aca="false">IF(AND(U60=1,Slot1_PctLow=1),1,0)+IF(AND(AF60=1,Slot2_PctLow=1),1,0)+IF(AND(AP60=1,Slot3_PctLow=1),1,0)+IF(AND(AZ60=1,Slot4_PctLow=1),1,0)+IF(AND(BJ60=1,Slot5_PctLow=1),1,0)+IF(AND(BT60=1,Slot6_PctLow=1),1,0)+IF(AND(CD60=1,Slot7_PctLow=1),1,0)+IF(AND(CN60=1,Slot8_PctLow=1),1,0)</f>
        <v>0</v>
      </c>
      <c r="JF60" s="1" t="n">
        <f aca="false">IF(C60=1,IF(OR(IS60=1,JE60&gt;0),1,0),0)</f>
        <v>0</v>
      </c>
    </row>
    <row r="61" customFormat="false" ht="15" hidden="false" customHeight="false" outlineLevel="0" collapsed="false">
      <c r="B61" s="1" t="n">
        <v>53</v>
      </c>
      <c r="C61" s="1" t="n">
        <f aca="false">IF(B61&lt;=F_N,1,0)</f>
        <v>1</v>
      </c>
      <c r="D61" s="1" t="n">
        <f aca="false">'Plan pay &amp; tax'!C263</f>
        <v>53</v>
      </c>
      <c r="E61" s="106" t="n">
        <f aca="false">'Plan pay &amp; tax'!E263</f>
        <v>2.85633474915715</v>
      </c>
      <c r="F61" s="1" t="n">
        <f aca="false">'Plan pay &amp; tax'!G263</f>
        <v>0</v>
      </c>
      <c r="G61" s="1" t="n">
        <f aca="false">'Plan pay &amp; tax'!BT263-'Plan pay &amp; tax'!BS263-'Plan pay &amp; tax'!R263</f>
        <v>0</v>
      </c>
      <c r="H61" s="1" t="n">
        <f aca="false">IF(F61=1,F_CostsM*12,IF(RG_Exists=1,RG_Amount,F_CostsM*12*AS_RetireSpend))*E61+F_OneOffY*E61</f>
        <v>0</v>
      </c>
      <c r="I61" s="1" t="n">
        <f aca="false">DA60</f>
        <v>0</v>
      </c>
      <c r="J61" s="1" t="n">
        <f aca="false">IF(I61&gt;1,'Plan debt months'!AC61,0)</f>
        <v>0</v>
      </c>
      <c r="K61" s="1" t="n">
        <f aca="false">IF(I61&gt;1,'Plan debt months'!AB61,I61)</f>
        <v>0</v>
      </c>
      <c r="L61" s="1" t="n">
        <f aca="false">N60</f>
        <v>0</v>
      </c>
      <c r="M61" s="1" t="n">
        <f aca="false">IF(L61&gt;1,'Plan debt months'!BD61,0)</f>
        <v>0</v>
      </c>
      <c r="N61" s="1" t="n">
        <f aca="false">IF(L61&gt;1,'Plan debt months'!BC61,L61)</f>
        <v>0</v>
      </c>
      <c r="O61" s="1" t="n">
        <f aca="false">Q60</f>
        <v>0</v>
      </c>
      <c r="P61" s="1" t="n">
        <f aca="false">IF(O61&gt;1,'Plan debt months'!CE61,0)</f>
        <v>0</v>
      </c>
      <c r="Q61" s="1" t="n">
        <f aca="false">IF(O61&gt;1,'Plan debt months'!CD61,O61)</f>
        <v>0</v>
      </c>
      <c r="R61" s="1" t="n">
        <f aca="false">J61+M61+P61</f>
        <v>0</v>
      </c>
      <c r="S61" s="1" t="n">
        <f aca="false">HD60+'Plan pay &amp; tax'!Y263</f>
        <v>0</v>
      </c>
      <c r="T61" s="1" t="n">
        <f aca="false">HD60</f>
        <v>0</v>
      </c>
      <c r="U61" s="1" t="n">
        <f aca="false">IF(AND(Slot1_On=1,D61=Slot1_Age),1,0)</f>
        <v>0</v>
      </c>
      <c r="V61" s="1" t="n">
        <f aca="false">IF(AND(Slot1_On=1,Slot1_Age&gt;D61),1,0)</f>
        <v>0</v>
      </c>
      <c r="W61" s="1" t="n">
        <f aca="false">HF60</f>
        <v>0</v>
      </c>
      <c r="X61" s="1" t="n">
        <f aca="false">U61*MIN(Slot1_Cost,W61)</f>
        <v>0</v>
      </c>
      <c r="Y61" s="1" t="n">
        <f aca="false">U61*Slot1_SpendLike*MIN(Slot1_Cost-X61,S61)</f>
        <v>0</v>
      </c>
      <c r="Z61" s="1" t="n">
        <f aca="false">X61+Y61</f>
        <v>0</v>
      </c>
      <c r="AA61" s="1" t="n">
        <f aca="false">S61-Y61+U61*IF(Slot1_SpendLike=1,W61-X61,IF(Slot1_PotFree=1,W61,0))</f>
        <v>0</v>
      </c>
      <c r="AB61" s="1" t="n">
        <f aca="false">AE61+U61*Slot1_BufPot*W61</f>
        <v>0</v>
      </c>
      <c r="AC61" s="1" t="n">
        <f aca="false">IF(AND(U61=1,Slot1_IsMfree=1),IF(Z61&gt;=Slot1_Cost-1,0,MAX(0,K61-Z61)),K61)</f>
        <v>0</v>
      </c>
      <c r="AD61" s="1" t="n">
        <f aca="false">U61*(Slot1_Cost-Z61)</f>
        <v>0</v>
      </c>
      <c r="AE61" s="1" t="n">
        <f aca="false">HE60</f>
        <v>0</v>
      </c>
      <c r="AF61" s="1" t="n">
        <f aca="false">IF(AND(Slot2_On=1,D61=Slot2_Age),1,0)</f>
        <v>0</v>
      </c>
      <c r="AG61" s="1" t="n">
        <f aca="false">IF(AND(Slot2_On=1,Slot2_Age&gt;D61),1,0)</f>
        <v>0</v>
      </c>
      <c r="AH61" s="1" t="n">
        <f aca="false">HJ60</f>
        <v>0</v>
      </c>
      <c r="AI61" s="1" t="n">
        <f aca="false">AF61*MIN(Slot2_Cost,AH61)</f>
        <v>0</v>
      </c>
      <c r="AJ61" s="1" t="n">
        <f aca="false">AF61*Slot2_SpendLike*MIN(Slot2_Cost-AI61,AA61)</f>
        <v>0</v>
      </c>
      <c r="AK61" s="1" t="n">
        <f aca="false">AI61+AJ61</f>
        <v>0</v>
      </c>
      <c r="AL61" s="1" t="n">
        <f aca="false">AA61-AJ61+AF61*IF(Slot2_SpendLike=1,AH61-AI61,IF(Slot2_PotFree=1,AH61,0))</f>
        <v>0</v>
      </c>
      <c r="AM61" s="1" t="n">
        <f aca="false">AB61+AF61*Slot2_BufPot*AH61</f>
        <v>0</v>
      </c>
      <c r="AN61" s="1" t="n">
        <f aca="false">IF(AND(AF61=1,Slot2_IsMfree=1),IF(AK61&gt;=Slot2_Cost-1,0,MAX(0,AC61-AK61)),AC61)</f>
        <v>0</v>
      </c>
      <c r="AO61" s="1" t="n">
        <f aca="false">AF61*(Slot2_Cost-AK61)</f>
        <v>0</v>
      </c>
      <c r="AP61" s="1" t="n">
        <f aca="false">IF(AND(Slot3_On=1,D61=Slot3_Age),1,0)</f>
        <v>0</v>
      </c>
      <c r="AQ61" s="1" t="n">
        <f aca="false">IF(AND(Slot3_On=1,Slot3_Age&gt;D61),1,0)</f>
        <v>0</v>
      </c>
      <c r="AR61" s="1" t="n">
        <f aca="false">HN60</f>
        <v>0</v>
      </c>
      <c r="AS61" s="1" t="n">
        <f aca="false">AP61*MIN(Slot3_Cost,AR61)</f>
        <v>0</v>
      </c>
      <c r="AT61" s="1" t="n">
        <f aca="false">AP61*Slot3_SpendLike*MIN(Slot3_Cost-AS61,AL61)</f>
        <v>0</v>
      </c>
      <c r="AU61" s="1" t="n">
        <f aca="false">AS61+AT61</f>
        <v>0</v>
      </c>
      <c r="AV61" s="1" t="n">
        <f aca="false">AL61-AT61+AP61*IF(Slot3_SpendLike=1,AR61-AS61,IF(Slot3_PotFree=1,AR61,0))</f>
        <v>0</v>
      </c>
      <c r="AW61" s="1" t="n">
        <f aca="false">AM61+AP61*Slot3_BufPot*AR61</f>
        <v>0</v>
      </c>
      <c r="AX61" s="1" t="n">
        <f aca="false">IF(AND(AP61=1,Slot3_IsMfree=1),IF(AU61&gt;=Slot3_Cost-1,0,MAX(0,AN61-AU61)),AN61)</f>
        <v>0</v>
      </c>
      <c r="AY61" s="1" t="n">
        <f aca="false">AP61*(Slot3_Cost-AU61)</f>
        <v>0</v>
      </c>
      <c r="AZ61" s="1" t="n">
        <f aca="false">IF(AND(Slot4_On=1,D61=Slot4_Age),1,0)</f>
        <v>0</v>
      </c>
      <c r="BA61" s="1" t="n">
        <f aca="false">IF(AND(Slot4_On=1,Slot4_Age&gt;D61),1,0)</f>
        <v>0</v>
      </c>
      <c r="BB61" s="1" t="n">
        <f aca="false">HR60</f>
        <v>0</v>
      </c>
      <c r="BC61" s="1" t="n">
        <f aca="false">AZ61*MIN(Slot4_Cost,BB61)</f>
        <v>0</v>
      </c>
      <c r="BD61" s="1" t="n">
        <f aca="false">AZ61*Slot4_SpendLike*MIN(Slot4_Cost-BC61,AV61)</f>
        <v>0</v>
      </c>
      <c r="BE61" s="1" t="n">
        <f aca="false">BC61+BD61</f>
        <v>0</v>
      </c>
      <c r="BF61" s="1" t="n">
        <f aca="false">AV61-BD61+AZ61*IF(Slot4_SpendLike=1,BB61-BC61,IF(Slot4_PotFree=1,BB61,0))</f>
        <v>0</v>
      </c>
      <c r="BG61" s="1" t="n">
        <f aca="false">AW61+AZ61*Slot4_BufPot*BB61</f>
        <v>0</v>
      </c>
      <c r="BH61" s="1" t="n">
        <f aca="false">IF(AND(AZ61=1,Slot4_IsMfree=1),IF(BE61&gt;=Slot4_Cost-1,0,MAX(0,AX61-BE61)),AX61)</f>
        <v>0</v>
      </c>
      <c r="BI61" s="1" t="n">
        <f aca="false">AZ61*(Slot4_Cost-BE61)</f>
        <v>0</v>
      </c>
      <c r="BJ61" s="1" t="n">
        <f aca="false">IF(AND(Slot5_On=1,D61=Slot5_Age),1,0)</f>
        <v>0</v>
      </c>
      <c r="BK61" s="1" t="n">
        <f aca="false">IF(AND(Slot5_On=1,Slot5_Age&gt;D61),1,0)</f>
        <v>0</v>
      </c>
      <c r="BL61" s="1" t="n">
        <f aca="false">HV60</f>
        <v>0</v>
      </c>
      <c r="BM61" s="1" t="n">
        <f aca="false">BJ61*MIN(Slot5_Cost,BL61)</f>
        <v>0</v>
      </c>
      <c r="BN61" s="1" t="n">
        <f aca="false">BJ61*Slot5_SpendLike*MIN(Slot5_Cost-BM61,BF61)</f>
        <v>0</v>
      </c>
      <c r="BO61" s="1" t="n">
        <f aca="false">BM61+BN61</f>
        <v>0</v>
      </c>
      <c r="BP61" s="1" t="n">
        <f aca="false">BF61-BN61+BJ61*IF(Slot5_SpendLike=1,BL61-BM61,IF(Slot5_PotFree=1,BL61,0))</f>
        <v>0</v>
      </c>
      <c r="BQ61" s="1" t="n">
        <f aca="false">BG61+BJ61*Slot5_BufPot*BL61</f>
        <v>0</v>
      </c>
      <c r="BR61" s="1" t="n">
        <f aca="false">IF(AND(BJ61=1,Slot5_IsMfree=1),IF(BO61&gt;=Slot5_Cost-1,0,MAX(0,BH61-BO61)),BH61)</f>
        <v>0</v>
      </c>
      <c r="BS61" s="1" t="n">
        <f aca="false">BJ61*(Slot5_Cost-BO61)</f>
        <v>0</v>
      </c>
      <c r="BT61" s="1" t="n">
        <f aca="false">IF(AND(Slot6_On=1,D61=Slot6_Age),1,0)</f>
        <v>0</v>
      </c>
      <c r="BU61" s="1" t="n">
        <f aca="false">IF(AND(Slot6_On=1,Slot6_Age&gt;D61),1,0)</f>
        <v>0</v>
      </c>
      <c r="BV61" s="1" t="n">
        <f aca="false">HZ60</f>
        <v>0</v>
      </c>
      <c r="BW61" s="1" t="n">
        <f aca="false">BT61*MIN(Slot6_Cost,BV61)</f>
        <v>0</v>
      </c>
      <c r="BX61" s="1" t="n">
        <f aca="false">BT61*Slot6_SpendLike*MIN(Slot6_Cost-BW61,BP61)</f>
        <v>0</v>
      </c>
      <c r="BY61" s="1" t="n">
        <f aca="false">BW61+BX61</f>
        <v>0</v>
      </c>
      <c r="BZ61" s="1" t="n">
        <f aca="false">BP61-BX61+BT61*IF(Slot6_SpendLike=1,BV61-BW61,IF(Slot6_PotFree=1,BV61,0))</f>
        <v>0</v>
      </c>
      <c r="CA61" s="1" t="n">
        <f aca="false">BQ61+BT61*Slot6_BufPot*BV61</f>
        <v>0</v>
      </c>
      <c r="CB61" s="1" t="n">
        <f aca="false">IF(AND(BT61=1,Slot6_IsMfree=1),IF(BY61&gt;=Slot6_Cost-1,0,MAX(0,BR61-BY61)),BR61)</f>
        <v>0</v>
      </c>
      <c r="CC61" s="1" t="n">
        <f aca="false">BT61*(Slot6_Cost-BY61)</f>
        <v>0</v>
      </c>
      <c r="CD61" s="1" t="n">
        <f aca="false">IF(AND(Slot7_On=1,D61=Slot7_Age),1,0)</f>
        <v>0</v>
      </c>
      <c r="CE61" s="1" t="n">
        <f aca="false">IF(AND(Slot7_On=1,Slot7_Age&gt;D61),1,0)</f>
        <v>0</v>
      </c>
      <c r="CF61" s="1" t="n">
        <f aca="false">ID60</f>
        <v>0</v>
      </c>
      <c r="CG61" s="1" t="n">
        <f aca="false">CD61*MIN(Slot7_Cost,CF61)</f>
        <v>0</v>
      </c>
      <c r="CH61" s="1" t="n">
        <f aca="false">CD61*Slot7_SpendLike*MIN(Slot7_Cost-CG61,BZ61)</f>
        <v>0</v>
      </c>
      <c r="CI61" s="1" t="n">
        <f aca="false">CG61+CH61</f>
        <v>0</v>
      </c>
      <c r="CJ61" s="1" t="n">
        <f aca="false">BZ61-CH61+CD61*IF(Slot7_SpendLike=1,CF61-CG61,IF(Slot7_PotFree=1,CF61,0))</f>
        <v>0</v>
      </c>
      <c r="CK61" s="1" t="n">
        <f aca="false">CA61+CD61*Slot7_BufPot*CF61</f>
        <v>0</v>
      </c>
      <c r="CL61" s="1" t="n">
        <f aca="false">IF(AND(CD61=1,Slot7_IsMfree=1),IF(CI61&gt;=Slot7_Cost-1,0,MAX(0,CB61-CI61)),CB61)</f>
        <v>0</v>
      </c>
      <c r="CM61" s="1" t="n">
        <f aca="false">CD61*(Slot7_Cost-CI61)</f>
        <v>0</v>
      </c>
      <c r="CN61" s="1" t="n">
        <f aca="false">IF(AND(Slot8_On=1,D61=Slot8_Age),1,0)</f>
        <v>0</v>
      </c>
      <c r="CO61" s="1" t="n">
        <f aca="false">IF(AND(Slot8_On=1,Slot8_Age&gt;D61),1,0)</f>
        <v>0</v>
      </c>
      <c r="CP61" s="1" t="n">
        <f aca="false">IH60</f>
        <v>0</v>
      </c>
      <c r="CQ61" s="1" t="n">
        <f aca="false">CN61*MIN(Slot8_Cost,CP61)</f>
        <v>0</v>
      </c>
      <c r="CR61" s="1" t="n">
        <f aca="false">CN61*Slot8_SpendLike*MIN(Slot8_Cost-CQ61,CJ61)</f>
        <v>0</v>
      </c>
      <c r="CS61" s="1" t="n">
        <f aca="false">CQ61+CR61</f>
        <v>0</v>
      </c>
      <c r="CT61" s="1" t="n">
        <f aca="false">CJ61-CR61+CN61*IF(Slot8_SpendLike=1,CP61-CQ61,IF(Slot8_PotFree=1,CP61,0))</f>
        <v>0</v>
      </c>
      <c r="CU61" s="1" t="n">
        <f aca="false">CK61+CN61*Slot8_BufPot*CP61</f>
        <v>0</v>
      </c>
      <c r="CV61" s="1" t="n">
        <f aca="false">IF(AND(CN61=1,Slot8_IsMfree=1),IF(CS61&gt;=Slot8_Cost-1,0,MAX(0,CL61-CS61)),CL61)</f>
        <v>0</v>
      </c>
      <c r="CW61" s="1" t="n">
        <f aca="false">CN61*(Slot8_Cost-CS61)</f>
        <v>0</v>
      </c>
      <c r="CX61" s="1" t="n">
        <f aca="false">U61*Slot1_SpendLike*Z61+AF61*Slot2_SpendLike*AK61+AP61*Slot3_SpendLike*AU61+AZ61*Slot4_SpendLike*BE61+BJ61*Slot5_SpendLike*BO61+BT61*Slot6_SpendLike*BY61+CD61*Slot7_SpendLike*CI61+CN61*Slot8_SpendLike*CS61</f>
        <v>0</v>
      </c>
      <c r="CY61" s="1" t="n">
        <f aca="false">AD61+AO61+AY61+BI61+BS61+CC61+CM61+CW61</f>
        <v>0</v>
      </c>
      <c r="CZ61" s="1" t="n">
        <f aca="false">U61*Slot1_Cost+AF61*Slot2_Cost+AP61*Slot3_Cost+AZ61*Slot4_Cost+BJ61*Slot5_Cost+BT61*Slot6_Cost+CD61*Slot7_Cost+CN61*Slot8_Cost</f>
        <v>0</v>
      </c>
      <c r="DA61" s="1" t="n">
        <f aca="false">CV61</f>
        <v>0</v>
      </c>
      <c r="DB61" s="1" t="n">
        <f aca="false">G61-H61-R61</f>
        <v>0</v>
      </c>
      <c r="DC61" s="1" t="n">
        <f aca="false">IF(B61=0,IF(AND(Has_q6=1,In_q6=4),PR_ShareVaries*(MAX(0,DB61)/12),MIN(IF(Has_q6=1,CHOOSE(In_q6+1,PR_SaveB1,PR_SaveB2,PR_SaveB3,PR_SaveB4,0),AS_NoAnswer),AS_SaveShare*(MAX(0,DB61)/12))),DC60)</f>
        <v>0</v>
      </c>
      <c r="DD61" s="1" t="n">
        <f aca="false">IF(DB61&gt;=0,1,0)</f>
        <v>1</v>
      </c>
      <c r="DE61" s="1" t="n">
        <f aca="false">MAX(0,DB61/12/E61)</f>
        <v>0</v>
      </c>
      <c r="DF61" s="1" t="n">
        <f aca="false">IF(AND(Has_q6=1,In_q6=4),PR_ShareVaries*(DE61),MIN(IF(Has_q6=1,CHOOSE(In_q6+1,PR_SaveB1,PR_SaveB2,PR_SaveB3,PR_SaveB4,0),AS_NoAnswer),AS_SaveShare*(DE61)))</f>
        <v>0</v>
      </c>
      <c r="DG61" s="1" t="n">
        <f aca="false">IF(Has_saveM=1,IF(In_saveUp="Yes",1,IF(In_saveUp="No",0,IF(In_saveM&gt;=DC61-0.5,1,0))),0)</f>
        <v>0</v>
      </c>
      <c r="DH61" s="1" t="n">
        <f aca="false">IF(Has_saveM=1,MIN(DE61,IF(DG61=1,MAX(In_saveM,DF61),MIN(In_saveM,DF61))),DF61)</f>
        <v>0</v>
      </c>
      <c r="DI61" s="1" t="n">
        <f aca="false">IF(F61=1,DH61*12*E61,0)</f>
        <v>0</v>
      </c>
      <c r="DJ61" s="1" t="n">
        <f aca="false">MAX(0,DI61+IF(AND(WI_Retire=0,WI_M&lt;0,F61=1),WI_M*12*E61,0))</f>
        <v>0</v>
      </c>
      <c r="DK61" s="1" t="n">
        <f aca="false">Slot1_IsWG*V61+Slot2_IsWG*AG61+Slot3_IsWG*AQ61+Slot4_IsWG*BA61+Slot5_IsWG*BK61+Slot6_IsWG*BU61+Slot7_IsWG*CE61+Slot8_IsWG*CO61</f>
        <v>0</v>
      </c>
      <c r="DL61" s="1" t="n">
        <f aca="false">IF(AND(WI_Retire=0,WI_M&gt;0,F61=1,DK61&gt;=1),WI_M*12*E61,0)</f>
        <v>0</v>
      </c>
      <c r="DM61" s="1" t="n">
        <f aca="false">IF(DD61=1,MIN(DJ61,DB61),0)</f>
        <v>0</v>
      </c>
      <c r="DN61" s="1" t="n">
        <f aca="false">IF(DD61=1,MIN(DL61,DB61-DM61),0)</f>
        <v>0</v>
      </c>
      <c r="DO61" s="1" t="n">
        <f aca="false">IF(V61=1,IF(ABS((1+AS_Wage)/(1+Slot1_Rate)-1)&lt;0.000000000001,(Slot1_Age-D61)*(1+Slot1_Rate)^(Slot1_Age-D61),(1+Slot1_Rate)^(Slot1_Age-D61)*(1-((1+AS_Wage)/(1+Slot1_Rate))^(Slot1_Age-D61))/(1-(1+AS_Wage)/(1+Slot1_Rate))),1)</f>
        <v>1</v>
      </c>
      <c r="DP61" s="1" t="n">
        <f aca="false">IF(AND(DD61=1,DN61&gt;0,Slot1_IsWG=1,V61=1),MAX(0,(Slot1_Cost-W61*(1+Slot1_Rate)^(Slot1_Age-D61))/DO61),0)</f>
        <v>0</v>
      </c>
      <c r="DQ61" s="1" t="n">
        <f aca="false">IF(AND(DD61=1,DN61&gt;0,Slot1_IsWG=1,V61=1),MIN(DN61,DP61),0)</f>
        <v>0</v>
      </c>
      <c r="DR61" s="1" t="n">
        <f aca="false">W61+DQ61</f>
        <v>0</v>
      </c>
      <c r="DS61" s="1" t="n">
        <f aca="false">IF(V61=1,MAX(0,(Slot1_Cost-DR61*(1+Slot1_Rate)^(Slot1_Age-D61))/DO61),0)</f>
        <v>0</v>
      </c>
      <c r="DT61" s="1" t="n">
        <f aca="false">IF(V61=1,MAX(0,(Slot1_Cost-W61*(1+Slot1_Rate)^(Slot1_Age-D61))/DO61),0)</f>
        <v>0</v>
      </c>
      <c r="DU61" s="1" t="n">
        <f aca="false">IF(AND(DD61=1,V61=1),MIN(DM61,DS61),0)</f>
        <v>0</v>
      </c>
      <c r="DV61" s="1" t="n">
        <f aca="false">DM61-DU61</f>
        <v>0</v>
      </c>
      <c r="DW61" s="1" t="n">
        <f aca="false">IF(AG61=1,IF(ABS((1+AS_Wage)/(1+Slot2_Rate)-1)&lt;0.000000000001,(Slot2_Age-D61)*(1+Slot2_Rate)^(Slot2_Age-D61),(1+Slot2_Rate)^(Slot2_Age-D61)*(1-((1+AS_Wage)/(1+Slot2_Rate))^(Slot2_Age-D61))/(1-(1+AS_Wage)/(1+Slot2_Rate))),1)</f>
        <v>1</v>
      </c>
      <c r="DX61" s="1" t="n">
        <f aca="false">IF(AND(DD61=1,DN61&gt;0,Slot2_IsWG=1,AG61=1),MAX(0,(Slot2_Cost-AH61*(1+Slot2_Rate)^(Slot2_Age-D61))/DW61),0)</f>
        <v>0</v>
      </c>
      <c r="DY61" s="1" t="n">
        <f aca="false">IF(AND(DD61=1,DN61&gt;0,Slot2_IsWG=1,AG61=1),MIN(DN61,DX61),0)</f>
        <v>0</v>
      </c>
      <c r="DZ61" s="1" t="n">
        <f aca="false">AH61+DY61</f>
        <v>0</v>
      </c>
      <c r="EA61" s="1" t="n">
        <f aca="false">IF(AG61=1,MAX(0,(Slot2_Cost-DZ61*(1+Slot2_Rate)^(Slot2_Age-D61))/DW61),0)</f>
        <v>0</v>
      </c>
      <c r="EB61" s="1" t="n">
        <f aca="false">IF(AG61=1,MAX(0,(Slot2_Cost-AH61*(1+Slot2_Rate)^(Slot2_Age-D61))/DW61),0)</f>
        <v>0</v>
      </c>
      <c r="EC61" s="1" t="n">
        <f aca="false">IF(AND(DD61=1,AG61=1),MIN(DV61,EA61),0)</f>
        <v>0</v>
      </c>
      <c r="ED61" s="1" t="n">
        <f aca="false">DV61-EC61</f>
        <v>0</v>
      </c>
      <c r="EE61" s="1" t="n">
        <f aca="false">IF(AQ61=1,IF(ABS((1+AS_Wage)/(1+Slot3_Rate)-1)&lt;0.000000000001,(Slot3_Age-D61)*(1+Slot3_Rate)^(Slot3_Age-D61),(1+Slot3_Rate)^(Slot3_Age-D61)*(1-((1+AS_Wage)/(1+Slot3_Rate))^(Slot3_Age-D61))/(1-(1+AS_Wage)/(1+Slot3_Rate))),1)</f>
        <v>1</v>
      </c>
      <c r="EF61" s="1" t="n">
        <f aca="false">IF(AND(DD61=1,DN61&gt;0,Slot3_IsWG=1,AQ61=1),MAX(0,(Slot3_Cost-AR61*(1+Slot3_Rate)^(Slot3_Age-D61))/EE61),0)</f>
        <v>0</v>
      </c>
      <c r="EG61" s="1" t="n">
        <f aca="false">IF(AND(DD61=1,DN61&gt;0,Slot3_IsWG=1,AQ61=1),MIN(DN61,EF61),0)</f>
        <v>0</v>
      </c>
      <c r="EH61" s="1" t="n">
        <f aca="false">AR61+EG61</f>
        <v>0</v>
      </c>
      <c r="EI61" s="1" t="n">
        <f aca="false">IF(AQ61=1,MAX(0,(Slot3_Cost-EH61*(1+Slot3_Rate)^(Slot3_Age-D61))/EE61),0)</f>
        <v>0</v>
      </c>
      <c r="EJ61" s="1" t="n">
        <f aca="false">IF(AQ61=1,MAX(0,(Slot3_Cost-AR61*(1+Slot3_Rate)^(Slot3_Age-D61))/EE61),0)</f>
        <v>0</v>
      </c>
      <c r="EK61" s="1" t="n">
        <f aca="false">IF(AND(DD61=1,AQ61=1),MIN(ED61,EI61),0)</f>
        <v>0</v>
      </c>
      <c r="EL61" s="1" t="n">
        <f aca="false">ED61-EK61</f>
        <v>0</v>
      </c>
      <c r="EM61" s="1" t="n">
        <f aca="false">IF(BA61=1,IF(ABS((1+AS_Wage)/(1+Slot4_Rate)-1)&lt;0.000000000001,(Slot4_Age-D61)*(1+Slot4_Rate)^(Slot4_Age-D61),(1+Slot4_Rate)^(Slot4_Age-D61)*(1-((1+AS_Wage)/(1+Slot4_Rate))^(Slot4_Age-D61))/(1-(1+AS_Wage)/(1+Slot4_Rate))),1)</f>
        <v>1</v>
      </c>
      <c r="EN61" s="1" t="n">
        <f aca="false">IF(AND(DD61=1,DN61&gt;0,Slot4_IsWG=1,BA61=1),MAX(0,(Slot4_Cost-BB61*(1+Slot4_Rate)^(Slot4_Age-D61))/EM61),0)</f>
        <v>0</v>
      </c>
      <c r="EO61" s="1" t="n">
        <f aca="false">IF(AND(DD61=1,DN61&gt;0,Slot4_IsWG=1,BA61=1),MIN(DN61,EN61),0)</f>
        <v>0</v>
      </c>
      <c r="EP61" s="1" t="n">
        <f aca="false">BB61+EO61</f>
        <v>0</v>
      </c>
      <c r="EQ61" s="1" t="n">
        <f aca="false">IF(BA61=1,MAX(0,(Slot4_Cost-EP61*(1+Slot4_Rate)^(Slot4_Age-D61))/EM61),0)</f>
        <v>0</v>
      </c>
      <c r="ER61" s="1" t="n">
        <f aca="false">IF(BA61=1,MAX(0,(Slot4_Cost-BB61*(1+Slot4_Rate)^(Slot4_Age-D61))/EM61),0)</f>
        <v>0</v>
      </c>
      <c r="ES61" s="1" t="n">
        <f aca="false">IF(AND(DD61=1,BA61=1),MIN(EL61,EQ61),0)</f>
        <v>0</v>
      </c>
      <c r="ET61" s="1" t="n">
        <f aca="false">EL61-ES61</f>
        <v>0</v>
      </c>
      <c r="EU61" s="1" t="n">
        <f aca="false">IF(BK61=1,IF(ABS((1+AS_Wage)/(1+Slot5_Rate)-1)&lt;0.000000000001,(Slot5_Age-D61)*(1+Slot5_Rate)^(Slot5_Age-D61),(1+Slot5_Rate)^(Slot5_Age-D61)*(1-((1+AS_Wage)/(1+Slot5_Rate))^(Slot5_Age-D61))/(1-(1+AS_Wage)/(1+Slot5_Rate))),1)</f>
        <v>1</v>
      </c>
      <c r="EV61" s="1" t="n">
        <f aca="false">IF(AND(DD61=1,DN61&gt;0,Slot5_IsWG=1,BK61=1),MAX(0,(Slot5_Cost-BL61*(1+Slot5_Rate)^(Slot5_Age-D61))/EU61),0)</f>
        <v>0</v>
      </c>
      <c r="EW61" s="1" t="n">
        <f aca="false">IF(AND(DD61=1,DN61&gt;0,Slot5_IsWG=1,BK61=1),MIN(DN61,EV61),0)</f>
        <v>0</v>
      </c>
      <c r="EX61" s="1" t="n">
        <f aca="false">BL61+EW61</f>
        <v>0</v>
      </c>
      <c r="EY61" s="1" t="n">
        <f aca="false">IF(BK61=1,MAX(0,(Slot5_Cost-EX61*(1+Slot5_Rate)^(Slot5_Age-D61))/EU61),0)</f>
        <v>0</v>
      </c>
      <c r="EZ61" s="1" t="n">
        <f aca="false">IF(BK61=1,MAX(0,(Slot5_Cost-BL61*(1+Slot5_Rate)^(Slot5_Age-D61))/EU61),0)</f>
        <v>0</v>
      </c>
      <c r="FA61" s="1" t="n">
        <f aca="false">IF(AND(DD61=1,BK61=1),MIN(ET61,EY61),0)</f>
        <v>0</v>
      </c>
      <c r="FB61" s="1" t="n">
        <f aca="false">ET61-FA61</f>
        <v>0</v>
      </c>
      <c r="FC61" s="1" t="n">
        <f aca="false">IF(BU61=1,IF(ABS((1+AS_Wage)/(1+Slot6_Rate)-1)&lt;0.000000000001,(Slot6_Age-D61)*(1+Slot6_Rate)^(Slot6_Age-D61),(1+Slot6_Rate)^(Slot6_Age-D61)*(1-((1+AS_Wage)/(1+Slot6_Rate))^(Slot6_Age-D61))/(1-(1+AS_Wage)/(1+Slot6_Rate))),1)</f>
        <v>1</v>
      </c>
      <c r="FD61" s="1" t="n">
        <f aca="false">IF(AND(DD61=1,DN61&gt;0,Slot6_IsWG=1,BU61=1),MAX(0,(Slot6_Cost-BV61*(1+Slot6_Rate)^(Slot6_Age-D61))/FC61),0)</f>
        <v>0</v>
      </c>
      <c r="FE61" s="1" t="n">
        <f aca="false">IF(AND(DD61=1,DN61&gt;0,Slot6_IsWG=1,BU61=1),MIN(DN61,FD61),0)</f>
        <v>0</v>
      </c>
      <c r="FF61" s="1" t="n">
        <f aca="false">BV61+FE61</f>
        <v>0</v>
      </c>
      <c r="FG61" s="1" t="n">
        <f aca="false">IF(BU61=1,MAX(0,(Slot6_Cost-FF61*(1+Slot6_Rate)^(Slot6_Age-D61))/FC61),0)</f>
        <v>0</v>
      </c>
      <c r="FH61" s="1" t="n">
        <f aca="false">IF(BU61=1,MAX(0,(Slot6_Cost-BV61*(1+Slot6_Rate)^(Slot6_Age-D61))/FC61),0)</f>
        <v>0</v>
      </c>
      <c r="FI61" s="1" t="n">
        <f aca="false">IF(AND(DD61=1,BU61=1),MIN(FB61,FG61),0)</f>
        <v>0</v>
      </c>
      <c r="FJ61" s="1" t="n">
        <f aca="false">FB61-FI61</f>
        <v>0</v>
      </c>
      <c r="FK61" s="1" t="n">
        <f aca="false">IF(CE61=1,IF(ABS((1+AS_Wage)/(1+Slot7_Rate)-1)&lt;0.000000000001,(Slot7_Age-D61)*(1+Slot7_Rate)^(Slot7_Age-D61),(1+Slot7_Rate)^(Slot7_Age-D61)*(1-((1+AS_Wage)/(1+Slot7_Rate))^(Slot7_Age-D61))/(1-(1+AS_Wage)/(1+Slot7_Rate))),1)</f>
        <v>1</v>
      </c>
      <c r="FL61" s="1" t="n">
        <f aca="false">IF(AND(DD61=1,DN61&gt;0,Slot7_IsWG=1,CE61=1),MAX(0,(Slot7_Cost-CF61*(1+Slot7_Rate)^(Slot7_Age-D61))/FK61),0)</f>
        <v>0</v>
      </c>
      <c r="FM61" s="1" t="n">
        <f aca="false">IF(AND(DD61=1,DN61&gt;0,Slot7_IsWG=1,CE61=1),MIN(DN61,FL61),0)</f>
        <v>0</v>
      </c>
      <c r="FN61" s="1" t="n">
        <f aca="false">CF61+FM61</f>
        <v>0</v>
      </c>
      <c r="FO61" s="1" t="n">
        <f aca="false">IF(CE61=1,MAX(0,(Slot7_Cost-FN61*(1+Slot7_Rate)^(Slot7_Age-D61))/FK61),0)</f>
        <v>0</v>
      </c>
      <c r="FP61" s="1" t="n">
        <f aca="false">IF(CE61=1,MAX(0,(Slot7_Cost-CF61*(1+Slot7_Rate)^(Slot7_Age-D61))/FK61),0)</f>
        <v>0</v>
      </c>
      <c r="FQ61" s="1" t="n">
        <f aca="false">IF(AND(DD61=1,CE61=1),MIN(FJ61,FO61),0)</f>
        <v>0</v>
      </c>
      <c r="FR61" s="1" t="n">
        <f aca="false">FJ61-FQ61</f>
        <v>0</v>
      </c>
      <c r="FS61" s="1" t="n">
        <f aca="false">IF(CO61=1,IF(ABS((1+AS_Wage)/(1+Slot8_Rate)-1)&lt;0.000000000001,(Slot8_Age-D61)*(1+Slot8_Rate)^(Slot8_Age-D61),(1+Slot8_Rate)^(Slot8_Age-D61)*(1-((1+AS_Wage)/(1+Slot8_Rate))^(Slot8_Age-D61))/(1-(1+AS_Wage)/(1+Slot8_Rate))),1)</f>
        <v>1</v>
      </c>
      <c r="FT61" s="1" t="n">
        <f aca="false">IF(AND(DD61=1,DN61&gt;0,Slot8_IsWG=1,CO61=1),MAX(0,(Slot8_Cost-CP61*(1+Slot8_Rate)^(Slot8_Age-D61))/FS61),0)</f>
        <v>0</v>
      </c>
      <c r="FU61" s="1" t="n">
        <f aca="false">IF(AND(DD61=1,DN61&gt;0,Slot8_IsWG=1,CO61=1),MIN(DN61,FT61),0)</f>
        <v>0</v>
      </c>
      <c r="FV61" s="1" t="n">
        <f aca="false">CP61+FU61</f>
        <v>0</v>
      </c>
      <c r="FW61" s="1" t="n">
        <f aca="false">IF(CO61=1,MAX(0,(Slot8_Cost-FV61*(1+Slot8_Rate)^(Slot8_Age-D61))/FS61),0)</f>
        <v>0</v>
      </c>
      <c r="FX61" s="1" t="n">
        <f aca="false">IF(CO61=1,MAX(0,(Slot8_Cost-CP61*(1+Slot8_Rate)^(Slot8_Age-D61))/FS61),0)</f>
        <v>0</v>
      </c>
      <c r="FY61" s="1" t="n">
        <f aca="false">IF(AND(DD61=1,CO61=1),MIN(FR61,FW61),0)</f>
        <v>0</v>
      </c>
      <c r="FZ61" s="1" t="n">
        <f aca="false">FR61-FY61</f>
        <v>0</v>
      </c>
      <c r="GA61" s="1" t="n">
        <f aca="false">DN61-(DQ61+DY61+EG61+EO61+EW61+FE61+FM61+FU61)</f>
        <v>0</v>
      </c>
      <c r="GB61" s="1" t="n">
        <f aca="false">IF(DD61=1,DB61-DM61-DN61,0)</f>
        <v>0</v>
      </c>
      <c r="GC61" s="1" t="n">
        <f aca="false">IF(DD61=0,-DB61,0)</f>
        <v>0</v>
      </c>
      <c r="GD61" s="1" t="n">
        <f aca="false">MIN(GC61,CT61)</f>
        <v>0</v>
      </c>
      <c r="GE61" s="1" t="n">
        <f aca="false">GC61-GD61</f>
        <v>0</v>
      </c>
      <c r="GF61" s="1" t="n">
        <f aca="false">MIN(GE61,CU61)</f>
        <v>0</v>
      </c>
      <c r="GG61" s="1" t="n">
        <f aca="false">GE61-GF61</f>
        <v>0</v>
      </c>
      <c r="GH61" s="1" t="n">
        <f aca="false">IF(AND(DD61=0,CO61=1,GG61&gt;0),MIN(GG61,CP61),0)</f>
        <v>0</v>
      </c>
      <c r="GI61" s="1" t="n">
        <f aca="false">GG61-GH61</f>
        <v>0</v>
      </c>
      <c r="GJ61" s="1" t="n">
        <f aca="false">IF(AND(DD61=0,CE61=1,GI61&gt;0),MIN(GI61,CF61),0)</f>
        <v>0</v>
      </c>
      <c r="GK61" s="1" t="n">
        <f aca="false">GI61-GJ61</f>
        <v>0</v>
      </c>
      <c r="GL61" s="1" t="n">
        <f aca="false">IF(AND(DD61=0,BU61=1,GK61&gt;0),MIN(GK61,BV61),0)</f>
        <v>0</v>
      </c>
      <c r="GM61" s="1" t="n">
        <f aca="false">GK61-GL61</f>
        <v>0</v>
      </c>
      <c r="GN61" s="1" t="n">
        <f aca="false">IF(AND(DD61=0,BK61=1,GM61&gt;0),MIN(GM61,BL61),0)</f>
        <v>0</v>
      </c>
      <c r="GO61" s="1" t="n">
        <f aca="false">GM61-GN61</f>
        <v>0</v>
      </c>
      <c r="GP61" s="1" t="n">
        <f aca="false">IF(AND(DD61=0,BA61=1,GO61&gt;0),MIN(GO61,BB61),0)</f>
        <v>0</v>
      </c>
      <c r="GQ61" s="1" t="n">
        <f aca="false">GO61-GP61</f>
        <v>0</v>
      </c>
      <c r="GR61" s="1" t="n">
        <f aca="false">IF(AND(DD61=0,AQ61=1,GQ61&gt;0),MIN(GQ61,AR61),0)</f>
        <v>0</v>
      </c>
      <c r="GS61" s="1" t="n">
        <f aca="false">GQ61-GR61</f>
        <v>0</v>
      </c>
      <c r="GT61" s="1" t="n">
        <f aca="false">IF(AND(DD61=0,AG61=1,GS61&gt;0),MIN(GS61,AH61),0)</f>
        <v>0</v>
      </c>
      <c r="GU61" s="1" t="n">
        <f aca="false">GS61-GT61</f>
        <v>0</v>
      </c>
      <c r="GV61" s="1" t="n">
        <f aca="false">IF(AND(DD61=0,V61=1,GU61&gt;0),MIN(GU61,W61),0)</f>
        <v>0</v>
      </c>
      <c r="GW61" s="1" t="n">
        <f aca="false">GU61-GV61</f>
        <v>0</v>
      </c>
      <c r="GX61" s="1" t="n">
        <f aca="false">IF(DD61=0,GW61,0)</f>
        <v>0</v>
      </c>
      <c r="GY61" s="1" t="n">
        <f aca="false">GD61+GF61+GV61+GT61+GR61+GP61+GN61+GL61+GJ61+GH61</f>
        <v>0</v>
      </c>
      <c r="GZ61" s="1" t="n">
        <f aca="false">IF(DD61=1,CT61+GA61+FZ61+IF(F61=1,0,GB61),CT61-GD61)</f>
        <v>0</v>
      </c>
      <c r="HA61" s="1" t="n">
        <f aca="false">CU61-GF61</f>
        <v>0</v>
      </c>
      <c r="HB61" s="1" t="n">
        <f aca="false">IF(DD61=1,IF(F61=1,DM61+DN61,DB61),0)</f>
        <v>0</v>
      </c>
      <c r="HC61" s="1" t="n">
        <f aca="false">IF(DD61=1,IF(F61=1,DB61-DM61-DN61,0),0)</f>
        <v>0</v>
      </c>
      <c r="HD61" s="1" t="n">
        <f aca="false">GZ61*(1+GR)</f>
        <v>0</v>
      </c>
      <c r="HE61" s="1" t="n">
        <f aca="false">HA61*(1+AS_Cash)</f>
        <v>0</v>
      </c>
      <c r="HF61" s="1" t="n">
        <f aca="false">IF(V61=1,IF(DD61=1,DR61+DU61,W61-GV61)*(1+Slot1_Rate),0)</f>
        <v>0</v>
      </c>
      <c r="HG61" s="1" t="n">
        <f aca="false">IF(AND(DD61=1,V61=1),(DQ61+DU61)/E61,0)</f>
        <v>0</v>
      </c>
      <c r="HH61" s="1" t="n">
        <f aca="false">IF(B61=0,DQ61+DU61,0)</f>
        <v>0</v>
      </c>
      <c r="HI61" s="1" t="n">
        <f aca="false">IF(B61=0,IF(DD61=1,DS61,DT61),0)</f>
        <v>0</v>
      </c>
      <c r="HJ61" s="1" t="n">
        <f aca="false">IF(AG61=1,IF(DD61=1,DZ61+EC61,AH61-GT61)*(1+Slot2_Rate),0)</f>
        <v>0</v>
      </c>
      <c r="HK61" s="1" t="n">
        <f aca="false">IF(AND(DD61=1,AG61=1),(DY61+EC61)/E61,0)</f>
        <v>0</v>
      </c>
      <c r="HL61" s="1" t="n">
        <f aca="false">IF(B61=0,DY61+EC61,0)</f>
        <v>0</v>
      </c>
      <c r="HM61" s="1" t="n">
        <f aca="false">IF(B61=0,IF(DD61=1,EA61,EB61),0)</f>
        <v>0</v>
      </c>
      <c r="HN61" s="1" t="n">
        <f aca="false">IF(AQ61=1,IF(DD61=1,EH61+EK61,AR61-GR61)*(1+Slot3_Rate),0)</f>
        <v>0</v>
      </c>
      <c r="HO61" s="1" t="n">
        <f aca="false">IF(AND(DD61=1,AQ61=1),(EG61+EK61)/E61,0)</f>
        <v>0</v>
      </c>
      <c r="HP61" s="1" t="n">
        <f aca="false">IF(B61=0,EG61+EK61,0)</f>
        <v>0</v>
      </c>
      <c r="HQ61" s="1" t="n">
        <f aca="false">IF(B61=0,IF(DD61=1,EI61,EJ61),0)</f>
        <v>0</v>
      </c>
      <c r="HR61" s="1" t="n">
        <f aca="false">IF(BA61=1,IF(DD61=1,EP61+ES61,BB61-GP61)*(1+Slot4_Rate),0)</f>
        <v>0</v>
      </c>
      <c r="HS61" s="1" t="n">
        <f aca="false">IF(AND(DD61=1,BA61=1),(EO61+ES61)/E61,0)</f>
        <v>0</v>
      </c>
      <c r="HT61" s="1" t="n">
        <f aca="false">IF(B61=0,EO61+ES61,0)</f>
        <v>0</v>
      </c>
      <c r="HU61" s="1" t="n">
        <f aca="false">IF(B61=0,IF(DD61=1,EQ61,ER61),0)</f>
        <v>0</v>
      </c>
      <c r="HV61" s="1" t="n">
        <f aca="false">IF(BK61=1,IF(DD61=1,EX61+FA61,BL61-GN61)*(1+Slot5_Rate),0)</f>
        <v>0</v>
      </c>
      <c r="HW61" s="1" t="n">
        <f aca="false">IF(AND(DD61=1,BK61=1),(EW61+FA61)/E61,0)</f>
        <v>0</v>
      </c>
      <c r="HX61" s="1" t="n">
        <f aca="false">IF(B61=0,EW61+FA61,0)</f>
        <v>0</v>
      </c>
      <c r="HY61" s="1" t="n">
        <f aca="false">IF(B61=0,IF(DD61=1,EY61,EZ61),0)</f>
        <v>0</v>
      </c>
      <c r="HZ61" s="1" t="n">
        <f aca="false">IF(BU61=1,IF(DD61=1,FF61+FI61,BV61-GL61)*(1+Slot6_Rate),0)</f>
        <v>0</v>
      </c>
      <c r="IA61" s="1" t="n">
        <f aca="false">IF(AND(DD61=1,BU61=1),(FE61+FI61)/E61,0)</f>
        <v>0</v>
      </c>
      <c r="IB61" s="1" t="n">
        <f aca="false">IF(B61=0,FE61+FI61,0)</f>
        <v>0</v>
      </c>
      <c r="IC61" s="1" t="n">
        <f aca="false">IF(B61=0,IF(DD61=1,FG61,FH61),0)</f>
        <v>0</v>
      </c>
      <c r="ID61" s="1" t="n">
        <f aca="false">IF(CE61=1,IF(DD61=1,FN61+FQ61,CF61-GJ61)*(1+Slot7_Rate),0)</f>
        <v>0</v>
      </c>
      <c r="IE61" s="1" t="n">
        <f aca="false">IF(AND(DD61=1,CE61=1),(FM61+FQ61)/E61,0)</f>
        <v>0</v>
      </c>
      <c r="IF61" s="1" t="n">
        <f aca="false">IF(B61=0,FM61+FQ61,0)</f>
        <v>0</v>
      </c>
      <c r="IG61" s="1" t="n">
        <f aca="false">IF(B61=0,IF(DD61=1,FO61,FP61),0)</f>
        <v>0</v>
      </c>
      <c r="IH61" s="1" t="n">
        <f aca="false">IF(CO61=1,IF(DD61=1,FV61+FY61,CP61-GH61)*(1+Slot8_Rate),0)</f>
        <v>0</v>
      </c>
      <c r="II61" s="1" t="n">
        <f aca="false">IF(AND(DD61=1,CO61=1),(FU61+FY61)/E61,0)</f>
        <v>0</v>
      </c>
      <c r="IJ61" s="1" t="n">
        <f aca="false">IF(B61=0,FU61+FY61,0)</f>
        <v>0</v>
      </c>
      <c r="IK61" s="1" t="n">
        <f aca="false">IF(B61=0,IF(DD61=1,FW61,FX61),0)</f>
        <v>0</v>
      </c>
      <c r="IL61" s="1" t="n">
        <f aca="false">HD61+HE61+HF61+HJ61+HN61+HR61+HV61+HZ61+ID61+IH61</f>
        <v>0</v>
      </c>
      <c r="IM61" s="1" t="n">
        <f aca="false">GX61+CY61</f>
        <v>0</v>
      </c>
      <c r="IN61" s="1" t="n">
        <f aca="false">H61+R61</f>
        <v>0</v>
      </c>
      <c r="IO61" s="1" t="n">
        <f aca="false">1-F61</f>
        <v>1</v>
      </c>
      <c r="IP61" s="1" t="n">
        <f aca="false">IF(AND(RG_Exists=1,F61=0,C61=1),H61,0)</f>
        <v>0</v>
      </c>
      <c r="IQ61" s="1" t="n">
        <f aca="false">IF(AND(RG_Exists=1,F61=0,C61=1),H61-MIN(GX61,H61),0)</f>
        <v>0</v>
      </c>
      <c r="IR61" s="1" t="n">
        <f aca="false">'Plan pay &amp; tax'!AD263</f>
        <v>0</v>
      </c>
      <c r="IS61" s="1" t="n">
        <f aca="false">IF(AND(C61=1,GX61&gt;MAX(PR_Short1,IN61*PR_Short2)),1,0)</f>
        <v>0</v>
      </c>
      <c r="IT61" s="1" t="n">
        <f aca="false">MIN(G61,H61+R61)</f>
        <v>0</v>
      </c>
      <c r="IU61" s="1" t="n">
        <f aca="false">GY61+MAX(0,CZ61-CY61)</f>
        <v>0</v>
      </c>
      <c r="IV61" s="1" t="n">
        <f aca="false">GX61+CY61</f>
        <v>0</v>
      </c>
      <c r="IW61" s="1" t="n">
        <f aca="false">IF(AND(C61=1,IV61&gt;0.5),1,0)</f>
        <v>0</v>
      </c>
      <c r="IX61" s="1" t="n">
        <f aca="false">IF(AND(C61=1,IW61=0,IU61&gt;0.5),1,0)</f>
        <v>0</v>
      </c>
      <c r="IY61" s="1" t="n">
        <f aca="false">IF(AND(C61=1,GX61&gt;0.5),1,0)</f>
        <v>0</v>
      </c>
      <c r="IZ61" s="1" t="n">
        <f aca="false">IF(AND(C61=1,GY61&gt;1,JF61=0),1,0)</f>
        <v>0</v>
      </c>
      <c r="JA61" s="1" t="n">
        <f aca="false">IF(AND(INT(D61/10)*10=90,B61&gt;0),80,INT(D61/10)*10)</f>
        <v>50</v>
      </c>
      <c r="JB61" s="1" t="n">
        <f aca="false">IF(B61=0,1,IF(JA61&lt;&gt;JA60,JB60+1,JB60))</f>
        <v>6</v>
      </c>
      <c r="JC61" s="1" t="n">
        <f aca="false">IF(AND(C61=1,F61=1,GX61&gt;MAX(PR_Short1,IN61*PR_Short2)),1,0)</f>
        <v>0</v>
      </c>
      <c r="JD61" s="1" t="n">
        <f aca="false">IO61*IS61</f>
        <v>0</v>
      </c>
      <c r="JE61" s="1" t="n">
        <f aca="false">IF(AND(U61=1,Slot1_PctLow=1),1,0)+IF(AND(AF61=1,Slot2_PctLow=1),1,0)+IF(AND(AP61=1,Slot3_PctLow=1),1,0)+IF(AND(AZ61=1,Slot4_PctLow=1),1,0)+IF(AND(BJ61=1,Slot5_PctLow=1),1,0)+IF(AND(BT61=1,Slot6_PctLow=1),1,0)+IF(AND(CD61=1,Slot7_PctLow=1),1,0)+IF(AND(CN61=1,Slot8_PctLow=1),1,0)</f>
        <v>0</v>
      </c>
      <c r="JF61" s="1" t="n">
        <f aca="false">IF(C61=1,IF(OR(IS61=1,JE61&gt;0),1,0),0)</f>
        <v>0</v>
      </c>
    </row>
    <row r="62" customFormat="false" ht="15" hidden="false" customHeight="false" outlineLevel="0" collapsed="false">
      <c r="B62" s="1" t="n">
        <v>54</v>
      </c>
      <c r="C62" s="1" t="n">
        <f aca="false">IF(B62&lt;=F_N,1,0)</f>
        <v>1</v>
      </c>
      <c r="D62" s="1" t="n">
        <f aca="false">'Plan pay &amp; tax'!C264</f>
        <v>54</v>
      </c>
      <c r="E62" s="106" t="n">
        <f aca="false">'Plan pay &amp; tax'!E264</f>
        <v>2.91346144414029</v>
      </c>
      <c r="F62" s="1" t="n">
        <f aca="false">'Plan pay &amp; tax'!G264</f>
        <v>0</v>
      </c>
      <c r="G62" s="1" t="n">
        <f aca="false">'Plan pay &amp; tax'!BT264-'Plan pay &amp; tax'!BS264-'Plan pay &amp; tax'!R264</f>
        <v>0</v>
      </c>
      <c r="H62" s="1" t="n">
        <f aca="false">IF(F62=1,F_CostsM*12,IF(RG_Exists=1,RG_Amount,F_CostsM*12*AS_RetireSpend))*E62+F_OneOffY*E62</f>
        <v>0</v>
      </c>
      <c r="I62" s="1" t="n">
        <f aca="false">DA61</f>
        <v>0</v>
      </c>
      <c r="J62" s="1" t="n">
        <f aca="false">IF(I62&gt;1,'Plan debt months'!AC62,0)</f>
        <v>0</v>
      </c>
      <c r="K62" s="1" t="n">
        <f aca="false">IF(I62&gt;1,'Plan debt months'!AB62,I62)</f>
        <v>0</v>
      </c>
      <c r="L62" s="1" t="n">
        <f aca="false">N61</f>
        <v>0</v>
      </c>
      <c r="M62" s="1" t="n">
        <f aca="false">IF(L62&gt;1,'Plan debt months'!BD62,0)</f>
        <v>0</v>
      </c>
      <c r="N62" s="1" t="n">
        <f aca="false">IF(L62&gt;1,'Plan debt months'!BC62,L62)</f>
        <v>0</v>
      </c>
      <c r="O62" s="1" t="n">
        <f aca="false">Q61</f>
        <v>0</v>
      </c>
      <c r="P62" s="1" t="n">
        <f aca="false">IF(O62&gt;1,'Plan debt months'!CE62,0)</f>
        <v>0</v>
      </c>
      <c r="Q62" s="1" t="n">
        <f aca="false">IF(O62&gt;1,'Plan debt months'!CD62,O62)</f>
        <v>0</v>
      </c>
      <c r="R62" s="1" t="n">
        <f aca="false">J62+M62+P62</f>
        <v>0</v>
      </c>
      <c r="S62" s="1" t="n">
        <f aca="false">HD61+'Plan pay &amp; tax'!Y264</f>
        <v>0</v>
      </c>
      <c r="T62" s="1" t="n">
        <f aca="false">HD61</f>
        <v>0</v>
      </c>
      <c r="U62" s="1" t="n">
        <f aca="false">IF(AND(Slot1_On=1,D62=Slot1_Age),1,0)</f>
        <v>0</v>
      </c>
      <c r="V62" s="1" t="n">
        <f aca="false">IF(AND(Slot1_On=1,Slot1_Age&gt;D62),1,0)</f>
        <v>0</v>
      </c>
      <c r="W62" s="1" t="n">
        <f aca="false">HF61</f>
        <v>0</v>
      </c>
      <c r="X62" s="1" t="n">
        <f aca="false">U62*MIN(Slot1_Cost,W62)</f>
        <v>0</v>
      </c>
      <c r="Y62" s="1" t="n">
        <f aca="false">U62*Slot1_SpendLike*MIN(Slot1_Cost-X62,S62)</f>
        <v>0</v>
      </c>
      <c r="Z62" s="1" t="n">
        <f aca="false">X62+Y62</f>
        <v>0</v>
      </c>
      <c r="AA62" s="1" t="n">
        <f aca="false">S62-Y62+U62*IF(Slot1_SpendLike=1,W62-X62,IF(Slot1_PotFree=1,W62,0))</f>
        <v>0</v>
      </c>
      <c r="AB62" s="1" t="n">
        <f aca="false">AE62+U62*Slot1_BufPot*W62</f>
        <v>0</v>
      </c>
      <c r="AC62" s="1" t="n">
        <f aca="false">IF(AND(U62=1,Slot1_IsMfree=1),IF(Z62&gt;=Slot1_Cost-1,0,MAX(0,K62-Z62)),K62)</f>
        <v>0</v>
      </c>
      <c r="AD62" s="1" t="n">
        <f aca="false">U62*(Slot1_Cost-Z62)</f>
        <v>0</v>
      </c>
      <c r="AE62" s="1" t="n">
        <f aca="false">HE61</f>
        <v>0</v>
      </c>
      <c r="AF62" s="1" t="n">
        <f aca="false">IF(AND(Slot2_On=1,D62=Slot2_Age),1,0)</f>
        <v>0</v>
      </c>
      <c r="AG62" s="1" t="n">
        <f aca="false">IF(AND(Slot2_On=1,Slot2_Age&gt;D62),1,0)</f>
        <v>0</v>
      </c>
      <c r="AH62" s="1" t="n">
        <f aca="false">HJ61</f>
        <v>0</v>
      </c>
      <c r="AI62" s="1" t="n">
        <f aca="false">AF62*MIN(Slot2_Cost,AH62)</f>
        <v>0</v>
      </c>
      <c r="AJ62" s="1" t="n">
        <f aca="false">AF62*Slot2_SpendLike*MIN(Slot2_Cost-AI62,AA62)</f>
        <v>0</v>
      </c>
      <c r="AK62" s="1" t="n">
        <f aca="false">AI62+AJ62</f>
        <v>0</v>
      </c>
      <c r="AL62" s="1" t="n">
        <f aca="false">AA62-AJ62+AF62*IF(Slot2_SpendLike=1,AH62-AI62,IF(Slot2_PotFree=1,AH62,0))</f>
        <v>0</v>
      </c>
      <c r="AM62" s="1" t="n">
        <f aca="false">AB62+AF62*Slot2_BufPot*AH62</f>
        <v>0</v>
      </c>
      <c r="AN62" s="1" t="n">
        <f aca="false">IF(AND(AF62=1,Slot2_IsMfree=1),IF(AK62&gt;=Slot2_Cost-1,0,MAX(0,AC62-AK62)),AC62)</f>
        <v>0</v>
      </c>
      <c r="AO62" s="1" t="n">
        <f aca="false">AF62*(Slot2_Cost-AK62)</f>
        <v>0</v>
      </c>
      <c r="AP62" s="1" t="n">
        <f aca="false">IF(AND(Slot3_On=1,D62=Slot3_Age),1,0)</f>
        <v>0</v>
      </c>
      <c r="AQ62" s="1" t="n">
        <f aca="false">IF(AND(Slot3_On=1,Slot3_Age&gt;D62),1,0)</f>
        <v>0</v>
      </c>
      <c r="AR62" s="1" t="n">
        <f aca="false">HN61</f>
        <v>0</v>
      </c>
      <c r="AS62" s="1" t="n">
        <f aca="false">AP62*MIN(Slot3_Cost,AR62)</f>
        <v>0</v>
      </c>
      <c r="AT62" s="1" t="n">
        <f aca="false">AP62*Slot3_SpendLike*MIN(Slot3_Cost-AS62,AL62)</f>
        <v>0</v>
      </c>
      <c r="AU62" s="1" t="n">
        <f aca="false">AS62+AT62</f>
        <v>0</v>
      </c>
      <c r="AV62" s="1" t="n">
        <f aca="false">AL62-AT62+AP62*IF(Slot3_SpendLike=1,AR62-AS62,IF(Slot3_PotFree=1,AR62,0))</f>
        <v>0</v>
      </c>
      <c r="AW62" s="1" t="n">
        <f aca="false">AM62+AP62*Slot3_BufPot*AR62</f>
        <v>0</v>
      </c>
      <c r="AX62" s="1" t="n">
        <f aca="false">IF(AND(AP62=1,Slot3_IsMfree=1),IF(AU62&gt;=Slot3_Cost-1,0,MAX(0,AN62-AU62)),AN62)</f>
        <v>0</v>
      </c>
      <c r="AY62" s="1" t="n">
        <f aca="false">AP62*(Slot3_Cost-AU62)</f>
        <v>0</v>
      </c>
      <c r="AZ62" s="1" t="n">
        <f aca="false">IF(AND(Slot4_On=1,D62=Slot4_Age),1,0)</f>
        <v>0</v>
      </c>
      <c r="BA62" s="1" t="n">
        <f aca="false">IF(AND(Slot4_On=1,Slot4_Age&gt;D62),1,0)</f>
        <v>0</v>
      </c>
      <c r="BB62" s="1" t="n">
        <f aca="false">HR61</f>
        <v>0</v>
      </c>
      <c r="BC62" s="1" t="n">
        <f aca="false">AZ62*MIN(Slot4_Cost,BB62)</f>
        <v>0</v>
      </c>
      <c r="BD62" s="1" t="n">
        <f aca="false">AZ62*Slot4_SpendLike*MIN(Slot4_Cost-BC62,AV62)</f>
        <v>0</v>
      </c>
      <c r="BE62" s="1" t="n">
        <f aca="false">BC62+BD62</f>
        <v>0</v>
      </c>
      <c r="BF62" s="1" t="n">
        <f aca="false">AV62-BD62+AZ62*IF(Slot4_SpendLike=1,BB62-BC62,IF(Slot4_PotFree=1,BB62,0))</f>
        <v>0</v>
      </c>
      <c r="BG62" s="1" t="n">
        <f aca="false">AW62+AZ62*Slot4_BufPot*BB62</f>
        <v>0</v>
      </c>
      <c r="BH62" s="1" t="n">
        <f aca="false">IF(AND(AZ62=1,Slot4_IsMfree=1),IF(BE62&gt;=Slot4_Cost-1,0,MAX(0,AX62-BE62)),AX62)</f>
        <v>0</v>
      </c>
      <c r="BI62" s="1" t="n">
        <f aca="false">AZ62*(Slot4_Cost-BE62)</f>
        <v>0</v>
      </c>
      <c r="BJ62" s="1" t="n">
        <f aca="false">IF(AND(Slot5_On=1,D62=Slot5_Age),1,0)</f>
        <v>0</v>
      </c>
      <c r="BK62" s="1" t="n">
        <f aca="false">IF(AND(Slot5_On=1,Slot5_Age&gt;D62),1,0)</f>
        <v>0</v>
      </c>
      <c r="BL62" s="1" t="n">
        <f aca="false">HV61</f>
        <v>0</v>
      </c>
      <c r="BM62" s="1" t="n">
        <f aca="false">BJ62*MIN(Slot5_Cost,BL62)</f>
        <v>0</v>
      </c>
      <c r="BN62" s="1" t="n">
        <f aca="false">BJ62*Slot5_SpendLike*MIN(Slot5_Cost-BM62,BF62)</f>
        <v>0</v>
      </c>
      <c r="BO62" s="1" t="n">
        <f aca="false">BM62+BN62</f>
        <v>0</v>
      </c>
      <c r="BP62" s="1" t="n">
        <f aca="false">BF62-BN62+BJ62*IF(Slot5_SpendLike=1,BL62-BM62,IF(Slot5_PotFree=1,BL62,0))</f>
        <v>0</v>
      </c>
      <c r="BQ62" s="1" t="n">
        <f aca="false">BG62+BJ62*Slot5_BufPot*BL62</f>
        <v>0</v>
      </c>
      <c r="BR62" s="1" t="n">
        <f aca="false">IF(AND(BJ62=1,Slot5_IsMfree=1),IF(BO62&gt;=Slot5_Cost-1,0,MAX(0,BH62-BO62)),BH62)</f>
        <v>0</v>
      </c>
      <c r="BS62" s="1" t="n">
        <f aca="false">BJ62*(Slot5_Cost-BO62)</f>
        <v>0</v>
      </c>
      <c r="BT62" s="1" t="n">
        <f aca="false">IF(AND(Slot6_On=1,D62=Slot6_Age),1,0)</f>
        <v>0</v>
      </c>
      <c r="BU62" s="1" t="n">
        <f aca="false">IF(AND(Slot6_On=1,Slot6_Age&gt;D62),1,0)</f>
        <v>0</v>
      </c>
      <c r="BV62" s="1" t="n">
        <f aca="false">HZ61</f>
        <v>0</v>
      </c>
      <c r="BW62" s="1" t="n">
        <f aca="false">BT62*MIN(Slot6_Cost,BV62)</f>
        <v>0</v>
      </c>
      <c r="BX62" s="1" t="n">
        <f aca="false">BT62*Slot6_SpendLike*MIN(Slot6_Cost-BW62,BP62)</f>
        <v>0</v>
      </c>
      <c r="BY62" s="1" t="n">
        <f aca="false">BW62+BX62</f>
        <v>0</v>
      </c>
      <c r="BZ62" s="1" t="n">
        <f aca="false">BP62-BX62+BT62*IF(Slot6_SpendLike=1,BV62-BW62,IF(Slot6_PotFree=1,BV62,0))</f>
        <v>0</v>
      </c>
      <c r="CA62" s="1" t="n">
        <f aca="false">BQ62+BT62*Slot6_BufPot*BV62</f>
        <v>0</v>
      </c>
      <c r="CB62" s="1" t="n">
        <f aca="false">IF(AND(BT62=1,Slot6_IsMfree=1),IF(BY62&gt;=Slot6_Cost-1,0,MAX(0,BR62-BY62)),BR62)</f>
        <v>0</v>
      </c>
      <c r="CC62" s="1" t="n">
        <f aca="false">BT62*(Slot6_Cost-BY62)</f>
        <v>0</v>
      </c>
      <c r="CD62" s="1" t="n">
        <f aca="false">IF(AND(Slot7_On=1,D62=Slot7_Age),1,0)</f>
        <v>0</v>
      </c>
      <c r="CE62" s="1" t="n">
        <f aca="false">IF(AND(Slot7_On=1,Slot7_Age&gt;D62),1,0)</f>
        <v>0</v>
      </c>
      <c r="CF62" s="1" t="n">
        <f aca="false">ID61</f>
        <v>0</v>
      </c>
      <c r="CG62" s="1" t="n">
        <f aca="false">CD62*MIN(Slot7_Cost,CF62)</f>
        <v>0</v>
      </c>
      <c r="CH62" s="1" t="n">
        <f aca="false">CD62*Slot7_SpendLike*MIN(Slot7_Cost-CG62,BZ62)</f>
        <v>0</v>
      </c>
      <c r="CI62" s="1" t="n">
        <f aca="false">CG62+CH62</f>
        <v>0</v>
      </c>
      <c r="CJ62" s="1" t="n">
        <f aca="false">BZ62-CH62+CD62*IF(Slot7_SpendLike=1,CF62-CG62,IF(Slot7_PotFree=1,CF62,0))</f>
        <v>0</v>
      </c>
      <c r="CK62" s="1" t="n">
        <f aca="false">CA62+CD62*Slot7_BufPot*CF62</f>
        <v>0</v>
      </c>
      <c r="CL62" s="1" t="n">
        <f aca="false">IF(AND(CD62=1,Slot7_IsMfree=1),IF(CI62&gt;=Slot7_Cost-1,0,MAX(0,CB62-CI62)),CB62)</f>
        <v>0</v>
      </c>
      <c r="CM62" s="1" t="n">
        <f aca="false">CD62*(Slot7_Cost-CI62)</f>
        <v>0</v>
      </c>
      <c r="CN62" s="1" t="n">
        <f aca="false">IF(AND(Slot8_On=1,D62=Slot8_Age),1,0)</f>
        <v>0</v>
      </c>
      <c r="CO62" s="1" t="n">
        <f aca="false">IF(AND(Slot8_On=1,Slot8_Age&gt;D62),1,0)</f>
        <v>0</v>
      </c>
      <c r="CP62" s="1" t="n">
        <f aca="false">IH61</f>
        <v>0</v>
      </c>
      <c r="CQ62" s="1" t="n">
        <f aca="false">CN62*MIN(Slot8_Cost,CP62)</f>
        <v>0</v>
      </c>
      <c r="CR62" s="1" t="n">
        <f aca="false">CN62*Slot8_SpendLike*MIN(Slot8_Cost-CQ62,CJ62)</f>
        <v>0</v>
      </c>
      <c r="CS62" s="1" t="n">
        <f aca="false">CQ62+CR62</f>
        <v>0</v>
      </c>
      <c r="CT62" s="1" t="n">
        <f aca="false">CJ62-CR62+CN62*IF(Slot8_SpendLike=1,CP62-CQ62,IF(Slot8_PotFree=1,CP62,0))</f>
        <v>0</v>
      </c>
      <c r="CU62" s="1" t="n">
        <f aca="false">CK62+CN62*Slot8_BufPot*CP62</f>
        <v>0</v>
      </c>
      <c r="CV62" s="1" t="n">
        <f aca="false">IF(AND(CN62=1,Slot8_IsMfree=1),IF(CS62&gt;=Slot8_Cost-1,0,MAX(0,CL62-CS62)),CL62)</f>
        <v>0</v>
      </c>
      <c r="CW62" s="1" t="n">
        <f aca="false">CN62*(Slot8_Cost-CS62)</f>
        <v>0</v>
      </c>
      <c r="CX62" s="1" t="n">
        <f aca="false">U62*Slot1_SpendLike*Z62+AF62*Slot2_SpendLike*AK62+AP62*Slot3_SpendLike*AU62+AZ62*Slot4_SpendLike*BE62+BJ62*Slot5_SpendLike*BO62+BT62*Slot6_SpendLike*BY62+CD62*Slot7_SpendLike*CI62+CN62*Slot8_SpendLike*CS62</f>
        <v>0</v>
      </c>
      <c r="CY62" s="1" t="n">
        <f aca="false">AD62+AO62+AY62+BI62+BS62+CC62+CM62+CW62</f>
        <v>0</v>
      </c>
      <c r="CZ62" s="1" t="n">
        <f aca="false">U62*Slot1_Cost+AF62*Slot2_Cost+AP62*Slot3_Cost+AZ62*Slot4_Cost+BJ62*Slot5_Cost+BT62*Slot6_Cost+CD62*Slot7_Cost+CN62*Slot8_Cost</f>
        <v>0</v>
      </c>
      <c r="DA62" s="1" t="n">
        <f aca="false">CV62</f>
        <v>0</v>
      </c>
      <c r="DB62" s="1" t="n">
        <f aca="false">G62-H62-R62</f>
        <v>0</v>
      </c>
      <c r="DC62" s="1" t="n">
        <f aca="false">IF(B62=0,IF(AND(Has_q6=1,In_q6=4),PR_ShareVaries*(MAX(0,DB62)/12),MIN(IF(Has_q6=1,CHOOSE(In_q6+1,PR_SaveB1,PR_SaveB2,PR_SaveB3,PR_SaveB4,0),AS_NoAnswer),AS_SaveShare*(MAX(0,DB62)/12))),DC61)</f>
        <v>0</v>
      </c>
      <c r="DD62" s="1" t="n">
        <f aca="false">IF(DB62&gt;=0,1,0)</f>
        <v>1</v>
      </c>
      <c r="DE62" s="1" t="n">
        <f aca="false">MAX(0,DB62/12/E62)</f>
        <v>0</v>
      </c>
      <c r="DF62" s="1" t="n">
        <f aca="false">IF(AND(Has_q6=1,In_q6=4),PR_ShareVaries*(DE62),MIN(IF(Has_q6=1,CHOOSE(In_q6+1,PR_SaveB1,PR_SaveB2,PR_SaveB3,PR_SaveB4,0),AS_NoAnswer),AS_SaveShare*(DE62)))</f>
        <v>0</v>
      </c>
      <c r="DG62" s="1" t="n">
        <f aca="false">IF(Has_saveM=1,IF(In_saveUp="Yes",1,IF(In_saveUp="No",0,IF(In_saveM&gt;=DC62-0.5,1,0))),0)</f>
        <v>0</v>
      </c>
      <c r="DH62" s="1" t="n">
        <f aca="false">IF(Has_saveM=1,MIN(DE62,IF(DG62=1,MAX(In_saveM,DF62),MIN(In_saveM,DF62))),DF62)</f>
        <v>0</v>
      </c>
      <c r="DI62" s="1" t="n">
        <f aca="false">IF(F62=1,DH62*12*E62,0)</f>
        <v>0</v>
      </c>
      <c r="DJ62" s="1" t="n">
        <f aca="false">MAX(0,DI62+IF(AND(WI_Retire=0,WI_M&lt;0,F62=1),WI_M*12*E62,0))</f>
        <v>0</v>
      </c>
      <c r="DK62" s="1" t="n">
        <f aca="false">Slot1_IsWG*V62+Slot2_IsWG*AG62+Slot3_IsWG*AQ62+Slot4_IsWG*BA62+Slot5_IsWG*BK62+Slot6_IsWG*BU62+Slot7_IsWG*CE62+Slot8_IsWG*CO62</f>
        <v>0</v>
      </c>
      <c r="DL62" s="1" t="n">
        <f aca="false">IF(AND(WI_Retire=0,WI_M&gt;0,F62=1,DK62&gt;=1),WI_M*12*E62,0)</f>
        <v>0</v>
      </c>
      <c r="DM62" s="1" t="n">
        <f aca="false">IF(DD62=1,MIN(DJ62,DB62),0)</f>
        <v>0</v>
      </c>
      <c r="DN62" s="1" t="n">
        <f aca="false">IF(DD62=1,MIN(DL62,DB62-DM62),0)</f>
        <v>0</v>
      </c>
      <c r="DO62" s="1" t="n">
        <f aca="false">IF(V62=1,IF(ABS((1+AS_Wage)/(1+Slot1_Rate)-1)&lt;0.000000000001,(Slot1_Age-D62)*(1+Slot1_Rate)^(Slot1_Age-D62),(1+Slot1_Rate)^(Slot1_Age-D62)*(1-((1+AS_Wage)/(1+Slot1_Rate))^(Slot1_Age-D62))/(1-(1+AS_Wage)/(1+Slot1_Rate))),1)</f>
        <v>1</v>
      </c>
      <c r="DP62" s="1" t="n">
        <f aca="false">IF(AND(DD62=1,DN62&gt;0,Slot1_IsWG=1,V62=1),MAX(0,(Slot1_Cost-W62*(1+Slot1_Rate)^(Slot1_Age-D62))/DO62),0)</f>
        <v>0</v>
      </c>
      <c r="DQ62" s="1" t="n">
        <f aca="false">IF(AND(DD62=1,DN62&gt;0,Slot1_IsWG=1,V62=1),MIN(DN62,DP62),0)</f>
        <v>0</v>
      </c>
      <c r="DR62" s="1" t="n">
        <f aca="false">W62+DQ62</f>
        <v>0</v>
      </c>
      <c r="DS62" s="1" t="n">
        <f aca="false">IF(V62=1,MAX(0,(Slot1_Cost-DR62*(1+Slot1_Rate)^(Slot1_Age-D62))/DO62),0)</f>
        <v>0</v>
      </c>
      <c r="DT62" s="1" t="n">
        <f aca="false">IF(V62=1,MAX(0,(Slot1_Cost-W62*(1+Slot1_Rate)^(Slot1_Age-D62))/DO62),0)</f>
        <v>0</v>
      </c>
      <c r="DU62" s="1" t="n">
        <f aca="false">IF(AND(DD62=1,V62=1),MIN(DM62,DS62),0)</f>
        <v>0</v>
      </c>
      <c r="DV62" s="1" t="n">
        <f aca="false">DM62-DU62</f>
        <v>0</v>
      </c>
      <c r="DW62" s="1" t="n">
        <f aca="false">IF(AG62=1,IF(ABS((1+AS_Wage)/(1+Slot2_Rate)-1)&lt;0.000000000001,(Slot2_Age-D62)*(1+Slot2_Rate)^(Slot2_Age-D62),(1+Slot2_Rate)^(Slot2_Age-D62)*(1-((1+AS_Wage)/(1+Slot2_Rate))^(Slot2_Age-D62))/(1-(1+AS_Wage)/(1+Slot2_Rate))),1)</f>
        <v>1</v>
      </c>
      <c r="DX62" s="1" t="n">
        <f aca="false">IF(AND(DD62=1,DN62&gt;0,Slot2_IsWG=1,AG62=1),MAX(0,(Slot2_Cost-AH62*(1+Slot2_Rate)^(Slot2_Age-D62))/DW62),0)</f>
        <v>0</v>
      </c>
      <c r="DY62" s="1" t="n">
        <f aca="false">IF(AND(DD62=1,DN62&gt;0,Slot2_IsWG=1,AG62=1),MIN(DN62,DX62),0)</f>
        <v>0</v>
      </c>
      <c r="DZ62" s="1" t="n">
        <f aca="false">AH62+DY62</f>
        <v>0</v>
      </c>
      <c r="EA62" s="1" t="n">
        <f aca="false">IF(AG62=1,MAX(0,(Slot2_Cost-DZ62*(1+Slot2_Rate)^(Slot2_Age-D62))/DW62),0)</f>
        <v>0</v>
      </c>
      <c r="EB62" s="1" t="n">
        <f aca="false">IF(AG62=1,MAX(0,(Slot2_Cost-AH62*(1+Slot2_Rate)^(Slot2_Age-D62))/DW62),0)</f>
        <v>0</v>
      </c>
      <c r="EC62" s="1" t="n">
        <f aca="false">IF(AND(DD62=1,AG62=1),MIN(DV62,EA62),0)</f>
        <v>0</v>
      </c>
      <c r="ED62" s="1" t="n">
        <f aca="false">DV62-EC62</f>
        <v>0</v>
      </c>
      <c r="EE62" s="1" t="n">
        <f aca="false">IF(AQ62=1,IF(ABS((1+AS_Wage)/(1+Slot3_Rate)-1)&lt;0.000000000001,(Slot3_Age-D62)*(1+Slot3_Rate)^(Slot3_Age-D62),(1+Slot3_Rate)^(Slot3_Age-D62)*(1-((1+AS_Wage)/(1+Slot3_Rate))^(Slot3_Age-D62))/(1-(1+AS_Wage)/(1+Slot3_Rate))),1)</f>
        <v>1</v>
      </c>
      <c r="EF62" s="1" t="n">
        <f aca="false">IF(AND(DD62=1,DN62&gt;0,Slot3_IsWG=1,AQ62=1),MAX(0,(Slot3_Cost-AR62*(1+Slot3_Rate)^(Slot3_Age-D62))/EE62),0)</f>
        <v>0</v>
      </c>
      <c r="EG62" s="1" t="n">
        <f aca="false">IF(AND(DD62=1,DN62&gt;0,Slot3_IsWG=1,AQ62=1),MIN(DN62,EF62),0)</f>
        <v>0</v>
      </c>
      <c r="EH62" s="1" t="n">
        <f aca="false">AR62+EG62</f>
        <v>0</v>
      </c>
      <c r="EI62" s="1" t="n">
        <f aca="false">IF(AQ62=1,MAX(0,(Slot3_Cost-EH62*(1+Slot3_Rate)^(Slot3_Age-D62))/EE62),0)</f>
        <v>0</v>
      </c>
      <c r="EJ62" s="1" t="n">
        <f aca="false">IF(AQ62=1,MAX(0,(Slot3_Cost-AR62*(1+Slot3_Rate)^(Slot3_Age-D62))/EE62),0)</f>
        <v>0</v>
      </c>
      <c r="EK62" s="1" t="n">
        <f aca="false">IF(AND(DD62=1,AQ62=1),MIN(ED62,EI62),0)</f>
        <v>0</v>
      </c>
      <c r="EL62" s="1" t="n">
        <f aca="false">ED62-EK62</f>
        <v>0</v>
      </c>
      <c r="EM62" s="1" t="n">
        <f aca="false">IF(BA62=1,IF(ABS((1+AS_Wage)/(1+Slot4_Rate)-1)&lt;0.000000000001,(Slot4_Age-D62)*(1+Slot4_Rate)^(Slot4_Age-D62),(1+Slot4_Rate)^(Slot4_Age-D62)*(1-((1+AS_Wage)/(1+Slot4_Rate))^(Slot4_Age-D62))/(1-(1+AS_Wage)/(1+Slot4_Rate))),1)</f>
        <v>1</v>
      </c>
      <c r="EN62" s="1" t="n">
        <f aca="false">IF(AND(DD62=1,DN62&gt;0,Slot4_IsWG=1,BA62=1),MAX(0,(Slot4_Cost-BB62*(1+Slot4_Rate)^(Slot4_Age-D62))/EM62),0)</f>
        <v>0</v>
      </c>
      <c r="EO62" s="1" t="n">
        <f aca="false">IF(AND(DD62=1,DN62&gt;0,Slot4_IsWG=1,BA62=1),MIN(DN62,EN62),0)</f>
        <v>0</v>
      </c>
      <c r="EP62" s="1" t="n">
        <f aca="false">BB62+EO62</f>
        <v>0</v>
      </c>
      <c r="EQ62" s="1" t="n">
        <f aca="false">IF(BA62=1,MAX(0,(Slot4_Cost-EP62*(1+Slot4_Rate)^(Slot4_Age-D62))/EM62),0)</f>
        <v>0</v>
      </c>
      <c r="ER62" s="1" t="n">
        <f aca="false">IF(BA62=1,MAX(0,(Slot4_Cost-BB62*(1+Slot4_Rate)^(Slot4_Age-D62))/EM62),0)</f>
        <v>0</v>
      </c>
      <c r="ES62" s="1" t="n">
        <f aca="false">IF(AND(DD62=1,BA62=1),MIN(EL62,EQ62),0)</f>
        <v>0</v>
      </c>
      <c r="ET62" s="1" t="n">
        <f aca="false">EL62-ES62</f>
        <v>0</v>
      </c>
      <c r="EU62" s="1" t="n">
        <f aca="false">IF(BK62=1,IF(ABS((1+AS_Wage)/(1+Slot5_Rate)-1)&lt;0.000000000001,(Slot5_Age-D62)*(1+Slot5_Rate)^(Slot5_Age-D62),(1+Slot5_Rate)^(Slot5_Age-D62)*(1-((1+AS_Wage)/(1+Slot5_Rate))^(Slot5_Age-D62))/(1-(1+AS_Wage)/(1+Slot5_Rate))),1)</f>
        <v>1</v>
      </c>
      <c r="EV62" s="1" t="n">
        <f aca="false">IF(AND(DD62=1,DN62&gt;0,Slot5_IsWG=1,BK62=1),MAX(0,(Slot5_Cost-BL62*(1+Slot5_Rate)^(Slot5_Age-D62))/EU62),0)</f>
        <v>0</v>
      </c>
      <c r="EW62" s="1" t="n">
        <f aca="false">IF(AND(DD62=1,DN62&gt;0,Slot5_IsWG=1,BK62=1),MIN(DN62,EV62),0)</f>
        <v>0</v>
      </c>
      <c r="EX62" s="1" t="n">
        <f aca="false">BL62+EW62</f>
        <v>0</v>
      </c>
      <c r="EY62" s="1" t="n">
        <f aca="false">IF(BK62=1,MAX(0,(Slot5_Cost-EX62*(1+Slot5_Rate)^(Slot5_Age-D62))/EU62),0)</f>
        <v>0</v>
      </c>
      <c r="EZ62" s="1" t="n">
        <f aca="false">IF(BK62=1,MAX(0,(Slot5_Cost-BL62*(1+Slot5_Rate)^(Slot5_Age-D62))/EU62),0)</f>
        <v>0</v>
      </c>
      <c r="FA62" s="1" t="n">
        <f aca="false">IF(AND(DD62=1,BK62=1),MIN(ET62,EY62),0)</f>
        <v>0</v>
      </c>
      <c r="FB62" s="1" t="n">
        <f aca="false">ET62-FA62</f>
        <v>0</v>
      </c>
      <c r="FC62" s="1" t="n">
        <f aca="false">IF(BU62=1,IF(ABS((1+AS_Wage)/(1+Slot6_Rate)-1)&lt;0.000000000001,(Slot6_Age-D62)*(1+Slot6_Rate)^(Slot6_Age-D62),(1+Slot6_Rate)^(Slot6_Age-D62)*(1-((1+AS_Wage)/(1+Slot6_Rate))^(Slot6_Age-D62))/(1-(1+AS_Wage)/(1+Slot6_Rate))),1)</f>
        <v>1</v>
      </c>
      <c r="FD62" s="1" t="n">
        <f aca="false">IF(AND(DD62=1,DN62&gt;0,Slot6_IsWG=1,BU62=1),MAX(0,(Slot6_Cost-BV62*(1+Slot6_Rate)^(Slot6_Age-D62))/FC62),0)</f>
        <v>0</v>
      </c>
      <c r="FE62" s="1" t="n">
        <f aca="false">IF(AND(DD62=1,DN62&gt;0,Slot6_IsWG=1,BU62=1),MIN(DN62,FD62),0)</f>
        <v>0</v>
      </c>
      <c r="FF62" s="1" t="n">
        <f aca="false">BV62+FE62</f>
        <v>0</v>
      </c>
      <c r="FG62" s="1" t="n">
        <f aca="false">IF(BU62=1,MAX(0,(Slot6_Cost-FF62*(1+Slot6_Rate)^(Slot6_Age-D62))/FC62),0)</f>
        <v>0</v>
      </c>
      <c r="FH62" s="1" t="n">
        <f aca="false">IF(BU62=1,MAX(0,(Slot6_Cost-BV62*(1+Slot6_Rate)^(Slot6_Age-D62))/FC62),0)</f>
        <v>0</v>
      </c>
      <c r="FI62" s="1" t="n">
        <f aca="false">IF(AND(DD62=1,BU62=1),MIN(FB62,FG62),0)</f>
        <v>0</v>
      </c>
      <c r="FJ62" s="1" t="n">
        <f aca="false">FB62-FI62</f>
        <v>0</v>
      </c>
      <c r="FK62" s="1" t="n">
        <f aca="false">IF(CE62=1,IF(ABS((1+AS_Wage)/(1+Slot7_Rate)-1)&lt;0.000000000001,(Slot7_Age-D62)*(1+Slot7_Rate)^(Slot7_Age-D62),(1+Slot7_Rate)^(Slot7_Age-D62)*(1-((1+AS_Wage)/(1+Slot7_Rate))^(Slot7_Age-D62))/(1-(1+AS_Wage)/(1+Slot7_Rate))),1)</f>
        <v>1</v>
      </c>
      <c r="FL62" s="1" t="n">
        <f aca="false">IF(AND(DD62=1,DN62&gt;0,Slot7_IsWG=1,CE62=1),MAX(0,(Slot7_Cost-CF62*(1+Slot7_Rate)^(Slot7_Age-D62))/FK62),0)</f>
        <v>0</v>
      </c>
      <c r="FM62" s="1" t="n">
        <f aca="false">IF(AND(DD62=1,DN62&gt;0,Slot7_IsWG=1,CE62=1),MIN(DN62,FL62),0)</f>
        <v>0</v>
      </c>
      <c r="FN62" s="1" t="n">
        <f aca="false">CF62+FM62</f>
        <v>0</v>
      </c>
      <c r="FO62" s="1" t="n">
        <f aca="false">IF(CE62=1,MAX(0,(Slot7_Cost-FN62*(1+Slot7_Rate)^(Slot7_Age-D62))/FK62),0)</f>
        <v>0</v>
      </c>
      <c r="FP62" s="1" t="n">
        <f aca="false">IF(CE62=1,MAX(0,(Slot7_Cost-CF62*(1+Slot7_Rate)^(Slot7_Age-D62))/FK62),0)</f>
        <v>0</v>
      </c>
      <c r="FQ62" s="1" t="n">
        <f aca="false">IF(AND(DD62=1,CE62=1),MIN(FJ62,FO62),0)</f>
        <v>0</v>
      </c>
      <c r="FR62" s="1" t="n">
        <f aca="false">FJ62-FQ62</f>
        <v>0</v>
      </c>
      <c r="FS62" s="1" t="n">
        <f aca="false">IF(CO62=1,IF(ABS((1+AS_Wage)/(1+Slot8_Rate)-1)&lt;0.000000000001,(Slot8_Age-D62)*(1+Slot8_Rate)^(Slot8_Age-D62),(1+Slot8_Rate)^(Slot8_Age-D62)*(1-((1+AS_Wage)/(1+Slot8_Rate))^(Slot8_Age-D62))/(1-(1+AS_Wage)/(1+Slot8_Rate))),1)</f>
        <v>1</v>
      </c>
      <c r="FT62" s="1" t="n">
        <f aca="false">IF(AND(DD62=1,DN62&gt;0,Slot8_IsWG=1,CO62=1),MAX(0,(Slot8_Cost-CP62*(1+Slot8_Rate)^(Slot8_Age-D62))/FS62),0)</f>
        <v>0</v>
      </c>
      <c r="FU62" s="1" t="n">
        <f aca="false">IF(AND(DD62=1,DN62&gt;0,Slot8_IsWG=1,CO62=1),MIN(DN62,FT62),0)</f>
        <v>0</v>
      </c>
      <c r="FV62" s="1" t="n">
        <f aca="false">CP62+FU62</f>
        <v>0</v>
      </c>
      <c r="FW62" s="1" t="n">
        <f aca="false">IF(CO62=1,MAX(0,(Slot8_Cost-FV62*(1+Slot8_Rate)^(Slot8_Age-D62))/FS62),0)</f>
        <v>0</v>
      </c>
      <c r="FX62" s="1" t="n">
        <f aca="false">IF(CO62=1,MAX(0,(Slot8_Cost-CP62*(1+Slot8_Rate)^(Slot8_Age-D62))/FS62),0)</f>
        <v>0</v>
      </c>
      <c r="FY62" s="1" t="n">
        <f aca="false">IF(AND(DD62=1,CO62=1),MIN(FR62,FW62),0)</f>
        <v>0</v>
      </c>
      <c r="FZ62" s="1" t="n">
        <f aca="false">FR62-FY62</f>
        <v>0</v>
      </c>
      <c r="GA62" s="1" t="n">
        <f aca="false">DN62-(DQ62+DY62+EG62+EO62+EW62+FE62+FM62+FU62)</f>
        <v>0</v>
      </c>
      <c r="GB62" s="1" t="n">
        <f aca="false">IF(DD62=1,DB62-DM62-DN62,0)</f>
        <v>0</v>
      </c>
      <c r="GC62" s="1" t="n">
        <f aca="false">IF(DD62=0,-DB62,0)</f>
        <v>0</v>
      </c>
      <c r="GD62" s="1" t="n">
        <f aca="false">MIN(GC62,CT62)</f>
        <v>0</v>
      </c>
      <c r="GE62" s="1" t="n">
        <f aca="false">GC62-GD62</f>
        <v>0</v>
      </c>
      <c r="GF62" s="1" t="n">
        <f aca="false">MIN(GE62,CU62)</f>
        <v>0</v>
      </c>
      <c r="GG62" s="1" t="n">
        <f aca="false">GE62-GF62</f>
        <v>0</v>
      </c>
      <c r="GH62" s="1" t="n">
        <f aca="false">IF(AND(DD62=0,CO62=1,GG62&gt;0),MIN(GG62,CP62),0)</f>
        <v>0</v>
      </c>
      <c r="GI62" s="1" t="n">
        <f aca="false">GG62-GH62</f>
        <v>0</v>
      </c>
      <c r="GJ62" s="1" t="n">
        <f aca="false">IF(AND(DD62=0,CE62=1,GI62&gt;0),MIN(GI62,CF62),0)</f>
        <v>0</v>
      </c>
      <c r="GK62" s="1" t="n">
        <f aca="false">GI62-GJ62</f>
        <v>0</v>
      </c>
      <c r="GL62" s="1" t="n">
        <f aca="false">IF(AND(DD62=0,BU62=1,GK62&gt;0),MIN(GK62,BV62),0)</f>
        <v>0</v>
      </c>
      <c r="GM62" s="1" t="n">
        <f aca="false">GK62-GL62</f>
        <v>0</v>
      </c>
      <c r="GN62" s="1" t="n">
        <f aca="false">IF(AND(DD62=0,BK62=1,GM62&gt;0),MIN(GM62,BL62),0)</f>
        <v>0</v>
      </c>
      <c r="GO62" s="1" t="n">
        <f aca="false">GM62-GN62</f>
        <v>0</v>
      </c>
      <c r="GP62" s="1" t="n">
        <f aca="false">IF(AND(DD62=0,BA62=1,GO62&gt;0),MIN(GO62,BB62),0)</f>
        <v>0</v>
      </c>
      <c r="GQ62" s="1" t="n">
        <f aca="false">GO62-GP62</f>
        <v>0</v>
      </c>
      <c r="GR62" s="1" t="n">
        <f aca="false">IF(AND(DD62=0,AQ62=1,GQ62&gt;0),MIN(GQ62,AR62),0)</f>
        <v>0</v>
      </c>
      <c r="GS62" s="1" t="n">
        <f aca="false">GQ62-GR62</f>
        <v>0</v>
      </c>
      <c r="GT62" s="1" t="n">
        <f aca="false">IF(AND(DD62=0,AG62=1,GS62&gt;0),MIN(GS62,AH62),0)</f>
        <v>0</v>
      </c>
      <c r="GU62" s="1" t="n">
        <f aca="false">GS62-GT62</f>
        <v>0</v>
      </c>
      <c r="GV62" s="1" t="n">
        <f aca="false">IF(AND(DD62=0,V62=1,GU62&gt;0),MIN(GU62,W62),0)</f>
        <v>0</v>
      </c>
      <c r="GW62" s="1" t="n">
        <f aca="false">GU62-GV62</f>
        <v>0</v>
      </c>
      <c r="GX62" s="1" t="n">
        <f aca="false">IF(DD62=0,GW62,0)</f>
        <v>0</v>
      </c>
      <c r="GY62" s="1" t="n">
        <f aca="false">GD62+GF62+GV62+GT62+GR62+GP62+GN62+GL62+GJ62+GH62</f>
        <v>0</v>
      </c>
      <c r="GZ62" s="1" t="n">
        <f aca="false">IF(DD62=1,CT62+GA62+FZ62+IF(F62=1,0,GB62),CT62-GD62)</f>
        <v>0</v>
      </c>
      <c r="HA62" s="1" t="n">
        <f aca="false">CU62-GF62</f>
        <v>0</v>
      </c>
      <c r="HB62" s="1" t="n">
        <f aca="false">IF(DD62=1,IF(F62=1,DM62+DN62,DB62),0)</f>
        <v>0</v>
      </c>
      <c r="HC62" s="1" t="n">
        <f aca="false">IF(DD62=1,IF(F62=1,DB62-DM62-DN62,0),0)</f>
        <v>0</v>
      </c>
      <c r="HD62" s="1" t="n">
        <f aca="false">GZ62*(1+GR)</f>
        <v>0</v>
      </c>
      <c r="HE62" s="1" t="n">
        <f aca="false">HA62*(1+AS_Cash)</f>
        <v>0</v>
      </c>
      <c r="HF62" s="1" t="n">
        <f aca="false">IF(V62=1,IF(DD62=1,DR62+DU62,W62-GV62)*(1+Slot1_Rate),0)</f>
        <v>0</v>
      </c>
      <c r="HG62" s="1" t="n">
        <f aca="false">IF(AND(DD62=1,V62=1),(DQ62+DU62)/E62,0)</f>
        <v>0</v>
      </c>
      <c r="HH62" s="1" t="n">
        <f aca="false">IF(B62=0,DQ62+DU62,0)</f>
        <v>0</v>
      </c>
      <c r="HI62" s="1" t="n">
        <f aca="false">IF(B62=0,IF(DD62=1,DS62,DT62),0)</f>
        <v>0</v>
      </c>
      <c r="HJ62" s="1" t="n">
        <f aca="false">IF(AG62=1,IF(DD62=1,DZ62+EC62,AH62-GT62)*(1+Slot2_Rate),0)</f>
        <v>0</v>
      </c>
      <c r="HK62" s="1" t="n">
        <f aca="false">IF(AND(DD62=1,AG62=1),(DY62+EC62)/E62,0)</f>
        <v>0</v>
      </c>
      <c r="HL62" s="1" t="n">
        <f aca="false">IF(B62=0,DY62+EC62,0)</f>
        <v>0</v>
      </c>
      <c r="HM62" s="1" t="n">
        <f aca="false">IF(B62=0,IF(DD62=1,EA62,EB62),0)</f>
        <v>0</v>
      </c>
      <c r="HN62" s="1" t="n">
        <f aca="false">IF(AQ62=1,IF(DD62=1,EH62+EK62,AR62-GR62)*(1+Slot3_Rate),0)</f>
        <v>0</v>
      </c>
      <c r="HO62" s="1" t="n">
        <f aca="false">IF(AND(DD62=1,AQ62=1),(EG62+EK62)/E62,0)</f>
        <v>0</v>
      </c>
      <c r="HP62" s="1" t="n">
        <f aca="false">IF(B62=0,EG62+EK62,0)</f>
        <v>0</v>
      </c>
      <c r="HQ62" s="1" t="n">
        <f aca="false">IF(B62=0,IF(DD62=1,EI62,EJ62),0)</f>
        <v>0</v>
      </c>
      <c r="HR62" s="1" t="n">
        <f aca="false">IF(BA62=1,IF(DD62=1,EP62+ES62,BB62-GP62)*(1+Slot4_Rate),0)</f>
        <v>0</v>
      </c>
      <c r="HS62" s="1" t="n">
        <f aca="false">IF(AND(DD62=1,BA62=1),(EO62+ES62)/E62,0)</f>
        <v>0</v>
      </c>
      <c r="HT62" s="1" t="n">
        <f aca="false">IF(B62=0,EO62+ES62,0)</f>
        <v>0</v>
      </c>
      <c r="HU62" s="1" t="n">
        <f aca="false">IF(B62=0,IF(DD62=1,EQ62,ER62),0)</f>
        <v>0</v>
      </c>
      <c r="HV62" s="1" t="n">
        <f aca="false">IF(BK62=1,IF(DD62=1,EX62+FA62,BL62-GN62)*(1+Slot5_Rate),0)</f>
        <v>0</v>
      </c>
      <c r="HW62" s="1" t="n">
        <f aca="false">IF(AND(DD62=1,BK62=1),(EW62+FA62)/E62,0)</f>
        <v>0</v>
      </c>
      <c r="HX62" s="1" t="n">
        <f aca="false">IF(B62=0,EW62+FA62,0)</f>
        <v>0</v>
      </c>
      <c r="HY62" s="1" t="n">
        <f aca="false">IF(B62=0,IF(DD62=1,EY62,EZ62),0)</f>
        <v>0</v>
      </c>
      <c r="HZ62" s="1" t="n">
        <f aca="false">IF(BU62=1,IF(DD62=1,FF62+FI62,BV62-GL62)*(1+Slot6_Rate),0)</f>
        <v>0</v>
      </c>
      <c r="IA62" s="1" t="n">
        <f aca="false">IF(AND(DD62=1,BU62=1),(FE62+FI62)/E62,0)</f>
        <v>0</v>
      </c>
      <c r="IB62" s="1" t="n">
        <f aca="false">IF(B62=0,FE62+FI62,0)</f>
        <v>0</v>
      </c>
      <c r="IC62" s="1" t="n">
        <f aca="false">IF(B62=0,IF(DD62=1,FG62,FH62),0)</f>
        <v>0</v>
      </c>
      <c r="ID62" s="1" t="n">
        <f aca="false">IF(CE62=1,IF(DD62=1,FN62+FQ62,CF62-GJ62)*(1+Slot7_Rate),0)</f>
        <v>0</v>
      </c>
      <c r="IE62" s="1" t="n">
        <f aca="false">IF(AND(DD62=1,CE62=1),(FM62+FQ62)/E62,0)</f>
        <v>0</v>
      </c>
      <c r="IF62" s="1" t="n">
        <f aca="false">IF(B62=0,FM62+FQ62,0)</f>
        <v>0</v>
      </c>
      <c r="IG62" s="1" t="n">
        <f aca="false">IF(B62=0,IF(DD62=1,FO62,FP62),0)</f>
        <v>0</v>
      </c>
      <c r="IH62" s="1" t="n">
        <f aca="false">IF(CO62=1,IF(DD62=1,FV62+FY62,CP62-GH62)*(1+Slot8_Rate),0)</f>
        <v>0</v>
      </c>
      <c r="II62" s="1" t="n">
        <f aca="false">IF(AND(DD62=1,CO62=1),(FU62+FY62)/E62,0)</f>
        <v>0</v>
      </c>
      <c r="IJ62" s="1" t="n">
        <f aca="false">IF(B62=0,FU62+FY62,0)</f>
        <v>0</v>
      </c>
      <c r="IK62" s="1" t="n">
        <f aca="false">IF(B62=0,IF(DD62=1,FW62,FX62),0)</f>
        <v>0</v>
      </c>
      <c r="IL62" s="1" t="n">
        <f aca="false">HD62+HE62+HF62+HJ62+HN62+HR62+HV62+HZ62+ID62+IH62</f>
        <v>0</v>
      </c>
      <c r="IM62" s="1" t="n">
        <f aca="false">GX62+CY62</f>
        <v>0</v>
      </c>
      <c r="IN62" s="1" t="n">
        <f aca="false">H62+R62</f>
        <v>0</v>
      </c>
      <c r="IO62" s="1" t="n">
        <f aca="false">1-F62</f>
        <v>1</v>
      </c>
      <c r="IP62" s="1" t="n">
        <f aca="false">IF(AND(RG_Exists=1,F62=0,C62=1),H62,0)</f>
        <v>0</v>
      </c>
      <c r="IQ62" s="1" t="n">
        <f aca="false">IF(AND(RG_Exists=1,F62=0,C62=1),H62-MIN(GX62,H62),0)</f>
        <v>0</v>
      </c>
      <c r="IR62" s="1" t="n">
        <f aca="false">'Plan pay &amp; tax'!AD264</f>
        <v>0</v>
      </c>
      <c r="IS62" s="1" t="n">
        <f aca="false">IF(AND(C62=1,GX62&gt;MAX(PR_Short1,IN62*PR_Short2)),1,0)</f>
        <v>0</v>
      </c>
      <c r="IT62" s="1" t="n">
        <f aca="false">MIN(G62,H62+R62)</f>
        <v>0</v>
      </c>
      <c r="IU62" s="1" t="n">
        <f aca="false">GY62+MAX(0,CZ62-CY62)</f>
        <v>0</v>
      </c>
      <c r="IV62" s="1" t="n">
        <f aca="false">GX62+CY62</f>
        <v>0</v>
      </c>
      <c r="IW62" s="1" t="n">
        <f aca="false">IF(AND(C62=1,IV62&gt;0.5),1,0)</f>
        <v>0</v>
      </c>
      <c r="IX62" s="1" t="n">
        <f aca="false">IF(AND(C62=1,IW62=0,IU62&gt;0.5),1,0)</f>
        <v>0</v>
      </c>
      <c r="IY62" s="1" t="n">
        <f aca="false">IF(AND(C62=1,GX62&gt;0.5),1,0)</f>
        <v>0</v>
      </c>
      <c r="IZ62" s="1" t="n">
        <f aca="false">IF(AND(C62=1,GY62&gt;1,JF62=0),1,0)</f>
        <v>0</v>
      </c>
      <c r="JA62" s="1" t="n">
        <f aca="false">IF(AND(INT(D62/10)*10=90,B62&gt;0),80,INT(D62/10)*10)</f>
        <v>50</v>
      </c>
      <c r="JB62" s="1" t="n">
        <f aca="false">IF(B62=0,1,IF(JA62&lt;&gt;JA61,JB61+1,JB61))</f>
        <v>6</v>
      </c>
      <c r="JC62" s="1" t="n">
        <f aca="false">IF(AND(C62=1,F62=1,GX62&gt;MAX(PR_Short1,IN62*PR_Short2)),1,0)</f>
        <v>0</v>
      </c>
      <c r="JD62" s="1" t="n">
        <f aca="false">IO62*IS62</f>
        <v>0</v>
      </c>
      <c r="JE62" s="1" t="n">
        <f aca="false">IF(AND(U62=1,Slot1_PctLow=1),1,0)+IF(AND(AF62=1,Slot2_PctLow=1),1,0)+IF(AND(AP62=1,Slot3_PctLow=1),1,0)+IF(AND(AZ62=1,Slot4_PctLow=1),1,0)+IF(AND(BJ62=1,Slot5_PctLow=1),1,0)+IF(AND(BT62=1,Slot6_PctLow=1),1,0)+IF(AND(CD62=1,Slot7_PctLow=1),1,0)+IF(AND(CN62=1,Slot8_PctLow=1),1,0)</f>
        <v>0</v>
      </c>
      <c r="JF62" s="1" t="n">
        <f aca="false">IF(C62=1,IF(OR(IS62=1,JE62&gt;0),1,0),0)</f>
        <v>0</v>
      </c>
    </row>
    <row r="63" customFormat="false" ht="15" hidden="false" customHeight="false" outlineLevel="0" collapsed="false">
      <c r="B63" s="1" t="n">
        <v>55</v>
      </c>
      <c r="C63" s="1" t="n">
        <f aca="false">IF(B63&lt;=F_N,1,0)</f>
        <v>1</v>
      </c>
      <c r="D63" s="1" t="n">
        <f aca="false">'Plan pay &amp; tax'!C265</f>
        <v>55</v>
      </c>
      <c r="E63" s="106" t="n">
        <f aca="false">'Plan pay &amp; tax'!E265</f>
        <v>2.97173067302309</v>
      </c>
      <c r="F63" s="1" t="n">
        <f aca="false">'Plan pay &amp; tax'!G265</f>
        <v>0</v>
      </c>
      <c r="G63" s="1" t="n">
        <f aca="false">'Plan pay &amp; tax'!BT265-'Plan pay &amp; tax'!BS265-'Plan pay &amp; tax'!R265</f>
        <v>0</v>
      </c>
      <c r="H63" s="1" t="n">
        <f aca="false">IF(F63=1,F_CostsM*12,IF(RG_Exists=1,RG_Amount,F_CostsM*12*AS_RetireSpend))*E63+F_OneOffY*E63</f>
        <v>0</v>
      </c>
      <c r="I63" s="1" t="n">
        <f aca="false">DA62</f>
        <v>0</v>
      </c>
      <c r="J63" s="1" t="n">
        <f aca="false">IF(I63&gt;1,'Plan debt months'!AC63,0)</f>
        <v>0</v>
      </c>
      <c r="K63" s="1" t="n">
        <f aca="false">IF(I63&gt;1,'Plan debt months'!AB63,I63)</f>
        <v>0</v>
      </c>
      <c r="L63" s="1" t="n">
        <f aca="false">N62</f>
        <v>0</v>
      </c>
      <c r="M63" s="1" t="n">
        <f aca="false">IF(L63&gt;1,'Plan debt months'!BD63,0)</f>
        <v>0</v>
      </c>
      <c r="N63" s="1" t="n">
        <f aca="false">IF(L63&gt;1,'Plan debt months'!BC63,L63)</f>
        <v>0</v>
      </c>
      <c r="O63" s="1" t="n">
        <f aca="false">Q62</f>
        <v>0</v>
      </c>
      <c r="P63" s="1" t="n">
        <f aca="false">IF(O63&gt;1,'Plan debt months'!CE63,0)</f>
        <v>0</v>
      </c>
      <c r="Q63" s="1" t="n">
        <f aca="false">IF(O63&gt;1,'Plan debt months'!CD63,O63)</f>
        <v>0</v>
      </c>
      <c r="R63" s="1" t="n">
        <f aca="false">J63+M63+P63</f>
        <v>0</v>
      </c>
      <c r="S63" s="1" t="n">
        <f aca="false">HD62+'Plan pay &amp; tax'!Y265</f>
        <v>0</v>
      </c>
      <c r="T63" s="1" t="n">
        <f aca="false">HD62</f>
        <v>0</v>
      </c>
      <c r="U63" s="1" t="n">
        <f aca="false">IF(AND(Slot1_On=1,D63=Slot1_Age),1,0)</f>
        <v>0</v>
      </c>
      <c r="V63" s="1" t="n">
        <f aca="false">IF(AND(Slot1_On=1,Slot1_Age&gt;D63),1,0)</f>
        <v>0</v>
      </c>
      <c r="W63" s="1" t="n">
        <f aca="false">HF62</f>
        <v>0</v>
      </c>
      <c r="X63" s="1" t="n">
        <f aca="false">U63*MIN(Slot1_Cost,W63)</f>
        <v>0</v>
      </c>
      <c r="Y63" s="1" t="n">
        <f aca="false">U63*Slot1_SpendLike*MIN(Slot1_Cost-X63,S63)</f>
        <v>0</v>
      </c>
      <c r="Z63" s="1" t="n">
        <f aca="false">X63+Y63</f>
        <v>0</v>
      </c>
      <c r="AA63" s="1" t="n">
        <f aca="false">S63-Y63+U63*IF(Slot1_SpendLike=1,W63-X63,IF(Slot1_PotFree=1,W63,0))</f>
        <v>0</v>
      </c>
      <c r="AB63" s="1" t="n">
        <f aca="false">AE63+U63*Slot1_BufPot*W63</f>
        <v>0</v>
      </c>
      <c r="AC63" s="1" t="n">
        <f aca="false">IF(AND(U63=1,Slot1_IsMfree=1),IF(Z63&gt;=Slot1_Cost-1,0,MAX(0,K63-Z63)),K63)</f>
        <v>0</v>
      </c>
      <c r="AD63" s="1" t="n">
        <f aca="false">U63*(Slot1_Cost-Z63)</f>
        <v>0</v>
      </c>
      <c r="AE63" s="1" t="n">
        <f aca="false">HE62</f>
        <v>0</v>
      </c>
      <c r="AF63" s="1" t="n">
        <f aca="false">IF(AND(Slot2_On=1,D63=Slot2_Age),1,0)</f>
        <v>0</v>
      </c>
      <c r="AG63" s="1" t="n">
        <f aca="false">IF(AND(Slot2_On=1,Slot2_Age&gt;D63),1,0)</f>
        <v>0</v>
      </c>
      <c r="AH63" s="1" t="n">
        <f aca="false">HJ62</f>
        <v>0</v>
      </c>
      <c r="AI63" s="1" t="n">
        <f aca="false">AF63*MIN(Slot2_Cost,AH63)</f>
        <v>0</v>
      </c>
      <c r="AJ63" s="1" t="n">
        <f aca="false">AF63*Slot2_SpendLike*MIN(Slot2_Cost-AI63,AA63)</f>
        <v>0</v>
      </c>
      <c r="AK63" s="1" t="n">
        <f aca="false">AI63+AJ63</f>
        <v>0</v>
      </c>
      <c r="AL63" s="1" t="n">
        <f aca="false">AA63-AJ63+AF63*IF(Slot2_SpendLike=1,AH63-AI63,IF(Slot2_PotFree=1,AH63,0))</f>
        <v>0</v>
      </c>
      <c r="AM63" s="1" t="n">
        <f aca="false">AB63+AF63*Slot2_BufPot*AH63</f>
        <v>0</v>
      </c>
      <c r="AN63" s="1" t="n">
        <f aca="false">IF(AND(AF63=1,Slot2_IsMfree=1),IF(AK63&gt;=Slot2_Cost-1,0,MAX(0,AC63-AK63)),AC63)</f>
        <v>0</v>
      </c>
      <c r="AO63" s="1" t="n">
        <f aca="false">AF63*(Slot2_Cost-AK63)</f>
        <v>0</v>
      </c>
      <c r="AP63" s="1" t="n">
        <f aca="false">IF(AND(Slot3_On=1,D63=Slot3_Age),1,0)</f>
        <v>0</v>
      </c>
      <c r="AQ63" s="1" t="n">
        <f aca="false">IF(AND(Slot3_On=1,Slot3_Age&gt;D63),1,0)</f>
        <v>0</v>
      </c>
      <c r="AR63" s="1" t="n">
        <f aca="false">HN62</f>
        <v>0</v>
      </c>
      <c r="AS63" s="1" t="n">
        <f aca="false">AP63*MIN(Slot3_Cost,AR63)</f>
        <v>0</v>
      </c>
      <c r="AT63" s="1" t="n">
        <f aca="false">AP63*Slot3_SpendLike*MIN(Slot3_Cost-AS63,AL63)</f>
        <v>0</v>
      </c>
      <c r="AU63" s="1" t="n">
        <f aca="false">AS63+AT63</f>
        <v>0</v>
      </c>
      <c r="AV63" s="1" t="n">
        <f aca="false">AL63-AT63+AP63*IF(Slot3_SpendLike=1,AR63-AS63,IF(Slot3_PotFree=1,AR63,0))</f>
        <v>0</v>
      </c>
      <c r="AW63" s="1" t="n">
        <f aca="false">AM63+AP63*Slot3_BufPot*AR63</f>
        <v>0</v>
      </c>
      <c r="AX63" s="1" t="n">
        <f aca="false">IF(AND(AP63=1,Slot3_IsMfree=1),IF(AU63&gt;=Slot3_Cost-1,0,MAX(0,AN63-AU63)),AN63)</f>
        <v>0</v>
      </c>
      <c r="AY63" s="1" t="n">
        <f aca="false">AP63*(Slot3_Cost-AU63)</f>
        <v>0</v>
      </c>
      <c r="AZ63" s="1" t="n">
        <f aca="false">IF(AND(Slot4_On=1,D63=Slot4_Age),1,0)</f>
        <v>0</v>
      </c>
      <c r="BA63" s="1" t="n">
        <f aca="false">IF(AND(Slot4_On=1,Slot4_Age&gt;D63),1,0)</f>
        <v>0</v>
      </c>
      <c r="BB63" s="1" t="n">
        <f aca="false">HR62</f>
        <v>0</v>
      </c>
      <c r="BC63" s="1" t="n">
        <f aca="false">AZ63*MIN(Slot4_Cost,BB63)</f>
        <v>0</v>
      </c>
      <c r="BD63" s="1" t="n">
        <f aca="false">AZ63*Slot4_SpendLike*MIN(Slot4_Cost-BC63,AV63)</f>
        <v>0</v>
      </c>
      <c r="BE63" s="1" t="n">
        <f aca="false">BC63+BD63</f>
        <v>0</v>
      </c>
      <c r="BF63" s="1" t="n">
        <f aca="false">AV63-BD63+AZ63*IF(Slot4_SpendLike=1,BB63-BC63,IF(Slot4_PotFree=1,BB63,0))</f>
        <v>0</v>
      </c>
      <c r="BG63" s="1" t="n">
        <f aca="false">AW63+AZ63*Slot4_BufPot*BB63</f>
        <v>0</v>
      </c>
      <c r="BH63" s="1" t="n">
        <f aca="false">IF(AND(AZ63=1,Slot4_IsMfree=1),IF(BE63&gt;=Slot4_Cost-1,0,MAX(0,AX63-BE63)),AX63)</f>
        <v>0</v>
      </c>
      <c r="BI63" s="1" t="n">
        <f aca="false">AZ63*(Slot4_Cost-BE63)</f>
        <v>0</v>
      </c>
      <c r="BJ63" s="1" t="n">
        <f aca="false">IF(AND(Slot5_On=1,D63=Slot5_Age),1,0)</f>
        <v>0</v>
      </c>
      <c r="BK63" s="1" t="n">
        <f aca="false">IF(AND(Slot5_On=1,Slot5_Age&gt;D63),1,0)</f>
        <v>0</v>
      </c>
      <c r="BL63" s="1" t="n">
        <f aca="false">HV62</f>
        <v>0</v>
      </c>
      <c r="BM63" s="1" t="n">
        <f aca="false">BJ63*MIN(Slot5_Cost,BL63)</f>
        <v>0</v>
      </c>
      <c r="BN63" s="1" t="n">
        <f aca="false">BJ63*Slot5_SpendLike*MIN(Slot5_Cost-BM63,BF63)</f>
        <v>0</v>
      </c>
      <c r="BO63" s="1" t="n">
        <f aca="false">BM63+BN63</f>
        <v>0</v>
      </c>
      <c r="BP63" s="1" t="n">
        <f aca="false">BF63-BN63+BJ63*IF(Slot5_SpendLike=1,BL63-BM63,IF(Slot5_PotFree=1,BL63,0))</f>
        <v>0</v>
      </c>
      <c r="BQ63" s="1" t="n">
        <f aca="false">BG63+BJ63*Slot5_BufPot*BL63</f>
        <v>0</v>
      </c>
      <c r="BR63" s="1" t="n">
        <f aca="false">IF(AND(BJ63=1,Slot5_IsMfree=1),IF(BO63&gt;=Slot5_Cost-1,0,MAX(0,BH63-BO63)),BH63)</f>
        <v>0</v>
      </c>
      <c r="BS63" s="1" t="n">
        <f aca="false">BJ63*(Slot5_Cost-BO63)</f>
        <v>0</v>
      </c>
      <c r="BT63" s="1" t="n">
        <f aca="false">IF(AND(Slot6_On=1,D63=Slot6_Age),1,0)</f>
        <v>0</v>
      </c>
      <c r="BU63" s="1" t="n">
        <f aca="false">IF(AND(Slot6_On=1,Slot6_Age&gt;D63),1,0)</f>
        <v>0</v>
      </c>
      <c r="BV63" s="1" t="n">
        <f aca="false">HZ62</f>
        <v>0</v>
      </c>
      <c r="BW63" s="1" t="n">
        <f aca="false">BT63*MIN(Slot6_Cost,BV63)</f>
        <v>0</v>
      </c>
      <c r="BX63" s="1" t="n">
        <f aca="false">BT63*Slot6_SpendLike*MIN(Slot6_Cost-BW63,BP63)</f>
        <v>0</v>
      </c>
      <c r="BY63" s="1" t="n">
        <f aca="false">BW63+BX63</f>
        <v>0</v>
      </c>
      <c r="BZ63" s="1" t="n">
        <f aca="false">BP63-BX63+BT63*IF(Slot6_SpendLike=1,BV63-BW63,IF(Slot6_PotFree=1,BV63,0))</f>
        <v>0</v>
      </c>
      <c r="CA63" s="1" t="n">
        <f aca="false">BQ63+BT63*Slot6_BufPot*BV63</f>
        <v>0</v>
      </c>
      <c r="CB63" s="1" t="n">
        <f aca="false">IF(AND(BT63=1,Slot6_IsMfree=1),IF(BY63&gt;=Slot6_Cost-1,0,MAX(0,BR63-BY63)),BR63)</f>
        <v>0</v>
      </c>
      <c r="CC63" s="1" t="n">
        <f aca="false">BT63*(Slot6_Cost-BY63)</f>
        <v>0</v>
      </c>
      <c r="CD63" s="1" t="n">
        <f aca="false">IF(AND(Slot7_On=1,D63=Slot7_Age),1,0)</f>
        <v>0</v>
      </c>
      <c r="CE63" s="1" t="n">
        <f aca="false">IF(AND(Slot7_On=1,Slot7_Age&gt;D63),1,0)</f>
        <v>0</v>
      </c>
      <c r="CF63" s="1" t="n">
        <f aca="false">ID62</f>
        <v>0</v>
      </c>
      <c r="CG63" s="1" t="n">
        <f aca="false">CD63*MIN(Slot7_Cost,CF63)</f>
        <v>0</v>
      </c>
      <c r="CH63" s="1" t="n">
        <f aca="false">CD63*Slot7_SpendLike*MIN(Slot7_Cost-CG63,BZ63)</f>
        <v>0</v>
      </c>
      <c r="CI63" s="1" t="n">
        <f aca="false">CG63+CH63</f>
        <v>0</v>
      </c>
      <c r="CJ63" s="1" t="n">
        <f aca="false">BZ63-CH63+CD63*IF(Slot7_SpendLike=1,CF63-CG63,IF(Slot7_PotFree=1,CF63,0))</f>
        <v>0</v>
      </c>
      <c r="CK63" s="1" t="n">
        <f aca="false">CA63+CD63*Slot7_BufPot*CF63</f>
        <v>0</v>
      </c>
      <c r="CL63" s="1" t="n">
        <f aca="false">IF(AND(CD63=1,Slot7_IsMfree=1),IF(CI63&gt;=Slot7_Cost-1,0,MAX(0,CB63-CI63)),CB63)</f>
        <v>0</v>
      </c>
      <c r="CM63" s="1" t="n">
        <f aca="false">CD63*(Slot7_Cost-CI63)</f>
        <v>0</v>
      </c>
      <c r="CN63" s="1" t="n">
        <f aca="false">IF(AND(Slot8_On=1,D63=Slot8_Age),1,0)</f>
        <v>0</v>
      </c>
      <c r="CO63" s="1" t="n">
        <f aca="false">IF(AND(Slot8_On=1,Slot8_Age&gt;D63),1,0)</f>
        <v>0</v>
      </c>
      <c r="CP63" s="1" t="n">
        <f aca="false">IH62</f>
        <v>0</v>
      </c>
      <c r="CQ63" s="1" t="n">
        <f aca="false">CN63*MIN(Slot8_Cost,CP63)</f>
        <v>0</v>
      </c>
      <c r="CR63" s="1" t="n">
        <f aca="false">CN63*Slot8_SpendLike*MIN(Slot8_Cost-CQ63,CJ63)</f>
        <v>0</v>
      </c>
      <c r="CS63" s="1" t="n">
        <f aca="false">CQ63+CR63</f>
        <v>0</v>
      </c>
      <c r="CT63" s="1" t="n">
        <f aca="false">CJ63-CR63+CN63*IF(Slot8_SpendLike=1,CP63-CQ63,IF(Slot8_PotFree=1,CP63,0))</f>
        <v>0</v>
      </c>
      <c r="CU63" s="1" t="n">
        <f aca="false">CK63+CN63*Slot8_BufPot*CP63</f>
        <v>0</v>
      </c>
      <c r="CV63" s="1" t="n">
        <f aca="false">IF(AND(CN63=1,Slot8_IsMfree=1),IF(CS63&gt;=Slot8_Cost-1,0,MAX(0,CL63-CS63)),CL63)</f>
        <v>0</v>
      </c>
      <c r="CW63" s="1" t="n">
        <f aca="false">CN63*(Slot8_Cost-CS63)</f>
        <v>0</v>
      </c>
      <c r="CX63" s="1" t="n">
        <f aca="false">U63*Slot1_SpendLike*Z63+AF63*Slot2_SpendLike*AK63+AP63*Slot3_SpendLike*AU63+AZ63*Slot4_SpendLike*BE63+BJ63*Slot5_SpendLike*BO63+BT63*Slot6_SpendLike*BY63+CD63*Slot7_SpendLike*CI63+CN63*Slot8_SpendLike*CS63</f>
        <v>0</v>
      </c>
      <c r="CY63" s="1" t="n">
        <f aca="false">AD63+AO63+AY63+BI63+BS63+CC63+CM63+CW63</f>
        <v>0</v>
      </c>
      <c r="CZ63" s="1" t="n">
        <f aca="false">U63*Slot1_Cost+AF63*Slot2_Cost+AP63*Slot3_Cost+AZ63*Slot4_Cost+BJ63*Slot5_Cost+BT63*Slot6_Cost+CD63*Slot7_Cost+CN63*Slot8_Cost</f>
        <v>0</v>
      </c>
      <c r="DA63" s="1" t="n">
        <f aca="false">CV63</f>
        <v>0</v>
      </c>
      <c r="DB63" s="1" t="n">
        <f aca="false">G63-H63-R63</f>
        <v>0</v>
      </c>
      <c r="DC63" s="1" t="n">
        <f aca="false">IF(B63=0,IF(AND(Has_q6=1,In_q6=4),PR_ShareVaries*(MAX(0,DB63)/12),MIN(IF(Has_q6=1,CHOOSE(In_q6+1,PR_SaveB1,PR_SaveB2,PR_SaveB3,PR_SaveB4,0),AS_NoAnswer),AS_SaveShare*(MAX(0,DB63)/12))),DC62)</f>
        <v>0</v>
      </c>
      <c r="DD63" s="1" t="n">
        <f aca="false">IF(DB63&gt;=0,1,0)</f>
        <v>1</v>
      </c>
      <c r="DE63" s="1" t="n">
        <f aca="false">MAX(0,DB63/12/E63)</f>
        <v>0</v>
      </c>
      <c r="DF63" s="1" t="n">
        <f aca="false">IF(AND(Has_q6=1,In_q6=4),PR_ShareVaries*(DE63),MIN(IF(Has_q6=1,CHOOSE(In_q6+1,PR_SaveB1,PR_SaveB2,PR_SaveB3,PR_SaveB4,0),AS_NoAnswer),AS_SaveShare*(DE63)))</f>
        <v>0</v>
      </c>
      <c r="DG63" s="1" t="n">
        <f aca="false">IF(Has_saveM=1,IF(In_saveUp="Yes",1,IF(In_saveUp="No",0,IF(In_saveM&gt;=DC63-0.5,1,0))),0)</f>
        <v>0</v>
      </c>
      <c r="DH63" s="1" t="n">
        <f aca="false">IF(Has_saveM=1,MIN(DE63,IF(DG63=1,MAX(In_saveM,DF63),MIN(In_saveM,DF63))),DF63)</f>
        <v>0</v>
      </c>
      <c r="DI63" s="1" t="n">
        <f aca="false">IF(F63=1,DH63*12*E63,0)</f>
        <v>0</v>
      </c>
      <c r="DJ63" s="1" t="n">
        <f aca="false">MAX(0,DI63+IF(AND(WI_Retire=0,WI_M&lt;0,F63=1),WI_M*12*E63,0))</f>
        <v>0</v>
      </c>
      <c r="DK63" s="1" t="n">
        <f aca="false">Slot1_IsWG*V63+Slot2_IsWG*AG63+Slot3_IsWG*AQ63+Slot4_IsWG*BA63+Slot5_IsWG*BK63+Slot6_IsWG*BU63+Slot7_IsWG*CE63+Slot8_IsWG*CO63</f>
        <v>0</v>
      </c>
      <c r="DL63" s="1" t="n">
        <f aca="false">IF(AND(WI_Retire=0,WI_M&gt;0,F63=1,DK63&gt;=1),WI_M*12*E63,0)</f>
        <v>0</v>
      </c>
      <c r="DM63" s="1" t="n">
        <f aca="false">IF(DD63=1,MIN(DJ63,DB63),0)</f>
        <v>0</v>
      </c>
      <c r="DN63" s="1" t="n">
        <f aca="false">IF(DD63=1,MIN(DL63,DB63-DM63),0)</f>
        <v>0</v>
      </c>
      <c r="DO63" s="1" t="n">
        <f aca="false">IF(V63=1,IF(ABS((1+AS_Wage)/(1+Slot1_Rate)-1)&lt;0.000000000001,(Slot1_Age-D63)*(1+Slot1_Rate)^(Slot1_Age-D63),(1+Slot1_Rate)^(Slot1_Age-D63)*(1-((1+AS_Wage)/(1+Slot1_Rate))^(Slot1_Age-D63))/(1-(1+AS_Wage)/(1+Slot1_Rate))),1)</f>
        <v>1</v>
      </c>
      <c r="DP63" s="1" t="n">
        <f aca="false">IF(AND(DD63=1,DN63&gt;0,Slot1_IsWG=1,V63=1),MAX(0,(Slot1_Cost-W63*(1+Slot1_Rate)^(Slot1_Age-D63))/DO63),0)</f>
        <v>0</v>
      </c>
      <c r="DQ63" s="1" t="n">
        <f aca="false">IF(AND(DD63=1,DN63&gt;0,Slot1_IsWG=1,V63=1),MIN(DN63,DP63),0)</f>
        <v>0</v>
      </c>
      <c r="DR63" s="1" t="n">
        <f aca="false">W63+DQ63</f>
        <v>0</v>
      </c>
      <c r="DS63" s="1" t="n">
        <f aca="false">IF(V63=1,MAX(0,(Slot1_Cost-DR63*(1+Slot1_Rate)^(Slot1_Age-D63))/DO63),0)</f>
        <v>0</v>
      </c>
      <c r="DT63" s="1" t="n">
        <f aca="false">IF(V63=1,MAX(0,(Slot1_Cost-W63*(1+Slot1_Rate)^(Slot1_Age-D63))/DO63),0)</f>
        <v>0</v>
      </c>
      <c r="DU63" s="1" t="n">
        <f aca="false">IF(AND(DD63=1,V63=1),MIN(DM63,DS63),0)</f>
        <v>0</v>
      </c>
      <c r="DV63" s="1" t="n">
        <f aca="false">DM63-DU63</f>
        <v>0</v>
      </c>
      <c r="DW63" s="1" t="n">
        <f aca="false">IF(AG63=1,IF(ABS((1+AS_Wage)/(1+Slot2_Rate)-1)&lt;0.000000000001,(Slot2_Age-D63)*(1+Slot2_Rate)^(Slot2_Age-D63),(1+Slot2_Rate)^(Slot2_Age-D63)*(1-((1+AS_Wage)/(1+Slot2_Rate))^(Slot2_Age-D63))/(1-(1+AS_Wage)/(1+Slot2_Rate))),1)</f>
        <v>1</v>
      </c>
      <c r="DX63" s="1" t="n">
        <f aca="false">IF(AND(DD63=1,DN63&gt;0,Slot2_IsWG=1,AG63=1),MAX(0,(Slot2_Cost-AH63*(1+Slot2_Rate)^(Slot2_Age-D63))/DW63),0)</f>
        <v>0</v>
      </c>
      <c r="DY63" s="1" t="n">
        <f aca="false">IF(AND(DD63=1,DN63&gt;0,Slot2_IsWG=1,AG63=1),MIN(DN63,DX63),0)</f>
        <v>0</v>
      </c>
      <c r="DZ63" s="1" t="n">
        <f aca="false">AH63+DY63</f>
        <v>0</v>
      </c>
      <c r="EA63" s="1" t="n">
        <f aca="false">IF(AG63=1,MAX(0,(Slot2_Cost-DZ63*(1+Slot2_Rate)^(Slot2_Age-D63))/DW63),0)</f>
        <v>0</v>
      </c>
      <c r="EB63" s="1" t="n">
        <f aca="false">IF(AG63=1,MAX(0,(Slot2_Cost-AH63*(1+Slot2_Rate)^(Slot2_Age-D63))/DW63),0)</f>
        <v>0</v>
      </c>
      <c r="EC63" s="1" t="n">
        <f aca="false">IF(AND(DD63=1,AG63=1),MIN(DV63,EA63),0)</f>
        <v>0</v>
      </c>
      <c r="ED63" s="1" t="n">
        <f aca="false">DV63-EC63</f>
        <v>0</v>
      </c>
      <c r="EE63" s="1" t="n">
        <f aca="false">IF(AQ63=1,IF(ABS((1+AS_Wage)/(1+Slot3_Rate)-1)&lt;0.000000000001,(Slot3_Age-D63)*(1+Slot3_Rate)^(Slot3_Age-D63),(1+Slot3_Rate)^(Slot3_Age-D63)*(1-((1+AS_Wage)/(1+Slot3_Rate))^(Slot3_Age-D63))/(1-(1+AS_Wage)/(1+Slot3_Rate))),1)</f>
        <v>1</v>
      </c>
      <c r="EF63" s="1" t="n">
        <f aca="false">IF(AND(DD63=1,DN63&gt;0,Slot3_IsWG=1,AQ63=1),MAX(0,(Slot3_Cost-AR63*(1+Slot3_Rate)^(Slot3_Age-D63))/EE63),0)</f>
        <v>0</v>
      </c>
      <c r="EG63" s="1" t="n">
        <f aca="false">IF(AND(DD63=1,DN63&gt;0,Slot3_IsWG=1,AQ63=1),MIN(DN63,EF63),0)</f>
        <v>0</v>
      </c>
      <c r="EH63" s="1" t="n">
        <f aca="false">AR63+EG63</f>
        <v>0</v>
      </c>
      <c r="EI63" s="1" t="n">
        <f aca="false">IF(AQ63=1,MAX(0,(Slot3_Cost-EH63*(1+Slot3_Rate)^(Slot3_Age-D63))/EE63),0)</f>
        <v>0</v>
      </c>
      <c r="EJ63" s="1" t="n">
        <f aca="false">IF(AQ63=1,MAX(0,(Slot3_Cost-AR63*(1+Slot3_Rate)^(Slot3_Age-D63))/EE63),0)</f>
        <v>0</v>
      </c>
      <c r="EK63" s="1" t="n">
        <f aca="false">IF(AND(DD63=1,AQ63=1),MIN(ED63,EI63),0)</f>
        <v>0</v>
      </c>
      <c r="EL63" s="1" t="n">
        <f aca="false">ED63-EK63</f>
        <v>0</v>
      </c>
      <c r="EM63" s="1" t="n">
        <f aca="false">IF(BA63=1,IF(ABS((1+AS_Wage)/(1+Slot4_Rate)-1)&lt;0.000000000001,(Slot4_Age-D63)*(1+Slot4_Rate)^(Slot4_Age-D63),(1+Slot4_Rate)^(Slot4_Age-D63)*(1-((1+AS_Wage)/(1+Slot4_Rate))^(Slot4_Age-D63))/(1-(1+AS_Wage)/(1+Slot4_Rate))),1)</f>
        <v>1</v>
      </c>
      <c r="EN63" s="1" t="n">
        <f aca="false">IF(AND(DD63=1,DN63&gt;0,Slot4_IsWG=1,BA63=1),MAX(0,(Slot4_Cost-BB63*(1+Slot4_Rate)^(Slot4_Age-D63))/EM63),0)</f>
        <v>0</v>
      </c>
      <c r="EO63" s="1" t="n">
        <f aca="false">IF(AND(DD63=1,DN63&gt;0,Slot4_IsWG=1,BA63=1),MIN(DN63,EN63),0)</f>
        <v>0</v>
      </c>
      <c r="EP63" s="1" t="n">
        <f aca="false">BB63+EO63</f>
        <v>0</v>
      </c>
      <c r="EQ63" s="1" t="n">
        <f aca="false">IF(BA63=1,MAX(0,(Slot4_Cost-EP63*(1+Slot4_Rate)^(Slot4_Age-D63))/EM63),0)</f>
        <v>0</v>
      </c>
      <c r="ER63" s="1" t="n">
        <f aca="false">IF(BA63=1,MAX(0,(Slot4_Cost-BB63*(1+Slot4_Rate)^(Slot4_Age-D63))/EM63),0)</f>
        <v>0</v>
      </c>
      <c r="ES63" s="1" t="n">
        <f aca="false">IF(AND(DD63=1,BA63=1),MIN(EL63,EQ63),0)</f>
        <v>0</v>
      </c>
      <c r="ET63" s="1" t="n">
        <f aca="false">EL63-ES63</f>
        <v>0</v>
      </c>
      <c r="EU63" s="1" t="n">
        <f aca="false">IF(BK63=1,IF(ABS((1+AS_Wage)/(1+Slot5_Rate)-1)&lt;0.000000000001,(Slot5_Age-D63)*(1+Slot5_Rate)^(Slot5_Age-D63),(1+Slot5_Rate)^(Slot5_Age-D63)*(1-((1+AS_Wage)/(1+Slot5_Rate))^(Slot5_Age-D63))/(1-(1+AS_Wage)/(1+Slot5_Rate))),1)</f>
        <v>1</v>
      </c>
      <c r="EV63" s="1" t="n">
        <f aca="false">IF(AND(DD63=1,DN63&gt;0,Slot5_IsWG=1,BK63=1),MAX(0,(Slot5_Cost-BL63*(1+Slot5_Rate)^(Slot5_Age-D63))/EU63),0)</f>
        <v>0</v>
      </c>
      <c r="EW63" s="1" t="n">
        <f aca="false">IF(AND(DD63=1,DN63&gt;0,Slot5_IsWG=1,BK63=1),MIN(DN63,EV63),0)</f>
        <v>0</v>
      </c>
      <c r="EX63" s="1" t="n">
        <f aca="false">BL63+EW63</f>
        <v>0</v>
      </c>
      <c r="EY63" s="1" t="n">
        <f aca="false">IF(BK63=1,MAX(0,(Slot5_Cost-EX63*(1+Slot5_Rate)^(Slot5_Age-D63))/EU63),0)</f>
        <v>0</v>
      </c>
      <c r="EZ63" s="1" t="n">
        <f aca="false">IF(BK63=1,MAX(0,(Slot5_Cost-BL63*(1+Slot5_Rate)^(Slot5_Age-D63))/EU63),0)</f>
        <v>0</v>
      </c>
      <c r="FA63" s="1" t="n">
        <f aca="false">IF(AND(DD63=1,BK63=1),MIN(ET63,EY63),0)</f>
        <v>0</v>
      </c>
      <c r="FB63" s="1" t="n">
        <f aca="false">ET63-FA63</f>
        <v>0</v>
      </c>
      <c r="FC63" s="1" t="n">
        <f aca="false">IF(BU63=1,IF(ABS((1+AS_Wage)/(1+Slot6_Rate)-1)&lt;0.000000000001,(Slot6_Age-D63)*(1+Slot6_Rate)^(Slot6_Age-D63),(1+Slot6_Rate)^(Slot6_Age-D63)*(1-((1+AS_Wage)/(1+Slot6_Rate))^(Slot6_Age-D63))/(1-(1+AS_Wage)/(1+Slot6_Rate))),1)</f>
        <v>1</v>
      </c>
      <c r="FD63" s="1" t="n">
        <f aca="false">IF(AND(DD63=1,DN63&gt;0,Slot6_IsWG=1,BU63=1),MAX(0,(Slot6_Cost-BV63*(1+Slot6_Rate)^(Slot6_Age-D63))/FC63),0)</f>
        <v>0</v>
      </c>
      <c r="FE63" s="1" t="n">
        <f aca="false">IF(AND(DD63=1,DN63&gt;0,Slot6_IsWG=1,BU63=1),MIN(DN63,FD63),0)</f>
        <v>0</v>
      </c>
      <c r="FF63" s="1" t="n">
        <f aca="false">BV63+FE63</f>
        <v>0</v>
      </c>
      <c r="FG63" s="1" t="n">
        <f aca="false">IF(BU63=1,MAX(0,(Slot6_Cost-FF63*(1+Slot6_Rate)^(Slot6_Age-D63))/FC63),0)</f>
        <v>0</v>
      </c>
      <c r="FH63" s="1" t="n">
        <f aca="false">IF(BU63=1,MAX(0,(Slot6_Cost-BV63*(1+Slot6_Rate)^(Slot6_Age-D63))/FC63),0)</f>
        <v>0</v>
      </c>
      <c r="FI63" s="1" t="n">
        <f aca="false">IF(AND(DD63=1,BU63=1),MIN(FB63,FG63),0)</f>
        <v>0</v>
      </c>
      <c r="FJ63" s="1" t="n">
        <f aca="false">FB63-FI63</f>
        <v>0</v>
      </c>
      <c r="FK63" s="1" t="n">
        <f aca="false">IF(CE63=1,IF(ABS((1+AS_Wage)/(1+Slot7_Rate)-1)&lt;0.000000000001,(Slot7_Age-D63)*(1+Slot7_Rate)^(Slot7_Age-D63),(1+Slot7_Rate)^(Slot7_Age-D63)*(1-((1+AS_Wage)/(1+Slot7_Rate))^(Slot7_Age-D63))/(1-(1+AS_Wage)/(1+Slot7_Rate))),1)</f>
        <v>1</v>
      </c>
      <c r="FL63" s="1" t="n">
        <f aca="false">IF(AND(DD63=1,DN63&gt;0,Slot7_IsWG=1,CE63=1),MAX(0,(Slot7_Cost-CF63*(1+Slot7_Rate)^(Slot7_Age-D63))/FK63),0)</f>
        <v>0</v>
      </c>
      <c r="FM63" s="1" t="n">
        <f aca="false">IF(AND(DD63=1,DN63&gt;0,Slot7_IsWG=1,CE63=1),MIN(DN63,FL63),0)</f>
        <v>0</v>
      </c>
      <c r="FN63" s="1" t="n">
        <f aca="false">CF63+FM63</f>
        <v>0</v>
      </c>
      <c r="FO63" s="1" t="n">
        <f aca="false">IF(CE63=1,MAX(0,(Slot7_Cost-FN63*(1+Slot7_Rate)^(Slot7_Age-D63))/FK63),0)</f>
        <v>0</v>
      </c>
      <c r="FP63" s="1" t="n">
        <f aca="false">IF(CE63=1,MAX(0,(Slot7_Cost-CF63*(1+Slot7_Rate)^(Slot7_Age-D63))/FK63),0)</f>
        <v>0</v>
      </c>
      <c r="FQ63" s="1" t="n">
        <f aca="false">IF(AND(DD63=1,CE63=1),MIN(FJ63,FO63),0)</f>
        <v>0</v>
      </c>
      <c r="FR63" s="1" t="n">
        <f aca="false">FJ63-FQ63</f>
        <v>0</v>
      </c>
      <c r="FS63" s="1" t="n">
        <f aca="false">IF(CO63=1,IF(ABS((1+AS_Wage)/(1+Slot8_Rate)-1)&lt;0.000000000001,(Slot8_Age-D63)*(1+Slot8_Rate)^(Slot8_Age-D63),(1+Slot8_Rate)^(Slot8_Age-D63)*(1-((1+AS_Wage)/(1+Slot8_Rate))^(Slot8_Age-D63))/(1-(1+AS_Wage)/(1+Slot8_Rate))),1)</f>
        <v>1</v>
      </c>
      <c r="FT63" s="1" t="n">
        <f aca="false">IF(AND(DD63=1,DN63&gt;0,Slot8_IsWG=1,CO63=1),MAX(0,(Slot8_Cost-CP63*(1+Slot8_Rate)^(Slot8_Age-D63))/FS63),0)</f>
        <v>0</v>
      </c>
      <c r="FU63" s="1" t="n">
        <f aca="false">IF(AND(DD63=1,DN63&gt;0,Slot8_IsWG=1,CO63=1),MIN(DN63,FT63),0)</f>
        <v>0</v>
      </c>
      <c r="FV63" s="1" t="n">
        <f aca="false">CP63+FU63</f>
        <v>0</v>
      </c>
      <c r="FW63" s="1" t="n">
        <f aca="false">IF(CO63=1,MAX(0,(Slot8_Cost-FV63*(1+Slot8_Rate)^(Slot8_Age-D63))/FS63),0)</f>
        <v>0</v>
      </c>
      <c r="FX63" s="1" t="n">
        <f aca="false">IF(CO63=1,MAX(0,(Slot8_Cost-CP63*(1+Slot8_Rate)^(Slot8_Age-D63))/FS63),0)</f>
        <v>0</v>
      </c>
      <c r="FY63" s="1" t="n">
        <f aca="false">IF(AND(DD63=1,CO63=1),MIN(FR63,FW63),0)</f>
        <v>0</v>
      </c>
      <c r="FZ63" s="1" t="n">
        <f aca="false">FR63-FY63</f>
        <v>0</v>
      </c>
      <c r="GA63" s="1" t="n">
        <f aca="false">DN63-(DQ63+DY63+EG63+EO63+EW63+FE63+FM63+FU63)</f>
        <v>0</v>
      </c>
      <c r="GB63" s="1" t="n">
        <f aca="false">IF(DD63=1,DB63-DM63-DN63,0)</f>
        <v>0</v>
      </c>
      <c r="GC63" s="1" t="n">
        <f aca="false">IF(DD63=0,-DB63,0)</f>
        <v>0</v>
      </c>
      <c r="GD63" s="1" t="n">
        <f aca="false">MIN(GC63,CT63)</f>
        <v>0</v>
      </c>
      <c r="GE63" s="1" t="n">
        <f aca="false">GC63-GD63</f>
        <v>0</v>
      </c>
      <c r="GF63" s="1" t="n">
        <f aca="false">MIN(GE63,CU63)</f>
        <v>0</v>
      </c>
      <c r="GG63" s="1" t="n">
        <f aca="false">GE63-GF63</f>
        <v>0</v>
      </c>
      <c r="GH63" s="1" t="n">
        <f aca="false">IF(AND(DD63=0,CO63=1,GG63&gt;0),MIN(GG63,CP63),0)</f>
        <v>0</v>
      </c>
      <c r="GI63" s="1" t="n">
        <f aca="false">GG63-GH63</f>
        <v>0</v>
      </c>
      <c r="GJ63" s="1" t="n">
        <f aca="false">IF(AND(DD63=0,CE63=1,GI63&gt;0),MIN(GI63,CF63),0)</f>
        <v>0</v>
      </c>
      <c r="GK63" s="1" t="n">
        <f aca="false">GI63-GJ63</f>
        <v>0</v>
      </c>
      <c r="GL63" s="1" t="n">
        <f aca="false">IF(AND(DD63=0,BU63=1,GK63&gt;0),MIN(GK63,BV63),0)</f>
        <v>0</v>
      </c>
      <c r="GM63" s="1" t="n">
        <f aca="false">GK63-GL63</f>
        <v>0</v>
      </c>
      <c r="GN63" s="1" t="n">
        <f aca="false">IF(AND(DD63=0,BK63=1,GM63&gt;0),MIN(GM63,BL63),0)</f>
        <v>0</v>
      </c>
      <c r="GO63" s="1" t="n">
        <f aca="false">GM63-GN63</f>
        <v>0</v>
      </c>
      <c r="GP63" s="1" t="n">
        <f aca="false">IF(AND(DD63=0,BA63=1,GO63&gt;0),MIN(GO63,BB63),0)</f>
        <v>0</v>
      </c>
      <c r="GQ63" s="1" t="n">
        <f aca="false">GO63-GP63</f>
        <v>0</v>
      </c>
      <c r="GR63" s="1" t="n">
        <f aca="false">IF(AND(DD63=0,AQ63=1,GQ63&gt;0),MIN(GQ63,AR63),0)</f>
        <v>0</v>
      </c>
      <c r="GS63" s="1" t="n">
        <f aca="false">GQ63-GR63</f>
        <v>0</v>
      </c>
      <c r="GT63" s="1" t="n">
        <f aca="false">IF(AND(DD63=0,AG63=1,GS63&gt;0),MIN(GS63,AH63),0)</f>
        <v>0</v>
      </c>
      <c r="GU63" s="1" t="n">
        <f aca="false">GS63-GT63</f>
        <v>0</v>
      </c>
      <c r="GV63" s="1" t="n">
        <f aca="false">IF(AND(DD63=0,V63=1,GU63&gt;0),MIN(GU63,W63),0)</f>
        <v>0</v>
      </c>
      <c r="GW63" s="1" t="n">
        <f aca="false">GU63-GV63</f>
        <v>0</v>
      </c>
      <c r="GX63" s="1" t="n">
        <f aca="false">IF(DD63=0,GW63,0)</f>
        <v>0</v>
      </c>
      <c r="GY63" s="1" t="n">
        <f aca="false">GD63+GF63+GV63+GT63+GR63+GP63+GN63+GL63+GJ63+GH63</f>
        <v>0</v>
      </c>
      <c r="GZ63" s="1" t="n">
        <f aca="false">IF(DD63=1,CT63+GA63+FZ63+IF(F63=1,0,GB63),CT63-GD63)</f>
        <v>0</v>
      </c>
      <c r="HA63" s="1" t="n">
        <f aca="false">CU63-GF63</f>
        <v>0</v>
      </c>
      <c r="HB63" s="1" t="n">
        <f aca="false">IF(DD63=1,IF(F63=1,DM63+DN63,DB63),0)</f>
        <v>0</v>
      </c>
      <c r="HC63" s="1" t="n">
        <f aca="false">IF(DD63=1,IF(F63=1,DB63-DM63-DN63,0),0)</f>
        <v>0</v>
      </c>
      <c r="HD63" s="1" t="n">
        <f aca="false">GZ63*(1+GR)</f>
        <v>0</v>
      </c>
      <c r="HE63" s="1" t="n">
        <f aca="false">HA63*(1+AS_Cash)</f>
        <v>0</v>
      </c>
      <c r="HF63" s="1" t="n">
        <f aca="false">IF(V63=1,IF(DD63=1,DR63+DU63,W63-GV63)*(1+Slot1_Rate),0)</f>
        <v>0</v>
      </c>
      <c r="HG63" s="1" t="n">
        <f aca="false">IF(AND(DD63=1,V63=1),(DQ63+DU63)/E63,0)</f>
        <v>0</v>
      </c>
      <c r="HH63" s="1" t="n">
        <f aca="false">IF(B63=0,DQ63+DU63,0)</f>
        <v>0</v>
      </c>
      <c r="HI63" s="1" t="n">
        <f aca="false">IF(B63=0,IF(DD63=1,DS63,DT63),0)</f>
        <v>0</v>
      </c>
      <c r="HJ63" s="1" t="n">
        <f aca="false">IF(AG63=1,IF(DD63=1,DZ63+EC63,AH63-GT63)*(1+Slot2_Rate),0)</f>
        <v>0</v>
      </c>
      <c r="HK63" s="1" t="n">
        <f aca="false">IF(AND(DD63=1,AG63=1),(DY63+EC63)/E63,0)</f>
        <v>0</v>
      </c>
      <c r="HL63" s="1" t="n">
        <f aca="false">IF(B63=0,DY63+EC63,0)</f>
        <v>0</v>
      </c>
      <c r="HM63" s="1" t="n">
        <f aca="false">IF(B63=0,IF(DD63=1,EA63,EB63),0)</f>
        <v>0</v>
      </c>
      <c r="HN63" s="1" t="n">
        <f aca="false">IF(AQ63=1,IF(DD63=1,EH63+EK63,AR63-GR63)*(1+Slot3_Rate),0)</f>
        <v>0</v>
      </c>
      <c r="HO63" s="1" t="n">
        <f aca="false">IF(AND(DD63=1,AQ63=1),(EG63+EK63)/E63,0)</f>
        <v>0</v>
      </c>
      <c r="HP63" s="1" t="n">
        <f aca="false">IF(B63=0,EG63+EK63,0)</f>
        <v>0</v>
      </c>
      <c r="HQ63" s="1" t="n">
        <f aca="false">IF(B63=0,IF(DD63=1,EI63,EJ63),0)</f>
        <v>0</v>
      </c>
      <c r="HR63" s="1" t="n">
        <f aca="false">IF(BA63=1,IF(DD63=1,EP63+ES63,BB63-GP63)*(1+Slot4_Rate),0)</f>
        <v>0</v>
      </c>
      <c r="HS63" s="1" t="n">
        <f aca="false">IF(AND(DD63=1,BA63=1),(EO63+ES63)/E63,0)</f>
        <v>0</v>
      </c>
      <c r="HT63" s="1" t="n">
        <f aca="false">IF(B63=0,EO63+ES63,0)</f>
        <v>0</v>
      </c>
      <c r="HU63" s="1" t="n">
        <f aca="false">IF(B63=0,IF(DD63=1,EQ63,ER63),0)</f>
        <v>0</v>
      </c>
      <c r="HV63" s="1" t="n">
        <f aca="false">IF(BK63=1,IF(DD63=1,EX63+FA63,BL63-GN63)*(1+Slot5_Rate),0)</f>
        <v>0</v>
      </c>
      <c r="HW63" s="1" t="n">
        <f aca="false">IF(AND(DD63=1,BK63=1),(EW63+FA63)/E63,0)</f>
        <v>0</v>
      </c>
      <c r="HX63" s="1" t="n">
        <f aca="false">IF(B63=0,EW63+FA63,0)</f>
        <v>0</v>
      </c>
      <c r="HY63" s="1" t="n">
        <f aca="false">IF(B63=0,IF(DD63=1,EY63,EZ63),0)</f>
        <v>0</v>
      </c>
      <c r="HZ63" s="1" t="n">
        <f aca="false">IF(BU63=1,IF(DD63=1,FF63+FI63,BV63-GL63)*(1+Slot6_Rate),0)</f>
        <v>0</v>
      </c>
      <c r="IA63" s="1" t="n">
        <f aca="false">IF(AND(DD63=1,BU63=1),(FE63+FI63)/E63,0)</f>
        <v>0</v>
      </c>
      <c r="IB63" s="1" t="n">
        <f aca="false">IF(B63=0,FE63+FI63,0)</f>
        <v>0</v>
      </c>
      <c r="IC63" s="1" t="n">
        <f aca="false">IF(B63=0,IF(DD63=1,FG63,FH63),0)</f>
        <v>0</v>
      </c>
      <c r="ID63" s="1" t="n">
        <f aca="false">IF(CE63=1,IF(DD63=1,FN63+FQ63,CF63-GJ63)*(1+Slot7_Rate),0)</f>
        <v>0</v>
      </c>
      <c r="IE63" s="1" t="n">
        <f aca="false">IF(AND(DD63=1,CE63=1),(FM63+FQ63)/E63,0)</f>
        <v>0</v>
      </c>
      <c r="IF63" s="1" t="n">
        <f aca="false">IF(B63=0,FM63+FQ63,0)</f>
        <v>0</v>
      </c>
      <c r="IG63" s="1" t="n">
        <f aca="false">IF(B63=0,IF(DD63=1,FO63,FP63),0)</f>
        <v>0</v>
      </c>
      <c r="IH63" s="1" t="n">
        <f aca="false">IF(CO63=1,IF(DD63=1,FV63+FY63,CP63-GH63)*(1+Slot8_Rate),0)</f>
        <v>0</v>
      </c>
      <c r="II63" s="1" t="n">
        <f aca="false">IF(AND(DD63=1,CO63=1),(FU63+FY63)/E63,0)</f>
        <v>0</v>
      </c>
      <c r="IJ63" s="1" t="n">
        <f aca="false">IF(B63=0,FU63+FY63,0)</f>
        <v>0</v>
      </c>
      <c r="IK63" s="1" t="n">
        <f aca="false">IF(B63=0,IF(DD63=1,FW63,FX63),0)</f>
        <v>0</v>
      </c>
      <c r="IL63" s="1" t="n">
        <f aca="false">HD63+HE63+HF63+HJ63+HN63+HR63+HV63+HZ63+ID63+IH63</f>
        <v>0</v>
      </c>
      <c r="IM63" s="1" t="n">
        <f aca="false">GX63+CY63</f>
        <v>0</v>
      </c>
      <c r="IN63" s="1" t="n">
        <f aca="false">H63+R63</f>
        <v>0</v>
      </c>
      <c r="IO63" s="1" t="n">
        <f aca="false">1-F63</f>
        <v>1</v>
      </c>
      <c r="IP63" s="1" t="n">
        <f aca="false">IF(AND(RG_Exists=1,F63=0,C63=1),H63,0)</f>
        <v>0</v>
      </c>
      <c r="IQ63" s="1" t="n">
        <f aca="false">IF(AND(RG_Exists=1,F63=0,C63=1),H63-MIN(GX63,H63),0)</f>
        <v>0</v>
      </c>
      <c r="IR63" s="1" t="n">
        <f aca="false">'Plan pay &amp; tax'!AD265</f>
        <v>0</v>
      </c>
      <c r="IS63" s="1" t="n">
        <f aca="false">IF(AND(C63=1,GX63&gt;MAX(PR_Short1,IN63*PR_Short2)),1,0)</f>
        <v>0</v>
      </c>
      <c r="IT63" s="1" t="n">
        <f aca="false">MIN(G63,H63+R63)</f>
        <v>0</v>
      </c>
      <c r="IU63" s="1" t="n">
        <f aca="false">GY63+MAX(0,CZ63-CY63)</f>
        <v>0</v>
      </c>
      <c r="IV63" s="1" t="n">
        <f aca="false">GX63+CY63</f>
        <v>0</v>
      </c>
      <c r="IW63" s="1" t="n">
        <f aca="false">IF(AND(C63=1,IV63&gt;0.5),1,0)</f>
        <v>0</v>
      </c>
      <c r="IX63" s="1" t="n">
        <f aca="false">IF(AND(C63=1,IW63=0,IU63&gt;0.5),1,0)</f>
        <v>0</v>
      </c>
      <c r="IY63" s="1" t="n">
        <f aca="false">IF(AND(C63=1,GX63&gt;0.5),1,0)</f>
        <v>0</v>
      </c>
      <c r="IZ63" s="1" t="n">
        <f aca="false">IF(AND(C63=1,GY63&gt;1,JF63=0),1,0)</f>
        <v>0</v>
      </c>
      <c r="JA63" s="1" t="n">
        <f aca="false">IF(AND(INT(D63/10)*10=90,B63&gt;0),80,INT(D63/10)*10)</f>
        <v>50</v>
      </c>
      <c r="JB63" s="1" t="n">
        <f aca="false">IF(B63=0,1,IF(JA63&lt;&gt;JA62,JB62+1,JB62))</f>
        <v>6</v>
      </c>
      <c r="JC63" s="1" t="n">
        <f aca="false">IF(AND(C63=1,F63=1,GX63&gt;MAX(PR_Short1,IN63*PR_Short2)),1,0)</f>
        <v>0</v>
      </c>
      <c r="JD63" s="1" t="n">
        <f aca="false">IO63*IS63</f>
        <v>0</v>
      </c>
      <c r="JE63" s="1" t="n">
        <f aca="false">IF(AND(U63=1,Slot1_PctLow=1),1,0)+IF(AND(AF63=1,Slot2_PctLow=1),1,0)+IF(AND(AP63=1,Slot3_PctLow=1),1,0)+IF(AND(AZ63=1,Slot4_PctLow=1),1,0)+IF(AND(BJ63=1,Slot5_PctLow=1),1,0)+IF(AND(BT63=1,Slot6_PctLow=1),1,0)+IF(AND(CD63=1,Slot7_PctLow=1),1,0)+IF(AND(CN63=1,Slot8_PctLow=1),1,0)</f>
        <v>0</v>
      </c>
      <c r="JF63" s="1" t="n">
        <f aca="false">IF(C63=1,IF(OR(IS63=1,JE63&gt;0),1,0),0)</f>
        <v>0</v>
      </c>
    </row>
    <row r="64" customFormat="false" ht="15" hidden="false" customHeight="false" outlineLevel="0" collapsed="false">
      <c r="B64" s="1" t="n">
        <v>56</v>
      </c>
      <c r="C64" s="1" t="n">
        <f aca="false">IF(B64&lt;=F_N,1,0)</f>
        <v>1</v>
      </c>
      <c r="D64" s="1" t="n">
        <f aca="false">'Plan pay &amp; tax'!C266</f>
        <v>56</v>
      </c>
      <c r="E64" s="106" t="n">
        <f aca="false">'Plan pay &amp; tax'!E266</f>
        <v>3.03116528648356</v>
      </c>
      <c r="F64" s="1" t="n">
        <f aca="false">'Plan pay &amp; tax'!G266</f>
        <v>0</v>
      </c>
      <c r="G64" s="1" t="n">
        <f aca="false">'Plan pay &amp; tax'!BT266-'Plan pay &amp; tax'!BS266-'Plan pay &amp; tax'!R266</f>
        <v>0</v>
      </c>
      <c r="H64" s="1" t="n">
        <f aca="false">IF(F64=1,F_CostsM*12,IF(RG_Exists=1,RG_Amount,F_CostsM*12*AS_RetireSpend))*E64+F_OneOffY*E64</f>
        <v>0</v>
      </c>
      <c r="I64" s="1" t="n">
        <f aca="false">DA63</f>
        <v>0</v>
      </c>
      <c r="J64" s="1" t="n">
        <f aca="false">IF(I64&gt;1,'Plan debt months'!AC64,0)</f>
        <v>0</v>
      </c>
      <c r="K64" s="1" t="n">
        <f aca="false">IF(I64&gt;1,'Plan debt months'!AB64,I64)</f>
        <v>0</v>
      </c>
      <c r="L64" s="1" t="n">
        <f aca="false">N63</f>
        <v>0</v>
      </c>
      <c r="M64" s="1" t="n">
        <f aca="false">IF(L64&gt;1,'Plan debt months'!BD64,0)</f>
        <v>0</v>
      </c>
      <c r="N64" s="1" t="n">
        <f aca="false">IF(L64&gt;1,'Plan debt months'!BC64,L64)</f>
        <v>0</v>
      </c>
      <c r="O64" s="1" t="n">
        <f aca="false">Q63</f>
        <v>0</v>
      </c>
      <c r="P64" s="1" t="n">
        <f aca="false">IF(O64&gt;1,'Plan debt months'!CE64,0)</f>
        <v>0</v>
      </c>
      <c r="Q64" s="1" t="n">
        <f aca="false">IF(O64&gt;1,'Plan debt months'!CD64,O64)</f>
        <v>0</v>
      </c>
      <c r="R64" s="1" t="n">
        <f aca="false">J64+M64+P64</f>
        <v>0</v>
      </c>
      <c r="S64" s="1" t="n">
        <f aca="false">HD63+'Plan pay &amp; tax'!Y266</f>
        <v>0</v>
      </c>
      <c r="T64" s="1" t="n">
        <f aca="false">HD63</f>
        <v>0</v>
      </c>
      <c r="U64" s="1" t="n">
        <f aca="false">IF(AND(Slot1_On=1,D64=Slot1_Age),1,0)</f>
        <v>0</v>
      </c>
      <c r="V64" s="1" t="n">
        <f aca="false">IF(AND(Slot1_On=1,Slot1_Age&gt;D64),1,0)</f>
        <v>0</v>
      </c>
      <c r="W64" s="1" t="n">
        <f aca="false">HF63</f>
        <v>0</v>
      </c>
      <c r="X64" s="1" t="n">
        <f aca="false">U64*MIN(Slot1_Cost,W64)</f>
        <v>0</v>
      </c>
      <c r="Y64" s="1" t="n">
        <f aca="false">U64*Slot1_SpendLike*MIN(Slot1_Cost-X64,S64)</f>
        <v>0</v>
      </c>
      <c r="Z64" s="1" t="n">
        <f aca="false">X64+Y64</f>
        <v>0</v>
      </c>
      <c r="AA64" s="1" t="n">
        <f aca="false">S64-Y64+U64*IF(Slot1_SpendLike=1,W64-X64,IF(Slot1_PotFree=1,W64,0))</f>
        <v>0</v>
      </c>
      <c r="AB64" s="1" t="n">
        <f aca="false">AE64+U64*Slot1_BufPot*W64</f>
        <v>0</v>
      </c>
      <c r="AC64" s="1" t="n">
        <f aca="false">IF(AND(U64=1,Slot1_IsMfree=1),IF(Z64&gt;=Slot1_Cost-1,0,MAX(0,K64-Z64)),K64)</f>
        <v>0</v>
      </c>
      <c r="AD64" s="1" t="n">
        <f aca="false">U64*(Slot1_Cost-Z64)</f>
        <v>0</v>
      </c>
      <c r="AE64" s="1" t="n">
        <f aca="false">HE63</f>
        <v>0</v>
      </c>
      <c r="AF64" s="1" t="n">
        <f aca="false">IF(AND(Slot2_On=1,D64=Slot2_Age),1,0)</f>
        <v>0</v>
      </c>
      <c r="AG64" s="1" t="n">
        <f aca="false">IF(AND(Slot2_On=1,Slot2_Age&gt;D64),1,0)</f>
        <v>0</v>
      </c>
      <c r="AH64" s="1" t="n">
        <f aca="false">HJ63</f>
        <v>0</v>
      </c>
      <c r="AI64" s="1" t="n">
        <f aca="false">AF64*MIN(Slot2_Cost,AH64)</f>
        <v>0</v>
      </c>
      <c r="AJ64" s="1" t="n">
        <f aca="false">AF64*Slot2_SpendLike*MIN(Slot2_Cost-AI64,AA64)</f>
        <v>0</v>
      </c>
      <c r="AK64" s="1" t="n">
        <f aca="false">AI64+AJ64</f>
        <v>0</v>
      </c>
      <c r="AL64" s="1" t="n">
        <f aca="false">AA64-AJ64+AF64*IF(Slot2_SpendLike=1,AH64-AI64,IF(Slot2_PotFree=1,AH64,0))</f>
        <v>0</v>
      </c>
      <c r="AM64" s="1" t="n">
        <f aca="false">AB64+AF64*Slot2_BufPot*AH64</f>
        <v>0</v>
      </c>
      <c r="AN64" s="1" t="n">
        <f aca="false">IF(AND(AF64=1,Slot2_IsMfree=1),IF(AK64&gt;=Slot2_Cost-1,0,MAX(0,AC64-AK64)),AC64)</f>
        <v>0</v>
      </c>
      <c r="AO64" s="1" t="n">
        <f aca="false">AF64*(Slot2_Cost-AK64)</f>
        <v>0</v>
      </c>
      <c r="AP64" s="1" t="n">
        <f aca="false">IF(AND(Slot3_On=1,D64=Slot3_Age),1,0)</f>
        <v>0</v>
      </c>
      <c r="AQ64" s="1" t="n">
        <f aca="false">IF(AND(Slot3_On=1,Slot3_Age&gt;D64),1,0)</f>
        <v>0</v>
      </c>
      <c r="AR64" s="1" t="n">
        <f aca="false">HN63</f>
        <v>0</v>
      </c>
      <c r="AS64" s="1" t="n">
        <f aca="false">AP64*MIN(Slot3_Cost,AR64)</f>
        <v>0</v>
      </c>
      <c r="AT64" s="1" t="n">
        <f aca="false">AP64*Slot3_SpendLike*MIN(Slot3_Cost-AS64,AL64)</f>
        <v>0</v>
      </c>
      <c r="AU64" s="1" t="n">
        <f aca="false">AS64+AT64</f>
        <v>0</v>
      </c>
      <c r="AV64" s="1" t="n">
        <f aca="false">AL64-AT64+AP64*IF(Slot3_SpendLike=1,AR64-AS64,IF(Slot3_PotFree=1,AR64,0))</f>
        <v>0</v>
      </c>
      <c r="AW64" s="1" t="n">
        <f aca="false">AM64+AP64*Slot3_BufPot*AR64</f>
        <v>0</v>
      </c>
      <c r="AX64" s="1" t="n">
        <f aca="false">IF(AND(AP64=1,Slot3_IsMfree=1),IF(AU64&gt;=Slot3_Cost-1,0,MAX(0,AN64-AU64)),AN64)</f>
        <v>0</v>
      </c>
      <c r="AY64" s="1" t="n">
        <f aca="false">AP64*(Slot3_Cost-AU64)</f>
        <v>0</v>
      </c>
      <c r="AZ64" s="1" t="n">
        <f aca="false">IF(AND(Slot4_On=1,D64=Slot4_Age),1,0)</f>
        <v>0</v>
      </c>
      <c r="BA64" s="1" t="n">
        <f aca="false">IF(AND(Slot4_On=1,Slot4_Age&gt;D64),1,0)</f>
        <v>0</v>
      </c>
      <c r="BB64" s="1" t="n">
        <f aca="false">HR63</f>
        <v>0</v>
      </c>
      <c r="BC64" s="1" t="n">
        <f aca="false">AZ64*MIN(Slot4_Cost,BB64)</f>
        <v>0</v>
      </c>
      <c r="BD64" s="1" t="n">
        <f aca="false">AZ64*Slot4_SpendLike*MIN(Slot4_Cost-BC64,AV64)</f>
        <v>0</v>
      </c>
      <c r="BE64" s="1" t="n">
        <f aca="false">BC64+BD64</f>
        <v>0</v>
      </c>
      <c r="BF64" s="1" t="n">
        <f aca="false">AV64-BD64+AZ64*IF(Slot4_SpendLike=1,BB64-BC64,IF(Slot4_PotFree=1,BB64,0))</f>
        <v>0</v>
      </c>
      <c r="BG64" s="1" t="n">
        <f aca="false">AW64+AZ64*Slot4_BufPot*BB64</f>
        <v>0</v>
      </c>
      <c r="BH64" s="1" t="n">
        <f aca="false">IF(AND(AZ64=1,Slot4_IsMfree=1),IF(BE64&gt;=Slot4_Cost-1,0,MAX(0,AX64-BE64)),AX64)</f>
        <v>0</v>
      </c>
      <c r="BI64" s="1" t="n">
        <f aca="false">AZ64*(Slot4_Cost-BE64)</f>
        <v>0</v>
      </c>
      <c r="BJ64" s="1" t="n">
        <f aca="false">IF(AND(Slot5_On=1,D64=Slot5_Age),1,0)</f>
        <v>0</v>
      </c>
      <c r="BK64" s="1" t="n">
        <f aca="false">IF(AND(Slot5_On=1,Slot5_Age&gt;D64),1,0)</f>
        <v>0</v>
      </c>
      <c r="BL64" s="1" t="n">
        <f aca="false">HV63</f>
        <v>0</v>
      </c>
      <c r="BM64" s="1" t="n">
        <f aca="false">BJ64*MIN(Slot5_Cost,BL64)</f>
        <v>0</v>
      </c>
      <c r="BN64" s="1" t="n">
        <f aca="false">BJ64*Slot5_SpendLike*MIN(Slot5_Cost-BM64,BF64)</f>
        <v>0</v>
      </c>
      <c r="BO64" s="1" t="n">
        <f aca="false">BM64+BN64</f>
        <v>0</v>
      </c>
      <c r="BP64" s="1" t="n">
        <f aca="false">BF64-BN64+BJ64*IF(Slot5_SpendLike=1,BL64-BM64,IF(Slot5_PotFree=1,BL64,0))</f>
        <v>0</v>
      </c>
      <c r="BQ64" s="1" t="n">
        <f aca="false">BG64+BJ64*Slot5_BufPot*BL64</f>
        <v>0</v>
      </c>
      <c r="BR64" s="1" t="n">
        <f aca="false">IF(AND(BJ64=1,Slot5_IsMfree=1),IF(BO64&gt;=Slot5_Cost-1,0,MAX(0,BH64-BO64)),BH64)</f>
        <v>0</v>
      </c>
      <c r="BS64" s="1" t="n">
        <f aca="false">BJ64*(Slot5_Cost-BO64)</f>
        <v>0</v>
      </c>
      <c r="BT64" s="1" t="n">
        <f aca="false">IF(AND(Slot6_On=1,D64=Slot6_Age),1,0)</f>
        <v>0</v>
      </c>
      <c r="BU64" s="1" t="n">
        <f aca="false">IF(AND(Slot6_On=1,Slot6_Age&gt;D64),1,0)</f>
        <v>0</v>
      </c>
      <c r="BV64" s="1" t="n">
        <f aca="false">HZ63</f>
        <v>0</v>
      </c>
      <c r="BW64" s="1" t="n">
        <f aca="false">BT64*MIN(Slot6_Cost,BV64)</f>
        <v>0</v>
      </c>
      <c r="BX64" s="1" t="n">
        <f aca="false">BT64*Slot6_SpendLike*MIN(Slot6_Cost-BW64,BP64)</f>
        <v>0</v>
      </c>
      <c r="BY64" s="1" t="n">
        <f aca="false">BW64+BX64</f>
        <v>0</v>
      </c>
      <c r="BZ64" s="1" t="n">
        <f aca="false">BP64-BX64+BT64*IF(Slot6_SpendLike=1,BV64-BW64,IF(Slot6_PotFree=1,BV64,0))</f>
        <v>0</v>
      </c>
      <c r="CA64" s="1" t="n">
        <f aca="false">BQ64+BT64*Slot6_BufPot*BV64</f>
        <v>0</v>
      </c>
      <c r="CB64" s="1" t="n">
        <f aca="false">IF(AND(BT64=1,Slot6_IsMfree=1),IF(BY64&gt;=Slot6_Cost-1,0,MAX(0,BR64-BY64)),BR64)</f>
        <v>0</v>
      </c>
      <c r="CC64" s="1" t="n">
        <f aca="false">BT64*(Slot6_Cost-BY64)</f>
        <v>0</v>
      </c>
      <c r="CD64" s="1" t="n">
        <f aca="false">IF(AND(Slot7_On=1,D64=Slot7_Age),1,0)</f>
        <v>0</v>
      </c>
      <c r="CE64" s="1" t="n">
        <f aca="false">IF(AND(Slot7_On=1,Slot7_Age&gt;D64),1,0)</f>
        <v>0</v>
      </c>
      <c r="CF64" s="1" t="n">
        <f aca="false">ID63</f>
        <v>0</v>
      </c>
      <c r="CG64" s="1" t="n">
        <f aca="false">CD64*MIN(Slot7_Cost,CF64)</f>
        <v>0</v>
      </c>
      <c r="CH64" s="1" t="n">
        <f aca="false">CD64*Slot7_SpendLike*MIN(Slot7_Cost-CG64,BZ64)</f>
        <v>0</v>
      </c>
      <c r="CI64" s="1" t="n">
        <f aca="false">CG64+CH64</f>
        <v>0</v>
      </c>
      <c r="CJ64" s="1" t="n">
        <f aca="false">BZ64-CH64+CD64*IF(Slot7_SpendLike=1,CF64-CG64,IF(Slot7_PotFree=1,CF64,0))</f>
        <v>0</v>
      </c>
      <c r="CK64" s="1" t="n">
        <f aca="false">CA64+CD64*Slot7_BufPot*CF64</f>
        <v>0</v>
      </c>
      <c r="CL64" s="1" t="n">
        <f aca="false">IF(AND(CD64=1,Slot7_IsMfree=1),IF(CI64&gt;=Slot7_Cost-1,0,MAX(0,CB64-CI64)),CB64)</f>
        <v>0</v>
      </c>
      <c r="CM64" s="1" t="n">
        <f aca="false">CD64*(Slot7_Cost-CI64)</f>
        <v>0</v>
      </c>
      <c r="CN64" s="1" t="n">
        <f aca="false">IF(AND(Slot8_On=1,D64=Slot8_Age),1,0)</f>
        <v>0</v>
      </c>
      <c r="CO64" s="1" t="n">
        <f aca="false">IF(AND(Slot8_On=1,Slot8_Age&gt;D64),1,0)</f>
        <v>0</v>
      </c>
      <c r="CP64" s="1" t="n">
        <f aca="false">IH63</f>
        <v>0</v>
      </c>
      <c r="CQ64" s="1" t="n">
        <f aca="false">CN64*MIN(Slot8_Cost,CP64)</f>
        <v>0</v>
      </c>
      <c r="CR64" s="1" t="n">
        <f aca="false">CN64*Slot8_SpendLike*MIN(Slot8_Cost-CQ64,CJ64)</f>
        <v>0</v>
      </c>
      <c r="CS64" s="1" t="n">
        <f aca="false">CQ64+CR64</f>
        <v>0</v>
      </c>
      <c r="CT64" s="1" t="n">
        <f aca="false">CJ64-CR64+CN64*IF(Slot8_SpendLike=1,CP64-CQ64,IF(Slot8_PotFree=1,CP64,0))</f>
        <v>0</v>
      </c>
      <c r="CU64" s="1" t="n">
        <f aca="false">CK64+CN64*Slot8_BufPot*CP64</f>
        <v>0</v>
      </c>
      <c r="CV64" s="1" t="n">
        <f aca="false">IF(AND(CN64=1,Slot8_IsMfree=1),IF(CS64&gt;=Slot8_Cost-1,0,MAX(0,CL64-CS64)),CL64)</f>
        <v>0</v>
      </c>
      <c r="CW64" s="1" t="n">
        <f aca="false">CN64*(Slot8_Cost-CS64)</f>
        <v>0</v>
      </c>
      <c r="CX64" s="1" t="n">
        <f aca="false">U64*Slot1_SpendLike*Z64+AF64*Slot2_SpendLike*AK64+AP64*Slot3_SpendLike*AU64+AZ64*Slot4_SpendLike*BE64+BJ64*Slot5_SpendLike*BO64+BT64*Slot6_SpendLike*BY64+CD64*Slot7_SpendLike*CI64+CN64*Slot8_SpendLike*CS64</f>
        <v>0</v>
      </c>
      <c r="CY64" s="1" t="n">
        <f aca="false">AD64+AO64+AY64+BI64+BS64+CC64+CM64+CW64</f>
        <v>0</v>
      </c>
      <c r="CZ64" s="1" t="n">
        <f aca="false">U64*Slot1_Cost+AF64*Slot2_Cost+AP64*Slot3_Cost+AZ64*Slot4_Cost+BJ64*Slot5_Cost+BT64*Slot6_Cost+CD64*Slot7_Cost+CN64*Slot8_Cost</f>
        <v>0</v>
      </c>
      <c r="DA64" s="1" t="n">
        <f aca="false">CV64</f>
        <v>0</v>
      </c>
      <c r="DB64" s="1" t="n">
        <f aca="false">G64-H64-R64</f>
        <v>0</v>
      </c>
      <c r="DC64" s="1" t="n">
        <f aca="false">IF(B64=0,IF(AND(Has_q6=1,In_q6=4),PR_ShareVaries*(MAX(0,DB64)/12),MIN(IF(Has_q6=1,CHOOSE(In_q6+1,PR_SaveB1,PR_SaveB2,PR_SaveB3,PR_SaveB4,0),AS_NoAnswer),AS_SaveShare*(MAX(0,DB64)/12))),DC63)</f>
        <v>0</v>
      </c>
      <c r="DD64" s="1" t="n">
        <f aca="false">IF(DB64&gt;=0,1,0)</f>
        <v>1</v>
      </c>
      <c r="DE64" s="1" t="n">
        <f aca="false">MAX(0,DB64/12/E64)</f>
        <v>0</v>
      </c>
      <c r="DF64" s="1" t="n">
        <f aca="false">IF(AND(Has_q6=1,In_q6=4),PR_ShareVaries*(DE64),MIN(IF(Has_q6=1,CHOOSE(In_q6+1,PR_SaveB1,PR_SaveB2,PR_SaveB3,PR_SaveB4,0),AS_NoAnswer),AS_SaveShare*(DE64)))</f>
        <v>0</v>
      </c>
      <c r="DG64" s="1" t="n">
        <f aca="false">IF(Has_saveM=1,IF(In_saveUp="Yes",1,IF(In_saveUp="No",0,IF(In_saveM&gt;=DC64-0.5,1,0))),0)</f>
        <v>0</v>
      </c>
      <c r="DH64" s="1" t="n">
        <f aca="false">IF(Has_saveM=1,MIN(DE64,IF(DG64=1,MAX(In_saveM,DF64),MIN(In_saveM,DF64))),DF64)</f>
        <v>0</v>
      </c>
      <c r="DI64" s="1" t="n">
        <f aca="false">IF(F64=1,DH64*12*E64,0)</f>
        <v>0</v>
      </c>
      <c r="DJ64" s="1" t="n">
        <f aca="false">MAX(0,DI64+IF(AND(WI_Retire=0,WI_M&lt;0,F64=1),WI_M*12*E64,0))</f>
        <v>0</v>
      </c>
      <c r="DK64" s="1" t="n">
        <f aca="false">Slot1_IsWG*V64+Slot2_IsWG*AG64+Slot3_IsWG*AQ64+Slot4_IsWG*BA64+Slot5_IsWG*BK64+Slot6_IsWG*BU64+Slot7_IsWG*CE64+Slot8_IsWG*CO64</f>
        <v>0</v>
      </c>
      <c r="DL64" s="1" t="n">
        <f aca="false">IF(AND(WI_Retire=0,WI_M&gt;0,F64=1,DK64&gt;=1),WI_M*12*E64,0)</f>
        <v>0</v>
      </c>
      <c r="DM64" s="1" t="n">
        <f aca="false">IF(DD64=1,MIN(DJ64,DB64),0)</f>
        <v>0</v>
      </c>
      <c r="DN64" s="1" t="n">
        <f aca="false">IF(DD64=1,MIN(DL64,DB64-DM64),0)</f>
        <v>0</v>
      </c>
      <c r="DO64" s="1" t="n">
        <f aca="false">IF(V64=1,IF(ABS((1+AS_Wage)/(1+Slot1_Rate)-1)&lt;0.000000000001,(Slot1_Age-D64)*(1+Slot1_Rate)^(Slot1_Age-D64),(1+Slot1_Rate)^(Slot1_Age-D64)*(1-((1+AS_Wage)/(1+Slot1_Rate))^(Slot1_Age-D64))/(1-(1+AS_Wage)/(1+Slot1_Rate))),1)</f>
        <v>1</v>
      </c>
      <c r="DP64" s="1" t="n">
        <f aca="false">IF(AND(DD64=1,DN64&gt;0,Slot1_IsWG=1,V64=1),MAX(0,(Slot1_Cost-W64*(1+Slot1_Rate)^(Slot1_Age-D64))/DO64),0)</f>
        <v>0</v>
      </c>
      <c r="DQ64" s="1" t="n">
        <f aca="false">IF(AND(DD64=1,DN64&gt;0,Slot1_IsWG=1,V64=1),MIN(DN64,DP64),0)</f>
        <v>0</v>
      </c>
      <c r="DR64" s="1" t="n">
        <f aca="false">W64+DQ64</f>
        <v>0</v>
      </c>
      <c r="DS64" s="1" t="n">
        <f aca="false">IF(V64=1,MAX(0,(Slot1_Cost-DR64*(1+Slot1_Rate)^(Slot1_Age-D64))/DO64),0)</f>
        <v>0</v>
      </c>
      <c r="DT64" s="1" t="n">
        <f aca="false">IF(V64=1,MAX(0,(Slot1_Cost-W64*(1+Slot1_Rate)^(Slot1_Age-D64))/DO64),0)</f>
        <v>0</v>
      </c>
      <c r="DU64" s="1" t="n">
        <f aca="false">IF(AND(DD64=1,V64=1),MIN(DM64,DS64),0)</f>
        <v>0</v>
      </c>
      <c r="DV64" s="1" t="n">
        <f aca="false">DM64-DU64</f>
        <v>0</v>
      </c>
      <c r="DW64" s="1" t="n">
        <f aca="false">IF(AG64=1,IF(ABS((1+AS_Wage)/(1+Slot2_Rate)-1)&lt;0.000000000001,(Slot2_Age-D64)*(1+Slot2_Rate)^(Slot2_Age-D64),(1+Slot2_Rate)^(Slot2_Age-D64)*(1-((1+AS_Wage)/(1+Slot2_Rate))^(Slot2_Age-D64))/(1-(1+AS_Wage)/(1+Slot2_Rate))),1)</f>
        <v>1</v>
      </c>
      <c r="DX64" s="1" t="n">
        <f aca="false">IF(AND(DD64=1,DN64&gt;0,Slot2_IsWG=1,AG64=1),MAX(0,(Slot2_Cost-AH64*(1+Slot2_Rate)^(Slot2_Age-D64))/DW64),0)</f>
        <v>0</v>
      </c>
      <c r="DY64" s="1" t="n">
        <f aca="false">IF(AND(DD64=1,DN64&gt;0,Slot2_IsWG=1,AG64=1),MIN(DN64,DX64),0)</f>
        <v>0</v>
      </c>
      <c r="DZ64" s="1" t="n">
        <f aca="false">AH64+DY64</f>
        <v>0</v>
      </c>
      <c r="EA64" s="1" t="n">
        <f aca="false">IF(AG64=1,MAX(0,(Slot2_Cost-DZ64*(1+Slot2_Rate)^(Slot2_Age-D64))/DW64),0)</f>
        <v>0</v>
      </c>
      <c r="EB64" s="1" t="n">
        <f aca="false">IF(AG64=1,MAX(0,(Slot2_Cost-AH64*(1+Slot2_Rate)^(Slot2_Age-D64))/DW64),0)</f>
        <v>0</v>
      </c>
      <c r="EC64" s="1" t="n">
        <f aca="false">IF(AND(DD64=1,AG64=1),MIN(DV64,EA64),0)</f>
        <v>0</v>
      </c>
      <c r="ED64" s="1" t="n">
        <f aca="false">DV64-EC64</f>
        <v>0</v>
      </c>
      <c r="EE64" s="1" t="n">
        <f aca="false">IF(AQ64=1,IF(ABS((1+AS_Wage)/(1+Slot3_Rate)-1)&lt;0.000000000001,(Slot3_Age-D64)*(1+Slot3_Rate)^(Slot3_Age-D64),(1+Slot3_Rate)^(Slot3_Age-D64)*(1-((1+AS_Wage)/(1+Slot3_Rate))^(Slot3_Age-D64))/(1-(1+AS_Wage)/(1+Slot3_Rate))),1)</f>
        <v>1</v>
      </c>
      <c r="EF64" s="1" t="n">
        <f aca="false">IF(AND(DD64=1,DN64&gt;0,Slot3_IsWG=1,AQ64=1),MAX(0,(Slot3_Cost-AR64*(1+Slot3_Rate)^(Slot3_Age-D64))/EE64),0)</f>
        <v>0</v>
      </c>
      <c r="EG64" s="1" t="n">
        <f aca="false">IF(AND(DD64=1,DN64&gt;0,Slot3_IsWG=1,AQ64=1),MIN(DN64,EF64),0)</f>
        <v>0</v>
      </c>
      <c r="EH64" s="1" t="n">
        <f aca="false">AR64+EG64</f>
        <v>0</v>
      </c>
      <c r="EI64" s="1" t="n">
        <f aca="false">IF(AQ64=1,MAX(0,(Slot3_Cost-EH64*(1+Slot3_Rate)^(Slot3_Age-D64))/EE64),0)</f>
        <v>0</v>
      </c>
      <c r="EJ64" s="1" t="n">
        <f aca="false">IF(AQ64=1,MAX(0,(Slot3_Cost-AR64*(1+Slot3_Rate)^(Slot3_Age-D64))/EE64),0)</f>
        <v>0</v>
      </c>
      <c r="EK64" s="1" t="n">
        <f aca="false">IF(AND(DD64=1,AQ64=1),MIN(ED64,EI64),0)</f>
        <v>0</v>
      </c>
      <c r="EL64" s="1" t="n">
        <f aca="false">ED64-EK64</f>
        <v>0</v>
      </c>
      <c r="EM64" s="1" t="n">
        <f aca="false">IF(BA64=1,IF(ABS((1+AS_Wage)/(1+Slot4_Rate)-1)&lt;0.000000000001,(Slot4_Age-D64)*(1+Slot4_Rate)^(Slot4_Age-D64),(1+Slot4_Rate)^(Slot4_Age-D64)*(1-((1+AS_Wage)/(1+Slot4_Rate))^(Slot4_Age-D64))/(1-(1+AS_Wage)/(1+Slot4_Rate))),1)</f>
        <v>1</v>
      </c>
      <c r="EN64" s="1" t="n">
        <f aca="false">IF(AND(DD64=1,DN64&gt;0,Slot4_IsWG=1,BA64=1),MAX(0,(Slot4_Cost-BB64*(1+Slot4_Rate)^(Slot4_Age-D64))/EM64),0)</f>
        <v>0</v>
      </c>
      <c r="EO64" s="1" t="n">
        <f aca="false">IF(AND(DD64=1,DN64&gt;0,Slot4_IsWG=1,BA64=1),MIN(DN64,EN64),0)</f>
        <v>0</v>
      </c>
      <c r="EP64" s="1" t="n">
        <f aca="false">BB64+EO64</f>
        <v>0</v>
      </c>
      <c r="EQ64" s="1" t="n">
        <f aca="false">IF(BA64=1,MAX(0,(Slot4_Cost-EP64*(1+Slot4_Rate)^(Slot4_Age-D64))/EM64),0)</f>
        <v>0</v>
      </c>
      <c r="ER64" s="1" t="n">
        <f aca="false">IF(BA64=1,MAX(0,(Slot4_Cost-BB64*(1+Slot4_Rate)^(Slot4_Age-D64))/EM64),0)</f>
        <v>0</v>
      </c>
      <c r="ES64" s="1" t="n">
        <f aca="false">IF(AND(DD64=1,BA64=1),MIN(EL64,EQ64),0)</f>
        <v>0</v>
      </c>
      <c r="ET64" s="1" t="n">
        <f aca="false">EL64-ES64</f>
        <v>0</v>
      </c>
      <c r="EU64" s="1" t="n">
        <f aca="false">IF(BK64=1,IF(ABS((1+AS_Wage)/(1+Slot5_Rate)-1)&lt;0.000000000001,(Slot5_Age-D64)*(1+Slot5_Rate)^(Slot5_Age-D64),(1+Slot5_Rate)^(Slot5_Age-D64)*(1-((1+AS_Wage)/(1+Slot5_Rate))^(Slot5_Age-D64))/(1-(1+AS_Wage)/(1+Slot5_Rate))),1)</f>
        <v>1</v>
      </c>
      <c r="EV64" s="1" t="n">
        <f aca="false">IF(AND(DD64=1,DN64&gt;0,Slot5_IsWG=1,BK64=1),MAX(0,(Slot5_Cost-BL64*(1+Slot5_Rate)^(Slot5_Age-D64))/EU64),0)</f>
        <v>0</v>
      </c>
      <c r="EW64" s="1" t="n">
        <f aca="false">IF(AND(DD64=1,DN64&gt;0,Slot5_IsWG=1,BK64=1),MIN(DN64,EV64),0)</f>
        <v>0</v>
      </c>
      <c r="EX64" s="1" t="n">
        <f aca="false">BL64+EW64</f>
        <v>0</v>
      </c>
      <c r="EY64" s="1" t="n">
        <f aca="false">IF(BK64=1,MAX(0,(Slot5_Cost-EX64*(1+Slot5_Rate)^(Slot5_Age-D64))/EU64),0)</f>
        <v>0</v>
      </c>
      <c r="EZ64" s="1" t="n">
        <f aca="false">IF(BK64=1,MAX(0,(Slot5_Cost-BL64*(1+Slot5_Rate)^(Slot5_Age-D64))/EU64),0)</f>
        <v>0</v>
      </c>
      <c r="FA64" s="1" t="n">
        <f aca="false">IF(AND(DD64=1,BK64=1),MIN(ET64,EY64),0)</f>
        <v>0</v>
      </c>
      <c r="FB64" s="1" t="n">
        <f aca="false">ET64-FA64</f>
        <v>0</v>
      </c>
      <c r="FC64" s="1" t="n">
        <f aca="false">IF(BU64=1,IF(ABS((1+AS_Wage)/(1+Slot6_Rate)-1)&lt;0.000000000001,(Slot6_Age-D64)*(1+Slot6_Rate)^(Slot6_Age-D64),(1+Slot6_Rate)^(Slot6_Age-D64)*(1-((1+AS_Wage)/(1+Slot6_Rate))^(Slot6_Age-D64))/(1-(1+AS_Wage)/(1+Slot6_Rate))),1)</f>
        <v>1</v>
      </c>
      <c r="FD64" s="1" t="n">
        <f aca="false">IF(AND(DD64=1,DN64&gt;0,Slot6_IsWG=1,BU64=1),MAX(0,(Slot6_Cost-BV64*(1+Slot6_Rate)^(Slot6_Age-D64))/FC64),0)</f>
        <v>0</v>
      </c>
      <c r="FE64" s="1" t="n">
        <f aca="false">IF(AND(DD64=1,DN64&gt;0,Slot6_IsWG=1,BU64=1),MIN(DN64,FD64),0)</f>
        <v>0</v>
      </c>
      <c r="FF64" s="1" t="n">
        <f aca="false">BV64+FE64</f>
        <v>0</v>
      </c>
      <c r="FG64" s="1" t="n">
        <f aca="false">IF(BU64=1,MAX(0,(Slot6_Cost-FF64*(1+Slot6_Rate)^(Slot6_Age-D64))/FC64),0)</f>
        <v>0</v>
      </c>
      <c r="FH64" s="1" t="n">
        <f aca="false">IF(BU64=1,MAX(0,(Slot6_Cost-BV64*(1+Slot6_Rate)^(Slot6_Age-D64))/FC64),0)</f>
        <v>0</v>
      </c>
      <c r="FI64" s="1" t="n">
        <f aca="false">IF(AND(DD64=1,BU64=1),MIN(FB64,FG64),0)</f>
        <v>0</v>
      </c>
      <c r="FJ64" s="1" t="n">
        <f aca="false">FB64-FI64</f>
        <v>0</v>
      </c>
      <c r="FK64" s="1" t="n">
        <f aca="false">IF(CE64=1,IF(ABS((1+AS_Wage)/(1+Slot7_Rate)-1)&lt;0.000000000001,(Slot7_Age-D64)*(1+Slot7_Rate)^(Slot7_Age-D64),(1+Slot7_Rate)^(Slot7_Age-D64)*(1-((1+AS_Wage)/(1+Slot7_Rate))^(Slot7_Age-D64))/(1-(1+AS_Wage)/(1+Slot7_Rate))),1)</f>
        <v>1</v>
      </c>
      <c r="FL64" s="1" t="n">
        <f aca="false">IF(AND(DD64=1,DN64&gt;0,Slot7_IsWG=1,CE64=1),MAX(0,(Slot7_Cost-CF64*(1+Slot7_Rate)^(Slot7_Age-D64))/FK64),0)</f>
        <v>0</v>
      </c>
      <c r="FM64" s="1" t="n">
        <f aca="false">IF(AND(DD64=1,DN64&gt;0,Slot7_IsWG=1,CE64=1),MIN(DN64,FL64),0)</f>
        <v>0</v>
      </c>
      <c r="FN64" s="1" t="n">
        <f aca="false">CF64+FM64</f>
        <v>0</v>
      </c>
      <c r="FO64" s="1" t="n">
        <f aca="false">IF(CE64=1,MAX(0,(Slot7_Cost-FN64*(1+Slot7_Rate)^(Slot7_Age-D64))/FK64),0)</f>
        <v>0</v>
      </c>
      <c r="FP64" s="1" t="n">
        <f aca="false">IF(CE64=1,MAX(0,(Slot7_Cost-CF64*(1+Slot7_Rate)^(Slot7_Age-D64))/FK64),0)</f>
        <v>0</v>
      </c>
      <c r="FQ64" s="1" t="n">
        <f aca="false">IF(AND(DD64=1,CE64=1),MIN(FJ64,FO64),0)</f>
        <v>0</v>
      </c>
      <c r="FR64" s="1" t="n">
        <f aca="false">FJ64-FQ64</f>
        <v>0</v>
      </c>
      <c r="FS64" s="1" t="n">
        <f aca="false">IF(CO64=1,IF(ABS((1+AS_Wage)/(1+Slot8_Rate)-1)&lt;0.000000000001,(Slot8_Age-D64)*(1+Slot8_Rate)^(Slot8_Age-D64),(1+Slot8_Rate)^(Slot8_Age-D64)*(1-((1+AS_Wage)/(1+Slot8_Rate))^(Slot8_Age-D64))/(1-(1+AS_Wage)/(1+Slot8_Rate))),1)</f>
        <v>1</v>
      </c>
      <c r="FT64" s="1" t="n">
        <f aca="false">IF(AND(DD64=1,DN64&gt;0,Slot8_IsWG=1,CO64=1),MAX(0,(Slot8_Cost-CP64*(1+Slot8_Rate)^(Slot8_Age-D64))/FS64),0)</f>
        <v>0</v>
      </c>
      <c r="FU64" s="1" t="n">
        <f aca="false">IF(AND(DD64=1,DN64&gt;0,Slot8_IsWG=1,CO64=1),MIN(DN64,FT64),0)</f>
        <v>0</v>
      </c>
      <c r="FV64" s="1" t="n">
        <f aca="false">CP64+FU64</f>
        <v>0</v>
      </c>
      <c r="FW64" s="1" t="n">
        <f aca="false">IF(CO64=1,MAX(0,(Slot8_Cost-FV64*(1+Slot8_Rate)^(Slot8_Age-D64))/FS64),0)</f>
        <v>0</v>
      </c>
      <c r="FX64" s="1" t="n">
        <f aca="false">IF(CO64=1,MAX(0,(Slot8_Cost-CP64*(1+Slot8_Rate)^(Slot8_Age-D64))/FS64),0)</f>
        <v>0</v>
      </c>
      <c r="FY64" s="1" t="n">
        <f aca="false">IF(AND(DD64=1,CO64=1),MIN(FR64,FW64),0)</f>
        <v>0</v>
      </c>
      <c r="FZ64" s="1" t="n">
        <f aca="false">FR64-FY64</f>
        <v>0</v>
      </c>
      <c r="GA64" s="1" t="n">
        <f aca="false">DN64-(DQ64+DY64+EG64+EO64+EW64+FE64+FM64+FU64)</f>
        <v>0</v>
      </c>
      <c r="GB64" s="1" t="n">
        <f aca="false">IF(DD64=1,DB64-DM64-DN64,0)</f>
        <v>0</v>
      </c>
      <c r="GC64" s="1" t="n">
        <f aca="false">IF(DD64=0,-DB64,0)</f>
        <v>0</v>
      </c>
      <c r="GD64" s="1" t="n">
        <f aca="false">MIN(GC64,CT64)</f>
        <v>0</v>
      </c>
      <c r="GE64" s="1" t="n">
        <f aca="false">GC64-GD64</f>
        <v>0</v>
      </c>
      <c r="GF64" s="1" t="n">
        <f aca="false">MIN(GE64,CU64)</f>
        <v>0</v>
      </c>
      <c r="GG64" s="1" t="n">
        <f aca="false">GE64-GF64</f>
        <v>0</v>
      </c>
      <c r="GH64" s="1" t="n">
        <f aca="false">IF(AND(DD64=0,CO64=1,GG64&gt;0),MIN(GG64,CP64),0)</f>
        <v>0</v>
      </c>
      <c r="GI64" s="1" t="n">
        <f aca="false">GG64-GH64</f>
        <v>0</v>
      </c>
      <c r="GJ64" s="1" t="n">
        <f aca="false">IF(AND(DD64=0,CE64=1,GI64&gt;0),MIN(GI64,CF64),0)</f>
        <v>0</v>
      </c>
      <c r="GK64" s="1" t="n">
        <f aca="false">GI64-GJ64</f>
        <v>0</v>
      </c>
      <c r="GL64" s="1" t="n">
        <f aca="false">IF(AND(DD64=0,BU64=1,GK64&gt;0),MIN(GK64,BV64),0)</f>
        <v>0</v>
      </c>
      <c r="GM64" s="1" t="n">
        <f aca="false">GK64-GL64</f>
        <v>0</v>
      </c>
      <c r="GN64" s="1" t="n">
        <f aca="false">IF(AND(DD64=0,BK64=1,GM64&gt;0),MIN(GM64,BL64),0)</f>
        <v>0</v>
      </c>
      <c r="GO64" s="1" t="n">
        <f aca="false">GM64-GN64</f>
        <v>0</v>
      </c>
      <c r="GP64" s="1" t="n">
        <f aca="false">IF(AND(DD64=0,BA64=1,GO64&gt;0),MIN(GO64,BB64),0)</f>
        <v>0</v>
      </c>
      <c r="GQ64" s="1" t="n">
        <f aca="false">GO64-GP64</f>
        <v>0</v>
      </c>
      <c r="GR64" s="1" t="n">
        <f aca="false">IF(AND(DD64=0,AQ64=1,GQ64&gt;0),MIN(GQ64,AR64),0)</f>
        <v>0</v>
      </c>
      <c r="GS64" s="1" t="n">
        <f aca="false">GQ64-GR64</f>
        <v>0</v>
      </c>
      <c r="GT64" s="1" t="n">
        <f aca="false">IF(AND(DD64=0,AG64=1,GS64&gt;0),MIN(GS64,AH64),0)</f>
        <v>0</v>
      </c>
      <c r="GU64" s="1" t="n">
        <f aca="false">GS64-GT64</f>
        <v>0</v>
      </c>
      <c r="GV64" s="1" t="n">
        <f aca="false">IF(AND(DD64=0,V64=1,GU64&gt;0),MIN(GU64,W64),0)</f>
        <v>0</v>
      </c>
      <c r="GW64" s="1" t="n">
        <f aca="false">GU64-GV64</f>
        <v>0</v>
      </c>
      <c r="GX64" s="1" t="n">
        <f aca="false">IF(DD64=0,GW64,0)</f>
        <v>0</v>
      </c>
      <c r="GY64" s="1" t="n">
        <f aca="false">GD64+GF64+GV64+GT64+GR64+GP64+GN64+GL64+GJ64+GH64</f>
        <v>0</v>
      </c>
      <c r="GZ64" s="1" t="n">
        <f aca="false">IF(DD64=1,CT64+GA64+FZ64+IF(F64=1,0,GB64),CT64-GD64)</f>
        <v>0</v>
      </c>
      <c r="HA64" s="1" t="n">
        <f aca="false">CU64-GF64</f>
        <v>0</v>
      </c>
      <c r="HB64" s="1" t="n">
        <f aca="false">IF(DD64=1,IF(F64=1,DM64+DN64,DB64),0)</f>
        <v>0</v>
      </c>
      <c r="HC64" s="1" t="n">
        <f aca="false">IF(DD64=1,IF(F64=1,DB64-DM64-DN64,0),0)</f>
        <v>0</v>
      </c>
      <c r="HD64" s="1" t="n">
        <f aca="false">GZ64*(1+GR)</f>
        <v>0</v>
      </c>
      <c r="HE64" s="1" t="n">
        <f aca="false">HA64*(1+AS_Cash)</f>
        <v>0</v>
      </c>
      <c r="HF64" s="1" t="n">
        <f aca="false">IF(V64=1,IF(DD64=1,DR64+DU64,W64-GV64)*(1+Slot1_Rate),0)</f>
        <v>0</v>
      </c>
      <c r="HG64" s="1" t="n">
        <f aca="false">IF(AND(DD64=1,V64=1),(DQ64+DU64)/E64,0)</f>
        <v>0</v>
      </c>
      <c r="HH64" s="1" t="n">
        <f aca="false">IF(B64=0,DQ64+DU64,0)</f>
        <v>0</v>
      </c>
      <c r="HI64" s="1" t="n">
        <f aca="false">IF(B64=0,IF(DD64=1,DS64,DT64),0)</f>
        <v>0</v>
      </c>
      <c r="HJ64" s="1" t="n">
        <f aca="false">IF(AG64=1,IF(DD64=1,DZ64+EC64,AH64-GT64)*(1+Slot2_Rate),0)</f>
        <v>0</v>
      </c>
      <c r="HK64" s="1" t="n">
        <f aca="false">IF(AND(DD64=1,AG64=1),(DY64+EC64)/E64,0)</f>
        <v>0</v>
      </c>
      <c r="HL64" s="1" t="n">
        <f aca="false">IF(B64=0,DY64+EC64,0)</f>
        <v>0</v>
      </c>
      <c r="HM64" s="1" t="n">
        <f aca="false">IF(B64=0,IF(DD64=1,EA64,EB64),0)</f>
        <v>0</v>
      </c>
      <c r="HN64" s="1" t="n">
        <f aca="false">IF(AQ64=1,IF(DD64=1,EH64+EK64,AR64-GR64)*(1+Slot3_Rate),0)</f>
        <v>0</v>
      </c>
      <c r="HO64" s="1" t="n">
        <f aca="false">IF(AND(DD64=1,AQ64=1),(EG64+EK64)/E64,0)</f>
        <v>0</v>
      </c>
      <c r="HP64" s="1" t="n">
        <f aca="false">IF(B64=0,EG64+EK64,0)</f>
        <v>0</v>
      </c>
      <c r="HQ64" s="1" t="n">
        <f aca="false">IF(B64=0,IF(DD64=1,EI64,EJ64),0)</f>
        <v>0</v>
      </c>
      <c r="HR64" s="1" t="n">
        <f aca="false">IF(BA64=1,IF(DD64=1,EP64+ES64,BB64-GP64)*(1+Slot4_Rate),0)</f>
        <v>0</v>
      </c>
      <c r="HS64" s="1" t="n">
        <f aca="false">IF(AND(DD64=1,BA64=1),(EO64+ES64)/E64,0)</f>
        <v>0</v>
      </c>
      <c r="HT64" s="1" t="n">
        <f aca="false">IF(B64=0,EO64+ES64,0)</f>
        <v>0</v>
      </c>
      <c r="HU64" s="1" t="n">
        <f aca="false">IF(B64=0,IF(DD64=1,EQ64,ER64),0)</f>
        <v>0</v>
      </c>
      <c r="HV64" s="1" t="n">
        <f aca="false">IF(BK64=1,IF(DD64=1,EX64+FA64,BL64-GN64)*(1+Slot5_Rate),0)</f>
        <v>0</v>
      </c>
      <c r="HW64" s="1" t="n">
        <f aca="false">IF(AND(DD64=1,BK64=1),(EW64+FA64)/E64,0)</f>
        <v>0</v>
      </c>
      <c r="HX64" s="1" t="n">
        <f aca="false">IF(B64=0,EW64+FA64,0)</f>
        <v>0</v>
      </c>
      <c r="HY64" s="1" t="n">
        <f aca="false">IF(B64=0,IF(DD64=1,EY64,EZ64),0)</f>
        <v>0</v>
      </c>
      <c r="HZ64" s="1" t="n">
        <f aca="false">IF(BU64=1,IF(DD64=1,FF64+FI64,BV64-GL64)*(1+Slot6_Rate),0)</f>
        <v>0</v>
      </c>
      <c r="IA64" s="1" t="n">
        <f aca="false">IF(AND(DD64=1,BU64=1),(FE64+FI64)/E64,0)</f>
        <v>0</v>
      </c>
      <c r="IB64" s="1" t="n">
        <f aca="false">IF(B64=0,FE64+FI64,0)</f>
        <v>0</v>
      </c>
      <c r="IC64" s="1" t="n">
        <f aca="false">IF(B64=0,IF(DD64=1,FG64,FH64),0)</f>
        <v>0</v>
      </c>
      <c r="ID64" s="1" t="n">
        <f aca="false">IF(CE64=1,IF(DD64=1,FN64+FQ64,CF64-GJ64)*(1+Slot7_Rate),0)</f>
        <v>0</v>
      </c>
      <c r="IE64" s="1" t="n">
        <f aca="false">IF(AND(DD64=1,CE64=1),(FM64+FQ64)/E64,0)</f>
        <v>0</v>
      </c>
      <c r="IF64" s="1" t="n">
        <f aca="false">IF(B64=0,FM64+FQ64,0)</f>
        <v>0</v>
      </c>
      <c r="IG64" s="1" t="n">
        <f aca="false">IF(B64=0,IF(DD64=1,FO64,FP64),0)</f>
        <v>0</v>
      </c>
      <c r="IH64" s="1" t="n">
        <f aca="false">IF(CO64=1,IF(DD64=1,FV64+FY64,CP64-GH64)*(1+Slot8_Rate),0)</f>
        <v>0</v>
      </c>
      <c r="II64" s="1" t="n">
        <f aca="false">IF(AND(DD64=1,CO64=1),(FU64+FY64)/E64,0)</f>
        <v>0</v>
      </c>
      <c r="IJ64" s="1" t="n">
        <f aca="false">IF(B64=0,FU64+FY64,0)</f>
        <v>0</v>
      </c>
      <c r="IK64" s="1" t="n">
        <f aca="false">IF(B64=0,IF(DD64=1,FW64,FX64),0)</f>
        <v>0</v>
      </c>
      <c r="IL64" s="1" t="n">
        <f aca="false">HD64+HE64+HF64+HJ64+HN64+HR64+HV64+HZ64+ID64+IH64</f>
        <v>0</v>
      </c>
      <c r="IM64" s="1" t="n">
        <f aca="false">GX64+CY64</f>
        <v>0</v>
      </c>
      <c r="IN64" s="1" t="n">
        <f aca="false">H64+R64</f>
        <v>0</v>
      </c>
      <c r="IO64" s="1" t="n">
        <f aca="false">1-F64</f>
        <v>1</v>
      </c>
      <c r="IP64" s="1" t="n">
        <f aca="false">IF(AND(RG_Exists=1,F64=0,C64=1),H64,0)</f>
        <v>0</v>
      </c>
      <c r="IQ64" s="1" t="n">
        <f aca="false">IF(AND(RG_Exists=1,F64=0,C64=1),H64-MIN(GX64,H64),0)</f>
        <v>0</v>
      </c>
      <c r="IR64" s="1" t="n">
        <f aca="false">'Plan pay &amp; tax'!AD266</f>
        <v>0</v>
      </c>
      <c r="IS64" s="1" t="n">
        <f aca="false">IF(AND(C64=1,GX64&gt;MAX(PR_Short1,IN64*PR_Short2)),1,0)</f>
        <v>0</v>
      </c>
      <c r="IT64" s="1" t="n">
        <f aca="false">MIN(G64,H64+R64)</f>
        <v>0</v>
      </c>
      <c r="IU64" s="1" t="n">
        <f aca="false">GY64+MAX(0,CZ64-CY64)</f>
        <v>0</v>
      </c>
      <c r="IV64" s="1" t="n">
        <f aca="false">GX64+CY64</f>
        <v>0</v>
      </c>
      <c r="IW64" s="1" t="n">
        <f aca="false">IF(AND(C64=1,IV64&gt;0.5),1,0)</f>
        <v>0</v>
      </c>
      <c r="IX64" s="1" t="n">
        <f aca="false">IF(AND(C64=1,IW64=0,IU64&gt;0.5),1,0)</f>
        <v>0</v>
      </c>
      <c r="IY64" s="1" t="n">
        <f aca="false">IF(AND(C64=1,GX64&gt;0.5),1,0)</f>
        <v>0</v>
      </c>
      <c r="IZ64" s="1" t="n">
        <f aca="false">IF(AND(C64=1,GY64&gt;1,JF64=0),1,0)</f>
        <v>0</v>
      </c>
      <c r="JA64" s="1" t="n">
        <f aca="false">IF(AND(INT(D64/10)*10=90,B64&gt;0),80,INT(D64/10)*10)</f>
        <v>50</v>
      </c>
      <c r="JB64" s="1" t="n">
        <f aca="false">IF(B64=0,1,IF(JA64&lt;&gt;JA63,JB63+1,JB63))</f>
        <v>6</v>
      </c>
      <c r="JC64" s="1" t="n">
        <f aca="false">IF(AND(C64=1,F64=1,GX64&gt;MAX(PR_Short1,IN64*PR_Short2)),1,0)</f>
        <v>0</v>
      </c>
      <c r="JD64" s="1" t="n">
        <f aca="false">IO64*IS64</f>
        <v>0</v>
      </c>
      <c r="JE64" s="1" t="n">
        <f aca="false">IF(AND(U64=1,Slot1_PctLow=1),1,0)+IF(AND(AF64=1,Slot2_PctLow=1),1,0)+IF(AND(AP64=1,Slot3_PctLow=1),1,0)+IF(AND(AZ64=1,Slot4_PctLow=1),1,0)+IF(AND(BJ64=1,Slot5_PctLow=1),1,0)+IF(AND(BT64=1,Slot6_PctLow=1),1,0)+IF(AND(CD64=1,Slot7_PctLow=1),1,0)+IF(AND(CN64=1,Slot8_PctLow=1),1,0)</f>
        <v>0</v>
      </c>
      <c r="JF64" s="1" t="n">
        <f aca="false">IF(C64=1,IF(OR(IS64=1,JE64&gt;0),1,0),0)</f>
        <v>0</v>
      </c>
    </row>
    <row r="65" customFormat="false" ht="15" hidden="false" customHeight="false" outlineLevel="0" collapsed="false">
      <c r="B65" s="1" t="n">
        <v>57</v>
      </c>
      <c r="C65" s="1" t="n">
        <f aca="false">IF(B65&lt;=F_N,1,0)</f>
        <v>1</v>
      </c>
      <c r="D65" s="1" t="n">
        <f aca="false">'Plan pay &amp; tax'!C267</f>
        <v>57</v>
      </c>
      <c r="E65" s="106" t="n">
        <f aca="false">'Plan pay &amp; tax'!E267</f>
        <v>3.09178859221323</v>
      </c>
      <c r="F65" s="1" t="n">
        <f aca="false">'Plan pay &amp; tax'!G267</f>
        <v>0</v>
      </c>
      <c r="G65" s="1" t="n">
        <f aca="false">'Plan pay &amp; tax'!BT267-'Plan pay &amp; tax'!BS267-'Plan pay &amp; tax'!R267</f>
        <v>0</v>
      </c>
      <c r="H65" s="1" t="n">
        <f aca="false">IF(F65=1,F_CostsM*12,IF(RG_Exists=1,RG_Amount,F_CostsM*12*AS_RetireSpend))*E65+F_OneOffY*E65</f>
        <v>0</v>
      </c>
      <c r="I65" s="1" t="n">
        <f aca="false">DA64</f>
        <v>0</v>
      </c>
      <c r="J65" s="1" t="n">
        <f aca="false">IF(I65&gt;1,'Plan debt months'!AC65,0)</f>
        <v>0</v>
      </c>
      <c r="K65" s="1" t="n">
        <f aca="false">IF(I65&gt;1,'Plan debt months'!AB65,I65)</f>
        <v>0</v>
      </c>
      <c r="L65" s="1" t="n">
        <f aca="false">N64</f>
        <v>0</v>
      </c>
      <c r="M65" s="1" t="n">
        <f aca="false">IF(L65&gt;1,'Plan debt months'!BD65,0)</f>
        <v>0</v>
      </c>
      <c r="N65" s="1" t="n">
        <f aca="false">IF(L65&gt;1,'Plan debt months'!BC65,L65)</f>
        <v>0</v>
      </c>
      <c r="O65" s="1" t="n">
        <f aca="false">Q64</f>
        <v>0</v>
      </c>
      <c r="P65" s="1" t="n">
        <f aca="false">IF(O65&gt;1,'Plan debt months'!CE65,0)</f>
        <v>0</v>
      </c>
      <c r="Q65" s="1" t="n">
        <f aca="false">IF(O65&gt;1,'Plan debt months'!CD65,O65)</f>
        <v>0</v>
      </c>
      <c r="R65" s="1" t="n">
        <f aca="false">J65+M65+P65</f>
        <v>0</v>
      </c>
      <c r="S65" s="1" t="n">
        <f aca="false">HD64+'Plan pay &amp; tax'!Y267</f>
        <v>0</v>
      </c>
      <c r="T65" s="1" t="n">
        <f aca="false">HD64</f>
        <v>0</v>
      </c>
      <c r="U65" s="1" t="n">
        <f aca="false">IF(AND(Slot1_On=1,D65=Slot1_Age),1,0)</f>
        <v>0</v>
      </c>
      <c r="V65" s="1" t="n">
        <f aca="false">IF(AND(Slot1_On=1,Slot1_Age&gt;D65),1,0)</f>
        <v>0</v>
      </c>
      <c r="W65" s="1" t="n">
        <f aca="false">HF64</f>
        <v>0</v>
      </c>
      <c r="X65" s="1" t="n">
        <f aca="false">U65*MIN(Slot1_Cost,W65)</f>
        <v>0</v>
      </c>
      <c r="Y65" s="1" t="n">
        <f aca="false">U65*Slot1_SpendLike*MIN(Slot1_Cost-X65,S65)</f>
        <v>0</v>
      </c>
      <c r="Z65" s="1" t="n">
        <f aca="false">X65+Y65</f>
        <v>0</v>
      </c>
      <c r="AA65" s="1" t="n">
        <f aca="false">S65-Y65+U65*IF(Slot1_SpendLike=1,W65-X65,IF(Slot1_PotFree=1,W65,0))</f>
        <v>0</v>
      </c>
      <c r="AB65" s="1" t="n">
        <f aca="false">AE65+U65*Slot1_BufPot*W65</f>
        <v>0</v>
      </c>
      <c r="AC65" s="1" t="n">
        <f aca="false">IF(AND(U65=1,Slot1_IsMfree=1),IF(Z65&gt;=Slot1_Cost-1,0,MAX(0,K65-Z65)),K65)</f>
        <v>0</v>
      </c>
      <c r="AD65" s="1" t="n">
        <f aca="false">U65*(Slot1_Cost-Z65)</f>
        <v>0</v>
      </c>
      <c r="AE65" s="1" t="n">
        <f aca="false">HE64</f>
        <v>0</v>
      </c>
      <c r="AF65" s="1" t="n">
        <f aca="false">IF(AND(Slot2_On=1,D65=Slot2_Age),1,0)</f>
        <v>0</v>
      </c>
      <c r="AG65" s="1" t="n">
        <f aca="false">IF(AND(Slot2_On=1,Slot2_Age&gt;D65),1,0)</f>
        <v>0</v>
      </c>
      <c r="AH65" s="1" t="n">
        <f aca="false">HJ64</f>
        <v>0</v>
      </c>
      <c r="AI65" s="1" t="n">
        <f aca="false">AF65*MIN(Slot2_Cost,AH65)</f>
        <v>0</v>
      </c>
      <c r="AJ65" s="1" t="n">
        <f aca="false">AF65*Slot2_SpendLike*MIN(Slot2_Cost-AI65,AA65)</f>
        <v>0</v>
      </c>
      <c r="AK65" s="1" t="n">
        <f aca="false">AI65+AJ65</f>
        <v>0</v>
      </c>
      <c r="AL65" s="1" t="n">
        <f aca="false">AA65-AJ65+AF65*IF(Slot2_SpendLike=1,AH65-AI65,IF(Slot2_PotFree=1,AH65,0))</f>
        <v>0</v>
      </c>
      <c r="AM65" s="1" t="n">
        <f aca="false">AB65+AF65*Slot2_BufPot*AH65</f>
        <v>0</v>
      </c>
      <c r="AN65" s="1" t="n">
        <f aca="false">IF(AND(AF65=1,Slot2_IsMfree=1),IF(AK65&gt;=Slot2_Cost-1,0,MAX(0,AC65-AK65)),AC65)</f>
        <v>0</v>
      </c>
      <c r="AO65" s="1" t="n">
        <f aca="false">AF65*(Slot2_Cost-AK65)</f>
        <v>0</v>
      </c>
      <c r="AP65" s="1" t="n">
        <f aca="false">IF(AND(Slot3_On=1,D65=Slot3_Age),1,0)</f>
        <v>0</v>
      </c>
      <c r="AQ65" s="1" t="n">
        <f aca="false">IF(AND(Slot3_On=1,Slot3_Age&gt;D65),1,0)</f>
        <v>0</v>
      </c>
      <c r="AR65" s="1" t="n">
        <f aca="false">HN64</f>
        <v>0</v>
      </c>
      <c r="AS65" s="1" t="n">
        <f aca="false">AP65*MIN(Slot3_Cost,AR65)</f>
        <v>0</v>
      </c>
      <c r="AT65" s="1" t="n">
        <f aca="false">AP65*Slot3_SpendLike*MIN(Slot3_Cost-AS65,AL65)</f>
        <v>0</v>
      </c>
      <c r="AU65" s="1" t="n">
        <f aca="false">AS65+AT65</f>
        <v>0</v>
      </c>
      <c r="AV65" s="1" t="n">
        <f aca="false">AL65-AT65+AP65*IF(Slot3_SpendLike=1,AR65-AS65,IF(Slot3_PotFree=1,AR65,0))</f>
        <v>0</v>
      </c>
      <c r="AW65" s="1" t="n">
        <f aca="false">AM65+AP65*Slot3_BufPot*AR65</f>
        <v>0</v>
      </c>
      <c r="AX65" s="1" t="n">
        <f aca="false">IF(AND(AP65=1,Slot3_IsMfree=1),IF(AU65&gt;=Slot3_Cost-1,0,MAX(0,AN65-AU65)),AN65)</f>
        <v>0</v>
      </c>
      <c r="AY65" s="1" t="n">
        <f aca="false">AP65*(Slot3_Cost-AU65)</f>
        <v>0</v>
      </c>
      <c r="AZ65" s="1" t="n">
        <f aca="false">IF(AND(Slot4_On=1,D65=Slot4_Age),1,0)</f>
        <v>0</v>
      </c>
      <c r="BA65" s="1" t="n">
        <f aca="false">IF(AND(Slot4_On=1,Slot4_Age&gt;D65),1,0)</f>
        <v>0</v>
      </c>
      <c r="BB65" s="1" t="n">
        <f aca="false">HR64</f>
        <v>0</v>
      </c>
      <c r="BC65" s="1" t="n">
        <f aca="false">AZ65*MIN(Slot4_Cost,BB65)</f>
        <v>0</v>
      </c>
      <c r="BD65" s="1" t="n">
        <f aca="false">AZ65*Slot4_SpendLike*MIN(Slot4_Cost-BC65,AV65)</f>
        <v>0</v>
      </c>
      <c r="BE65" s="1" t="n">
        <f aca="false">BC65+BD65</f>
        <v>0</v>
      </c>
      <c r="BF65" s="1" t="n">
        <f aca="false">AV65-BD65+AZ65*IF(Slot4_SpendLike=1,BB65-BC65,IF(Slot4_PotFree=1,BB65,0))</f>
        <v>0</v>
      </c>
      <c r="BG65" s="1" t="n">
        <f aca="false">AW65+AZ65*Slot4_BufPot*BB65</f>
        <v>0</v>
      </c>
      <c r="BH65" s="1" t="n">
        <f aca="false">IF(AND(AZ65=1,Slot4_IsMfree=1),IF(BE65&gt;=Slot4_Cost-1,0,MAX(0,AX65-BE65)),AX65)</f>
        <v>0</v>
      </c>
      <c r="BI65" s="1" t="n">
        <f aca="false">AZ65*(Slot4_Cost-BE65)</f>
        <v>0</v>
      </c>
      <c r="BJ65" s="1" t="n">
        <f aca="false">IF(AND(Slot5_On=1,D65=Slot5_Age),1,0)</f>
        <v>0</v>
      </c>
      <c r="BK65" s="1" t="n">
        <f aca="false">IF(AND(Slot5_On=1,Slot5_Age&gt;D65),1,0)</f>
        <v>0</v>
      </c>
      <c r="BL65" s="1" t="n">
        <f aca="false">HV64</f>
        <v>0</v>
      </c>
      <c r="BM65" s="1" t="n">
        <f aca="false">BJ65*MIN(Slot5_Cost,BL65)</f>
        <v>0</v>
      </c>
      <c r="BN65" s="1" t="n">
        <f aca="false">BJ65*Slot5_SpendLike*MIN(Slot5_Cost-BM65,BF65)</f>
        <v>0</v>
      </c>
      <c r="BO65" s="1" t="n">
        <f aca="false">BM65+BN65</f>
        <v>0</v>
      </c>
      <c r="BP65" s="1" t="n">
        <f aca="false">BF65-BN65+BJ65*IF(Slot5_SpendLike=1,BL65-BM65,IF(Slot5_PotFree=1,BL65,0))</f>
        <v>0</v>
      </c>
      <c r="BQ65" s="1" t="n">
        <f aca="false">BG65+BJ65*Slot5_BufPot*BL65</f>
        <v>0</v>
      </c>
      <c r="BR65" s="1" t="n">
        <f aca="false">IF(AND(BJ65=1,Slot5_IsMfree=1),IF(BO65&gt;=Slot5_Cost-1,0,MAX(0,BH65-BO65)),BH65)</f>
        <v>0</v>
      </c>
      <c r="BS65" s="1" t="n">
        <f aca="false">BJ65*(Slot5_Cost-BO65)</f>
        <v>0</v>
      </c>
      <c r="BT65" s="1" t="n">
        <f aca="false">IF(AND(Slot6_On=1,D65=Slot6_Age),1,0)</f>
        <v>0</v>
      </c>
      <c r="BU65" s="1" t="n">
        <f aca="false">IF(AND(Slot6_On=1,Slot6_Age&gt;D65),1,0)</f>
        <v>0</v>
      </c>
      <c r="BV65" s="1" t="n">
        <f aca="false">HZ64</f>
        <v>0</v>
      </c>
      <c r="BW65" s="1" t="n">
        <f aca="false">BT65*MIN(Slot6_Cost,BV65)</f>
        <v>0</v>
      </c>
      <c r="BX65" s="1" t="n">
        <f aca="false">BT65*Slot6_SpendLike*MIN(Slot6_Cost-BW65,BP65)</f>
        <v>0</v>
      </c>
      <c r="BY65" s="1" t="n">
        <f aca="false">BW65+BX65</f>
        <v>0</v>
      </c>
      <c r="BZ65" s="1" t="n">
        <f aca="false">BP65-BX65+BT65*IF(Slot6_SpendLike=1,BV65-BW65,IF(Slot6_PotFree=1,BV65,0))</f>
        <v>0</v>
      </c>
      <c r="CA65" s="1" t="n">
        <f aca="false">BQ65+BT65*Slot6_BufPot*BV65</f>
        <v>0</v>
      </c>
      <c r="CB65" s="1" t="n">
        <f aca="false">IF(AND(BT65=1,Slot6_IsMfree=1),IF(BY65&gt;=Slot6_Cost-1,0,MAX(0,BR65-BY65)),BR65)</f>
        <v>0</v>
      </c>
      <c r="CC65" s="1" t="n">
        <f aca="false">BT65*(Slot6_Cost-BY65)</f>
        <v>0</v>
      </c>
      <c r="CD65" s="1" t="n">
        <f aca="false">IF(AND(Slot7_On=1,D65=Slot7_Age),1,0)</f>
        <v>0</v>
      </c>
      <c r="CE65" s="1" t="n">
        <f aca="false">IF(AND(Slot7_On=1,Slot7_Age&gt;D65),1,0)</f>
        <v>0</v>
      </c>
      <c r="CF65" s="1" t="n">
        <f aca="false">ID64</f>
        <v>0</v>
      </c>
      <c r="CG65" s="1" t="n">
        <f aca="false">CD65*MIN(Slot7_Cost,CF65)</f>
        <v>0</v>
      </c>
      <c r="CH65" s="1" t="n">
        <f aca="false">CD65*Slot7_SpendLike*MIN(Slot7_Cost-CG65,BZ65)</f>
        <v>0</v>
      </c>
      <c r="CI65" s="1" t="n">
        <f aca="false">CG65+CH65</f>
        <v>0</v>
      </c>
      <c r="CJ65" s="1" t="n">
        <f aca="false">BZ65-CH65+CD65*IF(Slot7_SpendLike=1,CF65-CG65,IF(Slot7_PotFree=1,CF65,0))</f>
        <v>0</v>
      </c>
      <c r="CK65" s="1" t="n">
        <f aca="false">CA65+CD65*Slot7_BufPot*CF65</f>
        <v>0</v>
      </c>
      <c r="CL65" s="1" t="n">
        <f aca="false">IF(AND(CD65=1,Slot7_IsMfree=1),IF(CI65&gt;=Slot7_Cost-1,0,MAX(0,CB65-CI65)),CB65)</f>
        <v>0</v>
      </c>
      <c r="CM65" s="1" t="n">
        <f aca="false">CD65*(Slot7_Cost-CI65)</f>
        <v>0</v>
      </c>
      <c r="CN65" s="1" t="n">
        <f aca="false">IF(AND(Slot8_On=1,D65=Slot8_Age),1,0)</f>
        <v>0</v>
      </c>
      <c r="CO65" s="1" t="n">
        <f aca="false">IF(AND(Slot8_On=1,Slot8_Age&gt;D65),1,0)</f>
        <v>0</v>
      </c>
      <c r="CP65" s="1" t="n">
        <f aca="false">IH64</f>
        <v>0</v>
      </c>
      <c r="CQ65" s="1" t="n">
        <f aca="false">CN65*MIN(Slot8_Cost,CP65)</f>
        <v>0</v>
      </c>
      <c r="CR65" s="1" t="n">
        <f aca="false">CN65*Slot8_SpendLike*MIN(Slot8_Cost-CQ65,CJ65)</f>
        <v>0</v>
      </c>
      <c r="CS65" s="1" t="n">
        <f aca="false">CQ65+CR65</f>
        <v>0</v>
      </c>
      <c r="CT65" s="1" t="n">
        <f aca="false">CJ65-CR65+CN65*IF(Slot8_SpendLike=1,CP65-CQ65,IF(Slot8_PotFree=1,CP65,0))</f>
        <v>0</v>
      </c>
      <c r="CU65" s="1" t="n">
        <f aca="false">CK65+CN65*Slot8_BufPot*CP65</f>
        <v>0</v>
      </c>
      <c r="CV65" s="1" t="n">
        <f aca="false">IF(AND(CN65=1,Slot8_IsMfree=1),IF(CS65&gt;=Slot8_Cost-1,0,MAX(0,CL65-CS65)),CL65)</f>
        <v>0</v>
      </c>
      <c r="CW65" s="1" t="n">
        <f aca="false">CN65*(Slot8_Cost-CS65)</f>
        <v>0</v>
      </c>
      <c r="CX65" s="1" t="n">
        <f aca="false">U65*Slot1_SpendLike*Z65+AF65*Slot2_SpendLike*AK65+AP65*Slot3_SpendLike*AU65+AZ65*Slot4_SpendLike*BE65+BJ65*Slot5_SpendLike*BO65+BT65*Slot6_SpendLike*BY65+CD65*Slot7_SpendLike*CI65+CN65*Slot8_SpendLike*CS65</f>
        <v>0</v>
      </c>
      <c r="CY65" s="1" t="n">
        <f aca="false">AD65+AO65+AY65+BI65+BS65+CC65+CM65+CW65</f>
        <v>0</v>
      </c>
      <c r="CZ65" s="1" t="n">
        <f aca="false">U65*Slot1_Cost+AF65*Slot2_Cost+AP65*Slot3_Cost+AZ65*Slot4_Cost+BJ65*Slot5_Cost+BT65*Slot6_Cost+CD65*Slot7_Cost+CN65*Slot8_Cost</f>
        <v>0</v>
      </c>
      <c r="DA65" s="1" t="n">
        <f aca="false">CV65</f>
        <v>0</v>
      </c>
      <c r="DB65" s="1" t="n">
        <f aca="false">G65-H65-R65</f>
        <v>0</v>
      </c>
      <c r="DC65" s="1" t="n">
        <f aca="false">IF(B65=0,IF(AND(Has_q6=1,In_q6=4),PR_ShareVaries*(MAX(0,DB65)/12),MIN(IF(Has_q6=1,CHOOSE(In_q6+1,PR_SaveB1,PR_SaveB2,PR_SaveB3,PR_SaveB4,0),AS_NoAnswer),AS_SaveShare*(MAX(0,DB65)/12))),DC64)</f>
        <v>0</v>
      </c>
      <c r="DD65" s="1" t="n">
        <f aca="false">IF(DB65&gt;=0,1,0)</f>
        <v>1</v>
      </c>
      <c r="DE65" s="1" t="n">
        <f aca="false">MAX(0,DB65/12/E65)</f>
        <v>0</v>
      </c>
      <c r="DF65" s="1" t="n">
        <f aca="false">IF(AND(Has_q6=1,In_q6=4),PR_ShareVaries*(DE65),MIN(IF(Has_q6=1,CHOOSE(In_q6+1,PR_SaveB1,PR_SaveB2,PR_SaveB3,PR_SaveB4,0),AS_NoAnswer),AS_SaveShare*(DE65)))</f>
        <v>0</v>
      </c>
      <c r="DG65" s="1" t="n">
        <f aca="false">IF(Has_saveM=1,IF(In_saveUp="Yes",1,IF(In_saveUp="No",0,IF(In_saveM&gt;=DC65-0.5,1,0))),0)</f>
        <v>0</v>
      </c>
      <c r="DH65" s="1" t="n">
        <f aca="false">IF(Has_saveM=1,MIN(DE65,IF(DG65=1,MAX(In_saveM,DF65),MIN(In_saveM,DF65))),DF65)</f>
        <v>0</v>
      </c>
      <c r="DI65" s="1" t="n">
        <f aca="false">IF(F65=1,DH65*12*E65,0)</f>
        <v>0</v>
      </c>
      <c r="DJ65" s="1" t="n">
        <f aca="false">MAX(0,DI65+IF(AND(WI_Retire=0,WI_M&lt;0,F65=1),WI_M*12*E65,0))</f>
        <v>0</v>
      </c>
      <c r="DK65" s="1" t="n">
        <f aca="false">Slot1_IsWG*V65+Slot2_IsWG*AG65+Slot3_IsWG*AQ65+Slot4_IsWG*BA65+Slot5_IsWG*BK65+Slot6_IsWG*BU65+Slot7_IsWG*CE65+Slot8_IsWG*CO65</f>
        <v>0</v>
      </c>
      <c r="DL65" s="1" t="n">
        <f aca="false">IF(AND(WI_Retire=0,WI_M&gt;0,F65=1,DK65&gt;=1),WI_M*12*E65,0)</f>
        <v>0</v>
      </c>
      <c r="DM65" s="1" t="n">
        <f aca="false">IF(DD65=1,MIN(DJ65,DB65),0)</f>
        <v>0</v>
      </c>
      <c r="DN65" s="1" t="n">
        <f aca="false">IF(DD65=1,MIN(DL65,DB65-DM65),0)</f>
        <v>0</v>
      </c>
      <c r="DO65" s="1" t="n">
        <f aca="false">IF(V65=1,IF(ABS((1+AS_Wage)/(1+Slot1_Rate)-1)&lt;0.000000000001,(Slot1_Age-D65)*(1+Slot1_Rate)^(Slot1_Age-D65),(1+Slot1_Rate)^(Slot1_Age-D65)*(1-((1+AS_Wage)/(1+Slot1_Rate))^(Slot1_Age-D65))/(1-(1+AS_Wage)/(1+Slot1_Rate))),1)</f>
        <v>1</v>
      </c>
      <c r="DP65" s="1" t="n">
        <f aca="false">IF(AND(DD65=1,DN65&gt;0,Slot1_IsWG=1,V65=1),MAX(0,(Slot1_Cost-W65*(1+Slot1_Rate)^(Slot1_Age-D65))/DO65),0)</f>
        <v>0</v>
      </c>
      <c r="DQ65" s="1" t="n">
        <f aca="false">IF(AND(DD65=1,DN65&gt;0,Slot1_IsWG=1,V65=1),MIN(DN65,DP65),0)</f>
        <v>0</v>
      </c>
      <c r="DR65" s="1" t="n">
        <f aca="false">W65+DQ65</f>
        <v>0</v>
      </c>
      <c r="DS65" s="1" t="n">
        <f aca="false">IF(V65=1,MAX(0,(Slot1_Cost-DR65*(1+Slot1_Rate)^(Slot1_Age-D65))/DO65),0)</f>
        <v>0</v>
      </c>
      <c r="DT65" s="1" t="n">
        <f aca="false">IF(V65=1,MAX(0,(Slot1_Cost-W65*(1+Slot1_Rate)^(Slot1_Age-D65))/DO65),0)</f>
        <v>0</v>
      </c>
      <c r="DU65" s="1" t="n">
        <f aca="false">IF(AND(DD65=1,V65=1),MIN(DM65,DS65),0)</f>
        <v>0</v>
      </c>
      <c r="DV65" s="1" t="n">
        <f aca="false">DM65-DU65</f>
        <v>0</v>
      </c>
      <c r="DW65" s="1" t="n">
        <f aca="false">IF(AG65=1,IF(ABS((1+AS_Wage)/(1+Slot2_Rate)-1)&lt;0.000000000001,(Slot2_Age-D65)*(1+Slot2_Rate)^(Slot2_Age-D65),(1+Slot2_Rate)^(Slot2_Age-D65)*(1-((1+AS_Wage)/(1+Slot2_Rate))^(Slot2_Age-D65))/(1-(1+AS_Wage)/(1+Slot2_Rate))),1)</f>
        <v>1</v>
      </c>
      <c r="DX65" s="1" t="n">
        <f aca="false">IF(AND(DD65=1,DN65&gt;0,Slot2_IsWG=1,AG65=1),MAX(0,(Slot2_Cost-AH65*(1+Slot2_Rate)^(Slot2_Age-D65))/DW65),0)</f>
        <v>0</v>
      </c>
      <c r="DY65" s="1" t="n">
        <f aca="false">IF(AND(DD65=1,DN65&gt;0,Slot2_IsWG=1,AG65=1),MIN(DN65,DX65),0)</f>
        <v>0</v>
      </c>
      <c r="DZ65" s="1" t="n">
        <f aca="false">AH65+DY65</f>
        <v>0</v>
      </c>
      <c r="EA65" s="1" t="n">
        <f aca="false">IF(AG65=1,MAX(0,(Slot2_Cost-DZ65*(1+Slot2_Rate)^(Slot2_Age-D65))/DW65),0)</f>
        <v>0</v>
      </c>
      <c r="EB65" s="1" t="n">
        <f aca="false">IF(AG65=1,MAX(0,(Slot2_Cost-AH65*(1+Slot2_Rate)^(Slot2_Age-D65))/DW65),0)</f>
        <v>0</v>
      </c>
      <c r="EC65" s="1" t="n">
        <f aca="false">IF(AND(DD65=1,AG65=1),MIN(DV65,EA65),0)</f>
        <v>0</v>
      </c>
      <c r="ED65" s="1" t="n">
        <f aca="false">DV65-EC65</f>
        <v>0</v>
      </c>
      <c r="EE65" s="1" t="n">
        <f aca="false">IF(AQ65=1,IF(ABS((1+AS_Wage)/(1+Slot3_Rate)-1)&lt;0.000000000001,(Slot3_Age-D65)*(1+Slot3_Rate)^(Slot3_Age-D65),(1+Slot3_Rate)^(Slot3_Age-D65)*(1-((1+AS_Wage)/(1+Slot3_Rate))^(Slot3_Age-D65))/(1-(1+AS_Wage)/(1+Slot3_Rate))),1)</f>
        <v>1</v>
      </c>
      <c r="EF65" s="1" t="n">
        <f aca="false">IF(AND(DD65=1,DN65&gt;0,Slot3_IsWG=1,AQ65=1),MAX(0,(Slot3_Cost-AR65*(1+Slot3_Rate)^(Slot3_Age-D65))/EE65),0)</f>
        <v>0</v>
      </c>
      <c r="EG65" s="1" t="n">
        <f aca="false">IF(AND(DD65=1,DN65&gt;0,Slot3_IsWG=1,AQ65=1),MIN(DN65,EF65),0)</f>
        <v>0</v>
      </c>
      <c r="EH65" s="1" t="n">
        <f aca="false">AR65+EG65</f>
        <v>0</v>
      </c>
      <c r="EI65" s="1" t="n">
        <f aca="false">IF(AQ65=1,MAX(0,(Slot3_Cost-EH65*(1+Slot3_Rate)^(Slot3_Age-D65))/EE65),0)</f>
        <v>0</v>
      </c>
      <c r="EJ65" s="1" t="n">
        <f aca="false">IF(AQ65=1,MAX(0,(Slot3_Cost-AR65*(1+Slot3_Rate)^(Slot3_Age-D65))/EE65),0)</f>
        <v>0</v>
      </c>
      <c r="EK65" s="1" t="n">
        <f aca="false">IF(AND(DD65=1,AQ65=1),MIN(ED65,EI65),0)</f>
        <v>0</v>
      </c>
      <c r="EL65" s="1" t="n">
        <f aca="false">ED65-EK65</f>
        <v>0</v>
      </c>
      <c r="EM65" s="1" t="n">
        <f aca="false">IF(BA65=1,IF(ABS((1+AS_Wage)/(1+Slot4_Rate)-1)&lt;0.000000000001,(Slot4_Age-D65)*(1+Slot4_Rate)^(Slot4_Age-D65),(1+Slot4_Rate)^(Slot4_Age-D65)*(1-((1+AS_Wage)/(1+Slot4_Rate))^(Slot4_Age-D65))/(1-(1+AS_Wage)/(1+Slot4_Rate))),1)</f>
        <v>1</v>
      </c>
      <c r="EN65" s="1" t="n">
        <f aca="false">IF(AND(DD65=1,DN65&gt;0,Slot4_IsWG=1,BA65=1),MAX(0,(Slot4_Cost-BB65*(1+Slot4_Rate)^(Slot4_Age-D65))/EM65),0)</f>
        <v>0</v>
      </c>
      <c r="EO65" s="1" t="n">
        <f aca="false">IF(AND(DD65=1,DN65&gt;0,Slot4_IsWG=1,BA65=1),MIN(DN65,EN65),0)</f>
        <v>0</v>
      </c>
      <c r="EP65" s="1" t="n">
        <f aca="false">BB65+EO65</f>
        <v>0</v>
      </c>
      <c r="EQ65" s="1" t="n">
        <f aca="false">IF(BA65=1,MAX(0,(Slot4_Cost-EP65*(1+Slot4_Rate)^(Slot4_Age-D65))/EM65),0)</f>
        <v>0</v>
      </c>
      <c r="ER65" s="1" t="n">
        <f aca="false">IF(BA65=1,MAX(0,(Slot4_Cost-BB65*(1+Slot4_Rate)^(Slot4_Age-D65))/EM65),0)</f>
        <v>0</v>
      </c>
      <c r="ES65" s="1" t="n">
        <f aca="false">IF(AND(DD65=1,BA65=1),MIN(EL65,EQ65),0)</f>
        <v>0</v>
      </c>
      <c r="ET65" s="1" t="n">
        <f aca="false">EL65-ES65</f>
        <v>0</v>
      </c>
      <c r="EU65" s="1" t="n">
        <f aca="false">IF(BK65=1,IF(ABS((1+AS_Wage)/(1+Slot5_Rate)-1)&lt;0.000000000001,(Slot5_Age-D65)*(1+Slot5_Rate)^(Slot5_Age-D65),(1+Slot5_Rate)^(Slot5_Age-D65)*(1-((1+AS_Wage)/(1+Slot5_Rate))^(Slot5_Age-D65))/(1-(1+AS_Wage)/(1+Slot5_Rate))),1)</f>
        <v>1</v>
      </c>
      <c r="EV65" s="1" t="n">
        <f aca="false">IF(AND(DD65=1,DN65&gt;0,Slot5_IsWG=1,BK65=1),MAX(0,(Slot5_Cost-BL65*(1+Slot5_Rate)^(Slot5_Age-D65))/EU65),0)</f>
        <v>0</v>
      </c>
      <c r="EW65" s="1" t="n">
        <f aca="false">IF(AND(DD65=1,DN65&gt;0,Slot5_IsWG=1,BK65=1),MIN(DN65,EV65),0)</f>
        <v>0</v>
      </c>
      <c r="EX65" s="1" t="n">
        <f aca="false">BL65+EW65</f>
        <v>0</v>
      </c>
      <c r="EY65" s="1" t="n">
        <f aca="false">IF(BK65=1,MAX(0,(Slot5_Cost-EX65*(1+Slot5_Rate)^(Slot5_Age-D65))/EU65),0)</f>
        <v>0</v>
      </c>
      <c r="EZ65" s="1" t="n">
        <f aca="false">IF(BK65=1,MAX(0,(Slot5_Cost-BL65*(1+Slot5_Rate)^(Slot5_Age-D65))/EU65),0)</f>
        <v>0</v>
      </c>
      <c r="FA65" s="1" t="n">
        <f aca="false">IF(AND(DD65=1,BK65=1),MIN(ET65,EY65),0)</f>
        <v>0</v>
      </c>
      <c r="FB65" s="1" t="n">
        <f aca="false">ET65-FA65</f>
        <v>0</v>
      </c>
      <c r="FC65" s="1" t="n">
        <f aca="false">IF(BU65=1,IF(ABS((1+AS_Wage)/(1+Slot6_Rate)-1)&lt;0.000000000001,(Slot6_Age-D65)*(1+Slot6_Rate)^(Slot6_Age-D65),(1+Slot6_Rate)^(Slot6_Age-D65)*(1-((1+AS_Wage)/(1+Slot6_Rate))^(Slot6_Age-D65))/(1-(1+AS_Wage)/(1+Slot6_Rate))),1)</f>
        <v>1</v>
      </c>
      <c r="FD65" s="1" t="n">
        <f aca="false">IF(AND(DD65=1,DN65&gt;0,Slot6_IsWG=1,BU65=1),MAX(0,(Slot6_Cost-BV65*(1+Slot6_Rate)^(Slot6_Age-D65))/FC65),0)</f>
        <v>0</v>
      </c>
      <c r="FE65" s="1" t="n">
        <f aca="false">IF(AND(DD65=1,DN65&gt;0,Slot6_IsWG=1,BU65=1),MIN(DN65,FD65),0)</f>
        <v>0</v>
      </c>
      <c r="FF65" s="1" t="n">
        <f aca="false">BV65+FE65</f>
        <v>0</v>
      </c>
      <c r="FG65" s="1" t="n">
        <f aca="false">IF(BU65=1,MAX(0,(Slot6_Cost-FF65*(1+Slot6_Rate)^(Slot6_Age-D65))/FC65),0)</f>
        <v>0</v>
      </c>
      <c r="FH65" s="1" t="n">
        <f aca="false">IF(BU65=1,MAX(0,(Slot6_Cost-BV65*(1+Slot6_Rate)^(Slot6_Age-D65))/FC65),0)</f>
        <v>0</v>
      </c>
      <c r="FI65" s="1" t="n">
        <f aca="false">IF(AND(DD65=1,BU65=1),MIN(FB65,FG65),0)</f>
        <v>0</v>
      </c>
      <c r="FJ65" s="1" t="n">
        <f aca="false">FB65-FI65</f>
        <v>0</v>
      </c>
      <c r="FK65" s="1" t="n">
        <f aca="false">IF(CE65=1,IF(ABS((1+AS_Wage)/(1+Slot7_Rate)-1)&lt;0.000000000001,(Slot7_Age-D65)*(1+Slot7_Rate)^(Slot7_Age-D65),(1+Slot7_Rate)^(Slot7_Age-D65)*(1-((1+AS_Wage)/(1+Slot7_Rate))^(Slot7_Age-D65))/(1-(1+AS_Wage)/(1+Slot7_Rate))),1)</f>
        <v>1</v>
      </c>
      <c r="FL65" s="1" t="n">
        <f aca="false">IF(AND(DD65=1,DN65&gt;0,Slot7_IsWG=1,CE65=1),MAX(0,(Slot7_Cost-CF65*(1+Slot7_Rate)^(Slot7_Age-D65))/FK65),0)</f>
        <v>0</v>
      </c>
      <c r="FM65" s="1" t="n">
        <f aca="false">IF(AND(DD65=1,DN65&gt;0,Slot7_IsWG=1,CE65=1),MIN(DN65,FL65),0)</f>
        <v>0</v>
      </c>
      <c r="FN65" s="1" t="n">
        <f aca="false">CF65+FM65</f>
        <v>0</v>
      </c>
      <c r="FO65" s="1" t="n">
        <f aca="false">IF(CE65=1,MAX(0,(Slot7_Cost-FN65*(1+Slot7_Rate)^(Slot7_Age-D65))/FK65),0)</f>
        <v>0</v>
      </c>
      <c r="FP65" s="1" t="n">
        <f aca="false">IF(CE65=1,MAX(0,(Slot7_Cost-CF65*(1+Slot7_Rate)^(Slot7_Age-D65))/FK65),0)</f>
        <v>0</v>
      </c>
      <c r="FQ65" s="1" t="n">
        <f aca="false">IF(AND(DD65=1,CE65=1),MIN(FJ65,FO65),0)</f>
        <v>0</v>
      </c>
      <c r="FR65" s="1" t="n">
        <f aca="false">FJ65-FQ65</f>
        <v>0</v>
      </c>
      <c r="FS65" s="1" t="n">
        <f aca="false">IF(CO65=1,IF(ABS((1+AS_Wage)/(1+Slot8_Rate)-1)&lt;0.000000000001,(Slot8_Age-D65)*(1+Slot8_Rate)^(Slot8_Age-D65),(1+Slot8_Rate)^(Slot8_Age-D65)*(1-((1+AS_Wage)/(1+Slot8_Rate))^(Slot8_Age-D65))/(1-(1+AS_Wage)/(1+Slot8_Rate))),1)</f>
        <v>1</v>
      </c>
      <c r="FT65" s="1" t="n">
        <f aca="false">IF(AND(DD65=1,DN65&gt;0,Slot8_IsWG=1,CO65=1),MAX(0,(Slot8_Cost-CP65*(1+Slot8_Rate)^(Slot8_Age-D65))/FS65),0)</f>
        <v>0</v>
      </c>
      <c r="FU65" s="1" t="n">
        <f aca="false">IF(AND(DD65=1,DN65&gt;0,Slot8_IsWG=1,CO65=1),MIN(DN65,FT65),0)</f>
        <v>0</v>
      </c>
      <c r="FV65" s="1" t="n">
        <f aca="false">CP65+FU65</f>
        <v>0</v>
      </c>
      <c r="FW65" s="1" t="n">
        <f aca="false">IF(CO65=1,MAX(0,(Slot8_Cost-FV65*(1+Slot8_Rate)^(Slot8_Age-D65))/FS65),0)</f>
        <v>0</v>
      </c>
      <c r="FX65" s="1" t="n">
        <f aca="false">IF(CO65=1,MAX(0,(Slot8_Cost-CP65*(1+Slot8_Rate)^(Slot8_Age-D65))/FS65),0)</f>
        <v>0</v>
      </c>
      <c r="FY65" s="1" t="n">
        <f aca="false">IF(AND(DD65=1,CO65=1),MIN(FR65,FW65),0)</f>
        <v>0</v>
      </c>
      <c r="FZ65" s="1" t="n">
        <f aca="false">FR65-FY65</f>
        <v>0</v>
      </c>
      <c r="GA65" s="1" t="n">
        <f aca="false">DN65-(DQ65+DY65+EG65+EO65+EW65+FE65+FM65+FU65)</f>
        <v>0</v>
      </c>
      <c r="GB65" s="1" t="n">
        <f aca="false">IF(DD65=1,DB65-DM65-DN65,0)</f>
        <v>0</v>
      </c>
      <c r="GC65" s="1" t="n">
        <f aca="false">IF(DD65=0,-DB65,0)</f>
        <v>0</v>
      </c>
      <c r="GD65" s="1" t="n">
        <f aca="false">MIN(GC65,CT65)</f>
        <v>0</v>
      </c>
      <c r="GE65" s="1" t="n">
        <f aca="false">GC65-GD65</f>
        <v>0</v>
      </c>
      <c r="GF65" s="1" t="n">
        <f aca="false">MIN(GE65,CU65)</f>
        <v>0</v>
      </c>
      <c r="GG65" s="1" t="n">
        <f aca="false">GE65-GF65</f>
        <v>0</v>
      </c>
      <c r="GH65" s="1" t="n">
        <f aca="false">IF(AND(DD65=0,CO65=1,GG65&gt;0),MIN(GG65,CP65),0)</f>
        <v>0</v>
      </c>
      <c r="GI65" s="1" t="n">
        <f aca="false">GG65-GH65</f>
        <v>0</v>
      </c>
      <c r="GJ65" s="1" t="n">
        <f aca="false">IF(AND(DD65=0,CE65=1,GI65&gt;0),MIN(GI65,CF65),0)</f>
        <v>0</v>
      </c>
      <c r="GK65" s="1" t="n">
        <f aca="false">GI65-GJ65</f>
        <v>0</v>
      </c>
      <c r="GL65" s="1" t="n">
        <f aca="false">IF(AND(DD65=0,BU65=1,GK65&gt;0),MIN(GK65,BV65),0)</f>
        <v>0</v>
      </c>
      <c r="GM65" s="1" t="n">
        <f aca="false">GK65-GL65</f>
        <v>0</v>
      </c>
      <c r="GN65" s="1" t="n">
        <f aca="false">IF(AND(DD65=0,BK65=1,GM65&gt;0),MIN(GM65,BL65),0)</f>
        <v>0</v>
      </c>
      <c r="GO65" s="1" t="n">
        <f aca="false">GM65-GN65</f>
        <v>0</v>
      </c>
      <c r="GP65" s="1" t="n">
        <f aca="false">IF(AND(DD65=0,BA65=1,GO65&gt;0),MIN(GO65,BB65),0)</f>
        <v>0</v>
      </c>
      <c r="GQ65" s="1" t="n">
        <f aca="false">GO65-GP65</f>
        <v>0</v>
      </c>
      <c r="GR65" s="1" t="n">
        <f aca="false">IF(AND(DD65=0,AQ65=1,GQ65&gt;0),MIN(GQ65,AR65),0)</f>
        <v>0</v>
      </c>
      <c r="GS65" s="1" t="n">
        <f aca="false">GQ65-GR65</f>
        <v>0</v>
      </c>
      <c r="GT65" s="1" t="n">
        <f aca="false">IF(AND(DD65=0,AG65=1,GS65&gt;0),MIN(GS65,AH65),0)</f>
        <v>0</v>
      </c>
      <c r="GU65" s="1" t="n">
        <f aca="false">GS65-GT65</f>
        <v>0</v>
      </c>
      <c r="GV65" s="1" t="n">
        <f aca="false">IF(AND(DD65=0,V65=1,GU65&gt;0),MIN(GU65,W65),0)</f>
        <v>0</v>
      </c>
      <c r="GW65" s="1" t="n">
        <f aca="false">GU65-GV65</f>
        <v>0</v>
      </c>
      <c r="GX65" s="1" t="n">
        <f aca="false">IF(DD65=0,GW65,0)</f>
        <v>0</v>
      </c>
      <c r="GY65" s="1" t="n">
        <f aca="false">GD65+GF65+GV65+GT65+GR65+GP65+GN65+GL65+GJ65+GH65</f>
        <v>0</v>
      </c>
      <c r="GZ65" s="1" t="n">
        <f aca="false">IF(DD65=1,CT65+GA65+FZ65+IF(F65=1,0,GB65),CT65-GD65)</f>
        <v>0</v>
      </c>
      <c r="HA65" s="1" t="n">
        <f aca="false">CU65-GF65</f>
        <v>0</v>
      </c>
      <c r="HB65" s="1" t="n">
        <f aca="false">IF(DD65=1,IF(F65=1,DM65+DN65,DB65),0)</f>
        <v>0</v>
      </c>
      <c r="HC65" s="1" t="n">
        <f aca="false">IF(DD65=1,IF(F65=1,DB65-DM65-DN65,0),0)</f>
        <v>0</v>
      </c>
      <c r="HD65" s="1" t="n">
        <f aca="false">GZ65*(1+GR)</f>
        <v>0</v>
      </c>
      <c r="HE65" s="1" t="n">
        <f aca="false">HA65*(1+AS_Cash)</f>
        <v>0</v>
      </c>
      <c r="HF65" s="1" t="n">
        <f aca="false">IF(V65=1,IF(DD65=1,DR65+DU65,W65-GV65)*(1+Slot1_Rate),0)</f>
        <v>0</v>
      </c>
      <c r="HG65" s="1" t="n">
        <f aca="false">IF(AND(DD65=1,V65=1),(DQ65+DU65)/E65,0)</f>
        <v>0</v>
      </c>
      <c r="HH65" s="1" t="n">
        <f aca="false">IF(B65=0,DQ65+DU65,0)</f>
        <v>0</v>
      </c>
      <c r="HI65" s="1" t="n">
        <f aca="false">IF(B65=0,IF(DD65=1,DS65,DT65),0)</f>
        <v>0</v>
      </c>
      <c r="HJ65" s="1" t="n">
        <f aca="false">IF(AG65=1,IF(DD65=1,DZ65+EC65,AH65-GT65)*(1+Slot2_Rate),0)</f>
        <v>0</v>
      </c>
      <c r="HK65" s="1" t="n">
        <f aca="false">IF(AND(DD65=1,AG65=1),(DY65+EC65)/E65,0)</f>
        <v>0</v>
      </c>
      <c r="HL65" s="1" t="n">
        <f aca="false">IF(B65=0,DY65+EC65,0)</f>
        <v>0</v>
      </c>
      <c r="HM65" s="1" t="n">
        <f aca="false">IF(B65=0,IF(DD65=1,EA65,EB65),0)</f>
        <v>0</v>
      </c>
      <c r="HN65" s="1" t="n">
        <f aca="false">IF(AQ65=1,IF(DD65=1,EH65+EK65,AR65-GR65)*(1+Slot3_Rate),0)</f>
        <v>0</v>
      </c>
      <c r="HO65" s="1" t="n">
        <f aca="false">IF(AND(DD65=1,AQ65=1),(EG65+EK65)/E65,0)</f>
        <v>0</v>
      </c>
      <c r="HP65" s="1" t="n">
        <f aca="false">IF(B65=0,EG65+EK65,0)</f>
        <v>0</v>
      </c>
      <c r="HQ65" s="1" t="n">
        <f aca="false">IF(B65=0,IF(DD65=1,EI65,EJ65),0)</f>
        <v>0</v>
      </c>
      <c r="HR65" s="1" t="n">
        <f aca="false">IF(BA65=1,IF(DD65=1,EP65+ES65,BB65-GP65)*(1+Slot4_Rate),0)</f>
        <v>0</v>
      </c>
      <c r="HS65" s="1" t="n">
        <f aca="false">IF(AND(DD65=1,BA65=1),(EO65+ES65)/E65,0)</f>
        <v>0</v>
      </c>
      <c r="HT65" s="1" t="n">
        <f aca="false">IF(B65=0,EO65+ES65,0)</f>
        <v>0</v>
      </c>
      <c r="HU65" s="1" t="n">
        <f aca="false">IF(B65=0,IF(DD65=1,EQ65,ER65),0)</f>
        <v>0</v>
      </c>
      <c r="HV65" s="1" t="n">
        <f aca="false">IF(BK65=1,IF(DD65=1,EX65+FA65,BL65-GN65)*(1+Slot5_Rate),0)</f>
        <v>0</v>
      </c>
      <c r="HW65" s="1" t="n">
        <f aca="false">IF(AND(DD65=1,BK65=1),(EW65+FA65)/E65,0)</f>
        <v>0</v>
      </c>
      <c r="HX65" s="1" t="n">
        <f aca="false">IF(B65=0,EW65+FA65,0)</f>
        <v>0</v>
      </c>
      <c r="HY65" s="1" t="n">
        <f aca="false">IF(B65=0,IF(DD65=1,EY65,EZ65),0)</f>
        <v>0</v>
      </c>
      <c r="HZ65" s="1" t="n">
        <f aca="false">IF(BU65=1,IF(DD65=1,FF65+FI65,BV65-GL65)*(1+Slot6_Rate),0)</f>
        <v>0</v>
      </c>
      <c r="IA65" s="1" t="n">
        <f aca="false">IF(AND(DD65=1,BU65=1),(FE65+FI65)/E65,0)</f>
        <v>0</v>
      </c>
      <c r="IB65" s="1" t="n">
        <f aca="false">IF(B65=0,FE65+FI65,0)</f>
        <v>0</v>
      </c>
      <c r="IC65" s="1" t="n">
        <f aca="false">IF(B65=0,IF(DD65=1,FG65,FH65),0)</f>
        <v>0</v>
      </c>
      <c r="ID65" s="1" t="n">
        <f aca="false">IF(CE65=1,IF(DD65=1,FN65+FQ65,CF65-GJ65)*(1+Slot7_Rate),0)</f>
        <v>0</v>
      </c>
      <c r="IE65" s="1" t="n">
        <f aca="false">IF(AND(DD65=1,CE65=1),(FM65+FQ65)/E65,0)</f>
        <v>0</v>
      </c>
      <c r="IF65" s="1" t="n">
        <f aca="false">IF(B65=0,FM65+FQ65,0)</f>
        <v>0</v>
      </c>
      <c r="IG65" s="1" t="n">
        <f aca="false">IF(B65=0,IF(DD65=1,FO65,FP65),0)</f>
        <v>0</v>
      </c>
      <c r="IH65" s="1" t="n">
        <f aca="false">IF(CO65=1,IF(DD65=1,FV65+FY65,CP65-GH65)*(1+Slot8_Rate),0)</f>
        <v>0</v>
      </c>
      <c r="II65" s="1" t="n">
        <f aca="false">IF(AND(DD65=1,CO65=1),(FU65+FY65)/E65,0)</f>
        <v>0</v>
      </c>
      <c r="IJ65" s="1" t="n">
        <f aca="false">IF(B65=0,FU65+FY65,0)</f>
        <v>0</v>
      </c>
      <c r="IK65" s="1" t="n">
        <f aca="false">IF(B65=0,IF(DD65=1,FW65,FX65),0)</f>
        <v>0</v>
      </c>
      <c r="IL65" s="1" t="n">
        <f aca="false">HD65+HE65+HF65+HJ65+HN65+HR65+HV65+HZ65+ID65+IH65</f>
        <v>0</v>
      </c>
      <c r="IM65" s="1" t="n">
        <f aca="false">GX65+CY65</f>
        <v>0</v>
      </c>
      <c r="IN65" s="1" t="n">
        <f aca="false">H65+R65</f>
        <v>0</v>
      </c>
      <c r="IO65" s="1" t="n">
        <f aca="false">1-F65</f>
        <v>1</v>
      </c>
      <c r="IP65" s="1" t="n">
        <f aca="false">IF(AND(RG_Exists=1,F65=0,C65=1),H65,0)</f>
        <v>0</v>
      </c>
      <c r="IQ65" s="1" t="n">
        <f aca="false">IF(AND(RG_Exists=1,F65=0,C65=1),H65-MIN(GX65,H65),0)</f>
        <v>0</v>
      </c>
      <c r="IR65" s="1" t="n">
        <f aca="false">'Plan pay &amp; tax'!AD267</f>
        <v>0</v>
      </c>
      <c r="IS65" s="1" t="n">
        <f aca="false">IF(AND(C65=1,GX65&gt;MAX(PR_Short1,IN65*PR_Short2)),1,0)</f>
        <v>0</v>
      </c>
      <c r="IT65" s="1" t="n">
        <f aca="false">MIN(G65,H65+R65)</f>
        <v>0</v>
      </c>
      <c r="IU65" s="1" t="n">
        <f aca="false">GY65+MAX(0,CZ65-CY65)</f>
        <v>0</v>
      </c>
      <c r="IV65" s="1" t="n">
        <f aca="false">GX65+CY65</f>
        <v>0</v>
      </c>
      <c r="IW65" s="1" t="n">
        <f aca="false">IF(AND(C65=1,IV65&gt;0.5),1,0)</f>
        <v>0</v>
      </c>
      <c r="IX65" s="1" t="n">
        <f aca="false">IF(AND(C65=1,IW65=0,IU65&gt;0.5),1,0)</f>
        <v>0</v>
      </c>
      <c r="IY65" s="1" t="n">
        <f aca="false">IF(AND(C65=1,GX65&gt;0.5),1,0)</f>
        <v>0</v>
      </c>
      <c r="IZ65" s="1" t="n">
        <f aca="false">IF(AND(C65=1,GY65&gt;1,JF65=0),1,0)</f>
        <v>0</v>
      </c>
      <c r="JA65" s="1" t="n">
        <f aca="false">IF(AND(INT(D65/10)*10=90,B65&gt;0),80,INT(D65/10)*10)</f>
        <v>50</v>
      </c>
      <c r="JB65" s="1" t="n">
        <f aca="false">IF(B65=0,1,IF(JA65&lt;&gt;JA64,JB64+1,JB64))</f>
        <v>6</v>
      </c>
      <c r="JC65" s="1" t="n">
        <f aca="false">IF(AND(C65=1,F65=1,GX65&gt;MAX(PR_Short1,IN65*PR_Short2)),1,0)</f>
        <v>0</v>
      </c>
      <c r="JD65" s="1" t="n">
        <f aca="false">IO65*IS65</f>
        <v>0</v>
      </c>
      <c r="JE65" s="1" t="n">
        <f aca="false">IF(AND(U65=1,Slot1_PctLow=1),1,0)+IF(AND(AF65=1,Slot2_PctLow=1),1,0)+IF(AND(AP65=1,Slot3_PctLow=1),1,0)+IF(AND(AZ65=1,Slot4_PctLow=1),1,0)+IF(AND(BJ65=1,Slot5_PctLow=1),1,0)+IF(AND(BT65=1,Slot6_PctLow=1),1,0)+IF(AND(CD65=1,Slot7_PctLow=1),1,0)+IF(AND(CN65=1,Slot8_PctLow=1),1,0)</f>
        <v>0</v>
      </c>
      <c r="JF65" s="1" t="n">
        <f aca="false">IF(C65=1,IF(OR(IS65=1,JE65&gt;0),1,0),0)</f>
        <v>0</v>
      </c>
    </row>
    <row r="66" customFormat="false" ht="15" hidden="false" customHeight="false" outlineLevel="0" collapsed="false">
      <c r="B66" s="1" t="n">
        <v>58</v>
      </c>
      <c r="C66" s="1" t="n">
        <f aca="false">IF(B66&lt;=F_N,1,0)</f>
        <v>1</v>
      </c>
      <c r="D66" s="1" t="n">
        <f aca="false">'Plan pay &amp; tax'!C268</f>
        <v>58</v>
      </c>
      <c r="E66" s="106" t="n">
        <f aca="false">'Plan pay &amp; tax'!E268</f>
        <v>3.15362436405749</v>
      </c>
      <c r="F66" s="1" t="n">
        <f aca="false">'Plan pay &amp; tax'!G268</f>
        <v>0</v>
      </c>
      <c r="G66" s="1" t="n">
        <f aca="false">'Plan pay &amp; tax'!BT268-'Plan pay &amp; tax'!BS268-'Plan pay &amp; tax'!R268</f>
        <v>0</v>
      </c>
      <c r="H66" s="1" t="n">
        <f aca="false">IF(F66=1,F_CostsM*12,IF(RG_Exists=1,RG_Amount,F_CostsM*12*AS_RetireSpend))*E66+F_OneOffY*E66</f>
        <v>0</v>
      </c>
      <c r="I66" s="1" t="n">
        <f aca="false">DA65</f>
        <v>0</v>
      </c>
      <c r="J66" s="1" t="n">
        <f aca="false">IF(I66&gt;1,'Plan debt months'!AC66,0)</f>
        <v>0</v>
      </c>
      <c r="K66" s="1" t="n">
        <f aca="false">IF(I66&gt;1,'Plan debt months'!AB66,I66)</f>
        <v>0</v>
      </c>
      <c r="L66" s="1" t="n">
        <f aca="false">N65</f>
        <v>0</v>
      </c>
      <c r="M66" s="1" t="n">
        <f aca="false">IF(L66&gt;1,'Plan debt months'!BD66,0)</f>
        <v>0</v>
      </c>
      <c r="N66" s="1" t="n">
        <f aca="false">IF(L66&gt;1,'Plan debt months'!BC66,L66)</f>
        <v>0</v>
      </c>
      <c r="O66" s="1" t="n">
        <f aca="false">Q65</f>
        <v>0</v>
      </c>
      <c r="P66" s="1" t="n">
        <f aca="false">IF(O66&gt;1,'Plan debt months'!CE66,0)</f>
        <v>0</v>
      </c>
      <c r="Q66" s="1" t="n">
        <f aca="false">IF(O66&gt;1,'Plan debt months'!CD66,O66)</f>
        <v>0</v>
      </c>
      <c r="R66" s="1" t="n">
        <f aca="false">J66+M66+P66</f>
        <v>0</v>
      </c>
      <c r="S66" s="1" t="n">
        <f aca="false">HD65+'Plan pay &amp; tax'!Y268</f>
        <v>0</v>
      </c>
      <c r="T66" s="1" t="n">
        <f aca="false">HD65</f>
        <v>0</v>
      </c>
      <c r="U66" s="1" t="n">
        <f aca="false">IF(AND(Slot1_On=1,D66=Slot1_Age),1,0)</f>
        <v>0</v>
      </c>
      <c r="V66" s="1" t="n">
        <f aca="false">IF(AND(Slot1_On=1,Slot1_Age&gt;D66),1,0)</f>
        <v>0</v>
      </c>
      <c r="W66" s="1" t="n">
        <f aca="false">HF65</f>
        <v>0</v>
      </c>
      <c r="X66" s="1" t="n">
        <f aca="false">U66*MIN(Slot1_Cost,W66)</f>
        <v>0</v>
      </c>
      <c r="Y66" s="1" t="n">
        <f aca="false">U66*Slot1_SpendLike*MIN(Slot1_Cost-X66,S66)</f>
        <v>0</v>
      </c>
      <c r="Z66" s="1" t="n">
        <f aca="false">X66+Y66</f>
        <v>0</v>
      </c>
      <c r="AA66" s="1" t="n">
        <f aca="false">S66-Y66+U66*IF(Slot1_SpendLike=1,W66-X66,IF(Slot1_PotFree=1,W66,0))</f>
        <v>0</v>
      </c>
      <c r="AB66" s="1" t="n">
        <f aca="false">AE66+U66*Slot1_BufPot*W66</f>
        <v>0</v>
      </c>
      <c r="AC66" s="1" t="n">
        <f aca="false">IF(AND(U66=1,Slot1_IsMfree=1),IF(Z66&gt;=Slot1_Cost-1,0,MAX(0,K66-Z66)),K66)</f>
        <v>0</v>
      </c>
      <c r="AD66" s="1" t="n">
        <f aca="false">U66*(Slot1_Cost-Z66)</f>
        <v>0</v>
      </c>
      <c r="AE66" s="1" t="n">
        <f aca="false">HE65</f>
        <v>0</v>
      </c>
      <c r="AF66" s="1" t="n">
        <f aca="false">IF(AND(Slot2_On=1,D66=Slot2_Age),1,0)</f>
        <v>0</v>
      </c>
      <c r="AG66" s="1" t="n">
        <f aca="false">IF(AND(Slot2_On=1,Slot2_Age&gt;D66),1,0)</f>
        <v>0</v>
      </c>
      <c r="AH66" s="1" t="n">
        <f aca="false">HJ65</f>
        <v>0</v>
      </c>
      <c r="AI66" s="1" t="n">
        <f aca="false">AF66*MIN(Slot2_Cost,AH66)</f>
        <v>0</v>
      </c>
      <c r="AJ66" s="1" t="n">
        <f aca="false">AF66*Slot2_SpendLike*MIN(Slot2_Cost-AI66,AA66)</f>
        <v>0</v>
      </c>
      <c r="AK66" s="1" t="n">
        <f aca="false">AI66+AJ66</f>
        <v>0</v>
      </c>
      <c r="AL66" s="1" t="n">
        <f aca="false">AA66-AJ66+AF66*IF(Slot2_SpendLike=1,AH66-AI66,IF(Slot2_PotFree=1,AH66,0))</f>
        <v>0</v>
      </c>
      <c r="AM66" s="1" t="n">
        <f aca="false">AB66+AF66*Slot2_BufPot*AH66</f>
        <v>0</v>
      </c>
      <c r="AN66" s="1" t="n">
        <f aca="false">IF(AND(AF66=1,Slot2_IsMfree=1),IF(AK66&gt;=Slot2_Cost-1,0,MAX(0,AC66-AK66)),AC66)</f>
        <v>0</v>
      </c>
      <c r="AO66" s="1" t="n">
        <f aca="false">AF66*(Slot2_Cost-AK66)</f>
        <v>0</v>
      </c>
      <c r="AP66" s="1" t="n">
        <f aca="false">IF(AND(Slot3_On=1,D66=Slot3_Age),1,0)</f>
        <v>0</v>
      </c>
      <c r="AQ66" s="1" t="n">
        <f aca="false">IF(AND(Slot3_On=1,Slot3_Age&gt;D66),1,0)</f>
        <v>0</v>
      </c>
      <c r="AR66" s="1" t="n">
        <f aca="false">HN65</f>
        <v>0</v>
      </c>
      <c r="AS66" s="1" t="n">
        <f aca="false">AP66*MIN(Slot3_Cost,AR66)</f>
        <v>0</v>
      </c>
      <c r="AT66" s="1" t="n">
        <f aca="false">AP66*Slot3_SpendLike*MIN(Slot3_Cost-AS66,AL66)</f>
        <v>0</v>
      </c>
      <c r="AU66" s="1" t="n">
        <f aca="false">AS66+AT66</f>
        <v>0</v>
      </c>
      <c r="AV66" s="1" t="n">
        <f aca="false">AL66-AT66+AP66*IF(Slot3_SpendLike=1,AR66-AS66,IF(Slot3_PotFree=1,AR66,0))</f>
        <v>0</v>
      </c>
      <c r="AW66" s="1" t="n">
        <f aca="false">AM66+AP66*Slot3_BufPot*AR66</f>
        <v>0</v>
      </c>
      <c r="AX66" s="1" t="n">
        <f aca="false">IF(AND(AP66=1,Slot3_IsMfree=1),IF(AU66&gt;=Slot3_Cost-1,0,MAX(0,AN66-AU66)),AN66)</f>
        <v>0</v>
      </c>
      <c r="AY66" s="1" t="n">
        <f aca="false">AP66*(Slot3_Cost-AU66)</f>
        <v>0</v>
      </c>
      <c r="AZ66" s="1" t="n">
        <f aca="false">IF(AND(Slot4_On=1,D66=Slot4_Age),1,0)</f>
        <v>0</v>
      </c>
      <c r="BA66" s="1" t="n">
        <f aca="false">IF(AND(Slot4_On=1,Slot4_Age&gt;D66),1,0)</f>
        <v>0</v>
      </c>
      <c r="BB66" s="1" t="n">
        <f aca="false">HR65</f>
        <v>0</v>
      </c>
      <c r="BC66" s="1" t="n">
        <f aca="false">AZ66*MIN(Slot4_Cost,BB66)</f>
        <v>0</v>
      </c>
      <c r="BD66" s="1" t="n">
        <f aca="false">AZ66*Slot4_SpendLike*MIN(Slot4_Cost-BC66,AV66)</f>
        <v>0</v>
      </c>
      <c r="BE66" s="1" t="n">
        <f aca="false">BC66+BD66</f>
        <v>0</v>
      </c>
      <c r="BF66" s="1" t="n">
        <f aca="false">AV66-BD66+AZ66*IF(Slot4_SpendLike=1,BB66-BC66,IF(Slot4_PotFree=1,BB66,0))</f>
        <v>0</v>
      </c>
      <c r="BG66" s="1" t="n">
        <f aca="false">AW66+AZ66*Slot4_BufPot*BB66</f>
        <v>0</v>
      </c>
      <c r="BH66" s="1" t="n">
        <f aca="false">IF(AND(AZ66=1,Slot4_IsMfree=1),IF(BE66&gt;=Slot4_Cost-1,0,MAX(0,AX66-BE66)),AX66)</f>
        <v>0</v>
      </c>
      <c r="BI66" s="1" t="n">
        <f aca="false">AZ66*(Slot4_Cost-BE66)</f>
        <v>0</v>
      </c>
      <c r="BJ66" s="1" t="n">
        <f aca="false">IF(AND(Slot5_On=1,D66=Slot5_Age),1,0)</f>
        <v>0</v>
      </c>
      <c r="BK66" s="1" t="n">
        <f aca="false">IF(AND(Slot5_On=1,Slot5_Age&gt;D66),1,0)</f>
        <v>0</v>
      </c>
      <c r="BL66" s="1" t="n">
        <f aca="false">HV65</f>
        <v>0</v>
      </c>
      <c r="BM66" s="1" t="n">
        <f aca="false">BJ66*MIN(Slot5_Cost,BL66)</f>
        <v>0</v>
      </c>
      <c r="BN66" s="1" t="n">
        <f aca="false">BJ66*Slot5_SpendLike*MIN(Slot5_Cost-BM66,BF66)</f>
        <v>0</v>
      </c>
      <c r="BO66" s="1" t="n">
        <f aca="false">BM66+BN66</f>
        <v>0</v>
      </c>
      <c r="BP66" s="1" t="n">
        <f aca="false">BF66-BN66+BJ66*IF(Slot5_SpendLike=1,BL66-BM66,IF(Slot5_PotFree=1,BL66,0))</f>
        <v>0</v>
      </c>
      <c r="BQ66" s="1" t="n">
        <f aca="false">BG66+BJ66*Slot5_BufPot*BL66</f>
        <v>0</v>
      </c>
      <c r="BR66" s="1" t="n">
        <f aca="false">IF(AND(BJ66=1,Slot5_IsMfree=1),IF(BO66&gt;=Slot5_Cost-1,0,MAX(0,BH66-BO66)),BH66)</f>
        <v>0</v>
      </c>
      <c r="BS66" s="1" t="n">
        <f aca="false">BJ66*(Slot5_Cost-BO66)</f>
        <v>0</v>
      </c>
      <c r="BT66" s="1" t="n">
        <f aca="false">IF(AND(Slot6_On=1,D66=Slot6_Age),1,0)</f>
        <v>0</v>
      </c>
      <c r="BU66" s="1" t="n">
        <f aca="false">IF(AND(Slot6_On=1,Slot6_Age&gt;D66),1,0)</f>
        <v>0</v>
      </c>
      <c r="BV66" s="1" t="n">
        <f aca="false">HZ65</f>
        <v>0</v>
      </c>
      <c r="BW66" s="1" t="n">
        <f aca="false">BT66*MIN(Slot6_Cost,BV66)</f>
        <v>0</v>
      </c>
      <c r="BX66" s="1" t="n">
        <f aca="false">BT66*Slot6_SpendLike*MIN(Slot6_Cost-BW66,BP66)</f>
        <v>0</v>
      </c>
      <c r="BY66" s="1" t="n">
        <f aca="false">BW66+BX66</f>
        <v>0</v>
      </c>
      <c r="BZ66" s="1" t="n">
        <f aca="false">BP66-BX66+BT66*IF(Slot6_SpendLike=1,BV66-BW66,IF(Slot6_PotFree=1,BV66,0))</f>
        <v>0</v>
      </c>
      <c r="CA66" s="1" t="n">
        <f aca="false">BQ66+BT66*Slot6_BufPot*BV66</f>
        <v>0</v>
      </c>
      <c r="CB66" s="1" t="n">
        <f aca="false">IF(AND(BT66=1,Slot6_IsMfree=1),IF(BY66&gt;=Slot6_Cost-1,0,MAX(0,BR66-BY66)),BR66)</f>
        <v>0</v>
      </c>
      <c r="CC66" s="1" t="n">
        <f aca="false">BT66*(Slot6_Cost-BY66)</f>
        <v>0</v>
      </c>
      <c r="CD66" s="1" t="n">
        <f aca="false">IF(AND(Slot7_On=1,D66=Slot7_Age),1,0)</f>
        <v>0</v>
      </c>
      <c r="CE66" s="1" t="n">
        <f aca="false">IF(AND(Slot7_On=1,Slot7_Age&gt;D66),1,0)</f>
        <v>0</v>
      </c>
      <c r="CF66" s="1" t="n">
        <f aca="false">ID65</f>
        <v>0</v>
      </c>
      <c r="CG66" s="1" t="n">
        <f aca="false">CD66*MIN(Slot7_Cost,CF66)</f>
        <v>0</v>
      </c>
      <c r="CH66" s="1" t="n">
        <f aca="false">CD66*Slot7_SpendLike*MIN(Slot7_Cost-CG66,BZ66)</f>
        <v>0</v>
      </c>
      <c r="CI66" s="1" t="n">
        <f aca="false">CG66+CH66</f>
        <v>0</v>
      </c>
      <c r="CJ66" s="1" t="n">
        <f aca="false">BZ66-CH66+CD66*IF(Slot7_SpendLike=1,CF66-CG66,IF(Slot7_PotFree=1,CF66,0))</f>
        <v>0</v>
      </c>
      <c r="CK66" s="1" t="n">
        <f aca="false">CA66+CD66*Slot7_BufPot*CF66</f>
        <v>0</v>
      </c>
      <c r="CL66" s="1" t="n">
        <f aca="false">IF(AND(CD66=1,Slot7_IsMfree=1),IF(CI66&gt;=Slot7_Cost-1,0,MAX(0,CB66-CI66)),CB66)</f>
        <v>0</v>
      </c>
      <c r="CM66" s="1" t="n">
        <f aca="false">CD66*(Slot7_Cost-CI66)</f>
        <v>0</v>
      </c>
      <c r="CN66" s="1" t="n">
        <f aca="false">IF(AND(Slot8_On=1,D66=Slot8_Age),1,0)</f>
        <v>0</v>
      </c>
      <c r="CO66" s="1" t="n">
        <f aca="false">IF(AND(Slot8_On=1,Slot8_Age&gt;D66),1,0)</f>
        <v>0</v>
      </c>
      <c r="CP66" s="1" t="n">
        <f aca="false">IH65</f>
        <v>0</v>
      </c>
      <c r="CQ66" s="1" t="n">
        <f aca="false">CN66*MIN(Slot8_Cost,CP66)</f>
        <v>0</v>
      </c>
      <c r="CR66" s="1" t="n">
        <f aca="false">CN66*Slot8_SpendLike*MIN(Slot8_Cost-CQ66,CJ66)</f>
        <v>0</v>
      </c>
      <c r="CS66" s="1" t="n">
        <f aca="false">CQ66+CR66</f>
        <v>0</v>
      </c>
      <c r="CT66" s="1" t="n">
        <f aca="false">CJ66-CR66+CN66*IF(Slot8_SpendLike=1,CP66-CQ66,IF(Slot8_PotFree=1,CP66,0))</f>
        <v>0</v>
      </c>
      <c r="CU66" s="1" t="n">
        <f aca="false">CK66+CN66*Slot8_BufPot*CP66</f>
        <v>0</v>
      </c>
      <c r="CV66" s="1" t="n">
        <f aca="false">IF(AND(CN66=1,Slot8_IsMfree=1),IF(CS66&gt;=Slot8_Cost-1,0,MAX(0,CL66-CS66)),CL66)</f>
        <v>0</v>
      </c>
      <c r="CW66" s="1" t="n">
        <f aca="false">CN66*(Slot8_Cost-CS66)</f>
        <v>0</v>
      </c>
      <c r="CX66" s="1" t="n">
        <f aca="false">U66*Slot1_SpendLike*Z66+AF66*Slot2_SpendLike*AK66+AP66*Slot3_SpendLike*AU66+AZ66*Slot4_SpendLike*BE66+BJ66*Slot5_SpendLike*BO66+BT66*Slot6_SpendLike*BY66+CD66*Slot7_SpendLike*CI66+CN66*Slot8_SpendLike*CS66</f>
        <v>0</v>
      </c>
      <c r="CY66" s="1" t="n">
        <f aca="false">AD66+AO66+AY66+BI66+BS66+CC66+CM66+CW66</f>
        <v>0</v>
      </c>
      <c r="CZ66" s="1" t="n">
        <f aca="false">U66*Slot1_Cost+AF66*Slot2_Cost+AP66*Slot3_Cost+AZ66*Slot4_Cost+BJ66*Slot5_Cost+BT66*Slot6_Cost+CD66*Slot7_Cost+CN66*Slot8_Cost</f>
        <v>0</v>
      </c>
      <c r="DA66" s="1" t="n">
        <f aca="false">CV66</f>
        <v>0</v>
      </c>
      <c r="DB66" s="1" t="n">
        <f aca="false">G66-H66-R66</f>
        <v>0</v>
      </c>
      <c r="DC66" s="1" t="n">
        <f aca="false">IF(B66=0,IF(AND(Has_q6=1,In_q6=4),PR_ShareVaries*(MAX(0,DB66)/12),MIN(IF(Has_q6=1,CHOOSE(In_q6+1,PR_SaveB1,PR_SaveB2,PR_SaveB3,PR_SaveB4,0),AS_NoAnswer),AS_SaveShare*(MAX(0,DB66)/12))),DC65)</f>
        <v>0</v>
      </c>
      <c r="DD66" s="1" t="n">
        <f aca="false">IF(DB66&gt;=0,1,0)</f>
        <v>1</v>
      </c>
      <c r="DE66" s="1" t="n">
        <f aca="false">MAX(0,DB66/12/E66)</f>
        <v>0</v>
      </c>
      <c r="DF66" s="1" t="n">
        <f aca="false">IF(AND(Has_q6=1,In_q6=4),PR_ShareVaries*(DE66),MIN(IF(Has_q6=1,CHOOSE(In_q6+1,PR_SaveB1,PR_SaveB2,PR_SaveB3,PR_SaveB4,0),AS_NoAnswer),AS_SaveShare*(DE66)))</f>
        <v>0</v>
      </c>
      <c r="DG66" s="1" t="n">
        <f aca="false">IF(Has_saveM=1,IF(In_saveUp="Yes",1,IF(In_saveUp="No",0,IF(In_saveM&gt;=DC66-0.5,1,0))),0)</f>
        <v>0</v>
      </c>
      <c r="DH66" s="1" t="n">
        <f aca="false">IF(Has_saveM=1,MIN(DE66,IF(DG66=1,MAX(In_saveM,DF66),MIN(In_saveM,DF66))),DF66)</f>
        <v>0</v>
      </c>
      <c r="DI66" s="1" t="n">
        <f aca="false">IF(F66=1,DH66*12*E66,0)</f>
        <v>0</v>
      </c>
      <c r="DJ66" s="1" t="n">
        <f aca="false">MAX(0,DI66+IF(AND(WI_Retire=0,WI_M&lt;0,F66=1),WI_M*12*E66,0))</f>
        <v>0</v>
      </c>
      <c r="DK66" s="1" t="n">
        <f aca="false">Slot1_IsWG*V66+Slot2_IsWG*AG66+Slot3_IsWG*AQ66+Slot4_IsWG*BA66+Slot5_IsWG*BK66+Slot6_IsWG*BU66+Slot7_IsWG*CE66+Slot8_IsWG*CO66</f>
        <v>0</v>
      </c>
      <c r="DL66" s="1" t="n">
        <f aca="false">IF(AND(WI_Retire=0,WI_M&gt;0,F66=1,DK66&gt;=1),WI_M*12*E66,0)</f>
        <v>0</v>
      </c>
      <c r="DM66" s="1" t="n">
        <f aca="false">IF(DD66=1,MIN(DJ66,DB66),0)</f>
        <v>0</v>
      </c>
      <c r="DN66" s="1" t="n">
        <f aca="false">IF(DD66=1,MIN(DL66,DB66-DM66),0)</f>
        <v>0</v>
      </c>
      <c r="DO66" s="1" t="n">
        <f aca="false">IF(V66=1,IF(ABS((1+AS_Wage)/(1+Slot1_Rate)-1)&lt;0.000000000001,(Slot1_Age-D66)*(1+Slot1_Rate)^(Slot1_Age-D66),(1+Slot1_Rate)^(Slot1_Age-D66)*(1-((1+AS_Wage)/(1+Slot1_Rate))^(Slot1_Age-D66))/(1-(1+AS_Wage)/(1+Slot1_Rate))),1)</f>
        <v>1</v>
      </c>
      <c r="DP66" s="1" t="n">
        <f aca="false">IF(AND(DD66=1,DN66&gt;0,Slot1_IsWG=1,V66=1),MAX(0,(Slot1_Cost-W66*(1+Slot1_Rate)^(Slot1_Age-D66))/DO66),0)</f>
        <v>0</v>
      </c>
      <c r="DQ66" s="1" t="n">
        <f aca="false">IF(AND(DD66=1,DN66&gt;0,Slot1_IsWG=1,V66=1),MIN(DN66,DP66),0)</f>
        <v>0</v>
      </c>
      <c r="DR66" s="1" t="n">
        <f aca="false">W66+DQ66</f>
        <v>0</v>
      </c>
      <c r="DS66" s="1" t="n">
        <f aca="false">IF(V66=1,MAX(0,(Slot1_Cost-DR66*(1+Slot1_Rate)^(Slot1_Age-D66))/DO66),0)</f>
        <v>0</v>
      </c>
      <c r="DT66" s="1" t="n">
        <f aca="false">IF(V66=1,MAX(0,(Slot1_Cost-W66*(1+Slot1_Rate)^(Slot1_Age-D66))/DO66),0)</f>
        <v>0</v>
      </c>
      <c r="DU66" s="1" t="n">
        <f aca="false">IF(AND(DD66=1,V66=1),MIN(DM66,DS66),0)</f>
        <v>0</v>
      </c>
      <c r="DV66" s="1" t="n">
        <f aca="false">DM66-DU66</f>
        <v>0</v>
      </c>
      <c r="DW66" s="1" t="n">
        <f aca="false">IF(AG66=1,IF(ABS((1+AS_Wage)/(1+Slot2_Rate)-1)&lt;0.000000000001,(Slot2_Age-D66)*(1+Slot2_Rate)^(Slot2_Age-D66),(1+Slot2_Rate)^(Slot2_Age-D66)*(1-((1+AS_Wage)/(1+Slot2_Rate))^(Slot2_Age-D66))/(1-(1+AS_Wage)/(1+Slot2_Rate))),1)</f>
        <v>1</v>
      </c>
      <c r="DX66" s="1" t="n">
        <f aca="false">IF(AND(DD66=1,DN66&gt;0,Slot2_IsWG=1,AG66=1),MAX(0,(Slot2_Cost-AH66*(1+Slot2_Rate)^(Slot2_Age-D66))/DW66),0)</f>
        <v>0</v>
      </c>
      <c r="DY66" s="1" t="n">
        <f aca="false">IF(AND(DD66=1,DN66&gt;0,Slot2_IsWG=1,AG66=1),MIN(DN66,DX66),0)</f>
        <v>0</v>
      </c>
      <c r="DZ66" s="1" t="n">
        <f aca="false">AH66+DY66</f>
        <v>0</v>
      </c>
      <c r="EA66" s="1" t="n">
        <f aca="false">IF(AG66=1,MAX(0,(Slot2_Cost-DZ66*(1+Slot2_Rate)^(Slot2_Age-D66))/DW66),0)</f>
        <v>0</v>
      </c>
      <c r="EB66" s="1" t="n">
        <f aca="false">IF(AG66=1,MAX(0,(Slot2_Cost-AH66*(1+Slot2_Rate)^(Slot2_Age-D66))/DW66),0)</f>
        <v>0</v>
      </c>
      <c r="EC66" s="1" t="n">
        <f aca="false">IF(AND(DD66=1,AG66=1),MIN(DV66,EA66),0)</f>
        <v>0</v>
      </c>
      <c r="ED66" s="1" t="n">
        <f aca="false">DV66-EC66</f>
        <v>0</v>
      </c>
      <c r="EE66" s="1" t="n">
        <f aca="false">IF(AQ66=1,IF(ABS((1+AS_Wage)/(1+Slot3_Rate)-1)&lt;0.000000000001,(Slot3_Age-D66)*(1+Slot3_Rate)^(Slot3_Age-D66),(1+Slot3_Rate)^(Slot3_Age-D66)*(1-((1+AS_Wage)/(1+Slot3_Rate))^(Slot3_Age-D66))/(1-(1+AS_Wage)/(1+Slot3_Rate))),1)</f>
        <v>1</v>
      </c>
      <c r="EF66" s="1" t="n">
        <f aca="false">IF(AND(DD66=1,DN66&gt;0,Slot3_IsWG=1,AQ66=1),MAX(0,(Slot3_Cost-AR66*(1+Slot3_Rate)^(Slot3_Age-D66))/EE66),0)</f>
        <v>0</v>
      </c>
      <c r="EG66" s="1" t="n">
        <f aca="false">IF(AND(DD66=1,DN66&gt;0,Slot3_IsWG=1,AQ66=1),MIN(DN66,EF66),0)</f>
        <v>0</v>
      </c>
      <c r="EH66" s="1" t="n">
        <f aca="false">AR66+EG66</f>
        <v>0</v>
      </c>
      <c r="EI66" s="1" t="n">
        <f aca="false">IF(AQ66=1,MAX(0,(Slot3_Cost-EH66*(1+Slot3_Rate)^(Slot3_Age-D66))/EE66),0)</f>
        <v>0</v>
      </c>
      <c r="EJ66" s="1" t="n">
        <f aca="false">IF(AQ66=1,MAX(0,(Slot3_Cost-AR66*(1+Slot3_Rate)^(Slot3_Age-D66))/EE66),0)</f>
        <v>0</v>
      </c>
      <c r="EK66" s="1" t="n">
        <f aca="false">IF(AND(DD66=1,AQ66=1),MIN(ED66,EI66),0)</f>
        <v>0</v>
      </c>
      <c r="EL66" s="1" t="n">
        <f aca="false">ED66-EK66</f>
        <v>0</v>
      </c>
      <c r="EM66" s="1" t="n">
        <f aca="false">IF(BA66=1,IF(ABS((1+AS_Wage)/(1+Slot4_Rate)-1)&lt;0.000000000001,(Slot4_Age-D66)*(1+Slot4_Rate)^(Slot4_Age-D66),(1+Slot4_Rate)^(Slot4_Age-D66)*(1-((1+AS_Wage)/(1+Slot4_Rate))^(Slot4_Age-D66))/(1-(1+AS_Wage)/(1+Slot4_Rate))),1)</f>
        <v>1</v>
      </c>
      <c r="EN66" s="1" t="n">
        <f aca="false">IF(AND(DD66=1,DN66&gt;0,Slot4_IsWG=1,BA66=1),MAX(0,(Slot4_Cost-BB66*(1+Slot4_Rate)^(Slot4_Age-D66))/EM66),0)</f>
        <v>0</v>
      </c>
      <c r="EO66" s="1" t="n">
        <f aca="false">IF(AND(DD66=1,DN66&gt;0,Slot4_IsWG=1,BA66=1),MIN(DN66,EN66),0)</f>
        <v>0</v>
      </c>
      <c r="EP66" s="1" t="n">
        <f aca="false">BB66+EO66</f>
        <v>0</v>
      </c>
      <c r="EQ66" s="1" t="n">
        <f aca="false">IF(BA66=1,MAX(0,(Slot4_Cost-EP66*(1+Slot4_Rate)^(Slot4_Age-D66))/EM66),0)</f>
        <v>0</v>
      </c>
      <c r="ER66" s="1" t="n">
        <f aca="false">IF(BA66=1,MAX(0,(Slot4_Cost-BB66*(1+Slot4_Rate)^(Slot4_Age-D66))/EM66),0)</f>
        <v>0</v>
      </c>
      <c r="ES66" s="1" t="n">
        <f aca="false">IF(AND(DD66=1,BA66=1),MIN(EL66,EQ66),0)</f>
        <v>0</v>
      </c>
      <c r="ET66" s="1" t="n">
        <f aca="false">EL66-ES66</f>
        <v>0</v>
      </c>
      <c r="EU66" s="1" t="n">
        <f aca="false">IF(BK66=1,IF(ABS((1+AS_Wage)/(1+Slot5_Rate)-1)&lt;0.000000000001,(Slot5_Age-D66)*(1+Slot5_Rate)^(Slot5_Age-D66),(1+Slot5_Rate)^(Slot5_Age-D66)*(1-((1+AS_Wage)/(1+Slot5_Rate))^(Slot5_Age-D66))/(1-(1+AS_Wage)/(1+Slot5_Rate))),1)</f>
        <v>1</v>
      </c>
      <c r="EV66" s="1" t="n">
        <f aca="false">IF(AND(DD66=1,DN66&gt;0,Slot5_IsWG=1,BK66=1),MAX(0,(Slot5_Cost-BL66*(1+Slot5_Rate)^(Slot5_Age-D66))/EU66),0)</f>
        <v>0</v>
      </c>
      <c r="EW66" s="1" t="n">
        <f aca="false">IF(AND(DD66=1,DN66&gt;0,Slot5_IsWG=1,BK66=1),MIN(DN66,EV66),0)</f>
        <v>0</v>
      </c>
      <c r="EX66" s="1" t="n">
        <f aca="false">BL66+EW66</f>
        <v>0</v>
      </c>
      <c r="EY66" s="1" t="n">
        <f aca="false">IF(BK66=1,MAX(0,(Slot5_Cost-EX66*(1+Slot5_Rate)^(Slot5_Age-D66))/EU66),0)</f>
        <v>0</v>
      </c>
      <c r="EZ66" s="1" t="n">
        <f aca="false">IF(BK66=1,MAX(0,(Slot5_Cost-BL66*(1+Slot5_Rate)^(Slot5_Age-D66))/EU66),0)</f>
        <v>0</v>
      </c>
      <c r="FA66" s="1" t="n">
        <f aca="false">IF(AND(DD66=1,BK66=1),MIN(ET66,EY66),0)</f>
        <v>0</v>
      </c>
      <c r="FB66" s="1" t="n">
        <f aca="false">ET66-FA66</f>
        <v>0</v>
      </c>
      <c r="FC66" s="1" t="n">
        <f aca="false">IF(BU66=1,IF(ABS((1+AS_Wage)/(1+Slot6_Rate)-1)&lt;0.000000000001,(Slot6_Age-D66)*(1+Slot6_Rate)^(Slot6_Age-D66),(1+Slot6_Rate)^(Slot6_Age-D66)*(1-((1+AS_Wage)/(1+Slot6_Rate))^(Slot6_Age-D66))/(1-(1+AS_Wage)/(1+Slot6_Rate))),1)</f>
        <v>1</v>
      </c>
      <c r="FD66" s="1" t="n">
        <f aca="false">IF(AND(DD66=1,DN66&gt;0,Slot6_IsWG=1,BU66=1),MAX(0,(Slot6_Cost-BV66*(1+Slot6_Rate)^(Slot6_Age-D66))/FC66),0)</f>
        <v>0</v>
      </c>
      <c r="FE66" s="1" t="n">
        <f aca="false">IF(AND(DD66=1,DN66&gt;0,Slot6_IsWG=1,BU66=1),MIN(DN66,FD66),0)</f>
        <v>0</v>
      </c>
      <c r="FF66" s="1" t="n">
        <f aca="false">BV66+FE66</f>
        <v>0</v>
      </c>
      <c r="FG66" s="1" t="n">
        <f aca="false">IF(BU66=1,MAX(0,(Slot6_Cost-FF66*(1+Slot6_Rate)^(Slot6_Age-D66))/FC66),0)</f>
        <v>0</v>
      </c>
      <c r="FH66" s="1" t="n">
        <f aca="false">IF(BU66=1,MAX(0,(Slot6_Cost-BV66*(1+Slot6_Rate)^(Slot6_Age-D66))/FC66),0)</f>
        <v>0</v>
      </c>
      <c r="FI66" s="1" t="n">
        <f aca="false">IF(AND(DD66=1,BU66=1),MIN(FB66,FG66),0)</f>
        <v>0</v>
      </c>
      <c r="FJ66" s="1" t="n">
        <f aca="false">FB66-FI66</f>
        <v>0</v>
      </c>
      <c r="FK66" s="1" t="n">
        <f aca="false">IF(CE66=1,IF(ABS((1+AS_Wage)/(1+Slot7_Rate)-1)&lt;0.000000000001,(Slot7_Age-D66)*(1+Slot7_Rate)^(Slot7_Age-D66),(1+Slot7_Rate)^(Slot7_Age-D66)*(1-((1+AS_Wage)/(1+Slot7_Rate))^(Slot7_Age-D66))/(1-(1+AS_Wage)/(1+Slot7_Rate))),1)</f>
        <v>1</v>
      </c>
      <c r="FL66" s="1" t="n">
        <f aca="false">IF(AND(DD66=1,DN66&gt;0,Slot7_IsWG=1,CE66=1),MAX(0,(Slot7_Cost-CF66*(1+Slot7_Rate)^(Slot7_Age-D66))/FK66),0)</f>
        <v>0</v>
      </c>
      <c r="FM66" s="1" t="n">
        <f aca="false">IF(AND(DD66=1,DN66&gt;0,Slot7_IsWG=1,CE66=1),MIN(DN66,FL66),0)</f>
        <v>0</v>
      </c>
      <c r="FN66" s="1" t="n">
        <f aca="false">CF66+FM66</f>
        <v>0</v>
      </c>
      <c r="FO66" s="1" t="n">
        <f aca="false">IF(CE66=1,MAX(0,(Slot7_Cost-FN66*(1+Slot7_Rate)^(Slot7_Age-D66))/FK66),0)</f>
        <v>0</v>
      </c>
      <c r="FP66" s="1" t="n">
        <f aca="false">IF(CE66=1,MAX(0,(Slot7_Cost-CF66*(1+Slot7_Rate)^(Slot7_Age-D66))/FK66),0)</f>
        <v>0</v>
      </c>
      <c r="FQ66" s="1" t="n">
        <f aca="false">IF(AND(DD66=1,CE66=1),MIN(FJ66,FO66),0)</f>
        <v>0</v>
      </c>
      <c r="FR66" s="1" t="n">
        <f aca="false">FJ66-FQ66</f>
        <v>0</v>
      </c>
      <c r="FS66" s="1" t="n">
        <f aca="false">IF(CO66=1,IF(ABS((1+AS_Wage)/(1+Slot8_Rate)-1)&lt;0.000000000001,(Slot8_Age-D66)*(1+Slot8_Rate)^(Slot8_Age-D66),(1+Slot8_Rate)^(Slot8_Age-D66)*(1-((1+AS_Wage)/(1+Slot8_Rate))^(Slot8_Age-D66))/(1-(1+AS_Wage)/(1+Slot8_Rate))),1)</f>
        <v>1</v>
      </c>
      <c r="FT66" s="1" t="n">
        <f aca="false">IF(AND(DD66=1,DN66&gt;0,Slot8_IsWG=1,CO66=1),MAX(0,(Slot8_Cost-CP66*(1+Slot8_Rate)^(Slot8_Age-D66))/FS66),0)</f>
        <v>0</v>
      </c>
      <c r="FU66" s="1" t="n">
        <f aca="false">IF(AND(DD66=1,DN66&gt;0,Slot8_IsWG=1,CO66=1),MIN(DN66,FT66),0)</f>
        <v>0</v>
      </c>
      <c r="FV66" s="1" t="n">
        <f aca="false">CP66+FU66</f>
        <v>0</v>
      </c>
      <c r="FW66" s="1" t="n">
        <f aca="false">IF(CO66=1,MAX(0,(Slot8_Cost-FV66*(1+Slot8_Rate)^(Slot8_Age-D66))/FS66),0)</f>
        <v>0</v>
      </c>
      <c r="FX66" s="1" t="n">
        <f aca="false">IF(CO66=1,MAX(0,(Slot8_Cost-CP66*(1+Slot8_Rate)^(Slot8_Age-D66))/FS66),0)</f>
        <v>0</v>
      </c>
      <c r="FY66" s="1" t="n">
        <f aca="false">IF(AND(DD66=1,CO66=1),MIN(FR66,FW66),0)</f>
        <v>0</v>
      </c>
      <c r="FZ66" s="1" t="n">
        <f aca="false">FR66-FY66</f>
        <v>0</v>
      </c>
      <c r="GA66" s="1" t="n">
        <f aca="false">DN66-(DQ66+DY66+EG66+EO66+EW66+FE66+FM66+FU66)</f>
        <v>0</v>
      </c>
      <c r="GB66" s="1" t="n">
        <f aca="false">IF(DD66=1,DB66-DM66-DN66,0)</f>
        <v>0</v>
      </c>
      <c r="GC66" s="1" t="n">
        <f aca="false">IF(DD66=0,-DB66,0)</f>
        <v>0</v>
      </c>
      <c r="GD66" s="1" t="n">
        <f aca="false">MIN(GC66,CT66)</f>
        <v>0</v>
      </c>
      <c r="GE66" s="1" t="n">
        <f aca="false">GC66-GD66</f>
        <v>0</v>
      </c>
      <c r="GF66" s="1" t="n">
        <f aca="false">MIN(GE66,CU66)</f>
        <v>0</v>
      </c>
      <c r="GG66" s="1" t="n">
        <f aca="false">GE66-GF66</f>
        <v>0</v>
      </c>
      <c r="GH66" s="1" t="n">
        <f aca="false">IF(AND(DD66=0,CO66=1,GG66&gt;0),MIN(GG66,CP66),0)</f>
        <v>0</v>
      </c>
      <c r="GI66" s="1" t="n">
        <f aca="false">GG66-GH66</f>
        <v>0</v>
      </c>
      <c r="GJ66" s="1" t="n">
        <f aca="false">IF(AND(DD66=0,CE66=1,GI66&gt;0),MIN(GI66,CF66),0)</f>
        <v>0</v>
      </c>
      <c r="GK66" s="1" t="n">
        <f aca="false">GI66-GJ66</f>
        <v>0</v>
      </c>
      <c r="GL66" s="1" t="n">
        <f aca="false">IF(AND(DD66=0,BU66=1,GK66&gt;0),MIN(GK66,BV66),0)</f>
        <v>0</v>
      </c>
      <c r="GM66" s="1" t="n">
        <f aca="false">GK66-GL66</f>
        <v>0</v>
      </c>
      <c r="GN66" s="1" t="n">
        <f aca="false">IF(AND(DD66=0,BK66=1,GM66&gt;0),MIN(GM66,BL66),0)</f>
        <v>0</v>
      </c>
      <c r="GO66" s="1" t="n">
        <f aca="false">GM66-GN66</f>
        <v>0</v>
      </c>
      <c r="GP66" s="1" t="n">
        <f aca="false">IF(AND(DD66=0,BA66=1,GO66&gt;0),MIN(GO66,BB66),0)</f>
        <v>0</v>
      </c>
      <c r="GQ66" s="1" t="n">
        <f aca="false">GO66-GP66</f>
        <v>0</v>
      </c>
      <c r="GR66" s="1" t="n">
        <f aca="false">IF(AND(DD66=0,AQ66=1,GQ66&gt;0),MIN(GQ66,AR66),0)</f>
        <v>0</v>
      </c>
      <c r="GS66" s="1" t="n">
        <f aca="false">GQ66-GR66</f>
        <v>0</v>
      </c>
      <c r="GT66" s="1" t="n">
        <f aca="false">IF(AND(DD66=0,AG66=1,GS66&gt;0),MIN(GS66,AH66),0)</f>
        <v>0</v>
      </c>
      <c r="GU66" s="1" t="n">
        <f aca="false">GS66-GT66</f>
        <v>0</v>
      </c>
      <c r="GV66" s="1" t="n">
        <f aca="false">IF(AND(DD66=0,V66=1,GU66&gt;0),MIN(GU66,W66),0)</f>
        <v>0</v>
      </c>
      <c r="GW66" s="1" t="n">
        <f aca="false">GU66-GV66</f>
        <v>0</v>
      </c>
      <c r="GX66" s="1" t="n">
        <f aca="false">IF(DD66=0,GW66,0)</f>
        <v>0</v>
      </c>
      <c r="GY66" s="1" t="n">
        <f aca="false">GD66+GF66+GV66+GT66+GR66+GP66+GN66+GL66+GJ66+GH66</f>
        <v>0</v>
      </c>
      <c r="GZ66" s="1" t="n">
        <f aca="false">IF(DD66=1,CT66+GA66+FZ66+IF(F66=1,0,GB66),CT66-GD66)</f>
        <v>0</v>
      </c>
      <c r="HA66" s="1" t="n">
        <f aca="false">CU66-GF66</f>
        <v>0</v>
      </c>
      <c r="HB66" s="1" t="n">
        <f aca="false">IF(DD66=1,IF(F66=1,DM66+DN66,DB66),0)</f>
        <v>0</v>
      </c>
      <c r="HC66" s="1" t="n">
        <f aca="false">IF(DD66=1,IF(F66=1,DB66-DM66-DN66,0),0)</f>
        <v>0</v>
      </c>
      <c r="HD66" s="1" t="n">
        <f aca="false">GZ66*(1+GR)</f>
        <v>0</v>
      </c>
      <c r="HE66" s="1" t="n">
        <f aca="false">HA66*(1+AS_Cash)</f>
        <v>0</v>
      </c>
      <c r="HF66" s="1" t="n">
        <f aca="false">IF(V66=1,IF(DD66=1,DR66+DU66,W66-GV66)*(1+Slot1_Rate),0)</f>
        <v>0</v>
      </c>
      <c r="HG66" s="1" t="n">
        <f aca="false">IF(AND(DD66=1,V66=1),(DQ66+DU66)/E66,0)</f>
        <v>0</v>
      </c>
      <c r="HH66" s="1" t="n">
        <f aca="false">IF(B66=0,DQ66+DU66,0)</f>
        <v>0</v>
      </c>
      <c r="HI66" s="1" t="n">
        <f aca="false">IF(B66=0,IF(DD66=1,DS66,DT66),0)</f>
        <v>0</v>
      </c>
      <c r="HJ66" s="1" t="n">
        <f aca="false">IF(AG66=1,IF(DD66=1,DZ66+EC66,AH66-GT66)*(1+Slot2_Rate),0)</f>
        <v>0</v>
      </c>
      <c r="HK66" s="1" t="n">
        <f aca="false">IF(AND(DD66=1,AG66=1),(DY66+EC66)/E66,0)</f>
        <v>0</v>
      </c>
      <c r="HL66" s="1" t="n">
        <f aca="false">IF(B66=0,DY66+EC66,0)</f>
        <v>0</v>
      </c>
      <c r="HM66" s="1" t="n">
        <f aca="false">IF(B66=0,IF(DD66=1,EA66,EB66),0)</f>
        <v>0</v>
      </c>
      <c r="HN66" s="1" t="n">
        <f aca="false">IF(AQ66=1,IF(DD66=1,EH66+EK66,AR66-GR66)*(1+Slot3_Rate),0)</f>
        <v>0</v>
      </c>
      <c r="HO66" s="1" t="n">
        <f aca="false">IF(AND(DD66=1,AQ66=1),(EG66+EK66)/E66,0)</f>
        <v>0</v>
      </c>
      <c r="HP66" s="1" t="n">
        <f aca="false">IF(B66=0,EG66+EK66,0)</f>
        <v>0</v>
      </c>
      <c r="HQ66" s="1" t="n">
        <f aca="false">IF(B66=0,IF(DD66=1,EI66,EJ66),0)</f>
        <v>0</v>
      </c>
      <c r="HR66" s="1" t="n">
        <f aca="false">IF(BA66=1,IF(DD66=1,EP66+ES66,BB66-GP66)*(1+Slot4_Rate),0)</f>
        <v>0</v>
      </c>
      <c r="HS66" s="1" t="n">
        <f aca="false">IF(AND(DD66=1,BA66=1),(EO66+ES66)/E66,0)</f>
        <v>0</v>
      </c>
      <c r="HT66" s="1" t="n">
        <f aca="false">IF(B66=0,EO66+ES66,0)</f>
        <v>0</v>
      </c>
      <c r="HU66" s="1" t="n">
        <f aca="false">IF(B66=0,IF(DD66=1,EQ66,ER66),0)</f>
        <v>0</v>
      </c>
      <c r="HV66" s="1" t="n">
        <f aca="false">IF(BK66=1,IF(DD66=1,EX66+FA66,BL66-GN66)*(1+Slot5_Rate),0)</f>
        <v>0</v>
      </c>
      <c r="HW66" s="1" t="n">
        <f aca="false">IF(AND(DD66=1,BK66=1),(EW66+FA66)/E66,0)</f>
        <v>0</v>
      </c>
      <c r="HX66" s="1" t="n">
        <f aca="false">IF(B66=0,EW66+FA66,0)</f>
        <v>0</v>
      </c>
      <c r="HY66" s="1" t="n">
        <f aca="false">IF(B66=0,IF(DD66=1,EY66,EZ66),0)</f>
        <v>0</v>
      </c>
      <c r="HZ66" s="1" t="n">
        <f aca="false">IF(BU66=1,IF(DD66=1,FF66+FI66,BV66-GL66)*(1+Slot6_Rate),0)</f>
        <v>0</v>
      </c>
      <c r="IA66" s="1" t="n">
        <f aca="false">IF(AND(DD66=1,BU66=1),(FE66+FI66)/E66,0)</f>
        <v>0</v>
      </c>
      <c r="IB66" s="1" t="n">
        <f aca="false">IF(B66=0,FE66+FI66,0)</f>
        <v>0</v>
      </c>
      <c r="IC66" s="1" t="n">
        <f aca="false">IF(B66=0,IF(DD66=1,FG66,FH66),0)</f>
        <v>0</v>
      </c>
      <c r="ID66" s="1" t="n">
        <f aca="false">IF(CE66=1,IF(DD66=1,FN66+FQ66,CF66-GJ66)*(1+Slot7_Rate),0)</f>
        <v>0</v>
      </c>
      <c r="IE66" s="1" t="n">
        <f aca="false">IF(AND(DD66=1,CE66=1),(FM66+FQ66)/E66,0)</f>
        <v>0</v>
      </c>
      <c r="IF66" s="1" t="n">
        <f aca="false">IF(B66=0,FM66+FQ66,0)</f>
        <v>0</v>
      </c>
      <c r="IG66" s="1" t="n">
        <f aca="false">IF(B66=0,IF(DD66=1,FO66,FP66),0)</f>
        <v>0</v>
      </c>
      <c r="IH66" s="1" t="n">
        <f aca="false">IF(CO66=1,IF(DD66=1,FV66+FY66,CP66-GH66)*(1+Slot8_Rate),0)</f>
        <v>0</v>
      </c>
      <c r="II66" s="1" t="n">
        <f aca="false">IF(AND(DD66=1,CO66=1),(FU66+FY66)/E66,0)</f>
        <v>0</v>
      </c>
      <c r="IJ66" s="1" t="n">
        <f aca="false">IF(B66=0,FU66+FY66,0)</f>
        <v>0</v>
      </c>
      <c r="IK66" s="1" t="n">
        <f aca="false">IF(B66=0,IF(DD66=1,FW66,FX66),0)</f>
        <v>0</v>
      </c>
      <c r="IL66" s="1" t="n">
        <f aca="false">HD66+HE66+HF66+HJ66+HN66+HR66+HV66+HZ66+ID66+IH66</f>
        <v>0</v>
      </c>
      <c r="IM66" s="1" t="n">
        <f aca="false">GX66+CY66</f>
        <v>0</v>
      </c>
      <c r="IN66" s="1" t="n">
        <f aca="false">H66+R66</f>
        <v>0</v>
      </c>
      <c r="IO66" s="1" t="n">
        <f aca="false">1-F66</f>
        <v>1</v>
      </c>
      <c r="IP66" s="1" t="n">
        <f aca="false">IF(AND(RG_Exists=1,F66=0,C66=1),H66,0)</f>
        <v>0</v>
      </c>
      <c r="IQ66" s="1" t="n">
        <f aca="false">IF(AND(RG_Exists=1,F66=0,C66=1),H66-MIN(GX66,H66),0)</f>
        <v>0</v>
      </c>
      <c r="IR66" s="1" t="n">
        <f aca="false">'Plan pay &amp; tax'!AD268</f>
        <v>0</v>
      </c>
      <c r="IS66" s="1" t="n">
        <f aca="false">IF(AND(C66=1,GX66&gt;MAX(PR_Short1,IN66*PR_Short2)),1,0)</f>
        <v>0</v>
      </c>
      <c r="IT66" s="1" t="n">
        <f aca="false">MIN(G66,H66+R66)</f>
        <v>0</v>
      </c>
      <c r="IU66" s="1" t="n">
        <f aca="false">GY66+MAX(0,CZ66-CY66)</f>
        <v>0</v>
      </c>
      <c r="IV66" s="1" t="n">
        <f aca="false">GX66+CY66</f>
        <v>0</v>
      </c>
      <c r="IW66" s="1" t="n">
        <f aca="false">IF(AND(C66=1,IV66&gt;0.5),1,0)</f>
        <v>0</v>
      </c>
      <c r="IX66" s="1" t="n">
        <f aca="false">IF(AND(C66=1,IW66=0,IU66&gt;0.5),1,0)</f>
        <v>0</v>
      </c>
      <c r="IY66" s="1" t="n">
        <f aca="false">IF(AND(C66=1,GX66&gt;0.5),1,0)</f>
        <v>0</v>
      </c>
      <c r="IZ66" s="1" t="n">
        <f aca="false">IF(AND(C66=1,GY66&gt;1,JF66=0),1,0)</f>
        <v>0</v>
      </c>
      <c r="JA66" s="1" t="n">
        <f aca="false">IF(AND(INT(D66/10)*10=90,B66&gt;0),80,INT(D66/10)*10)</f>
        <v>50</v>
      </c>
      <c r="JB66" s="1" t="n">
        <f aca="false">IF(B66=0,1,IF(JA66&lt;&gt;JA65,JB65+1,JB65))</f>
        <v>6</v>
      </c>
      <c r="JC66" s="1" t="n">
        <f aca="false">IF(AND(C66=1,F66=1,GX66&gt;MAX(PR_Short1,IN66*PR_Short2)),1,0)</f>
        <v>0</v>
      </c>
      <c r="JD66" s="1" t="n">
        <f aca="false">IO66*IS66</f>
        <v>0</v>
      </c>
      <c r="JE66" s="1" t="n">
        <f aca="false">IF(AND(U66=1,Slot1_PctLow=1),1,0)+IF(AND(AF66=1,Slot2_PctLow=1),1,0)+IF(AND(AP66=1,Slot3_PctLow=1),1,0)+IF(AND(AZ66=1,Slot4_PctLow=1),1,0)+IF(AND(BJ66=1,Slot5_PctLow=1),1,0)+IF(AND(BT66=1,Slot6_PctLow=1),1,0)+IF(AND(CD66=1,Slot7_PctLow=1),1,0)+IF(AND(CN66=1,Slot8_PctLow=1),1,0)</f>
        <v>0</v>
      </c>
      <c r="JF66" s="1" t="n">
        <f aca="false">IF(C66=1,IF(OR(IS66=1,JE66&gt;0),1,0),0)</f>
        <v>0</v>
      </c>
    </row>
    <row r="67" customFormat="false" ht="15" hidden="false" customHeight="false" outlineLevel="0" collapsed="false">
      <c r="B67" s="1" t="n">
        <v>59</v>
      </c>
      <c r="C67" s="1" t="n">
        <f aca="false">IF(B67&lt;=F_N,1,0)</f>
        <v>1</v>
      </c>
      <c r="D67" s="1" t="n">
        <f aca="false">'Plan pay &amp; tax'!C269</f>
        <v>59</v>
      </c>
      <c r="E67" s="106" t="n">
        <f aca="false">'Plan pay &amp; tax'!E269</f>
        <v>3.21669685133864</v>
      </c>
      <c r="F67" s="1" t="n">
        <f aca="false">'Plan pay &amp; tax'!G269</f>
        <v>0</v>
      </c>
      <c r="G67" s="1" t="n">
        <f aca="false">'Plan pay &amp; tax'!BT269-'Plan pay &amp; tax'!BS269-'Plan pay &amp; tax'!R269</f>
        <v>0</v>
      </c>
      <c r="H67" s="1" t="n">
        <f aca="false">IF(F67=1,F_CostsM*12,IF(RG_Exists=1,RG_Amount,F_CostsM*12*AS_RetireSpend))*E67+F_OneOffY*E67</f>
        <v>0</v>
      </c>
      <c r="I67" s="1" t="n">
        <f aca="false">DA66</f>
        <v>0</v>
      </c>
      <c r="J67" s="1" t="n">
        <f aca="false">IF(I67&gt;1,'Plan debt months'!AC67,0)</f>
        <v>0</v>
      </c>
      <c r="K67" s="1" t="n">
        <f aca="false">IF(I67&gt;1,'Plan debt months'!AB67,I67)</f>
        <v>0</v>
      </c>
      <c r="L67" s="1" t="n">
        <f aca="false">N66</f>
        <v>0</v>
      </c>
      <c r="M67" s="1" t="n">
        <f aca="false">IF(L67&gt;1,'Plan debt months'!BD67,0)</f>
        <v>0</v>
      </c>
      <c r="N67" s="1" t="n">
        <f aca="false">IF(L67&gt;1,'Plan debt months'!BC67,L67)</f>
        <v>0</v>
      </c>
      <c r="O67" s="1" t="n">
        <f aca="false">Q66</f>
        <v>0</v>
      </c>
      <c r="P67" s="1" t="n">
        <f aca="false">IF(O67&gt;1,'Plan debt months'!CE67,0)</f>
        <v>0</v>
      </c>
      <c r="Q67" s="1" t="n">
        <f aca="false">IF(O67&gt;1,'Plan debt months'!CD67,O67)</f>
        <v>0</v>
      </c>
      <c r="R67" s="1" t="n">
        <f aca="false">J67+M67+P67</f>
        <v>0</v>
      </c>
      <c r="S67" s="1" t="n">
        <f aca="false">HD66+'Plan pay &amp; tax'!Y269</f>
        <v>0</v>
      </c>
      <c r="T67" s="1" t="n">
        <f aca="false">HD66</f>
        <v>0</v>
      </c>
      <c r="U67" s="1" t="n">
        <f aca="false">IF(AND(Slot1_On=1,D67=Slot1_Age),1,0)</f>
        <v>0</v>
      </c>
      <c r="V67" s="1" t="n">
        <f aca="false">IF(AND(Slot1_On=1,Slot1_Age&gt;D67),1,0)</f>
        <v>0</v>
      </c>
      <c r="W67" s="1" t="n">
        <f aca="false">HF66</f>
        <v>0</v>
      </c>
      <c r="X67" s="1" t="n">
        <f aca="false">U67*MIN(Slot1_Cost,W67)</f>
        <v>0</v>
      </c>
      <c r="Y67" s="1" t="n">
        <f aca="false">U67*Slot1_SpendLike*MIN(Slot1_Cost-X67,S67)</f>
        <v>0</v>
      </c>
      <c r="Z67" s="1" t="n">
        <f aca="false">X67+Y67</f>
        <v>0</v>
      </c>
      <c r="AA67" s="1" t="n">
        <f aca="false">S67-Y67+U67*IF(Slot1_SpendLike=1,W67-X67,IF(Slot1_PotFree=1,W67,0))</f>
        <v>0</v>
      </c>
      <c r="AB67" s="1" t="n">
        <f aca="false">AE67+U67*Slot1_BufPot*W67</f>
        <v>0</v>
      </c>
      <c r="AC67" s="1" t="n">
        <f aca="false">IF(AND(U67=1,Slot1_IsMfree=1),IF(Z67&gt;=Slot1_Cost-1,0,MAX(0,K67-Z67)),K67)</f>
        <v>0</v>
      </c>
      <c r="AD67" s="1" t="n">
        <f aca="false">U67*(Slot1_Cost-Z67)</f>
        <v>0</v>
      </c>
      <c r="AE67" s="1" t="n">
        <f aca="false">HE66</f>
        <v>0</v>
      </c>
      <c r="AF67" s="1" t="n">
        <f aca="false">IF(AND(Slot2_On=1,D67=Slot2_Age),1,0)</f>
        <v>0</v>
      </c>
      <c r="AG67" s="1" t="n">
        <f aca="false">IF(AND(Slot2_On=1,Slot2_Age&gt;D67),1,0)</f>
        <v>0</v>
      </c>
      <c r="AH67" s="1" t="n">
        <f aca="false">HJ66</f>
        <v>0</v>
      </c>
      <c r="AI67" s="1" t="n">
        <f aca="false">AF67*MIN(Slot2_Cost,AH67)</f>
        <v>0</v>
      </c>
      <c r="AJ67" s="1" t="n">
        <f aca="false">AF67*Slot2_SpendLike*MIN(Slot2_Cost-AI67,AA67)</f>
        <v>0</v>
      </c>
      <c r="AK67" s="1" t="n">
        <f aca="false">AI67+AJ67</f>
        <v>0</v>
      </c>
      <c r="AL67" s="1" t="n">
        <f aca="false">AA67-AJ67+AF67*IF(Slot2_SpendLike=1,AH67-AI67,IF(Slot2_PotFree=1,AH67,0))</f>
        <v>0</v>
      </c>
      <c r="AM67" s="1" t="n">
        <f aca="false">AB67+AF67*Slot2_BufPot*AH67</f>
        <v>0</v>
      </c>
      <c r="AN67" s="1" t="n">
        <f aca="false">IF(AND(AF67=1,Slot2_IsMfree=1),IF(AK67&gt;=Slot2_Cost-1,0,MAX(0,AC67-AK67)),AC67)</f>
        <v>0</v>
      </c>
      <c r="AO67" s="1" t="n">
        <f aca="false">AF67*(Slot2_Cost-AK67)</f>
        <v>0</v>
      </c>
      <c r="AP67" s="1" t="n">
        <f aca="false">IF(AND(Slot3_On=1,D67=Slot3_Age),1,0)</f>
        <v>0</v>
      </c>
      <c r="AQ67" s="1" t="n">
        <f aca="false">IF(AND(Slot3_On=1,Slot3_Age&gt;D67),1,0)</f>
        <v>0</v>
      </c>
      <c r="AR67" s="1" t="n">
        <f aca="false">HN66</f>
        <v>0</v>
      </c>
      <c r="AS67" s="1" t="n">
        <f aca="false">AP67*MIN(Slot3_Cost,AR67)</f>
        <v>0</v>
      </c>
      <c r="AT67" s="1" t="n">
        <f aca="false">AP67*Slot3_SpendLike*MIN(Slot3_Cost-AS67,AL67)</f>
        <v>0</v>
      </c>
      <c r="AU67" s="1" t="n">
        <f aca="false">AS67+AT67</f>
        <v>0</v>
      </c>
      <c r="AV67" s="1" t="n">
        <f aca="false">AL67-AT67+AP67*IF(Slot3_SpendLike=1,AR67-AS67,IF(Slot3_PotFree=1,AR67,0))</f>
        <v>0</v>
      </c>
      <c r="AW67" s="1" t="n">
        <f aca="false">AM67+AP67*Slot3_BufPot*AR67</f>
        <v>0</v>
      </c>
      <c r="AX67" s="1" t="n">
        <f aca="false">IF(AND(AP67=1,Slot3_IsMfree=1),IF(AU67&gt;=Slot3_Cost-1,0,MAX(0,AN67-AU67)),AN67)</f>
        <v>0</v>
      </c>
      <c r="AY67" s="1" t="n">
        <f aca="false">AP67*(Slot3_Cost-AU67)</f>
        <v>0</v>
      </c>
      <c r="AZ67" s="1" t="n">
        <f aca="false">IF(AND(Slot4_On=1,D67=Slot4_Age),1,0)</f>
        <v>0</v>
      </c>
      <c r="BA67" s="1" t="n">
        <f aca="false">IF(AND(Slot4_On=1,Slot4_Age&gt;D67),1,0)</f>
        <v>0</v>
      </c>
      <c r="BB67" s="1" t="n">
        <f aca="false">HR66</f>
        <v>0</v>
      </c>
      <c r="BC67" s="1" t="n">
        <f aca="false">AZ67*MIN(Slot4_Cost,BB67)</f>
        <v>0</v>
      </c>
      <c r="BD67" s="1" t="n">
        <f aca="false">AZ67*Slot4_SpendLike*MIN(Slot4_Cost-BC67,AV67)</f>
        <v>0</v>
      </c>
      <c r="BE67" s="1" t="n">
        <f aca="false">BC67+BD67</f>
        <v>0</v>
      </c>
      <c r="BF67" s="1" t="n">
        <f aca="false">AV67-BD67+AZ67*IF(Slot4_SpendLike=1,BB67-BC67,IF(Slot4_PotFree=1,BB67,0))</f>
        <v>0</v>
      </c>
      <c r="BG67" s="1" t="n">
        <f aca="false">AW67+AZ67*Slot4_BufPot*BB67</f>
        <v>0</v>
      </c>
      <c r="BH67" s="1" t="n">
        <f aca="false">IF(AND(AZ67=1,Slot4_IsMfree=1),IF(BE67&gt;=Slot4_Cost-1,0,MAX(0,AX67-BE67)),AX67)</f>
        <v>0</v>
      </c>
      <c r="BI67" s="1" t="n">
        <f aca="false">AZ67*(Slot4_Cost-BE67)</f>
        <v>0</v>
      </c>
      <c r="BJ67" s="1" t="n">
        <f aca="false">IF(AND(Slot5_On=1,D67=Slot5_Age),1,0)</f>
        <v>0</v>
      </c>
      <c r="BK67" s="1" t="n">
        <f aca="false">IF(AND(Slot5_On=1,Slot5_Age&gt;D67),1,0)</f>
        <v>0</v>
      </c>
      <c r="BL67" s="1" t="n">
        <f aca="false">HV66</f>
        <v>0</v>
      </c>
      <c r="BM67" s="1" t="n">
        <f aca="false">BJ67*MIN(Slot5_Cost,BL67)</f>
        <v>0</v>
      </c>
      <c r="BN67" s="1" t="n">
        <f aca="false">BJ67*Slot5_SpendLike*MIN(Slot5_Cost-BM67,BF67)</f>
        <v>0</v>
      </c>
      <c r="BO67" s="1" t="n">
        <f aca="false">BM67+BN67</f>
        <v>0</v>
      </c>
      <c r="BP67" s="1" t="n">
        <f aca="false">BF67-BN67+BJ67*IF(Slot5_SpendLike=1,BL67-BM67,IF(Slot5_PotFree=1,BL67,0))</f>
        <v>0</v>
      </c>
      <c r="BQ67" s="1" t="n">
        <f aca="false">BG67+BJ67*Slot5_BufPot*BL67</f>
        <v>0</v>
      </c>
      <c r="BR67" s="1" t="n">
        <f aca="false">IF(AND(BJ67=1,Slot5_IsMfree=1),IF(BO67&gt;=Slot5_Cost-1,0,MAX(0,BH67-BO67)),BH67)</f>
        <v>0</v>
      </c>
      <c r="BS67" s="1" t="n">
        <f aca="false">BJ67*(Slot5_Cost-BO67)</f>
        <v>0</v>
      </c>
      <c r="BT67" s="1" t="n">
        <f aca="false">IF(AND(Slot6_On=1,D67=Slot6_Age),1,0)</f>
        <v>0</v>
      </c>
      <c r="BU67" s="1" t="n">
        <f aca="false">IF(AND(Slot6_On=1,Slot6_Age&gt;D67),1,0)</f>
        <v>0</v>
      </c>
      <c r="BV67" s="1" t="n">
        <f aca="false">HZ66</f>
        <v>0</v>
      </c>
      <c r="BW67" s="1" t="n">
        <f aca="false">BT67*MIN(Slot6_Cost,BV67)</f>
        <v>0</v>
      </c>
      <c r="BX67" s="1" t="n">
        <f aca="false">BT67*Slot6_SpendLike*MIN(Slot6_Cost-BW67,BP67)</f>
        <v>0</v>
      </c>
      <c r="BY67" s="1" t="n">
        <f aca="false">BW67+BX67</f>
        <v>0</v>
      </c>
      <c r="BZ67" s="1" t="n">
        <f aca="false">BP67-BX67+BT67*IF(Slot6_SpendLike=1,BV67-BW67,IF(Slot6_PotFree=1,BV67,0))</f>
        <v>0</v>
      </c>
      <c r="CA67" s="1" t="n">
        <f aca="false">BQ67+BT67*Slot6_BufPot*BV67</f>
        <v>0</v>
      </c>
      <c r="CB67" s="1" t="n">
        <f aca="false">IF(AND(BT67=1,Slot6_IsMfree=1),IF(BY67&gt;=Slot6_Cost-1,0,MAX(0,BR67-BY67)),BR67)</f>
        <v>0</v>
      </c>
      <c r="CC67" s="1" t="n">
        <f aca="false">BT67*(Slot6_Cost-BY67)</f>
        <v>0</v>
      </c>
      <c r="CD67" s="1" t="n">
        <f aca="false">IF(AND(Slot7_On=1,D67=Slot7_Age),1,0)</f>
        <v>0</v>
      </c>
      <c r="CE67" s="1" t="n">
        <f aca="false">IF(AND(Slot7_On=1,Slot7_Age&gt;D67),1,0)</f>
        <v>0</v>
      </c>
      <c r="CF67" s="1" t="n">
        <f aca="false">ID66</f>
        <v>0</v>
      </c>
      <c r="CG67" s="1" t="n">
        <f aca="false">CD67*MIN(Slot7_Cost,CF67)</f>
        <v>0</v>
      </c>
      <c r="CH67" s="1" t="n">
        <f aca="false">CD67*Slot7_SpendLike*MIN(Slot7_Cost-CG67,BZ67)</f>
        <v>0</v>
      </c>
      <c r="CI67" s="1" t="n">
        <f aca="false">CG67+CH67</f>
        <v>0</v>
      </c>
      <c r="CJ67" s="1" t="n">
        <f aca="false">BZ67-CH67+CD67*IF(Slot7_SpendLike=1,CF67-CG67,IF(Slot7_PotFree=1,CF67,0))</f>
        <v>0</v>
      </c>
      <c r="CK67" s="1" t="n">
        <f aca="false">CA67+CD67*Slot7_BufPot*CF67</f>
        <v>0</v>
      </c>
      <c r="CL67" s="1" t="n">
        <f aca="false">IF(AND(CD67=1,Slot7_IsMfree=1),IF(CI67&gt;=Slot7_Cost-1,0,MAX(0,CB67-CI67)),CB67)</f>
        <v>0</v>
      </c>
      <c r="CM67" s="1" t="n">
        <f aca="false">CD67*(Slot7_Cost-CI67)</f>
        <v>0</v>
      </c>
      <c r="CN67" s="1" t="n">
        <f aca="false">IF(AND(Slot8_On=1,D67=Slot8_Age),1,0)</f>
        <v>0</v>
      </c>
      <c r="CO67" s="1" t="n">
        <f aca="false">IF(AND(Slot8_On=1,Slot8_Age&gt;D67),1,0)</f>
        <v>0</v>
      </c>
      <c r="CP67" s="1" t="n">
        <f aca="false">IH66</f>
        <v>0</v>
      </c>
      <c r="CQ67" s="1" t="n">
        <f aca="false">CN67*MIN(Slot8_Cost,CP67)</f>
        <v>0</v>
      </c>
      <c r="CR67" s="1" t="n">
        <f aca="false">CN67*Slot8_SpendLike*MIN(Slot8_Cost-CQ67,CJ67)</f>
        <v>0</v>
      </c>
      <c r="CS67" s="1" t="n">
        <f aca="false">CQ67+CR67</f>
        <v>0</v>
      </c>
      <c r="CT67" s="1" t="n">
        <f aca="false">CJ67-CR67+CN67*IF(Slot8_SpendLike=1,CP67-CQ67,IF(Slot8_PotFree=1,CP67,0))</f>
        <v>0</v>
      </c>
      <c r="CU67" s="1" t="n">
        <f aca="false">CK67+CN67*Slot8_BufPot*CP67</f>
        <v>0</v>
      </c>
      <c r="CV67" s="1" t="n">
        <f aca="false">IF(AND(CN67=1,Slot8_IsMfree=1),IF(CS67&gt;=Slot8_Cost-1,0,MAX(0,CL67-CS67)),CL67)</f>
        <v>0</v>
      </c>
      <c r="CW67" s="1" t="n">
        <f aca="false">CN67*(Slot8_Cost-CS67)</f>
        <v>0</v>
      </c>
      <c r="CX67" s="1" t="n">
        <f aca="false">U67*Slot1_SpendLike*Z67+AF67*Slot2_SpendLike*AK67+AP67*Slot3_SpendLike*AU67+AZ67*Slot4_SpendLike*BE67+BJ67*Slot5_SpendLike*BO67+BT67*Slot6_SpendLike*BY67+CD67*Slot7_SpendLike*CI67+CN67*Slot8_SpendLike*CS67</f>
        <v>0</v>
      </c>
      <c r="CY67" s="1" t="n">
        <f aca="false">AD67+AO67+AY67+BI67+BS67+CC67+CM67+CW67</f>
        <v>0</v>
      </c>
      <c r="CZ67" s="1" t="n">
        <f aca="false">U67*Slot1_Cost+AF67*Slot2_Cost+AP67*Slot3_Cost+AZ67*Slot4_Cost+BJ67*Slot5_Cost+BT67*Slot6_Cost+CD67*Slot7_Cost+CN67*Slot8_Cost</f>
        <v>0</v>
      </c>
      <c r="DA67" s="1" t="n">
        <f aca="false">CV67</f>
        <v>0</v>
      </c>
      <c r="DB67" s="1" t="n">
        <f aca="false">G67-H67-R67</f>
        <v>0</v>
      </c>
      <c r="DC67" s="1" t="n">
        <f aca="false">IF(B67=0,IF(AND(Has_q6=1,In_q6=4),PR_ShareVaries*(MAX(0,DB67)/12),MIN(IF(Has_q6=1,CHOOSE(In_q6+1,PR_SaveB1,PR_SaveB2,PR_SaveB3,PR_SaveB4,0),AS_NoAnswer),AS_SaveShare*(MAX(0,DB67)/12))),DC66)</f>
        <v>0</v>
      </c>
      <c r="DD67" s="1" t="n">
        <f aca="false">IF(DB67&gt;=0,1,0)</f>
        <v>1</v>
      </c>
      <c r="DE67" s="1" t="n">
        <f aca="false">MAX(0,DB67/12/E67)</f>
        <v>0</v>
      </c>
      <c r="DF67" s="1" t="n">
        <f aca="false">IF(AND(Has_q6=1,In_q6=4),PR_ShareVaries*(DE67),MIN(IF(Has_q6=1,CHOOSE(In_q6+1,PR_SaveB1,PR_SaveB2,PR_SaveB3,PR_SaveB4,0),AS_NoAnswer),AS_SaveShare*(DE67)))</f>
        <v>0</v>
      </c>
      <c r="DG67" s="1" t="n">
        <f aca="false">IF(Has_saveM=1,IF(In_saveUp="Yes",1,IF(In_saveUp="No",0,IF(In_saveM&gt;=DC67-0.5,1,0))),0)</f>
        <v>0</v>
      </c>
      <c r="DH67" s="1" t="n">
        <f aca="false">IF(Has_saveM=1,MIN(DE67,IF(DG67=1,MAX(In_saveM,DF67),MIN(In_saveM,DF67))),DF67)</f>
        <v>0</v>
      </c>
      <c r="DI67" s="1" t="n">
        <f aca="false">IF(F67=1,DH67*12*E67,0)</f>
        <v>0</v>
      </c>
      <c r="DJ67" s="1" t="n">
        <f aca="false">MAX(0,DI67+IF(AND(WI_Retire=0,WI_M&lt;0,F67=1),WI_M*12*E67,0))</f>
        <v>0</v>
      </c>
      <c r="DK67" s="1" t="n">
        <f aca="false">Slot1_IsWG*V67+Slot2_IsWG*AG67+Slot3_IsWG*AQ67+Slot4_IsWG*BA67+Slot5_IsWG*BK67+Slot6_IsWG*BU67+Slot7_IsWG*CE67+Slot8_IsWG*CO67</f>
        <v>0</v>
      </c>
      <c r="DL67" s="1" t="n">
        <f aca="false">IF(AND(WI_Retire=0,WI_M&gt;0,F67=1,DK67&gt;=1),WI_M*12*E67,0)</f>
        <v>0</v>
      </c>
      <c r="DM67" s="1" t="n">
        <f aca="false">IF(DD67=1,MIN(DJ67,DB67),0)</f>
        <v>0</v>
      </c>
      <c r="DN67" s="1" t="n">
        <f aca="false">IF(DD67=1,MIN(DL67,DB67-DM67),0)</f>
        <v>0</v>
      </c>
      <c r="DO67" s="1" t="n">
        <f aca="false">IF(V67=1,IF(ABS((1+AS_Wage)/(1+Slot1_Rate)-1)&lt;0.000000000001,(Slot1_Age-D67)*(1+Slot1_Rate)^(Slot1_Age-D67),(1+Slot1_Rate)^(Slot1_Age-D67)*(1-((1+AS_Wage)/(1+Slot1_Rate))^(Slot1_Age-D67))/(1-(1+AS_Wage)/(1+Slot1_Rate))),1)</f>
        <v>1</v>
      </c>
      <c r="DP67" s="1" t="n">
        <f aca="false">IF(AND(DD67=1,DN67&gt;0,Slot1_IsWG=1,V67=1),MAX(0,(Slot1_Cost-W67*(1+Slot1_Rate)^(Slot1_Age-D67))/DO67),0)</f>
        <v>0</v>
      </c>
      <c r="DQ67" s="1" t="n">
        <f aca="false">IF(AND(DD67=1,DN67&gt;0,Slot1_IsWG=1,V67=1),MIN(DN67,DP67),0)</f>
        <v>0</v>
      </c>
      <c r="DR67" s="1" t="n">
        <f aca="false">W67+DQ67</f>
        <v>0</v>
      </c>
      <c r="DS67" s="1" t="n">
        <f aca="false">IF(V67=1,MAX(0,(Slot1_Cost-DR67*(1+Slot1_Rate)^(Slot1_Age-D67))/DO67),0)</f>
        <v>0</v>
      </c>
      <c r="DT67" s="1" t="n">
        <f aca="false">IF(V67=1,MAX(0,(Slot1_Cost-W67*(1+Slot1_Rate)^(Slot1_Age-D67))/DO67),0)</f>
        <v>0</v>
      </c>
      <c r="DU67" s="1" t="n">
        <f aca="false">IF(AND(DD67=1,V67=1),MIN(DM67,DS67),0)</f>
        <v>0</v>
      </c>
      <c r="DV67" s="1" t="n">
        <f aca="false">DM67-DU67</f>
        <v>0</v>
      </c>
      <c r="DW67" s="1" t="n">
        <f aca="false">IF(AG67=1,IF(ABS((1+AS_Wage)/(1+Slot2_Rate)-1)&lt;0.000000000001,(Slot2_Age-D67)*(1+Slot2_Rate)^(Slot2_Age-D67),(1+Slot2_Rate)^(Slot2_Age-D67)*(1-((1+AS_Wage)/(1+Slot2_Rate))^(Slot2_Age-D67))/(1-(1+AS_Wage)/(1+Slot2_Rate))),1)</f>
        <v>1</v>
      </c>
      <c r="DX67" s="1" t="n">
        <f aca="false">IF(AND(DD67=1,DN67&gt;0,Slot2_IsWG=1,AG67=1),MAX(0,(Slot2_Cost-AH67*(1+Slot2_Rate)^(Slot2_Age-D67))/DW67),0)</f>
        <v>0</v>
      </c>
      <c r="DY67" s="1" t="n">
        <f aca="false">IF(AND(DD67=1,DN67&gt;0,Slot2_IsWG=1,AG67=1),MIN(DN67,DX67),0)</f>
        <v>0</v>
      </c>
      <c r="DZ67" s="1" t="n">
        <f aca="false">AH67+DY67</f>
        <v>0</v>
      </c>
      <c r="EA67" s="1" t="n">
        <f aca="false">IF(AG67=1,MAX(0,(Slot2_Cost-DZ67*(1+Slot2_Rate)^(Slot2_Age-D67))/DW67),0)</f>
        <v>0</v>
      </c>
      <c r="EB67" s="1" t="n">
        <f aca="false">IF(AG67=1,MAX(0,(Slot2_Cost-AH67*(1+Slot2_Rate)^(Slot2_Age-D67))/DW67),0)</f>
        <v>0</v>
      </c>
      <c r="EC67" s="1" t="n">
        <f aca="false">IF(AND(DD67=1,AG67=1),MIN(DV67,EA67),0)</f>
        <v>0</v>
      </c>
      <c r="ED67" s="1" t="n">
        <f aca="false">DV67-EC67</f>
        <v>0</v>
      </c>
      <c r="EE67" s="1" t="n">
        <f aca="false">IF(AQ67=1,IF(ABS((1+AS_Wage)/(1+Slot3_Rate)-1)&lt;0.000000000001,(Slot3_Age-D67)*(1+Slot3_Rate)^(Slot3_Age-D67),(1+Slot3_Rate)^(Slot3_Age-D67)*(1-((1+AS_Wage)/(1+Slot3_Rate))^(Slot3_Age-D67))/(1-(1+AS_Wage)/(1+Slot3_Rate))),1)</f>
        <v>1</v>
      </c>
      <c r="EF67" s="1" t="n">
        <f aca="false">IF(AND(DD67=1,DN67&gt;0,Slot3_IsWG=1,AQ67=1),MAX(0,(Slot3_Cost-AR67*(1+Slot3_Rate)^(Slot3_Age-D67))/EE67),0)</f>
        <v>0</v>
      </c>
      <c r="EG67" s="1" t="n">
        <f aca="false">IF(AND(DD67=1,DN67&gt;0,Slot3_IsWG=1,AQ67=1),MIN(DN67,EF67),0)</f>
        <v>0</v>
      </c>
      <c r="EH67" s="1" t="n">
        <f aca="false">AR67+EG67</f>
        <v>0</v>
      </c>
      <c r="EI67" s="1" t="n">
        <f aca="false">IF(AQ67=1,MAX(0,(Slot3_Cost-EH67*(1+Slot3_Rate)^(Slot3_Age-D67))/EE67),0)</f>
        <v>0</v>
      </c>
      <c r="EJ67" s="1" t="n">
        <f aca="false">IF(AQ67=1,MAX(0,(Slot3_Cost-AR67*(1+Slot3_Rate)^(Slot3_Age-D67))/EE67),0)</f>
        <v>0</v>
      </c>
      <c r="EK67" s="1" t="n">
        <f aca="false">IF(AND(DD67=1,AQ67=1),MIN(ED67,EI67),0)</f>
        <v>0</v>
      </c>
      <c r="EL67" s="1" t="n">
        <f aca="false">ED67-EK67</f>
        <v>0</v>
      </c>
      <c r="EM67" s="1" t="n">
        <f aca="false">IF(BA67=1,IF(ABS((1+AS_Wage)/(1+Slot4_Rate)-1)&lt;0.000000000001,(Slot4_Age-D67)*(1+Slot4_Rate)^(Slot4_Age-D67),(1+Slot4_Rate)^(Slot4_Age-D67)*(1-((1+AS_Wage)/(1+Slot4_Rate))^(Slot4_Age-D67))/(1-(1+AS_Wage)/(1+Slot4_Rate))),1)</f>
        <v>1</v>
      </c>
      <c r="EN67" s="1" t="n">
        <f aca="false">IF(AND(DD67=1,DN67&gt;0,Slot4_IsWG=1,BA67=1),MAX(0,(Slot4_Cost-BB67*(1+Slot4_Rate)^(Slot4_Age-D67))/EM67),0)</f>
        <v>0</v>
      </c>
      <c r="EO67" s="1" t="n">
        <f aca="false">IF(AND(DD67=1,DN67&gt;0,Slot4_IsWG=1,BA67=1),MIN(DN67,EN67),0)</f>
        <v>0</v>
      </c>
      <c r="EP67" s="1" t="n">
        <f aca="false">BB67+EO67</f>
        <v>0</v>
      </c>
      <c r="EQ67" s="1" t="n">
        <f aca="false">IF(BA67=1,MAX(0,(Slot4_Cost-EP67*(1+Slot4_Rate)^(Slot4_Age-D67))/EM67),0)</f>
        <v>0</v>
      </c>
      <c r="ER67" s="1" t="n">
        <f aca="false">IF(BA67=1,MAX(0,(Slot4_Cost-BB67*(1+Slot4_Rate)^(Slot4_Age-D67))/EM67),0)</f>
        <v>0</v>
      </c>
      <c r="ES67" s="1" t="n">
        <f aca="false">IF(AND(DD67=1,BA67=1),MIN(EL67,EQ67),0)</f>
        <v>0</v>
      </c>
      <c r="ET67" s="1" t="n">
        <f aca="false">EL67-ES67</f>
        <v>0</v>
      </c>
      <c r="EU67" s="1" t="n">
        <f aca="false">IF(BK67=1,IF(ABS((1+AS_Wage)/(1+Slot5_Rate)-1)&lt;0.000000000001,(Slot5_Age-D67)*(1+Slot5_Rate)^(Slot5_Age-D67),(1+Slot5_Rate)^(Slot5_Age-D67)*(1-((1+AS_Wage)/(1+Slot5_Rate))^(Slot5_Age-D67))/(1-(1+AS_Wage)/(1+Slot5_Rate))),1)</f>
        <v>1</v>
      </c>
      <c r="EV67" s="1" t="n">
        <f aca="false">IF(AND(DD67=1,DN67&gt;0,Slot5_IsWG=1,BK67=1),MAX(0,(Slot5_Cost-BL67*(1+Slot5_Rate)^(Slot5_Age-D67))/EU67),0)</f>
        <v>0</v>
      </c>
      <c r="EW67" s="1" t="n">
        <f aca="false">IF(AND(DD67=1,DN67&gt;0,Slot5_IsWG=1,BK67=1),MIN(DN67,EV67),0)</f>
        <v>0</v>
      </c>
      <c r="EX67" s="1" t="n">
        <f aca="false">BL67+EW67</f>
        <v>0</v>
      </c>
      <c r="EY67" s="1" t="n">
        <f aca="false">IF(BK67=1,MAX(0,(Slot5_Cost-EX67*(1+Slot5_Rate)^(Slot5_Age-D67))/EU67),0)</f>
        <v>0</v>
      </c>
      <c r="EZ67" s="1" t="n">
        <f aca="false">IF(BK67=1,MAX(0,(Slot5_Cost-BL67*(1+Slot5_Rate)^(Slot5_Age-D67))/EU67),0)</f>
        <v>0</v>
      </c>
      <c r="FA67" s="1" t="n">
        <f aca="false">IF(AND(DD67=1,BK67=1),MIN(ET67,EY67),0)</f>
        <v>0</v>
      </c>
      <c r="FB67" s="1" t="n">
        <f aca="false">ET67-FA67</f>
        <v>0</v>
      </c>
      <c r="FC67" s="1" t="n">
        <f aca="false">IF(BU67=1,IF(ABS((1+AS_Wage)/(1+Slot6_Rate)-1)&lt;0.000000000001,(Slot6_Age-D67)*(1+Slot6_Rate)^(Slot6_Age-D67),(1+Slot6_Rate)^(Slot6_Age-D67)*(1-((1+AS_Wage)/(1+Slot6_Rate))^(Slot6_Age-D67))/(1-(1+AS_Wage)/(1+Slot6_Rate))),1)</f>
        <v>1</v>
      </c>
      <c r="FD67" s="1" t="n">
        <f aca="false">IF(AND(DD67=1,DN67&gt;0,Slot6_IsWG=1,BU67=1),MAX(0,(Slot6_Cost-BV67*(1+Slot6_Rate)^(Slot6_Age-D67))/FC67),0)</f>
        <v>0</v>
      </c>
      <c r="FE67" s="1" t="n">
        <f aca="false">IF(AND(DD67=1,DN67&gt;0,Slot6_IsWG=1,BU67=1),MIN(DN67,FD67),0)</f>
        <v>0</v>
      </c>
      <c r="FF67" s="1" t="n">
        <f aca="false">BV67+FE67</f>
        <v>0</v>
      </c>
      <c r="FG67" s="1" t="n">
        <f aca="false">IF(BU67=1,MAX(0,(Slot6_Cost-FF67*(1+Slot6_Rate)^(Slot6_Age-D67))/FC67),0)</f>
        <v>0</v>
      </c>
      <c r="FH67" s="1" t="n">
        <f aca="false">IF(BU67=1,MAX(0,(Slot6_Cost-BV67*(1+Slot6_Rate)^(Slot6_Age-D67))/FC67),0)</f>
        <v>0</v>
      </c>
      <c r="FI67" s="1" t="n">
        <f aca="false">IF(AND(DD67=1,BU67=1),MIN(FB67,FG67),0)</f>
        <v>0</v>
      </c>
      <c r="FJ67" s="1" t="n">
        <f aca="false">FB67-FI67</f>
        <v>0</v>
      </c>
      <c r="FK67" s="1" t="n">
        <f aca="false">IF(CE67=1,IF(ABS((1+AS_Wage)/(1+Slot7_Rate)-1)&lt;0.000000000001,(Slot7_Age-D67)*(1+Slot7_Rate)^(Slot7_Age-D67),(1+Slot7_Rate)^(Slot7_Age-D67)*(1-((1+AS_Wage)/(1+Slot7_Rate))^(Slot7_Age-D67))/(1-(1+AS_Wage)/(1+Slot7_Rate))),1)</f>
        <v>1</v>
      </c>
      <c r="FL67" s="1" t="n">
        <f aca="false">IF(AND(DD67=1,DN67&gt;0,Slot7_IsWG=1,CE67=1),MAX(0,(Slot7_Cost-CF67*(1+Slot7_Rate)^(Slot7_Age-D67))/FK67),0)</f>
        <v>0</v>
      </c>
      <c r="FM67" s="1" t="n">
        <f aca="false">IF(AND(DD67=1,DN67&gt;0,Slot7_IsWG=1,CE67=1),MIN(DN67,FL67),0)</f>
        <v>0</v>
      </c>
      <c r="FN67" s="1" t="n">
        <f aca="false">CF67+FM67</f>
        <v>0</v>
      </c>
      <c r="FO67" s="1" t="n">
        <f aca="false">IF(CE67=1,MAX(0,(Slot7_Cost-FN67*(1+Slot7_Rate)^(Slot7_Age-D67))/FK67),0)</f>
        <v>0</v>
      </c>
      <c r="FP67" s="1" t="n">
        <f aca="false">IF(CE67=1,MAX(0,(Slot7_Cost-CF67*(1+Slot7_Rate)^(Slot7_Age-D67))/FK67),0)</f>
        <v>0</v>
      </c>
      <c r="FQ67" s="1" t="n">
        <f aca="false">IF(AND(DD67=1,CE67=1),MIN(FJ67,FO67),0)</f>
        <v>0</v>
      </c>
      <c r="FR67" s="1" t="n">
        <f aca="false">FJ67-FQ67</f>
        <v>0</v>
      </c>
      <c r="FS67" s="1" t="n">
        <f aca="false">IF(CO67=1,IF(ABS((1+AS_Wage)/(1+Slot8_Rate)-1)&lt;0.000000000001,(Slot8_Age-D67)*(1+Slot8_Rate)^(Slot8_Age-D67),(1+Slot8_Rate)^(Slot8_Age-D67)*(1-((1+AS_Wage)/(1+Slot8_Rate))^(Slot8_Age-D67))/(1-(1+AS_Wage)/(1+Slot8_Rate))),1)</f>
        <v>1</v>
      </c>
      <c r="FT67" s="1" t="n">
        <f aca="false">IF(AND(DD67=1,DN67&gt;0,Slot8_IsWG=1,CO67=1),MAX(0,(Slot8_Cost-CP67*(1+Slot8_Rate)^(Slot8_Age-D67))/FS67),0)</f>
        <v>0</v>
      </c>
      <c r="FU67" s="1" t="n">
        <f aca="false">IF(AND(DD67=1,DN67&gt;0,Slot8_IsWG=1,CO67=1),MIN(DN67,FT67),0)</f>
        <v>0</v>
      </c>
      <c r="FV67" s="1" t="n">
        <f aca="false">CP67+FU67</f>
        <v>0</v>
      </c>
      <c r="FW67" s="1" t="n">
        <f aca="false">IF(CO67=1,MAX(0,(Slot8_Cost-FV67*(1+Slot8_Rate)^(Slot8_Age-D67))/FS67),0)</f>
        <v>0</v>
      </c>
      <c r="FX67" s="1" t="n">
        <f aca="false">IF(CO67=1,MAX(0,(Slot8_Cost-CP67*(1+Slot8_Rate)^(Slot8_Age-D67))/FS67),0)</f>
        <v>0</v>
      </c>
      <c r="FY67" s="1" t="n">
        <f aca="false">IF(AND(DD67=1,CO67=1),MIN(FR67,FW67),0)</f>
        <v>0</v>
      </c>
      <c r="FZ67" s="1" t="n">
        <f aca="false">FR67-FY67</f>
        <v>0</v>
      </c>
      <c r="GA67" s="1" t="n">
        <f aca="false">DN67-(DQ67+DY67+EG67+EO67+EW67+FE67+FM67+FU67)</f>
        <v>0</v>
      </c>
      <c r="GB67" s="1" t="n">
        <f aca="false">IF(DD67=1,DB67-DM67-DN67,0)</f>
        <v>0</v>
      </c>
      <c r="GC67" s="1" t="n">
        <f aca="false">IF(DD67=0,-DB67,0)</f>
        <v>0</v>
      </c>
      <c r="GD67" s="1" t="n">
        <f aca="false">MIN(GC67,CT67)</f>
        <v>0</v>
      </c>
      <c r="GE67" s="1" t="n">
        <f aca="false">GC67-GD67</f>
        <v>0</v>
      </c>
      <c r="GF67" s="1" t="n">
        <f aca="false">MIN(GE67,CU67)</f>
        <v>0</v>
      </c>
      <c r="GG67" s="1" t="n">
        <f aca="false">GE67-GF67</f>
        <v>0</v>
      </c>
      <c r="GH67" s="1" t="n">
        <f aca="false">IF(AND(DD67=0,CO67=1,GG67&gt;0),MIN(GG67,CP67),0)</f>
        <v>0</v>
      </c>
      <c r="GI67" s="1" t="n">
        <f aca="false">GG67-GH67</f>
        <v>0</v>
      </c>
      <c r="GJ67" s="1" t="n">
        <f aca="false">IF(AND(DD67=0,CE67=1,GI67&gt;0),MIN(GI67,CF67),0)</f>
        <v>0</v>
      </c>
      <c r="GK67" s="1" t="n">
        <f aca="false">GI67-GJ67</f>
        <v>0</v>
      </c>
      <c r="GL67" s="1" t="n">
        <f aca="false">IF(AND(DD67=0,BU67=1,GK67&gt;0),MIN(GK67,BV67),0)</f>
        <v>0</v>
      </c>
      <c r="GM67" s="1" t="n">
        <f aca="false">GK67-GL67</f>
        <v>0</v>
      </c>
      <c r="GN67" s="1" t="n">
        <f aca="false">IF(AND(DD67=0,BK67=1,GM67&gt;0),MIN(GM67,BL67),0)</f>
        <v>0</v>
      </c>
      <c r="GO67" s="1" t="n">
        <f aca="false">GM67-GN67</f>
        <v>0</v>
      </c>
      <c r="GP67" s="1" t="n">
        <f aca="false">IF(AND(DD67=0,BA67=1,GO67&gt;0),MIN(GO67,BB67),0)</f>
        <v>0</v>
      </c>
      <c r="GQ67" s="1" t="n">
        <f aca="false">GO67-GP67</f>
        <v>0</v>
      </c>
      <c r="GR67" s="1" t="n">
        <f aca="false">IF(AND(DD67=0,AQ67=1,GQ67&gt;0),MIN(GQ67,AR67),0)</f>
        <v>0</v>
      </c>
      <c r="GS67" s="1" t="n">
        <f aca="false">GQ67-GR67</f>
        <v>0</v>
      </c>
      <c r="GT67" s="1" t="n">
        <f aca="false">IF(AND(DD67=0,AG67=1,GS67&gt;0),MIN(GS67,AH67),0)</f>
        <v>0</v>
      </c>
      <c r="GU67" s="1" t="n">
        <f aca="false">GS67-GT67</f>
        <v>0</v>
      </c>
      <c r="GV67" s="1" t="n">
        <f aca="false">IF(AND(DD67=0,V67=1,GU67&gt;0),MIN(GU67,W67),0)</f>
        <v>0</v>
      </c>
      <c r="GW67" s="1" t="n">
        <f aca="false">GU67-GV67</f>
        <v>0</v>
      </c>
      <c r="GX67" s="1" t="n">
        <f aca="false">IF(DD67=0,GW67,0)</f>
        <v>0</v>
      </c>
      <c r="GY67" s="1" t="n">
        <f aca="false">GD67+GF67+GV67+GT67+GR67+GP67+GN67+GL67+GJ67+GH67</f>
        <v>0</v>
      </c>
      <c r="GZ67" s="1" t="n">
        <f aca="false">IF(DD67=1,CT67+GA67+FZ67+IF(F67=1,0,GB67),CT67-GD67)</f>
        <v>0</v>
      </c>
      <c r="HA67" s="1" t="n">
        <f aca="false">CU67-GF67</f>
        <v>0</v>
      </c>
      <c r="HB67" s="1" t="n">
        <f aca="false">IF(DD67=1,IF(F67=1,DM67+DN67,DB67),0)</f>
        <v>0</v>
      </c>
      <c r="HC67" s="1" t="n">
        <f aca="false">IF(DD67=1,IF(F67=1,DB67-DM67-DN67,0),0)</f>
        <v>0</v>
      </c>
      <c r="HD67" s="1" t="n">
        <f aca="false">GZ67*(1+GR)</f>
        <v>0</v>
      </c>
      <c r="HE67" s="1" t="n">
        <f aca="false">HA67*(1+AS_Cash)</f>
        <v>0</v>
      </c>
      <c r="HF67" s="1" t="n">
        <f aca="false">IF(V67=1,IF(DD67=1,DR67+DU67,W67-GV67)*(1+Slot1_Rate),0)</f>
        <v>0</v>
      </c>
      <c r="HG67" s="1" t="n">
        <f aca="false">IF(AND(DD67=1,V67=1),(DQ67+DU67)/E67,0)</f>
        <v>0</v>
      </c>
      <c r="HH67" s="1" t="n">
        <f aca="false">IF(B67=0,DQ67+DU67,0)</f>
        <v>0</v>
      </c>
      <c r="HI67" s="1" t="n">
        <f aca="false">IF(B67=0,IF(DD67=1,DS67,DT67),0)</f>
        <v>0</v>
      </c>
      <c r="HJ67" s="1" t="n">
        <f aca="false">IF(AG67=1,IF(DD67=1,DZ67+EC67,AH67-GT67)*(1+Slot2_Rate),0)</f>
        <v>0</v>
      </c>
      <c r="HK67" s="1" t="n">
        <f aca="false">IF(AND(DD67=1,AG67=1),(DY67+EC67)/E67,0)</f>
        <v>0</v>
      </c>
      <c r="HL67" s="1" t="n">
        <f aca="false">IF(B67=0,DY67+EC67,0)</f>
        <v>0</v>
      </c>
      <c r="HM67" s="1" t="n">
        <f aca="false">IF(B67=0,IF(DD67=1,EA67,EB67),0)</f>
        <v>0</v>
      </c>
      <c r="HN67" s="1" t="n">
        <f aca="false">IF(AQ67=1,IF(DD67=1,EH67+EK67,AR67-GR67)*(1+Slot3_Rate),0)</f>
        <v>0</v>
      </c>
      <c r="HO67" s="1" t="n">
        <f aca="false">IF(AND(DD67=1,AQ67=1),(EG67+EK67)/E67,0)</f>
        <v>0</v>
      </c>
      <c r="HP67" s="1" t="n">
        <f aca="false">IF(B67=0,EG67+EK67,0)</f>
        <v>0</v>
      </c>
      <c r="HQ67" s="1" t="n">
        <f aca="false">IF(B67=0,IF(DD67=1,EI67,EJ67),0)</f>
        <v>0</v>
      </c>
      <c r="HR67" s="1" t="n">
        <f aca="false">IF(BA67=1,IF(DD67=1,EP67+ES67,BB67-GP67)*(1+Slot4_Rate),0)</f>
        <v>0</v>
      </c>
      <c r="HS67" s="1" t="n">
        <f aca="false">IF(AND(DD67=1,BA67=1),(EO67+ES67)/E67,0)</f>
        <v>0</v>
      </c>
      <c r="HT67" s="1" t="n">
        <f aca="false">IF(B67=0,EO67+ES67,0)</f>
        <v>0</v>
      </c>
      <c r="HU67" s="1" t="n">
        <f aca="false">IF(B67=0,IF(DD67=1,EQ67,ER67),0)</f>
        <v>0</v>
      </c>
      <c r="HV67" s="1" t="n">
        <f aca="false">IF(BK67=1,IF(DD67=1,EX67+FA67,BL67-GN67)*(1+Slot5_Rate),0)</f>
        <v>0</v>
      </c>
      <c r="HW67" s="1" t="n">
        <f aca="false">IF(AND(DD67=1,BK67=1),(EW67+FA67)/E67,0)</f>
        <v>0</v>
      </c>
      <c r="HX67" s="1" t="n">
        <f aca="false">IF(B67=0,EW67+FA67,0)</f>
        <v>0</v>
      </c>
      <c r="HY67" s="1" t="n">
        <f aca="false">IF(B67=0,IF(DD67=1,EY67,EZ67),0)</f>
        <v>0</v>
      </c>
      <c r="HZ67" s="1" t="n">
        <f aca="false">IF(BU67=1,IF(DD67=1,FF67+FI67,BV67-GL67)*(1+Slot6_Rate),0)</f>
        <v>0</v>
      </c>
      <c r="IA67" s="1" t="n">
        <f aca="false">IF(AND(DD67=1,BU67=1),(FE67+FI67)/E67,0)</f>
        <v>0</v>
      </c>
      <c r="IB67" s="1" t="n">
        <f aca="false">IF(B67=0,FE67+FI67,0)</f>
        <v>0</v>
      </c>
      <c r="IC67" s="1" t="n">
        <f aca="false">IF(B67=0,IF(DD67=1,FG67,FH67),0)</f>
        <v>0</v>
      </c>
      <c r="ID67" s="1" t="n">
        <f aca="false">IF(CE67=1,IF(DD67=1,FN67+FQ67,CF67-GJ67)*(1+Slot7_Rate),0)</f>
        <v>0</v>
      </c>
      <c r="IE67" s="1" t="n">
        <f aca="false">IF(AND(DD67=1,CE67=1),(FM67+FQ67)/E67,0)</f>
        <v>0</v>
      </c>
      <c r="IF67" s="1" t="n">
        <f aca="false">IF(B67=0,FM67+FQ67,0)</f>
        <v>0</v>
      </c>
      <c r="IG67" s="1" t="n">
        <f aca="false">IF(B67=0,IF(DD67=1,FO67,FP67),0)</f>
        <v>0</v>
      </c>
      <c r="IH67" s="1" t="n">
        <f aca="false">IF(CO67=1,IF(DD67=1,FV67+FY67,CP67-GH67)*(1+Slot8_Rate),0)</f>
        <v>0</v>
      </c>
      <c r="II67" s="1" t="n">
        <f aca="false">IF(AND(DD67=1,CO67=1),(FU67+FY67)/E67,0)</f>
        <v>0</v>
      </c>
      <c r="IJ67" s="1" t="n">
        <f aca="false">IF(B67=0,FU67+FY67,0)</f>
        <v>0</v>
      </c>
      <c r="IK67" s="1" t="n">
        <f aca="false">IF(B67=0,IF(DD67=1,FW67,FX67),0)</f>
        <v>0</v>
      </c>
      <c r="IL67" s="1" t="n">
        <f aca="false">HD67+HE67+HF67+HJ67+HN67+HR67+HV67+HZ67+ID67+IH67</f>
        <v>0</v>
      </c>
      <c r="IM67" s="1" t="n">
        <f aca="false">GX67+CY67</f>
        <v>0</v>
      </c>
      <c r="IN67" s="1" t="n">
        <f aca="false">H67+R67</f>
        <v>0</v>
      </c>
      <c r="IO67" s="1" t="n">
        <f aca="false">1-F67</f>
        <v>1</v>
      </c>
      <c r="IP67" s="1" t="n">
        <f aca="false">IF(AND(RG_Exists=1,F67=0,C67=1),H67,0)</f>
        <v>0</v>
      </c>
      <c r="IQ67" s="1" t="n">
        <f aca="false">IF(AND(RG_Exists=1,F67=0,C67=1),H67-MIN(GX67,H67),0)</f>
        <v>0</v>
      </c>
      <c r="IR67" s="1" t="n">
        <f aca="false">'Plan pay &amp; tax'!AD269</f>
        <v>0</v>
      </c>
      <c r="IS67" s="1" t="n">
        <f aca="false">IF(AND(C67=1,GX67&gt;MAX(PR_Short1,IN67*PR_Short2)),1,0)</f>
        <v>0</v>
      </c>
      <c r="IT67" s="1" t="n">
        <f aca="false">MIN(G67,H67+R67)</f>
        <v>0</v>
      </c>
      <c r="IU67" s="1" t="n">
        <f aca="false">GY67+MAX(0,CZ67-CY67)</f>
        <v>0</v>
      </c>
      <c r="IV67" s="1" t="n">
        <f aca="false">GX67+CY67</f>
        <v>0</v>
      </c>
      <c r="IW67" s="1" t="n">
        <f aca="false">IF(AND(C67=1,IV67&gt;0.5),1,0)</f>
        <v>0</v>
      </c>
      <c r="IX67" s="1" t="n">
        <f aca="false">IF(AND(C67=1,IW67=0,IU67&gt;0.5),1,0)</f>
        <v>0</v>
      </c>
      <c r="IY67" s="1" t="n">
        <f aca="false">IF(AND(C67=1,GX67&gt;0.5),1,0)</f>
        <v>0</v>
      </c>
      <c r="IZ67" s="1" t="n">
        <f aca="false">IF(AND(C67=1,GY67&gt;1,JF67=0),1,0)</f>
        <v>0</v>
      </c>
      <c r="JA67" s="1" t="n">
        <f aca="false">IF(AND(INT(D67/10)*10=90,B67&gt;0),80,INT(D67/10)*10)</f>
        <v>50</v>
      </c>
      <c r="JB67" s="1" t="n">
        <f aca="false">IF(B67=0,1,IF(JA67&lt;&gt;JA66,JB66+1,JB66))</f>
        <v>6</v>
      </c>
      <c r="JC67" s="1" t="n">
        <f aca="false">IF(AND(C67=1,F67=1,GX67&gt;MAX(PR_Short1,IN67*PR_Short2)),1,0)</f>
        <v>0</v>
      </c>
      <c r="JD67" s="1" t="n">
        <f aca="false">IO67*IS67</f>
        <v>0</v>
      </c>
      <c r="JE67" s="1" t="n">
        <f aca="false">IF(AND(U67=1,Slot1_PctLow=1),1,0)+IF(AND(AF67=1,Slot2_PctLow=1),1,0)+IF(AND(AP67=1,Slot3_PctLow=1),1,0)+IF(AND(AZ67=1,Slot4_PctLow=1),1,0)+IF(AND(BJ67=1,Slot5_PctLow=1),1,0)+IF(AND(BT67=1,Slot6_PctLow=1),1,0)+IF(AND(CD67=1,Slot7_PctLow=1),1,0)+IF(AND(CN67=1,Slot8_PctLow=1),1,0)</f>
        <v>0</v>
      </c>
      <c r="JF67" s="1" t="n">
        <f aca="false">IF(C67=1,IF(OR(IS67=1,JE67&gt;0),1,0),0)</f>
        <v>0</v>
      </c>
    </row>
    <row r="68" customFormat="false" ht="15" hidden="false" customHeight="false" outlineLevel="0" collapsed="false">
      <c r="B68" s="1" t="n">
        <v>60</v>
      </c>
      <c r="C68" s="1" t="n">
        <f aca="false">IF(B68&lt;=F_N,1,0)</f>
        <v>1</v>
      </c>
      <c r="D68" s="1" t="n">
        <f aca="false">'Plan pay &amp; tax'!C270</f>
        <v>60</v>
      </c>
      <c r="E68" s="106" t="n">
        <f aca="false">'Plan pay &amp; tax'!E270</f>
        <v>3.28103078836541</v>
      </c>
      <c r="F68" s="1" t="n">
        <f aca="false">'Plan pay &amp; tax'!G270</f>
        <v>0</v>
      </c>
      <c r="G68" s="1" t="n">
        <f aca="false">'Plan pay &amp; tax'!BT270-'Plan pay &amp; tax'!BS270-'Plan pay &amp; tax'!R270</f>
        <v>0</v>
      </c>
      <c r="H68" s="1" t="n">
        <f aca="false">IF(F68=1,F_CostsM*12,IF(RG_Exists=1,RG_Amount,F_CostsM*12*AS_RetireSpend))*E68+F_OneOffY*E68</f>
        <v>0</v>
      </c>
      <c r="I68" s="1" t="n">
        <f aca="false">DA67</f>
        <v>0</v>
      </c>
      <c r="J68" s="1" t="n">
        <f aca="false">IF(I68&gt;1,'Plan debt months'!AC68,0)</f>
        <v>0</v>
      </c>
      <c r="K68" s="1" t="n">
        <f aca="false">IF(I68&gt;1,'Plan debt months'!AB68,I68)</f>
        <v>0</v>
      </c>
      <c r="L68" s="1" t="n">
        <f aca="false">N67</f>
        <v>0</v>
      </c>
      <c r="M68" s="1" t="n">
        <f aca="false">IF(L68&gt;1,'Plan debt months'!BD68,0)</f>
        <v>0</v>
      </c>
      <c r="N68" s="1" t="n">
        <f aca="false">IF(L68&gt;1,'Plan debt months'!BC68,L68)</f>
        <v>0</v>
      </c>
      <c r="O68" s="1" t="n">
        <f aca="false">Q67</f>
        <v>0</v>
      </c>
      <c r="P68" s="1" t="n">
        <f aca="false">IF(O68&gt;1,'Plan debt months'!CE68,0)</f>
        <v>0</v>
      </c>
      <c r="Q68" s="1" t="n">
        <f aca="false">IF(O68&gt;1,'Plan debt months'!CD68,O68)</f>
        <v>0</v>
      </c>
      <c r="R68" s="1" t="n">
        <f aca="false">J68+M68+P68</f>
        <v>0</v>
      </c>
      <c r="S68" s="1" t="n">
        <f aca="false">HD67+'Plan pay &amp; tax'!Y270</f>
        <v>0</v>
      </c>
      <c r="T68" s="1" t="n">
        <f aca="false">HD67</f>
        <v>0</v>
      </c>
      <c r="U68" s="1" t="n">
        <f aca="false">IF(AND(Slot1_On=1,D68=Slot1_Age),1,0)</f>
        <v>0</v>
      </c>
      <c r="V68" s="1" t="n">
        <f aca="false">IF(AND(Slot1_On=1,Slot1_Age&gt;D68),1,0)</f>
        <v>0</v>
      </c>
      <c r="W68" s="1" t="n">
        <f aca="false">HF67</f>
        <v>0</v>
      </c>
      <c r="X68" s="1" t="n">
        <f aca="false">U68*MIN(Slot1_Cost,W68)</f>
        <v>0</v>
      </c>
      <c r="Y68" s="1" t="n">
        <f aca="false">U68*Slot1_SpendLike*MIN(Slot1_Cost-X68,S68)</f>
        <v>0</v>
      </c>
      <c r="Z68" s="1" t="n">
        <f aca="false">X68+Y68</f>
        <v>0</v>
      </c>
      <c r="AA68" s="1" t="n">
        <f aca="false">S68-Y68+U68*IF(Slot1_SpendLike=1,W68-X68,IF(Slot1_PotFree=1,W68,0))</f>
        <v>0</v>
      </c>
      <c r="AB68" s="1" t="n">
        <f aca="false">AE68+U68*Slot1_BufPot*W68</f>
        <v>0</v>
      </c>
      <c r="AC68" s="1" t="n">
        <f aca="false">IF(AND(U68=1,Slot1_IsMfree=1),IF(Z68&gt;=Slot1_Cost-1,0,MAX(0,K68-Z68)),K68)</f>
        <v>0</v>
      </c>
      <c r="AD68" s="1" t="n">
        <f aca="false">U68*(Slot1_Cost-Z68)</f>
        <v>0</v>
      </c>
      <c r="AE68" s="1" t="n">
        <f aca="false">HE67</f>
        <v>0</v>
      </c>
      <c r="AF68" s="1" t="n">
        <f aca="false">IF(AND(Slot2_On=1,D68=Slot2_Age),1,0)</f>
        <v>0</v>
      </c>
      <c r="AG68" s="1" t="n">
        <f aca="false">IF(AND(Slot2_On=1,Slot2_Age&gt;D68),1,0)</f>
        <v>0</v>
      </c>
      <c r="AH68" s="1" t="n">
        <f aca="false">HJ67</f>
        <v>0</v>
      </c>
      <c r="AI68" s="1" t="n">
        <f aca="false">AF68*MIN(Slot2_Cost,AH68)</f>
        <v>0</v>
      </c>
      <c r="AJ68" s="1" t="n">
        <f aca="false">AF68*Slot2_SpendLike*MIN(Slot2_Cost-AI68,AA68)</f>
        <v>0</v>
      </c>
      <c r="AK68" s="1" t="n">
        <f aca="false">AI68+AJ68</f>
        <v>0</v>
      </c>
      <c r="AL68" s="1" t="n">
        <f aca="false">AA68-AJ68+AF68*IF(Slot2_SpendLike=1,AH68-AI68,IF(Slot2_PotFree=1,AH68,0))</f>
        <v>0</v>
      </c>
      <c r="AM68" s="1" t="n">
        <f aca="false">AB68+AF68*Slot2_BufPot*AH68</f>
        <v>0</v>
      </c>
      <c r="AN68" s="1" t="n">
        <f aca="false">IF(AND(AF68=1,Slot2_IsMfree=1),IF(AK68&gt;=Slot2_Cost-1,0,MAX(0,AC68-AK68)),AC68)</f>
        <v>0</v>
      </c>
      <c r="AO68" s="1" t="n">
        <f aca="false">AF68*(Slot2_Cost-AK68)</f>
        <v>0</v>
      </c>
      <c r="AP68" s="1" t="n">
        <f aca="false">IF(AND(Slot3_On=1,D68=Slot3_Age),1,0)</f>
        <v>0</v>
      </c>
      <c r="AQ68" s="1" t="n">
        <f aca="false">IF(AND(Slot3_On=1,Slot3_Age&gt;D68),1,0)</f>
        <v>0</v>
      </c>
      <c r="AR68" s="1" t="n">
        <f aca="false">HN67</f>
        <v>0</v>
      </c>
      <c r="AS68" s="1" t="n">
        <f aca="false">AP68*MIN(Slot3_Cost,AR68)</f>
        <v>0</v>
      </c>
      <c r="AT68" s="1" t="n">
        <f aca="false">AP68*Slot3_SpendLike*MIN(Slot3_Cost-AS68,AL68)</f>
        <v>0</v>
      </c>
      <c r="AU68" s="1" t="n">
        <f aca="false">AS68+AT68</f>
        <v>0</v>
      </c>
      <c r="AV68" s="1" t="n">
        <f aca="false">AL68-AT68+AP68*IF(Slot3_SpendLike=1,AR68-AS68,IF(Slot3_PotFree=1,AR68,0))</f>
        <v>0</v>
      </c>
      <c r="AW68" s="1" t="n">
        <f aca="false">AM68+AP68*Slot3_BufPot*AR68</f>
        <v>0</v>
      </c>
      <c r="AX68" s="1" t="n">
        <f aca="false">IF(AND(AP68=1,Slot3_IsMfree=1),IF(AU68&gt;=Slot3_Cost-1,0,MAX(0,AN68-AU68)),AN68)</f>
        <v>0</v>
      </c>
      <c r="AY68" s="1" t="n">
        <f aca="false">AP68*(Slot3_Cost-AU68)</f>
        <v>0</v>
      </c>
      <c r="AZ68" s="1" t="n">
        <f aca="false">IF(AND(Slot4_On=1,D68=Slot4_Age),1,0)</f>
        <v>0</v>
      </c>
      <c r="BA68" s="1" t="n">
        <f aca="false">IF(AND(Slot4_On=1,Slot4_Age&gt;D68),1,0)</f>
        <v>0</v>
      </c>
      <c r="BB68" s="1" t="n">
        <f aca="false">HR67</f>
        <v>0</v>
      </c>
      <c r="BC68" s="1" t="n">
        <f aca="false">AZ68*MIN(Slot4_Cost,BB68)</f>
        <v>0</v>
      </c>
      <c r="BD68" s="1" t="n">
        <f aca="false">AZ68*Slot4_SpendLike*MIN(Slot4_Cost-BC68,AV68)</f>
        <v>0</v>
      </c>
      <c r="BE68" s="1" t="n">
        <f aca="false">BC68+BD68</f>
        <v>0</v>
      </c>
      <c r="BF68" s="1" t="n">
        <f aca="false">AV68-BD68+AZ68*IF(Slot4_SpendLike=1,BB68-BC68,IF(Slot4_PotFree=1,BB68,0))</f>
        <v>0</v>
      </c>
      <c r="BG68" s="1" t="n">
        <f aca="false">AW68+AZ68*Slot4_BufPot*BB68</f>
        <v>0</v>
      </c>
      <c r="BH68" s="1" t="n">
        <f aca="false">IF(AND(AZ68=1,Slot4_IsMfree=1),IF(BE68&gt;=Slot4_Cost-1,0,MAX(0,AX68-BE68)),AX68)</f>
        <v>0</v>
      </c>
      <c r="BI68" s="1" t="n">
        <f aca="false">AZ68*(Slot4_Cost-BE68)</f>
        <v>0</v>
      </c>
      <c r="BJ68" s="1" t="n">
        <f aca="false">IF(AND(Slot5_On=1,D68=Slot5_Age),1,0)</f>
        <v>0</v>
      </c>
      <c r="BK68" s="1" t="n">
        <f aca="false">IF(AND(Slot5_On=1,Slot5_Age&gt;D68),1,0)</f>
        <v>0</v>
      </c>
      <c r="BL68" s="1" t="n">
        <f aca="false">HV67</f>
        <v>0</v>
      </c>
      <c r="BM68" s="1" t="n">
        <f aca="false">BJ68*MIN(Slot5_Cost,BL68)</f>
        <v>0</v>
      </c>
      <c r="BN68" s="1" t="n">
        <f aca="false">BJ68*Slot5_SpendLike*MIN(Slot5_Cost-BM68,BF68)</f>
        <v>0</v>
      </c>
      <c r="BO68" s="1" t="n">
        <f aca="false">BM68+BN68</f>
        <v>0</v>
      </c>
      <c r="BP68" s="1" t="n">
        <f aca="false">BF68-BN68+BJ68*IF(Slot5_SpendLike=1,BL68-BM68,IF(Slot5_PotFree=1,BL68,0))</f>
        <v>0</v>
      </c>
      <c r="BQ68" s="1" t="n">
        <f aca="false">BG68+BJ68*Slot5_BufPot*BL68</f>
        <v>0</v>
      </c>
      <c r="BR68" s="1" t="n">
        <f aca="false">IF(AND(BJ68=1,Slot5_IsMfree=1),IF(BO68&gt;=Slot5_Cost-1,0,MAX(0,BH68-BO68)),BH68)</f>
        <v>0</v>
      </c>
      <c r="BS68" s="1" t="n">
        <f aca="false">BJ68*(Slot5_Cost-BO68)</f>
        <v>0</v>
      </c>
      <c r="BT68" s="1" t="n">
        <f aca="false">IF(AND(Slot6_On=1,D68=Slot6_Age),1,0)</f>
        <v>0</v>
      </c>
      <c r="BU68" s="1" t="n">
        <f aca="false">IF(AND(Slot6_On=1,Slot6_Age&gt;D68),1,0)</f>
        <v>0</v>
      </c>
      <c r="BV68" s="1" t="n">
        <f aca="false">HZ67</f>
        <v>0</v>
      </c>
      <c r="BW68" s="1" t="n">
        <f aca="false">BT68*MIN(Slot6_Cost,BV68)</f>
        <v>0</v>
      </c>
      <c r="BX68" s="1" t="n">
        <f aca="false">BT68*Slot6_SpendLike*MIN(Slot6_Cost-BW68,BP68)</f>
        <v>0</v>
      </c>
      <c r="BY68" s="1" t="n">
        <f aca="false">BW68+BX68</f>
        <v>0</v>
      </c>
      <c r="BZ68" s="1" t="n">
        <f aca="false">BP68-BX68+BT68*IF(Slot6_SpendLike=1,BV68-BW68,IF(Slot6_PotFree=1,BV68,0))</f>
        <v>0</v>
      </c>
      <c r="CA68" s="1" t="n">
        <f aca="false">BQ68+BT68*Slot6_BufPot*BV68</f>
        <v>0</v>
      </c>
      <c r="CB68" s="1" t="n">
        <f aca="false">IF(AND(BT68=1,Slot6_IsMfree=1),IF(BY68&gt;=Slot6_Cost-1,0,MAX(0,BR68-BY68)),BR68)</f>
        <v>0</v>
      </c>
      <c r="CC68" s="1" t="n">
        <f aca="false">BT68*(Slot6_Cost-BY68)</f>
        <v>0</v>
      </c>
      <c r="CD68" s="1" t="n">
        <f aca="false">IF(AND(Slot7_On=1,D68=Slot7_Age),1,0)</f>
        <v>0</v>
      </c>
      <c r="CE68" s="1" t="n">
        <f aca="false">IF(AND(Slot7_On=1,Slot7_Age&gt;D68),1,0)</f>
        <v>0</v>
      </c>
      <c r="CF68" s="1" t="n">
        <f aca="false">ID67</f>
        <v>0</v>
      </c>
      <c r="CG68" s="1" t="n">
        <f aca="false">CD68*MIN(Slot7_Cost,CF68)</f>
        <v>0</v>
      </c>
      <c r="CH68" s="1" t="n">
        <f aca="false">CD68*Slot7_SpendLike*MIN(Slot7_Cost-CG68,BZ68)</f>
        <v>0</v>
      </c>
      <c r="CI68" s="1" t="n">
        <f aca="false">CG68+CH68</f>
        <v>0</v>
      </c>
      <c r="CJ68" s="1" t="n">
        <f aca="false">BZ68-CH68+CD68*IF(Slot7_SpendLike=1,CF68-CG68,IF(Slot7_PotFree=1,CF68,0))</f>
        <v>0</v>
      </c>
      <c r="CK68" s="1" t="n">
        <f aca="false">CA68+CD68*Slot7_BufPot*CF68</f>
        <v>0</v>
      </c>
      <c r="CL68" s="1" t="n">
        <f aca="false">IF(AND(CD68=1,Slot7_IsMfree=1),IF(CI68&gt;=Slot7_Cost-1,0,MAX(0,CB68-CI68)),CB68)</f>
        <v>0</v>
      </c>
      <c r="CM68" s="1" t="n">
        <f aca="false">CD68*(Slot7_Cost-CI68)</f>
        <v>0</v>
      </c>
      <c r="CN68" s="1" t="n">
        <f aca="false">IF(AND(Slot8_On=1,D68=Slot8_Age),1,0)</f>
        <v>0</v>
      </c>
      <c r="CO68" s="1" t="n">
        <f aca="false">IF(AND(Slot8_On=1,Slot8_Age&gt;D68),1,0)</f>
        <v>0</v>
      </c>
      <c r="CP68" s="1" t="n">
        <f aca="false">IH67</f>
        <v>0</v>
      </c>
      <c r="CQ68" s="1" t="n">
        <f aca="false">CN68*MIN(Slot8_Cost,CP68)</f>
        <v>0</v>
      </c>
      <c r="CR68" s="1" t="n">
        <f aca="false">CN68*Slot8_SpendLike*MIN(Slot8_Cost-CQ68,CJ68)</f>
        <v>0</v>
      </c>
      <c r="CS68" s="1" t="n">
        <f aca="false">CQ68+CR68</f>
        <v>0</v>
      </c>
      <c r="CT68" s="1" t="n">
        <f aca="false">CJ68-CR68+CN68*IF(Slot8_SpendLike=1,CP68-CQ68,IF(Slot8_PotFree=1,CP68,0))</f>
        <v>0</v>
      </c>
      <c r="CU68" s="1" t="n">
        <f aca="false">CK68+CN68*Slot8_BufPot*CP68</f>
        <v>0</v>
      </c>
      <c r="CV68" s="1" t="n">
        <f aca="false">IF(AND(CN68=1,Slot8_IsMfree=1),IF(CS68&gt;=Slot8_Cost-1,0,MAX(0,CL68-CS68)),CL68)</f>
        <v>0</v>
      </c>
      <c r="CW68" s="1" t="n">
        <f aca="false">CN68*(Slot8_Cost-CS68)</f>
        <v>0</v>
      </c>
      <c r="CX68" s="1" t="n">
        <f aca="false">U68*Slot1_SpendLike*Z68+AF68*Slot2_SpendLike*AK68+AP68*Slot3_SpendLike*AU68+AZ68*Slot4_SpendLike*BE68+BJ68*Slot5_SpendLike*BO68+BT68*Slot6_SpendLike*BY68+CD68*Slot7_SpendLike*CI68+CN68*Slot8_SpendLike*CS68</f>
        <v>0</v>
      </c>
      <c r="CY68" s="1" t="n">
        <f aca="false">AD68+AO68+AY68+BI68+BS68+CC68+CM68+CW68</f>
        <v>0</v>
      </c>
      <c r="CZ68" s="1" t="n">
        <f aca="false">U68*Slot1_Cost+AF68*Slot2_Cost+AP68*Slot3_Cost+AZ68*Slot4_Cost+BJ68*Slot5_Cost+BT68*Slot6_Cost+CD68*Slot7_Cost+CN68*Slot8_Cost</f>
        <v>0</v>
      </c>
      <c r="DA68" s="1" t="n">
        <f aca="false">CV68</f>
        <v>0</v>
      </c>
      <c r="DB68" s="1" t="n">
        <f aca="false">G68-H68-R68</f>
        <v>0</v>
      </c>
      <c r="DC68" s="1" t="n">
        <f aca="false">IF(B68=0,IF(AND(Has_q6=1,In_q6=4),PR_ShareVaries*(MAX(0,DB68)/12),MIN(IF(Has_q6=1,CHOOSE(In_q6+1,PR_SaveB1,PR_SaveB2,PR_SaveB3,PR_SaveB4,0),AS_NoAnswer),AS_SaveShare*(MAX(0,DB68)/12))),DC67)</f>
        <v>0</v>
      </c>
      <c r="DD68" s="1" t="n">
        <f aca="false">IF(DB68&gt;=0,1,0)</f>
        <v>1</v>
      </c>
      <c r="DE68" s="1" t="n">
        <f aca="false">MAX(0,DB68/12/E68)</f>
        <v>0</v>
      </c>
      <c r="DF68" s="1" t="n">
        <f aca="false">IF(AND(Has_q6=1,In_q6=4),PR_ShareVaries*(DE68),MIN(IF(Has_q6=1,CHOOSE(In_q6+1,PR_SaveB1,PR_SaveB2,PR_SaveB3,PR_SaveB4,0),AS_NoAnswer),AS_SaveShare*(DE68)))</f>
        <v>0</v>
      </c>
      <c r="DG68" s="1" t="n">
        <f aca="false">IF(Has_saveM=1,IF(In_saveUp="Yes",1,IF(In_saveUp="No",0,IF(In_saveM&gt;=DC68-0.5,1,0))),0)</f>
        <v>0</v>
      </c>
      <c r="DH68" s="1" t="n">
        <f aca="false">IF(Has_saveM=1,MIN(DE68,IF(DG68=1,MAX(In_saveM,DF68),MIN(In_saveM,DF68))),DF68)</f>
        <v>0</v>
      </c>
      <c r="DI68" s="1" t="n">
        <f aca="false">IF(F68=1,DH68*12*E68,0)</f>
        <v>0</v>
      </c>
      <c r="DJ68" s="1" t="n">
        <f aca="false">MAX(0,DI68+IF(AND(WI_Retire=0,WI_M&lt;0,F68=1),WI_M*12*E68,0))</f>
        <v>0</v>
      </c>
      <c r="DK68" s="1" t="n">
        <f aca="false">Slot1_IsWG*V68+Slot2_IsWG*AG68+Slot3_IsWG*AQ68+Slot4_IsWG*BA68+Slot5_IsWG*BK68+Slot6_IsWG*BU68+Slot7_IsWG*CE68+Slot8_IsWG*CO68</f>
        <v>0</v>
      </c>
      <c r="DL68" s="1" t="n">
        <f aca="false">IF(AND(WI_Retire=0,WI_M&gt;0,F68=1,DK68&gt;=1),WI_M*12*E68,0)</f>
        <v>0</v>
      </c>
      <c r="DM68" s="1" t="n">
        <f aca="false">IF(DD68=1,MIN(DJ68,DB68),0)</f>
        <v>0</v>
      </c>
      <c r="DN68" s="1" t="n">
        <f aca="false">IF(DD68=1,MIN(DL68,DB68-DM68),0)</f>
        <v>0</v>
      </c>
      <c r="DO68" s="1" t="n">
        <f aca="false">IF(V68=1,IF(ABS((1+AS_Wage)/(1+Slot1_Rate)-1)&lt;0.000000000001,(Slot1_Age-D68)*(1+Slot1_Rate)^(Slot1_Age-D68),(1+Slot1_Rate)^(Slot1_Age-D68)*(1-((1+AS_Wage)/(1+Slot1_Rate))^(Slot1_Age-D68))/(1-(1+AS_Wage)/(1+Slot1_Rate))),1)</f>
        <v>1</v>
      </c>
      <c r="DP68" s="1" t="n">
        <f aca="false">IF(AND(DD68=1,DN68&gt;0,Slot1_IsWG=1,V68=1),MAX(0,(Slot1_Cost-W68*(1+Slot1_Rate)^(Slot1_Age-D68))/DO68),0)</f>
        <v>0</v>
      </c>
      <c r="DQ68" s="1" t="n">
        <f aca="false">IF(AND(DD68=1,DN68&gt;0,Slot1_IsWG=1,V68=1),MIN(DN68,DP68),0)</f>
        <v>0</v>
      </c>
      <c r="DR68" s="1" t="n">
        <f aca="false">W68+DQ68</f>
        <v>0</v>
      </c>
      <c r="DS68" s="1" t="n">
        <f aca="false">IF(V68=1,MAX(0,(Slot1_Cost-DR68*(1+Slot1_Rate)^(Slot1_Age-D68))/DO68),0)</f>
        <v>0</v>
      </c>
      <c r="DT68" s="1" t="n">
        <f aca="false">IF(V68=1,MAX(0,(Slot1_Cost-W68*(1+Slot1_Rate)^(Slot1_Age-D68))/DO68),0)</f>
        <v>0</v>
      </c>
      <c r="DU68" s="1" t="n">
        <f aca="false">IF(AND(DD68=1,V68=1),MIN(DM68,DS68),0)</f>
        <v>0</v>
      </c>
      <c r="DV68" s="1" t="n">
        <f aca="false">DM68-DU68</f>
        <v>0</v>
      </c>
      <c r="DW68" s="1" t="n">
        <f aca="false">IF(AG68=1,IF(ABS((1+AS_Wage)/(1+Slot2_Rate)-1)&lt;0.000000000001,(Slot2_Age-D68)*(1+Slot2_Rate)^(Slot2_Age-D68),(1+Slot2_Rate)^(Slot2_Age-D68)*(1-((1+AS_Wage)/(1+Slot2_Rate))^(Slot2_Age-D68))/(1-(1+AS_Wage)/(1+Slot2_Rate))),1)</f>
        <v>1</v>
      </c>
      <c r="DX68" s="1" t="n">
        <f aca="false">IF(AND(DD68=1,DN68&gt;0,Slot2_IsWG=1,AG68=1),MAX(0,(Slot2_Cost-AH68*(1+Slot2_Rate)^(Slot2_Age-D68))/DW68),0)</f>
        <v>0</v>
      </c>
      <c r="DY68" s="1" t="n">
        <f aca="false">IF(AND(DD68=1,DN68&gt;0,Slot2_IsWG=1,AG68=1),MIN(DN68,DX68),0)</f>
        <v>0</v>
      </c>
      <c r="DZ68" s="1" t="n">
        <f aca="false">AH68+DY68</f>
        <v>0</v>
      </c>
      <c r="EA68" s="1" t="n">
        <f aca="false">IF(AG68=1,MAX(0,(Slot2_Cost-DZ68*(1+Slot2_Rate)^(Slot2_Age-D68))/DW68),0)</f>
        <v>0</v>
      </c>
      <c r="EB68" s="1" t="n">
        <f aca="false">IF(AG68=1,MAX(0,(Slot2_Cost-AH68*(1+Slot2_Rate)^(Slot2_Age-D68))/DW68),0)</f>
        <v>0</v>
      </c>
      <c r="EC68" s="1" t="n">
        <f aca="false">IF(AND(DD68=1,AG68=1),MIN(DV68,EA68),0)</f>
        <v>0</v>
      </c>
      <c r="ED68" s="1" t="n">
        <f aca="false">DV68-EC68</f>
        <v>0</v>
      </c>
      <c r="EE68" s="1" t="n">
        <f aca="false">IF(AQ68=1,IF(ABS((1+AS_Wage)/(1+Slot3_Rate)-1)&lt;0.000000000001,(Slot3_Age-D68)*(1+Slot3_Rate)^(Slot3_Age-D68),(1+Slot3_Rate)^(Slot3_Age-D68)*(1-((1+AS_Wage)/(1+Slot3_Rate))^(Slot3_Age-D68))/(1-(1+AS_Wage)/(1+Slot3_Rate))),1)</f>
        <v>1</v>
      </c>
      <c r="EF68" s="1" t="n">
        <f aca="false">IF(AND(DD68=1,DN68&gt;0,Slot3_IsWG=1,AQ68=1),MAX(0,(Slot3_Cost-AR68*(1+Slot3_Rate)^(Slot3_Age-D68))/EE68),0)</f>
        <v>0</v>
      </c>
      <c r="EG68" s="1" t="n">
        <f aca="false">IF(AND(DD68=1,DN68&gt;0,Slot3_IsWG=1,AQ68=1),MIN(DN68,EF68),0)</f>
        <v>0</v>
      </c>
      <c r="EH68" s="1" t="n">
        <f aca="false">AR68+EG68</f>
        <v>0</v>
      </c>
      <c r="EI68" s="1" t="n">
        <f aca="false">IF(AQ68=1,MAX(0,(Slot3_Cost-EH68*(1+Slot3_Rate)^(Slot3_Age-D68))/EE68),0)</f>
        <v>0</v>
      </c>
      <c r="EJ68" s="1" t="n">
        <f aca="false">IF(AQ68=1,MAX(0,(Slot3_Cost-AR68*(1+Slot3_Rate)^(Slot3_Age-D68))/EE68),0)</f>
        <v>0</v>
      </c>
      <c r="EK68" s="1" t="n">
        <f aca="false">IF(AND(DD68=1,AQ68=1),MIN(ED68,EI68),0)</f>
        <v>0</v>
      </c>
      <c r="EL68" s="1" t="n">
        <f aca="false">ED68-EK68</f>
        <v>0</v>
      </c>
      <c r="EM68" s="1" t="n">
        <f aca="false">IF(BA68=1,IF(ABS((1+AS_Wage)/(1+Slot4_Rate)-1)&lt;0.000000000001,(Slot4_Age-D68)*(1+Slot4_Rate)^(Slot4_Age-D68),(1+Slot4_Rate)^(Slot4_Age-D68)*(1-((1+AS_Wage)/(1+Slot4_Rate))^(Slot4_Age-D68))/(1-(1+AS_Wage)/(1+Slot4_Rate))),1)</f>
        <v>1</v>
      </c>
      <c r="EN68" s="1" t="n">
        <f aca="false">IF(AND(DD68=1,DN68&gt;0,Slot4_IsWG=1,BA68=1),MAX(0,(Slot4_Cost-BB68*(1+Slot4_Rate)^(Slot4_Age-D68))/EM68),0)</f>
        <v>0</v>
      </c>
      <c r="EO68" s="1" t="n">
        <f aca="false">IF(AND(DD68=1,DN68&gt;0,Slot4_IsWG=1,BA68=1),MIN(DN68,EN68),0)</f>
        <v>0</v>
      </c>
      <c r="EP68" s="1" t="n">
        <f aca="false">BB68+EO68</f>
        <v>0</v>
      </c>
      <c r="EQ68" s="1" t="n">
        <f aca="false">IF(BA68=1,MAX(0,(Slot4_Cost-EP68*(1+Slot4_Rate)^(Slot4_Age-D68))/EM68),0)</f>
        <v>0</v>
      </c>
      <c r="ER68" s="1" t="n">
        <f aca="false">IF(BA68=1,MAX(0,(Slot4_Cost-BB68*(1+Slot4_Rate)^(Slot4_Age-D68))/EM68),0)</f>
        <v>0</v>
      </c>
      <c r="ES68" s="1" t="n">
        <f aca="false">IF(AND(DD68=1,BA68=1),MIN(EL68,EQ68),0)</f>
        <v>0</v>
      </c>
      <c r="ET68" s="1" t="n">
        <f aca="false">EL68-ES68</f>
        <v>0</v>
      </c>
      <c r="EU68" s="1" t="n">
        <f aca="false">IF(BK68=1,IF(ABS((1+AS_Wage)/(1+Slot5_Rate)-1)&lt;0.000000000001,(Slot5_Age-D68)*(1+Slot5_Rate)^(Slot5_Age-D68),(1+Slot5_Rate)^(Slot5_Age-D68)*(1-((1+AS_Wage)/(1+Slot5_Rate))^(Slot5_Age-D68))/(1-(1+AS_Wage)/(1+Slot5_Rate))),1)</f>
        <v>1</v>
      </c>
      <c r="EV68" s="1" t="n">
        <f aca="false">IF(AND(DD68=1,DN68&gt;0,Slot5_IsWG=1,BK68=1),MAX(0,(Slot5_Cost-BL68*(1+Slot5_Rate)^(Slot5_Age-D68))/EU68),0)</f>
        <v>0</v>
      </c>
      <c r="EW68" s="1" t="n">
        <f aca="false">IF(AND(DD68=1,DN68&gt;0,Slot5_IsWG=1,BK68=1),MIN(DN68,EV68),0)</f>
        <v>0</v>
      </c>
      <c r="EX68" s="1" t="n">
        <f aca="false">BL68+EW68</f>
        <v>0</v>
      </c>
      <c r="EY68" s="1" t="n">
        <f aca="false">IF(BK68=1,MAX(0,(Slot5_Cost-EX68*(1+Slot5_Rate)^(Slot5_Age-D68))/EU68),0)</f>
        <v>0</v>
      </c>
      <c r="EZ68" s="1" t="n">
        <f aca="false">IF(BK68=1,MAX(0,(Slot5_Cost-BL68*(1+Slot5_Rate)^(Slot5_Age-D68))/EU68),0)</f>
        <v>0</v>
      </c>
      <c r="FA68" s="1" t="n">
        <f aca="false">IF(AND(DD68=1,BK68=1),MIN(ET68,EY68),0)</f>
        <v>0</v>
      </c>
      <c r="FB68" s="1" t="n">
        <f aca="false">ET68-FA68</f>
        <v>0</v>
      </c>
      <c r="FC68" s="1" t="n">
        <f aca="false">IF(BU68=1,IF(ABS((1+AS_Wage)/(1+Slot6_Rate)-1)&lt;0.000000000001,(Slot6_Age-D68)*(1+Slot6_Rate)^(Slot6_Age-D68),(1+Slot6_Rate)^(Slot6_Age-D68)*(1-((1+AS_Wage)/(1+Slot6_Rate))^(Slot6_Age-D68))/(1-(1+AS_Wage)/(1+Slot6_Rate))),1)</f>
        <v>1</v>
      </c>
      <c r="FD68" s="1" t="n">
        <f aca="false">IF(AND(DD68=1,DN68&gt;0,Slot6_IsWG=1,BU68=1),MAX(0,(Slot6_Cost-BV68*(1+Slot6_Rate)^(Slot6_Age-D68))/FC68),0)</f>
        <v>0</v>
      </c>
      <c r="FE68" s="1" t="n">
        <f aca="false">IF(AND(DD68=1,DN68&gt;0,Slot6_IsWG=1,BU68=1),MIN(DN68,FD68),0)</f>
        <v>0</v>
      </c>
      <c r="FF68" s="1" t="n">
        <f aca="false">BV68+FE68</f>
        <v>0</v>
      </c>
      <c r="FG68" s="1" t="n">
        <f aca="false">IF(BU68=1,MAX(0,(Slot6_Cost-FF68*(1+Slot6_Rate)^(Slot6_Age-D68))/FC68),0)</f>
        <v>0</v>
      </c>
      <c r="FH68" s="1" t="n">
        <f aca="false">IF(BU68=1,MAX(0,(Slot6_Cost-BV68*(1+Slot6_Rate)^(Slot6_Age-D68))/FC68),0)</f>
        <v>0</v>
      </c>
      <c r="FI68" s="1" t="n">
        <f aca="false">IF(AND(DD68=1,BU68=1),MIN(FB68,FG68),0)</f>
        <v>0</v>
      </c>
      <c r="FJ68" s="1" t="n">
        <f aca="false">FB68-FI68</f>
        <v>0</v>
      </c>
      <c r="FK68" s="1" t="n">
        <f aca="false">IF(CE68=1,IF(ABS((1+AS_Wage)/(1+Slot7_Rate)-1)&lt;0.000000000001,(Slot7_Age-D68)*(1+Slot7_Rate)^(Slot7_Age-D68),(1+Slot7_Rate)^(Slot7_Age-D68)*(1-((1+AS_Wage)/(1+Slot7_Rate))^(Slot7_Age-D68))/(1-(1+AS_Wage)/(1+Slot7_Rate))),1)</f>
        <v>1</v>
      </c>
      <c r="FL68" s="1" t="n">
        <f aca="false">IF(AND(DD68=1,DN68&gt;0,Slot7_IsWG=1,CE68=1),MAX(0,(Slot7_Cost-CF68*(1+Slot7_Rate)^(Slot7_Age-D68))/FK68),0)</f>
        <v>0</v>
      </c>
      <c r="FM68" s="1" t="n">
        <f aca="false">IF(AND(DD68=1,DN68&gt;0,Slot7_IsWG=1,CE68=1),MIN(DN68,FL68),0)</f>
        <v>0</v>
      </c>
      <c r="FN68" s="1" t="n">
        <f aca="false">CF68+FM68</f>
        <v>0</v>
      </c>
      <c r="FO68" s="1" t="n">
        <f aca="false">IF(CE68=1,MAX(0,(Slot7_Cost-FN68*(1+Slot7_Rate)^(Slot7_Age-D68))/FK68),0)</f>
        <v>0</v>
      </c>
      <c r="FP68" s="1" t="n">
        <f aca="false">IF(CE68=1,MAX(0,(Slot7_Cost-CF68*(1+Slot7_Rate)^(Slot7_Age-D68))/FK68),0)</f>
        <v>0</v>
      </c>
      <c r="FQ68" s="1" t="n">
        <f aca="false">IF(AND(DD68=1,CE68=1),MIN(FJ68,FO68),0)</f>
        <v>0</v>
      </c>
      <c r="FR68" s="1" t="n">
        <f aca="false">FJ68-FQ68</f>
        <v>0</v>
      </c>
      <c r="FS68" s="1" t="n">
        <f aca="false">IF(CO68=1,IF(ABS((1+AS_Wage)/(1+Slot8_Rate)-1)&lt;0.000000000001,(Slot8_Age-D68)*(1+Slot8_Rate)^(Slot8_Age-D68),(1+Slot8_Rate)^(Slot8_Age-D68)*(1-((1+AS_Wage)/(1+Slot8_Rate))^(Slot8_Age-D68))/(1-(1+AS_Wage)/(1+Slot8_Rate))),1)</f>
        <v>1</v>
      </c>
      <c r="FT68" s="1" t="n">
        <f aca="false">IF(AND(DD68=1,DN68&gt;0,Slot8_IsWG=1,CO68=1),MAX(0,(Slot8_Cost-CP68*(1+Slot8_Rate)^(Slot8_Age-D68))/FS68),0)</f>
        <v>0</v>
      </c>
      <c r="FU68" s="1" t="n">
        <f aca="false">IF(AND(DD68=1,DN68&gt;0,Slot8_IsWG=1,CO68=1),MIN(DN68,FT68),0)</f>
        <v>0</v>
      </c>
      <c r="FV68" s="1" t="n">
        <f aca="false">CP68+FU68</f>
        <v>0</v>
      </c>
      <c r="FW68" s="1" t="n">
        <f aca="false">IF(CO68=1,MAX(0,(Slot8_Cost-FV68*(1+Slot8_Rate)^(Slot8_Age-D68))/FS68),0)</f>
        <v>0</v>
      </c>
      <c r="FX68" s="1" t="n">
        <f aca="false">IF(CO68=1,MAX(0,(Slot8_Cost-CP68*(1+Slot8_Rate)^(Slot8_Age-D68))/FS68),0)</f>
        <v>0</v>
      </c>
      <c r="FY68" s="1" t="n">
        <f aca="false">IF(AND(DD68=1,CO68=1),MIN(FR68,FW68),0)</f>
        <v>0</v>
      </c>
      <c r="FZ68" s="1" t="n">
        <f aca="false">FR68-FY68</f>
        <v>0</v>
      </c>
      <c r="GA68" s="1" t="n">
        <f aca="false">DN68-(DQ68+DY68+EG68+EO68+EW68+FE68+FM68+FU68)</f>
        <v>0</v>
      </c>
      <c r="GB68" s="1" t="n">
        <f aca="false">IF(DD68=1,DB68-DM68-DN68,0)</f>
        <v>0</v>
      </c>
      <c r="GC68" s="1" t="n">
        <f aca="false">IF(DD68=0,-DB68,0)</f>
        <v>0</v>
      </c>
      <c r="GD68" s="1" t="n">
        <f aca="false">MIN(GC68,CT68)</f>
        <v>0</v>
      </c>
      <c r="GE68" s="1" t="n">
        <f aca="false">GC68-GD68</f>
        <v>0</v>
      </c>
      <c r="GF68" s="1" t="n">
        <f aca="false">MIN(GE68,CU68)</f>
        <v>0</v>
      </c>
      <c r="GG68" s="1" t="n">
        <f aca="false">GE68-GF68</f>
        <v>0</v>
      </c>
      <c r="GH68" s="1" t="n">
        <f aca="false">IF(AND(DD68=0,CO68=1,GG68&gt;0),MIN(GG68,CP68),0)</f>
        <v>0</v>
      </c>
      <c r="GI68" s="1" t="n">
        <f aca="false">GG68-GH68</f>
        <v>0</v>
      </c>
      <c r="GJ68" s="1" t="n">
        <f aca="false">IF(AND(DD68=0,CE68=1,GI68&gt;0),MIN(GI68,CF68),0)</f>
        <v>0</v>
      </c>
      <c r="GK68" s="1" t="n">
        <f aca="false">GI68-GJ68</f>
        <v>0</v>
      </c>
      <c r="GL68" s="1" t="n">
        <f aca="false">IF(AND(DD68=0,BU68=1,GK68&gt;0),MIN(GK68,BV68),0)</f>
        <v>0</v>
      </c>
      <c r="GM68" s="1" t="n">
        <f aca="false">GK68-GL68</f>
        <v>0</v>
      </c>
      <c r="GN68" s="1" t="n">
        <f aca="false">IF(AND(DD68=0,BK68=1,GM68&gt;0),MIN(GM68,BL68),0)</f>
        <v>0</v>
      </c>
      <c r="GO68" s="1" t="n">
        <f aca="false">GM68-GN68</f>
        <v>0</v>
      </c>
      <c r="GP68" s="1" t="n">
        <f aca="false">IF(AND(DD68=0,BA68=1,GO68&gt;0),MIN(GO68,BB68),0)</f>
        <v>0</v>
      </c>
      <c r="GQ68" s="1" t="n">
        <f aca="false">GO68-GP68</f>
        <v>0</v>
      </c>
      <c r="GR68" s="1" t="n">
        <f aca="false">IF(AND(DD68=0,AQ68=1,GQ68&gt;0),MIN(GQ68,AR68),0)</f>
        <v>0</v>
      </c>
      <c r="GS68" s="1" t="n">
        <f aca="false">GQ68-GR68</f>
        <v>0</v>
      </c>
      <c r="GT68" s="1" t="n">
        <f aca="false">IF(AND(DD68=0,AG68=1,GS68&gt;0),MIN(GS68,AH68),0)</f>
        <v>0</v>
      </c>
      <c r="GU68" s="1" t="n">
        <f aca="false">GS68-GT68</f>
        <v>0</v>
      </c>
      <c r="GV68" s="1" t="n">
        <f aca="false">IF(AND(DD68=0,V68=1,GU68&gt;0),MIN(GU68,W68),0)</f>
        <v>0</v>
      </c>
      <c r="GW68" s="1" t="n">
        <f aca="false">GU68-GV68</f>
        <v>0</v>
      </c>
      <c r="GX68" s="1" t="n">
        <f aca="false">IF(DD68=0,GW68,0)</f>
        <v>0</v>
      </c>
      <c r="GY68" s="1" t="n">
        <f aca="false">GD68+GF68+GV68+GT68+GR68+GP68+GN68+GL68+GJ68+GH68</f>
        <v>0</v>
      </c>
      <c r="GZ68" s="1" t="n">
        <f aca="false">IF(DD68=1,CT68+GA68+FZ68+IF(F68=1,0,GB68),CT68-GD68)</f>
        <v>0</v>
      </c>
      <c r="HA68" s="1" t="n">
        <f aca="false">CU68-GF68</f>
        <v>0</v>
      </c>
      <c r="HB68" s="1" t="n">
        <f aca="false">IF(DD68=1,IF(F68=1,DM68+DN68,DB68),0)</f>
        <v>0</v>
      </c>
      <c r="HC68" s="1" t="n">
        <f aca="false">IF(DD68=1,IF(F68=1,DB68-DM68-DN68,0),0)</f>
        <v>0</v>
      </c>
      <c r="HD68" s="1" t="n">
        <f aca="false">GZ68*(1+GR)</f>
        <v>0</v>
      </c>
      <c r="HE68" s="1" t="n">
        <f aca="false">HA68*(1+AS_Cash)</f>
        <v>0</v>
      </c>
      <c r="HF68" s="1" t="n">
        <f aca="false">IF(V68=1,IF(DD68=1,DR68+DU68,W68-GV68)*(1+Slot1_Rate),0)</f>
        <v>0</v>
      </c>
      <c r="HG68" s="1" t="n">
        <f aca="false">IF(AND(DD68=1,V68=1),(DQ68+DU68)/E68,0)</f>
        <v>0</v>
      </c>
      <c r="HH68" s="1" t="n">
        <f aca="false">IF(B68=0,DQ68+DU68,0)</f>
        <v>0</v>
      </c>
      <c r="HI68" s="1" t="n">
        <f aca="false">IF(B68=0,IF(DD68=1,DS68,DT68),0)</f>
        <v>0</v>
      </c>
      <c r="HJ68" s="1" t="n">
        <f aca="false">IF(AG68=1,IF(DD68=1,DZ68+EC68,AH68-GT68)*(1+Slot2_Rate),0)</f>
        <v>0</v>
      </c>
      <c r="HK68" s="1" t="n">
        <f aca="false">IF(AND(DD68=1,AG68=1),(DY68+EC68)/E68,0)</f>
        <v>0</v>
      </c>
      <c r="HL68" s="1" t="n">
        <f aca="false">IF(B68=0,DY68+EC68,0)</f>
        <v>0</v>
      </c>
      <c r="HM68" s="1" t="n">
        <f aca="false">IF(B68=0,IF(DD68=1,EA68,EB68),0)</f>
        <v>0</v>
      </c>
      <c r="HN68" s="1" t="n">
        <f aca="false">IF(AQ68=1,IF(DD68=1,EH68+EK68,AR68-GR68)*(1+Slot3_Rate),0)</f>
        <v>0</v>
      </c>
      <c r="HO68" s="1" t="n">
        <f aca="false">IF(AND(DD68=1,AQ68=1),(EG68+EK68)/E68,0)</f>
        <v>0</v>
      </c>
      <c r="HP68" s="1" t="n">
        <f aca="false">IF(B68=0,EG68+EK68,0)</f>
        <v>0</v>
      </c>
      <c r="HQ68" s="1" t="n">
        <f aca="false">IF(B68=0,IF(DD68=1,EI68,EJ68),0)</f>
        <v>0</v>
      </c>
      <c r="HR68" s="1" t="n">
        <f aca="false">IF(BA68=1,IF(DD68=1,EP68+ES68,BB68-GP68)*(1+Slot4_Rate),0)</f>
        <v>0</v>
      </c>
      <c r="HS68" s="1" t="n">
        <f aca="false">IF(AND(DD68=1,BA68=1),(EO68+ES68)/E68,0)</f>
        <v>0</v>
      </c>
      <c r="HT68" s="1" t="n">
        <f aca="false">IF(B68=0,EO68+ES68,0)</f>
        <v>0</v>
      </c>
      <c r="HU68" s="1" t="n">
        <f aca="false">IF(B68=0,IF(DD68=1,EQ68,ER68),0)</f>
        <v>0</v>
      </c>
      <c r="HV68" s="1" t="n">
        <f aca="false">IF(BK68=1,IF(DD68=1,EX68+FA68,BL68-GN68)*(1+Slot5_Rate),0)</f>
        <v>0</v>
      </c>
      <c r="HW68" s="1" t="n">
        <f aca="false">IF(AND(DD68=1,BK68=1),(EW68+FA68)/E68,0)</f>
        <v>0</v>
      </c>
      <c r="HX68" s="1" t="n">
        <f aca="false">IF(B68=0,EW68+FA68,0)</f>
        <v>0</v>
      </c>
      <c r="HY68" s="1" t="n">
        <f aca="false">IF(B68=0,IF(DD68=1,EY68,EZ68),0)</f>
        <v>0</v>
      </c>
      <c r="HZ68" s="1" t="n">
        <f aca="false">IF(BU68=1,IF(DD68=1,FF68+FI68,BV68-GL68)*(1+Slot6_Rate),0)</f>
        <v>0</v>
      </c>
      <c r="IA68" s="1" t="n">
        <f aca="false">IF(AND(DD68=1,BU68=1),(FE68+FI68)/E68,0)</f>
        <v>0</v>
      </c>
      <c r="IB68" s="1" t="n">
        <f aca="false">IF(B68=0,FE68+FI68,0)</f>
        <v>0</v>
      </c>
      <c r="IC68" s="1" t="n">
        <f aca="false">IF(B68=0,IF(DD68=1,FG68,FH68),0)</f>
        <v>0</v>
      </c>
      <c r="ID68" s="1" t="n">
        <f aca="false">IF(CE68=1,IF(DD68=1,FN68+FQ68,CF68-GJ68)*(1+Slot7_Rate),0)</f>
        <v>0</v>
      </c>
      <c r="IE68" s="1" t="n">
        <f aca="false">IF(AND(DD68=1,CE68=1),(FM68+FQ68)/E68,0)</f>
        <v>0</v>
      </c>
      <c r="IF68" s="1" t="n">
        <f aca="false">IF(B68=0,FM68+FQ68,0)</f>
        <v>0</v>
      </c>
      <c r="IG68" s="1" t="n">
        <f aca="false">IF(B68=0,IF(DD68=1,FO68,FP68),0)</f>
        <v>0</v>
      </c>
      <c r="IH68" s="1" t="n">
        <f aca="false">IF(CO68=1,IF(DD68=1,FV68+FY68,CP68-GH68)*(1+Slot8_Rate),0)</f>
        <v>0</v>
      </c>
      <c r="II68" s="1" t="n">
        <f aca="false">IF(AND(DD68=1,CO68=1),(FU68+FY68)/E68,0)</f>
        <v>0</v>
      </c>
      <c r="IJ68" s="1" t="n">
        <f aca="false">IF(B68=0,FU68+FY68,0)</f>
        <v>0</v>
      </c>
      <c r="IK68" s="1" t="n">
        <f aca="false">IF(B68=0,IF(DD68=1,FW68,FX68),0)</f>
        <v>0</v>
      </c>
      <c r="IL68" s="1" t="n">
        <f aca="false">HD68+HE68+HF68+HJ68+HN68+HR68+HV68+HZ68+ID68+IH68</f>
        <v>0</v>
      </c>
      <c r="IM68" s="1" t="n">
        <f aca="false">GX68+CY68</f>
        <v>0</v>
      </c>
      <c r="IN68" s="1" t="n">
        <f aca="false">H68+R68</f>
        <v>0</v>
      </c>
      <c r="IO68" s="1" t="n">
        <f aca="false">1-F68</f>
        <v>1</v>
      </c>
      <c r="IP68" s="1" t="n">
        <f aca="false">IF(AND(RG_Exists=1,F68=0,C68=1),H68,0)</f>
        <v>0</v>
      </c>
      <c r="IQ68" s="1" t="n">
        <f aca="false">IF(AND(RG_Exists=1,F68=0,C68=1),H68-MIN(GX68,H68),0)</f>
        <v>0</v>
      </c>
      <c r="IR68" s="1" t="n">
        <f aca="false">'Plan pay &amp; tax'!AD270</f>
        <v>0</v>
      </c>
      <c r="IS68" s="1" t="n">
        <f aca="false">IF(AND(C68=1,GX68&gt;MAX(PR_Short1,IN68*PR_Short2)),1,0)</f>
        <v>0</v>
      </c>
      <c r="IT68" s="1" t="n">
        <f aca="false">MIN(G68,H68+R68)</f>
        <v>0</v>
      </c>
      <c r="IU68" s="1" t="n">
        <f aca="false">GY68+MAX(0,CZ68-CY68)</f>
        <v>0</v>
      </c>
      <c r="IV68" s="1" t="n">
        <f aca="false">GX68+CY68</f>
        <v>0</v>
      </c>
      <c r="IW68" s="1" t="n">
        <f aca="false">IF(AND(C68=1,IV68&gt;0.5),1,0)</f>
        <v>0</v>
      </c>
      <c r="IX68" s="1" t="n">
        <f aca="false">IF(AND(C68=1,IW68=0,IU68&gt;0.5),1,0)</f>
        <v>0</v>
      </c>
      <c r="IY68" s="1" t="n">
        <f aca="false">IF(AND(C68=1,GX68&gt;0.5),1,0)</f>
        <v>0</v>
      </c>
      <c r="IZ68" s="1" t="n">
        <f aca="false">IF(AND(C68=1,GY68&gt;1,JF68=0),1,0)</f>
        <v>0</v>
      </c>
      <c r="JA68" s="1" t="n">
        <f aca="false">IF(AND(INT(D68/10)*10=90,B68&gt;0),80,INT(D68/10)*10)</f>
        <v>60</v>
      </c>
      <c r="JB68" s="1" t="n">
        <f aca="false">IF(B68=0,1,IF(JA68&lt;&gt;JA67,JB67+1,JB67))</f>
        <v>7</v>
      </c>
      <c r="JC68" s="1" t="n">
        <f aca="false">IF(AND(C68=1,F68=1,GX68&gt;MAX(PR_Short1,IN68*PR_Short2)),1,0)</f>
        <v>0</v>
      </c>
      <c r="JD68" s="1" t="n">
        <f aca="false">IO68*IS68</f>
        <v>0</v>
      </c>
      <c r="JE68" s="1" t="n">
        <f aca="false">IF(AND(U68=1,Slot1_PctLow=1),1,0)+IF(AND(AF68=1,Slot2_PctLow=1),1,0)+IF(AND(AP68=1,Slot3_PctLow=1),1,0)+IF(AND(AZ68=1,Slot4_PctLow=1),1,0)+IF(AND(BJ68=1,Slot5_PctLow=1),1,0)+IF(AND(BT68=1,Slot6_PctLow=1),1,0)+IF(AND(CD68=1,Slot7_PctLow=1),1,0)+IF(AND(CN68=1,Slot8_PctLow=1),1,0)</f>
        <v>0</v>
      </c>
      <c r="JF68" s="1" t="n">
        <f aca="false">IF(C68=1,IF(OR(IS68=1,JE68&gt;0),1,0),0)</f>
        <v>0</v>
      </c>
    </row>
    <row r="69" customFormat="false" ht="15" hidden="false" customHeight="false" outlineLevel="0" collapsed="false">
      <c r="B69" s="1" t="n">
        <v>61</v>
      </c>
      <c r="C69" s="1" t="n">
        <f aca="false">IF(B69&lt;=F_N,1,0)</f>
        <v>1</v>
      </c>
      <c r="D69" s="1" t="n">
        <f aca="false">'Plan pay &amp; tax'!C271</f>
        <v>61</v>
      </c>
      <c r="E69" s="106" t="n">
        <f aca="false">'Plan pay &amp; tax'!E271</f>
        <v>3.34665140413272</v>
      </c>
      <c r="F69" s="1" t="n">
        <f aca="false">'Plan pay &amp; tax'!G271</f>
        <v>0</v>
      </c>
      <c r="G69" s="1" t="n">
        <f aca="false">'Plan pay &amp; tax'!BT271-'Plan pay &amp; tax'!BS271-'Plan pay &amp; tax'!R271</f>
        <v>0</v>
      </c>
      <c r="H69" s="1" t="n">
        <f aca="false">IF(F69=1,F_CostsM*12,IF(RG_Exists=1,RG_Amount,F_CostsM*12*AS_RetireSpend))*E69+F_OneOffY*E69</f>
        <v>0</v>
      </c>
      <c r="I69" s="1" t="n">
        <f aca="false">DA68</f>
        <v>0</v>
      </c>
      <c r="J69" s="1" t="n">
        <f aca="false">IF(I69&gt;1,'Plan debt months'!AC69,0)</f>
        <v>0</v>
      </c>
      <c r="K69" s="1" t="n">
        <f aca="false">IF(I69&gt;1,'Plan debt months'!AB69,I69)</f>
        <v>0</v>
      </c>
      <c r="L69" s="1" t="n">
        <f aca="false">N68</f>
        <v>0</v>
      </c>
      <c r="M69" s="1" t="n">
        <f aca="false">IF(L69&gt;1,'Plan debt months'!BD69,0)</f>
        <v>0</v>
      </c>
      <c r="N69" s="1" t="n">
        <f aca="false">IF(L69&gt;1,'Plan debt months'!BC69,L69)</f>
        <v>0</v>
      </c>
      <c r="O69" s="1" t="n">
        <f aca="false">Q68</f>
        <v>0</v>
      </c>
      <c r="P69" s="1" t="n">
        <f aca="false">IF(O69&gt;1,'Plan debt months'!CE69,0)</f>
        <v>0</v>
      </c>
      <c r="Q69" s="1" t="n">
        <f aca="false">IF(O69&gt;1,'Plan debt months'!CD69,O69)</f>
        <v>0</v>
      </c>
      <c r="R69" s="1" t="n">
        <f aca="false">J69+M69+P69</f>
        <v>0</v>
      </c>
      <c r="S69" s="1" t="n">
        <f aca="false">HD68+'Plan pay &amp; tax'!Y271</f>
        <v>0</v>
      </c>
      <c r="T69" s="1" t="n">
        <f aca="false">HD68</f>
        <v>0</v>
      </c>
      <c r="U69" s="1" t="n">
        <f aca="false">IF(AND(Slot1_On=1,D69=Slot1_Age),1,0)</f>
        <v>0</v>
      </c>
      <c r="V69" s="1" t="n">
        <f aca="false">IF(AND(Slot1_On=1,Slot1_Age&gt;D69),1,0)</f>
        <v>0</v>
      </c>
      <c r="W69" s="1" t="n">
        <f aca="false">HF68</f>
        <v>0</v>
      </c>
      <c r="X69" s="1" t="n">
        <f aca="false">U69*MIN(Slot1_Cost,W69)</f>
        <v>0</v>
      </c>
      <c r="Y69" s="1" t="n">
        <f aca="false">U69*Slot1_SpendLike*MIN(Slot1_Cost-X69,S69)</f>
        <v>0</v>
      </c>
      <c r="Z69" s="1" t="n">
        <f aca="false">X69+Y69</f>
        <v>0</v>
      </c>
      <c r="AA69" s="1" t="n">
        <f aca="false">S69-Y69+U69*IF(Slot1_SpendLike=1,W69-X69,IF(Slot1_PotFree=1,W69,0))</f>
        <v>0</v>
      </c>
      <c r="AB69" s="1" t="n">
        <f aca="false">AE69+U69*Slot1_BufPot*W69</f>
        <v>0</v>
      </c>
      <c r="AC69" s="1" t="n">
        <f aca="false">IF(AND(U69=1,Slot1_IsMfree=1),IF(Z69&gt;=Slot1_Cost-1,0,MAX(0,K69-Z69)),K69)</f>
        <v>0</v>
      </c>
      <c r="AD69" s="1" t="n">
        <f aca="false">U69*(Slot1_Cost-Z69)</f>
        <v>0</v>
      </c>
      <c r="AE69" s="1" t="n">
        <f aca="false">HE68</f>
        <v>0</v>
      </c>
      <c r="AF69" s="1" t="n">
        <f aca="false">IF(AND(Slot2_On=1,D69=Slot2_Age),1,0)</f>
        <v>0</v>
      </c>
      <c r="AG69" s="1" t="n">
        <f aca="false">IF(AND(Slot2_On=1,Slot2_Age&gt;D69),1,0)</f>
        <v>0</v>
      </c>
      <c r="AH69" s="1" t="n">
        <f aca="false">HJ68</f>
        <v>0</v>
      </c>
      <c r="AI69" s="1" t="n">
        <f aca="false">AF69*MIN(Slot2_Cost,AH69)</f>
        <v>0</v>
      </c>
      <c r="AJ69" s="1" t="n">
        <f aca="false">AF69*Slot2_SpendLike*MIN(Slot2_Cost-AI69,AA69)</f>
        <v>0</v>
      </c>
      <c r="AK69" s="1" t="n">
        <f aca="false">AI69+AJ69</f>
        <v>0</v>
      </c>
      <c r="AL69" s="1" t="n">
        <f aca="false">AA69-AJ69+AF69*IF(Slot2_SpendLike=1,AH69-AI69,IF(Slot2_PotFree=1,AH69,0))</f>
        <v>0</v>
      </c>
      <c r="AM69" s="1" t="n">
        <f aca="false">AB69+AF69*Slot2_BufPot*AH69</f>
        <v>0</v>
      </c>
      <c r="AN69" s="1" t="n">
        <f aca="false">IF(AND(AF69=1,Slot2_IsMfree=1),IF(AK69&gt;=Slot2_Cost-1,0,MAX(0,AC69-AK69)),AC69)</f>
        <v>0</v>
      </c>
      <c r="AO69" s="1" t="n">
        <f aca="false">AF69*(Slot2_Cost-AK69)</f>
        <v>0</v>
      </c>
      <c r="AP69" s="1" t="n">
        <f aca="false">IF(AND(Slot3_On=1,D69=Slot3_Age),1,0)</f>
        <v>0</v>
      </c>
      <c r="AQ69" s="1" t="n">
        <f aca="false">IF(AND(Slot3_On=1,Slot3_Age&gt;D69),1,0)</f>
        <v>0</v>
      </c>
      <c r="AR69" s="1" t="n">
        <f aca="false">HN68</f>
        <v>0</v>
      </c>
      <c r="AS69" s="1" t="n">
        <f aca="false">AP69*MIN(Slot3_Cost,AR69)</f>
        <v>0</v>
      </c>
      <c r="AT69" s="1" t="n">
        <f aca="false">AP69*Slot3_SpendLike*MIN(Slot3_Cost-AS69,AL69)</f>
        <v>0</v>
      </c>
      <c r="AU69" s="1" t="n">
        <f aca="false">AS69+AT69</f>
        <v>0</v>
      </c>
      <c r="AV69" s="1" t="n">
        <f aca="false">AL69-AT69+AP69*IF(Slot3_SpendLike=1,AR69-AS69,IF(Slot3_PotFree=1,AR69,0))</f>
        <v>0</v>
      </c>
      <c r="AW69" s="1" t="n">
        <f aca="false">AM69+AP69*Slot3_BufPot*AR69</f>
        <v>0</v>
      </c>
      <c r="AX69" s="1" t="n">
        <f aca="false">IF(AND(AP69=1,Slot3_IsMfree=1),IF(AU69&gt;=Slot3_Cost-1,0,MAX(0,AN69-AU69)),AN69)</f>
        <v>0</v>
      </c>
      <c r="AY69" s="1" t="n">
        <f aca="false">AP69*(Slot3_Cost-AU69)</f>
        <v>0</v>
      </c>
      <c r="AZ69" s="1" t="n">
        <f aca="false">IF(AND(Slot4_On=1,D69=Slot4_Age),1,0)</f>
        <v>0</v>
      </c>
      <c r="BA69" s="1" t="n">
        <f aca="false">IF(AND(Slot4_On=1,Slot4_Age&gt;D69),1,0)</f>
        <v>0</v>
      </c>
      <c r="BB69" s="1" t="n">
        <f aca="false">HR68</f>
        <v>0</v>
      </c>
      <c r="BC69" s="1" t="n">
        <f aca="false">AZ69*MIN(Slot4_Cost,BB69)</f>
        <v>0</v>
      </c>
      <c r="BD69" s="1" t="n">
        <f aca="false">AZ69*Slot4_SpendLike*MIN(Slot4_Cost-BC69,AV69)</f>
        <v>0</v>
      </c>
      <c r="BE69" s="1" t="n">
        <f aca="false">BC69+BD69</f>
        <v>0</v>
      </c>
      <c r="BF69" s="1" t="n">
        <f aca="false">AV69-BD69+AZ69*IF(Slot4_SpendLike=1,BB69-BC69,IF(Slot4_PotFree=1,BB69,0))</f>
        <v>0</v>
      </c>
      <c r="BG69" s="1" t="n">
        <f aca="false">AW69+AZ69*Slot4_BufPot*BB69</f>
        <v>0</v>
      </c>
      <c r="BH69" s="1" t="n">
        <f aca="false">IF(AND(AZ69=1,Slot4_IsMfree=1),IF(BE69&gt;=Slot4_Cost-1,0,MAX(0,AX69-BE69)),AX69)</f>
        <v>0</v>
      </c>
      <c r="BI69" s="1" t="n">
        <f aca="false">AZ69*(Slot4_Cost-BE69)</f>
        <v>0</v>
      </c>
      <c r="BJ69" s="1" t="n">
        <f aca="false">IF(AND(Slot5_On=1,D69=Slot5_Age),1,0)</f>
        <v>0</v>
      </c>
      <c r="BK69" s="1" t="n">
        <f aca="false">IF(AND(Slot5_On=1,Slot5_Age&gt;D69),1,0)</f>
        <v>0</v>
      </c>
      <c r="BL69" s="1" t="n">
        <f aca="false">HV68</f>
        <v>0</v>
      </c>
      <c r="BM69" s="1" t="n">
        <f aca="false">BJ69*MIN(Slot5_Cost,BL69)</f>
        <v>0</v>
      </c>
      <c r="BN69" s="1" t="n">
        <f aca="false">BJ69*Slot5_SpendLike*MIN(Slot5_Cost-BM69,BF69)</f>
        <v>0</v>
      </c>
      <c r="BO69" s="1" t="n">
        <f aca="false">BM69+BN69</f>
        <v>0</v>
      </c>
      <c r="BP69" s="1" t="n">
        <f aca="false">BF69-BN69+BJ69*IF(Slot5_SpendLike=1,BL69-BM69,IF(Slot5_PotFree=1,BL69,0))</f>
        <v>0</v>
      </c>
      <c r="BQ69" s="1" t="n">
        <f aca="false">BG69+BJ69*Slot5_BufPot*BL69</f>
        <v>0</v>
      </c>
      <c r="BR69" s="1" t="n">
        <f aca="false">IF(AND(BJ69=1,Slot5_IsMfree=1),IF(BO69&gt;=Slot5_Cost-1,0,MAX(0,BH69-BO69)),BH69)</f>
        <v>0</v>
      </c>
      <c r="BS69" s="1" t="n">
        <f aca="false">BJ69*(Slot5_Cost-BO69)</f>
        <v>0</v>
      </c>
      <c r="BT69" s="1" t="n">
        <f aca="false">IF(AND(Slot6_On=1,D69=Slot6_Age),1,0)</f>
        <v>0</v>
      </c>
      <c r="BU69" s="1" t="n">
        <f aca="false">IF(AND(Slot6_On=1,Slot6_Age&gt;D69),1,0)</f>
        <v>0</v>
      </c>
      <c r="BV69" s="1" t="n">
        <f aca="false">HZ68</f>
        <v>0</v>
      </c>
      <c r="BW69" s="1" t="n">
        <f aca="false">BT69*MIN(Slot6_Cost,BV69)</f>
        <v>0</v>
      </c>
      <c r="BX69" s="1" t="n">
        <f aca="false">BT69*Slot6_SpendLike*MIN(Slot6_Cost-BW69,BP69)</f>
        <v>0</v>
      </c>
      <c r="BY69" s="1" t="n">
        <f aca="false">BW69+BX69</f>
        <v>0</v>
      </c>
      <c r="BZ69" s="1" t="n">
        <f aca="false">BP69-BX69+BT69*IF(Slot6_SpendLike=1,BV69-BW69,IF(Slot6_PotFree=1,BV69,0))</f>
        <v>0</v>
      </c>
      <c r="CA69" s="1" t="n">
        <f aca="false">BQ69+BT69*Slot6_BufPot*BV69</f>
        <v>0</v>
      </c>
      <c r="CB69" s="1" t="n">
        <f aca="false">IF(AND(BT69=1,Slot6_IsMfree=1),IF(BY69&gt;=Slot6_Cost-1,0,MAX(0,BR69-BY69)),BR69)</f>
        <v>0</v>
      </c>
      <c r="CC69" s="1" t="n">
        <f aca="false">BT69*(Slot6_Cost-BY69)</f>
        <v>0</v>
      </c>
      <c r="CD69" s="1" t="n">
        <f aca="false">IF(AND(Slot7_On=1,D69=Slot7_Age),1,0)</f>
        <v>0</v>
      </c>
      <c r="CE69" s="1" t="n">
        <f aca="false">IF(AND(Slot7_On=1,Slot7_Age&gt;D69),1,0)</f>
        <v>0</v>
      </c>
      <c r="CF69" s="1" t="n">
        <f aca="false">ID68</f>
        <v>0</v>
      </c>
      <c r="CG69" s="1" t="n">
        <f aca="false">CD69*MIN(Slot7_Cost,CF69)</f>
        <v>0</v>
      </c>
      <c r="CH69" s="1" t="n">
        <f aca="false">CD69*Slot7_SpendLike*MIN(Slot7_Cost-CG69,BZ69)</f>
        <v>0</v>
      </c>
      <c r="CI69" s="1" t="n">
        <f aca="false">CG69+CH69</f>
        <v>0</v>
      </c>
      <c r="CJ69" s="1" t="n">
        <f aca="false">BZ69-CH69+CD69*IF(Slot7_SpendLike=1,CF69-CG69,IF(Slot7_PotFree=1,CF69,0))</f>
        <v>0</v>
      </c>
      <c r="CK69" s="1" t="n">
        <f aca="false">CA69+CD69*Slot7_BufPot*CF69</f>
        <v>0</v>
      </c>
      <c r="CL69" s="1" t="n">
        <f aca="false">IF(AND(CD69=1,Slot7_IsMfree=1),IF(CI69&gt;=Slot7_Cost-1,0,MAX(0,CB69-CI69)),CB69)</f>
        <v>0</v>
      </c>
      <c r="CM69" s="1" t="n">
        <f aca="false">CD69*(Slot7_Cost-CI69)</f>
        <v>0</v>
      </c>
      <c r="CN69" s="1" t="n">
        <f aca="false">IF(AND(Slot8_On=1,D69=Slot8_Age),1,0)</f>
        <v>0</v>
      </c>
      <c r="CO69" s="1" t="n">
        <f aca="false">IF(AND(Slot8_On=1,Slot8_Age&gt;D69),1,0)</f>
        <v>0</v>
      </c>
      <c r="CP69" s="1" t="n">
        <f aca="false">IH68</f>
        <v>0</v>
      </c>
      <c r="CQ69" s="1" t="n">
        <f aca="false">CN69*MIN(Slot8_Cost,CP69)</f>
        <v>0</v>
      </c>
      <c r="CR69" s="1" t="n">
        <f aca="false">CN69*Slot8_SpendLike*MIN(Slot8_Cost-CQ69,CJ69)</f>
        <v>0</v>
      </c>
      <c r="CS69" s="1" t="n">
        <f aca="false">CQ69+CR69</f>
        <v>0</v>
      </c>
      <c r="CT69" s="1" t="n">
        <f aca="false">CJ69-CR69+CN69*IF(Slot8_SpendLike=1,CP69-CQ69,IF(Slot8_PotFree=1,CP69,0))</f>
        <v>0</v>
      </c>
      <c r="CU69" s="1" t="n">
        <f aca="false">CK69+CN69*Slot8_BufPot*CP69</f>
        <v>0</v>
      </c>
      <c r="CV69" s="1" t="n">
        <f aca="false">IF(AND(CN69=1,Slot8_IsMfree=1),IF(CS69&gt;=Slot8_Cost-1,0,MAX(0,CL69-CS69)),CL69)</f>
        <v>0</v>
      </c>
      <c r="CW69" s="1" t="n">
        <f aca="false">CN69*(Slot8_Cost-CS69)</f>
        <v>0</v>
      </c>
      <c r="CX69" s="1" t="n">
        <f aca="false">U69*Slot1_SpendLike*Z69+AF69*Slot2_SpendLike*AK69+AP69*Slot3_SpendLike*AU69+AZ69*Slot4_SpendLike*BE69+BJ69*Slot5_SpendLike*BO69+BT69*Slot6_SpendLike*BY69+CD69*Slot7_SpendLike*CI69+CN69*Slot8_SpendLike*CS69</f>
        <v>0</v>
      </c>
      <c r="CY69" s="1" t="n">
        <f aca="false">AD69+AO69+AY69+BI69+BS69+CC69+CM69+CW69</f>
        <v>0</v>
      </c>
      <c r="CZ69" s="1" t="n">
        <f aca="false">U69*Slot1_Cost+AF69*Slot2_Cost+AP69*Slot3_Cost+AZ69*Slot4_Cost+BJ69*Slot5_Cost+BT69*Slot6_Cost+CD69*Slot7_Cost+CN69*Slot8_Cost</f>
        <v>0</v>
      </c>
      <c r="DA69" s="1" t="n">
        <f aca="false">CV69</f>
        <v>0</v>
      </c>
      <c r="DB69" s="1" t="n">
        <f aca="false">G69-H69-R69</f>
        <v>0</v>
      </c>
      <c r="DC69" s="1" t="n">
        <f aca="false">IF(B69=0,IF(AND(Has_q6=1,In_q6=4),PR_ShareVaries*(MAX(0,DB69)/12),MIN(IF(Has_q6=1,CHOOSE(In_q6+1,PR_SaveB1,PR_SaveB2,PR_SaveB3,PR_SaveB4,0),AS_NoAnswer),AS_SaveShare*(MAX(0,DB69)/12))),DC68)</f>
        <v>0</v>
      </c>
      <c r="DD69" s="1" t="n">
        <f aca="false">IF(DB69&gt;=0,1,0)</f>
        <v>1</v>
      </c>
      <c r="DE69" s="1" t="n">
        <f aca="false">MAX(0,DB69/12/E69)</f>
        <v>0</v>
      </c>
      <c r="DF69" s="1" t="n">
        <f aca="false">IF(AND(Has_q6=1,In_q6=4),PR_ShareVaries*(DE69),MIN(IF(Has_q6=1,CHOOSE(In_q6+1,PR_SaveB1,PR_SaveB2,PR_SaveB3,PR_SaveB4,0),AS_NoAnswer),AS_SaveShare*(DE69)))</f>
        <v>0</v>
      </c>
      <c r="DG69" s="1" t="n">
        <f aca="false">IF(Has_saveM=1,IF(In_saveUp="Yes",1,IF(In_saveUp="No",0,IF(In_saveM&gt;=DC69-0.5,1,0))),0)</f>
        <v>0</v>
      </c>
      <c r="DH69" s="1" t="n">
        <f aca="false">IF(Has_saveM=1,MIN(DE69,IF(DG69=1,MAX(In_saveM,DF69),MIN(In_saveM,DF69))),DF69)</f>
        <v>0</v>
      </c>
      <c r="DI69" s="1" t="n">
        <f aca="false">IF(F69=1,DH69*12*E69,0)</f>
        <v>0</v>
      </c>
      <c r="DJ69" s="1" t="n">
        <f aca="false">MAX(0,DI69+IF(AND(WI_Retire=0,WI_M&lt;0,F69=1),WI_M*12*E69,0))</f>
        <v>0</v>
      </c>
      <c r="DK69" s="1" t="n">
        <f aca="false">Slot1_IsWG*V69+Slot2_IsWG*AG69+Slot3_IsWG*AQ69+Slot4_IsWG*BA69+Slot5_IsWG*BK69+Slot6_IsWG*BU69+Slot7_IsWG*CE69+Slot8_IsWG*CO69</f>
        <v>0</v>
      </c>
      <c r="DL69" s="1" t="n">
        <f aca="false">IF(AND(WI_Retire=0,WI_M&gt;0,F69=1,DK69&gt;=1),WI_M*12*E69,0)</f>
        <v>0</v>
      </c>
      <c r="DM69" s="1" t="n">
        <f aca="false">IF(DD69=1,MIN(DJ69,DB69),0)</f>
        <v>0</v>
      </c>
      <c r="DN69" s="1" t="n">
        <f aca="false">IF(DD69=1,MIN(DL69,DB69-DM69),0)</f>
        <v>0</v>
      </c>
      <c r="DO69" s="1" t="n">
        <f aca="false">IF(V69=1,IF(ABS((1+AS_Wage)/(1+Slot1_Rate)-1)&lt;0.000000000001,(Slot1_Age-D69)*(1+Slot1_Rate)^(Slot1_Age-D69),(1+Slot1_Rate)^(Slot1_Age-D69)*(1-((1+AS_Wage)/(1+Slot1_Rate))^(Slot1_Age-D69))/(1-(1+AS_Wage)/(1+Slot1_Rate))),1)</f>
        <v>1</v>
      </c>
      <c r="DP69" s="1" t="n">
        <f aca="false">IF(AND(DD69=1,DN69&gt;0,Slot1_IsWG=1,V69=1),MAX(0,(Slot1_Cost-W69*(1+Slot1_Rate)^(Slot1_Age-D69))/DO69),0)</f>
        <v>0</v>
      </c>
      <c r="DQ69" s="1" t="n">
        <f aca="false">IF(AND(DD69=1,DN69&gt;0,Slot1_IsWG=1,V69=1),MIN(DN69,DP69),0)</f>
        <v>0</v>
      </c>
      <c r="DR69" s="1" t="n">
        <f aca="false">W69+DQ69</f>
        <v>0</v>
      </c>
      <c r="DS69" s="1" t="n">
        <f aca="false">IF(V69=1,MAX(0,(Slot1_Cost-DR69*(1+Slot1_Rate)^(Slot1_Age-D69))/DO69),0)</f>
        <v>0</v>
      </c>
      <c r="DT69" s="1" t="n">
        <f aca="false">IF(V69=1,MAX(0,(Slot1_Cost-W69*(1+Slot1_Rate)^(Slot1_Age-D69))/DO69),0)</f>
        <v>0</v>
      </c>
      <c r="DU69" s="1" t="n">
        <f aca="false">IF(AND(DD69=1,V69=1),MIN(DM69,DS69),0)</f>
        <v>0</v>
      </c>
      <c r="DV69" s="1" t="n">
        <f aca="false">DM69-DU69</f>
        <v>0</v>
      </c>
      <c r="DW69" s="1" t="n">
        <f aca="false">IF(AG69=1,IF(ABS((1+AS_Wage)/(1+Slot2_Rate)-1)&lt;0.000000000001,(Slot2_Age-D69)*(1+Slot2_Rate)^(Slot2_Age-D69),(1+Slot2_Rate)^(Slot2_Age-D69)*(1-((1+AS_Wage)/(1+Slot2_Rate))^(Slot2_Age-D69))/(1-(1+AS_Wage)/(1+Slot2_Rate))),1)</f>
        <v>1</v>
      </c>
      <c r="DX69" s="1" t="n">
        <f aca="false">IF(AND(DD69=1,DN69&gt;0,Slot2_IsWG=1,AG69=1),MAX(0,(Slot2_Cost-AH69*(1+Slot2_Rate)^(Slot2_Age-D69))/DW69),0)</f>
        <v>0</v>
      </c>
      <c r="DY69" s="1" t="n">
        <f aca="false">IF(AND(DD69=1,DN69&gt;0,Slot2_IsWG=1,AG69=1),MIN(DN69,DX69),0)</f>
        <v>0</v>
      </c>
      <c r="DZ69" s="1" t="n">
        <f aca="false">AH69+DY69</f>
        <v>0</v>
      </c>
      <c r="EA69" s="1" t="n">
        <f aca="false">IF(AG69=1,MAX(0,(Slot2_Cost-DZ69*(1+Slot2_Rate)^(Slot2_Age-D69))/DW69),0)</f>
        <v>0</v>
      </c>
      <c r="EB69" s="1" t="n">
        <f aca="false">IF(AG69=1,MAX(0,(Slot2_Cost-AH69*(1+Slot2_Rate)^(Slot2_Age-D69))/DW69),0)</f>
        <v>0</v>
      </c>
      <c r="EC69" s="1" t="n">
        <f aca="false">IF(AND(DD69=1,AG69=1),MIN(DV69,EA69),0)</f>
        <v>0</v>
      </c>
      <c r="ED69" s="1" t="n">
        <f aca="false">DV69-EC69</f>
        <v>0</v>
      </c>
      <c r="EE69" s="1" t="n">
        <f aca="false">IF(AQ69=1,IF(ABS((1+AS_Wage)/(1+Slot3_Rate)-1)&lt;0.000000000001,(Slot3_Age-D69)*(1+Slot3_Rate)^(Slot3_Age-D69),(1+Slot3_Rate)^(Slot3_Age-D69)*(1-((1+AS_Wage)/(1+Slot3_Rate))^(Slot3_Age-D69))/(1-(1+AS_Wage)/(1+Slot3_Rate))),1)</f>
        <v>1</v>
      </c>
      <c r="EF69" s="1" t="n">
        <f aca="false">IF(AND(DD69=1,DN69&gt;0,Slot3_IsWG=1,AQ69=1),MAX(0,(Slot3_Cost-AR69*(1+Slot3_Rate)^(Slot3_Age-D69))/EE69),0)</f>
        <v>0</v>
      </c>
      <c r="EG69" s="1" t="n">
        <f aca="false">IF(AND(DD69=1,DN69&gt;0,Slot3_IsWG=1,AQ69=1),MIN(DN69,EF69),0)</f>
        <v>0</v>
      </c>
      <c r="EH69" s="1" t="n">
        <f aca="false">AR69+EG69</f>
        <v>0</v>
      </c>
      <c r="EI69" s="1" t="n">
        <f aca="false">IF(AQ69=1,MAX(0,(Slot3_Cost-EH69*(1+Slot3_Rate)^(Slot3_Age-D69))/EE69),0)</f>
        <v>0</v>
      </c>
      <c r="EJ69" s="1" t="n">
        <f aca="false">IF(AQ69=1,MAX(0,(Slot3_Cost-AR69*(1+Slot3_Rate)^(Slot3_Age-D69))/EE69),0)</f>
        <v>0</v>
      </c>
      <c r="EK69" s="1" t="n">
        <f aca="false">IF(AND(DD69=1,AQ69=1),MIN(ED69,EI69),0)</f>
        <v>0</v>
      </c>
      <c r="EL69" s="1" t="n">
        <f aca="false">ED69-EK69</f>
        <v>0</v>
      </c>
      <c r="EM69" s="1" t="n">
        <f aca="false">IF(BA69=1,IF(ABS((1+AS_Wage)/(1+Slot4_Rate)-1)&lt;0.000000000001,(Slot4_Age-D69)*(1+Slot4_Rate)^(Slot4_Age-D69),(1+Slot4_Rate)^(Slot4_Age-D69)*(1-((1+AS_Wage)/(1+Slot4_Rate))^(Slot4_Age-D69))/(1-(1+AS_Wage)/(1+Slot4_Rate))),1)</f>
        <v>1</v>
      </c>
      <c r="EN69" s="1" t="n">
        <f aca="false">IF(AND(DD69=1,DN69&gt;0,Slot4_IsWG=1,BA69=1),MAX(0,(Slot4_Cost-BB69*(1+Slot4_Rate)^(Slot4_Age-D69))/EM69),0)</f>
        <v>0</v>
      </c>
      <c r="EO69" s="1" t="n">
        <f aca="false">IF(AND(DD69=1,DN69&gt;0,Slot4_IsWG=1,BA69=1),MIN(DN69,EN69),0)</f>
        <v>0</v>
      </c>
      <c r="EP69" s="1" t="n">
        <f aca="false">BB69+EO69</f>
        <v>0</v>
      </c>
      <c r="EQ69" s="1" t="n">
        <f aca="false">IF(BA69=1,MAX(0,(Slot4_Cost-EP69*(1+Slot4_Rate)^(Slot4_Age-D69))/EM69),0)</f>
        <v>0</v>
      </c>
      <c r="ER69" s="1" t="n">
        <f aca="false">IF(BA69=1,MAX(0,(Slot4_Cost-BB69*(1+Slot4_Rate)^(Slot4_Age-D69))/EM69),0)</f>
        <v>0</v>
      </c>
      <c r="ES69" s="1" t="n">
        <f aca="false">IF(AND(DD69=1,BA69=1),MIN(EL69,EQ69),0)</f>
        <v>0</v>
      </c>
      <c r="ET69" s="1" t="n">
        <f aca="false">EL69-ES69</f>
        <v>0</v>
      </c>
      <c r="EU69" s="1" t="n">
        <f aca="false">IF(BK69=1,IF(ABS((1+AS_Wage)/(1+Slot5_Rate)-1)&lt;0.000000000001,(Slot5_Age-D69)*(1+Slot5_Rate)^(Slot5_Age-D69),(1+Slot5_Rate)^(Slot5_Age-D69)*(1-((1+AS_Wage)/(1+Slot5_Rate))^(Slot5_Age-D69))/(1-(1+AS_Wage)/(1+Slot5_Rate))),1)</f>
        <v>1</v>
      </c>
      <c r="EV69" s="1" t="n">
        <f aca="false">IF(AND(DD69=1,DN69&gt;0,Slot5_IsWG=1,BK69=1),MAX(0,(Slot5_Cost-BL69*(1+Slot5_Rate)^(Slot5_Age-D69))/EU69),0)</f>
        <v>0</v>
      </c>
      <c r="EW69" s="1" t="n">
        <f aca="false">IF(AND(DD69=1,DN69&gt;0,Slot5_IsWG=1,BK69=1),MIN(DN69,EV69),0)</f>
        <v>0</v>
      </c>
      <c r="EX69" s="1" t="n">
        <f aca="false">BL69+EW69</f>
        <v>0</v>
      </c>
      <c r="EY69" s="1" t="n">
        <f aca="false">IF(BK69=1,MAX(0,(Slot5_Cost-EX69*(1+Slot5_Rate)^(Slot5_Age-D69))/EU69),0)</f>
        <v>0</v>
      </c>
      <c r="EZ69" s="1" t="n">
        <f aca="false">IF(BK69=1,MAX(0,(Slot5_Cost-BL69*(1+Slot5_Rate)^(Slot5_Age-D69))/EU69),0)</f>
        <v>0</v>
      </c>
      <c r="FA69" s="1" t="n">
        <f aca="false">IF(AND(DD69=1,BK69=1),MIN(ET69,EY69),0)</f>
        <v>0</v>
      </c>
      <c r="FB69" s="1" t="n">
        <f aca="false">ET69-FA69</f>
        <v>0</v>
      </c>
      <c r="FC69" s="1" t="n">
        <f aca="false">IF(BU69=1,IF(ABS((1+AS_Wage)/(1+Slot6_Rate)-1)&lt;0.000000000001,(Slot6_Age-D69)*(1+Slot6_Rate)^(Slot6_Age-D69),(1+Slot6_Rate)^(Slot6_Age-D69)*(1-((1+AS_Wage)/(1+Slot6_Rate))^(Slot6_Age-D69))/(1-(1+AS_Wage)/(1+Slot6_Rate))),1)</f>
        <v>1</v>
      </c>
      <c r="FD69" s="1" t="n">
        <f aca="false">IF(AND(DD69=1,DN69&gt;0,Slot6_IsWG=1,BU69=1),MAX(0,(Slot6_Cost-BV69*(1+Slot6_Rate)^(Slot6_Age-D69))/FC69),0)</f>
        <v>0</v>
      </c>
      <c r="FE69" s="1" t="n">
        <f aca="false">IF(AND(DD69=1,DN69&gt;0,Slot6_IsWG=1,BU69=1),MIN(DN69,FD69),0)</f>
        <v>0</v>
      </c>
      <c r="FF69" s="1" t="n">
        <f aca="false">BV69+FE69</f>
        <v>0</v>
      </c>
      <c r="FG69" s="1" t="n">
        <f aca="false">IF(BU69=1,MAX(0,(Slot6_Cost-FF69*(1+Slot6_Rate)^(Slot6_Age-D69))/FC69),0)</f>
        <v>0</v>
      </c>
      <c r="FH69" s="1" t="n">
        <f aca="false">IF(BU69=1,MAX(0,(Slot6_Cost-BV69*(1+Slot6_Rate)^(Slot6_Age-D69))/FC69),0)</f>
        <v>0</v>
      </c>
      <c r="FI69" s="1" t="n">
        <f aca="false">IF(AND(DD69=1,BU69=1),MIN(FB69,FG69),0)</f>
        <v>0</v>
      </c>
      <c r="FJ69" s="1" t="n">
        <f aca="false">FB69-FI69</f>
        <v>0</v>
      </c>
      <c r="FK69" s="1" t="n">
        <f aca="false">IF(CE69=1,IF(ABS((1+AS_Wage)/(1+Slot7_Rate)-1)&lt;0.000000000001,(Slot7_Age-D69)*(1+Slot7_Rate)^(Slot7_Age-D69),(1+Slot7_Rate)^(Slot7_Age-D69)*(1-((1+AS_Wage)/(1+Slot7_Rate))^(Slot7_Age-D69))/(1-(1+AS_Wage)/(1+Slot7_Rate))),1)</f>
        <v>1</v>
      </c>
      <c r="FL69" s="1" t="n">
        <f aca="false">IF(AND(DD69=1,DN69&gt;0,Slot7_IsWG=1,CE69=1),MAX(0,(Slot7_Cost-CF69*(1+Slot7_Rate)^(Slot7_Age-D69))/FK69),0)</f>
        <v>0</v>
      </c>
      <c r="FM69" s="1" t="n">
        <f aca="false">IF(AND(DD69=1,DN69&gt;0,Slot7_IsWG=1,CE69=1),MIN(DN69,FL69),0)</f>
        <v>0</v>
      </c>
      <c r="FN69" s="1" t="n">
        <f aca="false">CF69+FM69</f>
        <v>0</v>
      </c>
      <c r="FO69" s="1" t="n">
        <f aca="false">IF(CE69=1,MAX(0,(Slot7_Cost-FN69*(1+Slot7_Rate)^(Slot7_Age-D69))/FK69),0)</f>
        <v>0</v>
      </c>
      <c r="FP69" s="1" t="n">
        <f aca="false">IF(CE69=1,MAX(0,(Slot7_Cost-CF69*(1+Slot7_Rate)^(Slot7_Age-D69))/FK69),0)</f>
        <v>0</v>
      </c>
      <c r="FQ69" s="1" t="n">
        <f aca="false">IF(AND(DD69=1,CE69=1),MIN(FJ69,FO69),0)</f>
        <v>0</v>
      </c>
      <c r="FR69" s="1" t="n">
        <f aca="false">FJ69-FQ69</f>
        <v>0</v>
      </c>
      <c r="FS69" s="1" t="n">
        <f aca="false">IF(CO69=1,IF(ABS((1+AS_Wage)/(1+Slot8_Rate)-1)&lt;0.000000000001,(Slot8_Age-D69)*(1+Slot8_Rate)^(Slot8_Age-D69),(1+Slot8_Rate)^(Slot8_Age-D69)*(1-((1+AS_Wage)/(1+Slot8_Rate))^(Slot8_Age-D69))/(1-(1+AS_Wage)/(1+Slot8_Rate))),1)</f>
        <v>1</v>
      </c>
      <c r="FT69" s="1" t="n">
        <f aca="false">IF(AND(DD69=1,DN69&gt;0,Slot8_IsWG=1,CO69=1),MAX(0,(Slot8_Cost-CP69*(1+Slot8_Rate)^(Slot8_Age-D69))/FS69),0)</f>
        <v>0</v>
      </c>
      <c r="FU69" s="1" t="n">
        <f aca="false">IF(AND(DD69=1,DN69&gt;0,Slot8_IsWG=1,CO69=1),MIN(DN69,FT69),0)</f>
        <v>0</v>
      </c>
      <c r="FV69" s="1" t="n">
        <f aca="false">CP69+FU69</f>
        <v>0</v>
      </c>
      <c r="FW69" s="1" t="n">
        <f aca="false">IF(CO69=1,MAX(0,(Slot8_Cost-FV69*(1+Slot8_Rate)^(Slot8_Age-D69))/FS69),0)</f>
        <v>0</v>
      </c>
      <c r="FX69" s="1" t="n">
        <f aca="false">IF(CO69=1,MAX(0,(Slot8_Cost-CP69*(1+Slot8_Rate)^(Slot8_Age-D69))/FS69),0)</f>
        <v>0</v>
      </c>
      <c r="FY69" s="1" t="n">
        <f aca="false">IF(AND(DD69=1,CO69=1),MIN(FR69,FW69),0)</f>
        <v>0</v>
      </c>
      <c r="FZ69" s="1" t="n">
        <f aca="false">FR69-FY69</f>
        <v>0</v>
      </c>
      <c r="GA69" s="1" t="n">
        <f aca="false">DN69-(DQ69+DY69+EG69+EO69+EW69+FE69+FM69+FU69)</f>
        <v>0</v>
      </c>
      <c r="GB69" s="1" t="n">
        <f aca="false">IF(DD69=1,DB69-DM69-DN69,0)</f>
        <v>0</v>
      </c>
      <c r="GC69" s="1" t="n">
        <f aca="false">IF(DD69=0,-DB69,0)</f>
        <v>0</v>
      </c>
      <c r="GD69" s="1" t="n">
        <f aca="false">MIN(GC69,CT69)</f>
        <v>0</v>
      </c>
      <c r="GE69" s="1" t="n">
        <f aca="false">GC69-GD69</f>
        <v>0</v>
      </c>
      <c r="GF69" s="1" t="n">
        <f aca="false">MIN(GE69,CU69)</f>
        <v>0</v>
      </c>
      <c r="GG69" s="1" t="n">
        <f aca="false">GE69-GF69</f>
        <v>0</v>
      </c>
      <c r="GH69" s="1" t="n">
        <f aca="false">IF(AND(DD69=0,CO69=1,GG69&gt;0),MIN(GG69,CP69),0)</f>
        <v>0</v>
      </c>
      <c r="GI69" s="1" t="n">
        <f aca="false">GG69-GH69</f>
        <v>0</v>
      </c>
      <c r="GJ69" s="1" t="n">
        <f aca="false">IF(AND(DD69=0,CE69=1,GI69&gt;0),MIN(GI69,CF69),0)</f>
        <v>0</v>
      </c>
      <c r="GK69" s="1" t="n">
        <f aca="false">GI69-GJ69</f>
        <v>0</v>
      </c>
      <c r="GL69" s="1" t="n">
        <f aca="false">IF(AND(DD69=0,BU69=1,GK69&gt;0),MIN(GK69,BV69),0)</f>
        <v>0</v>
      </c>
      <c r="GM69" s="1" t="n">
        <f aca="false">GK69-GL69</f>
        <v>0</v>
      </c>
      <c r="GN69" s="1" t="n">
        <f aca="false">IF(AND(DD69=0,BK69=1,GM69&gt;0),MIN(GM69,BL69),0)</f>
        <v>0</v>
      </c>
      <c r="GO69" s="1" t="n">
        <f aca="false">GM69-GN69</f>
        <v>0</v>
      </c>
      <c r="GP69" s="1" t="n">
        <f aca="false">IF(AND(DD69=0,BA69=1,GO69&gt;0),MIN(GO69,BB69),0)</f>
        <v>0</v>
      </c>
      <c r="GQ69" s="1" t="n">
        <f aca="false">GO69-GP69</f>
        <v>0</v>
      </c>
      <c r="GR69" s="1" t="n">
        <f aca="false">IF(AND(DD69=0,AQ69=1,GQ69&gt;0),MIN(GQ69,AR69),0)</f>
        <v>0</v>
      </c>
      <c r="GS69" s="1" t="n">
        <f aca="false">GQ69-GR69</f>
        <v>0</v>
      </c>
      <c r="GT69" s="1" t="n">
        <f aca="false">IF(AND(DD69=0,AG69=1,GS69&gt;0),MIN(GS69,AH69),0)</f>
        <v>0</v>
      </c>
      <c r="GU69" s="1" t="n">
        <f aca="false">GS69-GT69</f>
        <v>0</v>
      </c>
      <c r="GV69" s="1" t="n">
        <f aca="false">IF(AND(DD69=0,V69=1,GU69&gt;0),MIN(GU69,W69),0)</f>
        <v>0</v>
      </c>
      <c r="GW69" s="1" t="n">
        <f aca="false">GU69-GV69</f>
        <v>0</v>
      </c>
      <c r="GX69" s="1" t="n">
        <f aca="false">IF(DD69=0,GW69,0)</f>
        <v>0</v>
      </c>
      <c r="GY69" s="1" t="n">
        <f aca="false">GD69+GF69+GV69+GT69+GR69+GP69+GN69+GL69+GJ69+GH69</f>
        <v>0</v>
      </c>
      <c r="GZ69" s="1" t="n">
        <f aca="false">IF(DD69=1,CT69+GA69+FZ69+IF(F69=1,0,GB69),CT69-GD69)</f>
        <v>0</v>
      </c>
      <c r="HA69" s="1" t="n">
        <f aca="false">CU69-GF69</f>
        <v>0</v>
      </c>
      <c r="HB69" s="1" t="n">
        <f aca="false">IF(DD69=1,IF(F69=1,DM69+DN69,DB69),0)</f>
        <v>0</v>
      </c>
      <c r="HC69" s="1" t="n">
        <f aca="false">IF(DD69=1,IF(F69=1,DB69-DM69-DN69,0),0)</f>
        <v>0</v>
      </c>
      <c r="HD69" s="1" t="n">
        <f aca="false">GZ69*(1+GR)</f>
        <v>0</v>
      </c>
      <c r="HE69" s="1" t="n">
        <f aca="false">HA69*(1+AS_Cash)</f>
        <v>0</v>
      </c>
      <c r="HF69" s="1" t="n">
        <f aca="false">IF(V69=1,IF(DD69=1,DR69+DU69,W69-GV69)*(1+Slot1_Rate),0)</f>
        <v>0</v>
      </c>
      <c r="HG69" s="1" t="n">
        <f aca="false">IF(AND(DD69=1,V69=1),(DQ69+DU69)/E69,0)</f>
        <v>0</v>
      </c>
      <c r="HH69" s="1" t="n">
        <f aca="false">IF(B69=0,DQ69+DU69,0)</f>
        <v>0</v>
      </c>
      <c r="HI69" s="1" t="n">
        <f aca="false">IF(B69=0,IF(DD69=1,DS69,DT69),0)</f>
        <v>0</v>
      </c>
      <c r="HJ69" s="1" t="n">
        <f aca="false">IF(AG69=1,IF(DD69=1,DZ69+EC69,AH69-GT69)*(1+Slot2_Rate),0)</f>
        <v>0</v>
      </c>
      <c r="HK69" s="1" t="n">
        <f aca="false">IF(AND(DD69=1,AG69=1),(DY69+EC69)/E69,0)</f>
        <v>0</v>
      </c>
      <c r="HL69" s="1" t="n">
        <f aca="false">IF(B69=0,DY69+EC69,0)</f>
        <v>0</v>
      </c>
      <c r="HM69" s="1" t="n">
        <f aca="false">IF(B69=0,IF(DD69=1,EA69,EB69),0)</f>
        <v>0</v>
      </c>
      <c r="HN69" s="1" t="n">
        <f aca="false">IF(AQ69=1,IF(DD69=1,EH69+EK69,AR69-GR69)*(1+Slot3_Rate),0)</f>
        <v>0</v>
      </c>
      <c r="HO69" s="1" t="n">
        <f aca="false">IF(AND(DD69=1,AQ69=1),(EG69+EK69)/E69,0)</f>
        <v>0</v>
      </c>
      <c r="HP69" s="1" t="n">
        <f aca="false">IF(B69=0,EG69+EK69,0)</f>
        <v>0</v>
      </c>
      <c r="HQ69" s="1" t="n">
        <f aca="false">IF(B69=0,IF(DD69=1,EI69,EJ69),0)</f>
        <v>0</v>
      </c>
      <c r="HR69" s="1" t="n">
        <f aca="false">IF(BA69=1,IF(DD69=1,EP69+ES69,BB69-GP69)*(1+Slot4_Rate),0)</f>
        <v>0</v>
      </c>
      <c r="HS69" s="1" t="n">
        <f aca="false">IF(AND(DD69=1,BA69=1),(EO69+ES69)/E69,0)</f>
        <v>0</v>
      </c>
      <c r="HT69" s="1" t="n">
        <f aca="false">IF(B69=0,EO69+ES69,0)</f>
        <v>0</v>
      </c>
      <c r="HU69" s="1" t="n">
        <f aca="false">IF(B69=0,IF(DD69=1,EQ69,ER69),0)</f>
        <v>0</v>
      </c>
      <c r="HV69" s="1" t="n">
        <f aca="false">IF(BK69=1,IF(DD69=1,EX69+FA69,BL69-GN69)*(1+Slot5_Rate),0)</f>
        <v>0</v>
      </c>
      <c r="HW69" s="1" t="n">
        <f aca="false">IF(AND(DD69=1,BK69=1),(EW69+FA69)/E69,0)</f>
        <v>0</v>
      </c>
      <c r="HX69" s="1" t="n">
        <f aca="false">IF(B69=0,EW69+FA69,0)</f>
        <v>0</v>
      </c>
      <c r="HY69" s="1" t="n">
        <f aca="false">IF(B69=0,IF(DD69=1,EY69,EZ69),0)</f>
        <v>0</v>
      </c>
      <c r="HZ69" s="1" t="n">
        <f aca="false">IF(BU69=1,IF(DD69=1,FF69+FI69,BV69-GL69)*(1+Slot6_Rate),0)</f>
        <v>0</v>
      </c>
      <c r="IA69" s="1" t="n">
        <f aca="false">IF(AND(DD69=1,BU69=1),(FE69+FI69)/E69,0)</f>
        <v>0</v>
      </c>
      <c r="IB69" s="1" t="n">
        <f aca="false">IF(B69=0,FE69+FI69,0)</f>
        <v>0</v>
      </c>
      <c r="IC69" s="1" t="n">
        <f aca="false">IF(B69=0,IF(DD69=1,FG69,FH69),0)</f>
        <v>0</v>
      </c>
      <c r="ID69" s="1" t="n">
        <f aca="false">IF(CE69=1,IF(DD69=1,FN69+FQ69,CF69-GJ69)*(1+Slot7_Rate),0)</f>
        <v>0</v>
      </c>
      <c r="IE69" s="1" t="n">
        <f aca="false">IF(AND(DD69=1,CE69=1),(FM69+FQ69)/E69,0)</f>
        <v>0</v>
      </c>
      <c r="IF69" s="1" t="n">
        <f aca="false">IF(B69=0,FM69+FQ69,0)</f>
        <v>0</v>
      </c>
      <c r="IG69" s="1" t="n">
        <f aca="false">IF(B69=0,IF(DD69=1,FO69,FP69),0)</f>
        <v>0</v>
      </c>
      <c r="IH69" s="1" t="n">
        <f aca="false">IF(CO69=1,IF(DD69=1,FV69+FY69,CP69-GH69)*(1+Slot8_Rate),0)</f>
        <v>0</v>
      </c>
      <c r="II69" s="1" t="n">
        <f aca="false">IF(AND(DD69=1,CO69=1),(FU69+FY69)/E69,0)</f>
        <v>0</v>
      </c>
      <c r="IJ69" s="1" t="n">
        <f aca="false">IF(B69=0,FU69+FY69,0)</f>
        <v>0</v>
      </c>
      <c r="IK69" s="1" t="n">
        <f aca="false">IF(B69=0,IF(DD69=1,FW69,FX69),0)</f>
        <v>0</v>
      </c>
      <c r="IL69" s="1" t="n">
        <f aca="false">HD69+HE69+HF69+HJ69+HN69+HR69+HV69+HZ69+ID69+IH69</f>
        <v>0</v>
      </c>
      <c r="IM69" s="1" t="n">
        <f aca="false">GX69+CY69</f>
        <v>0</v>
      </c>
      <c r="IN69" s="1" t="n">
        <f aca="false">H69+R69</f>
        <v>0</v>
      </c>
      <c r="IO69" s="1" t="n">
        <f aca="false">1-F69</f>
        <v>1</v>
      </c>
      <c r="IP69" s="1" t="n">
        <f aca="false">IF(AND(RG_Exists=1,F69=0,C69=1),H69,0)</f>
        <v>0</v>
      </c>
      <c r="IQ69" s="1" t="n">
        <f aca="false">IF(AND(RG_Exists=1,F69=0,C69=1),H69-MIN(GX69,H69),0)</f>
        <v>0</v>
      </c>
      <c r="IR69" s="1" t="n">
        <f aca="false">'Plan pay &amp; tax'!AD271</f>
        <v>0</v>
      </c>
      <c r="IS69" s="1" t="n">
        <f aca="false">IF(AND(C69=1,GX69&gt;MAX(PR_Short1,IN69*PR_Short2)),1,0)</f>
        <v>0</v>
      </c>
      <c r="IT69" s="1" t="n">
        <f aca="false">MIN(G69,H69+R69)</f>
        <v>0</v>
      </c>
      <c r="IU69" s="1" t="n">
        <f aca="false">GY69+MAX(0,CZ69-CY69)</f>
        <v>0</v>
      </c>
      <c r="IV69" s="1" t="n">
        <f aca="false">GX69+CY69</f>
        <v>0</v>
      </c>
      <c r="IW69" s="1" t="n">
        <f aca="false">IF(AND(C69=1,IV69&gt;0.5),1,0)</f>
        <v>0</v>
      </c>
      <c r="IX69" s="1" t="n">
        <f aca="false">IF(AND(C69=1,IW69=0,IU69&gt;0.5),1,0)</f>
        <v>0</v>
      </c>
      <c r="IY69" s="1" t="n">
        <f aca="false">IF(AND(C69=1,GX69&gt;0.5),1,0)</f>
        <v>0</v>
      </c>
      <c r="IZ69" s="1" t="n">
        <f aca="false">IF(AND(C69=1,GY69&gt;1,JF69=0),1,0)</f>
        <v>0</v>
      </c>
      <c r="JA69" s="1" t="n">
        <f aca="false">IF(AND(INT(D69/10)*10=90,B69&gt;0),80,INT(D69/10)*10)</f>
        <v>60</v>
      </c>
      <c r="JB69" s="1" t="n">
        <f aca="false">IF(B69=0,1,IF(JA69&lt;&gt;JA68,JB68+1,JB68))</f>
        <v>7</v>
      </c>
      <c r="JC69" s="1" t="n">
        <f aca="false">IF(AND(C69=1,F69=1,GX69&gt;MAX(PR_Short1,IN69*PR_Short2)),1,0)</f>
        <v>0</v>
      </c>
      <c r="JD69" s="1" t="n">
        <f aca="false">IO69*IS69</f>
        <v>0</v>
      </c>
      <c r="JE69" s="1" t="n">
        <f aca="false">IF(AND(U69=1,Slot1_PctLow=1),1,0)+IF(AND(AF69=1,Slot2_PctLow=1),1,0)+IF(AND(AP69=1,Slot3_PctLow=1),1,0)+IF(AND(AZ69=1,Slot4_PctLow=1),1,0)+IF(AND(BJ69=1,Slot5_PctLow=1),1,0)+IF(AND(BT69=1,Slot6_PctLow=1),1,0)+IF(AND(CD69=1,Slot7_PctLow=1),1,0)+IF(AND(CN69=1,Slot8_PctLow=1),1,0)</f>
        <v>0</v>
      </c>
      <c r="JF69" s="1" t="n">
        <f aca="false">IF(C69=1,IF(OR(IS69=1,JE69&gt;0),1,0),0)</f>
        <v>0</v>
      </c>
    </row>
    <row r="70" customFormat="false" ht="15" hidden="false" customHeight="false" outlineLevel="0" collapsed="false">
      <c r="B70" s="1" t="n">
        <v>62</v>
      </c>
      <c r="C70" s="1" t="n">
        <f aca="false">IF(B70&lt;=F_N,1,0)</f>
        <v>1</v>
      </c>
      <c r="D70" s="1" t="n">
        <f aca="false">'Plan pay &amp; tax'!C272</f>
        <v>62</v>
      </c>
      <c r="E70" s="106" t="n">
        <f aca="false">'Plan pay &amp; tax'!E272</f>
        <v>3.41358443221538</v>
      </c>
      <c r="F70" s="1" t="n">
        <f aca="false">'Plan pay &amp; tax'!G272</f>
        <v>0</v>
      </c>
      <c r="G70" s="1" t="n">
        <f aca="false">'Plan pay &amp; tax'!BT272-'Plan pay &amp; tax'!BS272-'Plan pay &amp; tax'!R272</f>
        <v>0</v>
      </c>
      <c r="H70" s="1" t="n">
        <f aca="false">IF(F70=1,F_CostsM*12,IF(RG_Exists=1,RG_Amount,F_CostsM*12*AS_RetireSpend))*E70+F_OneOffY*E70</f>
        <v>0</v>
      </c>
      <c r="I70" s="1" t="n">
        <f aca="false">DA69</f>
        <v>0</v>
      </c>
      <c r="J70" s="1" t="n">
        <f aca="false">IF(I70&gt;1,'Plan debt months'!AC70,0)</f>
        <v>0</v>
      </c>
      <c r="K70" s="1" t="n">
        <f aca="false">IF(I70&gt;1,'Plan debt months'!AB70,I70)</f>
        <v>0</v>
      </c>
      <c r="L70" s="1" t="n">
        <f aca="false">N69</f>
        <v>0</v>
      </c>
      <c r="M70" s="1" t="n">
        <f aca="false">IF(L70&gt;1,'Plan debt months'!BD70,0)</f>
        <v>0</v>
      </c>
      <c r="N70" s="1" t="n">
        <f aca="false">IF(L70&gt;1,'Plan debt months'!BC70,L70)</f>
        <v>0</v>
      </c>
      <c r="O70" s="1" t="n">
        <f aca="false">Q69</f>
        <v>0</v>
      </c>
      <c r="P70" s="1" t="n">
        <f aca="false">IF(O70&gt;1,'Plan debt months'!CE70,0)</f>
        <v>0</v>
      </c>
      <c r="Q70" s="1" t="n">
        <f aca="false">IF(O70&gt;1,'Plan debt months'!CD70,O70)</f>
        <v>0</v>
      </c>
      <c r="R70" s="1" t="n">
        <f aca="false">J70+M70+P70</f>
        <v>0</v>
      </c>
      <c r="S70" s="1" t="n">
        <f aca="false">HD69+'Plan pay &amp; tax'!Y272</f>
        <v>0</v>
      </c>
      <c r="T70" s="1" t="n">
        <f aca="false">HD69</f>
        <v>0</v>
      </c>
      <c r="U70" s="1" t="n">
        <f aca="false">IF(AND(Slot1_On=1,D70=Slot1_Age),1,0)</f>
        <v>0</v>
      </c>
      <c r="V70" s="1" t="n">
        <f aca="false">IF(AND(Slot1_On=1,Slot1_Age&gt;D70),1,0)</f>
        <v>0</v>
      </c>
      <c r="W70" s="1" t="n">
        <f aca="false">HF69</f>
        <v>0</v>
      </c>
      <c r="X70" s="1" t="n">
        <f aca="false">U70*MIN(Slot1_Cost,W70)</f>
        <v>0</v>
      </c>
      <c r="Y70" s="1" t="n">
        <f aca="false">U70*Slot1_SpendLike*MIN(Slot1_Cost-X70,S70)</f>
        <v>0</v>
      </c>
      <c r="Z70" s="1" t="n">
        <f aca="false">X70+Y70</f>
        <v>0</v>
      </c>
      <c r="AA70" s="1" t="n">
        <f aca="false">S70-Y70+U70*IF(Slot1_SpendLike=1,W70-X70,IF(Slot1_PotFree=1,W70,0))</f>
        <v>0</v>
      </c>
      <c r="AB70" s="1" t="n">
        <f aca="false">AE70+U70*Slot1_BufPot*W70</f>
        <v>0</v>
      </c>
      <c r="AC70" s="1" t="n">
        <f aca="false">IF(AND(U70=1,Slot1_IsMfree=1),IF(Z70&gt;=Slot1_Cost-1,0,MAX(0,K70-Z70)),K70)</f>
        <v>0</v>
      </c>
      <c r="AD70" s="1" t="n">
        <f aca="false">U70*(Slot1_Cost-Z70)</f>
        <v>0</v>
      </c>
      <c r="AE70" s="1" t="n">
        <f aca="false">HE69</f>
        <v>0</v>
      </c>
      <c r="AF70" s="1" t="n">
        <f aca="false">IF(AND(Slot2_On=1,D70=Slot2_Age),1,0)</f>
        <v>0</v>
      </c>
      <c r="AG70" s="1" t="n">
        <f aca="false">IF(AND(Slot2_On=1,Slot2_Age&gt;D70),1,0)</f>
        <v>0</v>
      </c>
      <c r="AH70" s="1" t="n">
        <f aca="false">HJ69</f>
        <v>0</v>
      </c>
      <c r="AI70" s="1" t="n">
        <f aca="false">AF70*MIN(Slot2_Cost,AH70)</f>
        <v>0</v>
      </c>
      <c r="AJ70" s="1" t="n">
        <f aca="false">AF70*Slot2_SpendLike*MIN(Slot2_Cost-AI70,AA70)</f>
        <v>0</v>
      </c>
      <c r="AK70" s="1" t="n">
        <f aca="false">AI70+AJ70</f>
        <v>0</v>
      </c>
      <c r="AL70" s="1" t="n">
        <f aca="false">AA70-AJ70+AF70*IF(Slot2_SpendLike=1,AH70-AI70,IF(Slot2_PotFree=1,AH70,0))</f>
        <v>0</v>
      </c>
      <c r="AM70" s="1" t="n">
        <f aca="false">AB70+AF70*Slot2_BufPot*AH70</f>
        <v>0</v>
      </c>
      <c r="AN70" s="1" t="n">
        <f aca="false">IF(AND(AF70=1,Slot2_IsMfree=1),IF(AK70&gt;=Slot2_Cost-1,0,MAX(0,AC70-AK70)),AC70)</f>
        <v>0</v>
      </c>
      <c r="AO70" s="1" t="n">
        <f aca="false">AF70*(Slot2_Cost-AK70)</f>
        <v>0</v>
      </c>
      <c r="AP70" s="1" t="n">
        <f aca="false">IF(AND(Slot3_On=1,D70=Slot3_Age),1,0)</f>
        <v>0</v>
      </c>
      <c r="AQ70" s="1" t="n">
        <f aca="false">IF(AND(Slot3_On=1,Slot3_Age&gt;D70),1,0)</f>
        <v>0</v>
      </c>
      <c r="AR70" s="1" t="n">
        <f aca="false">HN69</f>
        <v>0</v>
      </c>
      <c r="AS70" s="1" t="n">
        <f aca="false">AP70*MIN(Slot3_Cost,AR70)</f>
        <v>0</v>
      </c>
      <c r="AT70" s="1" t="n">
        <f aca="false">AP70*Slot3_SpendLike*MIN(Slot3_Cost-AS70,AL70)</f>
        <v>0</v>
      </c>
      <c r="AU70" s="1" t="n">
        <f aca="false">AS70+AT70</f>
        <v>0</v>
      </c>
      <c r="AV70" s="1" t="n">
        <f aca="false">AL70-AT70+AP70*IF(Slot3_SpendLike=1,AR70-AS70,IF(Slot3_PotFree=1,AR70,0))</f>
        <v>0</v>
      </c>
      <c r="AW70" s="1" t="n">
        <f aca="false">AM70+AP70*Slot3_BufPot*AR70</f>
        <v>0</v>
      </c>
      <c r="AX70" s="1" t="n">
        <f aca="false">IF(AND(AP70=1,Slot3_IsMfree=1),IF(AU70&gt;=Slot3_Cost-1,0,MAX(0,AN70-AU70)),AN70)</f>
        <v>0</v>
      </c>
      <c r="AY70" s="1" t="n">
        <f aca="false">AP70*(Slot3_Cost-AU70)</f>
        <v>0</v>
      </c>
      <c r="AZ70" s="1" t="n">
        <f aca="false">IF(AND(Slot4_On=1,D70=Slot4_Age),1,0)</f>
        <v>0</v>
      </c>
      <c r="BA70" s="1" t="n">
        <f aca="false">IF(AND(Slot4_On=1,Slot4_Age&gt;D70),1,0)</f>
        <v>0</v>
      </c>
      <c r="BB70" s="1" t="n">
        <f aca="false">HR69</f>
        <v>0</v>
      </c>
      <c r="BC70" s="1" t="n">
        <f aca="false">AZ70*MIN(Slot4_Cost,BB70)</f>
        <v>0</v>
      </c>
      <c r="BD70" s="1" t="n">
        <f aca="false">AZ70*Slot4_SpendLike*MIN(Slot4_Cost-BC70,AV70)</f>
        <v>0</v>
      </c>
      <c r="BE70" s="1" t="n">
        <f aca="false">BC70+BD70</f>
        <v>0</v>
      </c>
      <c r="BF70" s="1" t="n">
        <f aca="false">AV70-BD70+AZ70*IF(Slot4_SpendLike=1,BB70-BC70,IF(Slot4_PotFree=1,BB70,0))</f>
        <v>0</v>
      </c>
      <c r="BG70" s="1" t="n">
        <f aca="false">AW70+AZ70*Slot4_BufPot*BB70</f>
        <v>0</v>
      </c>
      <c r="BH70" s="1" t="n">
        <f aca="false">IF(AND(AZ70=1,Slot4_IsMfree=1),IF(BE70&gt;=Slot4_Cost-1,0,MAX(0,AX70-BE70)),AX70)</f>
        <v>0</v>
      </c>
      <c r="BI70" s="1" t="n">
        <f aca="false">AZ70*(Slot4_Cost-BE70)</f>
        <v>0</v>
      </c>
      <c r="BJ70" s="1" t="n">
        <f aca="false">IF(AND(Slot5_On=1,D70=Slot5_Age),1,0)</f>
        <v>0</v>
      </c>
      <c r="BK70" s="1" t="n">
        <f aca="false">IF(AND(Slot5_On=1,Slot5_Age&gt;D70),1,0)</f>
        <v>0</v>
      </c>
      <c r="BL70" s="1" t="n">
        <f aca="false">HV69</f>
        <v>0</v>
      </c>
      <c r="BM70" s="1" t="n">
        <f aca="false">BJ70*MIN(Slot5_Cost,BL70)</f>
        <v>0</v>
      </c>
      <c r="BN70" s="1" t="n">
        <f aca="false">BJ70*Slot5_SpendLike*MIN(Slot5_Cost-BM70,BF70)</f>
        <v>0</v>
      </c>
      <c r="BO70" s="1" t="n">
        <f aca="false">BM70+BN70</f>
        <v>0</v>
      </c>
      <c r="BP70" s="1" t="n">
        <f aca="false">BF70-BN70+BJ70*IF(Slot5_SpendLike=1,BL70-BM70,IF(Slot5_PotFree=1,BL70,0))</f>
        <v>0</v>
      </c>
      <c r="BQ70" s="1" t="n">
        <f aca="false">BG70+BJ70*Slot5_BufPot*BL70</f>
        <v>0</v>
      </c>
      <c r="BR70" s="1" t="n">
        <f aca="false">IF(AND(BJ70=1,Slot5_IsMfree=1),IF(BO70&gt;=Slot5_Cost-1,0,MAX(0,BH70-BO70)),BH70)</f>
        <v>0</v>
      </c>
      <c r="BS70" s="1" t="n">
        <f aca="false">BJ70*(Slot5_Cost-BO70)</f>
        <v>0</v>
      </c>
      <c r="BT70" s="1" t="n">
        <f aca="false">IF(AND(Slot6_On=1,D70=Slot6_Age),1,0)</f>
        <v>0</v>
      </c>
      <c r="BU70" s="1" t="n">
        <f aca="false">IF(AND(Slot6_On=1,Slot6_Age&gt;D70),1,0)</f>
        <v>0</v>
      </c>
      <c r="BV70" s="1" t="n">
        <f aca="false">HZ69</f>
        <v>0</v>
      </c>
      <c r="BW70" s="1" t="n">
        <f aca="false">BT70*MIN(Slot6_Cost,BV70)</f>
        <v>0</v>
      </c>
      <c r="BX70" s="1" t="n">
        <f aca="false">BT70*Slot6_SpendLike*MIN(Slot6_Cost-BW70,BP70)</f>
        <v>0</v>
      </c>
      <c r="BY70" s="1" t="n">
        <f aca="false">BW70+BX70</f>
        <v>0</v>
      </c>
      <c r="BZ70" s="1" t="n">
        <f aca="false">BP70-BX70+BT70*IF(Slot6_SpendLike=1,BV70-BW70,IF(Slot6_PotFree=1,BV70,0))</f>
        <v>0</v>
      </c>
      <c r="CA70" s="1" t="n">
        <f aca="false">BQ70+BT70*Slot6_BufPot*BV70</f>
        <v>0</v>
      </c>
      <c r="CB70" s="1" t="n">
        <f aca="false">IF(AND(BT70=1,Slot6_IsMfree=1),IF(BY70&gt;=Slot6_Cost-1,0,MAX(0,BR70-BY70)),BR70)</f>
        <v>0</v>
      </c>
      <c r="CC70" s="1" t="n">
        <f aca="false">BT70*(Slot6_Cost-BY70)</f>
        <v>0</v>
      </c>
      <c r="CD70" s="1" t="n">
        <f aca="false">IF(AND(Slot7_On=1,D70=Slot7_Age),1,0)</f>
        <v>0</v>
      </c>
      <c r="CE70" s="1" t="n">
        <f aca="false">IF(AND(Slot7_On=1,Slot7_Age&gt;D70),1,0)</f>
        <v>0</v>
      </c>
      <c r="CF70" s="1" t="n">
        <f aca="false">ID69</f>
        <v>0</v>
      </c>
      <c r="CG70" s="1" t="n">
        <f aca="false">CD70*MIN(Slot7_Cost,CF70)</f>
        <v>0</v>
      </c>
      <c r="CH70" s="1" t="n">
        <f aca="false">CD70*Slot7_SpendLike*MIN(Slot7_Cost-CG70,BZ70)</f>
        <v>0</v>
      </c>
      <c r="CI70" s="1" t="n">
        <f aca="false">CG70+CH70</f>
        <v>0</v>
      </c>
      <c r="CJ70" s="1" t="n">
        <f aca="false">BZ70-CH70+CD70*IF(Slot7_SpendLike=1,CF70-CG70,IF(Slot7_PotFree=1,CF70,0))</f>
        <v>0</v>
      </c>
      <c r="CK70" s="1" t="n">
        <f aca="false">CA70+CD70*Slot7_BufPot*CF70</f>
        <v>0</v>
      </c>
      <c r="CL70" s="1" t="n">
        <f aca="false">IF(AND(CD70=1,Slot7_IsMfree=1),IF(CI70&gt;=Slot7_Cost-1,0,MAX(0,CB70-CI70)),CB70)</f>
        <v>0</v>
      </c>
      <c r="CM70" s="1" t="n">
        <f aca="false">CD70*(Slot7_Cost-CI70)</f>
        <v>0</v>
      </c>
      <c r="CN70" s="1" t="n">
        <f aca="false">IF(AND(Slot8_On=1,D70=Slot8_Age),1,0)</f>
        <v>0</v>
      </c>
      <c r="CO70" s="1" t="n">
        <f aca="false">IF(AND(Slot8_On=1,Slot8_Age&gt;D70),1,0)</f>
        <v>0</v>
      </c>
      <c r="CP70" s="1" t="n">
        <f aca="false">IH69</f>
        <v>0</v>
      </c>
      <c r="CQ70" s="1" t="n">
        <f aca="false">CN70*MIN(Slot8_Cost,CP70)</f>
        <v>0</v>
      </c>
      <c r="CR70" s="1" t="n">
        <f aca="false">CN70*Slot8_SpendLike*MIN(Slot8_Cost-CQ70,CJ70)</f>
        <v>0</v>
      </c>
      <c r="CS70" s="1" t="n">
        <f aca="false">CQ70+CR70</f>
        <v>0</v>
      </c>
      <c r="CT70" s="1" t="n">
        <f aca="false">CJ70-CR70+CN70*IF(Slot8_SpendLike=1,CP70-CQ70,IF(Slot8_PotFree=1,CP70,0))</f>
        <v>0</v>
      </c>
      <c r="CU70" s="1" t="n">
        <f aca="false">CK70+CN70*Slot8_BufPot*CP70</f>
        <v>0</v>
      </c>
      <c r="CV70" s="1" t="n">
        <f aca="false">IF(AND(CN70=1,Slot8_IsMfree=1),IF(CS70&gt;=Slot8_Cost-1,0,MAX(0,CL70-CS70)),CL70)</f>
        <v>0</v>
      </c>
      <c r="CW70" s="1" t="n">
        <f aca="false">CN70*(Slot8_Cost-CS70)</f>
        <v>0</v>
      </c>
      <c r="CX70" s="1" t="n">
        <f aca="false">U70*Slot1_SpendLike*Z70+AF70*Slot2_SpendLike*AK70+AP70*Slot3_SpendLike*AU70+AZ70*Slot4_SpendLike*BE70+BJ70*Slot5_SpendLike*BO70+BT70*Slot6_SpendLike*BY70+CD70*Slot7_SpendLike*CI70+CN70*Slot8_SpendLike*CS70</f>
        <v>0</v>
      </c>
      <c r="CY70" s="1" t="n">
        <f aca="false">AD70+AO70+AY70+BI70+BS70+CC70+CM70+CW70</f>
        <v>0</v>
      </c>
      <c r="CZ70" s="1" t="n">
        <f aca="false">U70*Slot1_Cost+AF70*Slot2_Cost+AP70*Slot3_Cost+AZ70*Slot4_Cost+BJ70*Slot5_Cost+BT70*Slot6_Cost+CD70*Slot7_Cost+CN70*Slot8_Cost</f>
        <v>0</v>
      </c>
      <c r="DA70" s="1" t="n">
        <f aca="false">CV70</f>
        <v>0</v>
      </c>
      <c r="DB70" s="1" t="n">
        <f aca="false">G70-H70-R70</f>
        <v>0</v>
      </c>
      <c r="DC70" s="1" t="n">
        <f aca="false">IF(B70=0,IF(AND(Has_q6=1,In_q6=4),PR_ShareVaries*(MAX(0,DB70)/12),MIN(IF(Has_q6=1,CHOOSE(In_q6+1,PR_SaveB1,PR_SaveB2,PR_SaveB3,PR_SaveB4,0),AS_NoAnswer),AS_SaveShare*(MAX(0,DB70)/12))),DC69)</f>
        <v>0</v>
      </c>
      <c r="DD70" s="1" t="n">
        <f aca="false">IF(DB70&gt;=0,1,0)</f>
        <v>1</v>
      </c>
      <c r="DE70" s="1" t="n">
        <f aca="false">MAX(0,DB70/12/E70)</f>
        <v>0</v>
      </c>
      <c r="DF70" s="1" t="n">
        <f aca="false">IF(AND(Has_q6=1,In_q6=4),PR_ShareVaries*(DE70),MIN(IF(Has_q6=1,CHOOSE(In_q6+1,PR_SaveB1,PR_SaveB2,PR_SaveB3,PR_SaveB4,0),AS_NoAnswer),AS_SaveShare*(DE70)))</f>
        <v>0</v>
      </c>
      <c r="DG70" s="1" t="n">
        <f aca="false">IF(Has_saveM=1,IF(In_saveUp="Yes",1,IF(In_saveUp="No",0,IF(In_saveM&gt;=DC70-0.5,1,0))),0)</f>
        <v>0</v>
      </c>
      <c r="DH70" s="1" t="n">
        <f aca="false">IF(Has_saveM=1,MIN(DE70,IF(DG70=1,MAX(In_saveM,DF70),MIN(In_saveM,DF70))),DF70)</f>
        <v>0</v>
      </c>
      <c r="DI70" s="1" t="n">
        <f aca="false">IF(F70=1,DH70*12*E70,0)</f>
        <v>0</v>
      </c>
      <c r="DJ70" s="1" t="n">
        <f aca="false">MAX(0,DI70+IF(AND(WI_Retire=0,WI_M&lt;0,F70=1),WI_M*12*E70,0))</f>
        <v>0</v>
      </c>
      <c r="DK70" s="1" t="n">
        <f aca="false">Slot1_IsWG*V70+Slot2_IsWG*AG70+Slot3_IsWG*AQ70+Slot4_IsWG*BA70+Slot5_IsWG*BK70+Slot6_IsWG*BU70+Slot7_IsWG*CE70+Slot8_IsWG*CO70</f>
        <v>0</v>
      </c>
      <c r="DL70" s="1" t="n">
        <f aca="false">IF(AND(WI_Retire=0,WI_M&gt;0,F70=1,DK70&gt;=1),WI_M*12*E70,0)</f>
        <v>0</v>
      </c>
      <c r="DM70" s="1" t="n">
        <f aca="false">IF(DD70=1,MIN(DJ70,DB70),0)</f>
        <v>0</v>
      </c>
      <c r="DN70" s="1" t="n">
        <f aca="false">IF(DD70=1,MIN(DL70,DB70-DM70),0)</f>
        <v>0</v>
      </c>
      <c r="DO70" s="1" t="n">
        <f aca="false">IF(V70=1,IF(ABS((1+AS_Wage)/(1+Slot1_Rate)-1)&lt;0.000000000001,(Slot1_Age-D70)*(1+Slot1_Rate)^(Slot1_Age-D70),(1+Slot1_Rate)^(Slot1_Age-D70)*(1-((1+AS_Wage)/(1+Slot1_Rate))^(Slot1_Age-D70))/(1-(1+AS_Wage)/(1+Slot1_Rate))),1)</f>
        <v>1</v>
      </c>
      <c r="DP70" s="1" t="n">
        <f aca="false">IF(AND(DD70=1,DN70&gt;0,Slot1_IsWG=1,V70=1),MAX(0,(Slot1_Cost-W70*(1+Slot1_Rate)^(Slot1_Age-D70))/DO70),0)</f>
        <v>0</v>
      </c>
      <c r="DQ70" s="1" t="n">
        <f aca="false">IF(AND(DD70=1,DN70&gt;0,Slot1_IsWG=1,V70=1),MIN(DN70,DP70),0)</f>
        <v>0</v>
      </c>
      <c r="DR70" s="1" t="n">
        <f aca="false">W70+DQ70</f>
        <v>0</v>
      </c>
      <c r="DS70" s="1" t="n">
        <f aca="false">IF(V70=1,MAX(0,(Slot1_Cost-DR70*(1+Slot1_Rate)^(Slot1_Age-D70))/DO70),0)</f>
        <v>0</v>
      </c>
      <c r="DT70" s="1" t="n">
        <f aca="false">IF(V70=1,MAX(0,(Slot1_Cost-W70*(1+Slot1_Rate)^(Slot1_Age-D70))/DO70),0)</f>
        <v>0</v>
      </c>
      <c r="DU70" s="1" t="n">
        <f aca="false">IF(AND(DD70=1,V70=1),MIN(DM70,DS70),0)</f>
        <v>0</v>
      </c>
      <c r="DV70" s="1" t="n">
        <f aca="false">DM70-DU70</f>
        <v>0</v>
      </c>
      <c r="DW70" s="1" t="n">
        <f aca="false">IF(AG70=1,IF(ABS((1+AS_Wage)/(1+Slot2_Rate)-1)&lt;0.000000000001,(Slot2_Age-D70)*(1+Slot2_Rate)^(Slot2_Age-D70),(1+Slot2_Rate)^(Slot2_Age-D70)*(1-((1+AS_Wage)/(1+Slot2_Rate))^(Slot2_Age-D70))/(1-(1+AS_Wage)/(1+Slot2_Rate))),1)</f>
        <v>1</v>
      </c>
      <c r="DX70" s="1" t="n">
        <f aca="false">IF(AND(DD70=1,DN70&gt;0,Slot2_IsWG=1,AG70=1),MAX(0,(Slot2_Cost-AH70*(1+Slot2_Rate)^(Slot2_Age-D70))/DW70),0)</f>
        <v>0</v>
      </c>
      <c r="DY70" s="1" t="n">
        <f aca="false">IF(AND(DD70=1,DN70&gt;0,Slot2_IsWG=1,AG70=1),MIN(DN70,DX70),0)</f>
        <v>0</v>
      </c>
      <c r="DZ70" s="1" t="n">
        <f aca="false">AH70+DY70</f>
        <v>0</v>
      </c>
      <c r="EA70" s="1" t="n">
        <f aca="false">IF(AG70=1,MAX(0,(Slot2_Cost-DZ70*(1+Slot2_Rate)^(Slot2_Age-D70))/DW70),0)</f>
        <v>0</v>
      </c>
      <c r="EB70" s="1" t="n">
        <f aca="false">IF(AG70=1,MAX(0,(Slot2_Cost-AH70*(1+Slot2_Rate)^(Slot2_Age-D70))/DW70),0)</f>
        <v>0</v>
      </c>
      <c r="EC70" s="1" t="n">
        <f aca="false">IF(AND(DD70=1,AG70=1),MIN(DV70,EA70),0)</f>
        <v>0</v>
      </c>
      <c r="ED70" s="1" t="n">
        <f aca="false">DV70-EC70</f>
        <v>0</v>
      </c>
      <c r="EE70" s="1" t="n">
        <f aca="false">IF(AQ70=1,IF(ABS((1+AS_Wage)/(1+Slot3_Rate)-1)&lt;0.000000000001,(Slot3_Age-D70)*(1+Slot3_Rate)^(Slot3_Age-D70),(1+Slot3_Rate)^(Slot3_Age-D70)*(1-((1+AS_Wage)/(1+Slot3_Rate))^(Slot3_Age-D70))/(1-(1+AS_Wage)/(1+Slot3_Rate))),1)</f>
        <v>1</v>
      </c>
      <c r="EF70" s="1" t="n">
        <f aca="false">IF(AND(DD70=1,DN70&gt;0,Slot3_IsWG=1,AQ70=1),MAX(0,(Slot3_Cost-AR70*(1+Slot3_Rate)^(Slot3_Age-D70))/EE70),0)</f>
        <v>0</v>
      </c>
      <c r="EG70" s="1" t="n">
        <f aca="false">IF(AND(DD70=1,DN70&gt;0,Slot3_IsWG=1,AQ70=1),MIN(DN70,EF70),0)</f>
        <v>0</v>
      </c>
      <c r="EH70" s="1" t="n">
        <f aca="false">AR70+EG70</f>
        <v>0</v>
      </c>
      <c r="EI70" s="1" t="n">
        <f aca="false">IF(AQ70=1,MAX(0,(Slot3_Cost-EH70*(1+Slot3_Rate)^(Slot3_Age-D70))/EE70),0)</f>
        <v>0</v>
      </c>
      <c r="EJ70" s="1" t="n">
        <f aca="false">IF(AQ70=1,MAX(0,(Slot3_Cost-AR70*(1+Slot3_Rate)^(Slot3_Age-D70))/EE70),0)</f>
        <v>0</v>
      </c>
      <c r="EK70" s="1" t="n">
        <f aca="false">IF(AND(DD70=1,AQ70=1),MIN(ED70,EI70),0)</f>
        <v>0</v>
      </c>
      <c r="EL70" s="1" t="n">
        <f aca="false">ED70-EK70</f>
        <v>0</v>
      </c>
      <c r="EM70" s="1" t="n">
        <f aca="false">IF(BA70=1,IF(ABS((1+AS_Wage)/(1+Slot4_Rate)-1)&lt;0.000000000001,(Slot4_Age-D70)*(1+Slot4_Rate)^(Slot4_Age-D70),(1+Slot4_Rate)^(Slot4_Age-D70)*(1-((1+AS_Wage)/(1+Slot4_Rate))^(Slot4_Age-D70))/(1-(1+AS_Wage)/(1+Slot4_Rate))),1)</f>
        <v>1</v>
      </c>
      <c r="EN70" s="1" t="n">
        <f aca="false">IF(AND(DD70=1,DN70&gt;0,Slot4_IsWG=1,BA70=1),MAX(0,(Slot4_Cost-BB70*(1+Slot4_Rate)^(Slot4_Age-D70))/EM70),0)</f>
        <v>0</v>
      </c>
      <c r="EO70" s="1" t="n">
        <f aca="false">IF(AND(DD70=1,DN70&gt;0,Slot4_IsWG=1,BA70=1),MIN(DN70,EN70),0)</f>
        <v>0</v>
      </c>
      <c r="EP70" s="1" t="n">
        <f aca="false">BB70+EO70</f>
        <v>0</v>
      </c>
      <c r="EQ70" s="1" t="n">
        <f aca="false">IF(BA70=1,MAX(0,(Slot4_Cost-EP70*(1+Slot4_Rate)^(Slot4_Age-D70))/EM70),0)</f>
        <v>0</v>
      </c>
      <c r="ER70" s="1" t="n">
        <f aca="false">IF(BA70=1,MAX(0,(Slot4_Cost-BB70*(1+Slot4_Rate)^(Slot4_Age-D70))/EM70),0)</f>
        <v>0</v>
      </c>
      <c r="ES70" s="1" t="n">
        <f aca="false">IF(AND(DD70=1,BA70=1),MIN(EL70,EQ70),0)</f>
        <v>0</v>
      </c>
      <c r="ET70" s="1" t="n">
        <f aca="false">EL70-ES70</f>
        <v>0</v>
      </c>
      <c r="EU70" s="1" t="n">
        <f aca="false">IF(BK70=1,IF(ABS((1+AS_Wage)/(1+Slot5_Rate)-1)&lt;0.000000000001,(Slot5_Age-D70)*(1+Slot5_Rate)^(Slot5_Age-D70),(1+Slot5_Rate)^(Slot5_Age-D70)*(1-((1+AS_Wage)/(1+Slot5_Rate))^(Slot5_Age-D70))/(1-(1+AS_Wage)/(1+Slot5_Rate))),1)</f>
        <v>1</v>
      </c>
      <c r="EV70" s="1" t="n">
        <f aca="false">IF(AND(DD70=1,DN70&gt;0,Slot5_IsWG=1,BK70=1),MAX(0,(Slot5_Cost-BL70*(1+Slot5_Rate)^(Slot5_Age-D70))/EU70),0)</f>
        <v>0</v>
      </c>
      <c r="EW70" s="1" t="n">
        <f aca="false">IF(AND(DD70=1,DN70&gt;0,Slot5_IsWG=1,BK70=1),MIN(DN70,EV70),0)</f>
        <v>0</v>
      </c>
      <c r="EX70" s="1" t="n">
        <f aca="false">BL70+EW70</f>
        <v>0</v>
      </c>
      <c r="EY70" s="1" t="n">
        <f aca="false">IF(BK70=1,MAX(0,(Slot5_Cost-EX70*(1+Slot5_Rate)^(Slot5_Age-D70))/EU70),0)</f>
        <v>0</v>
      </c>
      <c r="EZ70" s="1" t="n">
        <f aca="false">IF(BK70=1,MAX(0,(Slot5_Cost-BL70*(1+Slot5_Rate)^(Slot5_Age-D70))/EU70),0)</f>
        <v>0</v>
      </c>
      <c r="FA70" s="1" t="n">
        <f aca="false">IF(AND(DD70=1,BK70=1),MIN(ET70,EY70),0)</f>
        <v>0</v>
      </c>
      <c r="FB70" s="1" t="n">
        <f aca="false">ET70-FA70</f>
        <v>0</v>
      </c>
      <c r="FC70" s="1" t="n">
        <f aca="false">IF(BU70=1,IF(ABS((1+AS_Wage)/(1+Slot6_Rate)-1)&lt;0.000000000001,(Slot6_Age-D70)*(1+Slot6_Rate)^(Slot6_Age-D70),(1+Slot6_Rate)^(Slot6_Age-D70)*(1-((1+AS_Wage)/(1+Slot6_Rate))^(Slot6_Age-D70))/(1-(1+AS_Wage)/(1+Slot6_Rate))),1)</f>
        <v>1</v>
      </c>
      <c r="FD70" s="1" t="n">
        <f aca="false">IF(AND(DD70=1,DN70&gt;0,Slot6_IsWG=1,BU70=1),MAX(0,(Slot6_Cost-BV70*(1+Slot6_Rate)^(Slot6_Age-D70))/FC70),0)</f>
        <v>0</v>
      </c>
      <c r="FE70" s="1" t="n">
        <f aca="false">IF(AND(DD70=1,DN70&gt;0,Slot6_IsWG=1,BU70=1),MIN(DN70,FD70),0)</f>
        <v>0</v>
      </c>
      <c r="FF70" s="1" t="n">
        <f aca="false">BV70+FE70</f>
        <v>0</v>
      </c>
      <c r="FG70" s="1" t="n">
        <f aca="false">IF(BU70=1,MAX(0,(Slot6_Cost-FF70*(1+Slot6_Rate)^(Slot6_Age-D70))/FC70),0)</f>
        <v>0</v>
      </c>
      <c r="FH70" s="1" t="n">
        <f aca="false">IF(BU70=1,MAX(0,(Slot6_Cost-BV70*(1+Slot6_Rate)^(Slot6_Age-D70))/FC70),0)</f>
        <v>0</v>
      </c>
      <c r="FI70" s="1" t="n">
        <f aca="false">IF(AND(DD70=1,BU70=1),MIN(FB70,FG70),0)</f>
        <v>0</v>
      </c>
      <c r="FJ70" s="1" t="n">
        <f aca="false">FB70-FI70</f>
        <v>0</v>
      </c>
      <c r="FK70" s="1" t="n">
        <f aca="false">IF(CE70=1,IF(ABS((1+AS_Wage)/(1+Slot7_Rate)-1)&lt;0.000000000001,(Slot7_Age-D70)*(1+Slot7_Rate)^(Slot7_Age-D70),(1+Slot7_Rate)^(Slot7_Age-D70)*(1-((1+AS_Wage)/(1+Slot7_Rate))^(Slot7_Age-D70))/(1-(1+AS_Wage)/(1+Slot7_Rate))),1)</f>
        <v>1</v>
      </c>
      <c r="FL70" s="1" t="n">
        <f aca="false">IF(AND(DD70=1,DN70&gt;0,Slot7_IsWG=1,CE70=1),MAX(0,(Slot7_Cost-CF70*(1+Slot7_Rate)^(Slot7_Age-D70))/FK70),0)</f>
        <v>0</v>
      </c>
      <c r="FM70" s="1" t="n">
        <f aca="false">IF(AND(DD70=1,DN70&gt;0,Slot7_IsWG=1,CE70=1),MIN(DN70,FL70),0)</f>
        <v>0</v>
      </c>
      <c r="FN70" s="1" t="n">
        <f aca="false">CF70+FM70</f>
        <v>0</v>
      </c>
      <c r="FO70" s="1" t="n">
        <f aca="false">IF(CE70=1,MAX(0,(Slot7_Cost-FN70*(1+Slot7_Rate)^(Slot7_Age-D70))/FK70),0)</f>
        <v>0</v>
      </c>
      <c r="FP70" s="1" t="n">
        <f aca="false">IF(CE70=1,MAX(0,(Slot7_Cost-CF70*(1+Slot7_Rate)^(Slot7_Age-D70))/FK70),0)</f>
        <v>0</v>
      </c>
      <c r="FQ70" s="1" t="n">
        <f aca="false">IF(AND(DD70=1,CE70=1),MIN(FJ70,FO70),0)</f>
        <v>0</v>
      </c>
      <c r="FR70" s="1" t="n">
        <f aca="false">FJ70-FQ70</f>
        <v>0</v>
      </c>
      <c r="FS70" s="1" t="n">
        <f aca="false">IF(CO70=1,IF(ABS((1+AS_Wage)/(1+Slot8_Rate)-1)&lt;0.000000000001,(Slot8_Age-D70)*(1+Slot8_Rate)^(Slot8_Age-D70),(1+Slot8_Rate)^(Slot8_Age-D70)*(1-((1+AS_Wage)/(1+Slot8_Rate))^(Slot8_Age-D70))/(1-(1+AS_Wage)/(1+Slot8_Rate))),1)</f>
        <v>1</v>
      </c>
      <c r="FT70" s="1" t="n">
        <f aca="false">IF(AND(DD70=1,DN70&gt;0,Slot8_IsWG=1,CO70=1),MAX(0,(Slot8_Cost-CP70*(1+Slot8_Rate)^(Slot8_Age-D70))/FS70),0)</f>
        <v>0</v>
      </c>
      <c r="FU70" s="1" t="n">
        <f aca="false">IF(AND(DD70=1,DN70&gt;0,Slot8_IsWG=1,CO70=1),MIN(DN70,FT70),0)</f>
        <v>0</v>
      </c>
      <c r="FV70" s="1" t="n">
        <f aca="false">CP70+FU70</f>
        <v>0</v>
      </c>
      <c r="FW70" s="1" t="n">
        <f aca="false">IF(CO70=1,MAX(0,(Slot8_Cost-FV70*(1+Slot8_Rate)^(Slot8_Age-D70))/FS70),0)</f>
        <v>0</v>
      </c>
      <c r="FX70" s="1" t="n">
        <f aca="false">IF(CO70=1,MAX(0,(Slot8_Cost-CP70*(1+Slot8_Rate)^(Slot8_Age-D70))/FS70),0)</f>
        <v>0</v>
      </c>
      <c r="FY70" s="1" t="n">
        <f aca="false">IF(AND(DD70=1,CO70=1),MIN(FR70,FW70),0)</f>
        <v>0</v>
      </c>
      <c r="FZ70" s="1" t="n">
        <f aca="false">FR70-FY70</f>
        <v>0</v>
      </c>
      <c r="GA70" s="1" t="n">
        <f aca="false">DN70-(DQ70+DY70+EG70+EO70+EW70+FE70+FM70+FU70)</f>
        <v>0</v>
      </c>
      <c r="GB70" s="1" t="n">
        <f aca="false">IF(DD70=1,DB70-DM70-DN70,0)</f>
        <v>0</v>
      </c>
      <c r="GC70" s="1" t="n">
        <f aca="false">IF(DD70=0,-DB70,0)</f>
        <v>0</v>
      </c>
      <c r="GD70" s="1" t="n">
        <f aca="false">MIN(GC70,CT70)</f>
        <v>0</v>
      </c>
      <c r="GE70" s="1" t="n">
        <f aca="false">GC70-GD70</f>
        <v>0</v>
      </c>
      <c r="GF70" s="1" t="n">
        <f aca="false">MIN(GE70,CU70)</f>
        <v>0</v>
      </c>
      <c r="GG70" s="1" t="n">
        <f aca="false">GE70-GF70</f>
        <v>0</v>
      </c>
      <c r="GH70" s="1" t="n">
        <f aca="false">IF(AND(DD70=0,CO70=1,GG70&gt;0),MIN(GG70,CP70),0)</f>
        <v>0</v>
      </c>
      <c r="GI70" s="1" t="n">
        <f aca="false">GG70-GH70</f>
        <v>0</v>
      </c>
      <c r="GJ70" s="1" t="n">
        <f aca="false">IF(AND(DD70=0,CE70=1,GI70&gt;0),MIN(GI70,CF70),0)</f>
        <v>0</v>
      </c>
      <c r="GK70" s="1" t="n">
        <f aca="false">GI70-GJ70</f>
        <v>0</v>
      </c>
      <c r="GL70" s="1" t="n">
        <f aca="false">IF(AND(DD70=0,BU70=1,GK70&gt;0),MIN(GK70,BV70),0)</f>
        <v>0</v>
      </c>
      <c r="GM70" s="1" t="n">
        <f aca="false">GK70-GL70</f>
        <v>0</v>
      </c>
      <c r="GN70" s="1" t="n">
        <f aca="false">IF(AND(DD70=0,BK70=1,GM70&gt;0),MIN(GM70,BL70),0)</f>
        <v>0</v>
      </c>
      <c r="GO70" s="1" t="n">
        <f aca="false">GM70-GN70</f>
        <v>0</v>
      </c>
      <c r="GP70" s="1" t="n">
        <f aca="false">IF(AND(DD70=0,BA70=1,GO70&gt;0),MIN(GO70,BB70),0)</f>
        <v>0</v>
      </c>
      <c r="GQ70" s="1" t="n">
        <f aca="false">GO70-GP70</f>
        <v>0</v>
      </c>
      <c r="GR70" s="1" t="n">
        <f aca="false">IF(AND(DD70=0,AQ70=1,GQ70&gt;0),MIN(GQ70,AR70),0)</f>
        <v>0</v>
      </c>
      <c r="GS70" s="1" t="n">
        <f aca="false">GQ70-GR70</f>
        <v>0</v>
      </c>
      <c r="GT70" s="1" t="n">
        <f aca="false">IF(AND(DD70=0,AG70=1,GS70&gt;0),MIN(GS70,AH70),0)</f>
        <v>0</v>
      </c>
      <c r="GU70" s="1" t="n">
        <f aca="false">GS70-GT70</f>
        <v>0</v>
      </c>
      <c r="GV70" s="1" t="n">
        <f aca="false">IF(AND(DD70=0,V70=1,GU70&gt;0),MIN(GU70,W70),0)</f>
        <v>0</v>
      </c>
      <c r="GW70" s="1" t="n">
        <f aca="false">GU70-GV70</f>
        <v>0</v>
      </c>
      <c r="GX70" s="1" t="n">
        <f aca="false">IF(DD70=0,GW70,0)</f>
        <v>0</v>
      </c>
      <c r="GY70" s="1" t="n">
        <f aca="false">GD70+GF70+GV70+GT70+GR70+GP70+GN70+GL70+GJ70+GH70</f>
        <v>0</v>
      </c>
      <c r="GZ70" s="1" t="n">
        <f aca="false">IF(DD70=1,CT70+GA70+FZ70+IF(F70=1,0,GB70),CT70-GD70)</f>
        <v>0</v>
      </c>
      <c r="HA70" s="1" t="n">
        <f aca="false">CU70-GF70</f>
        <v>0</v>
      </c>
      <c r="HB70" s="1" t="n">
        <f aca="false">IF(DD70=1,IF(F70=1,DM70+DN70,DB70),0)</f>
        <v>0</v>
      </c>
      <c r="HC70" s="1" t="n">
        <f aca="false">IF(DD70=1,IF(F70=1,DB70-DM70-DN70,0),0)</f>
        <v>0</v>
      </c>
      <c r="HD70" s="1" t="n">
        <f aca="false">GZ70*(1+GR)</f>
        <v>0</v>
      </c>
      <c r="HE70" s="1" t="n">
        <f aca="false">HA70*(1+AS_Cash)</f>
        <v>0</v>
      </c>
      <c r="HF70" s="1" t="n">
        <f aca="false">IF(V70=1,IF(DD70=1,DR70+DU70,W70-GV70)*(1+Slot1_Rate),0)</f>
        <v>0</v>
      </c>
      <c r="HG70" s="1" t="n">
        <f aca="false">IF(AND(DD70=1,V70=1),(DQ70+DU70)/E70,0)</f>
        <v>0</v>
      </c>
      <c r="HH70" s="1" t="n">
        <f aca="false">IF(B70=0,DQ70+DU70,0)</f>
        <v>0</v>
      </c>
      <c r="HI70" s="1" t="n">
        <f aca="false">IF(B70=0,IF(DD70=1,DS70,DT70),0)</f>
        <v>0</v>
      </c>
      <c r="HJ70" s="1" t="n">
        <f aca="false">IF(AG70=1,IF(DD70=1,DZ70+EC70,AH70-GT70)*(1+Slot2_Rate),0)</f>
        <v>0</v>
      </c>
      <c r="HK70" s="1" t="n">
        <f aca="false">IF(AND(DD70=1,AG70=1),(DY70+EC70)/E70,0)</f>
        <v>0</v>
      </c>
      <c r="HL70" s="1" t="n">
        <f aca="false">IF(B70=0,DY70+EC70,0)</f>
        <v>0</v>
      </c>
      <c r="HM70" s="1" t="n">
        <f aca="false">IF(B70=0,IF(DD70=1,EA70,EB70),0)</f>
        <v>0</v>
      </c>
      <c r="HN70" s="1" t="n">
        <f aca="false">IF(AQ70=1,IF(DD70=1,EH70+EK70,AR70-GR70)*(1+Slot3_Rate),0)</f>
        <v>0</v>
      </c>
      <c r="HO70" s="1" t="n">
        <f aca="false">IF(AND(DD70=1,AQ70=1),(EG70+EK70)/E70,0)</f>
        <v>0</v>
      </c>
      <c r="HP70" s="1" t="n">
        <f aca="false">IF(B70=0,EG70+EK70,0)</f>
        <v>0</v>
      </c>
      <c r="HQ70" s="1" t="n">
        <f aca="false">IF(B70=0,IF(DD70=1,EI70,EJ70),0)</f>
        <v>0</v>
      </c>
      <c r="HR70" s="1" t="n">
        <f aca="false">IF(BA70=1,IF(DD70=1,EP70+ES70,BB70-GP70)*(1+Slot4_Rate),0)</f>
        <v>0</v>
      </c>
      <c r="HS70" s="1" t="n">
        <f aca="false">IF(AND(DD70=1,BA70=1),(EO70+ES70)/E70,0)</f>
        <v>0</v>
      </c>
      <c r="HT70" s="1" t="n">
        <f aca="false">IF(B70=0,EO70+ES70,0)</f>
        <v>0</v>
      </c>
      <c r="HU70" s="1" t="n">
        <f aca="false">IF(B70=0,IF(DD70=1,EQ70,ER70),0)</f>
        <v>0</v>
      </c>
      <c r="HV70" s="1" t="n">
        <f aca="false">IF(BK70=1,IF(DD70=1,EX70+FA70,BL70-GN70)*(1+Slot5_Rate),0)</f>
        <v>0</v>
      </c>
      <c r="HW70" s="1" t="n">
        <f aca="false">IF(AND(DD70=1,BK70=1),(EW70+FA70)/E70,0)</f>
        <v>0</v>
      </c>
      <c r="HX70" s="1" t="n">
        <f aca="false">IF(B70=0,EW70+FA70,0)</f>
        <v>0</v>
      </c>
      <c r="HY70" s="1" t="n">
        <f aca="false">IF(B70=0,IF(DD70=1,EY70,EZ70),0)</f>
        <v>0</v>
      </c>
      <c r="HZ70" s="1" t="n">
        <f aca="false">IF(BU70=1,IF(DD70=1,FF70+FI70,BV70-GL70)*(1+Slot6_Rate),0)</f>
        <v>0</v>
      </c>
      <c r="IA70" s="1" t="n">
        <f aca="false">IF(AND(DD70=1,BU70=1),(FE70+FI70)/E70,0)</f>
        <v>0</v>
      </c>
      <c r="IB70" s="1" t="n">
        <f aca="false">IF(B70=0,FE70+FI70,0)</f>
        <v>0</v>
      </c>
      <c r="IC70" s="1" t="n">
        <f aca="false">IF(B70=0,IF(DD70=1,FG70,FH70),0)</f>
        <v>0</v>
      </c>
      <c r="ID70" s="1" t="n">
        <f aca="false">IF(CE70=1,IF(DD70=1,FN70+FQ70,CF70-GJ70)*(1+Slot7_Rate),0)</f>
        <v>0</v>
      </c>
      <c r="IE70" s="1" t="n">
        <f aca="false">IF(AND(DD70=1,CE70=1),(FM70+FQ70)/E70,0)</f>
        <v>0</v>
      </c>
      <c r="IF70" s="1" t="n">
        <f aca="false">IF(B70=0,FM70+FQ70,0)</f>
        <v>0</v>
      </c>
      <c r="IG70" s="1" t="n">
        <f aca="false">IF(B70=0,IF(DD70=1,FO70,FP70),0)</f>
        <v>0</v>
      </c>
      <c r="IH70" s="1" t="n">
        <f aca="false">IF(CO70=1,IF(DD70=1,FV70+FY70,CP70-GH70)*(1+Slot8_Rate),0)</f>
        <v>0</v>
      </c>
      <c r="II70" s="1" t="n">
        <f aca="false">IF(AND(DD70=1,CO70=1),(FU70+FY70)/E70,0)</f>
        <v>0</v>
      </c>
      <c r="IJ70" s="1" t="n">
        <f aca="false">IF(B70=0,FU70+FY70,0)</f>
        <v>0</v>
      </c>
      <c r="IK70" s="1" t="n">
        <f aca="false">IF(B70=0,IF(DD70=1,FW70,FX70),0)</f>
        <v>0</v>
      </c>
      <c r="IL70" s="1" t="n">
        <f aca="false">HD70+HE70+HF70+HJ70+HN70+HR70+HV70+HZ70+ID70+IH70</f>
        <v>0</v>
      </c>
      <c r="IM70" s="1" t="n">
        <f aca="false">GX70+CY70</f>
        <v>0</v>
      </c>
      <c r="IN70" s="1" t="n">
        <f aca="false">H70+R70</f>
        <v>0</v>
      </c>
      <c r="IO70" s="1" t="n">
        <f aca="false">1-F70</f>
        <v>1</v>
      </c>
      <c r="IP70" s="1" t="n">
        <f aca="false">IF(AND(RG_Exists=1,F70=0,C70=1),H70,0)</f>
        <v>0</v>
      </c>
      <c r="IQ70" s="1" t="n">
        <f aca="false">IF(AND(RG_Exists=1,F70=0,C70=1),H70-MIN(GX70,H70),0)</f>
        <v>0</v>
      </c>
      <c r="IR70" s="1" t="n">
        <f aca="false">'Plan pay &amp; tax'!AD272</f>
        <v>0</v>
      </c>
      <c r="IS70" s="1" t="n">
        <f aca="false">IF(AND(C70=1,GX70&gt;MAX(PR_Short1,IN70*PR_Short2)),1,0)</f>
        <v>0</v>
      </c>
      <c r="IT70" s="1" t="n">
        <f aca="false">MIN(G70,H70+R70)</f>
        <v>0</v>
      </c>
      <c r="IU70" s="1" t="n">
        <f aca="false">GY70+MAX(0,CZ70-CY70)</f>
        <v>0</v>
      </c>
      <c r="IV70" s="1" t="n">
        <f aca="false">GX70+CY70</f>
        <v>0</v>
      </c>
      <c r="IW70" s="1" t="n">
        <f aca="false">IF(AND(C70=1,IV70&gt;0.5),1,0)</f>
        <v>0</v>
      </c>
      <c r="IX70" s="1" t="n">
        <f aca="false">IF(AND(C70=1,IW70=0,IU70&gt;0.5),1,0)</f>
        <v>0</v>
      </c>
      <c r="IY70" s="1" t="n">
        <f aca="false">IF(AND(C70=1,GX70&gt;0.5),1,0)</f>
        <v>0</v>
      </c>
      <c r="IZ70" s="1" t="n">
        <f aca="false">IF(AND(C70=1,GY70&gt;1,JF70=0),1,0)</f>
        <v>0</v>
      </c>
      <c r="JA70" s="1" t="n">
        <f aca="false">IF(AND(INT(D70/10)*10=90,B70&gt;0),80,INT(D70/10)*10)</f>
        <v>60</v>
      </c>
      <c r="JB70" s="1" t="n">
        <f aca="false">IF(B70=0,1,IF(JA70&lt;&gt;JA69,JB69+1,JB69))</f>
        <v>7</v>
      </c>
      <c r="JC70" s="1" t="n">
        <f aca="false">IF(AND(C70=1,F70=1,GX70&gt;MAX(PR_Short1,IN70*PR_Short2)),1,0)</f>
        <v>0</v>
      </c>
      <c r="JD70" s="1" t="n">
        <f aca="false">IO70*IS70</f>
        <v>0</v>
      </c>
      <c r="JE70" s="1" t="n">
        <f aca="false">IF(AND(U70=1,Slot1_PctLow=1),1,0)+IF(AND(AF70=1,Slot2_PctLow=1),1,0)+IF(AND(AP70=1,Slot3_PctLow=1),1,0)+IF(AND(AZ70=1,Slot4_PctLow=1),1,0)+IF(AND(BJ70=1,Slot5_PctLow=1),1,0)+IF(AND(BT70=1,Slot6_PctLow=1),1,0)+IF(AND(CD70=1,Slot7_PctLow=1),1,0)+IF(AND(CN70=1,Slot8_PctLow=1),1,0)</f>
        <v>0</v>
      </c>
      <c r="JF70" s="1" t="n">
        <f aca="false">IF(C70=1,IF(OR(IS70=1,JE70&gt;0),1,0),0)</f>
        <v>0</v>
      </c>
    </row>
    <row r="71" customFormat="false" ht="15" hidden="false" customHeight="false" outlineLevel="0" collapsed="false">
      <c r="B71" s="1" t="n">
        <v>63</v>
      </c>
      <c r="C71" s="1" t="n">
        <f aca="false">IF(B71&lt;=F_N,1,0)</f>
        <v>1</v>
      </c>
      <c r="D71" s="1" t="n">
        <f aca="false">'Plan pay &amp; tax'!C273</f>
        <v>63</v>
      </c>
      <c r="E71" s="106" t="n">
        <f aca="false">'Plan pay &amp; tax'!E273</f>
        <v>3.48185612085969</v>
      </c>
      <c r="F71" s="1" t="n">
        <f aca="false">'Plan pay &amp; tax'!G273</f>
        <v>0</v>
      </c>
      <c r="G71" s="1" t="n">
        <f aca="false">'Plan pay &amp; tax'!BT273-'Plan pay &amp; tax'!BS273-'Plan pay &amp; tax'!R273</f>
        <v>0</v>
      </c>
      <c r="H71" s="1" t="n">
        <f aca="false">IF(F71=1,F_CostsM*12,IF(RG_Exists=1,RG_Amount,F_CostsM*12*AS_RetireSpend))*E71+F_OneOffY*E71</f>
        <v>0</v>
      </c>
      <c r="I71" s="1" t="n">
        <f aca="false">DA70</f>
        <v>0</v>
      </c>
      <c r="J71" s="1" t="n">
        <f aca="false">IF(I71&gt;1,'Plan debt months'!AC71,0)</f>
        <v>0</v>
      </c>
      <c r="K71" s="1" t="n">
        <f aca="false">IF(I71&gt;1,'Plan debt months'!AB71,I71)</f>
        <v>0</v>
      </c>
      <c r="L71" s="1" t="n">
        <f aca="false">N70</f>
        <v>0</v>
      </c>
      <c r="M71" s="1" t="n">
        <f aca="false">IF(L71&gt;1,'Plan debt months'!BD71,0)</f>
        <v>0</v>
      </c>
      <c r="N71" s="1" t="n">
        <f aca="false">IF(L71&gt;1,'Plan debt months'!BC71,L71)</f>
        <v>0</v>
      </c>
      <c r="O71" s="1" t="n">
        <f aca="false">Q70</f>
        <v>0</v>
      </c>
      <c r="P71" s="1" t="n">
        <f aca="false">IF(O71&gt;1,'Plan debt months'!CE71,0)</f>
        <v>0</v>
      </c>
      <c r="Q71" s="1" t="n">
        <f aca="false">IF(O71&gt;1,'Plan debt months'!CD71,O71)</f>
        <v>0</v>
      </c>
      <c r="R71" s="1" t="n">
        <f aca="false">J71+M71+P71</f>
        <v>0</v>
      </c>
      <c r="S71" s="1" t="n">
        <f aca="false">HD70+'Plan pay &amp; tax'!Y273</f>
        <v>0</v>
      </c>
      <c r="T71" s="1" t="n">
        <f aca="false">HD70</f>
        <v>0</v>
      </c>
      <c r="U71" s="1" t="n">
        <f aca="false">IF(AND(Slot1_On=1,D71=Slot1_Age),1,0)</f>
        <v>0</v>
      </c>
      <c r="V71" s="1" t="n">
        <f aca="false">IF(AND(Slot1_On=1,Slot1_Age&gt;D71),1,0)</f>
        <v>0</v>
      </c>
      <c r="W71" s="1" t="n">
        <f aca="false">HF70</f>
        <v>0</v>
      </c>
      <c r="X71" s="1" t="n">
        <f aca="false">U71*MIN(Slot1_Cost,W71)</f>
        <v>0</v>
      </c>
      <c r="Y71" s="1" t="n">
        <f aca="false">U71*Slot1_SpendLike*MIN(Slot1_Cost-X71,S71)</f>
        <v>0</v>
      </c>
      <c r="Z71" s="1" t="n">
        <f aca="false">X71+Y71</f>
        <v>0</v>
      </c>
      <c r="AA71" s="1" t="n">
        <f aca="false">S71-Y71+U71*IF(Slot1_SpendLike=1,W71-X71,IF(Slot1_PotFree=1,W71,0))</f>
        <v>0</v>
      </c>
      <c r="AB71" s="1" t="n">
        <f aca="false">AE71+U71*Slot1_BufPot*W71</f>
        <v>0</v>
      </c>
      <c r="AC71" s="1" t="n">
        <f aca="false">IF(AND(U71=1,Slot1_IsMfree=1),IF(Z71&gt;=Slot1_Cost-1,0,MAX(0,K71-Z71)),K71)</f>
        <v>0</v>
      </c>
      <c r="AD71" s="1" t="n">
        <f aca="false">U71*(Slot1_Cost-Z71)</f>
        <v>0</v>
      </c>
      <c r="AE71" s="1" t="n">
        <f aca="false">HE70</f>
        <v>0</v>
      </c>
      <c r="AF71" s="1" t="n">
        <f aca="false">IF(AND(Slot2_On=1,D71=Slot2_Age),1,0)</f>
        <v>0</v>
      </c>
      <c r="AG71" s="1" t="n">
        <f aca="false">IF(AND(Slot2_On=1,Slot2_Age&gt;D71),1,0)</f>
        <v>0</v>
      </c>
      <c r="AH71" s="1" t="n">
        <f aca="false">HJ70</f>
        <v>0</v>
      </c>
      <c r="AI71" s="1" t="n">
        <f aca="false">AF71*MIN(Slot2_Cost,AH71)</f>
        <v>0</v>
      </c>
      <c r="AJ71" s="1" t="n">
        <f aca="false">AF71*Slot2_SpendLike*MIN(Slot2_Cost-AI71,AA71)</f>
        <v>0</v>
      </c>
      <c r="AK71" s="1" t="n">
        <f aca="false">AI71+AJ71</f>
        <v>0</v>
      </c>
      <c r="AL71" s="1" t="n">
        <f aca="false">AA71-AJ71+AF71*IF(Slot2_SpendLike=1,AH71-AI71,IF(Slot2_PotFree=1,AH71,0))</f>
        <v>0</v>
      </c>
      <c r="AM71" s="1" t="n">
        <f aca="false">AB71+AF71*Slot2_BufPot*AH71</f>
        <v>0</v>
      </c>
      <c r="AN71" s="1" t="n">
        <f aca="false">IF(AND(AF71=1,Slot2_IsMfree=1),IF(AK71&gt;=Slot2_Cost-1,0,MAX(0,AC71-AK71)),AC71)</f>
        <v>0</v>
      </c>
      <c r="AO71" s="1" t="n">
        <f aca="false">AF71*(Slot2_Cost-AK71)</f>
        <v>0</v>
      </c>
      <c r="AP71" s="1" t="n">
        <f aca="false">IF(AND(Slot3_On=1,D71=Slot3_Age),1,0)</f>
        <v>0</v>
      </c>
      <c r="AQ71" s="1" t="n">
        <f aca="false">IF(AND(Slot3_On=1,Slot3_Age&gt;D71),1,0)</f>
        <v>0</v>
      </c>
      <c r="AR71" s="1" t="n">
        <f aca="false">HN70</f>
        <v>0</v>
      </c>
      <c r="AS71" s="1" t="n">
        <f aca="false">AP71*MIN(Slot3_Cost,AR71)</f>
        <v>0</v>
      </c>
      <c r="AT71" s="1" t="n">
        <f aca="false">AP71*Slot3_SpendLike*MIN(Slot3_Cost-AS71,AL71)</f>
        <v>0</v>
      </c>
      <c r="AU71" s="1" t="n">
        <f aca="false">AS71+AT71</f>
        <v>0</v>
      </c>
      <c r="AV71" s="1" t="n">
        <f aca="false">AL71-AT71+AP71*IF(Slot3_SpendLike=1,AR71-AS71,IF(Slot3_PotFree=1,AR71,0))</f>
        <v>0</v>
      </c>
      <c r="AW71" s="1" t="n">
        <f aca="false">AM71+AP71*Slot3_BufPot*AR71</f>
        <v>0</v>
      </c>
      <c r="AX71" s="1" t="n">
        <f aca="false">IF(AND(AP71=1,Slot3_IsMfree=1),IF(AU71&gt;=Slot3_Cost-1,0,MAX(0,AN71-AU71)),AN71)</f>
        <v>0</v>
      </c>
      <c r="AY71" s="1" t="n">
        <f aca="false">AP71*(Slot3_Cost-AU71)</f>
        <v>0</v>
      </c>
      <c r="AZ71" s="1" t="n">
        <f aca="false">IF(AND(Slot4_On=1,D71=Slot4_Age),1,0)</f>
        <v>0</v>
      </c>
      <c r="BA71" s="1" t="n">
        <f aca="false">IF(AND(Slot4_On=1,Slot4_Age&gt;D71),1,0)</f>
        <v>0</v>
      </c>
      <c r="BB71" s="1" t="n">
        <f aca="false">HR70</f>
        <v>0</v>
      </c>
      <c r="BC71" s="1" t="n">
        <f aca="false">AZ71*MIN(Slot4_Cost,BB71)</f>
        <v>0</v>
      </c>
      <c r="BD71" s="1" t="n">
        <f aca="false">AZ71*Slot4_SpendLike*MIN(Slot4_Cost-BC71,AV71)</f>
        <v>0</v>
      </c>
      <c r="BE71" s="1" t="n">
        <f aca="false">BC71+BD71</f>
        <v>0</v>
      </c>
      <c r="BF71" s="1" t="n">
        <f aca="false">AV71-BD71+AZ71*IF(Slot4_SpendLike=1,BB71-BC71,IF(Slot4_PotFree=1,BB71,0))</f>
        <v>0</v>
      </c>
      <c r="BG71" s="1" t="n">
        <f aca="false">AW71+AZ71*Slot4_BufPot*BB71</f>
        <v>0</v>
      </c>
      <c r="BH71" s="1" t="n">
        <f aca="false">IF(AND(AZ71=1,Slot4_IsMfree=1),IF(BE71&gt;=Slot4_Cost-1,0,MAX(0,AX71-BE71)),AX71)</f>
        <v>0</v>
      </c>
      <c r="BI71" s="1" t="n">
        <f aca="false">AZ71*(Slot4_Cost-BE71)</f>
        <v>0</v>
      </c>
      <c r="BJ71" s="1" t="n">
        <f aca="false">IF(AND(Slot5_On=1,D71=Slot5_Age),1,0)</f>
        <v>0</v>
      </c>
      <c r="BK71" s="1" t="n">
        <f aca="false">IF(AND(Slot5_On=1,Slot5_Age&gt;D71),1,0)</f>
        <v>0</v>
      </c>
      <c r="BL71" s="1" t="n">
        <f aca="false">HV70</f>
        <v>0</v>
      </c>
      <c r="BM71" s="1" t="n">
        <f aca="false">BJ71*MIN(Slot5_Cost,BL71)</f>
        <v>0</v>
      </c>
      <c r="BN71" s="1" t="n">
        <f aca="false">BJ71*Slot5_SpendLike*MIN(Slot5_Cost-BM71,BF71)</f>
        <v>0</v>
      </c>
      <c r="BO71" s="1" t="n">
        <f aca="false">BM71+BN71</f>
        <v>0</v>
      </c>
      <c r="BP71" s="1" t="n">
        <f aca="false">BF71-BN71+BJ71*IF(Slot5_SpendLike=1,BL71-BM71,IF(Slot5_PotFree=1,BL71,0))</f>
        <v>0</v>
      </c>
      <c r="BQ71" s="1" t="n">
        <f aca="false">BG71+BJ71*Slot5_BufPot*BL71</f>
        <v>0</v>
      </c>
      <c r="BR71" s="1" t="n">
        <f aca="false">IF(AND(BJ71=1,Slot5_IsMfree=1),IF(BO71&gt;=Slot5_Cost-1,0,MAX(0,BH71-BO71)),BH71)</f>
        <v>0</v>
      </c>
      <c r="BS71" s="1" t="n">
        <f aca="false">BJ71*(Slot5_Cost-BO71)</f>
        <v>0</v>
      </c>
      <c r="BT71" s="1" t="n">
        <f aca="false">IF(AND(Slot6_On=1,D71=Slot6_Age),1,0)</f>
        <v>0</v>
      </c>
      <c r="BU71" s="1" t="n">
        <f aca="false">IF(AND(Slot6_On=1,Slot6_Age&gt;D71),1,0)</f>
        <v>0</v>
      </c>
      <c r="BV71" s="1" t="n">
        <f aca="false">HZ70</f>
        <v>0</v>
      </c>
      <c r="BW71" s="1" t="n">
        <f aca="false">BT71*MIN(Slot6_Cost,BV71)</f>
        <v>0</v>
      </c>
      <c r="BX71" s="1" t="n">
        <f aca="false">BT71*Slot6_SpendLike*MIN(Slot6_Cost-BW71,BP71)</f>
        <v>0</v>
      </c>
      <c r="BY71" s="1" t="n">
        <f aca="false">BW71+BX71</f>
        <v>0</v>
      </c>
      <c r="BZ71" s="1" t="n">
        <f aca="false">BP71-BX71+BT71*IF(Slot6_SpendLike=1,BV71-BW71,IF(Slot6_PotFree=1,BV71,0))</f>
        <v>0</v>
      </c>
      <c r="CA71" s="1" t="n">
        <f aca="false">BQ71+BT71*Slot6_BufPot*BV71</f>
        <v>0</v>
      </c>
      <c r="CB71" s="1" t="n">
        <f aca="false">IF(AND(BT71=1,Slot6_IsMfree=1),IF(BY71&gt;=Slot6_Cost-1,0,MAX(0,BR71-BY71)),BR71)</f>
        <v>0</v>
      </c>
      <c r="CC71" s="1" t="n">
        <f aca="false">BT71*(Slot6_Cost-BY71)</f>
        <v>0</v>
      </c>
      <c r="CD71" s="1" t="n">
        <f aca="false">IF(AND(Slot7_On=1,D71=Slot7_Age),1,0)</f>
        <v>0</v>
      </c>
      <c r="CE71" s="1" t="n">
        <f aca="false">IF(AND(Slot7_On=1,Slot7_Age&gt;D71),1,0)</f>
        <v>0</v>
      </c>
      <c r="CF71" s="1" t="n">
        <f aca="false">ID70</f>
        <v>0</v>
      </c>
      <c r="CG71" s="1" t="n">
        <f aca="false">CD71*MIN(Slot7_Cost,CF71)</f>
        <v>0</v>
      </c>
      <c r="CH71" s="1" t="n">
        <f aca="false">CD71*Slot7_SpendLike*MIN(Slot7_Cost-CG71,BZ71)</f>
        <v>0</v>
      </c>
      <c r="CI71" s="1" t="n">
        <f aca="false">CG71+CH71</f>
        <v>0</v>
      </c>
      <c r="CJ71" s="1" t="n">
        <f aca="false">BZ71-CH71+CD71*IF(Slot7_SpendLike=1,CF71-CG71,IF(Slot7_PotFree=1,CF71,0))</f>
        <v>0</v>
      </c>
      <c r="CK71" s="1" t="n">
        <f aca="false">CA71+CD71*Slot7_BufPot*CF71</f>
        <v>0</v>
      </c>
      <c r="CL71" s="1" t="n">
        <f aca="false">IF(AND(CD71=1,Slot7_IsMfree=1),IF(CI71&gt;=Slot7_Cost-1,0,MAX(0,CB71-CI71)),CB71)</f>
        <v>0</v>
      </c>
      <c r="CM71" s="1" t="n">
        <f aca="false">CD71*(Slot7_Cost-CI71)</f>
        <v>0</v>
      </c>
      <c r="CN71" s="1" t="n">
        <f aca="false">IF(AND(Slot8_On=1,D71=Slot8_Age),1,0)</f>
        <v>0</v>
      </c>
      <c r="CO71" s="1" t="n">
        <f aca="false">IF(AND(Slot8_On=1,Slot8_Age&gt;D71),1,0)</f>
        <v>0</v>
      </c>
      <c r="CP71" s="1" t="n">
        <f aca="false">IH70</f>
        <v>0</v>
      </c>
      <c r="CQ71" s="1" t="n">
        <f aca="false">CN71*MIN(Slot8_Cost,CP71)</f>
        <v>0</v>
      </c>
      <c r="CR71" s="1" t="n">
        <f aca="false">CN71*Slot8_SpendLike*MIN(Slot8_Cost-CQ71,CJ71)</f>
        <v>0</v>
      </c>
      <c r="CS71" s="1" t="n">
        <f aca="false">CQ71+CR71</f>
        <v>0</v>
      </c>
      <c r="CT71" s="1" t="n">
        <f aca="false">CJ71-CR71+CN71*IF(Slot8_SpendLike=1,CP71-CQ71,IF(Slot8_PotFree=1,CP71,0))</f>
        <v>0</v>
      </c>
      <c r="CU71" s="1" t="n">
        <f aca="false">CK71+CN71*Slot8_BufPot*CP71</f>
        <v>0</v>
      </c>
      <c r="CV71" s="1" t="n">
        <f aca="false">IF(AND(CN71=1,Slot8_IsMfree=1),IF(CS71&gt;=Slot8_Cost-1,0,MAX(0,CL71-CS71)),CL71)</f>
        <v>0</v>
      </c>
      <c r="CW71" s="1" t="n">
        <f aca="false">CN71*(Slot8_Cost-CS71)</f>
        <v>0</v>
      </c>
      <c r="CX71" s="1" t="n">
        <f aca="false">U71*Slot1_SpendLike*Z71+AF71*Slot2_SpendLike*AK71+AP71*Slot3_SpendLike*AU71+AZ71*Slot4_SpendLike*BE71+BJ71*Slot5_SpendLike*BO71+BT71*Slot6_SpendLike*BY71+CD71*Slot7_SpendLike*CI71+CN71*Slot8_SpendLike*CS71</f>
        <v>0</v>
      </c>
      <c r="CY71" s="1" t="n">
        <f aca="false">AD71+AO71+AY71+BI71+BS71+CC71+CM71+CW71</f>
        <v>0</v>
      </c>
      <c r="CZ71" s="1" t="n">
        <f aca="false">U71*Slot1_Cost+AF71*Slot2_Cost+AP71*Slot3_Cost+AZ71*Slot4_Cost+BJ71*Slot5_Cost+BT71*Slot6_Cost+CD71*Slot7_Cost+CN71*Slot8_Cost</f>
        <v>0</v>
      </c>
      <c r="DA71" s="1" t="n">
        <f aca="false">CV71</f>
        <v>0</v>
      </c>
      <c r="DB71" s="1" t="n">
        <f aca="false">G71-H71-R71</f>
        <v>0</v>
      </c>
      <c r="DC71" s="1" t="n">
        <f aca="false">IF(B71=0,IF(AND(Has_q6=1,In_q6=4),PR_ShareVaries*(MAX(0,DB71)/12),MIN(IF(Has_q6=1,CHOOSE(In_q6+1,PR_SaveB1,PR_SaveB2,PR_SaveB3,PR_SaveB4,0),AS_NoAnswer),AS_SaveShare*(MAX(0,DB71)/12))),DC70)</f>
        <v>0</v>
      </c>
      <c r="DD71" s="1" t="n">
        <f aca="false">IF(DB71&gt;=0,1,0)</f>
        <v>1</v>
      </c>
      <c r="DE71" s="1" t="n">
        <f aca="false">MAX(0,DB71/12/E71)</f>
        <v>0</v>
      </c>
      <c r="DF71" s="1" t="n">
        <f aca="false">IF(AND(Has_q6=1,In_q6=4),PR_ShareVaries*(DE71),MIN(IF(Has_q6=1,CHOOSE(In_q6+1,PR_SaveB1,PR_SaveB2,PR_SaveB3,PR_SaveB4,0),AS_NoAnswer),AS_SaveShare*(DE71)))</f>
        <v>0</v>
      </c>
      <c r="DG71" s="1" t="n">
        <f aca="false">IF(Has_saveM=1,IF(In_saveUp="Yes",1,IF(In_saveUp="No",0,IF(In_saveM&gt;=DC71-0.5,1,0))),0)</f>
        <v>0</v>
      </c>
      <c r="DH71" s="1" t="n">
        <f aca="false">IF(Has_saveM=1,MIN(DE71,IF(DG71=1,MAX(In_saveM,DF71),MIN(In_saveM,DF71))),DF71)</f>
        <v>0</v>
      </c>
      <c r="DI71" s="1" t="n">
        <f aca="false">IF(F71=1,DH71*12*E71,0)</f>
        <v>0</v>
      </c>
      <c r="DJ71" s="1" t="n">
        <f aca="false">MAX(0,DI71+IF(AND(WI_Retire=0,WI_M&lt;0,F71=1),WI_M*12*E71,0))</f>
        <v>0</v>
      </c>
      <c r="DK71" s="1" t="n">
        <f aca="false">Slot1_IsWG*V71+Slot2_IsWG*AG71+Slot3_IsWG*AQ71+Slot4_IsWG*BA71+Slot5_IsWG*BK71+Slot6_IsWG*BU71+Slot7_IsWG*CE71+Slot8_IsWG*CO71</f>
        <v>0</v>
      </c>
      <c r="DL71" s="1" t="n">
        <f aca="false">IF(AND(WI_Retire=0,WI_M&gt;0,F71=1,DK71&gt;=1),WI_M*12*E71,0)</f>
        <v>0</v>
      </c>
      <c r="DM71" s="1" t="n">
        <f aca="false">IF(DD71=1,MIN(DJ71,DB71),0)</f>
        <v>0</v>
      </c>
      <c r="DN71" s="1" t="n">
        <f aca="false">IF(DD71=1,MIN(DL71,DB71-DM71),0)</f>
        <v>0</v>
      </c>
      <c r="DO71" s="1" t="n">
        <f aca="false">IF(V71=1,IF(ABS((1+AS_Wage)/(1+Slot1_Rate)-1)&lt;0.000000000001,(Slot1_Age-D71)*(1+Slot1_Rate)^(Slot1_Age-D71),(1+Slot1_Rate)^(Slot1_Age-D71)*(1-((1+AS_Wage)/(1+Slot1_Rate))^(Slot1_Age-D71))/(1-(1+AS_Wage)/(1+Slot1_Rate))),1)</f>
        <v>1</v>
      </c>
      <c r="DP71" s="1" t="n">
        <f aca="false">IF(AND(DD71=1,DN71&gt;0,Slot1_IsWG=1,V71=1),MAX(0,(Slot1_Cost-W71*(1+Slot1_Rate)^(Slot1_Age-D71))/DO71),0)</f>
        <v>0</v>
      </c>
      <c r="DQ71" s="1" t="n">
        <f aca="false">IF(AND(DD71=1,DN71&gt;0,Slot1_IsWG=1,V71=1),MIN(DN71,DP71),0)</f>
        <v>0</v>
      </c>
      <c r="DR71" s="1" t="n">
        <f aca="false">W71+DQ71</f>
        <v>0</v>
      </c>
      <c r="DS71" s="1" t="n">
        <f aca="false">IF(V71=1,MAX(0,(Slot1_Cost-DR71*(1+Slot1_Rate)^(Slot1_Age-D71))/DO71),0)</f>
        <v>0</v>
      </c>
      <c r="DT71" s="1" t="n">
        <f aca="false">IF(V71=1,MAX(0,(Slot1_Cost-W71*(1+Slot1_Rate)^(Slot1_Age-D71))/DO71),0)</f>
        <v>0</v>
      </c>
      <c r="DU71" s="1" t="n">
        <f aca="false">IF(AND(DD71=1,V71=1),MIN(DM71,DS71),0)</f>
        <v>0</v>
      </c>
      <c r="DV71" s="1" t="n">
        <f aca="false">DM71-DU71</f>
        <v>0</v>
      </c>
      <c r="DW71" s="1" t="n">
        <f aca="false">IF(AG71=1,IF(ABS((1+AS_Wage)/(1+Slot2_Rate)-1)&lt;0.000000000001,(Slot2_Age-D71)*(1+Slot2_Rate)^(Slot2_Age-D71),(1+Slot2_Rate)^(Slot2_Age-D71)*(1-((1+AS_Wage)/(1+Slot2_Rate))^(Slot2_Age-D71))/(1-(1+AS_Wage)/(1+Slot2_Rate))),1)</f>
        <v>1</v>
      </c>
      <c r="DX71" s="1" t="n">
        <f aca="false">IF(AND(DD71=1,DN71&gt;0,Slot2_IsWG=1,AG71=1),MAX(0,(Slot2_Cost-AH71*(1+Slot2_Rate)^(Slot2_Age-D71))/DW71),0)</f>
        <v>0</v>
      </c>
      <c r="DY71" s="1" t="n">
        <f aca="false">IF(AND(DD71=1,DN71&gt;0,Slot2_IsWG=1,AG71=1),MIN(DN71,DX71),0)</f>
        <v>0</v>
      </c>
      <c r="DZ71" s="1" t="n">
        <f aca="false">AH71+DY71</f>
        <v>0</v>
      </c>
      <c r="EA71" s="1" t="n">
        <f aca="false">IF(AG71=1,MAX(0,(Slot2_Cost-DZ71*(1+Slot2_Rate)^(Slot2_Age-D71))/DW71),0)</f>
        <v>0</v>
      </c>
      <c r="EB71" s="1" t="n">
        <f aca="false">IF(AG71=1,MAX(0,(Slot2_Cost-AH71*(1+Slot2_Rate)^(Slot2_Age-D71))/DW71),0)</f>
        <v>0</v>
      </c>
      <c r="EC71" s="1" t="n">
        <f aca="false">IF(AND(DD71=1,AG71=1),MIN(DV71,EA71),0)</f>
        <v>0</v>
      </c>
      <c r="ED71" s="1" t="n">
        <f aca="false">DV71-EC71</f>
        <v>0</v>
      </c>
      <c r="EE71" s="1" t="n">
        <f aca="false">IF(AQ71=1,IF(ABS((1+AS_Wage)/(1+Slot3_Rate)-1)&lt;0.000000000001,(Slot3_Age-D71)*(1+Slot3_Rate)^(Slot3_Age-D71),(1+Slot3_Rate)^(Slot3_Age-D71)*(1-((1+AS_Wage)/(1+Slot3_Rate))^(Slot3_Age-D71))/(1-(1+AS_Wage)/(1+Slot3_Rate))),1)</f>
        <v>1</v>
      </c>
      <c r="EF71" s="1" t="n">
        <f aca="false">IF(AND(DD71=1,DN71&gt;0,Slot3_IsWG=1,AQ71=1),MAX(0,(Slot3_Cost-AR71*(1+Slot3_Rate)^(Slot3_Age-D71))/EE71),0)</f>
        <v>0</v>
      </c>
      <c r="EG71" s="1" t="n">
        <f aca="false">IF(AND(DD71=1,DN71&gt;0,Slot3_IsWG=1,AQ71=1),MIN(DN71,EF71),0)</f>
        <v>0</v>
      </c>
      <c r="EH71" s="1" t="n">
        <f aca="false">AR71+EG71</f>
        <v>0</v>
      </c>
      <c r="EI71" s="1" t="n">
        <f aca="false">IF(AQ71=1,MAX(0,(Slot3_Cost-EH71*(1+Slot3_Rate)^(Slot3_Age-D71))/EE71),0)</f>
        <v>0</v>
      </c>
      <c r="EJ71" s="1" t="n">
        <f aca="false">IF(AQ71=1,MAX(0,(Slot3_Cost-AR71*(1+Slot3_Rate)^(Slot3_Age-D71))/EE71),0)</f>
        <v>0</v>
      </c>
      <c r="EK71" s="1" t="n">
        <f aca="false">IF(AND(DD71=1,AQ71=1),MIN(ED71,EI71),0)</f>
        <v>0</v>
      </c>
      <c r="EL71" s="1" t="n">
        <f aca="false">ED71-EK71</f>
        <v>0</v>
      </c>
      <c r="EM71" s="1" t="n">
        <f aca="false">IF(BA71=1,IF(ABS((1+AS_Wage)/(1+Slot4_Rate)-1)&lt;0.000000000001,(Slot4_Age-D71)*(1+Slot4_Rate)^(Slot4_Age-D71),(1+Slot4_Rate)^(Slot4_Age-D71)*(1-((1+AS_Wage)/(1+Slot4_Rate))^(Slot4_Age-D71))/(1-(1+AS_Wage)/(1+Slot4_Rate))),1)</f>
        <v>1</v>
      </c>
      <c r="EN71" s="1" t="n">
        <f aca="false">IF(AND(DD71=1,DN71&gt;0,Slot4_IsWG=1,BA71=1),MAX(0,(Slot4_Cost-BB71*(1+Slot4_Rate)^(Slot4_Age-D71))/EM71),0)</f>
        <v>0</v>
      </c>
      <c r="EO71" s="1" t="n">
        <f aca="false">IF(AND(DD71=1,DN71&gt;0,Slot4_IsWG=1,BA71=1),MIN(DN71,EN71),0)</f>
        <v>0</v>
      </c>
      <c r="EP71" s="1" t="n">
        <f aca="false">BB71+EO71</f>
        <v>0</v>
      </c>
      <c r="EQ71" s="1" t="n">
        <f aca="false">IF(BA71=1,MAX(0,(Slot4_Cost-EP71*(1+Slot4_Rate)^(Slot4_Age-D71))/EM71),0)</f>
        <v>0</v>
      </c>
      <c r="ER71" s="1" t="n">
        <f aca="false">IF(BA71=1,MAX(0,(Slot4_Cost-BB71*(1+Slot4_Rate)^(Slot4_Age-D71))/EM71),0)</f>
        <v>0</v>
      </c>
      <c r="ES71" s="1" t="n">
        <f aca="false">IF(AND(DD71=1,BA71=1),MIN(EL71,EQ71),0)</f>
        <v>0</v>
      </c>
      <c r="ET71" s="1" t="n">
        <f aca="false">EL71-ES71</f>
        <v>0</v>
      </c>
      <c r="EU71" s="1" t="n">
        <f aca="false">IF(BK71=1,IF(ABS((1+AS_Wage)/(1+Slot5_Rate)-1)&lt;0.000000000001,(Slot5_Age-D71)*(1+Slot5_Rate)^(Slot5_Age-D71),(1+Slot5_Rate)^(Slot5_Age-D71)*(1-((1+AS_Wage)/(1+Slot5_Rate))^(Slot5_Age-D71))/(1-(1+AS_Wage)/(1+Slot5_Rate))),1)</f>
        <v>1</v>
      </c>
      <c r="EV71" s="1" t="n">
        <f aca="false">IF(AND(DD71=1,DN71&gt;0,Slot5_IsWG=1,BK71=1),MAX(0,(Slot5_Cost-BL71*(1+Slot5_Rate)^(Slot5_Age-D71))/EU71),0)</f>
        <v>0</v>
      </c>
      <c r="EW71" s="1" t="n">
        <f aca="false">IF(AND(DD71=1,DN71&gt;0,Slot5_IsWG=1,BK71=1),MIN(DN71,EV71),0)</f>
        <v>0</v>
      </c>
      <c r="EX71" s="1" t="n">
        <f aca="false">BL71+EW71</f>
        <v>0</v>
      </c>
      <c r="EY71" s="1" t="n">
        <f aca="false">IF(BK71=1,MAX(0,(Slot5_Cost-EX71*(1+Slot5_Rate)^(Slot5_Age-D71))/EU71),0)</f>
        <v>0</v>
      </c>
      <c r="EZ71" s="1" t="n">
        <f aca="false">IF(BK71=1,MAX(0,(Slot5_Cost-BL71*(1+Slot5_Rate)^(Slot5_Age-D71))/EU71),0)</f>
        <v>0</v>
      </c>
      <c r="FA71" s="1" t="n">
        <f aca="false">IF(AND(DD71=1,BK71=1),MIN(ET71,EY71),0)</f>
        <v>0</v>
      </c>
      <c r="FB71" s="1" t="n">
        <f aca="false">ET71-FA71</f>
        <v>0</v>
      </c>
      <c r="FC71" s="1" t="n">
        <f aca="false">IF(BU71=1,IF(ABS((1+AS_Wage)/(1+Slot6_Rate)-1)&lt;0.000000000001,(Slot6_Age-D71)*(1+Slot6_Rate)^(Slot6_Age-D71),(1+Slot6_Rate)^(Slot6_Age-D71)*(1-((1+AS_Wage)/(1+Slot6_Rate))^(Slot6_Age-D71))/(1-(1+AS_Wage)/(1+Slot6_Rate))),1)</f>
        <v>1</v>
      </c>
      <c r="FD71" s="1" t="n">
        <f aca="false">IF(AND(DD71=1,DN71&gt;0,Slot6_IsWG=1,BU71=1),MAX(0,(Slot6_Cost-BV71*(1+Slot6_Rate)^(Slot6_Age-D71))/FC71),0)</f>
        <v>0</v>
      </c>
      <c r="FE71" s="1" t="n">
        <f aca="false">IF(AND(DD71=1,DN71&gt;0,Slot6_IsWG=1,BU71=1),MIN(DN71,FD71),0)</f>
        <v>0</v>
      </c>
      <c r="FF71" s="1" t="n">
        <f aca="false">BV71+FE71</f>
        <v>0</v>
      </c>
      <c r="FG71" s="1" t="n">
        <f aca="false">IF(BU71=1,MAX(0,(Slot6_Cost-FF71*(1+Slot6_Rate)^(Slot6_Age-D71))/FC71),0)</f>
        <v>0</v>
      </c>
      <c r="FH71" s="1" t="n">
        <f aca="false">IF(BU71=1,MAX(0,(Slot6_Cost-BV71*(1+Slot6_Rate)^(Slot6_Age-D71))/FC71),0)</f>
        <v>0</v>
      </c>
      <c r="FI71" s="1" t="n">
        <f aca="false">IF(AND(DD71=1,BU71=1),MIN(FB71,FG71),0)</f>
        <v>0</v>
      </c>
      <c r="FJ71" s="1" t="n">
        <f aca="false">FB71-FI71</f>
        <v>0</v>
      </c>
      <c r="FK71" s="1" t="n">
        <f aca="false">IF(CE71=1,IF(ABS((1+AS_Wage)/(1+Slot7_Rate)-1)&lt;0.000000000001,(Slot7_Age-D71)*(1+Slot7_Rate)^(Slot7_Age-D71),(1+Slot7_Rate)^(Slot7_Age-D71)*(1-((1+AS_Wage)/(1+Slot7_Rate))^(Slot7_Age-D71))/(1-(1+AS_Wage)/(1+Slot7_Rate))),1)</f>
        <v>1</v>
      </c>
      <c r="FL71" s="1" t="n">
        <f aca="false">IF(AND(DD71=1,DN71&gt;0,Slot7_IsWG=1,CE71=1),MAX(0,(Slot7_Cost-CF71*(1+Slot7_Rate)^(Slot7_Age-D71))/FK71),0)</f>
        <v>0</v>
      </c>
      <c r="FM71" s="1" t="n">
        <f aca="false">IF(AND(DD71=1,DN71&gt;0,Slot7_IsWG=1,CE71=1),MIN(DN71,FL71),0)</f>
        <v>0</v>
      </c>
      <c r="FN71" s="1" t="n">
        <f aca="false">CF71+FM71</f>
        <v>0</v>
      </c>
      <c r="FO71" s="1" t="n">
        <f aca="false">IF(CE71=1,MAX(0,(Slot7_Cost-FN71*(1+Slot7_Rate)^(Slot7_Age-D71))/FK71),0)</f>
        <v>0</v>
      </c>
      <c r="FP71" s="1" t="n">
        <f aca="false">IF(CE71=1,MAX(0,(Slot7_Cost-CF71*(1+Slot7_Rate)^(Slot7_Age-D71))/FK71),0)</f>
        <v>0</v>
      </c>
      <c r="FQ71" s="1" t="n">
        <f aca="false">IF(AND(DD71=1,CE71=1),MIN(FJ71,FO71),0)</f>
        <v>0</v>
      </c>
      <c r="FR71" s="1" t="n">
        <f aca="false">FJ71-FQ71</f>
        <v>0</v>
      </c>
      <c r="FS71" s="1" t="n">
        <f aca="false">IF(CO71=1,IF(ABS((1+AS_Wage)/(1+Slot8_Rate)-1)&lt;0.000000000001,(Slot8_Age-D71)*(1+Slot8_Rate)^(Slot8_Age-D71),(1+Slot8_Rate)^(Slot8_Age-D71)*(1-((1+AS_Wage)/(1+Slot8_Rate))^(Slot8_Age-D71))/(1-(1+AS_Wage)/(1+Slot8_Rate))),1)</f>
        <v>1</v>
      </c>
      <c r="FT71" s="1" t="n">
        <f aca="false">IF(AND(DD71=1,DN71&gt;0,Slot8_IsWG=1,CO71=1),MAX(0,(Slot8_Cost-CP71*(1+Slot8_Rate)^(Slot8_Age-D71))/FS71),0)</f>
        <v>0</v>
      </c>
      <c r="FU71" s="1" t="n">
        <f aca="false">IF(AND(DD71=1,DN71&gt;0,Slot8_IsWG=1,CO71=1),MIN(DN71,FT71),0)</f>
        <v>0</v>
      </c>
      <c r="FV71" s="1" t="n">
        <f aca="false">CP71+FU71</f>
        <v>0</v>
      </c>
      <c r="FW71" s="1" t="n">
        <f aca="false">IF(CO71=1,MAX(0,(Slot8_Cost-FV71*(1+Slot8_Rate)^(Slot8_Age-D71))/FS71),0)</f>
        <v>0</v>
      </c>
      <c r="FX71" s="1" t="n">
        <f aca="false">IF(CO71=1,MAX(0,(Slot8_Cost-CP71*(1+Slot8_Rate)^(Slot8_Age-D71))/FS71),0)</f>
        <v>0</v>
      </c>
      <c r="FY71" s="1" t="n">
        <f aca="false">IF(AND(DD71=1,CO71=1),MIN(FR71,FW71),0)</f>
        <v>0</v>
      </c>
      <c r="FZ71" s="1" t="n">
        <f aca="false">FR71-FY71</f>
        <v>0</v>
      </c>
      <c r="GA71" s="1" t="n">
        <f aca="false">DN71-(DQ71+DY71+EG71+EO71+EW71+FE71+FM71+FU71)</f>
        <v>0</v>
      </c>
      <c r="GB71" s="1" t="n">
        <f aca="false">IF(DD71=1,DB71-DM71-DN71,0)</f>
        <v>0</v>
      </c>
      <c r="GC71" s="1" t="n">
        <f aca="false">IF(DD71=0,-DB71,0)</f>
        <v>0</v>
      </c>
      <c r="GD71" s="1" t="n">
        <f aca="false">MIN(GC71,CT71)</f>
        <v>0</v>
      </c>
      <c r="GE71" s="1" t="n">
        <f aca="false">GC71-GD71</f>
        <v>0</v>
      </c>
      <c r="GF71" s="1" t="n">
        <f aca="false">MIN(GE71,CU71)</f>
        <v>0</v>
      </c>
      <c r="GG71" s="1" t="n">
        <f aca="false">GE71-GF71</f>
        <v>0</v>
      </c>
      <c r="GH71" s="1" t="n">
        <f aca="false">IF(AND(DD71=0,CO71=1,GG71&gt;0),MIN(GG71,CP71),0)</f>
        <v>0</v>
      </c>
      <c r="GI71" s="1" t="n">
        <f aca="false">GG71-GH71</f>
        <v>0</v>
      </c>
      <c r="GJ71" s="1" t="n">
        <f aca="false">IF(AND(DD71=0,CE71=1,GI71&gt;0),MIN(GI71,CF71),0)</f>
        <v>0</v>
      </c>
      <c r="GK71" s="1" t="n">
        <f aca="false">GI71-GJ71</f>
        <v>0</v>
      </c>
      <c r="GL71" s="1" t="n">
        <f aca="false">IF(AND(DD71=0,BU71=1,GK71&gt;0),MIN(GK71,BV71),0)</f>
        <v>0</v>
      </c>
      <c r="GM71" s="1" t="n">
        <f aca="false">GK71-GL71</f>
        <v>0</v>
      </c>
      <c r="GN71" s="1" t="n">
        <f aca="false">IF(AND(DD71=0,BK71=1,GM71&gt;0),MIN(GM71,BL71),0)</f>
        <v>0</v>
      </c>
      <c r="GO71" s="1" t="n">
        <f aca="false">GM71-GN71</f>
        <v>0</v>
      </c>
      <c r="GP71" s="1" t="n">
        <f aca="false">IF(AND(DD71=0,BA71=1,GO71&gt;0),MIN(GO71,BB71),0)</f>
        <v>0</v>
      </c>
      <c r="GQ71" s="1" t="n">
        <f aca="false">GO71-GP71</f>
        <v>0</v>
      </c>
      <c r="GR71" s="1" t="n">
        <f aca="false">IF(AND(DD71=0,AQ71=1,GQ71&gt;0),MIN(GQ71,AR71),0)</f>
        <v>0</v>
      </c>
      <c r="GS71" s="1" t="n">
        <f aca="false">GQ71-GR71</f>
        <v>0</v>
      </c>
      <c r="GT71" s="1" t="n">
        <f aca="false">IF(AND(DD71=0,AG71=1,GS71&gt;0),MIN(GS71,AH71),0)</f>
        <v>0</v>
      </c>
      <c r="GU71" s="1" t="n">
        <f aca="false">GS71-GT71</f>
        <v>0</v>
      </c>
      <c r="GV71" s="1" t="n">
        <f aca="false">IF(AND(DD71=0,V71=1,GU71&gt;0),MIN(GU71,W71),0)</f>
        <v>0</v>
      </c>
      <c r="GW71" s="1" t="n">
        <f aca="false">GU71-GV71</f>
        <v>0</v>
      </c>
      <c r="GX71" s="1" t="n">
        <f aca="false">IF(DD71=0,GW71,0)</f>
        <v>0</v>
      </c>
      <c r="GY71" s="1" t="n">
        <f aca="false">GD71+GF71+GV71+GT71+GR71+GP71+GN71+GL71+GJ71+GH71</f>
        <v>0</v>
      </c>
      <c r="GZ71" s="1" t="n">
        <f aca="false">IF(DD71=1,CT71+GA71+FZ71+IF(F71=1,0,GB71),CT71-GD71)</f>
        <v>0</v>
      </c>
      <c r="HA71" s="1" t="n">
        <f aca="false">CU71-GF71</f>
        <v>0</v>
      </c>
      <c r="HB71" s="1" t="n">
        <f aca="false">IF(DD71=1,IF(F71=1,DM71+DN71,DB71),0)</f>
        <v>0</v>
      </c>
      <c r="HC71" s="1" t="n">
        <f aca="false">IF(DD71=1,IF(F71=1,DB71-DM71-DN71,0),0)</f>
        <v>0</v>
      </c>
      <c r="HD71" s="1" t="n">
        <f aca="false">GZ71*(1+GR)</f>
        <v>0</v>
      </c>
      <c r="HE71" s="1" t="n">
        <f aca="false">HA71*(1+AS_Cash)</f>
        <v>0</v>
      </c>
      <c r="HF71" s="1" t="n">
        <f aca="false">IF(V71=1,IF(DD71=1,DR71+DU71,W71-GV71)*(1+Slot1_Rate),0)</f>
        <v>0</v>
      </c>
      <c r="HG71" s="1" t="n">
        <f aca="false">IF(AND(DD71=1,V71=1),(DQ71+DU71)/E71,0)</f>
        <v>0</v>
      </c>
      <c r="HH71" s="1" t="n">
        <f aca="false">IF(B71=0,DQ71+DU71,0)</f>
        <v>0</v>
      </c>
      <c r="HI71" s="1" t="n">
        <f aca="false">IF(B71=0,IF(DD71=1,DS71,DT71),0)</f>
        <v>0</v>
      </c>
      <c r="HJ71" s="1" t="n">
        <f aca="false">IF(AG71=1,IF(DD71=1,DZ71+EC71,AH71-GT71)*(1+Slot2_Rate),0)</f>
        <v>0</v>
      </c>
      <c r="HK71" s="1" t="n">
        <f aca="false">IF(AND(DD71=1,AG71=1),(DY71+EC71)/E71,0)</f>
        <v>0</v>
      </c>
      <c r="HL71" s="1" t="n">
        <f aca="false">IF(B71=0,DY71+EC71,0)</f>
        <v>0</v>
      </c>
      <c r="HM71" s="1" t="n">
        <f aca="false">IF(B71=0,IF(DD71=1,EA71,EB71),0)</f>
        <v>0</v>
      </c>
      <c r="HN71" s="1" t="n">
        <f aca="false">IF(AQ71=1,IF(DD71=1,EH71+EK71,AR71-GR71)*(1+Slot3_Rate),0)</f>
        <v>0</v>
      </c>
      <c r="HO71" s="1" t="n">
        <f aca="false">IF(AND(DD71=1,AQ71=1),(EG71+EK71)/E71,0)</f>
        <v>0</v>
      </c>
      <c r="HP71" s="1" t="n">
        <f aca="false">IF(B71=0,EG71+EK71,0)</f>
        <v>0</v>
      </c>
      <c r="HQ71" s="1" t="n">
        <f aca="false">IF(B71=0,IF(DD71=1,EI71,EJ71),0)</f>
        <v>0</v>
      </c>
      <c r="HR71" s="1" t="n">
        <f aca="false">IF(BA71=1,IF(DD71=1,EP71+ES71,BB71-GP71)*(1+Slot4_Rate),0)</f>
        <v>0</v>
      </c>
      <c r="HS71" s="1" t="n">
        <f aca="false">IF(AND(DD71=1,BA71=1),(EO71+ES71)/E71,0)</f>
        <v>0</v>
      </c>
      <c r="HT71" s="1" t="n">
        <f aca="false">IF(B71=0,EO71+ES71,0)</f>
        <v>0</v>
      </c>
      <c r="HU71" s="1" t="n">
        <f aca="false">IF(B71=0,IF(DD71=1,EQ71,ER71),0)</f>
        <v>0</v>
      </c>
      <c r="HV71" s="1" t="n">
        <f aca="false">IF(BK71=1,IF(DD71=1,EX71+FA71,BL71-GN71)*(1+Slot5_Rate),0)</f>
        <v>0</v>
      </c>
      <c r="HW71" s="1" t="n">
        <f aca="false">IF(AND(DD71=1,BK71=1),(EW71+FA71)/E71,0)</f>
        <v>0</v>
      </c>
      <c r="HX71" s="1" t="n">
        <f aca="false">IF(B71=0,EW71+FA71,0)</f>
        <v>0</v>
      </c>
      <c r="HY71" s="1" t="n">
        <f aca="false">IF(B71=0,IF(DD71=1,EY71,EZ71),0)</f>
        <v>0</v>
      </c>
      <c r="HZ71" s="1" t="n">
        <f aca="false">IF(BU71=1,IF(DD71=1,FF71+FI71,BV71-GL71)*(1+Slot6_Rate),0)</f>
        <v>0</v>
      </c>
      <c r="IA71" s="1" t="n">
        <f aca="false">IF(AND(DD71=1,BU71=1),(FE71+FI71)/E71,0)</f>
        <v>0</v>
      </c>
      <c r="IB71" s="1" t="n">
        <f aca="false">IF(B71=0,FE71+FI71,0)</f>
        <v>0</v>
      </c>
      <c r="IC71" s="1" t="n">
        <f aca="false">IF(B71=0,IF(DD71=1,FG71,FH71),0)</f>
        <v>0</v>
      </c>
      <c r="ID71" s="1" t="n">
        <f aca="false">IF(CE71=1,IF(DD71=1,FN71+FQ71,CF71-GJ71)*(1+Slot7_Rate),0)</f>
        <v>0</v>
      </c>
      <c r="IE71" s="1" t="n">
        <f aca="false">IF(AND(DD71=1,CE71=1),(FM71+FQ71)/E71,0)</f>
        <v>0</v>
      </c>
      <c r="IF71" s="1" t="n">
        <f aca="false">IF(B71=0,FM71+FQ71,0)</f>
        <v>0</v>
      </c>
      <c r="IG71" s="1" t="n">
        <f aca="false">IF(B71=0,IF(DD71=1,FO71,FP71),0)</f>
        <v>0</v>
      </c>
      <c r="IH71" s="1" t="n">
        <f aca="false">IF(CO71=1,IF(DD71=1,FV71+FY71,CP71-GH71)*(1+Slot8_Rate),0)</f>
        <v>0</v>
      </c>
      <c r="II71" s="1" t="n">
        <f aca="false">IF(AND(DD71=1,CO71=1),(FU71+FY71)/E71,0)</f>
        <v>0</v>
      </c>
      <c r="IJ71" s="1" t="n">
        <f aca="false">IF(B71=0,FU71+FY71,0)</f>
        <v>0</v>
      </c>
      <c r="IK71" s="1" t="n">
        <f aca="false">IF(B71=0,IF(DD71=1,FW71,FX71),0)</f>
        <v>0</v>
      </c>
      <c r="IL71" s="1" t="n">
        <f aca="false">HD71+HE71+HF71+HJ71+HN71+HR71+HV71+HZ71+ID71+IH71</f>
        <v>0</v>
      </c>
      <c r="IM71" s="1" t="n">
        <f aca="false">GX71+CY71</f>
        <v>0</v>
      </c>
      <c r="IN71" s="1" t="n">
        <f aca="false">H71+R71</f>
        <v>0</v>
      </c>
      <c r="IO71" s="1" t="n">
        <f aca="false">1-F71</f>
        <v>1</v>
      </c>
      <c r="IP71" s="1" t="n">
        <f aca="false">IF(AND(RG_Exists=1,F71=0,C71=1),H71,0)</f>
        <v>0</v>
      </c>
      <c r="IQ71" s="1" t="n">
        <f aca="false">IF(AND(RG_Exists=1,F71=0,C71=1),H71-MIN(GX71,H71),0)</f>
        <v>0</v>
      </c>
      <c r="IR71" s="1" t="n">
        <f aca="false">'Plan pay &amp; tax'!AD273</f>
        <v>0</v>
      </c>
      <c r="IS71" s="1" t="n">
        <f aca="false">IF(AND(C71=1,GX71&gt;MAX(PR_Short1,IN71*PR_Short2)),1,0)</f>
        <v>0</v>
      </c>
      <c r="IT71" s="1" t="n">
        <f aca="false">MIN(G71,H71+R71)</f>
        <v>0</v>
      </c>
      <c r="IU71" s="1" t="n">
        <f aca="false">GY71+MAX(0,CZ71-CY71)</f>
        <v>0</v>
      </c>
      <c r="IV71" s="1" t="n">
        <f aca="false">GX71+CY71</f>
        <v>0</v>
      </c>
      <c r="IW71" s="1" t="n">
        <f aca="false">IF(AND(C71=1,IV71&gt;0.5),1,0)</f>
        <v>0</v>
      </c>
      <c r="IX71" s="1" t="n">
        <f aca="false">IF(AND(C71=1,IW71=0,IU71&gt;0.5),1,0)</f>
        <v>0</v>
      </c>
      <c r="IY71" s="1" t="n">
        <f aca="false">IF(AND(C71=1,GX71&gt;0.5),1,0)</f>
        <v>0</v>
      </c>
      <c r="IZ71" s="1" t="n">
        <f aca="false">IF(AND(C71=1,GY71&gt;1,JF71=0),1,0)</f>
        <v>0</v>
      </c>
      <c r="JA71" s="1" t="n">
        <f aca="false">IF(AND(INT(D71/10)*10=90,B71&gt;0),80,INT(D71/10)*10)</f>
        <v>60</v>
      </c>
      <c r="JB71" s="1" t="n">
        <f aca="false">IF(B71=0,1,IF(JA71&lt;&gt;JA70,JB70+1,JB70))</f>
        <v>7</v>
      </c>
      <c r="JC71" s="1" t="n">
        <f aca="false">IF(AND(C71=1,F71=1,GX71&gt;MAX(PR_Short1,IN71*PR_Short2)),1,0)</f>
        <v>0</v>
      </c>
      <c r="JD71" s="1" t="n">
        <f aca="false">IO71*IS71</f>
        <v>0</v>
      </c>
      <c r="JE71" s="1" t="n">
        <f aca="false">IF(AND(U71=1,Slot1_PctLow=1),1,0)+IF(AND(AF71=1,Slot2_PctLow=1),1,0)+IF(AND(AP71=1,Slot3_PctLow=1),1,0)+IF(AND(AZ71=1,Slot4_PctLow=1),1,0)+IF(AND(BJ71=1,Slot5_PctLow=1),1,0)+IF(AND(BT71=1,Slot6_PctLow=1),1,0)+IF(AND(CD71=1,Slot7_PctLow=1),1,0)+IF(AND(CN71=1,Slot8_PctLow=1),1,0)</f>
        <v>0</v>
      </c>
      <c r="JF71" s="1" t="n">
        <f aca="false">IF(C71=1,IF(OR(IS71=1,JE71&gt;0),1,0),0)</f>
        <v>0</v>
      </c>
    </row>
    <row r="72" customFormat="false" ht="15" hidden="false" customHeight="false" outlineLevel="0" collapsed="false">
      <c r="B72" s="1" t="n">
        <v>64</v>
      </c>
      <c r="C72" s="1" t="n">
        <f aca="false">IF(B72&lt;=F_N,1,0)</f>
        <v>1</v>
      </c>
      <c r="D72" s="1" t="n">
        <f aca="false">'Plan pay &amp; tax'!C274</f>
        <v>64</v>
      </c>
      <c r="E72" s="106" t="n">
        <f aca="false">'Plan pay &amp; tax'!E274</f>
        <v>3.55149324327688</v>
      </c>
      <c r="F72" s="1" t="n">
        <f aca="false">'Plan pay &amp; tax'!G274</f>
        <v>0</v>
      </c>
      <c r="G72" s="1" t="n">
        <f aca="false">'Plan pay &amp; tax'!BT274-'Plan pay &amp; tax'!BS274-'Plan pay &amp; tax'!R274</f>
        <v>0</v>
      </c>
      <c r="H72" s="1" t="n">
        <f aca="false">IF(F72=1,F_CostsM*12,IF(RG_Exists=1,RG_Amount,F_CostsM*12*AS_RetireSpend))*E72+F_OneOffY*E72</f>
        <v>0</v>
      </c>
      <c r="I72" s="1" t="n">
        <f aca="false">DA71</f>
        <v>0</v>
      </c>
      <c r="J72" s="1" t="n">
        <f aca="false">IF(I72&gt;1,'Plan debt months'!AC72,0)</f>
        <v>0</v>
      </c>
      <c r="K72" s="1" t="n">
        <f aca="false">IF(I72&gt;1,'Plan debt months'!AB72,I72)</f>
        <v>0</v>
      </c>
      <c r="L72" s="1" t="n">
        <f aca="false">N71</f>
        <v>0</v>
      </c>
      <c r="M72" s="1" t="n">
        <f aca="false">IF(L72&gt;1,'Plan debt months'!BD72,0)</f>
        <v>0</v>
      </c>
      <c r="N72" s="1" t="n">
        <f aca="false">IF(L72&gt;1,'Plan debt months'!BC72,L72)</f>
        <v>0</v>
      </c>
      <c r="O72" s="1" t="n">
        <f aca="false">Q71</f>
        <v>0</v>
      </c>
      <c r="P72" s="1" t="n">
        <f aca="false">IF(O72&gt;1,'Plan debt months'!CE72,0)</f>
        <v>0</v>
      </c>
      <c r="Q72" s="1" t="n">
        <f aca="false">IF(O72&gt;1,'Plan debt months'!CD72,O72)</f>
        <v>0</v>
      </c>
      <c r="R72" s="1" t="n">
        <f aca="false">J72+M72+P72</f>
        <v>0</v>
      </c>
      <c r="S72" s="1" t="n">
        <f aca="false">HD71+'Plan pay &amp; tax'!Y274</f>
        <v>0</v>
      </c>
      <c r="T72" s="1" t="n">
        <f aca="false">HD71</f>
        <v>0</v>
      </c>
      <c r="U72" s="1" t="n">
        <f aca="false">IF(AND(Slot1_On=1,D72=Slot1_Age),1,0)</f>
        <v>0</v>
      </c>
      <c r="V72" s="1" t="n">
        <f aca="false">IF(AND(Slot1_On=1,Slot1_Age&gt;D72),1,0)</f>
        <v>0</v>
      </c>
      <c r="W72" s="1" t="n">
        <f aca="false">HF71</f>
        <v>0</v>
      </c>
      <c r="X72" s="1" t="n">
        <f aca="false">U72*MIN(Slot1_Cost,W72)</f>
        <v>0</v>
      </c>
      <c r="Y72" s="1" t="n">
        <f aca="false">U72*Slot1_SpendLike*MIN(Slot1_Cost-X72,S72)</f>
        <v>0</v>
      </c>
      <c r="Z72" s="1" t="n">
        <f aca="false">X72+Y72</f>
        <v>0</v>
      </c>
      <c r="AA72" s="1" t="n">
        <f aca="false">S72-Y72+U72*IF(Slot1_SpendLike=1,W72-X72,IF(Slot1_PotFree=1,W72,0))</f>
        <v>0</v>
      </c>
      <c r="AB72" s="1" t="n">
        <f aca="false">AE72+U72*Slot1_BufPot*W72</f>
        <v>0</v>
      </c>
      <c r="AC72" s="1" t="n">
        <f aca="false">IF(AND(U72=1,Slot1_IsMfree=1),IF(Z72&gt;=Slot1_Cost-1,0,MAX(0,K72-Z72)),K72)</f>
        <v>0</v>
      </c>
      <c r="AD72" s="1" t="n">
        <f aca="false">U72*(Slot1_Cost-Z72)</f>
        <v>0</v>
      </c>
      <c r="AE72" s="1" t="n">
        <f aca="false">HE71</f>
        <v>0</v>
      </c>
      <c r="AF72" s="1" t="n">
        <f aca="false">IF(AND(Slot2_On=1,D72=Slot2_Age),1,0)</f>
        <v>0</v>
      </c>
      <c r="AG72" s="1" t="n">
        <f aca="false">IF(AND(Slot2_On=1,Slot2_Age&gt;D72),1,0)</f>
        <v>0</v>
      </c>
      <c r="AH72" s="1" t="n">
        <f aca="false">HJ71</f>
        <v>0</v>
      </c>
      <c r="AI72" s="1" t="n">
        <f aca="false">AF72*MIN(Slot2_Cost,AH72)</f>
        <v>0</v>
      </c>
      <c r="AJ72" s="1" t="n">
        <f aca="false">AF72*Slot2_SpendLike*MIN(Slot2_Cost-AI72,AA72)</f>
        <v>0</v>
      </c>
      <c r="AK72" s="1" t="n">
        <f aca="false">AI72+AJ72</f>
        <v>0</v>
      </c>
      <c r="AL72" s="1" t="n">
        <f aca="false">AA72-AJ72+AF72*IF(Slot2_SpendLike=1,AH72-AI72,IF(Slot2_PotFree=1,AH72,0))</f>
        <v>0</v>
      </c>
      <c r="AM72" s="1" t="n">
        <f aca="false">AB72+AF72*Slot2_BufPot*AH72</f>
        <v>0</v>
      </c>
      <c r="AN72" s="1" t="n">
        <f aca="false">IF(AND(AF72=1,Slot2_IsMfree=1),IF(AK72&gt;=Slot2_Cost-1,0,MAX(0,AC72-AK72)),AC72)</f>
        <v>0</v>
      </c>
      <c r="AO72" s="1" t="n">
        <f aca="false">AF72*(Slot2_Cost-AK72)</f>
        <v>0</v>
      </c>
      <c r="AP72" s="1" t="n">
        <f aca="false">IF(AND(Slot3_On=1,D72=Slot3_Age),1,0)</f>
        <v>0</v>
      </c>
      <c r="AQ72" s="1" t="n">
        <f aca="false">IF(AND(Slot3_On=1,Slot3_Age&gt;D72),1,0)</f>
        <v>0</v>
      </c>
      <c r="AR72" s="1" t="n">
        <f aca="false">HN71</f>
        <v>0</v>
      </c>
      <c r="AS72" s="1" t="n">
        <f aca="false">AP72*MIN(Slot3_Cost,AR72)</f>
        <v>0</v>
      </c>
      <c r="AT72" s="1" t="n">
        <f aca="false">AP72*Slot3_SpendLike*MIN(Slot3_Cost-AS72,AL72)</f>
        <v>0</v>
      </c>
      <c r="AU72" s="1" t="n">
        <f aca="false">AS72+AT72</f>
        <v>0</v>
      </c>
      <c r="AV72" s="1" t="n">
        <f aca="false">AL72-AT72+AP72*IF(Slot3_SpendLike=1,AR72-AS72,IF(Slot3_PotFree=1,AR72,0))</f>
        <v>0</v>
      </c>
      <c r="AW72" s="1" t="n">
        <f aca="false">AM72+AP72*Slot3_BufPot*AR72</f>
        <v>0</v>
      </c>
      <c r="AX72" s="1" t="n">
        <f aca="false">IF(AND(AP72=1,Slot3_IsMfree=1),IF(AU72&gt;=Slot3_Cost-1,0,MAX(0,AN72-AU72)),AN72)</f>
        <v>0</v>
      </c>
      <c r="AY72" s="1" t="n">
        <f aca="false">AP72*(Slot3_Cost-AU72)</f>
        <v>0</v>
      </c>
      <c r="AZ72" s="1" t="n">
        <f aca="false">IF(AND(Slot4_On=1,D72=Slot4_Age),1,0)</f>
        <v>0</v>
      </c>
      <c r="BA72" s="1" t="n">
        <f aca="false">IF(AND(Slot4_On=1,Slot4_Age&gt;D72),1,0)</f>
        <v>0</v>
      </c>
      <c r="BB72" s="1" t="n">
        <f aca="false">HR71</f>
        <v>0</v>
      </c>
      <c r="BC72" s="1" t="n">
        <f aca="false">AZ72*MIN(Slot4_Cost,BB72)</f>
        <v>0</v>
      </c>
      <c r="BD72" s="1" t="n">
        <f aca="false">AZ72*Slot4_SpendLike*MIN(Slot4_Cost-BC72,AV72)</f>
        <v>0</v>
      </c>
      <c r="BE72" s="1" t="n">
        <f aca="false">BC72+BD72</f>
        <v>0</v>
      </c>
      <c r="BF72" s="1" t="n">
        <f aca="false">AV72-BD72+AZ72*IF(Slot4_SpendLike=1,BB72-BC72,IF(Slot4_PotFree=1,BB72,0))</f>
        <v>0</v>
      </c>
      <c r="BG72" s="1" t="n">
        <f aca="false">AW72+AZ72*Slot4_BufPot*BB72</f>
        <v>0</v>
      </c>
      <c r="BH72" s="1" t="n">
        <f aca="false">IF(AND(AZ72=1,Slot4_IsMfree=1),IF(BE72&gt;=Slot4_Cost-1,0,MAX(0,AX72-BE72)),AX72)</f>
        <v>0</v>
      </c>
      <c r="BI72" s="1" t="n">
        <f aca="false">AZ72*(Slot4_Cost-BE72)</f>
        <v>0</v>
      </c>
      <c r="BJ72" s="1" t="n">
        <f aca="false">IF(AND(Slot5_On=1,D72=Slot5_Age),1,0)</f>
        <v>0</v>
      </c>
      <c r="BK72" s="1" t="n">
        <f aca="false">IF(AND(Slot5_On=1,Slot5_Age&gt;D72),1,0)</f>
        <v>0</v>
      </c>
      <c r="BL72" s="1" t="n">
        <f aca="false">HV71</f>
        <v>0</v>
      </c>
      <c r="BM72" s="1" t="n">
        <f aca="false">BJ72*MIN(Slot5_Cost,BL72)</f>
        <v>0</v>
      </c>
      <c r="BN72" s="1" t="n">
        <f aca="false">BJ72*Slot5_SpendLike*MIN(Slot5_Cost-BM72,BF72)</f>
        <v>0</v>
      </c>
      <c r="BO72" s="1" t="n">
        <f aca="false">BM72+BN72</f>
        <v>0</v>
      </c>
      <c r="BP72" s="1" t="n">
        <f aca="false">BF72-BN72+BJ72*IF(Slot5_SpendLike=1,BL72-BM72,IF(Slot5_PotFree=1,BL72,0))</f>
        <v>0</v>
      </c>
      <c r="BQ72" s="1" t="n">
        <f aca="false">BG72+BJ72*Slot5_BufPot*BL72</f>
        <v>0</v>
      </c>
      <c r="BR72" s="1" t="n">
        <f aca="false">IF(AND(BJ72=1,Slot5_IsMfree=1),IF(BO72&gt;=Slot5_Cost-1,0,MAX(0,BH72-BO72)),BH72)</f>
        <v>0</v>
      </c>
      <c r="BS72" s="1" t="n">
        <f aca="false">BJ72*(Slot5_Cost-BO72)</f>
        <v>0</v>
      </c>
      <c r="BT72" s="1" t="n">
        <f aca="false">IF(AND(Slot6_On=1,D72=Slot6_Age),1,0)</f>
        <v>0</v>
      </c>
      <c r="BU72" s="1" t="n">
        <f aca="false">IF(AND(Slot6_On=1,Slot6_Age&gt;D72),1,0)</f>
        <v>0</v>
      </c>
      <c r="BV72" s="1" t="n">
        <f aca="false">HZ71</f>
        <v>0</v>
      </c>
      <c r="BW72" s="1" t="n">
        <f aca="false">BT72*MIN(Slot6_Cost,BV72)</f>
        <v>0</v>
      </c>
      <c r="BX72" s="1" t="n">
        <f aca="false">BT72*Slot6_SpendLike*MIN(Slot6_Cost-BW72,BP72)</f>
        <v>0</v>
      </c>
      <c r="BY72" s="1" t="n">
        <f aca="false">BW72+BX72</f>
        <v>0</v>
      </c>
      <c r="BZ72" s="1" t="n">
        <f aca="false">BP72-BX72+BT72*IF(Slot6_SpendLike=1,BV72-BW72,IF(Slot6_PotFree=1,BV72,0))</f>
        <v>0</v>
      </c>
      <c r="CA72" s="1" t="n">
        <f aca="false">BQ72+BT72*Slot6_BufPot*BV72</f>
        <v>0</v>
      </c>
      <c r="CB72" s="1" t="n">
        <f aca="false">IF(AND(BT72=1,Slot6_IsMfree=1),IF(BY72&gt;=Slot6_Cost-1,0,MAX(0,BR72-BY72)),BR72)</f>
        <v>0</v>
      </c>
      <c r="CC72" s="1" t="n">
        <f aca="false">BT72*(Slot6_Cost-BY72)</f>
        <v>0</v>
      </c>
      <c r="CD72" s="1" t="n">
        <f aca="false">IF(AND(Slot7_On=1,D72=Slot7_Age),1,0)</f>
        <v>0</v>
      </c>
      <c r="CE72" s="1" t="n">
        <f aca="false">IF(AND(Slot7_On=1,Slot7_Age&gt;D72),1,0)</f>
        <v>0</v>
      </c>
      <c r="CF72" s="1" t="n">
        <f aca="false">ID71</f>
        <v>0</v>
      </c>
      <c r="CG72" s="1" t="n">
        <f aca="false">CD72*MIN(Slot7_Cost,CF72)</f>
        <v>0</v>
      </c>
      <c r="CH72" s="1" t="n">
        <f aca="false">CD72*Slot7_SpendLike*MIN(Slot7_Cost-CG72,BZ72)</f>
        <v>0</v>
      </c>
      <c r="CI72" s="1" t="n">
        <f aca="false">CG72+CH72</f>
        <v>0</v>
      </c>
      <c r="CJ72" s="1" t="n">
        <f aca="false">BZ72-CH72+CD72*IF(Slot7_SpendLike=1,CF72-CG72,IF(Slot7_PotFree=1,CF72,0))</f>
        <v>0</v>
      </c>
      <c r="CK72" s="1" t="n">
        <f aca="false">CA72+CD72*Slot7_BufPot*CF72</f>
        <v>0</v>
      </c>
      <c r="CL72" s="1" t="n">
        <f aca="false">IF(AND(CD72=1,Slot7_IsMfree=1),IF(CI72&gt;=Slot7_Cost-1,0,MAX(0,CB72-CI72)),CB72)</f>
        <v>0</v>
      </c>
      <c r="CM72" s="1" t="n">
        <f aca="false">CD72*(Slot7_Cost-CI72)</f>
        <v>0</v>
      </c>
      <c r="CN72" s="1" t="n">
        <f aca="false">IF(AND(Slot8_On=1,D72=Slot8_Age),1,0)</f>
        <v>0</v>
      </c>
      <c r="CO72" s="1" t="n">
        <f aca="false">IF(AND(Slot8_On=1,Slot8_Age&gt;D72),1,0)</f>
        <v>0</v>
      </c>
      <c r="CP72" s="1" t="n">
        <f aca="false">IH71</f>
        <v>0</v>
      </c>
      <c r="CQ72" s="1" t="n">
        <f aca="false">CN72*MIN(Slot8_Cost,CP72)</f>
        <v>0</v>
      </c>
      <c r="CR72" s="1" t="n">
        <f aca="false">CN72*Slot8_SpendLike*MIN(Slot8_Cost-CQ72,CJ72)</f>
        <v>0</v>
      </c>
      <c r="CS72" s="1" t="n">
        <f aca="false">CQ72+CR72</f>
        <v>0</v>
      </c>
      <c r="CT72" s="1" t="n">
        <f aca="false">CJ72-CR72+CN72*IF(Slot8_SpendLike=1,CP72-CQ72,IF(Slot8_PotFree=1,CP72,0))</f>
        <v>0</v>
      </c>
      <c r="CU72" s="1" t="n">
        <f aca="false">CK72+CN72*Slot8_BufPot*CP72</f>
        <v>0</v>
      </c>
      <c r="CV72" s="1" t="n">
        <f aca="false">IF(AND(CN72=1,Slot8_IsMfree=1),IF(CS72&gt;=Slot8_Cost-1,0,MAX(0,CL72-CS72)),CL72)</f>
        <v>0</v>
      </c>
      <c r="CW72" s="1" t="n">
        <f aca="false">CN72*(Slot8_Cost-CS72)</f>
        <v>0</v>
      </c>
      <c r="CX72" s="1" t="n">
        <f aca="false">U72*Slot1_SpendLike*Z72+AF72*Slot2_SpendLike*AK72+AP72*Slot3_SpendLike*AU72+AZ72*Slot4_SpendLike*BE72+BJ72*Slot5_SpendLike*BO72+BT72*Slot6_SpendLike*BY72+CD72*Slot7_SpendLike*CI72+CN72*Slot8_SpendLike*CS72</f>
        <v>0</v>
      </c>
      <c r="CY72" s="1" t="n">
        <f aca="false">AD72+AO72+AY72+BI72+BS72+CC72+CM72+CW72</f>
        <v>0</v>
      </c>
      <c r="CZ72" s="1" t="n">
        <f aca="false">U72*Slot1_Cost+AF72*Slot2_Cost+AP72*Slot3_Cost+AZ72*Slot4_Cost+BJ72*Slot5_Cost+BT72*Slot6_Cost+CD72*Slot7_Cost+CN72*Slot8_Cost</f>
        <v>0</v>
      </c>
      <c r="DA72" s="1" t="n">
        <f aca="false">CV72</f>
        <v>0</v>
      </c>
      <c r="DB72" s="1" t="n">
        <f aca="false">G72-H72-R72</f>
        <v>0</v>
      </c>
      <c r="DC72" s="1" t="n">
        <f aca="false">IF(B72=0,IF(AND(Has_q6=1,In_q6=4),PR_ShareVaries*(MAX(0,DB72)/12),MIN(IF(Has_q6=1,CHOOSE(In_q6+1,PR_SaveB1,PR_SaveB2,PR_SaveB3,PR_SaveB4,0),AS_NoAnswer),AS_SaveShare*(MAX(0,DB72)/12))),DC71)</f>
        <v>0</v>
      </c>
      <c r="DD72" s="1" t="n">
        <f aca="false">IF(DB72&gt;=0,1,0)</f>
        <v>1</v>
      </c>
      <c r="DE72" s="1" t="n">
        <f aca="false">MAX(0,DB72/12/E72)</f>
        <v>0</v>
      </c>
      <c r="DF72" s="1" t="n">
        <f aca="false">IF(AND(Has_q6=1,In_q6=4),PR_ShareVaries*(DE72),MIN(IF(Has_q6=1,CHOOSE(In_q6+1,PR_SaveB1,PR_SaveB2,PR_SaveB3,PR_SaveB4,0),AS_NoAnswer),AS_SaveShare*(DE72)))</f>
        <v>0</v>
      </c>
      <c r="DG72" s="1" t="n">
        <f aca="false">IF(Has_saveM=1,IF(In_saveUp="Yes",1,IF(In_saveUp="No",0,IF(In_saveM&gt;=DC72-0.5,1,0))),0)</f>
        <v>0</v>
      </c>
      <c r="DH72" s="1" t="n">
        <f aca="false">IF(Has_saveM=1,MIN(DE72,IF(DG72=1,MAX(In_saveM,DF72),MIN(In_saveM,DF72))),DF72)</f>
        <v>0</v>
      </c>
      <c r="DI72" s="1" t="n">
        <f aca="false">IF(F72=1,DH72*12*E72,0)</f>
        <v>0</v>
      </c>
      <c r="DJ72" s="1" t="n">
        <f aca="false">MAX(0,DI72+IF(AND(WI_Retire=0,WI_M&lt;0,F72=1),WI_M*12*E72,0))</f>
        <v>0</v>
      </c>
      <c r="DK72" s="1" t="n">
        <f aca="false">Slot1_IsWG*V72+Slot2_IsWG*AG72+Slot3_IsWG*AQ72+Slot4_IsWG*BA72+Slot5_IsWG*BK72+Slot6_IsWG*BU72+Slot7_IsWG*CE72+Slot8_IsWG*CO72</f>
        <v>0</v>
      </c>
      <c r="DL72" s="1" t="n">
        <f aca="false">IF(AND(WI_Retire=0,WI_M&gt;0,F72=1,DK72&gt;=1),WI_M*12*E72,0)</f>
        <v>0</v>
      </c>
      <c r="DM72" s="1" t="n">
        <f aca="false">IF(DD72=1,MIN(DJ72,DB72),0)</f>
        <v>0</v>
      </c>
      <c r="DN72" s="1" t="n">
        <f aca="false">IF(DD72=1,MIN(DL72,DB72-DM72),0)</f>
        <v>0</v>
      </c>
      <c r="DO72" s="1" t="n">
        <f aca="false">IF(V72=1,IF(ABS((1+AS_Wage)/(1+Slot1_Rate)-1)&lt;0.000000000001,(Slot1_Age-D72)*(1+Slot1_Rate)^(Slot1_Age-D72),(1+Slot1_Rate)^(Slot1_Age-D72)*(1-((1+AS_Wage)/(1+Slot1_Rate))^(Slot1_Age-D72))/(1-(1+AS_Wage)/(1+Slot1_Rate))),1)</f>
        <v>1</v>
      </c>
      <c r="DP72" s="1" t="n">
        <f aca="false">IF(AND(DD72=1,DN72&gt;0,Slot1_IsWG=1,V72=1),MAX(0,(Slot1_Cost-W72*(1+Slot1_Rate)^(Slot1_Age-D72))/DO72),0)</f>
        <v>0</v>
      </c>
      <c r="DQ72" s="1" t="n">
        <f aca="false">IF(AND(DD72=1,DN72&gt;0,Slot1_IsWG=1,V72=1),MIN(DN72,DP72),0)</f>
        <v>0</v>
      </c>
      <c r="DR72" s="1" t="n">
        <f aca="false">W72+DQ72</f>
        <v>0</v>
      </c>
      <c r="DS72" s="1" t="n">
        <f aca="false">IF(V72=1,MAX(0,(Slot1_Cost-DR72*(1+Slot1_Rate)^(Slot1_Age-D72))/DO72),0)</f>
        <v>0</v>
      </c>
      <c r="DT72" s="1" t="n">
        <f aca="false">IF(V72=1,MAX(0,(Slot1_Cost-W72*(1+Slot1_Rate)^(Slot1_Age-D72))/DO72),0)</f>
        <v>0</v>
      </c>
      <c r="DU72" s="1" t="n">
        <f aca="false">IF(AND(DD72=1,V72=1),MIN(DM72,DS72),0)</f>
        <v>0</v>
      </c>
      <c r="DV72" s="1" t="n">
        <f aca="false">DM72-DU72</f>
        <v>0</v>
      </c>
      <c r="DW72" s="1" t="n">
        <f aca="false">IF(AG72=1,IF(ABS((1+AS_Wage)/(1+Slot2_Rate)-1)&lt;0.000000000001,(Slot2_Age-D72)*(1+Slot2_Rate)^(Slot2_Age-D72),(1+Slot2_Rate)^(Slot2_Age-D72)*(1-((1+AS_Wage)/(1+Slot2_Rate))^(Slot2_Age-D72))/(1-(1+AS_Wage)/(1+Slot2_Rate))),1)</f>
        <v>1</v>
      </c>
      <c r="DX72" s="1" t="n">
        <f aca="false">IF(AND(DD72=1,DN72&gt;0,Slot2_IsWG=1,AG72=1),MAX(0,(Slot2_Cost-AH72*(1+Slot2_Rate)^(Slot2_Age-D72))/DW72),0)</f>
        <v>0</v>
      </c>
      <c r="DY72" s="1" t="n">
        <f aca="false">IF(AND(DD72=1,DN72&gt;0,Slot2_IsWG=1,AG72=1),MIN(DN72,DX72),0)</f>
        <v>0</v>
      </c>
      <c r="DZ72" s="1" t="n">
        <f aca="false">AH72+DY72</f>
        <v>0</v>
      </c>
      <c r="EA72" s="1" t="n">
        <f aca="false">IF(AG72=1,MAX(0,(Slot2_Cost-DZ72*(1+Slot2_Rate)^(Slot2_Age-D72))/DW72),0)</f>
        <v>0</v>
      </c>
      <c r="EB72" s="1" t="n">
        <f aca="false">IF(AG72=1,MAX(0,(Slot2_Cost-AH72*(1+Slot2_Rate)^(Slot2_Age-D72))/DW72),0)</f>
        <v>0</v>
      </c>
      <c r="EC72" s="1" t="n">
        <f aca="false">IF(AND(DD72=1,AG72=1),MIN(DV72,EA72),0)</f>
        <v>0</v>
      </c>
      <c r="ED72" s="1" t="n">
        <f aca="false">DV72-EC72</f>
        <v>0</v>
      </c>
      <c r="EE72" s="1" t="n">
        <f aca="false">IF(AQ72=1,IF(ABS((1+AS_Wage)/(1+Slot3_Rate)-1)&lt;0.000000000001,(Slot3_Age-D72)*(1+Slot3_Rate)^(Slot3_Age-D72),(1+Slot3_Rate)^(Slot3_Age-D72)*(1-((1+AS_Wage)/(1+Slot3_Rate))^(Slot3_Age-D72))/(1-(1+AS_Wage)/(1+Slot3_Rate))),1)</f>
        <v>1</v>
      </c>
      <c r="EF72" s="1" t="n">
        <f aca="false">IF(AND(DD72=1,DN72&gt;0,Slot3_IsWG=1,AQ72=1),MAX(0,(Slot3_Cost-AR72*(1+Slot3_Rate)^(Slot3_Age-D72))/EE72),0)</f>
        <v>0</v>
      </c>
      <c r="EG72" s="1" t="n">
        <f aca="false">IF(AND(DD72=1,DN72&gt;0,Slot3_IsWG=1,AQ72=1),MIN(DN72,EF72),0)</f>
        <v>0</v>
      </c>
      <c r="EH72" s="1" t="n">
        <f aca="false">AR72+EG72</f>
        <v>0</v>
      </c>
      <c r="EI72" s="1" t="n">
        <f aca="false">IF(AQ72=1,MAX(0,(Slot3_Cost-EH72*(1+Slot3_Rate)^(Slot3_Age-D72))/EE72),0)</f>
        <v>0</v>
      </c>
      <c r="EJ72" s="1" t="n">
        <f aca="false">IF(AQ72=1,MAX(0,(Slot3_Cost-AR72*(1+Slot3_Rate)^(Slot3_Age-D72))/EE72),0)</f>
        <v>0</v>
      </c>
      <c r="EK72" s="1" t="n">
        <f aca="false">IF(AND(DD72=1,AQ72=1),MIN(ED72,EI72),0)</f>
        <v>0</v>
      </c>
      <c r="EL72" s="1" t="n">
        <f aca="false">ED72-EK72</f>
        <v>0</v>
      </c>
      <c r="EM72" s="1" t="n">
        <f aca="false">IF(BA72=1,IF(ABS((1+AS_Wage)/(1+Slot4_Rate)-1)&lt;0.000000000001,(Slot4_Age-D72)*(1+Slot4_Rate)^(Slot4_Age-D72),(1+Slot4_Rate)^(Slot4_Age-D72)*(1-((1+AS_Wage)/(1+Slot4_Rate))^(Slot4_Age-D72))/(1-(1+AS_Wage)/(1+Slot4_Rate))),1)</f>
        <v>1</v>
      </c>
      <c r="EN72" s="1" t="n">
        <f aca="false">IF(AND(DD72=1,DN72&gt;0,Slot4_IsWG=1,BA72=1),MAX(0,(Slot4_Cost-BB72*(1+Slot4_Rate)^(Slot4_Age-D72))/EM72),0)</f>
        <v>0</v>
      </c>
      <c r="EO72" s="1" t="n">
        <f aca="false">IF(AND(DD72=1,DN72&gt;0,Slot4_IsWG=1,BA72=1),MIN(DN72,EN72),0)</f>
        <v>0</v>
      </c>
      <c r="EP72" s="1" t="n">
        <f aca="false">BB72+EO72</f>
        <v>0</v>
      </c>
      <c r="EQ72" s="1" t="n">
        <f aca="false">IF(BA72=1,MAX(0,(Slot4_Cost-EP72*(1+Slot4_Rate)^(Slot4_Age-D72))/EM72),0)</f>
        <v>0</v>
      </c>
      <c r="ER72" s="1" t="n">
        <f aca="false">IF(BA72=1,MAX(0,(Slot4_Cost-BB72*(1+Slot4_Rate)^(Slot4_Age-D72))/EM72),0)</f>
        <v>0</v>
      </c>
      <c r="ES72" s="1" t="n">
        <f aca="false">IF(AND(DD72=1,BA72=1),MIN(EL72,EQ72),0)</f>
        <v>0</v>
      </c>
      <c r="ET72" s="1" t="n">
        <f aca="false">EL72-ES72</f>
        <v>0</v>
      </c>
      <c r="EU72" s="1" t="n">
        <f aca="false">IF(BK72=1,IF(ABS((1+AS_Wage)/(1+Slot5_Rate)-1)&lt;0.000000000001,(Slot5_Age-D72)*(1+Slot5_Rate)^(Slot5_Age-D72),(1+Slot5_Rate)^(Slot5_Age-D72)*(1-((1+AS_Wage)/(1+Slot5_Rate))^(Slot5_Age-D72))/(1-(1+AS_Wage)/(1+Slot5_Rate))),1)</f>
        <v>1</v>
      </c>
      <c r="EV72" s="1" t="n">
        <f aca="false">IF(AND(DD72=1,DN72&gt;0,Slot5_IsWG=1,BK72=1),MAX(0,(Slot5_Cost-BL72*(1+Slot5_Rate)^(Slot5_Age-D72))/EU72),0)</f>
        <v>0</v>
      </c>
      <c r="EW72" s="1" t="n">
        <f aca="false">IF(AND(DD72=1,DN72&gt;0,Slot5_IsWG=1,BK72=1),MIN(DN72,EV72),0)</f>
        <v>0</v>
      </c>
      <c r="EX72" s="1" t="n">
        <f aca="false">BL72+EW72</f>
        <v>0</v>
      </c>
      <c r="EY72" s="1" t="n">
        <f aca="false">IF(BK72=1,MAX(0,(Slot5_Cost-EX72*(1+Slot5_Rate)^(Slot5_Age-D72))/EU72),0)</f>
        <v>0</v>
      </c>
      <c r="EZ72" s="1" t="n">
        <f aca="false">IF(BK72=1,MAX(0,(Slot5_Cost-BL72*(1+Slot5_Rate)^(Slot5_Age-D72))/EU72),0)</f>
        <v>0</v>
      </c>
      <c r="FA72" s="1" t="n">
        <f aca="false">IF(AND(DD72=1,BK72=1),MIN(ET72,EY72),0)</f>
        <v>0</v>
      </c>
      <c r="FB72" s="1" t="n">
        <f aca="false">ET72-FA72</f>
        <v>0</v>
      </c>
      <c r="FC72" s="1" t="n">
        <f aca="false">IF(BU72=1,IF(ABS((1+AS_Wage)/(1+Slot6_Rate)-1)&lt;0.000000000001,(Slot6_Age-D72)*(1+Slot6_Rate)^(Slot6_Age-D72),(1+Slot6_Rate)^(Slot6_Age-D72)*(1-((1+AS_Wage)/(1+Slot6_Rate))^(Slot6_Age-D72))/(1-(1+AS_Wage)/(1+Slot6_Rate))),1)</f>
        <v>1</v>
      </c>
      <c r="FD72" s="1" t="n">
        <f aca="false">IF(AND(DD72=1,DN72&gt;0,Slot6_IsWG=1,BU72=1),MAX(0,(Slot6_Cost-BV72*(1+Slot6_Rate)^(Slot6_Age-D72))/FC72),0)</f>
        <v>0</v>
      </c>
      <c r="FE72" s="1" t="n">
        <f aca="false">IF(AND(DD72=1,DN72&gt;0,Slot6_IsWG=1,BU72=1),MIN(DN72,FD72),0)</f>
        <v>0</v>
      </c>
      <c r="FF72" s="1" t="n">
        <f aca="false">BV72+FE72</f>
        <v>0</v>
      </c>
      <c r="FG72" s="1" t="n">
        <f aca="false">IF(BU72=1,MAX(0,(Slot6_Cost-FF72*(1+Slot6_Rate)^(Slot6_Age-D72))/FC72),0)</f>
        <v>0</v>
      </c>
      <c r="FH72" s="1" t="n">
        <f aca="false">IF(BU72=1,MAX(0,(Slot6_Cost-BV72*(1+Slot6_Rate)^(Slot6_Age-D72))/FC72),0)</f>
        <v>0</v>
      </c>
      <c r="FI72" s="1" t="n">
        <f aca="false">IF(AND(DD72=1,BU72=1),MIN(FB72,FG72),0)</f>
        <v>0</v>
      </c>
      <c r="FJ72" s="1" t="n">
        <f aca="false">FB72-FI72</f>
        <v>0</v>
      </c>
      <c r="FK72" s="1" t="n">
        <f aca="false">IF(CE72=1,IF(ABS((1+AS_Wage)/(1+Slot7_Rate)-1)&lt;0.000000000001,(Slot7_Age-D72)*(1+Slot7_Rate)^(Slot7_Age-D72),(1+Slot7_Rate)^(Slot7_Age-D72)*(1-((1+AS_Wage)/(1+Slot7_Rate))^(Slot7_Age-D72))/(1-(1+AS_Wage)/(1+Slot7_Rate))),1)</f>
        <v>1</v>
      </c>
      <c r="FL72" s="1" t="n">
        <f aca="false">IF(AND(DD72=1,DN72&gt;0,Slot7_IsWG=1,CE72=1),MAX(0,(Slot7_Cost-CF72*(1+Slot7_Rate)^(Slot7_Age-D72))/FK72),0)</f>
        <v>0</v>
      </c>
      <c r="FM72" s="1" t="n">
        <f aca="false">IF(AND(DD72=1,DN72&gt;0,Slot7_IsWG=1,CE72=1),MIN(DN72,FL72),0)</f>
        <v>0</v>
      </c>
      <c r="FN72" s="1" t="n">
        <f aca="false">CF72+FM72</f>
        <v>0</v>
      </c>
      <c r="FO72" s="1" t="n">
        <f aca="false">IF(CE72=1,MAX(0,(Slot7_Cost-FN72*(1+Slot7_Rate)^(Slot7_Age-D72))/FK72),0)</f>
        <v>0</v>
      </c>
      <c r="FP72" s="1" t="n">
        <f aca="false">IF(CE72=1,MAX(0,(Slot7_Cost-CF72*(1+Slot7_Rate)^(Slot7_Age-D72))/FK72),0)</f>
        <v>0</v>
      </c>
      <c r="FQ72" s="1" t="n">
        <f aca="false">IF(AND(DD72=1,CE72=1),MIN(FJ72,FO72),0)</f>
        <v>0</v>
      </c>
      <c r="FR72" s="1" t="n">
        <f aca="false">FJ72-FQ72</f>
        <v>0</v>
      </c>
      <c r="FS72" s="1" t="n">
        <f aca="false">IF(CO72=1,IF(ABS((1+AS_Wage)/(1+Slot8_Rate)-1)&lt;0.000000000001,(Slot8_Age-D72)*(1+Slot8_Rate)^(Slot8_Age-D72),(1+Slot8_Rate)^(Slot8_Age-D72)*(1-((1+AS_Wage)/(1+Slot8_Rate))^(Slot8_Age-D72))/(1-(1+AS_Wage)/(1+Slot8_Rate))),1)</f>
        <v>1</v>
      </c>
      <c r="FT72" s="1" t="n">
        <f aca="false">IF(AND(DD72=1,DN72&gt;0,Slot8_IsWG=1,CO72=1),MAX(0,(Slot8_Cost-CP72*(1+Slot8_Rate)^(Slot8_Age-D72))/FS72),0)</f>
        <v>0</v>
      </c>
      <c r="FU72" s="1" t="n">
        <f aca="false">IF(AND(DD72=1,DN72&gt;0,Slot8_IsWG=1,CO72=1),MIN(DN72,FT72),0)</f>
        <v>0</v>
      </c>
      <c r="FV72" s="1" t="n">
        <f aca="false">CP72+FU72</f>
        <v>0</v>
      </c>
      <c r="FW72" s="1" t="n">
        <f aca="false">IF(CO72=1,MAX(0,(Slot8_Cost-FV72*(1+Slot8_Rate)^(Slot8_Age-D72))/FS72),0)</f>
        <v>0</v>
      </c>
      <c r="FX72" s="1" t="n">
        <f aca="false">IF(CO72=1,MAX(0,(Slot8_Cost-CP72*(1+Slot8_Rate)^(Slot8_Age-D72))/FS72),0)</f>
        <v>0</v>
      </c>
      <c r="FY72" s="1" t="n">
        <f aca="false">IF(AND(DD72=1,CO72=1),MIN(FR72,FW72),0)</f>
        <v>0</v>
      </c>
      <c r="FZ72" s="1" t="n">
        <f aca="false">FR72-FY72</f>
        <v>0</v>
      </c>
      <c r="GA72" s="1" t="n">
        <f aca="false">DN72-(DQ72+DY72+EG72+EO72+EW72+FE72+FM72+FU72)</f>
        <v>0</v>
      </c>
      <c r="GB72" s="1" t="n">
        <f aca="false">IF(DD72=1,DB72-DM72-DN72,0)</f>
        <v>0</v>
      </c>
      <c r="GC72" s="1" t="n">
        <f aca="false">IF(DD72=0,-DB72,0)</f>
        <v>0</v>
      </c>
      <c r="GD72" s="1" t="n">
        <f aca="false">MIN(GC72,CT72)</f>
        <v>0</v>
      </c>
      <c r="GE72" s="1" t="n">
        <f aca="false">GC72-GD72</f>
        <v>0</v>
      </c>
      <c r="GF72" s="1" t="n">
        <f aca="false">MIN(GE72,CU72)</f>
        <v>0</v>
      </c>
      <c r="GG72" s="1" t="n">
        <f aca="false">GE72-GF72</f>
        <v>0</v>
      </c>
      <c r="GH72" s="1" t="n">
        <f aca="false">IF(AND(DD72=0,CO72=1,GG72&gt;0),MIN(GG72,CP72),0)</f>
        <v>0</v>
      </c>
      <c r="GI72" s="1" t="n">
        <f aca="false">GG72-GH72</f>
        <v>0</v>
      </c>
      <c r="GJ72" s="1" t="n">
        <f aca="false">IF(AND(DD72=0,CE72=1,GI72&gt;0),MIN(GI72,CF72),0)</f>
        <v>0</v>
      </c>
      <c r="GK72" s="1" t="n">
        <f aca="false">GI72-GJ72</f>
        <v>0</v>
      </c>
      <c r="GL72" s="1" t="n">
        <f aca="false">IF(AND(DD72=0,BU72=1,GK72&gt;0),MIN(GK72,BV72),0)</f>
        <v>0</v>
      </c>
      <c r="GM72" s="1" t="n">
        <f aca="false">GK72-GL72</f>
        <v>0</v>
      </c>
      <c r="GN72" s="1" t="n">
        <f aca="false">IF(AND(DD72=0,BK72=1,GM72&gt;0),MIN(GM72,BL72),0)</f>
        <v>0</v>
      </c>
      <c r="GO72" s="1" t="n">
        <f aca="false">GM72-GN72</f>
        <v>0</v>
      </c>
      <c r="GP72" s="1" t="n">
        <f aca="false">IF(AND(DD72=0,BA72=1,GO72&gt;0),MIN(GO72,BB72),0)</f>
        <v>0</v>
      </c>
      <c r="GQ72" s="1" t="n">
        <f aca="false">GO72-GP72</f>
        <v>0</v>
      </c>
      <c r="GR72" s="1" t="n">
        <f aca="false">IF(AND(DD72=0,AQ72=1,GQ72&gt;0),MIN(GQ72,AR72),0)</f>
        <v>0</v>
      </c>
      <c r="GS72" s="1" t="n">
        <f aca="false">GQ72-GR72</f>
        <v>0</v>
      </c>
      <c r="GT72" s="1" t="n">
        <f aca="false">IF(AND(DD72=0,AG72=1,GS72&gt;0),MIN(GS72,AH72),0)</f>
        <v>0</v>
      </c>
      <c r="GU72" s="1" t="n">
        <f aca="false">GS72-GT72</f>
        <v>0</v>
      </c>
      <c r="GV72" s="1" t="n">
        <f aca="false">IF(AND(DD72=0,V72=1,GU72&gt;0),MIN(GU72,W72),0)</f>
        <v>0</v>
      </c>
      <c r="GW72" s="1" t="n">
        <f aca="false">GU72-GV72</f>
        <v>0</v>
      </c>
      <c r="GX72" s="1" t="n">
        <f aca="false">IF(DD72=0,GW72,0)</f>
        <v>0</v>
      </c>
      <c r="GY72" s="1" t="n">
        <f aca="false">GD72+GF72+GV72+GT72+GR72+GP72+GN72+GL72+GJ72+GH72</f>
        <v>0</v>
      </c>
      <c r="GZ72" s="1" t="n">
        <f aca="false">IF(DD72=1,CT72+GA72+FZ72+IF(F72=1,0,GB72),CT72-GD72)</f>
        <v>0</v>
      </c>
      <c r="HA72" s="1" t="n">
        <f aca="false">CU72-GF72</f>
        <v>0</v>
      </c>
      <c r="HB72" s="1" t="n">
        <f aca="false">IF(DD72=1,IF(F72=1,DM72+DN72,DB72),0)</f>
        <v>0</v>
      </c>
      <c r="HC72" s="1" t="n">
        <f aca="false">IF(DD72=1,IF(F72=1,DB72-DM72-DN72,0),0)</f>
        <v>0</v>
      </c>
      <c r="HD72" s="1" t="n">
        <f aca="false">GZ72*(1+GR)</f>
        <v>0</v>
      </c>
      <c r="HE72" s="1" t="n">
        <f aca="false">HA72*(1+AS_Cash)</f>
        <v>0</v>
      </c>
      <c r="HF72" s="1" t="n">
        <f aca="false">IF(V72=1,IF(DD72=1,DR72+DU72,W72-GV72)*(1+Slot1_Rate),0)</f>
        <v>0</v>
      </c>
      <c r="HG72" s="1" t="n">
        <f aca="false">IF(AND(DD72=1,V72=1),(DQ72+DU72)/E72,0)</f>
        <v>0</v>
      </c>
      <c r="HH72" s="1" t="n">
        <f aca="false">IF(B72=0,DQ72+DU72,0)</f>
        <v>0</v>
      </c>
      <c r="HI72" s="1" t="n">
        <f aca="false">IF(B72=0,IF(DD72=1,DS72,DT72),0)</f>
        <v>0</v>
      </c>
      <c r="HJ72" s="1" t="n">
        <f aca="false">IF(AG72=1,IF(DD72=1,DZ72+EC72,AH72-GT72)*(1+Slot2_Rate),0)</f>
        <v>0</v>
      </c>
      <c r="HK72" s="1" t="n">
        <f aca="false">IF(AND(DD72=1,AG72=1),(DY72+EC72)/E72,0)</f>
        <v>0</v>
      </c>
      <c r="HL72" s="1" t="n">
        <f aca="false">IF(B72=0,DY72+EC72,0)</f>
        <v>0</v>
      </c>
      <c r="HM72" s="1" t="n">
        <f aca="false">IF(B72=0,IF(DD72=1,EA72,EB72),0)</f>
        <v>0</v>
      </c>
      <c r="HN72" s="1" t="n">
        <f aca="false">IF(AQ72=1,IF(DD72=1,EH72+EK72,AR72-GR72)*(1+Slot3_Rate),0)</f>
        <v>0</v>
      </c>
      <c r="HO72" s="1" t="n">
        <f aca="false">IF(AND(DD72=1,AQ72=1),(EG72+EK72)/E72,0)</f>
        <v>0</v>
      </c>
      <c r="HP72" s="1" t="n">
        <f aca="false">IF(B72=0,EG72+EK72,0)</f>
        <v>0</v>
      </c>
      <c r="HQ72" s="1" t="n">
        <f aca="false">IF(B72=0,IF(DD72=1,EI72,EJ72),0)</f>
        <v>0</v>
      </c>
      <c r="HR72" s="1" t="n">
        <f aca="false">IF(BA72=1,IF(DD72=1,EP72+ES72,BB72-GP72)*(1+Slot4_Rate),0)</f>
        <v>0</v>
      </c>
      <c r="HS72" s="1" t="n">
        <f aca="false">IF(AND(DD72=1,BA72=1),(EO72+ES72)/E72,0)</f>
        <v>0</v>
      </c>
      <c r="HT72" s="1" t="n">
        <f aca="false">IF(B72=0,EO72+ES72,0)</f>
        <v>0</v>
      </c>
      <c r="HU72" s="1" t="n">
        <f aca="false">IF(B72=0,IF(DD72=1,EQ72,ER72),0)</f>
        <v>0</v>
      </c>
      <c r="HV72" s="1" t="n">
        <f aca="false">IF(BK72=1,IF(DD72=1,EX72+FA72,BL72-GN72)*(1+Slot5_Rate),0)</f>
        <v>0</v>
      </c>
      <c r="HW72" s="1" t="n">
        <f aca="false">IF(AND(DD72=1,BK72=1),(EW72+FA72)/E72,0)</f>
        <v>0</v>
      </c>
      <c r="HX72" s="1" t="n">
        <f aca="false">IF(B72=0,EW72+FA72,0)</f>
        <v>0</v>
      </c>
      <c r="HY72" s="1" t="n">
        <f aca="false">IF(B72=0,IF(DD72=1,EY72,EZ72),0)</f>
        <v>0</v>
      </c>
      <c r="HZ72" s="1" t="n">
        <f aca="false">IF(BU72=1,IF(DD72=1,FF72+FI72,BV72-GL72)*(1+Slot6_Rate),0)</f>
        <v>0</v>
      </c>
      <c r="IA72" s="1" t="n">
        <f aca="false">IF(AND(DD72=1,BU72=1),(FE72+FI72)/E72,0)</f>
        <v>0</v>
      </c>
      <c r="IB72" s="1" t="n">
        <f aca="false">IF(B72=0,FE72+FI72,0)</f>
        <v>0</v>
      </c>
      <c r="IC72" s="1" t="n">
        <f aca="false">IF(B72=0,IF(DD72=1,FG72,FH72),0)</f>
        <v>0</v>
      </c>
      <c r="ID72" s="1" t="n">
        <f aca="false">IF(CE72=1,IF(DD72=1,FN72+FQ72,CF72-GJ72)*(1+Slot7_Rate),0)</f>
        <v>0</v>
      </c>
      <c r="IE72" s="1" t="n">
        <f aca="false">IF(AND(DD72=1,CE72=1),(FM72+FQ72)/E72,0)</f>
        <v>0</v>
      </c>
      <c r="IF72" s="1" t="n">
        <f aca="false">IF(B72=0,FM72+FQ72,0)</f>
        <v>0</v>
      </c>
      <c r="IG72" s="1" t="n">
        <f aca="false">IF(B72=0,IF(DD72=1,FO72,FP72),0)</f>
        <v>0</v>
      </c>
      <c r="IH72" s="1" t="n">
        <f aca="false">IF(CO72=1,IF(DD72=1,FV72+FY72,CP72-GH72)*(1+Slot8_Rate),0)</f>
        <v>0</v>
      </c>
      <c r="II72" s="1" t="n">
        <f aca="false">IF(AND(DD72=1,CO72=1),(FU72+FY72)/E72,0)</f>
        <v>0</v>
      </c>
      <c r="IJ72" s="1" t="n">
        <f aca="false">IF(B72=0,FU72+FY72,0)</f>
        <v>0</v>
      </c>
      <c r="IK72" s="1" t="n">
        <f aca="false">IF(B72=0,IF(DD72=1,FW72,FX72),0)</f>
        <v>0</v>
      </c>
      <c r="IL72" s="1" t="n">
        <f aca="false">HD72+HE72+HF72+HJ72+HN72+HR72+HV72+HZ72+ID72+IH72</f>
        <v>0</v>
      </c>
      <c r="IM72" s="1" t="n">
        <f aca="false">GX72+CY72</f>
        <v>0</v>
      </c>
      <c r="IN72" s="1" t="n">
        <f aca="false">H72+R72</f>
        <v>0</v>
      </c>
      <c r="IO72" s="1" t="n">
        <f aca="false">1-F72</f>
        <v>1</v>
      </c>
      <c r="IP72" s="1" t="n">
        <f aca="false">IF(AND(RG_Exists=1,F72=0,C72=1),H72,0)</f>
        <v>0</v>
      </c>
      <c r="IQ72" s="1" t="n">
        <f aca="false">IF(AND(RG_Exists=1,F72=0,C72=1),H72-MIN(GX72,H72),0)</f>
        <v>0</v>
      </c>
      <c r="IR72" s="1" t="n">
        <f aca="false">'Plan pay &amp; tax'!AD274</f>
        <v>0</v>
      </c>
      <c r="IS72" s="1" t="n">
        <f aca="false">IF(AND(C72=1,GX72&gt;MAX(PR_Short1,IN72*PR_Short2)),1,0)</f>
        <v>0</v>
      </c>
      <c r="IT72" s="1" t="n">
        <f aca="false">MIN(G72,H72+R72)</f>
        <v>0</v>
      </c>
      <c r="IU72" s="1" t="n">
        <f aca="false">GY72+MAX(0,CZ72-CY72)</f>
        <v>0</v>
      </c>
      <c r="IV72" s="1" t="n">
        <f aca="false">GX72+CY72</f>
        <v>0</v>
      </c>
      <c r="IW72" s="1" t="n">
        <f aca="false">IF(AND(C72=1,IV72&gt;0.5),1,0)</f>
        <v>0</v>
      </c>
      <c r="IX72" s="1" t="n">
        <f aca="false">IF(AND(C72=1,IW72=0,IU72&gt;0.5),1,0)</f>
        <v>0</v>
      </c>
      <c r="IY72" s="1" t="n">
        <f aca="false">IF(AND(C72=1,GX72&gt;0.5),1,0)</f>
        <v>0</v>
      </c>
      <c r="IZ72" s="1" t="n">
        <f aca="false">IF(AND(C72=1,GY72&gt;1,JF72=0),1,0)</f>
        <v>0</v>
      </c>
      <c r="JA72" s="1" t="n">
        <f aca="false">IF(AND(INT(D72/10)*10=90,B72&gt;0),80,INT(D72/10)*10)</f>
        <v>60</v>
      </c>
      <c r="JB72" s="1" t="n">
        <f aca="false">IF(B72=0,1,IF(JA72&lt;&gt;JA71,JB71+1,JB71))</f>
        <v>7</v>
      </c>
      <c r="JC72" s="1" t="n">
        <f aca="false">IF(AND(C72=1,F72=1,GX72&gt;MAX(PR_Short1,IN72*PR_Short2)),1,0)</f>
        <v>0</v>
      </c>
      <c r="JD72" s="1" t="n">
        <f aca="false">IO72*IS72</f>
        <v>0</v>
      </c>
      <c r="JE72" s="1" t="n">
        <f aca="false">IF(AND(U72=1,Slot1_PctLow=1),1,0)+IF(AND(AF72=1,Slot2_PctLow=1),1,0)+IF(AND(AP72=1,Slot3_PctLow=1),1,0)+IF(AND(AZ72=1,Slot4_PctLow=1),1,0)+IF(AND(BJ72=1,Slot5_PctLow=1),1,0)+IF(AND(BT72=1,Slot6_PctLow=1),1,0)+IF(AND(CD72=1,Slot7_PctLow=1),1,0)+IF(AND(CN72=1,Slot8_PctLow=1),1,0)</f>
        <v>0</v>
      </c>
      <c r="JF72" s="1" t="n">
        <f aca="false">IF(C72=1,IF(OR(IS72=1,JE72&gt;0),1,0),0)</f>
        <v>0</v>
      </c>
    </row>
    <row r="73" customFormat="false" ht="15" hidden="false" customHeight="false" outlineLevel="0" collapsed="false">
      <c r="B73" s="1" t="n">
        <v>65</v>
      </c>
      <c r="C73" s="1" t="n">
        <f aca="false">IF(B73&lt;=F_N,1,0)</f>
        <v>1</v>
      </c>
      <c r="D73" s="1" t="n">
        <f aca="false">'Plan pay &amp; tax'!C275</f>
        <v>65</v>
      </c>
      <c r="E73" s="106" t="n">
        <f aca="false">'Plan pay &amp; tax'!E275</f>
        <v>3.62252310814242</v>
      </c>
      <c r="F73" s="1" t="n">
        <f aca="false">'Plan pay &amp; tax'!G275</f>
        <v>0</v>
      </c>
      <c r="G73" s="1" t="n">
        <f aca="false">'Plan pay &amp; tax'!BT275-'Plan pay &amp; tax'!BS275-'Plan pay &amp; tax'!R275</f>
        <v>0</v>
      </c>
      <c r="H73" s="1" t="n">
        <f aca="false">IF(F73=1,F_CostsM*12,IF(RG_Exists=1,RG_Amount,F_CostsM*12*AS_RetireSpend))*E73+F_OneOffY*E73</f>
        <v>0</v>
      </c>
      <c r="I73" s="1" t="n">
        <f aca="false">DA72</f>
        <v>0</v>
      </c>
      <c r="J73" s="1" t="n">
        <f aca="false">IF(I73&gt;1,'Plan debt months'!AC73,0)</f>
        <v>0</v>
      </c>
      <c r="K73" s="1" t="n">
        <f aca="false">IF(I73&gt;1,'Plan debt months'!AB73,I73)</f>
        <v>0</v>
      </c>
      <c r="L73" s="1" t="n">
        <f aca="false">N72</f>
        <v>0</v>
      </c>
      <c r="M73" s="1" t="n">
        <f aca="false">IF(L73&gt;1,'Plan debt months'!BD73,0)</f>
        <v>0</v>
      </c>
      <c r="N73" s="1" t="n">
        <f aca="false">IF(L73&gt;1,'Plan debt months'!BC73,L73)</f>
        <v>0</v>
      </c>
      <c r="O73" s="1" t="n">
        <f aca="false">Q72</f>
        <v>0</v>
      </c>
      <c r="P73" s="1" t="n">
        <f aca="false">IF(O73&gt;1,'Plan debt months'!CE73,0)</f>
        <v>0</v>
      </c>
      <c r="Q73" s="1" t="n">
        <f aca="false">IF(O73&gt;1,'Plan debt months'!CD73,O73)</f>
        <v>0</v>
      </c>
      <c r="R73" s="1" t="n">
        <f aca="false">J73+M73+P73</f>
        <v>0</v>
      </c>
      <c r="S73" s="1" t="n">
        <f aca="false">HD72+'Plan pay &amp; tax'!Y275</f>
        <v>0</v>
      </c>
      <c r="T73" s="1" t="n">
        <f aca="false">HD72</f>
        <v>0</v>
      </c>
      <c r="U73" s="1" t="n">
        <f aca="false">IF(AND(Slot1_On=1,D73=Slot1_Age),1,0)</f>
        <v>0</v>
      </c>
      <c r="V73" s="1" t="n">
        <f aca="false">IF(AND(Slot1_On=1,Slot1_Age&gt;D73),1,0)</f>
        <v>0</v>
      </c>
      <c r="W73" s="1" t="n">
        <f aca="false">HF72</f>
        <v>0</v>
      </c>
      <c r="X73" s="1" t="n">
        <f aca="false">U73*MIN(Slot1_Cost,W73)</f>
        <v>0</v>
      </c>
      <c r="Y73" s="1" t="n">
        <f aca="false">U73*Slot1_SpendLike*MIN(Slot1_Cost-X73,S73)</f>
        <v>0</v>
      </c>
      <c r="Z73" s="1" t="n">
        <f aca="false">X73+Y73</f>
        <v>0</v>
      </c>
      <c r="AA73" s="1" t="n">
        <f aca="false">S73-Y73+U73*IF(Slot1_SpendLike=1,W73-X73,IF(Slot1_PotFree=1,W73,0))</f>
        <v>0</v>
      </c>
      <c r="AB73" s="1" t="n">
        <f aca="false">AE73+U73*Slot1_BufPot*W73</f>
        <v>0</v>
      </c>
      <c r="AC73" s="1" t="n">
        <f aca="false">IF(AND(U73=1,Slot1_IsMfree=1),IF(Z73&gt;=Slot1_Cost-1,0,MAX(0,K73-Z73)),K73)</f>
        <v>0</v>
      </c>
      <c r="AD73" s="1" t="n">
        <f aca="false">U73*(Slot1_Cost-Z73)</f>
        <v>0</v>
      </c>
      <c r="AE73" s="1" t="n">
        <f aca="false">HE72</f>
        <v>0</v>
      </c>
      <c r="AF73" s="1" t="n">
        <f aca="false">IF(AND(Slot2_On=1,D73=Slot2_Age),1,0)</f>
        <v>0</v>
      </c>
      <c r="AG73" s="1" t="n">
        <f aca="false">IF(AND(Slot2_On=1,Slot2_Age&gt;D73),1,0)</f>
        <v>0</v>
      </c>
      <c r="AH73" s="1" t="n">
        <f aca="false">HJ72</f>
        <v>0</v>
      </c>
      <c r="AI73" s="1" t="n">
        <f aca="false">AF73*MIN(Slot2_Cost,AH73)</f>
        <v>0</v>
      </c>
      <c r="AJ73" s="1" t="n">
        <f aca="false">AF73*Slot2_SpendLike*MIN(Slot2_Cost-AI73,AA73)</f>
        <v>0</v>
      </c>
      <c r="AK73" s="1" t="n">
        <f aca="false">AI73+AJ73</f>
        <v>0</v>
      </c>
      <c r="AL73" s="1" t="n">
        <f aca="false">AA73-AJ73+AF73*IF(Slot2_SpendLike=1,AH73-AI73,IF(Slot2_PotFree=1,AH73,0))</f>
        <v>0</v>
      </c>
      <c r="AM73" s="1" t="n">
        <f aca="false">AB73+AF73*Slot2_BufPot*AH73</f>
        <v>0</v>
      </c>
      <c r="AN73" s="1" t="n">
        <f aca="false">IF(AND(AF73=1,Slot2_IsMfree=1),IF(AK73&gt;=Slot2_Cost-1,0,MAX(0,AC73-AK73)),AC73)</f>
        <v>0</v>
      </c>
      <c r="AO73" s="1" t="n">
        <f aca="false">AF73*(Slot2_Cost-AK73)</f>
        <v>0</v>
      </c>
      <c r="AP73" s="1" t="n">
        <f aca="false">IF(AND(Slot3_On=1,D73=Slot3_Age),1,0)</f>
        <v>0</v>
      </c>
      <c r="AQ73" s="1" t="n">
        <f aca="false">IF(AND(Slot3_On=1,Slot3_Age&gt;D73),1,0)</f>
        <v>0</v>
      </c>
      <c r="AR73" s="1" t="n">
        <f aca="false">HN72</f>
        <v>0</v>
      </c>
      <c r="AS73" s="1" t="n">
        <f aca="false">AP73*MIN(Slot3_Cost,AR73)</f>
        <v>0</v>
      </c>
      <c r="AT73" s="1" t="n">
        <f aca="false">AP73*Slot3_SpendLike*MIN(Slot3_Cost-AS73,AL73)</f>
        <v>0</v>
      </c>
      <c r="AU73" s="1" t="n">
        <f aca="false">AS73+AT73</f>
        <v>0</v>
      </c>
      <c r="AV73" s="1" t="n">
        <f aca="false">AL73-AT73+AP73*IF(Slot3_SpendLike=1,AR73-AS73,IF(Slot3_PotFree=1,AR73,0))</f>
        <v>0</v>
      </c>
      <c r="AW73" s="1" t="n">
        <f aca="false">AM73+AP73*Slot3_BufPot*AR73</f>
        <v>0</v>
      </c>
      <c r="AX73" s="1" t="n">
        <f aca="false">IF(AND(AP73=1,Slot3_IsMfree=1),IF(AU73&gt;=Slot3_Cost-1,0,MAX(0,AN73-AU73)),AN73)</f>
        <v>0</v>
      </c>
      <c r="AY73" s="1" t="n">
        <f aca="false">AP73*(Slot3_Cost-AU73)</f>
        <v>0</v>
      </c>
      <c r="AZ73" s="1" t="n">
        <f aca="false">IF(AND(Slot4_On=1,D73=Slot4_Age),1,0)</f>
        <v>0</v>
      </c>
      <c r="BA73" s="1" t="n">
        <f aca="false">IF(AND(Slot4_On=1,Slot4_Age&gt;D73),1,0)</f>
        <v>0</v>
      </c>
      <c r="BB73" s="1" t="n">
        <f aca="false">HR72</f>
        <v>0</v>
      </c>
      <c r="BC73" s="1" t="n">
        <f aca="false">AZ73*MIN(Slot4_Cost,BB73)</f>
        <v>0</v>
      </c>
      <c r="BD73" s="1" t="n">
        <f aca="false">AZ73*Slot4_SpendLike*MIN(Slot4_Cost-BC73,AV73)</f>
        <v>0</v>
      </c>
      <c r="BE73" s="1" t="n">
        <f aca="false">BC73+BD73</f>
        <v>0</v>
      </c>
      <c r="BF73" s="1" t="n">
        <f aca="false">AV73-BD73+AZ73*IF(Slot4_SpendLike=1,BB73-BC73,IF(Slot4_PotFree=1,BB73,0))</f>
        <v>0</v>
      </c>
      <c r="BG73" s="1" t="n">
        <f aca="false">AW73+AZ73*Slot4_BufPot*BB73</f>
        <v>0</v>
      </c>
      <c r="BH73" s="1" t="n">
        <f aca="false">IF(AND(AZ73=1,Slot4_IsMfree=1),IF(BE73&gt;=Slot4_Cost-1,0,MAX(0,AX73-BE73)),AX73)</f>
        <v>0</v>
      </c>
      <c r="BI73" s="1" t="n">
        <f aca="false">AZ73*(Slot4_Cost-BE73)</f>
        <v>0</v>
      </c>
      <c r="BJ73" s="1" t="n">
        <f aca="false">IF(AND(Slot5_On=1,D73=Slot5_Age),1,0)</f>
        <v>0</v>
      </c>
      <c r="BK73" s="1" t="n">
        <f aca="false">IF(AND(Slot5_On=1,Slot5_Age&gt;D73),1,0)</f>
        <v>0</v>
      </c>
      <c r="BL73" s="1" t="n">
        <f aca="false">HV72</f>
        <v>0</v>
      </c>
      <c r="BM73" s="1" t="n">
        <f aca="false">BJ73*MIN(Slot5_Cost,BL73)</f>
        <v>0</v>
      </c>
      <c r="BN73" s="1" t="n">
        <f aca="false">BJ73*Slot5_SpendLike*MIN(Slot5_Cost-BM73,BF73)</f>
        <v>0</v>
      </c>
      <c r="BO73" s="1" t="n">
        <f aca="false">BM73+BN73</f>
        <v>0</v>
      </c>
      <c r="BP73" s="1" t="n">
        <f aca="false">BF73-BN73+BJ73*IF(Slot5_SpendLike=1,BL73-BM73,IF(Slot5_PotFree=1,BL73,0))</f>
        <v>0</v>
      </c>
      <c r="BQ73" s="1" t="n">
        <f aca="false">BG73+BJ73*Slot5_BufPot*BL73</f>
        <v>0</v>
      </c>
      <c r="BR73" s="1" t="n">
        <f aca="false">IF(AND(BJ73=1,Slot5_IsMfree=1),IF(BO73&gt;=Slot5_Cost-1,0,MAX(0,BH73-BO73)),BH73)</f>
        <v>0</v>
      </c>
      <c r="BS73" s="1" t="n">
        <f aca="false">BJ73*(Slot5_Cost-BO73)</f>
        <v>0</v>
      </c>
      <c r="BT73" s="1" t="n">
        <f aca="false">IF(AND(Slot6_On=1,D73=Slot6_Age),1,0)</f>
        <v>0</v>
      </c>
      <c r="BU73" s="1" t="n">
        <f aca="false">IF(AND(Slot6_On=1,Slot6_Age&gt;D73),1,0)</f>
        <v>0</v>
      </c>
      <c r="BV73" s="1" t="n">
        <f aca="false">HZ72</f>
        <v>0</v>
      </c>
      <c r="BW73" s="1" t="n">
        <f aca="false">BT73*MIN(Slot6_Cost,BV73)</f>
        <v>0</v>
      </c>
      <c r="BX73" s="1" t="n">
        <f aca="false">BT73*Slot6_SpendLike*MIN(Slot6_Cost-BW73,BP73)</f>
        <v>0</v>
      </c>
      <c r="BY73" s="1" t="n">
        <f aca="false">BW73+BX73</f>
        <v>0</v>
      </c>
      <c r="BZ73" s="1" t="n">
        <f aca="false">BP73-BX73+BT73*IF(Slot6_SpendLike=1,BV73-BW73,IF(Slot6_PotFree=1,BV73,0))</f>
        <v>0</v>
      </c>
      <c r="CA73" s="1" t="n">
        <f aca="false">BQ73+BT73*Slot6_BufPot*BV73</f>
        <v>0</v>
      </c>
      <c r="CB73" s="1" t="n">
        <f aca="false">IF(AND(BT73=1,Slot6_IsMfree=1),IF(BY73&gt;=Slot6_Cost-1,0,MAX(0,BR73-BY73)),BR73)</f>
        <v>0</v>
      </c>
      <c r="CC73" s="1" t="n">
        <f aca="false">BT73*(Slot6_Cost-BY73)</f>
        <v>0</v>
      </c>
      <c r="CD73" s="1" t="n">
        <f aca="false">IF(AND(Slot7_On=1,D73=Slot7_Age),1,0)</f>
        <v>0</v>
      </c>
      <c r="CE73" s="1" t="n">
        <f aca="false">IF(AND(Slot7_On=1,Slot7_Age&gt;D73),1,0)</f>
        <v>0</v>
      </c>
      <c r="CF73" s="1" t="n">
        <f aca="false">ID72</f>
        <v>0</v>
      </c>
      <c r="CG73" s="1" t="n">
        <f aca="false">CD73*MIN(Slot7_Cost,CF73)</f>
        <v>0</v>
      </c>
      <c r="CH73" s="1" t="n">
        <f aca="false">CD73*Slot7_SpendLike*MIN(Slot7_Cost-CG73,BZ73)</f>
        <v>0</v>
      </c>
      <c r="CI73" s="1" t="n">
        <f aca="false">CG73+CH73</f>
        <v>0</v>
      </c>
      <c r="CJ73" s="1" t="n">
        <f aca="false">BZ73-CH73+CD73*IF(Slot7_SpendLike=1,CF73-CG73,IF(Slot7_PotFree=1,CF73,0))</f>
        <v>0</v>
      </c>
      <c r="CK73" s="1" t="n">
        <f aca="false">CA73+CD73*Slot7_BufPot*CF73</f>
        <v>0</v>
      </c>
      <c r="CL73" s="1" t="n">
        <f aca="false">IF(AND(CD73=1,Slot7_IsMfree=1),IF(CI73&gt;=Slot7_Cost-1,0,MAX(0,CB73-CI73)),CB73)</f>
        <v>0</v>
      </c>
      <c r="CM73" s="1" t="n">
        <f aca="false">CD73*(Slot7_Cost-CI73)</f>
        <v>0</v>
      </c>
      <c r="CN73" s="1" t="n">
        <f aca="false">IF(AND(Slot8_On=1,D73=Slot8_Age),1,0)</f>
        <v>0</v>
      </c>
      <c r="CO73" s="1" t="n">
        <f aca="false">IF(AND(Slot8_On=1,Slot8_Age&gt;D73),1,0)</f>
        <v>0</v>
      </c>
      <c r="CP73" s="1" t="n">
        <f aca="false">IH72</f>
        <v>0</v>
      </c>
      <c r="CQ73" s="1" t="n">
        <f aca="false">CN73*MIN(Slot8_Cost,CP73)</f>
        <v>0</v>
      </c>
      <c r="CR73" s="1" t="n">
        <f aca="false">CN73*Slot8_SpendLike*MIN(Slot8_Cost-CQ73,CJ73)</f>
        <v>0</v>
      </c>
      <c r="CS73" s="1" t="n">
        <f aca="false">CQ73+CR73</f>
        <v>0</v>
      </c>
      <c r="CT73" s="1" t="n">
        <f aca="false">CJ73-CR73+CN73*IF(Slot8_SpendLike=1,CP73-CQ73,IF(Slot8_PotFree=1,CP73,0))</f>
        <v>0</v>
      </c>
      <c r="CU73" s="1" t="n">
        <f aca="false">CK73+CN73*Slot8_BufPot*CP73</f>
        <v>0</v>
      </c>
      <c r="CV73" s="1" t="n">
        <f aca="false">IF(AND(CN73=1,Slot8_IsMfree=1),IF(CS73&gt;=Slot8_Cost-1,0,MAX(0,CL73-CS73)),CL73)</f>
        <v>0</v>
      </c>
      <c r="CW73" s="1" t="n">
        <f aca="false">CN73*(Slot8_Cost-CS73)</f>
        <v>0</v>
      </c>
      <c r="CX73" s="1" t="n">
        <f aca="false">U73*Slot1_SpendLike*Z73+AF73*Slot2_SpendLike*AK73+AP73*Slot3_SpendLike*AU73+AZ73*Slot4_SpendLike*BE73+BJ73*Slot5_SpendLike*BO73+BT73*Slot6_SpendLike*BY73+CD73*Slot7_SpendLike*CI73+CN73*Slot8_SpendLike*CS73</f>
        <v>0</v>
      </c>
      <c r="CY73" s="1" t="n">
        <f aca="false">AD73+AO73+AY73+BI73+BS73+CC73+CM73+CW73</f>
        <v>0</v>
      </c>
      <c r="CZ73" s="1" t="n">
        <f aca="false">U73*Slot1_Cost+AF73*Slot2_Cost+AP73*Slot3_Cost+AZ73*Slot4_Cost+BJ73*Slot5_Cost+BT73*Slot6_Cost+CD73*Slot7_Cost+CN73*Slot8_Cost</f>
        <v>0</v>
      </c>
      <c r="DA73" s="1" t="n">
        <f aca="false">CV73</f>
        <v>0</v>
      </c>
      <c r="DB73" s="1" t="n">
        <f aca="false">G73-H73-R73</f>
        <v>0</v>
      </c>
      <c r="DC73" s="1" t="n">
        <f aca="false">IF(B73=0,IF(AND(Has_q6=1,In_q6=4),PR_ShareVaries*(MAX(0,DB73)/12),MIN(IF(Has_q6=1,CHOOSE(In_q6+1,PR_SaveB1,PR_SaveB2,PR_SaveB3,PR_SaveB4,0),AS_NoAnswer),AS_SaveShare*(MAX(0,DB73)/12))),DC72)</f>
        <v>0</v>
      </c>
      <c r="DD73" s="1" t="n">
        <f aca="false">IF(DB73&gt;=0,1,0)</f>
        <v>1</v>
      </c>
      <c r="DE73" s="1" t="n">
        <f aca="false">MAX(0,DB73/12/E73)</f>
        <v>0</v>
      </c>
      <c r="DF73" s="1" t="n">
        <f aca="false">IF(AND(Has_q6=1,In_q6=4),PR_ShareVaries*(DE73),MIN(IF(Has_q6=1,CHOOSE(In_q6+1,PR_SaveB1,PR_SaveB2,PR_SaveB3,PR_SaveB4,0),AS_NoAnswer),AS_SaveShare*(DE73)))</f>
        <v>0</v>
      </c>
      <c r="DG73" s="1" t="n">
        <f aca="false">IF(Has_saveM=1,IF(In_saveUp="Yes",1,IF(In_saveUp="No",0,IF(In_saveM&gt;=DC73-0.5,1,0))),0)</f>
        <v>0</v>
      </c>
      <c r="DH73" s="1" t="n">
        <f aca="false">IF(Has_saveM=1,MIN(DE73,IF(DG73=1,MAX(In_saveM,DF73),MIN(In_saveM,DF73))),DF73)</f>
        <v>0</v>
      </c>
      <c r="DI73" s="1" t="n">
        <f aca="false">IF(F73=1,DH73*12*E73,0)</f>
        <v>0</v>
      </c>
      <c r="DJ73" s="1" t="n">
        <f aca="false">MAX(0,DI73+IF(AND(WI_Retire=0,WI_M&lt;0,F73=1),WI_M*12*E73,0))</f>
        <v>0</v>
      </c>
      <c r="DK73" s="1" t="n">
        <f aca="false">Slot1_IsWG*V73+Slot2_IsWG*AG73+Slot3_IsWG*AQ73+Slot4_IsWG*BA73+Slot5_IsWG*BK73+Slot6_IsWG*BU73+Slot7_IsWG*CE73+Slot8_IsWG*CO73</f>
        <v>0</v>
      </c>
      <c r="DL73" s="1" t="n">
        <f aca="false">IF(AND(WI_Retire=0,WI_M&gt;0,F73=1,DK73&gt;=1),WI_M*12*E73,0)</f>
        <v>0</v>
      </c>
      <c r="DM73" s="1" t="n">
        <f aca="false">IF(DD73=1,MIN(DJ73,DB73),0)</f>
        <v>0</v>
      </c>
      <c r="DN73" s="1" t="n">
        <f aca="false">IF(DD73=1,MIN(DL73,DB73-DM73),0)</f>
        <v>0</v>
      </c>
      <c r="DO73" s="1" t="n">
        <f aca="false">IF(V73=1,IF(ABS((1+AS_Wage)/(1+Slot1_Rate)-1)&lt;0.000000000001,(Slot1_Age-D73)*(1+Slot1_Rate)^(Slot1_Age-D73),(1+Slot1_Rate)^(Slot1_Age-D73)*(1-((1+AS_Wage)/(1+Slot1_Rate))^(Slot1_Age-D73))/(1-(1+AS_Wage)/(1+Slot1_Rate))),1)</f>
        <v>1</v>
      </c>
      <c r="DP73" s="1" t="n">
        <f aca="false">IF(AND(DD73=1,DN73&gt;0,Slot1_IsWG=1,V73=1),MAX(0,(Slot1_Cost-W73*(1+Slot1_Rate)^(Slot1_Age-D73))/DO73),0)</f>
        <v>0</v>
      </c>
      <c r="DQ73" s="1" t="n">
        <f aca="false">IF(AND(DD73=1,DN73&gt;0,Slot1_IsWG=1,V73=1),MIN(DN73,DP73),0)</f>
        <v>0</v>
      </c>
      <c r="DR73" s="1" t="n">
        <f aca="false">W73+DQ73</f>
        <v>0</v>
      </c>
      <c r="DS73" s="1" t="n">
        <f aca="false">IF(V73=1,MAX(0,(Slot1_Cost-DR73*(1+Slot1_Rate)^(Slot1_Age-D73))/DO73),0)</f>
        <v>0</v>
      </c>
      <c r="DT73" s="1" t="n">
        <f aca="false">IF(V73=1,MAX(0,(Slot1_Cost-W73*(1+Slot1_Rate)^(Slot1_Age-D73))/DO73),0)</f>
        <v>0</v>
      </c>
      <c r="DU73" s="1" t="n">
        <f aca="false">IF(AND(DD73=1,V73=1),MIN(DM73,DS73),0)</f>
        <v>0</v>
      </c>
      <c r="DV73" s="1" t="n">
        <f aca="false">DM73-DU73</f>
        <v>0</v>
      </c>
      <c r="DW73" s="1" t="n">
        <f aca="false">IF(AG73=1,IF(ABS((1+AS_Wage)/(1+Slot2_Rate)-1)&lt;0.000000000001,(Slot2_Age-D73)*(1+Slot2_Rate)^(Slot2_Age-D73),(1+Slot2_Rate)^(Slot2_Age-D73)*(1-((1+AS_Wage)/(1+Slot2_Rate))^(Slot2_Age-D73))/(1-(1+AS_Wage)/(1+Slot2_Rate))),1)</f>
        <v>1</v>
      </c>
      <c r="DX73" s="1" t="n">
        <f aca="false">IF(AND(DD73=1,DN73&gt;0,Slot2_IsWG=1,AG73=1),MAX(0,(Slot2_Cost-AH73*(1+Slot2_Rate)^(Slot2_Age-D73))/DW73),0)</f>
        <v>0</v>
      </c>
      <c r="DY73" s="1" t="n">
        <f aca="false">IF(AND(DD73=1,DN73&gt;0,Slot2_IsWG=1,AG73=1),MIN(DN73,DX73),0)</f>
        <v>0</v>
      </c>
      <c r="DZ73" s="1" t="n">
        <f aca="false">AH73+DY73</f>
        <v>0</v>
      </c>
      <c r="EA73" s="1" t="n">
        <f aca="false">IF(AG73=1,MAX(0,(Slot2_Cost-DZ73*(1+Slot2_Rate)^(Slot2_Age-D73))/DW73),0)</f>
        <v>0</v>
      </c>
      <c r="EB73" s="1" t="n">
        <f aca="false">IF(AG73=1,MAX(0,(Slot2_Cost-AH73*(1+Slot2_Rate)^(Slot2_Age-D73))/DW73),0)</f>
        <v>0</v>
      </c>
      <c r="EC73" s="1" t="n">
        <f aca="false">IF(AND(DD73=1,AG73=1),MIN(DV73,EA73),0)</f>
        <v>0</v>
      </c>
      <c r="ED73" s="1" t="n">
        <f aca="false">DV73-EC73</f>
        <v>0</v>
      </c>
      <c r="EE73" s="1" t="n">
        <f aca="false">IF(AQ73=1,IF(ABS((1+AS_Wage)/(1+Slot3_Rate)-1)&lt;0.000000000001,(Slot3_Age-D73)*(1+Slot3_Rate)^(Slot3_Age-D73),(1+Slot3_Rate)^(Slot3_Age-D73)*(1-((1+AS_Wage)/(1+Slot3_Rate))^(Slot3_Age-D73))/(1-(1+AS_Wage)/(1+Slot3_Rate))),1)</f>
        <v>1</v>
      </c>
      <c r="EF73" s="1" t="n">
        <f aca="false">IF(AND(DD73=1,DN73&gt;0,Slot3_IsWG=1,AQ73=1),MAX(0,(Slot3_Cost-AR73*(1+Slot3_Rate)^(Slot3_Age-D73))/EE73),0)</f>
        <v>0</v>
      </c>
      <c r="EG73" s="1" t="n">
        <f aca="false">IF(AND(DD73=1,DN73&gt;0,Slot3_IsWG=1,AQ73=1),MIN(DN73,EF73),0)</f>
        <v>0</v>
      </c>
      <c r="EH73" s="1" t="n">
        <f aca="false">AR73+EG73</f>
        <v>0</v>
      </c>
      <c r="EI73" s="1" t="n">
        <f aca="false">IF(AQ73=1,MAX(0,(Slot3_Cost-EH73*(1+Slot3_Rate)^(Slot3_Age-D73))/EE73),0)</f>
        <v>0</v>
      </c>
      <c r="EJ73" s="1" t="n">
        <f aca="false">IF(AQ73=1,MAX(0,(Slot3_Cost-AR73*(1+Slot3_Rate)^(Slot3_Age-D73))/EE73),0)</f>
        <v>0</v>
      </c>
      <c r="EK73" s="1" t="n">
        <f aca="false">IF(AND(DD73=1,AQ73=1),MIN(ED73,EI73),0)</f>
        <v>0</v>
      </c>
      <c r="EL73" s="1" t="n">
        <f aca="false">ED73-EK73</f>
        <v>0</v>
      </c>
      <c r="EM73" s="1" t="n">
        <f aca="false">IF(BA73=1,IF(ABS((1+AS_Wage)/(1+Slot4_Rate)-1)&lt;0.000000000001,(Slot4_Age-D73)*(1+Slot4_Rate)^(Slot4_Age-D73),(1+Slot4_Rate)^(Slot4_Age-D73)*(1-((1+AS_Wage)/(1+Slot4_Rate))^(Slot4_Age-D73))/(1-(1+AS_Wage)/(1+Slot4_Rate))),1)</f>
        <v>1</v>
      </c>
      <c r="EN73" s="1" t="n">
        <f aca="false">IF(AND(DD73=1,DN73&gt;0,Slot4_IsWG=1,BA73=1),MAX(0,(Slot4_Cost-BB73*(1+Slot4_Rate)^(Slot4_Age-D73))/EM73),0)</f>
        <v>0</v>
      </c>
      <c r="EO73" s="1" t="n">
        <f aca="false">IF(AND(DD73=1,DN73&gt;0,Slot4_IsWG=1,BA73=1),MIN(DN73,EN73),0)</f>
        <v>0</v>
      </c>
      <c r="EP73" s="1" t="n">
        <f aca="false">BB73+EO73</f>
        <v>0</v>
      </c>
      <c r="EQ73" s="1" t="n">
        <f aca="false">IF(BA73=1,MAX(0,(Slot4_Cost-EP73*(1+Slot4_Rate)^(Slot4_Age-D73))/EM73),0)</f>
        <v>0</v>
      </c>
      <c r="ER73" s="1" t="n">
        <f aca="false">IF(BA73=1,MAX(0,(Slot4_Cost-BB73*(1+Slot4_Rate)^(Slot4_Age-D73))/EM73),0)</f>
        <v>0</v>
      </c>
      <c r="ES73" s="1" t="n">
        <f aca="false">IF(AND(DD73=1,BA73=1),MIN(EL73,EQ73),0)</f>
        <v>0</v>
      </c>
      <c r="ET73" s="1" t="n">
        <f aca="false">EL73-ES73</f>
        <v>0</v>
      </c>
      <c r="EU73" s="1" t="n">
        <f aca="false">IF(BK73=1,IF(ABS((1+AS_Wage)/(1+Slot5_Rate)-1)&lt;0.000000000001,(Slot5_Age-D73)*(1+Slot5_Rate)^(Slot5_Age-D73),(1+Slot5_Rate)^(Slot5_Age-D73)*(1-((1+AS_Wage)/(1+Slot5_Rate))^(Slot5_Age-D73))/(1-(1+AS_Wage)/(1+Slot5_Rate))),1)</f>
        <v>1</v>
      </c>
      <c r="EV73" s="1" t="n">
        <f aca="false">IF(AND(DD73=1,DN73&gt;0,Slot5_IsWG=1,BK73=1),MAX(0,(Slot5_Cost-BL73*(1+Slot5_Rate)^(Slot5_Age-D73))/EU73),0)</f>
        <v>0</v>
      </c>
      <c r="EW73" s="1" t="n">
        <f aca="false">IF(AND(DD73=1,DN73&gt;0,Slot5_IsWG=1,BK73=1),MIN(DN73,EV73),0)</f>
        <v>0</v>
      </c>
      <c r="EX73" s="1" t="n">
        <f aca="false">BL73+EW73</f>
        <v>0</v>
      </c>
      <c r="EY73" s="1" t="n">
        <f aca="false">IF(BK73=1,MAX(0,(Slot5_Cost-EX73*(1+Slot5_Rate)^(Slot5_Age-D73))/EU73),0)</f>
        <v>0</v>
      </c>
      <c r="EZ73" s="1" t="n">
        <f aca="false">IF(BK73=1,MAX(0,(Slot5_Cost-BL73*(1+Slot5_Rate)^(Slot5_Age-D73))/EU73),0)</f>
        <v>0</v>
      </c>
      <c r="FA73" s="1" t="n">
        <f aca="false">IF(AND(DD73=1,BK73=1),MIN(ET73,EY73),0)</f>
        <v>0</v>
      </c>
      <c r="FB73" s="1" t="n">
        <f aca="false">ET73-FA73</f>
        <v>0</v>
      </c>
      <c r="FC73" s="1" t="n">
        <f aca="false">IF(BU73=1,IF(ABS((1+AS_Wage)/(1+Slot6_Rate)-1)&lt;0.000000000001,(Slot6_Age-D73)*(1+Slot6_Rate)^(Slot6_Age-D73),(1+Slot6_Rate)^(Slot6_Age-D73)*(1-((1+AS_Wage)/(1+Slot6_Rate))^(Slot6_Age-D73))/(1-(1+AS_Wage)/(1+Slot6_Rate))),1)</f>
        <v>1</v>
      </c>
      <c r="FD73" s="1" t="n">
        <f aca="false">IF(AND(DD73=1,DN73&gt;0,Slot6_IsWG=1,BU73=1),MAX(0,(Slot6_Cost-BV73*(1+Slot6_Rate)^(Slot6_Age-D73))/FC73),0)</f>
        <v>0</v>
      </c>
      <c r="FE73" s="1" t="n">
        <f aca="false">IF(AND(DD73=1,DN73&gt;0,Slot6_IsWG=1,BU73=1),MIN(DN73,FD73),0)</f>
        <v>0</v>
      </c>
      <c r="FF73" s="1" t="n">
        <f aca="false">BV73+FE73</f>
        <v>0</v>
      </c>
      <c r="FG73" s="1" t="n">
        <f aca="false">IF(BU73=1,MAX(0,(Slot6_Cost-FF73*(1+Slot6_Rate)^(Slot6_Age-D73))/FC73),0)</f>
        <v>0</v>
      </c>
      <c r="FH73" s="1" t="n">
        <f aca="false">IF(BU73=1,MAX(0,(Slot6_Cost-BV73*(1+Slot6_Rate)^(Slot6_Age-D73))/FC73),0)</f>
        <v>0</v>
      </c>
      <c r="FI73" s="1" t="n">
        <f aca="false">IF(AND(DD73=1,BU73=1),MIN(FB73,FG73),0)</f>
        <v>0</v>
      </c>
      <c r="FJ73" s="1" t="n">
        <f aca="false">FB73-FI73</f>
        <v>0</v>
      </c>
      <c r="FK73" s="1" t="n">
        <f aca="false">IF(CE73=1,IF(ABS((1+AS_Wage)/(1+Slot7_Rate)-1)&lt;0.000000000001,(Slot7_Age-D73)*(1+Slot7_Rate)^(Slot7_Age-D73),(1+Slot7_Rate)^(Slot7_Age-D73)*(1-((1+AS_Wage)/(1+Slot7_Rate))^(Slot7_Age-D73))/(1-(1+AS_Wage)/(1+Slot7_Rate))),1)</f>
        <v>1</v>
      </c>
      <c r="FL73" s="1" t="n">
        <f aca="false">IF(AND(DD73=1,DN73&gt;0,Slot7_IsWG=1,CE73=1),MAX(0,(Slot7_Cost-CF73*(1+Slot7_Rate)^(Slot7_Age-D73))/FK73),0)</f>
        <v>0</v>
      </c>
      <c r="FM73" s="1" t="n">
        <f aca="false">IF(AND(DD73=1,DN73&gt;0,Slot7_IsWG=1,CE73=1),MIN(DN73,FL73),0)</f>
        <v>0</v>
      </c>
      <c r="FN73" s="1" t="n">
        <f aca="false">CF73+FM73</f>
        <v>0</v>
      </c>
      <c r="FO73" s="1" t="n">
        <f aca="false">IF(CE73=1,MAX(0,(Slot7_Cost-FN73*(1+Slot7_Rate)^(Slot7_Age-D73))/FK73),0)</f>
        <v>0</v>
      </c>
      <c r="FP73" s="1" t="n">
        <f aca="false">IF(CE73=1,MAX(0,(Slot7_Cost-CF73*(1+Slot7_Rate)^(Slot7_Age-D73))/FK73),0)</f>
        <v>0</v>
      </c>
      <c r="FQ73" s="1" t="n">
        <f aca="false">IF(AND(DD73=1,CE73=1),MIN(FJ73,FO73),0)</f>
        <v>0</v>
      </c>
      <c r="FR73" s="1" t="n">
        <f aca="false">FJ73-FQ73</f>
        <v>0</v>
      </c>
      <c r="FS73" s="1" t="n">
        <f aca="false">IF(CO73=1,IF(ABS((1+AS_Wage)/(1+Slot8_Rate)-1)&lt;0.000000000001,(Slot8_Age-D73)*(1+Slot8_Rate)^(Slot8_Age-D73),(1+Slot8_Rate)^(Slot8_Age-D73)*(1-((1+AS_Wage)/(1+Slot8_Rate))^(Slot8_Age-D73))/(1-(1+AS_Wage)/(1+Slot8_Rate))),1)</f>
        <v>1</v>
      </c>
      <c r="FT73" s="1" t="n">
        <f aca="false">IF(AND(DD73=1,DN73&gt;0,Slot8_IsWG=1,CO73=1),MAX(0,(Slot8_Cost-CP73*(1+Slot8_Rate)^(Slot8_Age-D73))/FS73),0)</f>
        <v>0</v>
      </c>
      <c r="FU73" s="1" t="n">
        <f aca="false">IF(AND(DD73=1,DN73&gt;0,Slot8_IsWG=1,CO73=1),MIN(DN73,FT73),0)</f>
        <v>0</v>
      </c>
      <c r="FV73" s="1" t="n">
        <f aca="false">CP73+FU73</f>
        <v>0</v>
      </c>
      <c r="FW73" s="1" t="n">
        <f aca="false">IF(CO73=1,MAX(0,(Slot8_Cost-FV73*(1+Slot8_Rate)^(Slot8_Age-D73))/FS73),0)</f>
        <v>0</v>
      </c>
      <c r="FX73" s="1" t="n">
        <f aca="false">IF(CO73=1,MAX(0,(Slot8_Cost-CP73*(1+Slot8_Rate)^(Slot8_Age-D73))/FS73),0)</f>
        <v>0</v>
      </c>
      <c r="FY73" s="1" t="n">
        <f aca="false">IF(AND(DD73=1,CO73=1),MIN(FR73,FW73),0)</f>
        <v>0</v>
      </c>
      <c r="FZ73" s="1" t="n">
        <f aca="false">FR73-FY73</f>
        <v>0</v>
      </c>
      <c r="GA73" s="1" t="n">
        <f aca="false">DN73-(DQ73+DY73+EG73+EO73+EW73+FE73+FM73+FU73)</f>
        <v>0</v>
      </c>
      <c r="GB73" s="1" t="n">
        <f aca="false">IF(DD73=1,DB73-DM73-DN73,0)</f>
        <v>0</v>
      </c>
      <c r="GC73" s="1" t="n">
        <f aca="false">IF(DD73=0,-DB73,0)</f>
        <v>0</v>
      </c>
      <c r="GD73" s="1" t="n">
        <f aca="false">MIN(GC73,CT73)</f>
        <v>0</v>
      </c>
      <c r="GE73" s="1" t="n">
        <f aca="false">GC73-GD73</f>
        <v>0</v>
      </c>
      <c r="GF73" s="1" t="n">
        <f aca="false">MIN(GE73,CU73)</f>
        <v>0</v>
      </c>
      <c r="GG73" s="1" t="n">
        <f aca="false">GE73-GF73</f>
        <v>0</v>
      </c>
      <c r="GH73" s="1" t="n">
        <f aca="false">IF(AND(DD73=0,CO73=1,GG73&gt;0),MIN(GG73,CP73),0)</f>
        <v>0</v>
      </c>
      <c r="GI73" s="1" t="n">
        <f aca="false">GG73-GH73</f>
        <v>0</v>
      </c>
      <c r="GJ73" s="1" t="n">
        <f aca="false">IF(AND(DD73=0,CE73=1,GI73&gt;0),MIN(GI73,CF73),0)</f>
        <v>0</v>
      </c>
      <c r="GK73" s="1" t="n">
        <f aca="false">GI73-GJ73</f>
        <v>0</v>
      </c>
      <c r="GL73" s="1" t="n">
        <f aca="false">IF(AND(DD73=0,BU73=1,GK73&gt;0),MIN(GK73,BV73),0)</f>
        <v>0</v>
      </c>
      <c r="GM73" s="1" t="n">
        <f aca="false">GK73-GL73</f>
        <v>0</v>
      </c>
      <c r="GN73" s="1" t="n">
        <f aca="false">IF(AND(DD73=0,BK73=1,GM73&gt;0),MIN(GM73,BL73),0)</f>
        <v>0</v>
      </c>
      <c r="GO73" s="1" t="n">
        <f aca="false">GM73-GN73</f>
        <v>0</v>
      </c>
      <c r="GP73" s="1" t="n">
        <f aca="false">IF(AND(DD73=0,BA73=1,GO73&gt;0),MIN(GO73,BB73),0)</f>
        <v>0</v>
      </c>
      <c r="GQ73" s="1" t="n">
        <f aca="false">GO73-GP73</f>
        <v>0</v>
      </c>
      <c r="GR73" s="1" t="n">
        <f aca="false">IF(AND(DD73=0,AQ73=1,GQ73&gt;0),MIN(GQ73,AR73),0)</f>
        <v>0</v>
      </c>
      <c r="GS73" s="1" t="n">
        <f aca="false">GQ73-GR73</f>
        <v>0</v>
      </c>
      <c r="GT73" s="1" t="n">
        <f aca="false">IF(AND(DD73=0,AG73=1,GS73&gt;0),MIN(GS73,AH73),0)</f>
        <v>0</v>
      </c>
      <c r="GU73" s="1" t="n">
        <f aca="false">GS73-GT73</f>
        <v>0</v>
      </c>
      <c r="GV73" s="1" t="n">
        <f aca="false">IF(AND(DD73=0,V73=1,GU73&gt;0),MIN(GU73,W73),0)</f>
        <v>0</v>
      </c>
      <c r="GW73" s="1" t="n">
        <f aca="false">GU73-GV73</f>
        <v>0</v>
      </c>
      <c r="GX73" s="1" t="n">
        <f aca="false">IF(DD73=0,GW73,0)</f>
        <v>0</v>
      </c>
      <c r="GY73" s="1" t="n">
        <f aca="false">GD73+GF73+GV73+GT73+GR73+GP73+GN73+GL73+GJ73+GH73</f>
        <v>0</v>
      </c>
      <c r="GZ73" s="1" t="n">
        <f aca="false">IF(DD73=1,CT73+GA73+FZ73+IF(F73=1,0,GB73),CT73-GD73)</f>
        <v>0</v>
      </c>
      <c r="HA73" s="1" t="n">
        <f aca="false">CU73-GF73</f>
        <v>0</v>
      </c>
      <c r="HB73" s="1" t="n">
        <f aca="false">IF(DD73=1,IF(F73=1,DM73+DN73,DB73),0)</f>
        <v>0</v>
      </c>
      <c r="HC73" s="1" t="n">
        <f aca="false">IF(DD73=1,IF(F73=1,DB73-DM73-DN73,0),0)</f>
        <v>0</v>
      </c>
      <c r="HD73" s="1" t="n">
        <f aca="false">GZ73*(1+GR)</f>
        <v>0</v>
      </c>
      <c r="HE73" s="1" t="n">
        <f aca="false">HA73*(1+AS_Cash)</f>
        <v>0</v>
      </c>
      <c r="HF73" s="1" t="n">
        <f aca="false">IF(V73=1,IF(DD73=1,DR73+DU73,W73-GV73)*(1+Slot1_Rate),0)</f>
        <v>0</v>
      </c>
      <c r="HG73" s="1" t="n">
        <f aca="false">IF(AND(DD73=1,V73=1),(DQ73+DU73)/E73,0)</f>
        <v>0</v>
      </c>
      <c r="HH73" s="1" t="n">
        <f aca="false">IF(B73=0,DQ73+DU73,0)</f>
        <v>0</v>
      </c>
      <c r="HI73" s="1" t="n">
        <f aca="false">IF(B73=0,IF(DD73=1,DS73,DT73),0)</f>
        <v>0</v>
      </c>
      <c r="HJ73" s="1" t="n">
        <f aca="false">IF(AG73=1,IF(DD73=1,DZ73+EC73,AH73-GT73)*(1+Slot2_Rate),0)</f>
        <v>0</v>
      </c>
      <c r="HK73" s="1" t="n">
        <f aca="false">IF(AND(DD73=1,AG73=1),(DY73+EC73)/E73,0)</f>
        <v>0</v>
      </c>
      <c r="HL73" s="1" t="n">
        <f aca="false">IF(B73=0,DY73+EC73,0)</f>
        <v>0</v>
      </c>
      <c r="HM73" s="1" t="n">
        <f aca="false">IF(B73=0,IF(DD73=1,EA73,EB73),0)</f>
        <v>0</v>
      </c>
      <c r="HN73" s="1" t="n">
        <f aca="false">IF(AQ73=1,IF(DD73=1,EH73+EK73,AR73-GR73)*(1+Slot3_Rate),0)</f>
        <v>0</v>
      </c>
      <c r="HO73" s="1" t="n">
        <f aca="false">IF(AND(DD73=1,AQ73=1),(EG73+EK73)/E73,0)</f>
        <v>0</v>
      </c>
      <c r="HP73" s="1" t="n">
        <f aca="false">IF(B73=0,EG73+EK73,0)</f>
        <v>0</v>
      </c>
      <c r="HQ73" s="1" t="n">
        <f aca="false">IF(B73=0,IF(DD73=1,EI73,EJ73),0)</f>
        <v>0</v>
      </c>
      <c r="HR73" s="1" t="n">
        <f aca="false">IF(BA73=1,IF(DD73=1,EP73+ES73,BB73-GP73)*(1+Slot4_Rate),0)</f>
        <v>0</v>
      </c>
      <c r="HS73" s="1" t="n">
        <f aca="false">IF(AND(DD73=1,BA73=1),(EO73+ES73)/E73,0)</f>
        <v>0</v>
      </c>
      <c r="HT73" s="1" t="n">
        <f aca="false">IF(B73=0,EO73+ES73,0)</f>
        <v>0</v>
      </c>
      <c r="HU73" s="1" t="n">
        <f aca="false">IF(B73=0,IF(DD73=1,EQ73,ER73),0)</f>
        <v>0</v>
      </c>
      <c r="HV73" s="1" t="n">
        <f aca="false">IF(BK73=1,IF(DD73=1,EX73+FA73,BL73-GN73)*(1+Slot5_Rate),0)</f>
        <v>0</v>
      </c>
      <c r="HW73" s="1" t="n">
        <f aca="false">IF(AND(DD73=1,BK73=1),(EW73+FA73)/E73,0)</f>
        <v>0</v>
      </c>
      <c r="HX73" s="1" t="n">
        <f aca="false">IF(B73=0,EW73+FA73,0)</f>
        <v>0</v>
      </c>
      <c r="HY73" s="1" t="n">
        <f aca="false">IF(B73=0,IF(DD73=1,EY73,EZ73),0)</f>
        <v>0</v>
      </c>
      <c r="HZ73" s="1" t="n">
        <f aca="false">IF(BU73=1,IF(DD73=1,FF73+FI73,BV73-GL73)*(1+Slot6_Rate),0)</f>
        <v>0</v>
      </c>
      <c r="IA73" s="1" t="n">
        <f aca="false">IF(AND(DD73=1,BU73=1),(FE73+FI73)/E73,0)</f>
        <v>0</v>
      </c>
      <c r="IB73" s="1" t="n">
        <f aca="false">IF(B73=0,FE73+FI73,0)</f>
        <v>0</v>
      </c>
      <c r="IC73" s="1" t="n">
        <f aca="false">IF(B73=0,IF(DD73=1,FG73,FH73),0)</f>
        <v>0</v>
      </c>
      <c r="ID73" s="1" t="n">
        <f aca="false">IF(CE73=1,IF(DD73=1,FN73+FQ73,CF73-GJ73)*(1+Slot7_Rate),0)</f>
        <v>0</v>
      </c>
      <c r="IE73" s="1" t="n">
        <f aca="false">IF(AND(DD73=1,CE73=1),(FM73+FQ73)/E73,0)</f>
        <v>0</v>
      </c>
      <c r="IF73" s="1" t="n">
        <f aca="false">IF(B73=0,FM73+FQ73,0)</f>
        <v>0</v>
      </c>
      <c r="IG73" s="1" t="n">
        <f aca="false">IF(B73=0,IF(DD73=1,FO73,FP73),0)</f>
        <v>0</v>
      </c>
      <c r="IH73" s="1" t="n">
        <f aca="false">IF(CO73=1,IF(DD73=1,FV73+FY73,CP73-GH73)*(1+Slot8_Rate),0)</f>
        <v>0</v>
      </c>
      <c r="II73" s="1" t="n">
        <f aca="false">IF(AND(DD73=1,CO73=1),(FU73+FY73)/E73,0)</f>
        <v>0</v>
      </c>
      <c r="IJ73" s="1" t="n">
        <f aca="false">IF(B73=0,FU73+FY73,0)</f>
        <v>0</v>
      </c>
      <c r="IK73" s="1" t="n">
        <f aca="false">IF(B73=0,IF(DD73=1,FW73,FX73),0)</f>
        <v>0</v>
      </c>
      <c r="IL73" s="1" t="n">
        <f aca="false">HD73+HE73+HF73+HJ73+HN73+HR73+HV73+HZ73+ID73+IH73</f>
        <v>0</v>
      </c>
      <c r="IM73" s="1" t="n">
        <f aca="false">GX73+CY73</f>
        <v>0</v>
      </c>
      <c r="IN73" s="1" t="n">
        <f aca="false">H73+R73</f>
        <v>0</v>
      </c>
      <c r="IO73" s="1" t="n">
        <f aca="false">1-F73</f>
        <v>1</v>
      </c>
      <c r="IP73" s="1" t="n">
        <f aca="false">IF(AND(RG_Exists=1,F73=0,C73=1),H73,0)</f>
        <v>0</v>
      </c>
      <c r="IQ73" s="1" t="n">
        <f aca="false">IF(AND(RG_Exists=1,F73=0,C73=1),H73-MIN(GX73,H73),0)</f>
        <v>0</v>
      </c>
      <c r="IR73" s="1" t="n">
        <f aca="false">'Plan pay &amp; tax'!AD275</f>
        <v>0</v>
      </c>
      <c r="IS73" s="1" t="n">
        <f aca="false">IF(AND(C73=1,GX73&gt;MAX(PR_Short1,IN73*PR_Short2)),1,0)</f>
        <v>0</v>
      </c>
      <c r="IT73" s="1" t="n">
        <f aca="false">MIN(G73,H73+R73)</f>
        <v>0</v>
      </c>
      <c r="IU73" s="1" t="n">
        <f aca="false">GY73+MAX(0,CZ73-CY73)</f>
        <v>0</v>
      </c>
      <c r="IV73" s="1" t="n">
        <f aca="false">GX73+CY73</f>
        <v>0</v>
      </c>
      <c r="IW73" s="1" t="n">
        <f aca="false">IF(AND(C73=1,IV73&gt;0.5),1,0)</f>
        <v>0</v>
      </c>
      <c r="IX73" s="1" t="n">
        <f aca="false">IF(AND(C73=1,IW73=0,IU73&gt;0.5),1,0)</f>
        <v>0</v>
      </c>
      <c r="IY73" s="1" t="n">
        <f aca="false">IF(AND(C73=1,GX73&gt;0.5),1,0)</f>
        <v>0</v>
      </c>
      <c r="IZ73" s="1" t="n">
        <f aca="false">IF(AND(C73=1,GY73&gt;1,JF73=0),1,0)</f>
        <v>0</v>
      </c>
      <c r="JA73" s="1" t="n">
        <f aca="false">IF(AND(INT(D73/10)*10=90,B73&gt;0),80,INT(D73/10)*10)</f>
        <v>60</v>
      </c>
      <c r="JB73" s="1" t="n">
        <f aca="false">IF(B73=0,1,IF(JA73&lt;&gt;JA72,JB72+1,JB72))</f>
        <v>7</v>
      </c>
      <c r="JC73" s="1" t="n">
        <f aca="false">IF(AND(C73=1,F73=1,GX73&gt;MAX(PR_Short1,IN73*PR_Short2)),1,0)</f>
        <v>0</v>
      </c>
      <c r="JD73" s="1" t="n">
        <f aca="false">IO73*IS73</f>
        <v>0</v>
      </c>
      <c r="JE73" s="1" t="n">
        <f aca="false">IF(AND(U73=1,Slot1_PctLow=1),1,0)+IF(AND(AF73=1,Slot2_PctLow=1),1,0)+IF(AND(AP73=1,Slot3_PctLow=1),1,0)+IF(AND(AZ73=1,Slot4_PctLow=1),1,0)+IF(AND(BJ73=1,Slot5_PctLow=1),1,0)+IF(AND(BT73=1,Slot6_PctLow=1),1,0)+IF(AND(CD73=1,Slot7_PctLow=1),1,0)+IF(AND(CN73=1,Slot8_PctLow=1),1,0)</f>
        <v>0</v>
      </c>
      <c r="JF73" s="1" t="n">
        <f aca="false">IF(C73=1,IF(OR(IS73=1,JE73&gt;0),1,0),0)</f>
        <v>0</v>
      </c>
    </row>
    <row r="74" customFormat="false" ht="15" hidden="false" customHeight="false" outlineLevel="0" collapsed="false">
      <c r="B74" s="1" t="n">
        <v>66</v>
      </c>
      <c r="C74" s="1" t="n">
        <f aca="false">IF(B74&lt;=F_N,1,0)</f>
        <v>1</v>
      </c>
      <c r="D74" s="1" t="n">
        <f aca="false">'Plan pay &amp; tax'!C276</f>
        <v>66</v>
      </c>
      <c r="E74" s="106" t="n">
        <f aca="false">'Plan pay &amp; tax'!E276</f>
        <v>3.69497357030527</v>
      </c>
      <c r="F74" s="1" t="n">
        <f aca="false">'Plan pay &amp; tax'!G276</f>
        <v>0</v>
      </c>
      <c r="G74" s="1" t="n">
        <f aca="false">'Plan pay &amp; tax'!BT276-'Plan pay &amp; tax'!BS276-'Plan pay &amp; tax'!R276</f>
        <v>46005.6725270424</v>
      </c>
      <c r="H74" s="1" t="n">
        <f aca="false">IF(F74=1,F_CostsM*12,IF(RG_Exists=1,RG_Amount,F_CostsM*12*AS_RetireSpend))*E74+F_OneOffY*E74</f>
        <v>0</v>
      </c>
      <c r="I74" s="1" t="n">
        <f aca="false">DA73</f>
        <v>0</v>
      </c>
      <c r="J74" s="1" t="n">
        <f aca="false">IF(I74&gt;1,'Plan debt months'!AC74,0)</f>
        <v>0</v>
      </c>
      <c r="K74" s="1" t="n">
        <f aca="false">IF(I74&gt;1,'Plan debt months'!AB74,I74)</f>
        <v>0</v>
      </c>
      <c r="L74" s="1" t="n">
        <f aca="false">N73</f>
        <v>0</v>
      </c>
      <c r="M74" s="1" t="n">
        <f aca="false">IF(L74&gt;1,'Plan debt months'!BD74,0)</f>
        <v>0</v>
      </c>
      <c r="N74" s="1" t="n">
        <f aca="false">IF(L74&gt;1,'Plan debt months'!BC74,L74)</f>
        <v>0</v>
      </c>
      <c r="O74" s="1" t="n">
        <f aca="false">Q73</f>
        <v>0</v>
      </c>
      <c r="P74" s="1" t="n">
        <f aca="false">IF(O74&gt;1,'Plan debt months'!CE74,0)</f>
        <v>0</v>
      </c>
      <c r="Q74" s="1" t="n">
        <f aca="false">IF(O74&gt;1,'Plan debt months'!CD74,O74)</f>
        <v>0</v>
      </c>
      <c r="R74" s="1" t="n">
        <f aca="false">J74+M74+P74</f>
        <v>0</v>
      </c>
      <c r="S74" s="1" t="n">
        <f aca="false">HD73+'Plan pay &amp; tax'!Y276</f>
        <v>0</v>
      </c>
      <c r="T74" s="1" t="n">
        <f aca="false">HD73</f>
        <v>0</v>
      </c>
      <c r="U74" s="1" t="n">
        <f aca="false">IF(AND(Slot1_On=1,D74=Slot1_Age),1,0)</f>
        <v>0</v>
      </c>
      <c r="V74" s="1" t="n">
        <f aca="false">IF(AND(Slot1_On=1,Slot1_Age&gt;D74),1,0)</f>
        <v>0</v>
      </c>
      <c r="W74" s="1" t="n">
        <f aca="false">HF73</f>
        <v>0</v>
      </c>
      <c r="X74" s="1" t="n">
        <f aca="false">U74*MIN(Slot1_Cost,W74)</f>
        <v>0</v>
      </c>
      <c r="Y74" s="1" t="n">
        <f aca="false">U74*Slot1_SpendLike*MIN(Slot1_Cost-X74,S74)</f>
        <v>0</v>
      </c>
      <c r="Z74" s="1" t="n">
        <f aca="false">X74+Y74</f>
        <v>0</v>
      </c>
      <c r="AA74" s="1" t="n">
        <f aca="false">S74-Y74+U74*IF(Slot1_SpendLike=1,W74-X74,IF(Slot1_PotFree=1,W74,0))</f>
        <v>0</v>
      </c>
      <c r="AB74" s="1" t="n">
        <f aca="false">AE74+U74*Slot1_BufPot*W74</f>
        <v>0</v>
      </c>
      <c r="AC74" s="1" t="n">
        <f aca="false">IF(AND(U74=1,Slot1_IsMfree=1),IF(Z74&gt;=Slot1_Cost-1,0,MAX(0,K74-Z74)),K74)</f>
        <v>0</v>
      </c>
      <c r="AD74" s="1" t="n">
        <f aca="false">U74*(Slot1_Cost-Z74)</f>
        <v>0</v>
      </c>
      <c r="AE74" s="1" t="n">
        <f aca="false">HE73</f>
        <v>0</v>
      </c>
      <c r="AF74" s="1" t="n">
        <f aca="false">IF(AND(Slot2_On=1,D74=Slot2_Age),1,0)</f>
        <v>0</v>
      </c>
      <c r="AG74" s="1" t="n">
        <f aca="false">IF(AND(Slot2_On=1,Slot2_Age&gt;D74),1,0)</f>
        <v>0</v>
      </c>
      <c r="AH74" s="1" t="n">
        <f aca="false">HJ73</f>
        <v>0</v>
      </c>
      <c r="AI74" s="1" t="n">
        <f aca="false">AF74*MIN(Slot2_Cost,AH74)</f>
        <v>0</v>
      </c>
      <c r="AJ74" s="1" t="n">
        <f aca="false">AF74*Slot2_SpendLike*MIN(Slot2_Cost-AI74,AA74)</f>
        <v>0</v>
      </c>
      <c r="AK74" s="1" t="n">
        <f aca="false">AI74+AJ74</f>
        <v>0</v>
      </c>
      <c r="AL74" s="1" t="n">
        <f aca="false">AA74-AJ74+AF74*IF(Slot2_SpendLike=1,AH74-AI74,IF(Slot2_PotFree=1,AH74,0))</f>
        <v>0</v>
      </c>
      <c r="AM74" s="1" t="n">
        <f aca="false">AB74+AF74*Slot2_BufPot*AH74</f>
        <v>0</v>
      </c>
      <c r="AN74" s="1" t="n">
        <f aca="false">IF(AND(AF74=1,Slot2_IsMfree=1),IF(AK74&gt;=Slot2_Cost-1,0,MAX(0,AC74-AK74)),AC74)</f>
        <v>0</v>
      </c>
      <c r="AO74" s="1" t="n">
        <f aca="false">AF74*(Slot2_Cost-AK74)</f>
        <v>0</v>
      </c>
      <c r="AP74" s="1" t="n">
        <f aca="false">IF(AND(Slot3_On=1,D74=Slot3_Age),1,0)</f>
        <v>0</v>
      </c>
      <c r="AQ74" s="1" t="n">
        <f aca="false">IF(AND(Slot3_On=1,Slot3_Age&gt;D74),1,0)</f>
        <v>0</v>
      </c>
      <c r="AR74" s="1" t="n">
        <f aca="false">HN73</f>
        <v>0</v>
      </c>
      <c r="AS74" s="1" t="n">
        <f aca="false">AP74*MIN(Slot3_Cost,AR74)</f>
        <v>0</v>
      </c>
      <c r="AT74" s="1" t="n">
        <f aca="false">AP74*Slot3_SpendLike*MIN(Slot3_Cost-AS74,AL74)</f>
        <v>0</v>
      </c>
      <c r="AU74" s="1" t="n">
        <f aca="false">AS74+AT74</f>
        <v>0</v>
      </c>
      <c r="AV74" s="1" t="n">
        <f aca="false">AL74-AT74+AP74*IF(Slot3_SpendLike=1,AR74-AS74,IF(Slot3_PotFree=1,AR74,0))</f>
        <v>0</v>
      </c>
      <c r="AW74" s="1" t="n">
        <f aca="false">AM74+AP74*Slot3_BufPot*AR74</f>
        <v>0</v>
      </c>
      <c r="AX74" s="1" t="n">
        <f aca="false">IF(AND(AP74=1,Slot3_IsMfree=1),IF(AU74&gt;=Slot3_Cost-1,0,MAX(0,AN74-AU74)),AN74)</f>
        <v>0</v>
      </c>
      <c r="AY74" s="1" t="n">
        <f aca="false">AP74*(Slot3_Cost-AU74)</f>
        <v>0</v>
      </c>
      <c r="AZ74" s="1" t="n">
        <f aca="false">IF(AND(Slot4_On=1,D74=Slot4_Age),1,0)</f>
        <v>0</v>
      </c>
      <c r="BA74" s="1" t="n">
        <f aca="false">IF(AND(Slot4_On=1,Slot4_Age&gt;D74),1,0)</f>
        <v>0</v>
      </c>
      <c r="BB74" s="1" t="n">
        <f aca="false">HR73</f>
        <v>0</v>
      </c>
      <c r="BC74" s="1" t="n">
        <f aca="false">AZ74*MIN(Slot4_Cost,BB74)</f>
        <v>0</v>
      </c>
      <c r="BD74" s="1" t="n">
        <f aca="false">AZ74*Slot4_SpendLike*MIN(Slot4_Cost-BC74,AV74)</f>
        <v>0</v>
      </c>
      <c r="BE74" s="1" t="n">
        <f aca="false">BC74+BD74</f>
        <v>0</v>
      </c>
      <c r="BF74" s="1" t="n">
        <f aca="false">AV74-BD74+AZ74*IF(Slot4_SpendLike=1,BB74-BC74,IF(Slot4_PotFree=1,BB74,0))</f>
        <v>0</v>
      </c>
      <c r="BG74" s="1" t="n">
        <f aca="false">AW74+AZ74*Slot4_BufPot*BB74</f>
        <v>0</v>
      </c>
      <c r="BH74" s="1" t="n">
        <f aca="false">IF(AND(AZ74=1,Slot4_IsMfree=1),IF(BE74&gt;=Slot4_Cost-1,0,MAX(0,AX74-BE74)),AX74)</f>
        <v>0</v>
      </c>
      <c r="BI74" s="1" t="n">
        <f aca="false">AZ74*(Slot4_Cost-BE74)</f>
        <v>0</v>
      </c>
      <c r="BJ74" s="1" t="n">
        <f aca="false">IF(AND(Slot5_On=1,D74=Slot5_Age),1,0)</f>
        <v>0</v>
      </c>
      <c r="BK74" s="1" t="n">
        <f aca="false">IF(AND(Slot5_On=1,Slot5_Age&gt;D74),1,0)</f>
        <v>0</v>
      </c>
      <c r="BL74" s="1" t="n">
        <f aca="false">HV73</f>
        <v>0</v>
      </c>
      <c r="BM74" s="1" t="n">
        <f aca="false">BJ74*MIN(Slot5_Cost,BL74)</f>
        <v>0</v>
      </c>
      <c r="BN74" s="1" t="n">
        <f aca="false">BJ74*Slot5_SpendLike*MIN(Slot5_Cost-BM74,BF74)</f>
        <v>0</v>
      </c>
      <c r="BO74" s="1" t="n">
        <f aca="false">BM74+BN74</f>
        <v>0</v>
      </c>
      <c r="BP74" s="1" t="n">
        <f aca="false">BF74-BN74+BJ74*IF(Slot5_SpendLike=1,BL74-BM74,IF(Slot5_PotFree=1,BL74,0))</f>
        <v>0</v>
      </c>
      <c r="BQ74" s="1" t="n">
        <f aca="false">BG74+BJ74*Slot5_BufPot*BL74</f>
        <v>0</v>
      </c>
      <c r="BR74" s="1" t="n">
        <f aca="false">IF(AND(BJ74=1,Slot5_IsMfree=1),IF(BO74&gt;=Slot5_Cost-1,0,MAX(0,BH74-BO74)),BH74)</f>
        <v>0</v>
      </c>
      <c r="BS74" s="1" t="n">
        <f aca="false">BJ74*(Slot5_Cost-BO74)</f>
        <v>0</v>
      </c>
      <c r="BT74" s="1" t="n">
        <f aca="false">IF(AND(Slot6_On=1,D74=Slot6_Age),1,0)</f>
        <v>0</v>
      </c>
      <c r="BU74" s="1" t="n">
        <f aca="false">IF(AND(Slot6_On=1,Slot6_Age&gt;D74),1,0)</f>
        <v>0</v>
      </c>
      <c r="BV74" s="1" t="n">
        <f aca="false">HZ73</f>
        <v>0</v>
      </c>
      <c r="BW74" s="1" t="n">
        <f aca="false">BT74*MIN(Slot6_Cost,BV74)</f>
        <v>0</v>
      </c>
      <c r="BX74" s="1" t="n">
        <f aca="false">BT74*Slot6_SpendLike*MIN(Slot6_Cost-BW74,BP74)</f>
        <v>0</v>
      </c>
      <c r="BY74" s="1" t="n">
        <f aca="false">BW74+BX74</f>
        <v>0</v>
      </c>
      <c r="BZ74" s="1" t="n">
        <f aca="false">BP74-BX74+BT74*IF(Slot6_SpendLike=1,BV74-BW74,IF(Slot6_PotFree=1,BV74,0))</f>
        <v>0</v>
      </c>
      <c r="CA74" s="1" t="n">
        <f aca="false">BQ74+BT74*Slot6_BufPot*BV74</f>
        <v>0</v>
      </c>
      <c r="CB74" s="1" t="n">
        <f aca="false">IF(AND(BT74=1,Slot6_IsMfree=1),IF(BY74&gt;=Slot6_Cost-1,0,MAX(0,BR74-BY74)),BR74)</f>
        <v>0</v>
      </c>
      <c r="CC74" s="1" t="n">
        <f aca="false">BT74*(Slot6_Cost-BY74)</f>
        <v>0</v>
      </c>
      <c r="CD74" s="1" t="n">
        <f aca="false">IF(AND(Slot7_On=1,D74=Slot7_Age),1,0)</f>
        <v>0</v>
      </c>
      <c r="CE74" s="1" t="n">
        <f aca="false">IF(AND(Slot7_On=1,Slot7_Age&gt;D74),1,0)</f>
        <v>0</v>
      </c>
      <c r="CF74" s="1" t="n">
        <f aca="false">ID73</f>
        <v>0</v>
      </c>
      <c r="CG74" s="1" t="n">
        <f aca="false">CD74*MIN(Slot7_Cost,CF74)</f>
        <v>0</v>
      </c>
      <c r="CH74" s="1" t="n">
        <f aca="false">CD74*Slot7_SpendLike*MIN(Slot7_Cost-CG74,BZ74)</f>
        <v>0</v>
      </c>
      <c r="CI74" s="1" t="n">
        <f aca="false">CG74+CH74</f>
        <v>0</v>
      </c>
      <c r="CJ74" s="1" t="n">
        <f aca="false">BZ74-CH74+CD74*IF(Slot7_SpendLike=1,CF74-CG74,IF(Slot7_PotFree=1,CF74,0))</f>
        <v>0</v>
      </c>
      <c r="CK74" s="1" t="n">
        <f aca="false">CA74+CD74*Slot7_BufPot*CF74</f>
        <v>0</v>
      </c>
      <c r="CL74" s="1" t="n">
        <f aca="false">IF(AND(CD74=1,Slot7_IsMfree=1),IF(CI74&gt;=Slot7_Cost-1,0,MAX(0,CB74-CI74)),CB74)</f>
        <v>0</v>
      </c>
      <c r="CM74" s="1" t="n">
        <f aca="false">CD74*(Slot7_Cost-CI74)</f>
        <v>0</v>
      </c>
      <c r="CN74" s="1" t="n">
        <f aca="false">IF(AND(Slot8_On=1,D74=Slot8_Age),1,0)</f>
        <v>0</v>
      </c>
      <c r="CO74" s="1" t="n">
        <f aca="false">IF(AND(Slot8_On=1,Slot8_Age&gt;D74),1,0)</f>
        <v>0</v>
      </c>
      <c r="CP74" s="1" t="n">
        <f aca="false">IH73</f>
        <v>0</v>
      </c>
      <c r="CQ74" s="1" t="n">
        <f aca="false">CN74*MIN(Slot8_Cost,CP74)</f>
        <v>0</v>
      </c>
      <c r="CR74" s="1" t="n">
        <f aca="false">CN74*Slot8_SpendLike*MIN(Slot8_Cost-CQ74,CJ74)</f>
        <v>0</v>
      </c>
      <c r="CS74" s="1" t="n">
        <f aca="false">CQ74+CR74</f>
        <v>0</v>
      </c>
      <c r="CT74" s="1" t="n">
        <f aca="false">CJ74-CR74+CN74*IF(Slot8_SpendLike=1,CP74-CQ74,IF(Slot8_PotFree=1,CP74,0))</f>
        <v>0</v>
      </c>
      <c r="CU74" s="1" t="n">
        <f aca="false">CK74+CN74*Slot8_BufPot*CP74</f>
        <v>0</v>
      </c>
      <c r="CV74" s="1" t="n">
        <f aca="false">IF(AND(CN74=1,Slot8_IsMfree=1),IF(CS74&gt;=Slot8_Cost-1,0,MAX(0,CL74-CS74)),CL74)</f>
        <v>0</v>
      </c>
      <c r="CW74" s="1" t="n">
        <f aca="false">CN74*(Slot8_Cost-CS74)</f>
        <v>0</v>
      </c>
      <c r="CX74" s="1" t="n">
        <f aca="false">U74*Slot1_SpendLike*Z74+AF74*Slot2_SpendLike*AK74+AP74*Slot3_SpendLike*AU74+AZ74*Slot4_SpendLike*BE74+BJ74*Slot5_SpendLike*BO74+BT74*Slot6_SpendLike*BY74+CD74*Slot7_SpendLike*CI74+CN74*Slot8_SpendLike*CS74</f>
        <v>0</v>
      </c>
      <c r="CY74" s="1" t="n">
        <f aca="false">AD74+AO74+AY74+BI74+BS74+CC74+CM74+CW74</f>
        <v>0</v>
      </c>
      <c r="CZ74" s="1" t="n">
        <f aca="false">U74*Slot1_Cost+AF74*Slot2_Cost+AP74*Slot3_Cost+AZ74*Slot4_Cost+BJ74*Slot5_Cost+BT74*Slot6_Cost+CD74*Slot7_Cost+CN74*Slot8_Cost</f>
        <v>0</v>
      </c>
      <c r="DA74" s="1" t="n">
        <f aca="false">CV74</f>
        <v>0</v>
      </c>
      <c r="DB74" s="1" t="n">
        <f aca="false">G74-H74-R74</f>
        <v>46005.6725270424</v>
      </c>
      <c r="DC74" s="1" t="n">
        <f aca="false">IF(B74=0,IF(AND(Has_q6=1,In_q6=4),PR_ShareVaries*(MAX(0,DB74)/12),MIN(IF(Has_q6=1,CHOOSE(In_q6+1,PR_SaveB1,PR_SaveB2,PR_SaveB3,PR_SaveB4,0),AS_NoAnswer),AS_SaveShare*(MAX(0,DB74)/12))),DC73)</f>
        <v>0</v>
      </c>
      <c r="DD74" s="1" t="n">
        <f aca="false">IF(DB74&gt;=0,1,0)</f>
        <v>1</v>
      </c>
      <c r="DE74" s="1" t="n">
        <f aca="false">MAX(0,DB74/12/E74)</f>
        <v>1037.57333333333</v>
      </c>
      <c r="DF74" s="1" t="n">
        <f aca="false">IF(AND(Has_q6=1,In_q6=4),PR_ShareVaries*(DE74),MIN(IF(Has_q6=1,CHOOSE(In_q6+1,PR_SaveB1,PR_SaveB2,PR_SaveB3,PR_SaveB4,0),AS_NoAnswer),AS_SaveShare*(DE74)))</f>
        <v>300</v>
      </c>
      <c r="DG74" s="1" t="n">
        <f aca="false">IF(Has_saveM=1,IF(In_saveUp="Yes",1,IF(In_saveUp="No",0,IF(In_saveM&gt;=DC74-0.5,1,0))),0)</f>
        <v>0</v>
      </c>
      <c r="DH74" s="1" t="n">
        <f aca="false">IF(Has_saveM=1,MIN(DE74,IF(DG74=1,MAX(In_saveM,DF74),MIN(In_saveM,DF74))),DF74)</f>
        <v>300</v>
      </c>
      <c r="DI74" s="1" t="n">
        <f aca="false">IF(F74=1,DH74*12*E74,0)</f>
        <v>0</v>
      </c>
      <c r="DJ74" s="1" t="n">
        <f aca="false">MAX(0,DI74+IF(AND(WI_Retire=0,WI_M&lt;0,F74=1),WI_M*12*E74,0))</f>
        <v>0</v>
      </c>
      <c r="DK74" s="1" t="n">
        <f aca="false">Slot1_IsWG*V74+Slot2_IsWG*AG74+Slot3_IsWG*AQ74+Slot4_IsWG*BA74+Slot5_IsWG*BK74+Slot6_IsWG*BU74+Slot7_IsWG*CE74+Slot8_IsWG*CO74</f>
        <v>0</v>
      </c>
      <c r="DL74" s="1" t="n">
        <f aca="false">IF(AND(WI_Retire=0,WI_M&gt;0,F74=1,DK74&gt;=1),WI_M*12*E74,0)</f>
        <v>0</v>
      </c>
      <c r="DM74" s="1" t="n">
        <f aca="false">IF(DD74=1,MIN(DJ74,DB74),0)</f>
        <v>0</v>
      </c>
      <c r="DN74" s="1" t="n">
        <f aca="false">IF(DD74=1,MIN(DL74,DB74-DM74),0)</f>
        <v>0</v>
      </c>
      <c r="DO74" s="1" t="n">
        <f aca="false">IF(V74=1,IF(ABS((1+AS_Wage)/(1+Slot1_Rate)-1)&lt;0.000000000001,(Slot1_Age-D74)*(1+Slot1_Rate)^(Slot1_Age-D74),(1+Slot1_Rate)^(Slot1_Age-D74)*(1-((1+AS_Wage)/(1+Slot1_Rate))^(Slot1_Age-D74))/(1-(1+AS_Wage)/(1+Slot1_Rate))),1)</f>
        <v>1</v>
      </c>
      <c r="DP74" s="1" t="n">
        <f aca="false">IF(AND(DD74=1,DN74&gt;0,Slot1_IsWG=1,V74=1),MAX(0,(Slot1_Cost-W74*(1+Slot1_Rate)^(Slot1_Age-D74))/DO74),0)</f>
        <v>0</v>
      </c>
      <c r="DQ74" s="1" t="n">
        <f aca="false">IF(AND(DD74=1,DN74&gt;0,Slot1_IsWG=1,V74=1),MIN(DN74,DP74),0)</f>
        <v>0</v>
      </c>
      <c r="DR74" s="1" t="n">
        <f aca="false">W74+DQ74</f>
        <v>0</v>
      </c>
      <c r="DS74" s="1" t="n">
        <f aca="false">IF(V74=1,MAX(0,(Slot1_Cost-DR74*(1+Slot1_Rate)^(Slot1_Age-D74))/DO74),0)</f>
        <v>0</v>
      </c>
      <c r="DT74" s="1" t="n">
        <f aca="false">IF(V74=1,MAX(0,(Slot1_Cost-W74*(1+Slot1_Rate)^(Slot1_Age-D74))/DO74),0)</f>
        <v>0</v>
      </c>
      <c r="DU74" s="1" t="n">
        <f aca="false">IF(AND(DD74=1,V74=1),MIN(DM74,DS74),0)</f>
        <v>0</v>
      </c>
      <c r="DV74" s="1" t="n">
        <f aca="false">DM74-DU74</f>
        <v>0</v>
      </c>
      <c r="DW74" s="1" t="n">
        <f aca="false">IF(AG74=1,IF(ABS((1+AS_Wage)/(1+Slot2_Rate)-1)&lt;0.000000000001,(Slot2_Age-D74)*(1+Slot2_Rate)^(Slot2_Age-D74),(1+Slot2_Rate)^(Slot2_Age-D74)*(1-((1+AS_Wage)/(1+Slot2_Rate))^(Slot2_Age-D74))/(1-(1+AS_Wage)/(1+Slot2_Rate))),1)</f>
        <v>1</v>
      </c>
      <c r="DX74" s="1" t="n">
        <f aca="false">IF(AND(DD74=1,DN74&gt;0,Slot2_IsWG=1,AG74=1),MAX(0,(Slot2_Cost-AH74*(1+Slot2_Rate)^(Slot2_Age-D74))/DW74),0)</f>
        <v>0</v>
      </c>
      <c r="DY74" s="1" t="n">
        <f aca="false">IF(AND(DD74=1,DN74&gt;0,Slot2_IsWG=1,AG74=1),MIN(DN74,DX74),0)</f>
        <v>0</v>
      </c>
      <c r="DZ74" s="1" t="n">
        <f aca="false">AH74+DY74</f>
        <v>0</v>
      </c>
      <c r="EA74" s="1" t="n">
        <f aca="false">IF(AG74=1,MAX(0,(Slot2_Cost-DZ74*(1+Slot2_Rate)^(Slot2_Age-D74))/DW74),0)</f>
        <v>0</v>
      </c>
      <c r="EB74" s="1" t="n">
        <f aca="false">IF(AG74=1,MAX(0,(Slot2_Cost-AH74*(1+Slot2_Rate)^(Slot2_Age-D74))/DW74),0)</f>
        <v>0</v>
      </c>
      <c r="EC74" s="1" t="n">
        <f aca="false">IF(AND(DD74=1,AG74=1),MIN(DV74,EA74),0)</f>
        <v>0</v>
      </c>
      <c r="ED74" s="1" t="n">
        <f aca="false">DV74-EC74</f>
        <v>0</v>
      </c>
      <c r="EE74" s="1" t="n">
        <f aca="false">IF(AQ74=1,IF(ABS((1+AS_Wage)/(1+Slot3_Rate)-1)&lt;0.000000000001,(Slot3_Age-D74)*(1+Slot3_Rate)^(Slot3_Age-D74),(1+Slot3_Rate)^(Slot3_Age-D74)*(1-((1+AS_Wage)/(1+Slot3_Rate))^(Slot3_Age-D74))/(1-(1+AS_Wage)/(1+Slot3_Rate))),1)</f>
        <v>1</v>
      </c>
      <c r="EF74" s="1" t="n">
        <f aca="false">IF(AND(DD74=1,DN74&gt;0,Slot3_IsWG=1,AQ74=1),MAX(0,(Slot3_Cost-AR74*(1+Slot3_Rate)^(Slot3_Age-D74))/EE74),0)</f>
        <v>0</v>
      </c>
      <c r="EG74" s="1" t="n">
        <f aca="false">IF(AND(DD74=1,DN74&gt;0,Slot3_IsWG=1,AQ74=1),MIN(DN74,EF74),0)</f>
        <v>0</v>
      </c>
      <c r="EH74" s="1" t="n">
        <f aca="false">AR74+EG74</f>
        <v>0</v>
      </c>
      <c r="EI74" s="1" t="n">
        <f aca="false">IF(AQ74=1,MAX(0,(Slot3_Cost-EH74*(1+Slot3_Rate)^(Slot3_Age-D74))/EE74),0)</f>
        <v>0</v>
      </c>
      <c r="EJ74" s="1" t="n">
        <f aca="false">IF(AQ74=1,MAX(0,(Slot3_Cost-AR74*(1+Slot3_Rate)^(Slot3_Age-D74))/EE74),0)</f>
        <v>0</v>
      </c>
      <c r="EK74" s="1" t="n">
        <f aca="false">IF(AND(DD74=1,AQ74=1),MIN(ED74,EI74),0)</f>
        <v>0</v>
      </c>
      <c r="EL74" s="1" t="n">
        <f aca="false">ED74-EK74</f>
        <v>0</v>
      </c>
      <c r="EM74" s="1" t="n">
        <f aca="false">IF(BA74=1,IF(ABS((1+AS_Wage)/(1+Slot4_Rate)-1)&lt;0.000000000001,(Slot4_Age-D74)*(1+Slot4_Rate)^(Slot4_Age-D74),(1+Slot4_Rate)^(Slot4_Age-D74)*(1-((1+AS_Wage)/(1+Slot4_Rate))^(Slot4_Age-D74))/(1-(1+AS_Wage)/(1+Slot4_Rate))),1)</f>
        <v>1</v>
      </c>
      <c r="EN74" s="1" t="n">
        <f aca="false">IF(AND(DD74=1,DN74&gt;0,Slot4_IsWG=1,BA74=1),MAX(0,(Slot4_Cost-BB74*(1+Slot4_Rate)^(Slot4_Age-D74))/EM74),0)</f>
        <v>0</v>
      </c>
      <c r="EO74" s="1" t="n">
        <f aca="false">IF(AND(DD74=1,DN74&gt;0,Slot4_IsWG=1,BA74=1),MIN(DN74,EN74),0)</f>
        <v>0</v>
      </c>
      <c r="EP74" s="1" t="n">
        <f aca="false">BB74+EO74</f>
        <v>0</v>
      </c>
      <c r="EQ74" s="1" t="n">
        <f aca="false">IF(BA74=1,MAX(0,(Slot4_Cost-EP74*(1+Slot4_Rate)^(Slot4_Age-D74))/EM74),0)</f>
        <v>0</v>
      </c>
      <c r="ER74" s="1" t="n">
        <f aca="false">IF(BA74=1,MAX(0,(Slot4_Cost-BB74*(1+Slot4_Rate)^(Slot4_Age-D74))/EM74),0)</f>
        <v>0</v>
      </c>
      <c r="ES74" s="1" t="n">
        <f aca="false">IF(AND(DD74=1,BA74=1),MIN(EL74,EQ74),0)</f>
        <v>0</v>
      </c>
      <c r="ET74" s="1" t="n">
        <f aca="false">EL74-ES74</f>
        <v>0</v>
      </c>
      <c r="EU74" s="1" t="n">
        <f aca="false">IF(BK74=1,IF(ABS((1+AS_Wage)/(1+Slot5_Rate)-1)&lt;0.000000000001,(Slot5_Age-D74)*(1+Slot5_Rate)^(Slot5_Age-D74),(1+Slot5_Rate)^(Slot5_Age-D74)*(1-((1+AS_Wage)/(1+Slot5_Rate))^(Slot5_Age-D74))/(1-(1+AS_Wage)/(1+Slot5_Rate))),1)</f>
        <v>1</v>
      </c>
      <c r="EV74" s="1" t="n">
        <f aca="false">IF(AND(DD74=1,DN74&gt;0,Slot5_IsWG=1,BK74=1),MAX(0,(Slot5_Cost-BL74*(1+Slot5_Rate)^(Slot5_Age-D74))/EU74),0)</f>
        <v>0</v>
      </c>
      <c r="EW74" s="1" t="n">
        <f aca="false">IF(AND(DD74=1,DN74&gt;0,Slot5_IsWG=1,BK74=1),MIN(DN74,EV74),0)</f>
        <v>0</v>
      </c>
      <c r="EX74" s="1" t="n">
        <f aca="false">BL74+EW74</f>
        <v>0</v>
      </c>
      <c r="EY74" s="1" t="n">
        <f aca="false">IF(BK74=1,MAX(0,(Slot5_Cost-EX74*(1+Slot5_Rate)^(Slot5_Age-D74))/EU74),0)</f>
        <v>0</v>
      </c>
      <c r="EZ74" s="1" t="n">
        <f aca="false">IF(BK74=1,MAX(0,(Slot5_Cost-BL74*(1+Slot5_Rate)^(Slot5_Age-D74))/EU74),0)</f>
        <v>0</v>
      </c>
      <c r="FA74" s="1" t="n">
        <f aca="false">IF(AND(DD74=1,BK74=1),MIN(ET74,EY74),0)</f>
        <v>0</v>
      </c>
      <c r="FB74" s="1" t="n">
        <f aca="false">ET74-FA74</f>
        <v>0</v>
      </c>
      <c r="FC74" s="1" t="n">
        <f aca="false">IF(BU74=1,IF(ABS((1+AS_Wage)/(1+Slot6_Rate)-1)&lt;0.000000000001,(Slot6_Age-D74)*(1+Slot6_Rate)^(Slot6_Age-D74),(1+Slot6_Rate)^(Slot6_Age-D74)*(1-((1+AS_Wage)/(1+Slot6_Rate))^(Slot6_Age-D74))/(1-(1+AS_Wage)/(1+Slot6_Rate))),1)</f>
        <v>1</v>
      </c>
      <c r="FD74" s="1" t="n">
        <f aca="false">IF(AND(DD74=1,DN74&gt;0,Slot6_IsWG=1,BU74=1),MAX(0,(Slot6_Cost-BV74*(1+Slot6_Rate)^(Slot6_Age-D74))/FC74),0)</f>
        <v>0</v>
      </c>
      <c r="FE74" s="1" t="n">
        <f aca="false">IF(AND(DD74=1,DN74&gt;0,Slot6_IsWG=1,BU74=1),MIN(DN74,FD74),0)</f>
        <v>0</v>
      </c>
      <c r="FF74" s="1" t="n">
        <f aca="false">BV74+FE74</f>
        <v>0</v>
      </c>
      <c r="FG74" s="1" t="n">
        <f aca="false">IF(BU74=1,MAX(0,(Slot6_Cost-FF74*(1+Slot6_Rate)^(Slot6_Age-D74))/FC74),0)</f>
        <v>0</v>
      </c>
      <c r="FH74" s="1" t="n">
        <f aca="false">IF(BU74=1,MAX(0,(Slot6_Cost-BV74*(1+Slot6_Rate)^(Slot6_Age-D74))/FC74),0)</f>
        <v>0</v>
      </c>
      <c r="FI74" s="1" t="n">
        <f aca="false">IF(AND(DD74=1,BU74=1),MIN(FB74,FG74),0)</f>
        <v>0</v>
      </c>
      <c r="FJ74" s="1" t="n">
        <f aca="false">FB74-FI74</f>
        <v>0</v>
      </c>
      <c r="FK74" s="1" t="n">
        <f aca="false">IF(CE74=1,IF(ABS((1+AS_Wage)/(1+Slot7_Rate)-1)&lt;0.000000000001,(Slot7_Age-D74)*(1+Slot7_Rate)^(Slot7_Age-D74),(1+Slot7_Rate)^(Slot7_Age-D74)*(1-((1+AS_Wage)/(1+Slot7_Rate))^(Slot7_Age-D74))/(1-(1+AS_Wage)/(1+Slot7_Rate))),1)</f>
        <v>1</v>
      </c>
      <c r="FL74" s="1" t="n">
        <f aca="false">IF(AND(DD74=1,DN74&gt;0,Slot7_IsWG=1,CE74=1),MAX(0,(Slot7_Cost-CF74*(1+Slot7_Rate)^(Slot7_Age-D74))/FK74),0)</f>
        <v>0</v>
      </c>
      <c r="FM74" s="1" t="n">
        <f aca="false">IF(AND(DD74=1,DN74&gt;0,Slot7_IsWG=1,CE74=1),MIN(DN74,FL74),0)</f>
        <v>0</v>
      </c>
      <c r="FN74" s="1" t="n">
        <f aca="false">CF74+FM74</f>
        <v>0</v>
      </c>
      <c r="FO74" s="1" t="n">
        <f aca="false">IF(CE74=1,MAX(0,(Slot7_Cost-FN74*(1+Slot7_Rate)^(Slot7_Age-D74))/FK74),0)</f>
        <v>0</v>
      </c>
      <c r="FP74" s="1" t="n">
        <f aca="false">IF(CE74=1,MAX(0,(Slot7_Cost-CF74*(1+Slot7_Rate)^(Slot7_Age-D74))/FK74),0)</f>
        <v>0</v>
      </c>
      <c r="FQ74" s="1" t="n">
        <f aca="false">IF(AND(DD74=1,CE74=1),MIN(FJ74,FO74),0)</f>
        <v>0</v>
      </c>
      <c r="FR74" s="1" t="n">
        <f aca="false">FJ74-FQ74</f>
        <v>0</v>
      </c>
      <c r="FS74" s="1" t="n">
        <f aca="false">IF(CO74=1,IF(ABS((1+AS_Wage)/(1+Slot8_Rate)-1)&lt;0.000000000001,(Slot8_Age-D74)*(1+Slot8_Rate)^(Slot8_Age-D74),(1+Slot8_Rate)^(Slot8_Age-D74)*(1-((1+AS_Wage)/(1+Slot8_Rate))^(Slot8_Age-D74))/(1-(1+AS_Wage)/(1+Slot8_Rate))),1)</f>
        <v>1</v>
      </c>
      <c r="FT74" s="1" t="n">
        <f aca="false">IF(AND(DD74=1,DN74&gt;0,Slot8_IsWG=1,CO74=1),MAX(0,(Slot8_Cost-CP74*(1+Slot8_Rate)^(Slot8_Age-D74))/FS74),0)</f>
        <v>0</v>
      </c>
      <c r="FU74" s="1" t="n">
        <f aca="false">IF(AND(DD74=1,DN74&gt;0,Slot8_IsWG=1,CO74=1),MIN(DN74,FT74),0)</f>
        <v>0</v>
      </c>
      <c r="FV74" s="1" t="n">
        <f aca="false">CP74+FU74</f>
        <v>0</v>
      </c>
      <c r="FW74" s="1" t="n">
        <f aca="false">IF(CO74=1,MAX(0,(Slot8_Cost-FV74*(1+Slot8_Rate)^(Slot8_Age-D74))/FS74),0)</f>
        <v>0</v>
      </c>
      <c r="FX74" s="1" t="n">
        <f aca="false">IF(CO74=1,MAX(0,(Slot8_Cost-CP74*(1+Slot8_Rate)^(Slot8_Age-D74))/FS74),0)</f>
        <v>0</v>
      </c>
      <c r="FY74" s="1" t="n">
        <f aca="false">IF(AND(DD74=1,CO74=1),MIN(FR74,FW74),0)</f>
        <v>0</v>
      </c>
      <c r="FZ74" s="1" t="n">
        <f aca="false">FR74-FY74</f>
        <v>0</v>
      </c>
      <c r="GA74" s="1" t="n">
        <f aca="false">DN74-(DQ74+DY74+EG74+EO74+EW74+FE74+FM74+FU74)</f>
        <v>0</v>
      </c>
      <c r="GB74" s="1" t="n">
        <f aca="false">IF(DD74=1,DB74-DM74-DN74,0)</f>
        <v>46005.6725270424</v>
      </c>
      <c r="GC74" s="1" t="n">
        <f aca="false">IF(DD74=0,-DB74,0)</f>
        <v>0</v>
      </c>
      <c r="GD74" s="1" t="n">
        <f aca="false">MIN(GC74,CT74)</f>
        <v>0</v>
      </c>
      <c r="GE74" s="1" t="n">
        <f aca="false">GC74-GD74</f>
        <v>0</v>
      </c>
      <c r="GF74" s="1" t="n">
        <f aca="false">MIN(GE74,CU74)</f>
        <v>0</v>
      </c>
      <c r="GG74" s="1" t="n">
        <f aca="false">GE74-GF74</f>
        <v>0</v>
      </c>
      <c r="GH74" s="1" t="n">
        <f aca="false">IF(AND(DD74=0,CO74=1,GG74&gt;0),MIN(GG74,CP74),0)</f>
        <v>0</v>
      </c>
      <c r="GI74" s="1" t="n">
        <f aca="false">GG74-GH74</f>
        <v>0</v>
      </c>
      <c r="GJ74" s="1" t="n">
        <f aca="false">IF(AND(DD74=0,CE74=1,GI74&gt;0),MIN(GI74,CF74),0)</f>
        <v>0</v>
      </c>
      <c r="GK74" s="1" t="n">
        <f aca="false">GI74-GJ74</f>
        <v>0</v>
      </c>
      <c r="GL74" s="1" t="n">
        <f aca="false">IF(AND(DD74=0,BU74=1,GK74&gt;0),MIN(GK74,BV74),0)</f>
        <v>0</v>
      </c>
      <c r="GM74" s="1" t="n">
        <f aca="false">GK74-GL74</f>
        <v>0</v>
      </c>
      <c r="GN74" s="1" t="n">
        <f aca="false">IF(AND(DD74=0,BK74=1,GM74&gt;0),MIN(GM74,BL74),0)</f>
        <v>0</v>
      </c>
      <c r="GO74" s="1" t="n">
        <f aca="false">GM74-GN74</f>
        <v>0</v>
      </c>
      <c r="GP74" s="1" t="n">
        <f aca="false">IF(AND(DD74=0,BA74=1,GO74&gt;0),MIN(GO74,BB74),0)</f>
        <v>0</v>
      </c>
      <c r="GQ74" s="1" t="n">
        <f aca="false">GO74-GP74</f>
        <v>0</v>
      </c>
      <c r="GR74" s="1" t="n">
        <f aca="false">IF(AND(DD74=0,AQ74=1,GQ74&gt;0),MIN(GQ74,AR74),0)</f>
        <v>0</v>
      </c>
      <c r="GS74" s="1" t="n">
        <f aca="false">GQ74-GR74</f>
        <v>0</v>
      </c>
      <c r="GT74" s="1" t="n">
        <f aca="false">IF(AND(DD74=0,AG74=1,GS74&gt;0),MIN(GS74,AH74),0)</f>
        <v>0</v>
      </c>
      <c r="GU74" s="1" t="n">
        <f aca="false">GS74-GT74</f>
        <v>0</v>
      </c>
      <c r="GV74" s="1" t="n">
        <f aca="false">IF(AND(DD74=0,V74=1,GU74&gt;0),MIN(GU74,W74),0)</f>
        <v>0</v>
      </c>
      <c r="GW74" s="1" t="n">
        <f aca="false">GU74-GV74</f>
        <v>0</v>
      </c>
      <c r="GX74" s="1" t="n">
        <f aca="false">IF(DD74=0,GW74,0)</f>
        <v>0</v>
      </c>
      <c r="GY74" s="1" t="n">
        <f aca="false">GD74+GF74+GV74+GT74+GR74+GP74+GN74+GL74+GJ74+GH74</f>
        <v>0</v>
      </c>
      <c r="GZ74" s="1" t="n">
        <f aca="false">IF(DD74=1,CT74+GA74+FZ74+IF(F74=1,0,GB74),CT74-GD74)</f>
        <v>46005.6725270424</v>
      </c>
      <c r="HA74" s="1" t="n">
        <f aca="false">CU74-GF74</f>
        <v>0</v>
      </c>
      <c r="HB74" s="1" t="n">
        <f aca="false">IF(DD74=1,IF(F74=1,DM74+DN74,DB74),0)</f>
        <v>46005.6725270424</v>
      </c>
      <c r="HC74" s="1" t="n">
        <f aca="false">IF(DD74=1,IF(F74=1,DB74-DM74-DN74,0),0)</f>
        <v>0</v>
      </c>
      <c r="HD74" s="1" t="n">
        <f aca="false">GZ74*(1+GR)</f>
        <v>46760.1655564859</v>
      </c>
      <c r="HE74" s="1" t="n">
        <f aca="false">HA74*(1+AS_Cash)</f>
        <v>0</v>
      </c>
      <c r="HF74" s="1" t="n">
        <f aca="false">IF(V74=1,IF(DD74=1,DR74+DU74,W74-GV74)*(1+Slot1_Rate),0)</f>
        <v>0</v>
      </c>
      <c r="HG74" s="1" t="n">
        <f aca="false">IF(AND(DD74=1,V74=1),(DQ74+DU74)/E74,0)</f>
        <v>0</v>
      </c>
      <c r="HH74" s="1" t="n">
        <f aca="false">IF(B74=0,DQ74+DU74,0)</f>
        <v>0</v>
      </c>
      <c r="HI74" s="1" t="n">
        <f aca="false">IF(B74=0,IF(DD74=1,DS74,DT74),0)</f>
        <v>0</v>
      </c>
      <c r="HJ74" s="1" t="n">
        <f aca="false">IF(AG74=1,IF(DD74=1,DZ74+EC74,AH74-GT74)*(1+Slot2_Rate),0)</f>
        <v>0</v>
      </c>
      <c r="HK74" s="1" t="n">
        <f aca="false">IF(AND(DD74=1,AG74=1),(DY74+EC74)/E74,0)</f>
        <v>0</v>
      </c>
      <c r="HL74" s="1" t="n">
        <f aca="false">IF(B74=0,DY74+EC74,0)</f>
        <v>0</v>
      </c>
      <c r="HM74" s="1" t="n">
        <f aca="false">IF(B74=0,IF(DD74=1,EA74,EB74),0)</f>
        <v>0</v>
      </c>
      <c r="HN74" s="1" t="n">
        <f aca="false">IF(AQ74=1,IF(DD74=1,EH74+EK74,AR74-GR74)*(1+Slot3_Rate),0)</f>
        <v>0</v>
      </c>
      <c r="HO74" s="1" t="n">
        <f aca="false">IF(AND(DD74=1,AQ74=1),(EG74+EK74)/E74,0)</f>
        <v>0</v>
      </c>
      <c r="HP74" s="1" t="n">
        <f aca="false">IF(B74=0,EG74+EK74,0)</f>
        <v>0</v>
      </c>
      <c r="HQ74" s="1" t="n">
        <f aca="false">IF(B74=0,IF(DD74=1,EI74,EJ74),0)</f>
        <v>0</v>
      </c>
      <c r="HR74" s="1" t="n">
        <f aca="false">IF(BA74=1,IF(DD74=1,EP74+ES74,BB74-GP74)*(1+Slot4_Rate),0)</f>
        <v>0</v>
      </c>
      <c r="HS74" s="1" t="n">
        <f aca="false">IF(AND(DD74=1,BA74=1),(EO74+ES74)/E74,0)</f>
        <v>0</v>
      </c>
      <c r="HT74" s="1" t="n">
        <f aca="false">IF(B74=0,EO74+ES74,0)</f>
        <v>0</v>
      </c>
      <c r="HU74" s="1" t="n">
        <f aca="false">IF(B74=0,IF(DD74=1,EQ74,ER74),0)</f>
        <v>0</v>
      </c>
      <c r="HV74" s="1" t="n">
        <f aca="false">IF(BK74=1,IF(DD74=1,EX74+FA74,BL74-GN74)*(1+Slot5_Rate),0)</f>
        <v>0</v>
      </c>
      <c r="HW74" s="1" t="n">
        <f aca="false">IF(AND(DD74=1,BK74=1),(EW74+FA74)/E74,0)</f>
        <v>0</v>
      </c>
      <c r="HX74" s="1" t="n">
        <f aca="false">IF(B74=0,EW74+FA74,0)</f>
        <v>0</v>
      </c>
      <c r="HY74" s="1" t="n">
        <f aca="false">IF(B74=0,IF(DD74=1,EY74,EZ74),0)</f>
        <v>0</v>
      </c>
      <c r="HZ74" s="1" t="n">
        <f aca="false">IF(BU74=1,IF(DD74=1,FF74+FI74,BV74-GL74)*(1+Slot6_Rate),0)</f>
        <v>0</v>
      </c>
      <c r="IA74" s="1" t="n">
        <f aca="false">IF(AND(DD74=1,BU74=1),(FE74+FI74)/E74,0)</f>
        <v>0</v>
      </c>
      <c r="IB74" s="1" t="n">
        <f aca="false">IF(B74=0,FE74+FI74,0)</f>
        <v>0</v>
      </c>
      <c r="IC74" s="1" t="n">
        <f aca="false">IF(B74=0,IF(DD74=1,FG74,FH74),0)</f>
        <v>0</v>
      </c>
      <c r="ID74" s="1" t="n">
        <f aca="false">IF(CE74=1,IF(DD74=1,FN74+FQ74,CF74-GJ74)*(1+Slot7_Rate),0)</f>
        <v>0</v>
      </c>
      <c r="IE74" s="1" t="n">
        <f aca="false">IF(AND(DD74=1,CE74=1),(FM74+FQ74)/E74,0)</f>
        <v>0</v>
      </c>
      <c r="IF74" s="1" t="n">
        <f aca="false">IF(B74=0,FM74+FQ74,0)</f>
        <v>0</v>
      </c>
      <c r="IG74" s="1" t="n">
        <f aca="false">IF(B74=0,IF(DD74=1,FO74,FP74),0)</f>
        <v>0</v>
      </c>
      <c r="IH74" s="1" t="n">
        <f aca="false">IF(CO74=1,IF(DD74=1,FV74+FY74,CP74-GH74)*(1+Slot8_Rate),0)</f>
        <v>0</v>
      </c>
      <c r="II74" s="1" t="n">
        <f aca="false">IF(AND(DD74=1,CO74=1),(FU74+FY74)/E74,0)</f>
        <v>0</v>
      </c>
      <c r="IJ74" s="1" t="n">
        <f aca="false">IF(B74=0,FU74+FY74,0)</f>
        <v>0</v>
      </c>
      <c r="IK74" s="1" t="n">
        <f aca="false">IF(B74=0,IF(DD74=1,FW74,FX74),0)</f>
        <v>0</v>
      </c>
      <c r="IL74" s="1" t="n">
        <f aca="false">HD74+HE74+HF74+HJ74+HN74+HR74+HV74+HZ74+ID74+IH74</f>
        <v>46760.1655564859</v>
      </c>
      <c r="IM74" s="1" t="n">
        <f aca="false">GX74+CY74</f>
        <v>0</v>
      </c>
      <c r="IN74" s="1" t="n">
        <f aca="false">H74+R74</f>
        <v>0</v>
      </c>
      <c r="IO74" s="1" t="n">
        <f aca="false">1-F74</f>
        <v>1</v>
      </c>
      <c r="IP74" s="1" t="n">
        <f aca="false">IF(AND(RG_Exists=1,F74=0,C74=1),H74,0)</f>
        <v>0</v>
      </c>
      <c r="IQ74" s="1" t="n">
        <f aca="false">IF(AND(RG_Exists=1,F74=0,C74=1),H74-MIN(GX74,H74),0)</f>
        <v>0</v>
      </c>
      <c r="IR74" s="1" t="n">
        <f aca="false">'Plan pay &amp; tax'!AD276</f>
        <v>0</v>
      </c>
      <c r="IS74" s="1" t="n">
        <f aca="false">IF(AND(C74=1,GX74&gt;MAX(PR_Short1,IN74*PR_Short2)),1,0)</f>
        <v>0</v>
      </c>
      <c r="IT74" s="1" t="n">
        <f aca="false">MIN(G74,H74+R74)</f>
        <v>0</v>
      </c>
      <c r="IU74" s="1" t="n">
        <f aca="false">GY74+MAX(0,CZ74-CY74)</f>
        <v>0</v>
      </c>
      <c r="IV74" s="1" t="n">
        <f aca="false">GX74+CY74</f>
        <v>0</v>
      </c>
      <c r="IW74" s="1" t="n">
        <f aca="false">IF(AND(C74=1,IV74&gt;0.5),1,0)</f>
        <v>0</v>
      </c>
      <c r="IX74" s="1" t="n">
        <f aca="false">IF(AND(C74=1,IW74=0,IU74&gt;0.5),1,0)</f>
        <v>0</v>
      </c>
      <c r="IY74" s="1" t="n">
        <f aca="false">IF(AND(C74=1,GX74&gt;0.5),1,0)</f>
        <v>0</v>
      </c>
      <c r="IZ74" s="1" t="n">
        <f aca="false">IF(AND(C74=1,GY74&gt;1,JF74=0),1,0)</f>
        <v>0</v>
      </c>
      <c r="JA74" s="1" t="n">
        <f aca="false">IF(AND(INT(D74/10)*10=90,B74&gt;0),80,INT(D74/10)*10)</f>
        <v>60</v>
      </c>
      <c r="JB74" s="1" t="n">
        <f aca="false">IF(B74=0,1,IF(JA74&lt;&gt;JA73,JB73+1,JB73))</f>
        <v>7</v>
      </c>
      <c r="JC74" s="1" t="n">
        <f aca="false">IF(AND(C74=1,F74=1,GX74&gt;MAX(PR_Short1,IN74*PR_Short2)),1,0)</f>
        <v>0</v>
      </c>
      <c r="JD74" s="1" t="n">
        <f aca="false">IO74*IS74</f>
        <v>0</v>
      </c>
      <c r="JE74" s="1" t="n">
        <f aca="false">IF(AND(U74=1,Slot1_PctLow=1),1,0)+IF(AND(AF74=1,Slot2_PctLow=1),1,0)+IF(AND(AP74=1,Slot3_PctLow=1),1,0)+IF(AND(AZ74=1,Slot4_PctLow=1),1,0)+IF(AND(BJ74=1,Slot5_PctLow=1),1,0)+IF(AND(BT74=1,Slot6_PctLow=1),1,0)+IF(AND(CD74=1,Slot7_PctLow=1),1,0)+IF(AND(CN74=1,Slot8_PctLow=1),1,0)</f>
        <v>0</v>
      </c>
      <c r="JF74" s="1" t="n">
        <f aca="false">IF(C74=1,IF(OR(IS74=1,JE74&gt;0),1,0),0)</f>
        <v>0</v>
      </c>
    </row>
    <row r="75" customFormat="false" ht="15" hidden="false" customHeight="false" outlineLevel="0" collapsed="false">
      <c r="B75" s="1" t="n">
        <v>67</v>
      </c>
      <c r="C75" s="1" t="n">
        <f aca="false">IF(B75&lt;=F_N,1,0)</f>
        <v>1</v>
      </c>
      <c r="D75" s="1" t="n">
        <f aca="false">'Plan pay &amp; tax'!C277</f>
        <v>67</v>
      </c>
      <c r="E75" s="106" t="n">
        <f aca="false">'Plan pay &amp; tax'!E277</f>
        <v>3.76887304171137</v>
      </c>
      <c r="F75" s="1" t="n">
        <f aca="false">'Plan pay &amp; tax'!G277</f>
        <v>0</v>
      </c>
      <c r="G75" s="1" t="n">
        <f aca="false">'Plan pay &amp; tax'!BT277-'Plan pay &amp; tax'!BS277-'Plan pay &amp; tax'!R277</f>
        <v>46925.7859775833</v>
      </c>
      <c r="H75" s="1" t="n">
        <f aca="false">IF(F75=1,F_CostsM*12,IF(RG_Exists=1,RG_Amount,F_CostsM*12*AS_RetireSpend))*E75+F_OneOffY*E75</f>
        <v>0</v>
      </c>
      <c r="I75" s="1" t="n">
        <f aca="false">DA74</f>
        <v>0</v>
      </c>
      <c r="J75" s="1" t="n">
        <f aca="false">IF(I75&gt;1,'Plan debt months'!AC75,0)</f>
        <v>0</v>
      </c>
      <c r="K75" s="1" t="n">
        <f aca="false">IF(I75&gt;1,'Plan debt months'!AB75,I75)</f>
        <v>0</v>
      </c>
      <c r="L75" s="1" t="n">
        <f aca="false">N74</f>
        <v>0</v>
      </c>
      <c r="M75" s="1" t="n">
        <f aca="false">IF(L75&gt;1,'Plan debt months'!BD75,0)</f>
        <v>0</v>
      </c>
      <c r="N75" s="1" t="n">
        <f aca="false">IF(L75&gt;1,'Plan debt months'!BC75,L75)</f>
        <v>0</v>
      </c>
      <c r="O75" s="1" t="n">
        <f aca="false">Q74</f>
        <v>0</v>
      </c>
      <c r="P75" s="1" t="n">
        <f aca="false">IF(O75&gt;1,'Plan debt months'!CE75,0)</f>
        <v>0</v>
      </c>
      <c r="Q75" s="1" t="n">
        <f aca="false">IF(O75&gt;1,'Plan debt months'!CD75,O75)</f>
        <v>0</v>
      </c>
      <c r="R75" s="1" t="n">
        <f aca="false">J75+M75+P75</f>
        <v>0</v>
      </c>
      <c r="S75" s="1" t="n">
        <f aca="false">HD74+'Plan pay &amp; tax'!Y277</f>
        <v>46760.1655564859</v>
      </c>
      <c r="T75" s="1" t="n">
        <f aca="false">HD74</f>
        <v>46760.1655564859</v>
      </c>
      <c r="U75" s="1" t="n">
        <f aca="false">IF(AND(Slot1_On=1,D75=Slot1_Age),1,0)</f>
        <v>0</v>
      </c>
      <c r="V75" s="1" t="n">
        <f aca="false">IF(AND(Slot1_On=1,Slot1_Age&gt;D75),1,0)</f>
        <v>0</v>
      </c>
      <c r="W75" s="1" t="n">
        <f aca="false">HF74</f>
        <v>0</v>
      </c>
      <c r="X75" s="1" t="n">
        <f aca="false">U75*MIN(Slot1_Cost,W75)</f>
        <v>0</v>
      </c>
      <c r="Y75" s="1" t="n">
        <f aca="false">U75*Slot1_SpendLike*MIN(Slot1_Cost-X75,S75)</f>
        <v>0</v>
      </c>
      <c r="Z75" s="1" t="n">
        <f aca="false">X75+Y75</f>
        <v>0</v>
      </c>
      <c r="AA75" s="1" t="n">
        <f aca="false">S75-Y75+U75*IF(Slot1_SpendLike=1,W75-X75,IF(Slot1_PotFree=1,W75,0))</f>
        <v>46760.1655564859</v>
      </c>
      <c r="AB75" s="1" t="n">
        <f aca="false">AE75+U75*Slot1_BufPot*W75</f>
        <v>0</v>
      </c>
      <c r="AC75" s="1" t="n">
        <f aca="false">IF(AND(U75=1,Slot1_IsMfree=1),IF(Z75&gt;=Slot1_Cost-1,0,MAX(0,K75-Z75)),K75)</f>
        <v>0</v>
      </c>
      <c r="AD75" s="1" t="n">
        <f aca="false">U75*(Slot1_Cost-Z75)</f>
        <v>0</v>
      </c>
      <c r="AE75" s="1" t="n">
        <f aca="false">HE74</f>
        <v>0</v>
      </c>
      <c r="AF75" s="1" t="n">
        <f aca="false">IF(AND(Slot2_On=1,D75=Slot2_Age),1,0)</f>
        <v>0</v>
      </c>
      <c r="AG75" s="1" t="n">
        <f aca="false">IF(AND(Slot2_On=1,Slot2_Age&gt;D75),1,0)</f>
        <v>0</v>
      </c>
      <c r="AH75" s="1" t="n">
        <f aca="false">HJ74</f>
        <v>0</v>
      </c>
      <c r="AI75" s="1" t="n">
        <f aca="false">AF75*MIN(Slot2_Cost,AH75)</f>
        <v>0</v>
      </c>
      <c r="AJ75" s="1" t="n">
        <f aca="false">AF75*Slot2_SpendLike*MIN(Slot2_Cost-AI75,AA75)</f>
        <v>0</v>
      </c>
      <c r="AK75" s="1" t="n">
        <f aca="false">AI75+AJ75</f>
        <v>0</v>
      </c>
      <c r="AL75" s="1" t="n">
        <f aca="false">AA75-AJ75+AF75*IF(Slot2_SpendLike=1,AH75-AI75,IF(Slot2_PotFree=1,AH75,0))</f>
        <v>46760.1655564859</v>
      </c>
      <c r="AM75" s="1" t="n">
        <f aca="false">AB75+AF75*Slot2_BufPot*AH75</f>
        <v>0</v>
      </c>
      <c r="AN75" s="1" t="n">
        <f aca="false">IF(AND(AF75=1,Slot2_IsMfree=1),IF(AK75&gt;=Slot2_Cost-1,0,MAX(0,AC75-AK75)),AC75)</f>
        <v>0</v>
      </c>
      <c r="AO75" s="1" t="n">
        <f aca="false">AF75*(Slot2_Cost-AK75)</f>
        <v>0</v>
      </c>
      <c r="AP75" s="1" t="n">
        <f aca="false">IF(AND(Slot3_On=1,D75=Slot3_Age),1,0)</f>
        <v>0</v>
      </c>
      <c r="AQ75" s="1" t="n">
        <f aca="false">IF(AND(Slot3_On=1,Slot3_Age&gt;D75),1,0)</f>
        <v>0</v>
      </c>
      <c r="AR75" s="1" t="n">
        <f aca="false">HN74</f>
        <v>0</v>
      </c>
      <c r="AS75" s="1" t="n">
        <f aca="false">AP75*MIN(Slot3_Cost,AR75)</f>
        <v>0</v>
      </c>
      <c r="AT75" s="1" t="n">
        <f aca="false">AP75*Slot3_SpendLike*MIN(Slot3_Cost-AS75,AL75)</f>
        <v>0</v>
      </c>
      <c r="AU75" s="1" t="n">
        <f aca="false">AS75+AT75</f>
        <v>0</v>
      </c>
      <c r="AV75" s="1" t="n">
        <f aca="false">AL75-AT75+AP75*IF(Slot3_SpendLike=1,AR75-AS75,IF(Slot3_PotFree=1,AR75,0))</f>
        <v>46760.1655564859</v>
      </c>
      <c r="AW75" s="1" t="n">
        <f aca="false">AM75+AP75*Slot3_BufPot*AR75</f>
        <v>0</v>
      </c>
      <c r="AX75" s="1" t="n">
        <f aca="false">IF(AND(AP75=1,Slot3_IsMfree=1),IF(AU75&gt;=Slot3_Cost-1,0,MAX(0,AN75-AU75)),AN75)</f>
        <v>0</v>
      </c>
      <c r="AY75" s="1" t="n">
        <f aca="false">AP75*(Slot3_Cost-AU75)</f>
        <v>0</v>
      </c>
      <c r="AZ75" s="1" t="n">
        <f aca="false">IF(AND(Slot4_On=1,D75=Slot4_Age),1,0)</f>
        <v>0</v>
      </c>
      <c r="BA75" s="1" t="n">
        <f aca="false">IF(AND(Slot4_On=1,Slot4_Age&gt;D75),1,0)</f>
        <v>0</v>
      </c>
      <c r="BB75" s="1" t="n">
        <f aca="false">HR74</f>
        <v>0</v>
      </c>
      <c r="BC75" s="1" t="n">
        <f aca="false">AZ75*MIN(Slot4_Cost,BB75)</f>
        <v>0</v>
      </c>
      <c r="BD75" s="1" t="n">
        <f aca="false">AZ75*Slot4_SpendLike*MIN(Slot4_Cost-BC75,AV75)</f>
        <v>0</v>
      </c>
      <c r="BE75" s="1" t="n">
        <f aca="false">BC75+BD75</f>
        <v>0</v>
      </c>
      <c r="BF75" s="1" t="n">
        <f aca="false">AV75-BD75+AZ75*IF(Slot4_SpendLike=1,BB75-BC75,IF(Slot4_PotFree=1,BB75,0))</f>
        <v>46760.1655564859</v>
      </c>
      <c r="BG75" s="1" t="n">
        <f aca="false">AW75+AZ75*Slot4_BufPot*BB75</f>
        <v>0</v>
      </c>
      <c r="BH75" s="1" t="n">
        <f aca="false">IF(AND(AZ75=1,Slot4_IsMfree=1),IF(BE75&gt;=Slot4_Cost-1,0,MAX(0,AX75-BE75)),AX75)</f>
        <v>0</v>
      </c>
      <c r="BI75" s="1" t="n">
        <f aca="false">AZ75*(Slot4_Cost-BE75)</f>
        <v>0</v>
      </c>
      <c r="BJ75" s="1" t="n">
        <f aca="false">IF(AND(Slot5_On=1,D75=Slot5_Age),1,0)</f>
        <v>0</v>
      </c>
      <c r="BK75" s="1" t="n">
        <f aca="false">IF(AND(Slot5_On=1,Slot5_Age&gt;D75),1,0)</f>
        <v>0</v>
      </c>
      <c r="BL75" s="1" t="n">
        <f aca="false">HV74</f>
        <v>0</v>
      </c>
      <c r="BM75" s="1" t="n">
        <f aca="false">BJ75*MIN(Slot5_Cost,BL75)</f>
        <v>0</v>
      </c>
      <c r="BN75" s="1" t="n">
        <f aca="false">BJ75*Slot5_SpendLike*MIN(Slot5_Cost-BM75,BF75)</f>
        <v>0</v>
      </c>
      <c r="BO75" s="1" t="n">
        <f aca="false">BM75+BN75</f>
        <v>0</v>
      </c>
      <c r="BP75" s="1" t="n">
        <f aca="false">BF75-BN75+BJ75*IF(Slot5_SpendLike=1,BL75-BM75,IF(Slot5_PotFree=1,BL75,0))</f>
        <v>46760.1655564859</v>
      </c>
      <c r="BQ75" s="1" t="n">
        <f aca="false">BG75+BJ75*Slot5_BufPot*BL75</f>
        <v>0</v>
      </c>
      <c r="BR75" s="1" t="n">
        <f aca="false">IF(AND(BJ75=1,Slot5_IsMfree=1),IF(BO75&gt;=Slot5_Cost-1,0,MAX(0,BH75-BO75)),BH75)</f>
        <v>0</v>
      </c>
      <c r="BS75" s="1" t="n">
        <f aca="false">BJ75*(Slot5_Cost-BO75)</f>
        <v>0</v>
      </c>
      <c r="BT75" s="1" t="n">
        <f aca="false">IF(AND(Slot6_On=1,D75=Slot6_Age),1,0)</f>
        <v>0</v>
      </c>
      <c r="BU75" s="1" t="n">
        <f aca="false">IF(AND(Slot6_On=1,Slot6_Age&gt;D75),1,0)</f>
        <v>0</v>
      </c>
      <c r="BV75" s="1" t="n">
        <f aca="false">HZ74</f>
        <v>0</v>
      </c>
      <c r="BW75" s="1" t="n">
        <f aca="false">BT75*MIN(Slot6_Cost,BV75)</f>
        <v>0</v>
      </c>
      <c r="BX75" s="1" t="n">
        <f aca="false">BT75*Slot6_SpendLike*MIN(Slot6_Cost-BW75,BP75)</f>
        <v>0</v>
      </c>
      <c r="BY75" s="1" t="n">
        <f aca="false">BW75+BX75</f>
        <v>0</v>
      </c>
      <c r="BZ75" s="1" t="n">
        <f aca="false">BP75-BX75+BT75*IF(Slot6_SpendLike=1,BV75-BW75,IF(Slot6_PotFree=1,BV75,0))</f>
        <v>46760.1655564859</v>
      </c>
      <c r="CA75" s="1" t="n">
        <f aca="false">BQ75+BT75*Slot6_BufPot*BV75</f>
        <v>0</v>
      </c>
      <c r="CB75" s="1" t="n">
        <f aca="false">IF(AND(BT75=1,Slot6_IsMfree=1),IF(BY75&gt;=Slot6_Cost-1,0,MAX(0,BR75-BY75)),BR75)</f>
        <v>0</v>
      </c>
      <c r="CC75" s="1" t="n">
        <f aca="false">BT75*(Slot6_Cost-BY75)</f>
        <v>0</v>
      </c>
      <c r="CD75" s="1" t="n">
        <f aca="false">IF(AND(Slot7_On=1,D75=Slot7_Age),1,0)</f>
        <v>0</v>
      </c>
      <c r="CE75" s="1" t="n">
        <f aca="false">IF(AND(Slot7_On=1,Slot7_Age&gt;D75),1,0)</f>
        <v>0</v>
      </c>
      <c r="CF75" s="1" t="n">
        <f aca="false">ID74</f>
        <v>0</v>
      </c>
      <c r="CG75" s="1" t="n">
        <f aca="false">CD75*MIN(Slot7_Cost,CF75)</f>
        <v>0</v>
      </c>
      <c r="CH75" s="1" t="n">
        <f aca="false">CD75*Slot7_SpendLike*MIN(Slot7_Cost-CG75,BZ75)</f>
        <v>0</v>
      </c>
      <c r="CI75" s="1" t="n">
        <f aca="false">CG75+CH75</f>
        <v>0</v>
      </c>
      <c r="CJ75" s="1" t="n">
        <f aca="false">BZ75-CH75+CD75*IF(Slot7_SpendLike=1,CF75-CG75,IF(Slot7_PotFree=1,CF75,0))</f>
        <v>46760.1655564859</v>
      </c>
      <c r="CK75" s="1" t="n">
        <f aca="false">CA75+CD75*Slot7_BufPot*CF75</f>
        <v>0</v>
      </c>
      <c r="CL75" s="1" t="n">
        <f aca="false">IF(AND(CD75=1,Slot7_IsMfree=1),IF(CI75&gt;=Slot7_Cost-1,0,MAX(0,CB75-CI75)),CB75)</f>
        <v>0</v>
      </c>
      <c r="CM75" s="1" t="n">
        <f aca="false">CD75*(Slot7_Cost-CI75)</f>
        <v>0</v>
      </c>
      <c r="CN75" s="1" t="n">
        <f aca="false">IF(AND(Slot8_On=1,D75=Slot8_Age),1,0)</f>
        <v>0</v>
      </c>
      <c r="CO75" s="1" t="n">
        <f aca="false">IF(AND(Slot8_On=1,Slot8_Age&gt;D75),1,0)</f>
        <v>0</v>
      </c>
      <c r="CP75" s="1" t="n">
        <f aca="false">IH74</f>
        <v>0</v>
      </c>
      <c r="CQ75" s="1" t="n">
        <f aca="false">CN75*MIN(Slot8_Cost,CP75)</f>
        <v>0</v>
      </c>
      <c r="CR75" s="1" t="n">
        <f aca="false">CN75*Slot8_SpendLike*MIN(Slot8_Cost-CQ75,CJ75)</f>
        <v>0</v>
      </c>
      <c r="CS75" s="1" t="n">
        <f aca="false">CQ75+CR75</f>
        <v>0</v>
      </c>
      <c r="CT75" s="1" t="n">
        <f aca="false">CJ75-CR75+CN75*IF(Slot8_SpendLike=1,CP75-CQ75,IF(Slot8_PotFree=1,CP75,0))</f>
        <v>46760.1655564859</v>
      </c>
      <c r="CU75" s="1" t="n">
        <f aca="false">CK75+CN75*Slot8_BufPot*CP75</f>
        <v>0</v>
      </c>
      <c r="CV75" s="1" t="n">
        <f aca="false">IF(AND(CN75=1,Slot8_IsMfree=1),IF(CS75&gt;=Slot8_Cost-1,0,MAX(0,CL75-CS75)),CL75)</f>
        <v>0</v>
      </c>
      <c r="CW75" s="1" t="n">
        <f aca="false">CN75*(Slot8_Cost-CS75)</f>
        <v>0</v>
      </c>
      <c r="CX75" s="1" t="n">
        <f aca="false">U75*Slot1_SpendLike*Z75+AF75*Slot2_SpendLike*AK75+AP75*Slot3_SpendLike*AU75+AZ75*Slot4_SpendLike*BE75+BJ75*Slot5_SpendLike*BO75+BT75*Slot6_SpendLike*BY75+CD75*Slot7_SpendLike*CI75+CN75*Slot8_SpendLike*CS75</f>
        <v>0</v>
      </c>
      <c r="CY75" s="1" t="n">
        <f aca="false">AD75+AO75+AY75+BI75+BS75+CC75+CM75+CW75</f>
        <v>0</v>
      </c>
      <c r="CZ75" s="1" t="n">
        <f aca="false">U75*Slot1_Cost+AF75*Slot2_Cost+AP75*Slot3_Cost+AZ75*Slot4_Cost+BJ75*Slot5_Cost+BT75*Slot6_Cost+CD75*Slot7_Cost+CN75*Slot8_Cost</f>
        <v>0</v>
      </c>
      <c r="DA75" s="1" t="n">
        <f aca="false">CV75</f>
        <v>0</v>
      </c>
      <c r="DB75" s="1" t="n">
        <f aca="false">G75-H75-R75</f>
        <v>46925.7859775833</v>
      </c>
      <c r="DC75" s="1" t="n">
        <f aca="false">IF(B75=0,IF(AND(Has_q6=1,In_q6=4),PR_ShareVaries*(MAX(0,DB75)/12),MIN(IF(Has_q6=1,CHOOSE(In_q6+1,PR_SaveB1,PR_SaveB2,PR_SaveB3,PR_SaveB4,0),AS_NoAnswer),AS_SaveShare*(MAX(0,DB75)/12))),DC74)</f>
        <v>0</v>
      </c>
      <c r="DD75" s="1" t="n">
        <f aca="false">IF(DB75&gt;=0,1,0)</f>
        <v>1</v>
      </c>
      <c r="DE75" s="1" t="n">
        <f aca="false">MAX(0,DB75/12/E75)</f>
        <v>1037.57333333333</v>
      </c>
      <c r="DF75" s="1" t="n">
        <f aca="false">IF(AND(Has_q6=1,In_q6=4),PR_ShareVaries*(DE75),MIN(IF(Has_q6=1,CHOOSE(In_q6+1,PR_SaveB1,PR_SaveB2,PR_SaveB3,PR_SaveB4,0),AS_NoAnswer),AS_SaveShare*(DE75)))</f>
        <v>300</v>
      </c>
      <c r="DG75" s="1" t="n">
        <f aca="false">IF(Has_saveM=1,IF(In_saveUp="Yes",1,IF(In_saveUp="No",0,IF(In_saveM&gt;=DC75-0.5,1,0))),0)</f>
        <v>0</v>
      </c>
      <c r="DH75" s="1" t="n">
        <f aca="false">IF(Has_saveM=1,MIN(DE75,IF(DG75=1,MAX(In_saveM,DF75),MIN(In_saveM,DF75))),DF75)</f>
        <v>300</v>
      </c>
      <c r="DI75" s="1" t="n">
        <f aca="false">IF(F75=1,DH75*12*E75,0)</f>
        <v>0</v>
      </c>
      <c r="DJ75" s="1" t="n">
        <f aca="false">MAX(0,DI75+IF(AND(WI_Retire=0,WI_M&lt;0,F75=1),WI_M*12*E75,0))</f>
        <v>0</v>
      </c>
      <c r="DK75" s="1" t="n">
        <f aca="false">Slot1_IsWG*V75+Slot2_IsWG*AG75+Slot3_IsWG*AQ75+Slot4_IsWG*BA75+Slot5_IsWG*BK75+Slot6_IsWG*BU75+Slot7_IsWG*CE75+Slot8_IsWG*CO75</f>
        <v>0</v>
      </c>
      <c r="DL75" s="1" t="n">
        <f aca="false">IF(AND(WI_Retire=0,WI_M&gt;0,F75=1,DK75&gt;=1),WI_M*12*E75,0)</f>
        <v>0</v>
      </c>
      <c r="DM75" s="1" t="n">
        <f aca="false">IF(DD75=1,MIN(DJ75,DB75),0)</f>
        <v>0</v>
      </c>
      <c r="DN75" s="1" t="n">
        <f aca="false">IF(DD75=1,MIN(DL75,DB75-DM75),0)</f>
        <v>0</v>
      </c>
      <c r="DO75" s="1" t="n">
        <f aca="false">IF(V75=1,IF(ABS((1+AS_Wage)/(1+Slot1_Rate)-1)&lt;0.000000000001,(Slot1_Age-D75)*(1+Slot1_Rate)^(Slot1_Age-D75),(1+Slot1_Rate)^(Slot1_Age-D75)*(1-((1+AS_Wage)/(1+Slot1_Rate))^(Slot1_Age-D75))/(1-(1+AS_Wage)/(1+Slot1_Rate))),1)</f>
        <v>1</v>
      </c>
      <c r="DP75" s="1" t="n">
        <f aca="false">IF(AND(DD75=1,DN75&gt;0,Slot1_IsWG=1,V75=1),MAX(0,(Slot1_Cost-W75*(1+Slot1_Rate)^(Slot1_Age-D75))/DO75),0)</f>
        <v>0</v>
      </c>
      <c r="DQ75" s="1" t="n">
        <f aca="false">IF(AND(DD75=1,DN75&gt;0,Slot1_IsWG=1,V75=1),MIN(DN75,DP75),0)</f>
        <v>0</v>
      </c>
      <c r="DR75" s="1" t="n">
        <f aca="false">W75+DQ75</f>
        <v>0</v>
      </c>
      <c r="DS75" s="1" t="n">
        <f aca="false">IF(V75=1,MAX(0,(Slot1_Cost-DR75*(1+Slot1_Rate)^(Slot1_Age-D75))/DO75),0)</f>
        <v>0</v>
      </c>
      <c r="DT75" s="1" t="n">
        <f aca="false">IF(V75=1,MAX(0,(Slot1_Cost-W75*(1+Slot1_Rate)^(Slot1_Age-D75))/DO75),0)</f>
        <v>0</v>
      </c>
      <c r="DU75" s="1" t="n">
        <f aca="false">IF(AND(DD75=1,V75=1),MIN(DM75,DS75),0)</f>
        <v>0</v>
      </c>
      <c r="DV75" s="1" t="n">
        <f aca="false">DM75-DU75</f>
        <v>0</v>
      </c>
      <c r="DW75" s="1" t="n">
        <f aca="false">IF(AG75=1,IF(ABS((1+AS_Wage)/(1+Slot2_Rate)-1)&lt;0.000000000001,(Slot2_Age-D75)*(1+Slot2_Rate)^(Slot2_Age-D75),(1+Slot2_Rate)^(Slot2_Age-D75)*(1-((1+AS_Wage)/(1+Slot2_Rate))^(Slot2_Age-D75))/(1-(1+AS_Wage)/(1+Slot2_Rate))),1)</f>
        <v>1</v>
      </c>
      <c r="DX75" s="1" t="n">
        <f aca="false">IF(AND(DD75=1,DN75&gt;0,Slot2_IsWG=1,AG75=1),MAX(0,(Slot2_Cost-AH75*(1+Slot2_Rate)^(Slot2_Age-D75))/DW75),0)</f>
        <v>0</v>
      </c>
      <c r="DY75" s="1" t="n">
        <f aca="false">IF(AND(DD75=1,DN75&gt;0,Slot2_IsWG=1,AG75=1),MIN(DN75,DX75),0)</f>
        <v>0</v>
      </c>
      <c r="DZ75" s="1" t="n">
        <f aca="false">AH75+DY75</f>
        <v>0</v>
      </c>
      <c r="EA75" s="1" t="n">
        <f aca="false">IF(AG75=1,MAX(0,(Slot2_Cost-DZ75*(1+Slot2_Rate)^(Slot2_Age-D75))/DW75),0)</f>
        <v>0</v>
      </c>
      <c r="EB75" s="1" t="n">
        <f aca="false">IF(AG75=1,MAX(0,(Slot2_Cost-AH75*(1+Slot2_Rate)^(Slot2_Age-D75))/DW75),0)</f>
        <v>0</v>
      </c>
      <c r="EC75" s="1" t="n">
        <f aca="false">IF(AND(DD75=1,AG75=1),MIN(DV75,EA75),0)</f>
        <v>0</v>
      </c>
      <c r="ED75" s="1" t="n">
        <f aca="false">DV75-EC75</f>
        <v>0</v>
      </c>
      <c r="EE75" s="1" t="n">
        <f aca="false">IF(AQ75=1,IF(ABS((1+AS_Wage)/(1+Slot3_Rate)-1)&lt;0.000000000001,(Slot3_Age-D75)*(1+Slot3_Rate)^(Slot3_Age-D75),(1+Slot3_Rate)^(Slot3_Age-D75)*(1-((1+AS_Wage)/(1+Slot3_Rate))^(Slot3_Age-D75))/(1-(1+AS_Wage)/(1+Slot3_Rate))),1)</f>
        <v>1</v>
      </c>
      <c r="EF75" s="1" t="n">
        <f aca="false">IF(AND(DD75=1,DN75&gt;0,Slot3_IsWG=1,AQ75=1),MAX(0,(Slot3_Cost-AR75*(1+Slot3_Rate)^(Slot3_Age-D75))/EE75),0)</f>
        <v>0</v>
      </c>
      <c r="EG75" s="1" t="n">
        <f aca="false">IF(AND(DD75=1,DN75&gt;0,Slot3_IsWG=1,AQ75=1),MIN(DN75,EF75),0)</f>
        <v>0</v>
      </c>
      <c r="EH75" s="1" t="n">
        <f aca="false">AR75+EG75</f>
        <v>0</v>
      </c>
      <c r="EI75" s="1" t="n">
        <f aca="false">IF(AQ75=1,MAX(0,(Slot3_Cost-EH75*(1+Slot3_Rate)^(Slot3_Age-D75))/EE75),0)</f>
        <v>0</v>
      </c>
      <c r="EJ75" s="1" t="n">
        <f aca="false">IF(AQ75=1,MAX(0,(Slot3_Cost-AR75*(1+Slot3_Rate)^(Slot3_Age-D75))/EE75),0)</f>
        <v>0</v>
      </c>
      <c r="EK75" s="1" t="n">
        <f aca="false">IF(AND(DD75=1,AQ75=1),MIN(ED75,EI75),0)</f>
        <v>0</v>
      </c>
      <c r="EL75" s="1" t="n">
        <f aca="false">ED75-EK75</f>
        <v>0</v>
      </c>
      <c r="EM75" s="1" t="n">
        <f aca="false">IF(BA75=1,IF(ABS((1+AS_Wage)/(1+Slot4_Rate)-1)&lt;0.000000000001,(Slot4_Age-D75)*(1+Slot4_Rate)^(Slot4_Age-D75),(1+Slot4_Rate)^(Slot4_Age-D75)*(1-((1+AS_Wage)/(1+Slot4_Rate))^(Slot4_Age-D75))/(1-(1+AS_Wage)/(1+Slot4_Rate))),1)</f>
        <v>1</v>
      </c>
      <c r="EN75" s="1" t="n">
        <f aca="false">IF(AND(DD75=1,DN75&gt;0,Slot4_IsWG=1,BA75=1),MAX(0,(Slot4_Cost-BB75*(1+Slot4_Rate)^(Slot4_Age-D75))/EM75),0)</f>
        <v>0</v>
      </c>
      <c r="EO75" s="1" t="n">
        <f aca="false">IF(AND(DD75=1,DN75&gt;0,Slot4_IsWG=1,BA75=1),MIN(DN75,EN75),0)</f>
        <v>0</v>
      </c>
      <c r="EP75" s="1" t="n">
        <f aca="false">BB75+EO75</f>
        <v>0</v>
      </c>
      <c r="EQ75" s="1" t="n">
        <f aca="false">IF(BA75=1,MAX(0,(Slot4_Cost-EP75*(1+Slot4_Rate)^(Slot4_Age-D75))/EM75),0)</f>
        <v>0</v>
      </c>
      <c r="ER75" s="1" t="n">
        <f aca="false">IF(BA75=1,MAX(0,(Slot4_Cost-BB75*(1+Slot4_Rate)^(Slot4_Age-D75))/EM75),0)</f>
        <v>0</v>
      </c>
      <c r="ES75" s="1" t="n">
        <f aca="false">IF(AND(DD75=1,BA75=1),MIN(EL75,EQ75),0)</f>
        <v>0</v>
      </c>
      <c r="ET75" s="1" t="n">
        <f aca="false">EL75-ES75</f>
        <v>0</v>
      </c>
      <c r="EU75" s="1" t="n">
        <f aca="false">IF(BK75=1,IF(ABS((1+AS_Wage)/(1+Slot5_Rate)-1)&lt;0.000000000001,(Slot5_Age-D75)*(1+Slot5_Rate)^(Slot5_Age-D75),(1+Slot5_Rate)^(Slot5_Age-D75)*(1-((1+AS_Wage)/(1+Slot5_Rate))^(Slot5_Age-D75))/(1-(1+AS_Wage)/(1+Slot5_Rate))),1)</f>
        <v>1</v>
      </c>
      <c r="EV75" s="1" t="n">
        <f aca="false">IF(AND(DD75=1,DN75&gt;0,Slot5_IsWG=1,BK75=1),MAX(0,(Slot5_Cost-BL75*(1+Slot5_Rate)^(Slot5_Age-D75))/EU75),0)</f>
        <v>0</v>
      </c>
      <c r="EW75" s="1" t="n">
        <f aca="false">IF(AND(DD75=1,DN75&gt;0,Slot5_IsWG=1,BK75=1),MIN(DN75,EV75),0)</f>
        <v>0</v>
      </c>
      <c r="EX75" s="1" t="n">
        <f aca="false">BL75+EW75</f>
        <v>0</v>
      </c>
      <c r="EY75" s="1" t="n">
        <f aca="false">IF(BK75=1,MAX(0,(Slot5_Cost-EX75*(1+Slot5_Rate)^(Slot5_Age-D75))/EU75),0)</f>
        <v>0</v>
      </c>
      <c r="EZ75" s="1" t="n">
        <f aca="false">IF(BK75=1,MAX(0,(Slot5_Cost-BL75*(1+Slot5_Rate)^(Slot5_Age-D75))/EU75),0)</f>
        <v>0</v>
      </c>
      <c r="FA75" s="1" t="n">
        <f aca="false">IF(AND(DD75=1,BK75=1),MIN(ET75,EY75),0)</f>
        <v>0</v>
      </c>
      <c r="FB75" s="1" t="n">
        <f aca="false">ET75-FA75</f>
        <v>0</v>
      </c>
      <c r="FC75" s="1" t="n">
        <f aca="false">IF(BU75=1,IF(ABS((1+AS_Wage)/(1+Slot6_Rate)-1)&lt;0.000000000001,(Slot6_Age-D75)*(1+Slot6_Rate)^(Slot6_Age-D75),(1+Slot6_Rate)^(Slot6_Age-D75)*(1-((1+AS_Wage)/(1+Slot6_Rate))^(Slot6_Age-D75))/(1-(1+AS_Wage)/(1+Slot6_Rate))),1)</f>
        <v>1</v>
      </c>
      <c r="FD75" s="1" t="n">
        <f aca="false">IF(AND(DD75=1,DN75&gt;0,Slot6_IsWG=1,BU75=1),MAX(0,(Slot6_Cost-BV75*(1+Slot6_Rate)^(Slot6_Age-D75))/FC75),0)</f>
        <v>0</v>
      </c>
      <c r="FE75" s="1" t="n">
        <f aca="false">IF(AND(DD75=1,DN75&gt;0,Slot6_IsWG=1,BU75=1),MIN(DN75,FD75),0)</f>
        <v>0</v>
      </c>
      <c r="FF75" s="1" t="n">
        <f aca="false">BV75+FE75</f>
        <v>0</v>
      </c>
      <c r="FG75" s="1" t="n">
        <f aca="false">IF(BU75=1,MAX(0,(Slot6_Cost-FF75*(1+Slot6_Rate)^(Slot6_Age-D75))/FC75),0)</f>
        <v>0</v>
      </c>
      <c r="FH75" s="1" t="n">
        <f aca="false">IF(BU75=1,MAX(0,(Slot6_Cost-BV75*(1+Slot6_Rate)^(Slot6_Age-D75))/FC75),0)</f>
        <v>0</v>
      </c>
      <c r="FI75" s="1" t="n">
        <f aca="false">IF(AND(DD75=1,BU75=1),MIN(FB75,FG75),0)</f>
        <v>0</v>
      </c>
      <c r="FJ75" s="1" t="n">
        <f aca="false">FB75-FI75</f>
        <v>0</v>
      </c>
      <c r="FK75" s="1" t="n">
        <f aca="false">IF(CE75=1,IF(ABS((1+AS_Wage)/(1+Slot7_Rate)-1)&lt;0.000000000001,(Slot7_Age-D75)*(1+Slot7_Rate)^(Slot7_Age-D75),(1+Slot7_Rate)^(Slot7_Age-D75)*(1-((1+AS_Wage)/(1+Slot7_Rate))^(Slot7_Age-D75))/(1-(1+AS_Wage)/(1+Slot7_Rate))),1)</f>
        <v>1</v>
      </c>
      <c r="FL75" s="1" t="n">
        <f aca="false">IF(AND(DD75=1,DN75&gt;0,Slot7_IsWG=1,CE75=1),MAX(0,(Slot7_Cost-CF75*(1+Slot7_Rate)^(Slot7_Age-D75))/FK75),0)</f>
        <v>0</v>
      </c>
      <c r="FM75" s="1" t="n">
        <f aca="false">IF(AND(DD75=1,DN75&gt;0,Slot7_IsWG=1,CE75=1),MIN(DN75,FL75),0)</f>
        <v>0</v>
      </c>
      <c r="FN75" s="1" t="n">
        <f aca="false">CF75+FM75</f>
        <v>0</v>
      </c>
      <c r="FO75" s="1" t="n">
        <f aca="false">IF(CE75=1,MAX(0,(Slot7_Cost-FN75*(1+Slot7_Rate)^(Slot7_Age-D75))/FK75),0)</f>
        <v>0</v>
      </c>
      <c r="FP75" s="1" t="n">
        <f aca="false">IF(CE75=1,MAX(0,(Slot7_Cost-CF75*(1+Slot7_Rate)^(Slot7_Age-D75))/FK75),0)</f>
        <v>0</v>
      </c>
      <c r="FQ75" s="1" t="n">
        <f aca="false">IF(AND(DD75=1,CE75=1),MIN(FJ75,FO75),0)</f>
        <v>0</v>
      </c>
      <c r="FR75" s="1" t="n">
        <f aca="false">FJ75-FQ75</f>
        <v>0</v>
      </c>
      <c r="FS75" s="1" t="n">
        <f aca="false">IF(CO75=1,IF(ABS((1+AS_Wage)/(1+Slot8_Rate)-1)&lt;0.000000000001,(Slot8_Age-D75)*(1+Slot8_Rate)^(Slot8_Age-D75),(1+Slot8_Rate)^(Slot8_Age-D75)*(1-((1+AS_Wage)/(1+Slot8_Rate))^(Slot8_Age-D75))/(1-(1+AS_Wage)/(1+Slot8_Rate))),1)</f>
        <v>1</v>
      </c>
      <c r="FT75" s="1" t="n">
        <f aca="false">IF(AND(DD75=1,DN75&gt;0,Slot8_IsWG=1,CO75=1),MAX(0,(Slot8_Cost-CP75*(1+Slot8_Rate)^(Slot8_Age-D75))/FS75),0)</f>
        <v>0</v>
      </c>
      <c r="FU75" s="1" t="n">
        <f aca="false">IF(AND(DD75=1,DN75&gt;0,Slot8_IsWG=1,CO75=1),MIN(DN75,FT75),0)</f>
        <v>0</v>
      </c>
      <c r="FV75" s="1" t="n">
        <f aca="false">CP75+FU75</f>
        <v>0</v>
      </c>
      <c r="FW75" s="1" t="n">
        <f aca="false">IF(CO75=1,MAX(0,(Slot8_Cost-FV75*(1+Slot8_Rate)^(Slot8_Age-D75))/FS75),0)</f>
        <v>0</v>
      </c>
      <c r="FX75" s="1" t="n">
        <f aca="false">IF(CO75=1,MAX(0,(Slot8_Cost-CP75*(1+Slot8_Rate)^(Slot8_Age-D75))/FS75),0)</f>
        <v>0</v>
      </c>
      <c r="FY75" s="1" t="n">
        <f aca="false">IF(AND(DD75=1,CO75=1),MIN(FR75,FW75),0)</f>
        <v>0</v>
      </c>
      <c r="FZ75" s="1" t="n">
        <f aca="false">FR75-FY75</f>
        <v>0</v>
      </c>
      <c r="GA75" s="1" t="n">
        <f aca="false">DN75-(DQ75+DY75+EG75+EO75+EW75+FE75+FM75+FU75)</f>
        <v>0</v>
      </c>
      <c r="GB75" s="1" t="n">
        <f aca="false">IF(DD75=1,DB75-DM75-DN75,0)</f>
        <v>46925.7859775833</v>
      </c>
      <c r="GC75" s="1" t="n">
        <f aca="false">IF(DD75=0,-DB75,0)</f>
        <v>0</v>
      </c>
      <c r="GD75" s="1" t="n">
        <f aca="false">MIN(GC75,CT75)</f>
        <v>0</v>
      </c>
      <c r="GE75" s="1" t="n">
        <f aca="false">GC75-GD75</f>
        <v>0</v>
      </c>
      <c r="GF75" s="1" t="n">
        <f aca="false">MIN(GE75,CU75)</f>
        <v>0</v>
      </c>
      <c r="GG75" s="1" t="n">
        <f aca="false">GE75-GF75</f>
        <v>0</v>
      </c>
      <c r="GH75" s="1" t="n">
        <f aca="false">IF(AND(DD75=0,CO75=1,GG75&gt;0),MIN(GG75,CP75),0)</f>
        <v>0</v>
      </c>
      <c r="GI75" s="1" t="n">
        <f aca="false">GG75-GH75</f>
        <v>0</v>
      </c>
      <c r="GJ75" s="1" t="n">
        <f aca="false">IF(AND(DD75=0,CE75=1,GI75&gt;0),MIN(GI75,CF75),0)</f>
        <v>0</v>
      </c>
      <c r="GK75" s="1" t="n">
        <f aca="false">GI75-GJ75</f>
        <v>0</v>
      </c>
      <c r="GL75" s="1" t="n">
        <f aca="false">IF(AND(DD75=0,BU75=1,GK75&gt;0),MIN(GK75,BV75),0)</f>
        <v>0</v>
      </c>
      <c r="GM75" s="1" t="n">
        <f aca="false">GK75-GL75</f>
        <v>0</v>
      </c>
      <c r="GN75" s="1" t="n">
        <f aca="false">IF(AND(DD75=0,BK75=1,GM75&gt;0),MIN(GM75,BL75),0)</f>
        <v>0</v>
      </c>
      <c r="GO75" s="1" t="n">
        <f aca="false">GM75-GN75</f>
        <v>0</v>
      </c>
      <c r="GP75" s="1" t="n">
        <f aca="false">IF(AND(DD75=0,BA75=1,GO75&gt;0),MIN(GO75,BB75),0)</f>
        <v>0</v>
      </c>
      <c r="GQ75" s="1" t="n">
        <f aca="false">GO75-GP75</f>
        <v>0</v>
      </c>
      <c r="GR75" s="1" t="n">
        <f aca="false">IF(AND(DD75=0,AQ75=1,GQ75&gt;0),MIN(GQ75,AR75),0)</f>
        <v>0</v>
      </c>
      <c r="GS75" s="1" t="n">
        <f aca="false">GQ75-GR75</f>
        <v>0</v>
      </c>
      <c r="GT75" s="1" t="n">
        <f aca="false">IF(AND(DD75=0,AG75=1,GS75&gt;0),MIN(GS75,AH75),0)</f>
        <v>0</v>
      </c>
      <c r="GU75" s="1" t="n">
        <f aca="false">GS75-GT75</f>
        <v>0</v>
      </c>
      <c r="GV75" s="1" t="n">
        <f aca="false">IF(AND(DD75=0,V75=1,GU75&gt;0),MIN(GU75,W75),0)</f>
        <v>0</v>
      </c>
      <c r="GW75" s="1" t="n">
        <f aca="false">GU75-GV75</f>
        <v>0</v>
      </c>
      <c r="GX75" s="1" t="n">
        <f aca="false">IF(DD75=0,GW75,0)</f>
        <v>0</v>
      </c>
      <c r="GY75" s="1" t="n">
        <f aca="false">GD75+GF75+GV75+GT75+GR75+GP75+GN75+GL75+GJ75+GH75</f>
        <v>0</v>
      </c>
      <c r="GZ75" s="1" t="n">
        <f aca="false">IF(DD75=1,CT75+GA75+FZ75+IF(F75=1,0,GB75),CT75-GD75)</f>
        <v>93685.9515340692</v>
      </c>
      <c r="HA75" s="1" t="n">
        <f aca="false">CU75-GF75</f>
        <v>0</v>
      </c>
      <c r="HB75" s="1" t="n">
        <f aca="false">IF(DD75=1,IF(F75=1,DM75+DN75,DB75),0)</f>
        <v>46925.7859775833</v>
      </c>
      <c r="HC75" s="1" t="n">
        <f aca="false">IF(DD75=1,IF(F75=1,DB75-DM75-DN75,0),0)</f>
        <v>0</v>
      </c>
      <c r="HD75" s="1" t="n">
        <f aca="false">GZ75*(1+GR)</f>
        <v>95222.4011392279</v>
      </c>
      <c r="HE75" s="1" t="n">
        <f aca="false">HA75*(1+AS_Cash)</f>
        <v>0</v>
      </c>
      <c r="HF75" s="1" t="n">
        <f aca="false">IF(V75=1,IF(DD75=1,DR75+DU75,W75-GV75)*(1+Slot1_Rate),0)</f>
        <v>0</v>
      </c>
      <c r="HG75" s="1" t="n">
        <f aca="false">IF(AND(DD75=1,V75=1),(DQ75+DU75)/E75,0)</f>
        <v>0</v>
      </c>
      <c r="HH75" s="1" t="n">
        <f aca="false">IF(B75=0,DQ75+DU75,0)</f>
        <v>0</v>
      </c>
      <c r="HI75" s="1" t="n">
        <f aca="false">IF(B75=0,IF(DD75=1,DS75,DT75),0)</f>
        <v>0</v>
      </c>
      <c r="HJ75" s="1" t="n">
        <f aca="false">IF(AG75=1,IF(DD75=1,DZ75+EC75,AH75-GT75)*(1+Slot2_Rate),0)</f>
        <v>0</v>
      </c>
      <c r="HK75" s="1" t="n">
        <f aca="false">IF(AND(DD75=1,AG75=1),(DY75+EC75)/E75,0)</f>
        <v>0</v>
      </c>
      <c r="HL75" s="1" t="n">
        <f aca="false">IF(B75=0,DY75+EC75,0)</f>
        <v>0</v>
      </c>
      <c r="HM75" s="1" t="n">
        <f aca="false">IF(B75=0,IF(DD75=1,EA75,EB75),0)</f>
        <v>0</v>
      </c>
      <c r="HN75" s="1" t="n">
        <f aca="false">IF(AQ75=1,IF(DD75=1,EH75+EK75,AR75-GR75)*(1+Slot3_Rate),0)</f>
        <v>0</v>
      </c>
      <c r="HO75" s="1" t="n">
        <f aca="false">IF(AND(DD75=1,AQ75=1),(EG75+EK75)/E75,0)</f>
        <v>0</v>
      </c>
      <c r="HP75" s="1" t="n">
        <f aca="false">IF(B75=0,EG75+EK75,0)</f>
        <v>0</v>
      </c>
      <c r="HQ75" s="1" t="n">
        <f aca="false">IF(B75=0,IF(DD75=1,EI75,EJ75),0)</f>
        <v>0</v>
      </c>
      <c r="HR75" s="1" t="n">
        <f aca="false">IF(BA75=1,IF(DD75=1,EP75+ES75,BB75-GP75)*(1+Slot4_Rate),0)</f>
        <v>0</v>
      </c>
      <c r="HS75" s="1" t="n">
        <f aca="false">IF(AND(DD75=1,BA75=1),(EO75+ES75)/E75,0)</f>
        <v>0</v>
      </c>
      <c r="HT75" s="1" t="n">
        <f aca="false">IF(B75=0,EO75+ES75,0)</f>
        <v>0</v>
      </c>
      <c r="HU75" s="1" t="n">
        <f aca="false">IF(B75=0,IF(DD75=1,EQ75,ER75),0)</f>
        <v>0</v>
      </c>
      <c r="HV75" s="1" t="n">
        <f aca="false">IF(BK75=1,IF(DD75=1,EX75+FA75,BL75-GN75)*(1+Slot5_Rate),0)</f>
        <v>0</v>
      </c>
      <c r="HW75" s="1" t="n">
        <f aca="false">IF(AND(DD75=1,BK75=1),(EW75+FA75)/E75,0)</f>
        <v>0</v>
      </c>
      <c r="HX75" s="1" t="n">
        <f aca="false">IF(B75=0,EW75+FA75,0)</f>
        <v>0</v>
      </c>
      <c r="HY75" s="1" t="n">
        <f aca="false">IF(B75=0,IF(DD75=1,EY75,EZ75),0)</f>
        <v>0</v>
      </c>
      <c r="HZ75" s="1" t="n">
        <f aca="false">IF(BU75=1,IF(DD75=1,FF75+FI75,BV75-GL75)*(1+Slot6_Rate),0)</f>
        <v>0</v>
      </c>
      <c r="IA75" s="1" t="n">
        <f aca="false">IF(AND(DD75=1,BU75=1),(FE75+FI75)/E75,0)</f>
        <v>0</v>
      </c>
      <c r="IB75" s="1" t="n">
        <f aca="false">IF(B75=0,FE75+FI75,0)</f>
        <v>0</v>
      </c>
      <c r="IC75" s="1" t="n">
        <f aca="false">IF(B75=0,IF(DD75=1,FG75,FH75),0)</f>
        <v>0</v>
      </c>
      <c r="ID75" s="1" t="n">
        <f aca="false">IF(CE75=1,IF(DD75=1,FN75+FQ75,CF75-GJ75)*(1+Slot7_Rate),0)</f>
        <v>0</v>
      </c>
      <c r="IE75" s="1" t="n">
        <f aca="false">IF(AND(DD75=1,CE75=1),(FM75+FQ75)/E75,0)</f>
        <v>0</v>
      </c>
      <c r="IF75" s="1" t="n">
        <f aca="false">IF(B75=0,FM75+FQ75,0)</f>
        <v>0</v>
      </c>
      <c r="IG75" s="1" t="n">
        <f aca="false">IF(B75=0,IF(DD75=1,FO75,FP75),0)</f>
        <v>0</v>
      </c>
      <c r="IH75" s="1" t="n">
        <f aca="false">IF(CO75=1,IF(DD75=1,FV75+FY75,CP75-GH75)*(1+Slot8_Rate),0)</f>
        <v>0</v>
      </c>
      <c r="II75" s="1" t="n">
        <f aca="false">IF(AND(DD75=1,CO75=1),(FU75+FY75)/E75,0)</f>
        <v>0</v>
      </c>
      <c r="IJ75" s="1" t="n">
        <f aca="false">IF(B75=0,FU75+FY75,0)</f>
        <v>0</v>
      </c>
      <c r="IK75" s="1" t="n">
        <f aca="false">IF(B75=0,IF(DD75=1,FW75,FX75),0)</f>
        <v>0</v>
      </c>
      <c r="IL75" s="1" t="n">
        <f aca="false">HD75+HE75+HF75+HJ75+HN75+HR75+HV75+HZ75+ID75+IH75</f>
        <v>95222.4011392279</v>
      </c>
      <c r="IM75" s="1" t="n">
        <f aca="false">GX75+CY75</f>
        <v>0</v>
      </c>
      <c r="IN75" s="1" t="n">
        <f aca="false">H75+R75</f>
        <v>0</v>
      </c>
      <c r="IO75" s="1" t="n">
        <f aca="false">1-F75</f>
        <v>1</v>
      </c>
      <c r="IP75" s="1" t="n">
        <f aca="false">IF(AND(RG_Exists=1,F75=0,C75=1),H75,0)</f>
        <v>0</v>
      </c>
      <c r="IQ75" s="1" t="n">
        <f aca="false">IF(AND(RG_Exists=1,F75=0,C75=1),H75-MIN(GX75,H75),0)</f>
        <v>0</v>
      </c>
      <c r="IR75" s="1" t="n">
        <f aca="false">'Plan pay &amp; tax'!AD277</f>
        <v>0</v>
      </c>
      <c r="IS75" s="1" t="n">
        <f aca="false">IF(AND(C75=1,GX75&gt;MAX(PR_Short1,IN75*PR_Short2)),1,0)</f>
        <v>0</v>
      </c>
      <c r="IT75" s="1" t="n">
        <f aca="false">MIN(G75,H75+R75)</f>
        <v>0</v>
      </c>
      <c r="IU75" s="1" t="n">
        <f aca="false">GY75+MAX(0,CZ75-CY75)</f>
        <v>0</v>
      </c>
      <c r="IV75" s="1" t="n">
        <f aca="false">GX75+CY75</f>
        <v>0</v>
      </c>
      <c r="IW75" s="1" t="n">
        <f aca="false">IF(AND(C75=1,IV75&gt;0.5),1,0)</f>
        <v>0</v>
      </c>
      <c r="IX75" s="1" t="n">
        <f aca="false">IF(AND(C75=1,IW75=0,IU75&gt;0.5),1,0)</f>
        <v>0</v>
      </c>
      <c r="IY75" s="1" t="n">
        <f aca="false">IF(AND(C75=1,GX75&gt;0.5),1,0)</f>
        <v>0</v>
      </c>
      <c r="IZ75" s="1" t="n">
        <f aca="false">IF(AND(C75=1,GY75&gt;1,JF75=0),1,0)</f>
        <v>0</v>
      </c>
      <c r="JA75" s="1" t="n">
        <f aca="false">IF(AND(INT(D75/10)*10=90,B75&gt;0),80,INT(D75/10)*10)</f>
        <v>60</v>
      </c>
      <c r="JB75" s="1" t="n">
        <f aca="false">IF(B75=0,1,IF(JA75&lt;&gt;JA74,JB74+1,JB74))</f>
        <v>7</v>
      </c>
      <c r="JC75" s="1" t="n">
        <f aca="false">IF(AND(C75=1,F75=1,GX75&gt;MAX(PR_Short1,IN75*PR_Short2)),1,0)</f>
        <v>0</v>
      </c>
      <c r="JD75" s="1" t="n">
        <f aca="false">IO75*IS75</f>
        <v>0</v>
      </c>
      <c r="JE75" s="1" t="n">
        <f aca="false">IF(AND(U75=1,Slot1_PctLow=1),1,0)+IF(AND(AF75=1,Slot2_PctLow=1),1,0)+IF(AND(AP75=1,Slot3_PctLow=1),1,0)+IF(AND(AZ75=1,Slot4_PctLow=1),1,0)+IF(AND(BJ75=1,Slot5_PctLow=1),1,0)+IF(AND(BT75=1,Slot6_PctLow=1),1,0)+IF(AND(CD75=1,Slot7_PctLow=1),1,0)+IF(AND(CN75=1,Slot8_PctLow=1),1,0)</f>
        <v>0</v>
      </c>
      <c r="JF75" s="1" t="n">
        <f aca="false">IF(C75=1,IF(OR(IS75=1,JE75&gt;0),1,0),0)</f>
        <v>0</v>
      </c>
    </row>
    <row r="76" customFormat="false" ht="15" hidden="false" customHeight="false" outlineLevel="0" collapsed="false">
      <c r="B76" s="1" t="n">
        <v>68</v>
      </c>
      <c r="C76" s="1" t="n">
        <f aca="false">IF(B76&lt;=F_N,1,0)</f>
        <v>1</v>
      </c>
      <c r="D76" s="1" t="n">
        <f aca="false">'Plan pay &amp; tax'!C278</f>
        <v>68</v>
      </c>
      <c r="E76" s="106" t="n">
        <f aca="false">'Plan pay &amp; tax'!E278</f>
        <v>3.8442505025456</v>
      </c>
      <c r="F76" s="1" t="n">
        <f aca="false">'Plan pay &amp; tax'!G278</f>
        <v>0</v>
      </c>
      <c r="G76" s="1" t="n">
        <f aca="false">'Plan pay &amp; tax'!BT278-'Plan pay &amp; tax'!BS278-'Plan pay &amp; tax'!R278</f>
        <v>47864.3016971349</v>
      </c>
      <c r="H76" s="1" t="n">
        <f aca="false">IF(F76=1,F_CostsM*12,IF(RG_Exists=1,RG_Amount,F_CostsM*12*AS_RetireSpend))*E76+F_OneOffY*E76</f>
        <v>0</v>
      </c>
      <c r="I76" s="1" t="n">
        <f aca="false">DA75</f>
        <v>0</v>
      </c>
      <c r="J76" s="1" t="n">
        <f aca="false">IF(I76&gt;1,'Plan debt months'!AC76,0)</f>
        <v>0</v>
      </c>
      <c r="K76" s="1" t="n">
        <f aca="false">IF(I76&gt;1,'Plan debt months'!AB76,I76)</f>
        <v>0</v>
      </c>
      <c r="L76" s="1" t="n">
        <f aca="false">N75</f>
        <v>0</v>
      </c>
      <c r="M76" s="1" t="n">
        <f aca="false">IF(L76&gt;1,'Plan debt months'!BD76,0)</f>
        <v>0</v>
      </c>
      <c r="N76" s="1" t="n">
        <f aca="false">IF(L76&gt;1,'Plan debt months'!BC76,L76)</f>
        <v>0</v>
      </c>
      <c r="O76" s="1" t="n">
        <f aca="false">Q75</f>
        <v>0</v>
      </c>
      <c r="P76" s="1" t="n">
        <f aca="false">IF(O76&gt;1,'Plan debt months'!CE76,0)</f>
        <v>0</v>
      </c>
      <c r="Q76" s="1" t="n">
        <f aca="false">IF(O76&gt;1,'Plan debt months'!CD76,O76)</f>
        <v>0</v>
      </c>
      <c r="R76" s="1" t="n">
        <f aca="false">J76+M76+P76</f>
        <v>0</v>
      </c>
      <c r="S76" s="1" t="n">
        <f aca="false">HD75+'Plan pay &amp; tax'!Y278</f>
        <v>95222.4011392279</v>
      </c>
      <c r="T76" s="1" t="n">
        <f aca="false">HD75</f>
        <v>95222.4011392279</v>
      </c>
      <c r="U76" s="1" t="n">
        <f aca="false">IF(AND(Slot1_On=1,D76=Slot1_Age),1,0)</f>
        <v>0</v>
      </c>
      <c r="V76" s="1" t="n">
        <f aca="false">IF(AND(Slot1_On=1,Slot1_Age&gt;D76),1,0)</f>
        <v>0</v>
      </c>
      <c r="W76" s="1" t="n">
        <f aca="false">HF75</f>
        <v>0</v>
      </c>
      <c r="X76" s="1" t="n">
        <f aca="false">U76*MIN(Slot1_Cost,W76)</f>
        <v>0</v>
      </c>
      <c r="Y76" s="1" t="n">
        <f aca="false">U76*Slot1_SpendLike*MIN(Slot1_Cost-X76,S76)</f>
        <v>0</v>
      </c>
      <c r="Z76" s="1" t="n">
        <f aca="false">X76+Y76</f>
        <v>0</v>
      </c>
      <c r="AA76" s="1" t="n">
        <f aca="false">S76-Y76+U76*IF(Slot1_SpendLike=1,W76-X76,IF(Slot1_PotFree=1,W76,0))</f>
        <v>95222.4011392279</v>
      </c>
      <c r="AB76" s="1" t="n">
        <f aca="false">AE76+U76*Slot1_BufPot*W76</f>
        <v>0</v>
      </c>
      <c r="AC76" s="1" t="n">
        <f aca="false">IF(AND(U76=1,Slot1_IsMfree=1),IF(Z76&gt;=Slot1_Cost-1,0,MAX(0,K76-Z76)),K76)</f>
        <v>0</v>
      </c>
      <c r="AD76" s="1" t="n">
        <f aca="false">U76*(Slot1_Cost-Z76)</f>
        <v>0</v>
      </c>
      <c r="AE76" s="1" t="n">
        <f aca="false">HE75</f>
        <v>0</v>
      </c>
      <c r="AF76" s="1" t="n">
        <f aca="false">IF(AND(Slot2_On=1,D76=Slot2_Age),1,0)</f>
        <v>0</v>
      </c>
      <c r="AG76" s="1" t="n">
        <f aca="false">IF(AND(Slot2_On=1,Slot2_Age&gt;D76),1,0)</f>
        <v>0</v>
      </c>
      <c r="AH76" s="1" t="n">
        <f aca="false">HJ75</f>
        <v>0</v>
      </c>
      <c r="AI76" s="1" t="n">
        <f aca="false">AF76*MIN(Slot2_Cost,AH76)</f>
        <v>0</v>
      </c>
      <c r="AJ76" s="1" t="n">
        <f aca="false">AF76*Slot2_SpendLike*MIN(Slot2_Cost-AI76,AA76)</f>
        <v>0</v>
      </c>
      <c r="AK76" s="1" t="n">
        <f aca="false">AI76+AJ76</f>
        <v>0</v>
      </c>
      <c r="AL76" s="1" t="n">
        <f aca="false">AA76-AJ76+AF76*IF(Slot2_SpendLike=1,AH76-AI76,IF(Slot2_PotFree=1,AH76,0))</f>
        <v>95222.4011392279</v>
      </c>
      <c r="AM76" s="1" t="n">
        <f aca="false">AB76+AF76*Slot2_BufPot*AH76</f>
        <v>0</v>
      </c>
      <c r="AN76" s="1" t="n">
        <f aca="false">IF(AND(AF76=1,Slot2_IsMfree=1),IF(AK76&gt;=Slot2_Cost-1,0,MAX(0,AC76-AK76)),AC76)</f>
        <v>0</v>
      </c>
      <c r="AO76" s="1" t="n">
        <f aca="false">AF76*(Slot2_Cost-AK76)</f>
        <v>0</v>
      </c>
      <c r="AP76" s="1" t="n">
        <f aca="false">IF(AND(Slot3_On=1,D76=Slot3_Age),1,0)</f>
        <v>0</v>
      </c>
      <c r="AQ76" s="1" t="n">
        <f aca="false">IF(AND(Slot3_On=1,Slot3_Age&gt;D76),1,0)</f>
        <v>0</v>
      </c>
      <c r="AR76" s="1" t="n">
        <f aca="false">HN75</f>
        <v>0</v>
      </c>
      <c r="AS76" s="1" t="n">
        <f aca="false">AP76*MIN(Slot3_Cost,AR76)</f>
        <v>0</v>
      </c>
      <c r="AT76" s="1" t="n">
        <f aca="false">AP76*Slot3_SpendLike*MIN(Slot3_Cost-AS76,AL76)</f>
        <v>0</v>
      </c>
      <c r="AU76" s="1" t="n">
        <f aca="false">AS76+AT76</f>
        <v>0</v>
      </c>
      <c r="AV76" s="1" t="n">
        <f aca="false">AL76-AT76+AP76*IF(Slot3_SpendLike=1,AR76-AS76,IF(Slot3_PotFree=1,AR76,0))</f>
        <v>95222.4011392279</v>
      </c>
      <c r="AW76" s="1" t="n">
        <f aca="false">AM76+AP76*Slot3_BufPot*AR76</f>
        <v>0</v>
      </c>
      <c r="AX76" s="1" t="n">
        <f aca="false">IF(AND(AP76=1,Slot3_IsMfree=1),IF(AU76&gt;=Slot3_Cost-1,0,MAX(0,AN76-AU76)),AN76)</f>
        <v>0</v>
      </c>
      <c r="AY76" s="1" t="n">
        <f aca="false">AP76*(Slot3_Cost-AU76)</f>
        <v>0</v>
      </c>
      <c r="AZ76" s="1" t="n">
        <f aca="false">IF(AND(Slot4_On=1,D76=Slot4_Age),1,0)</f>
        <v>0</v>
      </c>
      <c r="BA76" s="1" t="n">
        <f aca="false">IF(AND(Slot4_On=1,Slot4_Age&gt;D76),1,0)</f>
        <v>0</v>
      </c>
      <c r="BB76" s="1" t="n">
        <f aca="false">HR75</f>
        <v>0</v>
      </c>
      <c r="BC76" s="1" t="n">
        <f aca="false">AZ76*MIN(Slot4_Cost,BB76)</f>
        <v>0</v>
      </c>
      <c r="BD76" s="1" t="n">
        <f aca="false">AZ76*Slot4_SpendLike*MIN(Slot4_Cost-BC76,AV76)</f>
        <v>0</v>
      </c>
      <c r="BE76" s="1" t="n">
        <f aca="false">BC76+BD76</f>
        <v>0</v>
      </c>
      <c r="BF76" s="1" t="n">
        <f aca="false">AV76-BD76+AZ76*IF(Slot4_SpendLike=1,BB76-BC76,IF(Slot4_PotFree=1,BB76,0))</f>
        <v>95222.4011392279</v>
      </c>
      <c r="BG76" s="1" t="n">
        <f aca="false">AW76+AZ76*Slot4_BufPot*BB76</f>
        <v>0</v>
      </c>
      <c r="BH76" s="1" t="n">
        <f aca="false">IF(AND(AZ76=1,Slot4_IsMfree=1),IF(BE76&gt;=Slot4_Cost-1,0,MAX(0,AX76-BE76)),AX76)</f>
        <v>0</v>
      </c>
      <c r="BI76" s="1" t="n">
        <f aca="false">AZ76*(Slot4_Cost-BE76)</f>
        <v>0</v>
      </c>
      <c r="BJ76" s="1" t="n">
        <f aca="false">IF(AND(Slot5_On=1,D76=Slot5_Age),1,0)</f>
        <v>0</v>
      </c>
      <c r="BK76" s="1" t="n">
        <f aca="false">IF(AND(Slot5_On=1,Slot5_Age&gt;D76),1,0)</f>
        <v>0</v>
      </c>
      <c r="BL76" s="1" t="n">
        <f aca="false">HV75</f>
        <v>0</v>
      </c>
      <c r="BM76" s="1" t="n">
        <f aca="false">BJ76*MIN(Slot5_Cost,BL76)</f>
        <v>0</v>
      </c>
      <c r="BN76" s="1" t="n">
        <f aca="false">BJ76*Slot5_SpendLike*MIN(Slot5_Cost-BM76,BF76)</f>
        <v>0</v>
      </c>
      <c r="BO76" s="1" t="n">
        <f aca="false">BM76+BN76</f>
        <v>0</v>
      </c>
      <c r="BP76" s="1" t="n">
        <f aca="false">BF76-BN76+BJ76*IF(Slot5_SpendLike=1,BL76-BM76,IF(Slot5_PotFree=1,BL76,0))</f>
        <v>95222.4011392279</v>
      </c>
      <c r="BQ76" s="1" t="n">
        <f aca="false">BG76+BJ76*Slot5_BufPot*BL76</f>
        <v>0</v>
      </c>
      <c r="BR76" s="1" t="n">
        <f aca="false">IF(AND(BJ76=1,Slot5_IsMfree=1),IF(BO76&gt;=Slot5_Cost-1,0,MAX(0,BH76-BO76)),BH76)</f>
        <v>0</v>
      </c>
      <c r="BS76" s="1" t="n">
        <f aca="false">BJ76*(Slot5_Cost-BO76)</f>
        <v>0</v>
      </c>
      <c r="BT76" s="1" t="n">
        <f aca="false">IF(AND(Slot6_On=1,D76=Slot6_Age),1,0)</f>
        <v>0</v>
      </c>
      <c r="BU76" s="1" t="n">
        <f aca="false">IF(AND(Slot6_On=1,Slot6_Age&gt;D76),1,0)</f>
        <v>0</v>
      </c>
      <c r="BV76" s="1" t="n">
        <f aca="false">HZ75</f>
        <v>0</v>
      </c>
      <c r="BW76" s="1" t="n">
        <f aca="false">BT76*MIN(Slot6_Cost,BV76)</f>
        <v>0</v>
      </c>
      <c r="BX76" s="1" t="n">
        <f aca="false">BT76*Slot6_SpendLike*MIN(Slot6_Cost-BW76,BP76)</f>
        <v>0</v>
      </c>
      <c r="BY76" s="1" t="n">
        <f aca="false">BW76+BX76</f>
        <v>0</v>
      </c>
      <c r="BZ76" s="1" t="n">
        <f aca="false">BP76-BX76+BT76*IF(Slot6_SpendLike=1,BV76-BW76,IF(Slot6_PotFree=1,BV76,0))</f>
        <v>95222.4011392279</v>
      </c>
      <c r="CA76" s="1" t="n">
        <f aca="false">BQ76+BT76*Slot6_BufPot*BV76</f>
        <v>0</v>
      </c>
      <c r="CB76" s="1" t="n">
        <f aca="false">IF(AND(BT76=1,Slot6_IsMfree=1),IF(BY76&gt;=Slot6_Cost-1,0,MAX(0,BR76-BY76)),BR76)</f>
        <v>0</v>
      </c>
      <c r="CC76" s="1" t="n">
        <f aca="false">BT76*(Slot6_Cost-BY76)</f>
        <v>0</v>
      </c>
      <c r="CD76" s="1" t="n">
        <f aca="false">IF(AND(Slot7_On=1,D76=Slot7_Age),1,0)</f>
        <v>0</v>
      </c>
      <c r="CE76" s="1" t="n">
        <f aca="false">IF(AND(Slot7_On=1,Slot7_Age&gt;D76),1,0)</f>
        <v>0</v>
      </c>
      <c r="CF76" s="1" t="n">
        <f aca="false">ID75</f>
        <v>0</v>
      </c>
      <c r="CG76" s="1" t="n">
        <f aca="false">CD76*MIN(Slot7_Cost,CF76)</f>
        <v>0</v>
      </c>
      <c r="CH76" s="1" t="n">
        <f aca="false">CD76*Slot7_SpendLike*MIN(Slot7_Cost-CG76,BZ76)</f>
        <v>0</v>
      </c>
      <c r="CI76" s="1" t="n">
        <f aca="false">CG76+CH76</f>
        <v>0</v>
      </c>
      <c r="CJ76" s="1" t="n">
        <f aca="false">BZ76-CH76+CD76*IF(Slot7_SpendLike=1,CF76-CG76,IF(Slot7_PotFree=1,CF76,0))</f>
        <v>95222.4011392279</v>
      </c>
      <c r="CK76" s="1" t="n">
        <f aca="false">CA76+CD76*Slot7_BufPot*CF76</f>
        <v>0</v>
      </c>
      <c r="CL76" s="1" t="n">
        <f aca="false">IF(AND(CD76=1,Slot7_IsMfree=1),IF(CI76&gt;=Slot7_Cost-1,0,MAX(0,CB76-CI76)),CB76)</f>
        <v>0</v>
      </c>
      <c r="CM76" s="1" t="n">
        <f aca="false">CD76*(Slot7_Cost-CI76)</f>
        <v>0</v>
      </c>
      <c r="CN76" s="1" t="n">
        <f aca="false">IF(AND(Slot8_On=1,D76=Slot8_Age),1,0)</f>
        <v>0</v>
      </c>
      <c r="CO76" s="1" t="n">
        <f aca="false">IF(AND(Slot8_On=1,Slot8_Age&gt;D76),1,0)</f>
        <v>0</v>
      </c>
      <c r="CP76" s="1" t="n">
        <f aca="false">IH75</f>
        <v>0</v>
      </c>
      <c r="CQ76" s="1" t="n">
        <f aca="false">CN76*MIN(Slot8_Cost,CP76)</f>
        <v>0</v>
      </c>
      <c r="CR76" s="1" t="n">
        <f aca="false">CN76*Slot8_SpendLike*MIN(Slot8_Cost-CQ76,CJ76)</f>
        <v>0</v>
      </c>
      <c r="CS76" s="1" t="n">
        <f aca="false">CQ76+CR76</f>
        <v>0</v>
      </c>
      <c r="CT76" s="1" t="n">
        <f aca="false">CJ76-CR76+CN76*IF(Slot8_SpendLike=1,CP76-CQ76,IF(Slot8_PotFree=1,CP76,0))</f>
        <v>95222.4011392279</v>
      </c>
      <c r="CU76" s="1" t="n">
        <f aca="false">CK76+CN76*Slot8_BufPot*CP76</f>
        <v>0</v>
      </c>
      <c r="CV76" s="1" t="n">
        <f aca="false">IF(AND(CN76=1,Slot8_IsMfree=1),IF(CS76&gt;=Slot8_Cost-1,0,MAX(0,CL76-CS76)),CL76)</f>
        <v>0</v>
      </c>
      <c r="CW76" s="1" t="n">
        <f aca="false">CN76*(Slot8_Cost-CS76)</f>
        <v>0</v>
      </c>
      <c r="CX76" s="1" t="n">
        <f aca="false">U76*Slot1_SpendLike*Z76+AF76*Slot2_SpendLike*AK76+AP76*Slot3_SpendLike*AU76+AZ76*Slot4_SpendLike*BE76+BJ76*Slot5_SpendLike*BO76+BT76*Slot6_SpendLike*BY76+CD76*Slot7_SpendLike*CI76+CN76*Slot8_SpendLike*CS76</f>
        <v>0</v>
      </c>
      <c r="CY76" s="1" t="n">
        <f aca="false">AD76+AO76+AY76+BI76+BS76+CC76+CM76+CW76</f>
        <v>0</v>
      </c>
      <c r="CZ76" s="1" t="n">
        <f aca="false">U76*Slot1_Cost+AF76*Slot2_Cost+AP76*Slot3_Cost+AZ76*Slot4_Cost+BJ76*Slot5_Cost+BT76*Slot6_Cost+CD76*Slot7_Cost+CN76*Slot8_Cost</f>
        <v>0</v>
      </c>
      <c r="DA76" s="1" t="n">
        <f aca="false">CV76</f>
        <v>0</v>
      </c>
      <c r="DB76" s="1" t="n">
        <f aca="false">G76-H76-R76</f>
        <v>47864.3016971349</v>
      </c>
      <c r="DC76" s="1" t="n">
        <f aca="false">IF(B76=0,IF(AND(Has_q6=1,In_q6=4),PR_ShareVaries*(MAX(0,DB76)/12),MIN(IF(Has_q6=1,CHOOSE(In_q6+1,PR_SaveB1,PR_SaveB2,PR_SaveB3,PR_SaveB4,0),AS_NoAnswer),AS_SaveShare*(MAX(0,DB76)/12))),DC75)</f>
        <v>0</v>
      </c>
      <c r="DD76" s="1" t="n">
        <f aca="false">IF(DB76&gt;=0,1,0)</f>
        <v>1</v>
      </c>
      <c r="DE76" s="1" t="n">
        <f aca="false">MAX(0,DB76/12/E76)</f>
        <v>1037.57333333333</v>
      </c>
      <c r="DF76" s="1" t="n">
        <f aca="false">IF(AND(Has_q6=1,In_q6=4),PR_ShareVaries*(DE76),MIN(IF(Has_q6=1,CHOOSE(In_q6+1,PR_SaveB1,PR_SaveB2,PR_SaveB3,PR_SaveB4,0),AS_NoAnswer),AS_SaveShare*(DE76)))</f>
        <v>300</v>
      </c>
      <c r="DG76" s="1" t="n">
        <f aca="false">IF(Has_saveM=1,IF(In_saveUp="Yes",1,IF(In_saveUp="No",0,IF(In_saveM&gt;=DC76-0.5,1,0))),0)</f>
        <v>0</v>
      </c>
      <c r="DH76" s="1" t="n">
        <f aca="false">IF(Has_saveM=1,MIN(DE76,IF(DG76=1,MAX(In_saveM,DF76),MIN(In_saveM,DF76))),DF76)</f>
        <v>300</v>
      </c>
      <c r="DI76" s="1" t="n">
        <f aca="false">IF(F76=1,DH76*12*E76,0)</f>
        <v>0</v>
      </c>
      <c r="DJ76" s="1" t="n">
        <f aca="false">MAX(0,DI76+IF(AND(WI_Retire=0,WI_M&lt;0,F76=1),WI_M*12*E76,0))</f>
        <v>0</v>
      </c>
      <c r="DK76" s="1" t="n">
        <f aca="false">Slot1_IsWG*V76+Slot2_IsWG*AG76+Slot3_IsWG*AQ76+Slot4_IsWG*BA76+Slot5_IsWG*BK76+Slot6_IsWG*BU76+Slot7_IsWG*CE76+Slot8_IsWG*CO76</f>
        <v>0</v>
      </c>
      <c r="DL76" s="1" t="n">
        <f aca="false">IF(AND(WI_Retire=0,WI_M&gt;0,F76=1,DK76&gt;=1),WI_M*12*E76,0)</f>
        <v>0</v>
      </c>
      <c r="DM76" s="1" t="n">
        <f aca="false">IF(DD76=1,MIN(DJ76,DB76),0)</f>
        <v>0</v>
      </c>
      <c r="DN76" s="1" t="n">
        <f aca="false">IF(DD76=1,MIN(DL76,DB76-DM76),0)</f>
        <v>0</v>
      </c>
      <c r="DO76" s="1" t="n">
        <f aca="false">IF(V76=1,IF(ABS((1+AS_Wage)/(1+Slot1_Rate)-1)&lt;0.000000000001,(Slot1_Age-D76)*(1+Slot1_Rate)^(Slot1_Age-D76),(1+Slot1_Rate)^(Slot1_Age-D76)*(1-((1+AS_Wage)/(1+Slot1_Rate))^(Slot1_Age-D76))/(1-(1+AS_Wage)/(1+Slot1_Rate))),1)</f>
        <v>1</v>
      </c>
      <c r="DP76" s="1" t="n">
        <f aca="false">IF(AND(DD76=1,DN76&gt;0,Slot1_IsWG=1,V76=1),MAX(0,(Slot1_Cost-W76*(1+Slot1_Rate)^(Slot1_Age-D76))/DO76),0)</f>
        <v>0</v>
      </c>
      <c r="DQ76" s="1" t="n">
        <f aca="false">IF(AND(DD76=1,DN76&gt;0,Slot1_IsWG=1,V76=1),MIN(DN76,DP76),0)</f>
        <v>0</v>
      </c>
      <c r="DR76" s="1" t="n">
        <f aca="false">W76+DQ76</f>
        <v>0</v>
      </c>
      <c r="DS76" s="1" t="n">
        <f aca="false">IF(V76=1,MAX(0,(Slot1_Cost-DR76*(1+Slot1_Rate)^(Slot1_Age-D76))/DO76),0)</f>
        <v>0</v>
      </c>
      <c r="DT76" s="1" t="n">
        <f aca="false">IF(V76=1,MAX(0,(Slot1_Cost-W76*(1+Slot1_Rate)^(Slot1_Age-D76))/DO76),0)</f>
        <v>0</v>
      </c>
      <c r="DU76" s="1" t="n">
        <f aca="false">IF(AND(DD76=1,V76=1),MIN(DM76,DS76),0)</f>
        <v>0</v>
      </c>
      <c r="DV76" s="1" t="n">
        <f aca="false">DM76-DU76</f>
        <v>0</v>
      </c>
      <c r="DW76" s="1" t="n">
        <f aca="false">IF(AG76=1,IF(ABS((1+AS_Wage)/(1+Slot2_Rate)-1)&lt;0.000000000001,(Slot2_Age-D76)*(1+Slot2_Rate)^(Slot2_Age-D76),(1+Slot2_Rate)^(Slot2_Age-D76)*(1-((1+AS_Wage)/(1+Slot2_Rate))^(Slot2_Age-D76))/(1-(1+AS_Wage)/(1+Slot2_Rate))),1)</f>
        <v>1</v>
      </c>
      <c r="DX76" s="1" t="n">
        <f aca="false">IF(AND(DD76=1,DN76&gt;0,Slot2_IsWG=1,AG76=1),MAX(0,(Slot2_Cost-AH76*(1+Slot2_Rate)^(Slot2_Age-D76))/DW76),0)</f>
        <v>0</v>
      </c>
      <c r="DY76" s="1" t="n">
        <f aca="false">IF(AND(DD76=1,DN76&gt;0,Slot2_IsWG=1,AG76=1),MIN(DN76,DX76),0)</f>
        <v>0</v>
      </c>
      <c r="DZ76" s="1" t="n">
        <f aca="false">AH76+DY76</f>
        <v>0</v>
      </c>
      <c r="EA76" s="1" t="n">
        <f aca="false">IF(AG76=1,MAX(0,(Slot2_Cost-DZ76*(1+Slot2_Rate)^(Slot2_Age-D76))/DW76),0)</f>
        <v>0</v>
      </c>
      <c r="EB76" s="1" t="n">
        <f aca="false">IF(AG76=1,MAX(0,(Slot2_Cost-AH76*(1+Slot2_Rate)^(Slot2_Age-D76))/DW76),0)</f>
        <v>0</v>
      </c>
      <c r="EC76" s="1" t="n">
        <f aca="false">IF(AND(DD76=1,AG76=1),MIN(DV76,EA76),0)</f>
        <v>0</v>
      </c>
      <c r="ED76" s="1" t="n">
        <f aca="false">DV76-EC76</f>
        <v>0</v>
      </c>
      <c r="EE76" s="1" t="n">
        <f aca="false">IF(AQ76=1,IF(ABS((1+AS_Wage)/(1+Slot3_Rate)-1)&lt;0.000000000001,(Slot3_Age-D76)*(1+Slot3_Rate)^(Slot3_Age-D76),(1+Slot3_Rate)^(Slot3_Age-D76)*(1-((1+AS_Wage)/(1+Slot3_Rate))^(Slot3_Age-D76))/(1-(1+AS_Wage)/(1+Slot3_Rate))),1)</f>
        <v>1</v>
      </c>
      <c r="EF76" s="1" t="n">
        <f aca="false">IF(AND(DD76=1,DN76&gt;0,Slot3_IsWG=1,AQ76=1),MAX(0,(Slot3_Cost-AR76*(1+Slot3_Rate)^(Slot3_Age-D76))/EE76),0)</f>
        <v>0</v>
      </c>
      <c r="EG76" s="1" t="n">
        <f aca="false">IF(AND(DD76=1,DN76&gt;0,Slot3_IsWG=1,AQ76=1),MIN(DN76,EF76),0)</f>
        <v>0</v>
      </c>
      <c r="EH76" s="1" t="n">
        <f aca="false">AR76+EG76</f>
        <v>0</v>
      </c>
      <c r="EI76" s="1" t="n">
        <f aca="false">IF(AQ76=1,MAX(0,(Slot3_Cost-EH76*(1+Slot3_Rate)^(Slot3_Age-D76))/EE76),0)</f>
        <v>0</v>
      </c>
      <c r="EJ76" s="1" t="n">
        <f aca="false">IF(AQ76=1,MAX(0,(Slot3_Cost-AR76*(1+Slot3_Rate)^(Slot3_Age-D76))/EE76),0)</f>
        <v>0</v>
      </c>
      <c r="EK76" s="1" t="n">
        <f aca="false">IF(AND(DD76=1,AQ76=1),MIN(ED76,EI76),0)</f>
        <v>0</v>
      </c>
      <c r="EL76" s="1" t="n">
        <f aca="false">ED76-EK76</f>
        <v>0</v>
      </c>
      <c r="EM76" s="1" t="n">
        <f aca="false">IF(BA76=1,IF(ABS((1+AS_Wage)/(1+Slot4_Rate)-1)&lt;0.000000000001,(Slot4_Age-D76)*(1+Slot4_Rate)^(Slot4_Age-D76),(1+Slot4_Rate)^(Slot4_Age-D76)*(1-((1+AS_Wage)/(1+Slot4_Rate))^(Slot4_Age-D76))/(1-(1+AS_Wage)/(1+Slot4_Rate))),1)</f>
        <v>1</v>
      </c>
      <c r="EN76" s="1" t="n">
        <f aca="false">IF(AND(DD76=1,DN76&gt;0,Slot4_IsWG=1,BA76=1),MAX(0,(Slot4_Cost-BB76*(1+Slot4_Rate)^(Slot4_Age-D76))/EM76),0)</f>
        <v>0</v>
      </c>
      <c r="EO76" s="1" t="n">
        <f aca="false">IF(AND(DD76=1,DN76&gt;0,Slot4_IsWG=1,BA76=1),MIN(DN76,EN76),0)</f>
        <v>0</v>
      </c>
      <c r="EP76" s="1" t="n">
        <f aca="false">BB76+EO76</f>
        <v>0</v>
      </c>
      <c r="EQ76" s="1" t="n">
        <f aca="false">IF(BA76=1,MAX(0,(Slot4_Cost-EP76*(1+Slot4_Rate)^(Slot4_Age-D76))/EM76),0)</f>
        <v>0</v>
      </c>
      <c r="ER76" s="1" t="n">
        <f aca="false">IF(BA76=1,MAX(0,(Slot4_Cost-BB76*(1+Slot4_Rate)^(Slot4_Age-D76))/EM76),0)</f>
        <v>0</v>
      </c>
      <c r="ES76" s="1" t="n">
        <f aca="false">IF(AND(DD76=1,BA76=1),MIN(EL76,EQ76),0)</f>
        <v>0</v>
      </c>
      <c r="ET76" s="1" t="n">
        <f aca="false">EL76-ES76</f>
        <v>0</v>
      </c>
      <c r="EU76" s="1" t="n">
        <f aca="false">IF(BK76=1,IF(ABS((1+AS_Wage)/(1+Slot5_Rate)-1)&lt;0.000000000001,(Slot5_Age-D76)*(1+Slot5_Rate)^(Slot5_Age-D76),(1+Slot5_Rate)^(Slot5_Age-D76)*(1-((1+AS_Wage)/(1+Slot5_Rate))^(Slot5_Age-D76))/(1-(1+AS_Wage)/(1+Slot5_Rate))),1)</f>
        <v>1</v>
      </c>
      <c r="EV76" s="1" t="n">
        <f aca="false">IF(AND(DD76=1,DN76&gt;0,Slot5_IsWG=1,BK76=1),MAX(0,(Slot5_Cost-BL76*(1+Slot5_Rate)^(Slot5_Age-D76))/EU76),0)</f>
        <v>0</v>
      </c>
      <c r="EW76" s="1" t="n">
        <f aca="false">IF(AND(DD76=1,DN76&gt;0,Slot5_IsWG=1,BK76=1),MIN(DN76,EV76),0)</f>
        <v>0</v>
      </c>
      <c r="EX76" s="1" t="n">
        <f aca="false">BL76+EW76</f>
        <v>0</v>
      </c>
      <c r="EY76" s="1" t="n">
        <f aca="false">IF(BK76=1,MAX(0,(Slot5_Cost-EX76*(1+Slot5_Rate)^(Slot5_Age-D76))/EU76),0)</f>
        <v>0</v>
      </c>
      <c r="EZ76" s="1" t="n">
        <f aca="false">IF(BK76=1,MAX(0,(Slot5_Cost-BL76*(1+Slot5_Rate)^(Slot5_Age-D76))/EU76),0)</f>
        <v>0</v>
      </c>
      <c r="FA76" s="1" t="n">
        <f aca="false">IF(AND(DD76=1,BK76=1),MIN(ET76,EY76),0)</f>
        <v>0</v>
      </c>
      <c r="FB76" s="1" t="n">
        <f aca="false">ET76-FA76</f>
        <v>0</v>
      </c>
      <c r="FC76" s="1" t="n">
        <f aca="false">IF(BU76=1,IF(ABS((1+AS_Wage)/(1+Slot6_Rate)-1)&lt;0.000000000001,(Slot6_Age-D76)*(1+Slot6_Rate)^(Slot6_Age-D76),(1+Slot6_Rate)^(Slot6_Age-D76)*(1-((1+AS_Wage)/(1+Slot6_Rate))^(Slot6_Age-D76))/(1-(1+AS_Wage)/(1+Slot6_Rate))),1)</f>
        <v>1</v>
      </c>
      <c r="FD76" s="1" t="n">
        <f aca="false">IF(AND(DD76=1,DN76&gt;0,Slot6_IsWG=1,BU76=1),MAX(0,(Slot6_Cost-BV76*(1+Slot6_Rate)^(Slot6_Age-D76))/FC76),0)</f>
        <v>0</v>
      </c>
      <c r="FE76" s="1" t="n">
        <f aca="false">IF(AND(DD76=1,DN76&gt;0,Slot6_IsWG=1,BU76=1),MIN(DN76,FD76),0)</f>
        <v>0</v>
      </c>
      <c r="FF76" s="1" t="n">
        <f aca="false">BV76+FE76</f>
        <v>0</v>
      </c>
      <c r="FG76" s="1" t="n">
        <f aca="false">IF(BU76=1,MAX(0,(Slot6_Cost-FF76*(1+Slot6_Rate)^(Slot6_Age-D76))/FC76),0)</f>
        <v>0</v>
      </c>
      <c r="FH76" s="1" t="n">
        <f aca="false">IF(BU76=1,MAX(0,(Slot6_Cost-BV76*(1+Slot6_Rate)^(Slot6_Age-D76))/FC76),0)</f>
        <v>0</v>
      </c>
      <c r="FI76" s="1" t="n">
        <f aca="false">IF(AND(DD76=1,BU76=1),MIN(FB76,FG76),0)</f>
        <v>0</v>
      </c>
      <c r="FJ76" s="1" t="n">
        <f aca="false">FB76-FI76</f>
        <v>0</v>
      </c>
      <c r="FK76" s="1" t="n">
        <f aca="false">IF(CE76=1,IF(ABS((1+AS_Wage)/(1+Slot7_Rate)-1)&lt;0.000000000001,(Slot7_Age-D76)*(1+Slot7_Rate)^(Slot7_Age-D76),(1+Slot7_Rate)^(Slot7_Age-D76)*(1-((1+AS_Wage)/(1+Slot7_Rate))^(Slot7_Age-D76))/(1-(1+AS_Wage)/(1+Slot7_Rate))),1)</f>
        <v>1</v>
      </c>
      <c r="FL76" s="1" t="n">
        <f aca="false">IF(AND(DD76=1,DN76&gt;0,Slot7_IsWG=1,CE76=1),MAX(0,(Slot7_Cost-CF76*(1+Slot7_Rate)^(Slot7_Age-D76))/FK76),0)</f>
        <v>0</v>
      </c>
      <c r="FM76" s="1" t="n">
        <f aca="false">IF(AND(DD76=1,DN76&gt;0,Slot7_IsWG=1,CE76=1),MIN(DN76,FL76),0)</f>
        <v>0</v>
      </c>
      <c r="FN76" s="1" t="n">
        <f aca="false">CF76+FM76</f>
        <v>0</v>
      </c>
      <c r="FO76" s="1" t="n">
        <f aca="false">IF(CE76=1,MAX(0,(Slot7_Cost-FN76*(1+Slot7_Rate)^(Slot7_Age-D76))/FK76),0)</f>
        <v>0</v>
      </c>
      <c r="FP76" s="1" t="n">
        <f aca="false">IF(CE76=1,MAX(0,(Slot7_Cost-CF76*(1+Slot7_Rate)^(Slot7_Age-D76))/FK76),0)</f>
        <v>0</v>
      </c>
      <c r="FQ76" s="1" t="n">
        <f aca="false">IF(AND(DD76=1,CE76=1),MIN(FJ76,FO76),0)</f>
        <v>0</v>
      </c>
      <c r="FR76" s="1" t="n">
        <f aca="false">FJ76-FQ76</f>
        <v>0</v>
      </c>
      <c r="FS76" s="1" t="n">
        <f aca="false">IF(CO76=1,IF(ABS((1+AS_Wage)/(1+Slot8_Rate)-1)&lt;0.000000000001,(Slot8_Age-D76)*(1+Slot8_Rate)^(Slot8_Age-D76),(1+Slot8_Rate)^(Slot8_Age-D76)*(1-((1+AS_Wage)/(1+Slot8_Rate))^(Slot8_Age-D76))/(1-(1+AS_Wage)/(1+Slot8_Rate))),1)</f>
        <v>1</v>
      </c>
      <c r="FT76" s="1" t="n">
        <f aca="false">IF(AND(DD76=1,DN76&gt;0,Slot8_IsWG=1,CO76=1),MAX(0,(Slot8_Cost-CP76*(1+Slot8_Rate)^(Slot8_Age-D76))/FS76),0)</f>
        <v>0</v>
      </c>
      <c r="FU76" s="1" t="n">
        <f aca="false">IF(AND(DD76=1,DN76&gt;0,Slot8_IsWG=1,CO76=1),MIN(DN76,FT76),0)</f>
        <v>0</v>
      </c>
      <c r="FV76" s="1" t="n">
        <f aca="false">CP76+FU76</f>
        <v>0</v>
      </c>
      <c r="FW76" s="1" t="n">
        <f aca="false">IF(CO76=1,MAX(0,(Slot8_Cost-FV76*(1+Slot8_Rate)^(Slot8_Age-D76))/FS76),0)</f>
        <v>0</v>
      </c>
      <c r="FX76" s="1" t="n">
        <f aca="false">IF(CO76=1,MAX(0,(Slot8_Cost-CP76*(1+Slot8_Rate)^(Slot8_Age-D76))/FS76),0)</f>
        <v>0</v>
      </c>
      <c r="FY76" s="1" t="n">
        <f aca="false">IF(AND(DD76=1,CO76=1),MIN(FR76,FW76),0)</f>
        <v>0</v>
      </c>
      <c r="FZ76" s="1" t="n">
        <f aca="false">FR76-FY76</f>
        <v>0</v>
      </c>
      <c r="GA76" s="1" t="n">
        <f aca="false">DN76-(DQ76+DY76+EG76+EO76+EW76+FE76+FM76+FU76)</f>
        <v>0</v>
      </c>
      <c r="GB76" s="1" t="n">
        <f aca="false">IF(DD76=1,DB76-DM76-DN76,0)</f>
        <v>47864.3016971349</v>
      </c>
      <c r="GC76" s="1" t="n">
        <f aca="false">IF(DD76=0,-DB76,0)</f>
        <v>0</v>
      </c>
      <c r="GD76" s="1" t="n">
        <f aca="false">MIN(GC76,CT76)</f>
        <v>0</v>
      </c>
      <c r="GE76" s="1" t="n">
        <f aca="false">GC76-GD76</f>
        <v>0</v>
      </c>
      <c r="GF76" s="1" t="n">
        <f aca="false">MIN(GE76,CU76)</f>
        <v>0</v>
      </c>
      <c r="GG76" s="1" t="n">
        <f aca="false">GE76-GF76</f>
        <v>0</v>
      </c>
      <c r="GH76" s="1" t="n">
        <f aca="false">IF(AND(DD76=0,CO76=1,GG76&gt;0),MIN(GG76,CP76),0)</f>
        <v>0</v>
      </c>
      <c r="GI76" s="1" t="n">
        <f aca="false">GG76-GH76</f>
        <v>0</v>
      </c>
      <c r="GJ76" s="1" t="n">
        <f aca="false">IF(AND(DD76=0,CE76=1,GI76&gt;0),MIN(GI76,CF76),0)</f>
        <v>0</v>
      </c>
      <c r="GK76" s="1" t="n">
        <f aca="false">GI76-GJ76</f>
        <v>0</v>
      </c>
      <c r="GL76" s="1" t="n">
        <f aca="false">IF(AND(DD76=0,BU76=1,GK76&gt;0),MIN(GK76,BV76),0)</f>
        <v>0</v>
      </c>
      <c r="GM76" s="1" t="n">
        <f aca="false">GK76-GL76</f>
        <v>0</v>
      </c>
      <c r="GN76" s="1" t="n">
        <f aca="false">IF(AND(DD76=0,BK76=1,GM76&gt;0),MIN(GM76,BL76),0)</f>
        <v>0</v>
      </c>
      <c r="GO76" s="1" t="n">
        <f aca="false">GM76-GN76</f>
        <v>0</v>
      </c>
      <c r="GP76" s="1" t="n">
        <f aca="false">IF(AND(DD76=0,BA76=1,GO76&gt;0),MIN(GO76,BB76),0)</f>
        <v>0</v>
      </c>
      <c r="GQ76" s="1" t="n">
        <f aca="false">GO76-GP76</f>
        <v>0</v>
      </c>
      <c r="GR76" s="1" t="n">
        <f aca="false">IF(AND(DD76=0,AQ76=1,GQ76&gt;0),MIN(GQ76,AR76),0)</f>
        <v>0</v>
      </c>
      <c r="GS76" s="1" t="n">
        <f aca="false">GQ76-GR76</f>
        <v>0</v>
      </c>
      <c r="GT76" s="1" t="n">
        <f aca="false">IF(AND(DD76=0,AG76=1,GS76&gt;0),MIN(GS76,AH76),0)</f>
        <v>0</v>
      </c>
      <c r="GU76" s="1" t="n">
        <f aca="false">GS76-GT76</f>
        <v>0</v>
      </c>
      <c r="GV76" s="1" t="n">
        <f aca="false">IF(AND(DD76=0,V76=1,GU76&gt;0),MIN(GU76,W76),0)</f>
        <v>0</v>
      </c>
      <c r="GW76" s="1" t="n">
        <f aca="false">GU76-GV76</f>
        <v>0</v>
      </c>
      <c r="GX76" s="1" t="n">
        <f aca="false">IF(DD76=0,GW76,0)</f>
        <v>0</v>
      </c>
      <c r="GY76" s="1" t="n">
        <f aca="false">GD76+GF76+GV76+GT76+GR76+GP76+GN76+GL76+GJ76+GH76</f>
        <v>0</v>
      </c>
      <c r="GZ76" s="1" t="n">
        <f aca="false">IF(DD76=1,CT76+GA76+FZ76+IF(F76=1,0,GB76),CT76-GD76)</f>
        <v>143086.702836363</v>
      </c>
      <c r="HA76" s="1" t="n">
        <f aca="false">CU76-GF76</f>
        <v>0</v>
      </c>
      <c r="HB76" s="1" t="n">
        <f aca="false">IF(DD76=1,IF(F76=1,DM76+DN76,DB76),0)</f>
        <v>47864.3016971349</v>
      </c>
      <c r="HC76" s="1" t="n">
        <f aca="false">IF(DD76=1,IF(F76=1,DB76-DM76-DN76,0),0)</f>
        <v>0</v>
      </c>
      <c r="HD76" s="1" t="n">
        <f aca="false">GZ76*(1+GR)</f>
        <v>145433.324762879</v>
      </c>
      <c r="HE76" s="1" t="n">
        <f aca="false">HA76*(1+AS_Cash)</f>
        <v>0</v>
      </c>
      <c r="HF76" s="1" t="n">
        <f aca="false">IF(V76=1,IF(DD76=1,DR76+DU76,W76-GV76)*(1+Slot1_Rate),0)</f>
        <v>0</v>
      </c>
      <c r="HG76" s="1" t="n">
        <f aca="false">IF(AND(DD76=1,V76=1),(DQ76+DU76)/E76,0)</f>
        <v>0</v>
      </c>
      <c r="HH76" s="1" t="n">
        <f aca="false">IF(B76=0,DQ76+DU76,0)</f>
        <v>0</v>
      </c>
      <c r="HI76" s="1" t="n">
        <f aca="false">IF(B76=0,IF(DD76=1,DS76,DT76),0)</f>
        <v>0</v>
      </c>
      <c r="HJ76" s="1" t="n">
        <f aca="false">IF(AG76=1,IF(DD76=1,DZ76+EC76,AH76-GT76)*(1+Slot2_Rate),0)</f>
        <v>0</v>
      </c>
      <c r="HK76" s="1" t="n">
        <f aca="false">IF(AND(DD76=1,AG76=1),(DY76+EC76)/E76,0)</f>
        <v>0</v>
      </c>
      <c r="HL76" s="1" t="n">
        <f aca="false">IF(B76=0,DY76+EC76,0)</f>
        <v>0</v>
      </c>
      <c r="HM76" s="1" t="n">
        <f aca="false">IF(B76=0,IF(DD76=1,EA76,EB76),0)</f>
        <v>0</v>
      </c>
      <c r="HN76" s="1" t="n">
        <f aca="false">IF(AQ76=1,IF(DD76=1,EH76+EK76,AR76-GR76)*(1+Slot3_Rate),0)</f>
        <v>0</v>
      </c>
      <c r="HO76" s="1" t="n">
        <f aca="false">IF(AND(DD76=1,AQ76=1),(EG76+EK76)/E76,0)</f>
        <v>0</v>
      </c>
      <c r="HP76" s="1" t="n">
        <f aca="false">IF(B76=0,EG76+EK76,0)</f>
        <v>0</v>
      </c>
      <c r="HQ76" s="1" t="n">
        <f aca="false">IF(B76=0,IF(DD76=1,EI76,EJ76),0)</f>
        <v>0</v>
      </c>
      <c r="HR76" s="1" t="n">
        <f aca="false">IF(BA76=1,IF(DD76=1,EP76+ES76,BB76-GP76)*(1+Slot4_Rate),0)</f>
        <v>0</v>
      </c>
      <c r="HS76" s="1" t="n">
        <f aca="false">IF(AND(DD76=1,BA76=1),(EO76+ES76)/E76,0)</f>
        <v>0</v>
      </c>
      <c r="HT76" s="1" t="n">
        <f aca="false">IF(B76=0,EO76+ES76,0)</f>
        <v>0</v>
      </c>
      <c r="HU76" s="1" t="n">
        <f aca="false">IF(B76=0,IF(DD76=1,EQ76,ER76),0)</f>
        <v>0</v>
      </c>
      <c r="HV76" s="1" t="n">
        <f aca="false">IF(BK76=1,IF(DD76=1,EX76+FA76,BL76-GN76)*(1+Slot5_Rate),0)</f>
        <v>0</v>
      </c>
      <c r="HW76" s="1" t="n">
        <f aca="false">IF(AND(DD76=1,BK76=1),(EW76+FA76)/E76,0)</f>
        <v>0</v>
      </c>
      <c r="HX76" s="1" t="n">
        <f aca="false">IF(B76=0,EW76+FA76,0)</f>
        <v>0</v>
      </c>
      <c r="HY76" s="1" t="n">
        <f aca="false">IF(B76=0,IF(DD76=1,EY76,EZ76),0)</f>
        <v>0</v>
      </c>
      <c r="HZ76" s="1" t="n">
        <f aca="false">IF(BU76=1,IF(DD76=1,FF76+FI76,BV76-GL76)*(1+Slot6_Rate),0)</f>
        <v>0</v>
      </c>
      <c r="IA76" s="1" t="n">
        <f aca="false">IF(AND(DD76=1,BU76=1),(FE76+FI76)/E76,0)</f>
        <v>0</v>
      </c>
      <c r="IB76" s="1" t="n">
        <f aca="false">IF(B76=0,FE76+FI76,0)</f>
        <v>0</v>
      </c>
      <c r="IC76" s="1" t="n">
        <f aca="false">IF(B76=0,IF(DD76=1,FG76,FH76),0)</f>
        <v>0</v>
      </c>
      <c r="ID76" s="1" t="n">
        <f aca="false">IF(CE76=1,IF(DD76=1,FN76+FQ76,CF76-GJ76)*(1+Slot7_Rate),0)</f>
        <v>0</v>
      </c>
      <c r="IE76" s="1" t="n">
        <f aca="false">IF(AND(DD76=1,CE76=1),(FM76+FQ76)/E76,0)</f>
        <v>0</v>
      </c>
      <c r="IF76" s="1" t="n">
        <f aca="false">IF(B76=0,FM76+FQ76,0)</f>
        <v>0</v>
      </c>
      <c r="IG76" s="1" t="n">
        <f aca="false">IF(B76=0,IF(DD76=1,FO76,FP76),0)</f>
        <v>0</v>
      </c>
      <c r="IH76" s="1" t="n">
        <f aca="false">IF(CO76=1,IF(DD76=1,FV76+FY76,CP76-GH76)*(1+Slot8_Rate),0)</f>
        <v>0</v>
      </c>
      <c r="II76" s="1" t="n">
        <f aca="false">IF(AND(DD76=1,CO76=1),(FU76+FY76)/E76,0)</f>
        <v>0</v>
      </c>
      <c r="IJ76" s="1" t="n">
        <f aca="false">IF(B76=0,FU76+FY76,0)</f>
        <v>0</v>
      </c>
      <c r="IK76" s="1" t="n">
        <f aca="false">IF(B76=0,IF(DD76=1,FW76,FX76),0)</f>
        <v>0</v>
      </c>
      <c r="IL76" s="1" t="n">
        <f aca="false">HD76+HE76+HF76+HJ76+HN76+HR76+HV76+HZ76+ID76+IH76</f>
        <v>145433.324762879</v>
      </c>
      <c r="IM76" s="1" t="n">
        <f aca="false">GX76+CY76</f>
        <v>0</v>
      </c>
      <c r="IN76" s="1" t="n">
        <f aca="false">H76+R76</f>
        <v>0</v>
      </c>
      <c r="IO76" s="1" t="n">
        <f aca="false">1-F76</f>
        <v>1</v>
      </c>
      <c r="IP76" s="1" t="n">
        <f aca="false">IF(AND(RG_Exists=1,F76=0,C76=1),H76,0)</f>
        <v>0</v>
      </c>
      <c r="IQ76" s="1" t="n">
        <f aca="false">IF(AND(RG_Exists=1,F76=0,C76=1),H76-MIN(GX76,H76),0)</f>
        <v>0</v>
      </c>
      <c r="IR76" s="1" t="n">
        <f aca="false">'Plan pay &amp; tax'!AD278</f>
        <v>0</v>
      </c>
      <c r="IS76" s="1" t="n">
        <f aca="false">IF(AND(C76=1,GX76&gt;MAX(PR_Short1,IN76*PR_Short2)),1,0)</f>
        <v>0</v>
      </c>
      <c r="IT76" s="1" t="n">
        <f aca="false">MIN(G76,H76+R76)</f>
        <v>0</v>
      </c>
      <c r="IU76" s="1" t="n">
        <f aca="false">GY76+MAX(0,CZ76-CY76)</f>
        <v>0</v>
      </c>
      <c r="IV76" s="1" t="n">
        <f aca="false">GX76+CY76</f>
        <v>0</v>
      </c>
      <c r="IW76" s="1" t="n">
        <f aca="false">IF(AND(C76=1,IV76&gt;0.5),1,0)</f>
        <v>0</v>
      </c>
      <c r="IX76" s="1" t="n">
        <f aca="false">IF(AND(C76=1,IW76=0,IU76&gt;0.5),1,0)</f>
        <v>0</v>
      </c>
      <c r="IY76" s="1" t="n">
        <f aca="false">IF(AND(C76=1,GX76&gt;0.5),1,0)</f>
        <v>0</v>
      </c>
      <c r="IZ76" s="1" t="n">
        <f aca="false">IF(AND(C76=1,GY76&gt;1,JF76=0),1,0)</f>
        <v>0</v>
      </c>
      <c r="JA76" s="1" t="n">
        <f aca="false">IF(AND(INT(D76/10)*10=90,B76&gt;0),80,INT(D76/10)*10)</f>
        <v>60</v>
      </c>
      <c r="JB76" s="1" t="n">
        <f aca="false">IF(B76=0,1,IF(JA76&lt;&gt;JA75,JB75+1,JB75))</f>
        <v>7</v>
      </c>
      <c r="JC76" s="1" t="n">
        <f aca="false">IF(AND(C76=1,F76=1,GX76&gt;MAX(PR_Short1,IN76*PR_Short2)),1,0)</f>
        <v>0</v>
      </c>
      <c r="JD76" s="1" t="n">
        <f aca="false">IO76*IS76</f>
        <v>0</v>
      </c>
      <c r="JE76" s="1" t="n">
        <f aca="false">IF(AND(U76=1,Slot1_PctLow=1),1,0)+IF(AND(AF76=1,Slot2_PctLow=1),1,0)+IF(AND(AP76=1,Slot3_PctLow=1),1,0)+IF(AND(AZ76=1,Slot4_PctLow=1),1,0)+IF(AND(BJ76=1,Slot5_PctLow=1),1,0)+IF(AND(BT76=1,Slot6_PctLow=1),1,0)+IF(AND(CD76=1,Slot7_PctLow=1),1,0)+IF(AND(CN76=1,Slot8_PctLow=1),1,0)</f>
        <v>0</v>
      </c>
      <c r="JF76" s="1" t="n">
        <f aca="false">IF(C76=1,IF(OR(IS76=1,JE76&gt;0),1,0),0)</f>
        <v>0</v>
      </c>
    </row>
    <row r="77" customFormat="false" ht="15" hidden="false" customHeight="false" outlineLevel="0" collapsed="false">
      <c r="B77" s="1" t="n">
        <v>69</v>
      </c>
      <c r="C77" s="1" t="n">
        <f aca="false">IF(B77&lt;=F_N,1,0)</f>
        <v>1</v>
      </c>
      <c r="D77" s="1" t="n">
        <f aca="false">'Plan pay &amp; tax'!C279</f>
        <v>69</v>
      </c>
      <c r="E77" s="106" t="n">
        <f aca="false">'Plan pay &amp; tax'!E279</f>
        <v>3.92113551259651</v>
      </c>
      <c r="F77" s="1" t="n">
        <f aca="false">'Plan pay &amp; tax'!G279</f>
        <v>0</v>
      </c>
      <c r="G77" s="1" t="n">
        <f aca="false">'Plan pay &amp; tax'!BT279-'Plan pay &amp; tax'!BS279-'Plan pay &amp; tax'!R279</f>
        <v>48821.5877310776</v>
      </c>
      <c r="H77" s="1" t="n">
        <f aca="false">IF(F77=1,F_CostsM*12,IF(RG_Exists=1,RG_Amount,F_CostsM*12*AS_RetireSpend))*E77+F_OneOffY*E77</f>
        <v>0</v>
      </c>
      <c r="I77" s="1" t="n">
        <f aca="false">DA76</f>
        <v>0</v>
      </c>
      <c r="J77" s="1" t="n">
        <f aca="false">IF(I77&gt;1,'Plan debt months'!AC77,0)</f>
        <v>0</v>
      </c>
      <c r="K77" s="1" t="n">
        <f aca="false">IF(I77&gt;1,'Plan debt months'!AB77,I77)</f>
        <v>0</v>
      </c>
      <c r="L77" s="1" t="n">
        <f aca="false">N76</f>
        <v>0</v>
      </c>
      <c r="M77" s="1" t="n">
        <f aca="false">IF(L77&gt;1,'Plan debt months'!BD77,0)</f>
        <v>0</v>
      </c>
      <c r="N77" s="1" t="n">
        <f aca="false">IF(L77&gt;1,'Plan debt months'!BC77,L77)</f>
        <v>0</v>
      </c>
      <c r="O77" s="1" t="n">
        <f aca="false">Q76</f>
        <v>0</v>
      </c>
      <c r="P77" s="1" t="n">
        <f aca="false">IF(O77&gt;1,'Plan debt months'!CE77,0)</f>
        <v>0</v>
      </c>
      <c r="Q77" s="1" t="n">
        <f aca="false">IF(O77&gt;1,'Plan debt months'!CD77,O77)</f>
        <v>0</v>
      </c>
      <c r="R77" s="1" t="n">
        <f aca="false">J77+M77+P77</f>
        <v>0</v>
      </c>
      <c r="S77" s="1" t="n">
        <f aca="false">HD76+'Plan pay &amp; tax'!Y279</f>
        <v>145433.324762879</v>
      </c>
      <c r="T77" s="1" t="n">
        <f aca="false">HD76</f>
        <v>145433.324762879</v>
      </c>
      <c r="U77" s="1" t="n">
        <f aca="false">IF(AND(Slot1_On=1,D77=Slot1_Age),1,0)</f>
        <v>0</v>
      </c>
      <c r="V77" s="1" t="n">
        <f aca="false">IF(AND(Slot1_On=1,Slot1_Age&gt;D77),1,0)</f>
        <v>0</v>
      </c>
      <c r="W77" s="1" t="n">
        <f aca="false">HF76</f>
        <v>0</v>
      </c>
      <c r="X77" s="1" t="n">
        <f aca="false">U77*MIN(Slot1_Cost,W77)</f>
        <v>0</v>
      </c>
      <c r="Y77" s="1" t="n">
        <f aca="false">U77*Slot1_SpendLike*MIN(Slot1_Cost-X77,S77)</f>
        <v>0</v>
      </c>
      <c r="Z77" s="1" t="n">
        <f aca="false">X77+Y77</f>
        <v>0</v>
      </c>
      <c r="AA77" s="1" t="n">
        <f aca="false">S77-Y77+U77*IF(Slot1_SpendLike=1,W77-X77,IF(Slot1_PotFree=1,W77,0))</f>
        <v>145433.324762879</v>
      </c>
      <c r="AB77" s="1" t="n">
        <f aca="false">AE77+U77*Slot1_BufPot*W77</f>
        <v>0</v>
      </c>
      <c r="AC77" s="1" t="n">
        <f aca="false">IF(AND(U77=1,Slot1_IsMfree=1),IF(Z77&gt;=Slot1_Cost-1,0,MAX(0,K77-Z77)),K77)</f>
        <v>0</v>
      </c>
      <c r="AD77" s="1" t="n">
        <f aca="false">U77*(Slot1_Cost-Z77)</f>
        <v>0</v>
      </c>
      <c r="AE77" s="1" t="n">
        <f aca="false">HE76</f>
        <v>0</v>
      </c>
      <c r="AF77" s="1" t="n">
        <f aca="false">IF(AND(Slot2_On=1,D77=Slot2_Age),1,0)</f>
        <v>0</v>
      </c>
      <c r="AG77" s="1" t="n">
        <f aca="false">IF(AND(Slot2_On=1,Slot2_Age&gt;D77),1,0)</f>
        <v>0</v>
      </c>
      <c r="AH77" s="1" t="n">
        <f aca="false">HJ76</f>
        <v>0</v>
      </c>
      <c r="AI77" s="1" t="n">
        <f aca="false">AF77*MIN(Slot2_Cost,AH77)</f>
        <v>0</v>
      </c>
      <c r="AJ77" s="1" t="n">
        <f aca="false">AF77*Slot2_SpendLike*MIN(Slot2_Cost-AI77,AA77)</f>
        <v>0</v>
      </c>
      <c r="AK77" s="1" t="n">
        <f aca="false">AI77+AJ77</f>
        <v>0</v>
      </c>
      <c r="AL77" s="1" t="n">
        <f aca="false">AA77-AJ77+AF77*IF(Slot2_SpendLike=1,AH77-AI77,IF(Slot2_PotFree=1,AH77,0))</f>
        <v>145433.324762879</v>
      </c>
      <c r="AM77" s="1" t="n">
        <f aca="false">AB77+AF77*Slot2_BufPot*AH77</f>
        <v>0</v>
      </c>
      <c r="AN77" s="1" t="n">
        <f aca="false">IF(AND(AF77=1,Slot2_IsMfree=1),IF(AK77&gt;=Slot2_Cost-1,0,MAX(0,AC77-AK77)),AC77)</f>
        <v>0</v>
      </c>
      <c r="AO77" s="1" t="n">
        <f aca="false">AF77*(Slot2_Cost-AK77)</f>
        <v>0</v>
      </c>
      <c r="AP77" s="1" t="n">
        <f aca="false">IF(AND(Slot3_On=1,D77=Slot3_Age),1,0)</f>
        <v>0</v>
      </c>
      <c r="AQ77" s="1" t="n">
        <f aca="false">IF(AND(Slot3_On=1,Slot3_Age&gt;D77),1,0)</f>
        <v>0</v>
      </c>
      <c r="AR77" s="1" t="n">
        <f aca="false">HN76</f>
        <v>0</v>
      </c>
      <c r="AS77" s="1" t="n">
        <f aca="false">AP77*MIN(Slot3_Cost,AR77)</f>
        <v>0</v>
      </c>
      <c r="AT77" s="1" t="n">
        <f aca="false">AP77*Slot3_SpendLike*MIN(Slot3_Cost-AS77,AL77)</f>
        <v>0</v>
      </c>
      <c r="AU77" s="1" t="n">
        <f aca="false">AS77+AT77</f>
        <v>0</v>
      </c>
      <c r="AV77" s="1" t="n">
        <f aca="false">AL77-AT77+AP77*IF(Slot3_SpendLike=1,AR77-AS77,IF(Slot3_PotFree=1,AR77,0))</f>
        <v>145433.324762879</v>
      </c>
      <c r="AW77" s="1" t="n">
        <f aca="false">AM77+AP77*Slot3_BufPot*AR77</f>
        <v>0</v>
      </c>
      <c r="AX77" s="1" t="n">
        <f aca="false">IF(AND(AP77=1,Slot3_IsMfree=1),IF(AU77&gt;=Slot3_Cost-1,0,MAX(0,AN77-AU77)),AN77)</f>
        <v>0</v>
      </c>
      <c r="AY77" s="1" t="n">
        <f aca="false">AP77*(Slot3_Cost-AU77)</f>
        <v>0</v>
      </c>
      <c r="AZ77" s="1" t="n">
        <f aca="false">IF(AND(Slot4_On=1,D77=Slot4_Age),1,0)</f>
        <v>0</v>
      </c>
      <c r="BA77" s="1" t="n">
        <f aca="false">IF(AND(Slot4_On=1,Slot4_Age&gt;D77),1,0)</f>
        <v>0</v>
      </c>
      <c r="BB77" s="1" t="n">
        <f aca="false">HR76</f>
        <v>0</v>
      </c>
      <c r="BC77" s="1" t="n">
        <f aca="false">AZ77*MIN(Slot4_Cost,BB77)</f>
        <v>0</v>
      </c>
      <c r="BD77" s="1" t="n">
        <f aca="false">AZ77*Slot4_SpendLike*MIN(Slot4_Cost-BC77,AV77)</f>
        <v>0</v>
      </c>
      <c r="BE77" s="1" t="n">
        <f aca="false">BC77+BD77</f>
        <v>0</v>
      </c>
      <c r="BF77" s="1" t="n">
        <f aca="false">AV77-BD77+AZ77*IF(Slot4_SpendLike=1,BB77-BC77,IF(Slot4_PotFree=1,BB77,0))</f>
        <v>145433.324762879</v>
      </c>
      <c r="BG77" s="1" t="n">
        <f aca="false">AW77+AZ77*Slot4_BufPot*BB77</f>
        <v>0</v>
      </c>
      <c r="BH77" s="1" t="n">
        <f aca="false">IF(AND(AZ77=1,Slot4_IsMfree=1),IF(BE77&gt;=Slot4_Cost-1,0,MAX(0,AX77-BE77)),AX77)</f>
        <v>0</v>
      </c>
      <c r="BI77" s="1" t="n">
        <f aca="false">AZ77*(Slot4_Cost-BE77)</f>
        <v>0</v>
      </c>
      <c r="BJ77" s="1" t="n">
        <f aca="false">IF(AND(Slot5_On=1,D77=Slot5_Age),1,0)</f>
        <v>0</v>
      </c>
      <c r="BK77" s="1" t="n">
        <f aca="false">IF(AND(Slot5_On=1,Slot5_Age&gt;D77),1,0)</f>
        <v>0</v>
      </c>
      <c r="BL77" s="1" t="n">
        <f aca="false">HV76</f>
        <v>0</v>
      </c>
      <c r="BM77" s="1" t="n">
        <f aca="false">BJ77*MIN(Slot5_Cost,BL77)</f>
        <v>0</v>
      </c>
      <c r="BN77" s="1" t="n">
        <f aca="false">BJ77*Slot5_SpendLike*MIN(Slot5_Cost-BM77,BF77)</f>
        <v>0</v>
      </c>
      <c r="BO77" s="1" t="n">
        <f aca="false">BM77+BN77</f>
        <v>0</v>
      </c>
      <c r="BP77" s="1" t="n">
        <f aca="false">BF77-BN77+BJ77*IF(Slot5_SpendLike=1,BL77-BM77,IF(Slot5_PotFree=1,BL77,0))</f>
        <v>145433.324762879</v>
      </c>
      <c r="BQ77" s="1" t="n">
        <f aca="false">BG77+BJ77*Slot5_BufPot*BL77</f>
        <v>0</v>
      </c>
      <c r="BR77" s="1" t="n">
        <f aca="false">IF(AND(BJ77=1,Slot5_IsMfree=1),IF(BO77&gt;=Slot5_Cost-1,0,MAX(0,BH77-BO77)),BH77)</f>
        <v>0</v>
      </c>
      <c r="BS77" s="1" t="n">
        <f aca="false">BJ77*(Slot5_Cost-BO77)</f>
        <v>0</v>
      </c>
      <c r="BT77" s="1" t="n">
        <f aca="false">IF(AND(Slot6_On=1,D77=Slot6_Age),1,0)</f>
        <v>0</v>
      </c>
      <c r="BU77" s="1" t="n">
        <f aca="false">IF(AND(Slot6_On=1,Slot6_Age&gt;D77),1,0)</f>
        <v>0</v>
      </c>
      <c r="BV77" s="1" t="n">
        <f aca="false">HZ76</f>
        <v>0</v>
      </c>
      <c r="BW77" s="1" t="n">
        <f aca="false">BT77*MIN(Slot6_Cost,BV77)</f>
        <v>0</v>
      </c>
      <c r="BX77" s="1" t="n">
        <f aca="false">BT77*Slot6_SpendLike*MIN(Slot6_Cost-BW77,BP77)</f>
        <v>0</v>
      </c>
      <c r="BY77" s="1" t="n">
        <f aca="false">BW77+BX77</f>
        <v>0</v>
      </c>
      <c r="BZ77" s="1" t="n">
        <f aca="false">BP77-BX77+BT77*IF(Slot6_SpendLike=1,BV77-BW77,IF(Slot6_PotFree=1,BV77,0))</f>
        <v>145433.324762879</v>
      </c>
      <c r="CA77" s="1" t="n">
        <f aca="false">BQ77+BT77*Slot6_BufPot*BV77</f>
        <v>0</v>
      </c>
      <c r="CB77" s="1" t="n">
        <f aca="false">IF(AND(BT77=1,Slot6_IsMfree=1),IF(BY77&gt;=Slot6_Cost-1,0,MAX(0,BR77-BY77)),BR77)</f>
        <v>0</v>
      </c>
      <c r="CC77" s="1" t="n">
        <f aca="false">BT77*(Slot6_Cost-BY77)</f>
        <v>0</v>
      </c>
      <c r="CD77" s="1" t="n">
        <f aca="false">IF(AND(Slot7_On=1,D77=Slot7_Age),1,0)</f>
        <v>0</v>
      </c>
      <c r="CE77" s="1" t="n">
        <f aca="false">IF(AND(Slot7_On=1,Slot7_Age&gt;D77),1,0)</f>
        <v>0</v>
      </c>
      <c r="CF77" s="1" t="n">
        <f aca="false">ID76</f>
        <v>0</v>
      </c>
      <c r="CG77" s="1" t="n">
        <f aca="false">CD77*MIN(Slot7_Cost,CF77)</f>
        <v>0</v>
      </c>
      <c r="CH77" s="1" t="n">
        <f aca="false">CD77*Slot7_SpendLike*MIN(Slot7_Cost-CG77,BZ77)</f>
        <v>0</v>
      </c>
      <c r="CI77" s="1" t="n">
        <f aca="false">CG77+CH77</f>
        <v>0</v>
      </c>
      <c r="CJ77" s="1" t="n">
        <f aca="false">BZ77-CH77+CD77*IF(Slot7_SpendLike=1,CF77-CG77,IF(Slot7_PotFree=1,CF77,0))</f>
        <v>145433.324762879</v>
      </c>
      <c r="CK77" s="1" t="n">
        <f aca="false">CA77+CD77*Slot7_BufPot*CF77</f>
        <v>0</v>
      </c>
      <c r="CL77" s="1" t="n">
        <f aca="false">IF(AND(CD77=1,Slot7_IsMfree=1),IF(CI77&gt;=Slot7_Cost-1,0,MAX(0,CB77-CI77)),CB77)</f>
        <v>0</v>
      </c>
      <c r="CM77" s="1" t="n">
        <f aca="false">CD77*(Slot7_Cost-CI77)</f>
        <v>0</v>
      </c>
      <c r="CN77" s="1" t="n">
        <f aca="false">IF(AND(Slot8_On=1,D77=Slot8_Age),1,0)</f>
        <v>0</v>
      </c>
      <c r="CO77" s="1" t="n">
        <f aca="false">IF(AND(Slot8_On=1,Slot8_Age&gt;D77),1,0)</f>
        <v>0</v>
      </c>
      <c r="CP77" s="1" t="n">
        <f aca="false">IH76</f>
        <v>0</v>
      </c>
      <c r="CQ77" s="1" t="n">
        <f aca="false">CN77*MIN(Slot8_Cost,CP77)</f>
        <v>0</v>
      </c>
      <c r="CR77" s="1" t="n">
        <f aca="false">CN77*Slot8_SpendLike*MIN(Slot8_Cost-CQ77,CJ77)</f>
        <v>0</v>
      </c>
      <c r="CS77" s="1" t="n">
        <f aca="false">CQ77+CR77</f>
        <v>0</v>
      </c>
      <c r="CT77" s="1" t="n">
        <f aca="false">CJ77-CR77+CN77*IF(Slot8_SpendLike=1,CP77-CQ77,IF(Slot8_PotFree=1,CP77,0))</f>
        <v>145433.324762879</v>
      </c>
      <c r="CU77" s="1" t="n">
        <f aca="false">CK77+CN77*Slot8_BufPot*CP77</f>
        <v>0</v>
      </c>
      <c r="CV77" s="1" t="n">
        <f aca="false">IF(AND(CN77=1,Slot8_IsMfree=1),IF(CS77&gt;=Slot8_Cost-1,0,MAX(0,CL77-CS77)),CL77)</f>
        <v>0</v>
      </c>
      <c r="CW77" s="1" t="n">
        <f aca="false">CN77*(Slot8_Cost-CS77)</f>
        <v>0</v>
      </c>
      <c r="CX77" s="1" t="n">
        <f aca="false">U77*Slot1_SpendLike*Z77+AF77*Slot2_SpendLike*AK77+AP77*Slot3_SpendLike*AU77+AZ77*Slot4_SpendLike*BE77+BJ77*Slot5_SpendLike*BO77+BT77*Slot6_SpendLike*BY77+CD77*Slot7_SpendLike*CI77+CN77*Slot8_SpendLike*CS77</f>
        <v>0</v>
      </c>
      <c r="CY77" s="1" t="n">
        <f aca="false">AD77+AO77+AY77+BI77+BS77+CC77+CM77+CW77</f>
        <v>0</v>
      </c>
      <c r="CZ77" s="1" t="n">
        <f aca="false">U77*Slot1_Cost+AF77*Slot2_Cost+AP77*Slot3_Cost+AZ77*Slot4_Cost+BJ77*Slot5_Cost+BT77*Slot6_Cost+CD77*Slot7_Cost+CN77*Slot8_Cost</f>
        <v>0</v>
      </c>
      <c r="DA77" s="1" t="n">
        <f aca="false">CV77</f>
        <v>0</v>
      </c>
      <c r="DB77" s="1" t="n">
        <f aca="false">G77-H77-R77</f>
        <v>48821.5877310776</v>
      </c>
      <c r="DC77" s="1" t="n">
        <f aca="false">IF(B77=0,IF(AND(Has_q6=1,In_q6=4),PR_ShareVaries*(MAX(0,DB77)/12),MIN(IF(Has_q6=1,CHOOSE(In_q6+1,PR_SaveB1,PR_SaveB2,PR_SaveB3,PR_SaveB4,0),AS_NoAnswer),AS_SaveShare*(MAX(0,DB77)/12))),DC76)</f>
        <v>0</v>
      </c>
      <c r="DD77" s="1" t="n">
        <f aca="false">IF(DB77&gt;=0,1,0)</f>
        <v>1</v>
      </c>
      <c r="DE77" s="1" t="n">
        <f aca="false">MAX(0,DB77/12/E77)</f>
        <v>1037.57333333333</v>
      </c>
      <c r="DF77" s="1" t="n">
        <f aca="false">IF(AND(Has_q6=1,In_q6=4),PR_ShareVaries*(DE77),MIN(IF(Has_q6=1,CHOOSE(In_q6+1,PR_SaveB1,PR_SaveB2,PR_SaveB3,PR_SaveB4,0),AS_NoAnswer),AS_SaveShare*(DE77)))</f>
        <v>300</v>
      </c>
      <c r="DG77" s="1" t="n">
        <f aca="false">IF(Has_saveM=1,IF(In_saveUp="Yes",1,IF(In_saveUp="No",0,IF(In_saveM&gt;=DC77-0.5,1,0))),0)</f>
        <v>0</v>
      </c>
      <c r="DH77" s="1" t="n">
        <f aca="false">IF(Has_saveM=1,MIN(DE77,IF(DG77=1,MAX(In_saveM,DF77),MIN(In_saveM,DF77))),DF77)</f>
        <v>300</v>
      </c>
      <c r="DI77" s="1" t="n">
        <f aca="false">IF(F77=1,DH77*12*E77,0)</f>
        <v>0</v>
      </c>
      <c r="DJ77" s="1" t="n">
        <f aca="false">MAX(0,DI77+IF(AND(WI_Retire=0,WI_M&lt;0,F77=1),WI_M*12*E77,0))</f>
        <v>0</v>
      </c>
      <c r="DK77" s="1" t="n">
        <f aca="false">Slot1_IsWG*V77+Slot2_IsWG*AG77+Slot3_IsWG*AQ77+Slot4_IsWG*BA77+Slot5_IsWG*BK77+Slot6_IsWG*BU77+Slot7_IsWG*CE77+Slot8_IsWG*CO77</f>
        <v>0</v>
      </c>
      <c r="DL77" s="1" t="n">
        <f aca="false">IF(AND(WI_Retire=0,WI_M&gt;0,F77=1,DK77&gt;=1),WI_M*12*E77,0)</f>
        <v>0</v>
      </c>
      <c r="DM77" s="1" t="n">
        <f aca="false">IF(DD77=1,MIN(DJ77,DB77),0)</f>
        <v>0</v>
      </c>
      <c r="DN77" s="1" t="n">
        <f aca="false">IF(DD77=1,MIN(DL77,DB77-DM77),0)</f>
        <v>0</v>
      </c>
      <c r="DO77" s="1" t="n">
        <f aca="false">IF(V77=1,IF(ABS((1+AS_Wage)/(1+Slot1_Rate)-1)&lt;0.000000000001,(Slot1_Age-D77)*(1+Slot1_Rate)^(Slot1_Age-D77),(1+Slot1_Rate)^(Slot1_Age-D77)*(1-((1+AS_Wage)/(1+Slot1_Rate))^(Slot1_Age-D77))/(1-(1+AS_Wage)/(1+Slot1_Rate))),1)</f>
        <v>1</v>
      </c>
      <c r="DP77" s="1" t="n">
        <f aca="false">IF(AND(DD77=1,DN77&gt;0,Slot1_IsWG=1,V77=1),MAX(0,(Slot1_Cost-W77*(1+Slot1_Rate)^(Slot1_Age-D77))/DO77),0)</f>
        <v>0</v>
      </c>
      <c r="DQ77" s="1" t="n">
        <f aca="false">IF(AND(DD77=1,DN77&gt;0,Slot1_IsWG=1,V77=1),MIN(DN77,DP77),0)</f>
        <v>0</v>
      </c>
      <c r="DR77" s="1" t="n">
        <f aca="false">W77+DQ77</f>
        <v>0</v>
      </c>
      <c r="DS77" s="1" t="n">
        <f aca="false">IF(V77=1,MAX(0,(Slot1_Cost-DR77*(1+Slot1_Rate)^(Slot1_Age-D77))/DO77),0)</f>
        <v>0</v>
      </c>
      <c r="DT77" s="1" t="n">
        <f aca="false">IF(V77=1,MAX(0,(Slot1_Cost-W77*(1+Slot1_Rate)^(Slot1_Age-D77))/DO77),0)</f>
        <v>0</v>
      </c>
      <c r="DU77" s="1" t="n">
        <f aca="false">IF(AND(DD77=1,V77=1),MIN(DM77,DS77),0)</f>
        <v>0</v>
      </c>
      <c r="DV77" s="1" t="n">
        <f aca="false">DM77-DU77</f>
        <v>0</v>
      </c>
      <c r="DW77" s="1" t="n">
        <f aca="false">IF(AG77=1,IF(ABS((1+AS_Wage)/(1+Slot2_Rate)-1)&lt;0.000000000001,(Slot2_Age-D77)*(1+Slot2_Rate)^(Slot2_Age-D77),(1+Slot2_Rate)^(Slot2_Age-D77)*(1-((1+AS_Wage)/(1+Slot2_Rate))^(Slot2_Age-D77))/(1-(1+AS_Wage)/(1+Slot2_Rate))),1)</f>
        <v>1</v>
      </c>
      <c r="DX77" s="1" t="n">
        <f aca="false">IF(AND(DD77=1,DN77&gt;0,Slot2_IsWG=1,AG77=1),MAX(0,(Slot2_Cost-AH77*(1+Slot2_Rate)^(Slot2_Age-D77))/DW77),0)</f>
        <v>0</v>
      </c>
      <c r="DY77" s="1" t="n">
        <f aca="false">IF(AND(DD77=1,DN77&gt;0,Slot2_IsWG=1,AG77=1),MIN(DN77,DX77),0)</f>
        <v>0</v>
      </c>
      <c r="DZ77" s="1" t="n">
        <f aca="false">AH77+DY77</f>
        <v>0</v>
      </c>
      <c r="EA77" s="1" t="n">
        <f aca="false">IF(AG77=1,MAX(0,(Slot2_Cost-DZ77*(1+Slot2_Rate)^(Slot2_Age-D77))/DW77),0)</f>
        <v>0</v>
      </c>
      <c r="EB77" s="1" t="n">
        <f aca="false">IF(AG77=1,MAX(0,(Slot2_Cost-AH77*(1+Slot2_Rate)^(Slot2_Age-D77))/DW77),0)</f>
        <v>0</v>
      </c>
      <c r="EC77" s="1" t="n">
        <f aca="false">IF(AND(DD77=1,AG77=1),MIN(DV77,EA77),0)</f>
        <v>0</v>
      </c>
      <c r="ED77" s="1" t="n">
        <f aca="false">DV77-EC77</f>
        <v>0</v>
      </c>
      <c r="EE77" s="1" t="n">
        <f aca="false">IF(AQ77=1,IF(ABS((1+AS_Wage)/(1+Slot3_Rate)-1)&lt;0.000000000001,(Slot3_Age-D77)*(1+Slot3_Rate)^(Slot3_Age-D77),(1+Slot3_Rate)^(Slot3_Age-D77)*(1-((1+AS_Wage)/(1+Slot3_Rate))^(Slot3_Age-D77))/(1-(1+AS_Wage)/(1+Slot3_Rate))),1)</f>
        <v>1</v>
      </c>
      <c r="EF77" s="1" t="n">
        <f aca="false">IF(AND(DD77=1,DN77&gt;0,Slot3_IsWG=1,AQ77=1),MAX(0,(Slot3_Cost-AR77*(1+Slot3_Rate)^(Slot3_Age-D77))/EE77),0)</f>
        <v>0</v>
      </c>
      <c r="EG77" s="1" t="n">
        <f aca="false">IF(AND(DD77=1,DN77&gt;0,Slot3_IsWG=1,AQ77=1),MIN(DN77,EF77),0)</f>
        <v>0</v>
      </c>
      <c r="EH77" s="1" t="n">
        <f aca="false">AR77+EG77</f>
        <v>0</v>
      </c>
      <c r="EI77" s="1" t="n">
        <f aca="false">IF(AQ77=1,MAX(0,(Slot3_Cost-EH77*(1+Slot3_Rate)^(Slot3_Age-D77))/EE77),0)</f>
        <v>0</v>
      </c>
      <c r="EJ77" s="1" t="n">
        <f aca="false">IF(AQ77=1,MAX(0,(Slot3_Cost-AR77*(1+Slot3_Rate)^(Slot3_Age-D77))/EE77),0)</f>
        <v>0</v>
      </c>
      <c r="EK77" s="1" t="n">
        <f aca="false">IF(AND(DD77=1,AQ77=1),MIN(ED77,EI77),0)</f>
        <v>0</v>
      </c>
      <c r="EL77" s="1" t="n">
        <f aca="false">ED77-EK77</f>
        <v>0</v>
      </c>
      <c r="EM77" s="1" t="n">
        <f aca="false">IF(BA77=1,IF(ABS((1+AS_Wage)/(1+Slot4_Rate)-1)&lt;0.000000000001,(Slot4_Age-D77)*(1+Slot4_Rate)^(Slot4_Age-D77),(1+Slot4_Rate)^(Slot4_Age-D77)*(1-((1+AS_Wage)/(1+Slot4_Rate))^(Slot4_Age-D77))/(1-(1+AS_Wage)/(1+Slot4_Rate))),1)</f>
        <v>1</v>
      </c>
      <c r="EN77" s="1" t="n">
        <f aca="false">IF(AND(DD77=1,DN77&gt;0,Slot4_IsWG=1,BA77=1),MAX(0,(Slot4_Cost-BB77*(1+Slot4_Rate)^(Slot4_Age-D77))/EM77),0)</f>
        <v>0</v>
      </c>
      <c r="EO77" s="1" t="n">
        <f aca="false">IF(AND(DD77=1,DN77&gt;0,Slot4_IsWG=1,BA77=1),MIN(DN77,EN77),0)</f>
        <v>0</v>
      </c>
      <c r="EP77" s="1" t="n">
        <f aca="false">BB77+EO77</f>
        <v>0</v>
      </c>
      <c r="EQ77" s="1" t="n">
        <f aca="false">IF(BA77=1,MAX(0,(Slot4_Cost-EP77*(1+Slot4_Rate)^(Slot4_Age-D77))/EM77),0)</f>
        <v>0</v>
      </c>
      <c r="ER77" s="1" t="n">
        <f aca="false">IF(BA77=1,MAX(0,(Slot4_Cost-BB77*(1+Slot4_Rate)^(Slot4_Age-D77))/EM77),0)</f>
        <v>0</v>
      </c>
      <c r="ES77" s="1" t="n">
        <f aca="false">IF(AND(DD77=1,BA77=1),MIN(EL77,EQ77),0)</f>
        <v>0</v>
      </c>
      <c r="ET77" s="1" t="n">
        <f aca="false">EL77-ES77</f>
        <v>0</v>
      </c>
      <c r="EU77" s="1" t="n">
        <f aca="false">IF(BK77=1,IF(ABS((1+AS_Wage)/(1+Slot5_Rate)-1)&lt;0.000000000001,(Slot5_Age-D77)*(1+Slot5_Rate)^(Slot5_Age-D77),(1+Slot5_Rate)^(Slot5_Age-D77)*(1-((1+AS_Wage)/(1+Slot5_Rate))^(Slot5_Age-D77))/(1-(1+AS_Wage)/(1+Slot5_Rate))),1)</f>
        <v>1</v>
      </c>
      <c r="EV77" s="1" t="n">
        <f aca="false">IF(AND(DD77=1,DN77&gt;0,Slot5_IsWG=1,BK77=1),MAX(0,(Slot5_Cost-BL77*(1+Slot5_Rate)^(Slot5_Age-D77))/EU77),0)</f>
        <v>0</v>
      </c>
      <c r="EW77" s="1" t="n">
        <f aca="false">IF(AND(DD77=1,DN77&gt;0,Slot5_IsWG=1,BK77=1),MIN(DN77,EV77),0)</f>
        <v>0</v>
      </c>
      <c r="EX77" s="1" t="n">
        <f aca="false">BL77+EW77</f>
        <v>0</v>
      </c>
      <c r="EY77" s="1" t="n">
        <f aca="false">IF(BK77=1,MAX(0,(Slot5_Cost-EX77*(1+Slot5_Rate)^(Slot5_Age-D77))/EU77),0)</f>
        <v>0</v>
      </c>
      <c r="EZ77" s="1" t="n">
        <f aca="false">IF(BK77=1,MAX(0,(Slot5_Cost-BL77*(1+Slot5_Rate)^(Slot5_Age-D77))/EU77),0)</f>
        <v>0</v>
      </c>
      <c r="FA77" s="1" t="n">
        <f aca="false">IF(AND(DD77=1,BK77=1),MIN(ET77,EY77),0)</f>
        <v>0</v>
      </c>
      <c r="FB77" s="1" t="n">
        <f aca="false">ET77-FA77</f>
        <v>0</v>
      </c>
      <c r="FC77" s="1" t="n">
        <f aca="false">IF(BU77=1,IF(ABS((1+AS_Wage)/(1+Slot6_Rate)-1)&lt;0.000000000001,(Slot6_Age-D77)*(1+Slot6_Rate)^(Slot6_Age-D77),(1+Slot6_Rate)^(Slot6_Age-D77)*(1-((1+AS_Wage)/(1+Slot6_Rate))^(Slot6_Age-D77))/(1-(1+AS_Wage)/(1+Slot6_Rate))),1)</f>
        <v>1</v>
      </c>
      <c r="FD77" s="1" t="n">
        <f aca="false">IF(AND(DD77=1,DN77&gt;0,Slot6_IsWG=1,BU77=1),MAX(0,(Slot6_Cost-BV77*(1+Slot6_Rate)^(Slot6_Age-D77))/FC77),0)</f>
        <v>0</v>
      </c>
      <c r="FE77" s="1" t="n">
        <f aca="false">IF(AND(DD77=1,DN77&gt;0,Slot6_IsWG=1,BU77=1),MIN(DN77,FD77),0)</f>
        <v>0</v>
      </c>
      <c r="FF77" s="1" t="n">
        <f aca="false">BV77+FE77</f>
        <v>0</v>
      </c>
      <c r="FG77" s="1" t="n">
        <f aca="false">IF(BU77=1,MAX(0,(Slot6_Cost-FF77*(1+Slot6_Rate)^(Slot6_Age-D77))/FC77),0)</f>
        <v>0</v>
      </c>
      <c r="FH77" s="1" t="n">
        <f aca="false">IF(BU77=1,MAX(0,(Slot6_Cost-BV77*(1+Slot6_Rate)^(Slot6_Age-D77))/FC77),0)</f>
        <v>0</v>
      </c>
      <c r="FI77" s="1" t="n">
        <f aca="false">IF(AND(DD77=1,BU77=1),MIN(FB77,FG77),0)</f>
        <v>0</v>
      </c>
      <c r="FJ77" s="1" t="n">
        <f aca="false">FB77-FI77</f>
        <v>0</v>
      </c>
      <c r="FK77" s="1" t="n">
        <f aca="false">IF(CE77=1,IF(ABS((1+AS_Wage)/(1+Slot7_Rate)-1)&lt;0.000000000001,(Slot7_Age-D77)*(1+Slot7_Rate)^(Slot7_Age-D77),(1+Slot7_Rate)^(Slot7_Age-D77)*(1-((1+AS_Wage)/(1+Slot7_Rate))^(Slot7_Age-D77))/(1-(1+AS_Wage)/(1+Slot7_Rate))),1)</f>
        <v>1</v>
      </c>
      <c r="FL77" s="1" t="n">
        <f aca="false">IF(AND(DD77=1,DN77&gt;0,Slot7_IsWG=1,CE77=1),MAX(0,(Slot7_Cost-CF77*(1+Slot7_Rate)^(Slot7_Age-D77))/FK77),0)</f>
        <v>0</v>
      </c>
      <c r="FM77" s="1" t="n">
        <f aca="false">IF(AND(DD77=1,DN77&gt;0,Slot7_IsWG=1,CE77=1),MIN(DN77,FL77),0)</f>
        <v>0</v>
      </c>
      <c r="FN77" s="1" t="n">
        <f aca="false">CF77+FM77</f>
        <v>0</v>
      </c>
      <c r="FO77" s="1" t="n">
        <f aca="false">IF(CE77=1,MAX(0,(Slot7_Cost-FN77*(1+Slot7_Rate)^(Slot7_Age-D77))/FK77),0)</f>
        <v>0</v>
      </c>
      <c r="FP77" s="1" t="n">
        <f aca="false">IF(CE77=1,MAX(0,(Slot7_Cost-CF77*(1+Slot7_Rate)^(Slot7_Age-D77))/FK77),0)</f>
        <v>0</v>
      </c>
      <c r="FQ77" s="1" t="n">
        <f aca="false">IF(AND(DD77=1,CE77=1),MIN(FJ77,FO77),0)</f>
        <v>0</v>
      </c>
      <c r="FR77" s="1" t="n">
        <f aca="false">FJ77-FQ77</f>
        <v>0</v>
      </c>
      <c r="FS77" s="1" t="n">
        <f aca="false">IF(CO77=1,IF(ABS((1+AS_Wage)/(1+Slot8_Rate)-1)&lt;0.000000000001,(Slot8_Age-D77)*(1+Slot8_Rate)^(Slot8_Age-D77),(1+Slot8_Rate)^(Slot8_Age-D77)*(1-((1+AS_Wage)/(1+Slot8_Rate))^(Slot8_Age-D77))/(1-(1+AS_Wage)/(1+Slot8_Rate))),1)</f>
        <v>1</v>
      </c>
      <c r="FT77" s="1" t="n">
        <f aca="false">IF(AND(DD77=1,DN77&gt;0,Slot8_IsWG=1,CO77=1),MAX(0,(Slot8_Cost-CP77*(1+Slot8_Rate)^(Slot8_Age-D77))/FS77),0)</f>
        <v>0</v>
      </c>
      <c r="FU77" s="1" t="n">
        <f aca="false">IF(AND(DD77=1,DN77&gt;0,Slot8_IsWG=1,CO77=1),MIN(DN77,FT77),0)</f>
        <v>0</v>
      </c>
      <c r="FV77" s="1" t="n">
        <f aca="false">CP77+FU77</f>
        <v>0</v>
      </c>
      <c r="FW77" s="1" t="n">
        <f aca="false">IF(CO77=1,MAX(0,(Slot8_Cost-FV77*(1+Slot8_Rate)^(Slot8_Age-D77))/FS77),0)</f>
        <v>0</v>
      </c>
      <c r="FX77" s="1" t="n">
        <f aca="false">IF(CO77=1,MAX(0,(Slot8_Cost-CP77*(1+Slot8_Rate)^(Slot8_Age-D77))/FS77),0)</f>
        <v>0</v>
      </c>
      <c r="FY77" s="1" t="n">
        <f aca="false">IF(AND(DD77=1,CO77=1),MIN(FR77,FW77),0)</f>
        <v>0</v>
      </c>
      <c r="FZ77" s="1" t="n">
        <f aca="false">FR77-FY77</f>
        <v>0</v>
      </c>
      <c r="GA77" s="1" t="n">
        <f aca="false">DN77-(DQ77+DY77+EG77+EO77+EW77+FE77+FM77+FU77)</f>
        <v>0</v>
      </c>
      <c r="GB77" s="1" t="n">
        <f aca="false">IF(DD77=1,DB77-DM77-DN77,0)</f>
        <v>48821.5877310776</v>
      </c>
      <c r="GC77" s="1" t="n">
        <f aca="false">IF(DD77=0,-DB77,0)</f>
        <v>0</v>
      </c>
      <c r="GD77" s="1" t="n">
        <f aca="false">MIN(GC77,CT77)</f>
        <v>0</v>
      </c>
      <c r="GE77" s="1" t="n">
        <f aca="false">GC77-GD77</f>
        <v>0</v>
      </c>
      <c r="GF77" s="1" t="n">
        <f aca="false">MIN(GE77,CU77)</f>
        <v>0</v>
      </c>
      <c r="GG77" s="1" t="n">
        <f aca="false">GE77-GF77</f>
        <v>0</v>
      </c>
      <c r="GH77" s="1" t="n">
        <f aca="false">IF(AND(DD77=0,CO77=1,GG77&gt;0),MIN(GG77,CP77),0)</f>
        <v>0</v>
      </c>
      <c r="GI77" s="1" t="n">
        <f aca="false">GG77-GH77</f>
        <v>0</v>
      </c>
      <c r="GJ77" s="1" t="n">
        <f aca="false">IF(AND(DD77=0,CE77=1,GI77&gt;0),MIN(GI77,CF77),0)</f>
        <v>0</v>
      </c>
      <c r="GK77" s="1" t="n">
        <f aca="false">GI77-GJ77</f>
        <v>0</v>
      </c>
      <c r="GL77" s="1" t="n">
        <f aca="false">IF(AND(DD77=0,BU77=1,GK77&gt;0),MIN(GK77,BV77),0)</f>
        <v>0</v>
      </c>
      <c r="GM77" s="1" t="n">
        <f aca="false">GK77-GL77</f>
        <v>0</v>
      </c>
      <c r="GN77" s="1" t="n">
        <f aca="false">IF(AND(DD77=0,BK77=1,GM77&gt;0),MIN(GM77,BL77),0)</f>
        <v>0</v>
      </c>
      <c r="GO77" s="1" t="n">
        <f aca="false">GM77-GN77</f>
        <v>0</v>
      </c>
      <c r="GP77" s="1" t="n">
        <f aca="false">IF(AND(DD77=0,BA77=1,GO77&gt;0),MIN(GO77,BB77),0)</f>
        <v>0</v>
      </c>
      <c r="GQ77" s="1" t="n">
        <f aca="false">GO77-GP77</f>
        <v>0</v>
      </c>
      <c r="GR77" s="1" t="n">
        <f aca="false">IF(AND(DD77=0,AQ77=1,GQ77&gt;0),MIN(GQ77,AR77),0)</f>
        <v>0</v>
      </c>
      <c r="GS77" s="1" t="n">
        <f aca="false">GQ77-GR77</f>
        <v>0</v>
      </c>
      <c r="GT77" s="1" t="n">
        <f aca="false">IF(AND(DD77=0,AG77=1,GS77&gt;0),MIN(GS77,AH77),0)</f>
        <v>0</v>
      </c>
      <c r="GU77" s="1" t="n">
        <f aca="false">GS77-GT77</f>
        <v>0</v>
      </c>
      <c r="GV77" s="1" t="n">
        <f aca="false">IF(AND(DD77=0,V77=1,GU77&gt;0),MIN(GU77,W77),0)</f>
        <v>0</v>
      </c>
      <c r="GW77" s="1" t="n">
        <f aca="false">GU77-GV77</f>
        <v>0</v>
      </c>
      <c r="GX77" s="1" t="n">
        <f aca="false">IF(DD77=0,GW77,0)</f>
        <v>0</v>
      </c>
      <c r="GY77" s="1" t="n">
        <f aca="false">GD77+GF77+GV77+GT77+GR77+GP77+GN77+GL77+GJ77+GH77</f>
        <v>0</v>
      </c>
      <c r="GZ77" s="1" t="n">
        <f aca="false">IF(DD77=1,CT77+GA77+FZ77+IF(F77=1,0,GB77),CT77-GD77)</f>
        <v>194254.912493957</v>
      </c>
      <c r="HA77" s="1" t="n">
        <f aca="false">CU77-GF77</f>
        <v>0</v>
      </c>
      <c r="HB77" s="1" t="n">
        <f aca="false">IF(DD77=1,IF(F77=1,DM77+DN77,DB77),0)</f>
        <v>48821.5877310776</v>
      </c>
      <c r="HC77" s="1" t="n">
        <f aca="false">IF(DD77=1,IF(F77=1,DB77-DM77-DN77,0),0)</f>
        <v>0</v>
      </c>
      <c r="HD77" s="1" t="n">
        <f aca="false">GZ77*(1+GR)</f>
        <v>197440.693058858</v>
      </c>
      <c r="HE77" s="1" t="n">
        <f aca="false">HA77*(1+AS_Cash)</f>
        <v>0</v>
      </c>
      <c r="HF77" s="1" t="n">
        <f aca="false">IF(V77=1,IF(DD77=1,DR77+DU77,W77-GV77)*(1+Slot1_Rate),0)</f>
        <v>0</v>
      </c>
      <c r="HG77" s="1" t="n">
        <f aca="false">IF(AND(DD77=1,V77=1),(DQ77+DU77)/E77,0)</f>
        <v>0</v>
      </c>
      <c r="HH77" s="1" t="n">
        <f aca="false">IF(B77=0,DQ77+DU77,0)</f>
        <v>0</v>
      </c>
      <c r="HI77" s="1" t="n">
        <f aca="false">IF(B77=0,IF(DD77=1,DS77,DT77),0)</f>
        <v>0</v>
      </c>
      <c r="HJ77" s="1" t="n">
        <f aca="false">IF(AG77=1,IF(DD77=1,DZ77+EC77,AH77-GT77)*(1+Slot2_Rate),0)</f>
        <v>0</v>
      </c>
      <c r="HK77" s="1" t="n">
        <f aca="false">IF(AND(DD77=1,AG77=1),(DY77+EC77)/E77,0)</f>
        <v>0</v>
      </c>
      <c r="HL77" s="1" t="n">
        <f aca="false">IF(B77=0,DY77+EC77,0)</f>
        <v>0</v>
      </c>
      <c r="HM77" s="1" t="n">
        <f aca="false">IF(B77=0,IF(DD77=1,EA77,EB77),0)</f>
        <v>0</v>
      </c>
      <c r="HN77" s="1" t="n">
        <f aca="false">IF(AQ77=1,IF(DD77=1,EH77+EK77,AR77-GR77)*(1+Slot3_Rate),0)</f>
        <v>0</v>
      </c>
      <c r="HO77" s="1" t="n">
        <f aca="false">IF(AND(DD77=1,AQ77=1),(EG77+EK77)/E77,0)</f>
        <v>0</v>
      </c>
      <c r="HP77" s="1" t="n">
        <f aca="false">IF(B77=0,EG77+EK77,0)</f>
        <v>0</v>
      </c>
      <c r="HQ77" s="1" t="n">
        <f aca="false">IF(B77=0,IF(DD77=1,EI77,EJ77),0)</f>
        <v>0</v>
      </c>
      <c r="HR77" s="1" t="n">
        <f aca="false">IF(BA77=1,IF(DD77=1,EP77+ES77,BB77-GP77)*(1+Slot4_Rate),0)</f>
        <v>0</v>
      </c>
      <c r="HS77" s="1" t="n">
        <f aca="false">IF(AND(DD77=1,BA77=1),(EO77+ES77)/E77,0)</f>
        <v>0</v>
      </c>
      <c r="HT77" s="1" t="n">
        <f aca="false">IF(B77=0,EO77+ES77,0)</f>
        <v>0</v>
      </c>
      <c r="HU77" s="1" t="n">
        <f aca="false">IF(B77=0,IF(DD77=1,EQ77,ER77),0)</f>
        <v>0</v>
      </c>
      <c r="HV77" s="1" t="n">
        <f aca="false">IF(BK77=1,IF(DD77=1,EX77+FA77,BL77-GN77)*(1+Slot5_Rate),0)</f>
        <v>0</v>
      </c>
      <c r="HW77" s="1" t="n">
        <f aca="false">IF(AND(DD77=1,BK77=1),(EW77+FA77)/E77,0)</f>
        <v>0</v>
      </c>
      <c r="HX77" s="1" t="n">
        <f aca="false">IF(B77=0,EW77+FA77,0)</f>
        <v>0</v>
      </c>
      <c r="HY77" s="1" t="n">
        <f aca="false">IF(B77=0,IF(DD77=1,EY77,EZ77),0)</f>
        <v>0</v>
      </c>
      <c r="HZ77" s="1" t="n">
        <f aca="false">IF(BU77=1,IF(DD77=1,FF77+FI77,BV77-GL77)*(1+Slot6_Rate),0)</f>
        <v>0</v>
      </c>
      <c r="IA77" s="1" t="n">
        <f aca="false">IF(AND(DD77=1,BU77=1),(FE77+FI77)/E77,0)</f>
        <v>0</v>
      </c>
      <c r="IB77" s="1" t="n">
        <f aca="false">IF(B77=0,FE77+FI77,0)</f>
        <v>0</v>
      </c>
      <c r="IC77" s="1" t="n">
        <f aca="false">IF(B77=0,IF(DD77=1,FG77,FH77),0)</f>
        <v>0</v>
      </c>
      <c r="ID77" s="1" t="n">
        <f aca="false">IF(CE77=1,IF(DD77=1,FN77+FQ77,CF77-GJ77)*(1+Slot7_Rate),0)</f>
        <v>0</v>
      </c>
      <c r="IE77" s="1" t="n">
        <f aca="false">IF(AND(DD77=1,CE77=1),(FM77+FQ77)/E77,0)</f>
        <v>0</v>
      </c>
      <c r="IF77" s="1" t="n">
        <f aca="false">IF(B77=0,FM77+FQ77,0)</f>
        <v>0</v>
      </c>
      <c r="IG77" s="1" t="n">
        <f aca="false">IF(B77=0,IF(DD77=1,FO77,FP77),0)</f>
        <v>0</v>
      </c>
      <c r="IH77" s="1" t="n">
        <f aca="false">IF(CO77=1,IF(DD77=1,FV77+FY77,CP77-GH77)*(1+Slot8_Rate),0)</f>
        <v>0</v>
      </c>
      <c r="II77" s="1" t="n">
        <f aca="false">IF(AND(DD77=1,CO77=1),(FU77+FY77)/E77,0)</f>
        <v>0</v>
      </c>
      <c r="IJ77" s="1" t="n">
        <f aca="false">IF(B77=0,FU77+FY77,0)</f>
        <v>0</v>
      </c>
      <c r="IK77" s="1" t="n">
        <f aca="false">IF(B77=0,IF(DD77=1,FW77,FX77),0)</f>
        <v>0</v>
      </c>
      <c r="IL77" s="1" t="n">
        <f aca="false">HD77+HE77+HF77+HJ77+HN77+HR77+HV77+HZ77+ID77+IH77</f>
        <v>197440.693058858</v>
      </c>
      <c r="IM77" s="1" t="n">
        <f aca="false">GX77+CY77</f>
        <v>0</v>
      </c>
      <c r="IN77" s="1" t="n">
        <f aca="false">H77+R77</f>
        <v>0</v>
      </c>
      <c r="IO77" s="1" t="n">
        <f aca="false">1-F77</f>
        <v>1</v>
      </c>
      <c r="IP77" s="1" t="n">
        <f aca="false">IF(AND(RG_Exists=1,F77=0,C77=1),H77,0)</f>
        <v>0</v>
      </c>
      <c r="IQ77" s="1" t="n">
        <f aca="false">IF(AND(RG_Exists=1,F77=0,C77=1),H77-MIN(GX77,H77),0)</f>
        <v>0</v>
      </c>
      <c r="IR77" s="1" t="n">
        <f aca="false">'Plan pay &amp; tax'!AD279</f>
        <v>0</v>
      </c>
      <c r="IS77" s="1" t="n">
        <f aca="false">IF(AND(C77=1,GX77&gt;MAX(PR_Short1,IN77*PR_Short2)),1,0)</f>
        <v>0</v>
      </c>
      <c r="IT77" s="1" t="n">
        <f aca="false">MIN(G77,H77+R77)</f>
        <v>0</v>
      </c>
      <c r="IU77" s="1" t="n">
        <f aca="false">GY77+MAX(0,CZ77-CY77)</f>
        <v>0</v>
      </c>
      <c r="IV77" s="1" t="n">
        <f aca="false">GX77+CY77</f>
        <v>0</v>
      </c>
      <c r="IW77" s="1" t="n">
        <f aca="false">IF(AND(C77=1,IV77&gt;0.5),1,0)</f>
        <v>0</v>
      </c>
      <c r="IX77" s="1" t="n">
        <f aca="false">IF(AND(C77=1,IW77=0,IU77&gt;0.5),1,0)</f>
        <v>0</v>
      </c>
      <c r="IY77" s="1" t="n">
        <f aca="false">IF(AND(C77=1,GX77&gt;0.5),1,0)</f>
        <v>0</v>
      </c>
      <c r="IZ77" s="1" t="n">
        <f aca="false">IF(AND(C77=1,GY77&gt;1,JF77=0),1,0)</f>
        <v>0</v>
      </c>
      <c r="JA77" s="1" t="n">
        <f aca="false">IF(AND(INT(D77/10)*10=90,B77&gt;0),80,INT(D77/10)*10)</f>
        <v>60</v>
      </c>
      <c r="JB77" s="1" t="n">
        <f aca="false">IF(B77=0,1,IF(JA77&lt;&gt;JA76,JB76+1,JB76))</f>
        <v>7</v>
      </c>
      <c r="JC77" s="1" t="n">
        <f aca="false">IF(AND(C77=1,F77=1,GX77&gt;MAX(PR_Short1,IN77*PR_Short2)),1,0)</f>
        <v>0</v>
      </c>
      <c r="JD77" s="1" t="n">
        <f aca="false">IO77*IS77</f>
        <v>0</v>
      </c>
      <c r="JE77" s="1" t="n">
        <f aca="false">IF(AND(U77=1,Slot1_PctLow=1),1,0)+IF(AND(AF77=1,Slot2_PctLow=1),1,0)+IF(AND(AP77=1,Slot3_PctLow=1),1,0)+IF(AND(AZ77=1,Slot4_PctLow=1),1,0)+IF(AND(BJ77=1,Slot5_PctLow=1),1,0)+IF(AND(BT77=1,Slot6_PctLow=1),1,0)+IF(AND(CD77=1,Slot7_PctLow=1),1,0)+IF(AND(CN77=1,Slot8_PctLow=1),1,0)</f>
        <v>0</v>
      </c>
      <c r="JF77" s="1" t="n">
        <f aca="false">IF(C77=1,IF(OR(IS77=1,JE77&gt;0),1,0),0)</f>
        <v>0</v>
      </c>
    </row>
    <row r="78" customFormat="false" ht="15" hidden="false" customHeight="false" outlineLevel="0" collapsed="false">
      <c r="B78" s="1" t="n">
        <v>70</v>
      </c>
      <c r="C78" s="1" t="n">
        <f aca="false">IF(B78&lt;=F_N,1,0)</f>
        <v>1</v>
      </c>
      <c r="D78" s="1" t="n">
        <f aca="false">'Plan pay &amp; tax'!C280</f>
        <v>70</v>
      </c>
      <c r="E78" s="106" t="n">
        <f aca="false">'Plan pay &amp; tax'!E280</f>
        <v>3.99955822284844</v>
      </c>
      <c r="F78" s="1" t="n">
        <f aca="false">'Plan pay &amp; tax'!G280</f>
        <v>0</v>
      </c>
      <c r="G78" s="1" t="n">
        <f aca="false">'Plan pay &amp; tax'!BT280-'Plan pay &amp; tax'!BS280-'Plan pay &amp; tax'!R280</f>
        <v>49798.0194856992</v>
      </c>
      <c r="H78" s="1" t="n">
        <f aca="false">IF(F78=1,F_CostsM*12,IF(RG_Exists=1,RG_Amount,F_CostsM*12*AS_RetireSpend))*E78+F_OneOffY*E78</f>
        <v>0</v>
      </c>
      <c r="I78" s="1" t="n">
        <f aca="false">DA77</f>
        <v>0</v>
      </c>
      <c r="J78" s="1" t="n">
        <f aca="false">IF(I78&gt;1,'Plan debt months'!AC78,0)</f>
        <v>0</v>
      </c>
      <c r="K78" s="1" t="n">
        <f aca="false">IF(I78&gt;1,'Plan debt months'!AB78,I78)</f>
        <v>0</v>
      </c>
      <c r="L78" s="1" t="n">
        <f aca="false">N77</f>
        <v>0</v>
      </c>
      <c r="M78" s="1" t="n">
        <f aca="false">IF(L78&gt;1,'Plan debt months'!BD78,0)</f>
        <v>0</v>
      </c>
      <c r="N78" s="1" t="n">
        <f aca="false">IF(L78&gt;1,'Plan debt months'!BC78,L78)</f>
        <v>0</v>
      </c>
      <c r="O78" s="1" t="n">
        <f aca="false">Q77</f>
        <v>0</v>
      </c>
      <c r="P78" s="1" t="n">
        <f aca="false">IF(O78&gt;1,'Plan debt months'!CE78,0)</f>
        <v>0</v>
      </c>
      <c r="Q78" s="1" t="n">
        <f aca="false">IF(O78&gt;1,'Plan debt months'!CD78,O78)</f>
        <v>0</v>
      </c>
      <c r="R78" s="1" t="n">
        <f aca="false">J78+M78+P78</f>
        <v>0</v>
      </c>
      <c r="S78" s="1" t="n">
        <f aca="false">HD77+'Plan pay &amp; tax'!Y280</f>
        <v>197440.693058858</v>
      </c>
      <c r="T78" s="1" t="n">
        <f aca="false">HD77</f>
        <v>197440.693058858</v>
      </c>
      <c r="U78" s="1" t="n">
        <f aca="false">IF(AND(Slot1_On=1,D78=Slot1_Age),1,0)</f>
        <v>0</v>
      </c>
      <c r="V78" s="1" t="n">
        <f aca="false">IF(AND(Slot1_On=1,Slot1_Age&gt;D78),1,0)</f>
        <v>0</v>
      </c>
      <c r="W78" s="1" t="n">
        <f aca="false">HF77</f>
        <v>0</v>
      </c>
      <c r="X78" s="1" t="n">
        <f aca="false">U78*MIN(Slot1_Cost,W78)</f>
        <v>0</v>
      </c>
      <c r="Y78" s="1" t="n">
        <f aca="false">U78*Slot1_SpendLike*MIN(Slot1_Cost-X78,S78)</f>
        <v>0</v>
      </c>
      <c r="Z78" s="1" t="n">
        <f aca="false">X78+Y78</f>
        <v>0</v>
      </c>
      <c r="AA78" s="1" t="n">
        <f aca="false">S78-Y78+U78*IF(Slot1_SpendLike=1,W78-X78,IF(Slot1_PotFree=1,W78,0))</f>
        <v>197440.693058858</v>
      </c>
      <c r="AB78" s="1" t="n">
        <f aca="false">AE78+U78*Slot1_BufPot*W78</f>
        <v>0</v>
      </c>
      <c r="AC78" s="1" t="n">
        <f aca="false">IF(AND(U78=1,Slot1_IsMfree=1),IF(Z78&gt;=Slot1_Cost-1,0,MAX(0,K78-Z78)),K78)</f>
        <v>0</v>
      </c>
      <c r="AD78" s="1" t="n">
        <f aca="false">U78*(Slot1_Cost-Z78)</f>
        <v>0</v>
      </c>
      <c r="AE78" s="1" t="n">
        <f aca="false">HE77</f>
        <v>0</v>
      </c>
      <c r="AF78" s="1" t="n">
        <f aca="false">IF(AND(Slot2_On=1,D78=Slot2_Age),1,0)</f>
        <v>0</v>
      </c>
      <c r="AG78" s="1" t="n">
        <f aca="false">IF(AND(Slot2_On=1,Slot2_Age&gt;D78),1,0)</f>
        <v>0</v>
      </c>
      <c r="AH78" s="1" t="n">
        <f aca="false">HJ77</f>
        <v>0</v>
      </c>
      <c r="AI78" s="1" t="n">
        <f aca="false">AF78*MIN(Slot2_Cost,AH78)</f>
        <v>0</v>
      </c>
      <c r="AJ78" s="1" t="n">
        <f aca="false">AF78*Slot2_SpendLike*MIN(Slot2_Cost-AI78,AA78)</f>
        <v>0</v>
      </c>
      <c r="AK78" s="1" t="n">
        <f aca="false">AI78+AJ78</f>
        <v>0</v>
      </c>
      <c r="AL78" s="1" t="n">
        <f aca="false">AA78-AJ78+AF78*IF(Slot2_SpendLike=1,AH78-AI78,IF(Slot2_PotFree=1,AH78,0))</f>
        <v>197440.693058858</v>
      </c>
      <c r="AM78" s="1" t="n">
        <f aca="false">AB78+AF78*Slot2_BufPot*AH78</f>
        <v>0</v>
      </c>
      <c r="AN78" s="1" t="n">
        <f aca="false">IF(AND(AF78=1,Slot2_IsMfree=1),IF(AK78&gt;=Slot2_Cost-1,0,MAX(0,AC78-AK78)),AC78)</f>
        <v>0</v>
      </c>
      <c r="AO78" s="1" t="n">
        <f aca="false">AF78*(Slot2_Cost-AK78)</f>
        <v>0</v>
      </c>
      <c r="AP78" s="1" t="n">
        <f aca="false">IF(AND(Slot3_On=1,D78=Slot3_Age),1,0)</f>
        <v>0</v>
      </c>
      <c r="AQ78" s="1" t="n">
        <f aca="false">IF(AND(Slot3_On=1,Slot3_Age&gt;D78),1,0)</f>
        <v>0</v>
      </c>
      <c r="AR78" s="1" t="n">
        <f aca="false">HN77</f>
        <v>0</v>
      </c>
      <c r="AS78" s="1" t="n">
        <f aca="false">AP78*MIN(Slot3_Cost,AR78)</f>
        <v>0</v>
      </c>
      <c r="AT78" s="1" t="n">
        <f aca="false">AP78*Slot3_SpendLike*MIN(Slot3_Cost-AS78,AL78)</f>
        <v>0</v>
      </c>
      <c r="AU78" s="1" t="n">
        <f aca="false">AS78+AT78</f>
        <v>0</v>
      </c>
      <c r="AV78" s="1" t="n">
        <f aca="false">AL78-AT78+AP78*IF(Slot3_SpendLike=1,AR78-AS78,IF(Slot3_PotFree=1,AR78,0))</f>
        <v>197440.693058858</v>
      </c>
      <c r="AW78" s="1" t="n">
        <f aca="false">AM78+AP78*Slot3_BufPot*AR78</f>
        <v>0</v>
      </c>
      <c r="AX78" s="1" t="n">
        <f aca="false">IF(AND(AP78=1,Slot3_IsMfree=1),IF(AU78&gt;=Slot3_Cost-1,0,MAX(0,AN78-AU78)),AN78)</f>
        <v>0</v>
      </c>
      <c r="AY78" s="1" t="n">
        <f aca="false">AP78*(Slot3_Cost-AU78)</f>
        <v>0</v>
      </c>
      <c r="AZ78" s="1" t="n">
        <f aca="false">IF(AND(Slot4_On=1,D78=Slot4_Age),1,0)</f>
        <v>0</v>
      </c>
      <c r="BA78" s="1" t="n">
        <f aca="false">IF(AND(Slot4_On=1,Slot4_Age&gt;D78),1,0)</f>
        <v>0</v>
      </c>
      <c r="BB78" s="1" t="n">
        <f aca="false">HR77</f>
        <v>0</v>
      </c>
      <c r="BC78" s="1" t="n">
        <f aca="false">AZ78*MIN(Slot4_Cost,BB78)</f>
        <v>0</v>
      </c>
      <c r="BD78" s="1" t="n">
        <f aca="false">AZ78*Slot4_SpendLike*MIN(Slot4_Cost-BC78,AV78)</f>
        <v>0</v>
      </c>
      <c r="BE78" s="1" t="n">
        <f aca="false">BC78+BD78</f>
        <v>0</v>
      </c>
      <c r="BF78" s="1" t="n">
        <f aca="false">AV78-BD78+AZ78*IF(Slot4_SpendLike=1,BB78-BC78,IF(Slot4_PotFree=1,BB78,0))</f>
        <v>197440.693058858</v>
      </c>
      <c r="BG78" s="1" t="n">
        <f aca="false">AW78+AZ78*Slot4_BufPot*BB78</f>
        <v>0</v>
      </c>
      <c r="BH78" s="1" t="n">
        <f aca="false">IF(AND(AZ78=1,Slot4_IsMfree=1),IF(BE78&gt;=Slot4_Cost-1,0,MAX(0,AX78-BE78)),AX78)</f>
        <v>0</v>
      </c>
      <c r="BI78" s="1" t="n">
        <f aca="false">AZ78*(Slot4_Cost-BE78)</f>
        <v>0</v>
      </c>
      <c r="BJ78" s="1" t="n">
        <f aca="false">IF(AND(Slot5_On=1,D78=Slot5_Age),1,0)</f>
        <v>0</v>
      </c>
      <c r="BK78" s="1" t="n">
        <f aca="false">IF(AND(Slot5_On=1,Slot5_Age&gt;D78),1,0)</f>
        <v>0</v>
      </c>
      <c r="BL78" s="1" t="n">
        <f aca="false">HV77</f>
        <v>0</v>
      </c>
      <c r="BM78" s="1" t="n">
        <f aca="false">BJ78*MIN(Slot5_Cost,BL78)</f>
        <v>0</v>
      </c>
      <c r="BN78" s="1" t="n">
        <f aca="false">BJ78*Slot5_SpendLike*MIN(Slot5_Cost-BM78,BF78)</f>
        <v>0</v>
      </c>
      <c r="BO78" s="1" t="n">
        <f aca="false">BM78+BN78</f>
        <v>0</v>
      </c>
      <c r="BP78" s="1" t="n">
        <f aca="false">BF78-BN78+BJ78*IF(Slot5_SpendLike=1,BL78-BM78,IF(Slot5_PotFree=1,BL78,0))</f>
        <v>197440.693058858</v>
      </c>
      <c r="BQ78" s="1" t="n">
        <f aca="false">BG78+BJ78*Slot5_BufPot*BL78</f>
        <v>0</v>
      </c>
      <c r="BR78" s="1" t="n">
        <f aca="false">IF(AND(BJ78=1,Slot5_IsMfree=1),IF(BO78&gt;=Slot5_Cost-1,0,MAX(0,BH78-BO78)),BH78)</f>
        <v>0</v>
      </c>
      <c r="BS78" s="1" t="n">
        <f aca="false">BJ78*(Slot5_Cost-BO78)</f>
        <v>0</v>
      </c>
      <c r="BT78" s="1" t="n">
        <f aca="false">IF(AND(Slot6_On=1,D78=Slot6_Age),1,0)</f>
        <v>0</v>
      </c>
      <c r="BU78" s="1" t="n">
        <f aca="false">IF(AND(Slot6_On=1,Slot6_Age&gt;D78),1,0)</f>
        <v>0</v>
      </c>
      <c r="BV78" s="1" t="n">
        <f aca="false">HZ77</f>
        <v>0</v>
      </c>
      <c r="BW78" s="1" t="n">
        <f aca="false">BT78*MIN(Slot6_Cost,BV78)</f>
        <v>0</v>
      </c>
      <c r="BX78" s="1" t="n">
        <f aca="false">BT78*Slot6_SpendLike*MIN(Slot6_Cost-BW78,BP78)</f>
        <v>0</v>
      </c>
      <c r="BY78" s="1" t="n">
        <f aca="false">BW78+BX78</f>
        <v>0</v>
      </c>
      <c r="BZ78" s="1" t="n">
        <f aca="false">BP78-BX78+BT78*IF(Slot6_SpendLike=1,BV78-BW78,IF(Slot6_PotFree=1,BV78,0))</f>
        <v>197440.693058858</v>
      </c>
      <c r="CA78" s="1" t="n">
        <f aca="false">BQ78+BT78*Slot6_BufPot*BV78</f>
        <v>0</v>
      </c>
      <c r="CB78" s="1" t="n">
        <f aca="false">IF(AND(BT78=1,Slot6_IsMfree=1),IF(BY78&gt;=Slot6_Cost-1,0,MAX(0,BR78-BY78)),BR78)</f>
        <v>0</v>
      </c>
      <c r="CC78" s="1" t="n">
        <f aca="false">BT78*(Slot6_Cost-BY78)</f>
        <v>0</v>
      </c>
      <c r="CD78" s="1" t="n">
        <f aca="false">IF(AND(Slot7_On=1,D78=Slot7_Age),1,0)</f>
        <v>0</v>
      </c>
      <c r="CE78" s="1" t="n">
        <f aca="false">IF(AND(Slot7_On=1,Slot7_Age&gt;D78),1,0)</f>
        <v>0</v>
      </c>
      <c r="CF78" s="1" t="n">
        <f aca="false">ID77</f>
        <v>0</v>
      </c>
      <c r="CG78" s="1" t="n">
        <f aca="false">CD78*MIN(Slot7_Cost,CF78)</f>
        <v>0</v>
      </c>
      <c r="CH78" s="1" t="n">
        <f aca="false">CD78*Slot7_SpendLike*MIN(Slot7_Cost-CG78,BZ78)</f>
        <v>0</v>
      </c>
      <c r="CI78" s="1" t="n">
        <f aca="false">CG78+CH78</f>
        <v>0</v>
      </c>
      <c r="CJ78" s="1" t="n">
        <f aca="false">BZ78-CH78+CD78*IF(Slot7_SpendLike=1,CF78-CG78,IF(Slot7_PotFree=1,CF78,0))</f>
        <v>197440.693058858</v>
      </c>
      <c r="CK78" s="1" t="n">
        <f aca="false">CA78+CD78*Slot7_BufPot*CF78</f>
        <v>0</v>
      </c>
      <c r="CL78" s="1" t="n">
        <f aca="false">IF(AND(CD78=1,Slot7_IsMfree=1),IF(CI78&gt;=Slot7_Cost-1,0,MAX(0,CB78-CI78)),CB78)</f>
        <v>0</v>
      </c>
      <c r="CM78" s="1" t="n">
        <f aca="false">CD78*(Slot7_Cost-CI78)</f>
        <v>0</v>
      </c>
      <c r="CN78" s="1" t="n">
        <f aca="false">IF(AND(Slot8_On=1,D78=Slot8_Age),1,0)</f>
        <v>0</v>
      </c>
      <c r="CO78" s="1" t="n">
        <f aca="false">IF(AND(Slot8_On=1,Slot8_Age&gt;D78),1,0)</f>
        <v>0</v>
      </c>
      <c r="CP78" s="1" t="n">
        <f aca="false">IH77</f>
        <v>0</v>
      </c>
      <c r="CQ78" s="1" t="n">
        <f aca="false">CN78*MIN(Slot8_Cost,CP78)</f>
        <v>0</v>
      </c>
      <c r="CR78" s="1" t="n">
        <f aca="false">CN78*Slot8_SpendLike*MIN(Slot8_Cost-CQ78,CJ78)</f>
        <v>0</v>
      </c>
      <c r="CS78" s="1" t="n">
        <f aca="false">CQ78+CR78</f>
        <v>0</v>
      </c>
      <c r="CT78" s="1" t="n">
        <f aca="false">CJ78-CR78+CN78*IF(Slot8_SpendLike=1,CP78-CQ78,IF(Slot8_PotFree=1,CP78,0))</f>
        <v>197440.693058858</v>
      </c>
      <c r="CU78" s="1" t="n">
        <f aca="false">CK78+CN78*Slot8_BufPot*CP78</f>
        <v>0</v>
      </c>
      <c r="CV78" s="1" t="n">
        <f aca="false">IF(AND(CN78=1,Slot8_IsMfree=1),IF(CS78&gt;=Slot8_Cost-1,0,MAX(0,CL78-CS78)),CL78)</f>
        <v>0</v>
      </c>
      <c r="CW78" s="1" t="n">
        <f aca="false">CN78*(Slot8_Cost-CS78)</f>
        <v>0</v>
      </c>
      <c r="CX78" s="1" t="n">
        <f aca="false">U78*Slot1_SpendLike*Z78+AF78*Slot2_SpendLike*AK78+AP78*Slot3_SpendLike*AU78+AZ78*Slot4_SpendLike*BE78+BJ78*Slot5_SpendLike*BO78+BT78*Slot6_SpendLike*BY78+CD78*Slot7_SpendLike*CI78+CN78*Slot8_SpendLike*CS78</f>
        <v>0</v>
      </c>
      <c r="CY78" s="1" t="n">
        <f aca="false">AD78+AO78+AY78+BI78+BS78+CC78+CM78+CW78</f>
        <v>0</v>
      </c>
      <c r="CZ78" s="1" t="n">
        <f aca="false">U78*Slot1_Cost+AF78*Slot2_Cost+AP78*Slot3_Cost+AZ78*Slot4_Cost+BJ78*Slot5_Cost+BT78*Slot6_Cost+CD78*Slot7_Cost+CN78*Slot8_Cost</f>
        <v>0</v>
      </c>
      <c r="DA78" s="1" t="n">
        <f aca="false">CV78</f>
        <v>0</v>
      </c>
      <c r="DB78" s="1" t="n">
        <f aca="false">G78-H78-R78</f>
        <v>49798.0194856992</v>
      </c>
      <c r="DC78" s="1" t="n">
        <f aca="false">IF(B78=0,IF(AND(Has_q6=1,In_q6=4),PR_ShareVaries*(MAX(0,DB78)/12),MIN(IF(Has_q6=1,CHOOSE(In_q6+1,PR_SaveB1,PR_SaveB2,PR_SaveB3,PR_SaveB4,0),AS_NoAnswer),AS_SaveShare*(MAX(0,DB78)/12))),DC77)</f>
        <v>0</v>
      </c>
      <c r="DD78" s="1" t="n">
        <f aca="false">IF(DB78&gt;=0,1,0)</f>
        <v>1</v>
      </c>
      <c r="DE78" s="1" t="n">
        <f aca="false">MAX(0,DB78/12/E78)</f>
        <v>1037.57333333333</v>
      </c>
      <c r="DF78" s="1" t="n">
        <f aca="false">IF(AND(Has_q6=1,In_q6=4),PR_ShareVaries*(DE78),MIN(IF(Has_q6=1,CHOOSE(In_q6+1,PR_SaveB1,PR_SaveB2,PR_SaveB3,PR_SaveB4,0),AS_NoAnswer),AS_SaveShare*(DE78)))</f>
        <v>300</v>
      </c>
      <c r="DG78" s="1" t="n">
        <f aca="false">IF(Has_saveM=1,IF(In_saveUp="Yes",1,IF(In_saveUp="No",0,IF(In_saveM&gt;=DC78-0.5,1,0))),0)</f>
        <v>0</v>
      </c>
      <c r="DH78" s="1" t="n">
        <f aca="false">IF(Has_saveM=1,MIN(DE78,IF(DG78=1,MAX(In_saveM,DF78),MIN(In_saveM,DF78))),DF78)</f>
        <v>300</v>
      </c>
      <c r="DI78" s="1" t="n">
        <f aca="false">IF(F78=1,DH78*12*E78,0)</f>
        <v>0</v>
      </c>
      <c r="DJ78" s="1" t="n">
        <f aca="false">MAX(0,DI78+IF(AND(WI_Retire=0,WI_M&lt;0,F78=1),WI_M*12*E78,0))</f>
        <v>0</v>
      </c>
      <c r="DK78" s="1" t="n">
        <f aca="false">Slot1_IsWG*V78+Slot2_IsWG*AG78+Slot3_IsWG*AQ78+Slot4_IsWG*BA78+Slot5_IsWG*BK78+Slot6_IsWG*BU78+Slot7_IsWG*CE78+Slot8_IsWG*CO78</f>
        <v>0</v>
      </c>
      <c r="DL78" s="1" t="n">
        <f aca="false">IF(AND(WI_Retire=0,WI_M&gt;0,F78=1,DK78&gt;=1),WI_M*12*E78,0)</f>
        <v>0</v>
      </c>
      <c r="DM78" s="1" t="n">
        <f aca="false">IF(DD78=1,MIN(DJ78,DB78),0)</f>
        <v>0</v>
      </c>
      <c r="DN78" s="1" t="n">
        <f aca="false">IF(DD78=1,MIN(DL78,DB78-DM78),0)</f>
        <v>0</v>
      </c>
      <c r="DO78" s="1" t="n">
        <f aca="false">IF(V78=1,IF(ABS((1+AS_Wage)/(1+Slot1_Rate)-1)&lt;0.000000000001,(Slot1_Age-D78)*(1+Slot1_Rate)^(Slot1_Age-D78),(1+Slot1_Rate)^(Slot1_Age-D78)*(1-((1+AS_Wage)/(1+Slot1_Rate))^(Slot1_Age-D78))/(1-(1+AS_Wage)/(1+Slot1_Rate))),1)</f>
        <v>1</v>
      </c>
      <c r="DP78" s="1" t="n">
        <f aca="false">IF(AND(DD78=1,DN78&gt;0,Slot1_IsWG=1,V78=1),MAX(0,(Slot1_Cost-W78*(1+Slot1_Rate)^(Slot1_Age-D78))/DO78),0)</f>
        <v>0</v>
      </c>
      <c r="DQ78" s="1" t="n">
        <f aca="false">IF(AND(DD78=1,DN78&gt;0,Slot1_IsWG=1,V78=1),MIN(DN78,DP78),0)</f>
        <v>0</v>
      </c>
      <c r="DR78" s="1" t="n">
        <f aca="false">W78+DQ78</f>
        <v>0</v>
      </c>
      <c r="DS78" s="1" t="n">
        <f aca="false">IF(V78=1,MAX(0,(Slot1_Cost-DR78*(1+Slot1_Rate)^(Slot1_Age-D78))/DO78),0)</f>
        <v>0</v>
      </c>
      <c r="DT78" s="1" t="n">
        <f aca="false">IF(V78=1,MAX(0,(Slot1_Cost-W78*(1+Slot1_Rate)^(Slot1_Age-D78))/DO78),0)</f>
        <v>0</v>
      </c>
      <c r="DU78" s="1" t="n">
        <f aca="false">IF(AND(DD78=1,V78=1),MIN(DM78,DS78),0)</f>
        <v>0</v>
      </c>
      <c r="DV78" s="1" t="n">
        <f aca="false">DM78-DU78</f>
        <v>0</v>
      </c>
      <c r="DW78" s="1" t="n">
        <f aca="false">IF(AG78=1,IF(ABS((1+AS_Wage)/(1+Slot2_Rate)-1)&lt;0.000000000001,(Slot2_Age-D78)*(1+Slot2_Rate)^(Slot2_Age-D78),(1+Slot2_Rate)^(Slot2_Age-D78)*(1-((1+AS_Wage)/(1+Slot2_Rate))^(Slot2_Age-D78))/(1-(1+AS_Wage)/(1+Slot2_Rate))),1)</f>
        <v>1</v>
      </c>
      <c r="DX78" s="1" t="n">
        <f aca="false">IF(AND(DD78=1,DN78&gt;0,Slot2_IsWG=1,AG78=1),MAX(0,(Slot2_Cost-AH78*(1+Slot2_Rate)^(Slot2_Age-D78))/DW78),0)</f>
        <v>0</v>
      </c>
      <c r="DY78" s="1" t="n">
        <f aca="false">IF(AND(DD78=1,DN78&gt;0,Slot2_IsWG=1,AG78=1),MIN(DN78,DX78),0)</f>
        <v>0</v>
      </c>
      <c r="DZ78" s="1" t="n">
        <f aca="false">AH78+DY78</f>
        <v>0</v>
      </c>
      <c r="EA78" s="1" t="n">
        <f aca="false">IF(AG78=1,MAX(0,(Slot2_Cost-DZ78*(1+Slot2_Rate)^(Slot2_Age-D78))/DW78),0)</f>
        <v>0</v>
      </c>
      <c r="EB78" s="1" t="n">
        <f aca="false">IF(AG78=1,MAX(0,(Slot2_Cost-AH78*(1+Slot2_Rate)^(Slot2_Age-D78))/DW78),0)</f>
        <v>0</v>
      </c>
      <c r="EC78" s="1" t="n">
        <f aca="false">IF(AND(DD78=1,AG78=1),MIN(DV78,EA78),0)</f>
        <v>0</v>
      </c>
      <c r="ED78" s="1" t="n">
        <f aca="false">DV78-EC78</f>
        <v>0</v>
      </c>
      <c r="EE78" s="1" t="n">
        <f aca="false">IF(AQ78=1,IF(ABS((1+AS_Wage)/(1+Slot3_Rate)-1)&lt;0.000000000001,(Slot3_Age-D78)*(1+Slot3_Rate)^(Slot3_Age-D78),(1+Slot3_Rate)^(Slot3_Age-D78)*(1-((1+AS_Wage)/(1+Slot3_Rate))^(Slot3_Age-D78))/(1-(1+AS_Wage)/(1+Slot3_Rate))),1)</f>
        <v>1</v>
      </c>
      <c r="EF78" s="1" t="n">
        <f aca="false">IF(AND(DD78=1,DN78&gt;0,Slot3_IsWG=1,AQ78=1),MAX(0,(Slot3_Cost-AR78*(1+Slot3_Rate)^(Slot3_Age-D78))/EE78),0)</f>
        <v>0</v>
      </c>
      <c r="EG78" s="1" t="n">
        <f aca="false">IF(AND(DD78=1,DN78&gt;0,Slot3_IsWG=1,AQ78=1),MIN(DN78,EF78),0)</f>
        <v>0</v>
      </c>
      <c r="EH78" s="1" t="n">
        <f aca="false">AR78+EG78</f>
        <v>0</v>
      </c>
      <c r="EI78" s="1" t="n">
        <f aca="false">IF(AQ78=1,MAX(0,(Slot3_Cost-EH78*(1+Slot3_Rate)^(Slot3_Age-D78))/EE78),0)</f>
        <v>0</v>
      </c>
      <c r="EJ78" s="1" t="n">
        <f aca="false">IF(AQ78=1,MAX(0,(Slot3_Cost-AR78*(1+Slot3_Rate)^(Slot3_Age-D78))/EE78),0)</f>
        <v>0</v>
      </c>
      <c r="EK78" s="1" t="n">
        <f aca="false">IF(AND(DD78=1,AQ78=1),MIN(ED78,EI78),0)</f>
        <v>0</v>
      </c>
      <c r="EL78" s="1" t="n">
        <f aca="false">ED78-EK78</f>
        <v>0</v>
      </c>
      <c r="EM78" s="1" t="n">
        <f aca="false">IF(BA78=1,IF(ABS((1+AS_Wage)/(1+Slot4_Rate)-1)&lt;0.000000000001,(Slot4_Age-D78)*(1+Slot4_Rate)^(Slot4_Age-D78),(1+Slot4_Rate)^(Slot4_Age-D78)*(1-((1+AS_Wage)/(1+Slot4_Rate))^(Slot4_Age-D78))/(1-(1+AS_Wage)/(1+Slot4_Rate))),1)</f>
        <v>1</v>
      </c>
      <c r="EN78" s="1" t="n">
        <f aca="false">IF(AND(DD78=1,DN78&gt;0,Slot4_IsWG=1,BA78=1),MAX(0,(Slot4_Cost-BB78*(1+Slot4_Rate)^(Slot4_Age-D78))/EM78),0)</f>
        <v>0</v>
      </c>
      <c r="EO78" s="1" t="n">
        <f aca="false">IF(AND(DD78=1,DN78&gt;0,Slot4_IsWG=1,BA78=1),MIN(DN78,EN78),0)</f>
        <v>0</v>
      </c>
      <c r="EP78" s="1" t="n">
        <f aca="false">BB78+EO78</f>
        <v>0</v>
      </c>
      <c r="EQ78" s="1" t="n">
        <f aca="false">IF(BA78=1,MAX(0,(Slot4_Cost-EP78*(1+Slot4_Rate)^(Slot4_Age-D78))/EM78),0)</f>
        <v>0</v>
      </c>
      <c r="ER78" s="1" t="n">
        <f aca="false">IF(BA78=1,MAX(0,(Slot4_Cost-BB78*(1+Slot4_Rate)^(Slot4_Age-D78))/EM78),0)</f>
        <v>0</v>
      </c>
      <c r="ES78" s="1" t="n">
        <f aca="false">IF(AND(DD78=1,BA78=1),MIN(EL78,EQ78),0)</f>
        <v>0</v>
      </c>
      <c r="ET78" s="1" t="n">
        <f aca="false">EL78-ES78</f>
        <v>0</v>
      </c>
      <c r="EU78" s="1" t="n">
        <f aca="false">IF(BK78=1,IF(ABS((1+AS_Wage)/(1+Slot5_Rate)-1)&lt;0.000000000001,(Slot5_Age-D78)*(1+Slot5_Rate)^(Slot5_Age-D78),(1+Slot5_Rate)^(Slot5_Age-D78)*(1-((1+AS_Wage)/(1+Slot5_Rate))^(Slot5_Age-D78))/(1-(1+AS_Wage)/(1+Slot5_Rate))),1)</f>
        <v>1</v>
      </c>
      <c r="EV78" s="1" t="n">
        <f aca="false">IF(AND(DD78=1,DN78&gt;0,Slot5_IsWG=1,BK78=1),MAX(0,(Slot5_Cost-BL78*(1+Slot5_Rate)^(Slot5_Age-D78))/EU78),0)</f>
        <v>0</v>
      </c>
      <c r="EW78" s="1" t="n">
        <f aca="false">IF(AND(DD78=1,DN78&gt;0,Slot5_IsWG=1,BK78=1),MIN(DN78,EV78),0)</f>
        <v>0</v>
      </c>
      <c r="EX78" s="1" t="n">
        <f aca="false">BL78+EW78</f>
        <v>0</v>
      </c>
      <c r="EY78" s="1" t="n">
        <f aca="false">IF(BK78=1,MAX(0,(Slot5_Cost-EX78*(1+Slot5_Rate)^(Slot5_Age-D78))/EU78),0)</f>
        <v>0</v>
      </c>
      <c r="EZ78" s="1" t="n">
        <f aca="false">IF(BK78=1,MAX(0,(Slot5_Cost-BL78*(1+Slot5_Rate)^(Slot5_Age-D78))/EU78),0)</f>
        <v>0</v>
      </c>
      <c r="FA78" s="1" t="n">
        <f aca="false">IF(AND(DD78=1,BK78=1),MIN(ET78,EY78),0)</f>
        <v>0</v>
      </c>
      <c r="FB78" s="1" t="n">
        <f aca="false">ET78-FA78</f>
        <v>0</v>
      </c>
      <c r="FC78" s="1" t="n">
        <f aca="false">IF(BU78=1,IF(ABS((1+AS_Wage)/(1+Slot6_Rate)-1)&lt;0.000000000001,(Slot6_Age-D78)*(1+Slot6_Rate)^(Slot6_Age-D78),(1+Slot6_Rate)^(Slot6_Age-D78)*(1-((1+AS_Wage)/(1+Slot6_Rate))^(Slot6_Age-D78))/(1-(1+AS_Wage)/(1+Slot6_Rate))),1)</f>
        <v>1</v>
      </c>
      <c r="FD78" s="1" t="n">
        <f aca="false">IF(AND(DD78=1,DN78&gt;0,Slot6_IsWG=1,BU78=1),MAX(0,(Slot6_Cost-BV78*(1+Slot6_Rate)^(Slot6_Age-D78))/FC78),0)</f>
        <v>0</v>
      </c>
      <c r="FE78" s="1" t="n">
        <f aca="false">IF(AND(DD78=1,DN78&gt;0,Slot6_IsWG=1,BU78=1),MIN(DN78,FD78),0)</f>
        <v>0</v>
      </c>
      <c r="FF78" s="1" t="n">
        <f aca="false">BV78+FE78</f>
        <v>0</v>
      </c>
      <c r="FG78" s="1" t="n">
        <f aca="false">IF(BU78=1,MAX(0,(Slot6_Cost-FF78*(1+Slot6_Rate)^(Slot6_Age-D78))/FC78),0)</f>
        <v>0</v>
      </c>
      <c r="FH78" s="1" t="n">
        <f aca="false">IF(BU78=1,MAX(0,(Slot6_Cost-BV78*(1+Slot6_Rate)^(Slot6_Age-D78))/FC78),0)</f>
        <v>0</v>
      </c>
      <c r="FI78" s="1" t="n">
        <f aca="false">IF(AND(DD78=1,BU78=1),MIN(FB78,FG78),0)</f>
        <v>0</v>
      </c>
      <c r="FJ78" s="1" t="n">
        <f aca="false">FB78-FI78</f>
        <v>0</v>
      </c>
      <c r="FK78" s="1" t="n">
        <f aca="false">IF(CE78=1,IF(ABS((1+AS_Wage)/(1+Slot7_Rate)-1)&lt;0.000000000001,(Slot7_Age-D78)*(1+Slot7_Rate)^(Slot7_Age-D78),(1+Slot7_Rate)^(Slot7_Age-D78)*(1-((1+AS_Wage)/(1+Slot7_Rate))^(Slot7_Age-D78))/(1-(1+AS_Wage)/(1+Slot7_Rate))),1)</f>
        <v>1</v>
      </c>
      <c r="FL78" s="1" t="n">
        <f aca="false">IF(AND(DD78=1,DN78&gt;0,Slot7_IsWG=1,CE78=1),MAX(0,(Slot7_Cost-CF78*(1+Slot7_Rate)^(Slot7_Age-D78))/FK78),0)</f>
        <v>0</v>
      </c>
      <c r="FM78" s="1" t="n">
        <f aca="false">IF(AND(DD78=1,DN78&gt;0,Slot7_IsWG=1,CE78=1),MIN(DN78,FL78),0)</f>
        <v>0</v>
      </c>
      <c r="FN78" s="1" t="n">
        <f aca="false">CF78+FM78</f>
        <v>0</v>
      </c>
      <c r="FO78" s="1" t="n">
        <f aca="false">IF(CE78=1,MAX(0,(Slot7_Cost-FN78*(1+Slot7_Rate)^(Slot7_Age-D78))/FK78),0)</f>
        <v>0</v>
      </c>
      <c r="FP78" s="1" t="n">
        <f aca="false">IF(CE78=1,MAX(0,(Slot7_Cost-CF78*(1+Slot7_Rate)^(Slot7_Age-D78))/FK78),0)</f>
        <v>0</v>
      </c>
      <c r="FQ78" s="1" t="n">
        <f aca="false">IF(AND(DD78=1,CE78=1),MIN(FJ78,FO78),0)</f>
        <v>0</v>
      </c>
      <c r="FR78" s="1" t="n">
        <f aca="false">FJ78-FQ78</f>
        <v>0</v>
      </c>
      <c r="FS78" s="1" t="n">
        <f aca="false">IF(CO78=1,IF(ABS((1+AS_Wage)/(1+Slot8_Rate)-1)&lt;0.000000000001,(Slot8_Age-D78)*(1+Slot8_Rate)^(Slot8_Age-D78),(1+Slot8_Rate)^(Slot8_Age-D78)*(1-((1+AS_Wage)/(1+Slot8_Rate))^(Slot8_Age-D78))/(1-(1+AS_Wage)/(1+Slot8_Rate))),1)</f>
        <v>1</v>
      </c>
      <c r="FT78" s="1" t="n">
        <f aca="false">IF(AND(DD78=1,DN78&gt;0,Slot8_IsWG=1,CO78=1),MAX(0,(Slot8_Cost-CP78*(1+Slot8_Rate)^(Slot8_Age-D78))/FS78),0)</f>
        <v>0</v>
      </c>
      <c r="FU78" s="1" t="n">
        <f aca="false">IF(AND(DD78=1,DN78&gt;0,Slot8_IsWG=1,CO78=1),MIN(DN78,FT78),0)</f>
        <v>0</v>
      </c>
      <c r="FV78" s="1" t="n">
        <f aca="false">CP78+FU78</f>
        <v>0</v>
      </c>
      <c r="FW78" s="1" t="n">
        <f aca="false">IF(CO78=1,MAX(0,(Slot8_Cost-FV78*(1+Slot8_Rate)^(Slot8_Age-D78))/FS78),0)</f>
        <v>0</v>
      </c>
      <c r="FX78" s="1" t="n">
        <f aca="false">IF(CO78=1,MAX(0,(Slot8_Cost-CP78*(1+Slot8_Rate)^(Slot8_Age-D78))/FS78),0)</f>
        <v>0</v>
      </c>
      <c r="FY78" s="1" t="n">
        <f aca="false">IF(AND(DD78=1,CO78=1),MIN(FR78,FW78),0)</f>
        <v>0</v>
      </c>
      <c r="FZ78" s="1" t="n">
        <f aca="false">FR78-FY78</f>
        <v>0</v>
      </c>
      <c r="GA78" s="1" t="n">
        <f aca="false">DN78-(DQ78+DY78+EG78+EO78+EW78+FE78+FM78+FU78)</f>
        <v>0</v>
      </c>
      <c r="GB78" s="1" t="n">
        <f aca="false">IF(DD78=1,DB78-DM78-DN78,0)</f>
        <v>49798.0194856992</v>
      </c>
      <c r="GC78" s="1" t="n">
        <f aca="false">IF(DD78=0,-DB78,0)</f>
        <v>0</v>
      </c>
      <c r="GD78" s="1" t="n">
        <f aca="false">MIN(GC78,CT78)</f>
        <v>0</v>
      </c>
      <c r="GE78" s="1" t="n">
        <f aca="false">GC78-GD78</f>
        <v>0</v>
      </c>
      <c r="GF78" s="1" t="n">
        <f aca="false">MIN(GE78,CU78)</f>
        <v>0</v>
      </c>
      <c r="GG78" s="1" t="n">
        <f aca="false">GE78-GF78</f>
        <v>0</v>
      </c>
      <c r="GH78" s="1" t="n">
        <f aca="false">IF(AND(DD78=0,CO78=1,GG78&gt;0),MIN(GG78,CP78),0)</f>
        <v>0</v>
      </c>
      <c r="GI78" s="1" t="n">
        <f aca="false">GG78-GH78</f>
        <v>0</v>
      </c>
      <c r="GJ78" s="1" t="n">
        <f aca="false">IF(AND(DD78=0,CE78=1,GI78&gt;0),MIN(GI78,CF78),0)</f>
        <v>0</v>
      </c>
      <c r="GK78" s="1" t="n">
        <f aca="false">GI78-GJ78</f>
        <v>0</v>
      </c>
      <c r="GL78" s="1" t="n">
        <f aca="false">IF(AND(DD78=0,BU78=1,GK78&gt;0),MIN(GK78,BV78),0)</f>
        <v>0</v>
      </c>
      <c r="GM78" s="1" t="n">
        <f aca="false">GK78-GL78</f>
        <v>0</v>
      </c>
      <c r="GN78" s="1" t="n">
        <f aca="false">IF(AND(DD78=0,BK78=1,GM78&gt;0),MIN(GM78,BL78),0)</f>
        <v>0</v>
      </c>
      <c r="GO78" s="1" t="n">
        <f aca="false">GM78-GN78</f>
        <v>0</v>
      </c>
      <c r="GP78" s="1" t="n">
        <f aca="false">IF(AND(DD78=0,BA78=1,GO78&gt;0),MIN(GO78,BB78),0)</f>
        <v>0</v>
      </c>
      <c r="GQ78" s="1" t="n">
        <f aca="false">GO78-GP78</f>
        <v>0</v>
      </c>
      <c r="GR78" s="1" t="n">
        <f aca="false">IF(AND(DD78=0,AQ78=1,GQ78&gt;0),MIN(GQ78,AR78),0)</f>
        <v>0</v>
      </c>
      <c r="GS78" s="1" t="n">
        <f aca="false">GQ78-GR78</f>
        <v>0</v>
      </c>
      <c r="GT78" s="1" t="n">
        <f aca="false">IF(AND(DD78=0,AG78=1,GS78&gt;0),MIN(GS78,AH78),0)</f>
        <v>0</v>
      </c>
      <c r="GU78" s="1" t="n">
        <f aca="false">GS78-GT78</f>
        <v>0</v>
      </c>
      <c r="GV78" s="1" t="n">
        <f aca="false">IF(AND(DD78=0,V78=1,GU78&gt;0),MIN(GU78,W78),0)</f>
        <v>0</v>
      </c>
      <c r="GW78" s="1" t="n">
        <f aca="false">GU78-GV78</f>
        <v>0</v>
      </c>
      <c r="GX78" s="1" t="n">
        <f aca="false">IF(DD78=0,GW78,0)</f>
        <v>0</v>
      </c>
      <c r="GY78" s="1" t="n">
        <f aca="false">GD78+GF78+GV78+GT78+GR78+GP78+GN78+GL78+GJ78+GH78</f>
        <v>0</v>
      </c>
      <c r="GZ78" s="1" t="n">
        <f aca="false">IF(DD78=1,CT78+GA78+FZ78+IF(F78=1,0,GB78),CT78-GD78)</f>
        <v>247238.712544557</v>
      </c>
      <c r="HA78" s="1" t="n">
        <f aca="false">CU78-GF78</f>
        <v>0</v>
      </c>
      <c r="HB78" s="1" t="n">
        <f aca="false">IF(DD78=1,IF(F78=1,DM78+DN78,DB78),0)</f>
        <v>49798.0194856992</v>
      </c>
      <c r="HC78" s="1" t="n">
        <f aca="false">IF(DD78=1,IF(F78=1,DB78-DM78-DN78,0),0)</f>
        <v>0</v>
      </c>
      <c r="HD78" s="1" t="n">
        <f aca="false">GZ78*(1+GR)</f>
        <v>251293.427430288</v>
      </c>
      <c r="HE78" s="1" t="n">
        <f aca="false">HA78*(1+AS_Cash)</f>
        <v>0</v>
      </c>
      <c r="HF78" s="1" t="n">
        <f aca="false">IF(V78=1,IF(DD78=1,DR78+DU78,W78-GV78)*(1+Slot1_Rate),0)</f>
        <v>0</v>
      </c>
      <c r="HG78" s="1" t="n">
        <f aca="false">IF(AND(DD78=1,V78=1),(DQ78+DU78)/E78,0)</f>
        <v>0</v>
      </c>
      <c r="HH78" s="1" t="n">
        <f aca="false">IF(B78=0,DQ78+DU78,0)</f>
        <v>0</v>
      </c>
      <c r="HI78" s="1" t="n">
        <f aca="false">IF(B78=0,IF(DD78=1,DS78,DT78),0)</f>
        <v>0</v>
      </c>
      <c r="HJ78" s="1" t="n">
        <f aca="false">IF(AG78=1,IF(DD78=1,DZ78+EC78,AH78-GT78)*(1+Slot2_Rate),0)</f>
        <v>0</v>
      </c>
      <c r="HK78" s="1" t="n">
        <f aca="false">IF(AND(DD78=1,AG78=1),(DY78+EC78)/E78,0)</f>
        <v>0</v>
      </c>
      <c r="HL78" s="1" t="n">
        <f aca="false">IF(B78=0,DY78+EC78,0)</f>
        <v>0</v>
      </c>
      <c r="HM78" s="1" t="n">
        <f aca="false">IF(B78=0,IF(DD78=1,EA78,EB78),0)</f>
        <v>0</v>
      </c>
      <c r="HN78" s="1" t="n">
        <f aca="false">IF(AQ78=1,IF(DD78=1,EH78+EK78,AR78-GR78)*(1+Slot3_Rate),0)</f>
        <v>0</v>
      </c>
      <c r="HO78" s="1" t="n">
        <f aca="false">IF(AND(DD78=1,AQ78=1),(EG78+EK78)/E78,0)</f>
        <v>0</v>
      </c>
      <c r="HP78" s="1" t="n">
        <f aca="false">IF(B78=0,EG78+EK78,0)</f>
        <v>0</v>
      </c>
      <c r="HQ78" s="1" t="n">
        <f aca="false">IF(B78=0,IF(DD78=1,EI78,EJ78),0)</f>
        <v>0</v>
      </c>
      <c r="HR78" s="1" t="n">
        <f aca="false">IF(BA78=1,IF(DD78=1,EP78+ES78,BB78-GP78)*(1+Slot4_Rate),0)</f>
        <v>0</v>
      </c>
      <c r="HS78" s="1" t="n">
        <f aca="false">IF(AND(DD78=1,BA78=1),(EO78+ES78)/E78,0)</f>
        <v>0</v>
      </c>
      <c r="HT78" s="1" t="n">
        <f aca="false">IF(B78=0,EO78+ES78,0)</f>
        <v>0</v>
      </c>
      <c r="HU78" s="1" t="n">
        <f aca="false">IF(B78=0,IF(DD78=1,EQ78,ER78),0)</f>
        <v>0</v>
      </c>
      <c r="HV78" s="1" t="n">
        <f aca="false">IF(BK78=1,IF(DD78=1,EX78+FA78,BL78-GN78)*(1+Slot5_Rate),0)</f>
        <v>0</v>
      </c>
      <c r="HW78" s="1" t="n">
        <f aca="false">IF(AND(DD78=1,BK78=1),(EW78+FA78)/E78,0)</f>
        <v>0</v>
      </c>
      <c r="HX78" s="1" t="n">
        <f aca="false">IF(B78=0,EW78+FA78,0)</f>
        <v>0</v>
      </c>
      <c r="HY78" s="1" t="n">
        <f aca="false">IF(B78=0,IF(DD78=1,EY78,EZ78),0)</f>
        <v>0</v>
      </c>
      <c r="HZ78" s="1" t="n">
        <f aca="false">IF(BU78=1,IF(DD78=1,FF78+FI78,BV78-GL78)*(1+Slot6_Rate),0)</f>
        <v>0</v>
      </c>
      <c r="IA78" s="1" t="n">
        <f aca="false">IF(AND(DD78=1,BU78=1),(FE78+FI78)/E78,0)</f>
        <v>0</v>
      </c>
      <c r="IB78" s="1" t="n">
        <f aca="false">IF(B78=0,FE78+FI78,0)</f>
        <v>0</v>
      </c>
      <c r="IC78" s="1" t="n">
        <f aca="false">IF(B78=0,IF(DD78=1,FG78,FH78),0)</f>
        <v>0</v>
      </c>
      <c r="ID78" s="1" t="n">
        <f aca="false">IF(CE78=1,IF(DD78=1,FN78+FQ78,CF78-GJ78)*(1+Slot7_Rate),0)</f>
        <v>0</v>
      </c>
      <c r="IE78" s="1" t="n">
        <f aca="false">IF(AND(DD78=1,CE78=1),(FM78+FQ78)/E78,0)</f>
        <v>0</v>
      </c>
      <c r="IF78" s="1" t="n">
        <f aca="false">IF(B78=0,FM78+FQ78,0)</f>
        <v>0</v>
      </c>
      <c r="IG78" s="1" t="n">
        <f aca="false">IF(B78=0,IF(DD78=1,FO78,FP78),0)</f>
        <v>0</v>
      </c>
      <c r="IH78" s="1" t="n">
        <f aca="false">IF(CO78=1,IF(DD78=1,FV78+FY78,CP78-GH78)*(1+Slot8_Rate),0)</f>
        <v>0</v>
      </c>
      <c r="II78" s="1" t="n">
        <f aca="false">IF(AND(DD78=1,CO78=1),(FU78+FY78)/E78,0)</f>
        <v>0</v>
      </c>
      <c r="IJ78" s="1" t="n">
        <f aca="false">IF(B78=0,FU78+FY78,0)</f>
        <v>0</v>
      </c>
      <c r="IK78" s="1" t="n">
        <f aca="false">IF(B78=0,IF(DD78=1,FW78,FX78),0)</f>
        <v>0</v>
      </c>
      <c r="IL78" s="1" t="n">
        <f aca="false">HD78+HE78+HF78+HJ78+HN78+HR78+HV78+HZ78+ID78+IH78</f>
        <v>251293.427430288</v>
      </c>
      <c r="IM78" s="1" t="n">
        <f aca="false">GX78+CY78</f>
        <v>0</v>
      </c>
      <c r="IN78" s="1" t="n">
        <f aca="false">H78+R78</f>
        <v>0</v>
      </c>
      <c r="IO78" s="1" t="n">
        <f aca="false">1-F78</f>
        <v>1</v>
      </c>
      <c r="IP78" s="1" t="n">
        <f aca="false">IF(AND(RG_Exists=1,F78=0,C78=1),H78,0)</f>
        <v>0</v>
      </c>
      <c r="IQ78" s="1" t="n">
        <f aca="false">IF(AND(RG_Exists=1,F78=0,C78=1),H78-MIN(GX78,H78),0)</f>
        <v>0</v>
      </c>
      <c r="IR78" s="1" t="n">
        <f aca="false">'Plan pay &amp; tax'!AD280</f>
        <v>0</v>
      </c>
      <c r="IS78" s="1" t="n">
        <f aca="false">IF(AND(C78=1,GX78&gt;MAX(PR_Short1,IN78*PR_Short2)),1,0)</f>
        <v>0</v>
      </c>
      <c r="IT78" s="1" t="n">
        <f aca="false">MIN(G78,H78+R78)</f>
        <v>0</v>
      </c>
      <c r="IU78" s="1" t="n">
        <f aca="false">GY78+MAX(0,CZ78-CY78)</f>
        <v>0</v>
      </c>
      <c r="IV78" s="1" t="n">
        <f aca="false">GX78+CY78</f>
        <v>0</v>
      </c>
      <c r="IW78" s="1" t="n">
        <f aca="false">IF(AND(C78=1,IV78&gt;0.5),1,0)</f>
        <v>0</v>
      </c>
      <c r="IX78" s="1" t="n">
        <f aca="false">IF(AND(C78=1,IW78=0,IU78&gt;0.5),1,0)</f>
        <v>0</v>
      </c>
      <c r="IY78" s="1" t="n">
        <f aca="false">IF(AND(C78=1,GX78&gt;0.5),1,0)</f>
        <v>0</v>
      </c>
      <c r="IZ78" s="1" t="n">
        <f aca="false">IF(AND(C78=1,GY78&gt;1,JF78=0),1,0)</f>
        <v>0</v>
      </c>
      <c r="JA78" s="1" t="n">
        <f aca="false">IF(AND(INT(D78/10)*10=90,B78&gt;0),80,INT(D78/10)*10)</f>
        <v>70</v>
      </c>
      <c r="JB78" s="1" t="n">
        <f aca="false">IF(B78=0,1,IF(JA78&lt;&gt;JA77,JB77+1,JB77))</f>
        <v>8</v>
      </c>
      <c r="JC78" s="1" t="n">
        <f aca="false">IF(AND(C78=1,F78=1,GX78&gt;MAX(PR_Short1,IN78*PR_Short2)),1,0)</f>
        <v>0</v>
      </c>
      <c r="JD78" s="1" t="n">
        <f aca="false">IO78*IS78</f>
        <v>0</v>
      </c>
      <c r="JE78" s="1" t="n">
        <f aca="false">IF(AND(U78=1,Slot1_PctLow=1),1,0)+IF(AND(AF78=1,Slot2_PctLow=1),1,0)+IF(AND(AP78=1,Slot3_PctLow=1),1,0)+IF(AND(AZ78=1,Slot4_PctLow=1),1,0)+IF(AND(BJ78=1,Slot5_PctLow=1),1,0)+IF(AND(BT78=1,Slot6_PctLow=1),1,0)+IF(AND(CD78=1,Slot7_PctLow=1),1,0)+IF(AND(CN78=1,Slot8_PctLow=1),1,0)</f>
        <v>0</v>
      </c>
      <c r="JF78" s="1" t="n">
        <f aca="false">IF(C78=1,IF(OR(IS78=1,JE78&gt;0),1,0),0)</f>
        <v>0</v>
      </c>
    </row>
    <row r="79" customFormat="false" ht="15" hidden="false" customHeight="false" outlineLevel="0" collapsed="false">
      <c r="B79" s="1" t="n">
        <v>71</v>
      </c>
      <c r="C79" s="1" t="n">
        <f aca="false">IF(B79&lt;=F_N,1,0)</f>
        <v>1</v>
      </c>
      <c r="D79" s="1" t="n">
        <f aca="false">'Plan pay &amp; tax'!C281</f>
        <v>71</v>
      </c>
      <c r="E79" s="106" t="n">
        <f aca="false">'Plan pay &amp; tax'!E281</f>
        <v>4.07954938730541</v>
      </c>
      <c r="F79" s="1" t="n">
        <f aca="false">'Plan pay &amp; tax'!G281</f>
        <v>0</v>
      </c>
      <c r="G79" s="1" t="n">
        <f aca="false">'Plan pay &amp; tax'!BT281-'Plan pay &amp; tax'!BS281-'Plan pay &amp; tax'!R281</f>
        <v>50793.9798754132</v>
      </c>
      <c r="H79" s="1" t="n">
        <f aca="false">IF(F79=1,F_CostsM*12,IF(RG_Exists=1,RG_Amount,F_CostsM*12*AS_RetireSpend))*E79+F_OneOffY*E79</f>
        <v>0</v>
      </c>
      <c r="I79" s="1" t="n">
        <f aca="false">DA78</f>
        <v>0</v>
      </c>
      <c r="J79" s="1" t="n">
        <f aca="false">IF(I79&gt;1,'Plan debt months'!AC79,0)</f>
        <v>0</v>
      </c>
      <c r="K79" s="1" t="n">
        <f aca="false">IF(I79&gt;1,'Plan debt months'!AB79,I79)</f>
        <v>0</v>
      </c>
      <c r="L79" s="1" t="n">
        <f aca="false">N78</f>
        <v>0</v>
      </c>
      <c r="M79" s="1" t="n">
        <f aca="false">IF(L79&gt;1,'Plan debt months'!BD79,0)</f>
        <v>0</v>
      </c>
      <c r="N79" s="1" t="n">
        <f aca="false">IF(L79&gt;1,'Plan debt months'!BC79,L79)</f>
        <v>0</v>
      </c>
      <c r="O79" s="1" t="n">
        <f aca="false">Q78</f>
        <v>0</v>
      </c>
      <c r="P79" s="1" t="n">
        <f aca="false">IF(O79&gt;1,'Plan debt months'!CE79,0)</f>
        <v>0</v>
      </c>
      <c r="Q79" s="1" t="n">
        <f aca="false">IF(O79&gt;1,'Plan debt months'!CD79,O79)</f>
        <v>0</v>
      </c>
      <c r="R79" s="1" t="n">
        <f aca="false">J79+M79+P79</f>
        <v>0</v>
      </c>
      <c r="S79" s="1" t="n">
        <f aca="false">HD78+'Plan pay &amp; tax'!Y281</f>
        <v>251293.427430288</v>
      </c>
      <c r="T79" s="1" t="n">
        <f aca="false">HD78</f>
        <v>251293.427430288</v>
      </c>
      <c r="U79" s="1" t="n">
        <f aca="false">IF(AND(Slot1_On=1,D79=Slot1_Age),1,0)</f>
        <v>0</v>
      </c>
      <c r="V79" s="1" t="n">
        <f aca="false">IF(AND(Slot1_On=1,Slot1_Age&gt;D79),1,0)</f>
        <v>0</v>
      </c>
      <c r="W79" s="1" t="n">
        <f aca="false">HF78</f>
        <v>0</v>
      </c>
      <c r="X79" s="1" t="n">
        <f aca="false">U79*MIN(Slot1_Cost,W79)</f>
        <v>0</v>
      </c>
      <c r="Y79" s="1" t="n">
        <f aca="false">U79*Slot1_SpendLike*MIN(Slot1_Cost-X79,S79)</f>
        <v>0</v>
      </c>
      <c r="Z79" s="1" t="n">
        <f aca="false">X79+Y79</f>
        <v>0</v>
      </c>
      <c r="AA79" s="1" t="n">
        <f aca="false">S79-Y79+U79*IF(Slot1_SpendLike=1,W79-X79,IF(Slot1_PotFree=1,W79,0))</f>
        <v>251293.427430288</v>
      </c>
      <c r="AB79" s="1" t="n">
        <f aca="false">AE79+U79*Slot1_BufPot*W79</f>
        <v>0</v>
      </c>
      <c r="AC79" s="1" t="n">
        <f aca="false">IF(AND(U79=1,Slot1_IsMfree=1),IF(Z79&gt;=Slot1_Cost-1,0,MAX(0,K79-Z79)),K79)</f>
        <v>0</v>
      </c>
      <c r="AD79" s="1" t="n">
        <f aca="false">U79*(Slot1_Cost-Z79)</f>
        <v>0</v>
      </c>
      <c r="AE79" s="1" t="n">
        <f aca="false">HE78</f>
        <v>0</v>
      </c>
      <c r="AF79" s="1" t="n">
        <f aca="false">IF(AND(Slot2_On=1,D79=Slot2_Age),1,0)</f>
        <v>0</v>
      </c>
      <c r="AG79" s="1" t="n">
        <f aca="false">IF(AND(Slot2_On=1,Slot2_Age&gt;D79),1,0)</f>
        <v>0</v>
      </c>
      <c r="AH79" s="1" t="n">
        <f aca="false">HJ78</f>
        <v>0</v>
      </c>
      <c r="AI79" s="1" t="n">
        <f aca="false">AF79*MIN(Slot2_Cost,AH79)</f>
        <v>0</v>
      </c>
      <c r="AJ79" s="1" t="n">
        <f aca="false">AF79*Slot2_SpendLike*MIN(Slot2_Cost-AI79,AA79)</f>
        <v>0</v>
      </c>
      <c r="AK79" s="1" t="n">
        <f aca="false">AI79+AJ79</f>
        <v>0</v>
      </c>
      <c r="AL79" s="1" t="n">
        <f aca="false">AA79-AJ79+AF79*IF(Slot2_SpendLike=1,AH79-AI79,IF(Slot2_PotFree=1,AH79,0))</f>
        <v>251293.427430288</v>
      </c>
      <c r="AM79" s="1" t="n">
        <f aca="false">AB79+AF79*Slot2_BufPot*AH79</f>
        <v>0</v>
      </c>
      <c r="AN79" s="1" t="n">
        <f aca="false">IF(AND(AF79=1,Slot2_IsMfree=1),IF(AK79&gt;=Slot2_Cost-1,0,MAX(0,AC79-AK79)),AC79)</f>
        <v>0</v>
      </c>
      <c r="AO79" s="1" t="n">
        <f aca="false">AF79*(Slot2_Cost-AK79)</f>
        <v>0</v>
      </c>
      <c r="AP79" s="1" t="n">
        <f aca="false">IF(AND(Slot3_On=1,D79=Slot3_Age),1,0)</f>
        <v>0</v>
      </c>
      <c r="AQ79" s="1" t="n">
        <f aca="false">IF(AND(Slot3_On=1,Slot3_Age&gt;D79),1,0)</f>
        <v>0</v>
      </c>
      <c r="AR79" s="1" t="n">
        <f aca="false">HN78</f>
        <v>0</v>
      </c>
      <c r="AS79" s="1" t="n">
        <f aca="false">AP79*MIN(Slot3_Cost,AR79)</f>
        <v>0</v>
      </c>
      <c r="AT79" s="1" t="n">
        <f aca="false">AP79*Slot3_SpendLike*MIN(Slot3_Cost-AS79,AL79)</f>
        <v>0</v>
      </c>
      <c r="AU79" s="1" t="n">
        <f aca="false">AS79+AT79</f>
        <v>0</v>
      </c>
      <c r="AV79" s="1" t="n">
        <f aca="false">AL79-AT79+AP79*IF(Slot3_SpendLike=1,AR79-AS79,IF(Slot3_PotFree=1,AR79,0))</f>
        <v>251293.427430288</v>
      </c>
      <c r="AW79" s="1" t="n">
        <f aca="false">AM79+AP79*Slot3_BufPot*AR79</f>
        <v>0</v>
      </c>
      <c r="AX79" s="1" t="n">
        <f aca="false">IF(AND(AP79=1,Slot3_IsMfree=1),IF(AU79&gt;=Slot3_Cost-1,0,MAX(0,AN79-AU79)),AN79)</f>
        <v>0</v>
      </c>
      <c r="AY79" s="1" t="n">
        <f aca="false">AP79*(Slot3_Cost-AU79)</f>
        <v>0</v>
      </c>
      <c r="AZ79" s="1" t="n">
        <f aca="false">IF(AND(Slot4_On=1,D79=Slot4_Age),1,0)</f>
        <v>0</v>
      </c>
      <c r="BA79" s="1" t="n">
        <f aca="false">IF(AND(Slot4_On=1,Slot4_Age&gt;D79),1,0)</f>
        <v>0</v>
      </c>
      <c r="BB79" s="1" t="n">
        <f aca="false">HR78</f>
        <v>0</v>
      </c>
      <c r="BC79" s="1" t="n">
        <f aca="false">AZ79*MIN(Slot4_Cost,BB79)</f>
        <v>0</v>
      </c>
      <c r="BD79" s="1" t="n">
        <f aca="false">AZ79*Slot4_SpendLike*MIN(Slot4_Cost-BC79,AV79)</f>
        <v>0</v>
      </c>
      <c r="BE79" s="1" t="n">
        <f aca="false">BC79+BD79</f>
        <v>0</v>
      </c>
      <c r="BF79" s="1" t="n">
        <f aca="false">AV79-BD79+AZ79*IF(Slot4_SpendLike=1,BB79-BC79,IF(Slot4_PotFree=1,BB79,0))</f>
        <v>251293.427430288</v>
      </c>
      <c r="BG79" s="1" t="n">
        <f aca="false">AW79+AZ79*Slot4_BufPot*BB79</f>
        <v>0</v>
      </c>
      <c r="BH79" s="1" t="n">
        <f aca="false">IF(AND(AZ79=1,Slot4_IsMfree=1),IF(BE79&gt;=Slot4_Cost-1,0,MAX(0,AX79-BE79)),AX79)</f>
        <v>0</v>
      </c>
      <c r="BI79" s="1" t="n">
        <f aca="false">AZ79*(Slot4_Cost-BE79)</f>
        <v>0</v>
      </c>
      <c r="BJ79" s="1" t="n">
        <f aca="false">IF(AND(Slot5_On=1,D79=Slot5_Age),1,0)</f>
        <v>0</v>
      </c>
      <c r="BK79" s="1" t="n">
        <f aca="false">IF(AND(Slot5_On=1,Slot5_Age&gt;D79),1,0)</f>
        <v>0</v>
      </c>
      <c r="BL79" s="1" t="n">
        <f aca="false">HV78</f>
        <v>0</v>
      </c>
      <c r="BM79" s="1" t="n">
        <f aca="false">BJ79*MIN(Slot5_Cost,BL79)</f>
        <v>0</v>
      </c>
      <c r="BN79" s="1" t="n">
        <f aca="false">BJ79*Slot5_SpendLike*MIN(Slot5_Cost-BM79,BF79)</f>
        <v>0</v>
      </c>
      <c r="BO79" s="1" t="n">
        <f aca="false">BM79+BN79</f>
        <v>0</v>
      </c>
      <c r="BP79" s="1" t="n">
        <f aca="false">BF79-BN79+BJ79*IF(Slot5_SpendLike=1,BL79-BM79,IF(Slot5_PotFree=1,BL79,0))</f>
        <v>251293.427430288</v>
      </c>
      <c r="BQ79" s="1" t="n">
        <f aca="false">BG79+BJ79*Slot5_BufPot*BL79</f>
        <v>0</v>
      </c>
      <c r="BR79" s="1" t="n">
        <f aca="false">IF(AND(BJ79=1,Slot5_IsMfree=1),IF(BO79&gt;=Slot5_Cost-1,0,MAX(0,BH79-BO79)),BH79)</f>
        <v>0</v>
      </c>
      <c r="BS79" s="1" t="n">
        <f aca="false">BJ79*(Slot5_Cost-BO79)</f>
        <v>0</v>
      </c>
      <c r="BT79" s="1" t="n">
        <f aca="false">IF(AND(Slot6_On=1,D79=Slot6_Age),1,0)</f>
        <v>0</v>
      </c>
      <c r="BU79" s="1" t="n">
        <f aca="false">IF(AND(Slot6_On=1,Slot6_Age&gt;D79),1,0)</f>
        <v>0</v>
      </c>
      <c r="BV79" s="1" t="n">
        <f aca="false">HZ78</f>
        <v>0</v>
      </c>
      <c r="BW79" s="1" t="n">
        <f aca="false">BT79*MIN(Slot6_Cost,BV79)</f>
        <v>0</v>
      </c>
      <c r="BX79" s="1" t="n">
        <f aca="false">BT79*Slot6_SpendLike*MIN(Slot6_Cost-BW79,BP79)</f>
        <v>0</v>
      </c>
      <c r="BY79" s="1" t="n">
        <f aca="false">BW79+BX79</f>
        <v>0</v>
      </c>
      <c r="BZ79" s="1" t="n">
        <f aca="false">BP79-BX79+BT79*IF(Slot6_SpendLike=1,BV79-BW79,IF(Slot6_PotFree=1,BV79,0))</f>
        <v>251293.427430288</v>
      </c>
      <c r="CA79" s="1" t="n">
        <f aca="false">BQ79+BT79*Slot6_BufPot*BV79</f>
        <v>0</v>
      </c>
      <c r="CB79" s="1" t="n">
        <f aca="false">IF(AND(BT79=1,Slot6_IsMfree=1),IF(BY79&gt;=Slot6_Cost-1,0,MAX(0,BR79-BY79)),BR79)</f>
        <v>0</v>
      </c>
      <c r="CC79" s="1" t="n">
        <f aca="false">BT79*(Slot6_Cost-BY79)</f>
        <v>0</v>
      </c>
      <c r="CD79" s="1" t="n">
        <f aca="false">IF(AND(Slot7_On=1,D79=Slot7_Age),1,0)</f>
        <v>0</v>
      </c>
      <c r="CE79" s="1" t="n">
        <f aca="false">IF(AND(Slot7_On=1,Slot7_Age&gt;D79),1,0)</f>
        <v>0</v>
      </c>
      <c r="CF79" s="1" t="n">
        <f aca="false">ID78</f>
        <v>0</v>
      </c>
      <c r="CG79" s="1" t="n">
        <f aca="false">CD79*MIN(Slot7_Cost,CF79)</f>
        <v>0</v>
      </c>
      <c r="CH79" s="1" t="n">
        <f aca="false">CD79*Slot7_SpendLike*MIN(Slot7_Cost-CG79,BZ79)</f>
        <v>0</v>
      </c>
      <c r="CI79" s="1" t="n">
        <f aca="false">CG79+CH79</f>
        <v>0</v>
      </c>
      <c r="CJ79" s="1" t="n">
        <f aca="false">BZ79-CH79+CD79*IF(Slot7_SpendLike=1,CF79-CG79,IF(Slot7_PotFree=1,CF79,0))</f>
        <v>251293.427430288</v>
      </c>
      <c r="CK79" s="1" t="n">
        <f aca="false">CA79+CD79*Slot7_BufPot*CF79</f>
        <v>0</v>
      </c>
      <c r="CL79" s="1" t="n">
        <f aca="false">IF(AND(CD79=1,Slot7_IsMfree=1),IF(CI79&gt;=Slot7_Cost-1,0,MAX(0,CB79-CI79)),CB79)</f>
        <v>0</v>
      </c>
      <c r="CM79" s="1" t="n">
        <f aca="false">CD79*(Slot7_Cost-CI79)</f>
        <v>0</v>
      </c>
      <c r="CN79" s="1" t="n">
        <f aca="false">IF(AND(Slot8_On=1,D79=Slot8_Age),1,0)</f>
        <v>0</v>
      </c>
      <c r="CO79" s="1" t="n">
        <f aca="false">IF(AND(Slot8_On=1,Slot8_Age&gt;D79),1,0)</f>
        <v>0</v>
      </c>
      <c r="CP79" s="1" t="n">
        <f aca="false">IH78</f>
        <v>0</v>
      </c>
      <c r="CQ79" s="1" t="n">
        <f aca="false">CN79*MIN(Slot8_Cost,CP79)</f>
        <v>0</v>
      </c>
      <c r="CR79" s="1" t="n">
        <f aca="false">CN79*Slot8_SpendLike*MIN(Slot8_Cost-CQ79,CJ79)</f>
        <v>0</v>
      </c>
      <c r="CS79" s="1" t="n">
        <f aca="false">CQ79+CR79</f>
        <v>0</v>
      </c>
      <c r="CT79" s="1" t="n">
        <f aca="false">CJ79-CR79+CN79*IF(Slot8_SpendLike=1,CP79-CQ79,IF(Slot8_PotFree=1,CP79,0))</f>
        <v>251293.427430288</v>
      </c>
      <c r="CU79" s="1" t="n">
        <f aca="false">CK79+CN79*Slot8_BufPot*CP79</f>
        <v>0</v>
      </c>
      <c r="CV79" s="1" t="n">
        <f aca="false">IF(AND(CN79=1,Slot8_IsMfree=1),IF(CS79&gt;=Slot8_Cost-1,0,MAX(0,CL79-CS79)),CL79)</f>
        <v>0</v>
      </c>
      <c r="CW79" s="1" t="n">
        <f aca="false">CN79*(Slot8_Cost-CS79)</f>
        <v>0</v>
      </c>
      <c r="CX79" s="1" t="n">
        <f aca="false">U79*Slot1_SpendLike*Z79+AF79*Slot2_SpendLike*AK79+AP79*Slot3_SpendLike*AU79+AZ79*Slot4_SpendLike*BE79+BJ79*Slot5_SpendLike*BO79+BT79*Slot6_SpendLike*BY79+CD79*Slot7_SpendLike*CI79+CN79*Slot8_SpendLike*CS79</f>
        <v>0</v>
      </c>
      <c r="CY79" s="1" t="n">
        <f aca="false">AD79+AO79+AY79+BI79+BS79+CC79+CM79+CW79</f>
        <v>0</v>
      </c>
      <c r="CZ79" s="1" t="n">
        <f aca="false">U79*Slot1_Cost+AF79*Slot2_Cost+AP79*Slot3_Cost+AZ79*Slot4_Cost+BJ79*Slot5_Cost+BT79*Slot6_Cost+CD79*Slot7_Cost+CN79*Slot8_Cost</f>
        <v>0</v>
      </c>
      <c r="DA79" s="1" t="n">
        <f aca="false">CV79</f>
        <v>0</v>
      </c>
      <c r="DB79" s="1" t="n">
        <f aca="false">G79-H79-R79</f>
        <v>50793.9798754132</v>
      </c>
      <c r="DC79" s="1" t="n">
        <f aca="false">IF(B79=0,IF(AND(Has_q6=1,In_q6=4),PR_ShareVaries*(MAX(0,DB79)/12),MIN(IF(Has_q6=1,CHOOSE(In_q6+1,PR_SaveB1,PR_SaveB2,PR_SaveB3,PR_SaveB4,0),AS_NoAnswer),AS_SaveShare*(MAX(0,DB79)/12))),DC78)</f>
        <v>0</v>
      </c>
      <c r="DD79" s="1" t="n">
        <f aca="false">IF(DB79&gt;=0,1,0)</f>
        <v>1</v>
      </c>
      <c r="DE79" s="1" t="n">
        <f aca="false">MAX(0,DB79/12/E79)</f>
        <v>1037.57333333333</v>
      </c>
      <c r="DF79" s="1" t="n">
        <f aca="false">IF(AND(Has_q6=1,In_q6=4),PR_ShareVaries*(DE79),MIN(IF(Has_q6=1,CHOOSE(In_q6+1,PR_SaveB1,PR_SaveB2,PR_SaveB3,PR_SaveB4,0),AS_NoAnswer),AS_SaveShare*(DE79)))</f>
        <v>300</v>
      </c>
      <c r="DG79" s="1" t="n">
        <f aca="false">IF(Has_saveM=1,IF(In_saveUp="Yes",1,IF(In_saveUp="No",0,IF(In_saveM&gt;=DC79-0.5,1,0))),0)</f>
        <v>0</v>
      </c>
      <c r="DH79" s="1" t="n">
        <f aca="false">IF(Has_saveM=1,MIN(DE79,IF(DG79=1,MAX(In_saveM,DF79),MIN(In_saveM,DF79))),DF79)</f>
        <v>300</v>
      </c>
      <c r="DI79" s="1" t="n">
        <f aca="false">IF(F79=1,DH79*12*E79,0)</f>
        <v>0</v>
      </c>
      <c r="DJ79" s="1" t="n">
        <f aca="false">MAX(0,DI79+IF(AND(WI_Retire=0,WI_M&lt;0,F79=1),WI_M*12*E79,0))</f>
        <v>0</v>
      </c>
      <c r="DK79" s="1" t="n">
        <f aca="false">Slot1_IsWG*V79+Slot2_IsWG*AG79+Slot3_IsWG*AQ79+Slot4_IsWG*BA79+Slot5_IsWG*BK79+Slot6_IsWG*BU79+Slot7_IsWG*CE79+Slot8_IsWG*CO79</f>
        <v>0</v>
      </c>
      <c r="DL79" s="1" t="n">
        <f aca="false">IF(AND(WI_Retire=0,WI_M&gt;0,F79=1,DK79&gt;=1),WI_M*12*E79,0)</f>
        <v>0</v>
      </c>
      <c r="DM79" s="1" t="n">
        <f aca="false">IF(DD79=1,MIN(DJ79,DB79),0)</f>
        <v>0</v>
      </c>
      <c r="DN79" s="1" t="n">
        <f aca="false">IF(DD79=1,MIN(DL79,DB79-DM79),0)</f>
        <v>0</v>
      </c>
      <c r="DO79" s="1" t="n">
        <f aca="false">IF(V79=1,IF(ABS((1+AS_Wage)/(1+Slot1_Rate)-1)&lt;0.000000000001,(Slot1_Age-D79)*(1+Slot1_Rate)^(Slot1_Age-D79),(1+Slot1_Rate)^(Slot1_Age-D79)*(1-((1+AS_Wage)/(1+Slot1_Rate))^(Slot1_Age-D79))/(1-(1+AS_Wage)/(1+Slot1_Rate))),1)</f>
        <v>1</v>
      </c>
      <c r="DP79" s="1" t="n">
        <f aca="false">IF(AND(DD79=1,DN79&gt;0,Slot1_IsWG=1,V79=1),MAX(0,(Slot1_Cost-W79*(1+Slot1_Rate)^(Slot1_Age-D79))/DO79),0)</f>
        <v>0</v>
      </c>
      <c r="DQ79" s="1" t="n">
        <f aca="false">IF(AND(DD79=1,DN79&gt;0,Slot1_IsWG=1,V79=1),MIN(DN79,DP79),0)</f>
        <v>0</v>
      </c>
      <c r="DR79" s="1" t="n">
        <f aca="false">W79+DQ79</f>
        <v>0</v>
      </c>
      <c r="DS79" s="1" t="n">
        <f aca="false">IF(V79=1,MAX(0,(Slot1_Cost-DR79*(1+Slot1_Rate)^(Slot1_Age-D79))/DO79),0)</f>
        <v>0</v>
      </c>
      <c r="DT79" s="1" t="n">
        <f aca="false">IF(V79=1,MAX(0,(Slot1_Cost-W79*(1+Slot1_Rate)^(Slot1_Age-D79))/DO79),0)</f>
        <v>0</v>
      </c>
      <c r="DU79" s="1" t="n">
        <f aca="false">IF(AND(DD79=1,V79=1),MIN(DM79,DS79),0)</f>
        <v>0</v>
      </c>
      <c r="DV79" s="1" t="n">
        <f aca="false">DM79-DU79</f>
        <v>0</v>
      </c>
      <c r="DW79" s="1" t="n">
        <f aca="false">IF(AG79=1,IF(ABS((1+AS_Wage)/(1+Slot2_Rate)-1)&lt;0.000000000001,(Slot2_Age-D79)*(1+Slot2_Rate)^(Slot2_Age-D79),(1+Slot2_Rate)^(Slot2_Age-D79)*(1-((1+AS_Wage)/(1+Slot2_Rate))^(Slot2_Age-D79))/(1-(1+AS_Wage)/(1+Slot2_Rate))),1)</f>
        <v>1</v>
      </c>
      <c r="DX79" s="1" t="n">
        <f aca="false">IF(AND(DD79=1,DN79&gt;0,Slot2_IsWG=1,AG79=1),MAX(0,(Slot2_Cost-AH79*(1+Slot2_Rate)^(Slot2_Age-D79))/DW79),0)</f>
        <v>0</v>
      </c>
      <c r="DY79" s="1" t="n">
        <f aca="false">IF(AND(DD79=1,DN79&gt;0,Slot2_IsWG=1,AG79=1),MIN(DN79,DX79),0)</f>
        <v>0</v>
      </c>
      <c r="DZ79" s="1" t="n">
        <f aca="false">AH79+DY79</f>
        <v>0</v>
      </c>
      <c r="EA79" s="1" t="n">
        <f aca="false">IF(AG79=1,MAX(0,(Slot2_Cost-DZ79*(1+Slot2_Rate)^(Slot2_Age-D79))/DW79),0)</f>
        <v>0</v>
      </c>
      <c r="EB79" s="1" t="n">
        <f aca="false">IF(AG79=1,MAX(0,(Slot2_Cost-AH79*(1+Slot2_Rate)^(Slot2_Age-D79))/DW79),0)</f>
        <v>0</v>
      </c>
      <c r="EC79" s="1" t="n">
        <f aca="false">IF(AND(DD79=1,AG79=1),MIN(DV79,EA79),0)</f>
        <v>0</v>
      </c>
      <c r="ED79" s="1" t="n">
        <f aca="false">DV79-EC79</f>
        <v>0</v>
      </c>
      <c r="EE79" s="1" t="n">
        <f aca="false">IF(AQ79=1,IF(ABS((1+AS_Wage)/(1+Slot3_Rate)-1)&lt;0.000000000001,(Slot3_Age-D79)*(1+Slot3_Rate)^(Slot3_Age-D79),(1+Slot3_Rate)^(Slot3_Age-D79)*(1-((1+AS_Wage)/(1+Slot3_Rate))^(Slot3_Age-D79))/(1-(1+AS_Wage)/(1+Slot3_Rate))),1)</f>
        <v>1</v>
      </c>
      <c r="EF79" s="1" t="n">
        <f aca="false">IF(AND(DD79=1,DN79&gt;0,Slot3_IsWG=1,AQ79=1),MAX(0,(Slot3_Cost-AR79*(1+Slot3_Rate)^(Slot3_Age-D79))/EE79),0)</f>
        <v>0</v>
      </c>
      <c r="EG79" s="1" t="n">
        <f aca="false">IF(AND(DD79=1,DN79&gt;0,Slot3_IsWG=1,AQ79=1),MIN(DN79,EF79),0)</f>
        <v>0</v>
      </c>
      <c r="EH79" s="1" t="n">
        <f aca="false">AR79+EG79</f>
        <v>0</v>
      </c>
      <c r="EI79" s="1" t="n">
        <f aca="false">IF(AQ79=1,MAX(0,(Slot3_Cost-EH79*(1+Slot3_Rate)^(Slot3_Age-D79))/EE79),0)</f>
        <v>0</v>
      </c>
      <c r="EJ79" s="1" t="n">
        <f aca="false">IF(AQ79=1,MAX(0,(Slot3_Cost-AR79*(1+Slot3_Rate)^(Slot3_Age-D79))/EE79),0)</f>
        <v>0</v>
      </c>
      <c r="EK79" s="1" t="n">
        <f aca="false">IF(AND(DD79=1,AQ79=1),MIN(ED79,EI79),0)</f>
        <v>0</v>
      </c>
      <c r="EL79" s="1" t="n">
        <f aca="false">ED79-EK79</f>
        <v>0</v>
      </c>
      <c r="EM79" s="1" t="n">
        <f aca="false">IF(BA79=1,IF(ABS((1+AS_Wage)/(1+Slot4_Rate)-1)&lt;0.000000000001,(Slot4_Age-D79)*(1+Slot4_Rate)^(Slot4_Age-D79),(1+Slot4_Rate)^(Slot4_Age-D79)*(1-((1+AS_Wage)/(1+Slot4_Rate))^(Slot4_Age-D79))/(1-(1+AS_Wage)/(1+Slot4_Rate))),1)</f>
        <v>1</v>
      </c>
      <c r="EN79" s="1" t="n">
        <f aca="false">IF(AND(DD79=1,DN79&gt;0,Slot4_IsWG=1,BA79=1),MAX(0,(Slot4_Cost-BB79*(1+Slot4_Rate)^(Slot4_Age-D79))/EM79),0)</f>
        <v>0</v>
      </c>
      <c r="EO79" s="1" t="n">
        <f aca="false">IF(AND(DD79=1,DN79&gt;0,Slot4_IsWG=1,BA79=1),MIN(DN79,EN79),0)</f>
        <v>0</v>
      </c>
      <c r="EP79" s="1" t="n">
        <f aca="false">BB79+EO79</f>
        <v>0</v>
      </c>
      <c r="EQ79" s="1" t="n">
        <f aca="false">IF(BA79=1,MAX(0,(Slot4_Cost-EP79*(1+Slot4_Rate)^(Slot4_Age-D79))/EM79),0)</f>
        <v>0</v>
      </c>
      <c r="ER79" s="1" t="n">
        <f aca="false">IF(BA79=1,MAX(0,(Slot4_Cost-BB79*(1+Slot4_Rate)^(Slot4_Age-D79))/EM79),0)</f>
        <v>0</v>
      </c>
      <c r="ES79" s="1" t="n">
        <f aca="false">IF(AND(DD79=1,BA79=1),MIN(EL79,EQ79),0)</f>
        <v>0</v>
      </c>
      <c r="ET79" s="1" t="n">
        <f aca="false">EL79-ES79</f>
        <v>0</v>
      </c>
      <c r="EU79" s="1" t="n">
        <f aca="false">IF(BK79=1,IF(ABS((1+AS_Wage)/(1+Slot5_Rate)-1)&lt;0.000000000001,(Slot5_Age-D79)*(1+Slot5_Rate)^(Slot5_Age-D79),(1+Slot5_Rate)^(Slot5_Age-D79)*(1-((1+AS_Wage)/(1+Slot5_Rate))^(Slot5_Age-D79))/(1-(1+AS_Wage)/(1+Slot5_Rate))),1)</f>
        <v>1</v>
      </c>
      <c r="EV79" s="1" t="n">
        <f aca="false">IF(AND(DD79=1,DN79&gt;0,Slot5_IsWG=1,BK79=1),MAX(0,(Slot5_Cost-BL79*(1+Slot5_Rate)^(Slot5_Age-D79))/EU79),0)</f>
        <v>0</v>
      </c>
      <c r="EW79" s="1" t="n">
        <f aca="false">IF(AND(DD79=1,DN79&gt;0,Slot5_IsWG=1,BK79=1),MIN(DN79,EV79),0)</f>
        <v>0</v>
      </c>
      <c r="EX79" s="1" t="n">
        <f aca="false">BL79+EW79</f>
        <v>0</v>
      </c>
      <c r="EY79" s="1" t="n">
        <f aca="false">IF(BK79=1,MAX(0,(Slot5_Cost-EX79*(1+Slot5_Rate)^(Slot5_Age-D79))/EU79),0)</f>
        <v>0</v>
      </c>
      <c r="EZ79" s="1" t="n">
        <f aca="false">IF(BK79=1,MAX(0,(Slot5_Cost-BL79*(1+Slot5_Rate)^(Slot5_Age-D79))/EU79),0)</f>
        <v>0</v>
      </c>
      <c r="FA79" s="1" t="n">
        <f aca="false">IF(AND(DD79=1,BK79=1),MIN(ET79,EY79),0)</f>
        <v>0</v>
      </c>
      <c r="FB79" s="1" t="n">
        <f aca="false">ET79-FA79</f>
        <v>0</v>
      </c>
      <c r="FC79" s="1" t="n">
        <f aca="false">IF(BU79=1,IF(ABS((1+AS_Wage)/(1+Slot6_Rate)-1)&lt;0.000000000001,(Slot6_Age-D79)*(1+Slot6_Rate)^(Slot6_Age-D79),(1+Slot6_Rate)^(Slot6_Age-D79)*(1-((1+AS_Wage)/(1+Slot6_Rate))^(Slot6_Age-D79))/(1-(1+AS_Wage)/(1+Slot6_Rate))),1)</f>
        <v>1</v>
      </c>
      <c r="FD79" s="1" t="n">
        <f aca="false">IF(AND(DD79=1,DN79&gt;0,Slot6_IsWG=1,BU79=1),MAX(0,(Slot6_Cost-BV79*(1+Slot6_Rate)^(Slot6_Age-D79))/FC79),0)</f>
        <v>0</v>
      </c>
      <c r="FE79" s="1" t="n">
        <f aca="false">IF(AND(DD79=1,DN79&gt;0,Slot6_IsWG=1,BU79=1),MIN(DN79,FD79),0)</f>
        <v>0</v>
      </c>
      <c r="FF79" s="1" t="n">
        <f aca="false">BV79+FE79</f>
        <v>0</v>
      </c>
      <c r="FG79" s="1" t="n">
        <f aca="false">IF(BU79=1,MAX(0,(Slot6_Cost-FF79*(1+Slot6_Rate)^(Slot6_Age-D79))/FC79),0)</f>
        <v>0</v>
      </c>
      <c r="FH79" s="1" t="n">
        <f aca="false">IF(BU79=1,MAX(0,(Slot6_Cost-BV79*(1+Slot6_Rate)^(Slot6_Age-D79))/FC79),0)</f>
        <v>0</v>
      </c>
      <c r="FI79" s="1" t="n">
        <f aca="false">IF(AND(DD79=1,BU79=1),MIN(FB79,FG79),0)</f>
        <v>0</v>
      </c>
      <c r="FJ79" s="1" t="n">
        <f aca="false">FB79-FI79</f>
        <v>0</v>
      </c>
      <c r="FK79" s="1" t="n">
        <f aca="false">IF(CE79=1,IF(ABS((1+AS_Wage)/(1+Slot7_Rate)-1)&lt;0.000000000001,(Slot7_Age-D79)*(1+Slot7_Rate)^(Slot7_Age-D79),(1+Slot7_Rate)^(Slot7_Age-D79)*(1-((1+AS_Wage)/(1+Slot7_Rate))^(Slot7_Age-D79))/(1-(1+AS_Wage)/(1+Slot7_Rate))),1)</f>
        <v>1</v>
      </c>
      <c r="FL79" s="1" t="n">
        <f aca="false">IF(AND(DD79=1,DN79&gt;0,Slot7_IsWG=1,CE79=1),MAX(0,(Slot7_Cost-CF79*(1+Slot7_Rate)^(Slot7_Age-D79))/FK79),0)</f>
        <v>0</v>
      </c>
      <c r="FM79" s="1" t="n">
        <f aca="false">IF(AND(DD79=1,DN79&gt;0,Slot7_IsWG=1,CE79=1),MIN(DN79,FL79),0)</f>
        <v>0</v>
      </c>
      <c r="FN79" s="1" t="n">
        <f aca="false">CF79+FM79</f>
        <v>0</v>
      </c>
      <c r="FO79" s="1" t="n">
        <f aca="false">IF(CE79=1,MAX(0,(Slot7_Cost-FN79*(1+Slot7_Rate)^(Slot7_Age-D79))/FK79),0)</f>
        <v>0</v>
      </c>
      <c r="FP79" s="1" t="n">
        <f aca="false">IF(CE79=1,MAX(0,(Slot7_Cost-CF79*(1+Slot7_Rate)^(Slot7_Age-D79))/FK79),0)</f>
        <v>0</v>
      </c>
      <c r="FQ79" s="1" t="n">
        <f aca="false">IF(AND(DD79=1,CE79=1),MIN(FJ79,FO79),0)</f>
        <v>0</v>
      </c>
      <c r="FR79" s="1" t="n">
        <f aca="false">FJ79-FQ79</f>
        <v>0</v>
      </c>
      <c r="FS79" s="1" t="n">
        <f aca="false">IF(CO79=1,IF(ABS((1+AS_Wage)/(1+Slot8_Rate)-1)&lt;0.000000000001,(Slot8_Age-D79)*(1+Slot8_Rate)^(Slot8_Age-D79),(1+Slot8_Rate)^(Slot8_Age-D79)*(1-((1+AS_Wage)/(1+Slot8_Rate))^(Slot8_Age-D79))/(1-(1+AS_Wage)/(1+Slot8_Rate))),1)</f>
        <v>1</v>
      </c>
      <c r="FT79" s="1" t="n">
        <f aca="false">IF(AND(DD79=1,DN79&gt;0,Slot8_IsWG=1,CO79=1),MAX(0,(Slot8_Cost-CP79*(1+Slot8_Rate)^(Slot8_Age-D79))/FS79),0)</f>
        <v>0</v>
      </c>
      <c r="FU79" s="1" t="n">
        <f aca="false">IF(AND(DD79=1,DN79&gt;0,Slot8_IsWG=1,CO79=1),MIN(DN79,FT79),0)</f>
        <v>0</v>
      </c>
      <c r="FV79" s="1" t="n">
        <f aca="false">CP79+FU79</f>
        <v>0</v>
      </c>
      <c r="FW79" s="1" t="n">
        <f aca="false">IF(CO79=1,MAX(0,(Slot8_Cost-FV79*(1+Slot8_Rate)^(Slot8_Age-D79))/FS79),0)</f>
        <v>0</v>
      </c>
      <c r="FX79" s="1" t="n">
        <f aca="false">IF(CO79=1,MAX(0,(Slot8_Cost-CP79*(1+Slot8_Rate)^(Slot8_Age-D79))/FS79),0)</f>
        <v>0</v>
      </c>
      <c r="FY79" s="1" t="n">
        <f aca="false">IF(AND(DD79=1,CO79=1),MIN(FR79,FW79),0)</f>
        <v>0</v>
      </c>
      <c r="FZ79" s="1" t="n">
        <f aca="false">FR79-FY79</f>
        <v>0</v>
      </c>
      <c r="GA79" s="1" t="n">
        <f aca="false">DN79-(DQ79+DY79+EG79+EO79+EW79+FE79+FM79+FU79)</f>
        <v>0</v>
      </c>
      <c r="GB79" s="1" t="n">
        <f aca="false">IF(DD79=1,DB79-DM79-DN79,0)</f>
        <v>50793.9798754132</v>
      </c>
      <c r="GC79" s="1" t="n">
        <f aca="false">IF(DD79=0,-DB79,0)</f>
        <v>0</v>
      </c>
      <c r="GD79" s="1" t="n">
        <f aca="false">MIN(GC79,CT79)</f>
        <v>0</v>
      </c>
      <c r="GE79" s="1" t="n">
        <f aca="false">GC79-GD79</f>
        <v>0</v>
      </c>
      <c r="GF79" s="1" t="n">
        <f aca="false">MIN(GE79,CU79)</f>
        <v>0</v>
      </c>
      <c r="GG79" s="1" t="n">
        <f aca="false">GE79-GF79</f>
        <v>0</v>
      </c>
      <c r="GH79" s="1" t="n">
        <f aca="false">IF(AND(DD79=0,CO79=1,GG79&gt;0),MIN(GG79,CP79),0)</f>
        <v>0</v>
      </c>
      <c r="GI79" s="1" t="n">
        <f aca="false">GG79-GH79</f>
        <v>0</v>
      </c>
      <c r="GJ79" s="1" t="n">
        <f aca="false">IF(AND(DD79=0,CE79=1,GI79&gt;0),MIN(GI79,CF79),0)</f>
        <v>0</v>
      </c>
      <c r="GK79" s="1" t="n">
        <f aca="false">GI79-GJ79</f>
        <v>0</v>
      </c>
      <c r="GL79" s="1" t="n">
        <f aca="false">IF(AND(DD79=0,BU79=1,GK79&gt;0),MIN(GK79,BV79),0)</f>
        <v>0</v>
      </c>
      <c r="GM79" s="1" t="n">
        <f aca="false">GK79-GL79</f>
        <v>0</v>
      </c>
      <c r="GN79" s="1" t="n">
        <f aca="false">IF(AND(DD79=0,BK79=1,GM79&gt;0),MIN(GM79,BL79),0)</f>
        <v>0</v>
      </c>
      <c r="GO79" s="1" t="n">
        <f aca="false">GM79-GN79</f>
        <v>0</v>
      </c>
      <c r="GP79" s="1" t="n">
        <f aca="false">IF(AND(DD79=0,BA79=1,GO79&gt;0),MIN(GO79,BB79),0)</f>
        <v>0</v>
      </c>
      <c r="GQ79" s="1" t="n">
        <f aca="false">GO79-GP79</f>
        <v>0</v>
      </c>
      <c r="GR79" s="1" t="n">
        <f aca="false">IF(AND(DD79=0,AQ79=1,GQ79&gt;0),MIN(GQ79,AR79),0)</f>
        <v>0</v>
      </c>
      <c r="GS79" s="1" t="n">
        <f aca="false">GQ79-GR79</f>
        <v>0</v>
      </c>
      <c r="GT79" s="1" t="n">
        <f aca="false">IF(AND(DD79=0,AG79=1,GS79&gt;0),MIN(GS79,AH79),0)</f>
        <v>0</v>
      </c>
      <c r="GU79" s="1" t="n">
        <f aca="false">GS79-GT79</f>
        <v>0</v>
      </c>
      <c r="GV79" s="1" t="n">
        <f aca="false">IF(AND(DD79=0,V79=1,GU79&gt;0),MIN(GU79,W79),0)</f>
        <v>0</v>
      </c>
      <c r="GW79" s="1" t="n">
        <f aca="false">GU79-GV79</f>
        <v>0</v>
      </c>
      <c r="GX79" s="1" t="n">
        <f aca="false">IF(DD79=0,GW79,0)</f>
        <v>0</v>
      </c>
      <c r="GY79" s="1" t="n">
        <f aca="false">GD79+GF79+GV79+GT79+GR79+GP79+GN79+GL79+GJ79+GH79</f>
        <v>0</v>
      </c>
      <c r="GZ79" s="1" t="n">
        <f aca="false">IF(DD79=1,CT79+GA79+FZ79+IF(F79=1,0,GB79),CT79-GD79)</f>
        <v>302087.407305701</v>
      </c>
      <c r="HA79" s="1" t="n">
        <f aca="false">CU79-GF79</f>
        <v>0</v>
      </c>
      <c r="HB79" s="1" t="n">
        <f aca="false">IF(DD79=1,IF(F79=1,DM79+DN79,DB79),0)</f>
        <v>50793.9798754132</v>
      </c>
      <c r="HC79" s="1" t="n">
        <f aca="false">IF(DD79=1,IF(F79=1,DB79-DM79-DN79,0),0)</f>
        <v>0</v>
      </c>
      <c r="HD79" s="1" t="n">
        <f aca="false">GZ79*(1+GR)</f>
        <v>307041.640785514</v>
      </c>
      <c r="HE79" s="1" t="n">
        <f aca="false">HA79*(1+AS_Cash)</f>
        <v>0</v>
      </c>
      <c r="HF79" s="1" t="n">
        <f aca="false">IF(V79=1,IF(DD79=1,DR79+DU79,W79-GV79)*(1+Slot1_Rate),0)</f>
        <v>0</v>
      </c>
      <c r="HG79" s="1" t="n">
        <f aca="false">IF(AND(DD79=1,V79=1),(DQ79+DU79)/E79,0)</f>
        <v>0</v>
      </c>
      <c r="HH79" s="1" t="n">
        <f aca="false">IF(B79=0,DQ79+DU79,0)</f>
        <v>0</v>
      </c>
      <c r="HI79" s="1" t="n">
        <f aca="false">IF(B79=0,IF(DD79=1,DS79,DT79),0)</f>
        <v>0</v>
      </c>
      <c r="HJ79" s="1" t="n">
        <f aca="false">IF(AG79=1,IF(DD79=1,DZ79+EC79,AH79-GT79)*(1+Slot2_Rate),0)</f>
        <v>0</v>
      </c>
      <c r="HK79" s="1" t="n">
        <f aca="false">IF(AND(DD79=1,AG79=1),(DY79+EC79)/E79,0)</f>
        <v>0</v>
      </c>
      <c r="HL79" s="1" t="n">
        <f aca="false">IF(B79=0,DY79+EC79,0)</f>
        <v>0</v>
      </c>
      <c r="HM79" s="1" t="n">
        <f aca="false">IF(B79=0,IF(DD79=1,EA79,EB79),0)</f>
        <v>0</v>
      </c>
      <c r="HN79" s="1" t="n">
        <f aca="false">IF(AQ79=1,IF(DD79=1,EH79+EK79,AR79-GR79)*(1+Slot3_Rate),0)</f>
        <v>0</v>
      </c>
      <c r="HO79" s="1" t="n">
        <f aca="false">IF(AND(DD79=1,AQ79=1),(EG79+EK79)/E79,0)</f>
        <v>0</v>
      </c>
      <c r="HP79" s="1" t="n">
        <f aca="false">IF(B79=0,EG79+EK79,0)</f>
        <v>0</v>
      </c>
      <c r="HQ79" s="1" t="n">
        <f aca="false">IF(B79=0,IF(DD79=1,EI79,EJ79),0)</f>
        <v>0</v>
      </c>
      <c r="HR79" s="1" t="n">
        <f aca="false">IF(BA79=1,IF(DD79=1,EP79+ES79,BB79-GP79)*(1+Slot4_Rate),0)</f>
        <v>0</v>
      </c>
      <c r="HS79" s="1" t="n">
        <f aca="false">IF(AND(DD79=1,BA79=1),(EO79+ES79)/E79,0)</f>
        <v>0</v>
      </c>
      <c r="HT79" s="1" t="n">
        <f aca="false">IF(B79=0,EO79+ES79,0)</f>
        <v>0</v>
      </c>
      <c r="HU79" s="1" t="n">
        <f aca="false">IF(B79=0,IF(DD79=1,EQ79,ER79),0)</f>
        <v>0</v>
      </c>
      <c r="HV79" s="1" t="n">
        <f aca="false">IF(BK79=1,IF(DD79=1,EX79+FA79,BL79-GN79)*(1+Slot5_Rate),0)</f>
        <v>0</v>
      </c>
      <c r="HW79" s="1" t="n">
        <f aca="false">IF(AND(DD79=1,BK79=1),(EW79+FA79)/E79,0)</f>
        <v>0</v>
      </c>
      <c r="HX79" s="1" t="n">
        <f aca="false">IF(B79=0,EW79+FA79,0)</f>
        <v>0</v>
      </c>
      <c r="HY79" s="1" t="n">
        <f aca="false">IF(B79=0,IF(DD79=1,EY79,EZ79),0)</f>
        <v>0</v>
      </c>
      <c r="HZ79" s="1" t="n">
        <f aca="false">IF(BU79=1,IF(DD79=1,FF79+FI79,BV79-GL79)*(1+Slot6_Rate),0)</f>
        <v>0</v>
      </c>
      <c r="IA79" s="1" t="n">
        <f aca="false">IF(AND(DD79=1,BU79=1),(FE79+FI79)/E79,0)</f>
        <v>0</v>
      </c>
      <c r="IB79" s="1" t="n">
        <f aca="false">IF(B79=0,FE79+FI79,0)</f>
        <v>0</v>
      </c>
      <c r="IC79" s="1" t="n">
        <f aca="false">IF(B79=0,IF(DD79=1,FG79,FH79),0)</f>
        <v>0</v>
      </c>
      <c r="ID79" s="1" t="n">
        <f aca="false">IF(CE79=1,IF(DD79=1,FN79+FQ79,CF79-GJ79)*(1+Slot7_Rate),0)</f>
        <v>0</v>
      </c>
      <c r="IE79" s="1" t="n">
        <f aca="false">IF(AND(DD79=1,CE79=1),(FM79+FQ79)/E79,0)</f>
        <v>0</v>
      </c>
      <c r="IF79" s="1" t="n">
        <f aca="false">IF(B79=0,FM79+FQ79,0)</f>
        <v>0</v>
      </c>
      <c r="IG79" s="1" t="n">
        <f aca="false">IF(B79=0,IF(DD79=1,FO79,FP79),0)</f>
        <v>0</v>
      </c>
      <c r="IH79" s="1" t="n">
        <f aca="false">IF(CO79=1,IF(DD79=1,FV79+FY79,CP79-GH79)*(1+Slot8_Rate),0)</f>
        <v>0</v>
      </c>
      <c r="II79" s="1" t="n">
        <f aca="false">IF(AND(DD79=1,CO79=1),(FU79+FY79)/E79,0)</f>
        <v>0</v>
      </c>
      <c r="IJ79" s="1" t="n">
        <f aca="false">IF(B79=0,FU79+FY79,0)</f>
        <v>0</v>
      </c>
      <c r="IK79" s="1" t="n">
        <f aca="false">IF(B79=0,IF(DD79=1,FW79,FX79),0)</f>
        <v>0</v>
      </c>
      <c r="IL79" s="1" t="n">
        <f aca="false">HD79+HE79+HF79+HJ79+HN79+HR79+HV79+HZ79+ID79+IH79</f>
        <v>307041.640785514</v>
      </c>
      <c r="IM79" s="1" t="n">
        <f aca="false">GX79+CY79</f>
        <v>0</v>
      </c>
      <c r="IN79" s="1" t="n">
        <f aca="false">H79+R79</f>
        <v>0</v>
      </c>
      <c r="IO79" s="1" t="n">
        <f aca="false">1-F79</f>
        <v>1</v>
      </c>
      <c r="IP79" s="1" t="n">
        <f aca="false">IF(AND(RG_Exists=1,F79=0,C79=1),H79,0)</f>
        <v>0</v>
      </c>
      <c r="IQ79" s="1" t="n">
        <f aca="false">IF(AND(RG_Exists=1,F79=0,C79=1),H79-MIN(GX79,H79),0)</f>
        <v>0</v>
      </c>
      <c r="IR79" s="1" t="n">
        <f aca="false">'Plan pay &amp; tax'!AD281</f>
        <v>0</v>
      </c>
      <c r="IS79" s="1" t="n">
        <f aca="false">IF(AND(C79=1,GX79&gt;MAX(PR_Short1,IN79*PR_Short2)),1,0)</f>
        <v>0</v>
      </c>
      <c r="IT79" s="1" t="n">
        <f aca="false">MIN(G79,H79+R79)</f>
        <v>0</v>
      </c>
      <c r="IU79" s="1" t="n">
        <f aca="false">GY79+MAX(0,CZ79-CY79)</f>
        <v>0</v>
      </c>
      <c r="IV79" s="1" t="n">
        <f aca="false">GX79+CY79</f>
        <v>0</v>
      </c>
      <c r="IW79" s="1" t="n">
        <f aca="false">IF(AND(C79=1,IV79&gt;0.5),1,0)</f>
        <v>0</v>
      </c>
      <c r="IX79" s="1" t="n">
        <f aca="false">IF(AND(C79=1,IW79=0,IU79&gt;0.5),1,0)</f>
        <v>0</v>
      </c>
      <c r="IY79" s="1" t="n">
        <f aca="false">IF(AND(C79=1,GX79&gt;0.5),1,0)</f>
        <v>0</v>
      </c>
      <c r="IZ79" s="1" t="n">
        <f aca="false">IF(AND(C79=1,GY79&gt;1,JF79=0),1,0)</f>
        <v>0</v>
      </c>
      <c r="JA79" s="1" t="n">
        <f aca="false">IF(AND(INT(D79/10)*10=90,B79&gt;0),80,INT(D79/10)*10)</f>
        <v>70</v>
      </c>
      <c r="JB79" s="1" t="n">
        <f aca="false">IF(B79=0,1,IF(JA79&lt;&gt;JA78,JB78+1,JB78))</f>
        <v>8</v>
      </c>
      <c r="JC79" s="1" t="n">
        <f aca="false">IF(AND(C79=1,F79=1,GX79&gt;MAX(PR_Short1,IN79*PR_Short2)),1,0)</f>
        <v>0</v>
      </c>
      <c r="JD79" s="1" t="n">
        <f aca="false">IO79*IS79</f>
        <v>0</v>
      </c>
      <c r="JE79" s="1" t="n">
        <f aca="false">IF(AND(U79=1,Slot1_PctLow=1),1,0)+IF(AND(AF79=1,Slot2_PctLow=1),1,0)+IF(AND(AP79=1,Slot3_PctLow=1),1,0)+IF(AND(AZ79=1,Slot4_PctLow=1),1,0)+IF(AND(BJ79=1,Slot5_PctLow=1),1,0)+IF(AND(BT79=1,Slot6_PctLow=1),1,0)+IF(AND(CD79=1,Slot7_PctLow=1),1,0)+IF(AND(CN79=1,Slot8_PctLow=1),1,0)</f>
        <v>0</v>
      </c>
      <c r="JF79" s="1" t="n">
        <f aca="false">IF(C79=1,IF(OR(IS79=1,JE79&gt;0),1,0),0)</f>
        <v>0</v>
      </c>
    </row>
    <row r="80" customFormat="false" ht="15" hidden="false" customHeight="false" outlineLevel="0" collapsed="false">
      <c r="B80" s="1" t="n">
        <v>72</v>
      </c>
      <c r="C80" s="1" t="n">
        <f aca="false">IF(B80&lt;=F_N,1,0)</f>
        <v>1</v>
      </c>
      <c r="D80" s="1" t="n">
        <f aca="false">'Plan pay &amp; tax'!C282</f>
        <v>72</v>
      </c>
      <c r="E80" s="106" t="n">
        <f aca="false">'Plan pay &amp; tax'!E282</f>
        <v>4.16114037505152</v>
      </c>
      <c r="F80" s="1" t="n">
        <f aca="false">'Plan pay &amp; tax'!G282</f>
        <v>0</v>
      </c>
      <c r="G80" s="1" t="n">
        <f aca="false">'Plan pay &amp; tax'!BT282-'Plan pay &amp; tax'!BS282-'Plan pay &amp; tax'!R282</f>
        <v>51809.8594729214</v>
      </c>
      <c r="H80" s="1" t="n">
        <f aca="false">IF(F80=1,F_CostsM*12,IF(RG_Exists=1,RG_Amount,F_CostsM*12*AS_RetireSpend))*E80+F_OneOffY*E80</f>
        <v>0</v>
      </c>
      <c r="I80" s="1" t="n">
        <f aca="false">DA79</f>
        <v>0</v>
      </c>
      <c r="J80" s="1" t="n">
        <f aca="false">IF(I80&gt;1,'Plan debt months'!AC80,0)</f>
        <v>0</v>
      </c>
      <c r="K80" s="1" t="n">
        <f aca="false">IF(I80&gt;1,'Plan debt months'!AB80,I80)</f>
        <v>0</v>
      </c>
      <c r="L80" s="1" t="n">
        <f aca="false">N79</f>
        <v>0</v>
      </c>
      <c r="M80" s="1" t="n">
        <f aca="false">IF(L80&gt;1,'Plan debt months'!BD80,0)</f>
        <v>0</v>
      </c>
      <c r="N80" s="1" t="n">
        <f aca="false">IF(L80&gt;1,'Plan debt months'!BC80,L80)</f>
        <v>0</v>
      </c>
      <c r="O80" s="1" t="n">
        <f aca="false">Q79</f>
        <v>0</v>
      </c>
      <c r="P80" s="1" t="n">
        <f aca="false">IF(O80&gt;1,'Plan debt months'!CE80,0)</f>
        <v>0</v>
      </c>
      <c r="Q80" s="1" t="n">
        <f aca="false">IF(O80&gt;1,'Plan debt months'!CD80,O80)</f>
        <v>0</v>
      </c>
      <c r="R80" s="1" t="n">
        <f aca="false">J80+M80+P80</f>
        <v>0</v>
      </c>
      <c r="S80" s="1" t="n">
        <f aca="false">HD79+'Plan pay &amp; tax'!Y282</f>
        <v>307041.640785514</v>
      </c>
      <c r="T80" s="1" t="n">
        <f aca="false">HD79</f>
        <v>307041.640785514</v>
      </c>
      <c r="U80" s="1" t="n">
        <f aca="false">IF(AND(Slot1_On=1,D80=Slot1_Age),1,0)</f>
        <v>0</v>
      </c>
      <c r="V80" s="1" t="n">
        <f aca="false">IF(AND(Slot1_On=1,Slot1_Age&gt;D80),1,0)</f>
        <v>0</v>
      </c>
      <c r="W80" s="1" t="n">
        <f aca="false">HF79</f>
        <v>0</v>
      </c>
      <c r="X80" s="1" t="n">
        <f aca="false">U80*MIN(Slot1_Cost,W80)</f>
        <v>0</v>
      </c>
      <c r="Y80" s="1" t="n">
        <f aca="false">U80*Slot1_SpendLike*MIN(Slot1_Cost-X80,S80)</f>
        <v>0</v>
      </c>
      <c r="Z80" s="1" t="n">
        <f aca="false">X80+Y80</f>
        <v>0</v>
      </c>
      <c r="AA80" s="1" t="n">
        <f aca="false">S80-Y80+U80*IF(Slot1_SpendLike=1,W80-X80,IF(Slot1_PotFree=1,W80,0))</f>
        <v>307041.640785514</v>
      </c>
      <c r="AB80" s="1" t="n">
        <f aca="false">AE80+U80*Slot1_BufPot*W80</f>
        <v>0</v>
      </c>
      <c r="AC80" s="1" t="n">
        <f aca="false">IF(AND(U80=1,Slot1_IsMfree=1),IF(Z80&gt;=Slot1_Cost-1,0,MAX(0,K80-Z80)),K80)</f>
        <v>0</v>
      </c>
      <c r="AD80" s="1" t="n">
        <f aca="false">U80*(Slot1_Cost-Z80)</f>
        <v>0</v>
      </c>
      <c r="AE80" s="1" t="n">
        <f aca="false">HE79</f>
        <v>0</v>
      </c>
      <c r="AF80" s="1" t="n">
        <f aca="false">IF(AND(Slot2_On=1,D80=Slot2_Age),1,0)</f>
        <v>0</v>
      </c>
      <c r="AG80" s="1" t="n">
        <f aca="false">IF(AND(Slot2_On=1,Slot2_Age&gt;D80),1,0)</f>
        <v>0</v>
      </c>
      <c r="AH80" s="1" t="n">
        <f aca="false">HJ79</f>
        <v>0</v>
      </c>
      <c r="AI80" s="1" t="n">
        <f aca="false">AF80*MIN(Slot2_Cost,AH80)</f>
        <v>0</v>
      </c>
      <c r="AJ80" s="1" t="n">
        <f aca="false">AF80*Slot2_SpendLike*MIN(Slot2_Cost-AI80,AA80)</f>
        <v>0</v>
      </c>
      <c r="AK80" s="1" t="n">
        <f aca="false">AI80+AJ80</f>
        <v>0</v>
      </c>
      <c r="AL80" s="1" t="n">
        <f aca="false">AA80-AJ80+AF80*IF(Slot2_SpendLike=1,AH80-AI80,IF(Slot2_PotFree=1,AH80,0))</f>
        <v>307041.640785514</v>
      </c>
      <c r="AM80" s="1" t="n">
        <f aca="false">AB80+AF80*Slot2_BufPot*AH80</f>
        <v>0</v>
      </c>
      <c r="AN80" s="1" t="n">
        <f aca="false">IF(AND(AF80=1,Slot2_IsMfree=1),IF(AK80&gt;=Slot2_Cost-1,0,MAX(0,AC80-AK80)),AC80)</f>
        <v>0</v>
      </c>
      <c r="AO80" s="1" t="n">
        <f aca="false">AF80*(Slot2_Cost-AK80)</f>
        <v>0</v>
      </c>
      <c r="AP80" s="1" t="n">
        <f aca="false">IF(AND(Slot3_On=1,D80=Slot3_Age),1,0)</f>
        <v>0</v>
      </c>
      <c r="AQ80" s="1" t="n">
        <f aca="false">IF(AND(Slot3_On=1,Slot3_Age&gt;D80),1,0)</f>
        <v>0</v>
      </c>
      <c r="AR80" s="1" t="n">
        <f aca="false">HN79</f>
        <v>0</v>
      </c>
      <c r="AS80" s="1" t="n">
        <f aca="false">AP80*MIN(Slot3_Cost,AR80)</f>
        <v>0</v>
      </c>
      <c r="AT80" s="1" t="n">
        <f aca="false">AP80*Slot3_SpendLike*MIN(Slot3_Cost-AS80,AL80)</f>
        <v>0</v>
      </c>
      <c r="AU80" s="1" t="n">
        <f aca="false">AS80+AT80</f>
        <v>0</v>
      </c>
      <c r="AV80" s="1" t="n">
        <f aca="false">AL80-AT80+AP80*IF(Slot3_SpendLike=1,AR80-AS80,IF(Slot3_PotFree=1,AR80,0))</f>
        <v>307041.640785514</v>
      </c>
      <c r="AW80" s="1" t="n">
        <f aca="false">AM80+AP80*Slot3_BufPot*AR80</f>
        <v>0</v>
      </c>
      <c r="AX80" s="1" t="n">
        <f aca="false">IF(AND(AP80=1,Slot3_IsMfree=1),IF(AU80&gt;=Slot3_Cost-1,0,MAX(0,AN80-AU80)),AN80)</f>
        <v>0</v>
      </c>
      <c r="AY80" s="1" t="n">
        <f aca="false">AP80*(Slot3_Cost-AU80)</f>
        <v>0</v>
      </c>
      <c r="AZ80" s="1" t="n">
        <f aca="false">IF(AND(Slot4_On=1,D80=Slot4_Age),1,0)</f>
        <v>0</v>
      </c>
      <c r="BA80" s="1" t="n">
        <f aca="false">IF(AND(Slot4_On=1,Slot4_Age&gt;D80),1,0)</f>
        <v>0</v>
      </c>
      <c r="BB80" s="1" t="n">
        <f aca="false">HR79</f>
        <v>0</v>
      </c>
      <c r="BC80" s="1" t="n">
        <f aca="false">AZ80*MIN(Slot4_Cost,BB80)</f>
        <v>0</v>
      </c>
      <c r="BD80" s="1" t="n">
        <f aca="false">AZ80*Slot4_SpendLike*MIN(Slot4_Cost-BC80,AV80)</f>
        <v>0</v>
      </c>
      <c r="BE80" s="1" t="n">
        <f aca="false">BC80+BD80</f>
        <v>0</v>
      </c>
      <c r="BF80" s="1" t="n">
        <f aca="false">AV80-BD80+AZ80*IF(Slot4_SpendLike=1,BB80-BC80,IF(Slot4_PotFree=1,BB80,0))</f>
        <v>307041.640785514</v>
      </c>
      <c r="BG80" s="1" t="n">
        <f aca="false">AW80+AZ80*Slot4_BufPot*BB80</f>
        <v>0</v>
      </c>
      <c r="BH80" s="1" t="n">
        <f aca="false">IF(AND(AZ80=1,Slot4_IsMfree=1),IF(BE80&gt;=Slot4_Cost-1,0,MAX(0,AX80-BE80)),AX80)</f>
        <v>0</v>
      </c>
      <c r="BI80" s="1" t="n">
        <f aca="false">AZ80*(Slot4_Cost-BE80)</f>
        <v>0</v>
      </c>
      <c r="BJ80" s="1" t="n">
        <f aca="false">IF(AND(Slot5_On=1,D80=Slot5_Age),1,0)</f>
        <v>0</v>
      </c>
      <c r="BK80" s="1" t="n">
        <f aca="false">IF(AND(Slot5_On=1,Slot5_Age&gt;D80),1,0)</f>
        <v>0</v>
      </c>
      <c r="BL80" s="1" t="n">
        <f aca="false">HV79</f>
        <v>0</v>
      </c>
      <c r="BM80" s="1" t="n">
        <f aca="false">BJ80*MIN(Slot5_Cost,BL80)</f>
        <v>0</v>
      </c>
      <c r="BN80" s="1" t="n">
        <f aca="false">BJ80*Slot5_SpendLike*MIN(Slot5_Cost-BM80,BF80)</f>
        <v>0</v>
      </c>
      <c r="BO80" s="1" t="n">
        <f aca="false">BM80+BN80</f>
        <v>0</v>
      </c>
      <c r="BP80" s="1" t="n">
        <f aca="false">BF80-BN80+BJ80*IF(Slot5_SpendLike=1,BL80-BM80,IF(Slot5_PotFree=1,BL80,0))</f>
        <v>307041.640785514</v>
      </c>
      <c r="BQ80" s="1" t="n">
        <f aca="false">BG80+BJ80*Slot5_BufPot*BL80</f>
        <v>0</v>
      </c>
      <c r="BR80" s="1" t="n">
        <f aca="false">IF(AND(BJ80=1,Slot5_IsMfree=1),IF(BO80&gt;=Slot5_Cost-1,0,MAX(0,BH80-BO80)),BH80)</f>
        <v>0</v>
      </c>
      <c r="BS80" s="1" t="n">
        <f aca="false">BJ80*(Slot5_Cost-BO80)</f>
        <v>0</v>
      </c>
      <c r="BT80" s="1" t="n">
        <f aca="false">IF(AND(Slot6_On=1,D80=Slot6_Age),1,0)</f>
        <v>0</v>
      </c>
      <c r="BU80" s="1" t="n">
        <f aca="false">IF(AND(Slot6_On=1,Slot6_Age&gt;D80),1,0)</f>
        <v>0</v>
      </c>
      <c r="BV80" s="1" t="n">
        <f aca="false">HZ79</f>
        <v>0</v>
      </c>
      <c r="BW80" s="1" t="n">
        <f aca="false">BT80*MIN(Slot6_Cost,BV80)</f>
        <v>0</v>
      </c>
      <c r="BX80" s="1" t="n">
        <f aca="false">BT80*Slot6_SpendLike*MIN(Slot6_Cost-BW80,BP80)</f>
        <v>0</v>
      </c>
      <c r="BY80" s="1" t="n">
        <f aca="false">BW80+BX80</f>
        <v>0</v>
      </c>
      <c r="BZ80" s="1" t="n">
        <f aca="false">BP80-BX80+BT80*IF(Slot6_SpendLike=1,BV80-BW80,IF(Slot6_PotFree=1,BV80,0))</f>
        <v>307041.640785514</v>
      </c>
      <c r="CA80" s="1" t="n">
        <f aca="false">BQ80+BT80*Slot6_BufPot*BV80</f>
        <v>0</v>
      </c>
      <c r="CB80" s="1" t="n">
        <f aca="false">IF(AND(BT80=1,Slot6_IsMfree=1),IF(BY80&gt;=Slot6_Cost-1,0,MAX(0,BR80-BY80)),BR80)</f>
        <v>0</v>
      </c>
      <c r="CC80" s="1" t="n">
        <f aca="false">BT80*(Slot6_Cost-BY80)</f>
        <v>0</v>
      </c>
      <c r="CD80" s="1" t="n">
        <f aca="false">IF(AND(Slot7_On=1,D80=Slot7_Age),1,0)</f>
        <v>0</v>
      </c>
      <c r="CE80" s="1" t="n">
        <f aca="false">IF(AND(Slot7_On=1,Slot7_Age&gt;D80),1,0)</f>
        <v>0</v>
      </c>
      <c r="CF80" s="1" t="n">
        <f aca="false">ID79</f>
        <v>0</v>
      </c>
      <c r="CG80" s="1" t="n">
        <f aca="false">CD80*MIN(Slot7_Cost,CF80)</f>
        <v>0</v>
      </c>
      <c r="CH80" s="1" t="n">
        <f aca="false">CD80*Slot7_SpendLike*MIN(Slot7_Cost-CG80,BZ80)</f>
        <v>0</v>
      </c>
      <c r="CI80" s="1" t="n">
        <f aca="false">CG80+CH80</f>
        <v>0</v>
      </c>
      <c r="CJ80" s="1" t="n">
        <f aca="false">BZ80-CH80+CD80*IF(Slot7_SpendLike=1,CF80-CG80,IF(Slot7_PotFree=1,CF80,0))</f>
        <v>307041.640785514</v>
      </c>
      <c r="CK80" s="1" t="n">
        <f aca="false">CA80+CD80*Slot7_BufPot*CF80</f>
        <v>0</v>
      </c>
      <c r="CL80" s="1" t="n">
        <f aca="false">IF(AND(CD80=1,Slot7_IsMfree=1),IF(CI80&gt;=Slot7_Cost-1,0,MAX(0,CB80-CI80)),CB80)</f>
        <v>0</v>
      </c>
      <c r="CM80" s="1" t="n">
        <f aca="false">CD80*(Slot7_Cost-CI80)</f>
        <v>0</v>
      </c>
      <c r="CN80" s="1" t="n">
        <f aca="false">IF(AND(Slot8_On=1,D80=Slot8_Age),1,0)</f>
        <v>0</v>
      </c>
      <c r="CO80" s="1" t="n">
        <f aca="false">IF(AND(Slot8_On=1,Slot8_Age&gt;D80),1,0)</f>
        <v>0</v>
      </c>
      <c r="CP80" s="1" t="n">
        <f aca="false">IH79</f>
        <v>0</v>
      </c>
      <c r="CQ80" s="1" t="n">
        <f aca="false">CN80*MIN(Slot8_Cost,CP80)</f>
        <v>0</v>
      </c>
      <c r="CR80" s="1" t="n">
        <f aca="false">CN80*Slot8_SpendLike*MIN(Slot8_Cost-CQ80,CJ80)</f>
        <v>0</v>
      </c>
      <c r="CS80" s="1" t="n">
        <f aca="false">CQ80+CR80</f>
        <v>0</v>
      </c>
      <c r="CT80" s="1" t="n">
        <f aca="false">CJ80-CR80+CN80*IF(Slot8_SpendLike=1,CP80-CQ80,IF(Slot8_PotFree=1,CP80,0))</f>
        <v>307041.640785514</v>
      </c>
      <c r="CU80" s="1" t="n">
        <f aca="false">CK80+CN80*Slot8_BufPot*CP80</f>
        <v>0</v>
      </c>
      <c r="CV80" s="1" t="n">
        <f aca="false">IF(AND(CN80=1,Slot8_IsMfree=1),IF(CS80&gt;=Slot8_Cost-1,0,MAX(0,CL80-CS80)),CL80)</f>
        <v>0</v>
      </c>
      <c r="CW80" s="1" t="n">
        <f aca="false">CN80*(Slot8_Cost-CS80)</f>
        <v>0</v>
      </c>
      <c r="CX80" s="1" t="n">
        <f aca="false">U80*Slot1_SpendLike*Z80+AF80*Slot2_SpendLike*AK80+AP80*Slot3_SpendLike*AU80+AZ80*Slot4_SpendLike*BE80+BJ80*Slot5_SpendLike*BO80+BT80*Slot6_SpendLike*BY80+CD80*Slot7_SpendLike*CI80+CN80*Slot8_SpendLike*CS80</f>
        <v>0</v>
      </c>
      <c r="CY80" s="1" t="n">
        <f aca="false">AD80+AO80+AY80+BI80+BS80+CC80+CM80+CW80</f>
        <v>0</v>
      </c>
      <c r="CZ80" s="1" t="n">
        <f aca="false">U80*Slot1_Cost+AF80*Slot2_Cost+AP80*Slot3_Cost+AZ80*Slot4_Cost+BJ80*Slot5_Cost+BT80*Slot6_Cost+CD80*Slot7_Cost+CN80*Slot8_Cost</f>
        <v>0</v>
      </c>
      <c r="DA80" s="1" t="n">
        <f aca="false">CV80</f>
        <v>0</v>
      </c>
      <c r="DB80" s="1" t="n">
        <f aca="false">G80-H80-R80</f>
        <v>51809.8594729214</v>
      </c>
      <c r="DC80" s="1" t="n">
        <f aca="false">IF(B80=0,IF(AND(Has_q6=1,In_q6=4),PR_ShareVaries*(MAX(0,DB80)/12),MIN(IF(Has_q6=1,CHOOSE(In_q6+1,PR_SaveB1,PR_SaveB2,PR_SaveB3,PR_SaveB4,0),AS_NoAnswer),AS_SaveShare*(MAX(0,DB80)/12))),DC79)</f>
        <v>0</v>
      </c>
      <c r="DD80" s="1" t="n">
        <f aca="false">IF(DB80&gt;=0,1,0)</f>
        <v>1</v>
      </c>
      <c r="DE80" s="1" t="n">
        <f aca="false">MAX(0,DB80/12/E80)</f>
        <v>1037.57333333333</v>
      </c>
      <c r="DF80" s="1" t="n">
        <f aca="false">IF(AND(Has_q6=1,In_q6=4),PR_ShareVaries*(DE80),MIN(IF(Has_q6=1,CHOOSE(In_q6+1,PR_SaveB1,PR_SaveB2,PR_SaveB3,PR_SaveB4,0),AS_NoAnswer),AS_SaveShare*(DE80)))</f>
        <v>300</v>
      </c>
      <c r="DG80" s="1" t="n">
        <f aca="false">IF(Has_saveM=1,IF(In_saveUp="Yes",1,IF(In_saveUp="No",0,IF(In_saveM&gt;=DC80-0.5,1,0))),0)</f>
        <v>0</v>
      </c>
      <c r="DH80" s="1" t="n">
        <f aca="false">IF(Has_saveM=1,MIN(DE80,IF(DG80=1,MAX(In_saveM,DF80),MIN(In_saveM,DF80))),DF80)</f>
        <v>300</v>
      </c>
      <c r="DI80" s="1" t="n">
        <f aca="false">IF(F80=1,DH80*12*E80,0)</f>
        <v>0</v>
      </c>
      <c r="DJ80" s="1" t="n">
        <f aca="false">MAX(0,DI80+IF(AND(WI_Retire=0,WI_M&lt;0,F80=1),WI_M*12*E80,0))</f>
        <v>0</v>
      </c>
      <c r="DK80" s="1" t="n">
        <f aca="false">Slot1_IsWG*V80+Slot2_IsWG*AG80+Slot3_IsWG*AQ80+Slot4_IsWG*BA80+Slot5_IsWG*BK80+Slot6_IsWG*BU80+Slot7_IsWG*CE80+Slot8_IsWG*CO80</f>
        <v>0</v>
      </c>
      <c r="DL80" s="1" t="n">
        <f aca="false">IF(AND(WI_Retire=0,WI_M&gt;0,F80=1,DK80&gt;=1),WI_M*12*E80,0)</f>
        <v>0</v>
      </c>
      <c r="DM80" s="1" t="n">
        <f aca="false">IF(DD80=1,MIN(DJ80,DB80),0)</f>
        <v>0</v>
      </c>
      <c r="DN80" s="1" t="n">
        <f aca="false">IF(DD80=1,MIN(DL80,DB80-DM80),0)</f>
        <v>0</v>
      </c>
      <c r="DO80" s="1" t="n">
        <f aca="false">IF(V80=1,IF(ABS((1+AS_Wage)/(1+Slot1_Rate)-1)&lt;0.000000000001,(Slot1_Age-D80)*(1+Slot1_Rate)^(Slot1_Age-D80),(1+Slot1_Rate)^(Slot1_Age-D80)*(1-((1+AS_Wage)/(1+Slot1_Rate))^(Slot1_Age-D80))/(1-(1+AS_Wage)/(1+Slot1_Rate))),1)</f>
        <v>1</v>
      </c>
      <c r="DP80" s="1" t="n">
        <f aca="false">IF(AND(DD80=1,DN80&gt;0,Slot1_IsWG=1,V80=1),MAX(0,(Slot1_Cost-W80*(1+Slot1_Rate)^(Slot1_Age-D80))/DO80),0)</f>
        <v>0</v>
      </c>
      <c r="DQ80" s="1" t="n">
        <f aca="false">IF(AND(DD80=1,DN80&gt;0,Slot1_IsWG=1,V80=1),MIN(DN80,DP80),0)</f>
        <v>0</v>
      </c>
      <c r="DR80" s="1" t="n">
        <f aca="false">W80+DQ80</f>
        <v>0</v>
      </c>
      <c r="DS80" s="1" t="n">
        <f aca="false">IF(V80=1,MAX(0,(Slot1_Cost-DR80*(1+Slot1_Rate)^(Slot1_Age-D80))/DO80),0)</f>
        <v>0</v>
      </c>
      <c r="DT80" s="1" t="n">
        <f aca="false">IF(V80=1,MAX(0,(Slot1_Cost-W80*(1+Slot1_Rate)^(Slot1_Age-D80))/DO80),0)</f>
        <v>0</v>
      </c>
      <c r="DU80" s="1" t="n">
        <f aca="false">IF(AND(DD80=1,V80=1),MIN(DM80,DS80),0)</f>
        <v>0</v>
      </c>
      <c r="DV80" s="1" t="n">
        <f aca="false">DM80-DU80</f>
        <v>0</v>
      </c>
      <c r="DW80" s="1" t="n">
        <f aca="false">IF(AG80=1,IF(ABS((1+AS_Wage)/(1+Slot2_Rate)-1)&lt;0.000000000001,(Slot2_Age-D80)*(1+Slot2_Rate)^(Slot2_Age-D80),(1+Slot2_Rate)^(Slot2_Age-D80)*(1-((1+AS_Wage)/(1+Slot2_Rate))^(Slot2_Age-D80))/(1-(1+AS_Wage)/(1+Slot2_Rate))),1)</f>
        <v>1</v>
      </c>
      <c r="DX80" s="1" t="n">
        <f aca="false">IF(AND(DD80=1,DN80&gt;0,Slot2_IsWG=1,AG80=1),MAX(0,(Slot2_Cost-AH80*(1+Slot2_Rate)^(Slot2_Age-D80))/DW80),0)</f>
        <v>0</v>
      </c>
      <c r="DY80" s="1" t="n">
        <f aca="false">IF(AND(DD80=1,DN80&gt;0,Slot2_IsWG=1,AG80=1),MIN(DN80,DX80),0)</f>
        <v>0</v>
      </c>
      <c r="DZ80" s="1" t="n">
        <f aca="false">AH80+DY80</f>
        <v>0</v>
      </c>
      <c r="EA80" s="1" t="n">
        <f aca="false">IF(AG80=1,MAX(0,(Slot2_Cost-DZ80*(1+Slot2_Rate)^(Slot2_Age-D80))/DW80),0)</f>
        <v>0</v>
      </c>
      <c r="EB80" s="1" t="n">
        <f aca="false">IF(AG80=1,MAX(0,(Slot2_Cost-AH80*(1+Slot2_Rate)^(Slot2_Age-D80))/DW80),0)</f>
        <v>0</v>
      </c>
      <c r="EC80" s="1" t="n">
        <f aca="false">IF(AND(DD80=1,AG80=1),MIN(DV80,EA80),0)</f>
        <v>0</v>
      </c>
      <c r="ED80" s="1" t="n">
        <f aca="false">DV80-EC80</f>
        <v>0</v>
      </c>
      <c r="EE80" s="1" t="n">
        <f aca="false">IF(AQ80=1,IF(ABS((1+AS_Wage)/(1+Slot3_Rate)-1)&lt;0.000000000001,(Slot3_Age-D80)*(1+Slot3_Rate)^(Slot3_Age-D80),(1+Slot3_Rate)^(Slot3_Age-D80)*(1-((1+AS_Wage)/(1+Slot3_Rate))^(Slot3_Age-D80))/(1-(1+AS_Wage)/(1+Slot3_Rate))),1)</f>
        <v>1</v>
      </c>
      <c r="EF80" s="1" t="n">
        <f aca="false">IF(AND(DD80=1,DN80&gt;0,Slot3_IsWG=1,AQ80=1),MAX(0,(Slot3_Cost-AR80*(1+Slot3_Rate)^(Slot3_Age-D80))/EE80),0)</f>
        <v>0</v>
      </c>
      <c r="EG80" s="1" t="n">
        <f aca="false">IF(AND(DD80=1,DN80&gt;0,Slot3_IsWG=1,AQ80=1),MIN(DN80,EF80),0)</f>
        <v>0</v>
      </c>
      <c r="EH80" s="1" t="n">
        <f aca="false">AR80+EG80</f>
        <v>0</v>
      </c>
      <c r="EI80" s="1" t="n">
        <f aca="false">IF(AQ80=1,MAX(0,(Slot3_Cost-EH80*(1+Slot3_Rate)^(Slot3_Age-D80))/EE80),0)</f>
        <v>0</v>
      </c>
      <c r="EJ80" s="1" t="n">
        <f aca="false">IF(AQ80=1,MAX(0,(Slot3_Cost-AR80*(1+Slot3_Rate)^(Slot3_Age-D80))/EE80),0)</f>
        <v>0</v>
      </c>
      <c r="EK80" s="1" t="n">
        <f aca="false">IF(AND(DD80=1,AQ80=1),MIN(ED80,EI80),0)</f>
        <v>0</v>
      </c>
      <c r="EL80" s="1" t="n">
        <f aca="false">ED80-EK80</f>
        <v>0</v>
      </c>
      <c r="EM80" s="1" t="n">
        <f aca="false">IF(BA80=1,IF(ABS((1+AS_Wage)/(1+Slot4_Rate)-1)&lt;0.000000000001,(Slot4_Age-D80)*(1+Slot4_Rate)^(Slot4_Age-D80),(1+Slot4_Rate)^(Slot4_Age-D80)*(1-((1+AS_Wage)/(1+Slot4_Rate))^(Slot4_Age-D80))/(1-(1+AS_Wage)/(1+Slot4_Rate))),1)</f>
        <v>1</v>
      </c>
      <c r="EN80" s="1" t="n">
        <f aca="false">IF(AND(DD80=1,DN80&gt;0,Slot4_IsWG=1,BA80=1),MAX(0,(Slot4_Cost-BB80*(1+Slot4_Rate)^(Slot4_Age-D80))/EM80),0)</f>
        <v>0</v>
      </c>
      <c r="EO80" s="1" t="n">
        <f aca="false">IF(AND(DD80=1,DN80&gt;0,Slot4_IsWG=1,BA80=1),MIN(DN80,EN80),0)</f>
        <v>0</v>
      </c>
      <c r="EP80" s="1" t="n">
        <f aca="false">BB80+EO80</f>
        <v>0</v>
      </c>
      <c r="EQ80" s="1" t="n">
        <f aca="false">IF(BA80=1,MAX(0,(Slot4_Cost-EP80*(1+Slot4_Rate)^(Slot4_Age-D80))/EM80),0)</f>
        <v>0</v>
      </c>
      <c r="ER80" s="1" t="n">
        <f aca="false">IF(BA80=1,MAX(0,(Slot4_Cost-BB80*(1+Slot4_Rate)^(Slot4_Age-D80))/EM80),0)</f>
        <v>0</v>
      </c>
      <c r="ES80" s="1" t="n">
        <f aca="false">IF(AND(DD80=1,BA80=1),MIN(EL80,EQ80),0)</f>
        <v>0</v>
      </c>
      <c r="ET80" s="1" t="n">
        <f aca="false">EL80-ES80</f>
        <v>0</v>
      </c>
      <c r="EU80" s="1" t="n">
        <f aca="false">IF(BK80=1,IF(ABS((1+AS_Wage)/(1+Slot5_Rate)-1)&lt;0.000000000001,(Slot5_Age-D80)*(1+Slot5_Rate)^(Slot5_Age-D80),(1+Slot5_Rate)^(Slot5_Age-D80)*(1-((1+AS_Wage)/(1+Slot5_Rate))^(Slot5_Age-D80))/(1-(1+AS_Wage)/(1+Slot5_Rate))),1)</f>
        <v>1</v>
      </c>
      <c r="EV80" s="1" t="n">
        <f aca="false">IF(AND(DD80=1,DN80&gt;0,Slot5_IsWG=1,BK80=1),MAX(0,(Slot5_Cost-BL80*(1+Slot5_Rate)^(Slot5_Age-D80))/EU80),0)</f>
        <v>0</v>
      </c>
      <c r="EW80" s="1" t="n">
        <f aca="false">IF(AND(DD80=1,DN80&gt;0,Slot5_IsWG=1,BK80=1),MIN(DN80,EV80),0)</f>
        <v>0</v>
      </c>
      <c r="EX80" s="1" t="n">
        <f aca="false">BL80+EW80</f>
        <v>0</v>
      </c>
      <c r="EY80" s="1" t="n">
        <f aca="false">IF(BK80=1,MAX(0,(Slot5_Cost-EX80*(1+Slot5_Rate)^(Slot5_Age-D80))/EU80),0)</f>
        <v>0</v>
      </c>
      <c r="EZ80" s="1" t="n">
        <f aca="false">IF(BK80=1,MAX(0,(Slot5_Cost-BL80*(1+Slot5_Rate)^(Slot5_Age-D80))/EU80),0)</f>
        <v>0</v>
      </c>
      <c r="FA80" s="1" t="n">
        <f aca="false">IF(AND(DD80=1,BK80=1),MIN(ET80,EY80),0)</f>
        <v>0</v>
      </c>
      <c r="FB80" s="1" t="n">
        <f aca="false">ET80-FA80</f>
        <v>0</v>
      </c>
      <c r="FC80" s="1" t="n">
        <f aca="false">IF(BU80=1,IF(ABS((1+AS_Wage)/(1+Slot6_Rate)-1)&lt;0.000000000001,(Slot6_Age-D80)*(1+Slot6_Rate)^(Slot6_Age-D80),(1+Slot6_Rate)^(Slot6_Age-D80)*(1-((1+AS_Wage)/(1+Slot6_Rate))^(Slot6_Age-D80))/(1-(1+AS_Wage)/(1+Slot6_Rate))),1)</f>
        <v>1</v>
      </c>
      <c r="FD80" s="1" t="n">
        <f aca="false">IF(AND(DD80=1,DN80&gt;0,Slot6_IsWG=1,BU80=1),MAX(0,(Slot6_Cost-BV80*(1+Slot6_Rate)^(Slot6_Age-D80))/FC80),0)</f>
        <v>0</v>
      </c>
      <c r="FE80" s="1" t="n">
        <f aca="false">IF(AND(DD80=1,DN80&gt;0,Slot6_IsWG=1,BU80=1),MIN(DN80,FD80),0)</f>
        <v>0</v>
      </c>
      <c r="FF80" s="1" t="n">
        <f aca="false">BV80+FE80</f>
        <v>0</v>
      </c>
      <c r="FG80" s="1" t="n">
        <f aca="false">IF(BU80=1,MAX(0,(Slot6_Cost-FF80*(1+Slot6_Rate)^(Slot6_Age-D80))/FC80),0)</f>
        <v>0</v>
      </c>
      <c r="FH80" s="1" t="n">
        <f aca="false">IF(BU80=1,MAX(0,(Slot6_Cost-BV80*(1+Slot6_Rate)^(Slot6_Age-D80))/FC80),0)</f>
        <v>0</v>
      </c>
      <c r="FI80" s="1" t="n">
        <f aca="false">IF(AND(DD80=1,BU80=1),MIN(FB80,FG80),0)</f>
        <v>0</v>
      </c>
      <c r="FJ80" s="1" t="n">
        <f aca="false">FB80-FI80</f>
        <v>0</v>
      </c>
      <c r="FK80" s="1" t="n">
        <f aca="false">IF(CE80=1,IF(ABS((1+AS_Wage)/(1+Slot7_Rate)-1)&lt;0.000000000001,(Slot7_Age-D80)*(1+Slot7_Rate)^(Slot7_Age-D80),(1+Slot7_Rate)^(Slot7_Age-D80)*(1-((1+AS_Wage)/(1+Slot7_Rate))^(Slot7_Age-D80))/(1-(1+AS_Wage)/(1+Slot7_Rate))),1)</f>
        <v>1</v>
      </c>
      <c r="FL80" s="1" t="n">
        <f aca="false">IF(AND(DD80=1,DN80&gt;0,Slot7_IsWG=1,CE80=1),MAX(0,(Slot7_Cost-CF80*(1+Slot7_Rate)^(Slot7_Age-D80))/FK80),0)</f>
        <v>0</v>
      </c>
      <c r="FM80" s="1" t="n">
        <f aca="false">IF(AND(DD80=1,DN80&gt;0,Slot7_IsWG=1,CE80=1),MIN(DN80,FL80),0)</f>
        <v>0</v>
      </c>
      <c r="FN80" s="1" t="n">
        <f aca="false">CF80+FM80</f>
        <v>0</v>
      </c>
      <c r="FO80" s="1" t="n">
        <f aca="false">IF(CE80=1,MAX(0,(Slot7_Cost-FN80*(1+Slot7_Rate)^(Slot7_Age-D80))/FK80),0)</f>
        <v>0</v>
      </c>
      <c r="FP80" s="1" t="n">
        <f aca="false">IF(CE80=1,MAX(0,(Slot7_Cost-CF80*(1+Slot7_Rate)^(Slot7_Age-D80))/FK80),0)</f>
        <v>0</v>
      </c>
      <c r="FQ80" s="1" t="n">
        <f aca="false">IF(AND(DD80=1,CE80=1),MIN(FJ80,FO80),0)</f>
        <v>0</v>
      </c>
      <c r="FR80" s="1" t="n">
        <f aca="false">FJ80-FQ80</f>
        <v>0</v>
      </c>
      <c r="FS80" s="1" t="n">
        <f aca="false">IF(CO80=1,IF(ABS((1+AS_Wage)/(1+Slot8_Rate)-1)&lt;0.000000000001,(Slot8_Age-D80)*(1+Slot8_Rate)^(Slot8_Age-D80),(1+Slot8_Rate)^(Slot8_Age-D80)*(1-((1+AS_Wage)/(1+Slot8_Rate))^(Slot8_Age-D80))/(1-(1+AS_Wage)/(1+Slot8_Rate))),1)</f>
        <v>1</v>
      </c>
      <c r="FT80" s="1" t="n">
        <f aca="false">IF(AND(DD80=1,DN80&gt;0,Slot8_IsWG=1,CO80=1),MAX(0,(Slot8_Cost-CP80*(1+Slot8_Rate)^(Slot8_Age-D80))/FS80),0)</f>
        <v>0</v>
      </c>
      <c r="FU80" s="1" t="n">
        <f aca="false">IF(AND(DD80=1,DN80&gt;0,Slot8_IsWG=1,CO80=1),MIN(DN80,FT80),0)</f>
        <v>0</v>
      </c>
      <c r="FV80" s="1" t="n">
        <f aca="false">CP80+FU80</f>
        <v>0</v>
      </c>
      <c r="FW80" s="1" t="n">
        <f aca="false">IF(CO80=1,MAX(0,(Slot8_Cost-FV80*(1+Slot8_Rate)^(Slot8_Age-D80))/FS80),0)</f>
        <v>0</v>
      </c>
      <c r="FX80" s="1" t="n">
        <f aca="false">IF(CO80=1,MAX(0,(Slot8_Cost-CP80*(1+Slot8_Rate)^(Slot8_Age-D80))/FS80),0)</f>
        <v>0</v>
      </c>
      <c r="FY80" s="1" t="n">
        <f aca="false">IF(AND(DD80=1,CO80=1),MIN(FR80,FW80),0)</f>
        <v>0</v>
      </c>
      <c r="FZ80" s="1" t="n">
        <f aca="false">FR80-FY80</f>
        <v>0</v>
      </c>
      <c r="GA80" s="1" t="n">
        <f aca="false">DN80-(DQ80+DY80+EG80+EO80+EW80+FE80+FM80+FU80)</f>
        <v>0</v>
      </c>
      <c r="GB80" s="1" t="n">
        <f aca="false">IF(DD80=1,DB80-DM80-DN80,0)</f>
        <v>51809.8594729214</v>
      </c>
      <c r="GC80" s="1" t="n">
        <f aca="false">IF(DD80=0,-DB80,0)</f>
        <v>0</v>
      </c>
      <c r="GD80" s="1" t="n">
        <f aca="false">MIN(GC80,CT80)</f>
        <v>0</v>
      </c>
      <c r="GE80" s="1" t="n">
        <f aca="false">GC80-GD80</f>
        <v>0</v>
      </c>
      <c r="GF80" s="1" t="n">
        <f aca="false">MIN(GE80,CU80)</f>
        <v>0</v>
      </c>
      <c r="GG80" s="1" t="n">
        <f aca="false">GE80-GF80</f>
        <v>0</v>
      </c>
      <c r="GH80" s="1" t="n">
        <f aca="false">IF(AND(DD80=0,CO80=1,GG80&gt;0),MIN(GG80,CP80),0)</f>
        <v>0</v>
      </c>
      <c r="GI80" s="1" t="n">
        <f aca="false">GG80-GH80</f>
        <v>0</v>
      </c>
      <c r="GJ80" s="1" t="n">
        <f aca="false">IF(AND(DD80=0,CE80=1,GI80&gt;0),MIN(GI80,CF80),0)</f>
        <v>0</v>
      </c>
      <c r="GK80" s="1" t="n">
        <f aca="false">GI80-GJ80</f>
        <v>0</v>
      </c>
      <c r="GL80" s="1" t="n">
        <f aca="false">IF(AND(DD80=0,BU80=1,GK80&gt;0),MIN(GK80,BV80),0)</f>
        <v>0</v>
      </c>
      <c r="GM80" s="1" t="n">
        <f aca="false">GK80-GL80</f>
        <v>0</v>
      </c>
      <c r="GN80" s="1" t="n">
        <f aca="false">IF(AND(DD80=0,BK80=1,GM80&gt;0),MIN(GM80,BL80),0)</f>
        <v>0</v>
      </c>
      <c r="GO80" s="1" t="n">
        <f aca="false">GM80-GN80</f>
        <v>0</v>
      </c>
      <c r="GP80" s="1" t="n">
        <f aca="false">IF(AND(DD80=0,BA80=1,GO80&gt;0),MIN(GO80,BB80),0)</f>
        <v>0</v>
      </c>
      <c r="GQ80" s="1" t="n">
        <f aca="false">GO80-GP80</f>
        <v>0</v>
      </c>
      <c r="GR80" s="1" t="n">
        <f aca="false">IF(AND(DD80=0,AQ80=1,GQ80&gt;0),MIN(GQ80,AR80),0)</f>
        <v>0</v>
      </c>
      <c r="GS80" s="1" t="n">
        <f aca="false">GQ80-GR80</f>
        <v>0</v>
      </c>
      <c r="GT80" s="1" t="n">
        <f aca="false">IF(AND(DD80=0,AG80=1,GS80&gt;0),MIN(GS80,AH80),0)</f>
        <v>0</v>
      </c>
      <c r="GU80" s="1" t="n">
        <f aca="false">GS80-GT80</f>
        <v>0</v>
      </c>
      <c r="GV80" s="1" t="n">
        <f aca="false">IF(AND(DD80=0,V80=1,GU80&gt;0),MIN(GU80,W80),0)</f>
        <v>0</v>
      </c>
      <c r="GW80" s="1" t="n">
        <f aca="false">GU80-GV80</f>
        <v>0</v>
      </c>
      <c r="GX80" s="1" t="n">
        <f aca="false">IF(DD80=0,GW80,0)</f>
        <v>0</v>
      </c>
      <c r="GY80" s="1" t="n">
        <f aca="false">GD80+GF80+GV80+GT80+GR80+GP80+GN80+GL80+GJ80+GH80</f>
        <v>0</v>
      </c>
      <c r="GZ80" s="1" t="n">
        <f aca="false">IF(DD80=1,CT80+GA80+FZ80+IF(F80=1,0,GB80),CT80-GD80)</f>
        <v>358851.500258436</v>
      </c>
      <c r="HA80" s="1" t="n">
        <f aca="false">CU80-GF80</f>
        <v>0</v>
      </c>
      <c r="HB80" s="1" t="n">
        <f aca="false">IF(DD80=1,IF(F80=1,DM80+DN80,DB80),0)</f>
        <v>51809.8594729214</v>
      </c>
      <c r="HC80" s="1" t="n">
        <f aca="false">IF(DD80=1,IF(F80=1,DB80-DM80-DN80,0),0)</f>
        <v>0</v>
      </c>
      <c r="HD80" s="1" t="n">
        <f aca="false">GZ80*(1+GR)</f>
        <v>364736.664862674</v>
      </c>
      <c r="HE80" s="1" t="n">
        <f aca="false">HA80*(1+AS_Cash)</f>
        <v>0</v>
      </c>
      <c r="HF80" s="1" t="n">
        <f aca="false">IF(V80=1,IF(DD80=1,DR80+DU80,W80-GV80)*(1+Slot1_Rate),0)</f>
        <v>0</v>
      </c>
      <c r="HG80" s="1" t="n">
        <f aca="false">IF(AND(DD80=1,V80=1),(DQ80+DU80)/E80,0)</f>
        <v>0</v>
      </c>
      <c r="HH80" s="1" t="n">
        <f aca="false">IF(B80=0,DQ80+DU80,0)</f>
        <v>0</v>
      </c>
      <c r="HI80" s="1" t="n">
        <f aca="false">IF(B80=0,IF(DD80=1,DS80,DT80),0)</f>
        <v>0</v>
      </c>
      <c r="HJ80" s="1" t="n">
        <f aca="false">IF(AG80=1,IF(DD80=1,DZ80+EC80,AH80-GT80)*(1+Slot2_Rate),0)</f>
        <v>0</v>
      </c>
      <c r="HK80" s="1" t="n">
        <f aca="false">IF(AND(DD80=1,AG80=1),(DY80+EC80)/E80,0)</f>
        <v>0</v>
      </c>
      <c r="HL80" s="1" t="n">
        <f aca="false">IF(B80=0,DY80+EC80,0)</f>
        <v>0</v>
      </c>
      <c r="HM80" s="1" t="n">
        <f aca="false">IF(B80=0,IF(DD80=1,EA80,EB80),0)</f>
        <v>0</v>
      </c>
      <c r="HN80" s="1" t="n">
        <f aca="false">IF(AQ80=1,IF(DD80=1,EH80+EK80,AR80-GR80)*(1+Slot3_Rate),0)</f>
        <v>0</v>
      </c>
      <c r="HO80" s="1" t="n">
        <f aca="false">IF(AND(DD80=1,AQ80=1),(EG80+EK80)/E80,0)</f>
        <v>0</v>
      </c>
      <c r="HP80" s="1" t="n">
        <f aca="false">IF(B80=0,EG80+EK80,0)</f>
        <v>0</v>
      </c>
      <c r="HQ80" s="1" t="n">
        <f aca="false">IF(B80=0,IF(DD80=1,EI80,EJ80),0)</f>
        <v>0</v>
      </c>
      <c r="HR80" s="1" t="n">
        <f aca="false">IF(BA80=1,IF(DD80=1,EP80+ES80,BB80-GP80)*(1+Slot4_Rate),0)</f>
        <v>0</v>
      </c>
      <c r="HS80" s="1" t="n">
        <f aca="false">IF(AND(DD80=1,BA80=1),(EO80+ES80)/E80,0)</f>
        <v>0</v>
      </c>
      <c r="HT80" s="1" t="n">
        <f aca="false">IF(B80=0,EO80+ES80,0)</f>
        <v>0</v>
      </c>
      <c r="HU80" s="1" t="n">
        <f aca="false">IF(B80=0,IF(DD80=1,EQ80,ER80),0)</f>
        <v>0</v>
      </c>
      <c r="HV80" s="1" t="n">
        <f aca="false">IF(BK80=1,IF(DD80=1,EX80+FA80,BL80-GN80)*(1+Slot5_Rate),0)</f>
        <v>0</v>
      </c>
      <c r="HW80" s="1" t="n">
        <f aca="false">IF(AND(DD80=1,BK80=1),(EW80+FA80)/E80,0)</f>
        <v>0</v>
      </c>
      <c r="HX80" s="1" t="n">
        <f aca="false">IF(B80=0,EW80+FA80,0)</f>
        <v>0</v>
      </c>
      <c r="HY80" s="1" t="n">
        <f aca="false">IF(B80=0,IF(DD80=1,EY80,EZ80),0)</f>
        <v>0</v>
      </c>
      <c r="HZ80" s="1" t="n">
        <f aca="false">IF(BU80=1,IF(DD80=1,FF80+FI80,BV80-GL80)*(1+Slot6_Rate),0)</f>
        <v>0</v>
      </c>
      <c r="IA80" s="1" t="n">
        <f aca="false">IF(AND(DD80=1,BU80=1),(FE80+FI80)/E80,0)</f>
        <v>0</v>
      </c>
      <c r="IB80" s="1" t="n">
        <f aca="false">IF(B80=0,FE80+FI80,0)</f>
        <v>0</v>
      </c>
      <c r="IC80" s="1" t="n">
        <f aca="false">IF(B80=0,IF(DD80=1,FG80,FH80),0)</f>
        <v>0</v>
      </c>
      <c r="ID80" s="1" t="n">
        <f aca="false">IF(CE80=1,IF(DD80=1,FN80+FQ80,CF80-GJ80)*(1+Slot7_Rate),0)</f>
        <v>0</v>
      </c>
      <c r="IE80" s="1" t="n">
        <f aca="false">IF(AND(DD80=1,CE80=1),(FM80+FQ80)/E80,0)</f>
        <v>0</v>
      </c>
      <c r="IF80" s="1" t="n">
        <f aca="false">IF(B80=0,FM80+FQ80,0)</f>
        <v>0</v>
      </c>
      <c r="IG80" s="1" t="n">
        <f aca="false">IF(B80=0,IF(DD80=1,FO80,FP80),0)</f>
        <v>0</v>
      </c>
      <c r="IH80" s="1" t="n">
        <f aca="false">IF(CO80=1,IF(DD80=1,FV80+FY80,CP80-GH80)*(1+Slot8_Rate),0)</f>
        <v>0</v>
      </c>
      <c r="II80" s="1" t="n">
        <f aca="false">IF(AND(DD80=1,CO80=1),(FU80+FY80)/E80,0)</f>
        <v>0</v>
      </c>
      <c r="IJ80" s="1" t="n">
        <f aca="false">IF(B80=0,FU80+FY80,0)</f>
        <v>0</v>
      </c>
      <c r="IK80" s="1" t="n">
        <f aca="false">IF(B80=0,IF(DD80=1,FW80,FX80),0)</f>
        <v>0</v>
      </c>
      <c r="IL80" s="1" t="n">
        <f aca="false">HD80+HE80+HF80+HJ80+HN80+HR80+HV80+HZ80+ID80+IH80</f>
        <v>364736.664862674</v>
      </c>
      <c r="IM80" s="1" t="n">
        <f aca="false">GX80+CY80</f>
        <v>0</v>
      </c>
      <c r="IN80" s="1" t="n">
        <f aca="false">H80+R80</f>
        <v>0</v>
      </c>
      <c r="IO80" s="1" t="n">
        <f aca="false">1-F80</f>
        <v>1</v>
      </c>
      <c r="IP80" s="1" t="n">
        <f aca="false">IF(AND(RG_Exists=1,F80=0,C80=1),H80,0)</f>
        <v>0</v>
      </c>
      <c r="IQ80" s="1" t="n">
        <f aca="false">IF(AND(RG_Exists=1,F80=0,C80=1),H80-MIN(GX80,H80),0)</f>
        <v>0</v>
      </c>
      <c r="IR80" s="1" t="n">
        <f aca="false">'Plan pay &amp; tax'!AD282</f>
        <v>0</v>
      </c>
      <c r="IS80" s="1" t="n">
        <f aca="false">IF(AND(C80=1,GX80&gt;MAX(PR_Short1,IN80*PR_Short2)),1,0)</f>
        <v>0</v>
      </c>
      <c r="IT80" s="1" t="n">
        <f aca="false">MIN(G80,H80+R80)</f>
        <v>0</v>
      </c>
      <c r="IU80" s="1" t="n">
        <f aca="false">GY80+MAX(0,CZ80-CY80)</f>
        <v>0</v>
      </c>
      <c r="IV80" s="1" t="n">
        <f aca="false">GX80+CY80</f>
        <v>0</v>
      </c>
      <c r="IW80" s="1" t="n">
        <f aca="false">IF(AND(C80=1,IV80&gt;0.5),1,0)</f>
        <v>0</v>
      </c>
      <c r="IX80" s="1" t="n">
        <f aca="false">IF(AND(C80=1,IW80=0,IU80&gt;0.5),1,0)</f>
        <v>0</v>
      </c>
      <c r="IY80" s="1" t="n">
        <f aca="false">IF(AND(C80=1,GX80&gt;0.5),1,0)</f>
        <v>0</v>
      </c>
      <c r="IZ80" s="1" t="n">
        <f aca="false">IF(AND(C80=1,GY80&gt;1,JF80=0),1,0)</f>
        <v>0</v>
      </c>
      <c r="JA80" s="1" t="n">
        <f aca="false">IF(AND(INT(D80/10)*10=90,B80&gt;0),80,INT(D80/10)*10)</f>
        <v>70</v>
      </c>
      <c r="JB80" s="1" t="n">
        <f aca="false">IF(B80=0,1,IF(JA80&lt;&gt;JA79,JB79+1,JB79))</f>
        <v>8</v>
      </c>
      <c r="JC80" s="1" t="n">
        <f aca="false">IF(AND(C80=1,F80=1,GX80&gt;MAX(PR_Short1,IN80*PR_Short2)),1,0)</f>
        <v>0</v>
      </c>
      <c r="JD80" s="1" t="n">
        <f aca="false">IO80*IS80</f>
        <v>0</v>
      </c>
      <c r="JE80" s="1" t="n">
        <f aca="false">IF(AND(U80=1,Slot1_PctLow=1),1,0)+IF(AND(AF80=1,Slot2_PctLow=1),1,0)+IF(AND(AP80=1,Slot3_PctLow=1),1,0)+IF(AND(AZ80=1,Slot4_PctLow=1),1,0)+IF(AND(BJ80=1,Slot5_PctLow=1),1,0)+IF(AND(BT80=1,Slot6_PctLow=1),1,0)+IF(AND(CD80=1,Slot7_PctLow=1),1,0)+IF(AND(CN80=1,Slot8_PctLow=1),1,0)</f>
        <v>0</v>
      </c>
      <c r="JF80" s="1" t="n">
        <f aca="false">IF(C80=1,IF(OR(IS80=1,JE80&gt;0),1,0),0)</f>
        <v>0</v>
      </c>
    </row>
    <row r="81" customFormat="false" ht="15" hidden="false" customHeight="false" outlineLevel="0" collapsed="false">
      <c r="B81" s="1" t="n">
        <v>73</v>
      </c>
      <c r="C81" s="1" t="n">
        <f aca="false">IF(B81&lt;=F_N,1,0)</f>
        <v>1</v>
      </c>
      <c r="D81" s="1" t="n">
        <f aca="false">'Plan pay &amp; tax'!C283</f>
        <v>73</v>
      </c>
      <c r="E81" s="106" t="n">
        <f aca="false">'Plan pay &amp; tax'!E283</f>
        <v>4.24436318255255</v>
      </c>
      <c r="F81" s="1" t="n">
        <f aca="false">'Plan pay &amp; tax'!G283</f>
        <v>0</v>
      </c>
      <c r="G81" s="1" t="n">
        <f aca="false">'Plan pay &amp; tax'!BT283-'Plan pay &amp; tax'!BS283-'Plan pay &amp; tax'!R283</f>
        <v>52846.0566623799</v>
      </c>
      <c r="H81" s="1" t="n">
        <f aca="false">IF(F81=1,F_CostsM*12,IF(RG_Exists=1,RG_Amount,F_CostsM*12*AS_RetireSpend))*E81+F_OneOffY*E81</f>
        <v>0</v>
      </c>
      <c r="I81" s="1" t="n">
        <f aca="false">DA80</f>
        <v>0</v>
      </c>
      <c r="J81" s="1" t="n">
        <f aca="false">IF(I81&gt;1,'Plan debt months'!AC81,0)</f>
        <v>0</v>
      </c>
      <c r="K81" s="1" t="n">
        <f aca="false">IF(I81&gt;1,'Plan debt months'!AB81,I81)</f>
        <v>0</v>
      </c>
      <c r="L81" s="1" t="n">
        <f aca="false">N80</f>
        <v>0</v>
      </c>
      <c r="M81" s="1" t="n">
        <f aca="false">IF(L81&gt;1,'Plan debt months'!BD81,0)</f>
        <v>0</v>
      </c>
      <c r="N81" s="1" t="n">
        <f aca="false">IF(L81&gt;1,'Plan debt months'!BC81,L81)</f>
        <v>0</v>
      </c>
      <c r="O81" s="1" t="n">
        <f aca="false">Q80</f>
        <v>0</v>
      </c>
      <c r="P81" s="1" t="n">
        <f aca="false">IF(O81&gt;1,'Plan debt months'!CE81,0)</f>
        <v>0</v>
      </c>
      <c r="Q81" s="1" t="n">
        <f aca="false">IF(O81&gt;1,'Plan debt months'!CD81,O81)</f>
        <v>0</v>
      </c>
      <c r="R81" s="1" t="n">
        <f aca="false">J81+M81+P81</f>
        <v>0</v>
      </c>
      <c r="S81" s="1" t="n">
        <f aca="false">HD80+'Plan pay &amp; tax'!Y283</f>
        <v>364736.664862674</v>
      </c>
      <c r="T81" s="1" t="n">
        <f aca="false">HD80</f>
        <v>364736.664862674</v>
      </c>
      <c r="U81" s="1" t="n">
        <f aca="false">IF(AND(Slot1_On=1,D81=Slot1_Age),1,0)</f>
        <v>0</v>
      </c>
      <c r="V81" s="1" t="n">
        <f aca="false">IF(AND(Slot1_On=1,Slot1_Age&gt;D81),1,0)</f>
        <v>0</v>
      </c>
      <c r="W81" s="1" t="n">
        <f aca="false">HF80</f>
        <v>0</v>
      </c>
      <c r="X81" s="1" t="n">
        <f aca="false">U81*MIN(Slot1_Cost,W81)</f>
        <v>0</v>
      </c>
      <c r="Y81" s="1" t="n">
        <f aca="false">U81*Slot1_SpendLike*MIN(Slot1_Cost-X81,S81)</f>
        <v>0</v>
      </c>
      <c r="Z81" s="1" t="n">
        <f aca="false">X81+Y81</f>
        <v>0</v>
      </c>
      <c r="AA81" s="1" t="n">
        <f aca="false">S81-Y81+U81*IF(Slot1_SpendLike=1,W81-X81,IF(Slot1_PotFree=1,W81,0))</f>
        <v>364736.664862674</v>
      </c>
      <c r="AB81" s="1" t="n">
        <f aca="false">AE81+U81*Slot1_BufPot*W81</f>
        <v>0</v>
      </c>
      <c r="AC81" s="1" t="n">
        <f aca="false">IF(AND(U81=1,Slot1_IsMfree=1),IF(Z81&gt;=Slot1_Cost-1,0,MAX(0,K81-Z81)),K81)</f>
        <v>0</v>
      </c>
      <c r="AD81" s="1" t="n">
        <f aca="false">U81*(Slot1_Cost-Z81)</f>
        <v>0</v>
      </c>
      <c r="AE81" s="1" t="n">
        <f aca="false">HE80</f>
        <v>0</v>
      </c>
      <c r="AF81" s="1" t="n">
        <f aca="false">IF(AND(Slot2_On=1,D81=Slot2_Age),1,0)</f>
        <v>0</v>
      </c>
      <c r="AG81" s="1" t="n">
        <f aca="false">IF(AND(Slot2_On=1,Slot2_Age&gt;D81),1,0)</f>
        <v>0</v>
      </c>
      <c r="AH81" s="1" t="n">
        <f aca="false">HJ80</f>
        <v>0</v>
      </c>
      <c r="AI81" s="1" t="n">
        <f aca="false">AF81*MIN(Slot2_Cost,AH81)</f>
        <v>0</v>
      </c>
      <c r="AJ81" s="1" t="n">
        <f aca="false">AF81*Slot2_SpendLike*MIN(Slot2_Cost-AI81,AA81)</f>
        <v>0</v>
      </c>
      <c r="AK81" s="1" t="n">
        <f aca="false">AI81+AJ81</f>
        <v>0</v>
      </c>
      <c r="AL81" s="1" t="n">
        <f aca="false">AA81-AJ81+AF81*IF(Slot2_SpendLike=1,AH81-AI81,IF(Slot2_PotFree=1,AH81,0))</f>
        <v>364736.664862674</v>
      </c>
      <c r="AM81" s="1" t="n">
        <f aca="false">AB81+AF81*Slot2_BufPot*AH81</f>
        <v>0</v>
      </c>
      <c r="AN81" s="1" t="n">
        <f aca="false">IF(AND(AF81=1,Slot2_IsMfree=1),IF(AK81&gt;=Slot2_Cost-1,0,MAX(0,AC81-AK81)),AC81)</f>
        <v>0</v>
      </c>
      <c r="AO81" s="1" t="n">
        <f aca="false">AF81*(Slot2_Cost-AK81)</f>
        <v>0</v>
      </c>
      <c r="AP81" s="1" t="n">
        <f aca="false">IF(AND(Slot3_On=1,D81=Slot3_Age),1,0)</f>
        <v>0</v>
      </c>
      <c r="AQ81" s="1" t="n">
        <f aca="false">IF(AND(Slot3_On=1,Slot3_Age&gt;D81),1,0)</f>
        <v>0</v>
      </c>
      <c r="AR81" s="1" t="n">
        <f aca="false">HN80</f>
        <v>0</v>
      </c>
      <c r="AS81" s="1" t="n">
        <f aca="false">AP81*MIN(Slot3_Cost,AR81)</f>
        <v>0</v>
      </c>
      <c r="AT81" s="1" t="n">
        <f aca="false">AP81*Slot3_SpendLike*MIN(Slot3_Cost-AS81,AL81)</f>
        <v>0</v>
      </c>
      <c r="AU81" s="1" t="n">
        <f aca="false">AS81+AT81</f>
        <v>0</v>
      </c>
      <c r="AV81" s="1" t="n">
        <f aca="false">AL81-AT81+AP81*IF(Slot3_SpendLike=1,AR81-AS81,IF(Slot3_PotFree=1,AR81,0))</f>
        <v>364736.664862674</v>
      </c>
      <c r="AW81" s="1" t="n">
        <f aca="false">AM81+AP81*Slot3_BufPot*AR81</f>
        <v>0</v>
      </c>
      <c r="AX81" s="1" t="n">
        <f aca="false">IF(AND(AP81=1,Slot3_IsMfree=1),IF(AU81&gt;=Slot3_Cost-1,0,MAX(0,AN81-AU81)),AN81)</f>
        <v>0</v>
      </c>
      <c r="AY81" s="1" t="n">
        <f aca="false">AP81*(Slot3_Cost-AU81)</f>
        <v>0</v>
      </c>
      <c r="AZ81" s="1" t="n">
        <f aca="false">IF(AND(Slot4_On=1,D81=Slot4_Age),1,0)</f>
        <v>0</v>
      </c>
      <c r="BA81" s="1" t="n">
        <f aca="false">IF(AND(Slot4_On=1,Slot4_Age&gt;D81),1,0)</f>
        <v>0</v>
      </c>
      <c r="BB81" s="1" t="n">
        <f aca="false">HR80</f>
        <v>0</v>
      </c>
      <c r="BC81" s="1" t="n">
        <f aca="false">AZ81*MIN(Slot4_Cost,BB81)</f>
        <v>0</v>
      </c>
      <c r="BD81" s="1" t="n">
        <f aca="false">AZ81*Slot4_SpendLike*MIN(Slot4_Cost-BC81,AV81)</f>
        <v>0</v>
      </c>
      <c r="BE81" s="1" t="n">
        <f aca="false">BC81+BD81</f>
        <v>0</v>
      </c>
      <c r="BF81" s="1" t="n">
        <f aca="false">AV81-BD81+AZ81*IF(Slot4_SpendLike=1,BB81-BC81,IF(Slot4_PotFree=1,BB81,0))</f>
        <v>364736.664862674</v>
      </c>
      <c r="BG81" s="1" t="n">
        <f aca="false">AW81+AZ81*Slot4_BufPot*BB81</f>
        <v>0</v>
      </c>
      <c r="BH81" s="1" t="n">
        <f aca="false">IF(AND(AZ81=1,Slot4_IsMfree=1),IF(BE81&gt;=Slot4_Cost-1,0,MAX(0,AX81-BE81)),AX81)</f>
        <v>0</v>
      </c>
      <c r="BI81" s="1" t="n">
        <f aca="false">AZ81*(Slot4_Cost-BE81)</f>
        <v>0</v>
      </c>
      <c r="BJ81" s="1" t="n">
        <f aca="false">IF(AND(Slot5_On=1,D81=Slot5_Age),1,0)</f>
        <v>0</v>
      </c>
      <c r="BK81" s="1" t="n">
        <f aca="false">IF(AND(Slot5_On=1,Slot5_Age&gt;D81),1,0)</f>
        <v>0</v>
      </c>
      <c r="BL81" s="1" t="n">
        <f aca="false">HV80</f>
        <v>0</v>
      </c>
      <c r="BM81" s="1" t="n">
        <f aca="false">BJ81*MIN(Slot5_Cost,BL81)</f>
        <v>0</v>
      </c>
      <c r="BN81" s="1" t="n">
        <f aca="false">BJ81*Slot5_SpendLike*MIN(Slot5_Cost-BM81,BF81)</f>
        <v>0</v>
      </c>
      <c r="BO81" s="1" t="n">
        <f aca="false">BM81+BN81</f>
        <v>0</v>
      </c>
      <c r="BP81" s="1" t="n">
        <f aca="false">BF81-BN81+BJ81*IF(Slot5_SpendLike=1,BL81-BM81,IF(Slot5_PotFree=1,BL81,0))</f>
        <v>364736.664862674</v>
      </c>
      <c r="BQ81" s="1" t="n">
        <f aca="false">BG81+BJ81*Slot5_BufPot*BL81</f>
        <v>0</v>
      </c>
      <c r="BR81" s="1" t="n">
        <f aca="false">IF(AND(BJ81=1,Slot5_IsMfree=1),IF(BO81&gt;=Slot5_Cost-1,0,MAX(0,BH81-BO81)),BH81)</f>
        <v>0</v>
      </c>
      <c r="BS81" s="1" t="n">
        <f aca="false">BJ81*(Slot5_Cost-BO81)</f>
        <v>0</v>
      </c>
      <c r="BT81" s="1" t="n">
        <f aca="false">IF(AND(Slot6_On=1,D81=Slot6_Age),1,0)</f>
        <v>0</v>
      </c>
      <c r="BU81" s="1" t="n">
        <f aca="false">IF(AND(Slot6_On=1,Slot6_Age&gt;D81),1,0)</f>
        <v>0</v>
      </c>
      <c r="BV81" s="1" t="n">
        <f aca="false">HZ80</f>
        <v>0</v>
      </c>
      <c r="BW81" s="1" t="n">
        <f aca="false">BT81*MIN(Slot6_Cost,BV81)</f>
        <v>0</v>
      </c>
      <c r="BX81" s="1" t="n">
        <f aca="false">BT81*Slot6_SpendLike*MIN(Slot6_Cost-BW81,BP81)</f>
        <v>0</v>
      </c>
      <c r="BY81" s="1" t="n">
        <f aca="false">BW81+BX81</f>
        <v>0</v>
      </c>
      <c r="BZ81" s="1" t="n">
        <f aca="false">BP81-BX81+BT81*IF(Slot6_SpendLike=1,BV81-BW81,IF(Slot6_PotFree=1,BV81,0))</f>
        <v>364736.664862674</v>
      </c>
      <c r="CA81" s="1" t="n">
        <f aca="false">BQ81+BT81*Slot6_BufPot*BV81</f>
        <v>0</v>
      </c>
      <c r="CB81" s="1" t="n">
        <f aca="false">IF(AND(BT81=1,Slot6_IsMfree=1),IF(BY81&gt;=Slot6_Cost-1,0,MAX(0,BR81-BY81)),BR81)</f>
        <v>0</v>
      </c>
      <c r="CC81" s="1" t="n">
        <f aca="false">BT81*(Slot6_Cost-BY81)</f>
        <v>0</v>
      </c>
      <c r="CD81" s="1" t="n">
        <f aca="false">IF(AND(Slot7_On=1,D81=Slot7_Age),1,0)</f>
        <v>0</v>
      </c>
      <c r="CE81" s="1" t="n">
        <f aca="false">IF(AND(Slot7_On=1,Slot7_Age&gt;D81),1,0)</f>
        <v>0</v>
      </c>
      <c r="CF81" s="1" t="n">
        <f aca="false">ID80</f>
        <v>0</v>
      </c>
      <c r="CG81" s="1" t="n">
        <f aca="false">CD81*MIN(Slot7_Cost,CF81)</f>
        <v>0</v>
      </c>
      <c r="CH81" s="1" t="n">
        <f aca="false">CD81*Slot7_SpendLike*MIN(Slot7_Cost-CG81,BZ81)</f>
        <v>0</v>
      </c>
      <c r="CI81" s="1" t="n">
        <f aca="false">CG81+CH81</f>
        <v>0</v>
      </c>
      <c r="CJ81" s="1" t="n">
        <f aca="false">BZ81-CH81+CD81*IF(Slot7_SpendLike=1,CF81-CG81,IF(Slot7_PotFree=1,CF81,0))</f>
        <v>364736.664862674</v>
      </c>
      <c r="CK81" s="1" t="n">
        <f aca="false">CA81+CD81*Slot7_BufPot*CF81</f>
        <v>0</v>
      </c>
      <c r="CL81" s="1" t="n">
        <f aca="false">IF(AND(CD81=1,Slot7_IsMfree=1),IF(CI81&gt;=Slot7_Cost-1,0,MAX(0,CB81-CI81)),CB81)</f>
        <v>0</v>
      </c>
      <c r="CM81" s="1" t="n">
        <f aca="false">CD81*(Slot7_Cost-CI81)</f>
        <v>0</v>
      </c>
      <c r="CN81" s="1" t="n">
        <f aca="false">IF(AND(Slot8_On=1,D81=Slot8_Age),1,0)</f>
        <v>0</v>
      </c>
      <c r="CO81" s="1" t="n">
        <f aca="false">IF(AND(Slot8_On=1,Slot8_Age&gt;D81),1,0)</f>
        <v>0</v>
      </c>
      <c r="CP81" s="1" t="n">
        <f aca="false">IH80</f>
        <v>0</v>
      </c>
      <c r="CQ81" s="1" t="n">
        <f aca="false">CN81*MIN(Slot8_Cost,CP81)</f>
        <v>0</v>
      </c>
      <c r="CR81" s="1" t="n">
        <f aca="false">CN81*Slot8_SpendLike*MIN(Slot8_Cost-CQ81,CJ81)</f>
        <v>0</v>
      </c>
      <c r="CS81" s="1" t="n">
        <f aca="false">CQ81+CR81</f>
        <v>0</v>
      </c>
      <c r="CT81" s="1" t="n">
        <f aca="false">CJ81-CR81+CN81*IF(Slot8_SpendLike=1,CP81-CQ81,IF(Slot8_PotFree=1,CP81,0))</f>
        <v>364736.664862674</v>
      </c>
      <c r="CU81" s="1" t="n">
        <f aca="false">CK81+CN81*Slot8_BufPot*CP81</f>
        <v>0</v>
      </c>
      <c r="CV81" s="1" t="n">
        <f aca="false">IF(AND(CN81=1,Slot8_IsMfree=1),IF(CS81&gt;=Slot8_Cost-1,0,MAX(0,CL81-CS81)),CL81)</f>
        <v>0</v>
      </c>
      <c r="CW81" s="1" t="n">
        <f aca="false">CN81*(Slot8_Cost-CS81)</f>
        <v>0</v>
      </c>
      <c r="CX81" s="1" t="n">
        <f aca="false">U81*Slot1_SpendLike*Z81+AF81*Slot2_SpendLike*AK81+AP81*Slot3_SpendLike*AU81+AZ81*Slot4_SpendLike*BE81+BJ81*Slot5_SpendLike*BO81+BT81*Slot6_SpendLike*BY81+CD81*Slot7_SpendLike*CI81+CN81*Slot8_SpendLike*CS81</f>
        <v>0</v>
      </c>
      <c r="CY81" s="1" t="n">
        <f aca="false">AD81+AO81+AY81+BI81+BS81+CC81+CM81+CW81</f>
        <v>0</v>
      </c>
      <c r="CZ81" s="1" t="n">
        <f aca="false">U81*Slot1_Cost+AF81*Slot2_Cost+AP81*Slot3_Cost+AZ81*Slot4_Cost+BJ81*Slot5_Cost+BT81*Slot6_Cost+CD81*Slot7_Cost+CN81*Slot8_Cost</f>
        <v>0</v>
      </c>
      <c r="DA81" s="1" t="n">
        <f aca="false">CV81</f>
        <v>0</v>
      </c>
      <c r="DB81" s="1" t="n">
        <f aca="false">G81-H81-R81</f>
        <v>52846.0566623799</v>
      </c>
      <c r="DC81" s="1" t="n">
        <f aca="false">IF(B81=0,IF(AND(Has_q6=1,In_q6=4),PR_ShareVaries*(MAX(0,DB81)/12),MIN(IF(Has_q6=1,CHOOSE(In_q6+1,PR_SaveB1,PR_SaveB2,PR_SaveB3,PR_SaveB4,0),AS_NoAnswer),AS_SaveShare*(MAX(0,DB81)/12))),DC80)</f>
        <v>0</v>
      </c>
      <c r="DD81" s="1" t="n">
        <f aca="false">IF(DB81&gt;=0,1,0)</f>
        <v>1</v>
      </c>
      <c r="DE81" s="1" t="n">
        <f aca="false">MAX(0,DB81/12/E81)</f>
        <v>1037.57333333333</v>
      </c>
      <c r="DF81" s="1" t="n">
        <f aca="false">IF(AND(Has_q6=1,In_q6=4),PR_ShareVaries*(DE81),MIN(IF(Has_q6=1,CHOOSE(In_q6+1,PR_SaveB1,PR_SaveB2,PR_SaveB3,PR_SaveB4,0),AS_NoAnswer),AS_SaveShare*(DE81)))</f>
        <v>300</v>
      </c>
      <c r="DG81" s="1" t="n">
        <f aca="false">IF(Has_saveM=1,IF(In_saveUp="Yes",1,IF(In_saveUp="No",0,IF(In_saveM&gt;=DC81-0.5,1,0))),0)</f>
        <v>0</v>
      </c>
      <c r="DH81" s="1" t="n">
        <f aca="false">IF(Has_saveM=1,MIN(DE81,IF(DG81=1,MAX(In_saveM,DF81),MIN(In_saveM,DF81))),DF81)</f>
        <v>300</v>
      </c>
      <c r="DI81" s="1" t="n">
        <f aca="false">IF(F81=1,DH81*12*E81,0)</f>
        <v>0</v>
      </c>
      <c r="DJ81" s="1" t="n">
        <f aca="false">MAX(0,DI81+IF(AND(WI_Retire=0,WI_M&lt;0,F81=1),WI_M*12*E81,0))</f>
        <v>0</v>
      </c>
      <c r="DK81" s="1" t="n">
        <f aca="false">Slot1_IsWG*V81+Slot2_IsWG*AG81+Slot3_IsWG*AQ81+Slot4_IsWG*BA81+Slot5_IsWG*BK81+Slot6_IsWG*BU81+Slot7_IsWG*CE81+Slot8_IsWG*CO81</f>
        <v>0</v>
      </c>
      <c r="DL81" s="1" t="n">
        <f aca="false">IF(AND(WI_Retire=0,WI_M&gt;0,F81=1,DK81&gt;=1),WI_M*12*E81,0)</f>
        <v>0</v>
      </c>
      <c r="DM81" s="1" t="n">
        <f aca="false">IF(DD81=1,MIN(DJ81,DB81),0)</f>
        <v>0</v>
      </c>
      <c r="DN81" s="1" t="n">
        <f aca="false">IF(DD81=1,MIN(DL81,DB81-DM81),0)</f>
        <v>0</v>
      </c>
      <c r="DO81" s="1" t="n">
        <f aca="false">IF(V81=1,IF(ABS((1+AS_Wage)/(1+Slot1_Rate)-1)&lt;0.000000000001,(Slot1_Age-D81)*(1+Slot1_Rate)^(Slot1_Age-D81),(1+Slot1_Rate)^(Slot1_Age-D81)*(1-((1+AS_Wage)/(1+Slot1_Rate))^(Slot1_Age-D81))/(1-(1+AS_Wage)/(1+Slot1_Rate))),1)</f>
        <v>1</v>
      </c>
      <c r="DP81" s="1" t="n">
        <f aca="false">IF(AND(DD81=1,DN81&gt;0,Slot1_IsWG=1,V81=1),MAX(0,(Slot1_Cost-W81*(1+Slot1_Rate)^(Slot1_Age-D81))/DO81),0)</f>
        <v>0</v>
      </c>
      <c r="DQ81" s="1" t="n">
        <f aca="false">IF(AND(DD81=1,DN81&gt;0,Slot1_IsWG=1,V81=1),MIN(DN81,DP81),0)</f>
        <v>0</v>
      </c>
      <c r="DR81" s="1" t="n">
        <f aca="false">W81+DQ81</f>
        <v>0</v>
      </c>
      <c r="DS81" s="1" t="n">
        <f aca="false">IF(V81=1,MAX(0,(Slot1_Cost-DR81*(1+Slot1_Rate)^(Slot1_Age-D81))/DO81),0)</f>
        <v>0</v>
      </c>
      <c r="DT81" s="1" t="n">
        <f aca="false">IF(V81=1,MAX(0,(Slot1_Cost-W81*(1+Slot1_Rate)^(Slot1_Age-D81))/DO81),0)</f>
        <v>0</v>
      </c>
      <c r="DU81" s="1" t="n">
        <f aca="false">IF(AND(DD81=1,V81=1),MIN(DM81,DS81),0)</f>
        <v>0</v>
      </c>
      <c r="DV81" s="1" t="n">
        <f aca="false">DM81-DU81</f>
        <v>0</v>
      </c>
      <c r="DW81" s="1" t="n">
        <f aca="false">IF(AG81=1,IF(ABS((1+AS_Wage)/(1+Slot2_Rate)-1)&lt;0.000000000001,(Slot2_Age-D81)*(1+Slot2_Rate)^(Slot2_Age-D81),(1+Slot2_Rate)^(Slot2_Age-D81)*(1-((1+AS_Wage)/(1+Slot2_Rate))^(Slot2_Age-D81))/(1-(1+AS_Wage)/(1+Slot2_Rate))),1)</f>
        <v>1</v>
      </c>
      <c r="DX81" s="1" t="n">
        <f aca="false">IF(AND(DD81=1,DN81&gt;0,Slot2_IsWG=1,AG81=1),MAX(0,(Slot2_Cost-AH81*(1+Slot2_Rate)^(Slot2_Age-D81))/DW81),0)</f>
        <v>0</v>
      </c>
      <c r="DY81" s="1" t="n">
        <f aca="false">IF(AND(DD81=1,DN81&gt;0,Slot2_IsWG=1,AG81=1),MIN(DN81,DX81),0)</f>
        <v>0</v>
      </c>
      <c r="DZ81" s="1" t="n">
        <f aca="false">AH81+DY81</f>
        <v>0</v>
      </c>
      <c r="EA81" s="1" t="n">
        <f aca="false">IF(AG81=1,MAX(0,(Slot2_Cost-DZ81*(1+Slot2_Rate)^(Slot2_Age-D81))/DW81),0)</f>
        <v>0</v>
      </c>
      <c r="EB81" s="1" t="n">
        <f aca="false">IF(AG81=1,MAX(0,(Slot2_Cost-AH81*(1+Slot2_Rate)^(Slot2_Age-D81))/DW81),0)</f>
        <v>0</v>
      </c>
      <c r="EC81" s="1" t="n">
        <f aca="false">IF(AND(DD81=1,AG81=1),MIN(DV81,EA81),0)</f>
        <v>0</v>
      </c>
      <c r="ED81" s="1" t="n">
        <f aca="false">DV81-EC81</f>
        <v>0</v>
      </c>
      <c r="EE81" s="1" t="n">
        <f aca="false">IF(AQ81=1,IF(ABS((1+AS_Wage)/(1+Slot3_Rate)-1)&lt;0.000000000001,(Slot3_Age-D81)*(1+Slot3_Rate)^(Slot3_Age-D81),(1+Slot3_Rate)^(Slot3_Age-D81)*(1-((1+AS_Wage)/(1+Slot3_Rate))^(Slot3_Age-D81))/(1-(1+AS_Wage)/(1+Slot3_Rate))),1)</f>
        <v>1</v>
      </c>
      <c r="EF81" s="1" t="n">
        <f aca="false">IF(AND(DD81=1,DN81&gt;0,Slot3_IsWG=1,AQ81=1),MAX(0,(Slot3_Cost-AR81*(1+Slot3_Rate)^(Slot3_Age-D81))/EE81),0)</f>
        <v>0</v>
      </c>
      <c r="EG81" s="1" t="n">
        <f aca="false">IF(AND(DD81=1,DN81&gt;0,Slot3_IsWG=1,AQ81=1),MIN(DN81,EF81),0)</f>
        <v>0</v>
      </c>
      <c r="EH81" s="1" t="n">
        <f aca="false">AR81+EG81</f>
        <v>0</v>
      </c>
      <c r="EI81" s="1" t="n">
        <f aca="false">IF(AQ81=1,MAX(0,(Slot3_Cost-EH81*(1+Slot3_Rate)^(Slot3_Age-D81))/EE81),0)</f>
        <v>0</v>
      </c>
      <c r="EJ81" s="1" t="n">
        <f aca="false">IF(AQ81=1,MAX(0,(Slot3_Cost-AR81*(1+Slot3_Rate)^(Slot3_Age-D81))/EE81),0)</f>
        <v>0</v>
      </c>
      <c r="EK81" s="1" t="n">
        <f aca="false">IF(AND(DD81=1,AQ81=1),MIN(ED81,EI81),0)</f>
        <v>0</v>
      </c>
      <c r="EL81" s="1" t="n">
        <f aca="false">ED81-EK81</f>
        <v>0</v>
      </c>
      <c r="EM81" s="1" t="n">
        <f aca="false">IF(BA81=1,IF(ABS((1+AS_Wage)/(1+Slot4_Rate)-1)&lt;0.000000000001,(Slot4_Age-D81)*(1+Slot4_Rate)^(Slot4_Age-D81),(1+Slot4_Rate)^(Slot4_Age-D81)*(1-((1+AS_Wage)/(1+Slot4_Rate))^(Slot4_Age-D81))/(1-(1+AS_Wage)/(1+Slot4_Rate))),1)</f>
        <v>1</v>
      </c>
      <c r="EN81" s="1" t="n">
        <f aca="false">IF(AND(DD81=1,DN81&gt;0,Slot4_IsWG=1,BA81=1),MAX(0,(Slot4_Cost-BB81*(1+Slot4_Rate)^(Slot4_Age-D81))/EM81),0)</f>
        <v>0</v>
      </c>
      <c r="EO81" s="1" t="n">
        <f aca="false">IF(AND(DD81=1,DN81&gt;0,Slot4_IsWG=1,BA81=1),MIN(DN81,EN81),0)</f>
        <v>0</v>
      </c>
      <c r="EP81" s="1" t="n">
        <f aca="false">BB81+EO81</f>
        <v>0</v>
      </c>
      <c r="EQ81" s="1" t="n">
        <f aca="false">IF(BA81=1,MAX(0,(Slot4_Cost-EP81*(1+Slot4_Rate)^(Slot4_Age-D81))/EM81),0)</f>
        <v>0</v>
      </c>
      <c r="ER81" s="1" t="n">
        <f aca="false">IF(BA81=1,MAX(0,(Slot4_Cost-BB81*(1+Slot4_Rate)^(Slot4_Age-D81))/EM81),0)</f>
        <v>0</v>
      </c>
      <c r="ES81" s="1" t="n">
        <f aca="false">IF(AND(DD81=1,BA81=1),MIN(EL81,EQ81),0)</f>
        <v>0</v>
      </c>
      <c r="ET81" s="1" t="n">
        <f aca="false">EL81-ES81</f>
        <v>0</v>
      </c>
      <c r="EU81" s="1" t="n">
        <f aca="false">IF(BK81=1,IF(ABS((1+AS_Wage)/(1+Slot5_Rate)-1)&lt;0.000000000001,(Slot5_Age-D81)*(1+Slot5_Rate)^(Slot5_Age-D81),(1+Slot5_Rate)^(Slot5_Age-D81)*(1-((1+AS_Wage)/(1+Slot5_Rate))^(Slot5_Age-D81))/(1-(1+AS_Wage)/(1+Slot5_Rate))),1)</f>
        <v>1</v>
      </c>
      <c r="EV81" s="1" t="n">
        <f aca="false">IF(AND(DD81=1,DN81&gt;0,Slot5_IsWG=1,BK81=1),MAX(0,(Slot5_Cost-BL81*(1+Slot5_Rate)^(Slot5_Age-D81))/EU81),0)</f>
        <v>0</v>
      </c>
      <c r="EW81" s="1" t="n">
        <f aca="false">IF(AND(DD81=1,DN81&gt;0,Slot5_IsWG=1,BK81=1),MIN(DN81,EV81),0)</f>
        <v>0</v>
      </c>
      <c r="EX81" s="1" t="n">
        <f aca="false">BL81+EW81</f>
        <v>0</v>
      </c>
      <c r="EY81" s="1" t="n">
        <f aca="false">IF(BK81=1,MAX(0,(Slot5_Cost-EX81*(1+Slot5_Rate)^(Slot5_Age-D81))/EU81),0)</f>
        <v>0</v>
      </c>
      <c r="EZ81" s="1" t="n">
        <f aca="false">IF(BK81=1,MAX(0,(Slot5_Cost-BL81*(1+Slot5_Rate)^(Slot5_Age-D81))/EU81),0)</f>
        <v>0</v>
      </c>
      <c r="FA81" s="1" t="n">
        <f aca="false">IF(AND(DD81=1,BK81=1),MIN(ET81,EY81),0)</f>
        <v>0</v>
      </c>
      <c r="FB81" s="1" t="n">
        <f aca="false">ET81-FA81</f>
        <v>0</v>
      </c>
      <c r="FC81" s="1" t="n">
        <f aca="false">IF(BU81=1,IF(ABS((1+AS_Wage)/(1+Slot6_Rate)-1)&lt;0.000000000001,(Slot6_Age-D81)*(1+Slot6_Rate)^(Slot6_Age-D81),(1+Slot6_Rate)^(Slot6_Age-D81)*(1-((1+AS_Wage)/(1+Slot6_Rate))^(Slot6_Age-D81))/(1-(1+AS_Wage)/(1+Slot6_Rate))),1)</f>
        <v>1</v>
      </c>
      <c r="FD81" s="1" t="n">
        <f aca="false">IF(AND(DD81=1,DN81&gt;0,Slot6_IsWG=1,BU81=1),MAX(0,(Slot6_Cost-BV81*(1+Slot6_Rate)^(Slot6_Age-D81))/FC81),0)</f>
        <v>0</v>
      </c>
      <c r="FE81" s="1" t="n">
        <f aca="false">IF(AND(DD81=1,DN81&gt;0,Slot6_IsWG=1,BU81=1),MIN(DN81,FD81),0)</f>
        <v>0</v>
      </c>
      <c r="FF81" s="1" t="n">
        <f aca="false">BV81+FE81</f>
        <v>0</v>
      </c>
      <c r="FG81" s="1" t="n">
        <f aca="false">IF(BU81=1,MAX(0,(Slot6_Cost-FF81*(1+Slot6_Rate)^(Slot6_Age-D81))/FC81),0)</f>
        <v>0</v>
      </c>
      <c r="FH81" s="1" t="n">
        <f aca="false">IF(BU81=1,MAX(0,(Slot6_Cost-BV81*(1+Slot6_Rate)^(Slot6_Age-D81))/FC81),0)</f>
        <v>0</v>
      </c>
      <c r="FI81" s="1" t="n">
        <f aca="false">IF(AND(DD81=1,BU81=1),MIN(FB81,FG81),0)</f>
        <v>0</v>
      </c>
      <c r="FJ81" s="1" t="n">
        <f aca="false">FB81-FI81</f>
        <v>0</v>
      </c>
      <c r="FK81" s="1" t="n">
        <f aca="false">IF(CE81=1,IF(ABS((1+AS_Wage)/(1+Slot7_Rate)-1)&lt;0.000000000001,(Slot7_Age-D81)*(1+Slot7_Rate)^(Slot7_Age-D81),(1+Slot7_Rate)^(Slot7_Age-D81)*(1-((1+AS_Wage)/(1+Slot7_Rate))^(Slot7_Age-D81))/(1-(1+AS_Wage)/(1+Slot7_Rate))),1)</f>
        <v>1</v>
      </c>
      <c r="FL81" s="1" t="n">
        <f aca="false">IF(AND(DD81=1,DN81&gt;0,Slot7_IsWG=1,CE81=1),MAX(0,(Slot7_Cost-CF81*(1+Slot7_Rate)^(Slot7_Age-D81))/FK81),0)</f>
        <v>0</v>
      </c>
      <c r="FM81" s="1" t="n">
        <f aca="false">IF(AND(DD81=1,DN81&gt;0,Slot7_IsWG=1,CE81=1),MIN(DN81,FL81),0)</f>
        <v>0</v>
      </c>
      <c r="FN81" s="1" t="n">
        <f aca="false">CF81+FM81</f>
        <v>0</v>
      </c>
      <c r="FO81" s="1" t="n">
        <f aca="false">IF(CE81=1,MAX(0,(Slot7_Cost-FN81*(1+Slot7_Rate)^(Slot7_Age-D81))/FK81),0)</f>
        <v>0</v>
      </c>
      <c r="FP81" s="1" t="n">
        <f aca="false">IF(CE81=1,MAX(0,(Slot7_Cost-CF81*(1+Slot7_Rate)^(Slot7_Age-D81))/FK81),0)</f>
        <v>0</v>
      </c>
      <c r="FQ81" s="1" t="n">
        <f aca="false">IF(AND(DD81=1,CE81=1),MIN(FJ81,FO81),0)</f>
        <v>0</v>
      </c>
      <c r="FR81" s="1" t="n">
        <f aca="false">FJ81-FQ81</f>
        <v>0</v>
      </c>
      <c r="FS81" s="1" t="n">
        <f aca="false">IF(CO81=1,IF(ABS((1+AS_Wage)/(1+Slot8_Rate)-1)&lt;0.000000000001,(Slot8_Age-D81)*(1+Slot8_Rate)^(Slot8_Age-D81),(1+Slot8_Rate)^(Slot8_Age-D81)*(1-((1+AS_Wage)/(1+Slot8_Rate))^(Slot8_Age-D81))/(1-(1+AS_Wage)/(1+Slot8_Rate))),1)</f>
        <v>1</v>
      </c>
      <c r="FT81" s="1" t="n">
        <f aca="false">IF(AND(DD81=1,DN81&gt;0,Slot8_IsWG=1,CO81=1),MAX(0,(Slot8_Cost-CP81*(1+Slot8_Rate)^(Slot8_Age-D81))/FS81),0)</f>
        <v>0</v>
      </c>
      <c r="FU81" s="1" t="n">
        <f aca="false">IF(AND(DD81=1,DN81&gt;0,Slot8_IsWG=1,CO81=1),MIN(DN81,FT81),0)</f>
        <v>0</v>
      </c>
      <c r="FV81" s="1" t="n">
        <f aca="false">CP81+FU81</f>
        <v>0</v>
      </c>
      <c r="FW81" s="1" t="n">
        <f aca="false">IF(CO81=1,MAX(0,(Slot8_Cost-FV81*(1+Slot8_Rate)^(Slot8_Age-D81))/FS81),0)</f>
        <v>0</v>
      </c>
      <c r="FX81" s="1" t="n">
        <f aca="false">IF(CO81=1,MAX(0,(Slot8_Cost-CP81*(1+Slot8_Rate)^(Slot8_Age-D81))/FS81),0)</f>
        <v>0</v>
      </c>
      <c r="FY81" s="1" t="n">
        <f aca="false">IF(AND(DD81=1,CO81=1),MIN(FR81,FW81),0)</f>
        <v>0</v>
      </c>
      <c r="FZ81" s="1" t="n">
        <f aca="false">FR81-FY81</f>
        <v>0</v>
      </c>
      <c r="GA81" s="1" t="n">
        <f aca="false">DN81-(DQ81+DY81+EG81+EO81+EW81+FE81+FM81+FU81)</f>
        <v>0</v>
      </c>
      <c r="GB81" s="1" t="n">
        <f aca="false">IF(DD81=1,DB81-DM81-DN81,0)</f>
        <v>52846.0566623799</v>
      </c>
      <c r="GC81" s="1" t="n">
        <f aca="false">IF(DD81=0,-DB81,0)</f>
        <v>0</v>
      </c>
      <c r="GD81" s="1" t="n">
        <f aca="false">MIN(GC81,CT81)</f>
        <v>0</v>
      </c>
      <c r="GE81" s="1" t="n">
        <f aca="false">GC81-GD81</f>
        <v>0</v>
      </c>
      <c r="GF81" s="1" t="n">
        <f aca="false">MIN(GE81,CU81)</f>
        <v>0</v>
      </c>
      <c r="GG81" s="1" t="n">
        <f aca="false">GE81-GF81</f>
        <v>0</v>
      </c>
      <c r="GH81" s="1" t="n">
        <f aca="false">IF(AND(DD81=0,CO81=1,GG81&gt;0),MIN(GG81,CP81),0)</f>
        <v>0</v>
      </c>
      <c r="GI81" s="1" t="n">
        <f aca="false">GG81-GH81</f>
        <v>0</v>
      </c>
      <c r="GJ81" s="1" t="n">
        <f aca="false">IF(AND(DD81=0,CE81=1,GI81&gt;0),MIN(GI81,CF81),0)</f>
        <v>0</v>
      </c>
      <c r="GK81" s="1" t="n">
        <f aca="false">GI81-GJ81</f>
        <v>0</v>
      </c>
      <c r="GL81" s="1" t="n">
        <f aca="false">IF(AND(DD81=0,BU81=1,GK81&gt;0),MIN(GK81,BV81),0)</f>
        <v>0</v>
      </c>
      <c r="GM81" s="1" t="n">
        <f aca="false">GK81-GL81</f>
        <v>0</v>
      </c>
      <c r="GN81" s="1" t="n">
        <f aca="false">IF(AND(DD81=0,BK81=1,GM81&gt;0),MIN(GM81,BL81),0)</f>
        <v>0</v>
      </c>
      <c r="GO81" s="1" t="n">
        <f aca="false">GM81-GN81</f>
        <v>0</v>
      </c>
      <c r="GP81" s="1" t="n">
        <f aca="false">IF(AND(DD81=0,BA81=1,GO81&gt;0),MIN(GO81,BB81),0)</f>
        <v>0</v>
      </c>
      <c r="GQ81" s="1" t="n">
        <f aca="false">GO81-GP81</f>
        <v>0</v>
      </c>
      <c r="GR81" s="1" t="n">
        <f aca="false">IF(AND(DD81=0,AQ81=1,GQ81&gt;0),MIN(GQ81,AR81),0)</f>
        <v>0</v>
      </c>
      <c r="GS81" s="1" t="n">
        <f aca="false">GQ81-GR81</f>
        <v>0</v>
      </c>
      <c r="GT81" s="1" t="n">
        <f aca="false">IF(AND(DD81=0,AG81=1,GS81&gt;0),MIN(GS81,AH81),0)</f>
        <v>0</v>
      </c>
      <c r="GU81" s="1" t="n">
        <f aca="false">GS81-GT81</f>
        <v>0</v>
      </c>
      <c r="GV81" s="1" t="n">
        <f aca="false">IF(AND(DD81=0,V81=1,GU81&gt;0),MIN(GU81,W81),0)</f>
        <v>0</v>
      </c>
      <c r="GW81" s="1" t="n">
        <f aca="false">GU81-GV81</f>
        <v>0</v>
      </c>
      <c r="GX81" s="1" t="n">
        <f aca="false">IF(DD81=0,GW81,0)</f>
        <v>0</v>
      </c>
      <c r="GY81" s="1" t="n">
        <f aca="false">GD81+GF81+GV81+GT81+GR81+GP81+GN81+GL81+GJ81+GH81</f>
        <v>0</v>
      </c>
      <c r="GZ81" s="1" t="n">
        <f aca="false">IF(DD81=1,CT81+GA81+FZ81+IF(F81=1,0,GB81),CT81-GD81)</f>
        <v>417582.721525054</v>
      </c>
      <c r="HA81" s="1" t="n">
        <f aca="false">CU81-GF81</f>
        <v>0</v>
      </c>
      <c r="HB81" s="1" t="n">
        <f aca="false">IF(DD81=1,IF(F81=1,DM81+DN81,DB81),0)</f>
        <v>52846.0566623799</v>
      </c>
      <c r="HC81" s="1" t="n">
        <f aca="false">IF(DD81=1,IF(F81=1,DB81-DM81-DN81,0),0)</f>
        <v>0</v>
      </c>
      <c r="HD81" s="1" t="n">
        <f aca="false">GZ81*(1+GR)</f>
        <v>424431.078158065</v>
      </c>
      <c r="HE81" s="1" t="n">
        <f aca="false">HA81*(1+AS_Cash)</f>
        <v>0</v>
      </c>
      <c r="HF81" s="1" t="n">
        <f aca="false">IF(V81=1,IF(DD81=1,DR81+DU81,W81-GV81)*(1+Slot1_Rate),0)</f>
        <v>0</v>
      </c>
      <c r="HG81" s="1" t="n">
        <f aca="false">IF(AND(DD81=1,V81=1),(DQ81+DU81)/E81,0)</f>
        <v>0</v>
      </c>
      <c r="HH81" s="1" t="n">
        <f aca="false">IF(B81=0,DQ81+DU81,0)</f>
        <v>0</v>
      </c>
      <c r="HI81" s="1" t="n">
        <f aca="false">IF(B81=0,IF(DD81=1,DS81,DT81),0)</f>
        <v>0</v>
      </c>
      <c r="HJ81" s="1" t="n">
        <f aca="false">IF(AG81=1,IF(DD81=1,DZ81+EC81,AH81-GT81)*(1+Slot2_Rate),0)</f>
        <v>0</v>
      </c>
      <c r="HK81" s="1" t="n">
        <f aca="false">IF(AND(DD81=1,AG81=1),(DY81+EC81)/E81,0)</f>
        <v>0</v>
      </c>
      <c r="HL81" s="1" t="n">
        <f aca="false">IF(B81=0,DY81+EC81,0)</f>
        <v>0</v>
      </c>
      <c r="HM81" s="1" t="n">
        <f aca="false">IF(B81=0,IF(DD81=1,EA81,EB81),0)</f>
        <v>0</v>
      </c>
      <c r="HN81" s="1" t="n">
        <f aca="false">IF(AQ81=1,IF(DD81=1,EH81+EK81,AR81-GR81)*(1+Slot3_Rate),0)</f>
        <v>0</v>
      </c>
      <c r="HO81" s="1" t="n">
        <f aca="false">IF(AND(DD81=1,AQ81=1),(EG81+EK81)/E81,0)</f>
        <v>0</v>
      </c>
      <c r="HP81" s="1" t="n">
        <f aca="false">IF(B81=0,EG81+EK81,0)</f>
        <v>0</v>
      </c>
      <c r="HQ81" s="1" t="n">
        <f aca="false">IF(B81=0,IF(DD81=1,EI81,EJ81),0)</f>
        <v>0</v>
      </c>
      <c r="HR81" s="1" t="n">
        <f aca="false">IF(BA81=1,IF(DD81=1,EP81+ES81,BB81-GP81)*(1+Slot4_Rate),0)</f>
        <v>0</v>
      </c>
      <c r="HS81" s="1" t="n">
        <f aca="false">IF(AND(DD81=1,BA81=1),(EO81+ES81)/E81,0)</f>
        <v>0</v>
      </c>
      <c r="HT81" s="1" t="n">
        <f aca="false">IF(B81=0,EO81+ES81,0)</f>
        <v>0</v>
      </c>
      <c r="HU81" s="1" t="n">
        <f aca="false">IF(B81=0,IF(DD81=1,EQ81,ER81),0)</f>
        <v>0</v>
      </c>
      <c r="HV81" s="1" t="n">
        <f aca="false">IF(BK81=1,IF(DD81=1,EX81+FA81,BL81-GN81)*(1+Slot5_Rate),0)</f>
        <v>0</v>
      </c>
      <c r="HW81" s="1" t="n">
        <f aca="false">IF(AND(DD81=1,BK81=1),(EW81+FA81)/E81,0)</f>
        <v>0</v>
      </c>
      <c r="HX81" s="1" t="n">
        <f aca="false">IF(B81=0,EW81+FA81,0)</f>
        <v>0</v>
      </c>
      <c r="HY81" s="1" t="n">
        <f aca="false">IF(B81=0,IF(DD81=1,EY81,EZ81),0)</f>
        <v>0</v>
      </c>
      <c r="HZ81" s="1" t="n">
        <f aca="false">IF(BU81=1,IF(DD81=1,FF81+FI81,BV81-GL81)*(1+Slot6_Rate),0)</f>
        <v>0</v>
      </c>
      <c r="IA81" s="1" t="n">
        <f aca="false">IF(AND(DD81=1,BU81=1),(FE81+FI81)/E81,0)</f>
        <v>0</v>
      </c>
      <c r="IB81" s="1" t="n">
        <f aca="false">IF(B81=0,FE81+FI81,0)</f>
        <v>0</v>
      </c>
      <c r="IC81" s="1" t="n">
        <f aca="false">IF(B81=0,IF(DD81=1,FG81,FH81),0)</f>
        <v>0</v>
      </c>
      <c r="ID81" s="1" t="n">
        <f aca="false">IF(CE81=1,IF(DD81=1,FN81+FQ81,CF81-GJ81)*(1+Slot7_Rate),0)</f>
        <v>0</v>
      </c>
      <c r="IE81" s="1" t="n">
        <f aca="false">IF(AND(DD81=1,CE81=1),(FM81+FQ81)/E81,0)</f>
        <v>0</v>
      </c>
      <c r="IF81" s="1" t="n">
        <f aca="false">IF(B81=0,FM81+FQ81,0)</f>
        <v>0</v>
      </c>
      <c r="IG81" s="1" t="n">
        <f aca="false">IF(B81=0,IF(DD81=1,FO81,FP81),0)</f>
        <v>0</v>
      </c>
      <c r="IH81" s="1" t="n">
        <f aca="false">IF(CO81=1,IF(DD81=1,FV81+FY81,CP81-GH81)*(1+Slot8_Rate),0)</f>
        <v>0</v>
      </c>
      <c r="II81" s="1" t="n">
        <f aca="false">IF(AND(DD81=1,CO81=1),(FU81+FY81)/E81,0)</f>
        <v>0</v>
      </c>
      <c r="IJ81" s="1" t="n">
        <f aca="false">IF(B81=0,FU81+FY81,0)</f>
        <v>0</v>
      </c>
      <c r="IK81" s="1" t="n">
        <f aca="false">IF(B81=0,IF(DD81=1,FW81,FX81),0)</f>
        <v>0</v>
      </c>
      <c r="IL81" s="1" t="n">
        <f aca="false">HD81+HE81+HF81+HJ81+HN81+HR81+HV81+HZ81+ID81+IH81</f>
        <v>424431.078158065</v>
      </c>
      <c r="IM81" s="1" t="n">
        <f aca="false">GX81+CY81</f>
        <v>0</v>
      </c>
      <c r="IN81" s="1" t="n">
        <f aca="false">H81+R81</f>
        <v>0</v>
      </c>
      <c r="IO81" s="1" t="n">
        <f aca="false">1-F81</f>
        <v>1</v>
      </c>
      <c r="IP81" s="1" t="n">
        <f aca="false">IF(AND(RG_Exists=1,F81=0,C81=1),H81,0)</f>
        <v>0</v>
      </c>
      <c r="IQ81" s="1" t="n">
        <f aca="false">IF(AND(RG_Exists=1,F81=0,C81=1),H81-MIN(GX81,H81),0)</f>
        <v>0</v>
      </c>
      <c r="IR81" s="1" t="n">
        <f aca="false">'Plan pay &amp; tax'!AD283</f>
        <v>0</v>
      </c>
      <c r="IS81" s="1" t="n">
        <f aca="false">IF(AND(C81=1,GX81&gt;MAX(PR_Short1,IN81*PR_Short2)),1,0)</f>
        <v>0</v>
      </c>
      <c r="IT81" s="1" t="n">
        <f aca="false">MIN(G81,H81+R81)</f>
        <v>0</v>
      </c>
      <c r="IU81" s="1" t="n">
        <f aca="false">GY81+MAX(0,CZ81-CY81)</f>
        <v>0</v>
      </c>
      <c r="IV81" s="1" t="n">
        <f aca="false">GX81+CY81</f>
        <v>0</v>
      </c>
      <c r="IW81" s="1" t="n">
        <f aca="false">IF(AND(C81=1,IV81&gt;0.5),1,0)</f>
        <v>0</v>
      </c>
      <c r="IX81" s="1" t="n">
        <f aca="false">IF(AND(C81=1,IW81=0,IU81&gt;0.5),1,0)</f>
        <v>0</v>
      </c>
      <c r="IY81" s="1" t="n">
        <f aca="false">IF(AND(C81=1,GX81&gt;0.5),1,0)</f>
        <v>0</v>
      </c>
      <c r="IZ81" s="1" t="n">
        <f aca="false">IF(AND(C81=1,GY81&gt;1,JF81=0),1,0)</f>
        <v>0</v>
      </c>
      <c r="JA81" s="1" t="n">
        <f aca="false">IF(AND(INT(D81/10)*10=90,B81&gt;0),80,INT(D81/10)*10)</f>
        <v>70</v>
      </c>
      <c r="JB81" s="1" t="n">
        <f aca="false">IF(B81=0,1,IF(JA81&lt;&gt;JA80,JB80+1,JB80))</f>
        <v>8</v>
      </c>
      <c r="JC81" s="1" t="n">
        <f aca="false">IF(AND(C81=1,F81=1,GX81&gt;MAX(PR_Short1,IN81*PR_Short2)),1,0)</f>
        <v>0</v>
      </c>
      <c r="JD81" s="1" t="n">
        <f aca="false">IO81*IS81</f>
        <v>0</v>
      </c>
      <c r="JE81" s="1" t="n">
        <f aca="false">IF(AND(U81=1,Slot1_PctLow=1),1,0)+IF(AND(AF81=1,Slot2_PctLow=1),1,0)+IF(AND(AP81=1,Slot3_PctLow=1),1,0)+IF(AND(AZ81=1,Slot4_PctLow=1),1,0)+IF(AND(BJ81=1,Slot5_PctLow=1),1,0)+IF(AND(BT81=1,Slot6_PctLow=1),1,0)+IF(AND(CD81=1,Slot7_PctLow=1),1,0)+IF(AND(CN81=1,Slot8_PctLow=1),1,0)</f>
        <v>0</v>
      </c>
      <c r="JF81" s="1" t="n">
        <f aca="false">IF(C81=1,IF(OR(IS81=1,JE81&gt;0),1,0),0)</f>
        <v>0</v>
      </c>
    </row>
    <row r="82" customFormat="false" ht="15" hidden="false" customHeight="false" outlineLevel="0" collapsed="false">
      <c r="B82" s="1" t="n">
        <v>74</v>
      </c>
      <c r="C82" s="1" t="n">
        <f aca="false">IF(B82&lt;=F_N,1,0)</f>
        <v>1</v>
      </c>
      <c r="D82" s="1" t="n">
        <f aca="false">'Plan pay &amp; tax'!C284</f>
        <v>74</v>
      </c>
      <c r="E82" s="106" t="n">
        <f aca="false">'Plan pay &amp; tax'!E284</f>
        <v>4.3292504462036</v>
      </c>
      <c r="F82" s="1" t="n">
        <f aca="false">'Plan pay &amp; tax'!G284</f>
        <v>0</v>
      </c>
      <c r="G82" s="1" t="n">
        <f aca="false">'Plan pay &amp; tax'!BT284-'Plan pay &amp; tax'!BS284-'Plan pay &amp; tax'!R284</f>
        <v>53902.9777956275</v>
      </c>
      <c r="H82" s="1" t="n">
        <f aca="false">IF(F82=1,F_CostsM*12,IF(RG_Exists=1,RG_Amount,F_CostsM*12*AS_RetireSpend))*E82+F_OneOffY*E82</f>
        <v>0</v>
      </c>
      <c r="I82" s="1" t="n">
        <f aca="false">DA81</f>
        <v>0</v>
      </c>
      <c r="J82" s="1" t="n">
        <f aca="false">IF(I82&gt;1,'Plan debt months'!AC82,0)</f>
        <v>0</v>
      </c>
      <c r="K82" s="1" t="n">
        <f aca="false">IF(I82&gt;1,'Plan debt months'!AB82,I82)</f>
        <v>0</v>
      </c>
      <c r="L82" s="1" t="n">
        <f aca="false">N81</f>
        <v>0</v>
      </c>
      <c r="M82" s="1" t="n">
        <f aca="false">IF(L82&gt;1,'Plan debt months'!BD82,0)</f>
        <v>0</v>
      </c>
      <c r="N82" s="1" t="n">
        <f aca="false">IF(L82&gt;1,'Plan debt months'!BC82,L82)</f>
        <v>0</v>
      </c>
      <c r="O82" s="1" t="n">
        <f aca="false">Q81</f>
        <v>0</v>
      </c>
      <c r="P82" s="1" t="n">
        <f aca="false">IF(O82&gt;1,'Plan debt months'!CE82,0)</f>
        <v>0</v>
      </c>
      <c r="Q82" s="1" t="n">
        <f aca="false">IF(O82&gt;1,'Plan debt months'!CD82,O82)</f>
        <v>0</v>
      </c>
      <c r="R82" s="1" t="n">
        <f aca="false">J82+M82+P82</f>
        <v>0</v>
      </c>
      <c r="S82" s="1" t="n">
        <f aca="false">HD81+'Plan pay &amp; tax'!Y284</f>
        <v>424431.078158065</v>
      </c>
      <c r="T82" s="1" t="n">
        <f aca="false">HD81</f>
        <v>424431.078158065</v>
      </c>
      <c r="U82" s="1" t="n">
        <f aca="false">IF(AND(Slot1_On=1,D82=Slot1_Age),1,0)</f>
        <v>0</v>
      </c>
      <c r="V82" s="1" t="n">
        <f aca="false">IF(AND(Slot1_On=1,Slot1_Age&gt;D82),1,0)</f>
        <v>0</v>
      </c>
      <c r="W82" s="1" t="n">
        <f aca="false">HF81</f>
        <v>0</v>
      </c>
      <c r="X82" s="1" t="n">
        <f aca="false">U82*MIN(Slot1_Cost,W82)</f>
        <v>0</v>
      </c>
      <c r="Y82" s="1" t="n">
        <f aca="false">U82*Slot1_SpendLike*MIN(Slot1_Cost-X82,S82)</f>
        <v>0</v>
      </c>
      <c r="Z82" s="1" t="n">
        <f aca="false">X82+Y82</f>
        <v>0</v>
      </c>
      <c r="AA82" s="1" t="n">
        <f aca="false">S82-Y82+U82*IF(Slot1_SpendLike=1,W82-X82,IF(Slot1_PotFree=1,W82,0))</f>
        <v>424431.078158065</v>
      </c>
      <c r="AB82" s="1" t="n">
        <f aca="false">AE82+U82*Slot1_BufPot*W82</f>
        <v>0</v>
      </c>
      <c r="AC82" s="1" t="n">
        <f aca="false">IF(AND(U82=1,Slot1_IsMfree=1),IF(Z82&gt;=Slot1_Cost-1,0,MAX(0,K82-Z82)),K82)</f>
        <v>0</v>
      </c>
      <c r="AD82" s="1" t="n">
        <f aca="false">U82*(Slot1_Cost-Z82)</f>
        <v>0</v>
      </c>
      <c r="AE82" s="1" t="n">
        <f aca="false">HE81</f>
        <v>0</v>
      </c>
      <c r="AF82" s="1" t="n">
        <f aca="false">IF(AND(Slot2_On=1,D82=Slot2_Age),1,0)</f>
        <v>0</v>
      </c>
      <c r="AG82" s="1" t="n">
        <f aca="false">IF(AND(Slot2_On=1,Slot2_Age&gt;D82),1,0)</f>
        <v>0</v>
      </c>
      <c r="AH82" s="1" t="n">
        <f aca="false">HJ81</f>
        <v>0</v>
      </c>
      <c r="AI82" s="1" t="n">
        <f aca="false">AF82*MIN(Slot2_Cost,AH82)</f>
        <v>0</v>
      </c>
      <c r="AJ82" s="1" t="n">
        <f aca="false">AF82*Slot2_SpendLike*MIN(Slot2_Cost-AI82,AA82)</f>
        <v>0</v>
      </c>
      <c r="AK82" s="1" t="n">
        <f aca="false">AI82+AJ82</f>
        <v>0</v>
      </c>
      <c r="AL82" s="1" t="n">
        <f aca="false">AA82-AJ82+AF82*IF(Slot2_SpendLike=1,AH82-AI82,IF(Slot2_PotFree=1,AH82,0))</f>
        <v>424431.078158065</v>
      </c>
      <c r="AM82" s="1" t="n">
        <f aca="false">AB82+AF82*Slot2_BufPot*AH82</f>
        <v>0</v>
      </c>
      <c r="AN82" s="1" t="n">
        <f aca="false">IF(AND(AF82=1,Slot2_IsMfree=1),IF(AK82&gt;=Slot2_Cost-1,0,MAX(0,AC82-AK82)),AC82)</f>
        <v>0</v>
      </c>
      <c r="AO82" s="1" t="n">
        <f aca="false">AF82*(Slot2_Cost-AK82)</f>
        <v>0</v>
      </c>
      <c r="AP82" s="1" t="n">
        <f aca="false">IF(AND(Slot3_On=1,D82=Slot3_Age),1,0)</f>
        <v>0</v>
      </c>
      <c r="AQ82" s="1" t="n">
        <f aca="false">IF(AND(Slot3_On=1,Slot3_Age&gt;D82),1,0)</f>
        <v>0</v>
      </c>
      <c r="AR82" s="1" t="n">
        <f aca="false">HN81</f>
        <v>0</v>
      </c>
      <c r="AS82" s="1" t="n">
        <f aca="false">AP82*MIN(Slot3_Cost,AR82)</f>
        <v>0</v>
      </c>
      <c r="AT82" s="1" t="n">
        <f aca="false">AP82*Slot3_SpendLike*MIN(Slot3_Cost-AS82,AL82)</f>
        <v>0</v>
      </c>
      <c r="AU82" s="1" t="n">
        <f aca="false">AS82+AT82</f>
        <v>0</v>
      </c>
      <c r="AV82" s="1" t="n">
        <f aca="false">AL82-AT82+AP82*IF(Slot3_SpendLike=1,AR82-AS82,IF(Slot3_PotFree=1,AR82,0))</f>
        <v>424431.078158065</v>
      </c>
      <c r="AW82" s="1" t="n">
        <f aca="false">AM82+AP82*Slot3_BufPot*AR82</f>
        <v>0</v>
      </c>
      <c r="AX82" s="1" t="n">
        <f aca="false">IF(AND(AP82=1,Slot3_IsMfree=1),IF(AU82&gt;=Slot3_Cost-1,0,MAX(0,AN82-AU82)),AN82)</f>
        <v>0</v>
      </c>
      <c r="AY82" s="1" t="n">
        <f aca="false">AP82*(Slot3_Cost-AU82)</f>
        <v>0</v>
      </c>
      <c r="AZ82" s="1" t="n">
        <f aca="false">IF(AND(Slot4_On=1,D82=Slot4_Age),1,0)</f>
        <v>0</v>
      </c>
      <c r="BA82" s="1" t="n">
        <f aca="false">IF(AND(Slot4_On=1,Slot4_Age&gt;D82),1,0)</f>
        <v>0</v>
      </c>
      <c r="BB82" s="1" t="n">
        <f aca="false">HR81</f>
        <v>0</v>
      </c>
      <c r="BC82" s="1" t="n">
        <f aca="false">AZ82*MIN(Slot4_Cost,BB82)</f>
        <v>0</v>
      </c>
      <c r="BD82" s="1" t="n">
        <f aca="false">AZ82*Slot4_SpendLike*MIN(Slot4_Cost-BC82,AV82)</f>
        <v>0</v>
      </c>
      <c r="BE82" s="1" t="n">
        <f aca="false">BC82+BD82</f>
        <v>0</v>
      </c>
      <c r="BF82" s="1" t="n">
        <f aca="false">AV82-BD82+AZ82*IF(Slot4_SpendLike=1,BB82-BC82,IF(Slot4_PotFree=1,BB82,0))</f>
        <v>424431.078158065</v>
      </c>
      <c r="BG82" s="1" t="n">
        <f aca="false">AW82+AZ82*Slot4_BufPot*BB82</f>
        <v>0</v>
      </c>
      <c r="BH82" s="1" t="n">
        <f aca="false">IF(AND(AZ82=1,Slot4_IsMfree=1),IF(BE82&gt;=Slot4_Cost-1,0,MAX(0,AX82-BE82)),AX82)</f>
        <v>0</v>
      </c>
      <c r="BI82" s="1" t="n">
        <f aca="false">AZ82*(Slot4_Cost-BE82)</f>
        <v>0</v>
      </c>
      <c r="BJ82" s="1" t="n">
        <f aca="false">IF(AND(Slot5_On=1,D82=Slot5_Age),1,0)</f>
        <v>0</v>
      </c>
      <c r="BK82" s="1" t="n">
        <f aca="false">IF(AND(Slot5_On=1,Slot5_Age&gt;D82),1,0)</f>
        <v>0</v>
      </c>
      <c r="BL82" s="1" t="n">
        <f aca="false">HV81</f>
        <v>0</v>
      </c>
      <c r="BM82" s="1" t="n">
        <f aca="false">BJ82*MIN(Slot5_Cost,BL82)</f>
        <v>0</v>
      </c>
      <c r="BN82" s="1" t="n">
        <f aca="false">BJ82*Slot5_SpendLike*MIN(Slot5_Cost-BM82,BF82)</f>
        <v>0</v>
      </c>
      <c r="BO82" s="1" t="n">
        <f aca="false">BM82+BN82</f>
        <v>0</v>
      </c>
      <c r="BP82" s="1" t="n">
        <f aca="false">BF82-BN82+BJ82*IF(Slot5_SpendLike=1,BL82-BM82,IF(Slot5_PotFree=1,BL82,0))</f>
        <v>424431.078158065</v>
      </c>
      <c r="BQ82" s="1" t="n">
        <f aca="false">BG82+BJ82*Slot5_BufPot*BL82</f>
        <v>0</v>
      </c>
      <c r="BR82" s="1" t="n">
        <f aca="false">IF(AND(BJ82=1,Slot5_IsMfree=1),IF(BO82&gt;=Slot5_Cost-1,0,MAX(0,BH82-BO82)),BH82)</f>
        <v>0</v>
      </c>
      <c r="BS82" s="1" t="n">
        <f aca="false">BJ82*(Slot5_Cost-BO82)</f>
        <v>0</v>
      </c>
      <c r="BT82" s="1" t="n">
        <f aca="false">IF(AND(Slot6_On=1,D82=Slot6_Age),1,0)</f>
        <v>0</v>
      </c>
      <c r="BU82" s="1" t="n">
        <f aca="false">IF(AND(Slot6_On=1,Slot6_Age&gt;D82),1,0)</f>
        <v>0</v>
      </c>
      <c r="BV82" s="1" t="n">
        <f aca="false">HZ81</f>
        <v>0</v>
      </c>
      <c r="BW82" s="1" t="n">
        <f aca="false">BT82*MIN(Slot6_Cost,BV82)</f>
        <v>0</v>
      </c>
      <c r="BX82" s="1" t="n">
        <f aca="false">BT82*Slot6_SpendLike*MIN(Slot6_Cost-BW82,BP82)</f>
        <v>0</v>
      </c>
      <c r="BY82" s="1" t="n">
        <f aca="false">BW82+BX82</f>
        <v>0</v>
      </c>
      <c r="BZ82" s="1" t="n">
        <f aca="false">BP82-BX82+BT82*IF(Slot6_SpendLike=1,BV82-BW82,IF(Slot6_PotFree=1,BV82,0))</f>
        <v>424431.078158065</v>
      </c>
      <c r="CA82" s="1" t="n">
        <f aca="false">BQ82+BT82*Slot6_BufPot*BV82</f>
        <v>0</v>
      </c>
      <c r="CB82" s="1" t="n">
        <f aca="false">IF(AND(BT82=1,Slot6_IsMfree=1),IF(BY82&gt;=Slot6_Cost-1,0,MAX(0,BR82-BY82)),BR82)</f>
        <v>0</v>
      </c>
      <c r="CC82" s="1" t="n">
        <f aca="false">BT82*(Slot6_Cost-BY82)</f>
        <v>0</v>
      </c>
      <c r="CD82" s="1" t="n">
        <f aca="false">IF(AND(Slot7_On=1,D82=Slot7_Age),1,0)</f>
        <v>0</v>
      </c>
      <c r="CE82" s="1" t="n">
        <f aca="false">IF(AND(Slot7_On=1,Slot7_Age&gt;D82),1,0)</f>
        <v>0</v>
      </c>
      <c r="CF82" s="1" t="n">
        <f aca="false">ID81</f>
        <v>0</v>
      </c>
      <c r="CG82" s="1" t="n">
        <f aca="false">CD82*MIN(Slot7_Cost,CF82)</f>
        <v>0</v>
      </c>
      <c r="CH82" s="1" t="n">
        <f aca="false">CD82*Slot7_SpendLike*MIN(Slot7_Cost-CG82,BZ82)</f>
        <v>0</v>
      </c>
      <c r="CI82" s="1" t="n">
        <f aca="false">CG82+CH82</f>
        <v>0</v>
      </c>
      <c r="CJ82" s="1" t="n">
        <f aca="false">BZ82-CH82+CD82*IF(Slot7_SpendLike=1,CF82-CG82,IF(Slot7_PotFree=1,CF82,0))</f>
        <v>424431.078158065</v>
      </c>
      <c r="CK82" s="1" t="n">
        <f aca="false">CA82+CD82*Slot7_BufPot*CF82</f>
        <v>0</v>
      </c>
      <c r="CL82" s="1" t="n">
        <f aca="false">IF(AND(CD82=1,Slot7_IsMfree=1),IF(CI82&gt;=Slot7_Cost-1,0,MAX(0,CB82-CI82)),CB82)</f>
        <v>0</v>
      </c>
      <c r="CM82" s="1" t="n">
        <f aca="false">CD82*(Slot7_Cost-CI82)</f>
        <v>0</v>
      </c>
      <c r="CN82" s="1" t="n">
        <f aca="false">IF(AND(Slot8_On=1,D82=Slot8_Age),1,0)</f>
        <v>0</v>
      </c>
      <c r="CO82" s="1" t="n">
        <f aca="false">IF(AND(Slot8_On=1,Slot8_Age&gt;D82),1,0)</f>
        <v>0</v>
      </c>
      <c r="CP82" s="1" t="n">
        <f aca="false">IH81</f>
        <v>0</v>
      </c>
      <c r="CQ82" s="1" t="n">
        <f aca="false">CN82*MIN(Slot8_Cost,CP82)</f>
        <v>0</v>
      </c>
      <c r="CR82" s="1" t="n">
        <f aca="false">CN82*Slot8_SpendLike*MIN(Slot8_Cost-CQ82,CJ82)</f>
        <v>0</v>
      </c>
      <c r="CS82" s="1" t="n">
        <f aca="false">CQ82+CR82</f>
        <v>0</v>
      </c>
      <c r="CT82" s="1" t="n">
        <f aca="false">CJ82-CR82+CN82*IF(Slot8_SpendLike=1,CP82-CQ82,IF(Slot8_PotFree=1,CP82,0))</f>
        <v>424431.078158065</v>
      </c>
      <c r="CU82" s="1" t="n">
        <f aca="false">CK82+CN82*Slot8_BufPot*CP82</f>
        <v>0</v>
      </c>
      <c r="CV82" s="1" t="n">
        <f aca="false">IF(AND(CN82=1,Slot8_IsMfree=1),IF(CS82&gt;=Slot8_Cost-1,0,MAX(0,CL82-CS82)),CL82)</f>
        <v>0</v>
      </c>
      <c r="CW82" s="1" t="n">
        <f aca="false">CN82*(Slot8_Cost-CS82)</f>
        <v>0</v>
      </c>
      <c r="CX82" s="1" t="n">
        <f aca="false">U82*Slot1_SpendLike*Z82+AF82*Slot2_SpendLike*AK82+AP82*Slot3_SpendLike*AU82+AZ82*Slot4_SpendLike*BE82+BJ82*Slot5_SpendLike*BO82+BT82*Slot6_SpendLike*BY82+CD82*Slot7_SpendLike*CI82+CN82*Slot8_SpendLike*CS82</f>
        <v>0</v>
      </c>
      <c r="CY82" s="1" t="n">
        <f aca="false">AD82+AO82+AY82+BI82+BS82+CC82+CM82+CW82</f>
        <v>0</v>
      </c>
      <c r="CZ82" s="1" t="n">
        <f aca="false">U82*Slot1_Cost+AF82*Slot2_Cost+AP82*Slot3_Cost+AZ82*Slot4_Cost+BJ82*Slot5_Cost+BT82*Slot6_Cost+CD82*Slot7_Cost+CN82*Slot8_Cost</f>
        <v>0</v>
      </c>
      <c r="DA82" s="1" t="n">
        <f aca="false">CV82</f>
        <v>0</v>
      </c>
      <c r="DB82" s="1" t="n">
        <f aca="false">G82-H82-R82</f>
        <v>53902.9777956275</v>
      </c>
      <c r="DC82" s="1" t="n">
        <f aca="false">IF(B82=0,IF(AND(Has_q6=1,In_q6=4),PR_ShareVaries*(MAX(0,DB82)/12),MIN(IF(Has_q6=1,CHOOSE(In_q6+1,PR_SaveB1,PR_SaveB2,PR_SaveB3,PR_SaveB4,0),AS_NoAnswer),AS_SaveShare*(MAX(0,DB82)/12))),DC81)</f>
        <v>0</v>
      </c>
      <c r="DD82" s="1" t="n">
        <f aca="false">IF(DB82&gt;=0,1,0)</f>
        <v>1</v>
      </c>
      <c r="DE82" s="1" t="n">
        <f aca="false">MAX(0,DB82/12/E82)</f>
        <v>1037.57333333333</v>
      </c>
      <c r="DF82" s="1" t="n">
        <f aca="false">IF(AND(Has_q6=1,In_q6=4),PR_ShareVaries*(DE82),MIN(IF(Has_q6=1,CHOOSE(In_q6+1,PR_SaveB1,PR_SaveB2,PR_SaveB3,PR_SaveB4,0),AS_NoAnswer),AS_SaveShare*(DE82)))</f>
        <v>300</v>
      </c>
      <c r="DG82" s="1" t="n">
        <f aca="false">IF(Has_saveM=1,IF(In_saveUp="Yes",1,IF(In_saveUp="No",0,IF(In_saveM&gt;=DC82-0.5,1,0))),0)</f>
        <v>0</v>
      </c>
      <c r="DH82" s="1" t="n">
        <f aca="false">IF(Has_saveM=1,MIN(DE82,IF(DG82=1,MAX(In_saveM,DF82),MIN(In_saveM,DF82))),DF82)</f>
        <v>300</v>
      </c>
      <c r="DI82" s="1" t="n">
        <f aca="false">IF(F82=1,DH82*12*E82,0)</f>
        <v>0</v>
      </c>
      <c r="DJ82" s="1" t="n">
        <f aca="false">MAX(0,DI82+IF(AND(WI_Retire=0,WI_M&lt;0,F82=1),WI_M*12*E82,0))</f>
        <v>0</v>
      </c>
      <c r="DK82" s="1" t="n">
        <f aca="false">Slot1_IsWG*V82+Slot2_IsWG*AG82+Slot3_IsWG*AQ82+Slot4_IsWG*BA82+Slot5_IsWG*BK82+Slot6_IsWG*BU82+Slot7_IsWG*CE82+Slot8_IsWG*CO82</f>
        <v>0</v>
      </c>
      <c r="DL82" s="1" t="n">
        <f aca="false">IF(AND(WI_Retire=0,WI_M&gt;0,F82=1,DK82&gt;=1),WI_M*12*E82,0)</f>
        <v>0</v>
      </c>
      <c r="DM82" s="1" t="n">
        <f aca="false">IF(DD82=1,MIN(DJ82,DB82),0)</f>
        <v>0</v>
      </c>
      <c r="DN82" s="1" t="n">
        <f aca="false">IF(DD82=1,MIN(DL82,DB82-DM82),0)</f>
        <v>0</v>
      </c>
      <c r="DO82" s="1" t="n">
        <f aca="false">IF(V82=1,IF(ABS((1+AS_Wage)/(1+Slot1_Rate)-1)&lt;0.000000000001,(Slot1_Age-D82)*(1+Slot1_Rate)^(Slot1_Age-D82),(1+Slot1_Rate)^(Slot1_Age-D82)*(1-((1+AS_Wage)/(1+Slot1_Rate))^(Slot1_Age-D82))/(1-(1+AS_Wage)/(1+Slot1_Rate))),1)</f>
        <v>1</v>
      </c>
      <c r="DP82" s="1" t="n">
        <f aca="false">IF(AND(DD82=1,DN82&gt;0,Slot1_IsWG=1,V82=1),MAX(0,(Slot1_Cost-W82*(1+Slot1_Rate)^(Slot1_Age-D82))/DO82),0)</f>
        <v>0</v>
      </c>
      <c r="DQ82" s="1" t="n">
        <f aca="false">IF(AND(DD82=1,DN82&gt;0,Slot1_IsWG=1,V82=1),MIN(DN82,DP82),0)</f>
        <v>0</v>
      </c>
      <c r="DR82" s="1" t="n">
        <f aca="false">W82+DQ82</f>
        <v>0</v>
      </c>
      <c r="DS82" s="1" t="n">
        <f aca="false">IF(V82=1,MAX(0,(Slot1_Cost-DR82*(1+Slot1_Rate)^(Slot1_Age-D82))/DO82),0)</f>
        <v>0</v>
      </c>
      <c r="DT82" s="1" t="n">
        <f aca="false">IF(V82=1,MAX(0,(Slot1_Cost-W82*(1+Slot1_Rate)^(Slot1_Age-D82))/DO82),0)</f>
        <v>0</v>
      </c>
      <c r="DU82" s="1" t="n">
        <f aca="false">IF(AND(DD82=1,V82=1),MIN(DM82,DS82),0)</f>
        <v>0</v>
      </c>
      <c r="DV82" s="1" t="n">
        <f aca="false">DM82-DU82</f>
        <v>0</v>
      </c>
      <c r="DW82" s="1" t="n">
        <f aca="false">IF(AG82=1,IF(ABS((1+AS_Wage)/(1+Slot2_Rate)-1)&lt;0.000000000001,(Slot2_Age-D82)*(1+Slot2_Rate)^(Slot2_Age-D82),(1+Slot2_Rate)^(Slot2_Age-D82)*(1-((1+AS_Wage)/(1+Slot2_Rate))^(Slot2_Age-D82))/(1-(1+AS_Wage)/(1+Slot2_Rate))),1)</f>
        <v>1</v>
      </c>
      <c r="DX82" s="1" t="n">
        <f aca="false">IF(AND(DD82=1,DN82&gt;0,Slot2_IsWG=1,AG82=1),MAX(0,(Slot2_Cost-AH82*(1+Slot2_Rate)^(Slot2_Age-D82))/DW82),0)</f>
        <v>0</v>
      </c>
      <c r="DY82" s="1" t="n">
        <f aca="false">IF(AND(DD82=1,DN82&gt;0,Slot2_IsWG=1,AG82=1),MIN(DN82,DX82),0)</f>
        <v>0</v>
      </c>
      <c r="DZ82" s="1" t="n">
        <f aca="false">AH82+DY82</f>
        <v>0</v>
      </c>
      <c r="EA82" s="1" t="n">
        <f aca="false">IF(AG82=1,MAX(0,(Slot2_Cost-DZ82*(1+Slot2_Rate)^(Slot2_Age-D82))/DW82),0)</f>
        <v>0</v>
      </c>
      <c r="EB82" s="1" t="n">
        <f aca="false">IF(AG82=1,MAX(0,(Slot2_Cost-AH82*(1+Slot2_Rate)^(Slot2_Age-D82))/DW82),0)</f>
        <v>0</v>
      </c>
      <c r="EC82" s="1" t="n">
        <f aca="false">IF(AND(DD82=1,AG82=1),MIN(DV82,EA82),0)</f>
        <v>0</v>
      </c>
      <c r="ED82" s="1" t="n">
        <f aca="false">DV82-EC82</f>
        <v>0</v>
      </c>
      <c r="EE82" s="1" t="n">
        <f aca="false">IF(AQ82=1,IF(ABS((1+AS_Wage)/(1+Slot3_Rate)-1)&lt;0.000000000001,(Slot3_Age-D82)*(1+Slot3_Rate)^(Slot3_Age-D82),(1+Slot3_Rate)^(Slot3_Age-D82)*(1-((1+AS_Wage)/(1+Slot3_Rate))^(Slot3_Age-D82))/(1-(1+AS_Wage)/(1+Slot3_Rate))),1)</f>
        <v>1</v>
      </c>
      <c r="EF82" s="1" t="n">
        <f aca="false">IF(AND(DD82=1,DN82&gt;0,Slot3_IsWG=1,AQ82=1),MAX(0,(Slot3_Cost-AR82*(1+Slot3_Rate)^(Slot3_Age-D82))/EE82),0)</f>
        <v>0</v>
      </c>
      <c r="EG82" s="1" t="n">
        <f aca="false">IF(AND(DD82=1,DN82&gt;0,Slot3_IsWG=1,AQ82=1),MIN(DN82,EF82),0)</f>
        <v>0</v>
      </c>
      <c r="EH82" s="1" t="n">
        <f aca="false">AR82+EG82</f>
        <v>0</v>
      </c>
      <c r="EI82" s="1" t="n">
        <f aca="false">IF(AQ82=1,MAX(0,(Slot3_Cost-EH82*(1+Slot3_Rate)^(Slot3_Age-D82))/EE82),0)</f>
        <v>0</v>
      </c>
      <c r="EJ82" s="1" t="n">
        <f aca="false">IF(AQ82=1,MAX(0,(Slot3_Cost-AR82*(1+Slot3_Rate)^(Slot3_Age-D82))/EE82),0)</f>
        <v>0</v>
      </c>
      <c r="EK82" s="1" t="n">
        <f aca="false">IF(AND(DD82=1,AQ82=1),MIN(ED82,EI82),0)</f>
        <v>0</v>
      </c>
      <c r="EL82" s="1" t="n">
        <f aca="false">ED82-EK82</f>
        <v>0</v>
      </c>
      <c r="EM82" s="1" t="n">
        <f aca="false">IF(BA82=1,IF(ABS((1+AS_Wage)/(1+Slot4_Rate)-1)&lt;0.000000000001,(Slot4_Age-D82)*(1+Slot4_Rate)^(Slot4_Age-D82),(1+Slot4_Rate)^(Slot4_Age-D82)*(1-((1+AS_Wage)/(1+Slot4_Rate))^(Slot4_Age-D82))/(1-(1+AS_Wage)/(1+Slot4_Rate))),1)</f>
        <v>1</v>
      </c>
      <c r="EN82" s="1" t="n">
        <f aca="false">IF(AND(DD82=1,DN82&gt;0,Slot4_IsWG=1,BA82=1),MAX(0,(Slot4_Cost-BB82*(1+Slot4_Rate)^(Slot4_Age-D82))/EM82),0)</f>
        <v>0</v>
      </c>
      <c r="EO82" s="1" t="n">
        <f aca="false">IF(AND(DD82=1,DN82&gt;0,Slot4_IsWG=1,BA82=1),MIN(DN82,EN82),0)</f>
        <v>0</v>
      </c>
      <c r="EP82" s="1" t="n">
        <f aca="false">BB82+EO82</f>
        <v>0</v>
      </c>
      <c r="EQ82" s="1" t="n">
        <f aca="false">IF(BA82=1,MAX(0,(Slot4_Cost-EP82*(1+Slot4_Rate)^(Slot4_Age-D82))/EM82),0)</f>
        <v>0</v>
      </c>
      <c r="ER82" s="1" t="n">
        <f aca="false">IF(BA82=1,MAX(0,(Slot4_Cost-BB82*(1+Slot4_Rate)^(Slot4_Age-D82))/EM82),0)</f>
        <v>0</v>
      </c>
      <c r="ES82" s="1" t="n">
        <f aca="false">IF(AND(DD82=1,BA82=1),MIN(EL82,EQ82),0)</f>
        <v>0</v>
      </c>
      <c r="ET82" s="1" t="n">
        <f aca="false">EL82-ES82</f>
        <v>0</v>
      </c>
      <c r="EU82" s="1" t="n">
        <f aca="false">IF(BK82=1,IF(ABS((1+AS_Wage)/(1+Slot5_Rate)-1)&lt;0.000000000001,(Slot5_Age-D82)*(1+Slot5_Rate)^(Slot5_Age-D82),(1+Slot5_Rate)^(Slot5_Age-D82)*(1-((1+AS_Wage)/(1+Slot5_Rate))^(Slot5_Age-D82))/(1-(1+AS_Wage)/(1+Slot5_Rate))),1)</f>
        <v>1</v>
      </c>
      <c r="EV82" s="1" t="n">
        <f aca="false">IF(AND(DD82=1,DN82&gt;0,Slot5_IsWG=1,BK82=1),MAX(0,(Slot5_Cost-BL82*(1+Slot5_Rate)^(Slot5_Age-D82))/EU82),0)</f>
        <v>0</v>
      </c>
      <c r="EW82" s="1" t="n">
        <f aca="false">IF(AND(DD82=1,DN82&gt;0,Slot5_IsWG=1,BK82=1),MIN(DN82,EV82),0)</f>
        <v>0</v>
      </c>
      <c r="EX82" s="1" t="n">
        <f aca="false">BL82+EW82</f>
        <v>0</v>
      </c>
      <c r="EY82" s="1" t="n">
        <f aca="false">IF(BK82=1,MAX(0,(Slot5_Cost-EX82*(1+Slot5_Rate)^(Slot5_Age-D82))/EU82),0)</f>
        <v>0</v>
      </c>
      <c r="EZ82" s="1" t="n">
        <f aca="false">IF(BK82=1,MAX(0,(Slot5_Cost-BL82*(1+Slot5_Rate)^(Slot5_Age-D82))/EU82),0)</f>
        <v>0</v>
      </c>
      <c r="FA82" s="1" t="n">
        <f aca="false">IF(AND(DD82=1,BK82=1),MIN(ET82,EY82),0)</f>
        <v>0</v>
      </c>
      <c r="FB82" s="1" t="n">
        <f aca="false">ET82-FA82</f>
        <v>0</v>
      </c>
      <c r="FC82" s="1" t="n">
        <f aca="false">IF(BU82=1,IF(ABS((1+AS_Wage)/(1+Slot6_Rate)-1)&lt;0.000000000001,(Slot6_Age-D82)*(1+Slot6_Rate)^(Slot6_Age-D82),(1+Slot6_Rate)^(Slot6_Age-D82)*(1-((1+AS_Wage)/(1+Slot6_Rate))^(Slot6_Age-D82))/(1-(1+AS_Wage)/(1+Slot6_Rate))),1)</f>
        <v>1</v>
      </c>
      <c r="FD82" s="1" t="n">
        <f aca="false">IF(AND(DD82=1,DN82&gt;0,Slot6_IsWG=1,BU82=1),MAX(0,(Slot6_Cost-BV82*(1+Slot6_Rate)^(Slot6_Age-D82))/FC82),0)</f>
        <v>0</v>
      </c>
      <c r="FE82" s="1" t="n">
        <f aca="false">IF(AND(DD82=1,DN82&gt;0,Slot6_IsWG=1,BU82=1),MIN(DN82,FD82),0)</f>
        <v>0</v>
      </c>
      <c r="FF82" s="1" t="n">
        <f aca="false">BV82+FE82</f>
        <v>0</v>
      </c>
      <c r="FG82" s="1" t="n">
        <f aca="false">IF(BU82=1,MAX(0,(Slot6_Cost-FF82*(1+Slot6_Rate)^(Slot6_Age-D82))/FC82),0)</f>
        <v>0</v>
      </c>
      <c r="FH82" s="1" t="n">
        <f aca="false">IF(BU82=1,MAX(0,(Slot6_Cost-BV82*(1+Slot6_Rate)^(Slot6_Age-D82))/FC82),0)</f>
        <v>0</v>
      </c>
      <c r="FI82" s="1" t="n">
        <f aca="false">IF(AND(DD82=1,BU82=1),MIN(FB82,FG82),0)</f>
        <v>0</v>
      </c>
      <c r="FJ82" s="1" t="n">
        <f aca="false">FB82-FI82</f>
        <v>0</v>
      </c>
      <c r="FK82" s="1" t="n">
        <f aca="false">IF(CE82=1,IF(ABS((1+AS_Wage)/(1+Slot7_Rate)-1)&lt;0.000000000001,(Slot7_Age-D82)*(1+Slot7_Rate)^(Slot7_Age-D82),(1+Slot7_Rate)^(Slot7_Age-D82)*(1-((1+AS_Wage)/(1+Slot7_Rate))^(Slot7_Age-D82))/(1-(1+AS_Wage)/(1+Slot7_Rate))),1)</f>
        <v>1</v>
      </c>
      <c r="FL82" s="1" t="n">
        <f aca="false">IF(AND(DD82=1,DN82&gt;0,Slot7_IsWG=1,CE82=1),MAX(0,(Slot7_Cost-CF82*(1+Slot7_Rate)^(Slot7_Age-D82))/FK82),0)</f>
        <v>0</v>
      </c>
      <c r="FM82" s="1" t="n">
        <f aca="false">IF(AND(DD82=1,DN82&gt;0,Slot7_IsWG=1,CE82=1),MIN(DN82,FL82),0)</f>
        <v>0</v>
      </c>
      <c r="FN82" s="1" t="n">
        <f aca="false">CF82+FM82</f>
        <v>0</v>
      </c>
      <c r="FO82" s="1" t="n">
        <f aca="false">IF(CE82=1,MAX(0,(Slot7_Cost-FN82*(1+Slot7_Rate)^(Slot7_Age-D82))/FK82),0)</f>
        <v>0</v>
      </c>
      <c r="FP82" s="1" t="n">
        <f aca="false">IF(CE82=1,MAX(0,(Slot7_Cost-CF82*(1+Slot7_Rate)^(Slot7_Age-D82))/FK82),0)</f>
        <v>0</v>
      </c>
      <c r="FQ82" s="1" t="n">
        <f aca="false">IF(AND(DD82=1,CE82=1),MIN(FJ82,FO82),0)</f>
        <v>0</v>
      </c>
      <c r="FR82" s="1" t="n">
        <f aca="false">FJ82-FQ82</f>
        <v>0</v>
      </c>
      <c r="FS82" s="1" t="n">
        <f aca="false">IF(CO82=1,IF(ABS((1+AS_Wage)/(1+Slot8_Rate)-1)&lt;0.000000000001,(Slot8_Age-D82)*(1+Slot8_Rate)^(Slot8_Age-D82),(1+Slot8_Rate)^(Slot8_Age-D82)*(1-((1+AS_Wage)/(1+Slot8_Rate))^(Slot8_Age-D82))/(1-(1+AS_Wage)/(1+Slot8_Rate))),1)</f>
        <v>1</v>
      </c>
      <c r="FT82" s="1" t="n">
        <f aca="false">IF(AND(DD82=1,DN82&gt;0,Slot8_IsWG=1,CO82=1),MAX(0,(Slot8_Cost-CP82*(1+Slot8_Rate)^(Slot8_Age-D82))/FS82),0)</f>
        <v>0</v>
      </c>
      <c r="FU82" s="1" t="n">
        <f aca="false">IF(AND(DD82=1,DN82&gt;0,Slot8_IsWG=1,CO82=1),MIN(DN82,FT82),0)</f>
        <v>0</v>
      </c>
      <c r="FV82" s="1" t="n">
        <f aca="false">CP82+FU82</f>
        <v>0</v>
      </c>
      <c r="FW82" s="1" t="n">
        <f aca="false">IF(CO82=1,MAX(0,(Slot8_Cost-FV82*(1+Slot8_Rate)^(Slot8_Age-D82))/FS82),0)</f>
        <v>0</v>
      </c>
      <c r="FX82" s="1" t="n">
        <f aca="false">IF(CO82=1,MAX(0,(Slot8_Cost-CP82*(1+Slot8_Rate)^(Slot8_Age-D82))/FS82),0)</f>
        <v>0</v>
      </c>
      <c r="FY82" s="1" t="n">
        <f aca="false">IF(AND(DD82=1,CO82=1),MIN(FR82,FW82),0)</f>
        <v>0</v>
      </c>
      <c r="FZ82" s="1" t="n">
        <f aca="false">FR82-FY82</f>
        <v>0</v>
      </c>
      <c r="GA82" s="1" t="n">
        <f aca="false">DN82-(DQ82+DY82+EG82+EO82+EW82+FE82+FM82+FU82)</f>
        <v>0</v>
      </c>
      <c r="GB82" s="1" t="n">
        <f aca="false">IF(DD82=1,DB82-DM82-DN82,0)</f>
        <v>53902.9777956275</v>
      </c>
      <c r="GC82" s="1" t="n">
        <f aca="false">IF(DD82=0,-DB82,0)</f>
        <v>0</v>
      </c>
      <c r="GD82" s="1" t="n">
        <f aca="false">MIN(GC82,CT82)</f>
        <v>0</v>
      </c>
      <c r="GE82" s="1" t="n">
        <f aca="false">GC82-GD82</f>
        <v>0</v>
      </c>
      <c r="GF82" s="1" t="n">
        <f aca="false">MIN(GE82,CU82)</f>
        <v>0</v>
      </c>
      <c r="GG82" s="1" t="n">
        <f aca="false">GE82-GF82</f>
        <v>0</v>
      </c>
      <c r="GH82" s="1" t="n">
        <f aca="false">IF(AND(DD82=0,CO82=1,GG82&gt;0),MIN(GG82,CP82),0)</f>
        <v>0</v>
      </c>
      <c r="GI82" s="1" t="n">
        <f aca="false">GG82-GH82</f>
        <v>0</v>
      </c>
      <c r="GJ82" s="1" t="n">
        <f aca="false">IF(AND(DD82=0,CE82=1,GI82&gt;0),MIN(GI82,CF82),0)</f>
        <v>0</v>
      </c>
      <c r="GK82" s="1" t="n">
        <f aca="false">GI82-GJ82</f>
        <v>0</v>
      </c>
      <c r="GL82" s="1" t="n">
        <f aca="false">IF(AND(DD82=0,BU82=1,GK82&gt;0),MIN(GK82,BV82),0)</f>
        <v>0</v>
      </c>
      <c r="GM82" s="1" t="n">
        <f aca="false">GK82-GL82</f>
        <v>0</v>
      </c>
      <c r="GN82" s="1" t="n">
        <f aca="false">IF(AND(DD82=0,BK82=1,GM82&gt;0),MIN(GM82,BL82),0)</f>
        <v>0</v>
      </c>
      <c r="GO82" s="1" t="n">
        <f aca="false">GM82-GN82</f>
        <v>0</v>
      </c>
      <c r="GP82" s="1" t="n">
        <f aca="false">IF(AND(DD82=0,BA82=1,GO82&gt;0),MIN(GO82,BB82),0)</f>
        <v>0</v>
      </c>
      <c r="GQ82" s="1" t="n">
        <f aca="false">GO82-GP82</f>
        <v>0</v>
      </c>
      <c r="GR82" s="1" t="n">
        <f aca="false">IF(AND(DD82=0,AQ82=1,GQ82&gt;0),MIN(GQ82,AR82),0)</f>
        <v>0</v>
      </c>
      <c r="GS82" s="1" t="n">
        <f aca="false">GQ82-GR82</f>
        <v>0</v>
      </c>
      <c r="GT82" s="1" t="n">
        <f aca="false">IF(AND(DD82=0,AG82=1,GS82&gt;0),MIN(GS82,AH82),0)</f>
        <v>0</v>
      </c>
      <c r="GU82" s="1" t="n">
        <f aca="false">GS82-GT82</f>
        <v>0</v>
      </c>
      <c r="GV82" s="1" t="n">
        <f aca="false">IF(AND(DD82=0,V82=1,GU82&gt;0),MIN(GU82,W82),0)</f>
        <v>0</v>
      </c>
      <c r="GW82" s="1" t="n">
        <f aca="false">GU82-GV82</f>
        <v>0</v>
      </c>
      <c r="GX82" s="1" t="n">
        <f aca="false">IF(DD82=0,GW82,0)</f>
        <v>0</v>
      </c>
      <c r="GY82" s="1" t="n">
        <f aca="false">GD82+GF82+GV82+GT82+GR82+GP82+GN82+GL82+GJ82+GH82</f>
        <v>0</v>
      </c>
      <c r="GZ82" s="1" t="n">
        <f aca="false">IF(DD82=1,CT82+GA82+FZ82+IF(F82=1,0,GB82),CT82-GD82)</f>
        <v>478334.055953692</v>
      </c>
      <c r="HA82" s="1" t="n">
        <f aca="false">CU82-GF82</f>
        <v>0</v>
      </c>
      <c r="HB82" s="1" t="n">
        <f aca="false">IF(DD82=1,IF(F82=1,DM82+DN82,DB82),0)</f>
        <v>53902.9777956275</v>
      </c>
      <c r="HC82" s="1" t="n">
        <f aca="false">IF(DD82=1,IF(F82=1,DB82-DM82-DN82,0),0)</f>
        <v>0</v>
      </c>
      <c r="HD82" s="1" t="n">
        <f aca="false">GZ82*(1+GR)</f>
        <v>486178.734471333</v>
      </c>
      <c r="HE82" s="1" t="n">
        <f aca="false">HA82*(1+AS_Cash)</f>
        <v>0</v>
      </c>
      <c r="HF82" s="1" t="n">
        <f aca="false">IF(V82=1,IF(DD82=1,DR82+DU82,W82-GV82)*(1+Slot1_Rate),0)</f>
        <v>0</v>
      </c>
      <c r="HG82" s="1" t="n">
        <f aca="false">IF(AND(DD82=1,V82=1),(DQ82+DU82)/E82,0)</f>
        <v>0</v>
      </c>
      <c r="HH82" s="1" t="n">
        <f aca="false">IF(B82=0,DQ82+DU82,0)</f>
        <v>0</v>
      </c>
      <c r="HI82" s="1" t="n">
        <f aca="false">IF(B82=0,IF(DD82=1,DS82,DT82),0)</f>
        <v>0</v>
      </c>
      <c r="HJ82" s="1" t="n">
        <f aca="false">IF(AG82=1,IF(DD82=1,DZ82+EC82,AH82-GT82)*(1+Slot2_Rate),0)</f>
        <v>0</v>
      </c>
      <c r="HK82" s="1" t="n">
        <f aca="false">IF(AND(DD82=1,AG82=1),(DY82+EC82)/E82,0)</f>
        <v>0</v>
      </c>
      <c r="HL82" s="1" t="n">
        <f aca="false">IF(B82=0,DY82+EC82,0)</f>
        <v>0</v>
      </c>
      <c r="HM82" s="1" t="n">
        <f aca="false">IF(B82=0,IF(DD82=1,EA82,EB82),0)</f>
        <v>0</v>
      </c>
      <c r="HN82" s="1" t="n">
        <f aca="false">IF(AQ82=1,IF(DD82=1,EH82+EK82,AR82-GR82)*(1+Slot3_Rate),0)</f>
        <v>0</v>
      </c>
      <c r="HO82" s="1" t="n">
        <f aca="false">IF(AND(DD82=1,AQ82=1),(EG82+EK82)/E82,0)</f>
        <v>0</v>
      </c>
      <c r="HP82" s="1" t="n">
        <f aca="false">IF(B82=0,EG82+EK82,0)</f>
        <v>0</v>
      </c>
      <c r="HQ82" s="1" t="n">
        <f aca="false">IF(B82=0,IF(DD82=1,EI82,EJ82),0)</f>
        <v>0</v>
      </c>
      <c r="HR82" s="1" t="n">
        <f aca="false">IF(BA82=1,IF(DD82=1,EP82+ES82,BB82-GP82)*(1+Slot4_Rate),0)</f>
        <v>0</v>
      </c>
      <c r="HS82" s="1" t="n">
        <f aca="false">IF(AND(DD82=1,BA82=1),(EO82+ES82)/E82,0)</f>
        <v>0</v>
      </c>
      <c r="HT82" s="1" t="n">
        <f aca="false">IF(B82=0,EO82+ES82,0)</f>
        <v>0</v>
      </c>
      <c r="HU82" s="1" t="n">
        <f aca="false">IF(B82=0,IF(DD82=1,EQ82,ER82),0)</f>
        <v>0</v>
      </c>
      <c r="HV82" s="1" t="n">
        <f aca="false">IF(BK82=1,IF(DD82=1,EX82+FA82,BL82-GN82)*(1+Slot5_Rate),0)</f>
        <v>0</v>
      </c>
      <c r="HW82" s="1" t="n">
        <f aca="false">IF(AND(DD82=1,BK82=1),(EW82+FA82)/E82,0)</f>
        <v>0</v>
      </c>
      <c r="HX82" s="1" t="n">
        <f aca="false">IF(B82=0,EW82+FA82,0)</f>
        <v>0</v>
      </c>
      <c r="HY82" s="1" t="n">
        <f aca="false">IF(B82=0,IF(DD82=1,EY82,EZ82),0)</f>
        <v>0</v>
      </c>
      <c r="HZ82" s="1" t="n">
        <f aca="false">IF(BU82=1,IF(DD82=1,FF82+FI82,BV82-GL82)*(1+Slot6_Rate),0)</f>
        <v>0</v>
      </c>
      <c r="IA82" s="1" t="n">
        <f aca="false">IF(AND(DD82=1,BU82=1),(FE82+FI82)/E82,0)</f>
        <v>0</v>
      </c>
      <c r="IB82" s="1" t="n">
        <f aca="false">IF(B82=0,FE82+FI82,0)</f>
        <v>0</v>
      </c>
      <c r="IC82" s="1" t="n">
        <f aca="false">IF(B82=0,IF(DD82=1,FG82,FH82),0)</f>
        <v>0</v>
      </c>
      <c r="ID82" s="1" t="n">
        <f aca="false">IF(CE82=1,IF(DD82=1,FN82+FQ82,CF82-GJ82)*(1+Slot7_Rate),0)</f>
        <v>0</v>
      </c>
      <c r="IE82" s="1" t="n">
        <f aca="false">IF(AND(DD82=1,CE82=1),(FM82+FQ82)/E82,0)</f>
        <v>0</v>
      </c>
      <c r="IF82" s="1" t="n">
        <f aca="false">IF(B82=0,FM82+FQ82,0)</f>
        <v>0</v>
      </c>
      <c r="IG82" s="1" t="n">
        <f aca="false">IF(B82=0,IF(DD82=1,FO82,FP82),0)</f>
        <v>0</v>
      </c>
      <c r="IH82" s="1" t="n">
        <f aca="false">IF(CO82=1,IF(DD82=1,FV82+FY82,CP82-GH82)*(1+Slot8_Rate),0)</f>
        <v>0</v>
      </c>
      <c r="II82" s="1" t="n">
        <f aca="false">IF(AND(DD82=1,CO82=1),(FU82+FY82)/E82,0)</f>
        <v>0</v>
      </c>
      <c r="IJ82" s="1" t="n">
        <f aca="false">IF(B82=0,FU82+FY82,0)</f>
        <v>0</v>
      </c>
      <c r="IK82" s="1" t="n">
        <f aca="false">IF(B82=0,IF(DD82=1,FW82,FX82),0)</f>
        <v>0</v>
      </c>
      <c r="IL82" s="1" t="n">
        <f aca="false">HD82+HE82+HF82+HJ82+HN82+HR82+HV82+HZ82+ID82+IH82</f>
        <v>486178.734471333</v>
      </c>
      <c r="IM82" s="1" t="n">
        <f aca="false">GX82+CY82</f>
        <v>0</v>
      </c>
      <c r="IN82" s="1" t="n">
        <f aca="false">H82+R82</f>
        <v>0</v>
      </c>
      <c r="IO82" s="1" t="n">
        <f aca="false">1-F82</f>
        <v>1</v>
      </c>
      <c r="IP82" s="1" t="n">
        <f aca="false">IF(AND(RG_Exists=1,F82=0,C82=1),H82,0)</f>
        <v>0</v>
      </c>
      <c r="IQ82" s="1" t="n">
        <f aca="false">IF(AND(RG_Exists=1,F82=0,C82=1),H82-MIN(GX82,H82),0)</f>
        <v>0</v>
      </c>
      <c r="IR82" s="1" t="n">
        <f aca="false">'Plan pay &amp; tax'!AD284</f>
        <v>0</v>
      </c>
      <c r="IS82" s="1" t="n">
        <f aca="false">IF(AND(C82=1,GX82&gt;MAX(PR_Short1,IN82*PR_Short2)),1,0)</f>
        <v>0</v>
      </c>
      <c r="IT82" s="1" t="n">
        <f aca="false">MIN(G82,H82+R82)</f>
        <v>0</v>
      </c>
      <c r="IU82" s="1" t="n">
        <f aca="false">GY82+MAX(0,CZ82-CY82)</f>
        <v>0</v>
      </c>
      <c r="IV82" s="1" t="n">
        <f aca="false">GX82+CY82</f>
        <v>0</v>
      </c>
      <c r="IW82" s="1" t="n">
        <f aca="false">IF(AND(C82=1,IV82&gt;0.5),1,0)</f>
        <v>0</v>
      </c>
      <c r="IX82" s="1" t="n">
        <f aca="false">IF(AND(C82=1,IW82=0,IU82&gt;0.5),1,0)</f>
        <v>0</v>
      </c>
      <c r="IY82" s="1" t="n">
        <f aca="false">IF(AND(C82=1,GX82&gt;0.5),1,0)</f>
        <v>0</v>
      </c>
      <c r="IZ82" s="1" t="n">
        <f aca="false">IF(AND(C82=1,GY82&gt;1,JF82=0),1,0)</f>
        <v>0</v>
      </c>
      <c r="JA82" s="1" t="n">
        <f aca="false">IF(AND(INT(D82/10)*10=90,B82&gt;0),80,INT(D82/10)*10)</f>
        <v>70</v>
      </c>
      <c r="JB82" s="1" t="n">
        <f aca="false">IF(B82=0,1,IF(JA82&lt;&gt;JA81,JB81+1,JB81))</f>
        <v>8</v>
      </c>
      <c r="JC82" s="1" t="n">
        <f aca="false">IF(AND(C82=1,F82=1,GX82&gt;MAX(PR_Short1,IN82*PR_Short2)),1,0)</f>
        <v>0</v>
      </c>
      <c r="JD82" s="1" t="n">
        <f aca="false">IO82*IS82</f>
        <v>0</v>
      </c>
      <c r="JE82" s="1" t="n">
        <f aca="false">IF(AND(U82=1,Slot1_PctLow=1),1,0)+IF(AND(AF82=1,Slot2_PctLow=1),1,0)+IF(AND(AP82=1,Slot3_PctLow=1),1,0)+IF(AND(AZ82=1,Slot4_PctLow=1),1,0)+IF(AND(BJ82=1,Slot5_PctLow=1),1,0)+IF(AND(BT82=1,Slot6_PctLow=1),1,0)+IF(AND(CD82=1,Slot7_PctLow=1),1,0)+IF(AND(CN82=1,Slot8_PctLow=1),1,0)</f>
        <v>0</v>
      </c>
      <c r="JF82" s="1" t="n">
        <f aca="false">IF(C82=1,IF(OR(IS82=1,JE82&gt;0),1,0),0)</f>
        <v>0</v>
      </c>
    </row>
    <row r="83" customFormat="false" ht="15" hidden="false" customHeight="false" outlineLevel="0" collapsed="false">
      <c r="B83" s="1" t="n">
        <v>75</v>
      </c>
      <c r="C83" s="1" t="n">
        <f aca="false">IF(B83&lt;=F_N,1,0)</f>
        <v>1</v>
      </c>
      <c r="D83" s="1" t="n">
        <f aca="false">'Plan pay &amp; tax'!C285</f>
        <v>75</v>
      </c>
      <c r="E83" s="106" t="n">
        <f aca="false">'Plan pay &amp; tax'!E285</f>
        <v>4.41583545512767</v>
      </c>
      <c r="F83" s="1" t="n">
        <f aca="false">'Plan pay &amp; tax'!G285</f>
        <v>0</v>
      </c>
      <c r="G83" s="1" t="n">
        <f aca="false">'Plan pay &amp; tax'!BT285-'Plan pay &amp; tax'!BS285-'Plan pay &amp; tax'!R285</f>
        <v>54981.03735154</v>
      </c>
      <c r="H83" s="1" t="n">
        <f aca="false">IF(F83=1,F_CostsM*12,IF(RG_Exists=1,RG_Amount,F_CostsM*12*AS_RetireSpend))*E83+F_OneOffY*E83</f>
        <v>0</v>
      </c>
      <c r="I83" s="1" t="n">
        <f aca="false">DA82</f>
        <v>0</v>
      </c>
      <c r="J83" s="1" t="n">
        <f aca="false">IF(I83&gt;1,'Plan debt months'!AC83,0)</f>
        <v>0</v>
      </c>
      <c r="K83" s="1" t="n">
        <f aca="false">IF(I83&gt;1,'Plan debt months'!AB83,I83)</f>
        <v>0</v>
      </c>
      <c r="L83" s="1" t="n">
        <f aca="false">N82</f>
        <v>0</v>
      </c>
      <c r="M83" s="1" t="n">
        <f aca="false">IF(L83&gt;1,'Plan debt months'!BD83,0)</f>
        <v>0</v>
      </c>
      <c r="N83" s="1" t="n">
        <f aca="false">IF(L83&gt;1,'Plan debt months'!BC83,L83)</f>
        <v>0</v>
      </c>
      <c r="O83" s="1" t="n">
        <f aca="false">Q82</f>
        <v>0</v>
      </c>
      <c r="P83" s="1" t="n">
        <f aca="false">IF(O83&gt;1,'Plan debt months'!CE83,0)</f>
        <v>0</v>
      </c>
      <c r="Q83" s="1" t="n">
        <f aca="false">IF(O83&gt;1,'Plan debt months'!CD83,O83)</f>
        <v>0</v>
      </c>
      <c r="R83" s="1" t="n">
        <f aca="false">J83+M83+P83</f>
        <v>0</v>
      </c>
      <c r="S83" s="1" t="n">
        <f aca="false">HD82+'Plan pay &amp; tax'!Y285</f>
        <v>486178.734471333</v>
      </c>
      <c r="T83" s="1" t="n">
        <f aca="false">HD82</f>
        <v>486178.734471333</v>
      </c>
      <c r="U83" s="1" t="n">
        <f aca="false">IF(AND(Slot1_On=1,D83=Slot1_Age),1,0)</f>
        <v>0</v>
      </c>
      <c r="V83" s="1" t="n">
        <f aca="false">IF(AND(Slot1_On=1,Slot1_Age&gt;D83),1,0)</f>
        <v>0</v>
      </c>
      <c r="W83" s="1" t="n">
        <f aca="false">HF82</f>
        <v>0</v>
      </c>
      <c r="X83" s="1" t="n">
        <f aca="false">U83*MIN(Slot1_Cost,W83)</f>
        <v>0</v>
      </c>
      <c r="Y83" s="1" t="n">
        <f aca="false">U83*Slot1_SpendLike*MIN(Slot1_Cost-X83,S83)</f>
        <v>0</v>
      </c>
      <c r="Z83" s="1" t="n">
        <f aca="false">X83+Y83</f>
        <v>0</v>
      </c>
      <c r="AA83" s="1" t="n">
        <f aca="false">S83-Y83+U83*IF(Slot1_SpendLike=1,W83-X83,IF(Slot1_PotFree=1,W83,0))</f>
        <v>486178.734471333</v>
      </c>
      <c r="AB83" s="1" t="n">
        <f aca="false">AE83+U83*Slot1_BufPot*W83</f>
        <v>0</v>
      </c>
      <c r="AC83" s="1" t="n">
        <f aca="false">IF(AND(U83=1,Slot1_IsMfree=1),IF(Z83&gt;=Slot1_Cost-1,0,MAX(0,K83-Z83)),K83)</f>
        <v>0</v>
      </c>
      <c r="AD83" s="1" t="n">
        <f aca="false">U83*(Slot1_Cost-Z83)</f>
        <v>0</v>
      </c>
      <c r="AE83" s="1" t="n">
        <f aca="false">HE82</f>
        <v>0</v>
      </c>
      <c r="AF83" s="1" t="n">
        <f aca="false">IF(AND(Slot2_On=1,D83=Slot2_Age),1,0)</f>
        <v>0</v>
      </c>
      <c r="AG83" s="1" t="n">
        <f aca="false">IF(AND(Slot2_On=1,Slot2_Age&gt;D83),1,0)</f>
        <v>0</v>
      </c>
      <c r="AH83" s="1" t="n">
        <f aca="false">HJ82</f>
        <v>0</v>
      </c>
      <c r="AI83" s="1" t="n">
        <f aca="false">AF83*MIN(Slot2_Cost,AH83)</f>
        <v>0</v>
      </c>
      <c r="AJ83" s="1" t="n">
        <f aca="false">AF83*Slot2_SpendLike*MIN(Slot2_Cost-AI83,AA83)</f>
        <v>0</v>
      </c>
      <c r="AK83" s="1" t="n">
        <f aca="false">AI83+AJ83</f>
        <v>0</v>
      </c>
      <c r="AL83" s="1" t="n">
        <f aca="false">AA83-AJ83+AF83*IF(Slot2_SpendLike=1,AH83-AI83,IF(Slot2_PotFree=1,AH83,0))</f>
        <v>486178.734471333</v>
      </c>
      <c r="AM83" s="1" t="n">
        <f aca="false">AB83+AF83*Slot2_BufPot*AH83</f>
        <v>0</v>
      </c>
      <c r="AN83" s="1" t="n">
        <f aca="false">IF(AND(AF83=1,Slot2_IsMfree=1),IF(AK83&gt;=Slot2_Cost-1,0,MAX(0,AC83-AK83)),AC83)</f>
        <v>0</v>
      </c>
      <c r="AO83" s="1" t="n">
        <f aca="false">AF83*(Slot2_Cost-AK83)</f>
        <v>0</v>
      </c>
      <c r="AP83" s="1" t="n">
        <f aca="false">IF(AND(Slot3_On=1,D83=Slot3_Age),1,0)</f>
        <v>0</v>
      </c>
      <c r="AQ83" s="1" t="n">
        <f aca="false">IF(AND(Slot3_On=1,Slot3_Age&gt;D83),1,0)</f>
        <v>0</v>
      </c>
      <c r="AR83" s="1" t="n">
        <f aca="false">HN82</f>
        <v>0</v>
      </c>
      <c r="AS83" s="1" t="n">
        <f aca="false">AP83*MIN(Slot3_Cost,AR83)</f>
        <v>0</v>
      </c>
      <c r="AT83" s="1" t="n">
        <f aca="false">AP83*Slot3_SpendLike*MIN(Slot3_Cost-AS83,AL83)</f>
        <v>0</v>
      </c>
      <c r="AU83" s="1" t="n">
        <f aca="false">AS83+AT83</f>
        <v>0</v>
      </c>
      <c r="AV83" s="1" t="n">
        <f aca="false">AL83-AT83+AP83*IF(Slot3_SpendLike=1,AR83-AS83,IF(Slot3_PotFree=1,AR83,0))</f>
        <v>486178.734471333</v>
      </c>
      <c r="AW83" s="1" t="n">
        <f aca="false">AM83+AP83*Slot3_BufPot*AR83</f>
        <v>0</v>
      </c>
      <c r="AX83" s="1" t="n">
        <f aca="false">IF(AND(AP83=1,Slot3_IsMfree=1),IF(AU83&gt;=Slot3_Cost-1,0,MAX(0,AN83-AU83)),AN83)</f>
        <v>0</v>
      </c>
      <c r="AY83" s="1" t="n">
        <f aca="false">AP83*(Slot3_Cost-AU83)</f>
        <v>0</v>
      </c>
      <c r="AZ83" s="1" t="n">
        <f aca="false">IF(AND(Slot4_On=1,D83=Slot4_Age),1,0)</f>
        <v>0</v>
      </c>
      <c r="BA83" s="1" t="n">
        <f aca="false">IF(AND(Slot4_On=1,Slot4_Age&gt;D83),1,0)</f>
        <v>0</v>
      </c>
      <c r="BB83" s="1" t="n">
        <f aca="false">HR82</f>
        <v>0</v>
      </c>
      <c r="BC83" s="1" t="n">
        <f aca="false">AZ83*MIN(Slot4_Cost,BB83)</f>
        <v>0</v>
      </c>
      <c r="BD83" s="1" t="n">
        <f aca="false">AZ83*Slot4_SpendLike*MIN(Slot4_Cost-BC83,AV83)</f>
        <v>0</v>
      </c>
      <c r="BE83" s="1" t="n">
        <f aca="false">BC83+BD83</f>
        <v>0</v>
      </c>
      <c r="BF83" s="1" t="n">
        <f aca="false">AV83-BD83+AZ83*IF(Slot4_SpendLike=1,BB83-BC83,IF(Slot4_PotFree=1,BB83,0))</f>
        <v>486178.734471333</v>
      </c>
      <c r="BG83" s="1" t="n">
        <f aca="false">AW83+AZ83*Slot4_BufPot*BB83</f>
        <v>0</v>
      </c>
      <c r="BH83" s="1" t="n">
        <f aca="false">IF(AND(AZ83=1,Slot4_IsMfree=1),IF(BE83&gt;=Slot4_Cost-1,0,MAX(0,AX83-BE83)),AX83)</f>
        <v>0</v>
      </c>
      <c r="BI83" s="1" t="n">
        <f aca="false">AZ83*(Slot4_Cost-BE83)</f>
        <v>0</v>
      </c>
      <c r="BJ83" s="1" t="n">
        <f aca="false">IF(AND(Slot5_On=1,D83=Slot5_Age),1,0)</f>
        <v>0</v>
      </c>
      <c r="BK83" s="1" t="n">
        <f aca="false">IF(AND(Slot5_On=1,Slot5_Age&gt;D83),1,0)</f>
        <v>0</v>
      </c>
      <c r="BL83" s="1" t="n">
        <f aca="false">HV82</f>
        <v>0</v>
      </c>
      <c r="BM83" s="1" t="n">
        <f aca="false">BJ83*MIN(Slot5_Cost,BL83)</f>
        <v>0</v>
      </c>
      <c r="BN83" s="1" t="n">
        <f aca="false">BJ83*Slot5_SpendLike*MIN(Slot5_Cost-BM83,BF83)</f>
        <v>0</v>
      </c>
      <c r="BO83" s="1" t="n">
        <f aca="false">BM83+BN83</f>
        <v>0</v>
      </c>
      <c r="BP83" s="1" t="n">
        <f aca="false">BF83-BN83+BJ83*IF(Slot5_SpendLike=1,BL83-BM83,IF(Slot5_PotFree=1,BL83,0))</f>
        <v>486178.734471333</v>
      </c>
      <c r="BQ83" s="1" t="n">
        <f aca="false">BG83+BJ83*Slot5_BufPot*BL83</f>
        <v>0</v>
      </c>
      <c r="BR83" s="1" t="n">
        <f aca="false">IF(AND(BJ83=1,Slot5_IsMfree=1),IF(BO83&gt;=Slot5_Cost-1,0,MAX(0,BH83-BO83)),BH83)</f>
        <v>0</v>
      </c>
      <c r="BS83" s="1" t="n">
        <f aca="false">BJ83*(Slot5_Cost-BO83)</f>
        <v>0</v>
      </c>
      <c r="BT83" s="1" t="n">
        <f aca="false">IF(AND(Slot6_On=1,D83=Slot6_Age),1,0)</f>
        <v>0</v>
      </c>
      <c r="BU83" s="1" t="n">
        <f aca="false">IF(AND(Slot6_On=1,Slot6_Age&gt;D83),1,0)</f>
        <v>0</v>
      </c>
      <c r="BV83" s="1" t="n">
        <f aca="false">HZ82</f>
        <v>0</v>
      </c>
      <c r="BW83" s="1" t="n">
        <f aca="false">BT83*MIN(Slot6_Cost,BV83)</f>
        <v>0</v>
      </c>
      <c r="BX83" s="1" t="n">
        <f aca="false">BT83*Slot6_SpendLike*MIN(Slot6_Cost-BW83,BP83)</f>
        <v>0</v>
      </c>
      <c r="BY83" s="1" t="n">
        <f aca="false">BW83+BX83</f>
        <v>0</v>
      </c>
      <c r="BZ83" s="1" t="n">
        <f aca="false">BP83-BX83+BT83*IF(Slot6_SpendLike=1,BV83-BW83,IF(Slot6_PotFree=1,BV83,0))</f>
        <v>486178.734471333</v>
      </c>
      <c r="CA83" s="1" t="n">
        <f aca="false">BQ83+BT83*Slot6_BufPot*BV83</f>
        <v>0</v>
      </c>
      <c r="CB83" s="1" t="n">
        <f aca="false">IF(AND(BT83=1,Slot6_IsMfree=1),IF(BY83&gt;=Slot6_Cost-1,0,MAX(0,BR83-BY83)),BR83)</f>
        <v>0</v>
      </c>
      <c r="CC83" s="1" t="n">
        <f aca="false">BT83*(Slot6_Cost-BY83)</f>
        <v>0</v>
      </c>
      <c r="CD83" s="1" t="n">
        <f aca="false">IF(AND(Slot7_On=1,D83=Slot7_Age),1,0)</f>
        <v>0</v>
      </c>
      <c r="CE83" s="1" t="n">
        <f aca="false">IF(AND(Slot7_On=1,Slot7_Age&gt;D83),1,0)</f>
        <v>0</v>
      </c>
      <c r="CF83" s="1" t="n">
        <f aca="false">ID82</f>
        <v>0</v>
      </c>
      <c r="CG83" s="1" t="n">
        <f aca="false">CD83*MIN(Slot7_Cost,CF83)</f>
        <v>0</v>
      </c>
      <c r="CH83" s="1" t="n">
        <f aca="false">CD83*Slot7_SpendLike*MIN(Slot7_Cost-CG83,BZ83)</f>
        <v>0</v>
      </c>
      <c r="CI83" s="1" t="n">
        <f aca="false">CG83+CH83</f>
        <v>0</v>
      </c>
      <c r="CJ83" s="1" t="n">
        <f aca="false">BZ83-CH83+CD83*IF(Slot7_SpendLike=1,CF83-CG83,IF(Slot7_PotFree=1,CF83,0))</f>
        <v>486178.734471333</v>
      </c>
      <c r="CK83" s="1" t="n">
        <f aca="false">CA83+CD83*Slot7_BufPot*CF83</f>
        <v>0</v>
      </c>
      <c r="CL83" s="1" t="n">
        <f aca="false">IF(AND(CD83=1,Slot7_IsMfree=1),IF(CI83&gt;=Slot7_Cost-1,0,MAX(0,CB83-CI83)),CB83)</f>
        <v>0</v>
      </c>
      <c r="CM83" s="1" t="n">
        <f aca="false">CD83*(Slot7_Cost-CI83)</f>
        <v>0</v>
      </c>
      <c r="CN83" s="1" t="n">
        <f aca="false">IF(AND(Slot8_On=1,D83=Slot8_Age),1,0)</f>
        <v>0</v>
      </c>
      <c r="CO83" s="1" t="n">
        <f aca="false">IF(AND(Slot8_On=1,Slot8_Age&gt;D83),1,0)</f>
        <v>0</v>
      </c>
      <c r="CP83" s="1" t="n">
        <f aca="false">IH82</f>
        <v>0</v>
      </c>
      <c r="CQ83" s="1" t="n">
        <f aca="false">CN83*MIN(Slot8_Cost,CP83)</f>
        <v>0</v>
      </c>
      <c r="CR83" s="1" t="n">
        <f aca="false">CN83*Slot8_SpendLike*MIN(Slot8_Cost-CQ83,CJ83)</f>
        <v>0</v>
      </c>
      <c r="CS83" s="1" t="n">
        <f aca="false">CQ83+CR83</f>
        <v>0</v>
      </c>
      <c r="CT83" s="1" t="n">
        <f aca="false">CJ83-CR83+CN83*IF(Slot8_SpendLike=1,CP83-CQ83,IF(Slot8_PotFree=1,CP83,0))</f>
        <v>486178.734471333</v>
      </c>
      <c r="CU83" s="1" t="n">
        <f aca="false">CK83+CN83*Slot8_BufPot*CP83</f>
        <v>0</v>
      </c>
      <c r="CV83" s="1" t="n">
        <f aca="false">IF(AND(CN83=1,Slot8_IsMfree=1),IF(CS83&gt;=Slot8_Cost-1,0,MAX(0,CL83-CS83)),CL83)</f>
        <v>0</v>
      </c>
      <c r="CW83" s="1" t="n">
        <f aca="false">CN83*(Slot8_Cost-CS83)</f>
        <v>0</v>
      </c>
      <c r="CX83" s="1" t="n">
        <f aca="false">U83*Slot1_SpendLike*Z83+AF83*Slot2_SpendLike*AK83+AP83*Slot3_SpendLike*AU83+AZ83*Slot4_SpendLike*BE83+BJ83*Slot5_SpendLike*BO83+BT83*Slot6_SpendLike*BY83+CD83*Slot7_SpendLike*CI83+CN83*Slot8_SpendLike*CS83</f>
        <v>0</v>
      </c>
      <c r="CY83" s="1" t="n">
        <f aca="false">AD83+AO83+AY83+BI83+BS83+CC83+CM83+CW83</f>
        <v>0</v>
      </c>
      <c r="CZ83" s="1" t="n">
        <f aca="false">U83*Slot1_Cost+AF83*Slot2_Cost+AP83*Slot3_Cost+AZ83*Slot4_Cost+BJ83*Slot5_Cost+BT83*Slot6_Cost+CD83*Slot7_Cost+CN83*Slot8_Cost</f>
        <v>0</v>
      </c>
      <c r="DA83" s="1" t="n">
        <f aca="false">CV83</f>
        <v>0</v>
      </c>
      <c r="DB83" s="1" t="n">
        <f aca="false">G83-H83-R83</f>
        <v>54981.03735154</v>
      </c>
      <c r="DC83" s="1" t="n">
        <f aca="false">IF(B83=0,IF(AND(Has_q6=1,In_q6=4),PR_ShareVaries*(MAX(0,DB83)/12),MIN(IF(Has_q6=1,CHOOSE(In_q6+1,PR_SaveB1,PR_SaveB2,PR_SaveB3,PR_SaveB4,0),AS_NoAnswer),AS_SaveShare*(MAX(0,DB83)/12))),DC82)</f>
        <v>0</v>
      </c>
      <c r="DD83" s="1" t="n">
        <f aca="false">IF(DB83&gt;=0,1,0)</f>
        <v>1</v>
      </c>
      <c r="DE83" s="1" t="n">
        <f aca="false">MAX(0,DB83/12/E83)</f>
        <v>1037.57333333333</v>
      </c>
      <c r="DF83" s="1" t="n">
        <f aca="false">IF(AND(Has_q6=1,In_q6=4),PR_ShareVaries*(DE83),MIN(IF(Has_q6=1,CHOOSE(In_q6+1,PR_SaveB1,PR_SaveB2,PR_SaveB3,PR_SaveB4,0),AS_NoAnswer),AS_SaveShare*(DE83)))</f>
        <v>300</v>
      </c>
      <c r="DG83" s="1" t="n">
        <f aca="false">IF(Has_saveM=1,IF(In_saveUp="Yes",1,IF(In_saveUp="No",0,IF(In_saveM&gt;=DC83-0.5,1,0))),0)</f>
        <v>0</v>
      </c>
      <c r="DH83" s="1" t="n">
        <f aca="false">IF(Has_saveM=1,MIN(DE83,IF(DG83=1,MAX(In_saveM,DF83),MIN(In_saveM,DF83))),DF83)</f>
        <v>300</v>
      </c>
      <c r="DI83" s="1" t="n">
        <f aca="false">IF(F83=1,DH83*12*E83,0)</f>
        <v>0</v>
      </c>
      <c r="DJ83" s="1" t="n">
        <f aca="false">MAX(0,DI83+IF(AND(WI_Retire=0,WI_M&lt;0,F83=1),WI_M*12*E83,0))</f>
        <v>0</v>
      </c>
      <c r="DK83" s="1" t="n">
        <f aca="false">Slot1_IsWG*V83+Slot2_IsWG*AG83+Slot3_IsWG*AQ83+Slot4_IsWG*BA83+Slot5_IsWG*BK83+Slot6_IsWG*BU83+Slot7_IsWG*CE83+Slot8_IsWG*CO83</f>
        <v>0</v>
      </c>
      <c r="DL83" s="1" t="n">
        <f aca="false">IF(AND(WI_Retire=0,WI_M&gt;0,F83=1,DK83&gt;=1),WI_M*12*E83,0)</f>
        <v>0</v>
      </c>
      <c r="DM83" s="1" t="n">
        <f aca="false">IF(DD83=1,MIN(DJ83,DB83),0)</f>
        <v>0</v>
      </c>
      <c r="DN83" s="1" t="n">
        <f aca="false">IF(DD83=1,MIN(DL83,DB83-DM83),0)</f>
        <v>0</v>
      </c>
      <c r="DO83" s="1" t="n">
        <f aca="false">IF(V83=1,IF(ABS((1+AS_Wage)/(1+Slot1_Rate)-1)&lt;0.000000000001,(Slot1_Age-D83)*(1+Slot1_Rate)^(Slot1_Age-D83),(1+Slot1_Rate)^(Slot1_Age-D83)*(1-((1+AS_Wage)/(1+Slot1_Rate))^(Slot1_Age-D83))/(1-(1+AS_Wage)/(1+Slot1_Rate))),1)</f>
        <v>1</v>
      </c>
      <c r="DP83" s="1" t="n">
        <f aca="false">IF(AND(DD83=1,DN83&gt;0,Slot1_IsWG=1,V83=1),MAX(0,(Slot1_Cost-W83*(1+Slot1_Rate)^(Slot1_Age-D83))/DO83),0)</f>
        <v>0</v>
      </c>
      <c r="DQ83" s="1" t="n">
        <f aca="false">IF(AND(DD83=1,DN83&gt;0,Slot1_IsWG=1,V83=1),MIN(DN83,DP83),0)</f>
        <v>0</v>
      </c>
      <c r="DR83" s="1" t="n">
        <f aca="false">W83+DQ83</f>
        <v>0</v>
      </c>
      <c r="DS83" s="1" t="n">
        <f aca="false">IF(V83=1,MAX(0,(Slot1_Cost-DR83*(1+Slot1_Rate)^(Slot1_Age-D83))/DO83),0)</f>
        <v>0</v>
      </c>
      <c r="DT83" s="1" t="n">
        <f aca="false">IF(V83=1,MAX(0,(Slot1_Cost-W83*(1+Slot1_Rate)^(Slot1_Age-D83))/DO83),0)</f>
        <v>0</v>
      </c>
      <c r="DU83" s="1" t="n">
        <f aca="false">IF(AND(DD83=1,V83=1),MIN(DM83,DS83),0)</f>
        <v>0</v>
      </c>
      <c r="DV83" s="1" t="n">
        <f aca="false">DM83-DU83</f>
        <v>0</v>
      </c>
      <c r="DW83" s="1" t="n">
        <f aca="false">IF(AG83=1,IF(ABS((1+AS_Wage)/(1+Slot2_Rate)-1)&lt;0.000000000001,(Slot2_Age-D83)*(1+Slot2_Rate)^(Slot2_Age-D83),(1+Slot2_Rate)^(Slot2_Age-D83)*(1-((1+AS_Wage)/(1+Slot2_Rate))^(Slot2_Age-D83))/(1-(1+AS_Wage)/(1+Slot2_Rate))),1)</f>
        <v>1</v>
      </c>
      <c r="DX83" s="1" t="n">
        <f aca="false">IF(AND(DD83=1,DN83&gt;0,Slot2_IsWG=1,AG83=1),MAX(0,(Slot2_Cost-AH83*(1+Slot2_Rate)^(Slot2_Age-D83))/DW83),0)</f>
        <v>0</v>
      </c>
      <c r="DY83" s="1" t="n">
        <f aca="false">IF(AND(DD83=1,DN83&gt;0,Slot2_IsWG=1,AG83=1),MIN(DN83,DX83),0)</f>
        <v>0</v>
      </c>
      <c r="DZ83" s="1" t="n">
        <f aca="false">AH83+DY83</f>
        <v>0</v>
      </c>
      <c r="EA83" s="1" t="n">
        <f aca="false">IF(AG83=1,MAX(0,(Slot2_Cost-DZ83*(1+Slot2_Rate)^(Slot2_Age-D83))/DW83),0)</f>
        <v>0</v>
      </c>
      <c r="EB83" s="1" t="n">
        <f aca="false">IF(AG83=1,MAX(0,(Slot2_Cost-AH83*(1+Slot2_Rate)^(Slot2_Age-D83))/DW83),0)</f>
        <v>0</v>
      </c>
      <c r="EC83" s="1" t="n">
        <f aca="false">IF(AND(DD83=1,AG83=1),MIN(DV83,EA83),0)</f>
        <v>0</v>
      </c>
      <c r="ED83" s="1" t="n">
        <f aca="false">DV83-EC83</f>
        <v>0</v>
      </c>
      <c r="EE83" s="1" t="n">
        <f aca="false">IF(AQ83=1,IF(ABS((1+AS_Wage)/(1+Slot3_Rate)-1)&lt;0.000000000001,(Slot3_Age-D83)*(1+Slot3_Rate)^(Slot3_Age-D83),(1+Slot3_Rate)^(Slot3_Age-D83)*(1-((1+AS_Wage)/(1+Slot3_Rate))^(Slot3_Age-D83))/(1-(1+AS_Wage)/(1+Slot3_Rate))),1)</f>
        <v>1</v>
      </c>
      <c r="EF83" s="1" t="n">
        <f aca="false">IF(AND(DD83=1,DN83&gt;0,Slot3_IsWG=1,AQ83=1),MAX(0,(Slot3_Cost-AR83*(1+Slot3_Rate)^(Slot3_Age-D83))/EE83),0)</f>
        <v>0</v>
      </c>
      <c r="EG83" s="1" t="n">
        <f aca="false">IF(AND(DD83=1,DN83&gt;0,Slot3_IsWG=1,AQ83=1),MIN(DN83,EF83),0)</f>
        <v>0</v>
      </c>
      <c r="EH83" s="1" t="n">
        <f aca="false">AR83+EG83</f>
        <v>0</v>
      </c>
      <c r="EI83" s="1" t="n">
        <f aca="false">IF(AQ83=1,MAX(0,(Slot3_Cost-EH83*(1+Slot3_Rate)^(Slot3_Age-D83))/EE83),0)</f>
        <v>0</v>
      </c>
      <c r="EJ83" s="1" t="n">
        <f aca="false">IF(AQ83=1,MAX(0,(Slot3_Cost-AR83*(1+Slot3_Rate)^(Slot3_Age-D83))/EE83),0)</f>
        <v>0</v>
      </c>
      <c r="EK83" s="1" t="n">
        <f aca="false">IF(AND(DD83=1,AQ83=1),MIN(ED83,EI83),0)</f>
        <v>0</v>
      </c>
      <c r="EL83" s="1" t="n">
        <f aca="false">ED83-EK83</f>
        <v>0</v>
      </c>
      <c r="EM83" s="1" t="n">
        <f aca="false">IF(BA83=1,IF(ABS((1+AS_Wage)/(1+Slot4_Rate)-1)&lt;0.000000000001,(Slot4_Age-D83)*(1+Slot4_Rate)^(Slot4_Age-D83),(1+Slot4_Rate)^(Slot4_Age-D83)*(1-((1+AS_Wage)/(1+Slot4_Rate))^(Slot4_Age-D83))/(1-(1+AS_Wage)/(1+Slot4_Rate))),1)</f>
        <v>1</v>
      </c>
      <c r="EN83" s="1" t="n">
        <f aca="false">IF(AND(DD83=1,DN83&gt;0,Slot4_IsWG=1,BA83=1),MAX(0,(Slot4_Cost-BB83*(1+Slot4_Rate)^(Slot4_Age-D83))/EM83),0)</f>
        <v>0</v>
      </c>
      <c r="EO83" s="1" t="n">
        <f aca="false">IF(AND(DD83=1,DN83&gt;0,Slot4_IsWG=1,BA83=1),MIN(DN83,EN83),0)</f>
        <v>0</v>
      </c>
      <c r="EP83" s="1" t="n">
        <f aca="false">BB83+EO83</f>
        <v>0</v>
      </c>
      <c r="EQ83" s="1" t="n">
        <f aca="false">IF(BA83=1,MAX(0,(Slot4_Cost-EP83*(1+Slot4_Rate)^(Slot4_Age-D83))/EM83),0)</f>
        <v>0</v>
      </c>
      <c r="ER83" s="1" t="n">
        <f aca="false">IF(BA83=1,MAX(0,(Slot4_Cost-BB83*(1+Slot4_Rate)^(Slot4_Age-D83))/EM83),0)</f>
        <v>0</v>
      </c>
      <c r="ES83" s="1" t="n">
        <f aca="false">IF(AND(DD83=1,BA83=1),MIN(EL83,EQ83),0)</f>
        <v>0</v>
      </c>
      <c r="ET83" s="1" t="n">
        <f aca="false">EL83-ES83</f>
        <v>0</v>
      </c>
      <c r="EU83" s="1" t="n">
        <f aca="false">IF(BK83=1,IF(ABS((1+AS_Wage)/(1+Slot5_Rate)-1)&lt;0.000000000001,(Slot5_Age-D83)*(1+Slot5_Rate)^(Slot5_Age-D83),(1+Slot5_Rate)^(Slot5_Age-D83)*(1-((1+AS_Wage)/(1+Slot5_Rate))^(Slot5_Age-D83))/(1-(1+AS_Wage)/(1+Slot5_Rate))),1)</f>
        <v>1</v>
      </c>
      <c r="EV83" s="1" t="n">
        <f aca="false">IF(AND(DD83=1,DN83&gt;0,Slot5_IsWG=1,BK83=1),MAX(0,(Slot5_Cost-BL83*(1+Slot5_Rate)^(Slot5_Age-D83))/EU83),0)</f>
        <v>0</v>
      </c>
      <c r="EW83" s="1" t="n">
        <f aca="false">IF(AND(DD83=1,DN83&gt;0,Slot5_IsWG=1,BK83=1),MIN(DN83,EV83),0)</f>
        <v>0</v>
      </c>
      <c r="EX83" s="1" t="n">
        <f aca="false">BL83+EW83</f>
        <v>0</v>
      </c>
      <c r="EY83" s="1" t="n">
        <f aca="false">IF(BK83=1,MAX(0,(Slot5_Cost-EX83*(1+Slot5_Rate)^(Slot5_Age-D83))/EU83),0)</f>
        <v>0</v>
      </c>
      <c r="EZ83" s="1" t="n">
        <f aca="false">IF(BK83=1,MAX(0,(Slot5_Cost-BL83*(1+Slot5_Rate)^(Slot5_Age-D83))/EU83),0)</f>
        <v>0</v>
      </c>
      <c r="FA83" s="1" t="n">
        <f aca="false">IF(AND(DD83=1,BK83=1),MIN(ET83,EY83),0)</f>
        <v>0</v>
      </c>
      <c r="FB83" s="1" t="n">
        <f aca="false">ET83-FA83</f>
        <v>0</v>
      </c>
      <c r="FC83" s="1" t="n">
        <f aca="false">IF(BU83=1,IF(ABS((1+AS_Wage)/(1+Slot6_Rate)-1)&lt;0.000000000001,(Slot6_Age-D83)*(1+Slot6_Rate)^(Slot6_Age-D83),(1+Slot6_Rate)^(Slot6_Age-D83)*(1-((1+AS_Wage)/(1+Slot6_Rate))^(Slot6_Age-D83))/(1-(1+AS_Wage)/(1+Slot6_Rate))),1)</f>
        <v>1</v>
      </c>
      <c r="FD83" s="1" t="n">
        <f aca="false">IF(AND(DD83=1,DN83&gt;0,Slot6_IsWG=1,BU83=1),MAX(0,(Slot6_Cost-BV83*(1+Slot6_Rate)^(Slot6_Age-D83))/FC83),0)</f>
        <v>0</v>
      </c>
      <c r="FE83" s="1" t="n">
        <f aca="false">IF(AND(DD83=1,DN83&gt;0,Slot6_IsWG=1,BU83=1),MIN(DN83,FD83),0)</f>
        <v>0</v>
      </c>
      <c r="FF83" s="1" t="n">
        <f aca="false">BV83+FE83</f>
        <v>0</v>
      </c>
      <c r="FG83" s="1" t="n">
        <f aca="false">IF(BU83=1,MAX(0,(Slot6_Cost-FF83*(1+Slot6_Rate)^(Slot6_Age-D83))/FC83),0)</f>
        <v>0</v>
      </c>
      <c r="FH83" s="1" t="n">
        <f aca="false">IF(BU83=1,MAX(0,(Slot6_Cost-BV83*(1+Slot6_Rate)^(Slot6_Age-D83))/FC83),0)</f>
        <v>0</v>
      </c>
      <c r="FI83" s="1" t="n">
        <f aca="false">IF(AND(DD83=1,BU83=1),MIN(FB83,FG83),0)</f>
        <v>0</v>
      </c>
      <c r="FJ83" s="1" t="n">
        <f aca="false">FB83-FI83</f>
        <v>0</v>
      </c>
      <c r="FK83" s="1" t="n">
        <f aca="false">IF(CE83=1,IF(ABS((1+AS_Wage)/(1+Slot7_Rate)-1)&lt;0.000000000001,(Slot7_Age-D83)*(1+Slot7_Rate)^(Slot7_Age-D83),(1+Slot7_Rate)^(Slot7_Age-D83)*(1-((1+AS_Wage)/(1+Slot7_Rate))^(Slot7_Age-D83))/(1-(1+AS_Wage)/(1+Slot7_Rate))),1)</f>
        <v>1</v>
      </c>
      <c r="FL83" s="1" t="n">
        <f aca="false">IF(AND(DD83=1,DN83&gt;0,Slot7_IsWG=1,CE83=1),MAX(0,(Slot7_Cost-CF83*(1+Slot7_Rate)^(Slot7_Age-D83))/FK83),0)</f>
        <v>0</v>
      </c>
      <c r="FM83" s="1" t="n">
        <f aca="false">IF(AND(DD83=1,DN83&gt;0,Slot7_IsWG=1,CE83=1),MIN(DN83,FL83),0)</f>
        <v>0</v>
      </c>
      <c r="FN83" s="1" t="n">
        <f aca="false">CF83+FM83</f>
        <v>0</v>
      </c>
      <c r="FO83" s="1" t="n">
        <f aca="false">IF(CE83=1,MAX(0,(Slot7_Cost-FN83*(1+Slot7_Rate)^(Slot7_Age-D83))/FK83),0)</f>
        <v>0</v>
      </c>
      <c r="FP83" s="1" t="n">
        <f aca="false">IF(CE83=1,MAX(0,(Slot7_Cost-CF83*(1+Slot7_Rate)^(Slot7_Age-D83))/FK83),0)</f>
        <v>0</v>
      </c>
      <c r="FQ83" s="1" t="n">
        <f aca="false">IF(AND(DD83=1,CE83=1),MIN(FJ83,FO83),0)</f>
        <v>0</v>
      </c>
      <c r="FR83" s="1" t="n">
        <f aca="false">FJ83-FQ83</f>
        <v>0</v>
      </c>
      <c r="FS83" s="1" t="n">
        <f aca="false">IF(CO83=1,IF(ABS((1+AS_Wage)/(1+Slot8_Rate)-1)&lt;0.000000000001,(Slot8_Age-D83)*(1+Slot8_Rate)^(Slot8_Age-D83),(1+Slot8_Rate)^(Slot8_Age-D83)*(1-((1+AS_Wage)/(1+Slot8_Rate))^(Slot8_Age-D83))/(1-(1+AS_Wage)/(1+Slot8_Rate))),1)</f>
        <v>1</v>
      </c>
      <c r="FT83" s="1" t="n">
        <f aca="false">IF(AND(DD83=1,DN83&gt;0,Slot8_IsWG=1,CO83=1),MAX(0,(Slot8_Cost-CP83*(1+Slot8_Rate)^(Slot8_Age-D83))/FS83),0)</f>
        <v>0</v>
      </c>
      <c r="FU83" s="1" t="n">
        <f aca="false">IF(AND(DD83=1,DN83&gt;0,Slot8_IsWG=1,CO83=1),MIN(DN83,FT83),0)</f>
        <v>0</v>
      </c>
      <c r="FV83" s="1" t="n">
        <f aca="false">CP83+FU83</f>
        <v>0</v>
      </c>
      <c r="FW83" s="1" t="n">
        <f aca="false">IF(CO83=1,MAX(0,(Slot8_Cost-FV83*(1+Slot8_Rate)^(Slot8_Age-D83))/FS83),0)</f>
        <v>0</v>
      </c>
      <c r="FX83" s="1" t="n">
        <f aca="false">IF(CO83=1,MAX(0,(Slot8_Cost-CP83*(1+Slot8_Rate)^(Slot8_Age-D83))/FS83),0)</f>
        <v>0</v>
      </c>
      <c r="FY83" s="1" t="n">
        <f aca="false">IF(AND(DD83=1,CO83=1),MIN(FR83,FW83),0)</f>
        <v>0</v>
      </c>
      <c r="FZ83" s="1" t="n">
        <f aca="false">FR83-FY83</f>
        <v>0</v>
      </c>
      <c r="GA83" s="1" t="n">
        <f aca="false">DN83-(DQ83+DY83+EG83+EO83+EW83+FE83+FM83+FU83)</f>
        <v>0</v>
      </c>
      <c r="GB83" s="1" t="n">
        <f aca="false">IF(DD83=1,DB83-DM83-DN83,0)</f>
        <v>54981.03735154</v>
      </c>
      <c r="GC83" s="1" t="n">
        <f aca="false">IF(DD83=0,-DB83,0)</f>
        <v>0</v>
      </c>
      <c r="GD83" s="1" t="n">
        <f aca="false">MIN(GC83,CT83)</f>
        <v>0</v>
      </c>
      <c r="GE83" s="1" t="n">
        <f aca="false">GC83-GD83</f>
        <v>0</v>
      </c>
      <c r="GF83" s="1" t="n">
        <f aca="false">MIN(GE83,CU83)</f>
        <v>0</v>
      </c>
      <c r="GG83" s="1" t="n">
        <f aca="false">GE83-GF83</f>
        <v>0</v>
      </c>
      <c r="GH83" s="1" t="n">
        <f aca="false">IF(AND(DD83=0,CO83=1,GG83&gt;0),MIN(GG83,CP83),0)</f>
        <v>0</v>
      </c>
      <c r="GI83" s="1" t="n">
        <f aca="false">GG83-GH83</f>
        <v>0</v>
      </c>
      <c r="GJ83" s="1" t="n">
        <f aca="false">IF(AND(DD83=0,CE83=1,GI83&gt;0),MIN(GI83,CF83),0)</f>
        <v>0</v>
      </c>
      <c r="GK83" s="1" t="n">
        <f aca="false">GI83-GJ83</f>
        <v>0</v>
      </c>
      <c r="GL83" s="1" t="n">
        <f aca="false">IF(AND(DD83=0,BU83=1,GK83&gt;0),MIN(GK83,BV83),0)</f>
        <v>0</v>
      </c>
      <c r="GM83" s="1" t="n">
        <f aca="false">GK83-GL83</f>
        <v>0</v>
      </c>
      <c r="GN83" s="1" t="n">
        <f aca="false">IF(AND(DD83=0,BK83=1,GM83&gt;0),MIN(GM83,BL83),0)</f>
        <v>0</v>
      </c>
      <c r="GO83" s="1" t="n">
        <f aca="false">GM83-GN83</f>
        <v>0</v>
      </c>
      <c r="GP83" s="1" t="n">
        <f aca="false">IF(AND(DD83=0,BA83=1,GO83&gt;0),MIN(GO83,BB83),0)</f>
        <v>0</v>
      </c>
      <c r="GQ83" s="1" t="n">
        <f aca="false">GO83-GP83</f>
        <v>0</v>
      </c>
      <c r="GR83" s="1" t="n">
        <f aca="false">IF(AND(DD83=0,AQ83=1,GQ83&gt;0),MIN(GQ83,AR83),0)</f>
        <v>0</v>
      </c>
      <c r="GS83" s="1" t="n">
        <f aca="false">GQ83-GR83</f>
        <v>0</v>
      </c>
      <c r="GT83" s="1" t="n">
        <f aca="false">IF(AND(DD83=0,AG83=1,GS83&gt;0),MIN(GS83,AH83),0)</f>
        <v>0</v>
      </c>
      <c r="GU83" s="1" t="n">
        <f aca="false">GS83-GT83</f>
        <v>0</v>
      </c>
      <c r="GV83" s="1" t="n">
        <f aca="false">IF(AND(DD83=0,V83=1,GU83&gt;0),MIN(GU83,W83),0)</f>
        <v>0</v>
      </c>
      <c r="GW83" s="1" t="n">
        <f aca="false">GU83-GV83</f>
        <v>0</v>
      </c>
      <c r="GX83" s="1" t="n">
        <f aca="false">IF(DD83=0,GW83,0)</f>
        <v>0</v>
      </c>
      <c r="GY83" s="1" t="n">
        <f aca="false">GD83+GF83+GV83+GT83+GR83+GP83+GN83+GL83+GJ83+GH83</f>
        <v>0</v>
      </c>
      <c r="GZ83" s="1" t="n">
        <f aca="false">IF(DD83=1,CT83+GA83+FZ83+IF(F83=1,0,GB83),CT83-GD83)</f>
        <v>541159.771822873</v>
      </c>
      <c r="HA83" s="1" t="n">
        <f aca="false">CU83-GF83</f>
        <v>0</v>
      </c>
      <c r="HB83" s="1" t="n">
        <f aca="false">IF(DD83=1,IF(F83=1,DM83+DN83,DB83),0)</f>
        <v>54981.03735154</v>
      </c>
      <c r="HC83" s="1" t="n">
        <f aca="false">IF(DD83=1,IF(F83=1,DB83-DM83-DN83,0),0)</f>
        <v>0</v>
      </c>
      <c r="HD83" s="1" t="n">
        <f aca="false">GZ83*(1+GR)</f>
        <v>550034.792080768</v>
      </c>
      <c r="HE83" s="1" t="n">
        <f aca="false">HA83*(1+AS_Cash)</f>
        <v>0</v>
      </c>
      <c r="HF83" s="1" t="n">
        <f aca="false">IF(V83=1,IF(DD83=1,DR83+DU83,W83-GV83)*(1+Slot1_Rate),0)</f>
        <v>0</v>
      </c>
      <c r="HG83" s="1" t="n">
        <f aca="false">IF(AND(DD83=1,V83=1),(DQ83+DU83)/E83,0)</f>
        <v>0</v>
      </c>
      <c r="HH83" s="1" t="n">
        <f aca="false">IF(B83=0,DQ83+DU83,0)</f>
        <v>0</v>
      </c>
      <c r="HI83" s="1" t="n">
        <f aca="false">IF(B83=0,IF(DD83=1,DS83,DT83),0)</f>
        <v>0</v>
      </c>
      <c r="HJ83" s="1" t="n">
        <f aca="false">IF(AG83=1,IF(DD83=1,DZ83+EC83,AH83-GT83)*(1+Slot2_Rate),0)</f>
        <v>0</v>
      </c>
      <c r="HK83" s="1" t="n">
        <f aca="false">IF(AND(DD83=1,AG83=1),(DY83+EC83)/E83,0)</f>
        <v>0</v>
      </c>
      <c r="HL83" s="1" t="n">
        <f aca="false">IF(B83=0,DY83+EC83,0)</f>
        <v>0</v>
      </c>
      <c r="HM83" s="1" t="n">
        <f aca="false">IF(B83=0,IF(DD83=1,EA83,EB83),0)</f>
        <v>0</v>
      </c>
      <c r="HN83" s="1" t="n">
        <f aca="false">IF(AQ83=1,IF(DD83=1,EH83+EK83,AR83-GR83)*(1+Slot3_Rate),0)</f>
        <v>0</v>
      </c>
      <c r="HO83" s="1" t="n">
        <f aca="false">IF(AND(DD83=1,AQ83=1),(EG83+EK83)/E83,0)</f>
        <v>0</v>
      </c>
      <c r="HP83" s="1" t="n">
        <f aca="false">IF(B83=0,EG83+EK83,0)</f>
        <v>0</v>
      </c>
      <c r="HQ83" s="1" t="n">
        <f aca="false">IF(B83=0,IF(DD83=1,EI83,EJ83),0)</f>
        <v>0</v>
      </c>
      <c r="HR83" s="1" t="n">
        <f aca="false">IF(BA83=1,IF(DD83=1,EP83+ES83,BB83-GP83)*(1+Slot4_Rate),0)</f>
        <v>0</v>
      </c>
      <c r="HS83" s="1" t="n">
        <f aca="false">IF(AND(DD83=1,BA83=1),(EO83+ES83)/E83,0)</f>
        <v>0</v>
      </c>
      <c r="HT83" s="1" t="n">
        <f aca="false">IF(B83=0,EO83+ES83,0)</f>
        <v>0</v>
      </c>
      <c r="HU83" s="1" t="n">
        <f aca="false">IF(B83=0,IF(DD83=1,EQ83,ER83),0)</f>
        <v>0</v>
      </c>
      <c r="HV83" s="1" t="n">
        <f aca="false">IF(BK83=1,IF(DD83=1,EX83+FA83,BL83-GN83)*(1+Slot5_Rate),0)</f>
        <v>0</v>
      </c>
      <c r="HW83" s="1" t="n">
        <f aca="false">IF(AND(DD83=1,BK83=1),(EW83+FA83)/E83,0)</f>
        <v>0</v>
      </c>
      <c r="HX83" s="1" t="n">
        <f aca="false">IF(B83=0,EW83+FA83,0)</f>
        <v>0</v>
      </c>
      <c r="HY83" s="1" t="n">
        <f aca="false">IF(B83=0,IF(DD83=1,EY83,EZ83),0)</f>
        <v>0</v>
      </c>
      <c r="HZ83" s="1" t="n">
        <f aca="false">IF(BU83=1,IF(DD83=1,FF83+FI83,BV83-GL83)*(1+Slot6_Rate),0)</f>
        <v>0</v>
      </c>
      <c r="IA83" s="1" t="n">
        <f aca="false">IF(AND(DD83=1,BU83=1),(FE83+FI83)/E83,0)</f>
        <v>0</v>
      </c>
      <c r="IB83" s="1" t="n">
        <f aca="false">IF(B83=0,FE83+FI83,0)</f>
        <v>0</v>
      </c>
      <c r="IC83" s="1" t="n">
        <f aca="false">IF(B83=0,IF(DD83=1,FG83,FH83),0)</f>
        <v>0</v>
      </c>
      <c r="ID83" s="1" t="n">
        <f aca="false">IF(CE83=1,IF(DD83=1,FN83+FQ83,CF83-GJ83)*(1+Slot7_Rate),0)</f>
        <v>0</v>
      </c>
      <c r="IE83" s="1" t="n">
        <f aca="false">IF(AND(DD83=1,CE83=1),(FM83+FQ83)/E83,0)</f>
        <v>0</v>
      </c>
      <c r="IF83" s="1" t="n">
        <f aca="false">IF(B83=0,FM83+FQ83,0)</f>
        <v>0</v>
      </c>
      <c r="IG83" s="1" t="n">
        <f aca="false">IF(B83=0,IF(DD83=1,FO83,FP83),0)</f>
        <v>0</v>
      </c>
      <c r="IH83" s="1" t="n">
        <f aca="false">IF(CO83=1,IF(DD83=1,FV83+FY83,CP83-GH83)*(1+Slot8_Rate),0)</f>
        <v>0</v>
      </c>
      <c r="II83" s="1" t="n">
        <f aca="false">IF(AND(DD83=1,CO83=1),(FU83+FY83)/E83,0)</f>
        <v>0</v>
      </c>
      <c r="IJ83" s="1" t="n">
        <f aca="false">IF(B83=0,FU83+FY83,0)</f>
        <v>0</v>
      </c>
      <c r="IK83" s="1" t="n">
        <f aca="false">IF(B83=0,IF(DD83=1,FW83,FX83),0)</f>
        <v>0</v>
      </c>
      <c r="IL83" s="1" t="n">
        <f aca="false">HD83+HE83+HF83+HJ83+HN83+HR83+HV83+HZ83+ID83+IH83</f>
        <v>550034.792080768</v>
      </c>
      <c r="IM83" s="1" t="n">
        <f aca="false">GX83+CY83</f>
        <v>0</v>
      </c>
      <c r="IN83" s="1" t="n">
        <f aca="false">H83+R83</f>
        <v>0</v>
      </c>
      <c r="IO83" s="1" t="n">
        <f aca="false">1-F83</f>
        <v>1</v>
      </c>
      <c r="IP83" s="1" t="n">
        <f aca="false">IF(AND(RG_Exists=1,F83=0,C83=1),H83,0)</f>
        <v>0</v>
      </c>
      <c r="IQ83" s="1" t="n">
        <f aca="false">IF(AND(RG_Exists=1,F83=0,C83=1),H83-MIN(GX83,H83),0)</f>
        <v>0</v>
      </c>
      <c r="IR83" s="1" t="n">
        <f aca="false">'Plan pay &amp; tax'!AD285</f>
        <v>0</v>
      </c>
      <c r="IS83" s="1" t="n">
        <f aca="false">IF(AND(C83=1,GX83&gt;MAX(PR_Short1,IN83*PR_Short2)),1,0)</f>
        <v>0</v>
      </c>
      <c r="IT83" s="1" t="n">
        <f aca="false">MIN(G83,H83+R83)</f>
        <v>0</v>
      </c>
      <c r="IU83" s="1" t="n">
        <f aca="false">GY83+MAX(0,CZ83-CY83)</f>
        <v>0</v>
      </c>
      <c r="IV83" s="1" t="n">
        <f aca="false">GX83+CY83</f>
        <v>0</v>
      </c>
      <c r="IW83" s="1" t="n">
        <f aca="false">IF(AND(C83=1,IV83&gt;0.5),1,0)</f>
        <v>0</v>
      </c>
      <c r="IX83" s="1" t="n">
        <f aca="false">IF(AND(C83=1,IW83=0,IU83&gt;0.5),1,0)</f>
        <v>0</v>
      </c>
      <c r="IY83" s="1" t="n">
        <f aca="false">IF(AND(C83=1,GX83&gt;0.5),1,0)</f>
        <v>0</v>
      </c>
      <c r="IZ83" s="1" t="n">
        <f aca="false">IF(AND(C83=1,GY83&gt;1,JF83=0),1,0)</f>
        <v>0</v>
      </c>
      <c r="JA83" s="1" t="n">
        <f aca="false">IF(AND(INT(D83/10)*10=90,B83&gt;0),80,INT(D83/10)*10)</f>
        <v>70</v>
      </c>
      <c r="JB83" s="1" t="n">
        <f aca="false">IF(B83=0,1,IF(JA83&lt;&gt;JA82,JB82+1,JB82))</f>
        <v>8</v>
      </c>
      <c r="JC83" s="1" t="n">
        <f aca="false">IF(AND(C83=1,F83=1,GX83&gt;MAX(PR_Short1,IN83*PR_Short2)),1,0)</f>
        <v>0</v>
      </c>
      <c r="JD83" s="1" t="n">
        <f aca="false">IO83*IS83</f>
        <v>0</v>
      </c>
      <c r="JE83" s="1" t="n">
        <f aca="false">IF(AND(U83=1,Slot1_PctLow=1),1,0)+IF(AND(AF83=1,Slot2_PctLow=1),1,0)+IF(AND(AP83=1,Slot3_PctLow=1),1,0)+IF(AND(AZ83=1,Slot4_PctLow=1),1,0)+IF(AND(BJ83=1,Slot5_PctLow=1),1,0)+IF(AND(BT83=1,Slot6_PctLow=1),1,0)+IF(AND(CD83=1,Slot7_PctLow=1),1,0)+IF(AND(CN83=1,Slot8_PctLow=1),1,0)</f>
        <v>0</v>
      </c>
      <c r="JF83" s="1" t="n">
        <f aca="false">IF(C83=1,IF(OR(IS83=1,JE83&gt;0),1,0),0)</f>
        <v>0</v>
      </c>
    </row>
    <row r="84" customFormat="false" ht="15" hidden="false" customHeight="false" outlineLevel="0" collapsed="false">
      <c r="B84" s="1" t="n">
        <v>76</v>
      </c>
      <c r="C84" s="1" t="n">
        <f aca="false">IF(B84&lt;=F_N,1,0)</f>
        <v>1</v>
      </c>
      <c r="D84" s="1" t="n">
        <f aca="false">'Plan pay &amp; tax'!C286</f>
        <v>76</v>
      </c>
      <c r="E84" s="106" t="n">
        <f aca="false">'Plan pay &amp; tax'!E286</f>
        <v>4.50415216423022</v>
      </c>
      <c r="F84" s="1" t="n">
        <f aca="false">'Plan pay &amp; tax'!G286</f>
        <v>0</v>
      </c>
      <c r="G84" s="1" t="n">
        <f aca="false">'Plan pay &amp; tax'!BT286-'Plan pay &amp; tax'!BS286-'Plan pay &amp; tax'!R286</f>
        <v>56080.6580985708</v>
      </c>
      <c r="H84" s="1" t="n">
        <f aca="false">IF(F84=1,F_CostsM*12,IF(RG_Exists=1,RG_Amount,F_CostsM*12*AS_RetireSpend))*E84+F_OneOffY*E84</f>
        <v>0</v>
      </c>
      <c r="I84" s="1" t="n">
        <f aca="false">DA83</f>
        <v>0</v>
      </c>
      <c r="J84" s="1" t="n">
        <f aca="false">IF(I84&gt;1,'Plan debt months'!AC84,0)</f>
        <v>0</v>
      </c>
      <c r="K84" s="1" t="n">
        <f aca="false">IF(I84&gt;1,'Plan debt months'!AB84,I84)</f>
        <v>0</v>
      </c>
      <c r="L84" s="1" t="n">
        <f aca="false">N83</f>
        <v>0</v>
      </c>
      <c r="M84" s="1" t="n">
        <f aca="false">IF(L84&gt;1,'Plan debt months'!BD84,0)</f>
        <v>0</v>
      </c>
      <c r="N84" s="1" t="n">
        <f aca="false">IF(L84&gt;1,'Plan debt months'!BC84,L84)</f>
        <v>0</v>
      </c>
      <c r="O84" s="1" t="n">
        <f aca="false">Q83</f>
        <v>0</v>
      </c>
      <c r="P84" s="1" t="n">
        <f aca="false">IF(O84&gt;1,'Plan debt months'!CE84,0)</f>
        <v>0</v>
      </c>
      <c r="Q84" s="1" t="n">
        <f aca="false">IF(O84&gt;1,'Plan debt months'!CD84,O84)</f>
        <v>0</v>
      </c>
      <c r="R84" s="1" t="n">
        <f aca="false">J84+M84+P84</f>
        <v>0</v>
      </c>
      <c r="S84" s="1" t="n">
        <f aca="false">HD83+'Plan pay &amp; tax'!Y286</f>
        <v>550034.792080768</v>
      </c>
      <c r="T84" s="1" t="n">
        <f aca="false">HD83</f>
        <v>550034.792080768</v>
      </c>
      <c r="U84" s="1" t="n">
        <f aca="false">IF(AND(Slot1_On=1,D84=Slot1_Age),1,0)</f>
        <v>0</v>
      </c>
      <c r="V84" s="1" t="n">
        <f aca="false">IF(AND(Slot1_On=1,Slot1_Age&gt;D84),1,0)</f>
        <v>0</v>
      </c>
      <c r="W84" s="1" t="n">
        <f aca="false">HF83</f>
        <v>0</v>
      </c>
      <c r="X84" s="1" t="n">
        <f aca="false">U84*MIN(Slot1_Cost,W84)</f>
        <v>0</v>
      </c>
      <c r="Y84" s="1" t="n">
        <f aca="false">U84*Slot1_SpendLike*MIN(Slot1_Cost-X84,S84)</f>
        <v>0</v>
      </c>
      <c r="Z84" s="1" t="n">
        <f aca="false">X84+Y84</f>
        <v>0</v>
      </c>
      <c r="AA84" s="1" t="n">
        <f aca="false">S84-Y84+U84*IF(Slot1_SpendLike=1,W84-X84,IF(Slot1_PotFree=1,W84,0))</f>
        <v>550034.792080768</v>
      </c>
      <c r="AB84" s="1" t="n">
        <f aca="false">AE84+U84*Slot1_BufPot*W84</f>
        <v>0</v>
      </c>
      <c r="AC84" s="1" t="n">
        <f aca="false">IF(AND(U84=1,Slot1_IsMfree=1),IF(Z84&gt;=Slot1_Cost-1,0,MAX(0,K84-Z84)),K84)</f>
        <v>0</v>
      </c>
      <c r="AD84" s="1" t="n">
        <f aca="false">U84*(Slot1_Cost-Z84)</f>
        <v>0</v>
      </c>
      <c r="AE84" s="1" t="n">
        <f aca="false">HE83</f>
        <v>0</v>
      </c>
      <c r="AF84" s="1" t="n">
        <f aca="false">IF(AND(Slot2_On=1,D84=Slot2_Age),1,0)</f>
        <v>0</v>
      </c>
      <c r="AG84" s="1" t="n">
        <f aca="false">IF(AND(Slot2_On=1,Slot2_Age&gt;D84),1,0)</f>
        <v>0</v>
      </c>
      <c r="AH84" s="1" t="n">
        <f aca="false">HJ83</f>
        <v>0</v>
      </c>
      <c r="AI84" s="1" t="n">
        <f aca="false">AF84*MIN(Slot2_Cost,AH84)</f>
        <v>0</v>
      </c>
      <c r="AJ84" s="1" t="n">
        <f aca="false">AF84*Slot2_SpendLike*MIN(Slot2_Cost-AI84,AA84)</f>
        <v>0</v>
      </c>
      <c r="AK84" s="1" t="n">
        <f aca="false">AI84+AJ84</f>
        <v>0</v>
      </c>
      <c r="AL84" s="1" t="n">
        <f aca="false">AA84-AJ84+AF84*IF(Slot2_SpendLike=1,AH84-AI84,IF(Slot2_PotFree=1,AH84,0))</f>
        <v>550034.792080768</v>
      </c>
      <c r="AM84" s="1" t="n">
        <f aca="false">AB84+AF84*Slot2_BufPot*AH84</f>
        <v>0</v>
      </c>
      <c r="AN84" s="1" t="n">
        <f aca="false">IF(AND(AF84=1,Slot2_IsMfree=1),IF(AK84&gt;=Slot2_Cost-1,0,MAX(0,AC84-AK84)),AC84)</f>
        <v>0</v>
      </c>
      <c r="AO84" s="1" t="n">
        <f aca="false">AF84*(Slot2_Cost-AK84)</f>
        <v>0</v>
      </c>
      <c r="AP84" s="1" t="n">
        <f aca="false">IF(AND(Slot3_On=1,D84=Slot3_Age),1,0)</f>
        <v>0</v>
      </c>
      <c r="AQ84" s="1" t="n">
        <f aca="false">IF(AND(Slot3_On=1,Slot3_Age&gt;D84),1,0)</f>
        <v>0</v>
      </c>
      <c r="AR84" s="1" t="n">
        <f aca="false">HN83</f>
        <v>0</v>
      </c>
      <c r="AS84" s="1" t="n">
        <f aca="false">AP84*MIN(Slot3_Cost,AR84)</f>
        <v>0</v>
      </c>
      <c r="AT84" s="1" t="n">
        <f aca="false">AP84*Slot3_SpendLike*MIN(Slot3_Cost-AS84,AL84)</f>
        <v>0</v>
      </c>
      <c r="AU84" s="1" t="n">
        <f aca="false">AS84+AT84</f>
        <v>0</v>
      </c>
      <c r="AV84" s="1" t="n">
        <f aca="false">AL84-AT84+AP84*IF(Slot3_SpendLike=1,AR84-AS84,IF(Slot3_PotFree=1,AR84,0))</f>
        <v>550034.792080768</v>
      </c>
      <c r="AW84" s="1" t="n">
        <f aca="false">AM84+AP84*Slot3_BufPot*AR84</f>
        <v>0</v>
      </c>
      <c r="AX84" s="1" t="n">
        <f aca="false">IF(AND(AP84=1,Slot3_IsMfree=1),IF(AU84&gt;=Slot3_Cost-1,0,MAX(0,AN84-AU84)),AN84)</f>
        <v>0</v>
      </c>
      <c r="AY84" s="1" t="n">
        <f aca="false">AP84*(Slot3_Cost-AU84)</f>
        <v>0</v>
      </c>
      <c r="AZ84" s="1" t="n">
        <f aca="false">IF(AND(Slot4_On=1,D84=Slot4_Age),1,0)</f>
        <v>0</v>
      </c>
      <c r="BA84" s="1" t="n">
        <f aca="false">IF(AND(Slot4_On=1,Slot4_Age&gt;D84),1,0)</f>
        <v>0</v>
      </c>
      <c r="BB84" s="1" t="n">
        <f aca="false">HR83</f>
        <v>0</v>
      </c>
      <c r="BC84" s="1" t="n">
        <f aca="false">AZ84*MIN(Slot4_Cost,BB84)</f>
        <v>0</v>
      </c>
      <c r="BD84" s="1" t="n">
        <f aca="false">AZ84*Slot4_SpendLike*MIN(Slot4_Cost-BC84,AV84)</f>
        <v>0</v>
      </c>
      <c r="BE84" s="1" t="n">
        <f aca="false">BC84+BD84</f>
        <v>0</v>
      </c>
      <c r="BF84" s="1" t="n">
        <f aca="false">AV84-BD84+AZ84*IF(Slot4_SpendLike=1,BB84-BC84,IF(Slot4_PotFree=1,BB84,0))</f>
        <v>550034.792080768</v>
      </c>
      <c r="BG84" s="1" t="n">
        <f aca="false">AW84+AZ84*Slot4_BufPot*BB84</f>
        <v>0</v>
      </c>
      <c r="BH84" s="1" t="n">
        <f aca="false">IF(AND(AZ84=1,Slot4_IsMfree=1),IF(BE84&gt;=Slot4_Cost-1,0,MAX(0,AX84-BE84)),AX84)</f>
        <v>0</v>
      </c>
      <c r="BI84" s="1" t="n">
        <f aca="false">AZ84*(Slot4_Cost-BE84)</f>
        <v>0</v>
      </c>
      <c r="BJ84" s="1" t="n">
        <f aca="false">IF(AND(Slot5_On=1,D84=Slot5_Age),1,0)</f>
        <v>0</v>
      </c>
      <c r="BK84" s="1" t="n">
        <f aca="false">IF(AND(Slot5_On=1,Slot5_Age&gt;D84),1,0)</f>
        <v>0</v>
      </c>
      <c r="BL84" s="1" t="n">
        <f aca="false">HV83</f>
        <v>0</v>
      </c>
      <c r="BM84" s="1" t="n">
        <f aca="false">BJ84*MIN(Slot5_Cost,BL84)</f>
        <v>0</v>
      </c>
      <c r="BN84" s="1" t="n">
        <f aca="false">BJ84*Slot5_SpendLike*MIN(Slot5_Cost-BM84,BF84)</f>
        <v>0</v>
      </c>
      <c r="BO84" s="1" t="n">
        <f aca="false">BM84+BN84</f>
        <v>0</v>
      </c>
      <c r="BP84" s="1" t="n">
        <f aca="false">BF84-BN84+BJ84*IF(Slot5_SpendLike=1,BL84-BM84,IF(Slot5_PotFree=1,BL84,0))</f>
        <v>550034.792080768</v>
      </c>
      <c r="BQ84" s="1" t="n">
        <f aca="false">BG84+BJ84*Slot5_BufPot*BL84</f>
        <v>0</v>
      </c>
      <c r="BR84" s="1" t="n">
        <f aca="false">IF(AND(BJ84=1,Slot5_IsMfree=1),IF(BO84&gt;=Slot5_Cost-1,0,MAX(0,BH84-BO84)),BH84)</f>
        <v>0</v>
      </c>
      <c r="BS84" s="1" t="n">
        <f aca="false">BJ84*(Slot5_Cost-BO84)</f>
        <v>0</v>
      </c>
      <c r="BT84" s="1" t="n">
        <f aca="false">IF(AND(Slot6_On=1,D84=Slot6_Age),1,0)</f>
        <v>0</v>
      </c>
      <c r="BU84" s="1" t="n">
        <f aca="false">IF(AND(Slot6_On=1,Slot6_Age&gt;D84),1,0)</f>
        <v>0</v>
      </c>
      <c r="BV84" s="1" t="n">
        <f aca="false">HZ83</f>
        <v>0</v>
      </c>
      <c r="BW84" s="1" t="n">
        <f aca="false">BT84*MIN(Slot6_Cost,BV84)</f>
        <v>0</v>
      </c>
      <c r="BX84" s="1" t="n">
        <f aca="false">BT84*Slot6_SpendLike*MIN(Slot6_Cost-BW84,BP84)</f>
        <v>0</v>
      </c>
      <c r="BY84" s="1" t="n">
        <f aca="false">BW84+BX84</f>
        <v>0</v>
      </c>
      <c r="BZ84" s="1" t="n">
        <f aca="false">BP84-BX84+BT84*IF(Slot6_SpendLike=1,BV84-BW84,IF(Slot6_PotFree=1,BV84,0))</f>
        <v>550034.792080768</v>
      </c>
      <c r="CA84" s="1" t="n">
        <f aca="false">BQ84+BT84*Slot6_BufPot*BV84</f>
        <v>0</v>
      </c>
      <c r="CB84" s="1" t="n">
        <f aca="false">IF(AND(BT84=1,Slot6_IsMfree=1),IF(BY84&gt;=Slot6_Cost-1,0,MAX(0,BR84-BY84)),BR84)</f>
        <v>0</v>
      </c>
      <c r="CC84" s="1" t="n">
        <f aca="false">BT84*(Slot6_Cost-BY84)</f>
        <v>0</v>
      </c>
      <c r="CD84" s="1" t="n">
        <f aca="false">IF(AND(Slot7_On=1,D84=Slot7_Age),1,0)</f>
        <v>0</v>
      </c>
      <c r="CE84" s="1" t="n">
        <f aca="false">IF(AND(Slot7_On=1,Slot7_Age&gt;D84),1,0)</f>
        <v>0</v>
      </c>
      <c r="CF84" s="1" t="n">
        <f aca="false">ID83</f>
        <v>0</v>
      </c>
      <c r="CG84" s="1" t="n">
        <f aca="false">CD84*MIN(Slot7_Cost,CF84)</f>
        <v>0</v>
      </c>
      <c r="CH84" s="1" t="n">
        <f aca="false">CD84*Slot7_SpendLike*MIN(Slot7_Cost-CG84,BZ84)</f>
        <v>0</v>
      </c>
      <c r="CI84" s="1" t="n">
        <f aca="false">CG84+CH84</f>
        <v>0</v>
      </c>
      <c r="CJ84" s="1" t="n">
        <f aca="false">BZ84-CH84+CD84*IF(Slot7_SpendLike=1,CF84-CG84,IF(Slot7_PotFree=1,CF84,0))</f>
        <v>550034.792080768</v>
      </c>
      <c r="CK84" s="1" t="n">
        <f aca="false">CA84+CD84*Slot7_BufPot*CF84</f>
        <v>0</v>
      </c>
      <c r="CL84" s="1" t="n">
        <f aca="false">IF(AND(CD84=1,Slot7_IsMfree=1),IF(CI84&gt;=Slot7_Cost-1,0,MAX(0,CB84-CI84)),CB84)</f>
        <v>0</v>
      </c>
      <c r="CM84" s="1" t="n">
        <f aca="false">CD84*(Slot7_Cost-CI84)</f>
        <v>0</v>
      </c>
      <c r="CN84" s="1" t="n">
        <f aca="false">IF(AND(Slot8_On=1,D84=Slot8_Age),1,0)</f>
        <v>0</v>
      </c>
      <c r="CO84" s="1" t="n">
        <f aca="false">IF(AND(Slot8_On=1,Slot8_Age&gt;D84),1,0)</f>
        <v>0</v>
      </c>
      <c r="CP84" s="1" t="n">
        <f aca="false">IH83</f>
        <v>0</v>
      </c>
      <c r="CQ84" s="1" t="n">
        <f aca="false">CN84*MIN(Slot8_Cost,CP84)</f>
        <v>0</v>
      </c>
      <c r="CR84" s="1" t="n">
        <f aca="false">CN84*Slot8_SpendLike*MIN(Slot8_Cost-CQ84,CJ84)</f>
        <v>0</v>
      </c>
      <c r="CS84" s="1" t="n">
        <f aca="false">CQ84+CR84</f>
        <v>0</v>
      </c>
      <c r="CT84" s="1" t="n">
        <f aca="false">CJ84-CR84+CN84*IF(Slot8_SpendLike=1,CP84-CQ84,IF(Slot8_PotFree=1,CP84,0))</f>
        <v>550034.792080768</v>
      </c>
      <c r="CU84" s="1" t="n">
        <f aca="false">CK84+CN84*Slot8_BufPot*CP84</f>
        <v>0</v>
      </c>
      <c r="CV84" s="1" t="n">
        <f aca="false">IF(AND(CN84=1,Slot8_IsMfree=1),IF(CS84&gt;=Slot8_Cost-1,0,MAX(0,CL84-CS84)),CL84)</f>
        <v>0</v>
      </c>
      <c r="CW84" s="1" t="n">
        <f aca="false">CN84*(Slot8_Cost-CS84)</f>
        <v>0</v>
      </c>
      <c r="CX84" s="1" t="n">
        <f aca="false">U84*Slot1_SpendLike*Z84+AF84*Slot2_SpendLike*AK84+AP84*Slot3_SpendLike*AU84+AZ84*Slot4_SpendLike*BE84+BJ84*Slot5_SpendLike*BO84+BT84*Slot6_SpendLike*BY84+CD84*Slot7_SpendLike*CI84+CN84*Slot8_SpendLike*CS84</f>
        <v>0</v>
      </c>
      <c r="CY84" s="1" t="n">
        <f aca="false">AD84+AO84+AY84+BI84+BS84+CC84+CM84+CW84</f>
        <v>0</v>
      </c>
      <c r="CZ84" s="1" t="n">
        <f aca="false">U84*Slot1_Cost+AF84*Slot2_Cost+AP84*Slot3_Cost+AZ84*Slot4_Cost+BJ84*Slot5_Cost+BT84*Slot6_Cost+CD84*Slot7_Cost+CN84*Slot8_Cost</f>
        <v>0</v>
      </c>
      <c r="DA84" s="1" t="n">
        <f aca="false">CV84</f>
        <v>0</v>
      </c>
      <c r="DB84" s="1" t="n">
        <f aca="false">G84-H84-R84</f>
        <v>56080.6580985708</v>
      </c>
      <c r="DC84" s="1" t="n">
        <f aca="false">IF(B84=0,IF(AND(Has_q6=1,In_q6=4),PR_ShareVaries*(MAX(0,DB84)/12),MIN(IF(Has_q6=1,CHOOSE(In_q6+1,PR_SaveB1,PR_SaveB2,PR_SaveB3,PR_SaveB4,0),AS_NoAnswer),AS_SaveShare*(MAX(0,DB84)/12))),DC83)</f>
        <v>0</v>
      </c>
      <c r="DD84" s="1" t="n">
        <f aca="false">IF(DB84&gt;=0,1,0)</f>
        <v>1</v>
      </c>
      <c r="DE84" s="1" t="n">
        <f aca="false">MAX(0,DB84/12/E84)</f>
        <v>1037.57333333333</v>
      </c>
      <c r="DF84" s="1" t="n">
        <f aca="false">IF(AND(Has_q6=1,In_q6=4),PR_ShareVaries*(DE84),MIN(IF(Has_q6=1,CHOOSE(In_q6+1,PR_SaveB1,PR_SaveB2,PR_SaveB3,PR_SaveB4,0),AS_NoAnswer),AS_SaveShare*(DE84)))</f>
        <v>300</v>
      </c>
      <c r="DG84" s="1" t="n">
        <f aca="false">IF(Has_saveM=1,IF(In_saveUp="Yes",1,IF(In_saveUp="No",0,IF(In_saveM&gt;=DC84-0.5,1,0))),0)</f>
        <v>0</v>
      </c>
      <c r="DH84" s="1" t="n">
        <f aca="false">IF(Has_saveM=1,MIN(DE84,IF(DG84=1,MAX(In_saveM,DF84),MIN(In_saveM,DF84))),DF84)</f>
        <v>300</v>
      </c>
      <c r="DI84" s="1" t="n">
        <f aca="false">IF(F84=1,DH84*12*E84,0)</f>
        <v>0</v>
      </c>
      <c r="DJ84" s="1" t="n">
        <f aca="false">MAX(0,DI84+IF(AND(WI_Retire=0,WI_M&lt;0,F84=1),WI_M*12*E84,0))</f>
        <v>0</v>
      </c>
      <c r="DK84" s="1" t="n">
        <f aca="false">Slot1_IsWG*V84+Slot2_IsWG*AG84+Slot3_IsWG*AQ84+Slot4_IsWG*BA84+Slot5_IsWG*BK84+Slot6_IsWG*BU84+Slot7_IsWG*CE84+Slot8_IsWG*CO84</f>
        <v>0</v>
      </c>
      <c r="DL84" s="1" t="n">
        <f aca="false">IF(AND(WI_Retire=0,WI_M&gt;0,F84=1,DK84&gt;=1),WI_M*12*E84,0)</f>
        <v>0</v>
      </c>
      <c r="DM84" s="1" t="n">
        <f aca="false">IF(DD84=1,MIN(DJ84,DB84),0)</f>
        <v>0</v>
      </c>
      <c r="DN84" s="1" t="n">
        <f aca="false">IF(DD84=1,MIN(DL84,DB84-DM84),0)</f>
        <v>0</v>
      </c>
      <c r="DO84" s="1" t="n">
        <f aca="false">IF(V84=1,IF(ABS((1+AS_Wage)/(1+Slot1_Rate)-1)&lt;0.000000000001,(Slot1_Age-D84)*(1+Slot1_Rate)^(Slot1_Age-D84),(1+Slot1_Rate)^(Slot1_Age-D84)*(1-((1+AS_Wage)/(1+Slot1_Rate))^(Slot1_Age-D84))/(1-(1+AS_Wage)/(1+Slot1_Rate))),1)</f>
        <v>1</v>
      </c>
      <c r="DP84" s="1" t="n">
        <f aca="false">IF(AND(DD84=1,DN84&gt;0,Slot1_IsWG=1,V84=1),MAX(0,(Slot1_Cost-W84*(1+Slot1_Rate)^(Slot1_Age-D84))/DO84),0)</f>
        <v>0</v>
      </c>
      <c r="DQ84" s="1" t="n">
        <f aca="false">IF(AND(DD84=1,DN84&gt;0,Slot1_IsWG=1,V84=1),MIN(DN84,DP84),0)</f>
        <v>0</v>
      </c>
      <c r="DR84" s="1" t="n">
        <f aca="false">W84+DQ84</f>
        <v>0</v>
      </c>
      <c r="DS84" s="1" t="n">
        <f aca="false">IF(V84=1,MAX(0,(Slot1_Cost-DR84*(1+Slot1_Rate)^(Slot1_Age-D84))/DO84),0)</f>
        <v>0</v>
      </c>
      <c r="DT84" s="1" t="n">
        <f aca="false">IF(V84=1,MAX(0,(Slot1_Cost-W84*(1+Slot1_Rate)^(Slot1_Age-D84))/DO84),0)</f>
        <v>0</v>
      </c>
      <c r="DU84" s="1" t="n">
        <f aca="false">IF(AND(DD84=1,V84=1),MIN(DM84,DS84),0)</f>
        <v>0</v>
      </c>
      <c r="DV84" s="1" t="n">
        <f aca="false">DM84-DU84</f>
        <v>0</v>
      </c>
      <c r="DW84" s="1" t="n">
        <f aca="false">IF(AG84=1,IF(ABS((1+AS_Wage)/(1+Slot2_Rate)-1)&lt;0.000000000001,(Slot2_Age-D84)*(1+Slot2_Rate)^(Slot2_Age-D84),(1+Slot2_Rate)^(Slot2_Age-D84)*(1-((1+AS_Wage)/(1+Slot2_Rate))^(Slot2_Age-D84))/(1-(1+AS_Wage)/(1+Slot2_Rate))),1)</f>
        <v>1</v>
      </c>
      <c r="DX84" s="1" t="n">
        <f aca="false">IF(AND(DD84=1,DN84&gt;0,Slot2_IsWG=1,AG84=1),MAX(0,(Slot2_Cost-AH84*(1+Slot2_Rate)^(Slot2_Age-D84))/DW84),0)</f>
        <v>0</v>
      </c>
      <c r="DY84" s="1" t="n">
        <f aca="false">IF(AND(DD84=1,DN84&gt;0,Slot2_IsWG=1,AG84=1),MIN(DN84,DX84),0)</f>
        <v>0</v>
      </c>
      <c r="DZ84" s="1" t="n">
        <f aca="false">AH84+DY84</f>
        <v>0</v>
      </c>
      <c r="EA84" s="1" t="n">
        <f aca="false">IF(AG84=1,MAX(0,(Slot2_Cost-DZ84*(1+Slot2_Rate)^(Slot2_Age-D84))/DW84),0)</f>
        <v>0</v>
      </c>
      <c r="EB84" s="1" t="n">
        <f aca="false">IF(AG84=1,MAX(0,(Slot2_Cost-AH84*(1+Slot2_Rate)^(Slot2_Age-D84))/DW84),0)</f>
        <v>0</v>
      </c>
      <c r="EC84" s="1" t="n">
        <f aca="false">IF(AND(DD84=1,AG84=1),MIN(DV84,EA84),0)</f>
        <v>0</v>
      </c>
      <c r="ED84" s="1" t="n">
        <f aca="false">DV84-EC84</f>
        <v>0</v>
      </c>
      <c r="EE84" s="1" t="n">
        <f aca="false">IF(AQ84=1,IF(ABS((1+AS_Wage)/(1+Slot3_Rate)-1)&lt;0.000000000001,(Slot3_Age-D84)*(1+Slot3_Rate)^(Slot3_Age-D84),(1+Slot3_Rate)^(Slot3_Age-D84)*(1-((1+AS_Wage)/(1+Slot3_Rate))^(Slot3_Age-D84))/(1-(1+AS_Wage)/(1+Slot3_Rate))),1)</f>
        <v>1</v>
      </c>
      <c r="EF84" s="1" t="n">
        <f aca="false">IF(AND(DD84=1,DN84&gt;0,Slot3_IsWG=1,AQ84=1),MAX(0,(Slot3_Cost-AR84*(1+Slot3_Rate)^(Slot3_Age-D84))/EE84),0)</f>
        <v>0</v>
      </c>
      <c r="EG84" s="1" t="n">
        <f aca="false">IF(AND(DD84=1,DN84&gt;0,Slot3_IsWG=1,AQ84=1),MIN(DN84,EF84),0)</f>
        <v>0</v>
      </c>
      <c r="EH84" s="1" t="n">
        <f aca="false">AR84+EG84</f>
        <v>0</v>
      </c>
      <c r="EI84" s="1" t="n">
        <f aca="false">IF(AQ84=1,MAX(0,(Slot3_Cost-EH84*(1+Slot3_Rate)^(Slot3_Age-D84))/EE84),0)</f>
        <v>0</v>
      </c>
      <c r="EJ84" s="1" t="n">
        <f aca="false">IF(AQ84=1,MAX(0,(Slot3_Cost-AR84*(1+Slot3_Rate)^(Slot3_Age-D84))/EE84),0)</f>
        <v>0</v>
      </c>
      <c r="EK84" s="1" t="n">
        <f aca="false">IF(AND(DD84=1,AQ84=1),MIN(ED84,EI84),0)</f>
        <v>0</v>
      </c>
      <c r="EL84" s="1" t="n">
        <f aca="false">ED84-EK84</f>
        <v>0</v>
      </c>
      <c r="EM84" s="1" t="n">
        <f aca="false">IF(BA84=1,IF(ABS((1+AS_Wage)/(1+Slot4_Rate)-1)&lt;0.000000000001,(Slot4_Age-D84)*(1+Slot4_Rate)^(Slot4_Age-D84),(1+Slot4_Rate)^(Slot4_Age-D84)*(1-((1+AS_Wage)/(1+Slot4_Rate))^(Slot4_Age-D84))/(1-(1+AS_Wage)/(1+Slot4_Rate))),1)</f>
        <v>1</v>
      </c>
      <c r="EN84" s="1" t="n">
        <f aca="false">IF(AND(DD84=1,DN84&gt;0,Slot4_IsWG=1,BA84=1),MAX(0,(Slot4_Cost-BB84*(1+Slot4_Rate)^(Slot4_Age-D84))/EM84),0)</f>
        <v>0</v>
      </c>
      <c r="EO84" s="1" t="n">
        <f aca="false">IF(AND(DD84=1,DN84&gt;0,Slot4_IsWG=1,BA84=1),MIN(DN84,EN84),0)</f>
        <v>0</v>
      </c>
      <c r="EP84" s="1" t="n">
        <f aca="false">BB84+EO84</f>
        <v>0</v>
      </c>
      <c r="EQ84" s="1" t="n">
        <f aca="false">IF(BA84=1,MAX(0,(Slot4_Cost-EP84*(1+Slot4_Rate)^(Slot4_Age-D84))/EM84),0)</f>
        <v>0</v>
      </c>
      <c r="ER84" s="1" t="n">
        <f aca="false">IF(BA84=1,MAX(0,(Slot4_Cost-BB84*(1+Slot4_Rate)^(Slot4_Age-D84))/EM84),0)</f>
        <v>0</v>
      </c>
      <c r="ES84" s="1" t="n">
        <f aca="false">IF(AND(DD84=1,BA84=1),MIN(EL84,EQ84),0)</f>
        <v>0</v>
      </c>
      <c r="ET84" s="1" t="n">
        <f aca="false">EL84-ES84</f>
        <v>0</v>
      </c>
      <c r="EU84" s="1" t="n">
        <f aca="false">IF(BK84=1,IF(ABS((1+AS_Wage)/(1+Slot5_Rate)-1)&lt;0.000000000001,(Slot5_Age-D84)*(1+Slot5_Rate)^(Slot5_Age-D84),(1+Slot5_Rate)^(Slot5_Age-D84)*(1-((1+AS_Wage)/(1+Slot5_Rate))^(Slot5_Age-D84))/(1-(1+AS_Wage)/(1+Slot5_Rate))),1)</f>
        <v>1</v>
      </c>
      <c r="EV84" s="1" t="n">
        <f aca="false">IF(AND(DD84=1,DN84&gt;0,Slot5_IsWG=1,BK84=1),MAX(0,(Slot5_Cost-BL84*(1+Slot5_Rate)^(Slot5_Age-D84))/EU84),0)</f>
        <v>0</v>
      </c>
      <c r="EW84" s="1" t="n">
        <f aca="false">IF(AND(DD84=1,DN84&gt;0,Slot5_IsWG=1,BK84=1),MIN(DN84,EV84),0)</f>
        <v>0</v>
      </c>
      <c r="EX84" s="1" t="n">
        <f aca="false">BL84+EW84</f>
        <v>0</v>
      </c>
      <c r="EY84" s="1" t="n">
        <f aca="false">IF(BK84=1,MAX(0,(Slot5_Cost-EX84*(1+Slot5_Rate)^(Slot5_Age-D84))/EU84),0)</f>
        <v>0</v>
      </c>
      <c r="EZ84" s="1" t="n">
        <f aca="false">IF(BK84=1,MAX(0,(Slot5_Cost-BL84*(1+Slot5_Rate)^(Slot5_Age-D84))/EU84),0)</f>
        <v>0</v>
      </c>
      <c r="FA84" s="1" t="n">
        <f aca="false">IF(AND(DD84=1,BK84=1),MIN(ET84,EY84),0)</f>
        <v>0</v>
      </c>
      <c r="FB84" s="1" t="n">
        <f aca="false">ET84-FA84</f>
        <v>0</v>
      </c>
      <c r="FC84" s="1" t="n">
        <f aca="false">IF(BU84=1,IF(ABS((1+AS_Wage)/(1+Slot6_Rate)-1)&lt;0.000000000001,(Slot6_Age-D84)*(1+Slot6_Rate)^(Slot6_Age-D84),(1+Slot6_Rate)^(Slot6_Age-D84)*(1-((1+AS_Wage)/(1+Slot6_Rate))^(Slot6_Age-D84))/(1-(1+AS_Wage)/(1+Slot6_Rate))),1)</f>
        <v>1</v>
      </c>
      <c r="FD84" s="1" t="n">
        <f aca="false">IF(AND(DD84=1,DN84&gt;0,Slot6_IsWG=1,BU84=1),MAX(0,(Slot6_Cost-BV84*(1+Slot6_Rate)^(Slot6_Age-D84))/FC84),0)</f>
        <v>0</v>
      </c>
      <c r="FE84" s="1" t="n">
        <f aca="false">IF(AND(DD84=1,DN84&gt;0,Slot6_IsWG=1,BU84=1),MIN(DN84,FD84),0)</f>
        <v>0</v>
      </c>
      <c r="FF84" s="1" t="n">
        <f aca="false">BV84+FE84</f>
        <v>0</v>
      </c>
      <c r="FG84" s="1" t="n">
        <f aca="false">IF(BU84=1,MAX(0,(Slot6_Cost-FF84*(1+Slot6_Rate)^(Slot6_Age-D84))/FC84),0)</f>
        <v>0</v>
      </c>
      <c r="FH84" s="1" t="n">
        <f aca="false">IF(BU84=1,MAX(0,(Slot6_Cost-BV84*(1+Slot6_Rate)^(Slot6_Age-D84))/FC84),0)</f>
        <v>0</v>
      </c>
      <c r="FI84" s="1" t="n">
        <f aca="false">IF(AND(DD84=1,BU84=1),MIN(FB84,FG84),0)</f>
        <v>0</v>
      </c>
      <c r="FJ84" s="1" t="n">
        <f aca="false">FB84-FI84</f>
        <v>0</v>
      </c>
      <c r="FK84" s="1" t="n">
        <f aca="false">IF(CE84=1,IF(ABS((1+AS_Wage)/(1+Slot7_Rate)-1)&lt;0.000000000001,(Slot7_Age-D84)*(1+Slot7_Rate)^(Slot7_Age-D84),(1+Slot7_Rate)^(Slot7_Age-D84)*(1-((1+AS_Wage)/(1+Slot7_Rate))^(Slot7_Age-D84))/(1-(1+AS_Wage)/(1+Slot7_Rate))),1)</f>
        <v>1</v>
      </c>
      <c r="FL84" s="1" t="n">
        <f aca="false">IF(AND(DD84=1,DN84&gt;0,Slot7_IsWG=1,CE84=1),MAX(0,(Slot7_Cost-CF84*(1+Slot7_Rate)^(Slot7_Age-D84))/FK84),0)</f>
        <v>0</v>
      </c>
      <c r="FM84" s="1" t="n">
        <f aca="false">IF(AND(DD84=1,DN84&gt;0,Slot7_IsWG=1,CE84=1),MIN(DN84,FL84),0)</f>
        <v>0</v>
      </c>
      <c r="FN84" s="1" t="n">
        <f aca="false">CF84+FM84</f>
        <v>0</v>
      </c>
      <c r="FO84" s="1" t="n">
        <f aca="false">IF(CE84=1,MAX(0,(Slot7_Cost-FN84*(1+Slot7_Rate)^(Slot7_Age-D84))/FK84),0)</f>
        <v>0</v>
      </c>
      <c r="FP84" s="1" t="n">
        <f aca="false">IF(CE84=1,MAX(0,(Slot7_Cost-CF84*(1+Slot7_Rate)^(Slot7_Age-D84))/FK84),0)</f>
        <v>0</v>
      </c>
      <c r="FQ84" s="1" t="n">
        <f aca="false">IF(AND(DD84=1,CE84=1),MIN(FJ84,FO84),0)</f>
        <v>0</v>
      </c>
      <c r="FR84" s="1" t="n">
        <f aca="false">FJ84-FQ84</f>
        <v>0</v>
      </c>
      <c r="FS84" s="1" t="n">
        <f aca="false">IF(CO84=1,IF(ABS((1+AS_Wage)/(1+Slot8_Rate)-1)&lt;0.000000000001,(Slot8_Age-D84)*(1+Slot8_Rate)^(Slot8_Age-D84),(1+Slot8_Rate)^(Slot8_Age-D84)*(1-((1+AS_Wage)/(1+Slot8_Rate))^(Slot8_Age-D84))/(1-(1+AS_Wage)/(1+Slot8_Rate))),1)</f>
        <v>1</v>
      </c>
      <c r="FT84" s="1" t="n">
        <f aca="false">IF(AND(DD84=1,DN84&gt;0,Slot8_IsWG=1,CO84=1),MAX(0,(Slot8_Cost-CP84*(1+Slot8_Rate)^(Slot8_Age-D84))/FS84),0)</f>
        <v>0</v>
      </c>
      <c r="FU84" s="1" t="n">
        <f aca="false">IF(AND(DD84=1,DN84&gt;0,Slot8_IsWG=1,CO84=1),MIN(DN84,FT84),0)</f>
        <v>0</v>
      </c>
      <c r="FV84" s="1" t="n">
        <f aca="false">CP84+FU84</f>
        <v>0</v>
      </c>
      <c r="FW84" s="1" t="n">
        <f aca="false">IF(CO84=1,MAX(0,(Slot8_Cost-FV84*(1+Slot8_Rate)^(Slot8_Age-D84))/FS84),0)</f>
        <v>0</v>
      </c>
      <c r="FX84" s="1" t="n">
        <f aca="false">IF(CO84=1,MAX(0,(Slot8_Cost-CP84*(1+Slot8_Rate)^(Slot8_Age-D84))/FS84),0)</f>
        <v>0</v>
      </c>
      <c r="FY84" s="1" t="n">
        <f aca="false">IF(AND(DD84=1,CO84=1),MIN(FR84,FW84),0)</f>
        <v>0</v>
      </c>
      <c r="FZ84" s="1" t="n">
        <f aca="false">FR84-FY84</f>
        <v>0</v>
      </c>
      <c r="GA84" s="1" t="n">
        <f aca="false">DN84-(DQ84+DY84+EG84+EO84+EW84+FE84+FM84+FU84)</f>
        <v>0</v>
      </c>
      <c r="GB84" s="1" t="n">
        <f aca="false">IF(DD84=1,DB84-DM84-DN84,0)</f>
        <v>56080.6580985708</v>
      </c>
      <c r="GC84" s="1" t="n">
        <f aca="false">IF(DD84=0,-DB84,0)</f>
        <v>0</v>
      </c>
      <c r="GD84" s="1" t="n">
        <f aca="false">MIN(GC84,CT84)</f>
        <v>0</v>
      </c>
      <c r="GE84" s="1" t="n">
        <f aca="false">GC84-GD84</f>
        <v>0</v>
      </c>
      <c r="GF84" s="1" t="n">
        <f aca="false">MIN(GE84,CU84)</f>
        <v>0</v>
      </c>
      <c r="GG84" s="1" t="n">
        <f aca="false">GE84-GF84</f>
        <v>0</v>
      </c>
      <c r="GH84" s="1" t="n">
        <f aca="false">IF(AND(DD84=0,CO84=1,GG84&gt;0),MIN(GG84,CP84),0)</f>
        <v>0</v>
      </c>
      <c r="GI84" s="1" t="n">
        <f aca="false">GG84-GH84</f>
        <v>0</v>
      </c>
      <c r="GJ84" s="1" t="n">
        <f aca="false">IF(AND(DD84=0,CE84=1,GI84&gt;0),MIN(GI84,CF84),0)</f>
        <v>0</v>
      </c>
      <c r="GK84" s="1" t="n">
        <f aca="false">GI84-GJ84</f>
        <v>0</v>
      </c>
      <c r="GL84" s="1" t="n">
        <f aca="false">IF(AND(DD84=0,BU84=1,GK84&gt;0),MIN(GK84,BV84),0)</f>
        <v>0</v>
      </c>
      <c r="GM84" s="1" t="n">
        <f aca="false">GK84-GL84</f>
        <v>0</v>
      </c>
      <c r="GN84" s="1" t="n">
        <f aca="false">IF(AND(DD84=0,BK84=1,GM84&gt;0),MIN(GM84,BL84),0)</f>
        <v>0</v>
      </c>
      <c r="GO84" s="1" t="n">
        <f aca="false">GM84-GN84</f>
        <v>0</v>
      </c>
      <c r="GP84" s="1" t="n">
        <f aca="false">IF(AND(DD84=0,BA84=1,GO84&gt;0),MIN(GO84,BB84),0)</f>
        <v>0</v>
      </c>
      <c r="GQ84" s="1" t="n">
        <f aca="false">GO84-GP84</f>
        <v>0</v>
      </c>
      <c r="GR84" s="1" t="n">
        <f aca="false">IF(AND(DD84=0,AQ84=1,GQ84&gt;0),MIN(GQ84,AR84),0)</f>
        <v>0</v>
      </c>
      <c r="GS84" s="1" t="n">
        <f aca="false">GQ84-GR84</f>
        <v>0</v>
      </c>
      <c r="GT84" s="1" t="n">
        <f aca="false">IF(AND(DD84=0,AG84=1,GS84&gt;0),MIN(GS84,AH84),0)</f>
        <v>0</v>
      </c>
      <c r="GU84" s="1" t="n">
        <f aca="false">GS84-GT84</f>
        <v>0</v>
      </c>
      <c r="GV84" s="1" t="n">
        <f aca="false">IF(AND(DD84=0,V84=1,GU84&gt;0),MIN(GU84,W84),0)</f>
        <v>0</v>
      </c>
      <c r="GW84" s="1" t="n">
        <f aca="false">GU84-GV84</f>
        <v>0</v>
      </c>
      <c r="GX84" s="1" t="n">
        <f aca="false">IF(DD84=0,GW84,0)</f>
        <v>0</v>
      </c>
      <c r="GY84" s="1" t="n">
        <f aca="false">GD84+GF84+GV84+GT84+GR84+GP84+GN84+GL84+GJ84+GH84</f>
        <v>0</v>
      </c>
      <c r="GZ84" s="1" t="n">
        <f aca="false">IF(DD84=1,CT84+GA84+FZ84+IF(F84=1,0,GB84),CT84-GD84)</f>
        <v>606115.450179339</v>
      </c>
      <c r="HA84" s="1" t="n">
        <f aca="false">CU84-GF84</f>
        <v>0</v>
      </c>
      <c r="HB84" s="1" t="n">
        <f aca="false">IF(DD84=1,IF(F84=1,DM84+DN84,DB84),0)</f>
        <v>56080.6580985708</v>
      </c>
      <c r="HC84" s="1" t="n">
        <f aca="false">IF(DD84=1,IF(F84=1,DB84-DM84-DN84,0),0)</f>
        <v>0</v>
      </c>
      <c r="HD84" s="1" t="n">
        <f aca="false">GZ84*(1+GR)</f>
        <v>616055.74356228</v>
      </c>
      <c r="HE84" s="1" t="n">
        <f aca="false">HA84*(1+AS_Cash)</f>
        <v>0</v>
      </c>
      <c r="HF84" s="1" t="n">
        <f aca="false">IF(V84=1,IF(DD84=1,DR84+DU84,W84-GV84)*(1+Slot1_Rate),0)</f>
        <v>0</v>
      </c>
      <c r="HG84" s="1" t="n">
        <f aca="false">IF(AND(DD84=1,V84=1),(DQ84+DU84)/E84,0)</f>
        <v>0</v>
      </c>
      <c r="HH84" s="1" t="n">
        <f aca="false">IF(B84=0,DQ84+DU84,0)</f>
        <v>0</v>
      </c>
      <c r="HI84" s="1" t="n">
        <f aca="false">IF(B84=0,IF(DD84=1,DS84,DT84),0)</f>
        <v>0</v>
      </c>
      <c r="HJ84" s="1" t="n">
        <f aca="false">IF(AG84=1,IF(DD84=1,DZ84+EC84,AH84-GT84)*(1+Slot2_Rate),0)</f>
        <v>0</v>
      </c>
      <c r="HK84" s="1" t="n">
        <f aca="false">IF(AND(DD84=1,AG84=1),(DY84+EC84)/E84,0)</f>
        <v>0</v>
      </c>
      <c r="HL84" s="1" t="n">
        <f aca="false">IF(B84=0,DY84+EC84,0)</f>
        <v>0</v>
      </c>
      <c r="HM84" s="1" t="n">
        <f aca="false">IF(B84=0,IF(DD84=1,EA84,EB84),0)</f>
        <v>0</v>
      </c>
      <c r="HN84" s="1" t="n">
        <f aca="false">IF(AQ84=1,IF(DD84=1,EH84+EK84,AR84-GR84)*(1+Slot3_Rate),0)</f>
        <v>0</v>
      </c>
      <c r="HO84" s="1" t="n">
        <f aca="false">IF(AND(DD84=1,AQ84=1),(EG84+EK84)/E84,0)</f>
        <v>0</v>
      </c>
      <c r="HP84" s="1" t="n">
        <f aca="false">IF(B84=0,EG84+EK84,0)</f>
        <v>0</v>
      </c>
      <c r="HQ84" s="1" t="n">
        <f aca="false">IF(B84=0,IF(DD84=1,EI84,EJ84),0)</f>
        <v>0</v>
      </c>
      <c r="HR84" s="1" t="n">
        <f aca="false">IF(BA84=1,IF(DD84=1,EP84+ES84,BB84-GP84)*(1+Slot4_Rate),0)</f>
        <v>0</v>
      </c>
      <c r="HS84" s="1" t="n">
        <f aca="false">IF(AND(DD84=1,BA84=1),(EO84+ES84)/E84,0)</f>
        <v>0</v>
      </c>
      <c r="HT84" s="1" t="n">
        <f aca="false">IF(B84=0,EO84+ES84,0)</f>
        <v>0</v>
      </c>
      <c r="HU84" s="1" t="n">
        <f aca="false">IF(B84=0,IF(DD84=1,EQ84,ER84),0)</f>
        <v>0</v>
      </c>
      <c r="HV84" s="1" t="n">
        <f aca="false">IF(BK84=1,IF(DD84=1,EX84+FA84,BL84-GN84)*(1+Slot5_Rate),0)</f>
        <v>0</v>
      </c>
      <c r="HW84" s="1" t="n">
        <f aca="false">IF(AND(DD84=1,BK84=1),(EW84+FA84)/E84,0)</f>
        <v>0</v>
      </c>
      <c r="HX84" s="1" t="n">
        <f aca="false">IF(B84=0,EW84+FA84,0)</f>
        <v>0</v>
      </c>
      <c r="HY84" s="1" t="n">
        <f aca="false">IF(B84=0,IF(DD84=1,EY84,EZ84),0)</f>
        <v>0</v>
      </c>
      <c r="HZ84" s="1" t="n">
        <f aca="false">IF(BU84=1,IF(DD84=1,FF84+FI84,BV84-GL84)*(1+Slot6_Rate),0)</f>
        <v>0</v>
      </c>
      <c r="IA84" s="1" t="n">
        <f aca="false">IF(AND(DD84=1,BU84=1),(FE84+FI84)/E84,0)</f>
        <v>0</v>
      </c>
      <c r="IB84" s="1" t="n">
        <f aca="false">IF(B84=0,FE84+FI84,0)</f>
        <v>0</v>
      </c>
      <c r="IC84" s="1" t="n">
        <f aca="false">IF(B84=0,IF(DD84=1,FG84,FH84),0)</f>
        <v>0</v>
      </c>
      <c r="ID84" s="1" t="n">
        <f aca="false">IF(CE84=1,IF(DD84=1,FN84+FQ84,CF84-GJ84)*(1+Slot7_Rate),0)</f>
        <v>0</v>
      </c>
      <c r="IE84" s="1" t="n">
        <f aca="false">IF(AND(DD84=1,CE84=1),(FM84+FQ84)/E84,0)</f>
        <v>0</v>
      </c>
      <c r="IF84" s="1" t="n">
        <f aca="false">IF(B84=0,FM84+FQ84,0)</f>
        <v>0</v>
      </c>
      <c r="IG84" s="1" t="n">
        <f aca="false">IF(B84=0,IF(DD84=1,FO84,FP84),0)</f>
        <v>0</v>
      </c>
      <c r="IH84" s="1" t="n">
        <f aca="false">IF(CO84=1,IF(DD84=1,FV84+FY84,CP84-GH84)*(1+Slot8_Rate),0)</f>
        <v>0</v>
      </c>
      <c r="II84" s="1" t="n">
        <f aca="false">IF(AND(DD84=1,CO84=1),(FU84+FY84)/E84,0)</f>
        <v>0</v>
      </c>
      <c r="IJ84" s="1" t="n">
        <f aca="false">IF(B84=0,FU84+FY84,0)</f>
        <v>0</v>
      </c>
      <c r="IK84" s="1" t="n">
        <f aca="false">IF(B84=0,IF(DD84=1,FW84,FX84),0)</f>
        <v>0</v>
      </c>
      <c r="IL84" s="1" t="n">
        <f aca="false">HD84+HE84+HF84+HJ84+HN84+HR84+HV84+HZ84+ID84+IH84</f>
        <v>616055.74356228</v>
      </c>
      <c r="IM84" s="1" t="n">
        <f aca="false">GX84+CY84</f>
        <v>0</v>
      </c>
      <c r="IN84" s="1" t="n">
        <f aca="false">H84+R84</f>
        <v>0</v>
      </c>
      <c r="IO84" s="1" t="n">
        <f aca="false">1-F84</f>
        <v>1</v>
      </c>
      <c r="IP84" s="1" t="n">
        <f aca="false">IF(AND(RG_Exists=1,F84=0,C84=1),H84,0)</f>
        <v>0</v>
      </c>
      <c r="IQ84" s="1" t="n">
        <f aca="false">IF(AND(RG_Exists=1,F84=0,C84=1),H84-MIN(GX84,H84),0)</f>
        <v>0</v>
      </c>
      <c r="IR84" s="1" t="n">
        <f aca="false">'Plan pay &amp; tax'!AD286</f>
        <v>0</v>
      </c>
      <c r="IS84" s="1" t="n">
        <f aca="false">IF(AND(C84=1,GX84&gt;MAX(PR_Short1,IN84*PR_Short2)),1,0)</f>
        <v>0</v>
      </c>
      <c r="IT84" s="1" t="n">
        <f aca="false">MIN(G84,H84+R84)</f>
        <v>0</v>
      </c>
      <c r="IU84" s="1" t="n">
        <f aca="false">GY84+MAX(0,CZ84-CY84)</f>
        <v>0</v>
      </c>
      <c r="IV84" s="1" t="n">
        <f aca="false">GX84+CY84</f>
        <v>0</v>
      </c>
      <c r="IW84" s="1" t="n">
        <f aca="false">IF(AND(C84=1,IV84&gt;0.5),1,0)</f>
        <v>0</v>
      </c>
      <c r="IX84" s="1" t="n">
        <f aca="false">IF(AND(C84=1,IW84=0,IU84&gt;0.5),1,0)</f>
        <v>0</v>
      </c>
      <c r="IY84" s="1" t="n">
        <f aca="false">IF(AND(C84=1,GX84&gt;0.5),1,0)</f>
        <v>0</v>
      </c>
      <c r="IZ84" s="1" t="n">
        <f aca="false">IF(AND(C84=1,GY84&gt;1,JF84=0),1,0)</f>
        <v>0</v>
      </c>
      <c r="JA84" s="1" t="n">
        <f aca="false">IF(AND(INT(D84/10)*10=90,B84&gt;0),80,INT(D84/10)*10)</f>
        <v>70</v>
      </c>
      <c r="JB84" s="1" t="n">
        <f aca="false">IF(B84=0,1,IF(JA84&lt;&gt;JA83,JB83+1,JB83))</f>
        <v>8</v>
      </c>
      <c r="JC84" s="1" t="n">
        <f aca="false">IF(AND(C84=1,F84=1,GX84&gt;MAX(PR_Short1,IN84*PR_Short2)),1,0)</f>
        <v>0</v>
      </c>
      <c r="JD84" s="1" t="n">
        <f aca="false">IO84*IS84</f>
        <v>0</v>
      </c>
      <c r="JE84" s="1" t="n">
        <f aca="false">IF(AND(U84=1,Slot1_PctLow=1),1,0)+IF(AND(AF84=1,Slot2_PctLow=1),1,0)+IF(AND(AP84=1,Slot3_PctLow=1),1,0)+IF(AND(AZ84=1,Slot4_PctLow=1),1,0)+IF(AND(BJ84=1,Slot5_PctLow=1),1,0)+IF(AND(BT84=1,Slot6_PctLow=1),1,0)+IF(AND(CD84=1,Slot7_PctLow=1),1,0)+IF(AND(CN84=1,Slot8_PctLow=1),1,0)</f>
        <v>0</v>
      </c>
      <c r="JF84" s="1" t="n">
        <f aca="false">IF(C84=1,IF(OR(IS84=1,JE84&gt;0),1,0),0)</f>
        <v>0</v>
      </c>
    </row>
    <row r="85" customFormat="false" ht="15" hidden="false" customHeight="false" outlineLevel="0" collapsed="false">
      <c r="B85" s="1" t="n">
        <v>77</v>
      </c>
      <c r="C85" s="1" t="n">
        <f aca="false">IF(B85&lt;=F_N,1,0)</f>
        <v>1</v>
      </c>
      <c r="D85" s="1" t="n">
        <f aca="false">'Plan pay &amp; tax'!C287</f>
        <v>77</v>
      </c>
      <c r="E85" s="106" t="n">
        <f aca="false">'Plan pay &amp; tax'!E287</f>
        <v>4.59423520751483</v>
      </c>
      <c r="F85" s="1" t="n">
        <f aca="false">'Plan pay &amp; tax'!G287</f>
        <v>0</v>
      </c>
      <c r="G85" s="1" t="n">
        <f aca="false">'Plan pay &amp; tax'!BT287-'Plan pay &amp; tax'!BS287-'Plan pay &amp; tax'!R287</f>
        <v>57202.2712605422</v>
      </c>
      <c r="H85" s="1" t="n">
        <f aca="false">IF(F85=1,F_CostsM*12,IF(RG_Exists=1,RG_Amount,F_CostsM*12*AS_RetireSpend))*E85+F_OneOffY*E85</f>
        <v>0</v>
      </c>
      <c r="I85" s="1" t="n">
        <f aca="false">DA84</f>
        <v>0</v>
      </c>
      <c r="J85" s="1" t="n">
        <f aca="false">IF(I85&gt;1,'Plan debt months'!AC85,0)</f>
        <v>0</v>
      </c>
      <c r="K85" s="1" t="n">
        <f aca="false">IF(I85&gt;1,'Plan debt months'!AB85,I85)</f>
        <v>0</v>
      </c>
      <c r="L85" s="1" t="n">
        <f aca="false">N84</f>
        <v>0</v>
      </c>
      <c r="M85" s="1" t="n">
        <f aca="false">IF(L85&gt;1,'Plan debt months'!BD85,0)</f>
        <v>0</v>
      </c>
      <c r="N85" s="1" t="n">
        <f aca="false">IF(L85&gt;1,'Plan debt months'!BC85,L85)</f>
        <v>0</v>
      </c>
      <c r="O85" s="1" t="n">
        <f aca="false">Q84</f>
        <v>0</v>
      </c>
      <c r="P85" s="1" t="n">
        <f aca="false">IF(O85&gt;1,'Plan debt months'!CE85,0)</f>
        <v>0</v>
      </c>
      <c r="Q85" s="1" t="n">
        <f aca="false">IF(O85&gt;1,'Plan debt months'!CD85,O85)</f>
        <v>0</v>
      </c>
      <c r="R85" s="1" t="n">
        <f aca="false">J85+M85+P85</f>
        <v>0</v>
      </c>
      <c r="S85" s="1" t="n">
        <f aca="false">HD84+'Plan pay &amp; tax'!Y287</f>
        <v>616055.74356228</v>
      </c>
      <c r="T85" s="1" t="n">
        <f aca="false">HD84</f>
        <v>616055.74356228</v>
      </c>
      <c r="U85" s="1" t="n">
        <f aca="false">IF(AND(Slot1_On=1,D85=Slot1_Age),1,0)</f>
        <v>0</v>
      </c>
      <c r="V85" s="1" t="n">
        <f aca="false">IF(AND(Slot1_On=1,Slot1_Age&gt;D85),1,0)</f>
        <v>0</v>
      </c>
      <c r="W85" s="1" t="n">
        <f aca="false">HF84</f>
        <v>0</v>
      </c>
      <c r="X85" s="1" t="n">
        <f aca="false">U85*MIN(Slot1_Cost,W85)</f>
        <v>0</v>
      </c>
      <c r="Y85" s="1" t="n">
        <f aca="false">U85*Slot1_SpendLike*MIN(Slot1_Cost-X85,S85)</f>
        <v>0</v>
      </c>
      <c r="Z85" s="1" t="n">
        <f aca="false">X85+Y85</f>
        <v>0</v>
      </c>
      <c r="AA85" s="1" t="n">
        <f aca="false">S85-Y85+U85*IF(Slot1_SpendLike=1,W85-X85,IF(Slot1_PotFree=1,W85,0))</f>
        <v>616055.74356228</v>
      </c>
      <c r="AB85" s="1" t="n">
        <f aca="false">AE85+U85*Slot1_BufPot*W85</f>
        <v>0</v>
      </c>
      <c r="AC85" s="1" t="n">
        <f aca="false">IF(AND(U85=1,Slot1_IsMfree=1),IF(Z85&gt;=Slot1_Cost-1,0,MAX(0,K85-Z85)),K85)</f>
        <v>0</v>
      </c>
      <c r="AD85" s="1" t="n">
        <f aca="false">U85*(Slot1_Cost-Z85)</f>
        <v>0</v>
      </c>
      <c r="AE85" s="1" t="n">
        <f aca="false">HE84</f>
        <v>0</v>
      </c>
      <c r="AF85" s="1" t="n">
        <f aca="false">IF(AND(Slot2_On=1,D85=Slot2_Age),1,0)</f>
        <v>0</v>
      </c>
      <c r="AG85" s="1" t="n">
        <f aca="false">IF(AND(Slot2_On=1,Slot2_Age&gt;D85),1,0)</f>
        <v>0</v>
      </c>
      <c r="AH85" s="1" t="n">
        <f aca="false">HJ84</f>
        <v>0</v>
      </c>
      <c r="AI85" s="1" t="n">
        <f aca="false">AF85*MIN(Slot2_Cost,AH85)</f>
        <v>0</v>
      </c>
      <c r="AJ85" s="1" t="n">
        <f aca="false">AF85*Slot2_SpendLike*MIN(Slot2_Cost-AI85,AA85)</f>
        <v>0</v>
      </c>
      <c r="AK85" s="1" t="n">
        <f aca="false">AI85+AJ85</f>
        <v>0</v>
      </c>
      <c r="AL85" s="1" t="n">
        <f aca="false">AA85-AJ85+AF85*IF(Slot2_SpendLike=1,AH85-AI85,IF(Slot2_PotFree=1,AH85,0))</f>
        <v>616055.74356228</v>
      </c>
      <c r="AM85" s="1" t="n">
        <f aca="false">AB85+AF85*Slot2_BufPot*AH85</f>
        <v>0</v>
      </c>
      <c r="AN85" s="1" t="n">
        <f aca="false">IF(AND(AF85=1,Slot2_IsMfree=1),IF(AK85&gt;=Slot2_Cost-1,0,MAX(0,AC85-AK85)),AC85)</f>
        <v>0</v>
      </c>
      <c r="AO85" s="1" t="n">
        <f aca="false">AF85*(Slot2_Cost-AK85)</f>
        <v>0</v>
      </c>
      <c r="AP85" s="1" t="n">
        <f aca="false">IF(AND(Slot3_On=1,D85=Slot3_Age),1,0)</f>
        <v>0</v>
      </c>
      <c r="AQ85" s="1" t="n">
        <f aca="false">IF(AND(Slot3_On=1,Slot3_Age&gt;D85),1,0)</f>
        <v>0</v>
      </c>
      <c r="AR85" s="1" t="n">
        <f aca="false">HN84</f>
        <v>0</v>
      </c>
      <c r="AS85" s="1" t="n">
        <f aca="false">AP85*MIN(Slot3_Cost,AR85)</f>
        <v>0</v>
      </c>
      <c r="AT85" s="1" t="n">
        <f aca="false">AP85*Slot3_SpendLike*MIN(Slot3_Cost-AS85,AL85)</f>
        <v>0</v>
      </c>
      <c r="AU85" s="1" t="n">
        <f aca="false">AS85+AT85</f>
        <v>0</v>
      </c>
      <c r="AV85" s="1" t="n">
        <f aca="false">AL85-AT85+AP85*IF(Slot3_SpendLike=1,AR85-AS85,IF(Slot3_PotFree=1,AR85,0))</f>
        <v>616055.74356228</v>
      </c>
      <c r="AW85" s="1" t="n">
        <f aca="false">AM85+AP85*Slot3_BufPot*AR85</f>
        <v>0</v>
      </c>
      <c r="AX85" s="1" t="n">
        <f aca="false">IF(AND(AP85=1,Slot3_IsMfree=1),IF(AU85&gt;=Slot3_Cost-1,0,MAX(0,AN85-AU85)),AN85)</f>
        <v>0</v>
      </c>
      <c r="AY85" s="1" t="n">
        <f aca="false">AP85*(Slot3_Cost-AU85)</f>
        <v>0</v>
      </c>
      <c r="AZ85" s="1" t="n">
        <f aca="false">IF(AND(Slot4_On=1,D85=Slot4_Age),1,0)</f>
        <v>0</v>
      </c>
      <c r="BA85" s="1" t="n">
        <f aca="false">IF(AND(Slot4_On=1,Slot4_Age&gt;D85),1,0)</f>
        <v>0</v>
      </c>
      <c r="BB85" s="1" t="n">
        <f aca="false">HR84</f>
        <v>0</v>
      </c>
      <c r="BC85" s="1" t="n">
        <f aca="false">AZ85*MIN(Slot4_Cost,BB85)</f>
        <v>0</v>
      </c>
      <c r="BD85" s="1" t="n">
        <f aca="false">AZ85*Slot4_SpendLike*MIN(Slot4_Cost-BC85,AV85)</f>
        <v>0</v>
      </c>
      <c r="BE85" s="1" t="n">
        <f aca="false">BC85+BD85</f>
        <v>0</v>
      </c>
      <c r="BF85" s="1" t="n">
        <f aca="false">AV85-BD85+AZ85*IF(Slot4_SpendLike=1,BB85-BC85,IF(Slot4_PotFree=1,BB85,0))</f>
        <v>616055.74356228</v>
      </c>
      <c r="BG85" s="1" t="n">
        <f aca="false">AW85+AZ85*Slot4_BufPot*BB85</f>
        <v>0</v>
      </c>
      <c r="BH85" s="1" t="n">
        <f aca="false">IF(AND(AZ85=1,Slot4_IsMfree=1),IF(BE85&gt;=Slot4_Cost-1,0,MAX(0,AX85-BE85)),AX85)</f>
        <v>0</v>
      </c>
      <c r="BI85" s="1" t="n">
        <f aca="false">AZ85*(Slot4_Cost-BE85)</f>
        <v>0</v>
      </c>
      <c r="BJ85" s="1" t="n">
        <f aca="false">IF(AND(Slot5_On=1,D85=Slot5_Age),1,0)</f>
        <v>0</v>
      </c>
      <c r="BK85" s="1" t="n">
        <f aca="false">IF(AND(Slot5_On=1,Slot5_Age&gt;D85),1,0)</f>
        <v>0</v>
      </c>
      <c r="BL85" s="1" t="n">
        <f aca="false">HV84</f>
        <v>0</v>
      </c>
      <c r="BM85" s="1" t="n">
        <f aca="false">BJ85*MIN(Slot5_Cost,BL85)</f>
        <v>0</v>
      </c>
      <c r="BN85" s="1" t="n">
        <f aca="false">BJ85*Slot5_SpendLike*MIN(Slot5_Cost-BM85,BF85)</f>
        <v>0</v>
      </c>
      <c r="BO85" s="1" t="n">
        <f aca="false">BM85+BN85</f>
        <v>0</v>
      </c>
      <c r="BP85" s="1" t="n">
        <f aca="false">BF85-BN85+BJ85*IF(Slot5_SpendLike=1,BL85-BM85,IF(Slot5_PotFree=1,BL85,0))</f>
        <v>616055.74356228</v>
      </c>
      <c r="BQ85" s="1" t="n">
        <f aca="false">BG85+BJ85*Slot5_BufPot*BL85</f>
        <v>0</v>
      </c>
      <c r="BR85" s="1" t="n">
        <f aca="false">IF(AND(BJ85=1,Slot5_IsMfree=1),IF(BO85&gt;=Slot5_Cost-1,0,MAX(0,BH85-BO85)),BH85)</f>
        <v>0</v>
      </c>
      <c r="BS85" s="1" t="n">
        <f aca="false">BJ85*(Slot5_Cost-BO85)</f>
        <v>0</v>
      </c>
      <c r="BT85" s="1" t="n">
        <f aca="false">IF(AND(Slot6_On=1,D85=Slot6_Age),1,0)</f>
        <v>0</v>
      </c>
      <c r="BU85" s="1" t="n">
        <f aca="false">IF(AND(Slot6_On=1,Slot6_Age&gt;D85),1,0)</f>
        <v>0</v>
      </c>
      <c r="BV85" s="1" t="n">
        <f aca="false">HZ84</f>
        <v>0</v>
      </c>
      <c r="BW85" s="1" t="n">
        <f aca="false">BT85*MIN(Slot6_Cost,BV85)</f>
        <v>0</v>
      </c>
      <c r="BX85" s="1" t="n">
        <f aca="false">BT85*Slot6_SpendLike*MIN(Slot6_Cost-BW85,BP85)</f>
        <v>0</v>
      </c>
      <c r="BY85" s="1" t="n">
        <f aca="false">BW85+BX85</f>
        <v>0</v>
      </c>
      <c r="BZ85" s="1" t="n">
        <f aca="false">BP85-BX85+BT85*IF(Slot6_SpendLike=1,BV85-BW85,IF(Slot6_PotFree=1,BV85,0))</f>
        <v>616055.74356228</v>
      </c>
      <c r="CA85" s="1" t="n">
        <f aca="false">BQ85+BT85*Slot6_BufPot*BV85</f>
        <v>0</v>
      </c>
      <c r="CB85" s="1" t="n">
        <f aca="false">IF(AND(BT85=1,Slot6_IsMfree=1),IF(BY85&gt;=Slot6_Cost-1,0,MAX(0,BR85-BY85)),BR85)</f>
        <v>0</v>
      </c>
      <c r="CC85" s="1" t="n">
        <f aca="false">BT85*(Slot6_Cost-BY85)</f>
        <v>0</v>
      </c>
      <c r="CD85" s="1" t="n">
        <f aca="false">IF(AND(Slot7_On=1,D85=Slot7_Age),1,0)</f>
        <v>0</v>
      </c>
      <c r="CE85" s="1" t="n">
        <f aca="false">IF(AND(Slot7_On=1,Slot7_Age&gt;D85),1,0)</f>
        <v>0</v>
      </c>
      <c r="CF85" s="1" t="n">
        <f aca="false">ID84</f>
        <v>0</v>
      </c>
      <c r="CG85" s="1" t="n">
        <f aca="false">CD85*MIN(Slot7_Cost,CF85)</f>
        <v>0</v>
      </c>
      <c r="CH85" s="1" t="n">
        <f aca="false">CD85*Slot7_SpendLike*MIN(Slot7_Cost-CG85,BZ85)</f>
        <v>0</v>
      </c>
      <c r="CI85" s="1" t="n">
        <f aca="false">CG85+CH85</f>
        <v>0</v>
      </c>
      <c r="CJ85" s="1" t="n">
        <f aca="false">BZ85-CH85+CD85*IF(Slot7_SpendLike=1,CF85-CG85,IF(Slot7_PotFree=1,CF85,0))</f>
        <v>616055.74356228</v>
      </c>
      <c r="CK85" s="1" t="n">
        <f aca="false">CA85+CD85*Slot7_BufPot*CF85</f>
        <v>0</v>
      </c>
      <c r="CL85" s="1" t="n">
        <f aca="false">IF(AND(CD85=1,Slot7_IsMfree=1),IF(CI85&gt;=Slot7_Cost-1,0,MAX(0,CB85-CI85)),CB85)</f>
        <v>0</v>
      </c>
      <c r="CM85" s="1" t="n">
        <f aca="false">CD85*(Slot7_Cost-CI85)</f>
        <v>0</v>
      </c>
      <c r="CN85" s="1" t="n">
        <f aca="false">IF(AND(Slot8_On=1,D85=Slot8_Age),1,0)</f>
        <v>0</v>
      </c>
      <c r="CO85" s="1" t="n">
        <f aca="false">IF(AND(Slot8_On=1,Slot8_Age&gt;D85),1,0)</f>
        <v>0</v>
      </c>
      <c r="CP85" s="1" t="n">
        <f aca="false">IH84</f>
        <v>0</v>
      </c>
      <c r="CQ85" s="1" t="n">
        <f aca="false">CN85*MIN(Slot8_Cost,CP85)</f>
        <v>0</v>
      </c>
      <c r="CR85" s="1" t="n">
        <f aca="false">CN85*Slot8_SpendLike*MIN(Slot8_Cost-CQ85,CJ85)</f>
        <v>0</v>
      </c>
      <c r="CS85" s="1" t="n">
        <f aca="false">CQ85+CR85</f>
        <v>0</v>
      </c>
      <c r="CT85" s="1" t="n">
        <f aca="false">CJ85-CR85+CN85*IF(Slot8_SpendLike=1,CP85-CQ85,IF(Slot8_PotFree=1,CP85,0))</f>
        <v>616055.74356228</v>
      </c>
      <c r="CU85" s="1" t="n">
        <f aca="false">CK85+CN85*Slot8_BufPot*CP85</f>
        <v>0</v>
      </c>
      <c r="CV85" s="1" t="n">
        <f aca="false">IF(AND(CN85=1,Slot8_IsMfree=1),IF(CS85&gt;=Slot8_Cost-1,0,MAX(0,CL85-CS85)),CL85)</f>
        <v>0</v>
      </c>
      <c r="CW85" s="1" t="n">
        <f aca="false">CN85*(Slot8_Cost-CS85)</f>
        <v>0</v>
      </c>
      <c r="CX85" s="1" t="n">
        <f aca="false">U85*Slot1_SpendLike*Z85+AF85*Slot2_SpendLike*AK85+AP85*Slot3_SpendLike*AU85+AZ85*Slot4_SpendLike*BE85+BJ85*Slot5_SpendLike*BO85+BT85*Slot6_SpendLike*BY85+CD85*Slot7_SpendLike*CI85+CN85*Slot8_SpendLike*CS85</f>
        <v>0</v>
      </c>
      <c r="CY85" s="1" t="n">
        <f aca="false">AD85+AO85+AY85+BI85+BS85+CC85+CM85+CW85</f>
        <v>0</v>
      </c>
      <c r="CZ85" s="1" t="n">
        <f aca="false">U85*Slot1_Cost+AF85*Slot2_Cost+AP85*Slot3_Cost+AZ85*Slot4_Cost+BJ85*Slot5_Cost+BT85*Slot6_Cost+CD85*Slot7_Cost+CN85*Slot8_Cost</f>
        <v>0</v>
      </c>
      <c r="DA85" s="1" t="n">
        <f aca="false">CV85</f>
        <v>0</v>
      </c>
      <c r="DB85" s="1" t="n">
        <f aca="false">G85-H85-R85</f>
        <v>57202.2712605422</v>
      </c>
      <c r="DC85" s="1" t="n">
        <f aca="false">IF(B85=0,IF(AND(Has_q6=1,In_q6=4),PR_ShareVaries*(MAX(0,DB85)/12),MIN(IF(Has_q6=1,CHOOSE(In_q6+1,PR_SaveB1,PR_SaveB2,PR_SaveB3,PR_SaveB4,0),AS_NoAnswer),AS_SaveShare*(MAX(0,DB85)/12))),DC84)</f>
        <v>0</v>
      </c>
      <c r="DD85" s="1" t="n">
        <f aca="false">IF(DB85&gt;=0,1,0)</f>
        <v>1</v>
      </c>
      <c r="DE85" s="1" t="n">
        <f aca="false">MAX(0,DB85/12/E85)</f>
        <v>1037.57333333333</v>
      </c>
      <c r="DF85" s="1" t="n">
        <f aca="false">IF(AND(Has_q6=1,In_q6=4),PR_ShareVaries*(DE85),MIN(IF(Has_q6=1,CHOOSE(In_q6+1,PR_SaveB1,PR_SaveB2,PR_SaveB3,PR_SaveB4,0),AS_NoAnswer),AS_SaveShare*(DE85)))</f>
        <v>300</v>
      </c>
      <c r="DG85" s="1" t="n">
        <f aca="false">IF(Has_saveM=1,IF(In_saveUp="Yes",1,IF(In_saveUp="No",0,IF(In_saveM&gt;=DC85-0.5,1,0))),0)</f>
        <v>0</v>
      </c>
      <c r="DH85" s="1" t="n">
        <f aca="false">IF(Has_saveM=1,MIN(DE85,IF(DG85=1,MAX(In_saveM,DF85),MIN(In_saveM,DF85))),DF85)</f>
        <v>300</v>
      </c>
      <c r="DI85" s="1" t="n">
        <f aca="false">IF(F85=1,DH85*12*E85,0)</f>
        <v>0</v>
      </c>
      <c r="DJ85" s="1" t="n">
        <f aca="false">MAX(0,DI85+IF(AND(WI_Retire=0,WI_M&lt;0,F85=1),WI_M*12*E85,0))</f>
        <v>0</v>
      </c>
      <c r="DK85" s="1" t="n">
        <f aca="false">Slot1_IsWG*V85+Slot2_IsWG*AG85+Slot3_IsWG*AQ85+Slot4_IsWG*BA85+Slot5_IsWG*BK85+Slot6_IsWG*BU85+Slot7_IsWG*CE85+Slot8_IsWG*CO85</f>
        <v>0</v>
      </c>
      <c r="DL85" s="1" t="n">
        <f aca="false">IF(AND(WI_Retire=0,WI_M&gt;0,F85=1,DK85&gt;=1),WI_M*12*E85,0)</f>
        <v>0</v>
      </c>
      <c r="DM85" s="1" t="n">
        <f aca="false">IF(DD85=1,MIN(DJ85,DB85),0)</f>
        <v>0</v>
      </c>
      <c r="DN85" s="1" t="n">
        <f aca="false">IF(DD85=1,MIN(DL85,DB85-DM85),0)</f>
        <v>0</v>
      </c>
      <c r="DO85" s="1" t="n">
        <f aca="false">IF(V85=1,IF(ABS((1+AS_Wage)/(1+Slot1_Rate)-1)&lt;0.000000000001,(Slot1_Age-D85)*(1+Slot1_Rate)^(Slot1_Age-D85),(1+Slot1_Rate)^(Slot1_Age-D85)*(1-((1+AS_Wage)/(1+Slot1_Rate))^(Slot1_Age-D85))/(1-(1+AS_Wage)/(1+Slot1_Rate))),1)</f>
        <v>1</v>
      </c>
      <c r="DP85" s="1" t="n">
        <f aca="false">IF(AND(DD85=1,DN85&gt;0,Slot1_IsWG=1,V85=1),MAX(0,(Slot1_Cost-W85*(1+Slot1_Rate)^(Slot1_Age-D85))/DO85),0)</f>
        <v>0</v>
      </c>
      <c r="DQ85" s="1" t="n">
        <f aca="false">IF(AND(DD85=1,DN85&gt;0,Slot1_IsWG=1,V85=1),MIN(DN85,DP85),0)</f>
        <v>0</v>
      </c>
      <c r="DR85" s="1" t="n">
        <f aca="false">W85+DQ85</f>
        <v>0</v>
      </c>
      <c r="DS85" s="1" t="n">
        <f aca="false">IF(V85=1,MAX(0,(Slot1_Cost-DR85*(1+Slot1_Rate)^(Slot1_Age-D85))/DO85),0)</f>
        <v>0</v>
      </c>
      <c r="DT85" s="1" t="n">
        <f aca="false">IF(V85=1,MAX(0,(Slot1_Cost-W85*(1+Slot1_Rate)^(Slot1_Age-D85))/DO85),0)</f>
        <v>0</v>
      </c>
      <c r="DU85" s="1" t="n">
        <f aca="false">IF(AND(DD85=1,V85=1),MIN(DM85,DS85),0)</f>
        <v>0</v>
      </c>
      <c r="DV85" s="1" t="n">
        <f aca="false">DM85-DU85</f>
        <v>0</v>
      </c>
      <c r="DW85" s="1" t="n">
        <f aca="false">IF(AG85=1,IF(ABS((1+AS_Wage)/(1+Slot2_Rate)-1)&lt;0.000000000001,(Slot2_Age-D85)*(1+Slot2_Rate)^(Slot2_Age-D85),(1+Slot2_Rate)^(Slot2_Age-D85)*(1-((1+AS_Wage)/(1+Slot2_Rate))^(Slot2_Age-D85))/(1-(1+AS_Wage)/(1+Slot2_Rate))),1)</f>
        <v>1</v>
      </c>
      <c r="DX85" s="1" t="n">
        <f aca="false">IF(AND(DD85=1,DN85&gt;0,Slot2_IsWG=1,AG85=1),MAX(0,(Slot2_Cost-AH85*(1+Slot2_Rate)^(Slot2_Age-D85))/DW85),0)</f>
        <v>0</v>
      </c>
      <c r="DY85" s="1" t="n">
        <f aca="false">IF(AND(DD85=1,DN85&gt;0,Slot2_IsWG=1,AG85=1),MIN(DN85,DX85),0)</f>
        <v>0</v>
      </c>
      <c r="DZ85" s="1" t="n">
        <f aca="false">AH85+DY85</f>
        <v>0</v>
      </c>
      <c r="EA85" s="1" t="n">
        <f aca="false">IF(AG85=1,MAX(0,(Slot2_Cost-DZ85*(1+Slot2_Rate)^(Slot2_Age-D85))/DW85),0)</f>
        <v>0</v>
      </c>
      <c r="EB85" s="1" t="n">
        <f aca="false">IF(AG85=1,MAX(0,(Slot2_Cost-AH85*(1+Slot2_Rate)^(Slot2_Age-D85))/DW85),0)</f>
        <v>0</v>
      </c>
      <c r="EC85" s="1" t="n">
        <f aca="false">IF(AND(DD85=1,AG85=1),MIN(DV85,EA85),0)</f>
        <v>0</v>
      </c>
      <c r="ED85" s="1" t="n">
        <f aca="false">DV85-EC85</f>
        <v>0</v>
      </c>
      <c r="EE85" s="1" t="n">
        <f aca="false">IF(AQ85=1,IF(ABS((1+AS_Wage)/(1+Slot3_Rate)-1)&lt;0.000000000001,(Slot3_Age-D85)*(1+Slot3_Rate)^(Slot3_Age-D85),(1+Slot3_Rate)^(Slot3_Age-D85)*(1-((1+AS_Wage)/(1+Slot3_Rate))^(Slot3_Age-D85))/(1-(1+AS_Wage)/(1+Slot3_Rate))),1)</f>
        <v>1</v>
      </c>
      <c r="EF85" s="1" t="n">
        <f aca="false">IF(AND(DD85=1,DN85&gt;0,Slot3_IsWG=1,AQ85=1),MAX(0,(Slot3_Cost-AR85*(1+Slot3_Rate)^(Slot3_Age-D85))/EE85),0)</f>
        <v>0</v>
      </c>
      <c r="EG85" s="1" t="n">
        <f aca="false">IF(AND(DD85=1,DN85&gt;0,Slot3_IsWG=1,AQ85=1),MIN(DN85,EF85),0)</f>
        <v>0</v>
      </c>
      <c r="EH85" s="1" t="n">
        <f aca="false">AR85+EG85</f>
        <v>0</v>
      </c>
      <c r="EI85" s="1" t="n">
        <f aca="false">IF(AQ85=1,MAX(0,(Slot3_Cost-EH85*(1+Slot3_Rate)^(Slot3_Age-D85))/EE85),0)</f>
        <v>0</v>
      </c>
      <c r="EJ85" s="1" t="n">
        <f aca="false">IF(AQ85=1,MAX(0,(Slot3_Cost-AR85*(1+Slot3_Rate)^(Slot3_Age-D85))/EE85),0)</f>
        <v>0</v>
      </c>
      <c r="EK85" s="1" t="n">
        <f aca="false">IF(AND(DD85=1,AQ85=1),MIN(ED85,EI85),0)</f>
        <v>0</v>
      </c>
      <c r="EL85" s="1" t="n">
        <f aca="false">ED85-EK85</f>
        <v>0</v>
      </c>
      <c r="EM85" s="1" t="n">
        <f aca="false">IF(BA85=1,IF(ABS((1+AS_Wage)/(1+Slot4_Rate)-1)&lt;0.000000000001,(Slot4_Age-D85)*(1+Slot4_Rate)^(Slot4_Age-D85),(1+Slot4_Rate)^(Slot4_Age-D85)*(1-((1+AS_Wage)/(1+Slot4_Rate))^(Slot4_Age-D85))/(1-(1+AS_Wage)/(1+Slot4_Rate))),1)</f>
        <v>1</v>
      </c>
      <c r="EN85" s="1" t="n">
        <f aca="false">IF(AND(DD85=1,DN85&gt;0,Slot4_IsWG=1,BA85=1),MAX(0,(Slot4_Cost-BB85*(1+Slot4_Rate)^(Slot4_Age-D85))/EM85),0)</f>
        <v>0</v>
      </c>
      <c r="EO85" s="1" t="n">
        <f aca="false">IF(AND(DD85=1,DN85&gt;0,Slot4_IsWG=1,BA85=1),MIN(DN85,EN85),0)</f>
        <v>0</v>
      </c>
      <c r="EP85" s="1" t="n">
        <f aca="false">BB85+EO85</f>
        <v>0</v>
      </c>
      <c r="EQ85" s="1" t="n">
        <f aca="false">IF(BA85=1,MAX(0,(Slot4_Cost-EP85*(1+Slot4_Rate)^(Slot4_Age-D85))/EM85),0)</f>
        <v>0</v>
      </c>
      <c r="ER85" s="1" t="n">
        <f aca="false">IF(BA85=1,MAX(0,(Slot4_Cost-BB85*(1+Slot4_Rate)^(Slot4_Age-D85))/EM85),0)</f>
        <v>0</v>
      </c>
      <c r="ES85" s="1" t="n">
        <f aca="false">IF(AND(DD85=1,BA85=1),MIN(EL85,EQ85),0)</f>
        <v>0</v>
      </c>
      <c r="ET85" s="1" t="n">
        <f aca="false">EL85-ES85</f>
        <v>0</v>
      </c>
      <c r="EU85" s="1" t="n">
        <f aca="false">IF(BK85=1,IF(ABS((1+AS_Wage)/(1+Slot5_Rate)-1)&lt;0.000000000001,(Slot5_Age-D85)*(1+Slot5_Rate)^(Slot5_Age-D85),(1+Slot5_Rate)^(Slot5_Age-D85)*(1-((1+AS_Wage)/(1+Slot5_Rate))^(Slot5_Age-D85))/(1-(1+AS_Wage)/(1+Slot5_Rate))),1)</f>
        <v>1</v>
      </c>
      <c r="EV85" s="1" t="n">
        <f aca="false">IF(AND(DD85=1,DN85&gt;0,Slot5_IsWG=1,BK85=1),MAX(0,(Slot5_Cost-BL85*(1+Slot5_Rate)^(Slot5_Age-D85))/EU85),0)</f>
        <v>0</v>
      </c>
      <c r="EW85" s="1" t="n">
        <f aca="false">IF(AND(DD85=1,DN85&gt;0,Slot5_IsWG=1,BK85=1),MIN(DN85,EV85),0)</f>
        <v>0</v>
      </c>
      <c r="EX85" s="1" t="n">
        <f aca="false">BL85+EW85</f>
        <v>0</v>
      </c>
      <c r="EY85" s="1" t="n">
        <f aca="false">IF(BK85=1,MAX(0,(Slot5_Cost-EX85*(1+Slot5_Rate)^(Slot5_Age-D85))/EU85),0)</f>
        <v>0</v>
      </c>
      <c r="EZ85" s="1" t="n">
        <f aca="false">IF(BK85=1,MAX(0,(Slot5_Cost-BL85*(1+Slot5_Rate)^(Slot5_Age-D85))/EU85),0)</f>
        <v>0</v>
      </c>
      <c r="FA85" s="1" t="n">
        <f aca="false">IF(AND(DD85=1,BK85=1),MIN(ET85,EY85),0)</f>
        <v>0</v>
      </c>
      <c r="FB85" s="1" t="n">
        <f aca="false">ET85-FA85</f>
        <v>0</v>
      </c>
      <c r="FC85" s="1" t="n">
        <f aca="false">IF(BU85=1,IF(ABS((1+AS_Wage)/(1+Slot6_Rate)-1)&lt;0.000000000001,(Slot6_Age-D85)*(1+Slot6_Rate)^(Slot6_Age-D85),(1+Slot6_Rate)^(Slot6_Age-D85)*(1-((1+AS_Wage)/(1+Slot6_Rate))^(Slot6_Age-D85))/(1-(1+AS_Wage)/(1+Slot6_Rate))),1)</f>
        <v>1</v>
      </c>
      <c r="FD85" s="1" t="n">
        <f aca="false">IF(AND(DD85=1,DN85&gt;0,Slot6_IsWG=1,BU85=1),MAX(0,(Slot6_Cost-BV85*(1+Slot6_Rate)^(Slot6_Age-D85))/FC85),0)</f>
        <v>0</v>
      </c>
      <c r="FE85" s="1" t="n">
        <f aca="false">IF(AND(DD85=1,DN85&gt;0,Slot6_IsWG=1,BU85=1),MIN(DN85,FD85),0)</f>
        <v>0</v>
      </c>
      <c r="FF85" s="1" t="n">
        <f aca="false">BV85+FE85</f>
        <v>0</v>
      </c>
      <c r="FG85" s="1" t="n">
        <f aca="false">IF(BU85=1,MAX(0,(Slot6_Cost-FF85*(1+Slot6_Rate)^(Slot6_Age-D85))/FC85),0)</f>
        <v>0</v>
      </c>
      <c r="FH85" s="1" t="n">
        <f aca="false">IF(BU85=1,MAX(0,(Slot6_Cost-BV85*(1+Slot6_Rate)^(Slot6_Age-D85))/FC85),0)</f>
        <v>0</v>
      </c>
      <c r="FI85" s="1" t="n">
        <f aca="false">IF(AND(DD85=1,BU85=1),MIN(FB85,FG85),0)</f>
        <v>0</v>
      </c>
      <c r="FJ85" s="1" t="n">
        <f aca="false">FB85-FI85</f>
        <v>0</v>
      </c>
      <c r="FK85" s="1" t="n">
        <f aca="false">IF(CE85=1,IF(ABS((1+AS_Wage)/(1+Slot7_Rate)-1)&lt;0.000000000001,(Slot7_Age-D85)*(1+Slot7_Rate)^(Slot7_Age-D85),(1+Slot7_Rate)^(Slot7_Age-D85)*(1-((1+AS_Wage)/(1+Slot7_Rate))^(Slot7_Age-D85))/(1-(1+AS_Wage)/(1+Slot7_Rate))),1)</f>
        <v>1</v>
      </c>
      <c r="FL85" s="1" t="n">
        <f aca="false">IF(AND(DD85=1,DN85&gt;0,Slot7_IsWG=1,CE85=1),MAX(0,(Slot7_Cost-CF85*(1+Slot7_Rate)^(Slot7_Age-D85))/FK85),0)</f>
        <v>0</v>
      </c>
      <c r="FM85" s="1" t="n">
        <f aca="false">IF(AND(DD85=1,DN85&gt;0,Slot7_IsWG=1,CE85=1),MIN(DN85,FL85),0)</f>
        <v>0</v>
      </c>
      <c r="FN85" s="1" t="n">
        <f aca="false">CF85+FM85</f>
        <v>0</v>
      </c>
      <c r="FO85" s="1" t="n">
        <f aca="false">IF(CE85=1,MAX(0,(Slot7_Cost-FN85*(1+Slot7_Rate)^(Slot7_Age-D85))/FK85),0)</f>
        <v>0</v>
      </c>
      <c r="FP85" s="1" t="n">
        <f aca="false">IF(CE85=1,MAX(0,(Slot7_Cost-CF85*(1+Slot7_Rate)^(Slot7_Age-D85))/FK85),0)</f>
        <v>0</v>
      </c>
      <c r="FQ85" s="1" t="n">
        <f aca="false">IF(AND(DD85=1,CE85=1),MIN(FJ85,FO85),0)</f>
        <v>0</v>
      </c>
      <c r="FR85" s="1" t="n">
        <f aca="false">FJ85-FQ85</f>
        <v>0</v>
      </c>
      <c r="FS85" s="1" t="n">
        <f aca="false">IF(CO85=1,IF(ABS((1+AS_Wage)/(1+Slot8_Rate)-1)&lt;0.000000000001,(Slot8_Age-D85)*(1+Slot8_Rate)^(Slot8_Age-D85),(1+Slot8_Rate)^(Slot8_Age-D85)*(1-((1+AS_Wage)/(1+Slot8_Rate))^(Slot8_Age-D85))/(1-(1+AS_Wage)/(1+Slot8_Rate))),1)</f>
        <v>1</v>
      </c>
      <c r="FT85" s="1" t="n">
        <f aca="false">IF(AND(DD85=1,DN85&gt;0,Slot8_IsWG=1,CO85=1),MAX(0,(Slot8_Cost-CP85*(1+Slot8_Rate)^(Slot8_Age-D85))/FS85),0)</f>
        <v>0</v>
      </c>
      <c r="FU85" s="1" t="n">
        <f aca="false">IF(AND(DD85=1,DN85&gt;0,Slot8_IsWG=1,CO85=1),MIN(DN85,FT85),0)</f>
        <v>0</v>
      </c>
      <c r="FV85" s="1" t="n">
        <f aca="false">CP85+FU85</f>
        <v>0</v>
      </c>
      <c r="FW85" s="1" t="n">
        <f aca="false">IF(CO85=1,MAX(0,(Slot8_Cost-FV85*(1+Slot8_Rate)^(Slot8_Age-D85))/FS85),0)</f>
        <v>0</v>
      </c>
      <c r="FX85" s="1" t="n">
        <f aca="false">IF(CO85=1,MAX(0,(Slot8_Cost-CP85*(1+Slot8_Rate)^(Slot8_Age-D85))/FS85),0)</f>
        <v>0</v>
      </c>
      <c r="FY85" s="1" t="n">
        <f aca="false">IF(AND(DD85=1,CO85=1),MIN(FR85,FW85),0)</f>
        <v>0</v>
      </c>
      <c r="FZ85" s="1" t="n">
        <f aca="false">FR85-FY85</f>
        <v>0</v>
      </c>
      <c r="GA85" s="1" t="n">
        <f aca="false">DN85-(DQ85+DY85+EG85+EO85+EW85+FE85+FM85+FU85)</f>
        <v>0</v>
      </c>
      <c r="GB85" s="1" t="n">
        <f aca="false">IF(DD85=1,DB85-DM85-DN85,0)</f>
        <v>57202.2712605422</v>
      </c>
      <c r="GC85" s="1" t="n">
        <f aca="false">IF(DD85=0,-DB85,0)</f>
        <v>0</v>
      </c>
      <c r="GD85" s="1" t="n">
        <f aca="false">MIN(GC85,CT85)</f>
        <v>0</v>
      </c>
      <c r="GE85" s="1" t="n">
        <f aca="false">GC85-GD85</f>
        <v>0</v>
      </c>
      <c r="GF85" s="1" t="n">
        <f aca="false">MIN(GE85,CU85)</f>
        <v>0</v>
      </c>
      <c r="GG85" s="1" t="n">
        <f aca="false">GE85-GF85</f>
        <v>0</v>
      </c>
      <c r="GH85" s="1" t="n">
        <f aca="false">IF(AND(DD85=0,CO85=1,GG85&gt;0),MIN(GG85,CP85),0)</f>
        <v>0</v>
      </c>
      <c r="GI85" s="1" t="n">
        <f aca="false">GG85-GH85</f>
        <v>0</v>
      </c>
      <c r="GJ85" s="1" t="n">
        <f aca="false">IF(AND(DD85=0,CE85=1,GI85&gt;0),MIN(GI85,CF85),0)</f>
        <v>0</v>
      </c>
      <c r="GK85" s="1" t="n">
        <f aca="false">GI85-GJ85</f>
        <v>0</v>
      </c>
      <c r="GL85" s="1" t="n">
        <f aca="false">IF(AND(DD85=0,BU85=1,GK85&gt;0),MIN(GK85,BV85),0)</f>
        <v>0</v>
      </c>
      <c r="GM85" s="1" t="n">
        <f aca="false">GK85-GL85</f>
        <v>0</v>
      </c>
      <c r="GN85" s="1" t="n">
        <f aca="false">IF(AND(DD85=0,BK85=1,GM85&gt;0),MIN(GM85,BL85),0)</f>
        <v>0</v>
      </c>
      <c r="GO85" s="1" t="n">
        <f aca="false">GM85-GN85</f>
        <v>0</v>
      </c>
      <c r="GP85" s="1" t="n">
        <f aca="false">IF(AND(DD85=0,BA85=1,GO85&gt;0),MIN(GO85,BB85),0)</f>
        <v>0</v>
      </c>
      <c r="GQ85" s="1" t="n">
        <f aca="false">GO85-GP85</f>
        <v>0</v>
      </c>
      <c r="GR85" s="1" t="n">
        <f aca="false">IF(AND(DD85=0,AQ85=1,GQ85&gt;0),MIN(GQ85,AR85),0)</f>
        <v>0</v>
      </c>
      <c r="GS85" s="1" t="n">
        <f aca="false">GQ85-GR85</f>
        <v>0</v>
      </c>
      <c r="GT85" s="1" t="n">
        <f aca="false">IF(AND(DD85=0,AG85=1,GS85&gt;0),MIN(GS85,AH85),0)</f>
        <v>0</v>
      </c>
      <c r="GU85" s="1" t="n">
        <f aca="false">GS85-GT85</f>
        <v>0</v>
      </c>
      <c r="GV85" s="1" t="n">
        <f aca="false">IF(AND(DD85=0,V85=1,GU85&gt;0),MIN(GU85,W85),0)</f>
        <v>0</v>
      </c>
      <c r="GW85" s="1" t="n">
        <f aca="false">GU85-GV85</f>
        <v>0</v>
      </c>
      <c r="GX85" s="1" t="n">
        <f aca="false">IF(DD85=0,GW85,0)</f>
        <v>0</v>
      </c>
      <c r="GY85" s="1" t="n">
        <f aca="false">GD85+GF85+GV85+GT85+GR85+GP85+GN85+GL85+GJ85+GH85</f>
        <v>0</v>
      </c>
      <c r="GZ85" s="1" t="n">
        <f aca="false">IF(DD85=1,CT85+GA85+FZ85+IF(F85=1,0,GB85),CT85-GD85)</f>
        <v>673258.014822822</v>
      </c>
      <c r="HA85" s="1" t="n">
        <f aca="false">CU85-GF85</f>
        <v>0</v>
      </c>
      <c r="HB85" s="1" t="n">
        <f aca="false">IF(DD85=1,IF(F85=1,DM85+DN85,DB85),0)</f>
        <v>57202.2712605422</v>
      </c>
      <c r="HC85" s="1" t="n">
        <f aca="false">IF(DD85=1,IF(F85=1,DB85-DM85-DN85,0),0)</f>
        <v>0</v>
      </c>
      <c r="HD85" s="1" t="n">
        <f aca="false">GZ85*(1+GR)</f>
        <v>684299.446265917</v>
      </c>
      <c r="HE85" s="1" t="n">
        <f aca="false">HA85*(1+AS_Cash)</f>
        <v>0</v>
      </c>
      <c r="HF85" s="1" t="n">
        <f aca="false">IF(V85=1,IF(DD85=1,DR85+DU85,W85-GV85)*(1+Slot1_Rate),0)</f>
        <v>0</v>
      </c>
      <c r="HG85" s="1" t="n">
        <f aca="false">IF(AND(DD85=1,V85=1),(DQ85+DU85)/E85,0)</f>
        <v>0</v>
      </c>
      <c r="HH85" s="1" t="n">
        <f aca="false">IF(B85=0,DQ85+DU85,0)</f>
        <v>0</v>
      </c>
      <c r="HI85" s="1" t="n">
        <f aca="false">IF(B85=0,IF(DD85=1,DS85,DT85),0)</f>
        <v>0</v>
      </c>
      <c r="HJ85" s="1" t="n">
        <f aca="false">IF(AG85=1,IF(DD85=1,DZ85+EC85,AH85-GT85)*(1+Slot2_Rate),0)</f>
        <v>0</v>
      </c>
      <c r="HK85" s="1" t="n">
        <f aca="false">IF(AND(DD85=1,AG85=1),(DY85+EC85)/E85,0)</f>
        <v>0</v>
      </c>
      <c r="HL85" s="1" t="n">
        <f aca="false">IF(B85=0,DY85+EC85,0)</f>
        <v>0</v>
      </c>
      <c r="HM85" s="1" t="n">
        <f aca="false">IF(B85=0,IF(DD85=1,EA85,EB85),0)</f>
        <v>0</v>
      </c>
      <c r="HN85" s="1" t="n">
        <f aca="false">IF(AQ85=1,IF(DD85=1,EH85+EK85,AR85-GR85)*(1+Slot3_Rate),0)</f>
        <v>0</v>
      </c>
      <c r="HO85" s="1" t="n">
        <f aca="false">IF(AND(DD85=1,AQ85=1),(EG85+EK85)/E85,0)</f>
        <v>0</v>
      </c>
      <c r="HP85" s="1" t="n">
        <f aca="false">IF(B85=0,EG85+EK85,0)</f>
        <v>0</v>
      </c>
      <c r="HQ85" s="1" t="n">
        <f aca="false">IF(B85=0,IF(DD85=1,EI85,EJ85),0)</f>
        <v>0</v>
      </c>
      <c r="HR85" s="1" t="n">
        <f aca="false">IF(BA85=1,IF(DD85=1,EP85+ES85,BB85-GP85)*(1+Slot4_Rate),0)</f>
        <v>0</v>
      </c>
      <c r="HS85" s="1" t="n">
        <f aca="false">IF(AND(DD85=1,BA85=1),(EO85+ES85)/E85,0)</f>
        <v>0</v>
      </c>
      <c r="HT85" s="1" t="n">
        <f aca="false">IF(B85=0,EO85+ES85,0)</f>
        <v>0</v>
      </c>
      <c r="HU85" s="1" t="n">
        <f aca="false">IF(B85=0,IF(DD85=1,EQ85,ER85),0)</f>
        <v>0</v>
      </c>
      <c r="HV85" s="1" t="n">
        <f aca="false">IF(BK85=1,IF(DD85=1,EX85+FA85,BL85-GN85)*(1+Slot5_Rate),0)</f>
        <v>0</v>
      </c>
      <c r="HW85" s="1" t="n">
        <f aca="false">IF(AND(DD85=1,BK85=1),(EW85+FA85)/E85,0)</f>
        <v>0</v>
      </c>
      <c r="HX85" s="1" t="n">
        <f aca="false">IF(B85=0,EW85+FA85,0)</f>
        <v>0</v>
      </c>
      <c r="HY85" s="1" t="n">
        <f aca="false">IF(B85=0,IF(DD85=1,EY85,EZ85),0)</f>
        <v>0</v>
      </c>
      <c r="HZ85" s="1" t="n">
        <f aca="false">IF(BU85=1,IF(DD85=1,FF85+FI85,BV85-GL85)*(1+Slot6_Rate),0)</f>
        <v>0</v>
      </c>
      <c r="IA85" s="1" t="n">
        <f aca="false">IF(AND(DD85=1,BU85=1),(FE85+FI85)/E85,0)</f>
        <v>0</v>
      </c>
      <c r="IB85" s="1" t="n">
        <f aca="false">IF(B85=0,FE85+FI85,0)</f>
        <v>0</v>
      </c>
      <c r="IC85" s="1" t="n">
        <f aca="false">IF(B85=0,IF(DD85=1,FG85,FH85),0)</f>
        <v>0</v>
      </c>
      <c r="ID85" s="1" t="n">
        <f aca="false">IF(CE85=1,IF(DD85=1,FN85+FQ85,CF85-GJ85)*(1+Slot7_Rate),0)</f>
        <v>0</v>
      </c>
      <c r="IE85" s="1" t="n">
        <f aca="false">IF(AND(DD85=1,CE85=1),(FM85+FQ85)/E85,0)</f>
        <v>0</v>
      </c>
      <c r="IF85" s="1" t="n">
        <f aca="false">IF(B85=0,FM85+FQ85,0)</f>
        <v>0</v>
      </c>
      <c r="IG85" s="1" t="n">
        <f aca="false">IF(B85=0,IF(DD85=1,FO85,FP85),0)</f>
        <v>0</v>
      </c>
      <c r="IH85" s="1" t="n">
        <f aca="false">IF(CO85=1,IF(DD85=1,FV85+FY85,CP85-GH85)*(1+Slot8_Rate),0)</f>
        <v>0</v>
      </c>
      <c r="II85" s="1" t="n">
        <f aca="false">IF(AND(DD85=1,CO85=1),(FU85+FY85)/E85,0)</f>
        <v>0</v>
      </c>
      <c r="IJ85" s="1" t="n">
        <f aca="false">IF(B85=0,FU85+FY85,0)</f>
        <v>0</v>
      </c>
      <c r="IK85" s="1" t="n">
        <f aca="false">IF(B85=0,IF(DD85=1,FW85,FX85),0)</f>
        <v>0</v>
      </c>
      <c r="IL85" s="1" t="n">
        <f aca="false">HD85+HE85+HF85+HJ85+HN85+HR85+HV85+HZ85+ID85+IH85</f>
        <v>684299.446265917</v>
      </c>
      <c r="IM85" s="1" t="n">
        <f aca="false">GX85+CY85</f>
        <v>0</v>
      </c>
      <c r="IN85" s="1" t="n">
        <f aca="false">H85+R85</f>
        <v>0</v>
      </c>
      <c r="IO85" s="1" t="n">
        <f aca="false">1-F85</f>
        <v>1</v>
      </c>
      <c r="IP85" s="1" t="n">
        <f aca="false">IF(AND(RG_Exists=1,F85=0,C85=1),H85,0)</f>
        <v>0</v>
      </c>
      <c r="IQ85" s="1" t="n">
        <f aca="false">IF(AND(RG_Exists=1,F85=0,C85=1),H85-MIN(GX85,H85),0)</f>
        <v>0</v>
      </c>
      <c r="IR85" s="1" t="n">
        <f aca="false">'Plan pay &amp; tax'!AD287</f>
        <v>0</v>
      </c>
      <c r="IS85" s="1" t="n">
        <f aca="false">IF(AND(C85=1,GX85&gt;MAX(PR_Short1,IN85*PR_Short2)),1,0)</f>
        <v>0</v>
      </c>
      <c r="IT85" s="1" t="n">
        <f aca="false">MIN(G85,H85+R85)</f>
        <v>0</v>
      </c>
      <c r="IU85" s="1" t="n">
        <f aca="false">GY85+MAX(0,CZ85-CY85)</f>
        <v>0</v>
      </c>
      <c r="IV85" s="1" t="n">
        <f aca="false">GX85+CY85</f>
        <v>0</v>
      </c>
      <c r="IW85" s="1" t="n">
        <f aca="false">IF(AND(C85=1,IV85&gt;0.5),1,0)</f>
        <v>0</v>
      </c>
      <c r="IX85" s="1" t="n">
        <f aca="false">IF(AND(C85=1,IW85=0,IU85&gt;0.5),1,0)</f>
        <v>0</v>
      </c>
      <c r="IY85" s="1" t="n">
        <f aca="false">IF(AND(C85=1,GX85&gt;0.5),1,0)</f>
        <v>0</v>
      </c>
      <c r="IZ85" s="1" t="n">
        <f aca="false">IF(AND(C85=1,GY85&gt;1,JF85=0),1,0)</f>
        <v>0</v>
      </c>
      <c r="JA85" s="1" t="n">
        <f aca="false">IF(AND(INT(D85/10)*10=90,B85&gt;0),80,INT(D85/10)*10)</f>
        <v>70</v>
      </c>
      <c r="JB85" s="1" t="n">
        <f aca="false">IF(B85=0,1,IF(JA85&lt;&gt;JA84,JB84+1,JB84))</f>
        <v>8</v>
      </c>
      <c r="JC85" s="1" t="n">
        <f aca="false">IF(AND(C85=1,F85=1,GX85&gt;MAX(PR_Short1,IN85*PR_Short2)),1,0)</f>
        <v>0</v>
      </c>
      <c r="JD85" s="1" t="n">
        <f aca="false">IO85*IS85</f>
        <v>0</v>
      </c>
      <c r="JE85" s="1" t="n">
        <f aca="false">IF(AND(U85=1,Slot1_PctLow=1),1,0)+IF(AND(AF85=1,Slot2_PctLow=1),1,0)+IF(AND(AP85=1,Slot3_PctLow=1),1,0)+IF(AND(AZ85=1,Slot4_PctLow=1),1,0)+IF(AND(BJ85=1,Slot5_PctLow=1),1,0)+IF(AND(BT85=1,Slot6_PctLow=1),1,0)+IF(AND(CD85=1,Slot7_PctLow=1),1,0)+IF(AND(CN85=1,Slot8_PctLow=1),1,0)</f>
        <v>0</v>
      </c>
      <c r="JF85" s="1" t="n">
        <f aca="false">IF(C85=1,IF(OR(IS85=1,JE85&gt;0),1,0),0)</f>
        <v>0</v>
      </c>
    </row>
    <row r="86" customFormat="false" ht="15" hidden="false" customHeight="false" outlineLevel="0" collapsed="false">
      <c r="B86" s="1" t="n">
        <v>78</v>
      </c>
      <c r="C86" s="1" t="n">
        <f aca="false">IF(B86&lt;=F_N,1,0)</f>
        <v>1</v>
      </c>
      <c r="D86" s="1" t="n">
        <f aca="false">'Plan pay &amp; tax'!C288</f>
        <v>78</v>
      </c>
      <c r="E86" s="106" t="n">
        <f aca="false">'Plan pay &amp; tax'!E288</f>
        <v>4.68611991166513</v>
      </c>
      <c r="F86" s="1" t="n">
        <f aca="false">'Plan pay &amp; tax'!G288</f>
        <v>0</v>
      </c>
      <c r="G86" s="1" t="n">
        <f aca="false">'Plan pay &amp; tax'!BT288-'Plan pay &amp; tax'!BS288-'Plan pay &amp; tax'!R288</f>
        <v>58346.3166857531</v>
      </c>
      <c r="H86" s="1" t="n">
        <f aca="false">IF(F86=1,F_CostsM*12,IF(RG_Exists=1,RG_Amount,F_CostsM*12*AS_RetireSpend))*E86+F_OneOffY*E86</f>
        <v>0</v>
      </c>
      <c r="I86" s="1" t="n">
        <f aca="false">DA85</f>
        <v>0</v>
      </c>
      <c r="J86" s="1" t="n">
        <f aca="false">IF(I86&gt;1,'Plan debt months'!AC86,0)</f>
        <v>0</v>
      </c>
      <c r="K86" s="1" t="n">
        <f aca="false">IF(I86&gt;1,'Plan debt months'!AB86,I86)</f>
        <v>0</v>
      </c>
      <c r="L86" s="1" t="n">
        <f aca="false">N85</f>
        <v>0</v>
      </c>
      <c r="M86" s="1" t="n">
        <f aca="false">IF(L86&gt;1,'Plan debt months'!BD86,0)</f>
        <v>0</v>
      </c>
      <c r="N86" s="1" t="n">
        <f aca="false">IF(L86&gt;1,'Plan debt months'!BC86,L86)</f>
        <v>0</v>
      </c>
      <c r="O86" s="1" t="n">
        <f aca="false">Q85</f>
        <v>0</v>
      </c>
      <c r="P86" s="1" t="n">
        <f aca="false">IF(O86&gt;1,'Plan debt months'!CE86,0)</f>
        <v>0</v>
      </c>
      <c r="Q86" s="1" t="n">
        <f aca="false">IF(O86&gt;1,'Plan debt months'!CD86,O86)</f>
        <v>0</v>
      </c>
      <c r="R86" s="1" t="n">
        <f aca="false">J86+M86+P86</f>
        <v>0</v>
      </c>
      <c r="S86" s="1" t="n">
        <f aca="false">HD85+'Plan pay &amp; tax'!Y288</f>
        <v>684299.446265917</v>
      </c>
      <c r="T86" s="1" t="n">
        <f aca="false">HD85</f>
        <v>684299.446265917</v>
      </c>
      <c r="U86" s="1" t="n">
        <f aca="false">IF(AND(Slot1_On=1,D86=Slot1_Age),1,0)</f>
        <v>0</v>
      </c>
      <c r="V86" s="1" t="n">
        <f aca="false">IF(AND(Slot1_On=1,Slot1_Age&gt;D86),1,0)</f>
        <v>0</v>
      </c>
      <c r="W86" s="1" t="n">
        <f aca="false">HF85</f>
        <v>0</v>
      </c>
      <c r="X86" s="1" t="n">
        <f aca="false">U86*MIN(Slot1_Cost,W86)</f>
        <v>0</v>
      </c>
      <c r="Y86" s="1" t="n">
        <f aca="false">U86*Slot1_SpendLike*MIN(Slot1_Cost-X86,S86)</f>
        <v>0</v>
      </c>
      <c r="Z86" s="1" t="n">
        <f aca="false">X86+Y86</f>
        <v>0</v>
      </c>
      <c r="AA86" s="1" t="n">
        <f aca="false">S86-Y86+U86*IF(Slot1_SpendLike=1,W86-X86,IF(Slot1_PotFree=1,W86,0))</f>
        <v>684299.446265917</v>
      </c>
      <c r="AB86" s="1" t="n">
        <f aca="false">AE86+U86*Slot1_BufPot*W86</f>
        <v>0</v>
      </c>
      <c r="AC86" s="1" t="n">
        <f aca="false">IF(AND(U86=1,Slot1_IsMfree=1),IF(Z86&gt;=Slot1_Cost-1,0,MAX(0,K86-Z86)),K86)</f>
        <v>0</v>
      </c>
      <c r="AD86" s="1" t="n">
        <f aca="false">U86*(Slot1_Cost-Z86)</f>
        <v>0</v>
      </c>
      <c r="AE86" s="1" t="n">
        <f aca="false">HE85</f>
        <v>0</v>
      </c>
      <c r="AF86" s="1" t="n">
        <f aca="false">IF(AND(Slot2_On=1,D86=Slot2_Age),1,0)</f>
        <v>0</v>
      </c>
      <c r="AG86" s="1" t="n">
        <f aca="false">IF(AND(Slot2_On=1,Slot2_Age&gt;D86),1,0)</f>
        <v>0</v>
      </c>
      <c r="AH86" s="1" t="n">
        <f aca="false">HJ85</f>
        <v>0</v>
      </c>
      <c r="AI86" s="1" t="n">
        <f aca="false">AF86*MIN(Slot2_Cost,AH86)</f>
        <v>0</v>
      </c>
      <c r="AJ86" s="1" t="n">
        <f aca="false">AF86*Slot2_SpendLike*MIN(Slot2_Cost-AI86,AA86)</f>
        <v>0</v>
      </c>
      <c r="AK86" s="1" t="n">
        <f aca="false">AI86+AJ86</f>
        <v>0</v>
      </c>
      <c r="AL86" s="1" t="n">
        <f aca="false">AA86-AJ86+AF86*IF(Slot2_SpendLike=1,AH86-AI86,IF(Slot2_PotFree=1,AH86,0))</f>
        <v>684299.446265917</v>
      </c>
      <c r="AM86" s="1" t="n">
        <f aca="false">AB86+AF86*Slot2_BufPot*AH86</f>
        <v>0</v>
      </c>
      <c r="AN86" s="1" t="n">
        <f aca="false">IF(AND(AF86=1,Slot2_IsMfree=1),IF(AK86&gt;=Slot2_Cost-1,0,MAX(0,AC86-AK86)),AC86)</f>
        <v>0</v>
      </c>
      <c r="AO86" s="1" t="n">
        <f aca="false">AF86*(Slot2_Cost-AK86)</f>
        <v>0</v>
      </c>
      <c r="AP86" s="1" t="n">
        <f aca="false">IF(AND(Slot3_On=1,D86=Slot3_Age),1,0)</f>
        <v>0</v>
      </c>
      <c r="AQ86" s="1" t="n">
        <f aca="false">IF(AND(Slot3_On=1,Slot3_Age&gt;D86),1,0)</f>
        <v>0</v>
      </c>
      <c r="AR86" s="1" t="n">
        <f aca="false">HN85</f>
        <v>0</v>
      </c>
      <c r="AS86" s="1" t="n">
        <f aca="false">AP86*MIN(Slot3_Cost,AR86)</f>
        <v>0</v>
      </c>
      <c r="AT86" s="1" t="n">
        <f aca="false">AP86*Slot3_SpendLike*MIN(Slot3_Cost-AS86,AL86)</f>
        <v>0</v>
      </c>
      <c r="AU86" s="1" t="n">
        <f aca="false">AS86+AT86</f>
        <v>0</v>
      </c>
      <c r="AV86" s="1" t="n">
        <f aca="false">AL86-AT86+AP86*IF(Slot3_SpendLike=1,AR86-AS86,IF(Slot3_PotFree=1,AR86,0))</f>
        <v>684299.446265917</v>
      </c>
      <c r="AW86" s="1" t="n">
        <f aca="false">AM86+AP86*Slot3_BufPot*AR86</f>
        <v>0</v>
      </c>
      <c r="AX86" s="1" t="n">
        <f aca="false">IF(AND(AP86=1,Slot3_IsMfree=1),IF(AU86&gt;=Slot3_Cost-1,0,MAX(0,AN86-AU86)),AN86)</f>
        <v>0</v>
      </c>
      <c r="AY86" s="1" t="n">
        <f aca="false">AP86*(Slot3_Cost-AU86)</f>
        <v>0</v>
      </c>
      <c r="AZ86" s="1" t="n">
        <f aca="false">IF(AND(Slot4_On=1,D86=Slot4_Age),1,0)</f>
        <v>0</v>
      </c>
      <c r="BA86" s="1" t="n">
        <f aca="false">IF(AND(Slot4_On=1,Slot4_Age&gt;D86),1,0)</f>
        <v>0</v>
      </c>
      <c r="BB86" s="1" t="n">
        <f aca="false">HR85</f>
        <v>0</v>
      </c>
      <c r="BC86" s="1" t="n">
        <f aca="false">AZ86*MIN(Slot4_Cost,BB86)</f>
        <v>0</v>
      </c>
      <c r="BD86" s="1" t="n">
        <f aca="false">AZ86*Slot4_SpendLike*MIN(Slot4_Cost-BC86,AV86)</f>
        <v>0</v>
      </c>
      <c r="BE86" s="1" t="n">
        <f aca="false">BC86+BD86</f>
        <v>0</v>
      </c>
      <c r="BF86" s="1" t="n">
        <f aca="false">AV86-BD86+AZ86*IF(Slot4_SpendLike=1,BB86-BC86,IF(Slot4_PotFree=1,BB86,0))</f>
        <v>684299.446265917</v>
      </c>
      <c r="BG86" s="1" t="n">
        <f aca="false">AW86+AZ86*Slot4_BufPot*BB86</f>
        <v>0</v>
      </c>
      <c r="BH86" s="1" t="n">
        <f aca="false">IF(AND(AZ86=1,Slot4_IsMfree=1),IF(BE86&gt;=Slot4_Cost-1,0,MAX(0,AX86-BE86)),AX86)</f>
        <v>0</v>
      </c>
      <c r="BI86" s="1" t="n">
        <f aca="false">AZ86*(Slot4_Cost-BE86)</f>
        <v>0</v>
      </c>
      <c r="BJ86" s="1" t="n">
        <f aca="false">IF(AND(Slot5_On=1,D86=Slot5_Age),1,0)</f>
        <v>0</v>
      </c>
      <c r="BK86" s="1" t="n">
        <f aca="false">IF(AND(Slot5_On=1,Slot5_Age&gt;D86),1,0)</f>
        <v>0</v>
      </c>
      <c r="BL86" s="1" t="n">
        <f aca="false">HV85</f>
        <v>0</v>
      </c>
      <c r="BM86" s="1" t="n">
        <f aca="false">BJ86*MIN(Slot5_Cost,BL86)</f>
        <v>0</v>
      </c>
      <c r="BN86" s="1" t="n">
        <f aca="false">BJ86*Slot5_SpendLike*MIN(Slot5_Cost-BM86,BF86)</f>
        <v>0</v>
      </c>
      <c r="BO86" s="1" t="n">
        <f aca="false">BM86+BN86</f>
        <v>0</v>
      </c>
      <c r="BP86" s="1" t="n">
        <f aca="false">BF86-BN86+BJ86*IF(Slot5_SpendLike=1,BL86-BM86,IF(Slot5_PotFree=1,BL86,0))</f>
        <v>684299.446265917</v>
      </c>
      <c r="BQ86" s="1" t="n">
        <f aca="false">BG86+BJ86*Slot5_BufPot*BL86</f>
        <v>0</v>
      </c>
      <c r="BR86" s="1" t="n">
        <f aca="false">IF(AND(BJ86=1,Slot5_IsMfree=1),IF(BO86&gt;=Slot5_Cost-1,0,MAX(0,BH86-BO86)),BH86)</f>
        <v>0</v>
      </c>
      <c r="BS86" s="1" t="n">
        <f aca="false">BJ86*(Slot5_Cost-BO86)</f>
        <v>0</v>
      </c>
      <c r="BT86" s="1" t="n">
        <f aca="false">IF(AND(Slot6_On=1,D86=Slot6_Age),1,0)</f>
        <v>0</v>
      </c>
      <c r="BU86" s="1" t="n">
        <f aca="false">IF(AND(Slot6_On=1,Slot6_Age&gt;D86),1,0)</f>
        <v>0</v>
      </c>
      <c r="BV86" s="1" t="n">
        <f aca="false">HZ85</f>
        <v>0</v>
      </c>
      <c r="BW86" s="1" t="n">
        <f aca="false">BT86*MIN(Slot6_Cost,BV86)</f>
        <v>0</v>
      </c>
      <c r="BX86" s="1" t="n">
        <f aca="false">BT86*Slot6_SpendLike*MIN(Slot6_Cost-BW86,BP86)</f>
        <v>0</v>
      </c>
      <c r="BY86" s="1" t="n">
        <f aca="false">BW86+BX86</f>
        <v>0</v>
      </c>
      <c r="BZ86" s="1" t="n">
        <f aca="false">BP86-BX86+BT86*IF(Slot6_SpendLike=1,BV86-BW86,IF(Slot6_PotFree=1,BV86,0))</f>
        <v>684299.446265917</v>
      </c>
      <c r="CA86" s="1" t="n">
        <f aca="false">BQ86+BT86*Slot6_BufPot*BV86</f>
        <v>0</v>
      </c>
      <c r="CB86" s="1" t="n">
        <f aca="false">IF(AND(BT86=1,Slot6_IsMfree=1),IF(BY86&gt;=Slot6_Cost-1,0,MAX(0,BR86-BY86)),BR86)</f>
        <v>0</v>
      </c>
      <c r="CC86" s="1" t="n">
        <f aca="false">BT86*(Slot6_Cost-BY86)</f>
        <v>0</v>
      </c>
      <c r="CD86" s="1" t="n">
        <f aca="false">IF(AND(Slot7_On=1,D86=Slot7_Age),1,0)</f>
        <v>0</v>
      </c>
      <c r="CE86" s="1" t="n">
        <f aca="false">IF(AND(Slot7_On=1,Slot7_Age&gt;D86),1,0)</f>
        <v>0</v>
      </c>
      <c r="CF86" s="1" t="n">
        <f aca="false">ID85</f>
        <v>0</v>
      </c>
      <c r="CG86" s="1" t="n">
        <f aca="false">CD86*MIN(Slot7_Cost,CF86)</f>
        <v>0</v>
      </c>
      <c r="CH86" s="1" t="n">
        <f aca="false">CD86*Slot7_SpendLike*MIN(Slot7_Cost-CG86,BZ86)</f>
        <v>0</v>
      </c>
      <c r="CI86" s="1" t="n">
        <f aca="false">CG86+CH86</f>
        <v>0</v>
      </c>
      <c r="CJ86" s="1" t="n">
        <f aca="false">BZ86-CH86+CD86*IF(Slot7_SpendLike=1,CF86-CG86,IF(Slot7_PotFree=1,CF86,0))</f>
        <v>684299.446265917</v>
      </c>
      <c r="CK86" s="1" t="n">
        <f aca="false">CA86+CD86*Slot7_BufPot*CF86</f>
        <v>0</v>
      </c>
      <c r="CL86" s="1" t="n">
        <f aca="false">IF(AND(CD86=1,Slot7_IsMfree=1),IF(CI86&gt;=Slot7_Cost-1,0,MAX(0,CB86-CI86)),CB86)</f>
        <v>0</v>
      </c>
      <c r="CM86" s="1" t="n">
        <f aca="false">CD86*(Slot7_Cost-CI86)</f>
        <v>0</v>
      </c>
      <c r="CN86" s="1" t="n">
        <f aca="false">IF(AND(Slot8_On=1,D86=Slot8_Age),1,0)</f>
        <v>0</v>
      </c>
      <c r="CO86" s="1" t="n">
        <f aca="false">IF(AND(Slot8_On=1,Slot8_Age&gt;D86),1,0)</f>
        <v>0</v>
      </c>
      <c r="CP86" s="1" t="n">
        <f aca="false">IH85</f>
        <v>0</v>
      </c>
      <c r="CQ86" s="1" t="n">
        <f aca="false">CN86*MIN(Slot8_Cost,CP86)</f>
        <v>0</v>
      </c>
      <c r="CR86" s="1" t="n">
        <f aca="false">CN86*Slot8_SpendLike*MIN(Slot8_Cost-CQ86,CJ86)</f>
        <v>0</v>
      </c>
      <c r="CS86" s="1" t="n">
        <f aca="false">CQ86+CR86</f>
        <v>0</v>
      </c>
      <c r="CT86" s="1" t="n">
        <f aca="false">CJ86-CR86+CN86*IF(Slot8_SpendLike=1,CP86-CQ86,IF(Slot8_PotFree=1,CP86,0))</f>
        <v>684299.446265917</v>
      </c>
      <c r="CU86" s="1" t="n">
        <f aca="false">CK86+CN86*Slot8_BufPot*CP86</f>
        <v>0</v>
      </c>
      <c r="CV86" s="1" t="n">
        <f aca="false">IF(AND(CN86=1,Slot8_IsMfree=1),IF(CS86&gt;=Slot8_Cost-1,0,MAX(0,CL86-CS86)),CL86)</f>
        <v>0</v>
      </c>
      <c r="CW86" s="1" t="n">
        <f aca="false">CN86*(Slot8_Cost-CS86)</f>
        <v>0</v>
      </c>
      <c r="CX86" s="1" t="n">
        <f aca="false">U86*Slot1_SpendLike*Z86+AF86*Slot2_SpendLike*AK86+AP86*Slot3_SpendLike*AU86+AZ86*Slot4_SpendLike*BE86+BJ86*Slot5_SpendLike*BO86+BT86*Slot6_SpendLike*BY86+CD86*Slot7_SpendLike*CI86+CN86*Slot8_SpendLike*CS86</f>
        <v>0</v>
      </c>
      <c r="CY86" s="1" t="n">
        <f aca="false">AD86+AO86+AY86+BI86+BS86+CC86+CM86+CW86</f>
        <v>0</v>
      </c>
      <c r="CZ86" s="1" t="n">
        <f aca="false">U86*Slot1_Cost+AF86*Slot2_Cost+AP86*Slot3_Cost+AZ86*Slot4_Cost+BJ86*Slot5_Cost+BT86*Slot6_Cost+CD86*Slot7_Cost+CN86*Slot8_Cost</f>
        <v>0</v>
      </c>
      <c r="DA86" s="1" t="n">
        <f aca="false">CV86</f>
        <v>0</v>
      </c>
      <c r="DB86" s="1" t="n">
        <f aca="false">G86-H86-R86</f>
        <v>58346.3166857531</v>
      </c>
      <c r="DC86" s="1" t="n">
        <f aca="false">IF(B86=0,IF(AND(Has_q6=1,In_q6=4),PR_ShareVaries*(MAX(0,DB86)/12),MIN(IF(Has_q6=1,CHOOSE(In_q6+1,PR_SaveB1,PR_SaveB2,PR_SaveB3,PR_SaveB4,0),AS_NoAnswer),AS_SaveShare*(MAX(0,DB86)/12))),DC85)</f>
        <v>0</v>
      </c>
      <c r="DD86" s="1" t="n">
        <f aca="false">IF(DB86&gt;=0,1,0)</f>
        <v>1</v>
      </c>
      <c r="DE86" s="1" t="n">
        <f aca="false">MAX(0,DB86/12/E86)</f>
        <v>1037.57333333333</v>
      </c>
      <c r="DF86" s="1" t="n">
        <f aca="false">IF(AND(Has_q6=1,In_q6=4),PR_ShareVaries*(DE86),MIN(IF(Has_q6=1,CHOOSE(In_q6+1,PR_SaveB1,PR_SaveB2,PR_SaveB3,PR_SaveB4,0),AS_NoAnswer),AS_SaveShare*(DE86)))</f>
        <v>300</v>
      </c>
      <c r="DG86" s="1" t="n">
        <f aca="false">IF(Has_saveM=1,IF(In_saveUp="Yes",1,IF(In_saveUp="No",0,IF(In_saveM&gt;=DC86-0.5,1,0))),0)</f>
        <v>0</v>
      </c>
      <c r="DH86" s="1" t="n">
        <f aca="false">IF(Has_saveM=1,MIN(DE86,IF(DG86=1,MAX(In_saveM,DF86),MIN(In_saveM,DF86))),DF86)</f>
        <v>300</v>
      </c>
      <c r="DI86" s="1" t="n">
        <f aca="false">IF(F86=1,DH86*12*E86,0)</f>
        <v>0</v>
      </c>
      <c r="DJ86" s="1" t="n">
        <f aca="false">MAX(0,DI86+IF(AND(WI_Retire=0,WI_M&lt;0,F86=1),WI_M*12*E86,0))</f>
        <v>0</v>
      </c>
      <c r="DK86" s="1" t="n">
        <f aca="false">Slot1_IsWG*V86+Slot2_IsWG*AG86+Slot3_IsWG*AQ86+Slot4_IsWG*BA86+Slot5_IsWG*BK86+Slot6_IsWG*BU86+Slot7_IsWG*CE86+Slot8_IsWG*CO86</f>
        <v>0</v>
      </c>
      <c r="DL86" s="1" t="n">
        <f aca="false">IF(AND(WI_Retire=0,WI_M&gt;0,F86=1,DK86&gt;=1),WI_M*12*E86,0)</f>
        <v>0</v>
      </c>
      <c r="DM86" s="1" t="n">
        <f aca="false">IF(DD86=1,MIN(DJ86,DB86),0)</f>
        <v>0</v>
      </c>
      <c r="DN86" s="1" t="n">
        <f aca="false">IF(DD86=1,MIN(DL86,DB86-DM86),0)</f>
        <v>0</v>
      </c>
      <c r="DO86" s="1" t="n">
        <f aca="false">IF(V86=1,IF(ABS((1+AS_Wage)/(1+Slot1_Rate)-1)&lt;0.000000000001,(Slot1_Age-D86)*(1+Slot1_Rate)^(Slot1_Age-D86),(1+Slot1_Rate)^(Slot1_Age-D86)*(1-((1+AS_Wage)/(1+Slot1_Rate))^(Slot1_Age-D86))/(1-(1+AS_Wage)/(1+Slot1_Rate))),1)</f>
        <v>1</v>
      </c>
      <c r="DP86" s="1" t="n">
        <f aca="false">IF(AND(DD86=1,DN86&gt;0,Slot1_IsWG=1,V86=1),MAX(0,(Slot1_Cost-W86*(1+Slot1_Rate)^(Slot1_Age-D86))/DO86),0)</f>
        <v>0</v>
      </c>
      <c r="DQ86" s="1" t="n">
        <f aca="false">IF(AND(DD86=1,DN86&gt;0,Slot1_IsWG=1,V86=1),MIN(DN86,DP86),0)</f>
        <v>0</v>
      </c>
      <c r="DR86" s="1" t="n">
        <f aca="false">W86+DQ86</f>
        <v>0</v>
      </c>
      <c r="DS86" s="1" t="n">
        <f aca="false">IF(V86=1,MAX(0,(Slot1_Cost-DR86*(1+Slot1_Rate)^(Slot1_Age-D86))/DO86),0)</f>
        <v>0</v>
      </c>
      <c r="DT86" s="1" t="n">
        <f aca="false">IF(V86=1,MAX(0,(Slot1_Cost-W86*(1+Slot1_Rate)^(Slot1_Age-D86))/DO86),0)</f>
        <v>0</v>
      </c>
      <c r="DU86" s="1" t="n">
        <f aca="false">IF(AND(DD86=1,V86=1),MIN(DM86,DS86),0)</f>
        <v>0</v>
      </c>
      <c r="DV86" s="1" t="n">
        <f aca="false">DM86-DU86</f>
        <v>0</v>
      </c>
      <c r="DW86" s="1" t="n">
        <f aca="false">IF(AG86=1,IF(ABS((1+AS_Wage)/(1+Slot2_Rate)-1)&lt;0.000000000001,(Slot2_Age-D86)*(1+Slot2_Rate)^(Slot2_Age-D86),(1+Slot2_Rate)^(Slot2_Age-D86)*(1-((1+AS_Wage)/(1+Slot2_Rate))^(Slot2_Age-D86))/(1-(1+AS_Wage)/(1+Slot2_Rate))),1)</f>
        <v>1</v>
      </c>
      <c r="DX86" s="1" t="n">
        <f aca="false">IF(AND(DD86=1,DN86&gt;0,Slot2_IsWG=1,AG86=1),MAX(0,(Slot2_Cost-AH86*(1+Slot2_Rate)^(Slot2_Age-D86))/DW86),0)</f>
        <v>0</v>
      </c>
      <c r="DY86" s="1" t="n">
        <f aca="false">IF(AND(DD86=1,DN86&gt;0,Slot2_IsWG=1,AG86=1),MIN(DN86,DX86),0)</f>
        <v>0</v>
      </c>
      <c r="DZ86" s="1" t="n">
        <f aca="false">AH86+DY86</f>
        <v>0</v>
      </c>
      <c r="EA86" s="1" t="n">
        <f aca="false">IF(AG86=1,MAX(0,(Slot2_Cost-DZ86*(1+Slot2_Rate)^(Slot2_Age-D86))/DW86),0)</f>
        <v>0</v>
      </c>
      <c r="EB86" s="1" t="n">
        <f aca="false">IF(AG86=1,MAX(0,(Slot2_Cost-AH86*(1+Slot2_Rate)^(Slot2_Age-D86))/DW86),0)</f>
        <v>0</v>
      </c>
      <c r="EC86" s="1" t="n">
        <f aca="false">IF(AND(DD86=1,AG86=1),MIN(DV86,EA86),0)</f>
        <v>0</v>
      </c>
      <c r="ED86" s="1" t="n">
        <f aca="false">DV86-EC86</f>
        <v>0</v>
      </c>
      <c r="EE86" s="1" t="n">
        <f aca="false">IF(AQ86=1,IF(ABS((1+AS_Wage)/(1+Slot3_Rate)-1)&lt;0.000000000001,(Slot3_Age-D86)*(1+Slot3_Rate)^(Slot3_Age-D86),(1+Slot3_Rate)^(Slot3_Age-D86)*(1-((1+AS_Wage)/(1+Slot3_Rate))^(Slot3_Age-D86))/(1-(1+AS_Wage)/(1+Slot3_Rate))),1)</f>
        <v>1</v>
      </c>
      <c r="EF86" s="1" t="n">
        <f aca="false">IF(AND(DD86=1,DN86&gt;0,Slot3_IsWG=1,AQ86=1),MAX(0,(Slot3_Cost-AR86*(1+Slot3_Rate)^(Slot3_Age-D86))/EE86),0)</f>
        <v>0</v>
      </c>
      <c r="EG86" s="1" t="n">
        <f aca="false">IF(AND(DD86=1,DN86&gt;0,Slot3_IsWG=1,AQ86=1),MIN(DN86,EF86),0)</f>
        <v>0</v>
      </c>
      <c r="EH86" s="1" t="n">
        <f aca="false">AR86+EG86</f>
        <v>0</v>
      </c>
      <c r="EI86" s="1" t="n">
        <f aca="false">IF(AQ86=1,MAX(0,(Slot3_Cost-EH86*(1+Slot3_Rate)^(Slot3_Age-D86))/EE86),0)</f>
        <v>0</v>
      </c>
      <c r="EJ86" s="1" t="n">
        <f aca="false">IF(AQ86=1,MAX(0,(Slot3_Cost-AR86*(1+Slot3_Rate)^(Slot3_Age-D86))/EE86),0)</f>
        <v>0</v>
      </c>
      <c r="EK86" s="1" t="n">
        <f aca="false">IF(AND(DD86=1,AQ86=1),MIN(ED86,EI86),0)</f>
        <v>0</v>
      </c>
      <c r="EL86" s="1" t="n">
        <f aca="false">ED86-EK86</f>
        <v>0</v>
      </c>
      <c r="EM86" s="1" t="n">
        <f aca="false">IF(BA86=1,IF(ABS((1+AS_Wage)/(1+Slot4_Rate)-1)&lt;0.000000000001,(Slot4_Age-D86)*(1+Slot4_Rate)^(Slot4_Age-D86),(1+Slot4_Rate)^(Slot4_Age-D86)*(1-((1+AS_Wage)/(1+Slot4_Rate))^(Slot4_Age-D86))/(1-(1+AS_Wage)/(1+Slot4_Rate))),1)</f>
        <v>1</v>
      </c>
      <c r="EN86" s="1" t="n">
        <f aca="false">IF(AND(DD86=1,DN86&gt;0,Slot4_IsWG=1,BA86=1),MAX(0,(Slot4_Cost-BB86*(1+Slot4_Rate)^(Slot4_Age-D86))/EM86),0)</f>
        <v>0</v>
      </c>
      <c r="EO86" s="1" t="n">
        <f aca="false">IF(AND(DD86=1,DN86&gt;0,Slot4_IsWG=1,BA86=1),MIN(DN86,EN86),0)</f>
        <v>0</v>
      </c>
      <c r="EP86" s="1" t="n">
        <f aca="false">BB86+EO86</f>
        <v>0</v>
      </c>
      <c r="EQ86" s="1" t="n">
        <f aca="false">IF(BA86=1,MAX(0,(Slot4_Cost-EP86*(1+Slot4_Rate)^(Slot4_Age-D86))/EM86),0)</f>
        <v>0</v>
      </c>
      <c r="ER86" s="1" t="n">
        <f aca="false">IF(BA86=1,MAX(0,(Slot4_Cost-BB86*(1+Slot4_Rate)^(Slot4_Age-D86))/EM86),0)</f>
        <v>0</v>
      </c>
      <c r="ES86" s="1" t="n">
        <f aca="false">IF(AND(DD86=1,BA86=1),MIN(EL86,EQ86),0)</f>
        <v>0</v>
      </c>
      <c r="ET86" s="1" t="n">
        <f aca="false">EL86-ES86</f>
        <v>0</v>
      </c>
      <c r="EU86" s="1" t="n">
        <f aca="false">IF(BK86=1,IF(ABS((1+AS_Wage)/(1+Slot5_Rate)-1)&lt;0.000000000001,(Slot5_Age-D86)*(1+Slot5_Rate)^(Slot5_Age-D86),(1+Slot5_Rate)^(Slot5_Age-D86)*(1-((1+AS_Wage)/(1+Slot5_Rate))^(Slot5_Age-D86))/(1-(1+AS_Wage)/(1+Slot5_Rate))),1)</f>
        <v>1</v>
      </c>
      <c r="EV86" s="1" t="n">
        <f aca="false">IF(AND(DD86=1,DN86&gt;0,Slot5_IsWG=1,BK86=1),MAX(0,(Slot5_Cost-BL86*(1+Slot5_Rate)^(Slot5_Age-D86))/EU86),0)</f>
        <v>0</v>
      </c>
      <c r="EW86" s="1" t="n">
        <f aca="false">IF(AND(DD86=1,DN86&gt;0,Slot5_IsWG=1,BK86=1),MIN(DN86,EV86),0)</f>
        <v>0</v>
      </c>
      <c r="EX86" s="1" t="n">
        <f aca="false">BL86+EW86</f>
        <v>0</v>
      </c>
      <c r="EY86" s="1" t="n">
        <f aca="false">IF(BK86=1,MAX(0,(Slot5_Cost-EX86*(1+Slot5_Rate)^(Slot5_Age-D86))/EU86),0)</f>
        <v>0</v>
      </c>
      <c r="EZ86" s="1" t="n">
        <f aca="false">IF(BK86=1,MAX(0,(Slot5_Cost-BL86*(1+Slot5_Rate)^(Slot5_Age-D86))/EU86),0)</f>
        <v>0</v>
      </c>
      <c r="FA86" s="1" t="n">
        <f aca="false">IF(AND(DD86=1,BK86=1),MIN(ET86,EY86),0)</f>
        <v>0</v>
      </c>
      <c r="FB86" s="1" t="n">
        <f aca="false">ET86-FA86</f>
        <v>0</v>
      </c>
      <c r="FC86" s="1" t="n">
        <f aca="false">IF(BU86=1,IF(ABS((1+AS_Wage)/(1+Slot6_Rate)-1)&lt;0.000000000001,(Slot6_Age-D86)*(1+Slot6_Rate)^(Slot6_Age-D86),(1+Slot6_Rate)^(Slot6_Age-D86)*(1-((1+AS_Wage)/(1+Slot6_Rate))^(Slot6_Age-D86))/(1-(1+AS_Wage)/(1+Slot6_Rate))),1)</f>
        <v>1</v>
      </c>
      <c r="FD86" s="1" t="n">
        <f aca="false">IF(AND(DD86=1,DN86&gt;0,Slot6_IsWG=1,BU86=1),MAX(0,(Slot6_Cost-BV86*(1+Slot6_Rate)^(Slot6_Age-D86))/FC86),0)</f>
        <v>0</v>
      </c>
      <c r="FE86" s="1" t="n">
        <f aca="false">IF(AND(DD86=1,DN86&gt;0,Slot6_IsWG=1,BU86=1),MIN(DN86,FD86),0)</f>
        <v>0</v>
      </c>
      <c r="FF86" s="1" t="n">
        <f aca="false">BV86+FE86</f>
        <v>0</v>
      </c>
      <c r="FG86" s="1" t="n">
        <f aca="false">IF(BU86=1,MAX(0,(Slot6_Cost-FF86*(1+Slot6_Rate)^(Slot6_Age-D86))/FC86),0)</f>
        <v>0</v>
      </c>
      <c r="FH86" s="1" t="n">
        <f aca="false">IF(BU86=1,MAX(0,(Slot6_Cost-BV86*(1+Slot6_Rate)^(Slot6_Age-D86))/FC86),0)</f>
        <v>0</v>
      </c>
      <c r="FI86" s="1" t="n">
        <f aca="false">IF(AND(DD86=1,BU86=1),MIN(FB86,FG86),0)</f>
        <v>0</v>
      </c>
      <c r="FJ86" s="1" t="n">
        <f aca="false">FB86-FI86</f>
        <v>0</v>
      </c>
      <c r="FK86" s="1" t="n">
        <f aca="false">IF(CE86=1,IF(ABS((1+AS_Wage)/(1+Slot7_Rate)-1)&lt;0.000000000001,(Slot7_Age-D86)*(1+Slot7_Rate)^(Slot7_Age-D86),(1+Slot7_Rate)^(Slot7_Age-D86)*(1-((1+AS_Wage)/(1+Slot7_Rate))^(Slot7_Age-D86))/(1-(1+AS_Wage)/(1+Slot7_Rate))),1)</f>
        <v>1</v>
      </c>
      <c r="FL86" s="1" t="n">
        <f aca="false">IF(AND(DD86=1,DN86&gt;0,Slot7_IsWG=1,CE86=1),MAX(0,(Slot7_Cost-CF86*(1+Slot7_Rate)^(Slot7_Age-D86))/FK86),0)</f>
        <v>0</v>
      </c>
      <c r="FM86" s="1" t="n">
        <f aca="false">IF(AND(DD86=1,DN86&gt;0,Slot7_IsWG=1,CE86=1),MIN(DN86,FL86),0)</f>
        <v>0</v>
      </c>
      <c r="FN86" s="1" t="n">
        <f aca="false">CF86+FM86</f>
        <v>0</v>
      </c>
      <c r="FO86" s="1" t="n">
        <f aca="false">IF(CE86=1,MAX(0,(Slot7_Cost-FN86*(1+Slot7_Rate)^(Slot7_Age-D86))/FK86),0)</f>
        <v>0</v>
      </c>
      <c r="FP86" s="1" t="n">
        <f aca="false">IF(CE86=1,MAX(0,(Slot7_Cost-CF86*(1+Slot7_Rate)^(Slot7_Age-D86))/FK86),0)</f>
        <v>0</v>
      </c>
      <c r="FQ86" s="1" t="n">
        <f aca="false">IF(AND(DD86=1,CE86=1),MIN(FJ86,FO86),0)</f>
        <v>0</v>
      </c>
      <c r="FR86" s="1" t="n">
        <f aca="false">FJ86-FQ86</f>
        <v>0</v>
      </c>
      <c r="FS86" s="1" t="n">
        <f aca="false">IF(CO86=1,IF(ABS((1+AS_Wage)/(1+Slot8_Rate)-1)&lt;0.000000000001,(Slot8_Age-D86)*(1+Slot8_Rate)^(Slot8_Age-D86),(1+Slot8_Rate)^(Slot8_Age-D86)*(1-((1+AS_Wage)/(1+Slot8_Rate))^(Slot8_Age-D86))/(1-(1+AS_Wage)/(1+Slot8_Rate))),1)</f>
        <v>1</v>
      </c>
      <c r="FT86" s="1" t="n">
        <f aca="false">IF(AND(DD86=1,DN86&gt;0,Slot8_IsWG=1,CO86=1),MAX(0,(Slot8_Cost-CP86*(1+Slot8_Rate)^(Slot8_Age-D86))/FS86),0)</f>
        <v>0</v>
      </c>
      <c r="FU86" s="1" t="n">
        <f aca="false">IF(AND(DD86=1,DN86&gt;0,Slot8_IsWG=1,CO86=1),MIN(DN86,FT86),0)</f>
        <v>0</v>
      </c>
      <c r="FV86" s="1" t="n">
        <f aca="false">CP86+FU86</f>
        <v>0</v>
      </c>
      <c r="FW86" s="1" t="n">
        <f aca="false">IF(CO86=1,MAX(0,(Slot8_Cost-FV86*(1+Slot8_Rate)^(Slot8_Age-D86))/FS86),0)</f>
        <v>0</v>
      </c>
      <c r="FX86" s="1" t="n">
        <f aca="false">IF(CO86=1,MAX(0,(Slot8_Cost-CP86*(1+Slot8_Rate)^(Slot8_Age-D86))/FS86),0)</f>
        <v>0</v>
      </c>
      <c r="FY86" s="1" t="n">
        <f aca="false">IF(AND(DD86=1,CO86=1),MIN(FR86,FW86),0)</f>
        <v>0</v>
      </c>
      <c r="FZ86" s="1" t="n">
        <f aca="false">FR86-FY86</f>
        <v>0</v>
      </c>
      <c r="GA86" s="1" t="n">
        <f aca="false">DN86-(DQ86+DY86+EG86+EO86+EW86+FE86+FM86+FU86)</f>
        <v>0</v>
      </c>
      <c r="GB86" s="1" t="n">
        <f aca="false">IF(DD86=1,DB86-DM86-DN86,0)</f>
        <v>58346.3166857531</v>
      </c>
      <c r="GC86" s="1" t="n">
        <f aca="false">IF(DD86=0,-DB86,0)</f>
        <v>0</v>
      </c>
      <c r="GD86" s="1" t="n">
        <f aca="false">MIN(GC86,CT86)</f>
        <v>0</v>
      </c>
      <c r="GE86" s="1" t="n">
        <f aca="false">GC86-GD86</f>
        <v>0</v>
      </c>
      <c r="GF86" s="1" t="n">
        <f aca="false">MIN(GE86,CU86)</f>
        <v>0</v>
      </c>
      <c r="GG86" s="1" t="n">
        <f aca="false">GE86-GF86</f>
        <v>0</v>
      </c>
      <c r="GH86" s="1" t="n">
        <f aca="false">IF(AND(DD86=0,CO86=1,GG86&gt;0),MIN(GG86,CP86),0)</f>
        <v>0</v>
      </c>
      <c r="GI86" s="1" t="n">
        <f aca="false">GG86-GH86</f>
        <v>0</v>
      </c>
      <c r="GJ86" s="1" t="n">
        <f aca="false">IF(AND(DD86=0,CE86=1,GI86&gt;0),MIN(GI86,CF86),0)</f>
        <v>0</v>
      </c>
      <c r="GK86" s="1" t="n">
        <f aca="false">GI86-GJ86</f>
        <v>0</v>
      </c>
      <c r="GL86" s="1" t="n">
        <f aca="false">IF(AND(DD86=0,BU86=1,GK86&gt;0),MIN(GK86,BV86),0)</f>
        <v>0</v>
      </c>
      <c r="GM86" s="1" t="n">
        <f aca="false">GK86-GL86</f>
        <v>0</v>
      </c>
      <c r="GN86" s="1" t="n">
        <f aca="false">IF(AND(DD86=0,BK86=1,GM86&gt;0),MIN(GM86,BL86),0)</f>
        <v>0</v>
      </c>
      <c r="GO86" s="1" t="n">
        <f aca="false">GM86-GN86</f>
        <v>0</v>
      </c>
      <c r="GP86" s="1" t="n">
        <f aca="false">IF(AND(DD86=0,BA86=1,GO86&gt;0),MIN(GO86,BB86),0)</f>
        <v>0</v>
      </c>
      <c r="GQ86" s="1" t="n">
        <f aca="false">GO86-GP86</f>
        <v>0</v>
      </c>
      <c r="GR86" s="1" t="n">
        <f aca="false">IF(AND(DD86=0,AQ86=1,GQ86&gt;0),MIN(GQ86,AR86),0)</f>
        <v>0</v>
      </c>
      <c r="GS86" s="1" t="n">
        <f aca="false">GQ86-GR86</f>
        <v>0</v>
      </c>
      <c r="GT86" s="1" t="n">
        <f aca="false">IF(AND(DD86=0,AG86=1,GS86&gt;0),MIN(GS86,AH86),0)</f>
        <v>0</v>
      </c>
      <c r="GU86" s="1" t="n">
        <f aca="false">GS86-GT86</f>
        <v>0</v>
      </c>
      <c r="GV86" s="1" t="n">
        <f aca="false">IF(AND(DD86=0,V86=1,GU86&gt;0),MIN(GU86,W86),0)</f>
        <v>0</v>
      </c>
      <c r="GW86" s="1" t="n">
        <f aca="false">GU86-GV86</f>
        <v>0</v>
      </c>
      <c r="GX86" s="1" t="n">
        <f aca="false">IF(DD86=0,GW86,0)</f>
        <v>0</v>
      </c>
      <c r="GY86" s="1" t="n">
        <f aca="false">GD86+GF86+GV86+GT86+GR86+GP86+GN86+GL86+GJ86+GH86</f>
        <v>0</v>
      </c>
      <c r="GZ86" s="1" t="n">
        <f aca="false">IF(DD86=1,CT86+GA86+FZ86+IF(F86=1,0,GB86),CT86-GD86)</f>
        <v>742645.76295167</v>
      </c>
      <c r="HA86" s="1" t="n">
        <f aca="false">CU86-GF86</f>
        <v>0</v>
      </c>
      <c r="HB86" s="1" t="n">
        <f aca="false">IF(DD86=1,IF(F86=1,DM86+DN86,DB86),0)</f>
        <v>58346.3166857531</v>
      </c>
      <c r="HC86" s="1" t="n">
        <f aca="false">IF(DD86=1,IF(F86=1,DB86-DM86-DN86,0),0)</f>
        <v>0</v>
      </c>
      <c r="HD86" s="1" t="n">
        <f aca="false">GZ86*(1+GR)</f>
        <v>754825.153464077</v>
      </c>
      <c r="HE86" s="1" t="n">
        <f aca="false">HA86*(1+AS_Cash)</f>
        <v>0</v>
      </c>
      <c r="HF86" s="1" t="n">
        <f aca="false">IF(V86=1,IF(DD86=1,DR86+DU86,W86-GV86)*(1+Slot1_Rate),0)</f>
        <v>0</v>
      </c>
      <c r="HG86" s="1" t="n">
        <f aca="false">IF(AND(DD86=1,V86=1),(DQ86+DU86)/E86,0)</f>
        <v>0</v>
      </c>
      <c r="HH86" s="1" t="n">
        <f aca="false">IF(B86=0,DQ86+DU86,0)</f>
        <v>0</v>
      </c>
      <c r="HI86" s="1" t="n">
        <f aca="false">IF(B86=0,IF(DD86=1,DS86,DT86),0)</f>
        <v>0</v>
      </c>
      <c r="HJ86" s="1" t="n">
        <f aca="false">IF(AG86=1,IF(DD86=1,DZ86+EC86,AH86-GT86)*(1+Slot2_Rate),0)</f>
        <v>0</v>
      </c>
      <c r="HK86" s="1" t="n">
        <f aca="false">IF(AND(DD86=1,AG86=1),(DY86+EC86)/E86,0)</f>
        <v>0</v>
      </c>
      <c r="HL86" s="1" t="n">
        <f aca="false">IF(B86=0,DY86+EC86,0)</f>
        <v>0</v>
      </c>
      <c r="HM86" s="1" t="n">
        <f aca="false">IF(B86=0,IF(DD86=1,EA86,EB86),0)</f>
        <v>0</v>
      </c>
      <c r="HN86" s="1" t="n">
        <f aca="false">IF(AQ86=1,IF(DD86=1,EH86+EK86,AR86-GR86)*(1+Slot3_Rate),0)</f>
        <v>0</v>
      </c>
      <c r="HO86" s="1" t="n">
        <f aca="false">IF(AND(DD86=1,AQ86=1),(EG86+EK86)/E86,0)</f>
        <v>0</v>
      </c>
      <c r="HP86" s="1" t="n">
        <f aca="false">IF(B86=0,EG86+EK86,0)</f>
        <v>0</v>
      </c>
      <c r="HQ86" s="1" t="n">
        <f aca="false">IF(B86=0,IF(DD86=1,EI86,EJ86),0)</f>
        <v>0</v>
      </c>
      <c r="HR86" s="1" t="n">
        <f aca="false">IF(BA86=1,IF(DD86=1,EP86+ES86,BB86-GP86)*(1+Slot4_Rate),0)</f>
        <v>0</v>
      </c>
      <c r="HS86" s="1" t="n">
        <f aca="false">IF(AND(DD86=1,BA86=1),(EO86+ES86)/E86,0)</f>
        <v>0</v>
      </c>
      <c r="HT86" s="1" t="n">
        <f aca="false">IF(B86=0,EO86+ES86,0)</f>
        <v>0</v>
      </c>
      <c r="HU86" s="1" t="n">
        <f aca="false">IF(B86=0,IF(DD86=1,EQ86,ER86),0)</f>
        <v>0</v>
      </c>
      <c r="HV86" s="1" t="n">
        <f aca="false">IF(BK86=1,IF(DD86=1,EX86+FA86,BL86-GN86)*(1+Slot5_Rate),0)</f>
        <v>0</v>
      </c>
      <c r="HW86" s="1" t="n">
        <f aca="false">IF(AND(DD86=1,BK86=1),(EW86+FA86)/E86,0)</f>
        <v>0</v>
      </c>
      <c r="HX86" s="1" t="n">
        <f aca="false">IF(B86=0,EW86+FA86,0)</f>
        <v>0</v>
      </c>
      <c r="HY86" s="1" t="n">
        <f aca="false">IF(B86=0,IF(DD86=1,EY86,EZ86),0)</f>
        <v>0</v>
      </c>
      <c r="HZ86" s="1" t="n">
        <f aca="false">IF(BU86=1,IF(DD86=1,FF86+FI86,BV86-GL86)*(1+Slot6_Rate),0)</f>
        <v>0</v>
      </c>
      <c r="IA86" s="1" t="n">
        <f aca="false">IF(AND(DD86=1,BU86=1),(FE86+FI86)/E86,0)</f>
        <v>0</v>
      </c>
      <c r="IB86" s="1" t="n">
        <f aca="false">IF(B86=0,FE86+FI86,0)</f>
        <v>0</v>
      </c>
      <c r="IC86" s="1" t="n">
        <f aca="false">IF(B86=0,IF(DD86=1,FG86,FH86),0)</f>
        <v>0</v>
      </c>
      <c r="ID86" s="1" t="n">
        <f aca="false">IF(CE86=1,IF(DD86=1,FN86+FQ86,CF86-GJ86)*(1+Slot7_Rate),0)</f>
        <v>0</v>
      </c>
      <c r="IE86" s="1" t="n">
        <f aca="false">IF(AND(DD86=1,CE86=1),(FM86+FQ86)/E86,0)</f>
        <v>0</v>
      </c>
      <c r="IF86" s="1" t="n">
        <f aca="false">IF(B86=0,FM86+FQ86,0)</f>
        <v>0</v>
      </c>
      <c r="IG86" s="1" t="n">
        <f aca="false">IF(B86=0,IF(DD86=1,FO86,FP86),0)</f>
        <v>0</v>
      </c>
      <c r="IH86" s="1" t="n">
        <f aca="false">IF(CO86=1,IF(DD86=1,FV86+FY86,CP86-GH86)*(1+Slot8_Rate),0)</f>
        <v>0</v>
      </c>
      <c r="II86" s="1" t="n">
        <f aca="false">IF(AND(DD86=1,CO86=1),(FU86+FY86)/E86,0)</f>
        <v>0</v>
      </c>
      <c r="IJ86" s="1" t="n">
        <f aca="false">IF(B86=0,FU86+FY86,0)</f>
        <v>0</v>
      </c>
      <c r="IK86" s="1" t="n">
        <f aca="false">IF(B86=0,IF(DD86=1,FW86,FX86),0)</f>
        <v>0</v>
      </c>
      <c r="IL86" s="1" t="n">
        <f aca="false">HD86+HE86+HF86+HJ86+HN86+HR86+HV86+HZ86+ID86+IH86</f>
        <v>754825.153464077</v>
      </c>
      <c r="IM86" s="1" t="n">
        <f aca="false">GX86+CY86</f>
        <v>0</v>
      </c>
      <c r="IN86" s="1" t="n">
        <f aca="false">H86+R86</f>
        <v>0</v>
      </c>
      <c r="IO86" s="1" t="n">
        <f aca="false">1-F86</f>
        <v>1</v>
      </c>
      <c r="IP86" s="1" t="n">
        <f aca="false">IF(AND(RG_Exists=1,F86=0,C86=1),H86,0)</f>
        <v>0</v>
      </c>
      <c r="IQ86" s="1" t="n">
        <f aca="false">IF(AND(RG_Exists=1,F86=0,C86=1),H86-MIN(GX86,H86),0)</f>
        <v>0</v>
      </c>
      <c r="IR86" s="1" t="n">
        <f aca="false">'Plan pay &amp; tax'!AD288</f>
        <v>0</v>
      </c>
      <c r="IS86" s="1" t="n">
        <f aca="false">IF(AND(C86=1,GX86&gt;MAX(PR_Short1,IN86*PR_Short2)),1,0)</f>
        <v>0</v>
      </c>
      <c r="IT86" s="1" t="n">
        <f aca="false">MIN(G86,H86+R86)</f>
        <v>0</v>
      </c>
      <c r="IU86" s="1" t="n">
        <f aca="false">GY86+MAX(0,CZ86-CY86)</f>
        <v>0</v>
      </c>
      <c r="IV86" s="1" t="n">
        <f aca="false">GX86+CY86</f>
        <v>0</v>
      </c>
      <c r="IW86" s="1" t="n">
        <f aca="false">IF(AND(C86=1,IV86&gt;0.5),1,0)</f>
        <v>0</v>
      </c>
      <c r="IX86" s="1" t="n">
        <f aca="false">IF(AND(C86=1,IW86=0,IU86&gt;0.5),1,0)</f>
        <v>0</v>
      </c>
      <c r="IY86" s="1" t="n">
        <f aca="false">IF(AND(C86=1,GX86&gt;0.5),1,0)</f>
        <v>0</v>
      </c>
      <c r="IZ86" s="1" t="n">
        <f aca="false">IF(AND(C86=1,GY86&gt;1,JF86=0),1,0)</f>
        <v>0</v>
      </c>
      <c r="JA86" s="1" t="n">
        <f aca="false">IF(AND(INT(D86/10)*10=90,B86&gt;0),80,INT(D86/10)*10)</f>
        <v>70</v>
      </c>
      <c r="JB86" s="1" t="n">
        <f aca="false">IF(B86=0,1,IF(JA86&lt;&gt;JA85,JB85+1,JB85))</f>
        <v>8</v>
      </c>
      <c r="JC86" s="1" t="n">
        <f aca="false">IF(AND(C86=1,F86=1,GX86&gt;MAX(PR_Short1,IN86*PR_Short2)),1,0)</f>
        <v>0</v>
      </c>
      <c r="JD86" s="1" t="n">
        <f aca="false">IO86*IS86</f>
        <v>0</v>
      </c>
      <c r="JE86" s="1" t="n">
        <f aca="false">IF(AND(U86=1,Slot1_PctLow=1),1,0)+IF(AND(AF86=1,Slot2_PctLow=1),1,0)+IF(AND(AP86=1,Slot3_PctLow=1),1,0)+IF(AND(AZ86=1,Slot4_PctLow=1),1,0)+IF(AND(BJ86=1,Slot5_PctLow=1),1,0)+IF(AND(BT86=1,Slot6_PctLow=1),1,0)+IF(AND(CD86=1,Slot7_PctLow=1),1,0)+IF(AND(CN86=1,Slot8_PctLow=1),1,0)</f>
        <v>0</v>
      </c>
      <c r="JF86" s="1" t="n">
        <f aca="false">IF(C86=1,IF(OR(IS86=1,JE86&gt;0),1,0),0)</f>
        <v>0</v>
      </c>
    </row>
    <row r="87" customFormat="false" ht="15" hidden="false" customHeight="false" outlineLevel="0" collapsed="false">
      <c r="B87" s="1" t="n">
        <v>79</v>
      </c>
      <c r="C87" s="1" t="n">
        <f aca="false">IF(B87&lt;=F_N,1,0)</f>
        <v>1</v>
      </c>
      <c r="D87" s="1" t="n">
        <f aca="false">'Plan pay &amp; tax'!C289</f>
        <v>79</v>
      </c>
      <c r="E87" s="106" t="n">
        <f aca="false">'Plan pay &amp; tax'!E289</f>
        <v>4.77984230989843</v>
      </c>
      <c r="F87" s="1" t="n">
        <f aca="false">'Plan pay &amp; tax'!G289</f>
        <v>0</v>
      </c>
      <c r="G87" s="1" t="n">
        <f aca="false">'Plan pay &amp; tax'!BT289-'Plan pay &amp; tax'!BS289-'Plan pay &amp; tax'!R289</f>
        <v>59513.2430194681</v>
      </c>
      <c r="H87" s="1" t="n">
        <f aca="false">IF(F87=1,F_CostsM*12,IF(RG_Exists=1,RG_Amount,F_CostsM*12*AS_RetireSpend))*E87+F_OneOffY*E87</f>
        <v>0</v>
      </c>
      <c r="I87" s="1" t="n">
        <f aca="false">DA86</f>
        <v>0</v>
      </c>
      <c r="J87" s="1" t="n">
        <f aca="false">IF(I87&gt;1,'Plan debt months'!AC87,0)</f>
        <v>0</v>
      </c>
      <c r="K87" s="1" t="n">
        <f aca="false">IF(I87&gt;1,'Plan debt months'!AB87,I87)</f>
        <v>0</v>
      </c>
      <c r="L87" s="1" t="n">
        <f aca="false">N86</f>
        <v>0</v>
      </c>
      <c r="M87" s="1" t="n">
        <f aca="false">IF(L87&gt;1,'Plan debt months'!BD87,0)</f>
        <v>0</v>
      </c>
      <c r="N87" s="1" t="n">
        <f aca="false">IF(L87&gt;1,'Plan debt months'!BC87,L87)</f>
        <v>0</v>
      </c>
      <c r="O87" s="1" t="n">
        <f aca="false">Q86</f>
        <v>0</v>
      </c>
      <c r="P87" s="1" t="n">
        <f aca="false">IF(O87&gt;1,'Plan debt months'!CE87,0)</f>
        <v>0</v>
      </c>
      <c r="Q87" s="1" t="n">
        <f aca="false">IF(O87&gt;1,'Plan debt months'!CD87,O87)</f>
        <v>0</v>
      </c>
      <c r="R87" s="1" t="n">
        <f aca="false">J87+M87+P87</f>
        <v>0</v>
      </c>
      <c r="S87" s="1" t="n">
        <f aca="false">HD86+'Plan pay &amp; tax'!Y289</f>
        <v>754825.153464077</v>
      </c>
      <c r="T87" s="1" t="n">
        <f aca="false">HD86</f>
        <v>754825.153464077</v>
      </c>
      <c r="U87" s="1" t="n">
        <f aca="false">IF(AND(Slot1_On=1,D87=Slot1_Age),1,0)</f>
        <v>0</v>
      </c>
      <c r="V87" s="1" t="n">
        <f aca="false">IF(AND(Slot1_On=1,Slot1_Age&gt;D87),1,0)</f>
        <v>0</v>
      </c>
      <c r="W87" s="1" t="n">
        <f aca="false">HF86</f>
        <v>0</v>
      </c>
      <c r="X87" s="1" t="n">
        <f aca="false">U87*MIN(Slot1_Cost,W87)</f>
        <v>0</v>
      </c>
      <c r="Y87" s="1" t="n">
        <f aca="false">U87*Slot1_SpendLike*MIN(Slot1_Cost-X87,S87)</f>
        <v>0</v>
      </c>
      <c r="Z87" s="1" t="n">
        <f aca="false">X87+Y87</f>
        <v>0</v>
      </c>
      <c r="AA87" s="1" t="n">
        <f aca="false">S87-Y87+U87*IF(Slot1_SpendLike=1,W87-X87,IF(Slot1_PotFree=1,W87,0))</f>
        <v>754825.153464077</v>
      </c>
      <c r="AB87" s="1" t="n">
        <f aca="false">AE87+U87*Slot1_BufPot*W87</f>
        <v>0</v>
      </c>
      <c r="AC87" s="1" t="n">
        <f aca="false">IF(AND(U87=1,Slot1_IsMfree=1),IF(Z87&gt;=Slot1_Cost-1,0,MAX(0,K87-Z87)),K87)</f>
        <v>0</v>
      </c>
      <c r="AD87" s="1" t="n">
        <f aca="false">U87*(Slot1_Cost-Z87)</f>
        <v>0</v>
      </c>
      <c r="AE87" s="1" t="n">
        <f aca="false">HE86</f>
        <v>0</v>
      </c>
      <c r="AF87" s="1" t="n">
        <f aca="false">IF(AND(Slot2_On=1,D87=Slot2_Age),1,0)</f>
        <v>0</v>
      </c>
      <c r="AG87" s="1" t="n">
        <f aca="false">IF(AND(Slot2_On=1,Slot2_Age&gt;D87),1,0)</f>
        <v>0</v>
      </c>
      <c r="AH87" s="1" t="n">
        <f aca="false">HJ86</f>
        <v>0</v>
      </c>
      <c r="AI87" s="1" t="n">
        <f aca="false">AF87*MIN(Slot2_Cost,AH87)</f>
        <v>0</v>
      </c>
      <c r="AJ87" s="1" t="n">
        <f aca="false">AF87*Slot2_SpendLike*MIN(Slot2_Cost-AI87,AA87)</f>
        <v>0</v>
      </c>
      <c r="AK87" s="1" t="n">
        <f aca="false">AI87+AJ87</f>
        <v>0</v>
      </c>
      <c r="AL87" s="1" t="n">
        <f aca="false">AA87-AJ87+AF87*IF(Slot2_SpendLike=1,AH87-AI87,IF(Slot2_PotFree=1,AH87,0))</f>
        <v>754825.153464077</v>
      </c>
      <c r="AM87" s="1" t="n">
        <f aca="false">AB87+AF87*Slot2_BufPot*AH87</f>
        <v>0</v>
      </c>
      <c r="AN87" s="1" t="n">
        <f aca="false">IF(AND(AF87=1,Slot2_IsMfree=1),IF(AK87&gt;=Slot2_Cost-1,0,MAX(0,AC87-AK87)),AC87)</f>
        <v>0</v>
      </c>
      <c r="AO87" s="1" t="n">
        <f aca="false">AF87*(Slot2_Cost-AK87)</f>
        <v>0</v>
      </c>
      <c r="AP87" s="1" t="n">
        <f aca="false">IF(AND(Slot3_On=1,D87=Slot3_Age),1,0)</f>
        <v>0</v>
      </c>
      <c r="AQ87" s="1" t="n">
        <f aca="false">IF(AND(Slot3_On=1,Slot3_Age&gt;D87),1,0)</f>
        <v>0</v>
      </c>
      <c r="AR87" s="1" t="n">
        <f aca="false">HN86</f>
        <v>0</v>
      </c>
      <c r="AS87" s="1" t="n">
        <f aca="false">AP87*MIN(Slot3_Cost,AR87)</f>
        <v>0</v>
      </c>
      <c r="AT87" s="1" t="n">
        <f aca="false">AP87*Slot3_SpendLike*MIN(Slot3_Cost-AS87,AL87)</f>
        <v>0</v>
      </c>
      <c r="AU87" s="1" t="n">
        <f aca="false">AS87+AT87</f>
        <v>0</v>
      </c>
      <c r="AV87" s="1" t="n">
        <f aca="false">AL87-AT87+AP87*IF(Slot3_SpendLike=1,AR87-AS87,IF(Slot3_PotFree=1,AR87,0))</f>
        <v>754825.153464077</v>
      </c>
      <c r="AW87" s="1" t="n">
        <f aca="false">AM87+AP87*Slot3_BufPot*AR87</f>
        <v>0</v>
      </c>
      <c r="AX87" s="1" t="n">
        <f aca="false">IF(AND(AP87=1,Slot3_IsMfree=1),IF(AU87&gt;=Slot3_Cost-1,0,MAX(0,AN87-AU87)),AN87)</f>
        <v>0</v>
      </c>
      <c r="AY87" s="1" t="n">
        <f aca="false">AP87*(Slot3_Cost-AU87)</f>
        <v>0</v>
      </c>
      <c r="AZ87" s="1" t="n">
        <f aca="false">IF(AND(Slot4_On=1,D87=Slot4_Age),1,0)</f>
        <v>0</v>
      </c>
      <c r="BA87" s="1" t="n">
        <f aca="false">IF(AND(Slot4_On=1,Slot4_Age&gt;D87),1,0)</f>
        <v>0</v>
      </c>
      <c r="BB87" s="1" t="n">
        <f aca="false">HR86</f>
        <v>0</v>
      </c>
      <c r="BC87" s="1" t="n">
        <f aca="false">AZ87*MIN(Slot4_Cost,BB87)</f>
        <v>0</v>
      </c>
      <c r="BD87" s="1" t="n">
        <f aca="false">AZ87*Slot4_SpendLike*MIN(Slot4_Cost-BC87,AV87)</f>
        <v>0</v>
      </c>
      <c r="BE87" s="1" t="n">
        <f aca="false">BC87+BD87</f>
        <v>0</v>
      </c>
      <c r="BF87" s="1" t="n">
        <f aca="false">AV87-BD87+AZ87*IF(Slot4_SpendLike=1,BB87-BC87,IF(Slot4_PotFree=1,BB87,0))</f>
        <v>754825.153464077</v>
      </c>
      <c r="BG87" s="1" t="n">
        <f aca="false">AW87+AZ87*Slot4_BufPot*BB87</f>
        <v>0</v>
      </c>
      <c r="BH87" s="1" t="n">
        <f aca="false">IF(AND(AZ87=1,Slot4_IsMfree=1),IF(BE87&gt;=Slot4_Cost-1,0,MAX(0,AX87-BE87)),AX87)</f>
        <v>0</v>
      </c>
      <c r="BI87" s="1" t="n">
        <f aca="false">AZ87*(Slot4_Cost-BE87)</f>
        <v>0</v>
      </c>
      <c r="BJ87" s="1" t="n">
        <f aca="false">IF(AND(Slot5_On=1,D87=Slot5_Age),1,0)</f>
        <v>0</v>
      </c>
      <c r="BK87" s="1" t="n">
        <f aca="false">IF(AND(Slot5_On=1,Slot5_Age&gt;D87),1,0)</f>
        <v>0</v>
      </c>
      <c r="BL87" s="1" t="n">
        <f aca="false">HV86</f>
        <v>0</v>
      </c>
      <c r="BM87" s="1" t="n">
        <f aca="false">BJ87*MIN(Slot5_Cost,BL87)</f>
        <v>0</v>
      </c>
      <c r="BN87" s="1" t="n">
        <f aca="false">BJ87*Slot5_SpendLike*MIN(Slot5_Cost-BM87,BF87)</f>
        <v>0</v>
      </c>
      <c r="BO87" s="1" t="n">
        <f aca="false">BM87+BN87</f>
        <v>0</v>
      </c>
      <c r="BP87" s="1" t="n">
        <f aca="false">BF87-BN87+BJ87*IF(Slot5_SpendLike=1,BL87-BM87,IF(Slot5_PotFree=1,BL87,0))</f>
        <v>754825.153464077</v>
      </c>
      <c r="BQ87" s="1" t="n">
        <f aca="false">BG87+BJ87*Slot5_BufPot*BL87</f>
        <v>0</v>
      </c>
      <c r="BR87" s="1" t="n">
        <f aca="false">IF(AND(BJ87=1,Slot5_IsMfree=1),IF(BO87&gt;=Slot5_Cost-1,0,MAX(0,BH87-BO87)),BH87)</f>
        <v>0</v>
      </c>
      <c r="BS87" s="1" t="n">
        <f aca="false">BJ87*(Slot5_Cost-BO87)</f>
        <v>0</v>
      </c>
      <c r="BT87" s="1" t="n">
        <f aca="false">IF(AND(Slot6_On=1,D87=Slot6_Age),1,0)</f>
        <v>0</v>
      </c>
      <c r="BU87" s="1" t="n">
        <f aca="false">IF(AND(Slot6_On=1,Slot6_Age&gt;D87),1,0)</f>
        <v>0</v>
      </c>
      <c r="BV87" s="1" t="n">
        <f aca="false">HZ86</f>
        <v>0</v>
      </c>
      <c r="BW87" s="1" t="n">
        <f aca="false">BT87*MIN(Slot6_Cost,BV87)</f>
        <v>0</v>
      </c>
      <c r="BX87" s="1" t="n">
        <f aca="false">BT87*Slot6_SpendLike*MIN(Slot6_Cost-BW87,BP87)</f>
        <v>0</v>
      </c>
      <c r="BY87" s="1" t="n">
        <f aca="false">BW87+BX87</f>
        <v>0</v>
      </c>
      <c r="BZ87" s="1" t="n">
        <f aca="false">BP87-BX87+BT87*IF(Slot6_SpendLike=1,BV87-BW87,IF(Slot6_PotFree=1,BV87,0))</f>
        <v>754825.153464077</v>
      </c>
      <c r="CA87" s="1" t="n">
        <f aca="false">BQ87+BT87*Slot6_BufPot*BV87</f>
        <v>0</v>
      </c>
      <c r="CB87" s="1" t="n">
        <f aca="false">IF(AND(BT87=1,Slot6_IsMfree=1),IF(BY87&gt;=Slot6_Cost-1,0,MAX(0,BR87-BY87)),BR87)</f>
        <v>0</v>
      </c>
      <c r="CC87" s="1" t="n">
        <f aca="false">BT87*(Slot6_Cost-BY87)</f>
        <v>0</v>
      </c>
      <c r="CD87" s="1" t="n">
        <f aca="false">IF(AND(Slot7_On=1,D87=Slot7_Age),1,0)</f>
        <v>0</v>
      </c>
      <c r="CE87" s="1" t="n">
        <f aca="false">IF(AND(Slot7_On=1,Slot7_Age&gt;D87),1,0)</f>
        <v>0</v>
      </c>
      <c r="CF87" s="1" t="n">
        <f aca="false">ID86</f>
        <v>0</v>
      </c>
      <c r="CG87" s="1" t="n">
        <f aca="false">CD87*MIN(Slot7_Cost,CF87)</f>
        <v>0</v>
      </c>
      <c r="CH87" s="1" t="n">
        <f aca="false">CD87*Slot7_SpendLike*MIN(Slot7_Cost-CG87,BZ87)</f>
        <v>0</v>
      </c>
      <c r="CI87" s="1" t="n">
        <f aca="false">CG87+CH87</f>
        <v>0</v>
      </c>
      <c r="CJ87" s="1" t="n">
        <f aca="false">BZ87-CH87+CD87*IF(Slot7_SpendLike=1,CF87-CG87,IF(Slot7_PotFree=1,CF87,0))</f>
        <v>754825.153464077</v>
      </c>
      <c r="CK87" s="1" t="n">
        <f aca="false">CA87+CD87*Slot7_BufPot*CF87</f>
        <v>0</v>
      </c>
      <c r="CL87" s="1" t="n">
        <f aca="false">IF(AND(CD87=1,Slot7_IsMfree=1),IF(CI87&gt;=Slot7_Cost-1,0,MAX(0,CB87-CI87)),CB87)</f>
        <v>0</v>
      </c>
      <c r="CM87" s="1" t="n">
        <f aca="false">CD87*(Slot7_Cost-CI87)</f>
        <v>0</v>
      </c>
      <c r="CN87" s="1" t="n">
        <f aca="false">IF(AND(Slot8_On=1,D87=Slot8_Age),1,0)</f>
        <v>0</v>
      </c>
      <c r="CO87" s="1" t="n">
        <f aca="false">IF(AND(Slot8_On=1,Slot8_Age&gt;D87),1,0)</f>
        <v>0</v>
      </c>
      <c r="CP87" s="1" t="n">
        <f aca="false">IH86</f>
        <v>0</v>
      </c>
      <c r="CQ87" s="1" t="n">
        <f aca="false">CN87*MIN(Slot8_Cost,CP87)</f>
        <v>0</v>
      </c>
      <c r="CR87" s="1" t="n">
        <f aca="false">CN87*Slot8_SpendLike*MIN(Slot8_Cost-CQ87,CJ87)</f>
        <v>0</v>
      </c>
      <c r="CS87" s="1" t="n">
        <f aca="false">CQ87+CR87</f>
        <v>0</v>
      </c>
      <c r="CT87" s="1" t="n">
        <f aca="false">CJ87-CR87+CN87*IF(Slot8_SpendLike=1,CP87-CQ87,IF(Slot8_PotFree=1,CP87,0))</f>
        <v>754825.153464077</v>
      </c>
      <c r="CU87" s="1" t="n">
        <f aca="false">CK87+CN87*Slot8_BufPot*CP87</f>
        <v>0</v>
      </c>
      <c r="CV87" s="1" t="n">
        <f aca="false">IF(AND(CN87=1,Slot8_IsMfree=1),IF(CS87&gt;=Slot8_Cost-1,0,MAX(0,CL87-CS87)),CL87)</f>
        <v>0</v>
      </c>
      <c r="CW87" s="1" t="n">
        <f aca="false">CN87*(Slot8_Cost-CS87)</f>
        <v>0</v>
      </c>
      <c r="CX87" s="1" t="n">
        <f aca="false">U87*Slot1_SpendLike*Z87+AF87*Slot2_SpendLike*AK87+AP87*Slot3_SpendLike*AU87+AZ87*Slot4_SpendLike*BE87+BJ87*Slot5_SpendLike*BO87+BT87*Slot6_SpendLike*BY87+CD87*Slot7_SpendLike*CI87+CN87*Slot8_SpendLike*CS87</f>
        <v>0</v>
      </c>
      <c r="CY87" s="1" t="n">
        <f aca="false">AD87+AO87+AY87+BI87+BS87+CC87+CM87+CW87</f>
        <v>0</v>
      </c>
      <c r="CZ87" s="1" t="n">
        <f aca="false">U87*Slot1_Cost+AF87*Slot2_Cost+AP87*Slot3_Cost+AZ87*Slot4_Cost+BJ87*Slot5_Cost+BT87*Slot6_Cost+CD87*Slot7_Cost+CN87*Slot8_Cost</f>
        <v>0</v>
      </c>
      <c r="DA87" s="1" t="n">
        <f aca="false">CV87</f>
        <v>0</v>
      </c>
      <c r="DB87" s="1" t="n">
        <f aca="false">G87-H87-R87</f>
        <v>59513.2430194681</v>
      </c>
      <c r="DC87" s="1" t="n">
        <f aca="false">IF(B87=0,IF(AND(Has_q6=1,In_q6=4),PR_ShareVaries*(MAX(0,DB87)/12),MIN(IF(Has_q6=1,CHOOSE(In_q6+1,PR_SaveB1,PR_SaveB2,PR_SaveB3,PR_SaveB4,0),AS_NoAnswer),AS_SaveShare*(MAX(0,DB87)/12))),DC86)</f>
        <v>0</v>
      </c>
      <c r="DD87" s="1" t="n">
        <f aca="false">IF(DB87&gt;=0,1,0)</f>
        <v>1</v>
      </c>
      <c r="DE87" s="1" t="n">
        <f aca="false">MAX(0,DB87/12/E87)</f>
        <v>1037.57333333333</v>
      </c>
      <c r="DF87" s="1" t="n">
        <f aca="false">IF(AND(Has_q6=1,In_q6=4),PR_ShareVaries*(DE87),MIN(IF(Has_q6=1,CHOOSE(In_q6+1,PR_SaveB1,PR_SaveB2,PR_SaveB3,PR_SaveB4,0),AS_NoAnswer),AS_SaveShare*(DE87)))</f>
        <v>300</v>
      </c>
      <c r="DG87" s="1" t="n">
        <f aca="false">IF(Has_saveM=1,IF(In_saveUp="Yes",1,IF(In_saveUp="No",0,IF(In_saveM&gt;=DC87-0.5,1,0))),0)</f>
        <v>0</v>
      </c>
      <c r="DH87" s="1" t="n">
        <f aca="false">IF(Has_saveM=1,MIN(DE87,IF(DG87=1,MAX(In_saveM,DF87),MIN(In_saveM,DF87))),DF87)</f>
        <v>300</v>
      </c>
      <c r="DI87" s="1" t="n">
        <f aca="false">IF(F87=1,DH87*12*E87,0)</f>
        <v>0</v>
      </c>
      <c r="DJ87" s="1" t="n">
        <f aca="false">MAX(0,DI87+IF(AND(WI_Retire=0,WI_M&lt;0,F87=1),WI_M*12*E87,0))</f>
        <v>0</v>
      </c>
      <c r="DK87" s="1" t="n">
        <f aca="false">Slot1_IsWG*V87+Slot2_IsWG*AG87+Slot3_IsWG*AQ87+Slot4_IsWG*BA87+Slot5_IsWG*BK87+Slot6_IsWG*BU87+Slot7_IsWG*CE87+Slot8_IsWG*CO87</f>
        <v>0</v>
      </c>
      <c r="DL87" s="1" t="n">
        <f aca="false">IF(AND(WI_Retire=0,WI_M&gt;0,F87=1,DK87&gt;=1),WI_M*12*E87,0)</f>
        <v>0</v>
      </c>
      <c r="DM87" s="1" t="n">
        <f aca="false">IF(DD87=1,MIN(DJ87,DB87),0)</f>
        <v>0</v>
      </c>
      <c r="DN87" s="1" t="n">
        <f aca="false">IF(DD87=1,MIN(DL87,DB87-DM87),0)</f>
        <v>0</v>
      </c>
      <c r="DO87" s="1" t="n">
        <f aca="false">IF(V87=1,IF(ABS((1+AS_Wage)/(1+Slot1_Rate)-1)&lt;0.000000000001,(Slot1_Age-D87)*(1+Slot1_Rate)^(Slot1_Age-D87),(1+Slot1_Rate)^(Slot1_Age-D87)*(1-((1+AS_Wage)/(1+Slot1_Rate))^(Slot1_Age-D87))/(1-(1+AS_Wage)/(1+Slot1_Rate))),1)</f>
        <v>1</v>
      </c>
      <c r="DP87" s="1" t="n">
        <f aca="false">IF(AND(DD87=1,DN87&gt;0,Slot1_IsWG=1,V87=1),MAX(0,(Slot1_Cost-W87*(1+Slot1_Rate)^(Slot1_Age-D87))/DO87),0)</f>
        <v>0</v>
      </c>
      <c r="DQ87" s="1" t="n">
        <f aca="false">IF(AND(DD87=1,DN87&gt;0,Slot1_IsWG=1,V87=1),MIN(DN87,DP87),0)</f>
        <v>0</v>
      </c>
      <c r="DR87" s="1" t="n">
        <f aca="false">W87+DQ87</f>
        <v>0</v>
      </c>
      <c r="DS87" s="1" t="n">
        <f aca="false">IF(V87=1,MAX(0,(Slot1_Cost-DR87*(1+Slot1_Rate)^(Slot1_Age-D87))/DO87),0)</f>
        <v>0</v>
      </c>
      <c r="DT87" s="1" t="n">
        <f aca="false">IF(V87=1,MAX(0,(Slot1_Cost-W87*(1+Slot1_Rate)^(Slot1_Age-D87))/DO87),0)</f>
        <v>0</v>
      </c>
      <c r="DU87" s="1" t="n">
        <f aca="false">IF(AND(DD87=1,V87=1),MIN(DM87,DS87),0)</f>
        <v>0</v>
      </c>
      <c r="DV87" s="1" t="n">
        <f aca="false">DM87-DU87</f>
        <v>0</v>
      </c>
      <c r="DW87" s="1" t="n">
        <f aca="false">IF(AG87=1,IF(ABS((1+AS_Wage)/(1+Slot2_Rate)-1)&lt;0.000000000001,(Slot2_Age-D87)*(1+Slot2_Rate)^(Slot2_Age-D87),(1+Slot2_Rate)^(Slot2_Age-D87)*(1-((1+AS_Wage)/(1+Slot2_Rate))^(Slot2_Age-D87))/(1-(1+AS_Wage)/(1+Slot2_Rate))),1)</f>
        <v>1</v>
      </c>
      <c r="DX87" s="1" t="n">
        <f aca="false">IF(AND(DD87=1,DN87&gt;0,Slot2_IsWG=1,AG87=1),MAX(0,(Slot2_Cost-AH87*(1+Slot2_Rate)^(Slot2_Age-D87))/DW87),0)</f>
        <v>0</v>
      </c>
      <c r="DY87" s="1" t="n">
        <f aca="false">IF(AND(DD87=1,DN87&gt;0,Slot2_IsWG=1,AG87=1),MIN(DN87,DX87),0)</f>
        <v>0</v>
      </c>
      <c r="DZ87" s="1" t="n">
        <f aca="false">AH87+DY87</f>
        <v>0</v>
      </c>
      <c r="EA87" s="1" t="n">
        <f aca="false">IF(AG87=1,MAX(0,(Slot2_Cost-DZ87*(1+Slot2_Rate)^(Slot2_Age-D87))/DW87),0)</f>
        <v>0</v>
      </c>
      <c r="EB87" s="1" t="n">
        <f aca="false">IF(AG87=1,MAX(0,(Slot2_Cost-AH87*(1+Slot2_Rate)^(Slot2_Age-D87))/DW87),0)</f>
        <v>0</v>
      </c>
      <c r="EC87" s="1" t="n">
        <f aca="false">IF(AND(DD87=1,AG87=1),MIN(DV87,EA87),0)</f>
        <v>0</v>
      </c>
      <c r="ED87" s="1" t="n">
        <f aca="false">DV87-EC87</f>
        <v>0</v>
      </c>
      <c r="EE87" s="1" t="n">
        <f aca="false">IF(AQ87=1,IF(ABS((1+AS_Wage)/(1+Slot3_Rate)-1)&lt;0.000000000001,(Slot3_Age-D87)*(1+Slot3_Rate)^(Slot3_Age-D87),(1+Slot3_Rate)^(Slot3_Age-D87)*(1-((1+AS_Wage)/(1+Slot3_Rate))^(Slot3_Age-D87))/(1-(1+AS_Wage)/(1+Slot3_Rate))),1)</f>
        <v>1</v>
      </c>
      <c r="EF87" s="1" t="n">
        <f aca="false">IF(AND(DD87=1,DN87&gt;0,Slot3_IsWG=1,AQ87=1),MAX(0,(Slot3_Cost-AR87*(1+Slot3_Rate)^(Slot3_Age-D87))/EE87),0)</f>
        <v>0</v>
      </c>
      <c r="EG87" s="1" t="n">
        <f aca="false">IF(AND(DD87=1,DN87&gt;0,Slot3_IsWG=1,AQ87=1),MIN(DN87,EF87),0)</f>
        <v>0</v>
      </c>
      <c r="EH87" s="1" t="n">
        <f aca="false">AR87+EG87</f>
        <v>0</v>
      </c>
      <c r="EI87" s="1" t="n">
        <f aca="false">IF(AQ87=1,MAX(0,(Slot3_Cost-EH87*(1+Slot3_Rate)^(Slot3_Age-D87))/EE87),0)</f>
        <v>0</v>
      </c>
      <c r="EJ87" s="1" t="n">
        <f aca="false">IF(AQ87=1,MAX(0,(Slot3_Cost-AR87*(1+Slot3_Rate)^(Slot3_Age-D87))/EE87),0)</f>
        <v>0</v>
      </c>
      <c r="EK87" s="1" t="n">
        <f aca="false">IF(AND(DD87=1,AQ87=1),MIN(ED87,EI87),0)</f>
        <v>0</v>
      </c>
      <c r="EL87" s="1" t="n">
        <f aca="false">ED87-EK87</f>
        <v>0</v>
      </c>
      <c r="EM87" s="1" t="n">
        <f aca="false">IF(BA87=1,IF(ABS((1+AS_Wage)/(1+Slot4_Rate)-1)&lt;0.000000000001,(Slot4_Age-D87)*(1+Slot4_Rate)^(Slot4_Age-D87),(1+Slot4_Rate)^(Slot4_Age-D87)*(1-((1+AS_Wage)/(1+Slot4_Rate))^(Slot4_Age-D87))/(1-(1+AS_Wage)/(1+Slot4_Rate))),1)</f>
        <v>1</v>
      </c>
      <c r="EN87" s="1" t="n">
        <f aca="false">IF(AND(DD87=1,DN87&gt;0,Slot4_IsWG=1,BA87=1),MAX(0,(Slot4_Cost-BB87*(1+Slot4_Rate)^(Slot4_Age-D87))/EM87),0)</f>
        <v>0</v>
      </c>
      <c r="EO87" s="1" t="n">
        <f aca="false">IF(AND(DD87=1,DN87&gt;0,Slot4_IsWG=1,BA87=1),MIN(DN87,EN87),0)</f>
        <v>0</v>
      </c>
      <c r="EP87" s="1" t="n">
        <f aca="false">BB87+EO87</f>
        <v>0</v>
      </c>
      <c r="EQ87" s="1" t="n">
        <f aca="false">IF(BA87=1,MAX(0,(Slot4_Cost-EP87*(1+Slot4_Rate)^(Slot4_Age-D87))/EM87),0)</f>
        <v>0</v>
      </c>
      <c r="ER87" s="1" t="n">
        <f aca="false">IF(BA87=1,MAX(0,(Slot4_Cost-BB87*(1+Slot4_Rate)^(Slot4_Age-D87))/EM87),0)</f>
        <v>0</v>
      </c>
      <c r="ES87" s="1" t="n">
        <f aca="false">IF(AND(DD87=1,BA87=1),MIN(EL87,EQ87),0)</f>
        <v>0</v>
      </c>
      <c r="ET87" s="1" t="n">
        <f aca="false">EL87-ES87</f>
        <v>0</v>
      </c>
      <c r="EU87" s="1" t="n">
        <f aca="false">IF(BK87=1,IF(ABS((1+AS_Wage)/(1+Slot5_Rate)-1)&lt;0.000000000001,(Slot5_Age-D87)*(1+Slot5_Rate)^(Slot5_Age-D87),(1+Slot5_Rate)^(Slot5_Age-D87)*(1-((1+AS_Wage)/(1+Slot5_Rate))^(Slot5_Age-D87))/(1-(1+AS_Wage)/(1+Slot5_Rate))),1)</f>
        <v>1</v>
      </c>
      <c r="EV87" s="1" t="n">
        <f aca="false">IF(AND(DD87=1,DN87&gt;0,Slot5_IsWG=1,BK87=1),MAX(0,(Slot5_Cost-BL87*(1+Slot5_Rate)^(Slot5_Age-D87))/EU87),0)</f>
        <v>0</v>
      </c>
      <c r="EW87" s="1" t="n">
        <f aca="false">IF(AND(DD87=1,DN87&gt;0,Slot5_IsWG=1,BK87=1),MIN(DN87,EV87),0)</f>
        <v>0</v>
      </c>
      <c r="EX87" s="1" t="n">
        <f aca="false">BL87+EW87</f>
        <v>0</v>
      </c>
      <c r="EY87" s="1" t="n">
        <f aca="false">IF(BK87=1,MAX(0,(Slot5_Cost-EX87*(1+Slot5_Rate)^(Slot5_Age-D87))/EU87),0)</f>
        <v>0</v>
      </c>
      <c r="EZ87" s="1" t="n">
        <f aca="false">IF(BK87=1,MAX(0,(Slot5_Cost-BL87*(1+Slot5_Rate)^(Slot5_Age-D87))/EU87),0)</f>
        <v>0</v>
      </c>
      <c r="FA87" s="1" t="n">
        <f aca="false">IF(AND(DD87=1,BK87=1),MIN(ET87,EY87),0)</f>
        <v>0</v>
      </c>
      <c r="FB87" s="1" t="n">
        <f aca="false">ET87-FA87</f>
        <v>0</v>
      </c>
      <c r="FC87" s="1" t="n">
        <f aca="false">IF(BU87=1,IF(ABS((1+AS_Wage)/(1+Slot6_Rate)-1)&lt;0.000000000001,(Slot6_Age-D87)*(1+Slot6_Rate)^(Slot6_Age-D87),(1+Slot6_Rate)^(Slot6_Age-D87)*(1-((1+AS_Wage)/(1+Slot6_Rate))^(Slot6_Age-D87))/(1-(1+AS_Wage)/(1+Slot6_Rate))),1)</f>
        <v>1</v>
      </c>
      <c r="FD87" s="1" t="n">
        <f aca="false">IF(AND(DD87=1,DN87&gt;0,Slot6_IsWG=1,BU87=1),MAX(0,(Slot6_Cost-BV87*(1+Slot6_Rate)^(Slot6_Age-D87))/FC87),0)</f>
        <v>0</v>
      </c>
      <c r="FE87" s="1" t="n">
        <f aca="false">IF(AND(DD87=1,DN87&gt;0,Slot6_IsWG=1,BU87=1),MIN(DN87,FD87),0)</f>
        <v>0</v>
      </c>
      <c r="FF87" s="1" t="n">
        <f aca="false">BV87+FE87</f>
        <v>0</v>
      </c>
      <c r="FG87" s="1" t="n">
        <f aca="false">IF(BU87=1,MAX(0,(Slot6_Cost-FF87*(1+Slot6_Rate)^(Slot6_Age-D87))/FC87),0)</f>
        <v>0</v>
      </c>
      <c r="FH87" s="1" t="n">
        <f aca="false">IF(BU87=1,MAX(0,(Slot6_Cost-BV87*(1+Slot6_Rate)^(Slot6_Age-D87))/FC87),0)</f>
        <v>0</v>
      </c>
      <c r="FI87" s="1" t="n">
        <f aca="false">IF(AND(DD87=1,BU87=1),MIN(FB87,FG87),0)</f>
        <v>0</v>
      </c>
      <c r="FJ87" s="1" t="n">
        <f aca="false">FB87-FI87</f>
        <v>0</v>
      </c>
      <c r="FK87" s="1" t="n">
        <f aca="false">IF(CE87=1,IF(ABS((1+AS_Wage)/(1+Slot7_Rate)-1)&lt;0.000000000001,(Slot7_Age-D87)*(1+Slot7_Rate)^(Slot7_Age-D87),(1+Slot7_Rate)^(Slot7_Age-D87)*(1-((1+AS_Wage)/(1+Slot7_Rate))^(Slot7_Age-D87))/(1-(1+AS_Wage)/(1+Slot7_Rate))),1)</f>
        <v>1</v>
      </c>
      <c r="FL87" s="1" t="n">
        <f aca="false">IF(AND(DD87=1,DN87&gt;0,Slot7_IsWG=1,CE87=1),MAX(0,(Slot7_Cost-CF87*(1+Slot7_Rate)^(Slot7_Age-D87))/FK87),0)</f>
        <v>0</v>
      </c>
      <c r="FM87" s="1" t="n">
        <f aca="false">IF(AND(DD87=1,DN87&gt;0,Slot7_IsWG=1,CE87=1),MIN(DN87,FL87),0)</f>
        <v>0</v>
      </c>
      <c r="FN87" s="1" t="n">
        <f aca="false">CF87+FM87</f>
        <v>0</v>
      </c>
      <c r="FO87" s="1" t="n">
        <f aca="false">IF(CE87=1,MAX(0,(Slot7_Cost-FN87*(1+Slot7_Rate)^(Slot7_Age-D87))/FK87),0)</f>
        <v>0</v>
      </c>
      <c r="FP87" s="1" t="n">
        <f aca="false">IF(CE87=1,MAX(0,(Slot7_Cost-CF87*(1+Slot7_Rate)^(Slot7_Age-D87))/FK87),0)</f>
        <v>0</v>
      </c>
      <c r="FQ87" s="1" t="n">
        <f aca="false">IF(AND(DD87=1,CE87=1),MIN(FJ87,FO87),0)</f>
        <v>0</v>
      </c>
      <c r="FR87" s="1" t="n">
        <f aca="false">FJ87-FQ87</f>
        <v>0</v>
      </c>
      <c r="FS87" s="1" t="n">
        <f aca="false">IF(CO87=1,IF(ABS((1+AS_Wage)/(1+Slot8_Rate)-1)&lt;0.000000000001,(Slot8_Age-D87)*(1+Slot8_Rate)^(Slot8_Age-D87),(1+Slot8_Rate)^(Slot8_Age-D87)*(1-((1+AS_Wage)/(1+Slot8_Rate))^(Slot8_Age-D87))/(1-(1+AS_Wage)/(1+Slot8_Rate))),1)</f>
        <v>1</v>
      </c>
      <c r="FT87" s="1" t="n">
        <f aca="false">IF(AND(DD87=1,DN87&gt;0,Slot8_IsWG=1,CO87=1),MAX(0,(Slot8_Cost-CP87*(1+Slot8_Rate)^(Slot8_Age-D87))/FS87),0)</f>
        <v>0</v>
      </c>
      <c r="FU87" s="1" t="n">
        <f aca="false">IF(AND(DD87=1,DN87&gt;0,Slot8_IsWG=1,CO87=1),MIN(DN87,FT87),0)</f>
        <v>0</v>
      </c>
      <c r="FV87" s="1" t="n">
        <f aca="false">CP87+FU87</f>
        <v>0</v>
      </c>
      <c r="FW87" s="1" t="n">
        <f aca="false">IF(CO87=1,MAX(0,(Slot8_Cost-FV87*(1+Slot8_Rate)^(Slot8_Age-D87))/FS87),0)</f>
        <v>0</v>
      </c>
      <c r="FX87" s="1" t="n">
        <f aca="false">IF(CO87=1,MAX(0,(Slot8_Cost-CP87*(1+Slot8_Rate)^(Slot8_Age-D87))/FS87),0)</f>
        <v>0</v>
      </c>
      <c r="FY87" s="1" t="n">
        <f aca="false">IF(AND(DD87=1,CO87=1),MIN(FR87,FW87),0)</f>
        <v>0</v>
      </c>
      <c r="FZ87" s="1" t="n">
        <f aca="false">FR87-FY87</f>
        <v>0</v>
      </c>
      <c r="GA87" s="1" t="n">
        <f aca="false">DN87-(DQ87+DY87+EG87+EO87+EW87+FE87+FM87+FU87)</f>
        <v>0</v>
      </c>
      <c r="GB87" s="1" t="n">
        <f aca="false">IF(DD87=1,DB87-DM87-DN87,0)</f>
        <v>59513.2430194681</v>
      </c>
      <c r="GC87" s="1" t="n">
        <f aca="false">IF(DD87=0,-DB87,0)</f>
        <v>0</v>
      </c>
      <c r="GD87" s="1" t="n">
        <f aca="false">MIN(GC87,CT87)</f>
        <v>0</v>
      </c>
      <c r="GE87" s="1" t="n">
        <f aca="false">GC87-GD87</f>
        <v>0</v>
      </c>
      <c r="GF87" s="1" t="n">
        <f aca="false">MIN(GE87,CU87)</f>
        <v>0</v>
      </c>
      <c r="GG87" s="1" t="n">
        <f aca="false">GE87-GF87</f>
        <v>0</v>
      </c>
      <c r="GH87" s="1" t="n">
        <f aca="false">IF(AND(DD87=0,CO87=1,GG87&gt;0),MIN(GG87,CP87),0)</f>
        <v>0</v>
      </c>
      <c r="GI87" s="1" t="n">
        <f aca="false">GG87-GH87</f>
        <v>0</v>
      </c>
      <c r="GJ87" s="1" t="n">
        <f aca="false">IF(AND(DD87=0,CE87=1,GI87&gt;0),MIN(GI87,CF87),0)</f>
        <v>0</v>
      </c>
      <c r="GK87" s="1" t="n">
        <f aca="false">GI87-GJ87</f>
        <v>0</v>
      </c>
      <c r="GL87" s="1" t="n">
        <f aca="false">IF(AND(DD87=0,BU87=1,GK87&gt;0),MIN(GK87,BV87),0)</f>
        <v>0</v>
      </c>
      <c r="GM87" s="1" t="n">
        <f aca="false">GK87-GL87</f>
        <v>0</v>
      </c>
      <c r="GN87" s="1" t="n">
        <f aca="false">IF(AND(DD87=0,BK87=1,GM87&gt;0),MIN(GM87,BL87),0)</f>
        <v>0</v>
      </c>
      <c r="GO87" s="1" t="n">
        <f aca="false">GM87-GN87</f>
        <v>0</v>
      </c>
      <c r="GP87" s="1" t="n">
        <f aca="false">IF(AND(DD87=0,BA87=1,GO87&gt;0),MIN(GO87,BB87),0)</f>
        <v>0</v>
      </c>
      <c r="GQ87" s="1" t="n">
        <f aca="false">GO87-GP87</f>
        <v>0</v>
      </c>
      <c r="GR87" s="1" t="n">
        <f aca="false">IF(AND(DD87=0,AQ87=1,GQ87&gt;0),MIN(GQ87,AR87),0)</f>
        <v>0</v>
      </c>
      <c r="GS87" s="1" t="n">
        <f aca="false">GQ87-GR87</f>
        <v>0</v>
      </c>
      <c r="GT87" s="1" t="n">
        <f aca="false">IF(AND(DD87=0,AG87=1,GS87&gt;0),MIN(GS87,AH87),0)</f>
        <v>0</v>
      </c>
      <c r="GU87" s="1" t="n">
        <f aca="false">GS87-GT87</f>
        <v>0</v>
      </c>
      <c r="GV87" s="1" t="n">
        <f aca="false">IF(AND(DD87=0,V87=1,GU87&gt;0),MIN(GU87,W87),0)</f>
        <v>0</v>
      </c>
      <c r="GW87" s="1" t="n">
        <f aca="false">GU87-GV87</f>
        <v>0</v>
      </c>
      <c r="GX87" s="1" t="n">
        <f aca="false">IF(DD87=0,GW87,0)</f>
        <v>0</v>
      </c>
      <c r="GY87" s="1" t="n">
        <f aca="false">GD87+GF87+GV87+GT87+GR87+GP87+GN87+GL87+GJ87+GH87</f>
        <v>0</v>
      </c>
      <c r="GZ87" s="1" t="n">
        <f aca="false">IF(DD87=1,CT87+GA87+FZ87+IF(F87=1,0,GB87),CT87-GD87)</f>
        <v>814338.396483545</v>
      </c>
      <c r="HA87" s="1" t="n">
        <f aca="false">CU87-GF87</f>
        <v>0</v>
      </c>
      <c r="HB87" s="1" t="n">
        <f aca="false">IF(DD87=1,IF(F87=1,DM87+DN87,DB87),0)</f>
        <v>59513.2430194681</v>
      </c>
      <c r="HC87" s="1" t="n">
        <f aca="false">IF(DD87=1,IF(F87=1,DB87-DM87-DN87,0),0)</f>
        <v>0</v>
      </c>
      <c r="HD87" s="1" t="n">
        <f aca="false">GZ87*(1+GR)</f>
        <v>827693.546185875</v>
      </c>
      <c r="HE87" s="1" t="n">
        <f aca="false">HA87*(1+AS_Cash)</f>
        <v>0</v>
      </c>
      <c r="HF87" s="1" t="n">
        <f aca="false">IF(V87=1,IF(DD87=1,DR87+DU87,W87-GV87)*(1+Slot1_Rate),0)</f>
        <v>0</v>
      </c>
      <c r="HG87" s="1" t="n">
        <f aca="false">IF(AND(DD87=1,V87=1),(DQ87+DU87)/E87,0)</f>
        <v>0</v>
      </c>
      <c r="HH87" s="1" t="n">
        <f aca="false">IF(B87=0,DQ87+DU87,0)</f>
        <v>0</v>
      </c>
      <c r="HI87" s="1" t="n">
        <f aca="false">IF(B87=0,IF(DD87=1,DS87,DT87),0)</f>
        <v>0</v>
      </c>
      <c r="HJ87" s="1" t="n">
        <f aca="false">IF(AG87=1,IF(DD87=1,DZ87+EC87,AH87-GT87)*(1+Slot2_Rate),0)</f>
        <v>0</v>
      </c>
      <c r="HK87" s="1" t="n">
        <f aca="false">IF(AND(DD87=1,AG87=1),(DY87+EC87)/E87,0)</f>
        <v>0</v>
      </c>
      <c r="HL87" s="1" t="n">
        <f aca="false">IF(B87=0,DY87+EC87,0)</f>
        <v>0</v>
      </c>
      <c r="HM87" s="1" t="n">
        <f aca="false">IF(B87=0,IF(DD87=1,EA87,EB87),0)</f>
        <v>0</v>
      </c>
      <c r="HN87" s="1" t="n">
        <f aca="false">IF(AQ87=1,IF(DD87=1,EH87+EK87,AR87-GR87)*(1+Slot3_Rate),0)</f>
        <v>0</v>
      </c>
      <c r="HO87" s="1" t="n">
        <f aca="false">IF(AND(DD87=1,AQ87=1),(EG87+EK87)/E87,0)</f>
        <v>0</v>
      </c>
      <c r="HP87" s="1" t="n">
        <f aca="false">IF(B87=0,EG87+EK87,0)</f>
        <v>0</v>
      </c>
      <c r="HQ87" s="1" t="n">
        <f aca="false">IF(B87=0,IF(DD87=1,EI87,EJ87),0)</f>
        <v>0</v>
      </c>
      <c r="HR87" s="1" t="n">
        <f aca="false">IF(BA87=1,IF(DD87=1,EP87+ES87,BB87-GP87)*(1+Slot4_Rate),0)</f>
        <v>0</v>
      </c>
      <c r="HS87" s="1" t="n">
        <f aca="false">IF(AND(DD87=1,BA87=1),(EO87+ES87)/E87,0)</f>
        <v>0</v>
      </c>
      <c r="HT87" s="1" t="n">
        <f aca="false">IF(B87=0,EO87+ES87,0)</f>
        <v>0</v>
      </c>
      <c r="HU87" s="1" t="n">
        <f aca="false">IF(B87=0,IF(DD87=1,EQ87,ER87),0)</f>
        <v>0</v>
      </c>
      <c r="HV87" s="1" t="n">
        <f aca="false">IF(BK87=1,IF(DD87=1,EX87+FA87,BL87-GN87)*(1+Slot5_Rate),0)</f>
        <v>0</v>
      </c>
      <c r="HW87" s="1" t="n">
        <f aca="false">IF(AND(DD87=1,BK87=1),(EW87+FA87)/E87,0)</f>
        <v>0</v>
      </c>
      <c r="HX87" s="1" t="n">
        <f aca="false">IF(B87=0,EW87+FA87,0)</f>
        <v>0</v>
      </c>
      <c r="HY87" s="1" t="n">
        <f aca="false">IF(B87=0,IF(DD87=1,EY87,EZ87),0)</f>
        <v>0</v>
      </c>
      <c r="HZ87" s="1" t="n">
        <f aca="false">IF(BU87=1,IF(DD87=1,FF87+FI87,BV87-GL87)*(1+Slot6_Rate),0)</f>
        <v>0</v>
      </c>
      <c r="IA87" s="1" t="n">
        <f aca="false">IF(AND(DD87=1,BU87=1),(FE87+FI87)/E87,0)</f>
        <v>0</v>
      </c>
      <c r="IB87" s="1" t="n">
        <f aca="false">IF(B87=0,FE87+FI87,0)</f>
        <v>0</v>
      </c>
      <c r="IC87" s="1" t="n">
        <f aca="false">IF(B87=0,IF(DD87=1,FG87,FH87),0)</f>
        <v>0</v>
      </c>
      <c r="ID87" s="1" t="n">
        <f aca="false">IF(CE87=1,IF(DD87=1,FN87+FQ87,CF87-GJ87)*(1+Slot7_Rate),0)</f>
        <v>0</v>
      </c>
      <c r="IE87" s="1" t="n">
        <f aca="false">IF(AND(DD87=1,CE87=1),(FM87+FQ87)/E87,0)</f>
        <v>0</v>
      </c>
      <c r="IF87" s="1" t="n">
        <f aca="false">IF(B87=0,FM87+FQ87,0)</f>
        <v>0</v>
      </c>
      <c r="IG87" s="1" t="n">
        <f aca="false">IF(B87=0,IF(DD87=1,FO87,FP87),0)</f>
        <v>0</v>
      </c>
      <c r="IH87" s="1" t="n">
        <f aca="false">IF(CO87=1,IF(DD87=1,FV87+FY87,CP87-GH87)*(1+Slot8_Rate),0)</f>
        <v>0</v>
      </c>
      <c r="II87" s="1" t="n">
        <f aca="false">IF(AND(DD87=1,CO87=1),(FU87+FY87)/E87,0)</f>
        <v>0</v>
      </c>
      <c r="IJ87" s="1" t="n">
        <f aca="false">IF(B87=0,FU87+FY87,0)</f>
        <v>0</v>
      </c>
      <c r="IK87" s="1" t="n">
        <f aca="false">IF(B87=0,IF(DD87=1,FW87,FX87),0)</f>
        <v>0</v>
      </c>
      <c r="IL87" s="1" t="n">
        <f aca="false">HD87+HE87+HF87+HJ87+HN87+HR87+HV87+HZ87+ID87+IH87</f>
        <v>827693.546185875</v>
      </c>
      <c r="IM87" s="1" t="n">
        <f aca="false">GX87+CY87</f>
        <v>0</v>
      </c>
      <c r="IN87" s="1" t="n">
        <f aca="false">H87+R87</f>
        <v>0</v>
      </c>
      <c r="IO87" s="1" t="n">
        <f aca="false">1-F87</f>
        <v>1</v>
      </c>
      <c r="IP87" s="1" t="n">
        <f aca="false">IF(AND(RG_Exists=1,F87=0,C87=1),H87,0)</f>
        <v>0</v>
      </c>
      <c r="IQ87" s="1" t="n">
        <f aca="false">IF(AND(RG_Exists=1,F87=0,C87=1),H87-MIN(GX87,H87),0)</f>
        <v>0</v>
      </c>
      <c r="IR87" s="1" t="n">
        <f aca="false">'Plan pay &amp; tax'!AD289</f>
        <v>0</v>
      </c>
      <c r="IS87" s="1" t="n">
        <f aca="false">IF(AND(C87=1,GX87&gt;MAX(PR_Short1,IN87*PR_Short2)),1,0)</f>
        <v>0</v>
      </c>
      <c r="IT87" s="1" t="n">
        <f aca="false">MIN(G87,H87+R87)</f>
        <v>0</v>
      </c>
      <c r="IU87" s="1" t="n">
        <f aca="false">GY87+MAX(0,CZ87-CY87)</f>
        <v>0</v>
      </c>
      <c r="IV87" s="1" t="n">
        <f aca="false">GX87+CY87</f>
        <v>0</v>
      </c>
      <c r="IW87" s="1" t="n">
        <f aca="false">IF(AND(C87=1,IV87&gt;0.5),1,0)</f>
        <v>0</v>
      </c>
      <c r="IX87" s="1" t="n">
        <f aca="false">IF(AND(C87=1,IW87=0,IU87&gt;0.5),1,0)</f>
        <v>0</v>
      </c>
      <c r="IY87" s="1" t="n">
        <f aca="false">IF(AND(C87=1,GX87&gt;0.5),1,0)</f>
        <v>0</v>
      </c>
      <c r="IZ87" s="1" t="n">
        <f aca="false">IF(AND(C87=1,GY87&gt;1,JF87=0),1,0)</f>
        <v>0</v>
      </c>
      <c r="JA87" s="1" t="n">
        <f aca="false">IF(AND(INT(D87/10)*10=90,B87&gt;0),80,INT(D87/10)*10)</f>
        <v>70</v>
      </c>
      <c r="JB87" s="1" t="n">
        <f aca="false">IF(B87=0,1,IF(JA87&lt;&gt;JA86,JB86+1,JB86))</f>
        <v>8</v>
      </c>
      <c r="JC87" s="1" t="n">
        <f aca="false">IF(AND(C87=1,F87=1,GX87&gt;MAX(PR_Short1,IN87*PR_Short2)),1,0)</f>
        <v>0</v>
      </c>
      <c r="JD87" s="1" t="n">
        <f aca="false">IO87*IS87</f>
        <v>0</v>
      </c>
      <c r="JE87" s="1" t="n">
        <f aca="false">IF(AND(U87=1,Slot1_PctLow=1),1,0)+IF(AND(AF87=1,Slot2_PctLow=1),1,0)+IF(AND(AP87=1,Slot3_PctLow=1),1,0)+IF(AND(AZ87=1,Slot4_PctLow=1),1,0)+IF(AND(BJ87=1,Slot5_PctLow=1),1,0)+IF(AND(BT87=1,Slot6_PctLow=1),1,0)+IF(AND(CD87=1,Slot7_PctLow=1),1,0)+IF(AND(CN87=1,Slot8_PctLow=1),1,0)</f>
        <v>0</v>
      </c>
      <c r="JF87" s="1" t="n">
        <f aca="false">IF(C87=1,IF(OR(IS87=1,JE87&gt;0),1,0),0)</f>
        <v>0</v>
      </c>
    </row>
    <row r="88" customFormat="false" ht="15" hidden="false" customHeight="false" outlineLevel="0" collapsed="false">
      <c r="B88" s="1" t="n">
        <v>80</v>
      </c>
      <c r="C88" s="1" t="n">
        <f aca="false">IF(B88&lt;=F_N,1,0)</f>
        <v>1</v>
      </c>
      <c r="D88" s="1" t="n">
        <f aca="false">'Plan pay &amp; tax'!C290</f>
        <v>80</v>
      </c>
      <c r="E88" s="106" t="n">
        <f aca="false">'Plan pay &amp; tax'!E290</f>
        <v>4.8754391560964</v>
      </c>
      <c r="F88" s="1" t="n">
        <f aca="false">'Plan pay &amp; tax'!G290</f>
        <v>0</v>
      </c>
      <c r="G88" s="1" t="n">
        <f aca="false">'Plan pay &amp; tax'!BT290-'Plan pay &amp; tax'!BS290-'Plan pay &amp; tax'!R290</f>
        <v>63238.7362410276</v>
      </c>
      <c r="H88" s="1" t="n">
        <f aca="false">IF(F88=1,F_CostsM*12,IF(RG_Exists=1,RG_Amount,F_CostsM*12*AS_RetireSpend))*E88+F_OneOffY*E88</f>
        <v>0</v>
      </c>
      <c r="I88" s="1" t="n">
        <f aca="false">DA87</f>
        <v>0</v>
      </c>
      <c r="J88" s="1" t="n">
        <f aca="false">IF(I88&gt;1,'Plan debt months'!AC88,0)</f>
        <v>0</v>
      </c>
      <c r="K88" s="1" t="n">
        <f aca="false">IF(I88&gt;1,'Plan debt months'!AB88,I88)</f>
        <v>0</v>
      </c>
      <c r="L88" s="1" t="n">
        <f aca="false">N87</f>
        <v>0</v>
      </c>
      <c r="M88" s="1" t="n">
        <f aca="false">IF(L88&gt;1,'Plan debt months'!BD88,0)</f>
        <v>0</v>
      </c>
      <c r="N88" s="1" t="n">
        <f aca="false">IF(L88&gt;1,'Plan debt months'!BC88,L88)</f>
        <v>0</v>
      </c>
      <c r="O88" s="1" t="n">
        <f aca="false">Q87</f>
        <v>0</v>
      </c>
      <c r="P88" s="1" t="n">
        <f aca="false">IF(O88&gt;1,'Plan debt months'!CE88,0)</f>
        <v>0</v>
      </c>
      <c r="Q88" s="1" t="n">
        <f aca="false">IF(O88&gt;1,'Plan debt months'!CD88,O88)</f>
        <v>0</v>
      </c>
      <c r="R88" s="1" t="n">
        <f aca="false">J88+M88+P88</f>
        <v>0</v>
      </c>
      <c r="S88" s="1" t="n">
        <f aca="false">HD87+'Plan pay &amp; tax'!Y290</f>
        <v>827693.546185875</v>
      </c>
      <c r="T88" s="1" t="n">
        <f aca="false">HD87</f>
        <v>827693.546185875</v>
      </c>
      <c r="U88" s="1" t="n">
        <f aca="false">IF(AND(Slot1_On=1,D88=Slot1_Age),1,0)</f>
        <v>0</v>
      </c>
      <c r="V88" s="1" t="n">
        <f aca="false">IF(AND(Slot1_On=1,Slot1_Age&gt;D88),1,0)</f>
        <v>0</v>
      </c>
      <c r="W88" s="1" t="n">
        <f aca="false">HF87</f>
        <v>0</v>
      </c>
      <c r="X88" s="1" t="n">
        <f aca="false">U88*MIN(Slot1_Cost,W88)</f>
        <v>0</v>
      </c>
      <c r="Y88" s="1" t="n">
        <f aca="false">U88*Slot1_SpendLike*MIN(Slot1_Cost-X88,S88)</f>
        <v>0</v>
      </c>
      <c r="Z88" s="1" t="n">
        <f aca="false">X88+Y88</f>
        <v>0</v>
      </c>
      <c r="AA88" s="1" t="n">
        <f aca="false">S88-Y88+U88*IF(Slot1_SpendLike=1,W88-X88,IF(Slot1_PotFree=1,W88,0))</f>
        <v>827693.546185875</v>
      </c>
      <c r="AB88" s="1" t="n">
        <f aca="false">AE88+U88*Slot1_BufPot*W88</f>
        <v>0</v>
      </c>
      <c r="AC88" s="1" t="n">
        <f aca="false">IF(AND(U88=1,Slot1_IsMfree=1),IF(Z88&gt;=Slot1_Cost-1,0,MAX(0,K88-Z88)),K88)</f>
        <v>0</v>
      </c>
      <c r="AD88" s="1" t="n">
        <f aca="false">U88*(Slot1_Cost-Z88)</f>
        <v>0</v>
      </c>
      <c r="AE88" s="1" t="n">
        <f aca="false">HE87</f>
        <v>0</v>
      </c>
      <c r="AF88" s="1" t="n">
        <f aca="false">IF(AND(Slot2_On=1,D88=Slot2_Age),1,0)</f>
        <v>0</v>
      </c>
      <c r="AG88" s="1" t="n">
        <f aca="false">IF(AND(Slot2_On=1,Slot2_Age&gt;D88),1,0)</f>
        <v>0</v>
      </c>
      <c r="AH88" s="1" t="n">
        <f aca="false">HJ87</f>
        <v>0</v>
      </c>
      <c r="AI88" s="1" t="n">
        <f aca="false">AF88*MIN(Slot2_Cost,AH88)</f>
        <v>0</v>
      </c>
      <c r="AJ88" s="1" t="n">
        <f aca="false">AF88*Slot2_SpendLike*MIN(Slot2_Cost-AI88,AA88)</f>
        <v>0</v>
      </c>
      <c r="AK88" s="1" t="n">
        <f aca="false">AI88+AJ88</f>
        <v>0</v>
      </c>
      <c r="AL88" s="1" t="n">
        <f aca="false">AA88-AJ88+AF88*IF(Slot2_SpendLike=1,AH88-AI88,IF(Slot2_PotFree=1,AH88,0))</f>
        <v>827693.546185875</v>
      </c>
      <c r="AM88" s="1" t="n">
        <f aca="false">AB88+AF88*Slot2_BufPot*AH88</f>
        <v>0</v>
      </c>
      <c r="AN88" s="1" t="n">
        <f aca="false">IF(AND(AF88=1,Slot2_IsMfree=1),IF(AK88&gt;=Slot2_Cost-1,0,MAX(0,AC88-AK88)),AC88)</f>
        <v>0</v>
      </c>
      <c r="AO88" s="1" t="n">
        <f aca="false">AF88*(Slot2_Cost-AK88)</f>
        <v>0</v>
      </c>
      <c r="AP88" s="1" t="n">
        <f aca="false">IF(AND(Slot3_On=1,D88=Slot3_Age),1,0)</f>
        <v>0</v>
      </c>
      <c r="AQ88" s="1" t="n">
        <f aca="false">IF(AND(Slot3_On=1,Slot3_Age&gt;D88),1,0)</f>
        <v>0</v>
      </c>
      <c r="AR88" s="1" t="n">
        <f aca="false">HN87</f>
        <v>0</v>
      </c>
      <c r="AS88" s="1" t="n">
        <f aca="false">AP88*MIN(Slot3_Cost,AR88)</f>
        <v>0</v>
      </c>
      <c r="AT88" s="1" t="n">
        <f aca="false">AP88*Slot3_SpendLike*MIN(Slot3_Cost-AS88,AL88)</f>
        <v>0</v>
      </c>
      <c r="AU88" s="1" t="n">
        <f aca="false">AS88+AT88</f>
        <v>0</v>
      </c>
      <c r="AV88" s="1" t="n">
        <f aca="false">AL88-AT88+AP88*IF(Slot3_SpendLike=1,AR88-AS88,IF(Slot3_PotFree=1,AR88,0))</f>
        <v>827693.546185875</v>
      </c>
      <c r="AW88" s="1" t="n">
        <f aca="false">AM88+AP88*Slot3_BufPot*AR88</f>
        <v>0</v>
      </c>
      <c r="AX88" s="1" t="n">
        <f aca="false">IF(AND(AP88=1,Slot3_IsMfree=1),IF(AU88&gt;=Slot3_Cost-1,0,MAX(0,AN88-AU88)),AN88)</f>
        <v>0</v>
      </c>
      <c r="AY88" s="1" t="n">
        <f aca="false">AP88*(Slot3_Cost-AU88)</f>
        <v>0</v>
      </c>
      <c r="AZ88" s="1" t="n">
        <f aca="false">IF(AND(Slot4_On=1,D88=Slot4_Age),1,0)</f>
        <v>0</v>
      </c>
      <c r="BA88" s="1" t="n">
        <f aca="false">IF(AND(Slot4_On=1,Slot4_Age&gt;D88),1,0)</f>
        <v>0</v>
      </c>
      <c r="BB88" s="1" t="n">
        <f aca="false">HR87</f>
        <v>0</v>
      </c>
      <c r="BC88" s="1" t="n">
        <f aca="false">AZ88*MIN(Slot4_Cost,BB88)</f>
        <v>0</v>
      </c>
      <c r="BD88" s="1" t="n">
        <f aca="false">AZ88*Slot4_SpendLike*MIN(Slot4_Cost-BC88,AV88)</f>
        <v>0</v>
      </c>
      <c r="BE88" s="1" t="n">
        <f aca="false">BC88+BD88</f>
        <v>0</v>
      </c>
      <c r="BF88" s="1" t="n">
        <f aca="false">AV88-BD88+AZ88*IF(Slot4_SpendLike=1,BB88-BC88,IF(Slot4_PotFree=1,BB88,0))</f>
        <v>827693.546185875</v>
      </c>
      <c r="BG88" s="1" t="n">
        <f aca="false">AW88+AZ88*Slot4_BufPot*BB88</f>
        <v>0</v>
      </c>
      <c r="BH88" s="1" t="n">
        <f aca="false">IF(AND(AZ88=1,Slot4_IsMfree=1),IF(BE88&gt;=Slot4_Cost-1,0,MAX(0,AX88-BE88)),AX88)</f>
        <v>0</v>
      </c>
      <c r="BI88" s="1" t="n">
        <f aca="false">AZ88*(Slot4_Cost-BE88)</f>
        <v>0</v>
      </c>
      <c r="BJ88" s="1" t="n">
        <f aca="false">IF(AND(Slot5_On=1,D88=Slot5_Age),1,0)</f>
        <v>0</v>
      </c>
      <c r="BK88" s="1" t="n">
        <f aca="false">IF(AND(Slot5_On=1,Slot5_Age&gt;D88),1,0)</f>
        <v>0</v>
      </c>
      <c r="BL88" s="1" t="n">
        <f aca="false">HV87</f>
        <v>0</v>
      </c>
      <c r="BM88" s="1" t="n">
        <f aca="false">BJ88*MIN(Slot5_Cost,BL88)</f>
        <v>0</v>
      </c>
      <c r="BN88" s="1" t="n">
        <f aca="false">BJ88*Slot5_SpendLike*MIN(Slot5_Cost-BM88,BF88)</f>
        <v>0</v>
      </c>
      <c r="BO88" s="1" t="n">
        <f aca="false">BM88+BN88</f>
        <v>0</v>
      </c>
      <c r="BP88" s="1" t="n">
        <f aca="false">BF88-BN88+BJ88*IF(Slot5_SpendLike=1,BL88-BM88,IF(Slot5_PotFree=1,BL88,0))</f>
        <v>827693.546185875</v>
      </c>
      <c r="BQ88" s="1" t="n">
        <f aca="false">BG88+BJ88*Slot5_BufPot*BL88</f>
        <v>0</v>
      </c>
      <c r="BR88" s="1" t="n">
        <f aca="false">IF(AND(BJ88=1,Slot5_IsMfree=1),IF(BO88&gt;=Slot5_Cost-1,0,MAX(0,BH88-BO88)),BH88)</f>
        <v>0</v>
      </c>
      <c r="BS88" s="1" t="n">
        <f aca="false">BJ88*(Slot5_Cost-BO88)</f>
        <v>0</v>
      </c>
      <c r="BT88" s="1" t="n">
        <f aca="false">IF(AND(Slot6_On=1,D88=Slot6_Age),1,0)</f>
        <v>0</v>
      </c>
      <c r="BU88" s="1" t="n">
        <f aca="false">IF(AND(Slot6_On=1,Slot6_Age&gt;D88),1,0)</f>
        <v>0</v>
      </c>
      <c r="BV88" s="1" t="n">
        <f aca="false">HZ87</f>
        <v>0</v>
      </c>
      <c r="BW88" s="1" t="n">
        <f aca="false">BT88*MIN(Slot6_Cost,BV88)</f>
        <v>0</v>
      </c>
      <c r="BX88" s="1" t="n">
        <f aca="false">BT88*Slot6_SpendLike*MIN(Slot6_Cost-BW88,BP88)</f>
        <v>0</v>
      </c>
      <c r="BY88" s="1" t="n">
        <f aca="false">BW88+BX88</f>
        <v>0</v>
      </c>
      <c r="BZ88" s="1" t="n">
        <f aca="false">BP88-BX88+BT88*IF(Slot6_SpendLike=1,BV88-BW88,IF(Slot6_PotFree=1,BV88,0))</f>
        <v>827693.546185875</v>
      </c>
      <c r="CA88" s="1" t="n">
        <f aca="false">BQ88+BT88*Slot6_BufPot*BV88</f>
        <v>0</v>
      </c>
      <c r="CB88" s="1" t="n">
        <f aca="false">IF(AND(BT88=1,Slot6_IsMfree=1),IF(BY88&gt;=Slot6_Cost-1,0,MAX(0,BR88-BY88)),BR88)</f>
        <v>0</v>
      </c>
      <c r="CC88" s="1" t="n">
        <f aca="false">BT88*(Slot6_Cost-BY88)</f>
        <v>0</v>
      </c>
      <c r="CD88" s="1" t="n">
        <f aca="false">IF(AND(Slot7_On=1,D88=Slot7_Age),1,0)</f>
        <v>0</v>
      </c>
      <c r="CE88" s="1" t="n">
        <f aca="false">IF(AND(Slot7_On=1,Slot7_Age&gt;D88),1,0)</f>
        <v>0</v>
      </c>
      <c r="CF88" s="1" t="n">
        <f aca="false">ID87</f>
        <v>0</v>
      </c>
      <c r="CG88" s="1" t="n">
        <f aca="false">CD88*MIN(Slot7_Cost,CF88)</f>
        <v>0</v>
      </c>
      <c r="CH88" s="1" t="n">
        <f aca="false">CD88*Slot7_SpendLike*MIN(Slot7_Cost-CG88,BZ88)</f>
        <v>0</v>
      </c>
      <c r="CI88" s="1" t="n">
        <f aca="false">CG88+CH88</f>
        <v>0</v>
      </c>
      <c r="CJ88" s="1" t="n">
        <f aca="false">BZ88-CH88+CD88*IF(Slot7_SpendLike=1,CF88-CG88,IF(Slot7_PotFree=1,CF88,0))</f>
        <v>827693.546185875</v>
      </c>
      <c r="CK88" s="1" t="n">
        <f aca="false">CA88+CD88*Slot7_BufPot*CF88</f>
        <v>0</v>
      </c>
      <c r="CL88" s="1" t="n">
        <f aca="false">IF(AND(CD88=1,Slot7_IsMfree=1),IF(CI88&gt;=Slot7_Cost-1,0,MAX(0,CB88-CI88)),CB88)</f>
        <v>0</v>
      </c>
      <c r="CM88" s="1" t="n">
        <f aca="false">CD88*(Slot7_Cost-CI88)</f>
        <v>0</v>
      </c>
      <c r="CN88" s="1" t="n">
        <f aca="false">IF(AND(Slot8_On=1,D88=Slot8_Age),1,0)</f>
        <v>0</v>
      </c>
      <c r="CO88" s="1" t="n">
        <f aca="false">IF(AND(Slot8_On=1,Slot8_Age&gt;D88),1,0)</f>
        <v>0</v>
      </c>
      <c r="CP88" s="1" t="n">
        <f aca="false">IH87</f>
        <v>0</v>
      </c>
      <c r="CQ88" s="1" t="n">
        <f aca="false">CN88*MIN(Slot8_Cost,CP88)</f>
        <v>0</v>
      </c>
      <c r="CR88" s="1" t="n">
        <f aca="false">CN88*Slot8_SpendLike*MIN(Slot8_Cost-CQ88,CJ88)</f>
        <v>0</v>
      </c>
      <c r="CS88" s="1" t="n">
        <f aca="false">CQ88+CR88</f>
        <v>0</v>
      </c>
      <c r="CT88" s="1" t="n">
        <f aca="false">CJ88-CR88+CN88*IF(Slot8_SpendLike=1,CP88-CQ88,IF(Slot8_PotFree=1,CP88,0))</f>
        <v>827693.546185875</v>
      </c>
      <c r="CU88" s="1" t="n">
        <f aca="false">CK88+CN88*Slot8_BufPot*CP88</f>
        <v>0</v>
      </c>
      <c r="CV88" s="1" t="n">
        <f aca="false">IF(AND(CN88=1,Slot8_IsMfree=1),IF(CS88&gt;=Slot8_Cost-1,0,MAX(0,CL88-CS88)),CL88)</f>
        <v>0</v>
      </c>
      <c r="CW88" s="1" t="n">
        <f aca="false">CN88*(Slot8_Cost-CS88)</f>
        <v>0</v>
      </c>
      <c r="CX88" s="1" t="n">
        <f aca="false">U88*Slot1_SpendLike*Z88+AF88*Slot2_SpendLike*AK88+AP88*Slot3_SpendLike*AU88+AZ88*Slot4_SpendLike*BE88+BJ88*Slot5_SpendLike*BO88+BT88*Slot6_SpendLike*BY88+CD88*Slot7_SpendLike*CI88+CN88*Slot8_SpendLike*CS88</f>
        <v>0</v>
      </c>
      <c r="CY88" s="1" t="n">
        <f aca="false">AD88+AO88+AY88+BI88+BS88+CC88+CM88+CW88</f>
        <v>0</v>
      </c>
      <c r="CZ88" s="1" t="n">
        <f aca="false">U88*Slot1_Cost+AF88*Slot2_Cost+AP88*Slot3_Cost+AZ88*Slot4_Cost+BJ88*Slot5_Cost+BT88*Slot6_Cost+CD88*Slot7_Cost+CN88*Slot8_Cost</f>
        <v>0</v>
      </c>
      <c r="DA88" s="1" t="n">
        <f aca="false">CV88</f>
        <v>0</v>
      </c>
      <c r="DB88" s="1" t="n">
        <f aca="false">G88-H88-R88</f>
        <v>63238.7362410276</v>
      </c>
      <c r="DC88" s="1" t="n">
        <f aca="false">IF(B88=0,IF(AND(Has_q6=1,In_q6=4),PR_ShareVaries*(MAX(0,DB88)/12),MIN(IF(Has_q6=1,CHOOSE(In_q6+1,PR_SaveB1,PR_SaveB2,PR_SaveB3,PR_SaveB4,0),AS_NoAnswer),AS_SaveShare*(MAX(0,DB88)/12))),DC87)</f>
        <v>0</v>
      </c>
      <c r="DD88" s="1" t="n">
        <f aca="false">IF(DB88&gt;=0,1,0)</f>
        <v>1</v>
      </c>
      <c r="DE88" s="1" t="n">
        <f aca="false">MAX(0,DB88/12/E88)</f>
        <v>1080.90666666667</v>
      </c>
      <c r="DF88" s="1" t="n">
        <f aca="false">IF(AND(Has_q6=1,In_q6=4),PR_ShareVaries*(DE88),MIN(IF(Has_q6=1,CHOOSE(In_q6+1,PR_SaveB1,PR_SaveB2,PR_SaveB3,PR_SaveB4,0),AS_NoAnswer),AS_SaveShare*(DE88)))</f>
        <v>300</v>
      </c>
      <c r="DG88" s="1" t="n">
        <f aca="false">IF(Has_saveM=1,IF(In_saveUp="Yes",1,IF(In_saveUp="No",0,IF(In_saveM&gt;=DC88-0.5,1,0))),0)</f>
        <v>0</v>
      </c>
      <c r="DH88" s="1" t="n">
        <f aca="false">IF(Has_saveM=1,MIN(DE88,IF(DG88=1,MAX(In_saveM,DF88),MIN(In_saveM,DF88))),DF88)</f>
        <v>300</v>
      </c>
      <c r="DI88" s="1" t="n">
        <f aca="false">IF(F88=1,DH88*12*E88,0)</f>
        <v>0</v>
      </c>
      <c r="DJ88" s="1" t="n">
        <f aca="false">MAX(0,DI88+IF(AND(WI_Retire=0,WI_M&lt;0,F88=1),WI_M*12*E88,0))</f>
        <v>0</v>
      </c>
      <c r="DK88" s="1" t="n">
        <f aca="false">Slot1_IsWG*V88+Slot2_IsWG*AG88+Slot3_IsWG*AQ88+Slot4_IsWG*BA88+Slot5_IsWG*BK88+Slot6_IsWG*BU88+Slot7_IsWG*CE88+Slot8_IsWG*CO88</f>
        <v>0</v>
      </c>
      <c r="DL88" s="1" t="n">
        <f aca="false">IF(AND(WI_Retire=0,WI_M&gt;0,F88=1,DK88&gt;=1),WI_M*12*E88,0)</f>
        <v>0</v>
      </c>
      <c r="DM88" s="1" t="n">
        <f aca="false">IF(DD88=1,MIN(DJ88,DB88),0)</f>
        <v>0</v>
      </c>
      <c r="DN88" s="1" t="n">
        <f aca="false">IF(DD88=1,MIN(DL88,DB88-DM88),0)</f>
        <v>0</v>
      </c>
      <c r="DO88" s="1" t="n">
        <f aca="false">IF(V88=1,IF(ABS((1+AS_Wage)/(1+Slot1_Rate)-1)&lt;0.000000000001,(Slot1_Age-D88)*(1+Slot1_Rate)^(Slot1_Age-D88),(1+Slot1_Rate)^(Slot1_Age-D88)*(1-((1+AS_Wage)/(1+Slot1_Rate))^(Slot1_Age-D88))/(1-(1+AS_Wage)/(1+Slot1_Rate))),1)</f>
        <v>1</v>
      </c>
      <c r="DP88" s="1" t="n">
        <f aca="false">IF(AND(DD88=1,DN88&gt;0,Slot1_IsWG=1,V88=1),MAX(0,(Slot1_Cost-W88*(1+Slot1_Rate)^(Slot1_Age-D88))/DO88),0)</f>
        <v>0</v>
      </c>
      <c r="DQ88" s="1" t="n">
        <f aca="false">IF(AND(DD88=1,DN88&gt;0,Slot1_IsWG=1,V88=1),MIN(DN88,DP88),0)</f>
        <v>0</v>
      </c>
      <c r="DR88" s="1" t="n">
        <f aca="false">W88+DQ88</f>
        <v>0</v>
      </c>
      <c r="DS88" s="1" t="n">
        <f aca="false">IF(V88=1,MAX(0,(Slot1_Cost-DR88*(1+Slot1_Rate)^(Slot1_Age-D88))/DO88),0)</f>
        <v>0</v>
      </c>
      <c r="DT88" s="1" t="n">
        <f aca="false">IF(V88=1,MAX(0,(Slot1_Cost-W88*(1+Slot1_Rate)^(Slot1_Age-D88))/DO88),0)</f>
        <v>0</v>
      </c>
      <c r="DU88" s="1" t="n">
        <f aca="false">IF(AND(DD88=1,V88=1),MIN(DM88,DS88),0)</f>
        <v>0</v>
      </c>
      <c r="DV88" s="1" t="n">
        <f aca="false">DM88-DU88</f>
        <v>0</v>
      </c>
      <c r="DW88" s="1" t="n">
        <f aca="false">IF(AG88=1,IF(ABS((1+AS_Wage)/(1+Slot2_Rate)-1)&lt;0.000000000001,(Slot2_Age-D88)*(1+Slot2_Rate)^(Slot2_Age-D88),(1+Slot2_Rate)^(Slot2_Age-D88)*(1-((1+AS_Wage)/(1+Slot2_Rate))^(Slot2_Age-D88))/(1-(1+AS_Wage)/(1+Slot2_Rate))),1)</f>
        <v>1</v>
      </c>
      <c r="DX88" s="1" t="n">
        <f aca="false">IF(AND(DD88=1,DN88&gt;0,Slot2_IsWG=1,AG88=1),MAX(0,(Slot2_Cost-AH88*(1+Slot2_Rate)^(Slot2_Age-D88))/DW88),0)</f>
        <v>0</v>
      </c>
      <c r="DY88" s="1" t="n">
        <f aca="false">IF(AND(DD88=1,DN88&gt;0,Slot2_IsWG=1,AG88=1),MIN(DN88,DX88),0)</f>
        <v>0</v>
      </c>
      <c r="DZ88" s="1" t="n">
        <f aca="false">AH88+DY88</f>
        <v>0</v>
      </c>
      <c r="EA88" s="1" t="n">
        <f aca="false">IF(AG88=1,MAX(0,(Slot2_Cost-DZ88*(1+Slot2_Rate)^(Slot2_Age-D88))/DW88),0)</f>
        <v>0</v>
      </c>
      <c r="EB88" s="1" t="n">
        <f aca="false">IF(AG88=1,MAX(0,(Slot2_Cost-AH88*(1+Slot2_Rate)^(Slot2_Age-D88))/DW88),0)</f>
        <v>0</v>
      </c>
      <c r="EC88" s="1" t="n">
        <f aca="false">IF(AND(DD88=1,AG88=1),MIN(DV88,EA88),0)</f>
        <v>0</v>
      </c>
      <c r="ED88" s="1" t="n">
        <f aca="false">DV88-EC88</f>
        <v>0</v>
      </c>
      <c r="EE88" s="1" t="n">
        <f aca="false">IF(AQ88=1,IF(ABS((1+AS_Wage)/(1+Slot3_Rate)-1)&lt;0.000000000001,(Slot3_Age-D88)*(1+Slot3_Rate)^(Slot3_Age-D88),(1+Slot3_Rate)^(Slot3_Age-D88)*(1-((1+AS_Wage)/(1+Slot3_Rate))^(Slot3_Age-D88))/(1-(1+AS_Wage)/(1+Slot3_Rate))),1)</f>
        <v>1</v>
      </c>
      <c r="EF88" s="1" t="n">
        <f aca="false">IF(AND(DD88=1,DN88&gt;0,Slot3_IsWG=1,AQ88=1),MAX(0,(Slot3_Cost-AR88*(1+Slot3_Rate)^(Slot3_Age-D88))/EE88),0)</f>
        <v>0</v>
      </c>
      <c r="EG88" s="1" t="n">
        <f aca="false">IF(AND(DD88=1,DN88&gt;0,Slot3_IsWG=1,AQ88=1),MIN(DN88,EF88),0)</f>
        <v>0</v>
      </c>
      <c r="EH88" s="1" t="n">
        <f aca="false">AR88+EG88</f>
        <v>0</v>
      </c>
      <c r="EI88" s="1" t="n">
        <f aca="false">IF(AQ88=1,MAX(0,(Slot3_Cost-EH88*(1+Slot3_Rate)^(Slot3_Age-D88))/EE88),0)</f>
        <v>0</v>
      </c>
      <c r="EJ88" s="1" t="n">
        <f aca="false">IF(AQ88=1,MAX(0,(Slot3_Cost-AR88*(1+Slot3_Rate)^(Slot3_Age-D88))/EE88),0)</f>
        <v>0</v>
      </c>
      <c r="EK88" s="1" t="n">
        <f aca="false">IF(AND(DD88=1,AQ88=1),MIN(ED88,EI88),0)</f>
        <v>0</v>
      </c>
      <c r="EL88" s="1" t="n">
        <f aca="false">ED88-EK88</f>
        <v>0</v>
      </c>
      <c r="EM88" s="1" t="n">
        <f aca="false">IF(BA88=1,IF(ABS((1+AS_Wage)/(1+Slot4_Rate)-1)&lt;0.000000000001,(Slot4_Age-D88)*(1+Slot4_Rate)^(Slot4_Age-D88),(1+Slot4_Rate)^(Slot4_Age-D88)*(1-((1+AS_Wage)/(1+Slot4_Rate))^(Slot4_Age-D88))/(1-(1+AS_Wage)/(1+Slot4_Rate))),1)</f>
        <v>1</v>
      </c>
      <c r="EN88" s="1" t="n">
        <f aca="false">IF(AND(DD88=1,DN88&gt;0,Slot4_IsWG=1,BA88=1),MAX(0,(Slot4_Cost-BB88*(1+Slot4_Rate)^(Slot4_Age-D88))/EM88),0)</f>
        <v>0</v>
      </c>
      <c r="EO88" s="1" t="n">
        <f aca="false">IF(AND(DD88=1,DN88&gt;0,Slot4_IsWG=1,BA88=1),MIN(DN88,EN88),0)</f>
        <v>0</v>
      </c>
      <c r="EP88" s="1" t="n">
        <f aca="false">BB88+EO88</f>
        <v>0</v>
      </c>
      <c r="EQ88" s="1" t="n">
        <f aca="false">IF(BA88=1,MAX(0,(Slot4_Cost-EP88*(1+Slot4_Rate)^(Slot4_Age-D88))/EM88),0)</f>
        <v>0</v>
      </c>
      <c r="ER88" s="1" t="n">
        <f aca="false">IF(BA88=1,MAX(0,(Slot4_Cost-BB88*(1+Slot4_Rate)^(Slot4_Age-D88))/EM88),0)</f>
        <v>0</v>
      </c>
      <c r="ES88" s="1" t="n">
        <f aca="false">IF(AND(DD88=1,BA88=1),MIN(EL88,EQ88),0)</f>
        <v>0</v>
      </c>
      <c r="ET88" s="1" t="n">
        <f aca="false">EL88-ES88</f>
        <v>0</v>
      </c>
      <c r="EU88" s="1" t="n">
        <f aca="false">IF(BK88=1,IF(ABS((1+AS_Wage)/(1+Slot5_Rate)-1)&lt;0.000000000001,(Slot5_Age-D88)*(1+Slot5_Rate)^(Slot5_Age-D88),(1+Slot5_Rate)^(Slot5_Age-D88)*(1-((1+AS_Wage)/(1+Slot5_Rate))^(Slot5_Age-D88))/(1-(1+AS_Wage)/(1+Slot5_Rate))),1)</f>
        <v>1</v>
      </c>
      <c r="EV88" s="1" t="n">
        <f aca="false">IF(AND(DD88=1,DN88&gt;0,Slot5_IsWG=1,BK88=1),MAX(0,(Slot5_Cost-BL88*(1+Slot5_Rate)^(Slot5_Age-D88))/EU88),0)</f>
        <v>0</v>
      </c>
      <c r="EW88" s="1" t="n">
        <f aca="false">IF(AND(DD88=1,DN88&gt;0,Slot5_IsWG=1,BK88=1),MIN(DN88,EV88),0)</f>
        <v>0</v>
      </c>
      <c r="EX88" s="1" t="n">
        <f aca="false">BL88+EW88</f>
        <v>0</v>
      </c>
      <c r="EY88" s="1" t="n">
        <f aca="false">IF(BK88=1,MAX(0,(Slot5_Cost-EX88*(1+Slot5_Rate)^(Slot5_Age-D88))/EU88),0)</f>
        <v>0</v>
      </c>
      <c r="EZ88" s="1" t="n">
        <f aca="false">IF(BK88=1,MAX(0,(Slot5_Cost-BL88*(1+Slot5_Rate)^(Slot5_Age-D88))/EU88),0)</f>
        <v>0</v>
      </c>
      <c r="FA88" s="1" t="n">
        <f aca="false">IF(AND(DD88=1,BK88=1),MIN(ET88,EY88),0)</f>
        <v>0</v>
      </c>
      <c r="FB88" s="1" t="n">
        <f aca="false">ET88-FA88</f>
        <v>0</v>
      </c>
      <c r="FC88" s="1" t="n">
        <f aca="false">IF(BU88=1,IF(ABS((1+AS_Wage)/(1+Slot6_Rate)-1)&lt;0.000000000001,(Slot6_Age-D88)*(1+Slot6_Rate)^(Slot6_Age-D88),(1+Slot6_Rate)^(Slot6_Age-D88)*(1-((1+AS_Wage)/(1+Slot6_Rate))^(Slot6_Age-D88))/(1-(1+AS_Wage)/(1+Slot6_Rate))),1)</f>
        <v>1</v>
      </c>
      <c r="FD88" s="1" t="n">
        <f aca="false">IF(AND(DD88=1,DN88&gt;0,Slot6_IsWG=1,BU88=1),MAX(0,(Slot6_Cost-BV88*(1+Slot6_Rate)^(Slot6_Age-D88))/FC88),0)</f>
        <v>0</v>
      </c>
      <c r="FE88" s="1" t="n">
        <f aca="false">IF(AND(DD88=1,DN88&gt;0,Slot6_IsWG=1,BU88=1),MIN(DN88,FD88),0)</f>
        <v>0</v>
      </c>
      <c r="FF88" s="1" t="n">
        <f aca="false">BV88+FE88</f>
        <v>0</v>
      </c>
      <c r="FG88" s="1" t="n">
        <f aca="false">IF(BU88=1,MAX(0,(Slot6_Cost-FF88*(1+Slot6_Rate)^(Slot6_Age-D88))/FC88),0)</f>
        <v>0</v>
      </c>
      <c r="FH88" s="1" t="n">
        <f aca="false">IF(BU88=1,MAX(0,(Slot6_Cost-BV88*(1+Slot6_Rate)^(Slot6_Age-D88))/FC88),0)</f>
        <v>0</v>
      </c>
      <c r="FI88" s="1" t="n">
        <f aca="false">IF(AND(DD88=1,BU88=1),MIN(FB88,FG88),0)</f>
        <v>0</v>
      </c>
      <c r="FJ88" s="1" t="n">
        <f aca="false">FB88-FI88</f>
        <v>0</v>
      </c>
      <c r="FK88" s="1" t="n">
        <f aca="false">IF(CE88=1,IF(ABS((1+AS_Wage)/(1+Slot7_Rate)-1)&lt;0.000000000001,(Slot7_Age-D88)*(1+Slot7_Rate)^(Slot7_Age-D88),(1+Slot7_Rate)^(Slot7_Age-D88)*(1-((1+AS_Wage)/(1+Slot7_Rate))^(Slot7_Age-D88))/(1-(1+AS_Wage)/(1+Slot7_Rate))),1)</f>
        <v>1</v>
      </c>
      <c r="FL88" s="1" t="n">
        <f aca="false">IF(AND(DD88=1,DN88&gt;0,Slot7_IsWG=1,CE88=1),MAX(0,(Slot7_Cost-CF88*(1+Slot7_Rate)^(Slot7_Age-D88))/FK88),0)</f>
        <v>0</v>
      </c>
      <c r="FM88" s="1" t="n">
        <f aca="false">IF(AND(DD88=1,DN88&gt;0,Slot7_IsWG=1,CE88=1),MIN(DN88,FL88),0)</f>
        <v>0</v>
      </c>
      <c r="FN88" s="1" t="n">
        <f aca="false">CF88+FM88</f>
        <v>0</v>
      </c>
      <c r="FO88" s="1" t="n">
        <f aca="false">IF(CE88=1,MAX(0,(Slot7_Cost-FN88*(1+Slot7_Rate)^(Slot7_Age-D88))/FK88),0)</f>
        <v>0</v>
      </c>
      <c r="FP88" s="1" t="n">
        <f aca="false">IF(CE88=1,MAX(0,(Slot7_Cost-CF88*(1+Slot7_Rate)^(Slot7_Age-D88))/FK88),0)</f>
        <v>0</v>
      </c>
      <c r="FQ88" s="1" t="n">
        <f aca="false">IF(AND(DD88=1,CE88=1),MIN(FJ88,FO88),0)</f>
        <v>0</v>
      </c>
      <c r="FR88" s="1" t="n">
        <f aca="false">FJ88-FQ88</f>
        <v>0</v>
      </c>
      <c r="FS88" s="1" t="n">
        <f aca="false">IF(CO88=1,IF(ABS((1+AS_Wage)/(1+Slot8_Rate)-1)&lt;0.000000000001,(Slot8_Age-D88)*(1+Slot8_Rate)^(Slot8_Age-D88),(1+Slot8_Rate)^(Slot8_Age-D88)*(1-((1+AS_Wage)/(1+Slot8_Rate))^(Slot8_Age-D88))/(1-(1+AS_Wage)/(1+Slot8_Rate))),1)</f>
        <v>1</v>
      </c>
      <c r="FT88" s="1" t="n">
        <f aca="false">IF(AND(DD88=1,DN88&gt;0,Slot8_IsWG=1,CO88=1),MAX(0,(Slot8_Cost-CP88*(1+Slot8_Rate)^(Slot8_Age-D88))/FS88),0)</f>
        <v>0</v>
      </c>
      <c r="FU88" s="1" t="n">
        <f aca="false">IF(AND(DD88=1,DN88&gt;0,Slot8_IsWG=1,CO88=1),MIN(DN88,FT88),0)</f>
        <v>0</v>
      </c>
      <c r="FV88" s="1" t="n">
        <f aca="false">CP88+FU88</f>
        <v>0</v>
      </c>
      <c r="FW88" s="1" t="n">
        <f aca="false">IF(CO88=1,MAX(0,(Slot8_Cost-FV88*(1+Slot8_Rate)^(Slot8_Age-D88))/FS88),0)</f>
        <v>0</v>
      </c>
      <c r="FX88" s="1" t="n">
        <f aca="false">IF(CO88=1,MAX(0,(Slot8_Cost-CP88*(1+Slot8_Rate)^(Slot8_Age-D88))/FS88),0)</f>
        <v>0</v>
      </c>
      <c r="FY88" s="1" t="n">
        <f aca="false">IF(AND(DD88=1,CO88=1),MIN(FR88,FW88),0)</f>
        <v>0</v>
      </c>
      <c r="FZ88" s="1" t="n">
        <f aca="false">FR88-FY88</f>
        <v>0</v>
      </c>
      <c r="GA88" s="1" t="n">
        <f aca="false">DN88-(DQ88+DY88+EG88+EO88+EW88+FE88+FM88+FU88)</f>
        <v>0</v>
      </c>
      <c r="GB88" s="1" t="n">
        <f aca="false">IF(DD88=1,DB88-DM88-DN88,0)</f>
        <v>63238.7362410276</v>
      </c>
      <c r="GC88" s="1" t="n">
        <f aca="false">IF(DD88=0,-DB88,0)</f>
        <v>0</v>
      </c>
      <c r="GD88" s="1" t="n">
        <f aca="false">MIN(GC88,CT88)</f>
        <v>0</v>
      </c>
      <c r="GE88" s="1" t="n">
        <f aca="false">GC88-GD88</f>
        <v>0</v>
      </c>
      <c r="GF88" s="1" t="n">
        <f aca="false">MIN(GE88,CU88)</f>
        <v>0</v>
      </c>
      <c r="GG88" s="1" t="n">
        <f aca="false">GE88-GF88</f>
        <v>0</v>
      </c>
      <c r="GH88" s="1" t="n">
        <f aca="false">IF(AND(DD88=0,CO88=1,GG88&gt;0),MIN(GG88,CP88),0)</f>
        <v>0</v>
      </c>
      <c r="GI88" s="1" t="n">
        <f aca="false">GG88-GH88</f>
        <v>0</v>
      </c>
      <c r="GJ88" s="1" t="n">
        <f aca="false">IF(AND(DD88=0,CE88=1,GI88&gt;0),MIN(GI88,CF88),0)</f>
        <v>0</v>
      </c>
      <c r="GK88" s="1" t="n">
        <f aca="false">GI88-GJ88</f>
        <v>0</v>
      </c>
      <c r="GL88" s="1" t="n">
        <f aca="false">IF(AND(DD88=0,BU88=1,GK88&gt;0),MIN(GK88,BV88),0)</f>
        <v>0</v>
      </c>
      <c r="GM88" s="1" t="n">
        <f aca="false">GK88-GL88</f>
        <v>0</v>
      </c>
      <c r="GN88" s="1" t="n">
        <f aca="false">IF(AND(DD88=0,BK88=1,GM88&gt;0),MIN(GM88,BL88),0)</f>
        <v>0</v>
      </c>
      <c r="GO88" s="1" t="n">
        <f aca="false">GM88-GN88</f>
        <v>0</v>
      </c>
      <c r="GP88" s="1" t="n">
        <f aca="false">IF(AND(DD88=0,BA88=1,GO88&gt;0),MIN(GO88,BB88),0)</f>
        <v>0</v>
      </c>
      <c r="GQ88" s="1" t="n">
        <f aca="false">GO88-GP88</f>
        <v>0</v>
      </c>
      <c r="GR88" s="1" t="n">
        <f aca="false">IF(AND(DD88=0,AQ88=1,GQ88&gt;0),MIN(GQ88,AR88),0)</f>
        <v>0</v>
      </c>
      <c r="GS88" s="1" t="n">
        <f aca="false">GQ88-GR88</f>
        <v>0</v>
      </c>
      <c r="GT88" s="1" t="n">
        <f aca="false">IF(AND(DD88=0,AG88=1,GS88&gt;0),MIN(GS88,AH88),0)</f>
        <v>0</v>
      </c>
      <c r="GU88" s="1" t="n">
        <f aca="false">GS88-GT88</f>
        <v>0</v>
      </c>
      <c r="GV88" s="1" t="n">
        <f aca="false">IF(AND(DD88=0,V88=1,GU88&gt;0),MIN(GU88,W88),0)</f>
        <v>0</v>
      </c>
      <c r="GW88" s="1" t="n">
        <f aca="false">GU88-GV88</f>
        <v>0</v>
      </c>
      <c r="GX88" s="1" t="n">
        <f aca="false">IF(DD88=0,GW88,0)</f>
        <v>0</v>
      </c>
      <c r="GY88" s="1" t="n">
        <f aca="false">GD88+GF88+GV88+GT88+GR88+GP88+GN88+GL88+GJ88+GH88</f>
        <v>0</v>
      </c>
      <c r="GZ88" s="1" t="n">
        <f aca="false">IF(DD88=1,CT88+GA88+FZ88+IF(F88=1,0,GB88),CT88-GD88)</f>
        <v>890932.282426903</v>
      </c>
      <c r="HA88" s="1" t="n">
        <f aca="false">CU88-GF88</f>
        <v>0</v>
      </c>
      <c r="HB88" s="1" t="n">
        <f aca="false">IF(DD88=1,IF(F88=1,DM88+DN88,DB88),0)</f>
        <v>63238.7362410276</v>
      </c>
      <c r="HC88" s="1" t="n">
        <f aca="false">IF(DD88=1,IF(F88=1,DB88-DM88-DN88,0),0)</f>
        <v>0</v>
      </c>
      <c r="HD88" s="1" t="n">
        <f aca="false">GZ88*(1+GR)</f>
        <v>905543.571858704</v>
      </c>
      <c r="HE88" s="1" t="n">
        <f aca="false">HA88*(1+AS_Cash)</f>
        <v>0</v>
      </c>
      <c r="HF88" s="1" t="n">
        <f aca="false">IF(V88=1,IF(DD88=1,DR88+DU88,W88-GV88)*(1+Slot1_Rate),0)</f>
        <v>0</v>
      </c>
      <c r="HG88" s="1" t="n">
        <f aca="false">IF(AND(DD88=1,V88=1),(DQ88+DU88)/E88,0)</f>
        <v>0</v>
      </c>
      <c r="HH88" s="1" t="n">
        <f aca="false">IF(B88=0,DQ88+DU88,0)</f>
        <v>0</v>
      </c>
      <c r="HI88" s="1" t="n">
        <f aca="false">IF(B88=0,IF(DD88=1,DS88,DT88),0)</f>
        <v>0</v>
      </c>
      <c r="HJ88" s="1" t="n">
        <f aca="false">IF(AG88=1,IF(DD88=1,DZ88+EC88,AH88-GT88)*(1+Slot2_Rate),0)</f>
        <v>0</v>
      </c>
      <c r="HK88" s="1" t="n">
        <f aca="false">IF(AND(DD88=1,AG88=1),(DY88+EC88)/E88,0)</f>
        <v>0</v>
      </c>
      <c r="HL88" s="1" t="n">
        <f aca="false">IF(B88=0,DY88+EC88,0)</f>
        <v>0</v>
      </c>
      <c r="HM88" s="1" t="n">
        <f aca="false">IF(B88=0,IF(DD88=1,EA88,EB88),0)</f>
        <v>0</v>
      </c>
      <c r="HN88" s="1" t="n">
        <f aca="false">IF(AQ88=1,IF(DD88=1,EH88+EK88,AR88-GR88)*(1+Slot3_Rate),0)</f>
        <v>0</v>
      </c>
      <c r="HO88" s="1" t="n">
        <f aca="false">IF(AND(DD88=1,AQ88=1),(EG88+EK88)/E88,0)</f>
        <v>0</v>
      </c>
      <c r="HP88" s="1" t="n">
        <f aca="false">IF(B88=0,EG88+EK88,0)</f>
        <v>0</v>
      </c>
      <c r="HQ88" s="1" t="n">
        <f aca="false">IF(B88=0,IF(DD88=1,EI88,EJ88),0)</f>
        <v>0</v>
      </c>
      <c r="HR88" s="1" t="n">
        <f aca="false">IF(BA88=1,IF(DD88=1,EP88+ES88,BB88-GP88)*(1+Slot4_Rate),0)</f>
        <v>0</v>
      </c>
      <c r="HS88" s="1" t="n">
        <f aca="false">IF(AND(DD88=1,BA88=1),(EO88+ES88)/E88,0)</f>
        <v>0</v>
      </c>
      <c r="HT88" s="1" t="n">
        <f aca="false">IF(B88=0,EO88+ES88,0)</f>
        <v>0</v>
      </c>
      <c r="HU88" s="1" t="n">
        <f aca="false">IF(B88=0,IF(DD88=1,EQ88,ER88),0)</f>
        <v>0</v>
      </c>
      <c r="HV88" s="1" t="n">
        <f aca="false">IF(BK88=1,IF(DD88=1,EX88+FA88,BL88-GN88)*(1+Slot5_Rate),0)</f>
        <v>0</v>
      </c>
      <c r="HW88" s="1" t="n">
        <f aca="false">IF(AND(DD88=1,BK88=1),(EW88+FA88)/E88,0)</f>
        <v>0</v>
      </c>
      <c r="HX88" s="1" t="n">
        <f aca="false">IF(B88=0,EW88+FA88,0)</f>
        <v>0</v>
      </c>
      <c r="HY88" s="1" t="n">
        <f aca="false">IF(B88=0,IF(DD88=1,EY88,EZ88),0)</f>
        <v>0</v>
      </c>
      <c r="HZ88" s="1" t="n">
        <f aca="false">IF(BU88=1,IF(DD88=1,FF88+FI88,BV88-GL88)*(1+Slot6_Rate),0)</f>
        <v>0</v>
      </c>
      <c r="IA88" s="1" t="n">
        <f aca="false">IF(AND(DD88=1,BU88=1),(FE88+FI88)/E88,0)</f>
        <v>0</v>
      </c>
      <c r="IB88" s="1" t="n">
        <f aca="false">IF(B88=0,FE88+FI88,0)</f>
        <v>0</v>
      </c>
      <c r="IC88" s="1" t="n">
        <f aca="false">IF(B88=0,IF(DD88=1,FG88,FH88),0)</f>
        <v>0</v>
      </c>
      <c r="ID88" s="1" t="n">
        <f aca="false">IF(CE88=1,IF(DD88=1,FN88+FQ88,CF88-GJ88)*(1+Slot7_Rate),0)</f>
        <v>0</v>
      </c>
      <c r="IE88" s="1" t="n">
        <f aca="false">IF(AND(DD88=1,CE88=1),(FM88+FQ88)/E88,0)</f>
        <v>0</v>
      </c>
      <c r="IF88" s="1" t="n">
        <f aca="false">IF(B88=0,FM88+FQ88,0)</f>
        <v>0</v>
      </c>
      <c r="IG88" s="1" t="n">
        <f aca="false">IF(B88=0,IF(DD88=1,FO88,FP88),0)</f>
        <v>0</v>
      </c>
      <c r="IH88" s="1" t="n">
        <f aca="false">IF(CO88=1,IF(DD88=1,FV88+FY88,CP88-GH88)*(1+Slot8_Rate),0)</f>
        <v>0</v>
      </c>
      <c r="II88" s="1" t="n">
        <f aca="false">IF(AND(DD88=1,CO88=1),(FU88+FY88)/E88,0)</f>
        <v>0</v>
      </c>
      <c r="IJ88" s="1" t="n">
        <f aca="false">IF(B88=0,FU88+FY88,0)</f>
        <v>0</v>
      </c>
      <c r="IK88" s="1" t="n">
        <f aca="false">IF(B88=0,IF(DD88=1,FW88,FX88),0)</f>
        <v>0</v>
      </c>
      <c r="IL88" s="1" t="n">
        <f aca="false">HD88+HE88+HF88+HJ88+HN88+HR88+HV88+HZ88+ID88+IH88</f>
        <v>905543.571858704</v>
      </c>
      <c r="IM88" s="1" t="n">
        <f aca="false">GX88+CY88</f>
        <v>0</v>
      </c>
      <c r="IN88" s="1" t="n">
        <f aca="false">H88+R88</f>
        <v>0</v>
      </c>
      <c r="IO88" s="1" t="n">
        <f aca="false">1-F88</f>
        <v>1</v>
      </c>
      <c r="IP88" s="1" t="n">
        <f aca="false">IF(AND(RG_Exists=1,F88=0,C88=1),H88,0)</f>
        <v>0</v>
      </c>
      <c r="IQ88" s="1" t="n">
        <f aca="false">IF(AND(RG_Exists=1,F88=0,C88=1),H88-MIN(GX88,H88),0)</f>
        <v>0</v>
      </c>
      <c r="IR88" s="1" t="n">
        <f aca="false">'Plan pay &amp; tax'!AD290</f>
        <v>0</v>
      </c>
      <c r="IS88" s="1" t="n">
        <f aca="false">IF(AND(C88=1,GX88&gt;MAX(PR_Short1,IN88*PR_Short2)),1,0)</f>
        <v>0</v>
      </c>
      <c r="IT88" s="1" t="n">
        <f aca="false">MIN(G88,H88+R88)</f>
        <v>0</v>
      </c>
      <c r="IU88" s="1" t="n">
        <f aca="false">GY88+MAX(0,CZ88-CY88)</f>
        <v>0</v>
      </c>
      <c r="IV88" s="1" t="n">
        <f aca="false">GX88+CY88</f>
        <v>0</v>
      </c>
      <c r="IW88" s="1" t="n">
        <f aca="false">IF(AND(C88=1,IV88&gt;0.5),1,0)</f>
        <v>0</v>
      </c>
      <c r="IX88" s="1" t="n">
        <f aca="false">IF(AND(C88=1,IW88=0,IU88&gt;0.5),1,0)</f>
        <v>0</v>
      </c>
      <c r="IY88" s="1" t="n">
        <f aca="false">IF(AND(C88=1,GX88&gt;0.5),1,0)</f>
        <v>0</v>
      </c>
      <c r="IZ88" s="1" t="n">
        <f aca="false">IF(AND(C88=1,GY88&gt;1,JF88=0),1,0)</f>
        <v>0</v>
      </c>
      <c r="JA88" s="1" t="n">
        <f aca="false">IF(AND(INT(D88/10)*10=90,B88&gt;0),80,INT(D88/10)*10)</f>
        <v>80</v>
      </c>
      <c r="JB88" s="1" t="n">
        <f aca="false">IF(B88=0,1,IF(JA88&lt;&gt;JA87,JB87+1,JB87))</f>
        <v>9</v>
      </c>
      <c r="JC88" s="1" t="n">
        <f aca="false">IF(AND(C88=1,F88=1,GX88&gt;MAX(PR_Short1,IN88*PR_Short2)),1,0)</f>
        <v>0</v>
      </c>
      <c r="JD88" s="1" t="n">
        <f aca="false">IO88*IS88</f>
        <v>0</v>
      </c>
      <c r="JE88" s="1" t="n">
        <f aca="false">IF(AND(U88=1,Slot1_PctLow=1),1,0)+IF(AND(AF88=1,Slot2_PctLow=1),1,0)+IF(AND(AP88=1,Slot3_PctLow=1),1,0)+IF(AND(AZ88=1,Slot4_PctLow=1),1,0)+IF(AND(BJ88=1,Slot5_PctLow=1),1,0)+IF(AND(BT88=1,Slot6_PctLow=1),1,0)+IF(AND(CD88=1,Slot7_PctLow=1),1,0)+IF(AND(CN88=1,Slot8_PctLow=1),1,0)</f>
        <v>0</v>
      </c>
      <c r="JF88" s="1" t="n">
        <f aca="false">IF(C88=1,IF(OR(IS88=1,JE88&gt;0),1,0),0)</f>
        <v>0</v>
      </c>
    </row>
    <row r="89" customFormat="false" ht="15" hidden="false" customHeight="false" outlineLevel="0" collapsed="false">
      <c r="B89" s="1" t="n">
        <v>81</v>
      </c>
      <c r="C89" s="1" t="n">
        <f aca="false">IF(B89&lt;=F_N,1,0)</f>
        <v>1</v>
      </c>
      <c r="D89" s="1" t="n">
        <f aca="false">'Plan pay &amp; tax'!C291</f>
        <v>81</v>
      </c>
      <c r="E89" s="106" t="n">
        <f aca="false">'Plan pay &amp; tax'!E291</f>
        <v>4.97294793921833</v>
      </c>
      <c r="F89" s="1" t="n">
        <f aca="false">'Plan pay &amp; tax'!G291</f>
        <v>0</v>
      </c>
      <c r="G89" s="1" t="n">
        <f aca="false">'Plan pay &amp; tax'!BT291-'Plan pay &amp; tax'!BS291-'Plan pay &amp; tax'!R291</f>
        <v>64503.5109658482</v>
      </c>
      <c r="H89" s="1" t="n">
        <f aca="false">IF(F89=1,F_CostsM*12,IF(RG_Exists=1,RG_Amount,F_CostsM*12*AS_RetireSpend))*E89+F_OneOffY*E89</f>
        <v>0</v>
      </c>
      <c r="I89" s="1" t="n">
        <f aca="false">DA88</f>
        <v>0</v>
      </c>
      <c r="J89" s="1" t="n">
        <f aca="false">IF(I89&gt;1,'Plan debt months'!AC89,0)</f>
        <v>0</v>
      </c>
      <c r="K89" s="1" t="n">
        <f aca="false">IF(I89&gt;1,'Plan debt months'!AB89,I89)</f>
        <v>0</v>
      </c>
      <c r="L89" s="1" t="n">
        <f aca="false">N88</f>
        <v>0</v>
      </c>
      <c r="M89" s="1" t="n">
        <f aca="false">IF(L89&gt;1,'Plan debt months'!BD89,0)</f>
        <v>0</v>
      </c>
      <c r="N89" s="1" t="n">
        <f aca="false">IF(L89&gt;1,'Plan debt months'!BC89,L89)</f>
        <v>0</v>
      </c>
      <c r="O89" s="1" t="n">
        <f aca="false">Q88</f>
        <v>0</v>
      </c>
      <c r="P89" s="1" t="n">
        <f aca="false">IF(O89&gt;1,'Plan debt months'!CE89,0)</f>
        <v>0</v>
      </c>
      <c r="Q89" s="1" t="n">
        <f aca="false">IF(O89&gt;1,'Plan debt months'!CD89,O89)</f>
        <v>0</v>
      </c>
      <c r="R89" s="1" t="n">
        <f aca="false">J89+M89+P89</f>
        <v>0</v>
      </c>
      <c r="S89" s="1" t="n">
        <f aca="false">HD88+'Plan pay &amp; tax'!Y291</f>
        <v>905543.571858704</v>
      </c>
      <c r="T89" s="1" t="n">
        <f aca="false">HD88</f>
        <v>905543.571858704</v>
      </c>
      <c r="U89" s="1" t="n">
        <f aca="false">IF(AND(Slot1_On=1,D89=Slot1_Age),1,0)</f>
        <v>0</v>
      </c>
      <c r="V89" s="1" t="n">
        <f aca="false">IF(AND(Slot1_On=1,Slot1_Age&gt;D89),1,0)</f>
        <v>0</v>
      </c>
      <c r="W89" s="1" t="n">
        <f aca="false">HF88</f>
        <v>0</v>
      </c>
      <c r="X89" s="1" t="n">
        <f aca="false">U89*MIN(Slot1_Cost,W89)</f>
        <v>0</v>
      </c>
      <c r="Y89" s="1" t="n">
        <f aca="false">U89*Slot1_SpendLike*MIN(Slot1_Cost-X89,S89)</f>
        <v>0</v>
      </c>
      <c r="Z89" s="1" t="n">
        <f aca="false">X89+Y89</f>
        <v>0</v>
      </c>
      <c r="AA89" s="1" t="n">
        <f aca="false">S89-Y89+U89*IF(Slot1_SpendLike=1,W89-X89,IF(Slot1_PotFree=1,W89,0))</f>
        <v>905543.571858704</v>
      </c>
      <c r="AB89" s="1" t="n">
        <f aca="false">AE89+U89*Slot1_BufPot*W89</f>
        <v>0</v>
      </c>
      <c r="AC89" s="1" t="n">
        <f aca="false">IF(AND(U89=1,Slot1_IsMfree=1),IF(Z89&gt;=Slot1_Cost-1,0,MAX(0,K89-Z89)),K89)</f>
        <v>0</v>
      </c>
      <c r="AD89" s="1" t="n">
        <f aca="false">U89*(Slot1_Cost-Z89)</f>
        <v>0</v>
      </c>
      <c r="AE89" s="1" t="n">
        <f aca="false">HE88</f>
        <v>0</v>
      </c>
      <c r="AF89" s="1" t="n">
        <f aca="false">IF(AND(Slot2_On=1,D89=Slot2_Age),1,0)</f>
        <v>0</v>
      </c>
      <c r="AG89" s="1" t="n">
        <f aca="false">IF(AND(Slot2_On=1,Slot2_Age&gt;D89),1,0)</f>
        <v>0</v>
      </c>
      <c r="AH89" s="1" t="n">
        <f aca="false">HJ88</f>
        <v>0</v>
      </c>
      <c r="AI89" s="1" t="n">
        <f aca="false">AF89*MIN(Slot2_Cost,AH89)</f>
        <v>0</v>
      </c>
      <c r="AJ89" s="1" t="n">
        <f aca="false">AF89*Slot2_SpendLike*MIN(Slot2_Cost-AI89,AA89)</f>
        <v>0</v>
      </c>
      <c r="AK89" s="1" t="n">
        <f aca="false">AI89+AJ89</f>
        <v>0</v>
      </c>
      <c r="AL89" s="1" t="n">
        <f aca="false">AA89-AJ89+AF89*IF(Slot2_SpendLike=1,AH89-AI89,IF(Slot2_PotFree=1,AH89,0))</f>
        <v>905543.571858704</v>
      </c>
      <c r="AM89" s="1" t="n">
        <f aca="false">AB89+AF89*Slot2_BufPot*AH89</f>
        <v>0</v>
      </c>
      <c r="AN89" s="1" t="n">
        <f aca="false">IF(AND(AF89=1,Slot2_IsMfree=1),IF(AK89&gt;=Slot2_Cost-1,0,MAX(0,AC89-AK89)),AC89)</f>
        <v>0</v>
      </c>
      <c r="AO89" s="1" t="n">
        <f aca="false">AF89*(Slot2_Cost-AK89)</f>
        <v>0</v>
      </c>
      <c r="AP89" s="1" t="n">
        <f aca="false">IF(AND(Slot3_On=1,D89=Slot3_Age),1,0)</f>
        <v>0</v>
      </c>
      <c r="AQ89" s="1" t="n">
        <f aca="false">IF(AND(Slot3_On=1,Slot3_Age&gt;D89),1,0)</f>
        <v>0</v>
      </c>
      <c r="AR89" s="1" t="n">
        <f aca="false">HN88</f>
        <v>0</v>
      </c>
      <c r="AS89" s="1" t="n">
        <f aca="false">AP89*MIN(Slot3_Cost,AR89)</f>
        <v>0</v>
      </c>
      <c r="AT89" s="1" t="n">
        <f aca="false">AP89*Slot3_SpendLike*MIN(Slot3_Cost-AS89,AL89)</f>
        <v>0</v>
      </c>
      <c r="AU89" s="1" t="n">
        <f aca="false">AS89+AT89</f>
        <v>0</v>
      </c>
      <c r="AV89" s="1" t="n">
        <f aca="false">AL89-AT89+AP89*IF(Slot3_SpendLike=1,AR89-AS89,IF(Slot3_PotFree=1,AR89,0))</f>
        <v>905543.571858704</v>
      </c>
      <c r="AW89" s="1" t="n">
        <f aca="false">AM89+AP89*Slot3_BufPot*AR89</f>
        <v>0</v>
      </c>
      <c r="AX89" s="1" t="n">
        <f aca="false">IF(AND(AP89=1,Slot3_IsMfree=1),IF(AU89&gt;=Slot3_Cost-1,0,MAX(0,AN89-AU89)),AN89)</f>
        <v>0</v>
      </c>
      <c r="AY89" s="1" t="n">
        <f aca="false">AP89*(Slot3_Cost-AU89)</f>
        <v>0</v>
      </c>
      <c r="AZ89" s="1" t="n">
        <f aca="false">IF(AND(Slot4_On=1,D89=Slot4_Age),1,0)</f>
        <v>0</v>
      </c>
      <c r="BA89" s="1" t="n">
        <f aca="false">IF(AND(Slot4_On=1,Slot4_Age&gt;D89),1,0)</f>
        <v>0</v>
      </c>
      <c r="BB89" s="1" t="n">
        <f aca="false">HR88</f>
        <v>0</v>
      </c>
      <c r="BC89" s="1" t="n">
        <f aca="false">AZ89*MIN(Slot4_Cost,BB89)</f>
        <v>0</v>
      </c>
      <c r="BD89" s="1" t="n">
        <f aca="false">AZ89*Slot4_SpendLike*MIN(Slot4_Cost-BC89,AV89)</f>
        <v>0</v>
      </c>
      <c r="BE89" s="1" t="n">
        <f aca="false">BC89+BD89</f>
        <v>0</v>
      </c>
      <c r="BF89" s="1" t="n">
        <f aca="false">AV89-BD89+AZ89*IF(Slot4_SpendLike=1,BB89-BC89,IF(Slot4_PotFree=1,BB89,0))</f>
        <v>905543.571858704</v>
      </c>
      <c r="BG89" s="1" t="n">
        <f aca="false">AW89+AZ89*Slot4_BufPot*BB89</f>
        <v>0</v>
      </c>
      <c r="BH89" s="1" t="n">
        <f aca="false">IF(AND(AZ89=1,Slot4_IsMfree=1),IF(BE89&gt;=Slot4_Cost-1,0,MAX(0,AX89-BE89)),AX89)</f>
        <v>0</v>
      </c>
      <c r="BI89" s="1" t="n">
        <f aca="false">AZ89*(Slot4_Cost-BE89)</f>
        <v>0</v>
      </c>
      <c r="BJ89" s="1" t="n">
        <f aca="false">IF(AND(Slot5_On=1,D89=Slot5_Age),1,0)</f>
        <v>0</v>
      </c>
      <c r="BK89" s="1" t="n">
        <f aca="false">IF(AND(Slot5_On=1,Slot5_Age&gt;D89),1,0)</f>
        <v>0</v>
      </c>
      <c r="BL89" s="1" t="n">
        <f aca="false">HV88</f>
        <v>0</v>
      </c>
      <c r="BM89" s="1" t="n">
        <f aca="false">BJ89*MIN(Slot5_Cost,BL89)</f>
        <v>0</v>
      </c>
      <c r="BN89" s="1" t="n">
        <f aca="false">BJ89*Slot5_SpendLike*MIN(Slot5_Cost-BM89,BF89)</f>
        <v>0</v>
      </c>
      <c r="BO89" s="1" t="n">
        <f aca="false">BM89+BN89</f>
        <v>0</v>
      </c>
      <c r="BP89" s="1" t="n">
        <f aca="false">BF89-BN89+BJ89*IF(Slot5_SpendLike=1,BL89-BM89,IF(Slot5_PotFree=1,BL89,0))</f>
        <v>905543.571858704</v>
      </c>
      <c r="BQ89" s="1" t="n">
        <f aca="false">BG89+BJ89*Slot5_BufPot*BL89</f>
        <v>0</v>
      </c>
      <c r="BR89" s="1" t="n">
        <f aca="false">IF(AND(BJ89=1,Slot5_IsMfree=1),IF(BO89&gt;=Slot5_Cost-1,0,MAX(0,BH89-BO89)),BH89)</f>
        <v>0</v>
      </c>
      <c r="BS89" s="1" t="n">
        <f aca="false">BJ89*(Slot5_Cost-BO89)</f>
        <v>0</v>
      </c>
      <c r="BT89" s="1" t="n">
        <f aca="false">IF(AND(Slot6_On=1,D89=Slot6_Age),1,0)</f>
        <v>0</v>
      </c>
      <c r="BU89" s="1" t="n">
        <f aca="false">IF(AND(Slot6_On=1,Slot6_Age&gt;D89),1,0)</f>
        <v>0</v>
      </c>
      <c r="BV89" s="1" t="n">
        <f aca="false">HZ88</f>
        <v>0</v>
      </c>
      <c r="BW89" s="1" t="n">
        <f aca="false">BT89*MIN(Slot6_Cost,BV89)</f>
        <v>0</v>
      </c>
      <c r="BX89" s="1" t="n">
        <f aca="false">BT89*Slot6_SpendLike*MIN(Slot6_Cost-BW89,BP89)</f>
        <v>0</v>
      </c>
      <c r="BY89" s="1" t="n">
        <f aca="false">BW89+BX89</f>
        <v>0</v>
      </c>
      <c r="BZ89" s="1" t="n">
        <f aca="false">BP89-BX89+BT89*IF(Slot6_SpendLike=1,BV89-BW89,IF(Slot6_PotFree=1,BV89,0))</f>
        <v>905543.571858704</v>
      </c>
      <c r="CA89" s="1" t="n">
        <f aca="false">BQ89+BT89*Slot6_BufPot*BV89</f>
        <v>0</v>
      </c>
      <c r="CB89" s="1" t="n">
        <f aca="false">IF(AND(BT89=1,Slot6_IsMfree=1),IF(BY89&gt;=Slot6_Cost-1,0,MAX(0,BR89-BY89)),BR89)</f>
        <v>0</v>
      </c>
      <c r="CC89" s="1" t="n">
        <f aca="false">BT89*(Slot6_Cost-BY89)</f>
        <v>0</v>
      </c>
      <c r="CD89" s="1" t="n">
        <f aca="false">IF(AND(Slot7_On=1,D89=Slot7_Age),1,0)</f>
        <v>0</v>
      </c>
      <c r="CE89" s="1" t="n">
        <f aca="false">IF(AND(Slot7_On=1,Slot7_Age&gt;D89),1,0)</f>
        <v>0</v>
      </c>
      <c r="CF89" s="1" t="n">
        <f aca="false">ID88</f>
        <v>0</v>
      </c>
      <c r="CG89" s="1" t="n">
        <f aca="false">CD89*MIN(Slot7_Cost,CF89)</f>
        <v>0</v>
      </c>
      <c r="CH89" s="1" t="n">
        <f aca="false">CD89*Slot7_SpendLike*MIN(Slot7_Cost-CG89,BZ89)</f>
        <v>0</v>
      </c>
      <c r="CI89" s="1" t="n">
        <f aca="false">CG89+CH89</f>
        <v>0</v>
      </c>
      <c r="CJ89" s="1" t="n">
        <f aca="false">BZ89-CH89+CD89*IF(Slot7_SpendLike=1,CF89-CG89,IF(Slot7_PotFree=1,CF89,0))</f>
        <v>905543.571858704</v>
      </c>
      <c r="CK89" s="1" t="n">
        <f aca="false">CA89+CD89*Slot7_BufPot*CF89</f>
        <v>0</v>
      </c>
      <c r="CL89" s="1" t="n">
        <f aca="false">IF(AND(CD89=1,Slot7_IsMfree=1),IF(CI89&gt;=Slot7_Cost-1,0,MAX(0,CB89-CI89)),CB89)</f>
        <v>0</v>
      </c>
      <c r="CM89" s="1" t="n">
        <f aca="false">CD89*(Slot7_Cost-CI89)</f>
        <v>0</v>
      </c>
      <c r="CN89" s="1" t="n">
        <f aca="false">IF(AND(Slot8_On=1,D89=Slot8_Age),1,0)</f>
        <v>0</v>
      </c>
      <c r="CO89" s="1" t="n">
        <f aca="false">IF(AND(Slot8_On=1,Slot8_Age&gt;D89),1,0)</f>
        <v>0</v>
      </c>
      <c r="CP89" s="1" t="n">
        <f aca="false">IH88</f>
        <v>0</v>
      </c>
      <c r="CQ89" s="1" t="n">
        <f aca="false">CN89*MIN(Slot8_Cost,CP89)</f>
        <v>0</v>
      </c>
      <c r="CR89" s="1" t="n">
        <f aca="false">CN89*Slot8_SpendLike*MIN(Slot8_Cost-CQ89,CJ89)</f>
        <v>0</v>
      </c>
      <c r="CS89" s="1" t="n">
        <f aca="false">CQ89+CR89</f>
        <v>0</v>
      </c>
      <c r="CT89" s="1" t="n">
        <f aca="false">CJ89-CR89+CN89*IF(Slot8_SpendLike=1,CP89-CQ89,IF(Slot8_PotFree=1,CP89,0))</f>
        <v>905543.571858704</v>
      </c>
      <c r="CU89" s="1" t="n">
        <f aca="false">CK89+CN89*Slot8_BufPot*CP89</f>
        <v>0</v>
      </c>
      <c r="CV89" s="1" t="n">
        <f aca="false">IF(AND(CN89=1,Slot8_IsMfree=1),IF(CS89&gt;=Slot8_Cost-1,0,MAX(0,CL89-CS89)),CL89)</f>
        <v>0</v>
      </c>
      <c r="CW89" s="1" t="n">
        <f aca="false">CN89*(Slot8_Cost-CS89)</f>
        <v>0</v>
      </c>
      <c r="CX89" s="1" t="n">
        <f aca="false">U89*Slot1_SpendLike*Z89+AF89*Slot2_SpendLike*AK89+AP89*Slot3_SpendLike*AU89+AZ89*Slot4_SpendLike*BE89+BJ89*Slot5_SpendLike*BO89+BT89*Slot6_SpendLike*BY89+CD89*Slot7_SpendLike*CI89+CN89*Slot8_SpendLike*CS89</f>
        <v>0</v>
      </c>
      <c r="CY89" s="1" t="n">
        <f aca="false">AD89+AO89+AY89+BI89+BS89+CC89+CM89+CW89</f>
        <v>0</v>
      </c>
      <c r="CZ89" s="1" t="n">
        <f aca="false">U89*Slot1_Cost+AF89*Slot2_Cost+AP89*Slot3_Cost+AZ89*Slot4_Cost+BJ89*Slot5_Cost+BT89*Slot6_Cost+CD89*Slot7_Cost+CN89*Slot8_Cost</f>
        <v>0</v>
      </c>
      <c r="DA89" s="1" t="n">
        <f aca="false">CV89</f>
        <v>0</v>
      </c>
      <c r="DB89" s="1" t="n">
        <f aca="false">G89-H89-R89</f>
        <v>64503.5109658482</v>
      </c>
      <c r="DC89" s="1" t="n">
        <f aca="false">IF(B89=0,IF(AND(Has_q6=1,In_q6=4),PR_ShareVaries*(MAX(0,DB89)/12),MIN(IF(Has_q6=1,CHOOSE(In_q6+1,PR_SaveB1,PR_SaveB2,PR_SaveB3,PR_SaveB4,0),AS_NoAnswer),AS_SaveShare*(MAX(0,DB89)/12))),DC88)</f>
        <v>0</v>
      </c>
      <c r="DD89" s="1" t="n">
        <f aca="false">IF(DB89&gt;=0,1,0)</f>
        <v>1</v>
      </c>
      <c r="DE89" s="1" t="n">
        <f aca="false">MAX(0,DB89/12/E89)</f>
        <v>1080.90666666667</v>
      </c>
      <c r="DF89" s="1" t="n">
        <f aca="false">IF(AND(Has_q6=1,In_q6=4),PR_ShareVaries*(DE89),MIN(IF(Has_q6=1,CHOOSE(In_q6+1,PR_SaveB1,PR_SaveB2,PR_SaveB3,PR_SaveB4,0),AS_NoAnswer),AS_SaveShare*(DE89)))</f>
        <v>300</v>
      </c>
      <c r="DG89" s="1" t="n">
        <f aca="false">IF(Has_saveM=1,IF(In_saveUp="Yes",1,IF(In_saveUp="No",0,IF(In_saveM&gt;=DC89-0.5,1,0))),0)</f>
        <v>0</v>
      </c>
      <c r="DH89" s="1" t="n">
        <f aca="false">IF(Has_saveM=1,MIN(DE89,IF(DG89=1,MAX(In_saveM,DF89),MIN(In_saveM,DF89))),DF89)</f>
        <v>300</v>
      </c>
      <c r="DI89" s="1" t="n">
        <f aca="false">IF(F89=1,DH89*12*E89,0)</f>
        <v>0</v>
      </c>
      <c r="DJ89" s="1" t="n">
        <f aca="false">MAX(0,DI89+IF(AND(WI_Retire=0,WI_M&lt;0,F89=1),WI_M*12*E89,0))</f>
        <v>0</v>
      </c>
      <c r="DK89" s="1" t="n">
        <f aca="false">Slot1_IsWG*V89+Slot2_IsWG*AG89+Slot3_IsWG*AQ89+Slot4_IsWG*BA89+Slot5_IsWG*BK89+Slot6_IsWG*BU89+Slot7_IsWG*CE89+Slot8_IsWG*CO89</f>
        <v>0</v>
      </c>
      <c r="DL89" s="1" t="n">
        <f aca="false">IF(AND(WI_Retire=0,WI_M&gt;0,F89=1,DK89&gt;=1),WI_M*12*E89,0)</f>
        <v>0</v>
      </c>
      <c r="DM89" s="1" t="n">
        <f aca="false">IF(DD89=1,MIN(DJ89,DB89),0)</f>
        <v>0</v>
      </c>
      <c r="DN89" s="1" t="n">
        <f aca="false">IF(DD89=1,MIN(DL89,DB89-DM89),0)</f>
        <v>0</v>
      </c>
      <c r="DO89" s="1" t="n">
        <f aca="false">IF(V89=1,IF(ABS((1+AS_Wage)/(1+Slot1_Rate)-1)&lt;0.000000000001,(Slot1_Age-D89)*(1+Slot1_Rate)^(Slot1_Age-D89),(1+Slot1_Rate)^(Slot1_Age-D89)*(1-((1+AS_Wage)/(1+Slot1_Rate))^(Slot1_Age-D89))/(1-(1+AS_Wage)/(1+Slot1_Rate))),1)</f>
        <v>1</v>
      </c>
      <c r="DP89" s="1" t="n">
        <f aca="false">IF(AND(DD89=1,DN89&gt;0,Slot1_IsWG=1,V89=1),MAX(0,(Slot1_Cost-W89*(1+Slot1_Rate)^(Slot1_Age-D89))/DO89),0)</f>
        <v>0</v>
      </c>
      <c r="DQ89" s="1" t="n">
        <f aca="false">IF(AND(DD89=1,DN89&gt;0,Slot1_IsWG=1,V89=1),MIN(DN89,DP89),0)</f>
        <v>0</v>
      </c>
      <c r="DR89" s="1" t="n">
        <f aca="false">W89+DQ89</f>
        <v>0</v>
      </c>
      <c r="DS89" s="1" t="n">
        <f aca="false">IF(V89=1,MAX(0,(Slot1_Cost-DR89*(1+Slot1_Rate)^(Slot1_Age-D89))/DO89),0)</f>
        <v>0</v>
      </c>
      <c r="DT89" s="1" t="n">
        <f aca="false">IF(V89=1,MAX(0,(Slot1_Cost-W89*(1+Slot1_Rate)^(Slot1_Age-D89))/DO89),0)</f>
        <v>0</v>
      </c>
      <c r="DU89" s="1" t="n">
        <f aca="false">IF(AND(DD89=1,V89=1),MIN(DM89,DS89),0)</f>
        <v>0</v>
      </c>
      <c r="DV89" s="1" t="n">
        <f aca="false">DM89-DU89</f>
        <v>0</v>
      </c>
      <c r="DW89" s="1" t="n">
        <f aca="false">IF(AG89=1,IF(ABS((1+AS_Wage)/(1+Slot2_Rate)-1)&lt;0.000000000001,(Slot2_Age-D89)*(1+Slot2_Rate)^(Slot2_Age-D89),(1+Slot2_Rate)^(Slot2_Age-D89)*(1-((1+AS_Wage)/(1+Slot2_Rate))^(Slot2_Age-D89))/(1-(1+AS_Wage)/(1+Slot2_Rate))),1)</f>
        <v>1</v>
      </c>
      <c r="DX89" s="1" t="n">
        <f aca="false">IF(AND(DD89=1,DN89&gt;0,Slot2_IsWG=1,AG89=1),MAX(0,(Slot2_Cost-AH89*(1+Slot2_Rate)^(Slot2_Age-D89))/DW89),0)</f>
        <v>0</v>
      </c>
      <c r="DY89" s="1" t="n">
        <f aca="false">IF(AND(DD89=1,DN89&gt;0,Slot2_IsWG=1,AG89=1),MIN(DN89,DX89),0)</f>
        <v>0</v>
      </c>
      <c r="DZ89" s="1" t="n">
        <f aca="false">AH89+DY89</f>
        <v>0</v>
      </c>
      <c r="EA89" s="1" t="n">
        <f aca="false">IF(AG89=1,MAX(0,(Slot2_Cost-DZ89*(1+Slot2_Rate)^(Slot2_Age-D89))/DW89),0)</f>
        <v>0</v>
      </c>
      <c r="EB89" s="1" t="n">
        <f aca="false">IF(AG89=1,MAX(0,(Slot2_Cost-AH89*(1+Slot2_Rate)^(Slot2_Age-D89))/DW89),0)</f>
        <v>0</v>
      </c>
      <c r="EC89" s="1" t="n">
        <f aca="false">IF(AND(DD89=1,AG89=1),MIN(DV89,EA89),0)</f>
        <v>0</v>
      </c>
      <c r="ED89" s="1" t="n">
        <f aca="false">DV89-EC89</f>
        <v>0</v>
      </c>
      <c r="EE89" s="1" t="n">
        <f aca="false">IF(AQ89=1,IF(ABS((1+AS_Wage)/(1+Slot3_Rate)-1)&lt;0.000000000001,(Slot3_Age-D89)*(1+Slot3_Rate)^(Slot3_Age-D89),(1+Slot3_Rate)^(Slot3_Age-D89)*(1-((1+AS_Wage)/(1+Slot3_Rate))^(Slot3_Age-D89))/(1-(1+AS_Wage)/(1+Slot3_Rate))),1)</f>
        <v>1</v>
      </c>
      <c r="EF89" s="1" t="n">
        <f aca="false">IF(AND(DD89=1,DN89&gt;0,Slot3_IsWG=1,AQ89=1),MAX(0,(Slot3_Cost-AR89*(1+Slot3_Rate)^(Slot3_Age-D89))/EE89),0)</f>
        <v>0</v>
      </c>
      <c r="EG89" s="1" t="n">
        <f aca="false">IF(AND(DD89=1,DN89&gt;0,Slot3_IsWG=1,AQ89=1),MIN(DN89,EF89),0)</f>
        <v>0</v>
      </c>
      <c r="EH89" s="1" t="n">
        <f aca="false">AR89+EG89</f>
        <v>0</v>
      </c>
      <c r="EI89" s="1" t="n">
        <f aca="false">IF(AQ89=1,MAX(0,(Slot3_Cost-EH89*(1+Slot3_Rate)^(Slot3_Age-D89))/EE89),0)</f>
        <v>0</v>
      </c>
      <c r="EJ89" s="1" t="n">
        <f aca="false">IF(AQ89=1,MAX(0,(Slot3_Cost-AR89*(1+Slot3_Rate)^(Slot3_Age-D89))/EE89),0)</f>
        <v>0</v>
      </c>
      <c r="EK89" s="1" t="n">
        <f aca="false">IF(AND(DD89=1,AQ89=1),MIN(ED89,EI89),0)</f>
        <v>0</v>
      </c>
      <c r="EL89" s="1" t="n">
        <f aca="false">ED89-EK89</f>
        <v>0</v>
      </c>
      <c r="EM89" s="1" t="n">
        <f aca="false">IF(BA89=1,IF(ABS((1+AS_Wage)/(1+Slot4_Rate)-1)&lt;0.000000000001,(Slot4_Age-D89)*(1+Slot4_Rate)^(Slot4_Age-D89),(1+Slot4_Rate)^(Slot4_Age-D89)*(1-((1+AS_Wage)/(1+Slot4_Rate))^(Slot4_Age-D89))/(1-(1+AS_Wage)/(1+Slot4_Rate))),1)</f>
        <v>1</v>
      </c>
      <c r="EN89" s="1" t="n">
        <f aca="false">IF(AND(DD89=1,DN89&gt;0,Slot4_IsWG=1,BA89=1),MAX(0,(Slot4_Cost-BB89*(1+Slot4_Rate)^(Slot4_Age-D89))/EM89),0)</f>
        <v>0</v>
      </c>
      <c r="EO89" s="1" t="n">
        <f aca="false">IF(AND(DD89=1,DN89&gt;0,Slot4_IsWG=1,BA89=1),MIN(DN89,EN89),0)</f>
        <v>0</v>
      </c>
      <c r="EP89" s="1" t="n">
        <f aca="false">BB89+EO89</f>
        <v>0</v>
      </c>
      <c r="EQ89" s="1" t="n">
        <f aca="false">IF(BA89=1,MAX(0,(Slot4_Cost-EP89*(1+Slot4_Rate)^(Slot4_Age-D89))/EM89),0)</f>
        <v>0</v>
      </c>
      <c r="ER89" s="1" t="n">
        <f aca="false">IF(BA89=1,MAX(0,(Slot4_Cost-BB89*(1+Slot4_Rate)^(Slot4_Age-D89))/EM89),0)</f>
        <v>0</v>
      </c>
      <c r="ES89" s="1" t="n">
        <f aca="false">IF(AND(DD89=1,BA89=1),MIN(EL89,EQ89),0)</f>
        <v>0</v>
      </c>
      <c r="ET89" s="1" t="n">
        <f aca="false">EL89-ES89</f>
        <v>0</v>
      </c>
      <c r="EU89" s="1" t="n">
        <f aca="false">IF(BK89=1,IF(ABS((1+AS_Wage)/(1+Slot5_Rate)-1)&lt;0.000000000001,(Slot5_Age-D89)*(1+Slot5_Rate)^(Slot5_Age-D89),(1+Slot5_Rate)^(Slot5_Age-D89)*(1-((1+AS_Wage)/(1+Slot5_Rate))^(Slot5_Age-D89))/(1-(1+AS_Wage)/(1+Slot5_Rate))),1)</f>
        <v>1</v>
      </c>
      <c r="EV89" s="1" t="n">
        <f aca="false">IF(AND(DD89=1,DN89&gt;0,Slot5_IsWG=1,BK89=1),MAX(0,(Slot5_Cost-BL89*(1+Slot5_Rate)^(Slot5_Age-D89))/EU89),0)</f>
        <v>0</v>
      </c>
      <c r="EW89" s="1" t="n">
        <f aca="false">IF(AND(DD89=1,DN89&gt;0,Slot5_IsWG=1,BK89=1),MIN(DN89,EV89),0)</f>
        <v>0</v>
      </c>
      <c r="EX89" s="1" t="n">
        <f aca="false">BL89+EW89</f>
        <v>0</v>
      </c>
      <c r="EY89" s="1" t="n">
        <f aca="false">IF(BK89=1,MAX(0,(Slot5_Cost-EX89*(1+Slot5_Rate)^(Slot5_Age-D89))/EU89),0)</f>
        <v>0</v>
      </c>
      <c r="EZ89" s="1" t="n">
        <f aca="false">IF(BK89=1,MAX(0,(Slot5_Cost-BL89*(1+Slot5_Rate)^(Slot5_Age-D89))/EU89),0)</f>
        <v>0</v>
      </c>
      <c r="FA89" s="1" t="n">
        <f aca="false">IF(AND(DD89=1,BK89=1),MIN(ET89,EY89),0)</f>
        <v>0</v>
      </c>
      <c r="FB89" s="1" t="n">
        <f aca="false">ET89-FA89</f>
        <v>0</v>
      </c>
      <c r="FC89" s="1" t="n">
        <f aca="false">IF(BU89=1,IF(ABS((1+AS_Wage)/(1+Slot6_Rate)-1)&lt;0.000000000001,(Slot6_Age-D89)*(1+Slot6_Rate)^(Slot6_Age-D89),(1+Slot6_Rate)^(Slot6_Age-D89)*(1-((1+AS_Wage)/(1+Slot6_Rate))^(Slot6_Age-D89))/(1-(1+AS_Wage)/(1+Slot6_Rate))),1)</f>
        <v>1</v>
      </c>
      <c r="FD89" s="1" t="n">
        <f aca="false">IF(AND(DD89=1,DN89&gt;0,Slot6_IsWG=1,BU89=1),MAX(0,(Slot6_Cost-BV89*(1+Slot6_Rate)^(Slot6_Age-D89))/FC89),0)</f>
        <v>0</v>
      </c>
      <c r="FE89" s="1" t="n">
        <f aca="false">IF(AND(DD89=1,DN89&gt;0,Slot6_IsWG=1,BU89=1),MIN(DN89,FD89),0)</f>
        <v>0</v>
      </c>
      <c r="FF89" s="1" t="n">
        <f aca="false">BV89+FE89</f>
        <v>0</v>
      </c>
      <c r="FG89" s="1" t="n">
        <f aca="false">IF(BU89=1,MAX(0,(Slot6_Cost-FF89*(1+Slot6_Rate)^(Slot6_Age-D89))/FC89),0)</f>
        <v>0</v>
      </c>
      <c r="FH89" s="1" t="n">
        <f aca="false">IF(BU89=1,MAX(0,(Slot6_Cost-BV89*(1+Slot6_Rate)^(Slot6_Age-D89))/FC89),0)</f>
        <v>0</v>
      </c>
      <c r="FI89" s="1" t="n">
        <f aca="false">IF(AND(DD89=1,BU89=1),MIN(FB89,FG89),0)</f>
        <v>0</v>
      </c>
      <c r="FJ89" s="1" t="n">
        <f aca="false">FB89-FI89</f>
        <v>0</v>
      </c>
      <c r="FK89" s="1" t="n">
        <f aca="false">IF(CE89=1,IF(ABS((1+AS_Wage)/(1+Slot7_Rate)-1)&lt;0.000000000001,(Slot7_Age-D89)*(1+Slot7_Rate)^(Slot7_Age-D89),(1+Slot7_Rate)^(Slot7_Age-D89)*(1-((1+AS_Wage)/(1+Slot7_Rate))^(Slot7_Age-D89))/(1-(1+AS_Wage)/(1+Slot7_Rate))),1)</f>
        <v>1</v>
      </c>
      <c r="FL89" s="1" t="n">
        <f aca="false">IF(AND(DD89=1,DN89&gt;0,Slot7_IsWG=1,CE89=1),MAX(0,(Slot7_Cost-CF89*(1+Slot7_Rate)^(Slot7_Age-D89))/FK89),0)</f>
        <v>0</v>
      </c>
      <c r="FM89" s="1" t="n">
        <f aca="false">IF(AND(DD89=1,DN89&gt;0,Slot7_IsWG=1,CE89=1),MIN(DN89,FL89),0)</f>
        <v>0</v>
      </c>
      <c r="FN89" s="1" t="n">
        <f aca="false">CF89+FM89</f>
        <v>0</v>
      </c>
      <c r="FO89" s="1" t="n">
        <f aca="false">IF(CE89=1,MAX(0,(Slot7_Cost-FN89*(1+Slot7_Rate)^(Slot7_Age-D89))/FK89),0)</f>
        <v>0</v>
      </c>
      <c r="FP89" s="1" t="n">
        <f aca="false">IF(CE89=1,MAX(0,(Slot7_Cost-CF89*(1+Slot7_Rate)^(Slot7_Age-D89))/FK89),0)</f>
        <v>0</v>
      </c>
      <c r="FQ89" s="1" t="n">
        <f aca="false">IF(AND(DD89=1,CE89=1),MIN(FJ89,FO89),0)</f>
        <v>0</v>
      </c>
      <c r="FR89" s="1" t="n">
        <f aca="false">FJ89-FQ89</f>
        <v>0</v>
      </c>
      <c r="FS89" s="1" t="n">
        <f aca="false">IF(CO89=1,IF(ABS((1+AS_Wage)/(1+Slot8_Rate)-1)&lt;0.000000000001,(Slot8_Age-D89)*(1+Slot8_Rate)^(Slot8_Age-D89),(1+Slot8_Rate)^(Slot8_Age-D89)*(1-((1+AS_Wage)/(1+Slot8_Rate))^(Slot8_Age-D89))/(1-(1+AS_Wage)/(1+Slot8_Rate))),1)</f>
        <v>1</v>
      </c>
      <c r="FT89" s="1" t="n">
        <f aca="false">IF(AND(DD89=1,DN89&gt;0,Slot8_IsWG=1,CO89=1),MAX(0,(Slot8_Cost-CP89*(1+Slot8_Rate)^(Slot8_Age-D89))/FS89),0)</f>
        <v>0</v>
      </c>
      <c r="FU89" s="1" t="n">
        <f aca="false">IF(AND(DD89=1,DN89&gt;0,Slot8_IsWG=1,CO89=1),MIN(DN89,FT89),0)</f>
        <v>0</v>
      </c>
      <c r="FV89" s="1" t="n">
        <f aca="false">CP89+FU89</f>
        <v>0</v>
      </c>
      <c r="FW89" s="1" t="n">
        <f aca="false">IF(CO89=1,MAX(0,(Slot8_Cost-FV89*(1+Slot8_Rate)^(Slot8_Age-D89))/FS89),0)</f>
        <v>0</v>
      </c>
      <c r="FX89" s="1" t="n">
        <f aca="false">IF(CO89=1,MAX(0,(Slot8_Cost-CP89*(1+Slot8_Rate)^(Slot8_Age-D89))/FS89),0)</f>
        <v>0</v>
      </c>
      <c r="FY89" s="1" t="n">
        <f aca="false">IF(AND(DD89=1,CO89=1),MIN(FR89,FW89),0)</f>
        <v>0</v>
      </c>
      <c r="FZ89" s="1" t="n">
        <f aca="false">FR89-FY89</f>
        <v>0</v>
      </c>
      <c r="GA89" s="1" t="n">
        <f aca="false">DN89-(DQ89+DY89+EG89+EO89+EW89+FE89+FM89+FU89)</f>
        <v>0</v>
      </c>
      <c r="GB89" s="1" t="n">
        <f aca="false">IF(DD89=1,DB89-DM89-DN89,0)</f>
        <v>64503.5109658482</v>
      </c>
      <c r="GC89" s="1" t="n">
        <f aca="false">IF(DD89=0,-DB89,0)</f>
        <v>0</v>
      </c>
      <c r="GD89" s="1" t="n">
        <f aca="false">MIN(GC89,CT89)</f>
        <v>0</v>
      </c>
      <c r="GE89" s="1" t="n">
        <f aca="false">GC89-GD89</f>
        <v>0</v>
      </c>
      <c r="GF89" s="1" t="n">
        <f aca="false">MIN(GE89,CU89)</f>
        <v>0</v>
      </c>
      <c r="GG89" s="1" t="n">
        <f aca="false">GE89-GF89</f>
        <v>0</v>
      </c>
      <c r="GH89" s="1" t="n">
        <f aca="false">IF(AND(DD89=0,CO89=1,GG89&gt;0),MIN(GG89,CP89),0)</f>
        <v>0</v>
      </c>
      <c r="GI89" s="1" t="n">
        <f aca="false">GG89-GH89</f>
        <v>0</v>
      </c>
      <c r="GJ89" s="1" t="n">
        <f aca="false">IF(AND(DD89=0,CE89=1,GI89&gt;0),MIN(GI89,CF89),0)</f>
        <v>0</v>
      </c>
      <c r="GK89" s="1" t="n">
        <f aca="false">GI89-GJ89</f>
        <v>0</v>
      </c>
      <c r="GL89" s="1" t="n">
        <f aca="false">IF(AND(DD89=0,BU89=1,GK89&gt;0),MIN(GK89,BV89),0)</f>
        <v>0</v>
      </c>
      <c r="GM89" s="1" t="n">
        <f aca="false">GK89-GL89</f>
        <v>0</v>
      </c>
      <c r="GN89" s="1" t="n">
        <f aca="false">IF(AND(DD89=0,BK89=1,GM89&gt;0),MIN(GM89,BL89),0)</f>
        <v>0</v>
      </c>
      <c r="GO89" s="1" t="n">
        <f aca="false">GM89-GN89</f>
        <v>0</v>
      </c>
      <c r="GP89" s="1" t="n">
        <f aca="false">IF(AND(DD89=0,BA89=1,GO89&gt;0),MIN(GO89,BB89),0)</f>
        <v>0</v>
      </c>
      <c r="GQ89" s="1" t="n">
        <f aca="false">GO89-GP89</f>
        <v>0</v>
      </c>
      <c r="GR89" s="1" t="n">
        <f aca="false">IF(AND(DD89=0,AQ89=1,GQ89&gt;0),MIN(GQ89,AR89),0)</f>
        <v>0</v>
      </c>
      <c r="GS89" s="1" t="n">
        <f aca="false">GQ89-GR89</f>
        <v>0</v>
      </c>
      <c r="GT89" s="1" t="n">
        <f aca="false">IF(AND(DD89=0,AG89=1,GS89&gt;0),MIN(GS89,AH89),0)</f>
        <v>0</v>
      </c>
      <c r="GU89" s="1" t="n">
        <f aca="false">GS89-GT89</f>
        <v>0</v>
      </c>
      <c r="GV89" s="1" t="n">
        <f aca="false">IF(AND(DD89=0,V89=1,GU89&gt;0),MIN(GU89,W89),0)</f>
        <v>0</v>
      </c>
      <c r="GW89" s="1" t="n">
        <f aca="false">GU89-GV89</f>
        <v>0</v>
      </c>
      <c r="GX89" s="1" t="n">
        <f aca="false">IF(DD89=0,GW89,0)</f>
        <v>0</v>
      </c>
      <c r="GY89" s="1" t="n">
        <f aca="false">GD89+GF89+GV89+GT89+GR89+GP89+GN89+GL89+GJ89+GH89</f>
        <v>0</v>
      </c>
      <c r="GZ89" s="1" t="n">
        <f aca="false">IF(DD89=1,CT89+GA89+FZ89+IF(F89=1,0,GB89),CT89-GD89)</f>
        <v>970047.082824552</v>
      </c>
      <c r="HA89" s="1" t="n">
        <f aca="false">CU89-GF89</f>
        <v>0</v>
      </c>
      <c r="HB89" s="1" t="n">
        <f aca="false">IF(DD89=1,IF(F89=1,DM89+DN89,DB89),0)</f>
        <v>64503.5109658482</v>
      </c>
      <c r="HC89" s="1" t="n">
        <f aca="false">IF(DD89=1,IF(F89=1,DB89-DM89-DN89,0),0)</f>
        <v>0</v>
      </c>
      <c r="HD89" s="1" t="n">
        <f aca="false">GZ89*(1+GR)</f>
        <v>985955.854982875</v>
      </c>
      <c r="HE89" s="1" t="n">
        <f aca="false">HA89*(1+AS_Cash)</f>
        <v>0</v>
      </c>
      <c r="HF89" s="1" t="n">
        <f aca="false">IF(V89=1,IF(DD89=1,DR89+DU89,W89-GV89)*(1+Slot1_Rate),0)</f>
        <v>0</v>
      </c>
      <c r="HG89" s="1" t="n">
        <f aca="false">IF(AND(DD89=1,V89=1),(DQ89+DU89)/E89,0)</f>
        <v>0</v>
      </c>
      <c r="HH89" s="1" t="n">
        <f aca="false">IF(B89=0,DQ89+DU89,0)</f>
        <v>0</v>
      </c>
      <c r="HI89" s="1" t="n">
        <f aca="false">IF(B89=0,IF(DD89=1,DS89,DT89),0)</f>
        <v>0</v>
      </c>
      <c r="HJ89" s="1" t="n">
        <f aca="false">IF(AG89=1,IF(DD89=1,DZ89+EC89,AH89-GT89)*(1+Slot2_Rate),0)</f>
        <v>0</v>
      </c>
      <c r="HK89" s="1" t="n">
        <f aca="false">IF(AND(DD89=1,AG89=1),(DY89+EC89)/E89,0)</f>
        <v>0</v>
      </c>
      <c r="HL89" s="1" t="n">
        <f aca="false">IF(B89=0,DY89+EC89,0)</f>
        <v>0</v>
      </c>
      <c r="HM89" s="1" t="n">
        <f aca="false">IF(B89=0,IF(DD89=1,EA89,EB89),0)</f>
        <v>0</v>
      </c>
      <c r="HN89" s="1" t="n">
        <f aca="false">IF(AQ89=1,IF(DD89=1,EH89+EK89,AR89-GR89)*(1+Slot3_Rate),0)</f>
        <v>0</v>
      </c>
      <c r="HO89" s="1" t="n">
        <f aca="false">IF(AND(DD89=1,AQ89=1),(EG89+EK89)/E89,0)</f>
        <v>0</v>
      </c>
      <c r="HP89" s="1" t="n">
        <f aca="false">IF(B89=0,EG89+EK89,0)</f>
        <v>0</v>
      </c>
      <c r="HQ89" s="1" t="n">
        <f aca="false">IF(B89=0,IF(DD89=1,EI89,EJ89),0)</f>
        <v>0</v>
      </c>
      <c r="HR89" s="1" t="n">
        <f aca="false">IF(BA89=1,IF(DD89=1,EP89+ES89,BB89-GP89)*(1+Slot4_Rate),0)</f>
        <v>0</v>
      </c>
      <c r="HS89" s="1" t="n">
        <f aca="false">IF(AND(DD89=1,BA89=1),(EO89+ES89)/E89,0)</f>
        <v>0</v>
      </c>
      <c r="HT89" s="1" t="n">
        <f aca="false">IF(B89=0,EO89+ES89,0)</f>
        <v>0</v>
      </c>
      <c r="HU89" s="1" t="n">
        <f aca="false">IF(B89=0,IF(DD89=1,EQ89,ER89),0)</f>
        <v>0</v>
      </c>
      <c r="HV89" s="1" t="n">
        <f aca="false">IF(BK89=1,IF(DD89=1,EX89+FA89,BL89-GN89)*(1+Slot5_Rate),0)</f>
        <v>0</v>
      </c>
      <c r="HW89" s="1" t="n">
        <f aca="false">IF(AND(DD89=1,BK89=1),(EW89+FA89)/E89,0)</f>
        <v>0</v>
      </c>
      <c r="HX89" s="1" t="n">
        <f aca="false">IF(B89=0,EW89+FA89,0)</f>
        <v>0</v>
      </c>
      <c r="HY89" s="1" t="n">
        <f aca="false">IF(B89=0,IF(DD89=1,EY89,EZ89),0)</f>
        <v>0</v>
      </c>
      <c r="HZ89" s="1" t="n">
        <f aca="false">IF(BU89=1,IF(DD89=1,FF89+FI89,BV89-GL89)*(1+Slot6_Rate),0)</f>
        <v>0</v>
      </c>
      <c r="IA89" s="1" t="n">
        <f aca="false">IF(AND(DD89=1,BU89=1),(FE89+FI89)/E89,0)</f>
        <v>0</v>
      </c>
      <c r="IB89" s="1" t="n">
        <f aca="false">IF(B89=0,FE89+FI89,0)</f>
        <v>0</v>
      </c>
      <c r="IC89" s="1" t="n">
        <f aca="false">IF(B89=0,IF(DD89=1,FG89,FH89),0)</f>
        <v>0</v>
      </c>
      <c r="ID89" s="1" t="n">
        <f aca="false">IF(CE89=1,IF(DD89=1,FN89+FQ89,CF89-GJ89)*(1+Slot7_Rate),0)</f>
        <v>0</v>
      </c>
      <c r="IE89" s="1" t="n">
        <f aca="false">IF(AND(DD89=1,CE89=1),(FM89+FQ89)/E89,0)</f>
        <v>0</v>
      </c>
      <c r="IF89" s="1" t="n">
        <f aca="false">IF(B89=0,FM89+FQ89,0)</f>
        <v>0</v>
      </c>
      <c r="IG89" s="1" t="n">
        <f aca="false">IF(B89=0,IF(DD89=1,FO89,FP89),0)</f>
        <v>0</v>
      </c>
      <c r="IH89" s="1" t="n">
        <f aca="false">IF(CO89=1,IF(DD89=1,FV89+FY89,CP89-GH89)*(1+Slot8_Rate),0)</f>
        <v>0</v>
      </c>
      <c r="II89" s="1" t="n">
        <f aca="false">IF(AND(DD89=1,CO89=1),(FU89+FY89)/E89,0)</f>
        <v>0</v>
      </c>
      <c r="IJ89" s="1" t="n">
        <f aca="false">IF(B89=0,FU89+FY89,0)</f>
        <v>0</v>
      </c>
      <c r="IK89" s="1" t="n">
        <f aca="false">IF(B89=0,IF(DD89=1,FW89,FX89),0)</f>
        <v>0</v>
      </c>
      <c r="IL89" s="1" t="n">
        <f aca="false">HD89+HE89+HF89+HJ89+HN89+HR89+HV89+HZ89+ID89+IH89</f>
        <v>985955.854982875</v>
      </c>
      <c r="IM89" s="1" t="n">
        <f aca="false">GX89+CY89</f>
        <v>0</v>
      </c>
      <c r="IN89" s="1" t="n">
        <f aca="false">H89+R89</f>
        <v>0</v>
      </c>
      <c r="IO89" s="1" t="n">
        <f aca="false">1-F89</f>
        <v>1</v>
      </c>
      <c r="IP89" s="1" t="n">
        <f aca="false">IF(AND(RG_Exists=1,F89=0,C89=1),H89,0)</f>
        <v>0</v>
      </c>
      <c r="IQ89" s="1" t="n">
        <f aca="false">IF(AND(RG_Exists=1,F89=0,C89=1),H89-MIN(GX89,H89),0)</f>
        <v>0</v>
      </c>
      <c r="IR89" s="1" t="n">
        <f aca="false">'Plan pay &amp; tax'!AD291</f>
        <v>0</v>
      </c>
      <c r="IS89" s="1" t="n">
        <f aca="false">IF(AND(C89=1,GX89&gt;MAX(PR_Short1,IN89*PR_Short2)),1,0)</f>
        <v>0</v>
      </c>
      <c r="IT89" s="1" t="n">
        <f aca="false">MIN(G89,H89+R89)</f>
        <v>0</v>
      </c>
      <c r="IU89" s="1" t="n">
        <f aca="false">GY89+MAX(0,CZ89-CY89)</f>
        <v>0</v>
      </c>
      <c r="IV89" s="1" t="n">
        <f aca="false">GX89+CY89</f>
        <v>0</v>
      </c>
      <c r="IW89" s="1" t="n">
        <f aca="false">IF(AND(C89=1,IV89&gt;0.5),1,0)</f>
        <v>0</v>
      </c>
      <c r="IX89" s="1" t="n">
        <f aca="false">IF(AND(C89=1,IW89=0,IU89&gt;0.5),1,0)</f>
        <v>0</v>
      </c>
      <c r="IY89" s="1" t="n">
        <f aca="false">IF(AND(C89=1,GX89&gt;0.5),1,0)</f>
        <v>0</v>
      </c>
      <c r="IZ89" s="1" t="n">
        <f aca="false">IF(AND(C89=1,GY89&gt;1,JF89=0),1,0)</f>
        <v>0</v>
      </c>
      <c r="JA89" s="1" t="n">
        <f aca="false">IF(AND(INT(D89/10)*10=90,B89&gt;0),80,INT(D89/10)*10)</f>
        <v>80</v>
      </c>
      <c r="JB89" s="1" t="n">
        <f aca="false">IF(B89=0,1,IF(JA89&lt;&gt;JA88,JB88+1,JB88))</f>
        <v>9</v>
      </c>
      <c r="JC89" s="1" t="n">
        <f aca="false">IF(AND(C89=1,F89=1,GX89&gt;MAX(PR_Short1,IN89*PR_Short2)),1,0)</f>
        <v>0</v>
      </c>
      <c r="JD89" s="1" t="n">
        <f aca="false">IO89*IS89</f>
        <v>0</v>
      </c>
      <c r="JE89" s="1" t="n">
        <f aca="false">IF(AND(U89=1,Slot1_PctLow=1),1,0)+IF(AND(AF89=1,Slot2_PctLow=1),1,0)+IF(AND(AP89=1,Slot3_PctLow=1),1,0)+IF(AND(AZ89=1,Slot4_PctLow=1),1,0)+IF(AND(BJ89=1,Slot5_PctLow=1),1,0)+IF(AND(BT89=1,Slot6_PctLow=1),1,0)+IF(AND(CD89=1,Slot7_PctLow=1),1,0)+IF(AND(CN89=1,Slot8_PctLow=1),1,0)</f>
        <v>0</v>
      </c>
      <c r="JF89" s="1" t="n">
        <f aca="false">IF(C89=1,IF(OR(IS89=1,JE89&gt;0),1,0),0)</f>
        <v>0</v>
      </c>
    </row>
    <row r="90" customFormat="false" ht="15" hidden="false" customHeight="false" outlineLevel="0" collapsed="false">
      <c r="B90" s="1" t="n">
        <v>82</v>
      </c>
      <c r="C90" s="1" t="n">
        <f aca="false">IF(B90&lt;=F_N,1,0)</f>
        <v>1</v>
      </c>
      <c r="D90" s="1" t="n">
        <f aca="false">'Plan pay &amp; tax'!C292</f>
        <v>82</v>
      </c>
      <c r="E90" s="106" t="n">
        <f aca="false">'Plan pay &amp; tax'!E292</f>
        <v>5.07240689800269</v>
      </c>
      <c r="F90" s="1" t="n">
        <f aca="false">'Plan pay &amp; tax'!G292</f>
        <v>0</v>
      </c>
      <c r="G90" s="1" t="n">
        <f aca="false">'Plan pay &amp; tax'!BT292-'Plan pay &amp; tax'!BS292-'Plan pay &amp; tax'!R292</f>
        <v>65793.5811851652</v>
      </c>
      <c r="H90" s="1" t="n">
        <f aca="false">IF(F90=1,F_CostsM*12,IF(RG_Exists=1,RG_Amount,F_CostsM*12*AS_RetireSpend))*E90+F_OneOffY*E90</f>
        <v>0</v>
      </c>
      <c r="I90" s="1" t="n">
        <f aca="false">DA89</f>
        <v>0</v>
      </c>
      <c r="J90" s="1" t="n">
        <f aca="false">IF(I90&gt;1,'Plan debt months'!AC90,0)</f>
        <v>0</v>
      </c>
      <c r="K90" s="1" t="n">
        <f aca="false">IF(I90&gt;1,'Plan debt months'!AB90,I90)</f>
        <v>0</v>
      </c>
      <c r="L90" s="1" t="n">
        <f aca="false">N89</f>
        <v>0</v>
      </c>
      <c r="M90" s="1" t="n">
        <f aca="false">IF(L90&gt;1,'Plan debt months'!BD90,0)</f>
        <v>0</v>
      </c>
      <c r="N90" s="1" t="n">
        <f aca="false">IF(L90&gt;1,'Plan debt months'!BC90,L90)</f>
        <v>0</v>
      </c>
      <c r="O90" s="1" t="n">
        <f aca="false">Q89</f>
        <v>0</v>
      </c>
      <c r="P90" s="1" t="n">
        <f aca="false">IF(O90&gt;1,'Plan debt months'!CE90,0)</f>
        <v>0</v>
      </c>
      <c r="Q90" s="1" t="n">
        <f aca="false">IF(O90&gt;1,'Plan debt months'!CD90,O90)</f>
        <v>0</v>
      </c>
      <c r="R90" s="1" t="n">
        <f aca="false">J90+M90+P90</f>
        <v>0</v>
      </c>
      <c r="S90" s="1" t="n">
        <f aca="false">HD89+'Plan pay &amp; tax'!Y292</f>
        <v>985955.854982875</v>
      </c>
      <c r="T90" s="1" t="n">
        <f aca="false">HD89</f>
        <v>985955.854982875</v>
      </c>
      <c r="U90" s="1" t="n">
        <f aca="false">IF(AND(Slot1_On=1,D90=Slot1_Age),1,0)</f>
        <v>0</v>
      </c>
      <c r="V90" s="1" t="n">
        <f aca="false">IF(AND(Slot1_On=1,Slot1_Age&gt;D90),1,0)</f>
        <v>0</v>
      </c>
      <c r="W90" s="1" t="n">
        <f aca="false">HF89</f>
        <v>0</v>
      </c>
      <c r="X90" s="1" t="n">
        <f aca="false">U90*MIN(Slot1_Cost,W90)</f>
        <v>0</v>
      </c>
      <c r="Y90" s="1" t="n">
        <f aca="false">U90*Slot1_SpendLike*MIN(Slot1_Cost-X90,S90)</f>
        <v>0</v>
      </c>
      <c r="Z90" s="1" t="n">
        <f aca="false">X90+Y90</f>
        <v>0</v>
      </c>
      <c r="AA90" s="1" t="n">
        <f aca="false">S90-Y90+U90*IF(Slot1_SpendLike=1,W90-X90,IF(Slot1_PotFree=1,W90,0))</f>
        <v>985955.854982875</v>
      </c>
      <c r="AB90" s="1" t="n">
        <f aca="false">AE90+U90*Slot1_BufPot*W90</f>
        <v>0</v>
      </c>
      <c r="AC90" s="1" t="n">
        <f aca="false">IF(AND(U90=1,Slot1_IsMfree=1),IF(Z90&gt;=Slot1_Cost-1,0,MAX(0,K90-Z90)),K90)</f>
        <v>0</v>
      </c>
      <c r="AD90" s="1" t="n">
        <f aca="false">U90*(Slot1_Cost-Z90)</f>
        <v>0</v>
      </c>
      <c r="AE90" s="1" t="n">
        <f aca="false">HE89</f>
        <v>0</v>
      </c>
      <c r="AF90" s="1" t="n">
        <f aca="false">IF(AND(Slot2_On=1,D90=Slot2_Age),1,0)</f>
        <v>0</v>
      </c>
      <c r="AG90" s="1" t="n">
        <f aca="false">IF(AND(Slot2_On=1,Slot2_Age&gt;D90),1,0)</f>
        <v>0</v>
      </c>
      <c r="AH90" s="1" t="n">
        <f aca="false">HJ89</f>
        <v>0</v>
      </c>
      <c r="AI90" s="1" t="n">
        <f aca="false">AF90*MIN(Slot2_Cost,AH90)</f>
        <v>0</v>
      </c>
      <c r="AJ90" s="1" t="n">
        <f aca="false">AF90*Slot2_SpendLike*MIN(Slot2_Cost-AI90,AA90)</f>
        <v>0</v>
      </c>
      <c r="AK90" s="1" t="n">
        <f aca="false">AI90+AJ90</f>
        <v>0</v>
      </c>
      <c r="AL90" s="1" t="n">
        <f aca="false">AA90-AJ90+AF90*IF(Slot2_SpendLike=1,AH90-AI90,IF(Slot2_PotFree=1,AH90,0))</f>
        <v>985955.854982875</v>
      </c>
      <c r="AM90" s="1" t="n">
        <f aca="false">AB90+AF90*Slot2_BufPot*AH90</f>
        <v>0</v>
      </c>
      <c r="AN90" s="1" t="n">
        <f aca="false">IF(AND(AF90=1,Slot2_IsMfree=1),IF(AK90&gt;=Slot2_Cost-1,0,MAX(0,AC90-AK90)),AC90)</f>
        <v>0</v>
      </c>
      <c r="AO90" s="1" t="n">
        <f aca="false">AF90*(Slot2_Cost-AK90)</f>
        <v>0</v>
      </c>
      <c r="AP90" s="1" t="n">
        <f aca="false">IF(AND(Slot3_On=1,D90=Slot3_Age),1,0)</f>
        <v>0</v>
      </c>
      <c r="AQ90" s="1" t="n">
        <f aca="false">IF(AND(Slot3_On=1,Slot3_Age&gt;D90),1,0)</f>
        <v>0</v>
      </c>
      <c r="AR90" s="1" t="n">
        <f aca="false">HN89</f>
        <v>0</v>
      </c>
      <c r="AS90" s="1" t="n">
        <f aca="false">AP90*MIN(Slot3_Cost,AR90)</f>
        <v>0</v>
      </c>
      <c r="AT90" s="1" t="n">
        <f aca="false">AP90*Slot3_SpendLike*MIN(Slot3_Cost-AS90,AL90)</f>
        <v>0</v>
      </c>
      <c r="AU90" s="1" t="n">
        <f aca="false">AS90+AT90</f>
        <v>0</v>
      </c>
      <c r="AV90" s="1" t="n">
        <f aca="false">AL90-AT90+AP90*IF(Slot3_SpendLike=1,AR90-AS90,IF(Slot3_PotFree=1,AR90,0))</f>
        <v>985955.854982875</v>
      </c>
      <c r="AW90" s="1" t="n">
        <f aca="false">AM90+AP90*Slot3_BufPot*AR90</f>
        <v>0</v>
      </c>
      <c r="AX90" s="1" t="n">
        <f aca="false">IF(AND(AP90=1,Slot3_IsMfree=1),IF(AU90&gt;=Slot3_Cost-1,0,MAX(0,AN90-AU90)),AN90)</f>
        <v>0</v>
      </c>
      <c r="AY90" s="1" t="n">
        <f aca="false">AP90*(Slot3_Cost-AU90)</f>
        <v>0</v>
      </c>
      <c r="AZ90" s="1" t="n">
        <f aca="false">IF(AND(Slot4_On=1,D90=Slot4_Age),1,0)</f>
        <v>0</v>
      </c>
      <c r="BA90" s="1" t="n">
        <f aca="false">IF(AND(Slot4_On=1,Slot4_Age&gt;D90),1,0)</f>
        <v>0</v>
      </c>
      <c r="BB90" s="1" t="n">
        <f aca="false">HR89</f>
        <v>0</v>
      </c>
      <c r="BC90" s="1" t="n">
        <f aca="false">AZ90*MIN(Slot4_Cost,BB90)</f>
        <v>0</v>
      </c>
      <c r="BD90" s="1" t="n">
        <f aca="false">AZ90*Slot4_SpendLike*MIN(Slot4_Cost-BC90,AV90)</f>
        <v>0</v>
      </c>
      <c r="BE90" s="1" t="n">
        <f aca="false">BC90+BD90</f>
        <v>0</v>
      </c>
      <c r="BF90" s="1" t="n">
        <f aca="false">AV90-BD90+AZ90*IF(Slot4_SpendLike=1,BB90-BC90,IF(Slot4_PotFree=1,BB90,0))</f>
        <v>985955.854982875</v>
      </c>
      <c r="BG90" s="1" t="n">
        <f aca="false">AW90+AZ90*Slot4_BufPot*BB90</f>
        <v>0</v>
      </c>
      <c r="BH90" s="1" t="n">
        <f aca="false">IF(AND(AZ90=1,Slot4_IsMfree=1),IF(BE90&gt;=Slot4_Cost-1,0,MAX(0,AX90-BE90)),AX90)</f>
        <v>0</v>
      </c>
      <c r="BI90" s="1" t="n">
        <f aca="false">AZ90*(Slot4_Cost-BE90)</f>
        <v>0</v>
      </c>
      <c r="BJ90" s="1" t="n">
        <f aca="false">IF(AND(Slot5_On=1,D90=Slot5_Age),1,0)</f>
        <v>0</v>
      </c>
      <c r="BK90" s="1" t="n">
        <f aca="false">IF(AND(Slot5_On=1,Slot5_Age&gt;D90),1,0)</f>
        <v>0</v>
      </c>
      <c r="BL90" s="1" t="n">
        <f aca="false">HV89</f>
        <v>0</v>
      </c>
      <c r="BM90" s="1" t="n">
        <f aca="false">BJ90*MIN(Slot5_Cost,BL90)</f>
        <v>0</v>
      </c>
      <c r="BN90" s="1" t="n">
        <f aca="false">BJ90*Slot5_SpendLike*MIN(Slot5_Cost-BM90,BF90)</f>
        <v>0</v>
      </c>
      <c r="BO90" s="1" t="n">
        <f aca="false">BM90+BN90</f>
        <v>0</v>
      </c>
      <c r="BP90" s="1" t="n">
        <f aca="false">BF90-BN90+BJ90*IF(Slot5_SpendLike=1,BL90-BM90,IF(Slot5_PotFree=1,BL90,0))</f>
        <v>985955.854982875</v>
      </c>
      <c r="BQ90" s="1" t="n">
        <f aca="false">BG90+BJ90*Slot5_BufPot*BL90</f>
        <v>0</v>
      </c>
      <c r="BR90" s="1" t="n">
        <f aca="false">IF(AND(BJ90=1,Slot5_IsMfree=1),IF(BO90&gt;=Slot5_Cost-1,0,MAX(0,BH90-BO90)),BH90)</f>
        <v>0</v>
      </c>
      <c r="BS90" s="1" t="n">
        <f aca="false">BJ90*(Slot5_Cost-BO90)</f>
        <v>0</v>
      </c>
      <c r="BT90" s="1" t="n">
        <f aca="false">IF(AND(Slot6_On=1,D90=Slot6_Age),1,0)</f>
        <v>0</v>
      </c>
      <c r="BU90" s="1" t="n">
        <f aca="false">IF(AND(Slot6_On=1,Slot6_Age&gt;D90),1,0)</f>
        <v>0</v>
      </c>
      <c r="BV90" s="1" t="n">
        <f aca="false">HZ89</f>
        <v>0</v>
      </c>
      <c r="BW90" s="1" t="n">
        <f aca="false">BT90*MIN(Slot6_Cost,BV90)</f>
        <v>0</v>
      </c>
      <c r="BX90" s="1" t="n">
        <f aca="false">BT90*Slot6_SpendLike*MIN(Slot6_Cost-BW90,BP90)</f>
        <v>0</v>
      </c>
      <c r="BY90" s="1" t="n">
        <f aca="false">BW90+BX90</f>
        <v>0</v>
      </c>
      <c r="BZ90" s="1" t="n">
        <f aca="false">BP90-BX90+BT90*IF(Slot6_SpendLike=1,BV90-BW90,IF(Slot6_PotFree=1,BV90,0))</f>
        <v>985955.854982875</v>
      </c>
      <c r="CA90" s="1" t="n">
        <f aca="false">BQ90+BT90*Slot6_BufPot*BV90</f>
        <v>0</v>
      </c>
      <c r="CB90" s="1" t="n">
        <f aca="false">IF(AND(BT90=1,Slot6_IsMfree=1),IF(BY90&gt;=Slot6_Cost-1,0,MAX(0,BR90-BY90)),BR90)</f>
        <v>0</v>
      </c>
      <c r="CC90" s="1" t="n">
        <f aca="false">BT90*(Slot6_Cost-BY90)</f>
        <v>0</v>
      </c>
      <c r="CD90" s="1" t="n">
        <f aca="false">IF(AND(Slot7_On=1,D90=Slot7_Age),1,0)</f>
        <v>0</v>
      </c>
      <c r="CE90" s="1" t="n">
        <f aca="false">IF(AND(Slot7_On=1,Slot7_Age&gt;D90),1,0)</f>
        <v>0</v>
      </c>
      <c r="CF90" s="1" t="n">
        <f aca="false">ID89</f>
        <v>0</v>
      </c>
      <c r="CG90" s="1" t="n">
        <f aca="false">CD90*MIN(Slot7_Cost,CF90)</f>
        <v>0</v>
      </c>
      <c r="CH90" s="1" t="n">
        <f aca="false">CD90*Slot7_SpendLike*MIN(Slot7_Cost-CG90,BZ90)</f>
        <v>0</v>
      </c>
      <c r="CI90" s="1" t="n">
        <f aca="false">CG90+CH90</f>
        <v>0</v>
      </c>
      <c r="CJ90" s="1" t="n">
        <f aca="false">BZ90-CH90+CD90*IF(Slot7_SpendLike=1,CF90-CG90,IF(Slot7_PotFree=1,CF90,0))</f>
        <v>985955.854982875</v>
      </c>
      <c r="CK90" s="1" t="n">
        <f aca="false">CA90+CD90*Slot7_BufPot*CF90</f>
        <v>0</v>
      </c>
      <c r="CL90" s="1" t="n">
        <f aca="false">IF(AND(CD90=1,Slot7_IsMfree=1),IF(CI90&gt;=Slot7_Cost-1,0,MAX(0,CB90-CI90)),CB90)</f>
        <v>0</v>
      </c>
      <c r="CM90" s="1" t="n">
        <f aca="false">CD90*(Slot7_Cost-CI90)</f>
        <v>0</v>
      </c>
      <c r="CN90" s="1" t="n">
        <f aca="false">IF(AND(Slot8_On=1,D90=Slot8_Age),1,0)</f>
        <v>0</v>
      </c>
      <c r="CO90" s="1" t="n">
        <f aca="false">IF(AND(Slot8_On=1,Slot8_Age&gt;D90),1,0)</f>
        <v>0</v>
      </c>
      <c r="CP90" s="1" t="n">
        <f aca="false">IH89</f>
        <v>0</v>
      </c>
      <c r="CQ90" s="1" t="n">
        <f aca="false">CN90*MIN(Slot8_Cost,CP90)</f>
        <v>0</v>
      </c>
      <c r="CR90" s="1" t="n">
        <f aca="false">CN90*Slot8_SpendLike*MIN(Slot8_Cost-CQ90,CJ90)</f>
        <v>0</v>
      </c>
      <c r="CS90" s="1" t="n">
        <f aca="false">CQ90+CR90</f>
        <v>0</v>
      </c>
      <c r="CT90" s="1" t="n">
        <f aca="false">CJ90-CR90+CN90*IF(Slot8_SpendLike=1,CP90-CQ90,IF(Slot8_PotFree=1,CP90,0))</f>
        <v>985955.854982875</v>
      </c>
      <c r="CU90" s="1" t="n">
        <f aca="false">CK90+CN90*Slot8_BufPot*CP90</f>
        <v>0</v>
      </c>
      <c r="CV90" s="1" t="n">
        <f aca="false">IF(AND(CN90=1,Slot8_IsMfree=1),IF(CS90&gt;=Slot8_Cost-1,0,MAX(0,CL90-CS90)),CL90)</f>
        <v>0</v>
      </c>
      <c r="CW90" s="1" t="n">
        <f aca="false">CN90*(Slot8_Cost-CS90)</f>
        <v>0</v>
      </c>
      <c r="CX90" s="1" t="n">
        <f aca="false">U90*Slot1_SpendLike*Z90+AF90*Slot2_SpendLike*AK90+AP90*Slot3_SpendLike*AU90+AZ90*Slot4_SpendLike*BE90+BJ90*Slot5_SpendLike*BO90+BT90*Slot6_SpendLike*BY90+CD90*Slot7_SpendLike*CI90+CN90*Slot8_SpendLike*CS90</f>
        <v>0</v>
      </c>
      <c r="CY90" s="1" t="n">
        <f aca="false">AD90+AO90+AY90+BI90+BS90+CC90+CM90+CW90</f>
        <v>0</v>
      </c>
      <c r="CZ90" s="1" t="n">
        <f aca="false">U90*Slot1_Cost+AF90*Slot2_Cost+AP90*Slot3_Cost+AZ90*Slot4_Cost+BJ90*Slot5_Cost+BT90*Slot6_Cost+CD90*Slot7_Cost+CN90*Slot8_Cost</f>
        <v>0</v>
      </c>
      <c r="DA90" s="1" t="n">
        <f aca="false">CV90</f>
        <v>0</v>
      </c>
      <c r="DB90" s="1" t="n">
        <f aca="false">G90-H90-R90</f>
        <v>65793.5811851652</v>
      </c>
      <c r="DC90" s="1" t="n">
        <f aca="false">IF(B90=0,IF(AND(Has_q6=1,In_q6=4),PR_ShareVaries*(MAX(0,DB90)/12),MIN(IF(Has_q6=1,CHOOSE(In_q6+1,PR_SaveB1,PR_SaveB2,PR_SaveB3,PR_SaveB4,0),AS_NoAnswer),AS_SaveShare*(MAX(0,DB90)/12))),DC89)</f>
        <v>0</v>
      </c>
      <c r="DD90" s="1" t="n">
        <f aca="false">IF(DB90&gt;=0,1,0)</f>
        <v>1</v>
      </c>
      <c r="DE90" s="1" t="n">
        <f aca="false">MAX(0,DB90/12/E90)</f>
        <v>1080.90666666667</v>
      </c>
      <c r="DF90" s="1" t="n">
        <f aca="false">IF(AND(Has_q6=1,In_q6=4),PR_ShareVaries*(DE90),MIN(IF(Has_q6=1,CHOOSE(In_q6+1,PR_SaveB1,PR_SaveB2,PR_SaveB3,PR_SaveB4,0),AS_NoAnswer),AS_SaveShare*(DE90)))</f>
        <v>300</v>
      </c>
      <c r="DG90" s="1" t="n">
        <f aca="false">IF(Has_saveM=1,IF(In_saveUp="Yes",1,IF(In_saveUp="No",0,IF(In_saveM&gt;=DC90-0.5,1,0))),0)</f>
        <v>0</v>
      </c>
      <c r="DH90" s="1" t="n">
        <f aca="false">IF(Has_saveM=1,MIN(DE90,IF(DG90=1,MAX(In_saveM,DF90),MIN(In_saveM,DF90))),DF90)</f>
        <v>300</v>
      </c>
      <c r="DI90" s="1" t="n">
        <f aca="false">IF(F90=1,DH90*12*E90,0)</f>
        <v>0</v>
      </c>
      <c r="DJ90" s="1" t="n">
        <f aca="false">MAX(0,DI90+IF(AND(WI_Retire=0,WI_M&lt;0,F90=1),WI_M*12*E90,0))</f>
        <v>0</v>
      </c>
      <c r="DK90" s="1" t="n">
        <f aca="false">Slot1_IsWG*V90+Slot2_IsWG*AG90+Slot3_IsWG*AQ90+Slot4_IsWG*BA90+Slot5_IsWG*BK90+Slot6_IsWG*BU90+Slot7_IsWG*CE90+Slot8_IsWG*CO90</f>
        <v>0</v>
      </c>
      <c r="DL90" s="1" t="n">
        <f aca="false">IF(AND(WI_Retire=0,WI_M&gt;0,F90=1,DK90&gt;=1),WI_M*12*E90,0)</f>
        <v>0</v>
      </c>
      <c r="DM90" s="1" t="n">
        <f aca="false">IF(DD90=1,MIN(DJ90,DB90),0)</f>
        <v>0</v>
      </c>
      <c r="DN90" s="1" t="n">
        <f aca="false">IF(DD90=1,MIN(DL90,DB90-DM90),0)</f>
        <v>0</v>
      </c>
      <c r="DO90" s="1" t="n">
        <f aca="false">IF(V90=1,IF(ABS((1+AS_Wage)/(1+Slot1_Rate)-1)&lt;0.000000000001,(Slot1_Age-D90)*(1+Slot1_Rate)^(Slot1_Age-D90),(1+Slot1_Rate)^(Slot1_Age-D90)*(1-((1+AS_Wage)/(1+Slot1_Rate))^(Slot1_Age-D90))/(1-(1+AS_Wage)/(1+Slot1_Rate))),1)</f>
        <v>1</v>
      </c>
      <c r="DP90" s="1" t="n">
        <f aca="false">IF(AND(DD90=1,DN90&gt;0,Slot1_IsWG=1,V90=1),MAX(0,(Slot1_Cost-W90*(1+Slot1_Rate)^(Slot1_Age-D90))/DO90),0)</f>
        <v>0</v>
      </c>
      <c r="DQ90" s="1" t="n">
        <f aca="false">IF(AND(DD90=1,DN90&gt;0,Slot1_IsWG=1,V90=1),MIN(DN90,DP90),0)</f>
        <v>0</v>
      </c>
      <c r="DR90" s="1" t="n">
        <f aca="false">W90+DQ90</f>
        <v>0</v>
      </c>
      <c r="DS90" s="1" t="n">
        <f aca="false">IF(V90=1,MAX(0,(Slot1_Cost-DR90*(1+Slot1_Rate)^(Slot1_Age-D90))/DO90),0)</f>
        <v>0</v>
      </c>
      <c r="DT90" s="1" t="n">
        <f aca="false">IF(V90=1,MAX(0,(Slot1_Cost-W90*(1+Slot1_Rate)^(Slot1_Age-D90))/DO90),0)</f>
        <v>0</v>
      </c>
      <c r="DU90" s="1" t="n">
        <f aca="false">IF(AND(DD90=1,V90=1),MIN(DM90,DS90),0)</f>
        <v>0</v>
      </c>
      <c r="DV90" s="1" t="n">
        <f aca="false">DM90-DU90</f>
        <v>0</v>
      </c>
      <c r="DW90" s="1" t="n">
        <f aca="false">IF(AG90=1,IF(ABS((1+AS_Wage)/(1+Slot2_Rate)-1)&lt;0.000000000001,(Slot2_Age-D90)*(1+Slot2_Rate)^(Slot2_Age-D90),(1+Slot2_Rate)^(Slot2_Age-D90)*(1-((1+AS_Wage)/(1+Slot2_Rate))^(Slot2_Age-D90))/(1-(1+AS_Wage)/(1+Slot2_Rate))),1)</f>
        <v>1</v>
      </c>
      <c r="DX90" s="1" t="n">
        <f aca="false">IF(AND(DD90=1,DN90&gt;0,Slot2_IsWG=1,AG90=1),MAX(0,(Slot2_Cost-AH90*(1+Slot2_Rate)^(Slot2_Age-D90))/DW90),0)</f>
        <v>0</v>
      </c>
      <c r="DY90" s="1" t="n">
        <f aca="false">IF(AND(DD90=1,DN90&gt;0,Slot2_IsWG=1,AG90=1),MIN(DN90,DX90),0)</f>
        <v>0</v>
      </c>
      <c r="DZ90" s="1" t="n">
        <f aca="false">AH90+DY90</f>
        <v>0</v>
      </c>
      <c r="EA90" s="1" t="n">
        <f aca="false">IF(AG90=1,MAX(0,(Slot2_Cost-DZ90*(1+Slot2_Rate)^(Slot2_Age-D90))/DW90),0)</f>
        <v>0</v>
      </c>
      <c r="EB90" s="1" t="n">
        <f aca="false">IF(AG90=1,MAX(0,(Slot2_Cost-AH90*(1+Slot2_Rate)^(Slot2_Age-D90))/DW90),0)</f>
        <v>0</v>
      </c>
      <c r="EC90" s="1" t="n">
        <f aca="false">IF(AND(DD90=1,AG90=1),MIN(DV90,EA90),0)</f>
        <v>0</v>
      </c>
      <c r="ED90" s="1" t="n">
        <f aca="false">DV90-EC90</f>
        <v>0</v>
      </c>
      <c r="EE90" s="1" t="n">
        <f aca="false">IF(AQ90=1,IF(ABS((1+AS_Wage)/(1+Slot3_Rate)-1)&lt;0.000000000001,(Slot3_Age-D90)*(1+Slot3_Rate)^(Slot3_Age-D90),(1+Slot3_Rate)^(Slot3_Age-D90)*(1-((1+AS_Wage)/(1+Slot3_Rate))^(Slot3_Age-D90))/(1-(1+AS_Wage)/(1+Slot3_Rate))),1)</f>
        <v>1</v>
      </c>
      <c r="EF90" s="1" t="n">
        <f aca="false">IF(AND(DD90=1,DN90&gt;0,Slot3_IsWG=1,AQ90=1),MAX(0,(Slot3_Cost-AR90*(1+Slot3_Rate)^(Slot3_Age-D90))/EE90),0)</f>
        <v>0</v>
      </c>
      <c r="EG90" s="1" t="n">
        <f aca="false">IF(AND(DD90=1,DN90&gt;0,Slot3_IsWG=1,AQ90=1),MIN(DN90,EF90),0)</f>
        <v>0</v>
      </c>
      <c r="EH90" s="1" t="n">
        <f aca="false">AR90+EG90</f>
        <v>0</v>
      </c>
      <c r="EI90" s="1" t="n">
        <f aca="false">IF(AQ90=1,MAX(0,(Slot3_Cost-EH90*(1+Slot3_Rate)^(Slot3_Age-D90))/EE90),0)</f>
        <v>0</v>
      </c>
      <c r="EJ90" s="1" t="n">
        <f aca="false">IF(AQ90=1,MAX(0,(Slot3_Cost-AR90*(1+Slot3_Rate)^(Slot3_Age-D90))/EE90),0)</f>
        <v>0</v>
      </c>
      <c r="EK90" s="1" t="n">
        <f aca="false">IF(AND(DD90=1,AQ90=1),MIN(ED90,EI90),0)</f>
        <v>0</v>
      </c>
      <c r="EL90" s="1" t="n">
        <f aca="false">ED90-EK90</f>
        <v>0</v>
      </c>
      <c r="EM90" s="1" t="n">
        <f aca="false">IF(BA90=1,IF(ABS((1+AS_Wage)/(1+Slot4_Rate)-1)&lt;0.000000000001,(Slot4_Age-D90)*(1+Slot4_Rate)^(Slot4_Age-D90),(1+Slot4_Rate)^(Slot4_Age-D90)*(1-((1+AS_Wage)/(1+Slot4_Rate))^(Slot4_Age-D90))/(1-(1+AS_Wage)/(1+Slot4_Rate))),1)</f>
        <v>1</v>
      </c>
      <c r="EN90" s="1" t="n">
        <f aca="false">IF(AND(DD90=1,DN90&gt;0,Slot4_IsWG=1,BA90=1),MAX(0,(Slot4_Cost-BB90*(1+Slot4_Rate)^(Slot4_Age-D90))/EM90),0)</f>
        <v>0</v>
      </c>
      <c r="EO90" s="1" t="n">
        <f aca="false">IF(AND(DD90=1,DN90&gt;0,Slot4_IsWG=1,BA90=1),MIN(DN90,EN90),0)</f>
        <v>0</v>
      </c>
      <c r="EP90" s="1" t="n">
        <f aca="false">BB90+EO90</f>
        <v>0</v>
      </c>
      <c r="EQ90" s="1" t="n">
        <f aca="false">IF(BA90=1,MAX(0,(Slot4_Cost-EP90*(1+Slot4_Rate)^(Slot4_Age-D90))/EM90),0)</f>
        <v>0</v>
      </c>
      <c r="ER90" s="1" t="n">
        <f aca="false">IF(BA90=1,MAX(0,(Slot4_Cost-BB90*(1+Slot4_Rate)^(Slot4_Age-D90))/EM90),0)</f>
        <v>0</v>
      </c>
      <c r="ES90" s="1" t="n">
        <f aca="false">IF(AND(DD90=1,BA90=1),MIN(EL90,EQ90),0)</f>
        <v>0</v>
      </c>
      <c r="ET90" s="1" t="n">
        <f aca="false">EL90-ES90</f>
        <v>0</v>
      </c>
      <c r="EU90" s="1" t="n">
        <f aca="false">IF(BK90=1,IF(ABS((1+AS_Wage)/(1+Slot5_Rate)-1)&lt;0.000000000001,(Slot5_Age-D90)*(1+Slot5_Rate)^(Slot5_Age-D90),(1+Slot5_Rate)^(Slot5_Age-D90)*(1-((1+AS_Wage)/(1+Slot5_Rate))^(Slot5_Age-D90))/(1-(1+AS_Wage)/(1+Slot5_Rate))),1)</f>
        <v>1</v>
      </c>
      <c r="EV90" s="1" t="n">
        <f aca="false">IF(AND(DD90=1,DN90&gt;0,Slot5_IsWG=1,BK90=1),MAX(0,(Slot5_Cost-BL90*(1+Slot5_Rate)^(Slot5_Age-D90))/EU90),0)</f>
        <v>0</v>
      </c>
      <c r="EW90" s="1" t="n">
        <f aca="false">IF(AND(DD90=1,DN90&gt;0,Slot5_IsWG=1,BK90=1),MIN(DN90,EV90),0)</f>
        <v>0</v>
      </c>
      <c r="EX90" s="1" t="n">
        <f aca="false">BL90+EW90</f>
        <v>0</v>
      </c>
      <c r="EY90" s="1" t="n">
        <f aca="false">IF(BK90=1,MAX(0,(Slot5_Cost-EX90*(1+Slot5_Rate)^(Slot5_Age-D90))/EU90),0)</f>
        <v>0</v>
      </c>
      <c r="EZ90" s="1" t="n">
        <f aca="false">IF(BK90=1,MAX(0,(Slot5_Cost-BL90*(1+Slot5_Rate)^(Slot5_Age-D90))/EU90),0)</f>
        <v>0</v>
      </c>
      <c r="FA90" s="1" t="n">
        <f aca="false">IF(AND(DD90=1,BK90=1),MIN(ET90,EY90),0)</f>
        <v>0</v>
      </c>
      <c r="FB90" s="1" t="n">
        <f aca="false">ET90-FA90</f>
        <v>0</v>
      </c>
      <c r="FC90" s="1" t="n">
        <f aca="false">IF(BU90=1,IF(ABS((1+AS_Wage)/(1+Slot6_Rate)-1)&lt;0.000000000001,(Slot6_Age-D90)*(1+Slot6_Rate)^(Slot6_Age-D90),(1+Slot6_Rate)^(Slot6_Age-D90)*(1-((1+AS_Wage)/(1+Slot6_Rate))^(Slot6_Age-D90))/(1-(1+AS_Wage)/(1+Slot6_Rate))),1)</f>
        <v>1</v>
      </c>
      <c r="FD90" s="1" t="n">
        <f aca="false">IF(AND(DD90=1,DN90&gt;0,Slot6_IsWG=1,BU90=1),MAX(0,(Slot6_Cost-BV90*(1+Slot6_Rate)^(Slot6_Age-D90))/FC90),0)</f>
        <v>0</v>
      </c>
      <c r="FE90" s="1" t="n">
        <f aca="false">IF(AND(DD90=1,DN90&gt;0,Slot6_IsWG=1,BU90=1),MIN(DN90,FD90),0)</f>
        <v>0</v>
      </c>
      <c r="FF90" s="1" t="n">
        <f aca="false">BV90+FE90</f>
        <v>0</v>
      </c>
      <c r="FG90" s="1" t="n">
        <f aca="false">IF(BU90=1,MAX(0,(Slot6_Cost-FF90*(1+Slot6_Rate)^(Slot6_Age-D90))/FC90),0)</f>
        <v>0</v>
      </c>
      <c r="FH90" s="1" t="n">
        <f aca="false">IF(BU90=1,MAX(0,(Slot6_Cost-BV90*(1+Slot6_Rate)^(Slot6_Age-D90))/FC90),0)</f>
        <v>0</v>
      </c>
      <c r="FI90" s="1" t="n">
        <f aca="false">IF(AND(DD90=1,BU90=1),MIN(FB90,FG90),0)</f>
        <v>0</v>
      </c>
      <c r="FJ90" s="1" t="n">
        <f aca="false">FB90-FI90</f>
        <v>0</v>
      </c>
      <c r="FK90" s="1" t="n">
        <f aca="false">IF(CE90=1,IF(ABS((1+AS_Wage)/(1+Slot7_Rate)-1)&lt;0.000000000001,(Slot7_Age-D90)*(1+Slot7_Rate)^(Slot7_Age-D90),(1+Slot7_Rate)^(Slot7_Age-D90)*(1-((1+AS_Wage)/(1+Slot7_Rate))^(Slot7_Age-D90))/(1-(1+AS_Wage)/(1+Slot7_Rate))),1)</f>
        <v>1</v>
      </c>
      <c r="FL90" s="1" t="n">
        <f aca="false">IF(AND(DD90=1,DN90&gt;0,Slot7_IsWG=1,CE90=1),MAX(0,(Slot7_Cost-CF90*(1+Slot7_Rate)^(Slot7_Age-D90))/FK90),0)</f>
        <v>0</v>
      </c>
      <c r="FM90" s="1" t="n">
        <f aca="false">IF(AND(DD90=1,DN90&gt;0,Slot7_IsWG=1,CE90=1),MIN(DN90,FL90),0)</f>
        <v>0</v>
      </c>
      <c r="FN90" s="1" t="n">
        <f aca="false">CF90+FM90</f>
        <v>0</v>
      </c>
      <c r="FO90" s="1" t="n">
        <f aca="false">IF(CE90=1,MAX(0,(Slot7_Cost-FN90*(1+Slot7_Rate)^(Slot7_Age-D90))/FK90),0)</f>
        <v>0</v>
      </c>
      <c r="FP90" s="1" t="n">
        <f aca="false">IF(CE90=1,MAX(0,(Slot7_Cost-CF90*(1+Slot7_Rate)^(Slot7_Age-D90))/FK90),0)</f>
        <v>0</v>
      </c>
      <c r="FQ90" s="1" t="n">
        <f aca="false">IF(AND(DD90=1,CE90=1),MIN(FJ90,FO90),0)</f>
        <v>0</v>
      </c>
      <c r="FR90" s="1" t="n">
        <f aca="false">FJ90-FQ90</f>
        <v>0</v>
      </c>
      <c r="FS90" s="1" t="n">
        <f aca="false">IF(CO90=1,IF(ABS((1+AS_Wage)/(1+Slot8_Rate)-1)&lt;0.000000000001,(Slot8_Age-D90)*(1+Slot8_Rate)^(Slot8_Age-D90),(1+Slot8_Rate)^(Slot8_Age-D90)*(1-((1+AS_Wage)/(1+Slot8_Rate))^(Slot8_Age-D90))/(1-(1+AS_Wage)/(1+Slot8_Rate))),1)</f>
        <v>1</v>
      </c>
      <c r="FT90" s="1" t="n">
        <f aca="false">IF(AND(DD90=1,DN90&gt;0,Slot8_IsWG=1,CO90=1),MAX(0,(Slot8_Cost-CP90*(1+Slot8_Rate)^(Slot8_Age-D90))/FS90),0)</f>
        <v>0</v>
      </c>
      <c r="FU90" s="1" t="n">
        <f aca="false">IF(AND(DD90=1,DN90&gt;0,Slot8_IsWG=1,CO90=1),MIN(DN90,FT90),0)</f>
        <v>0</v>
      </c>
      <c r="FV90" s="1" t="n">
        <f aca="false">CP90+FU90</f>
        <v>0</v>
      </c>
      <c r="FW90" s="1" t="n">
        <f aca="false">IF(CO90=1,MAX(0,(Slot8_Cost-FV90*(1+Slot8_Rate)^(Slot8_Age-D90))/FS90),0)</f>
        <v>0</v>
      </c>
      <c r="FX90" s="1" t="n">
        <f aca="false">IF(CO90=1,MAX(0,(Slot8_Cost-CP90*(1+Slot8_Rate)^(Slot8_Age-D90))/FS90),0)</f>
        <v>0</v>
      </c>
      <c r="FY90" s="1" t="n">
        <f aca="false">IF(AND(DD90=1,CO90=1),MIN(FR90,FW90),0)</f>
        <v>0</v>
      </c>
      <c r="FZ90" s="1" t="n">
        <f aca="false">FR90-FY90</f>
        <v>0</v>
      </c>
      <c r="GA90" s="1" t="n">
        <f aca="false">DN90-(DQ90+DY90+EG90+EO90+EW90+FE90+FM90+FU90)</f>
        <v>0</v>
      </c>
      <c r="GB90" s="1" t="n">
        <f aca="false">IF(DD90=1,DB90-DM90-DN90,0)</f>
        <v>65793.5811851652</v>
      </c>
      <c r="GC90" s="1" t="n">
        <f aca="false">IF(DD90=0,-DB90,0)</f>
        <v>0</v>
      </c>
      <c r="GD90" s="1" t="n">
        <f aca="false">MIN(GC90,CT90)</f>
        <v>0</v>
      </c>
      <c r="GE90" s="1" t="n">
        <f aca="false">GC90-GD90</f>
        <v>0</v>
      </c>
      <c r="GF90" s="1" t="n">
        <f aca="false">MIN(GE90,CU90)</f>
        <v>0</v>
      </c>
      <c r="GG90" s="1" t="n">
        <f aca="false">GE90-GF90</f>
        <v>0</v>
      </c>
      <c r="GH90" s="1" t="n">
        <f aca="false">IF(AND(DD90=0,CO90=1,GG90&gt;0),MIN(GG90,CP90),0)</f>
        <v>0</v>
      </c>
      <c r="GI90" s="1" t="n">
        <f aca="false">GG90-GH90</f>
        <v>0</v>
      </c>
      <c r="GJ90" s="1" t="n">
        <f aca="false">IF(AND(DD90=0,CE90=1,GI90&gt;0),MIN(GI90,CF90),0)</f>
        <v>0</v>
      </c>
      <c r="GK90" s="1" t="n">
        <f aca="false">GI90-GJ90</f>
        <v>0</v>
      </c>
      <c r="GL90" s="1" t="n">
        <f aca="false">IF(AND(DD90=0,BU90=1,GK90&gt;0),MIN(GK90,BV90),0)</f>
        <v>0</v>
      </c>
      <c r="GM90" s="1" t="n">
        <f aca="false">GK90-GL90</f>
        <v>0</v>
      </c>
      <c r="GN90" s="1" t="n">
        <f aca="false">IF(AND(DD90=0,BK90=1,GM90&gt;0),MIN(GM90,BL90),0)</f>
        <v>0</v>
      </c>
      <c r="GO90" s="1" t="n">
        <f aca="false">GM90-GN90</f>
        <v>0</v>
      </c>
      <c r="GP90" s="1" t="n">
        <f aca="false">IF(AND(DD90=0,BA90=1,GO90&gt;0),MIN(GO90,BB90),0)</f>
        <v>0</v>
      </c>
      <c r="GQ90" s="1" t="n">
        <f aca="false">GO90-GP90</f>
        <v>0</v>
      </c>
      <c r="GR90" s="1" t="n">
        <f aca="false">IF(AND(DD90=0,AQ90=1,GQ90&gt;0),MIN(GQ90,AR90),0)</f>
        <v>0</v>
      </c>
      <c r="GS90" s="1" t="n">
        <f aca="false">GQ90-GR90</f>
        <v>0</v>
      </c>
      <c r="GT90" s="1" t="n">
        <f aca="false">IF(AND(DD90=0,AG90=1,GS90&gt;0),MIN(GS90,AH90),0)</f>
        <v>0</v>
      </c>
      <c r="GU90" s="1" t="n">
        <f aca="false">GS90-GT90</f>
        <v>0</v>
      </c>
      <c r="GV90" s="1" t="n">
        <f aca="false">IF(AND(DD90=0,V90=1,GU90&gt;0),MIN(GU90,W90),0)</f>
        <v>0</v>
      </c>
      <c r="GW90" s="1" t="n">
        <f aca="false">GU90-GV90</f>
        <v>0</v>
      </c>
      <c r="GX90" s="1" t="n">
        <f aca="false">IF(DD90=0,GW90,0)</f>
        <v>0</v>
      </c>
      <c r="GY90" s="1" t="n">
        <f aca="false">GD90+GF90+GV90+GT90+GR90+GP90+GN90+GL90+GJ90+GH90</f>
        <v>0</v>
      </c>
      <c r="GZ90" s="1" t="n">
        <f aca="false">IF(DD90=1,CT90+GA90+FZ90+IF(F90=1,0,GB90),CT90-GD90)</f>
        <v>1051749.43616804</v>
      </c>
      <c r="HA90" s="1" t="n">
        <f aca="false">CU90-GF90</f>
        <v>0</v>
      </c>
      <c r="HB90" s="1" t="n">
        <f aca="false">IF(DD90=1,IF(F90=1,DM90+DN90,DB90),0)</f>
        <v>65793.5811851652</v>
      </c>
      <c r="HC90" s="1" t="n">
        <f aca="false">IF(DD90=1,IF(F90=1,DB90-DM90-DN90,0),0)</f>
        <v>0</v>
      </c>
      <c r="HD90" s="1" t="n">
        <f aca="false">GZ90*(1+GR)</f>
        <v>1068998.1269212</v>
      </c>
      <c r="HE90" s="1" t="n">
        <f aca="false">HA90*(1+AS_Cash)</f>
        <v>0</v>
      </c>
      <c r="HF90" s="1" t="n">
        <f aca="false">IF(V90=1,IF(DD90=1,DR90+DU90,W90-GV90)*(1+Slot1_Rate),0)</f>
        <v>0</v>
      </c>
      <c r="HG90" s="1" t="n">
        <f aca="false">IF(AND(DD90=1,V90=1),(DQ90+DU90)/E90,0)</f>
        <v>0</v>
      </c>
      <c r="HH90" s="1" t="n">
        <f aca="false">IF(B90=0,DQ90+DU90,0)</f>
        <v>0</v>
      </c>
      <c r="HI90" s="1" t="n">
        <f aca="false">IF(B90=0,IF(DD90=1,DS90,DT90),0)</f>
        <v>0</v>
      </c>
      <c r="HJ90" s="1" t="n">
        <f aca="false">IF(AG90=1,IF(DD90=1,DZ90+EC90,AH90-GT90)*(1+Slot2_Rate),0)</f>
        <v>0</v>
      </c>
      <c r="HK90" s="1" t="n">
        <f aca="false">IF(AND(DD90=1,AG90=1),(DY90+EC90)/E90,0)</f>
        <v>0</v>
      </c>
      <c r="HL90" s="1" t="n">
        <f aca="false">IF(B90=0,DY90+EC90,0)</f>
        <v>0</v>
      </c>
      <c r="HM90" s="1" t="n">
        <f aca="false">IF(B90=0,IF(DD90=1,EA90,EB90),0)</f>
        <v>0</v>
      </c>
      <c r="HN90" s="1" t="n">
        <f aca="false">IF(AQ90=1,IF(DD90=1,EH90+EK90,AR90-GR90)*(1+Slot3_Rate),0)</f>
        <v>0</v>
      </c>
      <c r="HO90" s="1" t="n">
        <f aca="false">IF(AND(DD90=1,AQ90=1),(EG90+EK90)/E90,0)</f>
        <v>0</v>
      </c>
      <c r="HP90" s="1" t="n">
        <f aca="false">IF(B90=0,EG90+EK90,0)</f>
        <v>0</v>
      </c>
      <c r="HQ90" s="1" t="n">
        <f aca="false">IF(B90=0,IF(DD90=1,EI90,EJ90),0)</f>
        <v>0</v>
      </c>
      <c r="HR90" s="1" t="n">
        <f aca="false">IF(BA90=1,IF(DD90=1,EP90+ES90,BB90-GP90)*(1+Slot4_Rate),0)</f>
        <v>0</v>
      </c>
      <c r="HS90" s="1" t="n">
        <f aca="false">IF(AND(DD90=1,BA90=1),(EO90+ES90)/E90,0)</f>
        <v>0</v>
      </c>
      <c r="HT90" s="1" t="n">
        <f aca="false">IF(B90=0,EO90+ES90,0)</f>
        <v>0</v>
      </c>
      <c r="HU90" s="1" t="n">
        <f aca="false">IF(B90=0,IF(DD90=1,EQ90,ER90),0)</f>
        <v>0</v>
      </c>
      <c r="HV90" s="1" t="n">
        <f aca="false">IF(BK90=1,IF(DD90=1,EX90+FA90,BL90-GN90)*(1+Slot5_Rate),0)</f>
        <v>0</v>
      </c>
      <c r="HW90" s="1" t="n">
        <f aca="false">IF(AND(DD90=1,BK90=1),(EW90+FA90)/E90,0)</f>
        <v>0</v>
      </c>
      <c r="HX90" s="1" t="n">
        <f aca="false">IF(B90=0,EW90+FA90,0)</f>
        <v>0</v>
      </c>
      <c r="HY90" s="1" t="n">
        <f aca="false">IF(B90=0,IF(DD90=1,EY90,EZ90),0)</f>
        <v>0</v>
      </c>
      <c r="HZ90" s="1" t="n">
        <f aca="false">IF(BU90=1,IF(DD90=1,FF90+FI90,BV90-GL90)*(1+Slot6_Rate),0)</f>
        <v>0</v>
      </c>
      <c r="IA90" s="1" t="n">
        <f aca="false">IF(AND(DD90=1,BU90=1),(FE90+FI90)/E90,0)</f>
        <v>0</v>
      </c>
      <c r="IB90" s="1" t="n">
        <f aca="false">IF(B90=0,FE90+FI90,0)</f>
        <v>0</v>
      </c>
      <c r="IC90" s="1" t="n">
        <f aca="false">IF(B90=0,IF(DD90=1,FG90,FH90),0)</f>
        <v>0</v>
      </c>
      <c r="ID90" s="1" t="n">
        <f aca="false">IF(CE90=1,IF(DD90=1,FN90+FQ90,CF90-GJ90)*(1+Slot7_Rate),0)</f>
        <v>0</v>
      </c>
      <c r="IE90" s="1" t="n">
        <f aca="false">IF(AND(DD90=1,CE90=1),(FM90+FQ90)/E90,0)</f>
        <v>0</v>
      </c>
      <c r="IF90" s="1" t="n">
        <f aca="false">IF(B90=0,FM90+FQ90,0)</f>
        <v>0</v>
      </c>
      <c r="IG90" s="1" t="n">
        <f aca="false">IF(B90=0,IF(DD90=1,FO90,FP90),0)</f>
        <v>0</v>
      </c>
      <c r="IH90" s="1" t="n">
        <f aca="false">IF(CO90=1,IF(DD90=1,FV90+FY90,CP90-GH90)*(1+Slot8_Rate),0)</f>
        <v>0</v>
      </c>
      <c r="II90" s="1" t="n">
        <f aca="false">IF(AND(DD90=1,CO90=1),(FU90+FY90)/E90,0)</f>
        <v>0</v>
      </c>
      <c r="IJ90" s="1" t="n">
        <f aca="false">IF(B90=0,FU90+FY90,0)</f>
        <v>0</v>
      </c>
      <c r="IK90" s="1" t="n">
        <f aca="false">IF(B90=0,IF(DD90=1,FW90,FX90),0)</f>
        <v>0</v>
      </c>
      <c r="IL90" s="1" t="n">
        <f aca="false">HD90+HE90+HF90+HJ90+HN90+HR90+HV90+HZ90+ID90+IH90</f>
        <v>1068998.1269212</v>
      </c>
      <c r="IM90" s="1" t="n">
        <f aca="false">GX90+CY90</f>
        <v>0</v>
      </c>
      <c r="IN90" s="1" t="n">
        <f aca="false">H90+R90</f>
        <v>0</v>
      </c>
      <c r="IO90" s="1" t="n">
        <f aca="false">1-F90</f>
        <v>1</v>
      </c>
      <c r="IP90" s="1" t="n">
        <f aca="false">IF(AND(RG_Exists=1,F90=0,C90=1),H90,0)</f>
        <v>0</v>
      </c>
      <c r="IQ90" s="1" t="n">
        <f aca="false">IF(AND(RG_Exists=1,F90=0,C90=1),H90-MIN(GX90,H90),0)</f>
        <v>0</v>
      </c>
      <c r="IR90" s="1" t="n">
        <f aca="false">'Plan pay &amp; tax'!AD292</f>
        <v>0</v>
      </c>
      <c r="IS90" s="1" t="n">
        <f aca="false">IF(AND(C90=1,GX90&gt;MAX(PR_Short1,IN90*PR_Short2)),1,0)</f>
        <v>0</v>
      </c>
      <c r="IT90" s="1" t="n">
        <f aca="false">MIN(G90,H90+R90)</f>
        <v>0</v>
      </c>
      <c r="IU90" s="1" t="n">
        <f aca="false">GY90+MAX(0,CZ90-CY90)</f>
        <v>0</v>
      </c>
      <c r="IV90" s="1" t="n">
        <f aca="false">GX90+CY90</f>
        <v>0</v>
      </c>
      <c r="IW90" s="1" t="n">
        <f aca="false">IF(AND(C90=1,IV90&gt;0.5),1,0)</f>
        <v>0</v>
      </c>
      <c r="IX90" s="1" t="n">
        <f aca="false">IF(AND(C90=1,IW90=0,IU90&gt;0.5),1,0)</f>
        <v>0</v>
      </c>
      <c r="IY90" s="1" t="n">
        <f aca="false">IF(AND(C90=1,GX90&gt;0.5),1,0)</f>
        <v>0</v>
      </c>
      <c r="IZ90" s="1" t="n">
        <f aca="false">IF(AND(C90=1,GY90&gt;1,JF90=0),1,0)</f>
        <v>0</v>
      </c>
      <c r="JA90" s="1" t="n">
        <f aca="false">IF(AND(INT(D90/10)*10=90,B90&gt;0),80,INT(D90/10)*10)</f>
        <v>80</v>
      </c>
      <c r="JB90" s="1" t="n">
        <f aca="false">IF(B90=0,1,IF(JA90&lt;&gt;JA89,JB89+1,JB89))</f>
        <v>9</v>
      </c>
      <c r="JC90" s="1" t="n">
        <f aca="false">IF(AND(C90=1,F90=1,GX90&gt;MAX(PR_Short1,IN90*PR_Short2)),1,0)</f>
        <v>0</v>
      </c>
      <c r="JD90" s="1" t="n">
        <f aca="false">IO90*IS90</f>
        <v>0</v>
      </c>
      <c r="JE90" s="1" t="n">
        <f aca="false">IF(AND(U90=1,Slot1_PctLow=1),1,0)+IF(AND(AF90=1,Slot2_PctLow=1),1,0)+IF(AND(AP90=1,Slot3_PctLow=1),1,0)+IF(AND(AZ90=1,Slot4_PctLow=1),1,0)+IF(AND(BJ90=1,Slot5_PctLow=1),1,0)+IF(AND(BT90=1,Slot6_PctLow=1),1,0)+IF(AND(CD90=1,Slot7_PctLow=1),1,0)+IF(AND(CN90=1,Slot8_PctLow=1),1,0)</f>
        <v>0</v>
      </c>
      <c r="JF90" s="1" t="n">
        <f aca="false">IF(C90=1,IF(OR(IS90=1,JE90&gt;0),1,0),0)</f>
        <v>0</v>
      </c>
    </row>
    <row r="91" customFormat="false" ht="15" hidden="false" customHeight="false" outlineLevel="0" collapsed="false">
      <c r="B91" s="1" t="n">
        <v>83</v>
      </c>
      <c r="C91" s="1" t="n">
        <f aca="false">IF(B91&lt;=F_N,1,0)</f>
        <v>1</v>
      </c>
      <c r="D91" s="1" t="n">
        <f aca="false">'Plan pay &amp; tax'!C293</f>
        <v>83</v>
      </c>
      <c r="E91" s="106" t="n">
        <f aca="false">'Plan pay &amp; tax'!E293</f>
        <v>5.17385503596275</v>
      </c>
      <c r="F91" s="1" t="n">
        <f aca="false">'Plan pay &amp; tax'!G293</f>
        <v>0</v>
      </c>
      <c r="G91" s="1" t="n">
        <f aca="false">'Plan pay &amp; tax'!BT293-'Plan pay &amp; tax'!BS293-'Plan pay &amp; tax'!R293</f>
        <v>67109.4528088685</v>
      </c>
      <c r="H91" s="1" t="n">
        <f aca="false">IF(F91=1,F_CostsM*12,IF(RG_Exists=1,RG_Amount,F_CostsM*12*AS_RetireSpend))*E91+F_OneOffY*E91</f>
        <v>0</v>
      </c>
      <c r="I91" s="1" t="n">
        <f aca="false">DA90</f>
        <v>0</v>
      </c>
      <c r="J91" s="1" t="n">
        <f aca="false">IF(I91&gt;1,'Plan debt months'!AC91,0)</f>
        <v>0</v>
      </c>
      <c r="K91" s="1" t="n">
        <f aca="false">IF(I91&gt;1,'Plan debt months'!AB91,I91)</f>
        <v>0</v>
      </c>
      <c r="L91" s="1" t="n">
        <f aca="false">N90</f>
        <v>0</v>
      </c>
      <c r="M91" s="1" t="n">
        <f aca="false">IF(L91&gt;1,'Plan debt months'!BD91,0)</f>
        <v>0</v>
      </c>
      <c r="N91" s="1" t="n">
        <f aca="false">IF(L91&gt;1,'Plan debt months'!BC91,L91)</f>
        <v>0</v>
      </c>
      <c r="O91" s="1" t="n">
        <f aca="false">Q90</f>
        <v>0</v>
      </c>
      <c r="P91" s="1" t="n">
        <f aca="false">IF(O91&gt;1,'Plan debt months'!CE91,0)</f>
        <v>0</v>
      </c>
      <c r="Q91" s="1" t="n">
        <f aca="false">IF(O91&gt;1,'Plan debt months'!CD91,O91)</f>
        <v>0</v>
      </c>
      <c r="R91" s="1" t="n">
        <f aca="false">J91+M91+P91</f>
        <v>0</v>
      </c>
      <c r="S91" s="1" t="n">
        <f aca="false">HD90+'Plan pay &amp; tax'!Y293</f>
        <v>1068998.1269212</v>
      </c>
      <c r="T91" s="1" t="n">
        <f aca="false">HD90</f>
        <v>1068998.1269212</v>
      </c>
      <c r="U91" s="1" t="n">
        <f aca="false">IF(AND(Slot1_On=1,D91=Slot1_Age),1,0)</f>
        <v>0</v>
      </c>
      <c r="V91" s="1" t="n">
        <f aca="false">IF(AND(Slot1_On=1,Slot1_Age&gt;D91),1,0)</f>
        <v>0</v>
      </c>
      <c r="W91" s="1" t="n">
        <f aca="false">HF90</f>
        <v>0</v>
      </c>
      <c r="X91" s="1" t="n">
        <f aca="false">U91*MIN(Slot1_Cost,W91)</f>
        <v>0</v>
      </c>
      <c r="Y91" s="1" t="n">
        <f aca="false">U91*Slot1_SpendLike*MIN(Slot1_Cost-X91,S91)</f>
        <v>0</v>
      </c>
      <c r="Z91" s="1" t="n">
        <f aca="false">X91+Y91</f>
        <v>0</v>
      </c>
      <c r="AA91" s="1" t="n">
        <f aca="false">S91-Y91+U91*IF(Slot1_SpendLike=1,W91-X91,IF(Slot1_PotFree=1,W91,0))</f>
        <v>1068998.1269212</v>
      </c>
      <c r="AB91" s="1" t="n">
        <f aca="false">AE91+U91*Slot1_BufPot*W91</f>
        <v>0</v>
      </c>
      <c r="AC91" s="1" t="n">
        <f aca="false">IF(AND(U91=1,Slot1_IsMfree=1),IF(Z91&gt;=Slot1_Cost-1,0,MAX(0,K91-Z91)),K91)</f>
        <v>0</v>
      </c>
      <c r="AD91" s="1" t="n">
        <f aca="false">U91*(Slot1_Cost-Z91)</f>
        <v>0</v>
      </c>
      <c r="AE91" s="1" t="n">
        <f aca="false">HE90</f>
        <v>0</v>
      </c>
      <c r="AF91" s="1" t="n">
        <f aca="false">IF(AND(Slot2_On=1,D91=Slot2_Age),1,0)</f>
        <v>0</v>
      </c>
      <c r="AG91" s="1" t="n">
        <f aca="false">IF(AND(Slot2_On=1,Slot2_Age&gt;D91),1,0)</f>
        <v>0</v>
      </c>
      <c r="AH91" s="1" t="n">
        <f aca="false">HJ90</f>
        <v>0</v>
      </c>
      <c r="AI91" s="1" t="n">
        <f aca="false">AF91*MIN(Slot2_Cost,AH91)</f>
        <v>0</v>
      </c>
      <c r="AJ91" s="1" t="n">
        <f aca="false">AF91*Slot2_SpendLike*MIN(Slot2_Cost-AI91,AA91)</f>
        <v>0</v>
      </c>
      <c r="AK91" s="1" t="n">
        <f aca="false">AI91+AJ91</f>
        <v>0</v>
      </c>
      <c r="AL91" s="1" t="n">
        <f aca="false">AA91-AJ91+AF91*IF(Slot2_SpendLike=1,AH91-AI91,IF(Slot2_PotFree=1,AH91,0))</f>
        <v>1068998.1269212</v>
      </c>
      <c r="AM91" s="1" t="n">
        <f aca="false">AB91+AF91*Slot2_BufPot*AH91</f>
        <v>0</v>
      </c>
      <c r="AN91" s="1" t="n">
        <f aca="false">IF(AND(AF91=1,Slot2_IsMfree=1),IF(AK91&gt;=Slot2_Cost-1,0,MAX(0,AC91-AK91)),AC91)</f>
        <v>0</v>
      </c>
      <c r="AO91" s="1" t="n">
        <f aca="false">AF91*(Slot2_Cost-AK91)</f>
        <v>0</v>
      </c>
      <c r="AP91" s="1" t="n">
        <f aca="false">IF(AND(Slot3_On=1,D91=Slot3_Age),1,0)</f>
        <v>0</v>
      </c>
      <c r="AQ91" s="1" t="n">
        <f aca="false">IF(AND(Slot3_On=1,Slot3_Age&gt;D91),1,0)</f>
        <v>0</v>
      </c>
      <c r="AR91" s="1" t="n">
        <f aca="false">HN90</f>
        <v>0</v>
      </c>
      <c r="AS91" s="1" t="n">
        <f aca="false">AP91*MIN(Slot3_Cost,AR91)</f>
        <v>0</v>
      </c>
      <c r="AT91" s="1" t="n">
        <f aca="false">AP91*Slot3_SpendLike*MIN(Slot3_Cost-AS91,AL91)</f>
        <v>0</v>
      </c>
      <c r="AU91" s="1" t="n">
        <f aca="false">AS91+AT91</f>
        <v>0</v>
      </c>
      <c r="AV91" s="1" t="n">
        <f aca="false">AL91-AT91+AP91*IF(Slot3_SpendLike=1,AR91-AS91,IF(Slot3_PotFree=1,AR91,0))</f>
        <v>1068998.1269212</v>
      </c>
      <c r="AW91" s="1" t="n">
        <f aca="false">AM91+AP91*Slot3_BufPot*AR91</f>
        <v>0</v>
      </c>
      <c r="AX91" s="1" t="n">
        <f aca="false">IF(AND(AP91=1,Slot3_IsMfree=1),IF(AU91&gt;=Slot3_Cost-1,0,MAX(0,AN91-AU91)),AN91)</f>
        <v>0</v>
      </c>
      <c r="AY91" s="1" t="n">
        <f aca="false">AP91*(Slot3_Cost-AU91)</f>
        <v>0</v>
      </c>
      <c r="AZ91" s="1" t="n">
        <f aca="false">IF(AND(Slot4_On=1,D91=Slot4_Age),1,0)</f>
        <v>0</v>
      </c>
      <c r="BA91" s="1" t="n">
        <f aca="false">IF(AND(Slot4_On=1,Slot4_Age&gt;D91),1,0)</f>
        <v>0</v>
      </c>
      <c r="BB91" s="1" t="n">
        <f aca="false">HR90</f>
        <v>0</v>
      </c>
      <c r="BC91" s="1" t="n">
        <f aca="false">AZ91*MIN(Slot4_Cost,BB91)</f>
        <v>0</v>
      </c>
      <c r="BD91" s="1" t="n">
        <f aca="false">AZ91*Slot4_SpendLike*MIN(Slot4_Cost-BC91,AV91)</f>
        <v>0</v>
      </c>
      <c r="BE91" s="1" t="n">
        <f aca="false">BC91+BD91</f>
        <v>0</v>
      </c>
      <c r="BF91" s="1" t="n">
        <f aca="false">AV91-BD91+AZ91*IF(Slot4_SpendLike=1,BB91-BC91,IF(Slot4_PotFree=1,BB91,0))</f>
        <v>1068998.1269212</v>
      </c>
      <c r="BG91" s="1" t="n">
        <f aca="false">AW91+AZ91*Slot4_BufPot*BB91</f>
        <v>0</v>
      </c>
      <c r="BH91" s="1" t="n">
        <f aca="false">IF(AND(AZ91=1,Slot4_IsMfree=1),IF(BE91&gt;=Slot4_Cost-1,0,MAX(0,AX91-BE91)),AX91)</f>
        <v>0</v>
      </c>
      <c r="BI91" s="1" t="n">
        <f aca="false">AZ91*(Slot4_Cost-BE91)</f>
        <v>0</v>
      </c>
      <c r="BJ91" s="1" t="n">
        <f aca="false">IF(AND(Slot5_On=1,D91=Slot5_Age),1,0)</f>
        <v>0</v>
      </c>
      <c r="BK91" s="1" t="n">
        <f aca="false">IF(AND(Slot5_On=1,Slot5_Age&gt;D91),1,0)</f>
        <v>0</v>
      </c>
      <c r="BL91" s="1" t="n">
        <f aca="false">HV90</f>
        <v>0</v>
      </c>
      <c r="BM91" s="1" t="n">
        <f aca="false">BJ91*MIN(Slot5_Cost,BL91)</f>
        <v>0</v>
      </c>
      <c r="BN91" s="1" t="n">
        <f aca="false">BJ91*Slot5_SpendLike*MIN(Slot5_Cost-BM91,BF91)</f>
        <v>0</v>
      </c>
      <c r="BO91" s="1" t="n">
        <f aca="false">BM91+BN91</f>
        <v>0</v>
      </c>
      <c r="BP91" s="1" t="n">
        <f aca="false">BF91-BN91+BJ91*IF(Slot5_SpendLike=1,BL91-BM91,IF(Slot5_PotFree=1,BL91,0))</f>
        <v>1068998.1269212</v>
      </c>
      <c r="BQ91" s="1" t="n">
        <f aca="false">BG91+BJ91*Slot5_BufPot*BL91</f>
        <v>0</v>
      </c>
      <c r="BR91" s="1" t="n">
        <f aca="false">IF(AND(BJ91=1,Slot5_IsMfree=1),IF(BO91&gt;=Slot5_Cost-1,0,MAX(0,BH91-BO91)),BH91)</f>
        <v>0</v>
      </c>
      <c r="BS91" s="1" t="n">
        <f aca="false">BJ91*(Slot5_Cost-BO91)</f>
        <v>0</v>
      </c>
      <c r="BT91" s="1" t="n">
        <f aca="false">IF(AND(Slot6_On=1,D91=Slot6_Age),1,0)</f>
        <v>0</v>
      </c>
      <c r="BU91" s="1" t="n">
        <f aca="false">IF(AND(Slot6_On=1,Slot6_Age&gt;D91),1,0)</f>
        <v>0</v>
      </c>
      <c r="BV91" s="1" t="n">
        <f aca="false">HZ90</f>
        <v>0</v>
      </c>
      <c r="BW91" s="1" t="n">
        <f aca="false">BT91*MIN(Slot6_Cost,BV91)</f>
        <v>0</v>
      </c>
      <c r="BX91" s="1" t="n">
        <f aca="false">BT91*Slot6_SpendLike*MIN(Slot6_Cost-BW91,BP91)</f>
        <v>0</v>
      </c>
      <c r="BY91" s="1" t="n">
        <f aca="false">BW91+BX91</f>
        <v>0</v>
      </c>
      <c r="BZ91" s="1" t="n">
        <f aca="false">BP91-BX91+BT91*IF(Slot6_SpendLike=1,BV91-BW91,IF(Slot6_PotFree=1,BV91,0))</f>
        <v>1068998.1269212</v>
      </c>
      <c r="CA91" s="1" t="n">
        <f aca="false">BQ91+BT91*Slot6_BufPot*BV91</f>
        <v>0</v>
      </c>
      <c r="CB91" s="1" t="n">
        <f aca="false">IF(AND(BT91=1,Slot6_IsMfree=1),IF(BY91&gt;=Slot6_Cost-1,0,MAX(0,BR91-BY91)),BR91)</f>
        <v>0</v>
      </c>
      <c r="CC91" s="1" t="n">
        <f aca="false">BT91*(Slot6_Cost-BY91)</f>
        <v>0</v>
      </c>
      <c r="CD91" s="1" t="n">
        <f aca="false">IF(AND(Slot7_On=1,D91=Slot7_Age),1,0)</f>
        <v>0</v>
      </c>
      <c r="CE91" s="1" t="n">
        <f aca="false">IF(AND(Slot7_On=1,Slot7_Age&gt;D91),1,0)</f>
        <v>0</v>
      </c>
      <c r="CF91" s="1" t="n">
        <f aca="false">ID90</f>
        <v>0</v>
      </c>
      <c r="CG91" s="1" t="n">
        <f aca="false">CD91*MIN(Slot7_Cost,CF91)</f>
        <v>0</v>
      </c>
      <c r="CH91" s="1" t="n">
        <f aca="false">CD91*Slot7_SpendLike*MIN(Slot7_Cost-CG91,BZ91)</f>
        <v>0</v>
      </c>
      <c r="CI91" s="1" t="n">
        <f aca="false">CG91+CH91</f>
        <v>0</v>
      </c>
      <c r="CJ91" s="1" t="n">
        <f aca="false">BZ91-CH91+CD91*IF(Slot7_SpendLike=1,CF91-CG91,IF(Slot7_PotFree=1,CF91,0))</f>
        <v>1068998.1269212</v>
      </c>
      <c r="CK91" s="1" t="n">
        <f aca="false">CA91+CD91*Slot7_BufPot*CF91</f>
        <v>0</v>
      </c>
      <c r="CL91" s="1" t="n">
        <f aca="false">IF(AND(CD91=1,Slot7_IsMfree=1),IF(CI91&gt;=Slot7_Cost-1,0,MAX(0,CB91-CI91)),CB91)</f>
        <v>0</v>
      </c>
      <c r="CM91" s="1" t="n">
        <f aca="false">CD91*(Slot7_Cost-CI91)</f>
        <v>0</v>
      </c>
      <c r="CN91" s="1" t="n">
        <f aca="false">IF(AND(Slot8_On=1,D91=Slot8_Age),1,0)</f>
        <v>0</v>
      </c>
      <c r="CO91" s="1" t="n">
        <f aca="false">IF(AND(Slot8_On=1,Slot8_Age&gt;D91),1,0)</f>
        <v>0</v>
      </c>
      <c r="CP91" s="1" t="n">
        <f aca="false">IH90</f>
        <v>0</v>
      </c>
      <c r="CQ91" s="1" t="n">
        <f aca="false">CN91*MIN(Slot8_Cost,CP91)</f>
        <v>0</v>
      </c>
      <c r="CR91" s="1" t="n">
        <f aca="false">CN91*Slot8_SpendLike*MIN(Slot8_Cost-CQ91,CJ91)</f>
        <v>0</v>
      </c>
      <c r="CS91" s="1" t="n">
        <f aca="false">CQ91+CR91</f>
        <v>0</v>
      </c>
      <c r="CT91" s="1" t="n">
        <f aca="false">CJ91-CR91+CN91*IF(Slot8_SpendLike=1,CP91-CQ91,IF(Slot8_PotFree=1,CP91,0))</f>
        <v>1068998.1269212</v>
      </c>
      <c r="CU91" s="1" t="n">
        <f aca="false">CK91+CN91*Slot8_BufPot*CP91</f>
        <v>0</v>
      </c>
      <c r="CV91" s="1" t="n">
        <f aca="false">IF(AND(CN91=1,Slot8_IsMfree=1),IF(CS91&gt;=Slot8_Cost-1,0,MAX(0,CL91-CS91)),CL91)</f>
        <v>0</v>
      </c>
      <c r="CW91" s="1" t="n">
        <f aca="false">CN91*(Slot8_Cost-CS91)</f>
        <v>0</v>
      </c>
      <c r="CX91" s="1" t="n">
        <f aca="false">U91*Slot1_SpendLike*Z91+AF91*Slot2_SpendLike*AK91+AP91*Slot3_SpendLike*AU91+AZ91*Slot4_SpendLike*BE91+BJ91*Slot5_SpendLike*BO91+BT91*Slot6_SpendLike*BY91+CD91*Slot7_SpendLike*CI91+CN91*Slot8_SpendLike*CS91</f>
        <v>0</v>
      </c>
      <c r="CY91" s="1" t="n">
        <f aca="false">AD91+AO91+AY91+BI91+BS91+CC91+CM91+CW91</f>
        <v>0</v>
      </c>
      <c r="CZ91" s="1" t="n">
        <f aca="false">U91*Slot1_Cost+AF91*Slot2_Cost+AP91*Slot3_Cost+AZ91*Slot4_Cost+BJ91*Slot5_Cost+BT91*Slot6_Cost+CD91*Slot7_Cost+CN91*Slot8_Cost</f>
        <v>0</v>
      </c>
      <c r="DA91" s="1" t="n">
        <f aca="false">CV91</f>
        <v>0</v>
      </c>
      <c r="DB91" s="1" t="n">
        <f aca="false">G91-H91-R91</f>
        <v>67109.4528088685</v>
      </c>
      <c r="DC91" s="1" t="n">
        <f aca="false">IF(B91=0,IF(AND(Has_q6=1,In_q6=4),PR_ShareVaries*(MAX(0,DB91)/12),MIN(IF(Has_q6=1,CHOOSE(In_q6+1,PR_SaveB1,PR_SaveB2,PR_SaveB3,PR_SaveB4,0),AS_NoAnswer),AS_SaveShare*(MAX(0,DB91)/12))),DC90)</f>
        <v>0</v>
      </c>
      <c r="DD91" s="1" t="n">
        <f aca="false">IF(DB91&gt;=0,1,0)</f>
        <v>1</v>
      </c>
      <c r="DE91" s="1" t="n">
        <f aca="false">MAX(0,DB91/12/E91)</f>
        <v>1080.90666666667</v>
      </c>
      <c r="DF91" s="1" t="n">
        <f aca="false">IF(AND(Has_q6=1,In_q6=4),PR_ShareVaries*(DE91),MIN(IF(Has_q6=1,CHOOSE(In_q6+1,PR_SaveB1,PR_SaveB2,PR_SaveB3,PR_SaveB4,0),AS_NoAnswer),AS_SaveShare*(DE91)))</f>
        <v>300</v>
      </c>
      <c r="DG91" s="1" t="n">
        <f aca="false">IF(Has_saveM=1,IF(In_saveUp="Yes",1,IF(In_saveUp="No",0,IF(In_saveM&gt;=DC91-0.5,1,0))),0)</f>
        <v>0</v>
      </c>
      <c r="DH91" s="1" t="n">
        <f aca="false">IF(Has_saveM=1,MIN(DE91,IF(DG91=1,MAX(In_saveM,DF91),MIN(In_saveM,DF91))),DF91)</f>
        <v>300</v>
      </c>
      <c r="DI91" s="1" t="n">
        <f aca="false">IF(F91=1,DH91*12*E91,0)</f>
        <v>0</v>
      </c>
      <c r="DJ91" s="1" t="n">
        <f aca="false">MAX(0,DI91+IF(AND(WI_Retire=0,WI_M&lt;0,F91=1),WI_M*12*E91,0))</f>
        <v>0</v>
      </c>
      <c r="DK91" s="1" t="n">
        <f aca="false">Slot1_IsWG*V91+Slot2_IsWG*AG91+Slot3_IsWG*AQ91+Slot4_IsWG*BA91+Slot5_IsWG*BK91+Slot6_IsWG*BU91+Slot7_IsWG*CE91+Slot8_IsWG*CO91</f>
        <v>0</v>
      </c>
      <c r="DL91" s="1" t="n">
        <f aca="false">IF(AND(WI_Retire=0,WI_M&gt;0,F91=1,DK91&gt;=1),WI_M*12*E91,0)</f>
        <v>0</v>
      </c>
      <c r="DM91" s="1" t="n">
        <f aca="false">IF(DD91=1,MIN(DJ91,DB91),0)</f>
        <v>0</v>
      </c>
      <c r="DN91" s="1" t="n">
        <f aca="false">IF(DD91=1,MIN(DL91,DB91-DM91),0)</f>
        <v>0</v>
      </c>
      <c r="DO91" s="1" t="n">
        <f aca="false">IF(V91=1,IF(ABS((1+AS_Wage)/(1+Slot1_Rate)-1)&lt;0.000000000001,(Slot1_Age-D91)*(1+Slot1_Rate)^(Slot1_Age-D91),(1+Slot1_Rate)^(Slot1_Age-D91)*(1-((1+AS_Wage)/(1+Slot1_Rate))^(Slot1_Age-D91))/(1-(1+AS_Wage)/(1+Slot1_Rate))),1)</f>
        <v>1</v>
      </c>
      <c r="DP91" s="1" t="n">
        <f aca="false">IF(AND(DD91=1,DN91&gt;0,Slot1_IsWG=1,V91=1),MAX(0,(Slot1_Cost-W91*(1+Slot1_Rate)^(Slot1_Age-D91))/DO91),0)</f>
        <v>0</v>
      </c>
      <c r="DQ91" s="1" t="n">
        <f aca="false">IF(AND(DD91=1,DN91&gt;0,Slot1_IsWG=1,V91=1),MIN(DN91,DP91),0)</f>
        <v>0</v>
      </c>
      <c r="DR91" s="1" t="n">
        <f aca="false">W91+DQ91</f>
        <v>0</v>
      </c>
      <c r="DS91" s="1" t="n">
        <f aca="false">IF(V91=1,MAX(0,(Slot1_Cost-DR91*(1+Slot1_Rate)^(Slot1_Age-D91))/DO91),0)</f>
        <v>0</v>
      </c>
      <c r="DT91" s="1" t="n">
        <f aca="false">IF(V91=1,MAX(0,(Slot1_Cost-W91*(1+Slot1_Rate)^(Slot1_Age-D91))/DO91),0)</f>
        <v>0</v>
      </c>
      <c r="DU91" s="1" t="n">
        <f aca="false">IF(AND(DD91=1,V91=1),MIN(DM91,DS91),0)</f>
        <v>0</v>
      </c>
      <c r="DV91" s="1" t="n">
        <f aca="false">DM91-DU91</f>
        <v>0</v>
      </c>
      <c r="DW91" s="1" t="n">
        <f aca="false">IF(AG91=1,IF(ABS((1+AS_Wage)/(1+Slot2_Rate)-1)&lt;0.000000000001,(Slot2_Age-D91)*(1+Slot2_Rate)^(Slot2_Age-D91),(1+Slot2_Rate)^(Slot2_Age-D91)*(1-((1+AS_Wage)/(1+Slot2_Rate))^(Slot2_Age-D91))/(1-(1+AS_Wage)/(1+Slot2_Rate))),1)</f>
        <v>1</v>
      </c>
      <c r="DX91" s="1" t="n">
        <f aca="false">IF(AND(DD91=1,DN91&gt;0,Slot2_IsWG=1,AG91=1),MAX(0,(Slot2_Cost-AH91*(1+Slot2_Rate)^(Slot2_Age-D91))/DW91),0)</f>
        <v>0</v>
      </c>
      <c r="DY91" s="1" t="n">
        <f aca="false">IF(AND(DD91=1,DN91&gt;0,Slot2_IsWG=1,AG91=1),MIN(DN91,DX91),0)</f>
        <v>0</v>
      </c>
      <c r="DZ91" s="1" t="n">
        <f aca="false">AH91+DY91</f>
        <v>0</v>
      </c>
      <c r="EA91" s="1" t="n">
        <f aca="false">IF(AG91=1,MAX(0,(Slot2_Cost-DZ91*(1+Slot2_Rate)^(Slot2_Age-D91))/DW91),0)</f>
        <v>0</v>
      </c>
      <c r="EB91" s="1" t="n">
        <f aca="false">IF(AG91=1,MAX(0,(Slot2_Cost-AH91*(1+Slot2_Rate)^(Slot2_Age-D91))/DW91),0)</f>
        <v>0</v>
      </c>
      <c r="EC91" s="1" t="n">
        <f aca="false">IF(AND(DD91=1,AG91=1),MIN(DV91,EA91),0)</f>
        <v>0</v>
      </c>
      <c r="ED91" s="1" t="n">
        <f aca="false">DV91-EC91</f>
        <v>0</v>
      </c>
      <c r="EE91" s="1" t="n">
        <f aca="false">IF(AQ91=1,IF(ABS((1+AS_Wage)/(1+Slot3_Rate)-1)&lt;0.000000000001,(Slot3_Age-D91)*(1+Slot3_Rate)^(Slot3_Age-D91),(1+Slot3_Rate)^(Slot3_Age-D91)*(1-((1+AS_Wage)/(1+Slot3_Rate))^(Slot3_Age-D91))/(1-(1+AS_Wage)/(1+Slot3_Rate))),1)</f>
        <v>1</v>
      </c>
      <c r="EF91" s="1" t="n">
        <f aca="false">IF(AND(DD91=1,DN91&gt;0,Slot3_IsWG=1,AQ91=1),MAX(0,(Slot3_Cost-AR91*(1+Slot3_Rate)^(Slot3_Age-D91))/EE91),0)</f>
        <v>0</v>
      </c>
      <c r="EG91" s="1" t="n">
        <f aca="false">IF(AND(DD91=1,DN91&gt;0,Slot3_IsWG=1,AQ91=1),MIN(DN91,EF91),0)</f>
        <v>0</v>
      </c>
      <c r="EH91" s="1" t="n">
        <f aca="false">AR91+EG91</f>
        <v>0</v>
      </c>
      <c r="EI91" s="1" t="n">
        <f aca="false">IF(AQ91=1,MAX(0,(Slot3_Cost-EH91*(1+Slot3_Rate)^(Slot3_Age-D91))/EE91),0)</f>
        <v>0</v>
      </c>
      <c r="EJ91" s="1" t="n">
        <f aca="false">IF(AQ91=1,MAX(0,(Slot3_Cost-AR91*(1+Slot3_Rate)^(Slot3_Age-D91))/EE91),0)</f>
        <v>0</v>
      </c>
      <c r="EK91" s="1" t="n">
        <f aca="false">IF(AND(DD91=1,AQ91=1),MIN(ED91,EI91),0)</f>
        <v>0</v>
      </c>
      <c r="EL91" s="1" t="n">
        <f aca="false">ED91-EK91</f>
        <v>0</v>
      </c>
      <c r="EM91" s="1" t="n">
        <f aca="false">IF(BA91=1,IF(ABS((1+AS_Wage)/(1+Slot4_Rate)-1)&lt;0.000000000001,(Slot4_Age-D91)*(1+Slot4_Rate)^(Slot4_Age-D91),(1+Slot4_Rate)^(Slot4_Age-D91)*(1-((1+AS_Wage)/(1+Slot4_Rate))^(Slot4_Age-D91))/(1-(1+AS_Wage)/(1+Slot4_Rate))),1)</f>
        <v>1</v>
      </c>
      <c r="EN91" s="1" t="n">
        <f aca="false">IF(AND(DD91=1,DN91&gt;0,Slot4_IsWG=1,BA91=1),MAX(0,(Slot4_Cost-BB91*(1+Slot4_Rate)^(Slot4_Age-D91))/EM91),0)</f>
        <v>0</v>
      </c>
      <c r="EO91" s="1" t="n">
        <f aca="false">IF(AND(DD91=1,DN91&gt;0,Slot4_IsWG=1,BA91=1),MIN(DN91,EN91),0)</f>
        <v>0</v>
      </c>
      <c r="EP91" s="1" t="n">
        <f aca="false">BB91+EO91</f>
        <v>0</v>
      </c>
      <c r="EQ91" s="1" t="n">
        <f aca="false">IF(BA91=1,MAX(0,(Slot4_Cost-EP91*(1+Slot4_Rate)^(Slot4_Age-D91))/EM91),0)</f>
        <v>0</v>
      </c>
      <c r="ER91" s="1" t="n">
        <f aca="false">IF(BA91=1,MAX(0,(Slot4_Cost-BB91*(1+Slot4_Rate)^(Slot4_Age-D91))/EM91),0)</f>
        <v>0</v>
      </c>
      <c r="ES91" s="1" t="n">
        <f aca="false">IF(AND(DD91=1,BA91=1),MIN(EL91,EQ91),0)</f>
        <v>0</v>
      </c>
      <c r="ET91" s="1" t="n">
        <f aca="false">EL91-ES91</f>
        <v>0</v>
      </c>
      <c r="EU91" s="1" t="n">
        <f aca="false">IF(BK91=1,IF(ABS((1+AS_Wage)/(1+Slot5_Rate)-1)&lt;0.000000000001,(Slot5_Age-D91)*(1+Slot5_Rate)^(Slot5_Age-D91),(1+Slot5_Rate)^(Slot5_Age-D91)*(1-((1+AS_Wage)/(1+Slot5_Rate))^(Slot5_Age-D91))/(1-(1+AS_Wage)/(1+Slot5_Rate))),1)</f>
        <v>1</v>
      </c>
      <c r="EV91" s="1" t="n">
        <f aca="false">IF(AND(DD91=1,DN91&gt;0,Slot5_IsWG=1,BK91=1),MAX(0,(Slot5_Cost-BL91*(1+Slot5_Rate)^(Slot5_Age-D91))/EU91),0)</f>
        <v>0</v>
      </c>
      <c r="EW91" s="1" t="n">
        <f aca="false">IF(AND(DD91=1,DN91&gt;0,Slot5_IsWG=1,BK91=1),MIN(DN91,EV91),0)</f>
        <v>0</v>
      </c>
      <c r="EX91" s="1" t="n">
        <f aca="false">BL91+EW91</f>
        <v>0</v>
      </c>
      <c r="EY91" s="1" t="n">
        <f aca="false">IF(BK91=1,MAX(0,(Slot5_Cost-EX91*(1+Slot5_Rate)^(Slot5_Age-D91))/EU91),0)</f>
        <v>0</v>
      </c>
      <c r="EZ91" s="1" t="n">
        <f aca="false">IF(BK91=1,MAX(0,(Slot5_Cost-BL91*(1+Slot5_Rate)^(Slot5_Age-D91))/EU91),0)</f>
        <v>0</v>
      </c>
      <c r="FA91" s="1" t="n">
        <f aca="false">IF(AND(DD91=1,BK91=1),MIN(ET91,EY91),0)</f>
        <v>0</v>
      </c>
      <c r="FB91" s="1" t="n">
        <f aca="false">ET91-FA91</f>
        <v>0</v>
      </c>
      <c r="FC91" s="1" t="n">
        <f aca="false">IF(BU91=1,IF(ABS((1+AS_Wage)/(1+Slot6_Rate)-1)&lt;0.000000000001,(Slot6_Age-D91)*(1+Slot6_Rate)^(Slot6_Age-D91),(1+Slot6_Rate)^(Slot6_Age-D91)*(1-((1+AS_Wage)/(1+Slot6_Rate))^(Slot6_Age-D91))/(1-(1+AS_Wage)/(1+Slot6_Rate))),1)</f>
        <v>1</v>
      </c>
      <c r="FD91" s="1" t="n">
        <f aca="false">IF(AND(DD91=1,DN91&gt;0,Slot6_IsWG=1,BU91=1),MAX(0,(Slot6_Cost-BV91*(1+Slot6_Rate)^(Slot6_Age-D91))/FC91),0)</f>
        <v>0</v>
      </c>
      <c r="FE91" s="1" t="n">
        <f aca="false">IF(AND(DD91=1,DN91&gt;0,Slot6_IsWG=1,BU91=1),MIN(DN91,FD91),0)</f>
        <v>0</v>
      </c>
      <c r="FF91" s="1" t="n">
        <f aca="false">BV91+FE91</f>
        <v>0</v>
      </c>
      <c r="FG91" s="1" t="n">
        <f aca="false">IF(BU91=1,MAX(0,(Slot6_Cost-FF91*(1+Slot6_Rate)^(Slot6_Age-D91))/FC91),0)</f>
        <v>0</v>
      </c>
      <c r="FH91" s="1" t="n">
        <f aca="false">IF(BU91=1,MAX(0,(Slot6_Cost-BV91*(1+Slot6_Rate)^(Slot6_Age-D91))/FC91),0)</f>
        <v>0</v>
      </c>
      <c r="FI91" s="1" t="n">
        <f aca="false">IF(AND(DD91=1,BU91=1),MIN(FB91,FG91),0)</f>
        <v>0</v>
      </c>
      <c r="FJ91" s="1" t="n">
        <f aca="false">FB91-FI91</f>
        <v>0</v>
      </c>
      <c r="FK91" s="1" t="n">
        <f aca="false">IF(CE91=1,IF(ABS((1+AS_Wage)/(1+Slot7_Rate)-1)&lt;0.000000000001,(Slot7_Age-D91)*(1+Slot7_Rate)^(Slot7_Age-D91),(1+Slot7_Rate)^(Slot7_Age-D91)*(1-((1+AS_Wage)/(1+Slot7_Rate))^(Slot7_Age-D91))/(1-(1+AS_Wage)/(1+Slot7_Rate))),1)</f>
        <v>1</v>
      </c>
      <c r="FL91" s="1" t="n">
        <f aca="false">IF(AND(DD91=1,DN91&gt;0,Slot7_IsWG=1,CE91=1),MAX(0,(Slot7_Cost-CF91*(1+Slot7_Rate)^(Slot7_Age-D91))/FK91),0)</f>
        <v>0</v>
      </c>
      <c r="FM91" s="1" t="n">
        <f aca="false">IF(AND(DD91=1,DN91&gt;0,Slot7_IsWG=1,CE91=1),MIN(DN91,FL91),0)</f>
        <v>0</v>
      </c>
      <c r="FN91" s="1" t="n">
        <f aca="false">CF91+FM91</f>
        <v>0</v>
      </c>
      <c r="FO91" s="1" t="n">
        <f aca="false">IF(CE91=1,MAX(0,(Slot7_Cost-FN91*(1+Slot7_Rate)^(Slot7_Age-D91))/FK91),0)</f>
        <v>0</v>
      </c>
      <c r="FP91" s="1" t="n">
        <f aca="false">IF(CE91=1,MAX(0,(Slot7_Cost-CF91*(1+Slot7_Rate)^(Slot7_Age-D91))/FK91),0)</f>
        <v>0</v>
      </c>
      <c r="FQ91" s="1" t="n">
        <f aca="false">IF(AND(DD91=1,CE91=1),MIN(FJ91,FO91),0)</f>
        <v>0</v>
      </c>
      <c r="FR91" s="1" t="n">
        <f aca="false">FJ91-FQ91</f>
        <v>0</v>
      </c>
      <c r="FS91" s="1" t="n">
        <f aca="false">IF(CO91=1,IF(ABS((1+AS_Wage)/(1+Slot8_Rate)-1)&lt;0.000000000001,(Slot8_Age-D91)*(1+Slot8_Rate)^(Slot8_Age-D91),(1+Slot8_Rate)^(Slot8_Age-D91)*(1-((1+AS_Wage)/(1+Slot8_Rate))^(Slot8_Age-D91))/(1-(1+AS_Wage)/(1+Slot8_Rate))),1)</f>
        <v>1</v>
      </c>
      <c r="FT91" s="1" t="n">
        <f aca="false">IF(AND(DD91=1,DN91&gt;0,Slot8_IsWG=1,CO91=1),MAX(0,(Slot8_Cost-CP91*(1+Slot8_Rate)^(Slot8_Age-D91))/FS91),0)</f>
        <v>0</v>
      </c>
      <c r="FU91" s="1" t="n">
        <f aca="false">IF(AND(DD91=1,DN91&gt;0,Slot8_IsWG=1,CO91=1),MIN(DN91,FT91),0)</f>
        <v>0</v>
      </c>
      <c r="FV91" s="1" t="n">
        <f aca="false">CP91+FU91</f>
        <v>0</v>
      </c>
      <c r="FW91" s="1" t="n">
        <f aca="false">IF(CO91=1,MAX(0,(Slot8_Cost-FV91*(1+Slot8_Rate)^(Slot8_Age-D91))/FS91),0)</f>
        <v>0</v>
      </c>
      <c r="FX91" s="1" t="n">
        <f aca="false">IF(CO91=1,MAX(0,(Slot8_Cost-CP91*(1+Slot8_Rate)^(Slot8_Age-D91))/FS91),0)</f>
        <v>0</v>
      </c>
      <c r="FY91" s="1" t="n">
        <f aca="false">IF(AND(DD91=1,CO91=1),MIN(FR91,FW91),0)</f>
        <v>0</v>
      </c>
      <c r="FZ91" s="1" t="n">
        <f aca="false">FR91-FY91</f>
        <v>0</v>
      </c>
      <c r="GA91" s="1" t="n">
        <f aca="false">DN91-(DQ91+DY91+EG91+EO91+EW91+FE91+FM91+FU91)</f>
        <v>0</v>
      </c>
      <c r="GB91" s="1" t="n">
        <f aca="false">IF(DD91=1,DB91-DM91-DN91,0)</f>
        <v>67109.4528088685</v>
      </c>
      <c r="GC91" s="1" t="n">
        <f aca="false">IF(DD91=0,-DB91,0)</f>
        <v>0</v>
      </c>
      <c r="GD91" s="1" t="n">
        <f aca="false">MIN(GC91,CT91)</f>
        <v>0</v>
      </c>
      <c r="GE91" s="1" t="n">
        <f aca="false">GC91-GD91</f>
        <v>0</v>
      </c>
      <c r="GF91" s="1" t="n">
        <f aca="false">MIN(GE91,CU91)</f>
        <v>0</v>
      </c>
      <c r="GG91" s="1" t="n">
        <f aca="false">GE91-GF91</f>
        <v>0</v>
      </c>
      <c r="GH91" s="1" t="n">
        <f aca="false">IF(AND(DD91=0,CO91=1,GG91&gt;0),MIN(GG91,CP91),0)</f>
        <v>0</v>
      </c>
      <c r="GI91" s="1" t="n">
        <f aca="false">GG91-GH91</f>
        <v>0</v>
      </c>
      <c r="GJ91" s="1" t="n">
        <f aca="false">IF(AND(DD91=0,CE91=1,GI91&gt;0),MIN(GI91,CF91),0)</f>
        <v>0</v>
      </c>
      <c r="GK91" s="1" t="n">
        <f aca="false">GI91-GJ91</f>
        <v>0</v>
      </c>
      <c r="GL91" s="1" t="n">
        <f aca="false">IF(AND(DD91=0,BU91=1,GK91&gt;0),MIN(GK91,BV91),0)</f>
        <v>0</v>
      </c>
      <c r="GM91" s="1" t="n">
        <f aca="false">GK91-GL91</f>
        <v>0</v>
      </c>
      <c r="GN91" s="1" t="n">
        <f aca="false">IF(AND(DD91=0,BK91=1,GM91&gt;0),MIN(GM91,BL91),0)</f>
        <v>0</v>
      </c>
      <c r="GO91" s="1" t="n">
        <f aca="false">GM91-GN91</f>
        <v>0</v>
      </c>
      <c r="GP91" s="1" t="n">
        <f aca="false">IF(AND(DD91=0,BA91=1,GO91&gt;0),MIN(GO91,BB91),0)</f>
        <v>0</v>
      </c>
      <c r="GQ91" s="1" t="n">
        <f aca="false">GO91-GP91</f>
        <v>0</v>
      </c>
      <c r="GR91" s="1" t="n">
        <f aca="false">IF(AND(DD91=0,AQ91=1,GQ91&gt;0),MIN(GQ91,AR91),0)</f>
        <v>0</v>
      </c>
      <c r="GS91" s="1" t="n">
        <f aca="false">GQ91-GR91</f>
        <v>0</v>
      </c>
      <c r="GT91" s="1" t="n">
        <f aca="false">IF(AND(DD91=0,AG91=1,GS91&gt;0),MIN(GS91,AH91),0)</f>
        <v>0</v>
      </c>
      <c r="GU91" s="1" t="n">
        <f aca="false">GS91-GT91</f>
        <v>0</v>
      </c>
      <c r="GV91" s="1" t="n">
        <f aca="false">IF(AND(DD91=0,V91=1,GU91&gt;0),MIN(GU91,W91),0)</f>
        <v>0</v>
      </c>
      <c r="GW91" s="1" t="n">
        <f aca="false">GU91-GV91</f>
        <v>0</v>
      </c>
      <c r="GX91" s="1" t="n">
        <f aca="false">IF(DD91=0,GW91,0)</f>
        <v>0</v>
      </c>
      <c r="GY91" s="1" t="n">
        <f aca="false">GD91+GF91+GV91+GT91+GR91+GP91+GN91+GL91+GJ91+GH91</f>
        <v>0</v>
      </c>
      <c r="GZ91" s="1" t="n">
        <f aca="false">IF(DD91=1,CT91+GA91+FZ91+IF(F91=1,0,GB91),CT91-GD91)</f>
        <v>1136107.57973006</v>
      </c>
      <c r="HA91" s="1" t="n">
        <f aca="false">CU91-GF91</f>
        <v>0</v>
      </c>
      <c r="HB91" s="1" t="n">
        <f aca="false">IF(DD91=1,IF(F91=1,DM91+DN91,DB91),0)</f>
        <v>67109.4528088685</v>
      </c>
      <c r="HC91" s="1" t="n">
        <f aca="false">IF(DD91=1,IF(F91=1,DB91-DM91-DN91,0),0)</f>
        <v>0</v>
      </c>
      <c r="HD91" s="1" t="n">
        <f aca="false">GZ91*(1+GR)</f>
        <v>1154739.74403764</v>
      </c>
      <c r="HE91" s="1" t="n">
        <f aca="false">HA91*(1+AS_Cash)</f>
        <v>0</v>
      </c>
      <c r="HF91" s="1" t="n">
        <f aca="false">IF(V91=1,IF(DD91=1,DR91+DU91,W91-GV91)*(1+Slot1_Rate),0)</f>
        <v>0</v>
      </c>
      <c r="HG91" s="1" t="n">
        <f aca="false">IF(AND(DD91=1,V91=1),(DQ91+DU91)/E91,0)</f>
        <v>0</v>
      </c>
      <c r="HH91" s="1" t="n">
        <f aca="false">IF(B91=0,DQ91+DU91,0)</f>
        <v>0</v>
      </c>
      <c r="HI91" s="1" t="n">
        <f aca="false">IF(B91=0,IF(DD91=1,DS91,DT91),0)</f>
        <v>0</v>
      </c>
      <c r="HJ91" s="1" t="n">
        <f aca="false">IF(AG91=1,IF(DD91=1,DZ91+EC91,AH91-GT91)*(1+Slot2_Rate),0)</f>
        <v>0</v>
      </c>
      <c r="HK91" s="1" t="n">
        <f aca="false">IF(AND(DD91=1,AG91=1),(DY91+EC91)/E91,0)</f>
        <v>0</v>
      </c>
      <c r="HL91" s="1" t="n">
        <f aca="false">IF(B91=0,DY91+EC91,0)</f>
        <v>0</v>
      </c>
      <c r="HM91" s="1" t="n">
        <f aca="false">IF(B91=0,IF(DD91=1,EA91,EB91),0)</f>
        <v>0</v>
      </c>
      <c r="HN91" s="1" t="n">
        <f aca="false">IF(AQ91=1,IF(DD91=1,EH91+EK91,AR91-GR91)*(1+Slot3_Rate),0)</f>
        <v>0</v>
      </c>
      <c r="HO91" s="1" t="n">
        <f aca="false">IF(AND(DD91=1,AQ91=1),(EG91+EK91)/E91,0)</f>
        <v>0</v>
      </c>
      <c r="HP91" s="1" t="n">
        <f aca="false">IF(B91=0,EG91+EK91,0)</f>
        <v>0</v>
      </c>
      <c r="HQ91" s="1" t="n">
        <f aca="false">IF(B91=0,IF(DD91=1,EI91,EJ91),0)</f>
        <v>0</v>
      </c>
      <c r="HR91" s="1" t="n">
        <f aca="false">IF(BA91=1,IF(DD91=1,EP91+ES91,BB91-GP91)*(1+Slot4_Rate),0)</f>
        <v>0</v>
      </c>
      <c r="HS91" s="1" t="n">
        <f aca="false">IF(AND(DD91=1,BA91=1),(EO91+ES91)/E91,0)</f>
        <v>0</v>
      </c>
      <c r="HT91" s="1" t="n">
        <f aca="false">IF(B91=0,EO91+ES91,0)</f>
        <v>0</v>
      </c>
      <c r="HU91" s="1" t="n">
        <f aca="false">IF(B91=0,IF(DD91=1,EQ91,ER91),0)</f>
        <v>0</v>
      </c>
      <c r="HV91" s="1" t="n">
        <f aca="false">IF(BK91=1,IF(DD91=1,EX91+FA91,BL91-GN91)*(1+Slot5_Rate),0)</f>
        <v>0</v>
      </c>
      <c r="HW91" s="1" t="n">
        <f aca="false">IF(AND(DD91=1,BK91=1),(EW91+FA91)/E91,0)</f>
        <v>0</v>
      </c>
      <c r="HX91" s="1" t="n">
        <f aca="false">IF(B91=0,EW91+FA91,0)</f>
        <v>0</v>
      </c>
      <c r="HY91" s="1" t="n">
        <f aca="false">IF(B91=0,IF(DD91=1,EY91,EZ91),0)</f>
        <v>0</v>
      </c>
      <c r="HZ91" s="1" t="n">
        <f aca="false">IF(BU91=1,IF(DD91=1,FF91+FI91,BV91-GL91)*(1+Slot6_Rate),0)</f>
        <v>0</v>
      </c>
      <c r="IA91" s="1" t="n">
        <f aca="false">IF(AND(DD91=1,BU91=1),(FE91+FI91)/E91,0)</f>
        <v>0</v>
      </c>
      <c r="IB91" s="1" t="n">
        <f aca="false">IF(B91=0,FE91+FI91,0)</f>
        <v>0</v>
      </c>
      <c r="IC91" s="1" t="n">
        <f aca="false">IF(B91=0,IF(DD91=1,FG91,FH91),0)</f>
        <v>0</v>
      </c>
      <c r="ID91" s="1" t="n">
        <f aca="false">IF(CE91=1,IF(DD91=1,FN91+FQ91,CF91-GJ91)*(1+Slot7_Rate),0)</f>
        <v>0</v>
      </c>
      <c r="IE91" s="1" t="n">
        <f aca="false">IF(AND(DD91=1,CE91=1),(FM91+FQ91)/E91,0)</f>
        <v>0</v>
      </c>
      <c r="IF91" s="1" t="n">
        <f aca="false">IF(B91=0,FM91+FQ91,0)</f>
        <v>0</v>
      </c>
      <c r="IG91" s="1" t="n">
        <f aca="false">IF(B91=0,IF(DD91=1,FO91,FP91),0)</f>
        <v>0</v>
      </c>
      <c r="IH91" s="1" t="n">
        <f aca="false">IF(CO91=1,IF(DD91=1,FV91+FY91,CP91-GH91)*(1+Slot8_Rate),0)</f>
        <v>0</v>
      </c>
      <c r="II91" s="1" t="n">
        <f aca="false">IF(AND(DD91=1,CO91=1),(FU91+FY91)/E91,0)</f>
        <v>0</v>
      </c>
      <c r="IJ91" s="1" t="n">
        <f aca="false">IF(B91=0,FU91+FY91,0)</f>
        <v>0</v>
      </c>
      <c r="IK91" s="1" t="n">
        <f aca="false">IF(B91=0,IF(DD91=1,FW91,FX91),0)</f>
        <v>0</v>
      </c>
      <c r="IL91" s="1" t="n">
        <f aca="false">HD91+HE91+HF91+HJ91+HN91+HR91+HV91+HZ91+ID91+IH91</f>
        <v>1154739.74403764</v>
      </c>
      <c r="IM91" s="1" t="n">
        <f aca="false">GX91+CY91</f>
        <v>0</v>
      </c>
      <c r="IN91" s="1" t="n">
        <f aca="false">H91+R91</f>
        <v>0</v>
      </c>
      <c r="IO91" s="1" t="n">
        <f aca="false">1-F91</f>
        <v>1</v>
      </c>
      <c r="IP91" s="1" t="n">
        <f aca="false">IF(AND(RG_Exists=1,F91=0,C91=1),H91,0)</f>
        <v>0</v>
      </c>
      <c r="IQ91" s="1" t="n">
        <f aca="false">IF(AND(RG_Exists=1,F91=0,C91=1),H91-MIN(GX91,H91),0)</f>
        <v>0</v>
      </c>
      <c r="IR91" s="1" t="n">
        <f aca="false">'Plan pay &amp; tax'!AD293</f>
        <v>0</v>
      </c>
      <c r="IS91" s="1" t="n">
        <f aca="false">IF(AND(C91=1,GX91&gt;MAX(PR_Short1,IN91*PR_Short2)),1,0)</f>
        <v>0</v>
      </c>
      <c r="IT91" s="1" t="n">
        <f aca="false">MIN(G91,H91+R91)</f>
        <v>0</v>
      </c>
      <c r="IU91" s="1" t="n">
        <f aca="false">GY91+MAX(0,CZ91-CY91)</f>
        <v>0</v>
      </c>
      <c r="IV91" s="1" t="n">
        <f aca="false">GX91+CY91</f>
        <v>0</v>
      </c>
      <c r="IW91" s="1" t="n">
        <f aca="false">IF(AND(C91=1,IV91&gt;0.5),1,0)</f>
        <v>0</v>
      </c>
      <c r="IX91" s="1" t="n">
        <f aca="false">IF(AND(C91=1,IW91=0,IU91&gt;0.5),1,0)</f>
        <v>0</v>
      </c>
      <c r="IY91" s="1" t="n">
        <f aca="false">IF(AND(C91=1,GX91&gt;0.5),1,0)</f>
        <v>0</v>
      </c>
      <c r="IZ91" s="1" t="n">
        <f aca="false">IF(AND(C91=1,GY91&gt;1,JF91=0),1,0)</f>
        <v>0</v>
      </c>
      <c r="JA91" s="1" t="n">
        <f aca="false">IF(AND(INT(D91/10)*10=90,B91&gt;0),80,INT(D91/10)*10)</f>
        <v>80</v>
      </c>
      <c r="JB91" s="1" t="n">
        <f aca="false">IF(B91=0,1,IF(JA91&lt;&gt;JA90,JB90+1,JB90))</f>
        <v>9</v>
      </c>
      <c r="JC91" s="1" t="n">
        <f aca="false">IF(AND(C91=1,F91=1,GX91&gt;MAX(PR_Short1,IN91*PR_Short2)),1,0)</f>
        <v>0</v>
      </c>
      <c r="JD91" s="1" t="n">
        <f aca="false">IO91*IS91</f>
        <v>0</v>
      </c>
      <c r="JE91" s="1" t="n">
        <f aca="false">IF(AND(U91=1,Slot1_PctLow=1),1,0)+IF(AND(AF91=1,Slot2_PctLow=1),1,0)+IF(AND(AP91=1,Slot3_PctLow=1),1,0)+IF(AND(AZ91=1,Slot4_PctLow=1),1,0)+IF(AND(BJ91=1,Slot5_PctLow=1),1,0)+IF(AND(BT91=1,Slot6_PctLow=1),1,0)+IF(AND(CD91=1,Slot7_PctLow=1),1,0)+IF(AND(CN91=1,Slot8_PctLow=1),1,0)</f>
        <v>0</v>
      </c>
      <c r="JF91" s="1" t="n">
        <f aca="false">IF(C91=1,IF(OR(IS91=1,JE91&gt;0),1,0),0)</f>
        <v>0</v>
      </c>
    </row>
    <row r="92" customFormat="false" ht="15" hidden="false" customHeight="false" outlineLevel="0" collapsed="false">
      <c r="B92" s="1" t="n">
        <v>84</v>
      </c>
      <c r="C92" s="1" t="n">
        <f aca="false">IF(B92&lt;=F_N,1,0)</f>
        <v>1</v>
      </c>
      <c r="D92" s="1" t="n">
        <f aca="false">'Plan pay &amp; tax'!C294</f>
        <v>84</v>
      </c>
      <c r="E92" s="106" t="n">
        <f aca="false">'Plan pay &amp; tax'!E294</f>
        <v>5.277332136682</v>
      </c>
      <c r="F92" s="1" t="n">
        <f aca="false">'Plan pay &amp; tax'!G294</f>
        <v>0</v>
      </c>
      <c r="G92" s="1" t="n">
        <f aca="false">'Plan pay &amp; tax'!BT294-'Plan pay &amp; tax'!BS294-'Plan pay &amp; tax'!R294</f>
        <v>68451.6418650458</v>
      </c>
      <c r="H92" s="1" t="n">
        <f aca="false">IF(F92=1,F_CostsM*12,IF(RG_Exists=1,RG_Amount,F_CostsM*12*AS_RetireSpend))*E92+F_OneOffY*E92</f>
        <v>0</v>
      </c>
      <c r="I92" s="1" t="n">
        <f aca="false">DA91</f>
        <v>0</v>
      </c>
      <c r="J92" s="1" t="n">
        <f aca="false">IF(I92&gt;1,'Plan debt months'!AC92,0)</f>
        <v>0</v>
      </c>
      <c r="K92" s="1" t="n">
        <f aca="false">IF(I92&gt;1,'Plan debt months'!AB92,I92)</f>
        <v>0</v>
      </c>
      <c r="L92" s="1" t="n">
        <f aca="false">N91</f>
        <v>0</v>
      </c>
      <c r="M92" s="1" t="n">
        <f aca="false">IF(L92&gt;1,'Plan debt months'!BD92,0)</f>
        <v>0</v>
      </c>
      <c r="N92" s="1" t="n">
        <f aca="false">IF(L92&gt;1,'Plan debt months'!BC92,L92)</f>
        <v>0</v>
      </c>
      <c r="O92" s="1" t="n">
        <f aca="false">Q91</f>
        <v>0</v>
      </c>
      <c r="P92" s="1" t="n">
        <f aca="false">IF(O92&gt;1,'Plan debt months'!CE92,0)</f>
        <v>0</v>
      </c>
      <c r="Q92" s="1" t="n">
        <f aca="false">IF(O92&gt;1,'Plan debt months'!CD92,O92)</f>
        <v>0</v>
      </c>
      <c r="R92" s="1" t="n">
        <f aca="false">J92+M92+P92</f>
        <v>0</v>
      </c>
      <c r="S92" s="1" t="n">
        <f aca="false">HD91+'Plan pay &amp; tax'!Y294</f>
        <v>1154739.74403764</v>
      </c>
      <c r="T92" s="1" t="n">
        <f aca="false">HD91</f>
        <v>1154739.74403764</v>
      </c>
      <c r="U92" s="1" t="n">
        <f aca="false">IF(AND(Slot1_On=1,D92=Slot1_Age),1,0)</f>
        <v>0</v>
      </c>
      <c r="V92" s="1" t="n">
        <f aca="false">IF(AND(Slot1_On=1,Slot1_Age&gt;D92),1,0)</f>
        <v>0</v>
      </c>
      <c r="W92" s="1" t="n">
        <f aca="false">HF91</f>
        <v>0</v>
      </c>
      <c r="X92" s="1" t="n">
        <f aca="false">U92*MIN(Slot1_Cost,W92)</f>
        <v>0</v>
      </c>
      <c r="Y92" s="1" t="n">
        <f aca="false">U92*Slot1_SpendLike*MIN(Slot1_Cost-X92,S92)</f>
        <v>0</v>
      </c>
      <c r="Z92" s="1" t="n">
        <f aca="false">X92+Y92</f>
        <v>0</v>
      </c>
      <c r="AA92" s="1" t="n">
        <f aca="false">S92-Y92+U92*IF(Slot1_SpendLike=1,W92-X92,IF(Slot1_PotFree=1,W92,0))</f>
        <v>1154739.74403764</v>
      </c>
      <c r="AB92" s="1" t="n">
        <f aca="false">AE92+U92*Slot1_BufPot*W92</f>
        <v>0</v>
      </c>
      <c r="AC92" s="1" t="n">
        <f aca="false">IF(AND(U92=1,Slot1_IsMfree=1),IF(Z92&gt;=Slot1_Cost-1,0,MAX(0,K92-Z92)),K92)</f>
        <v>0</v>
      </c>
      <c r="AD92" s="1" t="n">
        <f aca="false">U92*(Slot1_Cost-Z92)</f>
        <v>0</v>
      </c>
      <c r="AE92" s="1" t="n">
        <f aca="false">HE91</f>
        <v>0</v>
      </c>
      <c r="AF92" s="1" t="n">
        <f aca="false">IF(AND(Slot2_On=1,D92=Slot2_Age),1,0)</f>
        <v>0</v>
      </c>
      <c r="AG92" s="1" t="n">
        <f aca="false">IF(AND(Slot2_On=1,Slot2_Age&gt;D92),1,0)</f>
        <v>0</v>
      </c>
      <c r="AH92" s="1" t="n">
        <f aca="false">HJ91</f>
        <v>0</v>
      </c>
      <c r="AI92" s="1" t="n">
        <f aca="false">AF92*MIN(Slot2_Cost,AH92)</f>
        <v>0</v>
      </c>
      <c r="AJ92" s="1" t="n">
        <f aca="false">AF92*Slot2_SpendLike*MIN(Slot2_Cost-AI92,AA92)</f>
        <v>0</v>
      </c>
      <c r="AK92" s="1" t="n">
        <f aca="false">AI92+AJ92</f>
        <v>0</v>
      </c>
      <c r="AL92" s="1" t="n">
        <f aca="false">AA92-AJ92+AF92*IF(Slot2_SpendLike=1,AH92-AI92,IF(Slot2_PotFree=1,AH92,0))</f>
        <v>1154739.74403764</v>
      </c>
      <c r="AM92" s="1" t="n">
        <f aca="false">AB92+AF92*Slot2_BufPot*AH92</f>
        <v>0</v>
      </c>
      <c r="AN92" s="1" t="n">
        <f aca="false">IF(AND(AF92=1,Slot2_IsMfree=1),IF(AK92&gt;=Slot2_Cost-1,0,MAX(0,AC92-AK92)),AC92)</f>
        <v>0</v>
      </c>
      <c r="AO92" s="1" t="n">
        <f aca="false">AF92*(Slot2_Cost-AK92)</f>
        <v>0</v>
      </c>
      <c r="AP92" s="1" t="n">
        <f aca="false">IF(AND(Slot3_On=1,D92=Slot3_Age),1,0)</f>
        <v>0</v>
      </c>
      <c r="AQ92" s="1" t="n">
        <f aca="false">IF(AND(Slot3_On=1,Slot3_Age&gt;D92),1,0)</f>
        <v>0</v>
      </c>
      <c r="AR92" s="1" t="n">
        <f aca="false">HN91</f>
        <v>0</v>
      </c>
      <c r="AS92" s="1" t="n">
        <f aca="false">AP92*MIN(Slot3_Cost,AR92)</f>
        <v>0</v>
      </c>
      <c r="AT92" s="1" t="n">
        <f aca="false">AP92*Slot3_SpendLike*MIN(Slot3_Cost-AS92,AL92)</f>
        <v>0</v>
      </c>
      <c r="AU92" s="1" t="n">
        <f aca="false">AS92+AT92</f>
        <v>0</v>
      </c>
      <c r="AV92" s="1" t="n">
        <f aca="false">AL92-AT92+AP92*IF(Slot3_SpendLike=1,AR92-AS92,IF(Slot3_PotFree=1,AR92,0))</f>
        <v>1154739.74403764</v>
      </c>
      <c r="AW92" s="1" t="n">
        <f aca="false">AM92+AP92*Slot3_BufPot*AR92</f>
        <v>0</v>
      </c>
      <c r="AX92" s="1" t="n">
        <f aca="false">IF(AND(AP92=1,Slot3_IsMfree=1),IF(AU92&gt;=Slot3_Cost-1,0,MAX(0,AN92-AU92)),AN92)</f>
        <v>0</v>
      </c>
      <c r="AY92" s="1" t="n">
        <f aca="false">AP92*(Slot3_Cost-AU92)</f>
        <v>0</v>
      </c>
      <c r="AZ92" s="1" t="n">
        <f aca="false">IF(AND(Slot4_On=1,D92=Slot4_Age),1,0)</f>
        <v>0</v>
      </c>
      <c r="BA92" s="1" t="n">
        <f aca="false">IF(AND(Slot4_On=1,Slot4_Age&gt;D92),1,0)</f>
        <v>0</v>
      </c>
      <c r="BB92" s="1" t="n">
        <f aca="false">HR91</f>
        <v>0</v>
      </c>
      <c r="BC92" s="1" t="n">
        <f aca="false">AZ92*MIN(Slot4_Cost,BB92)</f>
        <v>0</v>
      </c>
      <c r="BD92" s="1" t="n">
        <f aca="false">AZ92*Slot4_SpendLike*MIN(Slot4_Cost-BC92,AV92)</f>
        <v>0</v>
      </c>
      <c r="BE92" s="1" t="n">
        <f aca="false">BC92+BD92</f>
        <v>0</v>
      </c>
      <c r="BF92" s="1" t="n">
        <f aca="false">AV92-BD92+AZ92*IF(Slot4_SpendLike=1,BB92-BC92,IF(Slot4_PotFree=1,BB92,0))</f>
        <v>1154739.74403764</v>
      </c>
      <c r="BG92" s="1" t="n">
        <f aca="false">AW92+AZ92*Slot4_BufPot*BB92</f>
        <v>0</v>
      </c>
      <c r="BH92" s="1" t="n">
        <f aca="false">IF(AND(AZ92=1,Slot4_IsMfree=1),IF(BE92&gt;=Slot4_Cost-1,0,MAX(0,AX92-BE92)),AX92)</f>
        <v>0</v>
      </c>
      <c r="BI92" s="1" t="n">
        <f aca="false">AZ92*(Slot4_Cost-BE92)</f>
        <v>0</v>
      </c>
      <c r="BJ92" s="1" t="n">
        <f aca="false">IF(AND(Slot5_On=1,D92=Slot5_Age),1,0)</f>
        <v>0</v>
      </c>
      <c r="BK92" s="1" t="n">
        <f aca="false">IF(AND(Slot5_On=1,Slot5_Age&gt;D92),1,0)</f>
        <v>0</v>
      </c>
      <c r="BL92" s="1" t="n">
        <f aca="false">HV91</f>
        <v>0</v>
      </c>
      <c r="BM92" s="1" t="n">
        <f aca="false">BJ92*MIN(Slot5_Cost,BL92)</f>
        <v>0</v>
      </c>
      <c r="BN92" s="1" t="n">
        <f aca="false">BJ92*Slot5_SpendLike*MIN(Slot5_Cost-BM92,BF92)</f>
        <v>0</v>
      </c>
      <c r="BO92" s="1" t="n">
        <f aca="false">BM92+BN92</f>
        <v>0</v>
      </c>
      <c r="BP92" s="1" t="n">
        <f aca="false">BF92-BN92+BJ92*IF(Slot5_SpendLike=1,BL92-BM92,IF(Slot5_PotFree=1,BL92,0))</f>
        <v>1154739.74403764</v>
      </c>
      <c r="BQ92" s="1" t="n">
        <f aca="false">BG92+BJ92*Slot5_BufPot*BL92</f>
        <v>0</v>
      </c>
      <c r="BR92" s="1" t="n">
        <f aca="false">IF(AND(BJ92=1,Slot5_IsMfree=1),IF(BO92&gt;=Slot5_Cost-1,0,MAX(0,BH92-BO92)),BH92)</f>
        <v>0</v>
      </c>
      <c r="BS92" s="1" t="n">
        <f aca="false">BJ92*(Slot5_Cost-BO92)</f>
        <v>0</v>
      </c>
      <c r="BT92" s="1" t="n">
        <f aca="false">IF(AND(Slot6_On=1,D92=Slot6_Age),1,0)</f>
        <v>0</v>
      </c>
      <c r="BU92" s="1" t="n">
        <f aca="false">IF(AND(Slot6_On=1,Slot6_Age&gt;D92),1,0)</f>
        <v>0</v>
      </c>
      <c r="BV92" s="1" t="n">
        <f aca="false">HZ91</f>
        <v>0</v>
      </c>
      <c r="BW92" s="1" t="n">
        <f aca="false">BT92*MIN(Slot6_Cost,BV92)</f>
        <v>0</v>
      </c>
      <c r="BX92" s="1" t="n">
        <f aca="false">BT92*Slot6_SpendLike*MIN(Slot6_Cost-BW92,BP92)</f>
        <v>0</v>
      </c>
      <c r="BY92" s="1" t="n">
        <f aca="false">BW92+BX92</f>
        <v>0</v>
      </c>
      <c r="BZ92" s="1" t="n">
        <f aca="false">BP92-BX92+BT92*IF(Slot6_SpendLike=1,BV92-BW92,IF(Slot6_PotFree=1,BV92,0))</f>
        <v>1154739.74403764</v>
      </c>
      <c r="CA92" s="1" t="n">
        <f aca="false">BQ92+BT92*Slot6_BufPot*BV92</f>
        <v>0</v>
      </c>
      <c r="CB92" s="1" t="n">
        <f aca="false">IF(AND(BT92=1,Slot6_IsMfree=1),IF(BY92&gt;=Slot6_Cost-1,0,MAX(0,BR92-BY92)),BR92)</f>
        <v>0</v>
      </c>
      <c r="CC92" s="1" t="n">
        <f aca="false">BT92*(Slot6_Cost-BY92)</f>
        <v>0</v>
      </c>
      <c r="CD92" s="1" t="n">
        <f aca="false">IF(AND(Slot7_On=1,D92=Slot7_Age),1,0)</f>
        <v>0</v>
      </c>
      <c r="CE92" s="1" t="n">
        <f aca="false">IF(AND(Slot7_On=1,Slot7_Age&gt;D92),1,0)</f>
        <v>0</v>
      </c>
      <c r="CF92" s="1" t="n">
        <f aca="false">ID91</f>
        <v>0</v>
      </c>
      <c r="CG92" s="1" t="n">
        <f aca="false">CD92*MIN(Slot7_Cost,CF92)</f>
        <v>0</v>
      </c>
      <c r="CH92" s="1" t="n">
        <f aca="false">CD92*Slot7_SpendLike*MIN(Slot7_Cost-CG92,BZ92)</f>
        <v>0</v>
      </c>
      <c r="CI92" s="1" t="n">
        <f aca="false">CG92+CH92</f>
        <v>0</v>
      </c>
      <c r="CJ92" s="1" t="n">
        <f aca="false">BZ92-CH92+CD92*IF(Slot7_SpendLike=1,CF92-CG92,IF(Slot7_PotFree=1,CF92,0))</f>
        <v>1154739.74403764</v>
      </c>
      <c r="CK92" s="1" t="n">
        <f aca="false">CA92+CD92*Slot7_BufPot*CF92</f>
        <v>0</v>
      </c>
      <c r="CL92" s="1" t="n">
        <f aca="false">IF(AND(CD92=1,Slot7_IsMfree=1),IF(CI92&gt;=Slot7_Cost-1,0,MAX(0,CB92-CI92)),CB92)</f>
        <v>0</v>
      </c>
      <c r="CM92" s="1" t="n">
        <f aca="false">CD92*(Slot7_Cost-CI92)</f>
        <v>0</v>
      </c>
      <c r="CN92" s="1" t="n">
        <f aca="false">IF(AND(Slot8_On=1,D92=Slot8_Age),1,0)</f>
        <v>0</v>
      </c>
      <c r="CO92" s="1" t="n">
        <f aca="false">IF(AND(Slot8_On=1,Slot8_Age&gt;D92),1,0)</f>
        <v>0</v>
      </c>
      <c r="CP92" s="1" t="n">
        <f aca="false">IH91</f>
        <v>0</v>
      </c>
      <c r="CQ92" s="1" t="n">
        <f aca="false">CN92*MIN(Slot8_Cost,CP92)</f>
        <v>0</v>
      </c>
      <c r="CR92" s="1" t="n">
        <f aca="false">CN92*Slot8_SpendLike*MIN(Slot8_Cost-CQ92,CJ92)</f>
        <v>0</v>
      </c>
      <c r="CS92" s="1" t="n">
        <f aca="false">CQ92+CR92</f>
        <v>0</v>
      </c>
      <c r="CT92" s="1" t="n">
        <f aca="false">CJ92-CR92+CN92*IF(Slot8_SpendLike=1,CP92-CQ92,IF(Slot8_PotFree=1,CP92,0))</f>
        <v>1154739.74403764</v>
      </c>
      <c r="CU92" s="1" t="n">
        <f aca="false">CK92+CN92*Slot8_BufPot*CP92</f>
        <v>0</v>
      </c>
      <c r="CV92" s="1" t="n">
        <f aca="false">IF(AND(CN92=1,Slot8_IsMfree=1),IF(CS92&gt;=Slot8_Cost-1,0,MAX(0,CL92-CS92)),CL92)</f>
        <v>0</v>
      </c>
      <c r="CW92" s="1" t="n">
        <f aca="false">CN92*(Slot8_Cost-CS92)</f>
        <v>0</v>
      </c>
      <c r="CX92" s="1" t="n">
        <f aca="false">U92*Slot1_SpendLike*Z92+AF92*Slot2_SpendLike*AK92+AP92*Slot3_SpendLike*AU92+AZ92*Slot4_SpendLike*BE92+BJ92*Slot5_SpendLike*BO92+BT92*Slot6_SpendLike*BY92+CD92*Slot7_SpendLike*CI92+CN92*Slot8_SpendLike*CS92</f>
        <v>0</v>
      </c>
      <c r="CY92" s="1" t="n">
        <f aca="false">AD92+AO92+AY92+BI92+BS92+CC92+CM92+CW92</f>
        <v>0</v>
      </c>
      <c r="CZ92" s="1" t="n">
        <f aca="false">U92*Slot1_Cost+AF92*Slot2_Cost+AP92*Slot3_Cost+AZ92*Slot4_Cost+BJ92*Slot5_Cost+BT92*Slot6_Cost+CD92*Slot7_Cost+CN92*Slot8_Cost</f>
        <v>0</v>
      </c>
      <c r="DA92" s="1" t="n">
        <f aca="false">CV92</f>
        <v>0</v>
      </c>
      <c r="DB92" s="1" t="n">
        <f aca="false">G92-H92-R92</f>
        <v>68451.6418650458</v>
      </c>
      <c r="DC92" s="1" t="n">
        <f aca="false">IF(B92=0,IF(AND(Has_q6=1,In_q6=4),PR_ShareVaries*(MAX(0,DB92)/12),MIN(IF(Has_q6=1,CHOOSE(In_q6+1,PR_SaveB1,PR_SaveB2,PR_SaveB3,PR_SaveB4,0),AS_NoAnswer),AS_SaveShare*(MAX(0,DB92)/12))),DC91)</f>
        <v>0</v>
      </c>
      <c r="DD92" s="1" t="n">
        <f aca="false">IF(DB92&gt;=0,1,0)</f>
        <v>1</v>
      </c>
      <c r="DE92" s="1" t="n">
        <f aca="false">MAX(0,DB92/12/E92)</f>
        <v>1080.90666666667</v>
      </c>
      <c r="DF92" s="1" t="n">
        <f aca="false">IF(AND(Has_q6=1,In_q6=4),PR_ShareVaries*(DE92),MIN(IF(Has_q6=1,CHOOSE(In_q6+1,PR_SaveB1,PR_SaveB2,PR_SaveB3,PR_SaveB4,0),AS_NoAnswer),AS_SaveShare*(DE92)))</f>
        <v>300</v>
      </c>
      <c r="DG92" s="1" t="n">
        <f aca="false">IF(Has_saveM=1,IF(In_saveUp="Yes",1,IF(In_saveUp="No",0,IF(In_saveM&gt;=DC92-0.5,1,0))),0)</f>
        <v>0</v>
      </c>
      <c r="DH92" s="1" t="n">
        <f aca="false">IF(Has_saveM=1,MIN(DE92,IF(DG92=1,MAX(In_saveM,DF92),MIN(In_saveM,DF92))),DF92)</f>
        <v>300</v>
      </c>
      <c r="DI92" s="1" t="n">
        <f aca="false">IF(F92=1,DH92*12*E92,0)</f>
        <v>0</v>
      </c>
      <c r="DJ92" s="1" t="n">
        <f aca="false">MAX(0,DI92+IF(AND(WI_Retire=0,WI_M&lt;0,F92=1),WI_M*12*E92,0))</f>
        <v>0</v>
      </c>
      <c r="DK92" s="1" t="n">
        <f aca="false">Slot1_IsWG*V92+Slot2_IsWG*AG92+Slot3_IsWG*AQ92+Slot4_IsWG*BA92+Slot5_IsWG*BK92+Slot6_IsWG*BU92+Slot7_IsWG*CE92+Slot8_IsWG*CO92</f>
        <v>0</v>
      </c>
      <c r="DL92" s="1" t="n">
        <f aca="false">IF(AND(WI_Retire=0,WI_M&gt;0,F92=1,DK92&gt;=1),WI_M*12*E92,0)</f>
        <v>0</v>
      </c>
      <c r="DM92" s="1" t="n">
        <f aca="false">IF(DD92=1,MIN(DJ92,DB92),0)</f>
        <v>0</v>
      </c>
      <c r="DN92" s="1" t="n">
        <f aca="false">IF(DD92=1,MIN(DL92,DB92-DM92),0)</f>
        <v>0</v>
      </c>
      <c r="DO92" s="1" t="n">
        <f aca="false">IF(V92=1,IF(ABS((1+AS_Wage)/(1+Slot1_Rate)-1)&lt;0.000000000001,(Slot1_Age-D92)*(1+Slot1_Rate)^(Slot1_Age-D92),(1+Slot1_Rate)^(Slot1_Age-D92)*(1-((1+AS_Wage)/(1+Slot1_Rate))^(Slot1_Age-D92))/(1-(1+AS_Wage)/(1+Slot1_Rate))),1)</f>
        <v>1</v>
      </c>
      <c r="DP92" s="1" t="n">
        <f aca="false">IF(AND(DD92=1,DN92&gt;0,Slot1_IsWG=1,V92=1),MAX(0,(Slot1_Cost-W92*(1+Slot1_Rate)^(Slot1_Age-D92))/DO92),0)</f>
        <v>0</v>
      </c>
      <c r="DQ92" s="1" t="n">
        <f aca="false">IF(AND(DD92=1,DN92&gt;0,Slot1_IsWG=1,V92=1),MIN(DN92,DP92),0)</f>
        <v>0</v>
      </c>
      <c r="DR92" s="1" t="n">
        <f aca="false">W92+DQ92</f>
        <v>0</v>
      </c>
      <c r="DS92" s="1" t="n">
        <f aca="false">IF(V92=1,MAX(0,(Slot1_Cost-DR92*(1+Slot1_Rate)^(Slot1_Age-D92))/DO92),0)</f>
        <v>0</v>
      </c>
      <c r="DT92" s="1" t="n">
        <f aca="false">IF(V92=1,MAX(0,(Slot1_Cost-W92*(1+Slot1_Rate)^(Slot1_Age-D92))/DO92),0)</f>
        <v>0</v>
      </c>
      <c r="DU92" s="1" t="n">
        <f aca="false">IF(AND(DD92=1,V92=1),MIN(DM92,DS92),0)</f>
        <v>0</v>
      </c>
      <c r="DV92" s="1" t="n">
        <f aca="false">DM92-DU92</f>
        <v>0</v>
      </c>
      <c r="DW92" s="1" t="n">
        <f aca="false">IF(AG92=1,IF(ABS((1+AS_Wage)/(1+Slot2_Rate)-1)&lt;0.000000000001,(Slot2_Age-D92)*(1+Slot2_Rate)^(Slot2_Age-D92),(1+Slot2_Rate)^(Slot2_Age-D92)*(1-((1+AS_Wage)/(1+Slot2_Rate))^(Slot2_Age-D92))/(1-(1+AS_Wage)/(1+Slot2_Rate))),1)</f>
        <v>1</v>
      </c>
      <c r="DX92" s="1" t="n">
        <f aca="false">IF(AND(DD92=1,DN92&gt;0,Slot2_IsWG=1,AG92=1),MAX(0,(Slot2_Cost-AH92*(1+Slot2_Rate)^(Slot2_Age-D92))/DW92),0)</f>
        <v>0</v>
      </c>
      <c r="DY92" s="1" t="n">
        <f aca="false">IF(AND(DD92=1,DN92&gt;0,Slot2_IsWG=1,AG92=1),MIN(DN92,DX92),0)</f>
        <v>0</v>
      </c>
      <c r="DZ92" s="1" t="n">
        <f aca="false">AH92+DY92</f>
        <v>0</v>
      </c>
      <c r="EA92" s="1" t="n">
        <f aca="false">IF(AG92=1,MAX(0,(Slot2_Cost-DZ92*(1+Slot2_Rate)^(Slot2_Age-D92))/DW92),0)</f>
        <v>0</v>
      </c>
      <c r="EB92" s="1" t="n">
        <f aca="false">IF(AG92=1,MAX(0,(Slot2_Cost-AH92*(1+Slot2_Rate)^(Slot2_Age-D92))/DW92),0)</f>
        <v>0</v>
      </c>
      <c r="EC92" s="1" t="n">
        <f aca="false">IF(AND(DD92=1,AG92=1),MIN(DV92,EA92),0)</f>
        <v>0</v>
      </c>
      <c r="ED92" s="1" t="n">
        <f aca="false">DV92-EC92</f>
        <v>0</v>
      </c>
      <c r="EE92" s="1" t="n">
        <f aca="false">IF(AQ92=1,IF(ABS((1+AS_Wage)/(1+Slot3_Rate)-1)&lt;0.000000000001,(Slot3_Age-D92)*(1+Slot3_Rate)^(Slot3_Age-D92),(1+Slot3_Rate)^(Slot3_Age-D92)*(1-((1+AS_Wage)/(1+Slot3_Rate))^(Slot3_Age-D92))/(1-(1+AS_Wage)/(1+Slot3_Rate))),1)</f>
        <v>1</v>
      </c>
      <c r="EF92" s="1" t="n">
        <f aca="false">IF(AND(DD92=1,DN92&gt;0,Slot3_IsWG=1,AQ92=1),MAX(0,(Slot3_Cost-AR92*(1+Slot3_Rate)^(Slot3_Age-D92))/EE92),0)</f>
        <v>0</v>
      </c>
      <c r="EG92" s="1" t="n">
        <f aca="false">IF(AND(DD92=1,DN92&gt;0,Slot3_IsWG=1,AQ92=1),MIN(DN92,EF92),0)</f>
        <v>0</v>
      </c>
      <c r="EH92" s="1" t="n">
        <f aca="false">AR92+EG92</f>
        <v>0</v>
      </c>
      <c r="EI92" s="1" t="n">
        <f aca="false">IF(AQ92=1,MAX(0,(Slot3_Cost-EH92*(1+Slot3_Rate)^(Slot3_Age-D92))/EE92),0)</f>
        <v>0</v>
      </c>
      <c r="EJ92" s="1" t="n">
        <f aca="false">IF(AQ92=1,MAX(0,(Slot3_Cost-AR92*(1+Slot3_Rate)^(Slot3_Age-D92))/EE92),0)</f>
        <v>0</v>
      </c>
      <c r="EK92" s="1" t="n">
        <f aca="false">IF(AND(DD92=1,AQ92=1),MIN(ED92,EI92),0)</f>
        <v>0</v>
      </c>
      <c r="EL92" s="1" t="n">
        <f aca="false">ED92-EK92</f>
        <v>0</v>
      </c>
      <c r="EM92" s="1" t="n">
        <f aca="false">IF(BA92=1,IF(ABS((1+AS_Wage)/(1+Slot4_Rate)-1)&lt;0.000000000001,(Slot4_Age-D92)*(1+Slot4_Rate)^(Slot4_Age-D92),(1+Slot4_Rate)^(Slot4_Age-D92)*(1-((1+AS_Wage)/(1+Slot4_Rate))^(Slot4_Age-D92))/(1-(1+AS_Wage)/(1+Slot4_Rate))),1)</f>
        <v>1</v>
      </c>
      <c r="EN92" s="1" t="n">
        <f aca="false">IF(AND(DD92=1,DN92&gt;0,Slot4_IsWG=1,BA92=1),MAX(0,(Slot4_Cost-BB92*(1+Slot4_Rate)^(Slot4_Age-D92))/EM92),0)</f>
        <v>0</v>
      </c>
      <c r="EO92" s="1" t="n">
        <f aca="false">IF(AND(DD92=1,DN92&gt;0,Slot4_IsWG=1,BA92=1),MIN(DN92,EN92),0)</f>
        <v>0</v>
      </c>
      <c r="EP92" s="1" t="n">
        <f aca="false">BB92+EO92</f>
        <v>0</v>
      </c>
      <c r="EQ92" s="1" t="n">
        <f aca="false">IF(BA92=1,MAX(0,(Slot4_Cost-EP92*(1+Slot4_Rate)^(Slot4_Age-D92))/EM92),0)</f>
        <v>0</v>
      </c>
      <c r="ER92" s="1" t="n">
        <f aca="false">IF(BA92=1,MAX(0,(Slot4_Cost-BB92*(1+Slot4_Rate)^(Slot4_Age-D92))/EM92),0)</f>
        <v>0</v>
      </c>
      <c r="ES92" s="1" t="n">
        <f aca="false">IF(AND(DD92=1,BA92=1),MIN(EL92,EQ92),0)</f>
        <v>0</v>
      </c>
      <c r="ET92" s="1" t="n">
        <f aca="false">EL92-ES92</f>
        <v>0</v>
      </c>
      <c r="EU92" s="1" t="n">
        <f aca="false">IF(BK92=1,IF(ABS((1+AS_Wage)/(1+Slot5_Rate)-1)&lt;0.000000000001,(Slot5_Age-D92)*(1+Slot5_Rate)^(Slot5_Age-D92),(1+Slot5_Rate)^(Slot5_Age-D92)*(1-((1+AS_Wage)/(1+Slot5_Rate))^(Slot5_Age-D92))/(1-(1+AS_Wage)/(1+Slot5_Rate))),1)</f>
        <v>1</v>
      </c>
      <c r="EV92" s="1" t="n">
        <f aca="false">IF(AND(DD92=1,DN92&gt;0,Slot5_IsWG=1,BK92=1),MAX(0,(Slot5_Cost-BL92*(1+Slot5_Rate)^(Slot5_Age-D92))/EU92),0)</f>
        <v>0</v>
      </c>
      <c r="EW92" s="1" t="n">
        <f aca="false">IF(AND(DD92=1,DN92&gt;0,Slot5_IsWG=1,BK92=1),MIN(DN92,EV92),0)</f>
        <v>0</v>
      </c>
      <c r="EX92" s="1" t="n">
        <f aca="false">BL92+EW92</f>
        <v>0</v>
      </c>
      <c r="EY92" s="1" t="n">
        <f aca="false">IF(BK92=1,MAX(0,(Slot5_Cost-EX92*(1+Slot5_Rate)^(Slot5_Age-D92))/EU92),0)</f>
        <v>0</v>
      </c>
      <c r="EZ92" s="1" t="n">
        <f aca="false">IF(BK92=1,MAX(0,(Slot5_Cost-BL92*(1+Slot5_Rate)^(Slot5_Age-D92))/EU92),0)</f>
        <v>0</v>
      </c>
      <c r="FA92" s="1" t="n">
        <f aca="false">IF(AND(DD92=1,BK92=1),MIN(ET92,EY92),0)</f>
        <v>0</v>
      </c>
      <c r="FB92" s="1" t="n">
        <f aca="false">ET92-FA92</f>
        <v>0</v>
      </c>
      <c r="FC92" s="1" t="n">
        <f aca="false">IF(BU92=1,IF(ABS((1+AS_Wage)/(1+Slot6_Rate)-1)&lt;0.000000000001,(Slot6_Age-D92)*(1+Slot6_Rate)^(Slot6_Age-D92),(1+Slot6_Rate)^(Slot6_Age-D92)*(1-((1+AS_Wage)/(1+Slot6_Rate))^(Slot6_Age-D92))/(1-(1+AS_Wage)/(1+Slot6_Rate))),1)</f>
        <v>1</v>
      </c>
      <c r="FD92" s="1" t="n">
        <f aca="false">IF(AND(DD92=1,DN92&gt;0,Slot6_IsWG=1,BU92=1),MAX(0,(Slot6_Cost-BV92*(1+Slot6_Rate)^(Slot6_Age-D92))/FC92),0)</f>
        <v>0</v>
      </c>
      <c r="FE92" s="1" t="n">
        <f aca="false">IF(AND(DD92=1,DN92&gt;0,Slot6_IsWG=1,BU92=1),MIN(DN92,FD92),0)</f>
        <v>0</v>
      </c>
      <c r="FF92" s="1" t="n">
        <f aca="false">BV92+FE92</f>
        <v>0</v>
      </c>
      <c r="FG92" s="1" t="n">
        <f aca="false">IF(BU92=1,MAX(0,(Slot6_Cost-FF92*(1+Slot6_Rate)^(Slot6_Age-D92))/FC92),0)</f>
        <v>0</v>
      </c>
      <c r="FH92" s="1" t="n">
        <f aca="false">IF(BU92=1,MAX(0,(Slot6_Cost-BV92*(1+Slot6_Rate)^(Slot6_Age-D92))/FC92),0)</f>
        <v>0</v>
      </c>
      <c r="FI92" s="1" t="n">
        <f aca="false">IF(AND(DD92=1,BU92=1),MIN(FB92,FG92),0)</f>
        <v>0</v>
      </c>
      <c r="FJ92" s="1" t="n">
        <f aca="false">FB92-FI92</f>
        <v>0</v>
      </c>
      <c r="FK92" s="1" t="n">
        <f aca="false">IF(CE92=1,IF(ABS((1+AS_Wage)/(1+Slot7_Rate)-1)&lt;0.000000000001,(Slot7_Age-D92)*(1+Slot7_Rate)^(Slot7_Age-D92),(1+Slot7_Rate)^(Slot7_Age-D92)*(1-((1+AS_Wage)/(1+Slot7_Rate))^(Slot7_Age-D92))/(1-(1+AS_Wage)/(1+Slot7_Rate))),1)</f>
        <v>1</v>
      </c>
      <c r="FL92" s="1" t="n">
        <f aca="false">IF(AND(DD92=1,DN92&gt;0,Slot7_IsWG=1,CE92=1),MAX(0,(Slot7_Cost-CF92*(1+Slot7_Rate)^(Slot7_Age-D92))/FK92),0)</f>
        <v>0</v>
      </c>
      <c r="FM92" s="1" t="n">
        <f aca="false">IF(AND(DD92=1,DN92&gt;0,Slot7_IsWG=1,CE92=1),MIN(DN92,FL92),0)</f>
        <v>0</v>
      </c>
      <c r="FN92" s="1" t="n">
        <f aca="false">CF92+FM92</f>
        <v>0</v>
      </c>
      <c r="FO92" s="1" t="n">
        <f aca="false">IF(CE92=1,MAX(0,(Slot7_Cost-FN92*(1+Slot7_Rate)^(Slot7_Age-D92))/FK92),0)</f>
        <v>0</v>
      </c>
      <c r="FP92" s="1" t="n">
        <f aca="false">IF(CE92=1,MAX(0,(Slot7_Cost-CF92*(1+Slot7_Rate)^(Slot7_Age-D92))/FK92),0)</f>
        <v>0</v>
      </c>
      <c r="FQ92" s="1" t="n">
        <f aca="false">IF(AND(DD92=1,CE92=1),MIN(FJ92,FO92),0)</f>
        <v>0</v>
      </c>
      <c r="FR92" s="1" t="n">
        <f aca="false">FJ92-FQ92</f>
        <v>0</v>
      </c>
      <c r="FS92" s="1" t="n">
        <f aca="false">IF(CO92=1,IF(ABS((1+AS_Wage)/(1+Slot8_Rate)-1)&lt;0.000000000001,(Slot8_Age-D92)*(1+Slot8_Rate)^(Slot8_Age-D92),(1+Slot8_Rate)^(Slot8_Age-D92)*(1-((1+AS_Wage)/(1+Slot8_Rate))^(Slot8_Age-D92))/(1-(1+AS_Wage)/(1+Slot8_Rate))),1)</f>
        <v>1</v>
      </c>
      <c r="FT92" s="1" t="n">
        <f aca="false">IF(AND(DD92=1,DN92&gt;0,Slot8_IsWG=1,CO92=1),MAX(0,(Slot8_Cost-CP92*(1+Slot8_Rate)^(Slot8_Age-D92))/FS92),0)</f>
        <v>0</v>
      </c>
      <c r="FU92" s="1" t="n">
        <f aca="false">IF(AND(DD92=1,DN92&gt;0,Slot8_IsWG=1,CO92=1),MIN(DN92,FT92),0)</f>
        <v>0</v>
      </c>
      <c r="FV92" s="1" t="n">
        <f aca="false">CP92+FU92</f>
        <v>0</v>
      </c>
      <c r="FW92" s="1" t="n">
        <f aca="false">IF(CO92=1,MAX(0,(Slot8_Cost-FV92*(1+Slot8_Rate)^(Slot8_Age-D92))/FS92),0)</f>
        <v>0</v>
      </c>
      <c r="FX92" s="1" t="n">
        <f aca="false">IF(CO92=1,MAX(0,(Slot8_Cost-CP92*(1+Slot8_Rate)^(Slot8_Age-D92))/FS92),0)</f>
        <v>0</v>
      </c>
      <c r="FY92" s="1" t="n">
        <f aca="false">IF(AND(DD92=1,CO92=1),MIN(FR92,FW92),0)</f>
        <v>0</v>
      </c>
      <c r="FZ92" s="1" t="n">
        <f aca="false">FR92-FY92</f>
        <v>0</v>
      </c>
      <c r="GA92" s="1" t="n">
        <f aca="false">DN92-(DQ92+DY92+EG92+EO92+EW92+FE92+FM92+FU92)</f>
        <v>0</v>
      </c>
      <c r="GB92" s="1" t="n">
        <f aca="false">IF(DD92=1,DB92-DM92-DN92,0)</f>
        <v>68451.6418650458</v>
      </c>
      <c r="GC92" s="1" t="n">
        <f aca="false">IF(DD92=0,-DB92,0)</f>
        <v>0</v>
      </c>
      <c r="GD92" s="1" t="n">
        <f aca="false">MIN(GC92,CT92)</f>
        <v>0</v>
      </c>
      <c r="GE92" s="1" t="n">
        <f aca="false">GC92-GD92</f>
        <v>0</v>
      </c>
      <c r="GF92" s="1" t="n">
        <f aca="false">MIN(GE92,CU92)</f>
        <v>0</v>
      </c>
      <c r="GG92" s="1" t="n">
        <f aca="false">GE92-GF92</f>
        <v>0</v>
      </c>
      <c r="GH92" s="1" t="n">
        <f aca="false">IF(AND(DD92=0,CO92=1,GG92&gt;0),MIN(GG92,CP92),0)</f>
        <v>0</v>
      </c>
      <c r="GI92" s="1" t="n">
        <f aca="false">GG92-GH92</f>
        <v>0</v>
      </c>
      <c r="GJ92" s="1" t="n">
        <f aca="false">IF(AND(DD92=0,CE92=1,GI92&gt;0),MIN(GI92,CF92),0)</f>
        <v>0</v>
      </c>
      <c r="GK92" s="1" t="n">
        <f aca="false">GI92-GJ92</f>
        <v>0</v>
      </c>
      <c r="GL92" s="1" t="n">
        <f aca="false">IF(AND(DD92=0,BU92=1,GK92&gt;0),MIN(GK92,BV92),0)</f>
        <v>0</v>
      </c>
      <c r="GM92" s="1" t="n">
        <f aca="false">GK92-GL92</f>
        <v>0</v>
      </c>
      <c r="GN92" s="1" t="n">
        <f aca="false">IF(AND(DD92=0,BK92=1,GM92&gt;0),MIN(GM92,BL92),0)</f>
        <v>0</v>
      </c>
      <c r="GO92" s="1" t="n">
        <f aca="false">GM92-GN92</f>
        <v>0</v>
      </c>
      <c r="GP92" s="1" t="n">
        <f aca="false">IF(AND(DD92=0,BA92=1,GO92&gt;0),MIN(GO92,BB92),0)</f>
        <v>0</v>
      </c>
      <c r="GQ92" s="1" t="n">
        <f aca="false">GO92-GP92</f>
        <v>0</v>
      </c>
      <c r="GR92" s="1" t="n">
        <f aca="false">IF(AND(DD92=0,AQ92=1,GQ92&gt;0),MIN(GQ92,AR92),0)</f>
        <v>0</v>
      </c>
      <c r="GS92" s="1" t="n">
        <f aca="false">GQ92-GR92</f>
        <v>0</v>
      </c>
      <c r="GT92" s="1" t="n">
        <f aca="false">IF(AND(DD92=0,AG92=1,GS92&gt;0),MIN(GS92,AH92),0)</f>
        <v>0</v>
      </c>
      <c r="GU92" s="1" t="n">
        <f aca="false">GS92-GT92</f>
        <v>0</v>
      </c>
      <c r="GV92" s="1" t="n">
        <f aca="false">IF(AND(DD92=0,V92=1,GU92&gt;0),MIN(GU92,W92),0)</f>
        <v>0</v>
      </c>
      <c r="GW92" s="1" t="n">
        <f aca="false">GU92-GV92</f>
        <v>0</v>
      </c>
      <c r="GX92" s="1" t="n">
        <f aca="false">IF(DD92=0,GW92,0)</f>
        <v>0</v>
      </c>
      <c r="GY92" s="1" t="n">
        <f aca="false">GD92+GF92+GV92+GT92+GR92+GP92+GN92+GL92+GJ92+GH92</f>
        <v>0</v>
      </c>
      <c r="GZ92" s="1" t="n">
        <f aca="false">IF(DD92=1,CT92+GA92+FZ92+IF(F92=1,0,GB92),CT92-GD92)</f>
        <v>1223191.38590268</v>
      </c>
      <c r="HA92" s="1" t="n">
        <f aca="false">CU92-GF92</f>
        <v>0</v>
      </c>
      <c r="HB92" s="1" t="n">
        <f aca="false">IF(DD92=1,IF(F92=1,DM92+DN92,DB92),0)</f>
        <v>68451.6418650458</v>
      </c>
      <c r="HC92" s="1" t="n">
        <f aca="false">IF(DD92=1,IF(F92=1,DB92-DM92-DN92,0),0)</f>
        <v>0</v>
      </c>
      <c r="HD92" s="1" t="n">
        <f aca="false">GZ92*(1+GR)</f>
        <v>1243251.72463149</v>
      </c>
      <c r="HE92" s="1" t="n">
        <f aca="false">HA92*(1+AS_Cash)</f>
        <v>0</v>
      </c>
      <c r="HF92" s="1" t="n">
        <f aca="false">IF(V92=1,IF(DD92=1,DR92+DU92,W92-GV92)*(1+Slot1_Rate),0)</f>
        <v>0</v>
      </c>
      <c r="HG92" s="1" t="n">
        <f aca="false">IF(AND(DD92=1,V92=1),(DQ92+DU92)/E92,0)</f>
        <v>0</v>
      </c>
      <c r="HH92" s="1" t="n">
        <f aca="false">IF(B92=0,DQ92+DU92,0)</f>
        <v>0</v>
      </c>
      <c r="HI92" s="1" t="n">
        <f aca="false">IF(B92=0,IF(DD92=1,DS92,DT92),0)</f>
        <v>0</v>
      </c>
      <c r="HJ92" s="1" t="n">
        <f aca="false">IF(AG92=1,IF(DD92=1,DZ92+EC92,AH92-GT92)*(1+Slot2_Rate),0)</f>
        <v>0</v>
      </c>
      <c r="HK92" s="1" t="n">
        <f aca="false">IF(AND(DD92=1,AG92=1),(DY92+EC92)/E92,0)</f>
        <v>0</v>
      </c>
      <c r="HL92" s="1" t="n">
        <f aca="false">IF(B92=0,DY92+EC92,0)</f>
        <v>0</v>
      </c>
      <c r="HM92" s="1" t="n">
        <f aca="false">IF(B92=0,IF(DD92=1,EA92,EB92),0)</f>
        <v>0</v>
      </c>
      <c r="HN92" s="1" t="n">
        <f aca="false">IF(AQ92=1,IF(DD92=1,EH92+EK92,AR92-GR92)*(1+Slot3_Rate),0)</f>
        <v>0</v>
      </c>
      <c r="HO92" s="1" t="n">
        <f aca="false">IF(AND(DD92=1,AQ92=1),(EG92+EK92)/E92,0)</f>
        <v>0</v>
      </c>
      <c r="HP92" s="1" t="n">
        <f aca="false">IF(B92=0,EG92+EK92,0)</f>
        <v>0</v>
      </c>
      <c r="HQ92" s="1" t="n">
        <f aca="false">IF(B92=0,IF(DD92=1,EI92,EJ92),0)</f>
        <v>0</v>
      </c>
      <c r="HR92" s="1" t="n">
        <f aca="false">IF(BA92=1,IF(DD92=1,EP92+ES92,BB92-GP92)*(1+Slot4_Rate),0)</f>
        <v>0</v>
      </c>
      <c r="HS92" s="1" t="n">
        <f aca="false">IF(AND(DD92=1,BA92=1),(EO92+ES92)/E92,0)</f>
        <v>0</v>
      </c>
      <c r="HT92" s="1" t="n">
        <f aca="false">IF(B92=0,EO92+ES92,0)</f>
        <v>0</v>
      </c>
      <c r="HU92" s="1" t="n">
        <f aca="false">IF(B92=0,IF(DD92=1,EQ92,ER92),0)</f>
        <v>0</v>
      </c>
      <c r="HV92" s="1" t="n">
        <f aca="false">IF(BK92=1,IF(DD92=1,EX92+FA92,BL92-GN92)*(1+Slot5_Rate),0)</f>
        <v>0</v>
      </c>
      <c r="HW92" s="1" t="n">
        <f aca="false">IF(AND(DD92=1,BK92=1),(EW92+FA92)/E92,0)</f>
        <v>0</v>
      </c>
      <c r="HX92" s="1" t="n">
        <f aca="false">IF(B92=0,EW92+FA92,0)</f>
        <v>0</v>
      </c>
      <c r="HY92" s="1" t="n">
        <f aca="false">IF(B92=0,IF(DD92=1,EY92,EZ92),0)</f>
        <v>0</v>
      </c>
      <c r="HZ92" s="1" t="n">
        <f aca="false">IF(BU92=1,IF(DD92=1,FF92+FI92,BV92-GL92)*(1+Slot6_Rate),0)</f>
        <v>0</v>
      </c>
      <c r="IA92" s="1" t="n">
        <f aca="false">IF(AND(DD92=1,BU92=1),(FE92+FI92)/E92,0)</f>
        <v>0</v>
      </c>
      <c r="IB92" s="1" t="n">
        <f aca="false">IF(B92=0,FE92+FI92,0)</f>
        <v>0</v>
      </c>
      <c r="IC92" s="1" t="n">
        <f aca="false">IF(B92=0,IF(DD92=1,FG92,FH92),0)</f>
        <v>0</v>
      </c>
      <c r="ID92" s="1" t="n">
        <f aca="false">IF(CE92=1,IF(DD92=1,FN92+FQ92,CF92-GJ92)*(1+Slot7_Rate),0)</f>
        <v>0</v>
      </c>
      <c r="IE92" s="1" t="n">
        <f aca="false">IF(AND(DD92=1,CE92=1),(FM92+FQ92)/E92,0)</f>
        <v>0</v>
      </c>
      <c r="IF92" s="1" t="n">
        <f aca="false">IF(B92=0,FM92+FQ92,0)</f>
        <v>0</v>
      </c>
      <c r="IG92" s="1" t="n">
        <f aca="false">IF(B92=0,IF(DD92=1,FO92,FP92),0)</f>
        <v>0</v>
      </c>
      <c r="IH92" s="1" t="n">
        <f aca="false">IF(CO92=1,IF(DD92=1,FV92+FY92,CP92-GH92)*(1+Slot8_Rate),0)</f>
        <v>0</v>
      </c>
      <c r="II92" s="1" t="n">
        <f aca="false">IF(AND(DD92=1,CO92=1),(FU92+FY92)/E92,0)</f>
        <v>0</v>
      </c>
      <c r="IJ92" s="1" t="n">
        <f aca="false">IF(B92=0,FU92+FY92,0)</f>
        <v>0</v>
      </c>
      <c r="IK92" s="1" t="n">
        <f aca="false">IF(B92=0,IF(DD92=1,FW92,FX92),0)</f>
        <v>0</v>
      </c>
      <c r="IL92" s="1" t="n">
        <f aca="false">HD92+HE92+HF92+HJ92+HN92+HR92+HV92+HZ92+ID92+IH92</f>
        <v>1243251.72463149</v>
      </c>
      <c r="IM92" s="1" t="n">
        <f aca="false">GX92+CY92</f>
        <v>0</v>
      </c>
      <c r="IN92" s="1" t="n">
        <f aca="false">H92+R92</f>
        <v>0</v>
      </c>
      <c r="IO92" s="1" t="n">
        <f aca="false">1-F92</f>
        <v>1</v>
      </c>
      <c r="IP92" s="1" t="n">
        <f aca="false">IF(AND(RG_Exists=1,F92=0,C92=1),H92,0)</f>
        <v>0</v>
      </c>
      <c r="IQ92" s="1" t="n">
        <f aca="false">IF(AND(RG_Exists=1,F92=0,C92=1),H92-MIN(GX92,H92),0)</f>
        <v>0</v>
      </c>
      <c r="IR92" s="1" t="n">
        <f aca="false">'Plan pay &amp; tax'!AD294</f>
        <v>0</v>
      </c>
      <c r="IS92" s="1" t="n">
        <f aca="false">IF(AND(C92=1,GX92&gt;MAX(PR_Short1,IN92*PR_Short2)),1,0)</f>
        <v>0</v>
      </c>
      <c r="IT92" s="1" t="n">
        <f aca="false">MIN(G92,H92+R92)</f>
        <v>0</v>
      </c>
      <c r="IU92" s="1" t="n">
        <f aca="false">GY92+MAX(0,CZ92-CY92)</f>
        <v>0</v>
      </c>
      <c r="IV92" s="1" t="n">
        <f aca="false">GX92+CY92</f>
        <v>0</v>
      </c>
      <c r="IW92" s="1" t="n">
        <f aca="false">IF(AND(C92=1,IV92&gt;0.5),1,0)</f>
        <v>0</v>
      </c>
      <c r="IX92" s="1" t="n">
        <f aca="false">IF(AND(C92=1,IW92=0,IU92&gt;0.5),1,0)</f>
        <v>0</v>
      </c>
      <c r="IY92" s="1" t="n">
        <f aca="false">IF(AND(C92=1,GX92&gt;0.5),1,0)</f>
        <v>0</v>
      </c>
      <c r="IZ92" s="1" t="n">
        <f aca="false">IF(AND(C92=1,GY92&gt;1,JF92=0),1,0)</f>
        <v>0</v>
      </c>
      <c r="JA92" s="1" t="n">
        <f aca="false">IF(AND(INT(D92/10)*10=90,B92&gt;0),80,INT(D92/10)*10)</f>
        <v>80</v>
      </c>
      <c r="JB92" s="1" t="n">
        <f aca="false">IF(B92=0,1,IF(JA92&lt;&gt;JA91,JB91+1,JB91))</f>
        <v>9</v>
      </c>
      <c r="JC92" s="1" t="n">
        <f aca="false">IF(AND(C92=1,F92=1,GX92&gt;MAX(PR_Short1,IN92*PR_Short2)),1,0)</f>
        <v>0</v>
      </c>
      <c r="JD92" s="1" t="n">
        <f aca="false">IO92*IS92</f>
        <v>0</v>
      </c>
      <c r="JE92" s="1" t="n">
        <f aca="false">IF(AND(U92=1,Slot1_PctLow=1),1,0)+IF(AND(AF92=1,Slot2_PctLow=1),1,0)+IF(AND(AP92=1,Slot3_PctLow=1),1,0)+IF(AND(AZ92=1,Slot4_PctLow=1),1,0)+IF(AND(BJ92=1,Slot5_PctLow=1),1,0)+IF(AND(BT92=1,Slot6_PctLow=1),1,0)+IF(AND(CD92=1,Slot7_PctLow=1),1,0)+IF(AND(CN92=1,Slot8_PctLow=1),1,0)</f>
        <v>0</v>
      </c>
      <c r="JF92" s="1" t="n">
        <f aca="false">IF(C92=1,IF(OR(IS92=1,JE92&gt;0),1,0),0)</f>
        <v>0</v>
      </c>
    </row>
    <row r="93" customFormat="false" ht="15" hidden="false" customHeight="false" outlineLevel="0" collapsed="false">
      <c r="B93" s="1" t="n">
        <v>85</v>
      </c>
      <c r="C93" s="1" t="n">
        <f aca="false">IF(B93&lt;=F_N,1,0)</f>
        <v>1</v>
      </c>
      <c r="D93" s="1" t="n">
        <f aca="false">'Plan pay &amp; tax'!C295</f>
        <v>85</v>
      </c>
      <c r="E93" s="106" t="n">
        <f aca="false">'Plan pay &amp; tax'!E295</f>
        <v>5.38287877941564</v>
      </c>
      <c r="F93" s="1" t="n">
        <f aca="false">'Plan pay &amp; tax'!G295</f>
        <v>0</v>
      </c>
      <c r="G93" s="1" t="n">
        <f aca="false">'Plan pay &amp; tax'!BT295-'Plan pay &amp; tax'!BS295-'Plan pay &amp; tax'!R295</f>
        <v>69820.6747023468</v>
      </c>
      <c r="H93" s="1" t="n">
        <f aca="false">IF(F93=1,F_CostsM*12,IF(RG_Exists=1,RG_Amount,F_CostsM*12*AS_RetireSpend))*E93+F_OneOffY*E93</f>
        <v>0</v>
      </c>
      <c r="I93" s="1" t="n">
        <f aca="false">DA92</f>
        <v>0</v>
      </c>
      <c r="J93" s="1" t="n">
        <f aca="false">IF(I93&gt;1,'Plan debt months'!AC93,0)</f>
        <v>0</v>
      </c>
      <c r="K93" s="1" t="n">
        <f aca="false">IF(I93&gt;1,'Plan debt months'!AB93,I93)</f>
        <v>0</v>
      </c>
      <c r="L93" s="1" t="n">
        <f aca="false">N92</f>
        <v>0</v>
      </c>
      <c r="M93" s="1" t="n">
        <f aca="false">IF(L93&gt;1,'Plan debt months'!BD93,0)</f>
        <v>0</v>
      </c>
      <c r="N93" s="1" t="n">
        <f aca="false">IF(L93&gt;1,'Plan debt months'!BC93,L93)</f>
        <v>0</v>
      </c>
      <c r="O93" s="1" t="n">
        <f aca="false">Q92</f>
        <v>0</v>
      </c>
      <c r="P93" s="1" t="n">
        <f aca="false">IF(O93&gt;1,'Plan debt months'!CE93,0)</f>
        <v>0</v>
      </c>
      <c r="Q93" s="1" t="n">
        <f aca="false">IF(O93&gt;1,'Plan debt months'!CD93,O93)</f>
        <v>0</v>
      </c>
      <c r="R93" s="1" t="n">
        <f aca="false">J93+M93+P93</f>
        <v>0</v>
      </c>
      <c r="S93" s="1" t="n">
        <f aca="false">HD92+'Plan pay &amp; tax'!Y295</f>
        <v>1243251.72463149</v>
      </c>
      <c r="T93" s="1" t="n">
        <f aca="false">HD92</f>
        <v>1243251.72463149</v>
      </c>
      <c r="U93" s="1" t="n">
        <f aca="false">IF(AND(Slot1_On=1,D93=Slot1_Age),1,0)</f>
        <v>0</v>
      </c>
      <c r="V93" s="1" t="n">
        <f aca="false">IF(AND(Slot1_On=1,Slot1_Age&gt;D93),1,0)</f>
        <v>0</v>
      </c>
      <c r="W93" s="1" t="n">
        <f aca="false">HF92</f>
        <v>0</v>
      </c>
      <c r="X93" s="1" t="n">
        <f aca="false">U93*MIN(Slot1_Cost,W93)</f>
        <v>0</v>
      </c>
      <c r="Y93" s="1" t="n">
        <f aca="false">U93*Slot1_SpendLike*MIN(Slot1_Cost-X93,S93)</f>
        <v>0</v>
      </c>
      <c r="Z93" s="1" t="n">
        <f aca="false">X93+Y93</f>
        <v>0</v>
      </c>
      <c r="AA93" s="1" t="n">
        <f aca="false">S93-Y93+U93*IF(Slot1_SpendLike=1,W93-X93,IF(Slot1_PotFree=1,W93,0))</f>
        <v>1243251.72463149</v>
      </c>
      <c r="AB93" s="1" t="n">
        <f aca="false">AE93+U93*Slot1_BufPot*W93</f>
        <v>0</v>
      </c>
      <c r="AC93" s="1" t="n">
        <f aca="false">IF(AND(U93=1,Slot1_IsMfree=1),IF(Z93&gt;=Slot1_Cost-1,0,MAX(0,K93-Z93)),K93)</f>
        <v>0</v>
      </c>
      <c r="AD93" s="1" t="n">
        <f aca="false">U93*(Slot1_Cost-Z93)</f>
        <v>0</v>
      </c>
      <c r="AE93" s="1" t="n">
        <f aca="false">HE92</f>
        <v>0</v>
      </c>
      <c r="AF93" s="1" t="n">
        <f aca="false">IF(AND(Slot2_On=1,D93=Slot2_Age),1,0)</f>
        <v>0</v>
      </c>
      <c r="AG93" s="1" t="n">
        <f aca="false">IF(AND(Slot2_On=1,Slot2_Age&gt;D93),1,0)</f>
        <v>0</v>
      </c>
      <c r="AH93" s="1" t="n">
        <f aca="false">HJ92</f>
        <v>0</v>
      </c>
      <c r="AI93" s="1" t="n">
        <f aca="false">AF93*MIN(Slot2_Cost,AH93)</f>
        <v>0</v>
      </c>
      <c r="AJ93" s="1" t="n">
        <f aca="false">AF93*Slot2_SpendLike*MIN(Slot2_Cost-AI93,AA93)</f>
        <v>0</v>
      </c>
      <c r="AK93" s="1" t="n">
        <f aca="false">AI93+AJ93</f>
        <v>0</v>
      </c>
      <c r="AL93" s="1" t="n">
        <f aca="false">AA93-AJ93+AF93*IF(Slot2_SpendLike=1,AH93-AI93,IF(Slot2_PotFree=1,AH93,0))</f>
        <v>1243251.72463149</v>
      </c>
      <c r="AM93" s="1" t="n">
        <f aca="false">AB93+AF93*Slot2_BufPot*AH93</f>
        <v>0</v>
      </c>
      <c r="AN93" s="1" t="n">
        <f aca="false">IF(AND(AF93=1,Slot2_IsMfree=1),IF(AK93&gt;=Slot2_Cost-1,0,MAX(0,AC93-AK93)),AC93)</f>
        <v>0</v>
      </c>
      <c r="AO93" s="1" t="n">
        <f aca="false">AF93*(Slot2_Cost-AK93)</f>
        <v>0</v>
      </c>
      <c r="AP93" s="1" t="n">
        <f aca="false">IF(AND(Slot3_On=1,D93=Slot3_Age),1,0)</f>
        <v>0</v>
      </c>
      <c r="AQ93" s="1" t="n">
        <f aca="false">IF(AND(Slot3_On=1,Slot3_Age&gt;D93),1,0)</f>
        <v>0</v>
      </c>
      <c r="AR93" s="1" t="n">
        <f aca="false">HN92</f>
        <v>0</v>
      </c>
      <c r="AS93" s="1" t="n">
        <f aca="false">AP93*MIN(Slot3_Cost,AR93)</f>
        <v>0</v>
      </c>
      <c r="AT93" s="1" t="n">
        <f aca="false">AP93*Slot3_SpendLike*MIN(Slot3_Cost-AS93,AL93)</f>
        <v>0</v>
      </c>
      <c r="AU93" s="1" t="n">
        <f aca="false">AS93+AT93</f>
        <v>0</v>
      </c>
      <c r="AV93" s="1" t="n">
        <f aca="false">AL93-AT93+AP93*IF(Slot3_SpendLike=1,AR93-AS93,IF(Slot3_PotFree=1,AR93,0))</f>
        <v>1243251.72463149</v>
      </c>
      <c r="AW93" s="1" t="n">
        <f aca="false">AM93+AP93*Slot3_BufPot*AR93</f>
        <v>0</v>
      </c>
      <c r="AX93" s="1" t="n">
        <f aca="false">IF(AND(AP93=1,Slot3_IsMfree=1),IF(AU93&gt;=Slot3_Cost-1,0,MAX(0,AN93-AU93)),AN93)</f>
        <v>0</v>
      </c>
      <c r="AY93" s="1" t="n">
        <f aca="false">AP93*(Slot3_Cost-AU93)</f>
        <v>0</v>
      </c>
      <c r="AZ93" s="1" t="n">
        <f aca="false">IF(AND(Slot4_On=1,D93=Slot4_Age),1,0)</f>
        <v>0</v>
      </c>
      <c r="BA93" s="1" t="n">
        <f aca="false">IF(AND(Slot4_On=1,Slot4_Age&gt;D93),1,0)</f>
        <v>0</v>
      </c>
      <c r="BB93" s="1" t="n">
        <f aca="false">HR92</f>
        <v>0</v>
      </c>
      <c r="BC93" s="1" t="n">
        <f aca="false">AZ93*MIN(Slot4_Cost,BB93)</f>
        <v>0</v>
      </c>
      <c r="BD93" s="1" t="n">
        <f aca="false">AZ93*Slot4_SpendLike*MIN(Slot4_Cost-BC93,AV93)</f>
        <v>0</v>
      </c>
      <c r="BE93" s="1" t="n">
        <f aca="false">BC93+BD93</f>
        <v>0</v>
      </c>
      <c r="BF93" s="1" t="n">
        <f aca="false">AV93-BD93+AZ93*IF(Slot4_SpendLike=1,BB93-BC93,IF(Slot4_PotFree=1,BB93,0))</f>
        <v>1243251.72463149</v>
      </c>
      <c r="BG93" s="1" t="n">
        <f aca="false">AW93+AZ93*Slot4_BufPot*BB93</f>
        <v>0</v>
      </c>
      <c r="BH93" s="1" t="n">
        <f aca="false">IF(AND(AZ93=1,Slot4_IsMfree=1),IF(BE93&gt;=Slot4_Cost-1,0,MAX(0,AX93-BE93)),AX93)</f>
        <v>0</v>
      </c>
      <c r="BI93" s="1" t="n">
        <f aca="false">AZ93*(Slot4_Cost-BE93)</f>
        <v>0</v>
      </c>
      <c r="BJ93" s="1" t="n">
        <f aca="false">IF(AND(Slot5_On=1,D93=Slot5_Age),1,0)</f>
        <v>0</v>
      </c>
      <c r="BK93" s="1" t="n">
        <f aca="false">IF(AND(Slot5_On=1,Slot5_Age&gt;D93),1,0)</f>
        <v>0</v>
      </c>
      <c r="BL93" s="1" t="n">
        <f aca="false">HV92</f>
        <v>0</v>
      </c>
      <c r="BM93" s="1" t="n">
        <f aca="false">BJ93*MIN(Slot5_Cost,BL93)</f>
        <v>0</v>
      </c>
      <c r="BN93" s="1" t="n">
        <f aca="false">BJ93*Slot5_SpendLike*MIN(Slot5_Cost-BM93,BF93)</f>
        <v>0</v>
      </c>
      <c r="BO93" s="1" t="n">
        <f aca="false">BM93+BN93</f>
        <v>0</v>
      </c>
      <c r="BP93" s="1" t="n">
        <f aca="false">BF93-BN93+BJ93*IF(Slot5_SpendLike=1,BL93-BM93,IF(Slot5_PotFree=1,BL93,0))</f>
        <v>1243251.72463149</v>
      </c>
      <c r="BQ93" s="1" t="n">
        <f aca="false">BG93+BJ93*Slot5_BufPot*BL93</f>
        <v>0</v>
      </c>
      <c r="BR93" s="1" t="n">
        <f aca="false">IF(AND(BJ93=1,Slot5_IsMfree=1),IF(BO93&gt;=Slot5_Cost-1,0,MAX(0,BH93-BO93)),BH93)</f>
        <v>0</v>
      </c>
      <c r="BS93" s="1" t="n">
        <f aca="false">BJ93*(Slot5_Cost-BO93)</f>
        <v>0</v>
      </c>
      <c r="BT93" s="1" t="n">
        <f aca="false">IF(AND(Slot6_On=1,D93=Slot6_Age),1,0)</f>
        <v>0</v>
      </c>
      <c r="BU93" s="1" t="n">
        <f aca="false">IF(AND(Slot6_On=1,Slot6_Age&gt;D93),1,0)</f>
        <v>0</v>
      </c>
      <c r="BV93" s="1" t="n">
        <f aca="false">HZ92</f>
        <v>0</v>
      </c>
      <c r="BW93" s="1" t="n">
        <f aca="false">BT93*MIN(Slot6_Cost,BV93)</f>
        <v>0</v>
      </c>
      <c r="BX93" s="1" t="n">
        <f aca="false">BT93*Slot6_SpendLike*MIN(Slot6_Cost-BW93,BP93)</f>
        <v>0</v>
      </c>
      <c r="BY93" s="1" t="n">
        <f aca="false">BW93+BX93</f>
        <v>0</v>
      </c>
      <c r="BZ93" s="1" t="n">
        <f aca="false">BP93-BX93+BT93*IF(Slot6_SpendLike=1,BV93-BW93,IF(Slot6_PotFree=1,BV93,0))</f>
        <v>1243251.72463149</v>
      </c>
      <c r="CA93" s="1" t="n">
        <f aca="false">BQ93+BT93*Slot6_BufPot*BV93</f>
        <v>0</v>
      </c>
      <c r="CB93" s="1" t="n">
        <f aca="false">IF(AND(BT93=1,Slot6_IsMfree=1),IF(BY93&gt;=Slot6_Cost-1,0,MAX(0,BR93-BY93)),BR93)</f>
        <v>0</v>
      </c>
      <c r="CC93" s="1" t="n">
        <f aca="false">BT93*(Slot6_Cost-BY93)</f>
        <v>0</v>
      </c>
      <c r="CD93" s="1" t="n">
        <f aca="false">IF(AND(Slot7_On=1,D93=Slot7_Age),1,0)</f>
        <v>0</v>
      </c>
      <c r="CE93" s="1" t="n">
        <f aca="false">IF(AND(Slot7_On=1,Slot7_Age&gt;D93),1,0)</f>
        <v>0</v>
      </c>
      <c r="CF93" s="1" t="n">
        <f aca="false">ID92</f>
        <v>0</v>
      </c>
      <c r="CG93" s="1" t="n">
        <f aca="false">CD93*MIN(Slot7_Cost,CF93)</f>
        <v>0</v>
      </c>
      <c r="CH93" s="1" t="n">
        <f aca="false">CD93*Slot7_SpendLike*MIN(Slot7_Cost-CG93,BZ93)</f>
        <v>0</v>
      </c>
      <c r="CI93" s="1" t="n">
        <f aca="false">CG93+CH93</f>
        <v>0</v>
      </c>
      <c r="CJ93" s="1" t="n">
        <f aca="false">BZ93-CH93+CD93*IF(Slot7_SpendLike=1,CF93-CG93,IF(Slot7_PotFree=1,CF93,0))</f>
        <v>1243251.72463149</v>
      </c>
      <c r="CK93" s="1" t="n">
        <f aca="false">CA93+CD93*Slot7_BufPot*CF93</f>
        <v>0</v>
      </c>
      <c r="CL93" s="1" t="n">
        <f aca="false">IF(AND(CD93=1,Slot7_IsMfree=1),IF(CI93&gt;=Slot7_Cost-1,0,MAX(0,CB93-CI93)),CB93)</f>
        <v>0</v>
      </c>
      <c r="CM93" s="1" t="n">
        <f aca="false">CD93*(Slot7_Cost-CI93)</f>
        <v>0</v>
      </c>
      <c r="CN93" s="1" t="n">
        <f aca="false">IF(AND(Slot8_On=1,D93=Slot8_Age),1,0)</f>
        <v>0</v>
      </c>
      <c r="CO93" s="1" t="n">
        <f aca="false">IF(AND(Slot8_On=1,Slot8_Age&gt;D93),1,0)</f>
        <v>0</v>
      </c>
      <c r="CP93" s="1" t="n">
        <f aca="false">IH92</f>
        <v>0</v>
      </c>
      <c r="CQ93" s="1" t="n">
        <f aca="false">CN93*MIN(Slot8_Cost,CP93)</f>
        <v>0</v>
      </c>
      <c r="CR93" s="1" t="n">
        <f aca="false">CN93*Slot8_SpendLike*MIN(Slot8_Cost-CQ93,CJ93)</f>
        <v>0</v>
      </c>
      <c r="CS93" s="1" t="n">
        <f aca="false">CQ93+CR93</f>
        <v>0</v>
      </c>
      <c r="CT93" s="1" t="n">
        <f aca="false">CJ93-CR93+CN93*IF(Slot8_SpendLike=1,CP93-CQ93,IF(Slot8_PotFree=1,CP93,0))</f>
        <v>1243251.72463149</v>
      </c>
      <c r="CU93" s="1" t="n">
        <f aca="false">CK93+CN93*Slot8_BufPot*CP93</f>
        <v>0</v>
      </c>
      <c r="CV93" s="1" t="n">
        <f aca="false">IF(AND(CN93=1,Slot8_IsMfree=1),IF(CS93&gt;=Slot8_Cost-1,0,MAX(0,CL93-CS93)),CL93)</f>
        <v>0</v>
      </c>
      <c r="CW93" s="1" t="n">
        <f aca="false">CN93*(Slot8_Cost-CS93)</f>
        <v>0</v>
      </c>
      <c r="CX93" s="1" t="n">
        <f aca="false">U93*Slot1_SpendLike*Z93+AF93*Slot2_SpendLike*AK93+AP93*Slot3_SpendLike*AU93+AZ93*Slot4_SpendLike*BE93+BJ93*Slot5_SpendLike*BO93+BT93*Slot6_SpendLike*BY93+CD93*Slot7_SpendLike*CI93+CN93*Slot8_SpendLike*CS93</f>
        <v>0</v>
      </c>
      <c r="CY93" s="1" t="n">
        <f aca="false">AD93+AO93+AY93+BI93+BS93+CC93+CM93+CW93</f>
        <v>0</v>
      </c>
      <c r="CZ93" s="1" t="n">
        <f aca="false">U93*Slot1_Cost+AF93*Slot2_Cost+AP93*Slot3_Cost+AZ93*Slot4_Cost+BJ93*Slot5_Cost+BT93*Slot6_Cost+CD93*Slot7_Cost+CN93*Slot8_Cost</f>
        <v>0</v>
      </c>
      <c r="DA93" s="1" t="n">
        <f aca="false">CV93</f>
        <v>0</v>
      </c>
      <c r="DB93" s="1" t="n">
        <f aca="false">G93-H93-R93</f>
        <v>69820.6747023468</v>
      </c>
      <c r="DC93" s="1" t="n">
        <f aca="false">IF(B93=0,IF(AND(Has_q6=1,In_q6=4),PR_ShareVaries*(MAX(0,DB93)/12),MIN(IF(Has_q6=1,CHOOSE(In_q6+1,PR_SaveB1,PR_SaveB2,PR_SaveB3,PR_SaveB4,0),AS_NoAnswer),AS_SaveShare*(MAX(0,DB93)/12))),DC92)</f>
        <v>0</v>
      </c>
      <c r="DD93" s="1" t="n">
        <f aca="false">IF(DB93&gt;=0,1,0)</f>
        <v>1</v>
      </c>
      <c r="DE93" s="1" t="n">
        <f aca="false">MAX(0,DB93/12/E93)</f>
        <v>1080.90666666667</v>
      </c>
      <c r="DF93" s="1" t="n">
        <f aca="false">IF(AND(Has_q6=1,In_q6=4),PR_ShareVaries*(DE93),MIN(IF(Has_q6=1,CHOOSE(In_q6+1,PR_SaveB1,PR_SaveB2,PR_SaveB3,PR_SaveB4,0),AS_NoAnswer),AS_SaveShare*(DE93)))</f>
        <v>300</v>
      </c>
      <c r="DG93" s="1" t="n">
        <f aca="false">IF(Has_saveM=1,IF(In_saveUp="Yes",1,IF(In_saveUp="No",0,IF(In_saveM&gt;=DC93-0.5,1,0))),0)</f>
        <v>0</v>
      </c>
      <c r="DH93" s="1" t="n">
        <f aca="false">IF(Has_saveM=1,MIN(DE93,IF(DG93=1,MAX(In_saveM,DF93),MIN(In_saveM,DF93))),DF93)</f>
        <v>300</v>
      </c>
      <c r="DI93" s="1" t="n">
        <f aca="false">IF(F93=1,DH93*12*E93,0)</f>
        <v>0</v>
      </c>
      <c r="DJ93" s="1" t="n">
        <f aca="false">MAX(0,DI93+IF(AND(WI_Retire=0,WI_M&lt;0,F93=1),WI_M*12*E93,0))</f>
        <v>0</v>
      </c>
      <c r="DK93" s="1" t="n">
        <f aca="false">Slot1_IsWG*V93+Slot2_IsWG*AG93+Slot3_IsWG*AQ93+Slot4_IsWG*BA93+Slot5_IsWG*BK93+Slot6_IsWG*BU93+Slot7_IsWG*CE93+Slot8_IsWG*CO93</f>
        <v>0</v>
      </c>
      <c r="DL93" s="1" t="n">
        <f aca="false">IF(AND(WI_Retire=0,WI_M&gt;0,F93=1,DK93&gt;=1),WI_M*12*E93,0)</f>
        <v>0</v>
      </c>
      <c r="DM93" s="1" t="n">
        <f aca="false">IF(DD93=1,MIN(DJ93,DB93),0)</f>
        <v>0</v>
      </c>
      <c r="DN93" s="1" t="n">
        <f aca="false">IF(DD93=1,MIN(DL93,DB93-DM93),0)</f>
        <v>0</v>
      </c>
      <c r="DO93" s="1" t="n">
        <f aca="false">IF(V93=1,IF(ABS((1+AS_Wage)/(1+Slot1_Rate)-1)&lt;0.000000000001,(Slot1_Age-D93)*(1+Slot1_Rate)^(Slot1_Age-D93),(1+Slot1_Rate)^(Slot1_Age-D93)*(1-((1+AS_Wage)/(1+Slot1_Rate))^(Slot1_Age-D93))/(1-(1+AS_Wage)/(1+Slot1_Rate))),1)</f>
        <v>1</v>
      </c>
      <c r="DP93" s="1" t="n">
        <f aca="false">IF(AND(DD93=1,DN93&gt;0,Slot1_IsWG=1,V93=1),MAX(0,(Slot1_Cost-W93*(1+Slot1_Rate)^(Slot1_Age-D93))/DO93),0)</f>
        <v>0</v>
      </c>
      <c r="DQ93" s="1" t="n">
        <f aca="false">IF(AND(DD93=1,DN93&gt;0,Slot1_IsWG=1,V93=1),MIN(DN93,DP93),0)</f>
        <v>0</v>
      </c>
      <c r="DR93" s="1" t="n">
        <f aca="false">W93+DQ93</f>
        <v>0</v>
      </c>
      <c r="DS93" s="1" t="n">
        <f aca="false">IF(V93=1,MAX(0,(Slot1_Cost-DR93*(1+Slot1_Rate)^(Slot1_Age-D93))/DO93),0)</f>
        <v>0</v>
      </c>
      <c r="DT93" s="1" t="n">
        <f aca="false">IF(V93=1,MAX(0,(Slot1_Cost-W93*(1+Slot1_Rate)^(Slot1_Age-D93))/DO93),0)</f>
        <v>0</v>
      </c>
      <c r="DU93" s="1" t="n">
        <f aca="false">IF(AND(DD93=1,V93=1),MIN(DM93,DS93),0)</f>
        <v>0</v>
      </c>
      <c r="DV93" s="1" t="n">
        <f aca="false">DM93-DU93</f>
        <v>0</v>
      </c>
      <c r="DW93" s="1" t="n">
        <f aca="false">IF(AG93=1,IF(ABS((1+AS_Wage)/(1+Slot2_Rate)-1)&lt;0.000000000001,(Slot2_Age-D93)*(1+Slot2_Rate)^(Slot2_Age-D93),(1+Slot2_Rate)^(Slot2_Age-D93)*(1-((1+AS_Wage)/(1+Slot2_Rate))^(Slot2_Age-D93))/(1-(1+AS_Wage)/(1+Slot2_Rate))),1)</f>
        <v>1</v>
      </c>
      <c r="DX93" s="1" t="n">
        <f aca="false">IF(AND(DD93=1,DN93&gt;0,Slot2_IsWG=1,AG93=1),MAX(0,(Slot2_Cost-AH93*(1+Slot2_Rate)^(Slot2_Age-D93))/DW93),0)</f>
        <v>0</v>
      </c>
      <c r="DY93" s="1" t="n">
        <f aca="false">IF(AND(DD93=1,DN93&gt;0,Slot2_IsWG=1,AG93=1),MIN(DN93,DX93),0)</f>
        <v>0</v>
      </c>
      <c r="DZ93" s="1" t="n">
        <f aca="false">AH93+DY93</f>
        <v>0</v>
      </c>
      <c r="EA93" s="1" t="n">
        <f aca="false">IF(AG93=1,MAX(0,(Slot2_Cost-DZ93*(1+Slot2_Rate)^(Slot2_Age-D93))/DW93),0)</f>
        <v>0</v>
      </c>
      <c r="EB93" s="1" t="n">
        <f aca="false">IF(AG93=1,MAX(0,(Slot2_Cost-AH93*(1+Slot2_Rate)^(Slot2_Age-D93))/DW93),0)</f>
        <v>0</v>
      </c>
      <c r="EC93" s="1" t="n">
        <f aca="false">IF(AND(DD93=1,AG93=1),MIN(DV93,EA93),0)</f>
        <v>0</v>
      </c>
      <c r="ED93" s="1" t="n">
        <f aca="false">DV93-EC93</f>
        <v>0</v>
      </c>
      <c r="EE93" s="1" t="n">
        <f aca="false">IF(AQ93=1,IF(ABS((1+AS_Wage)/(1+Slot3_Rate)-1)&lt;0.000000000001,(Slot3_Age-D93)*(1+Slot3_Rate)^(Slot3_Age-D93),(1+Slot3_Rate)^(Slot3_Age-D93)*(1-((1+AS_Wage)/(1+Slot3_Rate))^(Slot3_Age-D93))/(1-(1+AS_Wage)/(1+Slot3_Rate))),1)</f>
        <v>1</v>
      </c>
      <c r="EF93" s="1" t="n">
        <f aca="false">IF(AND(DD93=1,DN93&gt;0,Slot3_IsWG=1,AQ93=1),MAX(0,(Slot3_Cost-AR93*(1+Slot3_Rate)^(Slot3_Age-D93))/EE93),0)</f>
        <v>0</v>
      </c>
      <c r="EG93" s="1" t="n">
        <f aca="false">IF(AND(DD93=1,DN93&gt;0,Slot3_IsWG=1,AQ93=1),MIN(DN93,EF93),0)</f>
        <v>0</v>
      </c>
      <c r="EH93" s="1" t="n">
        <f aca="false">AR93+EG93</f>
        <v>0</v>
      </c>
      <c r="EI93" s="1" t="n">
        <f aca="false">IF(AQ93=1,MAX(0,(Slot3_Cost-EH93*(1+Slot3_Rate)^(Slot3_Age-D93))/EE93),0)</f>
        <v>0</v>
      </c>
      <c r="EJ93" s="1" t="n">
        <f aca="false">IF(AQ93=1,MAX(0,(Slot3_Cost-AR93*(1+Slot3_Rate)^(Slot3_Age-D93))/EE93),0)</f>
        <v>0</v>
      </c>
      <c r="EK93" s="1" t="n">
        <f aca="false">IF(AND(DD93=1,AQ93=1),MIN(ED93,EI93),0)</f>
        <v>0</v>
      </c>
      <c r="EL93" s="1" t="n">
        <f aca="false">ED93-EK93</f>
        <v>0</v>
      </c>
      <c r="EM93" s="1" t="n">
        <f aca="false">IF(BA93=1,IF(ABS((1+AS_Wage)/(1+Slot4_Rate)-1)&lt;0.000000000001,(Slot4_Age-D93)*(1+Slot4_Rate)^(Slot4_Age-D93),(1+Slot4_Rate)^(Slot4_Age-D93)*(1-((1+AS_Wage)/(1+Slot4_Rate))^(Slot4_Age-D93))/(1-(1+AS_Wage)/(1+Slot4_Rate))),1)</f>
        <v>1</v>
      </c>
      <c r="EN93" s="1" t="n">
        <f aca="false">IF(AND(DD93=1,DN93&gt;0,Slot4_IsWG=1,BA93=1),MAX(0,(Slot4_Cost-BB93*(1+Slot4_Rate)^(Slot4_Age-D93))/EM93),0)</f>
        <v>0</v>
      </c>
      <c r="EO93" s="1" t="n">
        <f aca="false">IF(AND(DD93=1,DN93&gt;0,Slot4_IsWG=1,BA93=1),MIN(DN93,EN93),0)</f>
        <v>0</v>
      </c>
      <c r="EP93" s="1" t="n">
        <f aca="false">BB93+EO93</f>
        <v>0</v>
      </c>
      <c r="EQ93" s="1" t="n">
        <f aca="false">IF(BA93=1,MAX(0,(Slot4_Cost-EP93*(1+Slot4_Rate)^(Slot4_Age-D93))/EM93),0)</f>
        <v>0</v>
      </c>
      <c r="ER93" s="1" t="n">
        <f aca="false">IF(BA93=1,MAX(0,(Slot4_Cost-BB93*(1+Slot4_Rate)^(Slot4_Age-D93))/EM93),0)</f>
        <v>0</v>
      </c>
      <c r="ES93" s="1" t="n">
        <f aca="false">IF(AND(DD93=1,BA93=1),MIN(EL93,EQ93),0)</f>
        <v>0</v>
      </c>
      <c r="ET93" s="1" t="n">
        <f aca="false">EL93-ES93</f>
        <v>0</v>
      </c>
      <c r="EU93" s="1" t="n">
        <f aca="false">IF(BK93=1,IF(ABS((1+AS_Wage)/(1+Slot5_Rate)-1)&lt;0.000000000001,(Slot5_Age-D93)*(1+Slot5_Rate)^(Slot5_Age-D93),(1+Slot5_Rate)^(Slot5_Age-D93)*(1-((1+AS_Wage)/(1+Slot5_Rate))^(Slot5_Age-D93))/(1-(1+AS_Wage)/(1+Slot5_Rate))),1)</f>
        <v>1</v>
      </c>
      <c r="EV93" s="1" t="n">
        <f aca="false">IF(AND(DD93=1,DN93&gt;0,Slot5_IsWG=1,BK93=1),MAX(0,(Slot5_Cost-BL93*(1+Slot5_Rate)^(Slot5_Age-D93))/EU93),0)</f>
        <v>0</v>
      </c>
      <c r="EW93" s="1" t="n">
        <f aca="false">IF(AND(DD93=1,DN93&gt;0,Slot5_IsWG=1,BK93=1),MIN(DN93,EV93),0)</f>
        <v>0</v>
      </c>
      <c r="EX93" s="1" t="n">
        <f aca="false">BL93+EW93</f>
        <v>0</v>
      </c>
      <c r="EY93" s="1" t="n">
        <f aca="false">IF(BK93=1,MAX(0,(Slot5_Cost-EX93*(1+Slot5_Rate)^(Slot5_Age-D93))/EU93),0)</f>
        <v>0</v>
      </c>
      <c r="EZ93" s="1" t="n">
        <f aca="false">IF(BK93=1,MAX(0,(Slot5_Cost-BL93*(1+Slot5_Rate)^(Slot5_Age-D93))/EU93),0)</f>
        <v>0</v>
      </c>
      <c r="FA93" s="1" t="n">
        <f aca="false">IF(AND(DD93=1,BK93=1),MIN(ET93,EY93),0)</f>
        <v>0</v>
      </c>
      <c r="FB93" s="1" t="n">
        <f aca="false">ET93-FA93</f>
        <v>0</v>
      </c>
      <c r="FC93" s="1" t="n">
        <f aca="false">IF(BU93=1,IF(ABS((1+AS_Wage)/(1+Slot6_Rate)-1)&lt;0.000000000001,(Slot6_Age-D93)*(1+Slot6_Rate)^(Slot6_Age-D93),(1+Slot6_Rate)^(Slot6_Age-D93)*(1-((1+AS_Wage)/(1+Slot6_Rate))^(Slot6_Age-D93))/(1-(1+AS_Wage)/(1+Slot6_Rate))),1)</f>
        <v>1</v>
      </c>
      <c r="FD93" s="1" t="n">
        <f aca="false">IF(AND(DD93=1,DN93&gt;0,Slot6_IsWG=1,BU93=1),MAX(0,(Slot6_Cost-BV93*(1+Slot6_Rate)^(Slot6_Age-D93))/FC93),0)</f>
        <v>0</v>
      </c>
      <c r="FE93" s="1" t="n">
        <f aca="false">IF(AND(DD93=1,DN93&gt;0,Slot6_IsWG=1,BU93=1),MIN(DN93,FD93),0)</f>
        <v>0</v>
      </c>
      <c r="FF93" s="1" t="n">
        <f aca="false">BV93+FE93</f>
        <v>0</v>
      </c>
      <c r="FG93" s="1" t="n">
        <f aca="false">IF(BU93=1,MAX(0,(Slot6_Cost-FF93*(1+Slot6_Rate)^(Slot6_Age-D93))/FC93),0)</f>
        <v>0</v>
      </c>
      <c r="FH93" s="1" t="n">
        <f aca="false">IF(BU93=1,MAX(0,(Slot6_Cost-BV93*(1+Slot6_Rate)^(Slot6_Age-D93))/FC93),0)</f>
        <v>0</v>
      </c>
      <c r="FI93" s="1" t="n">
        <f aca="false">IF(AND(DD93=1,BU93=1),MIN(FB93,FG93),0)</f>
        <v>0</v>
      </c>
      <c r="FJ93" s="1" t="n">
        <f aca="false">FB93-FI93</f>
        <v>0</v>
      </c>
      <c r="FK93" s="1" t="n">
        <f aca="false">IF(CE93=1,IF(ABS((1+AS_Wage)/(1+Slot7_Rate)-1)&lt;0.000000000001,(Slot7_Age-D93)*(1+Slot7_Rate)^(Slot7_Age-D93),(1+Slot7_Rate)^(Slot7_Age-D93)*(1-((1+AS_Wage)/(1+Slot7_Rate))^(Slot7_Age-D93))/(1-(1+AS_Wage)/(1+Slot7_Rate))),1)</f>
        <v>1</v>
      </c>
      <c r="FL93" s="1" t="n">
        <f aca="false">IF(AND(DD93=1,DN93&gt;0,Slot7_IsWG=1,CE93=1),MAX(0,(Slot7_Cost-CF93*(1+Slot7_Rate)^(Slot7_Age-D93))/FK93),0)</f>
        <v>0</v>
      </c>
      <c r="FM93" s="1" t="n">
        <f aca="false">IF(AND(DD93=1,DN93&gt;0,Slot7_IsWG=1,CE93=1),MIN(DN93,FL93),0)</f>
        <v>0</v>
      </c>
      <c r="FN93" s="1" t="n">
        <f aca="false">CF93+FM93</f>
        <v>0</v>
      </c>
      <c r="FO93" s="1" t="n">
        <f aca="false">IF(CE93=1,MAX(0,(Slot7_Cost-FN93*(1+Slot7_Rate)^(Slot7_Age-D93))/FK93),0)</f>
        <v>0</v>
      </c>
      <c r="FP93" s="1" t="n">
        <f aca="false">IF(CE93=1,MAX(0,(Slot7_Cost-CF93*(1+Slot7_Rate)^(Slot7_Age-D93))/FK93),0)</f>
        <v>0</v>
      </c>
      <c r="FQ93" s="1" t="n">
        <f aca="false">IF(AND(DD93=1,CE93=1),MIN(FJ93,FO93),0)</f>
        <v>0</v>
      </c>
      <c r="FR93" s="1" t="n">
        <f aca="false">FJ93-FQ93</f>
        <v>0</v>
      </c>
      <c r="FS93" s="1" t="n">
        <f aca="false">IF(CO93=1,IF(ABS((1+AS_Wage)/(1+Slot8_Rate)-1)&lt;0.000000000001,(Slot8_Age-D93)*(1+Slot8_Rate)^(Slot8_Age-D93),(1+Slot8_Rate)^(Slot8_Age-D93)*(1-((1+AS_Wage)/(1+Slot8_Rate))^(Slot8_Age-D93))/(1-(1+AS_Wage)/(1+Slot8_Rate))),1)</f>
        <v>1</v>
      </c>
      <c r="FT93" s="1" t="n">
        <f aca="false">IF(AND(DD93=1,DN93&gt;0,Slot8_IsWG=1,CO93=1),MAX(0,(Slot8_Cost-CP93*(1+Slot8_Rate)^(Slot8_Age-D93))/FS93),0)</f>
        <v>0</v>
      </c>
      <c r="FU93" s="1" t="n">
        <f aca="false">IF(AND(DD93=1,DN93&gt;0,Slot8_IsWG=1,CO93=1),MIN(DN93,FT93),0)</f>
        <v>0</v>
      </c>
      <c r="FV93" s="1" t="n">
        <f aca="false">CP93+FU93</f>
        <v>0</v>
      </c>
      <c r="FW93" s="1" t="n">
        <f aca="false">IF(CO93=1,MAX(0,(Slot8_Cost-FV93*(1+Slot8_Rate)^(Slot8_Age-D93))/FS93),0)</f>
        <v>0</v>
      </c>
      <c r="FX93" s="1" t="n">
        <f aca="false">IF(CO93=1,MAX(0,(Slot8_Cost-CP93*(1+Slot8_Rate)^(Slot8_Age-D93))/FS93),0)</f>
        <v>0</v>
      </c>
      <c r="FY93" s="1" t="n">
        <f aca="false">IF(AND(DD93=1,CO93=1),MIN(FR93,FW93),0)</f>
        <v>0</v>
      </c>
      <c r="FZ93" s="1" t="n">
        <f aca="false">FR93-FY93</f>
        <v>0</v>
      </c>
      <c r="GA93" s="1" t="n">
        <f aca="false">DN93-(DQ93+DY93+EG93+EO93+EW93+FE93+FM93+FU93)</f>
        <v>0</v>
      </c>
      <c r="GB93" s="1" t="n">
        <f aca="false">IF(DD93=1,DB93-DM93-DN93,0)</f>
        <v>69820.6747023468</v>
      </c>
      <c r="GC93" s="1" t="n">
        <f aca="false">IF(DD93=0,-DB93,0)</f>
        <v>0</v>
      </c>
      <c r="GD93" s="1" t="n">
        <f aca="false">MIN(GC93,CT93)</f>
        <v>0</v>
      </c>
      <c r="GE93" s="1" t="n">
        <f aca="false">GC93-GD93</f>
        <v>0</v>
      </c>
      <c r="GF93" s="1" t="n">
        <f aca="false">MIN(GE93,CU93)</f>
        <v>0</v>
      </c>
      <c r="GG93" s="1" t="n">
        <f aca="false">GE93-GF93</f>
        <v>0</v>
      </c>
      <c r="GH93" s="1" t="n">
        <f aca="false">IF(AND(DD93=0,CO93=1,GG93&gt;0),MIN(GG93,CP93),0)</f>
        <v>0</v>
      </c>
      <c r="GI93" s="1" t="n">
        <f aca="false">GG93-GH93</f>
        <v>0</v>
      </c>
      <c r="GJ93" s="1" t="n">
        <f aca="false">IF(AND(DD93=0,CE93=1,GI93&gt;0),MIN(GI93,CF93),0)</f>
        <v>0</v>
      </c>
      <c r="GK93" s="1" t="n">
        <f aca="false">GI93-GJ93</f>
        <v>0</v>
      </c>
      <c r="GL93" s="1" t="n">
        <f aca="false">IF(AND(DD93=0,BU93=1,GK93&gt;0),MIN(GK93,BV93),0)</f>
        <v>0</v>
      </c>
      <c r="GM93" s="1" t="n">
        <f aca="false">GK93-GL93</f>
        <v>0</v>
      </c>
      <c r="GN93" s="1" t="n">
        <f aca="false">IF(AND(DD93=0,BK93=1,GM93&gt;0),MIN(GM93,BL93),0)</f>
        <v>0</v>
      </c>
      <c r="GO93" s="1" t="n">
        <f aca="false">GM93-GN93</f>
        <v>0</v>
      </c>
      <c r="GP93" s="1" t="n">
        <f aca="false">IF(AND(DD93=0,BA93=1,GO93&gt;0),MIN(GO93,BB93),0)</f>
        <v>0</v>
      </c>
      <c r="GQ93" s="1" t="n">
        <f aca="false">GO93-GP93</f>
        <v>0</v>
      </c>
      <c r="GR93" s="1" t="n">
        <f aca="false">IF(AND(DD93=0,AQ93=1,GQ93&gt;0),MIN(GQ93,AR93),0)</f>
        <v>0</v>
      </c>
      <c r="GS93" s="1" t="n">
        <f aca="false">GQ93-GR93</f>
        <v>0</v>
      </c>
      <c r="GT93" s="1" t="n">
        <f aca="false">IF(AND(DD93=0,AG93=1,GS93&gt;0),MIN(GS93,AH93),0)</f>
        <v>0</v>
      </c>
      <c r="GU93" s="1" t="n">
        <f aca="false">GS93-GT93</f>
        <v>0</v>
      </c>
      <c r="GV93" s="1" t="n">
        <f aca="false">IF(AND(DD93=0,V93=1,GU93&gt;0),MIN(GU93,W93),0)</f>
        <v>0</v>
      </c>
      <c r="GW93" s="1" t="n">
        <f aca="false">GU93-GV93</f>
        <v>0</v>
      </c>
      <c r="GX93" s="1" t="n">
        <f aca="false">IF(DD93=0,GW93,0)</f>
        <v>0</v>
      </c>
      <c r="GY93" s="1" t="n">
        <f aca="false">GD93+GF93+GV93+GT93+GR93+GP93+GN93+GL93+GJ93+GH93</f>
        <v>0</v>
      </c>
      <c r="GZ93" s="1" t="n">
        <f aca="false">IF(DD93=1,CT93+GA93+FZ93+IF(F93=1,0,GB93),CT93-GD93)</f>
        <v>1313072.39933383</v>
      </c>
      <c r="HA93" s="1" t="n">
        <f aca="false">CU93-GF93</f>
        <v>0</v>
      </c>
      <c r="HB93" s="1" t="n">
        <f aca="false">IF(DD93=1,IF(F93=1,DM93+DN93,DB93),0)</f>
        <v>69820.6747023468</v>
      </c>
      <c r="HC93" s="1" t="n">
        <f aca="false">IF(DD93=1,IF(F93=1,DB93-DM93-DN93,0),0)</f>
        <v>0</v>
      </c>
      <c r="HD93" s="1" t="n">
        <f aca="false">GZ93*(1+GR)</f>
        <v>1334606.78668291</v>
      </c>
      <c r="HE93" s="1" t="n">
        <f aca="false">HA93*(1+AS_Cash)</f>
        <v>0</v>
      </c>
      <c r="HF93" s="1" t="n">
        <f aca="false">IF(V93=1,IF(DD93=1,DR93+DU93,W93-GV93)*(1+Slot1_Rate),0)</f>
        <v>0</v>
      </c>
      <c r="HG93" s="1" t="n">
        <f aca="false">IF(AND(DD93=1,V93=1),(DQ93+DU93)/E93,0)</f>
        <v>0</v>
      </c>
      <c r="HH93" s="1" t="n">
        <f aca="false">IF(B93=0,DQ93+DU93,0)</f>
        <v>0</v>
      </c>
      <c r="HI93" s="1" t="n">
        <f aca="false">IF(B93=0,IF(DD93=1,DS93,DT93),0)</f>
        <v>0</v>
      </c>
      <c r="HJ93" s="1" t="n">
        <f aca="false">IF(AG93=1,IF(DD93=1,DZ93+EC93,AH93-GT93)*(1+Slot2_Rate),0)</f>
        <v>0</v>
      </c>
      <c r="HK93" s="1" t="n">
        <f aca="false">IF(AND(DD93=1,AG93=1),(DY93+EC93)/E93,0)</f>
        <v>0</v>
      </c>
      <c r="HL93" s="1" t="n">
        <f aca="false">IF(B93=0,DY93+EC93,0)</f>
        <v>0</v>
      </c>
      <c r="HM93" s="1" t="n">
        <f aca="false">IF(B93=0,IF(DD93=1,EA93,EB93),0)</f>
        <v>0</v>
      </c>
      <c r="HN93" s="1" t="n">
        <f aca="false">IF(AQ93=1,IF(DD93=1,EH93+EK93,AR93-GR93)*(1+Slot3_Rate),0)</f>
        <v>0</v>
      </c>
      <c r="HO93" s="1" t="n">
        <f aca="false">IF(AND(DD93=1,AQ93=1),(EG93+EK93)/E93,0)</f>
        <v>0</v>
      </c>
      <c r="HP93" s="1" t="n">
        <f aca="false">IF(B93=0,EG93+EK93,0)</f>
        <v>0</v>
      </c>
      <c r="HQ93" s="1" t="n">
        <f aca="false">IF(B93=0,IF(DD93=1,EI93,EJ93),0)</f>
        <v>0</v>
      </c>
      <c r="HR93" s="1" t="n">
        <f aca="false">IF(BA93=1,IF(DD93=1,EP93+ES93,BB93-GP93)*(1+Slot4_Rate),0)</f>
        <v>0</v>
      </c>
      <c r="HS93" s="1" t="n">
        <f aca="false">IF(AND(DD93=1,BA93=1),(EO93+ES93)/E93,0)</f>
        <v>0</v>
      </c>
      <c r="HT93" s="1" t="n">
        <f aca="false">IF(B93=0,EO93+ES93,0)</f>
        <v>0</v>
      </c>
      <c r="HU93" s="1" t="n">
        <f aca="false">IF(B93=0,IF(DD93=1,EQ93,ER93),0)</f>
        <v>0</v>
      </c>
      <c r="HV93" s="1" t="n">
        <f aca="false">IF(BK93=1,IF(DD93=1,EX93+FA93,BL93-GN93)*(1+Slot5_Rate),0)</f>
        <v>0</v>
      </c>
      <c r="HW93" s="1" t="n">
        <f aca="false">IF(AND(DD93=1,BK93=1),(EW93+FA93)/E93,0)</f>
        <v>0</v>
      </c>
      <c r="HX93" s="1" t="n">
        <f aca="false">IF(B93=0,EW93+FA93,0)</f>
        <v>0</v>
      </c>
      <c r="HY93" s="1" t="n">
        <f aca="false">IF(B93=0,IF(DD93=1,EY93,EZ93),0)</f>
        <v>0</v>
      </c>
      <c r="HZ93" s="1" t="n">
        <f aca="false">IF(BU93=1,IF(DD93=1,FF93+FI93,BV93-GL93)*(1+Slot6_Rate),0)</f>
        <v>0</v>
      </c>
      <c r="IA93" s="1" t="n">
        <f aca="false">IF(AND(DD93=1,BU93=1),(FE93+FI93)/E93,0)</f>
        <v>0</v>
      </c>
      <c r="IB93" s="1" t="n">
        <f aca="false">IF(B93=0,FE93+FI93,0)</f>
        <v>0</v>
      </c>
      <c r="IC93" s="1" t="n">
        <f aca="false">IF(B93=0,IF(DD93=1,FG93,FH93),0)</f>
        <v>0</v>
      </c>
      <c r="ID93" s="1" t="n">
        <f aca="false">IF(CE93=1,IF(DD93=1,FN93+FQ93,CF93-GJ93)*(1+Slot7_Rate),0)</f>
        <v>0</v>
      </c>
      <c r="IE93" s="1" t="n">
        <f aca="false">IF(AND(DD93=1,CE93=1),(FM93+FQ93)/E93,0)</f>
        <v>0</v>
      </c>
      <c r="IF93" s="1" t="n">
        <f aca="false">IF(B93=0,FM93+FQ93,0)</f>
        <v>0</v>
      </c>
      <c r="IG93" s="1" t="n">
        <f aca="false">IF(B93=0,IF(DD93=1,FO93,FP93),0)</f>
        <v>0</v>
      </c>
      <c r="IH93" s="1" t="n">
        <f aca="false">IF(CO93=1,IF(DD93=1,FV93+FY93,CP93-GH93)*(1+Slot8_Rate),0)</f>
        <v>0</v>
      </c>
      <c r="II93" s="1" t="n">
        <f aca="false">IF(AND(DD93=1,CO93=1),(FU93+FY93)/E93,0)</f>
        <v>0</v>
      </c>
      <c r="IJ93" s="1" t="n">
        <f aca="false">IF(B93=0,FU93+FY93,0)</f>
        <v>0</v>
      </c>
      <c r="IK93" s="1" t="n">
        <f aca="false">IF(B93=0,IF(DD93=1,FW93,FX93),0)</f>
        <v>0</v>
      </c>
      <c r="IL93" s="1" t="n">
        <f aca="false">HD93+HE93+HF93+HJ93+HN93+HR93+HV93+HZ93+ID93+IH93</f>
        <v>1334606.78668291</v>
      </c>
      <c r="IM93" s="1" t="n">
        <f aca="false">GX93+CY93</f>
        <v>0</v>
      </c>
      <c r="IN93" s="1" t="n">
        <f aca="false">H93+R93</f>
        <v>0</v>
      </c>
      <c r="IO93" s="1" t="n">
        <f aca="false">1-F93</f>
        <v>1</v>
      </c>
      <c r="IP93" s="1" t="n">
        <f aca="false">IF(AND(RG_Exists=1,F93=0,C93=1),H93,0)</f>
        <v>0</v>
      </c>
      <c r="IQ93" s="1" t="n">
        <f aca="false">IF(AND(RG_Exists=1,F93=0,C93=1),H93-MIN(GX93,H93),0)</f>
        <v>0</v>
      </c>
      <c r="IR93" s="1" t="n">
        <f aca="false">'Plan pay &amp; tax'!AD295</f>
        <v>0</v>
      </c>
      <c r="IS93" s="1" t="n">
        <f aca="false">IF(AND(C93=1,GX93&gt;MAX(PR_Short1,IN93*PR_Short2)),1,0)</f>
        <v>0</v>
      </c>
      <c r="IT93" s="1" t="n">
        <f aca="false">MIN(G93,H93+R93)</f>
        <v>0</v>
      </c>
      <c r="IU93" s="1" t="n">
        <f aca="false">GY93+MAX(0,CZ93-CY93)</f>
        <v>0</v>
      </c>
      <c r="IV93" s="1" t="n">
        <f aca="false">GX93+CY93</f>
        <v>0</v>
      </c>
      <c r="IW93" s="1" t="n">
        <f aca="false">IF(AND(C93=1,IV93&gt;0.5),1,0)</f>
        <v>0</v>
      </c>
      <c r="IX93" s="1" t="n">
        <f aca="false">IF(AND(C93=1,IW93=0,IU93&gt;0.5),1,0)</f>
        <v>0</v>
      </c>
      <c r="IY93" s="1" t="n">
        <f aca="false">IF(AND(C93=1,GX93&gt;0.5),1,0)</f>
        <v>0</v>
      </c>
      <c r="IZ93" s="1" t="n">
        <f aca="false">IF(AND(C93=1,GY93&gt;1,JF93=0),1,0)</f>
        <v>0</v>
      </c>
      <c r="JA93" s="1" t="n">
        <f aca="false">IF(AND(INT(D93/10)*10=90,B93&gt;0),80,INT(D93/10)*10)</f>
        <v>80</v>
      </c>
      <c r="JB93" s="1" t="n">
        <f aca="false">IF(B93=0,1,IF(JA93&lt;&gt;JA92,JB92+1,JB92))</f>
        <v>9</v>
      </c>
      <c r="JC93" s="1" t="n">
        <f aca="false">IF(AND(C93=1,F93=1,GX93&gt;MAX(PR_Short1,IN93*PR_Short2)),1,0)</f>
        <v>0</v>
      </c>
      <c r="JD93" s="1" t="n">
        <f aca="false">IO93*IS93</f>
        <v>0</v>
      </c>
      <c r="JE93" s="1" t="n">
        <f aca="false">IF(AND(U93=1,Slot1_PctLow=1),1,0)+IF(AND(AF93=1,Slot2_PctLow=1),1,0)+IF(AND(AP93=1,Slot3_PctLow=1),1,0)+IF(AND(AZ93=1,Slot4_PctLow=1),1,0)+IF(AND(BJ93=1,Slot5_PctLow=1),1,0)+IF(AND(BT93=1,Slot6_PctLow=1),1,0)+IF(AND(CD93=1,Slot7_PctLow=1),1,0)+IF(AND(CN93=1,Slot8_PctLow=1),1,0)</f>
        <v>0</v>
      </c>
      <c r="JF93" s="1" t="n">
        <f aca="false">IF(C93=1,IF(OR(IS93=1,JE93&gt;0),1,0),0)</f>
        <v>0</v>
      </c>
    </row>
    <row r="94" customFormat="false" ht="15" hidden="false" customHeight="false" outlineLevel="0" collapsed="false">
      <c r="B94" s="1" t="n">
        <v>86</v>
      </c>
      <c r="C94" s="1" t="n">
        <f aca="false">IF(B94&lt;=F_N,1,0)</f>
        <v>1</v>
      </c>
      <c r="D94" s="1" t="n">
        <f aca="false">'Plan pay &amp; tax'!C296</f>
        <v>86</v>
      </c>
      <c r="E94" s="106" t="n">
        <f aca="false">'Plan pay &amp; tax'!E296</f>
        <v>5.49053635500395</v>
      </c>
      <c r="F94" s="1" t="n">
        <f aca="false">'Plan pay &amp; tax'!G296</f>
        <v>0</v>
      </c>
      <c r="G94" s="1" t="n">
        <f aca="false">'Plan pay &amp; tax'!BT296-'Plan pay &amp; tax'!BS296-'Plan pay &amp; tax'!R296</f>
        <v>71217.0881963937</v>
      </c>
      <c r="H94" s="1" t="n">
        <f aca="false">IF(F94=1,F_CostsM*12,IF(RG_Exists=1,RG_Amount,F_CostsM*12*AS_RetireSpend))*E94+F_OneOffY*E94</f>
        <v>0</v>
      </c>
      <c r="I94" s="1" t="n">
        <f aca="false">DA93</f>
        <v>0</v>
      </c>
      <c r="J94" s="1" t="n">
        <f aca="false">IF(I94&gt;1,'Plan debt months'!AC94,0)</f>
        <v>0</v>
      </c>
      <c r="K94" s="1" t="n">
        <f aca="false">IF(I94&gt;1,'Plan debt months'!AB94,I94)</f>
        <v>0</v>
      </c>
      <c r="L94" s="1" t="n">
        <f aca="false">N93</f>
        <v>0</v>
      </c>
      <c r="M94" s="1" t="n">
        <f aca="false">IF(L94&gt;1,'Plan debt months'!BD94,0)</f>
        <v>0</v>
      </c>
      <c r="N94" s="1" t="n">
        <f aca="false">IF(L94&gt;1,'Plan debt months'!BC94,L94)</f>
        <v>0</v>
      </c>
      <c r="O94" s="1" t="n">
        <f aca="false">Q93</f>
        <v>0</v>
      </c>
      <c r="P94" s="1" t="n">
        <f aca="false">IF(O94&gt;1,'Plan debt months'!CE94,0)</f>
        <v>0</v>
      </c>
      <c r="Q94" s="1" t="n">
        <f aca="false">IF(O94&gt;1,'Plan debt months'!CD94,O94)</f>
        <v>0</v>
      </c>
      <c r="R94" s="1" t="n">
        <f aca="false">J94+M94+P94</f>
        <v>0</v>
      </c>
      <c r="S94" s="1" t="n">
        <f aca="false">HD93+'Plan pay &amp; tax'!Y296</f>
        <v>1334606.78668291</v>
      </c>
      <c r="T94" s="1" t="n">
        <f aca="false">HD93</f>
        <v>1334606.78668291</v>
      </c>
      <c r="U94" s="1" t="n">
        <f aca="false">IF(AND(Slot1_On=1,D94=Slot1_Age),1,0)</f>
        <v>0</v>
      </c>
      <c r="V94" s="1" t="n">
        <f aca="false">IF(AND(Slot1_On=1,Slot1_Age&gt;D94),1,0)</f>
        <v>0</v>
      </c>
      <c r="W94" s="1" t="n">
        <f aca="false">HF93</f>
        <v>0</v>
      </c>
      <c r="X94" s="1" t="n">
        <f aca="false">U94*MIN(Slot1_Cost,W94)</f>
        <v>0</v>
      </c>
      <c r="Y94" s="1" t="n">
        <f aca="false">U94*Slot1_SpendLike*MIN(Slot1_Cost-X94,S94)</f>
        <v>0</v>
      </c>
      <c r="Z94" s="1" t="n">
        <f aca="false">X94+Y94</f>
        <v>0</v>
      </c>
      <c r="AA94" s="1" t="n">
        <f aca="false">S94-Y94+U94*IF(Slot1_SpendLike=1,W94-X94,IF(Slot1_PotFree=1,W94,0))</f>
        <v>1334606.78668291</v>
      </c>
      <c r="AB94" s="1" t="n">
        <f aca="false">AE94+U94*Slot1_BufPot*W94</f>
        <v>0</v>
      </c>
      <c r="AC94" s="1" t="n">
        <f aca="false">IF(AND(U94=1,Slot1_IsMfree=1),IF(Z94&gt;=Slot1_Cost-1,0,MAX(0,K94-Z94)),K94)</f>
        <v>0</v>
      </c>
      <c r="AD94" s="1" t="n">
        <f aca="false">U94*(Slot1_Cost-Z94)</f>
        <v>0</v>
      </c>
      <c r="AE94" s="1" t="n">
        <f aca="false">HE93</f>
        <v>0</v>
      </c>
      <c r="AF94" s="1" t="n">
        <f aca="false">IF(AND(Slot2_On=1,D94=Slot2_Age),1,0)</f>
        <v>0</v>
      </c>
      <c r="AG94" s="1" t="n">
        <f aca="false">IF(AND(Slot2_On=1,Slot2_Age&gt;D94),1,0)</f>
        <v>0</v>
      </c>
      <c r="AH94" s="1" t="n">
        <f aca="false">HJ93</f>
        <v>0</v>
      </c>
      <c r="AI94" s="1" t="n">
        <f aca="false">AF94*MIN(Slot2_Cost,AH94)</f>
        <v>0</v>
      </c>
      <c r="AJ94" s="1" t="n">
        <f aca="false">AF94*Slot2_SpendLike*MIN(Slot2_Cost-AI94,AA94)</f>
        <v>0</v>
      </c>
      <c r="AK94" s="1" t="n">
        <f aca="false">AI94+AJ94</f>
        <v>0</v>
      </c>
      <c r="AL94" s="1" t="n">
        <f aca="false">AA94-AJ94+AF94*IF(Slot2_SpendLike=1,AH94-AI94,IF(Slot2_PotFree=1,AH94,0))</f>
        <v>1334606.78668291</v>
      </c>
      <c r="AM94" s="1" t="n">
        <f aca="false">AB94+AF94*Slot2_BufPot*AH94</f>
        <v>0</v>
      </c>
      <c r="AN94" s="1" t="n">
        <f aca="false">IF(AND(AF94=1,Slot2_IsMfree=1),IF(AK94&gt;=Slot2_Cost-1,0,MAX(0,AC94-AK94)),AC94)</f>
        <v>0</v>
      </c>
      <c r="AO94" s="1" t="n">
        <f aca="false">AF94*(Slot2_Cost-AK94)</f>
        <v>0</v>
      </c>
      <c r="AP94" s="1" t="n">
        <f aca="false">IF(AND(Slot3_On=1,D94=Slot3_Age),1,0)</f>
        <v>0</v>
      </c>
      <c r="AQ94" s="1" t="n">
        <f aca="false">IF(AND(Slot3_On=1,Slot3_Age&gt;D94),1,0)</f>
        <v>0</v>
      </c>
      <c r="AR94" s="1" t="n">
        <f aca="false">HN93</f>
        <v>0</v>
      </c>
      <c r="AS94" s="1" t="n">
        <f aca="false">AP94*MIN(Slot3_Cost,AR94)</f>
        <v>0</v>
      </c>
      <c r="AT94" s="1" t="n">
        <f aca="false">AP94*Slot3_SpendLike*MIN(Slot3_Cost-AS94,AL94)</f>
        <v>0</v>
      </c>
      <c r="AU94" s="1" t="n">
        <f aca="false">AS94+AT94</f>
        <v>0</v>
      </c>
      <c r="AV94" s="1" t="n">
        <f aca="false">AL94-AT94+AP94*IF(Slot3_SpendLike=1,AR94-AS94,IF(Slot3_PotFree=1,AR94,0))</f>
        <v>1334606.78668291</v>
      </c>
      <c r="AW94" s="1" t="n">
        <f aca="false">AM94+AP94*Slot3_BufPot*AR94</f>
        <v>0</v>
      </c>
      <c r="AX94" s="1" t="n">
        <f aca="false">IF(AND(AP94=1,Slot3_IsMfree=1),IF(AU94&gt;=Slot3_Cost-1,0,MAX(0,AN94-AU94)),AN94)</f>
        <v>0</v>
      </c>
      <c r="AY94" s="1" t="n">
        <f aca="false">AP94*(Slot3_Cost-AU94)</f>
        <v>0</v>
      </c>
      <c r="AZ94" s="1" t="n">
        <f aca="false">IF(AND(Slot4_On=1,D94=Slot4_Age),1,0)</f>
        <v>0</v>
      </c>
      <c r="BA94" s="1" t="n">
        <f aca="false">IF(AND(Slot4_On=1,Slot4_Age&gt;D94),1,0)</f>
        <v>0</v>
      </c>
      <c r="BB94" s="1" t="n">
        <f aca="false">HR93</f>
        <v>0</v>
      </c>
      <c r="BC94" s="1" t="n">
        <f aca="false">AZ94*MIN(Slot4_Cost,BB94)</f>
        <v>0</v>
      </c>
      <c r="BD94" s="1" t="n">
        <f aca="false">AZ94*Slot4_SpendLike*MIN(Slot4_Cost-BC94,AV94)</f>
        <v>0</v>
      </c>
      <c r="BE94" s="1" t="n">
        <f aca="false">BC94+BD94</f>
        <v>0</v>
      </c>
      <c r="BF94" s="1" t="n">
        <f aca="false">AV94-BD94+AZ94*IF(Slot4_SpendLike=1,BB94-BC94,IF(Slot4_PotFree=1,BB94,0))</f>
        <v>1334606.78668291</v>
      </c>
      <c r="BG94" s="1" t="n">
        <f aca="false">AW94+AZ94*Slot4_BufPot*BB94</f>
        <v>0</v>
      </c>
      <c r="BH94" s="1" t="n">
        <f aca="false">IF(AND(AZ94=1,Slot4_IsMfree=1),IF(BE94&gt;=Slot4_Cost-1,0,MAX(0,AX94-BE94)),AX94)</f>
        <v>0</v>
      </c>
      <c r="BI94" s="1" t="n">
        <f aca="false">AZ94*(Slot4_Cost-BE94)</f>
        <v>0</v>
      </c>
      <c r="BJ94" s="1" t="n">
        <f aca="false">IF(AND(Slot5_On=1,D94=Slot5_Age),1,0)</f>
        <v>0</v>
      </c>
      <c r="BK94" s="1" t="n">
        <f aca="false">IF(AND(Slot5_On=1,Slot5_Age&gt;D94),1,0)</f>
        <v>0</v>
      </c>
      <c r="BL94" s="1" t="n">
        <f aca="false">HV93</f>
        <v>0</v>
      </c>
      <c r="BM94" s="1" t="n">
        <f aca="false">BJ94*MIN(Slot5_Cost,BL94)</f>
        <v>0</v>
      </c>
      <c r="BN94" s="1" t="n">
        <f aca="false">BJ94*Slot5_SpendLike*MIN(Slot5_Cost-BM94,BF94)</f>
        <v>0</v>
      </c>
      <c r="BO94" s="1" t="n">
        <f aca="false">BM94+BN94</f>
        <v>0</v>
      </c>
      <c r="BP94" s="1" t="n">
        <f aca="false">BF94-BN94+BJ94*IF(Slot5_SpendLike=1,BL94-BM94,IF(Slot5_PotFree=1,BL94,0))</f>
        <v>1334606.78668291</v>
      </c>
      <c r="BQ94" s="1" t="n">
        <f aca="false">BG94+BJ94*Slot5_BufPot*BL94</f>
        <v>0</v>
      </c>
      <c r="BR94" s="1" t="n">
        <f aca="false">IF(AND(BJ94=1,Slot5_IsMfree=1),IF(BO94&gt;=Slot5_Cost-1,0,MAX(0,BH94-BO94)),BH94)</f>
        <v>0</v>
      </c>
      <c r="BS94" s="1" t="n">
        <f aca="false">BJ94*(Slot5_Cost-BO94)</f>
        <v>0</v>
      </c>
      <c r="BT94" s="1" t="n">
        <f aca="false">IF(AND(Slot6_On=1,D94=Slot6_Age),1,0)</f>
        <v>0</v>
      </c>
      <c r="BU94" s="1" t="n">
        <f aca="false">IF(AND(Slot6_On=1,Slot6_Age&gt;D94),1,0)</f>
        <v>0</v>
      </c>
      <c r="BV94" s="1" t="n">
        <f aca="false">HZ93</f>
        <v>0</v>
      </c>
      <c r="BW94" s="1" t="n">
        <f aca="false">BT94*MIN(Slot6_Cost,BV94)</f>
        <v>0</v>
      </c>
      <c r="BX94" s="1" t="n">
        <f aca="false">BT94*Slot6_SpendLike*MIN(Slot6_Cost-BW94,BP94)</f>
        <v>0</v>
      </c>
      <c r="BY94" s="1" t="n">
        <f aca="false">BW94+BX94</f>
        <v>0</v>
      </c>
      <c r="BZ94" s="1" t="n">
        <f aca="false">BP94-BX94+BT94*IF(Slot6_SpendLike=1,BV94-BW94,IF(Slot6_PotFree=1,BV94,0))</f>
        <v>1334606.78668291</v>
      </c>
      <c r="CA94" s="1" t="n">
        <f aca="false">BQ94+BT94*Slot6_BufPot*BV94</f>
        <v>0</v>
      </c>
      <c r="CB94" s="1" t="n">
        <f aca="false">IF(AND(BT94=1,Slot6_IsMfree=1),IF(BY94&gt;=Slot6_Cost-1,0,MAX(0,BR94-BY94)),BR94)</f>
        <v>0</v>
      </c>
      <c r="CC94" s="1" t="n">
        <f aca="false">BT94*(Slot6_Cost-BY94)</f>
        <v>0</v>
      </c>
      <c r="CD94" s="1" t="n">
        <f aca="false">IF(AND(Slot7_On=1,D94=Slot7_Age),1,0)</f>
        <v>0</v>
      </c>
      <c r="CE94" s="1" t="n">
        <f aca="false">IF(AND(Slot7_On=1,Slot7_Age&gt;D94),1,0)</f>
        <v>0</v>
      </c>
      <c r="CF94" s="1" t="n">
        <f aca="false">ID93</f>
        <v>0</v>
      </c>
      <c r="CG94" s="1" t="n">
        <f aca="false">CD94*MIN(Slot7_Cost,CF94)</f>
        <v>0</v>
      </c>
      <c r="CH94" s="1" t="n">
        <f aca="false">CD94*Slot7_SpendLike*MIN(Slot7_Cost-CG94,BZ94)</f>
        <v>0</v>
      </c>
      <c r="CI94" s="1" t="n">
        <f aca="false">CG94+CH94</f>
        <v>0</v>
      </c>
      <c r="CJ94" s="1" t="n">
        <f aca="false">BZ94-CH94+CD94*IF(Slot7_SpendLike=1,CF94-CG94,IF(Slot7_PotFree=1,CF94,0))</f>
        <v>1334606.78668291</v>
      </c>
      <c r="CK94" s="1" t="n">
        <f aca="false">CA94+CD94*Slot7_BufPot*CF94</f>
        <v>0</v>
      </c>
      <c r="CL94" s="1" t="n">
        <f aca="false">IF(AND(CD94=1,Slot7_IsMfree=1),IF(CI94&gt;=Slot7_Cost-1,0,MAX(0,CB94-CI94)),CB94)</f>
        <v>0</v>
      </c>
      <c r="CM94" s="1" t="n">
        <f aca="false">CD94*(Slot7_Cost-CI94)</f>
        <v>0</v>
      </c>
      <c r="CN94" s="1" t="n">
        <f aca="false">IF(AND(Slot8_On=1,D94=Slot8_Age),1,0)</f>
        <v>0</v>
      </c>
      <c r="CO94" s="1" t="n">
        <f aca="false">IF(AND(Slot8_On=1,Slot8_Age&gt;D94),1,0)</f>
        <v>0</v>
      </c>
      <c r="CP94" s="1" t="n">
        <f aca="false">IH93</f>
        <v>0</v>
      </c>
      <c r="CQ94" s="1" t="n">
        <f aca="false">CN94*MIN(Slot8_Cost,CP94)</f>
        <v>0</v>
      </c>
      <c r="CR94" s="1" t="n">
        <f aca="false">CN94*Slot8_SpendLike*MIN(Slot8_Cost-CQ94,CJ94)</f>
        <v>0</v>
      </c>
      <c r="CS94" s="1" t="n">
        <f aca="false">CQ94+CR94</f>
        <v>0</v>
      </c>
      <c r="CT94" s="1" t="n">
        <f aca="false">CJ94-CR94+CN94*IF(Slot8_SpendLike=1,CP94-CQ94,IF(Slot8_PotFree=1,CP94,0))</f>
        <v>1334606.78668291</v>
      </c>
      <c r="CU94" s="1" t="n">
        <f aca="false">CK94+CN94*Slot8_BufPot*CP94</f>
        <v>0</v>
      </c>
      <c r="CV94" s="1" t="n">
        <f aca="false">IF(AND(CN94=1,Slot8_IsMfree=1),IF(CS94&gt;=Slot8_Cost-1,0,MAX(0,CL94-CS94)),CL94)</f>
        <v>0</v>
      </c>
      <c r="CW94" s="1" t="n">
        <f aca="false">CN94*(Slot8_Cost-CS94)</f>
        <v>0</v>
      </c>
      <c r="CX94" s="1" t="n">
        <f aca="false">U94*Slot1_SpendLike*Z94+AF94*Slot2_SpendLike*AK94+AP94*Slot3_SpendLike*AU94+AZ94*Slot4_SpendLike*BE94+BJ94*Slot5_SpendLike*BO94+BT94*Slot6_SpendLike*BY94+CD94*Slot7_SpendLike*CI94+CN94*Slot8_SpendLike*CS94</f>
        <v>0</v>
      </c>
      <c r="CY94" s="1" t="n">
        <f aca="false">AD94+AO94+AY94+BI94+BS94+CC94+CM94+CW94</f>
        <v>0</v>
      </c>
      <c r="CZ94" s="1" t="n">
        <f aca="false">U94*Slot1_Cost+AF94*Slot2_Cost+AP94*Slot3_Cost+AZ94*Slot4_Cost+BJ94*Slot5_Cost+BT94*Slot6_Cost+CD94*Slot7_Cost+CN94*Slot8_Cost</f>
        <v>0</v>
      </c>
      <c r="DA94" s="1" t="n">
        <f aca="false">CV94</f>
        <v>0</v>
      </c>
      <c r="DB94" s="1" t="n">
        <f aca="false">G94-H94-R94</f>
        <v>71217.0881963937</v>
      </c>
      <c r="DC94" s="1" t="n">
        <f aca="false">IF(B94=0,IF(AND(Has_q6=1,In_q6=4),PR_ShareVaries*(MAX(0,DB94)/12),MIN(IF(Has_q6=1,CHOOSE(In_q6+1,PR_SaveB1,PR_SaveB2,PR_SaveB3,PR_SaveB4,0),AS_NoAnswer),AS_SaveShare*(MAX(0,DB94)/12))),DC93)</f>
        <v>0</v>
      </c>
      <c r="DD94" s="1" t="n">
        <f aca="false">IF(DB94&gt;=0,1,0)</f>
        <v>1</v>
      </c>
      <c r="DE94" s="1" t="n">
        <f aca="false">MAX(0,DB94/12/E94)</f>
        <v>1080.90666666667</v>
      </c>
      <c r="DF94" s="1" t="n">
        <f aca="false">IF(AND(Has_q6=1,In_q6=4),PR_ShareVaries*(DE94),MIN(IF(Has_q6=1,CHOOSE(In_q6+1,PR_SaveB1,PR_SaveB2,PR_SaveB3,PR_SaveB4,0),AS_NoAnswer),AS_SaveShare*(DE94)))</f>
        <v>300</v>
      </c>
      <c r="DG94" s="1" t="n">
        <f aca="false">IF(Has_saveM=1,IF(In_saveUp="Yes",1,IF(In_saveUp="No",0,IF(In_saveM&gt;=DC94-0.5,1,0))),0)</f>
        <v>0</v>
      </c>
      <c r="DH94" s="1" t="n">
        <f aca="false">IF(Has_saveM=1,MIN(DE94,IF(DG94=1,MAX(In_saveM,DF94),MIN(In_saveM,DF94))),DF94)</f>
        <v>300</v>
      </c>
      <c r="DI94" s="1" t="n">
        <f aca="false">IF(F94=1,DH94*12*E94,0)</f>
        <v>0</v>
      </c>
      <c r="DJ94" s="1" t="n">
        <f aca="false">MAX(0,DI94+IF(AND(WI_Retire=0,WI_M&lt;0,F94=1),WI_M*12*E94,0))</f>
        <v>0</v>
      </c>
      <c r="DK94" s="1" t="n">
        <f aca="false">Slot1_IsWG*V94+Slot2_IsWG*AG94+Slot3_IsWG*AQ94+Slot4_IsWG*BA94+Slot5_IsWG*BK94+Slot6_IsWG*BU94+Slot7_IsWG*CE94+Slot8_IsWG*CO94</f>
        <v>0</v>
      </c>
      <c r="DL94" s="1" t="n">
        <f aca="false">IF(AND(WI_Retire=0,WI_M&gt;0,F94=1,DK94&gt;=1),WI_M*12*E94,0)</f>
        <v>0</v>
      </c>
      <c r="DM94" s="1" t="n">
        <f aca="false">IF(DD94=1,MIN(DJ94,DB94),0)</f>
        <v>0</v>
      </c>
      <c r="DN94" s="1" t="n">
        <f aca="false">IF(DD94=1,MIN(DL94,DB94-DM94),0)</f>
        <v>0</v>
      </c>
      <c r="DO94" s="1" t="n">
        <f aca="false">IF(V94=1,IF(ABS((1+AS_Wage)/(1+Slot1_Rate)-1)&lt;0.000000000001,(Slot1_Age-D94)*(1+Slot1_Rate)^(Slot1_Age-D94),(1+Slot1_Rate)^(Slot1_Age-D94)*(1-((1+AS_Wage)/(1+Slot1_Rate))^(Slot1_Age-D94))/(1-(1+AS_Wage)/(1+Slot1_Rate))),1)</f>
        <v>1</v>
      </c>
      <c r="DP94" s="1" t="n">
        <f aca="false">IF(AND(DD94=1,DN94&gt;0,Slot1_IsWG=1,V94=1),MAX(0,(Slot1_Cost-W94*(1+Slot1_Rate)^(Slot1_Age-D94))/DO94),0)</f>
        <v>0</v>
      </c>
      <c r="DQ94" s="1" t="n">
        <f aca="false">IF(AND(DD94=1,DN94&gt;0,Slot1_IsWG=1,V94=1),MIN(DN94,DP94),0)</f>
        <v>0</v>
      </c>
      <c r="DR94" s="1" t="n">
        <f aca="false">W94+DQ94</f>
        <v>0</v>
      </c>
      <c r="DS94" s="1" t="n">
        <f aca="false">IF(V94=1,MAX(0,(Slot1_Cost-DR94*(1+Slot1_Rate)^(Slot1_Age-D94))/DO94),0)</f>
        <v>0</v>
      </c>
      <c r="DT94" s="1" t="n">
        <f aca="false">IF(V94=1,MAX(0,(Slot1_Cost-W94*(1+Slot1_Rate)^(Slot1_Age-D94))/DO94),0)</f>
        <v>0</v>
      </c>
      <c r="DU94" s="1" t="n">
        <f aca="false">IF(AND(DD94=1,V94=1),MIN(DM94,DS94),0)</f>
        <v>0</v>
      </c>
      <c r="DV94" s="1" t="n">
        <f aca="false">DM94-DU94</f>
        <v>0</v>
      </c>
      <c r="DW94" s="1" t="n">
        <f aca="false">IF(AG94=1,IF(ABS((1+AS_Wage)/(1+Slot2_Rate)-1)&lt;0.000000000001,(Slot2_Age-D94)*(1+Slot2_Rate)^(Slot2_Age-D94),(1+Slot2_Rate)^(Slot2_Age-D94)*(1-((1+AS_Wage)/(1+Slot2_Rate))^(Slot2_Age-D94))/(1-(1+AS_Wage)/(1+Slot2_Rate))),1)</f>
        <v>1</v>
      </c>
      <c r="DX94" s="1" t="n">
        <f aca="false">IF(AND(DD94=1,DN94&gt;0,Slot2_IsWG=1,AG94=1),MAX(0,(Slot2_Cost-AH94*(1+Slot2_Rate)^(Slot2_Age-D94))/DW94),0)</f>
        <v>0</v>
      </c>
      <c r="DY94" s="1" t="n">
        <f aca="false">IF(AND(DD94=1,DN94&gt;0,Slot2_IsWG=1,AG94=1),MIN(DN94,DX94),0)</f>
        <v>0</v>
      </c>
      <c r="DZ94" s="1" t="n">
        <f aca="false">AH94+DY94</f>
        <v>0</v>
      </c>
      <c r="EA94" s="1" t="n">
        <f aca="false">IF(AG94=1,MAX(0,(Slot2_Cost-DZ94*(1+Slot2_Rate)^(Slot2_Age-D94))/DW94),0)</f>
        <v>0</v>
      </c>
      <c r="EB94" s="1" t="n">
        <f aca="false">IF(AG94=1,MAX(0,(Slot2_Cost-AH94*(1+Slot2_Rate)^(Slot2_Age-D94))/DW94),0)</f>
        <v>0</v>
      </c>
      <c r="EC94" s="1" t="n">
        <f aca="false">IF(AND(DD94=1,AG94=1),MIN(DV94,EA94),0)</f>
        <v>0</v>
      </c>
      <c r="ED94" s="1" t="n">
        <f aca="false">DV94-EC94</f>
        <v>0</v>
      </c>
      <c r="EE94" s="1" t="n">
        <f aca="false">IF(AQ94=1,IF(ABS((1+AS_Wage)/(1+Slot3_Rate)-1)&lt;0.000000000001,(Slot3_Age-D94)*(1+Slot3_Rate)^(Slot3_Age-D94),(1+Slot3_Rate)^(Slot3_Age-D94)*(1-((1+AS_Wage)/(1+Slot3_Rate))^(Slot3_Age-D94))/(1-(1+AS_Wage)/(1+Slot3_Rate))),1)</f>
        <v>1</v>
      </c>
      <c r="EF94" s="1" t="n">
        <f aca="false">IF(AND(DD94=1,DN94&gt;0,Slot3_IsWG=1,AQ94=1),MAX(0,(Slot3_Cost-AR94*(1+Slot3_Rate)^(Slot3_Age-D94))/EE94),0)</f>
        <v>0</v>
      </c>
      <c r="EG94" s="1" t="n">
        <f aca="false">IF(AND(DD94=1,DN94&gt;0,Slot3_IsWG=1,AQ94=1),MIN(DN94,EF94),0)</f>
        <v>0</v>
      </c>
      <c r="EH94" s="1" t="n">
        <f aca="false">AR94+EG94</f>
        <v>0</v>
      </c>
      <c r="EI94" s="1" t="n">
        <f aca="false">IF(AQ94=1,MAX(0,(Slot3_Cost-EH94*(1+Slot3_Rate)^(Slot3_Age-D94))/EE94),0)</f>
        <v>0</v>
      </c>
      <c r="EJ94" s="1" t="n">
        <f aca="false">IF(AQ94=1,MAX(0,(Slot3_Cost-AR94*(1+Slot3_Rate)^(Slot3_Age-D94))/EE94),0)</f>
        <v>0</v>
      </c>
      <c r="EK94" s="1" t="n">
        <f aca="false">IF(AND(DD94=1,AQ94=1),MIN(ED94,EI94),0)</f>
        <v>0</v>
      </c>
      <c r="EL94" s="1" t="n">
        <f aca="false">ED94-EK94</f>
        <v>0</v>
      </c>
      <c r="EM94" s="1" t="n">
        <f aca="false">IF(BA94=1,IF(ABS((1+AS_Wage)/(1+Slot4_Rate)-1)&lt;0.000000000001,(Slot4_Age-D94)*(1+Slot4_Rate)^(Slot4_Age-D94),(1+Slot4_Rate)^(Slot4_Age-D94)*(1-((1+AS_Wage)/(1+Slot4_Rate))^(Slot4_Age-D94))/(1-(1+AS_Wage)/(1+Slot4_Rate))),1)</f>
        <v>1</v>
      </c>
      <c r="EN94" s="1" t="n">
        <f aca="false">IF(AND(DD94=1,DN94&gt;0,Slot4_IsWG=1,BA94=1),MAX(0,(Slot4_Cost-BB94*(1+Slot4_Rate)^(Slot4_Age-D94))/EM94),0)</f>
        <v>0</v>
      </c>
      <c r="EO94" s="1" t="n">
        <f aca="false">IF(AND(DD94=1,DN94&gt;0,Slot4_IsWG=1,BA94=1),MIN(DN94,EN94),0)</f>
        <v>0</v>
      </c>
      <c r="EP94" s="1" t="n">
        <f aca="false">BB94+EO94</f>
        <v>0</v>
      </c>
      <c r="EQ94" s="1" t="n">
        <f aca="false">IF(BA94=1,MAX(0,(Slot4_Cost-EP94*(1+Slot4_Rate)^(Slot4_Age-D94))/EM94),0)</f>
        <v>0</v>
      </c>
      <c r="ER94" s="1" t="n">
        <f aca="false">IF(BA94=1,MAX(0,(Slot4_Cost-BB94*(1+Slot4_Rate)^(Slot4_Age-D94))/EM94),0)</f>
        <v>0</v>
      </c>
      <c r="ES94" s="1" t="n">
        <f aca="false">IF(AND(DD94=1,BA94=1),MIN(EL94,EQ94),0)</f>
        <v>0</v>
      </c>
      <c r="ET94" s="1" t="n">
        <f aca="false">EL94-ES94</f>
        <v>0</v>
      </c>
      <c r="EU94" s="1" t="n">
        <f aca="false">IF(BK94=1,IF(ABS((1+AS_Wage)/(1+Slot5_Rate)-1)&lt;0.000000000001,(Slot5_Age-D94)*(1+Slot5_Rate)^(Slot5_Age-D94),(1+Slot5_Rate)^(Slot5_Age-D94)*(1-((1+AS_Wage)/(1+Slot5_Rate))^(Slot5_Age-D94))/(1-(1+AS_Wage)/(1+Slot5_Rate))),1)</f>
        <v>1</v>
      </c>
      <c r="EV94" s="1" t="n">
        <f aca="false">IF(AND(DD94=1,DN94&gt;0,Slot5_IsWG=1,BK94=1),MAX(0,(Slot5_Cost-BL94*(1+Slot5_Rate)^(Slot5_Age-D94))/EU94),0)</f>
        <v>0</v>
      </c>
      <c r="EW94" s="1" t="n">
        <f aca="false">IF(AND(DD94=1,DN94&gt;0,Slot5_IsWG=1,BK94=1),MIN(DN94,EV94),0)</f>
        <v>0</v>
      </c>
      <c r="EX94" s="1" t="n">
        <f aca="false">BL94+EW94</f>
        <v>0</v>
      </c>
      <c r="EY94" s="1" t="n">
        <f aca="false">IF(BK94=1,MAX(0,(Slot5_Cost-EX94*(1+Slot5_Rate)^(Slot5_Age-D94))/EU94),0)</f>
        <v>0</v>
      </c>
      <c r="EZ94" s="1" t="n">
        <f aca="false">IF(BK94=1,MAX(0,(Slot5_Cost-BL94*(1+Slot5_Rate)^(Slot5_Age-D94))/EU94),0)</f>
        <v>0</v>
      </c>
      <c r="FA94" s="1" t="n">
        <f aca="false">IF(AND(DD94=1,BK94=1),MIN(ET94,EY94),0)</f>
        <v>0</v>
      </c>
      <c r="FB94" s="1" t="n">
        <f aca="false">ET94-FA94</f>
        <v>0</v>
      </c>
      <c r="FC94" s="1" t="n">
        <f aca="false">IF(BU94=1,IF(ABS((1+AS_Wage)/(1+Slot6_Rate)-1)&lt;0.000000000001,(Slot6_Age-D94)*(1+Slot6_Rate)^(Slot6_Age-D94),(1+Slot6_Rate)^(Slot6_Age-D94)*(1-((1+AS_Wage)/(1+Slot6_Rate))^(Slot6_Age-D94))/(1-(1+AS_Wage)/(1+Slot6_Rate))),1)</f>
        <v>1</v>
      </c>
      <c r="FD94" s="1" t="n">
        <f aca="false">IF(AND(DD94=1,DN94&gt;0,Slot6_IsWG=1,BU94=1),MAX(0,(Slot6_Cost-BV94*(1+Slot6_Rate)^(Slot6_Age-D94))/FC94),0)</f>
        <v>0</v>
      </c>
      <c r="FE94" s="1" t="n">
        <f aca="false">IF(AND(DD94=1,DN94&gt;0,Slot6_IsWG=1,BU94=1),MIN(DN94,FD94),0)</f>
        <v>0</v>
      </c>
      <c r="FF94" s="1" t="n">
        <f aca="false">BV94+FE94</f>
        <v>0</v>
      </c>
      <c r="FG94" s="1" t="n">
        <f aca="false">IF(BU94=1,MAX(0,(Slot6_Cost-FF94*(1+Slot6_Rate)^(Slot6_Age-D94))/FC94),0)</f>
        <v>0</v>
      </c>
      <c r="FH94" s="1" t="n">
        <f aca="false">IF(BU94=1,MAX(0,(Slot6_Cost-BV94*(1+Slot6_Rate)^(Slot6_Age-D94))/FC94),0)</f>
        <v>0</v>
      </c>
      <c r="FI94" s="1" t="n">
        <f aca="false">IF(AND(DD94=1,BU94=1),MIN(FB94,FG94),0)</f>
        <v>0</v>
      </c>
      <c r="FJ94" s="1" t="n">
        <f aca="false">FB94-FI94</f>
        <v>0</v>
      </c>
      <c r="FK94" s="1" t="n">
        <f aca="false">IF(CE94=1,IF(ABS((1+AS_Wage)/(1+Slot7_Rate)-1)&lt;0.000000000001,(Slot7_Age-D94)*(1+Slot7_Rate)^(Slot7_Age-D94),(1+Slot7_Rate)^(Slot7_Age-D94)*(1-((1+AS_Wage)/(1+Slot7_Rate))^(Slot7_Age-D94))/(1-(1+AS_Wage)/(1+Slot7_Rate))),1)</f>
        <v>1</v>
      </c>
      <c r="FL94" s="1" t="n">
        <f aca="false">IF(AND(DD94=1,DN94&gt;0,Slot7_IsWG=1,CE94=1),MAX(0,(Slot7_Cost-CF94*(1+Slot7_Rate)^(Slot7_Age-D94))/FK94),0)</f>
        <v>0</v>
      </c>
      <c r="FM94" s="1" t="n">
        <f aca="false">IF(AND(DD94=1,DN94&gt;0,Slot7_IsWG=1,CE94=1),MIN(DN94,FL94),0)</f>
        <v>0</v>
      </c>
      <c r="FN94" s="1" t="n">
        <f aca="false">CF94+FM94</f>
        <v>0</v>
      </c>
      <c r="FO94" s="1" t="n">
        <f aca="false">IF(CE94=1,MAX(0,(Slot7_Cost-FN94*(1+Slot7_Rate)^(Slot7_Age-D94))/FK94),0)</f>
        <v>0</v>
      </c>
      <c r="FP94" s="1" t="n">
        <f aca="false">IF(CE94=1,MAX(0,(Slot7_Cost-CF94*(1+Slot7_Rate)^(Slot7_Age-D94))/FK94),0)</f>
        <v>0</v>
      </c>
      <c r="FQ94" s="1" t="n">
        <f aca="false">IF(AND(DD94=1,CE94=1),MIN(FJ94,FO94),0)</f>
        <v>0</v>
      </c>
      <c r="FR94" s="1" t="n">
        <f aca="false">FJ94-FQ94</f>
        <v>0</v>
      </c>
      <c r="FS94" s="1" t="n">
        <f aca="false">IF(CO94=1,IF(ABS((1+AS_Wage)/(1+Slot8_Rate)-1)&lt;0.000000000001,(Slot8_Age-D94)*(1+Slot8_Rate)^(Slot8_Age-D94),(1+Slot8_Rate)^(Slot8_Age-D94)*(1-((1+AS_Wage)/(1+Slot8_Rate))^(Slot8_Age-D94))/(1-(1+AS_Wage)/(1+Slot8_Rate))),1)</f>
        <v>1</v>
      </c>
      <c r="FT94" s="1" t="n">
        <f aca="false">IF(AND(DD94=1,DN94&gt;0,Slot8_IsWG=1,CO94=1),MAX(0,(Slot8_Cost-CP94*(1+Slot8_Rate)^(Slot8_Age-D94))/FS94),0)</f>
        <v>0</v>
      </c>
      <c r="FU94" s="1" t="n">
        <f aca="false">IF(AND(DD94=1,DN94&gt;0,Slot8_IsWG=1,CO94=1),MIN(DN94,FT94),0)</f>
        <v>0</v>
      </c>
      <c r="FV94" s="1" t="n">
        <f aca="false">CP94+FU94</f>
        <v>0</v>
      </c>
      <c r="FW94" s="1" t="n">
        <f aca="false">IF(CO94=1,MAX(0,(Slot8_Cost-FV94*(1+Slot8_Rate)^(Slot8_Age-D94))/FS94),0)</f>
        <v>0</v>
      </c>
      <c r="FX94" s="1" t="n">
        <f aca="false">IF(CO94=1,MAX(0,(Slot8_Cost-CP94*(1+Slot8_Rate)^(Slot8_Age-D94))/FS94),0)</f>
        <v>0</v>
      </c>
      <c r="FY94" s="1" t="n">
        <f aca="false">IF(AND(DD94=1,CO94=1),MIN(FR94,FW94),0)</f>
        <v>0</v>
      </c>
      <c r="FZ94" s="1" t="n">
        <f aca="false">FR94-FY94</f>
        <v>0</v>
      </c>
      <c r="GA94" s="1" t="n">
        <f aca="false">DN94-(DQ94+DY94+EG94+EO94+EW94+FE94+FM94+FU94)</f>
        <v>0</v>
      </c>
      <c r="GB94" s="1" t="n">
        <f aca="false">IF(DD94=1,DB94-DM94-DN94,0)</f>
        <v>71217.0881963937</v>
      </c>
      <c r="GC94" s="1" t="n">
        <f aca="false">IF(DD94=0,-DB94,0)</f>
        <v>0</v>
      </c>
      <c r="GD94" s="1" t="n">
        <f aca="false">MIN(GC94,CT94)</f>
        <v>0</v>
      </c>
      <c r="GE94" s="1" t="n">
        <f aca="false">GC94-GD94</f>
        <v>0</v>
      </c>
      <c r="GF94" s="1" t="n">
        <f aca="false">MIN(GE94,CU94)</f>
        <v>0</v>
      </c>
      <c r="GG94" s="1" t="n">
        <f aca="false">GE94-GF94</f>
        <v>0</v>
      </c>
      <c r="GH94" s="1" t="n">
        <f aca="false">IF(AND(DD94=0,CO94=1,GG94&gt;0),MIN(GG94,CP94),0)</f>
        <v>0</v>
      </c>
      <c r="GI94" s="1" t="n">
        <f aca="false">GG94-GH94</f>
        <v>0</v>
      </c>
      <c r="GJ94" s="1" t="n">
        <f aca="false">IF(AND(DD94=0,CE94=1,GI94&gt;0),MIN(GI94,CF94),0)</f>
        <v>0</v>
      </c>
      <c r="GK94" s="1" t="n">
        <f aca="false">GI94-GJ94</f>
        <v>0</v>
      </c>
      <c r="GL94" s="1" t="n">
        <f aca="false">IF(AND(DD94=0,BU94=1,GK94&gt;0),MIN(GK94,BV94),0)</f>
        <v>0</v>
      </c>
      <c r="GM94" s="1" t="n">
        <f aca="false">GK94-GL94</f>
        <v>0</v>
      </c>
      <c r="GN94" s="1" t="n">
        <f aca="false">IF(AND(DD94=0,BK94=1,GM94&gt;0),MIN(GM94,BL94),0)</f>
        <v>0</v>
      </c>
      <c r="GO94" s="1" t="n">
        <f aca="false">GM94-GN94</f>
        <v>0</v>
      </c>
      <c r="GP94" s="1" t="n">
        <f aca="false">IF(AND(DD94=0,BA94=1,GO94&gt;0),MIN(GO94,BB94),0)</f>
        <v>0</v>
      </c>
      <c r="GQ94" s="1" t="n">
        <f aca="false">GO94-GP94</f>
        <v>0</v>
      </c>
      <c r="GR94" s="1" t="n">
        <f aca="false">IF(AND(DD94=0,AQ94=1,GQ94&gt;0),MIN(GQ94,AR94),0)</f>
        <v>0</v>
      </c>
      <c r="GS94" s="1" t="n">
        <f aca="false">GQ94-GR94</f>
        <v>0</v>
      </c>
      <c r="GT94" s="1" t="n">
        <f aca="false">IF(AND(DD94=0,AG94=1,GS94&gt;0),MIN(GS94,AH94),0)</f>
        <v>0</v>
      </c>
      <c r="GU94" s="1" t="n">
        <f aca="false">GS94-GT94</f>
        <v>0</v>
      </c>
      <c r="GV94" s="1" t="n">
        <f aca="false">IF(AND(DD94=0,V94=1,GU94&gt;0),MIN(GU94,W94),0)</f>
        <v>0</v>
      </c>
      <c r="GW94" s="1" t="n">
        <f aca="false">GU94-GV94</f>
        <v>0</v>
      </c>
      <c r="GX94" s="1" t="n">
        <f aca="false">IF(DD94=0,GW94,0)</f>
        <v>0</v>
      </c>
      <c r="GY94" s="1" t="n">
        <f aca="false">GD94+GF94+GV94+GT94+GR94+GP94+GN94+GL94+GJ94+GH94</f>
        <v>0</v>
      </c>
      <c r="GZ94" s="1" t="n">
        <f aca="false">IF(DD94=1,CT94+GA94+FZ94+IF(F94=1,0,GB94),CT94-GD94)</f>
        <v>1405823.8748793</v>
      </c>
      <c r="HA94" s="1" t="n">
        <f aca="false">CU94-GF94</f>
        <v>0</v>
      </c>
      <c r="HB94" s="1" t="n">
        <f aca="false">IF(DD94=1,IF(F94=1,DM94+DN94,DB94),0)</f>
        <v>71217.0881963937</v>
      </c>
      <c r="HC94" s="1" t="n">
        <f aca="false">IF(DD94=1,IF(F94=1,DB94-DM94-DN94,0),0)</f>
        <v>0</v>
      </c>
      <c r="HD94" s="1" t="n">
        <f aca="false">GZ94*(1+GR)</f>
        <v>1428879.38642732</v>
      </c>
      <c r="HE94" s="1" t="n">
        <f aca="false">HA94*(1+AS_Cash)</f>
        <v>0</v>
      </c>
      <c r="HF94" s="1" t="n">
        <f aca="false">IF(V94=1,IF(DD94=1,DR94+DU94,W94-GV94)*(1+Slot1_Rate),0)</f>
        <v>0</v>
      </c>
      <c r="HG94" s="1" t="n">
        <f aca="false">IF(AND(DD94=1,V94=1),(DQ94+DU94)/E94,0)</f>
        <v>0</v>
      </c>
      <c r="HH94" s="1" t="n">
        <f aca="false">IF(B94=0,DQ94+DU94,0)</f>
        <v>0</v>
      </c>
      <c r="HI94" s="1" t="n">
        <f aca="false">IF(B94=0,IF(DD94=1,DS94,DT94),0)</f>
        <v>0</v>
      </c>
      <c r="HJ94" s="1" t="n">
        <f aca="false">IF(AG94=1,IF(DD94=1,DZ94+EC94,AH94-GT94)*(1+Slot2_Rate),0)</f>
        <v>0</v>
      </c>
      <c r="HK94" s="1" t="n">
        <f aca="false">IF(AND(DD94=1,AG94=1),(DY94+EC94)/E94,0)</f>
        <v>0</v>
      </c>
      <c r="HL94" s="1" t="n">
        <f aca="false">IF(B94=0,DY94+EC94,0)</f>
        <v>0</v>
      </c>
      <c r="HM94" s="1" t="n">
        <f aca="false">IF(B94=0,IF(DD94=1,EA94,EB94),0)</f>
        <v>0</v>
      </c>
      <c r="HN94" s="1" t="n">
        <f aca="false">IF(AQ94=1,IF(DD94=1,EH94+EK94,AR94-GR94)*(1+Slot3_Rate),0)</f>
        <v>0</v>
      </c>
      <c r="HO94" s="1" t="n">
        <f aca="false">IF(AND(DD94=1,AQ94=1),(EG94+EK94)/E94,0)</f>
        <v>0</v>
      </c>
      <c r="HP94" s="1" t="n">
        <f aca="false">IF(B94=0,EG94+EK94,0)</f>
        <v>0</v>
      </c>
      <c r="HQ94" s="1" t="n">
        <f aca="false">IF(B94=0,IF(DD94=1,EI94,EJ94),0)</f>
        <v>0</v>
      </c>
      <c r="HR94" s="1" t="n">
        <f aca="false">IF(BA94=1,IF(DD94=1,EP94+ES94,BB94-GP94)*(1+Slot4_Rate),0)</f>
        <v>0</v>
      </c>
      <c r="HS94" s="1" t="n">
        <f aca="false">IF(AND(DD94=1,BA94=1),(EO94+ES94)/E94,0)</f>
        <v>0</v>
      </c>
      <c r="HT94" s="1" t="n">
        <f aca="false">IF(B94=0,EO94+ES94,0)</f>
        <v>0</v>
      </c>
      <c r="HU94" s="1" t="n">
        <f aca="false">IF(B94=0,IF(DD94=1,EQ94,ER94),0)</f>
        <v>0</v>
      </c>
      <c r="HV94" s="1" t="n">
        <f aca="false">IF(BK94=1,IF(DD94=1,EX94+FA94,BL94-GN94)*(1+Slot5_Rate),0)</f>
        <v>0</v>
      </c>
      <c r="HW94" s="1" t="n">
        <f aca="false">IF(AND(DD94=1,BK94=1),(EW94+FA94)/E94,0)</f>
        <v>0</v>
      </c>
      <c r="HX94" s="1" t="n">
        <f aca="false">IF(B94=0,EW94+FA94,0)</f>
        <v>0</v>
      </c>
      <c r="HY94" s="1" t="n">
        <f aca="false">IF(B94=0,IF(DD94=1,EY94,EZ94),0)</f>
        <v>0</v>
      </c>
      <c r="HZ94" s="1" t="n">
        <f aca="false">IF(BU94=1,IF(DD94=1,FF94+FI94,BV94-GL94)*(1+Slot6_Rate),0)</f>
        <v>0</v>
      </c>
      <c r="IA94" s="1" t="n">
        <f aca="false">IF(AND(DD94=1,BU94=1),(FE94+FI94)/E94,0)</f>
        <v>0</v>
      </c>
      <c r="IB94" s="1" t="n">
        <f aca="false">IF(B94=0,FE94+FI94,0)</f>
        <v>0</v>
      </c>
      <c r="IC94" s="1" t="n">
        <f aca="false">IF(B94=0,IF(DD94=1,FG94,FH94),0)</f>
        <v>0</v>
      </c>
      <c r="ID94" s="1" t="n">
        <f aca="false">IF(CE94=1,IF(DD94=1,FN94+FQ94,CF94-GJ94)*(1+Slot7_Rate),0)</f>
        <v>0</v>
      </c>
      <c r="IE94" s="1" t="n">
        <f aca="false">IF(AND(DD94=1,CE94=1),(FM94+FQ94)/E94,0)</f>
        <v>0</v>
      </c>
      <c r="IF94" s="1" t="n">
        <f aca="false">IF(B94=0,FM94+FQ94,0)</f>
        <v>0</v>
      </c>
      <c r="IG94" s="1" t="n">
        <f aca="false">IF(B94=0,IF(DD94=1,FO94,FP94),0)</f>
        <v>0</v>
      </c>
      <c r="IH94" s="1" t="n">
        <f aca="false">IF(CO94=1,IF(DD94=1,FV94+FY94,CP94-GH94)*(1+Slot8_Rate),0)</f>
        <v>0</v>
      </c>
      <c r="II94" s="1" t="n">
        <f aca="false">IF(AND(DD94=1,CO94=1),(FU94+FY94)/E94,0)</f>
        <v>0</v>
      </c>
      <c r="IJ94" s="1" t="n">
        <f aca="false">IF(B94=0,FU94+FY94,0)</f>
        <v>0</v>
      </c>
      <c r="IK94" s="1" t="n">
        <f aca="false">IF(B94=0,IF(DD94=1,FW94,FX94),0)</f>
        <v>0</v>
      </c>
      <c r="IL94" s="1" t="n">
        <f aca="false">HD94+HE94+HF94+HJ94+HN94+HR94+HV94+HZ94+ID94+IH94</f>
        <v>1428879.38642732</v>
      </c>
      <c r="IM94" s="1" t="n">
        <f aca="false">GX94+CY94</f>
        <v>0</v>
      </c>
      <c r="IN94" s="1" t="n">
        <f aca="false">H94+R94</f>
        <v>0</v>
      </c>
      <c r="IO94" s="1" t="n">
        <f aca="false">1-F94</f>
        <v>1</v>
      </c>
      <c r="IP94" s="1" t="n">
        <f aca="false">IF(AND(RG_Exists=1,F94=0,C94=1),H94,0)</f>
        <v>0</v>
      </c>
      <c r="IQ94" s="1" t="n">
        <f aca="false">IF(AND(RG_Exists=1,F94=0,C94=1),H94-MIN(GX94,H94),0)</f>
        <v>0</v>
      </c>
      <c r="IR94" s="1" t="n">
        <f aca="false">'Plan pay &amp; tax'!AD296</f>
        <v>0</v>
      </c>
      <c r="IS94" s="1" t="n">
        <f aca="false">IF(AND(C94=1,GX94&gt;MAX(PR_Short1,IN94*PR_Short2)),1,0)</f>
        <v>0</v>
      </c>
      <c r="IT94" s="1" t="n">
        <f aca="false">MIN(G94,H94+R94)</f>
        <v>0</v>
      </c>
      <c r="IU94" s="1" t="n">
        <f aca="false">GY94+MAX(0,CZ94-CY94)</f>
        <v>0</v>
      </c>
      <c r="IV94" s="1" t="n">
        <f aca="false">GX94+CY94</f>
        <v>0</v>
      </c>
      <c r="IW94" s="1" t="n">
        <f aca="false">IF(AND(C94=1,IV94&gt;0.5),1,0)</f>
        <v>0</v>
      </c>
      <c r="IX94" s="1" t="n">
        <f aca="false">IF(AND(C94=1,IW94=0,IU94&gt;0.5),1,0)</f>
        <v>0</v>
      </c>
      <c r="IY94" s="1" t="n">
        <f aca="false">IF(AND(C94=1,GX94&gt;0.5),1,0)</f>
        <v>0</v>
      </c>
      <c r="IZ94" s="1" t="n">
        <f aca="false">IF(AND(C94=1,GY94&gt;1,JF94=0),1,0)</f>
        <v>0</v>
      </c>
      <c r="JA94" s="1" t="n">
        <f aca="false">IF(AND(INT(D94/10)*10=90,B94&gt;0),80,INT(D94/10)*10)</f>
        <v>80</v>
      </c>
      <c r="JB94" s="1" t="n">
        <f aca="false">IF(B94=0,1,IF(JA94&lt;&gt;JA93,JB93+1,JB93))</f>
        <v>9</v>
      </c>
      <c r="JC94" s="1" t="n">
        <f aca="false">IF(AND(C94=1,F94=1,GX94&gt;MAX(PR_Short1,IN94*PR_Short2)),1,0)</f>
        <v>0</v>
      </c>
      <c r="JD94" s="1" t="n">
        <f aca="false">IO94*IS94</f>
        <v>0</v>
      </c>
      <c r="JE94" s="1" t="n">
        <f aca="false">IF(AND(U94=1,Slot1_PctLow=1),1,0)+IF(AND(AF94=1,Slot2_PctLow=1),1,0)+IF(AND(AP94=1,Slot3_PctLow=1),1,0)+IF(AND(AZ94=1,Slot4_PctLow=1),1,0)+IF(AND(BJ94=1,Slot5_PctLow=1),1,0)+IF(AND(BT94=1,Slot6_PctLow=1),1,0)+IF(AND(CD94=1,Slot7_PctLow=1),1,0)+IF(AND(CN94=1,Slot8_PctLow=1),1,0)</f>
        <v>0</v>
      </c>
      <c r="JF94" s="1" t="n">
        <f aca="false">IF(C94=1,IF(OR(IS94=1,JE94&gt;0),1,0),0)</f>
        <v>0</v>
      </c>
    </row>
    <row r="95" customFormat="false" ht="15" hidden="false" customHeight="false" outlineLevel="0" collapsed="false">
      <c r="B95" s="1" t="n">
        <v>87</v>
      </c>
      <c r="C95" s="1" t="n">
        <f aca="false">IF(B95&lt;=F_N,1,0)</f>
        <v>1</v>
      </c>
      <c r="D95" s="1" t="n">
        <f aca="false">'Plan pay &amp; tax'!C297</f>
        <v>87</v>
      </c>
      <c r="E95" s="106" t="n">
        <f aca="false">'Plan pay &amp; tax'!E297</f>
        <v>5.60034708210403</v>
      </c>
      <c r="F95" s="1" t="n">
        <f aca="false">'Plan pay &amp; tax'!G297</f>
        <v>0</v>
      </c>
      <c r="G95" s="1" t="n">
        <f aca="false">'Plan pay &amp; tax'!BT297-'Plan pay &amp; tax'!BS297-'Plan pay &amp; tax'!R297</f>
        <v>72641.4299603216</v>
      </c>
      <c r="H95" s="1" t="n">
        <f aca="false">IF(F95=1,F_CostsM*12,IF(RG_Exists=1,RG_Amount,F_CostsM*12*AS_RetireSpend))*E95+F_OneOffY*E95</f>
        <v>0</v>
      </c>
      <c r="I95" s="1" t="n">
        <f aca="false">DA94</f>
        <v>0</v>
      </c>
      <c r="J95" s="1" t="n">
        <f aca="false">IF(I95&gt;1,'Plan debt months'!AC95,0)</f>
        <v>0</v>
      </c>
      <c r="K95" s="1" t="n">
        <f aca="false">IF(I95&gt;1,'Plan debt months'!AB95,I95)</f>
        <v>0</v>
      </c>
      <c r="L95" s="1" t="n">
        <f aca="false">N94</f>
        <v>0</v>
      </c>
      <c r="M95" s="1" t="n">
        <f aca="false">IF(L95&gt;1,'Plan debt months'!BD95,0)</f>
        <v>0</v>
      </c>
      <c r="N95" s="1" t="n">
        <f aca="false">IF(L95&gt;1,'Plan debt months'!BC95,L95)</f>
        <v>0</v>
      </c>
      <c r="O95" s="1" t="n">
        <f aca="false">Q94</f>
        <v>0</v>
      </c>
      <c r="P95" s="1" t="n">
        <f aca="false">IF(O95&gt;1,'Plan debt months'!CE95,0)</f>
        <v>0</v>
      </c>
      <c r="Q95" s="1" t="n">
        <f aca="false">IF(O95&gt;1,'Plan debt months'!CD95,O95)</f>
        <v>0</v>
      </c>
      <c r="R95" s="1" t="n">
        <f aca="false">J95+M95+P95</f>
        <v>0</v>
      </c>
      <c r="S95" s="1" t="n">
        <f aca="false">HD94+'Plan pay &amp; tax'!Y297</f>
        <v>1428879.38642732</v>
      </c>
      <c r="T95" s="1" t="n">
        <f aca="false">HD94</f>
        <v>1428879.38642732</v>
      </c>
      <c r="U95" s="1" t="n">
        <f aca="false">IF(AND(Slot1_On=1,D95=Slot1_Age),1,0)</f>
        <v>0</v>
      </c>
      <c r="V95" s="1" t="n">
        <f aca="false">IF(AND(Slot1_On=1,Slot1_Age&gt;D95),1,0)</f>
        <v>0</v>
      </c>
      <c r="W95" s="1" t="n">
        <f aca="false">HF94</f>
        <v>0</v>
      </c>
      <c r="X95" s="1" t="n">
        <f aca="false">U95*MIN(Slot1_Cost,W95)</f>
        <v>0</v>
      </c>
      <c r="Y95" s="1" t="n">
        <f aca="false">U95*Slot1_SpendLike*MIN(Slot1_Cost-X95,S95)</f>
        <v>0</v>
      </c>
      <c r="Z95" s="1" t="n">
        <f aca="false">X95+Y95</f>
        <v>0</v>
      </c>
      <c r="AA95" s="1" t="n">
        <f aca="false">S95-Y95+U95*IF(Slot1_SpendLike=1,W95-X95,IF(Slot1_PotFree=1,W95,0))</f>
        <v>1428879.38642732</v>
      </c>
      <c r="AB95" s="1" t="n">
        <f aca="false">AE95+U95*Slot1_BufPot*W95</f>
        <v>0</v>
      </c>
      <c r="AC95" s="1" t="n">
        <f aca="false">IF(AND(U95=1,Slot1_IsMfree=1),IF(Z95&gt;=Slot1_Cost-1,0,MAX(0,K95-Z95)),K95)</f>
        <v>0</v>
      </c>
      <c r="AD95" s="1" t="n">
        <f aca="false">U95*(Slot1_Cost-Z95)</f>
        <v>0</v>
      </c>
      <c r="AE95" s="1" t="n">
        <f aca="false">HE94</f>
        <v>0</v>
      </c>
      <c r="AF95" s="1" t="n">
        <f aca="false">IF(AND(Slot2_On=1,D95=Slot2_Age),1,0)</f>
        <v>0</v>
      </c>
      <c r="AG95" s="1" t="n">
        <f aca="false">IF(AND(Slot2_On=1,Slot2_Age&gt;D95),1,0)</f>
        <v>0</v>
      </c>
      <c r="AH95" s="1" t="n">
        <f aca="false">HJ94</f>
        <v>0</v>
      </c>
      <c r="AI95" s="1" t="n">
        <f aca="false">AF95*MIN(Slot2_Cost,AH95)</f>
        <v>0</v>
      </c>
      <c r="AJ95" s="1" t="n">
        <f aca="false">AF95*Slot2_SpendLike*MIN(Slot2_Cost-AI95,AA95)</f>
        <v>0</v>
      </c>
      <c r="AK95" s="1" t="n">
        <f aca="false">AI95+AJ95</f>
        <v>0</v>
      </c>
      <c r="AL95" s="1" t="n">
        <f aca="false">AA95-AJ95+AF95*IF(Slot2_SpendLike=1,AH95-AI95,IF(Slot2_PotFree=1,AH95,0))</f>
        <v>1428879.38642732</v>
      </c>
      <c r="AM95" s="1" t="n">
        <f aca="false">AB95+AF95*Slot2_BufPot*AH95</f>
        <v>0</v>
      </c>
      <c r="AN95" s="1" t="n">
        <f aca="false">IF(AND(AF95=1,Slot2_IsMfree=1),IF(AK95&gt;=Slot2_Cost-1,0,MAX(0,AC95-AK95)),AC95)</f>
        <v>0</v>
      </c>
      <c r="AO95" s="1" t="n">
        <f aca="false">AF95*(Slot2_Cost-AK95)</f>
        <v>0</v>
      </c>
      <c r="AP95" s="1" t="n">
        <f aca="false">IF(AND(Slot3_On=1,D95=Slot3_Age),1,0)</f>
        <v>0</v>
      </c>
      <c r="AQ95" s="1" t="n">
        <f aca="false">IF(AND(Slot3_On=1,Slot3_Age&gt;D95),1,0)</f>
        <v>0</v>
      </c>
      <c r="AR95" s="1" t="n">
        <f aca="false">HN94</f>
        <v>0</v>
      </c>
      <c r="AS95" s="1" t="n">
        <f aca="false">AP95*MIN(Slot3_Cost,AR95)</f>
        <v>0</v>
      </c>
      <c r="AT95" s="1" t="n">
        <f aca="false">AP95*Slot3_SpendLike*MIN(Slot3_Cost-AS95,AL95)</f>
        <v>0</v>
      </c>
      <c r="AU95" s="1" t="n">
        <f aca="false">AS95+AT95</f>
        <v>0</v>
      </c>
      <c r="AV95" s="1" t="n">
        <f aca="false">AL95-AT95+AP95*IF(Slot3_SpendLike=1,AR95-AS95,IF(Slot3_PotFree=1,AR95,0))</f>
        <v>1428879.38642732</v>
      </c>
      <c r="AW95" s="1" t="n">
        <f aca="false">AM95+AP95*Slot3_BufPot*AR95</f>
        <v>0</v>
      </c>
      <c r="AX95" s="1" t="n">
        <f aca="false">IF(AND(AP95=1,Slot3_IsMfree=1),IF(AU95&gt;=Slot3_Cost-1,0,MAX(0,AN95-AU95)),AN95)</f>
        <v>0</v>
      </c>
      <c r="AY95" s="1" t="n">
        <f aca="false">AP95*(Slot3_Cost-AU95)</f>
        <v>0</v>
      </c>
      <c r="AZ95" s="1" t="n">
        <f aca="false">IF(AND(Slot4_On=1,D95=Slot4_Age),1,0)</f>
        <v>0</v>
      </c>
      <c r="BA95" s="1" t="n">
        <f aca="false">IF(AND(Slot4_On=1,Slot4_Age&gt;D95),1,0)</f>
        <v>0</v>
      </c>
      <c r="BB95" s="1" t="n">
        <f aca="false">HR94</f>
        <v>0</v>
      </c>
      <c r="BC95" s="1" t="n">
        <f aca="false">AZ95*MIN(Slot4_Cost,BB95)</f>
        <v>0</v>
      </c>
      <c r="BD95" s="1" t="n">
        <f aca="false">AZ95*Slot4_SpendLike*MIN(Slot4_Cost-BC95,AV95)</f>
        <v>0</v>
      </c>
      <c r="BE95" s="1" t="n">
        <f aca="false">BC95+BD95</f>
        <v>0</v>
      </c>
      <c r="BF95" s="1" t="n">
        <f aca="false">AV95-BD95+AZ95*IF(Slot4_SpendLike=1,BB95-BC95,IF(Slot4_PotFree=1,BB95,0))</f>
        <v>1428879.38642732</v>
      </c>
      <c r="BG95" s="1" t="n">
        <f aca="false">AW95+AZ95*Slot4_BufPot*BB95</f>
        <v>0</v>
      </c>
      <c r="BH95" s="1" t="n">
        <f aca="false">IF(AND(AZ95=1,Slot4_IsMfree=1),IF(BE95&gt;=Slot4_Cost-1,0,MAX(0,AX95-BE95)),AX95)</f>
        <v>0</v>
      </c>
      <c r="BI95" s="1" t="n">
        <f aca="false">AZ95*(Slot4_Cost-BE95)</f>
        <v>0</v>
      </c>
      <c r="BJ95" s="1" t="n">
        <f aca="false">IF(AND(Slot5_On=1,D95=Slot5_Age),1,0)</f>
        <v>0</v>
      </c>
      <c r="BK95" s="1" t="n">
        <f aca="false">IF(AND(Slot5_On=1,Slot5_Age&gt;D95),1,0)</f>
        <v>0</v>
      </c>
      <c r="BL95" s="1" t="n">
        <f aca="false">HV94</f>
        <v>0</v>
      </c>
      <c r="BM95" s="1" t="n">
        <f aca="false">BJ95*MIN(Slot5_Cost,BL95)</f>
        <v>0</v>
      </c>
      <c r="BN95" s="1" t="n">
        <f aca="false">BJ95*Slot5_SpendLike*MIN(Slot5_Cost-BM95,BF95)</f>
        <v>0</v>
      </c>
      <c r="BO95" s="1" t="n">
        <f aca="false">BM95+BN95</f>
        <v>0</v>
      </c>
      <c r="BP95" s="1" t="n">
        <f aca="false">BF95-BN95+BJ95*IF(Slot5_SpendLike=1,BL95-BM95,IF(Slot5_PotFree=1,BL95,0))</f>
        <v>1428879.38642732</v>
      </c>
      <c r="BQ95" s="1" t="n">
        <f aca="false">BG95+BJ95*Slot5_BufPot*BL95</f>
        <v>0</v>
      </c>
      <c r="BR95" s="1" t="n">
        <f aca="false">IF(AND(BJ95=1,Slot5_IsMfree=1),IF(BO95&gt;=Slot5_Cost-1,0,MAX(0,BH95-BO95)),BH95)</f>
        <v>0</v>
      </c>
      <c r="BS95" s="1" t="n">
        <f aca="false">BJ95*(Slot5_Cost-BO95)</f>
        <v>0</v>
      </c>
      <c r="BT95" s="1" t="n">
        <f aca="false">IF(AND(Slot6_On=1,D95=Slot6_Age),1,0)</f>
        <v>0</v>
      </c>
      <c r="BU95" s="1" t="n">
        <f aca="false">IF(AND(Slot6_On=1,Slot6_Age&gt;D95),1,0)</f>
        <v>0</v>
      </c>
      <c r="BV95" s="1" t="n">
        <f aca="false">HZ94</f>
        <v>0</v>
      </c>
      <c r="BW95" s="1" t="n">
        <f aca="false">BT95*MIN(Slot6_Cost,BV95)</f>
        <v>0</v>
      </c>
      <c r="BX95" s="1" t="n">
        <f aca="false">BT95*Slot6_SpendLike*MIN(Slot6_Cost-BW95,BP95)</f>
        <v>0</v>
      </c>
      <c r="BY95" s="1" t="n">
        <f aca="false">BW95+BX95</f>
        <v>0</v>
      </c>
      <c r="BZ95" s="1" t="n">
        <f aca="false">BP95-BX95+BT95*IF(Slot6_SpendLike=1,BV95-BW95,IF(Slot6_PotFree=1,BV95,0))</f>
        <v>1428879.38642732</v>
      </c>
      <c r="CA95" s="1" t="n">
        <f aca="false">BQ95+BT95*Slot6_BufPot*BV95</f>
        <v>0</v>
      </c>
      <c r="CB95" s="1" t="n">
        <f aca="false">IF(AND(BT95=1,Slot6_IsMfree=1),IF(BY95&gt;=Slot6_Cost-1,0,MAX(0,BR95-BY95)),BR95)</f>
        <v>0</v>
      </c>
      <c r="CC95" s="1" t="n">
        <f aca="false">BT95*(Slot6_Cost-BY95)</f>
        <v>0</v>
      </c>
      <c r="CD95" s="1" t="n">
        <f aca="false">IF(AND(Slot7_On=1,D95=Slot7_Age),1,0)</f>
        <v>0</v>
      </c>
      <c r="CE95" s="1" t="n">
        <f aca="false">IF(AND(Slot7_On=1,Slot7_Age&gt;D95),1,0)</f>
        <v>0</v>
      </c>
      <c r="CF95" s="1" t="n">
        <f aca="false">ID94</f>
        <v>0</v>
      </c>
      <c r="CG95" s="1" t="n">
        <f aca="false">CD95*MIN(Slot7_Cost,CF95)</f>
        <v>0</v>
      </c>
      <c r="CH95" s="1" t="n">
        <f aca="false">CD95*Slot7_SpendLike*MIN(Slot7_Cost-CG95,BZ95)</f>
        <v>0</v>
      </c>
      <c r="CI95" s="1" t="n">
        <f aca="false">CG95+CH95</f>
        <v>0</v>
      </c>
      <c r="CJ95" s="1" t="n">
        <f aca="false">BZ95-CH95+CD95*IF(Slot7_SpendLike=1,CF95-CG95,IF(Slot7_PotFree=1,CF95,0))</f>
        <v>1428879.38642732</v>
      </c>
      <c r="CK95" s="1" t="n">
        <f aca="false">CA95+CD95*Slot7_BufPot*CF95</f>
        <v>0</v>
      </c>
      <c r="CL95" s="1" t="n">
        <f aca="false">IF(AND(CD95=1,Slot7_IsMfree=1),IF(CI95&gt;=Slot7_Cost-1,0,MAX(0,CB95-CI95)),CB95)</f>
        <v>0</v>
      </c>
      <c r="CM95" s="1" t="n">
        <f aca="false">CD95*(Slot7_Cost-CI95)</f>
        <v>0</v>
      </c>
      <c r="CN95" s="1" t="n">
        <f aca="false">IF(AND(Slot8_On=1,D95=Slot8_Age),1,0)</f>
        <v>0</v>
      </c>
      <c r="CO95" s="1" t="n">
        <f aca="false">IF(AND(Slot8_On=1,Slot8_Age&gt;D95),1,0)</f>
        <v>0</v>
      </c>
      <c r="CP95" s="1" t="n">
        <f aca="false">IH94</f>
        <v>0</v>
      </c>
      <c r="CQ95" s="1" t="n">
        <f aca="false">CN95*MIN(Slot8_Cost,CP95)</f>
        <v>0</v>
      </c>
      <c r="CR95" s="1" t="n">
        <f aca="false">CN95*Slot8_SpendLike*MIN(Slot8_Cost-CQ95,CJ95)</f>
        <v>0</v>
      </c>
      <c r="CS95" s="1" t="n">
        <f aca="false">CQ95+CR95</f>
        <v>0</v>
      </c>
      <c r="CT95" s="1" t="n">
        <f aca="false">CJ95-CR95+CN95*IF(Slot8_SpendLike=1,CP95-CQ95,IF(Slot8_PotFree=1,CP95,0))</f>
        <v>1428879.38642732</v>
      </c>
      <c r="CU95" s="1" t="n">
        <f aca="false">CK95+CN95*Slot8_BufPot*CP95</f>
        <v>0</v>
      </c>
      <c r="CV95" s="1" t="n">
        <f aca="false">IF(AND(CN95=1,Slot8_IsMfree=1),IF(CS95&gt;=Slot8_Cost-1,0,MAX(0,CL95-CS95)),CL95)</f>
        <v>0</v>
      </c>
      <c r="CW95" s="1" t="n">
        <f aca="false">CN95*(Slot8_Cost-CS95)</f>
        <v>0</v>
      </c>
      <c r="CX95" s="1" t="n">
        <f aca="false">U95*Slot1_SpendLike*Z95+AF95*Slot2_SpendLike*AK95+AP95*Slot3_SpendLike*AU95+AZ95*Slot4_SpendLike*BE95+BJ95*Slot5_SpendLike*BO95+BT95*Slot6_SpendLike*BY95+CD95*Slot7_SpendLike*CI95+CN95*Slot8_SpendLike*CS95</f>
        <v>0</v>
      </c>
      <c r="CY95" s="1" t="n">
        <f aca="false">AD95+AO95+AY95+BI95+BS95+CC95+CM95+CW95</f>
        <v>0</v>
      </c>
      <c r="CZ95" s="1" t="n">
        <f aca="false">U95*Slot1_Cost+AF95*Slot2_Cost+AP95*Slot3_Cost+AZ95*Slot4_Cost+BJ95*Slot5_Cost+BT95*Slot6_Cost+CD95*Slot7_Cost+CN95*Slot8_Cost</f>
        <v>0</v>
      </c>
      <c r="DA95" s="1" t="n">
        <f aca="false">CV95</f>
        <v>0</v>
      </c>
      <c r="DB95" s="1" t="n">
        <f aca="false">G95-H95-R95</f>
        <v>72641.4299603216</v>
      </c>
      <c r="DC95" s="1" t="n">
        <f aca="false">IF(B95=0,IF(AND(Has_q6=1,In_q6=4),PR_ShareVaries*(MAX(0,DB95)/12),MIN(IF(Has_q6=1,CHOOSE(In_q6+1,PR_SaveB1,PR_SaveB2,PR_SaveB3,PR_SaveB4,0),AS_NoAnswer),AS_SaveShare*(MAX(0,DB95)/12))),DC94)</f>
        <v>0</v>
      </c>
      <c r="DD95" s="1" t="n">
        <f aca="false">IF(DB95&gt;=0,1,0)</f>
        <v>1</v>
      </c>
      <c r="DE95" s="1" t="n">
        <f aca="false">MAX(0,DB95/12/E95)</f>
        <v>1080.90666666667</v>
      </c>
      <c r="DF95" s="1" t="n">
        <f aca="false">IF(AND(Has_q6=1,In_q6=4),PR_ShareVaries*(DE95),MIN(IF(Has_q6=1,CHOOSE(In_q6+1,PR_SaveB1,PR_SaveB2,PR_SaveB3,PR_SaveB4,0),AS_NoAnswer),AS_SaveShare*(DE95)))</f>
        <v>300</v>
      </c>
      <c r="DG95" s="1" t="n">
        <f aca="false">IF(Has_saveM=1,IF(In_saveUp="Yes",1,IF(In_saveUp="No",0,IF(In_saveM&gt;=DC95-0.5,1,0))),0)</f>
        <v>0</v>
      </c>
      <c r="DH95" s="1" t="n">
        <f aca="false">IF(Has_saveM=1,MIN(DE95,IF(DG95=1,MAX(In_saveM,DF95),MIN(In_saveM,DF95))),DF95)</f>
        <v>300</v>
      </c>
      <c r="DI95" s="1" t="n">
        <f aca="false">IF(F95=1,DH95*12*E95,0)</f>
        <v>0</v>
      </c>
      <c r="DJ95" s="1" t="n">
        <f aca="false">MAX(0,DI95+IF(AND(WI_Retire=0,WI_M&lt;0,F95=1),WI_M*12*E95,0))</f>
        <v>0</v>
      </c>
      <c r="DK95" s="1" t="n">
        <f aca="false">Slot1_IsWG*V95+Slot2_IsWG*AG95+Slot3_IsWG*AQ95+Slot4_IsWG*BA95+Slot5_IsWG*BK95+Slot6_IsWG*BU95+Slot7_IsWG*CE95+Slot8_IsWG*CO95</f>
        <v>0</v>
      </c>
      <c r="DL95" s="1" t="n">
        <f aca="false">IF(AND(WI_Retire=0,WI_M&gt;0,F95=1,DK95&gt;=1),WI_M*12*E95,0)</f>
        <v>0</v>
      </c>
      <c r="DM95" s="1" t="n">
        <f aca="false">IF(DD95=1,MIN(DJ95,DB95),0)</f>
        <v>0</v>
      </c>
      <c r="DN95" s="1" t="n">
        <f aca="false">IF(DD95=1,MIN(DL95,DB95-DM95),0)</f>
        <v>0</v>
      </c>
      <c r="DO95" s="1" t="n">
        <f aca="false">IF(V95=1,IF(ABS((1+AS_Wage)/(1+Slot1_Rate)-1)&lt;0.000000000001,(Slot1_Age-D95)*(1+Slot1_Rate)^(Slot1_Age-D95),(1+Slot1_Rate)^(Slot1_Age-D95)*(1-((1+AS_Wage)/(1+Slot1_Rate))^(Slot1_Age-D95))/(1-(1+AS_Wage)/(1+Slot1_Rate))),1)</f>
        <v>1</v>
      </c>
      <c r="DP95" s="1" t="n">
        <f aca="false">IF(AND(DD95=1,DN95&gt;0,Slot1_IsWG=1,V95=1),MAX(0,(Slot1_Cost-W95*(1+Slot1_Rate)^(Slot1_Age-D95))/DO95),0)</f>
        <v>0</v>
      </c>
      <c r="DQ95" s="1" t="n">
        <f aca="false">IF(AND(DD95=1,DN95&gt;0,Slot1_IsWG=1,V95=1),MIN(DN95,DP95),0)</f>
        <v>0</v>
      </c>
      <c r="DR95" s="1" t="n">
        <f aca="false">W95+DQ95</f>
        <v>0</v>
      </c>
      <c r="DS95" s="1" t="n">
        <f aca="false">IF(V95=1,MAX(0,(Slot1_Cost-DR95*(1+Slot1_Rate)^(Slot1_Age-D95))/DO95),0)</f>
        <v>0</v>
      </c>
      <c r="DT95" s="1" t="n">
        <f aca="false">IF(V95=1,MAX(0,(Slot1_Cost-W95*(1+Slot1_Rate)^(Slot1_Age-D95))/DO95),0)</f>
        <v>0</v>
      </c>
      <c r="DU95" s="1" t="n">
        <f aca="false">IF(AND(DD95=1,V95=1),MIN(DM95,DS95),0)</f>
        <v>0</v>
      </c>
      <c r="DV95" s="1" t="n">
        <f aca="false">DM95-DU95</f>
        <v>0</v>
      </c>
      <c r="DW95" s="1" t="n">
        <f aca="false">IF(AG95=1,IF(ABS((1+AS_Wage)/(1+Slot2_Rate)-1)&lt;0.000000000001,(Slot2_Age-D95)*(1+Slot2_Rate)^(Slot2_Age-D95),(1+Slot2_Rate)^(Slot2_Age-D95)*(1-((1+AS_Wage)/(1+Slot2_Rate))^(Slot2_Age-D95))/(1-(1+AS_Wage)/(1+Slot2_Rate))),1)</f>
        <v>1</v>
      </c>
      <c r="DX95" s="1" t="n">
        <f aca="false">IF(AND(DD95=1,DN95&gt;0,Slot2_IsWG=1,AG95=1),MAX(0,(Slot2_Cost-AH95*(1+Slot2_Rate)^(Slot2_Age-D95))/DW95),0)</f>
        <v>0</v>
      </c>
      <c r="DY95" s="1" t="n">
        <f aca="false">IF(AND(DD95=1,DN95&gt;0,Slot2_IsWG=1,AG95=1),MIN(DN95,DX95),0)</f>
        <v>0</v>
      </c>
      <c r="DZ95" s="1" t="n">
        <f aca="false">AH95+DY95</f>
        <v>0</v>
      </c>
      <c r="EA95" s="1" t="n">
        <f aca="false">IF(AG95=1,MAX(0,(Slot2_Cost-DZ95*(1+Slot2_Rate)^(Slot2_Age-D95))/DW95),0)</f>
        <v>0</v>
      </c>
      <c r="EB95" s="1" t="n">
        <f aca="false">IF(AG95=1,MAX(0,(Slot2_Cost-AH95*(1+Slot2_Rate)^(Slot2_Age-D95))/DW95),0)</f>
        <v>0</v>
      </c>
      <c r="EC95" s="1" t="n">
        <f aca="false">IF(AND(DD95=1,AG95=1),MIN(DV95,EA95),0)</f>
        <v>0</v>
      </c>
      <c r="ED95" s="1" t="n">
        <f aca="false">DV95-EC95</f>
        <v>0</v>
      </c>
      <c r="EE95" s="1" t="n">
        <f aca="false">IF(AQ95=1,IF(ABS((1+AS_Wage)/(1+Slot3_Rate)-1)&lt;0.000000000001,(Slot3_Age-D95)*(1+Slot3_Rate)^(Slot3_Age-D95),(1+Slot3_Rate)^(Slot3_Age-D95)*(1-((1+AS_Wage)/(1+Slot3_Rate))^(Slot3_Age-D95))/(1-(1+AS_Wage)/(1+Slot3_Rate))),1)</f>
        <v>1</v>
      </c>
      <c r="EF95" s="1" t="n">
        <f aca="false">IF(AND(DD95=1,DN95&gt;0,Slot3_IsWG=1,AQ95=1),MAX(0,(Slot3_Cost-AR95*(1+Slot3_Rate)^(Slot3_Age-D95))/EE95),0)</f>
        <v>0</v>
      </c>
      <c r="EG95" s="1" t="n">
        <f aca="false">IF(AND(DD95=1,DN95&gt;0,Slot3_IsWG=1,AQ95=1),MIN(DN95,EF95),0)</f>
        <v>0</v>
      </c>
      <c r="EH95" s="1" t="n">
        <f aca="false">AR95+EG95</f>
        <v>0</v>
      </c>
      <c r="EI95" s="1" t="n">
        <f aca="false">IF(AQ95=1,MAX(0,(Slot3_Cost-EH95*(1+Slot3_Rate)^(Slot3_Age-D95))/EE95),0)</f>
        <v>0</v>
      </c>
      <c r="EJ95" s="1" t="n">
        <f aca="false">IF(AQ95=1,MAX(0,(Slot3_Cost-AR95*(1+Slot3_Rate)^(Slot3_Age-D95))/EE95),0)</f>
        <v>0</v>
      </c>
      <c r="EK95" s="1" t="n">
        <f aca="false">IF(AND(DD95=1,AQ95=1),MIN(ED95,EI95),0)</f>
        <v>0</v>
      </c>
      <c r="EL95" s="1" t="n">
        <f aca="false">ED95-EK95</f>
        <v>0</v>
      </c>
      <c r="EM95" s="1" t="n">
        <f aca="false">IF(BA95=1,IF(ABS((1+AS_Wage)/(1+Slot4_Rate)-1)&lt;0.000000000001,(Slot4_Age-D95)*(1+Slot4_Rate)^(Slot4_Age-D95),(1+Slot4_Rate)^(Slot4_Age-D95)*(1-((1+AS_Wage)/(1+Slot4_Rate))^(Slot4_Age-D95))/(1-(1+AS_Wage)/(1+Slot4_Rate))),1)</f>
        <v>1</v>
      </c>
      <c r="EN95" s="1" t="n">
        <f aca="false">IF(AND(DD95=1,DN95&gt;0,Slot4_IsWG=1,BA95=1),MAX(0,(Slot4_Cost-BB95*(1+Slot4_Rate)^(Slot4_Age-D95))/EM95),0)</f>
        <v>0</v>
      </c>
      <c r="EO95" s="1" t="n">
        <f aca="false">IF(AND(DD95=1,DN95&gt;0,Slot4_IsWG=1,BA95=1),MIN(DN95,EN95),0)</f>
        <v>0</v>
      </c>
      <c r="EP95" s="1" t="n">
        <f aca="false">BB95+EO95</f>
        <v>0</v>
      </c>
      <c r="EQ95" s="1" t="n">
        <f aca="false">IF(BA95=1,MAX(0,(Slot4_Cost-EP95*(1+Slot4_Rate)^(Slot4_Age-D95))/EM95),0)</f>
        <v>0</v>
      </c>
      <c r="ER95" s="1" t="n">
        <f aca="false">IF(BA95=1,MAX(0,(Slot4_Cost-BB95*(1+Slot4_Rate)^(Slot4_Age-D95))/EM95),0)</f>
        <v>0</v>
      </c>
      <c r="ES95" s="1" t="n">
        <f aca="false">IF(AND(DD95=1,BA95=1),MIN(EL95,EQ95),0)</f>
        <v>0</v>
      </c>
      <c r="ET95" s="1" t="n">
        <f aca="false">EL95-ES95</f>
        <v>0</v>
      </c>
      <c r="EU95" s="1" t="n">
        <f aca="false">IF(BK95=1,IF(ABS((1+AS_Wage)/(1+Slot5_Rate)-1)&lt;0.000000000001,(Slot5_Age-D95)*(1+Slot5_Rate)^(Slot5_Age-D95),(1+Slot5_Rate)^(Slot5_Age-D95)*(1-((1+AS_Wage)/(1+Slot5_Rate))^(Slot5_Age-D95))/(1-(1+AS_Wage)/(1+Slot5_Rate))),1)</f>
        <v>1</v>
      </c>
      <c r="EV95" s="1" t="n">
        <f aca="false">IF(AND(DD95=1,DN95&gt;0,Slot5_IsWG=1,BK95=1),MAX(0,(Slot5_Cost-BL95*(1+Slot5_Rate)^(Slot5_Age-D95))/EU95),0)</f>
        <v>0</v>
      </c>
      <c r="EW95" s="1" t="n">
        <f aca="false">IF(AND(DD95=1,DN95&gt;0,Slot5_IsWG=1,BK95=1),MIN(DN95,EV95),0)</f>
        <v>0</v>
      </c>
      <c r="EX95" s="1" t="n">
        <f aca="false">BL95+EW95</f>
        <v>0</v>
      </c>
      <c r="EY95" s="1" t="n">
        <f aca="false">IF(BK95=1,MAX(0,(Slot5_Cost-EX95*(1+Slot5_Rate)^(Slot5_Age-D95))/EU95),0)</f>
        <v>0</v>
      </c>
      <c r="EZ95" s="1" t="n">
        <f aca="false">IF(BK95=1,MAX(0,(Slot5_Cost-BL95*(1+Slot5_Rate)^(Slot5_Age-D95))/EU95),0)</f>
        <v>0</v>
      </c>
      <c r="FA95" s="1" t="n">
        <f aca="false">IF(AND(DD95=1,BK95=1),MIN(ET95,EY95),0)</f>
        <v>0</v>
      </c>
      <c r="FB95" s="1" t="n">
        <f aca="false">ET95-FA95</f>
        <v>0</v>
      </c>
      <c r="FC95" s="1" t="n">
        <f aca="false">IF(BU95=1,IF(ABS((1+AS_Wage)/(1+Slot6_Rate)-1)&lt;0.000000000001,(Slot6_Age-D95)*(1+Slot6_Rate)^(Slot6_Age-D95),(1+Slot6_Rate)^(Slot6_Age-D95)*(1-((1+AS_Wage)/(1+Slot6_Rate))^(Slot6_Age-D95))/(1-(1+AS_Wage)/(1+Slot6_Rate))),1)</f>
        <v>1</v>
      </c>
      <c r="FD95" s="1" t="n">
        <f aca="false">IF(AND(DD95=1,DN95&gt;0,Slot6_IsWG=1,BU95=1),MAX(0,(Slot6_Cost-BV95*(1+Slot6_Rate)^(Slot6_Age-D95))/FC95),0)</f>
        <v>0</v>
      </c>
      <c r="FE95" s="1" t="n">
        <f aca="false">IF(AND(DD95=1,DN95&gt;0,Slot6_IsWG=1,BU95=1),MIN(DN95,FD95),0)</f>
        <v>0</v>
      </c>
      <c r="FF95" s="1" t="n">
        <f aca="false">BV95+FE95</f>
        <v>0</v>
      </c>
      <c r="FG95" s="1" t="n">
        <f aca="false">IF(BU95=1,MAX(0,(Slot6_Cost-FF95*(1+Slot6_Rate)^(Slot6_Age-D95))/FC95),0)</f>
        <v>0</v>
      </c>
      <c r="FH95" s="1" t="n">
        <f aca="false">IF(BU95=1,MAX(0,(Slot6_Cost-BV95*(1+Slot6_Rate)^(Slot6_Age-D95))/FC95),0)</f>
        <v>0</v>
      </c>
      <c r="FI95" s="1" t="n">
        <f aca="false">IF(AND(DD95=1,BU95=1),MIN(FB95,FG95),0)</f>
        <v>0</v>
      </c>
      <c r="FJ95" s="1" t="n">
        <f aca="false">FB95-FI95</f>
        <v>0</v>
      </c>
      <c r="FK95" s="1" t="n">
        <f aca="false">IF(CE95=1,IF(ABS((1+AS_Wage)/(1+Slot7_Rate)-1)&lt;0.000000000001,(Slot7_Age-D95)*(1+Slot7_Rate)^(Slot7_Age-D95),(1+Slot7_Rate)^(Slot7_Age-D95)*(1-((1+AS_Wage)/(1+Slot7_Rate))^(Slot7_Age-D95))/(1-(1+AS_Wage)/(1+Slot7_Rate))),1)</f>
        <v>1</v>
      </c>
      <c r="FL95" s="1" t="n">
        <f aca="false">IF(AND(DD95=1,DN95&gt;0,Slot7_IsWG=1,CE95=1),MAX(0,(Slot7_Cost-CF95*(1+Slot7_Rate)^(Slot7_Age-D95))/FK95),0)</f>
        <v>0</v>
      </c>
      <c r="FM95" s="1" t="n">
        <f aca="false">IF(AND(DD95=1,DN95&gt;0,Slot7_IsWG=1,CE95=1),MIN(DN95,FL95),0)</f>
        <v>0</v>
      </c>
      <c r="FN95" s="1" t="n">
        <f aca="false">CF95+FM95</f>
        <v>0</v>
      </c>
      <c r="FO95" s="1" t="n">
        <f aca="false">IF(CE95=1,MAX(0,(Slot7_Cost-FN95*(1+Slot7_Rate)^(Slot7_Age-D95))/FK95),0)</f>
        <v>0</v>
      </c>
      <c r="FP95" s="1" t="n">
        <f aca="false">IF(CE95=1,MAX(0,(Slot7_Cost-CF95*(1+Slot7_Rate)^(Slot7_Age-D95))/FK95),0)</f>
        <v>0</v>
      </c>
      <c r="FQ95" s="1" t="n">
        <f aca="false">IF(AND(DD95=1,CE95=1),MIN(FJ95,FO95),0)</f>
        <v>0</v>
      </c>
      <c r="FR95" s="1" t="n">
        <f aca="false">FJ95-FQ95</f>
        <v>0</v>
      </c>
      <c r="FS95" s="1" t="n">
        <f aca="false">IF(CO95=1,IF(ABS((1+AS_Wage)/(1+Slot8_Rate)-1)&lt;0.000000000001,(Slot8_Age-D95)*(1+Slot8_Rate)^(Slot8_Age-D95),(1+Slot8_Rate)^(Slot8_Age-D95)*(1-((1+AS_Wage)/(1+Slot8_Rate))^(Slot8_Age-D95))/(1-(1+AS_Wage)/(1+Slot8_Rate))),1)</f>
        <v>1</v>
      </c>
      <c r="FT95" s="1" t="n">
        <f aca="false">IF(AND(DD95=1,DN95&gt;0,Slot8_IsWG=1,CO95=1),MAX(0,(Slot8_Cost-CP95*(1+Slot8_Rate)^(Slot8_Age-D95))/FS95),0)</f>
        <v>0</v>
      </c>
      <c r="FU95" s="1" t="n">
        <f aca="false">IF(AND(DD95=1,DN95&gt;0,Slot8_IsWG=1,CO95=1),MIN(DN95,FT95),0)</f>
        <v>0</v>
      </c>
      <c r="FV95" s="1" t="n">
        <f aca="false">CP95+FU95</f>
        <v>0</v>
      </c>
      <c r="FW95" s="1" t="n">
        <f aca="false">IF(CO95=1,MAX(0,(Slot8_Cost-FV95*(1+Slot8_Rate)^(Slot8_Age-D95))/FS95),0)</f>
        <v>0</v>
      </c>
      <c r="FX95" s="1" t="n">
        <f aca="false">IF(CO95=1,MAX(0,(Slot8_Cost-CP95*(1+Slot8_Rate)^(Slot8_Age-D95))/FS95),0)</f>
        <v>0</v>
      </c>
      <c r="FY95" s="1" t="n">
        <f aca="false">IF(AND(DD95=1,CO95=1),MIN(FR95,FW95),0)</f>
        <v>0</v>
      </c>
      <c r="FZ95" s="1" t="n">
        <f aca="false">FR95-FY95</f>
        <v>0</v>
      </c>
      <c r="GA95" s="1" t="n">
        <f aca="false">DN95-(DQ95+DY95+EG95+EO95+EW95+FE95+FM95+FU95)</f>
        <v>0</v>
      </c>
      <c r="GB95" s="1" t="n">
        <f aca="false">IF(DD95=1,DB95-DM95-DN95,0)</f>
        <v>72641.4299603216</v>
      </c>
      <c r="GC95" s="1" t="n">
        <f aca="false">IF(DD95=0,-DB95,0)</f>
        <v>0</v>
      </c>
      <c r="GD95" s="1" t="n">
        <f aca="false">MIN(GC95,CT95)</f>
        <v>0</v>
      </c>
      <c r="GE95" s="1" t="n">
        <f aca="false">GC95-GD95</f>
        <v>0</v>
      </c>
      <c r="GF95" s="1" t="n">
        <f aca="false">MIN(GE95,CU95)</f>
        <v>0</v>
      </c>
      <c r="GG95" s="1" t="n">
        <f aca="false">GE95-GF95</f>
        <v>0</v>
      </c>
      <c r="GH95" s="1" t="n">
        <f aca="false">IF(AND(DD95=0,CO95=1,GG95&gt;0),MIN(GG95,CP95),0)</f>
        <v>0</v>
      </c>
      <c r="GI95" s="1" t="n">
        <f aca="false">GG95-GH95</f>
        <v>0</v>
      </c>
      <c r="GJ95" s="1" t="n">
        <f aca="false">IF(AND(DD95=0,CE95=1,GI95&gt;0),MIN(GI95,CF95),0)</f>
        <v>0</v>
      </c>
      <c r="GK95" s="1" t="n">
        <f aca="false">GI95-GJ95</f>
        <v>0</v>
      </c>
      <c r="GL95" s="1" t="n">
        <f aca="false">IF(AND(DD95=0,BU95=1,GK95&gt;0),MIN(GK95,BV95),0)</f>
        <v>0</v>
      </c>
      <c r="GM95" s="1" t="n">
        <f aca="false">GK95-GL95</f>
        <v>0</v>
      </c>
      <c r="GN95" s="1" t="n">
        <f aca="false">IF(AND(DD95=0,BK95=1,GM95&gt;0),MIN(GM95,BL95),0)</f>
        <v>0</v>
      </c>
      <c r="GO95" s="1" t="n">
        <f aca="false">GM95-GN95</f>
        <v>0</v>
      </c>
      <c r="GP95" s="1" t="n">
        <f aca="false">IF(AND(DD95=0,BA95=1,GO95&gt;0),MIN(GO95,BB95),0)</f>
        <v>0</v>
      </c>
      <c r="GQ95" s="1" t="n">
        <f aca="false">GO95-GP95</f>
        <v>0</v>
      </c>
      <c r="GR95" s="1" t="n">
        <f aca="false">IF(AND(DD95=0,AQ95=1,GQ95&gt;0),MIN(GQ95,AR95),0)</f>
        <v>0</v>
      </c>
      <c r="GS95" s="1" t="n">
        <f aca="false">GQ95-GR95</f>
        <v>0</v>
      </c>
      <c r="GT95" s="1" t="n">
        <f aca="false">IF(AND(DD95=0,AG95=1,GS95&gt;0),MIN(GS95,AH95),0)</f>
        <v>0</v>
      </c>
      <c r="GU95" s="1" t="n">
        <f aca="false">GS95-GT95</f>
        <v>0</v>
      </c>
      <c r="GV95" s="1" t="n">
        <f aca="false">IF(AND(DD95=0,V95=1,GU95&gt;0),MIN(GU95,W95),0)</f>
        <v>0</v>
      </c>
      <c r="GW95" s="1" t="n">
        <f aca="false">GU95-GV95</f>
        <v>0</v>
      </c>
      <c r="GX95" s="1" t="n">
        <f aca="false">IF(DD95=0,GW95,0)</f>
        <v>0</v>
      </c>
      <c r="GY95" s="1" t="n">
        <f aca="false">GD95+GF95+GV95+GT95+GR95+GP95+GN95+GL95+GJ95+GH95</f>
        <v>0</v>
      </c>
      <c r="GZ95" s="1" t="n">
        <f aca="false">IF(DD95=1,CT95+GA95+FZ95+IF(F95=1,0,GB95),CT95-GD95)</f>
        <v>1501520.81638764</v>
      </c>
      <c r="HA95" s="1" t="n">
        <f aca="false">CU95-GF95</f>
        <v>0</v>
      </c>
      <c r="HB95" s="1" t="n">
        <f aca="false">IF(DD95=1,IF(F95=1,DM95+DN95,DB95),0)</f>
        <v>72641.4299603216</v>
      </c>
      <c r="HC95" s="1" t="n">
        <f aca="false">IF(DD95=1,IF(F95=1,DB95-DM95-DN95,0),0)</f>
        <v>0</v>
      </c>
      <c r="HD95" s="1" t="n">
        <f aca="false">GZ95*(1+GR)</f>
        <v>1526145.7577764</v>
      </c>
      <c r="HE95" s="1" t="n">
        <f aca="false">HA95*(1+AS_Cash)</f>
        <v>0</v>
      </c>
      <c r="HF95" s="1" t="n">
        <f aca="false">IF(V95=1,IF(DD95=1,DR95+DU95,W95-GV95)*(1+Slot1_Rate),0)</f>
        <v>0</v>
      </c>
      <c r="HG95" s="1" t="n">
        <f aca="false">IF(AND(DD95=1,V95=1),(DQ95+DU95)/E95,0)</f>
        <v>0</v>
      </c>
      <c r="HH95" s="1" t="n">
        <f aca="false">IF(B95=0,DQ95+DU95,0)</f>
        <v>0</v>
      </c>
      <c r="HI95" s="1" t="n">
        <f aca="false">IF(B95=0,IF(DD95=1,DS95,DT95),0)</f>
        <v>0</v>
      </c>
      <c r="HJ95" s="1" t="n">
        <f aca="false">IF(AG95=1,IF(DD95=1,DZ95+EC95,AH95-GT95)*(1+Slot2_Rate),0)</f>
        <v>0</v>
      </c>
      <c r="HK95" s="1" t="n">
        <f aca="false">IF(AND(DD95=1,AG95=1),(DY95+EC95)/E95,0)</f>
        <v>0</v>
      </c>
      <c r="HL95" s="1" t="n">
        <f aca="false">IF(B95=0,DY95+EC95,0)</f>
        <v>0</v>
      </c>
      <c r="HM95" s="1" t="n">
        <f aca="false">IF(B95=0,IF(DD95=1,EA95,EB95),0)</f>
        <v>0</v>
      </c>
      <c r="HN95" s="1" t="n">
        <f aca="false">IF(AQ95=1,IF(DD95=1,EH95+EK95,AR95-GR95)*(1+Slot3_Rate),0)</f>
        <v>0</v>
      </c>
      <c r="HO95" s="1" t="n">
        <f aca="false">IF(AND(DD95=1,AQ95=1),(EG95+EK95)/E95,0)</f>
        <v>0</v>
      </c>
      <c r="HP95" s="1" t="n">
        <f aca="false">IF(B95=0,EG95+EK95,0)</f>
        <v>0</v>
      </c>
      <c r="HQ95" s="1" t="n">
        <f aca="false">IF(B95=0,IF(DD95=1,EI95,EJ95),0)</f>
        <v>0</v>
      </c>
      <c r="HR95" s="1" t="n">
        <f aca="false">IF(BA95=1,IF(DD95=1,EP95+ES95,BB95-GP95)*(1+Slot4_Rate),0)</f>
        <v>0</v>
      </c>
      <c r="HS95" s="1" t="n">
        <f aca="false">IF(AND(DD95=1,BA95=1),(EO95+ES95)/E95,0)</f>
        <v>0</v>
      </c>
      <c r="HT95" s="1" t="n">
        <f aca="false">IF(B95=0,EO95+ES95,0)</f>
        <v>0</v>
      </c>
      <c r="HU95" s="1" t="n">
        <f aca="false">IF(B95=0,IF(DD95=1,EQ95,ER95),0)</f>
        <v>0</v>
      </c>
      <c r="HV95" s="1" t="n">
        <f aca="false">IF(BK95=1,IF(DD95=1,EX95+FA95,BL95-GN95)*(1+Slot5_Rate),0)</f>
        <v>0</v>
      </c>
      <c r="HW95" s="1" t="n">
        <f aca="false">IF(AND(DD95=1,BK95=1),(EW95+FA95)/E95,0)</f>
        <v>0</v>
      </c>
      <c r="HX95" s="1" t="n">
        <f aca="false">IF(B95=0,EW95+FA95,0)</f>
        <v>0</v>
      </c>
      <c r="HY95" s="1" t="n">
        <f aca="false">IF(B95=0,IF(DD95=1,EY95,EZ95),0)</f>
        <v>0</v>
      </c>
      <c r="HZ95" s="1" t="n">
        <f aca="false">IF(BU95=1,IF(DD95=1,FF95+FI95,BV95-GL95)*(1+Slot6_Rate),0)</f>
        <v>0</v>
      </c>
      <c r="IA95" s="1" t="n">
        <f aca="false">IF(AND(DD95=1,BU95=1),(FE95+FI95)/E95,0)</f>
        <v>0</v>
      </c>
      <c r="IB95" s="1" t="n">
        <f aca="false">IF(B95=0,FE95+FI95,0)</f>
        <v>0</v>
      </c>
      <c r="IC95" s="1" t="n">
        <f aca="false">IF(B95=0,IF(DD95=1,FG95,FH95),0)</f>
        <v>0</v>
      </c>
      <c r="ID95" s="1" t="n">
        <f aca="false">IF(CE95=1,IF(DD95=1,FN95+FQ95,CF95-GJ95)*(1+Slot7_Rate),0)</f>
        <v>0</v>
      </c>
      <c r="IE95" s="1" t="n">
        <f aca="false">IF(AND(DD95=1,CE95=1),(FM95+FQ95)/E95,0)</f>
        <v>0</v>
      </c>
      <c r="IF95" s="1" t="n">
        <f aca="false">IF(B95=0,FM95+FQ95,0)</f>
        <v>0</v>
      </c>
      <c r="IG95" s="1" t="n">
        <f aca="false">IF(B95=0,IF(DD95=1,FO95,FP95),0)</f>
        <v>0</v>
      </c>
      <c r="IH95" s="1" t="n">
        <f aca="false">IF(CO95=1,IF(DD95=1,FV95+FY95,CP95-GH95)*(1+Slot8_Rate),0)</f>
        <v>0</v>
      </c>
      <c r="II95" s="1" t="n">
        <f aca="false">IF(AND(DD95=1,CO95=1),(FU95+FY95)/E95,0)</f>
        <v>0</v>
      </c>
      <c r="IJ95" s="1" t="n">
        <f aca="false">IF(B95=0,FU95+FY95,0)</f>
        <v>0</v>
      </c>
      <c r="IK95" s="1" t="n">
        <f aca="false">IF(B95=0,IF(DD95=1,FW95,FX95),0)</f>
        <v>0</v>
      </c>
      <c r="IL95" s="1" t="n">
        <f aca="false">HD95+HE95+HF95+HJ95+HN95+HR95+HV95+HZ95+ID95+IH95</f>
        <v>1526145.7577764</v>
      </c>
      <c r="IM95" s="1" t="n">
        <f aca="false">GX95+CY95</f>
        <v>0</v>
      </c>
      <c r="IN95" s="1" t="n">
        <f aca="false">H95+R95</f>
        <v>0</v>
      </c>
      <c r="IO95" s="1" t="n">
        <f aca="false">1-F95</f>
        <v>1</v>
      </c>
      <c r="IP95" s="1" t="n">
        <f aca="false">IF(AND(RG_Exists=1,F95=0,C95=1),H95,0)</f>
        <v>0</v>
      </c>
      <c r="IQ95" s="1" t="n">
        <f aca="false">IF(AND(RG_Exists=1,F95=0,C95=1),H95-MIN(GX95,H95),0)</f>
        <v>0</v>
      </c>
      <c r="IR95" s="1" t="n">
        <f aca="false">'Plan pay &amp; tax'!AD297</f>
        <v>0</v>
      </c>
      <c r="IS95" s="1" t="n">
        <f aca="false">IF(AND(C95=1,GX95&gt;MAX(PR_Short1,IN95*PR_Short2)),1,0)</f>
        <v>0</v>
      </c>
      <c r="IT95" s="1" t="n">
        <f aca="false">MIN(G95,H95+R95)</f>
        <v>0</v>
      </c>
      <c r="IU95" s="1" t="n">
        <f aca="false">GY95+MAX(0,CZ95-CY95)</f>
        <v>0</v>
      </c>
      <c r="IV95" s="1" t="n">
        <f aca="false">GX95+CY95</f>
        <v>0</v>
      </c>
      <c r="IW95" s="1" t="n">
        <f aca="false">IF(AND(C95=1,IV95&gt;0.5),1,0)</f>
        <v>0</v>
      </c>
      <c r="IX95" s="1" t="n">
        <f aca="false">IF(AND(C95=1,IW95=0,IU95&gt;0.5),1,0)</f>
        <v>0</v>
      </c>
      <c r="IY95" s="1" t="n">
        <f aca="false">IF(AND(C95=1,GX95&gt;0.5),1,0)</f>
        <v>0</v>
      </c>
      <c r="IZ95" s="1" t="n">
        <f aca="false">IF(AND(C95=1,GY95&gt;1,JF95=0),1,0)</f>
        <v>0</v>
      </c>
      <c r="JA95" s="1" t="n">
        <f aca="false">IF(AND(INT(D95/10)*10=90,B95&gt;0),80,INT(D95/10)*10)</f>
        <v>80</v>
      </c>
      <c r="JB95" s="1" t="n">
        <f aca="false">IF(B95=0,1,IF(JA95&lt;&gt;JA94,JB94+1,JB94))</f>
        <v>9</v>
      </c>
      <c r="JC95" s="1" t="n">
        <f aca="false">IF(AND(C95=1,F95=1,GX95&gt;MAX(PR_Short1,IN95*PR_Short2)),1,0)</f>
        <v>0</v>
      </c>
      <c r="JD95" s="1" t="n">
        <f aca="false">IO95*IS95</f>
        <v>0</v>
      </c>
      <c r="JE95" s="1" t="n">
        <f aca="false">IF(AND(U95=1,Slot1_PctLow=1),1,0)+IF(AND(AF95=1,Slot2_PctLow=1),1,0)+IF(AND(AP95=1,Slot3_PctLow=1),1,0)+IF(AND(AZ95=1,Slot4_PctLow=1),1,0)+IF(AND(BJ95=1,Slot5_PctLow=1),1,0)+IF(AND(BT95=1,Slot6_PctLow=1),1,0)+IF(AND(CD95=1,Slot7_PctLow=1),1,0)+IF(AND(CN95=1,Slot8_PctLow=1),1,0)</f>
        <v>0</v>
      </c>
      <c r="JF95" s="1" t="n">
        <f aca="false">IF(C95=1,IF(OR(IS95=1,JE95&gt;0),1,0),0)</f>
        <v>0</v>
      </c>
    </row>
    <row r="96" customFormat="false" ht="15" hidden="false" customHeight="false" outlineLevel="0" collapsed="false">
      <c r="B96" s="1" t="n">
        <v>88</v>
      </c>
      <c r="C96" s="1" t="n">
        <f aca="false">IF(B96&lt;=F_N,1,0)</f>
        <v>1</v>
      </c>
      <c r="D96" s="1" t="n">
        <f aca="false">'Plan pay &amp; tax'!C298</f>
        <v>88</v>
      </c>
      <c r="E96" s="106" t="n">
        <f aca="false">'Plan pay &amp; tax'!E298</f>
        <v>5.71235402374611</v>
      </c>
      <c r="F96" s="1" t="n">
        <f aca="false">'Plan pay &amp; tax'!G298</f>
        <v>0</v>
      </c>
      <c r="G96" s="1" t="n">
        <f aca="false">'Plan pay &amp; tax'!BT298-'Plan pay &amp; tax'!BS298-'Plan pay &amp; tax'!R298</f>
        <v>74094.258559528</v>
      </c>
      <c r="H96" s="1" t="n">
        <f aca="false">IF(F96=1,F_CostsM*12,IF(RG_Exists=1,RG_Amount,F_CostsM*12*AS_RetireSpend))*E96+F_OneOffY*E96</f>
        <v>0</v>
      </c>
      <c r="I96" s="1" t="n">
        <f aca="false">DA95</f>
        <v>0</v>
      </c>
      <c r="J96" s="1" t="n">
        <f aca="false">IF(I96&gt;1,'Plan debt months'!AC96,0)</f>
        <v>0</v>
      </c>
      <c r="K96" s="1" t="n">
        <f aca="false">IF(I96&gt;1,'Plan debt months'!AB96,I96)</f>
        <v>0</v>
      </c>
      <c r="L96" s="1" t="n">
        <f aca="false">N95</f>
        <v>0</v>
      </c>
      <c r="M96" s="1" t="n">
        <f aca="false">IF(L96&gt;1,'Plan debt months'!BD96,0)</f>
        <v>0</v>
      </c>
      <c r="N96" s="1" t="n">
        <f aca="false">IF(L96&gt;1,'Plan debt months'!BC96,L96)</f>
        <v>0</v>
      </c>
      <c r="O96" s="1" t="n">
        <f aca="false">Q95</f>
        <v>0</v>
      </c>
      <c r="P96" s="1" t="n">
        <f aca="false">IF(O96&gt;1,'Plan debt months'!CE96,0)</f>
        <v>0</v>
      </c>
      <c r="Q96" s="1" t="n">
        <f aca="false">IF(O96&gt;1,'Plan debt months'!CD96,O96)</f>
        <v>0</v>
      </c>
      <c r="R96" s="1" t="n">
        <f aca="false">J96+M96+P96</f>
        <v>0</v>
      </c>
      <c r="S96" s="1" t="n">
        <f aca="false">HD95+'Plan pay &amp; tax'!Y298</f>
        <v>1526145.7577764</v>
      </c>
      <c r="T96" s="1" t="n">
        <f aca="false">HD95</f>
        <v>1526145.7577764</v>
      </c>
      <c r="U96" s="1" t="n">
        <f aca="false">IF(AND(Slot1_On=1,D96=Slot1_Age),1,0)</f>
        <v>0</v>
      </c>
      <c r="V96" s="1" t="n">
        <f aca="false">IF(AND(Slot1_On=1,Slot1_Age&gt;D96),1,0)</f>
        <v>0</v>
      </c>
      <c r="W96" s="1" t="n">
        <f aca="false">HF95</f>
        <v>0</v>
      </c>
      <c r="X96" s="1" t="n">
        <f aca="false">U96*MIN(Slot1_Cost,W96)</f>
        <v>0</v>
      </c>
      <c r="Y96" s="1" t="n">
        <f aca="false">U96*Slot1_SpendLike*MIN(Slot1_Cost-X96,S96)</f>
        <v>0</v>
      </c>
      <c r="Z96" s="1" t="n">
        <f aca="false">X96+Y96</f>
        <v>0</v>
      </c>
      <c r="AA96" s="1" t="n">
        <f aca="false">S96-Y96+U96*IF(Slot1_SpendLike=1,W96-X96,IF(Slot1_PotFree=1,W96,0))</f>
        <v>1526145.7577764</v>
      </c>
      <c r="AB96" s="1" t="n">
        <f aca="false">AE96+U96*Slot1_BufPot*W96</f>
        <v>0</v>
      </c>
      <c r="AC96" s="1" t="n">
        <f aca="false">IF(AND(U96=1,Slot1_IsMfree=1),IF(Z96&gt;=Slot1_Cost-1,0,MAX(0,K96-Z96)),K96)</f>
        <v>0</v>
      </c>
      <c r="AD96" s="1" t="n">
        <f aca="false">U96*(Slot1_Cost-Z96)</f>
        <v>0</v>
      </c>
      <c r="AE96" s="1" t="n">
        <f aca="false">HE95</f>
        <v>0</v>
      </c>
      <c r="AF96" s="1" t="n">
        <f aca="false">IF(AND(Slot2_On=1,D96=Slot2_Age),1,0)</f>
        <v>0</v>
      </c>
      <c r="AG96" s="1" t="n">
        <f aca="false">IF(AND(Slot2_On=1,Slot2_Age&gt;D96),1,0)</f>
        <v>0</v>
      </c>
      <c r="AH96" s="1" t="n">
        <f aca="false">HJ95</f>
        <v>0</v>
      </c>
      <c r="AI96" s="1" t="n">
        <f aca="false">AF96*MIN(Slot2_Cost,AH96)</f>
        <v>0</v>
      </c>
      <c r="AJ96" s="1" t="n">
        <f aca="false">AF96*Slot2_SpendLike*MIN(Slot2_Cost-AI96,AA96)</f>
        <v>0</v>
      </c>
      <c r="AK96" s="1" t="n">
        <f aca="false">AI96+AJ96</f>
        <v>0</v>
      </c>
      <c r="AL96" s="1" t="n">
        <f aca="false">AA96-AJ96+AF96*IF(Slot2_SpendLike=1,AH96-AI96,IF(Slot2_PotFree=1,AH96,0))</f>
        <v>1526145.7577764</v>
      </c>
      <c r="AM96" s="1" t="n">
        <f aca="false">AB96+AF96*Slot2_BufPot*AH96</f>
        <v>0</v>
      </c>
      <c r="AN96" s="1" t="n">
        <f aca="false">IF(AND(AF96=1,Slot2_IsMfree=1),IF(AK96&gt;=Slot2_Cost-1,0,MAX(0,AC96-AK96)),AC96)</f>
        <v>0</v>
      </c>
      <c r="AO96" s="1" t="n">
        <f aca="false">AF96*(Slot2_Cost-AK96)</f>
        <v>0</v>
      </c>
      <c r="AP96" s="1" t="n">
        <f aca="false">IF(AND(Slot3_On=1,D96=Slot3_Age),1,0)</f>
        <v>0</v>
      </c>
      <c r="AQ96" s="1" t="n">
        <f aca="false">IF(AND(Slot3_On=1,Slot3_Age&gt;D96),1,0)</f>
        <v>0</v>
      </c>
      <c r="AR96" s="1" t="n">
        <f aca="false">HN95</f>
        <v>0</v>
      </c>
      <c r="AS96" s="1" t="n">
        <f aca="false">AP96*MIN(Slot3_Cost,AR96)</f>
        <v>0</v>
      </c>
      <c r="AT96" s="1" t="n">
        <f aca="false">AP96*Slot3_SpendLike*MIN(Slot3_Cost-AS96,AL96)</f>
        <v>0</v>
      </c>
      <c r="AU96" s="1" t="n">
        <f aca="false">AS96+AT96</f>
        <v>0</v>
      </c>
      <c r="AV96" s="1" t="n">
        <f aca="false">AL96-AT96+AP96*IF(Slot3_SpendLike=1,AR96-AS96,IF(Slot3_PotFree=1,AR96,0))</f>
        <v>1526145.7577764</v>
      </c>
      <c r="AW96" s="1" t="n">
        <f aca="false">AM96+AP96*Slot3_BufPot*AR96</f>
        <v>0</v>
      </c>
      <c r="AX96" s="1" t="n">
        <f aca="false">IF(AND(AP96=1,Slot3_IsMfree=1),IF(AU96&gt;=Slot3_Cost-1,0,MAX(0,AN96-AU96)),AN96)</f>
        <v>0</v>
      </c>
      <c r="AY96" s="1" t="n">
        <f aca="false">AP96*(Slot3_Cost-AU96)</f>
        <v>0</v>
      </c>
      <c r="AZ96" s="1" t="n">
        <f aca="false">IF(AND(Slot4_On=1,D96=Slot4_Age),1,0)</f>
        <v>0</v>
      </c>
      <c r="BA96" s="1" t="n">
        <f aca="false">IF(AND(Slot4_On=1,Slot4_Age&gt;D96),1,0)</f>
        <v>0</v>
      </c>
      <c r="BB96" s="1" t="n">
        <f aca="false">HR95</f>
        <v>0</v>
      </c>
      <c r="BC96" s="1" t="n">
        <f aca="false">AZ96*MIN(Slot4_Cost,BB96)</f>
        <v>0</v>
      </c>
      <c r="BD96" s="1" t="n">
        <f aca="false">AZ96*Slot4_SpendLike*MIN(Slot4_Cost-BC96,AV96)</f>
        <v>0</v>
      </c>
      <c r="BE96" s="1" t="n">
        <f aca="false">BC96+BD96</f>
        <v>0</v>
      </c>
      <c r="BF96" s="1" t="n">
        <f aca="false">AV96-BD96+AZ96*IF(Slot4_SpendLike=1,BB96-BC96,IF(Slot4_PotFree=1,BB96,0))</f>
        <v>1526145.7577764</v>
      </c>
      <c r="BG96" s="1" t="n">
        <f aca="false">AW96+AZ96*Slot4_BufPot*BB96</f>
        <v>0</v>
      </c>
      <c r="BH96" s="1" t="n">
        <f aca="false">IF(AND(AZ96=1,Slot4_IsMfree=1),IF(BE96&gt;=Slot4_Cost-1,0,MAX(0,AX96-BE96)),AX96)</f>
        <v>0</v>
      </c>
      <c r="BI96" s="1" t="n">
        <f aca="false">AZ96*(Slot4_Cost-BE96)</f>
        <v>0</v>
      </c>
      <c r="BJ96" s="1" t="n">
        <f aca="false">IF(AND(Slot5_On=1,D96=Slot5_Age),1,0)</f>
        <v>0</v>
      </c>
      <c r="BK96" s="1" t="n">
        <f aca="false">IF(AND(Slot5_On=1,Slot5_Age&gt;D96),1,0)</f>
        <v>0</v>
      </c>
      <c r="BL96" s="1" t="n">
        <f aca="false">HV95</f>
        <v>0</v>
      </c>
      <c r="BM96" s="1" t="n">
        <f aca="false">BJ96*MIN(Slot5_Cost,BL96)</f>
        <v>0</v>
      </c>
      <c r="BN96" s="1" t="n">
        <f aca="false">BJ96*Slot5_SpendLike*MIN(Slot5_Cost-BM96,BF96)</f>
        <v>0</v>
      </c>
      <c r="BO96" s="1" t="n">
        <f aca="false">BM96+BN96</f>
        <v>0</v>
      </c>
      <c r="BP96" s="1" t="n">
        <f aca="false">BF96-BN96+BJ96*IF(Slot5_SpendLike=1,BL96-BM96,IF(Slot5_PotFree=1,BL96,0))</f>
        <v>1526145.7577764</v>
      </c>
      <c r="BQ96" s="1" t="n">
        <f aca="false">BG96+BJ96*Slot5_BufPot*BL96</f>
        <v>0</v>
      </c>
      <c r="BR96" s="1" t="n">
        <f aca="false">IF(AND(BJ96=1,Slot5_IsMfree=1),IF(BO96&gt;=Slot5_Cost-1,0,MAX(0,BH96-BO96)),BH96)</f>
        <v>0</v>
      </c>
      <c r="BS96" s="1" t="n">
        <f aca="false">BJ96*(Slot5_Cost-BO96)</f>
        <v>0</v>
      </c>
      <c r="BT96" s="1" t="n">
        <f aca="false">IF(AND(Slot6_On=1,D96=Slot6_Age),1,0)</f>
        <v>0</v>
      </c>
      <c r="BU96" s="1" t="n">
        <f aca="false">IF(AND(Slot6_On=1,Slot6_Age&gt;D96),1,0)</f>
        <v>0</v>
      </c>
      <c r="BV96" s="1" t="n">
        <f aca="false">HZ95</f>
        <v>0</v>
      </c>
      <c r="BW96" s="1" t="n">
        <f aca="false">BT96*MIN(Slot6_Cost,BV96)</f>
        <v>0</v>
      </c>
      <c r="BX96" s="1" t="n">
        <f aca="false">BT96*Slot6_SpendLike*MIN(Slot6_Cost-BW96,BP96)</f>
        <v>0</v>
      </c>
      <c r="BY96" s="1" t="n">
        <f aca="false">BW96+BX96</f>
        <v>0</v>
      </c>
      <c r="BZ96" s="1" t="n">
        <f aca="false">BP96-BX96+BT96*IF(Slot6_SpendLike=1,BV96-BW96,IF(Slot6_PotFree=1,BV96,0))</f>
        <v>1526145.7577764</v>
      </c>
      <c r="CA96" s="1" t="n">
        <f aca="false">BQ96+BT96*Slot6_BufPot*BV96</f>
        <v>0</v>
      </c>
      <c r="CB96" s="1" t="n">
        <f aca="false">IF(AND(BT96=1,Slot6_IsMfree=1),IF(BY96&gt;=Slot6_Cost-1,0,MAX(0,BR96-BY96)),BR96)</f>
        <v>0</v>
      </c>
      <c r="CC96" s="1" t="n">
        <f aca="false">BT96*(Slot6_Cost-BY96)</f>
        <v>0</v>
      </c>
      <c r="CD96" s="1" t="n">
        <f aca="false">IF(AND(Slot7_On=1,D96=Slot7_Age),1,0)</f>
        <v>0</v>
      </c>
      <c r="CE96" s="1" t="n">
        <f aca="false">IF(AND(Slot7_On=1,Slot7_Age&gt;D96),1,0)</f>
        <v>0</v>
      </c>
      <c r="CF96" s="1" t="n">
        <f aca="false">ID95</f>
        <v>0</v>
      </c>
      <c r="CG96" s="1" t="n">
        <f aca="false">CD96*MIN(Slot7_Cost,CF96)</f>
        <v>0</v>
      </c>
      <c r="CH96" s="1" t="n">
        <f aca="false">CD96*Slot7_SpendLike*MIN(Slot7_Cost-CG96,BZ96)</f>
        <v>0</v>
      </c>
      <c r="CI96" s="1" t="n">
        <f aca="false">CG96+CH96</f>
        <v>0</v>
      </c>
      <c r="CJ96" s="1" t="n">
        <f aca="false">BZ96-CH96+CD96*IF(Slot7_SpendLike=1,CF96-CG96,IF(Slot7_PotFree=1,CF96,0))</f>
        <v>1526145.7577764</v>
      </c>
      <c r="CK96" s="1" t="n">
        <f aca="false">CA96+CD96*Slot7_BufPot*CF96</f>
        <v>0</v>
      </c>
      <c r="CL96" s="1" t="n">
        <f aca="false">IF(AND(CD96=1,Slot7_IsMfree=1),IF(CI96&gt;=Slot7_Cost-1,0,MAX(0,CB96-CI96)),CB96)</f>
        <v>0</v>
      </c>
      <c r="CM96" s="1" t="n">
        <f aca="false">CD96*(Slot7_Cost-CI96)</f>
        <v>0</v>
      </c>
      <c r="CN96" s="1" t="n">
        <f aca="false">IF(AND(Slot8_On=1,D96=Slot8_Age),1,0)</f>
        <v>0</v>
      </c>
      <c r="CO96" s="1" t="n">
        <f aca="false">IF(AND(Slot8_On=1,Slot8_Age&gt;D96),1,0)</f>
        <v>0</v>
      </c>
      <c r="CP96" s="1" t="n">
        <f aca="false">IH95</f>
        <v>0</v>
      </c>
      <c r="CQ96" s="1" t="n">
        <f aca="false">CN96*MIN(Slot8_Cost,CP96)</f>
        <v>0</v>
      </c>
      <c r="CR96" s="1" t="n">
        <f aca="false">CN96*Slot8_SpendLike*MIN(Slot8_Cost-CQ96,CJ96)</f>
        <v>0</v>
      </c>
      <c r="CS96" s="1" t="n">
        <f aca="false">CQ96+CR96</f>
        <v>0</v>
      </c>
      <c r="CT96" s="1" t="n">
        <f aca="false">CJ96-CR96+CN96*IF(Slot8_SpendLike=1,CP96-CQ96,IF(Slot8_PotFree=1,CP96,0))</f>
        <v>1526145.7577764</v>
      </c>
      <c r="CU96" s="1" t="n">
        <f aca="false">CK96+CN96*Slot8_BufPot*CP96</f>
        <v>0</v>
      </c>
      <c r="CV96" s="1" t="n">
        <f aca="false">IF(AND(CN96=1,Slot8_IsMfree=1),IF(CS96&gt;=Slot8_Cost-1,0,MAX(0,CL96-CS96)),CL96)</f>
        <v>0</v>
      </c>
      <c r="CW96" s="1" t="n">
        <f aca="false">CN96*(Slot8_Cost-CS96)</f>
        <v>0</v>
      </c>
      <c r="CX96" s="1" t="n">
        <f aca="false">U96*Slot1_SpendLike*Z96+AF96*Slot2_SpendLike*AK96+AP96*Slot3_SpendLike*AU96+AZ96*Slot4_SpendLike*BE96+BJ96*Slot5_SpendLike*BO96+BT96*Slot6_SpendLike*BY96+CD96*Slot7_SpendLike*CI96+CN96*Slot8_SpendLike*CS96</f>
        <v>0</v>
      </c>
      <c r="CY96" s="1" t="n">
        <f aca="false">AD96+AO96+AY96+BI96+BS96+CC96+CM96+CW96</f>
        <v>0</v>
      </c>
      <c r="CZ96" s="1" t="n">
        <f aca="false">U96*Slot1_Cost+AF96*Slot2_Cost+AP96*Slot3_Cost+AZ96*Slot4_Cost+BJ96*Slot5_Cost+BT96*Slot6_Cost+CD96*Slot7_Cost+CN96*Slot8_Cost</f>
        <v>0</v>
      </c>
      <c r="DA96" s="1" t="n">
        <f aca="false">CV96</f>
        <v>0</v>
      </c>
      <c r="DB96" s="1" t="n">
        <f aca="false">G96-H96-R96</f>
        <v>74094.258559528</v>
      </c>
      <c r="DC96" s="1" t="n">
        <f aca="false">IF(B96=0,IF(AND(Has_q6=1,In_q6=4),PR_ShareVaries*(MAX(0,DB96)/12),MIN(IF(Has_q6=1,CHOOSE(In_q6+1,PR_SaveB1,PR_SaveB2,PR_SaveB3,PR_SaveB4,0),AS_NoAnswer),AS_SaveShare*(MAX(0,DB96)/12))),DC95)</f>
        <v>0</v>
      </c>
      <c r="DD96" s="1" t="n">
        <f aca="false">IF(DB96&gt;=0,1,0)</f>
        <v>1</v>
      </c>
      <c r="DE96" s="1" t="n">
        <f aca="false">MAX(0,DB96/12/E96)</f>
        <v>1080.90666666667</v>
      </c>
      <c r="DF96" s="1" t="n">
        <f aca="false">IF(AND(Has_q6=1,In_q6=4),PR_ShareVaries*(DE96),MIN(IF(Has_q6=1,CHOOSE(In_q6+1,PR_SaveB1,PR_SaveB2,PR_SaveB3,PR_SaveB4,0),AS_NoAnswer),AS_SaveShare*(DE96)))</f>
        <v>300</v>
      </c>
      <c r="DG96" s="1" t="n">
        <f aca="false">IF(Has_saveM=1,IF(In_saveUp="Yes",1,IF(In_saveUp="No",0,IF(In_saveM&gt;=DC96-0.5,1,0))),0)</f>
        <v>0</v>
      </c>
      <c r="DH96" s="1" t="n">
        <f aca="false">IF(Has_saveM=1,MIN(DE96,IF(DG96=1,MAX(In_saveM,DF96),MIN(In_saveM,DF96))),DF96)</f>
        <v>300</v>
      </c>
      <c r="DI96" s="1" t="n">
        <f aca="false">IF(F96=1,DH96*12*E96,0)</f>
        <v>0</v>
      </c>
      <c r="DJ96" s="1" t="n">
        <f aca="false">MAX(0,DI96+IF(AND(WI_Retire=0,WI_M&lt;0,F96=1),WI_M*12*E96,0))</f>
        <v>0</v>
      </c>
      <c r="DK96" s="1" t="n">
        <f aca="false">Slot1_IsWG*V96+Slot2_IsWG*AG96+Slot3_IsWG*AQ96+Slot4_IsWG*BA96+Slot5_IsWG*BK96+Slot6_IsWG*BU96+Slot7_IsWG*CE96+Slot8_IsWG*CO96</f>
        <v>0</v>
      </c>
      <c r="DL96" s="1" t="n">
        <f aca="false">IF(AND(WI_Retire=0,WI_M&gt;0,F96=1,DK96&gt;=1),WI_M*12*E96,0)</f>
        <v>0</v>
      </c>
      <c r="DM96" s="1" t="n">
        <f aca="false">IF(DD96=1,MIN(DJ96,DB96),0)</f>
        <v>0</v>
      </c>
      <c r="DN96" s="1" t="n">
        <f aca="false">IF(DD96=1,MIN(DL96,DB96-DM96),0)</f>
        <v>0</v>
      </c>
      <c r="DO96" s="1" t="n">
        <f aca="false">IF(V96=1,IF(ABS((1+AS_Wage)/(1+Slot1_Rate)-1)&lt;0.000000000001,(Slot1_Age-D96)*(1+Slot1_Rate)^(Slot1_Age-D96),(1+Slot1_Rate)^(Slot1_Age-D96)*(1-((1+AS_Wage)/(1+Slot1_Rate))^(Slot1_Age-D96))/(1-(1+AS_Wage)/(1+Slot1_Rate))),1)</f>
        <v>1</v>
      </c>
      <c r="DP96" s="1" t="n">
        <f aca="false">IF(AND(DD96=1,DN96&gt;0,Slot1_IsWG=1,V96=1),MAX(0,(Slot1_Cost-W96*(1+Slot1_Rate)^(Slot1_Age-D96))/DO96),0)</f>
        <v>0</v>
      </c>
      <c r="DQ96" s="1" t="n">
        <f aca="false">IF(AND(DD96=1,DN96&gt;0,Slot1_IsWG=1,V96=1),MIN(DN96,DP96),0)</f>
        <v>0</v>
      </c>
      <c r="DR96" s="1" t="n">
        <f aca="false">W96+DQ96</f>
        <v>0</v>
      </c>
      <c r="DS96" s="1" t="n">
        <f aca="false">IF(V96=1,MAX(0,(Slot1_Cost-DR96*(1+Slot1_Rate)^(Slot1_Age-D96))/DO96),0)</f>
        <v>0</v>
      </c>
      <c r="DT96" s="1" t="n">
        <f aca="false">IF(V96=1,MAX(0,(Slot1_Cost-W96*(1+Slot1_Rate)^(Slot1_Age-D96))/DO96),0)</f>
        <v>0</v>
      </c>
      <c r="DU96" s="1" t="n">
        <f aca="false">IF(AND(DD96=1,V96=1),MIN(DM96,DS96),0)</f>
        <v>0</v>
      </c>
      <c r="DV96" s="1" t="n">
        <f aca="false">DM96-DU96</f>
        <v>0</v>
      </c>
      <c r="DW96" s="1" t="n">
        <f aca="false">IF(AG96=1,IF(ABS((1+AS_Wage)/(1+Slot2_Rate)-1)&lt;0.000000000001,(Slot2_Age-D96)*(1+Slot2_Rate)^(Slot2_Age-D96),(1+Slot2_Rate)^(Slot2_Age-D96)*(1-((1+AS_Wage)/(1+Slot2_Rate))^(Slot2_Age-D96))/(1-(1+AS_Wage)/(1+Slot2_Rate))),1)</f>
        <v>1</v>
      </c>
      <c r="DX96" s="1" t="n">
        <f aca="false">IF(AND(DD96=1,DN96&gt;0,Slot2_IsWG=1,AG96=1),MAX(0,(Slot2_Cost-AH96*(1+Slot2_Rate)^(Slot2_Age-D96))/DW96),0)</f>
        <v>0</v>
      </c>
      <c r="DY96" s="1" t="n">
        <f aca="false">IF(AND(DD96=1,DN96&gt;0,Slot2_IsWG=1,AG96=1),MIN(DN96,DX96),0)</f>
        <v>0</v>
      </c>
      <c r="DZ96" s="1" t="n">
        <f aca="false">AH96+DY96</f>
        <v>0</v>
      </c>
      <c r="EA96" s="1" t="n">
        <f aca="false">IF(AG96=1,MAX(0,(Slot2_Cost-DZ96*(1+Slot2_Rate)^(Slot2_Age-D96))/DW96),0)</f>
        <v>0</v>
      </c>
      <c r="EB96" s="1" t="n">
        <f aca="false">IF(AG96=1,MAX(0,(Slot2_Cost-AH96*(1+Slot2_Rate)^(Slot2_Age-D96))/DW96),0)</f>
        <v>0</v>
      </c>
      <c r="EC96" s="1" t="n">
        <f aca="false">IF(AND(DD96=1,AG96=1),MIN(DV96,EA96),0)</f>
        <v>0</v>
      </c>
      <c r="ED96" s="1" t="n">
        <f aca="false">DV96-EC96</f>
        <v>0</v>
      </c>
      <c r="EE96" s="1" t="n">
        <f aca="false">IF(AQ96=1,IF(ABS((1+AS_Wage)/(1+Slot3_Rate)-1)&lt;0.000000000001,(Slot3_Age-D96)*(1+Slot3_Rate)^(Slot3_Age-D96),(1+Slot3_Rate)^(Slot3_Age-D96)*(1-((1+AS_Wage)/(1+Slot3_Rate))^(Slot3_Age-D96))/(1-(1+AS_Wage)/(1+Slot3_Rate))),1)</f>
        <v>1</v>
      </c>
      <c r="EF96" s="1" t="n">
        <f aca="false">IF(AND(DD96=1,DN96&gt;0,Slot3_IsWG=1,AQ96=1),MAX(0,(Slot3_Cost-AR96*(1+Slot3_Rate)^(Slot3_Age-D96))/EE96),0)</f>
        <v>0</v>
      </c>
      <c r="EG96" s="1" t="n">
        <f aca="false">IF(AND(DD96=1,DN96&gt;0,Slot3_IsWG=1,AQ96=1),MIN(DN96,EF96),0)</f>
        <v>0</v>
      </c>
      <c r="EH96" s="1" t="n">
        <f aca="false">AR96+EG96</f>
        <v>0</v>
      </c>
      <c r="EI96" s="1" t="n">
        <f aca="false">IF(AQ96=1,MAX(0,(Slot3_Cost-EH96*(1+Slot3_Rate)^(Slot3_Age-D96))/EE96),0)</f>
        <v>0</v>
      </c>
      <c r="EJ96" s="1" t="n">
        <f aca="false">IF(AQ96=1,MAX(0,(Slot3_Cost-AR96*(1+Slot3_Rate)^(Slot3_Age-D96))/EE96),0)</f>
        <v>0</v>
      </c>
      <c r="EK96" s="1" t="n">
        <f aca="false">IF(AND(DD96=1,AQ96=1),MIN(ED96,EI96),0)</f>
        <v>0</v>
      </c>
      <c r="EL96" s="1" t="n">
        <f aca="false">ED96-EK96</f>
        <v>0</v>
      </c>
      <c r="EM96" s="1" t="n">
        <f aca="false">IF(BA96=1,IF(ABS((1+AS_Wage)/(1+Slot4_Rate)-1)&lt;0.000000000001,(Slot4_Age-D96)*(1+Slot4_Rate)^(Slot4_Age-D96),(1+Slot4_Rate)^(Slot4_Age-D96)*(1-((1+AS_Wage)/(1+Slot4_Rate))^(Slot4_Age-D96))/(1-(1+AS_Wage)/(1+Slot4_Rate))),1)</f>
        <v>1</v>
      </c>
      <c r="EN96" s="1" t="n">
        <f aca="false">IF(AND(DD96=1,DN96&gt;0,Slot4_IsWG=1,BA96=1),MAX(0,(Slot4_Cost-BB96*(1+Slot4_Rate)^(Slot4_Age-D96))/EM96),0)</f>
        <v>0</v>
      </c>
      <c r="EO96" s="1" t="n">
        <f aca="false">IF(AND(DD96=1,DN96&gt;0,Slot4_IsWG=1,BA96=1),MIN(DN96,EN96),0)</f>
        <v>0</v>
      </c>
      <c r="EP96" s="1" t="n">
        <f aca="false">BB96+EO96</f>
        <v>0</v>
      </c>
      <c r="EQ96" s="1" t="n">
        <f aca="false">IF(BA96=1,MAX(0,(Slot4_Cost-EP96*(1+Slot4_Rate)^(Slot4_Age-D96))/EM96),0)</f>
        <v>0</v>
      </c>
      <c r="ER96" s="1" t="n">
        <f aca="false">IF(BA96=1,MAX(0,(Slot4_Cost-BB96*(1+Slot4_Rate)^(Slot4_Age-D96))/EM96),0)</f>
        <v>0</v>
      </c>
      <c r="ES96" s="1" t="n">
        <f aca="false">IF(AND(DD96=1,BA96=1),MIN(EL96,EQ96),0)</f>
        <v>0</v>
      </c>
      <c r="ET96" s="1" t="n">
        <f aca="false">EL96-ES96</f>
        <v>0</v>
      </c>
      <c r="EU96" s="1" t="n">
        <f aca="false">IF(BK96=1,IF(ABS((1+AS_Wage)/(1+Slot5_Rate)-1)&lt;0.000000000001,(Slot5_Age-D96)*(1+Slot5_Rate)^(Slot5_Age-D96),(1+Slot5_Rate)^(Slot5_Age-D96)*(1-((1+AS_Wage)/(1+Slot5_Rate))^(Slot5_Age-D96))/(1-(1+AS_Wage)/(1+Slot5_Rate))),1)</f>
        <v>1</v>
      </c>
      <c r="EV96" s="1" t="n">
        <f aca="false">IF(AND(DD96=1,DN96&gt;0,Slot5_IsWG=1,BK96=1),MAX(0,(Slot5_Cost-BL96*(1+Slot5_Rate)^(Slot5_Age-D96))/EU96),0)</f>
        <v>0</v>
      </c>
      <c r="EW96" s="1" t="n">
        <f aca="false">IF(AND(DD96=1,DN96&gt;0,Slot5_IsWG=1,BK96=1),MIN(DN96,EV96),0)</f>
        <v>0</v>
      </c>
      <c r="EX96" s="1" t="n">
        <f aca="false">BL96+EW96</f>
        <v>0</v>
      </c>
      <c r="EY96" s="1" t="n">
        <f aca="false">IF(BK96=1,MAX(0,(Slot5_Cost-EX96*(1+Slot5_Rate)^(Slot5_Age-D96))/EU96),0)</f>
        <v>0</v>
      </c>
      <c r="EZ96" s="1" t="n">
        <f aca="false">IF(BK96=1,MAX(0,(Slot5_Cost-BL96*(1+Slot5_Rate)^(Slot5_Age-D96))/EU96),0)</f>
        <v>0</v>
      </c>
      <c r="FA96" s="1" t="n">
        <f aca="false">IF(AND(DD96=1,BK96=1),MIN(ET96,EY96),0)</f>
        <v>0</v>
      </c>
      <c r="FB96" s="1" t="n">
        <f aca="false">ET96-FA96</f>
        <v>0</v>
      </c>
      <c r="FC96" s="1" t="n">
        <f aca="false">IF(BU96=1,IF(ABS((1+AS_Wage)/(1+Slot6_Rate)-1)&lt;0.000000000001,(Slot6_Age-D96)*(1+Slot6_Rate)^(Slot6_Age-D96),(1+Slot6_Rate)^(Slot6_Age-D96)*(1-((1+AS_Wage)/(1+Slot6_Rate))^(Slot6_Age-D96))/(1-(1+AS_Wage)/(1+Slot6_Rate))),1)</f>
        <v>1</v>
      </c>
      <c r="FD96" s="1" t="n">
        <f aca="false">IF(AND(DD96=1,DN96&gt;0,Slot6_IsWG=1,BU96=1),MAX(0,(Slot6_Cost-BV96*(1+Slot6_Rate)^(Slot6_Age-D96))/FC96),0)</f>
        <v>0</v>
      </c>
      <c r="FE96" s="1" t="n">
        <f aca="false">IF(AND(DD96=1,DN96&gt;0,Slot6_IsWG=1,BU96=1),MIN(DN96,FD96),0)</f>
        <v>0</v>
      </c>
      <c r="FF96" s="1" t="n">
        <f aca="false">BV96+FE96</f>
        <v>0</v>
      </c>
      <c r="FG96" s="1" t="n">
        <f aca="false">IF(BU96=1,MAX(0,(Slot6_Cost-FF96*(1+Slot6_Rate)^(Slot6_Age-D96))/FC96),0)</f>
        <v>0</v>
      </c>
      <c r="FH96" s="1" t="n">
        <f aca="false">IF(BU96=1,MAX(0,(Slot6_Cost-BV96*(1+Slot6_Rate)^(Slot6_Age-D96))/FC96),0)</f>
        <v>0</v>
      </c>
      <c r="FI96" s="1" t="n">
        <f aca="false">IF(AND(DD96=1,BU96=1),MIN(FB96,FG96),0)</f>
        <v>0</v>
      </c>
      <c r="FJ96" s="1" t="n">
        <f aca="false">FB96-FI96</f>
        <v>0</v>
      </c>
      <c r="FK96" s="1" t="n">
        <f aca="false">IF(CE96=1,IF(ABS((1+AS_Wage)/(1+Slot7_Rate)-1)&lt;0.000000000001,(Slot7_Age-D96)*(1+Slot7_Rate)^(Slot7_Age-D96),(1+Slot7_Rate)^(Slot7_Age-D96)*(1-((1+AS_Wage)/(1+Slot7_Rate))^(Slot7_Age-D96))/(1-(1+AS_Wage)/(1+Slot7_Rate))),1)</f>
        <v>1</v>
      </c>
      <c r="FL96" s="1" t="n">
        <f aca="false">IF(AND(DD96=1,DN96&gt;0,Slot7_IsWG=1,CE96=1),MAX(0,(Slot7_Cost-CF96*(1+Slot7_Rate)^(Slot7_Age-D96))/FK96),0)</f>
        <v>0</v>
      </c>
      <c r="FM96" s="1" t="n">
        <f aca="false">IF(AND(DD96=1,DN96&gt;0,Slot7_IsWG=1,CE96=1),MIN(DN96,FL96),0)</f>
        <v>0</v>
      </c>
      <c r="FN96" s="1" t="n">
        <f aca="false">CF96+FM96</f>
        <v>0</v>
      </c>
      <c r="FO96" s="1" t="n">
        <f aca="false">IF(CE96=1,MAX(0,(Slot7_Cost-FN96*(1+Slot7_Rate)^(Slot7_Age-D96))/FK96),0)</f>
        <v>0</v>
      </c>
      <c r="FP96" s="1" t="n">
        <f aca="false">IF(CE96=1,MAX(0,(Slot7_Cost-CF96*(1+Slot7_Rate)^(Slot7_Age-D96))/FK96),0)</f>
        <v>0</v>
      </c>
      <c r="FQ96" s="1" t="n">
        <f aca="false">IF(AND(DD96=1,CE96=1),MIN(FJ96,FO96),0)</f>
        <v>0</v>
      </c>
      <c r="FR96" s="1" t="n">
        <f aca="false">FJ96-FQ96</f>
        <v>0</v>
      </c>
      <c r="FS96" s="1" t="n">
        <f aca="false">IF(CO96=1,IF(ABS((1+AS_Wage)/(1+Slot8_Rate)-1)&lt;0.000000000001,(Slot8_Age-D96)*(1+Slot8_Rate)^(Slot8_Age-D96),(1+Slot8_Rate)^(Slot8_Age-D96)*(1-((1+AS_Wage)/(1+Slot8_Rate))^(Slot8_Age-D96))/(1-(1+AS_Wage)/(1+Slot8_Rate))),1)</f>
        <v>1</v>
      </c>
      <c r="FT96" s="1" t="n">
        <f aca="false">IF(AND(DD96=1,DN96&gt;0,Slot8_IsWG=1,CO96=1),MAX(0,(Slot8_Cost-CP96*(1+Slot8_Rate)^(Slot8_Age-D96))/FS96),0)</f>
        <v>0</v>
      </c>
      <c r="FU96" s="1" t="n">
        <f aca="false">IF(AND(DD96=1,DN96&gt;0,Slot8_IsWG=1,CO96=1),MIN(DN96,FT96),0)</f>
        <v>0</v>
      </c>
      <c r="FV96" s="1" t="n">
        <f aca="false">CP96+FU96</f>
        <v>0</v>
      </c>
      <c r="FW96" s="1" t="n">
        <f aca="false">IF(CO96=1,MAX(0,(Slot8_Cost-FV96*(1+Slot8_Rate)^(Slot8_Age-D96))/FS96),0)</f>
        <v>0</v>
      </c>
      <c r="FX96" s="1" t="n">
        <f aca="false">IF(CO96=1,MAX(0,(Slot8_Cost-CP96*(1+Slot8_Rate)^(Slot8_Age-D96))/FS96),0)</f>
        <v>0</v>
      </c>
      <c r="FY96" s="1" t="n">
        <f aca="false">IF(AND(DD96=1,CO96=1),MIN(FR96,FW96),0)</f>
        <v>0</v>
      </c>
      <c r="FZ96" s="1" t="n">
        <f aca="false">FR96-FY96</f>
        <v>0</v>
      </c>
      <c r="GA96" s="1" t="n">
        <f aca="false">DN96-(DQ96+DY96+EG96+EO96+EW96+FE96+FM96+FU96)</f>
        <v>0</v>
      </c>
      <c r="GB96" s="1" t="n">
        <f aca="false">IF(DD96=1,DB96-DM96-DN96,0)</f>
        <v>74094.258559528</v>
      </c>
      <c r="GC96" s="1" t="n">
        <f aca="false">IF(DD96=0,-DB96,0)</f>
        <v>0</v>
      </c>
      <c r="GD96" s="1" t="n">
        <f aca="false">MIN(GC96,CT96)</f>
        <v>0</v>
      </c>
      <c r="GE96" s="1" t="n">
        <f aca="false">GC96-GD96</f>
        <v>0</v>
      </c>
      <c r="GF96" s="1" t="n">
        <f aca="false">MIN(GE96,CU96)</f>
        <v>0</v>
      </c>
      <c r="GG96" s="1" t="n">
        <f aca="false">GE96-GF96</f>
        <v>0</v>
      </c>
      <c r="GH96" s="1" t="n">
        <f aca="false">IF(AND(DD96=0,CO96=1,GG96&gt;0),MIN(GG96,CP96),0)</f>
        <v>0</v>
      </c>
      <c r="GI96" s="1" t="n">
        <f aca="false">GG96-GH96</f>
        <v>0</v>
      </c>
      <c r="GJ96" s="1" t="n">
        <f aca="false">IF(AND(DD96=0,CE96=1,GI96&gt;0),MIN(GI96,CF96),0)</f>
        <v>0</v>
      </c>
      <c r="GK96" s="1" t="n">
        <f aca="false">GI96-GJ96</f>
        <v>0</v>
      </c>
      <c r="GL96" s="1" t="n">
        <f aca="false">IF(AND(DD96=0,BU96=1,GK96&gt;0),MIN(GK96,BV96),0)</f>
        <v>0</v>
      </c>
      <c r="GM96" s="1" t="n">
        <f aca="false">GK96-GL96</f>
        <v>0</v>
      </c>
      <c r="GN96" s="1" t="n">
        <f aca="false">IF(AND(DD96=0,BK96=1,GM96&gt;0),MIN(GM96,BL96),0)</f>
        <v>0</v>
      </c>
      <c r="GO96" s="1" t="n">
        <f aca="false">GM96-GN96</f>
        <v>0</v>
      </c>
      <c r="GP96" s="1" t="n">
        <f aca="false">IF(AND(DD96=0,BA96=1,GO96&gt;0),MIN(GO96,BB96),0)</f>
        <v>0</v>
      </c>
      <c r="GQ96" s="1" t="n">
        <f aca="false">GO96-GP96</f>
        <v>0</v>
      </c>
      <c r="GR96" s="1" t="n">
        <f aca="false">IF(AND(DD96=0,AQ96=1,GQ96&gt;0),MIN(GQ96,AR96),0)</f>
        <v>0</v>
      </c>
      <c r="GS96" s="1" t="n">
        <f aca="false">GQ96-GR96</f>
        <v>0</v>
      </c>
      <c r="GT96" s="1" t="n">
        <f aca="false">IF(AND(DD96=0,AG96=1,GS96&gt;0),MIN(GS96,AH96),0)</f>
        <v>0</v>
      </c>
      <c r="GU96" s="1" t="n">
        <f aca="false">GS96-GT96</f>
        <v>0</v>
      </c>
      <c r="GV96" s="1" t="n">
        <f aca="false">IF(AND(DD96=0,V96=1,GU96&gt;0),MIN(GU96,W96),0)</f>
        <v>0</v>
      </c>
      <c r="GW96" s="1" t="n">
        <f aca="false">GU96-GV96</f>
        <v>0</v>
      </c>
      <c r="GX96" s="1" t="n">
        <f aca="false">IF(DD96=0,GW96,0)</f>
        <v>0</v>
      </c>
      <c r="GY96" s="1" t="n">
        <f aca="false">GD96+GF96+GV96+GT96+GR96+GP96+GN96+GL96+GJ96+GH96</f>
        <v>0</v>
      </c>
      <c r="GZ96" s="1" t="n">
        <f aca="false">IF(DD96=1,CT96+GA96+FZ96+IF(F96=1,0,GB96),CT96-GD96)</f>
        <v>1600240.01633593</v>
      </c>
      <c r="HA96" s="1" t="n">
        <f aca="false">CU96-GF96</f>
        <v>0</v>
      </c>
      <c r="HB96" s="1" t="n">
        <f aca="false">IF(DD96=1,IF(F96=1,DM96+DN96,DB96),0)</f>
        <v>74094.258559528</v>
      </c>
      <c r="HC96" s="1" t="n">
        <f aca="false">IF(DD96=1,IF(F96=1,DB96-DM96-DN96,0),0)</f>
        <v>0</v>
      </c>
      <c r="HD96" s="1" t="n">
        <f aca="false">GZ96*(1+GR)</f>
        <v>1626483.95260384</v>
      </c>
      <c r="HE96" s="1" t="n">
        <f aca="false">HA96*(1+AS_Cash)</f>
        <v>0</v>
      </c>
      <c r="HF96" s="1" t="n">
        <f aca="false">IF(V96=1,IF(DD96=1,DR96+DU96,W96-GV96)*(1+Slot1_Rate),0)</f>
        <v>0</v>
      </c>
      <c r="HG96" s="1" t="n">
        <f aca="false">IF(AND(DD96=1,V96=1),(DQ96+DU96)/E96,0)</f>
        <v>0</v>
      </c>
      <c r="HH96" s="1" t="n">
        <f aca="false">IF(B96=0,DQ96+DU96,0)</f>
        <v>0</v>
      </c>
      <c r="HI96" s="1" t="n">
        <f aca="false">IF(B96=0,IF(DD96=1,DS96,DT96),0)</f>
        <v>0</v>
      </c>
      <c r="HJ96" s="1" t="n">
        <f aca="false">IF(AG96=1,IF(DD96=1,DZ96+EC96,AH96-GT96)*(1+Slot2_Rate),0)</f>
        <v>0</v>
      </c>
      <c r="HK96" s="1" t="n">
        <f aca="false">IF(AND(DD96=1,AG96=1),(DY96+EC96)/E96,0)</f>
        <v>0</v>
      </c>
      <c r="HL96" s="1" t="n">
        <f aca="false">IF(B96=0,DY96+EC96,0)</f>
        <v>0</v>
      </c>
      <c r="HM96" s="1" t="n">
        <f aca="false">IF(B96=0,IF(DD96=1,EA96,EB96),0)</f>
        <v>0</v>
      </c>
      <c r="HN96" s="1" t="n">
        <f aca="false">IF(AQ96=1,IF(DD96=1,EH96+EK96,AR96-GR96)*(1+Slot3_Rate),0)</f>
        <v>0</v>
      </c>
      <c r="HO96" s="1" t="n">
        <f aca="false">IF(AND(DD96=1,AQ96=1),(EG96+EK96)/E96,0)</f>
        <v>0</v>
      </c>
      <c r="HP96" s="1" t="n">
        <f aca="false">IF(B96=0,EG96+EK96,0)</f>
        <v>0</v>
      </c>
      <c r="HQ96" s="1" t="n">
        <f aca="false">IF(B96=0,IF(DD96=1,EI96,EJ96),0)</f>
        <v>0</v>
      </c>
      <c r="HR96" s="1" t="n">
        <f aca="false">IF(BA96=1,IF(DD96=1,EP96+ES96,BB96-GP96)*(1+Slot4_Rate),0)</f>
        <v>0</v>
      </c>
      <c r="HS96" s="1" t="n">
        <f aca="false">IF(AND(DD96=1,BA96=1),(EO96+ES96)/E96,0)</f>
        <v>0</v>
      </c>
      <c r="HT96" s="1" t="n">
        <f aca="false">IF(B96=0,EO96+ES96,0)</f>
        <v>0</v>
      </c>
      <c r="HU96" s="1" t="n">
        <f aca="false">IF(B96=0,IF(DD96=1,EQ96,ER96),0)</f>
        <v>0</v>
      </c>
      <c r="HV96" s="1" t="n">
        <f aca="false">IF(BK96=1,IF(DD96=1,EX96+FA96,BL96-GN96)*(1+Slot5_Rate),0)</f>
        <v>0</v>
      </c>
      <c r="HW96" s="1" t="n">
        <f aca="false">IF(AND(DD96=1,BK96=1),(EW96+FA96)/E96,0)</f>
        <v>0</v>
      </c>
      <c r="HX96" s="1" t="n">
        <f aca="false">IF(B96=0,EW96+FA96,0)</f>
        <v>0</v>
      </c>
      <c r="HY96" s="1" t="n">
        <f aca="false">IF(B96=0,IF(DD96=1,EY96,EZ96),0)</f>
        <v>0</v>
      </c>
      <c r="HZ96" s="1" t="n">
        <f aca="false">IF(BU96=1,IF(DD96=1,FF96+FI96,BV96-GL96)*(1+Slot6_Rate),0)</f>
        <v>0</v>
      </c>
      <c r="IA96" s="1" t="n">
        <f aca="false">IF(AND(DD96=1,BU96=1),(FE96+FI96)/E96,0)</f>
        <v>0</v>
      </c>
      <c r="IB96" s="1" t="n">
        <f aca="false">IF(B96=0,FE96+FI96,0)</f>
        <v>0</v>
      </c>
      <c r="IC96" s="1" t="n">
        <f aca="false">IF(B96=0,IF(DD96=1,FG96,FH96),0)</f>
        <v>0</v>
      </c>
      <c r="ID96" s="1" t="n">
        <f aca="false">IF(CE96=1,IF(DD96=1,FN96+FQ96,CF96-GJ96)*(1+Slot7_Rate),0)</f>
        <v>0</v>
      </c>
      <c r="IE96" s="1" t="n">
        <f aca="false">IF(AND(DD96=1,CE96=1),(FM96+FQ96)/E96,0)</f>
        <v>0</v>
      </c>
      <c r="IF96" s="1" t="n">
        <f aca="false">IF(B96=0,FM96+FQ96,0)</f>
        <v>0</v>
      </c>
      <c r="IG96" s="1" t="n">
        <f aca="false">IF(B96=0,IF(DD96=1,FO96,FP96),0)</f>
        <v>0</v>
      </c>
      <c r="IH96" s="1" t="n">
        <f aca="false">IF(CO96=1,IF(DD96=1,FV96+FY96,CP96-GH96)*(1+Slot8_Rate),0)</f>
        <v>0</v>
      </c>
      <c r="II96" s="1" t="n">
        <f aca="false">IF(AND(DD96=1,CO96=1),(FU96+FY96)/E96,0)</f>
        <v>0</v>
      </c>
      <c r="IJ96" s="1" t="n">
        <f aca="false">IF(B96=0,FU96+FY96,0)</f>
        <v>0</v>
      </c>
      <c r="IK96" s="1" t="n">
        <f aca="false">IF(B96=0,IF(DD96=1,FW96,FX96),0)</f>
        <v>0</v>
      </c>
      <c r="IL96" s="1" t="n">
        <f aca="false">HD96+HE96+HF96+HJ96+HN96+HR96+HV96+HZ96+ID96+IH96</f>
        <v>1626483.95260384</v>
      </c>
      <c r="IM96" s="1" t="n">
        <f aca="false">GX96+CY96</f>
        <v>0</v>
      </c>
      <c r="IN96" s="1" t="n">
        <f aca="false">H96+R96</f>
        <v>0</v>
      </c>
      <c r="IO96" s="1" t="n">
        <f aca="false">1-F96</f>
        <v>1</v>
      </c>
      <c r="IP96" s="1" t="n">
        <f aca="false">IF(AND(RG_Exists=1,F96=0,C96=1),H96,0)</f>
        <v>0</v>
      </c>
      <c r="IQ96" s="1" t="n">
        <f aca="false">IF(AND(RG_Exists=1,F96=0,C96=1),H96-MIN(GX96,H96),0)</f>
        <v>0</v>
      </c>
      <c r="IR96" s="1" t="n">
        <f aca="false">'Plan pay &amp; tax'!AD298</f>
        <v>0</v>
      </c>
      <c r="IS96" s="1" t="n">
        <f aca="false">IF(AND(C96=1,GX96&gt;MAX(PR_Short1,IN96*PR_Short2)),1,0)</f>
        <v>0</v>
      </c>
      <c r="IT96" s="1" t="n">
        <f aca="false">MIN(G96,H96+R96)</f>
        <v>0</v>
      </c>
      <c r="IU96" s="1" t="n">
        <f aca="false">GY96+MAX(0,CZ96-CY96)</f>
        <v>0</v>
      </c>
      <c r="IV96" s="1" t="n">
        <f aca="false">GX96+CY96</f>
        <v>0</v>
      </c>
      <c r="IW96" s="1" t="n">
        <f aca="false">IF(AND(C96=1,IV96&gt;0.5),1,0)</f>
        <v>0</v>
      </c>
      <c r="IX96" s="1" t="n">
        <f aca="false">IF(AND(C96=1,IW96=0,IU96&gt;0.5),1,0)</f>
        <v>0</v>
      </c>
      <c r="IY96" s="1" t="n">
        <f aca="false">IF(AND(C96=1,GX96&gt;0.5),1,0)</f>
        <v>0</v>
      </c>
      <c r="IZ96" s="1" t="n">
        <f aca="false">IF(AND(C96=1,GY96&gt;1,JF96=0),1,0)</f>
        <v>0</v>
      </c>
      <c r="JA96" s="1" t="n">
        <f aca="false">IF(AND(INT(D96/10)*10=90,B96&gt;0),80,INT(D96/10)*10)</f>
        <v>80</v>
      </c>
      <c r="JB96" s="1" t="n">
        <f aca="false">IF(B96=0,1,IF(JA96&lt;&gt;JA95,JB95+1,JB95))</f>
        <v>9</v>
      </c>
      <c r="JC96" s="1" t="n">
        <f aca="false">IF(AND(C96=1,F96=1,GX96&gt;MAX(PR_Short1,IN96*PR_Short2)),1,0)</f>
        <v>0</v>
      </c>
      <c r="JD96" s="1" t="n">
        <f aca="false">IO96*IS96</f>
        <v>0</v>
      </c>
      <c r="JE96" s="1" t="n">
        <f aca="false">IF(AND(U96=1,Slot1_PctLow=1),1,0)+IF(AND(AF96=1,Slot2_PctLow=1),1,0)+IF(AND(AP96=1,Slot3_PctLow=1),1,0)+IF(AND(AZ96=1,Slot4_PctLow=1),1,0)+IF(AND(BJ96=1,Slot5_PctLow=1),1,0)+IF(AND(BT96=1,Slot6_PctLow=1),1,0)+IF(AND(CD96=1,Slot7_PctLow=1),1,0)+IF(AND(CN96=1,Slot8_PctLow=1),1,0)</f>
        <v>0</v>
      </c>
      <c r="JF96" s="1" t="n">
        <f aca="false">IF(C96=1,IF(OR(IS96=1,JE96&gt;0),1,0),0)</f>
        <v>0</v>
      </c>
    </row>
    <row r="97" customFormat="false" ht="15" hidden="false" customHeight="false" outlineLevel="0" collapsed="false">
      <c r="B97" s="1" t="n">
        <v>89</v>
      </c>
      <c r="C97" s="1" t="n">
        <f aca="false">IF(B97&lt;=F_N,1,0)</f>
        <v>1</v>
      </c>
      <c r="D97" s="1" t="n">
        <f aca="false">'Plan pay &amp; tax'!C299</f>
        <v>89</v>
      </c>
      <c r="E97" s="106" t="n">
        <f aca="false">'Plan pay &amp; tax'!E299</f>
        <v>5.82660110422104</v>
      </c>
      <c r="F97" s="1" t="n">
        <f aca="false">'Plan pay &amp; tax'!G299</f>
        <v>0</v>
      </c>
      <c r="G97" s="1" t="n">
        <f aca="false">'Plan pay &amp; tax'!BT299-'Plan pay &amp; tax'!BS299-'Plan pay &amp; tax'!R299</f>
        <v>75576.1437307186</v>
      </c>
      <c r="H97" s="1" t="n">
        <f aca="false">IF(F97=1,F_CostsM*12,IF(RG_Exists=1,RG_Amount,F_CostsM*12*AS_RetireSpend))*E97+F_OneOffY*E97</f>
        <v>0</v>
      </c>
      <c r="I97" s="1" t="n">
        <f aca="false">DA96</f>
        <v>0</v>
      </c>
      <c r="J97" s="1" t="n">
        <f aca="false">IF(I97&gt;1,'Plan debt months'!AC97,0)</f>
        <v>0</v>
      </c>
      <c r="K97" s="1" t="n">
        <f aca="false">IF(I97&gt;1,'Plan debt months'!AB97,I97)</f>
        <v>0</v>
      </c>
      <c r="L97" s="1" t="n">
        <f aca="false">N96</f>
        <v>0</v>
      </c>
      <c r="M97" s="1" t="n">
        <f aca="false">IF(L97&gt;1,'Plan debt months'!BD97,0)</f>
        <v>0</v>
      </c>
      <c r="N97" s="1" t="n">
        <f aca="false">IF(L97&gt;1,'Plan debt months'!BC97,L97)</f>
        <v>0</v>
      </c>
      <c r="O97" s="1" t="n">
        <f aca="false">Q96</f>
        <v>0</v>
      </c>
      <c r="P97" s="1" t="n">
        <f aca="false">IF(O97&gt;1,'Plan debt months'!CE97,0)</f>
        <v>0</v>
      </c>
      <c r="Q97" s="1" t="n">
        <f aca="false">IF(O97&gt;1,'Plan debt months'!CD97,O97)</f>
        <v>0</v>
      </c>
      <c r="R97" s="1" t="n">
        <f aca="false">J97+M97+P97</f>
        <v>0</v>
      </c>
      <c r="S97" s="1" t="n">
        <f aca="false">HD96+'Plan pay &amp; tax'!Y299</f>
        <v>1626483.95260384</v>
      </c>
      <c r="T97" s="1" t="n">
        <f aca="false">HD96</f>
        <v>1626483.95260384</v>
      </c>
      <c r="U97" s="1" t="n">
        <f aca="false">IF(AND(Slot1_On=1,D97=Slot1_Age),1,0)</f>
        <v>0</v>
      </c>
      <c r="V97" s="1" t="n">
        <f aca="false">IF(AND(Slot1_On=1,Slot1_Age&gt;D97),1,0)</f>
        <v>0</v>
      </c>
      <c r="W97" s="1" t="n">
        <f aca="false">HF96</f>
        <v>0</v>
      </c>
      <c r="X97" s="1" t="n">
        <f aca="false">U97*MIN(Slot1_Cost,W97)</f>
        <v>0</v>
      </c>
      <c r="Y97" s="1" t="n">
        <f aca="false">U97*Slot1_SpendLike*MIN(Slot1_Cost-X97,S97)</f>
        <v>0</v>
      </c>
      <c r="Z97" s="1" t="n">
        <f aca="false">X97+Y97</f>
        <v>0</v>
      </c>
      <c r="AA97" s="1" t="n">
        <f aca="false">S97-Y97+U97*IF(Slot1_SpendLike=1,W97-X97,IF(Slot1_PotFree=1,W97,0))</f>
        <v>1626483.95260384</v>
      </c>
      <c r="AB97" s="1" t="n">
        <f aca="false">AE97+U97*Slot1_BufPot*W97</f>
        <v>0</v>
      </c>
      <c r="AC97" s="1" t="n">
        <f aca="false">IF(AND(U97=1,Slot1_IsMfree=1),IF(Z97&gt;=Slot1_Cost-1,0,MAX(0,K97-Z97)),K97)</f>
        <v>0</v>
      </c>
      <c r="AD97" s="1" t="n">
        <f aca="false">U97*(Slot1_Cost-Z97)</f>
        <v>0</v>
      </c>
      <c r="AE97" s="1" t="n">
        <f aca="false">HE96</f>
        <v>0</v>
      </c>
      <c r="AF97" s="1" t="n">
        <f aca="false">IF(AND(Slot2_On=1,D97=Slot2_Age),1,0)</f>
        <v>0</v>
      </c>
      <c r="AG97" s="1" t="n">
        <f aca="false">IF(AND(Slot2_On=1,Slot2_Age&gt;D97),1,0)</f>
        <v>0</v>
      </c>
      <c r="AH97" s="1" t="n">
        <f aca="false">HJ96</f>
        <v>0</v>
      </c>
      <c r="AI97" s="1" t="n">
        <f aca="false">AF97*MIN(Slot2_Cost,AH97)</f>
        <v>0</v>
      </c>
      <c r="AJ97" s="1" t="n">
        <f aca="false">AF97*Slot2_SpendLike*MIN(Slot2_Cost-AI97,AA97)</f>
        <v>0</v>
      </c>
      <c r="AK97" s="1" t="n">
        <f aca="false">AI97+AJ97</f>
        <v>0</v>
      </c>
      <c r="AL97" s="1" t="n">
        <f aca="false">AA97-AJ97+AF97*IF(Slot2_SpendLike=1,AH97-AI97,IF(Slot2_PotFree=1,AH97,0))</f>
        <v>1626483.95260384</v>
      </c>
      <c r="AM97" s="1" t="n">
        <f aca="false">AB97+AF97*Slot2_BufPot*AH97</f>
        <v>0</v>
      </c>
      <c r="AN97" s="1" t="n">
        <f aca="false">IF(AND(AF97=1,Slot2_IsMfree=1),IF(AK97&gt;=Slot2_Cost-1,0,MAX(0,AC97-AK97)),AC97)</f>
        <v>0</v>
      </c>
      <c r="AO97" s="1" t="n">
        <f aca="false">AF97*(Slot2_Cost-AK97)</f>
        <v>0</v>
      </c>
      <c r="AP97" s="1" t="n">
        <f aca="false">IF(AND(Slot3_On=1,D97=Slot3_Age),1,0)</f>
        <v>0</v>
      </c>
      <c r="AQ97" s="1" t="n">
        <f aca="false">IF(AND(Slot3_On=1,Slot3_Age&gt;D97),1,0)</f>
        <v>0</v>
      </c>
      <c r="AR97" s="1" t="n">
        <f aca="false">HN96</f>
        <v>0</v>
      </c>
      <c r="AS97" s="1" t="n">
        <f aca="false">AP97*MIN(Slot3_Cost,AR97)</f>
        <v>0</v>
      </c>
      <c r="AT97" s="1" t="n">
        <f aca="false">AP97*Slot3_SpendLike*MIN(Slot3_Cost-AS97,AL97)</f>
        <v>0</v>
      </c>
      <c r="AU97" s="1" t="n">
        <f aca="false">AS97+AT97</f>
        <v>0</v>
      </c>
      <c r="AV97" s="1" t="n">
        <f aca="false">AL97-AT97+AP97*IF(Slot3_SpendLike=1,AR97-AS97,IF(Slot3_PotFree=1,AR97,0))</f>
        <v>1626483.95260384</v>
      </c>
      <c r="AW97" s="1" t="n">
        <f aca="false">AM97+AP97*Slot3_BufPot*AR97</f>
        <v>0</v>
      </c>
      <c r="AX97" s="1" t="n">
        <f aca="false">IF(AND(AP97=1,Slot3_IsMfree=1),IF(AU97&gt;=Slot3_Cost-1,0,MAX(0,AN97-AU97)),AN97)</f>
        <v>0</v>
      </c>
      <c r="AY97" s="1" t="n">
        <f aca="false">AP97*(Slot3_Cost-AU97)</f>
        <v>0</v>
      </c>
      <c r="AZ97" s="1" t="n">
        <f aca="false">IF(AND(Slot4_On=1,D97=Slot4_Age),1,0)</f>
        <v>0</v>
      </c>
      <c r="BA97" s="1" t="n">
        <f aca="false">IF(AND(Slot4_On=1,Slot4_Age&gt;D97),1,0)</f>
        <v>0</v>
      </c>
      <c r="BB97" s="1" t="n">
        <f aca="false">HR96</f>
        <v>0</v>
      </c>
      <c r="BC97" s="1" t="n">
        <f aca="false">AZ97*MIN(Slot4_Cost,BB97)</f>
        <v>0</v>
      </c>
      <c r="BD97" s="1" t="n">
        <f aca="false">AZ97*Slot4_SpendLike*MIN(Slot4_Cost-BC97,AV97)</f>
        <v>0</v>
      </c>
      <c r="BE97" s="1" t="n">
        <f aca="false">BC97+BD97</f>
        <v>0</v>
      </c>
      <c r="BF97" s="1" t="n">
        <f aca="false">AV97-BD97+AZ97*IF(Slot4_SpendLike=1,BB97-BC97,IF(Slot4_PotFree=1,BB97,0))</f>
        <v>1626483.95260384</v>
      </c>
      <c r="BG97" s="1" t="n">
        <f aca="false">AW97+AZ97*Slot4_BufPot*BB97</f>
        <v>0</v>
      </c>
      <c r="BH97" s="1" t="n">
        <f aca="false">IF(AND(AZ97=1,Slot4_IsMfree=1),IF(BE97&gt;=Slot4_Cost-1,0,MAX(0,AX97-BE97)),AX97)</f>
        <v>0</v>
      </c>
      <c r="BI97" s="1" t="n">
        <f aca="false">AZ97*(Slot4_Cost-BE97)</f>
        <v>0</v>
      </c>
      <c r="BJ97" s="1" t="n">
        <f aca="false">IF(AND(Slot5_On=1,D97=Slot5_Age),1,0)</f>
        <v>0</v>
      </c>
      <c r="BK97" s="1" t="n">
        <f aca="false">IF(AND(Slot5_On=1,Slot5_Age&gt;D97),1,0)</f>
        <v>0</v>
      </c>
      <c r="BL97" s="1" t="n">
        <f aca="false">HV96</f>
        <v>0</v>
      </c>
      <c r="BM97" s="1" t="n">
        <f aca="false">BJ97*MIN(Slot5_Cost,BL97)</f>
        <v>0</v>
      </c>
      <c r="BN97" s="1" t="n">
        <f aca="false">BJ97*Slot5_SpendLike*MIN(Slot5_Cost-BM97,BF97)</f>
        <v>0</v>
      </c>
      <c r="BO97" s="1" t="n">
        <f aca="false">BM97+BN97</f>
        <v>0</v>
      </c>
      <c r="BP97" s="1" t="n">
        <f aca="false">BF97-BN97+BJ97*IF(Slot5_SpendLike=1,BL97-BM97,IF(Slot5_PotFree=1,BL97,0))</f>
        <v>1626483.95260384</v>
      </c>
      <c r="BQ97" s="1" t="n">
        <f aca="false">BG97+BJ97*Slot5_BufPot*BL97</f>
        <v>0</v>
      </c>
      <c r="BR97" s="1" t="n">
        <f aca="false">IF(AND(BJ97=1,Slot5_IsMfree=1),IF(BO97&gt;=Slot5_Cost-1,0,MAX(0,BH97-BO97)),BH97)</f>
        <v>0</v>
      </c>
      <c r="BS97" s="1" t="n">
        <f aca="false">BJ97*(Slot5_Cost-BO97)</f>
        <v>0</v>
      </c>
      <c r="BT97" s="1" t="n">
        <f aca="false">IF(AND(Slot6_On=1,D97=Slot6_Age),1,0)</f>
        <v>0</v>
      </c>
      <c r="BU97" s="1" t="n">
        <f aca="false">IF(AND(Slot6_On=1,Slot6_Age&gt;D97),1,0)</f>
        <v>0</v>
      </c>
      <c r="BV97" s="1" t="n">
        <f aca="false">HZ96</f>
        <v>0</v>
      </c>
      <c r="BW97" s="1" t="n">
        <f aca="false">BT97*MIN(Slot6_Cost,BV97)</f>
        <v>0</v>
      </c>
      <c r="BX97" s="1" t="n">
        <f aca="false">BT97*Slot6_SpendLike*MIN(Slot6_Cost-BW97,BP97)</f>
        <v>0</v>
      </c>
      <c r="BY97" s="1" t="n">
        <f aca="false">BW97+BX97</f>
        <v>0</v>
      </c>
      <c r="BZ97" s="1" t="n">
        <f aca="false">BP97-BX97+BT97*IF(Slot6_SpendLike=1,BV97-BW97,IF(Slot6_PotFree=1,BV97,0))</f>
        <v>1626483.95260384</v>
      </c>
      <c r="CA97" s="1" t="n">
        <f aca="false">BQ97+BT97*Slot6_BufPot*BV97</f>
        <v>0</v>
      </c>
      <c r="CB97" s="1" t="n">
        <f aca="false">IF(AND(BT97=1,Slot6_IsMfree=1),IF(BY97&gt;=Slot6_Cost-1,0,MAX(0,BR97-BY97)),BR97)</f>
        <v>0</v>
      </c>
      <c r="CC97" s="1" t="n">
        <f aca="false">BT97*(Slot6_Cost-BY97)</f>
        <v>0</v>
      </c>
      <c r="CD97" s="1" t="n">
        <f aca="false">IF(AND(Slot7_On=1,D97=Slot7_Age),1,0)</f>
        <v>0</v>
      </c>
      <c r="CE97" s="1" t="n">
        <f aca="false">IF(AND(Slot7_On=1,Slot7_Age&gt;D97),1,0)</f>
        <v>0</v>
      </c>
      <c r="CF97" s="1" t="n">
        <f aca="false">ID96</f>
        <v>0</v>
      </c>
      <c r="CG97" s="1" t="n">
        <f aca="false">CD97*MIN(Slot7_Cost,CF97)</f>
        <v>0</v>
      </c>
      <c r="CH97" s="1" t="n">
        <f aca="false">CD97*Slot7_SpendLike*MIN(Slot7_Cost-CG97,BZ97)</f>
        <v>0</v>
      </c>
      <c r="CI97" s="1" t="n">
        <f aca="false">CG97+CH97</f>
        <v>0</v>
      </c>
      <c r="CJ97" s="1" t="n">
        <f aca="false">BZ97-CH97+CD97*IF(Slot7_SpendLike=1,CF97-CG97,IF(Slot7_PotFree=1,CF97,0))</f>
        <v>1626483.95260384</v>
      </c>
      <c r="CK97" s="1" t="n">
        <f aca="false">CA97+CD97*Slot7_BufPot*CF97</f>
        <v>0</v>
      </c>
      <c r="CL97" s="1" t="n">
        <f aca="false">IF(AND(CD97=1,Slot7_IsMfree=1),IF(CI97&gt;=Slot7_Cost-1,0,MAX(0,CB97-CI97)),CB97)</f>
        <v>0</v>
      </c>
      <c r="CM97" s="1" t="n">
        <f aca="false">CD97*(Slot7_Cost-CI97)</f>
        <v>0</v>
      </c>
      <c r="CN97" s="1" t="n">
        <f aca="false">IF(AND(Slot8_On=1,D97=Slot8_Age),1,0)</f>
        <v>0</v>
      </c>
      <c r="CO97" s="1" t="n">
        <f aca="false">IF(AND(Slot8_On=1,Slot8_Age&gt;D97),1,0)</f>
        <v>0</v>
      </c>
      <c r="CP97" s="1" t="n">
        <f aca="false">IH96</f>
        <v>0</v>
      </c>
      <c r="CQ97" s="1" t="n">
        <f aca="false">CN97*MIN(Slot8_Cost,CP97)</f>
        <v>0</v>
      </c>
      <c r="CR97" s="1" t="n">
        <f aca="false">CN97*Slot8_SpendLike*MIN(Slot8_Cost-CQ97,CJ97)</f>
        <v>0</v>
      </c>
      <c r="CS97" s="1" t="n">
        <f aca="false">CQ97+CR97</f>
        <v>0</v>
      </c>
      <c r="CT97" s="1" t="n">
        <f aca="false">CJ97-CR97+CN97*IF(Slot8_SpendLike=1,CP97-CQ97,IF(Slot8_PotFree=1,CP97,0))</f>
        <v>1626483.95260384</v>
      </c>
      <c r="CU97" s="1" t="n">
        <f aca="false">CK97+CN97*Slot8_BufPot*CP97</f>
        <v>0</v>
      </c>
      <c r="CV97" s="1" t="n">
        <f aca="false">IF(AND(CN97=1,Slot8_IsMfree=1),IF(CS97&gt;=Slot8_Cost-1,0,MAX(0,CL97-CS97)),CL97)</f>
        <v>0</v>
      </c>
      <c r="CW97" s="1" t="n">
        <f aca="false">CN97*(Slot8_Cost-CS97)</f>
        <v>0</v>
      </c>
      <c r="CX97" s="1" t="n">
        <f aca="false">U97*Slot1_SpendLike*Z97+AF97*Slot2_SpendLike*AK97+AP97*Slot3_SpendLike*AU97+AZ97*Slot4_SpendLike*BE97+BJ97*Slot5_SpendLike*BO97+BT97*Slot6_SpendLike*BY97+CD97*Slot7_SpendLike*CI97+CN97*Slot8_SpendLike*CS97</f>
        <v>0</v>
      </c>
      <c r="CY97" s="1" t="n">
        <f aca="false">AD97+AO97+AY97+BI97+BS97+CC97+CM97+CW97</f>
        <v>0</v>
      </c>
      <c r="CZ97" s="1" t="n">
        <f aca="false">U97*Slot1_Cost+AF97*Slot2_Cost+AP97*Slot3_Cost+AZ97*Slot4_Cost+BJ97*Slot5_Cost+BT97*Slot6_Cost+CD97*Slot7_Cost+CN97*Slot8_Cost</f>
        <v>0</v>
      </c>
      <c r="DA97" s="1" t="n">
        <f aca="false">CV97</f>
        <v>0</v>
      </c>
      <c r="DB97" s="1" t="n">
        <f aca="false">G97-H97-R97</f>
        <v>75576.1437307186</v>
      </c>
      <c r="DC97" s="1" t="n">
        <f aca="false">IF(B97=0,IF(AND(Has_q6=1,In_q6=4),PR_ShareVaries*(MAX(0,DB97)/12),MIN(IF(Has_q6=1,CHOOSE(In_q6+1,PR_SaveB1,PR_SaveB2,PR_SaveB3,PR_SaveB4,0),AS_NoAnswer),AS_SaveShare*(MAX(0,DB97)/12))),DC96)</f>
        <v>0</v>
      </c>
      <c r="DD97" s="1" t="n">
        <f aca="false">IF(DB97&gt;=0,1,0)</f>
        <v>1</v>
      </c>
      <c r="DE97" s="1" t="n">
        <f aca="false">MAX(0,DB97/12/E97)</f>
        <v>1080.90666666667</v>
      </c>
      <c r="DF97" s="1" t="n">
        <f aca="false">IF(AND(Has_q6=1,In_q6=4),PR_ShareVaries*(DE97),MIN(IF(Has_q6=1,CHOOSE(In_q6+1,PR_SaveB1,PR_SaveB2,PR_SaveB3,PR_SaveB4,0),AS_NoAnswer),AS_SaveShare*(DE97)))</f>
        <v>300</v>
      </c>
      <c r="DG97" s="1" t="n">
        <f aca="false">IF(Has_saveM=1,IF(In_saveUp="Yes",1,IF(In_saveUp="No",0,IF(In_saveM&gt;=DC97-0.5,1,0))),0)</f>
        <v>0</v>
      </c>
      <c r="DH97" s="1" t="n">
        <f aca="false">IF(Has_saveM=1,MIN(DE97,IF(DG97=1,MAX(In_saveM,DF97),MIN(In_saveM,DF97))),DF97)</f>
        <v>300</v>
      </c>
      <c r="DI97" s="1" t="n">
        <f aca="false">IF(F97=1,DH97*12*E97,0)</f>
        <v>0</v>
      </c>
      <c r="DJ97" s="1" t="n">
        <f aca="false">MAX(0,DI97+IF(AND(WI_Retire=0,WI_M&lt;0,F97=1),WI_M*12*E97,0))</f>
        <v>0</v>
      </c>
      <c r="DK97" s="1" t="n">
        <f aca="false">Slot1_IsWG*V97+Slot2_IsWG*AG97+Slot3_IsWG*AQ97+Slot4_IsWG*BA97+Slot5_IsWG*BK97+Slot6_IsWG*BU97+Slot7_IsWG*CE97+Slot8_IsWG*CO97</f>
        <v>0</v>
      </c>
      <c r="DL97" s="1" t="n">
        <f aca="false">IF(AND(WI_Retire=0,WI_M&gt;0,F97=1,DK97&gt;=1),WI_M*12*E97,0)</f>
        <v>0</v>
      </c>
      <c r="DM97" s="1" t="n">
        <f aca="false">IF(DD97=1,MIN(DJ97,DB97),0)</f>
        <v>0</v>
      </c>
      <c r="DN97" s="1" t="n">
        <f aca="false">IF(DD97=1,MIN(DL97,DB97-DM97),0)</f>
        <v>0</v>
      </c>
      <c r="DO97" s="1" t="n">
        <f aca="false">IF(V97=1,IF(ABS((1+AS_Wage)/(1+Slot1_Rate)-1)&lt;0.000000000001,(Slot1_Age-D97)*(1+Slot1_Rate)^(Slot1_Age-D97),(1+Slot1_Rate)^(Slot1_Age-D97)*(1-((1+AS_Wage)/(1+Slot1_Rate))^(Slot1_Age-D97))/(1-(1+AS_Wage)/(1+Slot1_Rate))),1)</f>
        <v>1</v>
      </c>
      <c r="DP97" s="1" t="n">
        <f aca="false">IF(AND(DD97=1,DN97&gt;0,Slot1_IsWG=1,V97=1),MAX(0,(Slot1_Cost-W97*(1+Slot1_Rate)^(Slot1_Age-D97))/DO97),0)</f>
        <v>0</v>
      </c>
      <c r="DQ97" s="1" t="n">
        <f aca="false">IF(AND(DD97=1,DN97&gt;0,Slot1_IsWG=1,V97=1),MIN(DN97,DP97),0)</f>
        <v>0</v>
      </c>
      <c r="DR97" s="1" t="n">
        <f aca="false">W97+DQ97</f>
        <v>0</v>
      </c>
      <c r="DS97" s="1" t="n">
        <f aca="false">IF(V97=1,MAX(0,(Slot1_Cost-DR97*(1+Slot1_Rate)^(Slot1_Age-D97))/DO97),0)</f>
        <v>0</v>
      </c>
      <c r="DT97" s="1" t="n">
        <f aca="false">IF(V97=1,MAX(0,(Slot1_Cost-W97*(1+Slot1_Rate)^(Slot1_Age-D97))/DO97),0)</f>
        <v>0</v>
      </c>
      <c r="DU97" s="1" t="n">
        <f aca="false">IF(AND(DD97=1,V97=1),MIN(DM97,DS97),0)</f>
        <v>0</v>
      </c>
      <c r="DV97" s="1" t="n">
        <f aca="false">DM97-DU97</f>
        <v>0</v>
      </c>
      <c r="DW97" s="1" t="n">
        <f aca="false">IF(AG97=1,IF(ABS((1+AS_Wage)/(1+Slot2_Rate)-1)&lt;0.000000000001,(Slot2_Age-D97)*(1+Slot2_Rate)^(Slot2_Age-D97),(1+Slot2_Rate)^(Slot2_Age-D97)*(1-((1+AS_Wage)/(1+Slot2_Rate))^(Slot2_Age-D97))/(1-(1+AS_Wage)/(1+Slot2_Rate))),1)</f>
        <v>1</v>
      </c>
      <c r="DX97" s="1" t="n">
        <f aca="false">IF(AND(DD97=1,DN97&gt;0,Slot2_IsWG=1,AG97=1),MAX(0,(Slot2_Cost-AH97*(1+Slot2_Rate)^(Slot2_Age-D97))/DW97),0)</f>
        <v>0</v>
      </c>
      <c r="DY97" s="1" t="n">
        <f aca="false">IF(AND(DD97=1,DN97&gt;0,Slot2_IsWG=1,AG97=1),MIN(DN97,DX97),0)</f>
        <v>0</v>
      </c>
      <c r="DZ97" s="1" t="n">
        <f aca="false">AH97+DY97</f>
        <v>0</v>
      </c>
      <c r="EA97" s="1" t="n">
        <f aca="false">IF(AG97=1,MAX(0,(Slot2_Cost-DZ97*(1+Slot2_Rate)^(Slot2_Age-D97))/DW97),0)</f>
        <v>0</v>
      </c>
      <c r="EB97" s="1" t="n">
        <f aca="false">IF(AG97=1,MAX(0,(Slot2_Cost-AH97*(1+Slot2_Rate)^(Slot2_Age-D97))/DW97),0)</f>
        <v>0</v>
      </c>
      <c r="EC97" s="1" t="n">
        <f aca="false">IF(AND(DD97=1,AG97=1),MIN(DV97,EA97),0)</f>
        <v>0</v>
      </c>
      <c r="ED97" s="1" t="n">
        <f aca="false">DV97-EC97</f>
        <v>0</v>
      </c>
      <c r="EE97" s="1" t="n">
        <f aca="false">IF(AQ97=1,IF(ABS((1+AS_Wage)/(1+Slot3_Rate)-1)&lt;0.000000000001,(Slot3_Age-D97)*(1+Slot3_Rate)^(Slot3_Age-D97),(1+Slot3_Rate)^(Slot3_Age-D97)*(1-((1+AS_Wage)/(1+Slot3_Rate))^(Slot3_Age-D97))/(1-(1+AS_Wage)/(1+Slot3_Rate))),1)</f>
        <v>1</v>
      </c>
      <c r="EF97" s="1" t="n">
        <f aca="false">IF(AND(DD97=1,DN97&gt;0,Slot3_IsWG=1,AQ97=1),MAX(0,(Slot3_Cost-AR97*(1+Slot3_Rate)^(Slot3_Age-D97))/EE97),0)</f>
        <v>0</v>
      </c>
      <c r="EG97" s="1" t="n">
        <f aca="false">IF(AND(DD97=1,DN97&gt;0,Slot3_IsWG=1,AQ97=1),MIN(DN97,EF97),0)</f>
        <v>0</v>
      </c>
      <c r="EH97" s="1" t="n">
        <f aca="false">AR97+EG97</f>
        <v>0</v>
      </c>
      <c r="EI97" s="1" t="n">
        <f aca="false">IF(AQ97=1,MAX(0,(Slot3_Cost-EH97*(1+Slot3_Rate)^(Slot3_Age-D97))/EE97),0)</f>
        <v>0</v>
      </c>
      <c r="EJ97" s="1" t="n">
        <f aca="false">IF(AQ97=1,MAX(0,(Slot3_Cost-AR97*(1+Slot3_Rate)^(Slot3_Age-D97))/EE97),0)</f>
        <v>0</v>
      </c>
      <c r="EK97" s="1" t="n">
        <f aca="false">IF(AND(DD97=1,AQ97=1),MIN(ED97,EI97),0)</f>
        <v>0</v>
      </c>
      <c r="EL97" s="1" t="n">
        <f aca="false">ED97-EK97</f>
        <v>0</v>
      </c>
      <c r="EM97" s="1" t="n">
        <f aca="false">IF(BA97=1,IF(ABS((1+AS_Wage)/(1+Slot4_Rate)-1)&lt;0.000000000001,(Slot4_Age-D97)*(1+Slot4_Rate)^(Slot4_Age-D97),(1+Slot4_Rate)^(Slot4_Age-D97)*(1-((1+AS_Wage)/(1+Slot4_Rate))^(Slot4_Age-D97))/(1-(1+AS_Wage)/(1+Slot4_Rate))),1)</f>
        <v>1</v>
      </c>
      <c r="EN97" s="1" t="n">
        <f aca="false">IF(AND(DD97=1,DN97&gt;0,Slot4_IsWG=1,BA97=1),MAX(0,(Slot4_Cost-BB97*(1+Slot4_Rate)^(Slot4_Age-D97))/EM97),0)</f>
        <v>0</v>
      </c>
      <c r="EO97" s="1" t="n">
        <f aca="false">IF(AND(DD97=1,DN97&gt;0,Slot4_IsWG=1,BA97=1),MIN(DN97,EN97),0)</f>
        <v>0</v>
      </c>
      <c r="EP97" s="1" t="n">
        <f aca="false">BB97+EO97</f>
        <v>0</v>
      </c>
      <c r="EQ97" s="1" t="n">
        <f aca="false">IF(BA97=1,MAX(0,(Slot4_Cost-EP97*(1+Slot4_Rate)^(Slot4_Age-D97))/EM97),0)</f>
        <v>0</v>
      </c>
      <c r="ER97" s="1" t="n">
        <f aca="false">IF(BA97=1,MAX(0,(Slot4_Cost-BB97*(1+Slot4_Rate)^(Slot4_Age-D97))/EM97),0)</f>
        <v>0</v>
      </c>
      <c r="ES97" s="1" t="n">
        <f aca="false">IF(AND(DD97=1,BA97=1),MIN(EL97,EQ97),0)</f>
        <v>0</v>
      </c>
      <c r="ET97" s="1" t="n">
        <f aca="false">EL97-ES97</f>
        <v>0</v>
      </c>
      <c r="EU97" s="1" t="n">
        <f aca="false">IF(BK97=1,IF(ABS((1+AS_Wage)/(1+Slot5_Rate)-1)&lt;0.000000000001,(Slot5_Age-D97)*(1+Slot5_Rate)^(Slot5_Age-D97),(1+Slot5_Rate)^(Slot5_Age-D97)*(1-((1+AS_Wage)/(1+Slot5_Rate))^(Slot5_Age-D97))/(1-(1+AS_Wage)/(1+Slot5_Rate))),1)</f>
        <v>1</v>
      </c>
      <c r="EV97" s="1" t="n">
        <f aca="false">IF(AND(DD97=1,DN97&gt;0,Slot5_IsWG=1,BK97=1),MAX(0,(Slot5_Cost-BL97*(1+Slot5_Rate)^(Slot5_Age-D97))/EU97),0)</f>
        <v>0</v>
      </c>
      <c r="EW97" s="1" t="n">
        <f aca="false">IF(AND(DD97=1,DN97&gt;0,Slot5_IsWG=1,BK97=1),MIN(DN97,EV97),0)</f>
        <v>0</v>
      </c>
      <c r="EX97" s="1" t="n">
        <f aca="false">BL97+EW97</f>
        <v>0</v>
      </c>
      <c r="EY97" s="1" t="n">
        <f aca="false">IF(BK97=1,MAX(0,(Slot5_Cost-EX97*(1+Slot5_Rate)^(Slot5_Age-D97))/EU97),0)</f>
        <v>0</v>
      </c>
      <c r="EZ97" s="1" t="n">
        <f aca="false">IF(BK97=1,MAX(0,(Slot5_Cost-BL97*(1+Slot5_Rate)^(Slot5_Age-D97))/EU97),0)</f>
        <v>0</v>
      </c>
      <c r="FA97" s="1" t="n">
        <f aca="false">IF(AND(DD97=1,BK97=1),MIN(ET97,EY97),0)</f>
        <v>0</v>
      </c>
      <c r="FB97" s="1" t="n">
        <f aca="false">ET97-FA97</f>
        <v>0</v>
      </c>
      <c r="FC97" s="1" t="n">
        <f aca="false">IF(BU97=1,IF(ABS((1+AS_Wage)/(1+Slot6_Rate)-1)&lt;0.000000000001,(Slot6_Age-D97)*(1+Slot6_Rate)^(Slot6_Age-D97),(1+Slot6_Rate)^(Slot6_Age-D97)*(1-((1+AS_Wage)/(1+Slot6_Rate))^(Slot6_Age-D97))/(1-(1+AS_Wage)/(1+Slot6_Rate))),1)</f>
        <v>1</v>
      </c>
      <c r="FD97" s="1" t="n">
        <f aca="false">IF(AND(DD97=1,DN97&gt;0,Slot6_IsWG=1,BU97=1),MAX(0,(Slot6_Cost-BV97*(1+Slot6_Rate)^(Slot6_Age-D97))/FC97),0)</f>
        <v>0</v>
      </c>
      <c r="FE97" s="1" t="n">
        <f aca="false">IF(AND(DD97=1,DN97&gt;0,Slot6_IsWG=1,BU97=1),MIN(DN97,FD97),0)</f>
        <v>0</v>
      </c>
      <c r="FF97" s="1" t="n">
        <f aca="false">BV97+FE97</f>
        <v>0</v>
      </c>
      <c r="FG97" s="1" t="n">
        <f aca="false">IF(BU97=1,MAX(0,(Slot6_Cost-FF97*(1+Slot6_Rate)^(Slot6_Age-D97))/FC97),0)</f>
        <v>0</v>
      </c>
      <c r="FH97" s="1" t="n">
        <f aca="false">IF(BU97=1,MAX(0,(Slot6_Cost-BV97*(1+Slot6_Rate)^(Slot6_Age-D97))/FC97),0)</f>
        <v>0</v>
      </c>
      <c r="FI97" s="1" t="n">
        <f aca="false">IF(AND(DD97=1,BU97=1),MIN(FB97,FG97),0)</f>
        <v>0</v>
      </c>
      <c r="FJ97" s="1" t="n">
        <f aca="false">FB97-FI97</f>
        <v>0</v>
      </c>
      <c r="FK97" s="1" t="n">
        <f aca="false">IF(CE97=1,IF(ABS((1+AS_Wage)/(1+Slot7_Rate)-1)&lt;0.000000000001,(Slot7_Age-D97)*(1+Slot7_Rate)^(Slot7_Age-D97),(1+Slot7_Rate)^(Slot7_Age-D97)*(1-((1+AS_Wage)/(1+Slot7_Rate))^(Slot7_Age-D97))/(1-(1+AS_Wage)/(1+Slot7_Rate))),1)</f>
        <v>1</v>
      </c>
      <c r="FL97" s="1" t="n">
        <f aca="false">IF(AND(DD97=1,DN97&gt;0,Slot7_IsWG=1,CE97=1),MAX(0,(Slot7_Cost-CF97*(1+Slot7_Rate)^(Slot7_Age-D97))/FK97),0)</f>
        <v>0</v>
      </c>
      <c r="FM97" s="1" t="n">
        <f aca="false">IF(AND(DD97=1,DN97&gt;0,Slot7_IsWG=1,CE97=1),MIN(DN97,FL97),0)</f>
        <v>0</v>
      </c>
      <c r="FN97" s="1" t="n">
        <f aca="false">CF97+FM97</f>
        <v>0</v>
      </c>
      <c r="FO97" s="1" t="n">
        <f aca="false">IF(CE97=1,MAX(0,(Slot7_Cost-FN97*(1+Slot7_Rate)^(Slot7_Age-D97))/FK97),0)</f>
        <v>0</v>
      </c>
      <c r="FP97" s="1" t="n">
        <f aca="false">IF(CE97=1,MAX(0,(Slot7_Cost-CF97*(1+Slot7_Rate)^(Slot7_Age-D97))/FK97),0)</f>
        <v>0</v>
      </c>
      <c r="FQ97" s="1" t="n">
        <f aca="false">IF(AND(DD97=1,CE97=1),MIN(FJ97,FO97),0)</f>
        <v>0</v>
      </c>
      <c r="FR97" s="1" t="n">
        <f aca="false">FJ97-FQ97</f>
        <v>0</v>
      </c>
      <c r="FS97" s="1" t="n">
        <f aca="false">IF(CO97=1,IF(ABS((1+AS_Wage)/(1+Slot8_Rate)-1)&lt;0.000000000001,(Slot8_Age-D97)*(1+Slot8_Rate)^(Slot8_Age-D97),(1+Slot8_Rate)^(Slot8_Age-D97)*(1-((1+AS_Wage)/(1+Slot8_Rate))^(Slot8_Age-D97))/(1-(1+AS_Wage)/(1+Slot8_Rate))),1)</f>
        <v>1</v>
      </c>
      <c r="FT97" s="1" t="n">
        <f aca="false">IF(AND(DD97=1,DN97&gt;0,Slot8_IsWG=1,CO97=1),MAX(0,(Slot8_Cost-CP97*(1+Slot8_Rate)^(Slot8_Age-D97))/FS97),0)</f>
        <v>0</v>
      </c>
      <c r="FU97" s="1" t="n">
        <f aca="false">IF(AND(DD97=1,DN97&gt;0,Slot8_IsWG=1,CO97=1),MIN(DN97,FT97),0)</f>
        <v>0</v>
      </c>
      <c r="FV97" s="1" t="n">
        <f aca="false">CP97+FU97</f>
        <v>0</v>
      </c>
      <c r="FW97" s="1" t="n">
        <f aca="false">IF(CO97=1,MAX(0,(Slot8_Cost-FV97*(1+Slot8_Rate)^(Slot8_Age-D97))/FS97),0)</f>
        <v>0</v>
      </c>
      <c r="FX97" s="1" t="n">
        <f aca="false">IF(CO97=1,MAX(0,(Slot8_Cost-CP97*(1+Slot8_Rate)^(Slot8_Age-D97))/FS97),0)</f>
        <v>0</v>
      </c>
      <c r="FY97" s="1" t="n">
        <f aca="false">IF(AND(DD97=1,CO97=1),MIN(FR97,FW97),0)</f>
        <v>0</v>
      </c>
      <c r="FZ97" s="1" t="n">
        <f aca="false">FR97-FY97</f>
        <v>0</v>
      </c>
      <c r="GA97" s="1" t="n">
        <f aca="false">DN97-(DQ97+DY97+EG97+EO97+EW97+FE97+FM97+FU97)</f>
        <v>0</v>
      </c>
      <c r="GB97" s="1" t="n">
        <f aca="false">IF(DD97=1,DB97-DM97-DN97,0)</f>
        <v>75576.1437307186</v>
      </c>
      <c r="GC97" s="1" t="n">
        <f aca="false">IF(DD97=0,-DB97,0)</f>
        <v>0</v>
      </c>
      <c r="GD97" s="1" t="n">
        <f aca="false">MIN(GC97,CT97)</f>
        <v>0</v>
      </c>
      <c r="GE97" s="1" t="n">
        <f aca="false">GC97-GD97</f>
        <v>0</v>
      </c>
      <c r="GF97" s="1" t="n">
        <f aca="false">MIN(GE97,CU97)</f>
        <v>0</v>
      </c>
      <c r="GG97" s="1" t="n">
        <f aca="false">GE97-GF97</f>
        <v>0</v>
      </c>
      <c r="GH97" s="1" t="n">
        <f aca="false">IF(AND(DD97=0,CO97=1,GG97&gt;0),MIN(GG97,CP97),0)</f>
        <v>0</v>
      </c>
      <c r="GI97" s="1" t="n">
        <f aca="false">GG97-GH97</f>
        <v>0</v>
      </c>
      <c r="GJ97" s="1" t="n">
        <f aca="false">IF(AND(DD97=0,CE97=1,GI97&gt;0),MIN(GI97,CF97),0)</f>
        <v>0</v>
      </c>
      <c r="GK97" s="1" t="n">
        <f aca="false">GI97-GJ97</f>
        <v>0</v>
      </c>
      <c r="GL97" s="1" t="n">
        <f aca="false">IF(AND(DD97=0,BU97=1,GK97&gt;0),MIN(GK97,BV97),0)</f>
        <v>0</v>
      </c>
      <c r="GM97" s="1" t="n">
        <f aca="false">GK97-GL97</f>
        <v>0</v>
      </c>
      <c r="GN97" s="1" t="n">
        <f aca="false">IF(AND(DD97=0,BK97=1,GM97&gt;0),MIN(GM97,BL97),0)</f>
        <v>0</v>
      </c>
      <c r="GO97" s="1" t="n">
        <f aca="false">GM97-GN97</f>
        <v>0</v>
      </c>
      <c r="GP97" s="1" t="n">
        <f aca="false">IF(AND(DD97=0,BA97=1,GO97&gt;0),MIN(GO97,BB97),0)</f>
        <v>0</v>
      </c>
      <c r="GQ97" s="1" t="n">
        <f aca="false">GO97-GP97</f>
        <v>0</v>
      </c>
      <c r="GR97" s="1" t="n">
        <f aca="false">IF(AND(DD97=0,AQ97=1,GQ97&gt;0),MIN(GQ97,AR97),0)</f>
        <v>0</v>
      </c>
      <c r="GS97" s="1" t="n">
        <f aca="false">GQ97-GR97</f>
        <v>0</v>
      </c>
      <c r="GT97" s="1" t="n">
        <f aca="false">IF(AND(DD97=0,AG97=1,GS97&gt;0),MIN(GS97,AH97),0)</f>
        <v>0</v>
      </c>
      <c r="GU97" s="1" t="n">
        <f aca="false">GS97-GT97</f>
        <v>0</v>
      </c>
      <c r="GV97" s="1" t="n">
        <f aca="false">IF(AND(DD97=0,V97=1,GU97&gt;0),MIN(GU97,W97),0)</f>
        <v>0</v>
      </c>
      <c r="GW97" s="1" t="n">
        <f aca="false">GU97-GV97</f>
        <v>0</v>
      </c>
      <c r="GX97" s="1" t="n">
        <f aca="false">IF(DD97=0,GW97,0)</f>
        <v>0</v>
      </c>
      <c r="GY97" s="1" t="n">
        <f aca="false">GD97+GF97+GV97+GT97+GR97+GP97+GN97+GL97+GJ97+GH97</f>
        <v>0</v>
      </c>
      <c r="GZ97" s="1" t="n">
        <f aca="false">IF(DD97=1,CT97+GA97+FZ97+IF(F97=1,0,GB97),CT97-GD97)</f>
        <v>1702060.09633456</v>
      </c>
      <c r="HA97" s="1" t="n">
        <f aca="false">CU97-GF97</f>
        <v>0</v>
      </c>
      <c r="HB97" s="1" t="n">
        <f aca="false">IF(DD97=1,IF(F97=1,DM97+DN97,DB97),0)</f>
        <v>75576.1437307186</v>
      </c>
      <c r="HC97" s="1" t="n">
        <f aca="false">IF(DD97=1,IF(F97=1,DB97-DM97-DN97,0),0)</f>
        <v>0</v>
      </c>
      <c r="HD97" s="1" t="n">
        <f aca="false">GZ97*(1+GR)</f>
        <v>1729973.88191444</v>
      </c>
      <c r="HE97" s="1" t="n">
        <f aca="false">HA97*(1+AS_Cash)</f>
        <v>0</v>
      </c>
      <c r="HF97" s="1" t="n">
        <f aca="false">IF(V97=1,IF(DD97=1,DR97+DU97,W97-GV97)*(1+Slot1_Rate),0)</f>
        <v>0</v>
      </c>
      <c r="HG97" s="1" t="n">
        <f aca="false">IF(AND(DD97=1,V97=1),(DQ97+DU97)/E97,0)</f>
        <v>0</v>
      </c>
      <c r="HH97" s="1" t="n">
        <f aca="false">IF(B97=0,DQ97+DU97,0)</f>
        <v>0</v>
      </c>
      <c r="HI97" s="1" t="n">
        <f aca="false">IF(B97=0,IF(DD97=1,DS97,DT97),0)</f>
        <v>0</v>
      </c>
      <c r="HJ97" s="1" t="n">
        <f aca="false">IF(AG97=1,IF(DD97=1,DZ97+EC97,AH97-GT97)*(1+Slot2_Rate),0)</f>
        <v>0</v>
      </c>
      <c r="HK97" s="1" t="n">
        <f aca="false">IF(AND(DD97=1,AG97=1),(DY97+EC97)/E97,0)</f>
        <v>0</v>
      </c>
      <c r="HL97" s="1" t="n">
        <f aca="false">IF(B97=0,DY97+EC97,0)</f>
        <v>0</v>
      </c>
      <c r="HM97" s="1" t="n">
        <f aca="false">IF(B97=0,IF(DD97=1,EA97,EB97),0)</f>
        <v>0</v>
      </c>
      <c r="HN97" s="1" t="n">
        <f aca="false">IF(AQ97=1,IF(DD97=1,EH97+EK97,AR97-GR97)*(1+Slot3_Rate),0)</f>
        <v>0</v>
      </c>
      <c r="HO97" s="1" t="n">
        <f aca="false">IF(AND(DD97=1,AQ97=1),(EG97+EK97)/E97,0)</f>
        <v>0</v>
      </c>
      <c r="HP97" s="1" t="n">
        <f aca="false">IF(B97=0,EG97+EK97,0)</f>
        <v>0</v>
      </c>
      <c r="HQ97" s="1" t="n">
        <f aca="false">IF(B97=0,IF(DD97=1,EI97,EJ97),0)</f>
        <v>0</v>
      </c>
      <c r="HR97" s="1" t="n">
        <f aca="false">IF(BA97=1,IF(DD97=1,EP97+ES97,BB97-GP97)*(1+Slot4_Rate),0)</f>
        <v>0</v>
      </c>
      <c r="HS97" s="1" t="n">
        <f aca="false">IF(AND(DD97=1,BA97=1),(EO97+ES97)/E97,0)</f>
        <v>0</v>
      </c>
      <c r="HT97" s="1" t="n">
        <f aca="false">IF(B97=0,EO97+ES97,0)</f>
        <v>0</v>
      </c>
      <c r="HU97" s="1" t="n">
        <f aca="false">IF(B97=0,IF(DD97=1,EQ97,ER97),0)</f>
        <v>0</v>
      </c>
      <c r="HV97" s="1" t="n">
        <f aca="false">IF(BK97=1,IF(DD97=1,EX97+FA97,BL97-GN97)*(1+Slot5_Rate),0)</f>
        <v>0</v>
      </c>
      <c r="HW97" s="1" t="n">
        <f aca="false">IF(AND(DD97=1,BK97=1),(EW97+FA97)/E97,0)</f>
        <v>0</v>
      </c>
      <c r="HX97" s="1" t="n">
        <f aca="false">IF(B97=0,EW97+FA97,0)</f>
        <v>0</v>
      </c>
      <c r="HY97" s="1" t="n">
        <f aca="false">IF(B97=0,IF(DD97=1,EY97,EZ97),0)</f>
        <v>0</v>
      </c>
      <c r="HZ97" s="1" t="n">
        <f aca="false">IF(BU97=1,IF(DD97=1,FF97+FI97,BV97-GL97)*(1+Slot6_Rate),0)</f>
        <v>0</v>
      </c>
      <c r="IA97" s="1" t="n">
        <f aca="false">IF(AND(DD97=1,BU97=1),(FE97+FI97)/E97,0)</f>
        <v>0</v>
      </c>
      <c r="IB97" s="1" t="n">
        <f aca="false">IF(B97=0,FE97+FI97,0)</f>
        <v>0</v>
      </c>
      <c r="IC97" s="1" t="n">
        <f aca="false">IF(B97=0,IF(DD97=1,FG97,FH97),0)</f>
        <v>0</v>
      </c>
      <c r="ID97" s="1" t="n">
        <f aca="false">IF(CE97=1,IF(DD97=1,FN97+FQ97,CF97-GJ97)*(1+Slot7_Rate),0)</f>
        <v>0</v>
      </c>
      <c r="IE97" s="1" t="n">
        <f aca="false">IF(AND(DD97=1,CE97=1),(FM97+FQ97)/E97,0)</f>
        <v>0</v>
      </c>
      <c r="IF97" s="1" t="n">
        <f aca="false">IF(B97=0,FM97+FQ97,0)</f>
        <v>0</v>
      </c>
      <c r="IG97" s="1" t="n">
        <f aca="false">IF(B97=0,IF(DD97=1,FO97,FP97),0)</f>
        <v>0</v>
      </c>
      <c r="IH97" s="1" t="n">
        <f aca="false">IF(CO97=1,IF(DD97=1,FV97+FY97,CP97-GH97)*(1+Slot8_Rate),0)</f>
        <v>0</v>
      </c>
      <c r="II97" s="1" t="n">
        <f aca="false">IF(AND(DD97=1,CO97=1),(FU97+FY97)/E97,0)</f>
        <v>0</v>
      </c>
      <c r="IJ97" s="1" t="n">
        <f aca="false">IF(B97=0,FU97+FY97,0)</f>
        <v>0</v>
      </c>
      <c r="IK97" s="1" t="n">
        <f aca="false">IF(B97=0,IF(DD97=1,FW97,FX97),0)</f>
        <v>0</v>
      </c>
      <c r="IL97" s="1" t="n">
        <f aca="false">HD97+HE97+HF97+HJ97+HN97+HR97+HV97+HZ97+ID97+IH97</f>
        <v>1729973.88191444</v>
      </c>
      <c r="IM97" s="1" t="n">
        <f aca="false">GX97+CY97</f>
        <v>0</v>
      </c>
      <c r="IN97" s="1" t="n">
        <f aca="false">H97+R97</f>
        <v>0</v>
      </c>
      <c r="IO97" s="1" t="n">
        <f aca="false">1-F97</f>
        <v>1</v>
      </c>
      <c r="IP97" s="1" t="n">
        <f aca="false">IF(AND(RG_Exists=1,F97=0,C97=1),H97,0)</f>
        <v>0</v>
      </c>
      <c r="IQ97" s="1" t="n">
        <f aca="false">IF(AND(RG_Exists=1,F97=0,C97=1),H97-MIN(GX97,H97),0)</f>
        <v>0</v>
      </c>
      <c r="IR97" s="1" t="n">
        <f aca="false">'Plan pay &amp; tax'!AD299</f>
        <v>0</v>
      </c>
      <c r="IS97" s="1" t="n">
        <f aca="false">IF(AND(C97=1,GX97&gt;MAX(PR_Short1,IN97*PR_Short2)),1,0)</f>
        <v>0</v>
      </c>
      <c r="IT97" s="1" t="n">
        <f aca="false">MIN(G97,H97+R97)</f>
        <v>0</v>
      </c>
      <c r="IU97" s="1" t="n">
        <f aca="false">GY97+MAX(0,CZ97-CY97)</f>
        <v>0</v>
      </c>
      <c r="IV97" s="1" t="n">
        <f aca="false">GX97+CY97</f>
        <v>0</v>
      </c>
      <c r="IW97" s="1" t="n">
        <f aca="false">IF(AND(C97=1,IV97&gt;0.5),1,0)</f>
        <v>0</v>
      </c>
      <c r="IX97" s="1" t="n">
        <f aca="false">IF(AND(C97=1,IW97=0,IU97&gt;0.5),1,0)</f>
        <v>0</v>
      </c>
      <c r="IY97" s="1" t="n">
        <f aca="false">IF(AND(C97=1,GX97&gt;0.5),1,0)</f>
        <v>0</v>
      </c>
      <c r="IZ97" s="1" t="n">
        <f aca="false">IF(AND(C97=1,GY97&gt;1,JF97=0),1,0)</f>
        <v>0</v>
      </c>
      <c r="JA97" s="1" t="n">
        <f aca="false">IF(AND(INT(D97/10)*10=90,B97&gt;0),80,INT(D97/10)*10)</f>
        <v>80</v>
      </c>
      <c r="JB97" s="1" t="n">
        <f aca="false">IF(B97=0,1,IF(JA97&lt;&gt;JA96,JB96+1,JB96))</f>
        <v>9</v>
      </c>
      <c r="JC97" s="1" t="n">
        <f aca="false">IF(AND(C97=1,F97=1,GX97&gt;MAX(PR_Short1,IN97*PR_Short2)),1,0)</f>
        <v>0</v>
      </c>
      <c r="JD97" s="1" t="n">
        <f aca="false">IO97*IS97</f>
        <v>0</v>
      </c>
      <c r="JE97" s="1" t="n">
        <f aca="false">IF(AND(U97=1,Slot1_PctLow=1),1,0)+IF(AND(AF97=1,Slot2_PctLow=1),1,0)+IF(AND(AP97=1,Slot3_PctLow=1),1,0)+IF(AND(AZ97=1,Slot4_PctLow=1),1,0)+IF(AND(BJ97=1,Slot5_PctLow=1),1,0)+IF(AND(BT97=1,Slot6_PctLow=1),1,0)+IF(AND(CD97=1,Slot7_PctLow=1),1,0)+IF(AND(CN97=1,Slot8_PctLow=1),1,0)</f>
        <v>0</v>
      </c>
      <c r="JF97" s="1" t="n">
        <f aca="false">IF(C97=1,IF(OR(IS97=1,JE97&gt;0),1,0),0)</f>
        <v>0</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X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30"/>
    <col collapsed="false" customWidth="true" hidden="false" outlineLevel="0" max="3" min="3" style="1" width="14"/>
    <col collapsed="false" customWidth="true" hidden="false" outlineLevel="0" max="4" min="4" style="1" width="12"/>
    <col collapsed="false" customWidth="true" hidden="false" outlineLevel="0" max="5" min="5" style="1" width="26"/>
    <col collapsed="false" customWidth="true" hidden="false" outlineLevel="0" max="6" min="6" style="1" width="12"/>
    <col collapsed="false" customWidth="true" hidden="false" outlineLevel="0" max="7" min="7" style="1" width="14"/>
    <col collapsed="false" customWidth="true" hidden="false" outlineLevel="0" max="10" min="8" style="1" width="12"/>
    <col collapsed="false" customWidth="true" hidden="false" outlineLevel="0" max="11" min="11" style="1" width="14"/>
    <col collapsed="false" customWidth="true" hidden="false" outlineLevel="0" max="12" min="12" style="1" width="24"/>
    <col collapsed="false" customWidth="true" hidden="false" outlineLevel="0" max="13" min="13" style="1" width="70"/>
    <col collapsed="false" customWidth="true" hidden="false" outlineLevel="0" max="15" min="14" style="1" width="14"/>
    <col collapsed="false" customWidth="true" hidden="false" outlineLevel="0" max="16" min="16" style="1" width="16"/>
    <col collapsed="false" customWidth="true" hidden="false" outlineLevel="0" max="25" min="17" style="1" width="14"/>
  </cols>
  <sheetData>
    <row r="1" customFormat="false" ht="17.35" hidden="false" customHeight="false" outlineLevel="0" collapsed="false">
      <c r="B1" s="89" t="s">
        <v>2115</v>
      </c>
    </row>
    <row r="2" customFormat="false" ht="48" hidden="false" customHeight="true" outlineLevel="0" collapsed="false">
      <c r="B2" s="90" t="s">
        <v>2116</v>
      </c>
      <c r="C2" s="90"/>
      <c r="D2" s="90"/>
      <c r="E2" s="90"/>
      <c r="F2" s="90"/>
      <c r="G2" s="90"/>
      <c r="H2" s="90"/>
      <c r="I2" s="90"/>
      <c r="J2" s="90"/>
      <c r="K2" s="90"/>
      <c r="L2" s="90"/>
    </row>
    <row r="4" customFormat="false" ht="15" hidden="false" customHeight="false" outlineLevel="0" collapsed="false">
      <c r="B4" s="108" t="s">
        <v>2117</v>
      </c>
    </row>
    <row r="5" customFormat="false" ht="45.75" hidden="false" customHeight="true" outlineLevel="0" collapsed="false">
      <c r="B5" s="96" t="s">
        <v>2118</v>
      </c>
      <c r="C5" s="96" t="s">
        <v>2119</v>
      </c>
      <c r="D5" s="96" t="s">
        <v>2120</v>
      </c>
      <c r="E5" s="96" t="s">
        <v>2121</v>
      </c>
      <c r="F5" s="96" t="s">
        <v>2122</v>
      </c>
      <c r="G5" s="96" t="s">
        <v>2123</v>
      </c>
    </row>
    <row r="6" customFormat="false" ht="15" hidden="false" customHeight="false" outlineLevel="0" collapsed="false">
      <c r="B6" s="1" t="s">
        <v>2124</v>
      </c>
      <c r="C6" s="1" t="s">
        <v>2125</v>
      </c>
      <c r="D6" s="1" t="n">
        <v>40000</v>
      </c>
      <c r="E6" s="1" t="n">
        <v>4</v>
      </c>
      <c r="F6" s="1" t="s">
        <v>2126</v>
      </c>
      <c r="G6" s="1" t="s">
        <v>2127</v>
      </c>
    </row>
    <row r="7" customFormat="false" ht="15" hidden="false" customHeight="false" outlineLevel="0" collapsed="false">
      <c r="B7" s="1" t="s">
        <v>2128</v>
      </c>
      <c r="C7" s="1" t="s">
        <v>2129</v>
      </c>
      <c r="D7" s="1" t="n">
        <v>40000</v>
      </c>
      <c r="E7" s="1" t="n">
        <v>0</v>
      </c>
      <c r="F7" s="1" t="s">
        <v>2128</v>
      </c>
      <c r="G7" s="1" t="s">
        <v>2130</v>
      </c>
    </row>
    <row r="8" customFormat="false" ht="15" hidden="false" customHeight="false" outlineLevel="0" collapsed="false">
      <c r="B8" s="1" t="s">
        <v>2131</v>
      </c>
      <c r="C8" s="1" t="s">
        <v>2132</v>
      </c>
      <c r="D8" s="1" t="n">
        <v>15000</v>
      </c>
      <c r="E8" s="1" t="n">
        <v>3</v>
      </c>
      <c r="F8" s="1" t="s">
        <v>2126</v>
      </c>
      <c r="G8" s="1" t="s">
        <v>2133</v>
      </c>
    </row>
    <row r="9" customFormat="false" ht="15" hidden="false" customHeight="false" outlineLevel="0" collapsed="false">
      <c r="B9" s="1" t="s">
        <v>2134</v>
      </c>
      <c r="C9" s="1" t="s">
        <v>2135</v>
      </c>
      <c r="D9" s="1" t="n">
        <v>30000</v>
      </c>
      <c r="E9" s="1" t="n">
        <v>10</v>
      </c>
      <c r="F9" s="1" t="s">
        <v>2126</v>
      </c>
      <c r="G9" s="1" t="s">
        <v>2136</v>
      </c>
    </row>
    <row r="10" customFormat="false" ht="15" hidden="false" customHeight="false" outlineLevel="0" collapsed="false">
      <c r="B10" s="1" t="s">
        <v>2137</v>
      </c>
      <c r="C10" s="1" t="s">
        <v>2138</v>
      </c>
      <c r="D10" s="1" t="n">
        <v>8000</v>
      </c>
      <c r="E10" s="1" t="n">
        <v>2</v>
      </c>
      <c r="F10" s="1" t="s">
        <v>2126</v>
      </c>
      <c r="G10" s="1" t="s">
        <v>2136</v>
      </c>
    </row>
    <row r="11" customFormat="false" ht="15" hidden="false" customHeight="false" outlineLevel="0" collapsed="false">
      <c r="B11" s="1" t="s">
        <v>2139</v>
      </c>
      <c r="C11" s="1" t="s">
        <v>2140</v>
      </c>
      <c r="D11" s="1" t="n">
        <v>25000</v>
      </c>
      <c r="E11" s="1" t="n">
        <v>5</v>
      </c>
      <c r="F11" s="1" t="s">
        <v>2126</v>
      </c>
      <c r="G11" s="1" t="s">
        <v>2136</v>
      </c>
    </row>
    <row r="12" customFormat="false" ht="15" hidden="false" customHeight="false" outlineLevel="0" collapsed="false">
      <c r="B12" s="1" t="s">
        <v>2141</v>
      </c>
      <c r="C12" s="1" t="s">
        <v>2142</v>
      </c>
      <c r="D12" s="1" t="n">
        <v>150000</v>
      </c>
      <c r="E12" s="1" t="n">
        <v>15</v>
      </c>
      <c r="F12" s="1" t="s">
        <v>2141</v>
      </c>
      <c r="G12" s="1" t="s">
        <v>2127</v>
      </c>
    </row>
    <row r="13" customFormat="false" ht="15" hidden="false" customHeight="false" outlineLevel="0" collapsed="false">
      <c r="B13" s="1" t="s">
        <v>2143</v>
      </c>
      <c r="C13" s="1" t="s">
        <v>2144</v>
      </c>
      <c r="D13" s="1" t="n">
        <v>15000</v>
      </c>
      <c r="E13" s="1" t="n">
        <v>2</v>
      </c>
      <c r="F13" s="1" t="s">
        <v>2145</v>
      </c>
      <c r="G13" s="1" t="s">
        <v>2136</v>
      </c>
    </row>
    <row r="14" customFormat="false" ht="15" hidden="false" customHeight="false" outlineLevel="0" collapsed="false">
      <c r="B14" s="1" t="s">
        <v>2146</v>
      </c>
      <c r="C14" s="1" t="s">
        <v>2147</v>
      </c>
      <c r="D14" s="1" t="n">
        <v>50000</v>
      </c>
      <c r="E14" s="1" t="n">
        <v>10</v>
      </c>
      <c r="F14" s="1" t="s">
        <v>2145</v>
      </c>
      <c r="G14" s="1" t="s">
        <v>2148</v>
      </c>
    </row>
    <row r="15" customFormat="false" ht="15" hidden="false" customHeight="false" outlineLevel="0" collapsed="false">
      <c r="B15" s="1" t="s">
        <v>2149</v>
      </c>
      <c r="C15" s="1" t="s">
        <v>2150</v>
      </c>
      <c r="D15" s="1" t="n">
        <v>20000</v>
      </c>
      <c r="E15" s="1" t="n">
        <v>8</v>
      </c>
      <c r="F15" s="1" t="s">
        <v>2126</v>
      </c>
      <c r="G15" s="1" t="s">
        <v>2136</v>
      </c>
    </row>
    <row r="16" customFormat="false" ht="15" hidden="false" customHeight="false" outlineLevel="0" collapsed="false">
      <c r="B16" s="1" t="s">
        <v>2151</v>
      </c>
      <c r="C16" s="1" t="s">
        <v>2152</v>
      </c>
      <c r="D16" s="1" t="n">
        <v>100000</v>
      </c>
      <c r="E16" s="1" t="n">
        <v>0</v>
      </c>
      <c r="F16" s="1" t="s">
        <v>2151</v>
      </c>
      <c r="G16" s="1" t="s">
        <v>2136</v>
      </c>
    </row>
    <row r="17" customFormat="false" ht="15" hidden="false" customHeight="false" outlineLevel="0" collapsed="false">
      <c r="B17" s="1" t="s">
        <v>2153</v>
      </c>
      <c r="C17" s="1" t="s">
        <v>2154</v>
      </c>
      <c r="D17" s="1" t="n">
        <v>25000</v>
      </c>
      <c r="E17" s="1" t="n">
        <v>3</v>
      </c>
      <c r="F17" s="1" t="s">
        <v>2126</v>
      </c>
      <c r="G17" s="1" t="s">
        <v>2136</v>
      </c>
    </row>
    <row r="18" customFormat="false" ht="15" hidden="false" customHeight="false" outlineLevel="0" collapsed="false">
      <c r="B18" s="1" t="s">
        <v>2155</v>
      </c>
      <c r="C18" s="1" t="s">
        <v>2156</v>
      </c>
      <c r="D18" s="1" t="n">
        <v>30000</v>
      </c>
      <c r="E18" s="1" t="n">
        <v>3</v>
      </c>
      <c r="F18" s="1" t="s">
        <v>2126</v>
      </c>
      <c r="G18" s="1" t="s">
        <v>2136</v>
      </c>
    </row>
    <row r="19" customFormat="false" ht="15" hidden="false" customHeight="false" outlineLevel="0" collapsed="false">
      <c r="B19" s="1" t="s">
        <v>2157</v>
      </c>
      <c r="C19" s="1" t="s">
        <v>2158</v>
      </c>
      <c r="D19" s="1" t="n">
        <v>10000</v>
      </c>
      <c r="E19" s="1" t="n">
        <v>5</v>
      </c>
      <c r="F19" s="1" t="s">
        <v>2126</v>
      </c>
      <c r="G19" s="1" t="s">
        <v>2133</v>
      </c>
    </row>
    <row r="20" customFormat="false" ht="15" hidden="false" customHeight="false" outlineLevel="0" collapsed="false">
      <c r="B20" s="1" t="s">
        <v>2159</v>
      </c>
      <c r="C20" s="1" t="s">
        <v>2160</v>
      </c>
      <c r="D20" s="1" t="n">
        <v>10000</v>
      </c>
      <c r="E20" s="1" t="n">
        <v>4</v>
      </c>
      <c r="F20" s="1" t="s">
        <v>2126</v>
      </c>
      <c r="G20" s="1" t="s">
        <v>2136</v>
      </c>
    </row>
    <row r="22" customFormat="false" ht="15" hidden="false" customHeight="false" outlineLevel="0" collapsed="false">
      <c r="B22" s="108" t="s">
        <v>2161</v>
      </c>
    </row>
    <row r="23" customFormat="false" ht="45.75" hidden="false" customHeight="true" outlineLevel="0" collapsed="false">
      <c r="B23" s="96" t="s">
        <v>288</v>
      </c>
      <c r="C23" s="96" t="s">
        <v>2162</v>
      </c>
      <c r="D23" s="96" t="s">
        <v>2122</v>
      </c>
      <c r="E23" s="96" t="s">
        <v>2163</v>
      </c>
      <c r="F23" s="96" t="s">
        <v>2164</v>
      </c>
      <c r="G23" s="96" t="s">
        <v>2165</v>
      </c>
      <c r="H23" s="96" t="s">
        <v>2166</v>
      </c>
      <c r="I23" s="96" t="s">
        <v>2167</v>
      </c>
      <c r="J23" s="96" t="s">
        <v>2168</v>
      </c>
      <c r="K23" s="96" t="s">
        <v>381</v>
      </c>
      <c r="L23" s="96" t="s">
        <v>1467</v>
      </c>
      <c r="M23" s="96" t="s">
        <v>2169</v>
      </c>
      <c r="N23" s="96" t="s">
        <v>2170</v>
      </c>
      <c r="O23" s="96" t="s">
        <v>2171</v>
      </c>
      <c r="P23" s="96" t="s">
        <v>2172</v>
      </c>
    </row>
    <row r="24" customFormat="false" ht="15" hidden="false" customHeight="false" outlineLevel="0" collapsed="false">
      <c r="B24" s="1" t="s">
        <v>1478</v>
      </c>
      <c r="C24" s="1" t="str">
        <f aca="false">Goal1_key</f>
        <v/>
      </c>
      <c r="D24" s="1" t="str">
        <f aca="false">IFERROR(INDEX(Goal_Kinds,MATCH(C24,Goal_Keys,0)),"")</f>
        <v/>
      </c>
      <c r="E24" s="1" t="str">
        <f aca="false">Goal1_name</f>
        <v/>
      </c>
      <c r="F24" s="1" t="n">
        <f aca="false">Goal1_age</f>
        <v>0</v>
      </c>
      <c r="G24" s="1" t="n">
        <f aca="false">IF(OR(D24="spend",D24="mfree",D24="pot"),1,0)</f>
        <v>0</v>
      </c>
      <c r="H24" s="1" t="str">
        <f aca="false">IF(G24=1,MAX(F_Age+1,MIN(AS_End,F24)),"")</f>
        <v/>
      </c>
      <c r="I24" s="1" t="n">
        <f aca="false">IF(D24="retire",F_R,F24)</f>
        <v>0</v>
      </c>
      <c r="J24" s="1" t="n">
        <f aca="false">IF(AND(C24="safety",Goal1_auto="Yes",Has_costsM=1),ROUND(F_EssM*AS_Months,0),Goal1_amount)</f>
        <v>0</v>
      </c>
      <c r="K24" s="1" t="n">
        <f aca="false">Goal1_saved</f>
        <v>0</v>
      </c>
      <c r="L24" s="1" t="str">
        <f aca="false">Goal1_prio</f>
        <v>Must have</v>
      </c>
      <c r="M24" s="1" t="str">
        <f aca="false">Goal1_rank</f>
        <v/>
      </c>
      <c r="N24" s="1" t="n">
        <f aca="false">IF(Goal_RankSet=1,IF(M24&lt;&gt;"",M24-1,IF(C24="safety",-1,1000000)),0)</f>
        <v>0</v>
      </c>
      <c r="O24" s="1" t="n">
        <f aca="false">IF(G24=1,(N24+1)*100000000+IF(C24="safety",0,1)*10000000+IF(L24="Nice to have",1,0)*1000000+H24*1000+1,1000000000000000)</f>
        <v>1000000000000000</v>
      </c>
      <c r="P24" s="1" t="str">
        <f aca="false">IF(G24=1,1+SUMPRODUCT(($G$24:$G$33=1)*($O$24:$O$33&lt;O24)),"")</f>
        <v/>
      </c>
    </row>
    <row r="25" customFormat="false" ht="15" hidden="false" customHeight="false" outlineLevel="0" collapsed="false">
      <c r="B25" s="1" t="s">
        <v>1479</v>
      </c>
      <c r="C25" s="1" t="str">
        <f aca="false">Goal2_key</f>
        <v/>
      </c>
      <c r="D25" s="1" t="str">
        <f aca="false">IFERROR(INDEX(Goal_Kinds,MATCH(C25,Goal_Keys,0)),"")</f>
        <v/>
      </c>
      <c r="E25" s="1" t="str">
        <f aca="false">Goal2_name</f>
        <v/>
      </c>
      <c r="F25" s="1" t="n">
        <f aca="false">Goal2_age</f>
        <v>0</v>
      </c>
      <c r="G25" s="1" t="n">
        <f aca="false">IF(OR(D25="spend",D25="mfree",D25="pot"),1,0)</f>
        <v>0</v>
      </c>
      <c r="H25" s="1" t="str">
        <f aca="false">IF(G25=1,MAX(F_Age+1,MIN(AS_End,F25)),"")</f>
        <v/>
      </c>
      <c r="I25" s="1" t="n">
        <f aca="false">IF(D25="retire",F_R,F25)</f>
        <v>0</v>
      </c>
      <c r="J25" s="1" t="n">
        <f aca="false">IF(AND(C25="safety",Goal2_auto="Yes",Has_costsM=1),ROUND(F_EssM*AS_Months,0),Goal2_amount)</f>
        <v>0</v>
      </c>
      <c r="K25" s="1" t="n">
        <f aca="false">Goal2_saved</f>
        <v>0</v>
      </c>
      <c r="L25" s="1" t="str">
        <f aca="false">Goal2_prio</f>
        <v>Must have</v>
      </c>
      <c r="M25" s="1" t="str">
        <f aca="false">Goal2_rank</f>
        <v/>
      </c>
      <c r="N25" s="1" t="n">
        <f aca="false">IF(Goal_RankSet=1,IF(M25&lt;&gt;"",M25-1,IF(C25="safety",-1,1000000)),0)</f>
        <v>0</v>
      </c>
      <c r="O25" s="1" t="n">
        <f aca="false">IF(G25=1,(N25+1)*100000000+IF(C25="safety",0,1)*10000000+IF(L25="Nice to have",1,0)*1000000+H25*1000+2,1000000000000000)</f>
        <v>1000000000000000</v>
      </c>
      <c r="P25" s="1" t="str">
        <f aca="false">IF(G25=1,1+SUMPRODUCT(($G$24:$G$33=1)*($O$24:$O$33&lt;O25)),"")</f>
        <v/>
      </c>
    </row>
    <row r="26" customFormat="false" ht="15" hidden="false" customHeight="false" outlineLevel="0" collapsed="false">
      <c r="B26" s="1" t="s">
        <v>1480</v>
      </c>
      <c r="C26" s="1" t="str">
        <f aca="false">Goal3_key</f>
        <v/>
      </c>
      <c r="D26" s="1" t="str">
        <f aca="false">IFERROR(INDEX(Goal_Kinds,MATCH(C26,Goal_Keys,0)),"")</f>
        <v/>
      </c>
      <c r="E26" s="1" t="str">
        <f aca="false">Goal3_name</f>
        <v/>
      </c>
      <c r="F26" s="1" t="n">
        <f aca="false">Goal3_age</f>
        <v>0</v>
      </c>
      <c r="G26" s="1" t="n">
        <f aca="false">IF(OR(D26="spend",D26="mfree",D26="pot"),1,0)</f>
        <v>0</v>
      </c>
      <c r="H26" s="1" t="str">
        <f aca="false">IF(G26=1,MAX(F_Age+1,MIN(AS_End,F26)),"")</f>
        <v/>
      </c>
      <c r="I26" s="1" t="n">
        <f aca="false">IF(D26="retire",F_R,F26)</f>
        <v>0</v>
      </c>
      <c r="J26" s="1" t="n">
        <f aca="false">IF(AND(C26="safety",Goal3_auto="Yes",Has_costsM=1),ROUND(F_EssM*AS_Months,0),Goal3_amount)</f>
        <v>0</v>
      </c>
      <c r="K26" s="1" t="n">
        <f aca="false">Goal3_saved</f>
        <v>0</v>
      </c>
      <c r="L26" s="1" t="str">
        <f aca="false">Goal3_prio</f>
        <v>Must have</v>
      </c>
      <c r="M26" s="1" t="str">
        <f aca="false">Goal3_rank</f>
        <v/>
      </c>
      <c r="N26" s="1" t="n">
        <f aca="false">IF(Goal_RankSet=1,IF(M26&lt;&gt;"",M26-1,IF(C26="safety",-1,1000000)),0)</f>
        <v>0</v>
      </c>
      <c r="O26" s="1" t="n">
        <f aca="false">IF(G26=1,(N26+1)*100000000+IF(C26="safety",0,1)*10000000+IF(L26="Nice to have",1,0)*1000000+H26*1000+3,1000000000000000)</f>
        <v>1000000000000000</v>
      </c>
      <c r="P26" s="1" t="str">
        <f aca="false">IF(G26=1,1+SUMPRODUCT(($G$24:$G$33=1)*($O$24:$O$33&lt;O26)),"")</f>
        <v/>
      </c>
    </row>
    <row r="27" customFormat="false" ht="15" hidden="false" customHeight="false" outlineLevel="0" collapsed="false">
      <c r="B27" s="1" t="s">
        <v>1481</v>
      </c>
      <c r="C27" s="1" t="str">
        <f aca="false">Goal4_key</f>
        <v/>
      </c>
      <c r="D27" s="1" t="str">
        <f aca="false">IFERROR(INDEX(Goal_Kinds,MATCH(C27,Goal_Keys,0)),"")</f>
        <v/>
      </c>
      <c r="E27" s="1" t="str">
        <f aca="false">Goal4_name</f>
        <v/>
      </c>
      <c r="F27" s="1" t="n">
        <f aca="false">Goal4_age</f>
        <v>0</v>
      </c>
      <c r="G27" s="1" t="n">
        <f aca="false">IF(OR(D27="spend",D27="mfree",D27="pot"),1,0)</f>
        <v>0</v>
      </c>
      <c r="H27" s="1" t="str">
        <f aca="false">IF(G27=1,MAX(F_Age+1,MIN(AS_End,F27)),"")</f>
        <v/>
      </c>
      <c r="I27" s="1" t="n">
        <f aca="false">IF(D27="retire",F_R,F27)</f>
        <v>0</v>
      </c>
      <c r="J27" s="1" t="n">
        <f aca="false">IF(AND(C27="safety",Goal4_auto="Yes",Has_costsM=1),ROUND(F_EssM*AS_Months,0),Goal4_amount)</f>
        <v>0</v>
      </c>
      <c r="K27" s="1" t="n">
        <f aca="false">Goal4_saved</f>
        <v>0</v>
      </c>
      <c r="L27" s="1" t="str">
        <f aca="false">Goal4_prio</f>
        <v>Must have</v>
      </c>
      <c r="M27" s="1" t="str">
        <f aca="false">Goal4_rank</f>
        <v/>
      </c>
      <c r="N27" s="1" t="n">
        <f aca="false">IF(Goal_RankSet=1,IF(M27&lt;&gt;"",M27-1,IF(C27="safety",-1,1000000)),0)</f>
        <v>0</v>
      </c>
      <c r="O27" s="1" t="n">
        <f aca="false">IF(G27=1,(N27+1)*100000000+IF(C27="safety",0,1)*10000000+IF(L27="Nice to have",1,0)*1000000+H27*1000+4,1000000000000000)</f>
        <v>1000000000000000</v>
      </c>
      <c r="P27" s="1" t="str">
        <f aca="false">IF(G27=1,1+SUMPRODUCT(($G$24:$G$33=1)*($O$24:$O$33&lt;O27)),"")</f>
        <v/>
      </c>
    </row>
    <row r="28" customFormat="false" ht="15" hidden="false" customHeight="false" outlineLevel="0" collapsed="false">
      <c r="B28" s="1" t="s">
        <v>1482</v>
      </c>
      <c r="C28" s="1" t="str">
        <f aca="false">Goal5_key</f>
        <v/>
      </c>
      <c r="D28" s="1" t="str">
        <f aca="false">IFERROR(INDEX(Goal_Kinds,MATCH(C28,Goal_Keys,0)),"")</f>
        <v/>
      </c>
      <c r="E28" s="1" t="str">
        <f aca="false">Goal5_name</f>
        <v/>
      </c>
      <c r="F28" s="1" t="n">
        <f aca="false">Goal5_age</f>
        <v>0</v>
      </c>
      <c r="G28" s="1" t="n">
        <f aca="false">IF(OR(D28="spend",D28="mfree",D28="pot"),1,0)</f>
        <v>0</v>
      </c>
      <c r="H28" s="1" t="str">
        <f aca="false">IF(G28=1,MAX(F_Age+1,MIN(AS_End,F28)),"")</f>
        <v/>
      </c>
      <c r="I28" s="1" t="n">
        <f aca="false">IF(D28="retire",F_R,F28)</f>
        <v>0</v>
      </c>
      <c r="J28" s="1" t="n">
        <f aca="false">IF(AND(C28="safety",Goal5_auto="Yes",Has_costsM=1),ROUND(F_EssM*AS_Months,0),Goal5_amount)</f>
        <v>0</v>
      </c>
      <c r="K28" s="1" t="n">
        <f aca="false">Goal5_saved</f>
        <v>0</v>
      </c>
      <c r="L28" s="1" t="str">
        <f aca="false">Goal5_prio</f>
        <v>Must have</v>
      </c>
      <c r="M28" s="1" t="str">
        <f aca="false">Goal5_rank</f>
        <v/>
      </c>
      <c r="N28" s="1" t="n">
        <f aca="false">IF(Goal_RankSet=1,IF(M28&lt;&gt;"",M28-1,IF(C28="safety",-1,1000000)),0)</f>
        <v>0</v>
      </c>
      <c r="O28" s="1" t="n">
        <f aca="false">IF(G28=1,(N28+1)*100000000+IF(C28="safety",0,1)*10000000+IF(L28="Nice to have",1,0)*1000000+H28*1000+5,1000000000000000)</f>
        <v>1000000000000000</v>
      </c>
      <c r="P28" s="1" t="str">
        <f aca="false">IF(G28=1,1+SUMPRODUCT(($G$24:$G$33=1)*($O$24:$O$33&lt;O28)),"")</f>
        <v/>
      </c>
    </row>
    <row r="29" customFormat="false" ht="15" hidden="false" customHeight="false" outlineLevel="0" collapsed="false">
      <c r="B29" s="1" t="s">
        <v>1483</v>
      </c>
      <c r="C29" s="1" t="str">
        <f aca="false">Goal6_key</f>
        <v/>
      </c>
      <c r="D29" s="1" t="str">
        <f aca="false">IFERROR(INDEX(Goal_Kinds,MATCH(C29,Goal_Keys,0)),"")</f>
        <v/>
      </c>
      <c r="E29" s="1" t="str">
        <f aca="false">Goal6_name</f>
        <v/>
      </c>
      <c r="F29" s="1" t="n">
        <f aca="false">Goal6_age</f>
        <v>0</v>
      </c>
      <c r="G29" s="1" t="n">
        <f aca="false">IF(OR(D29="spend",D29="mfree",D29="pot"),1,0)</f>
        <v>0</v>
      </c>
      <c r="H29" s="1" t="str">
        <f aca="false">IF(G29=1,MAX(F_Age+1,MIN(AS_End,F29)),"")</f>
        <v/>
      </c>
      <c r="I29" s="1" t="n">
        <f aca="false">IF(D29="retire",F_R,F29)</f>
        <v>0</v>
      </c>
      <c r="J29" s="1" t="n">
        <f aca="false">IF(AND(C29="safety",Goal6_auto="Yes",Has_costsM=1),ROUND(F_EssM*AS_Months,0),Goal6_amount)</f>
        <v>0</v>
      </c>
      <c r="K29" s="1" t="n">
        <f aca="false">Goal6_saved</f>
        <v>0</v>
      </c>
      <c r="L29" s="1" t="str">
        <f aca="false">Goal6_prio</f>
        <v>Must have</v>
      </c>
      <c r="M29" s="1" t="str">
        <f aca="false">Goal6_rank</f>
        <v/>
      </c>
      <c r="N29" s="1" t="n">
        <f aca="false">IF(Goal_RankSet=1,IF(M29&lt;&gt;"",M29-1,IF(C29="safety",-1,1000000)),0)</f>
        <v>0</v>
      </c>
      <c r="O29" s="1" t="n">
        <f aca="false">IF(G29=1,(N29+1)*100000000+IF(C29="safety",0,1)*10000000+IF(L29="Nice to have",1,0)*1000000+H29*1000+6,1000000000000000)</f>
        <v>1000000000000000</v>
      </c>
      <c r="P29" s="1" t="str">
        <f aca="false">IF(G29=1,1+SUMPRODUCT(($G$24:$G$33=1)*($O$24:$O$33&lt;O29)),"")</f>
        <v/>
      </c>
    </row>
    <row r="30" customFormat="false" ht="15" hidden="false" customHeight="false" outlineLevel="0" collapsed="false">
      <c r="B30" s="1" t="s">
        <v>1484</v>
      </c>
      <c r="C30" s="1" t="str">
        <f aca="false">Goal7_key</f>
        <v/>
      </c>
      <c r="D30" s="1" t="str">
        <f aca="false">IFERROR(INDEX(Goal_Kinds,MATCH(C30,Goal_Keys,0)),"")</f>
        <v/>
      </c>
      <c r="E30" s="1" t="str">
        <f aca="false">Goal7_name</f>
        <v/>
      </c>
      <c r="F30" s="1" t="n">
        <f aca="false">Goal7_age</f>
        <v>0</v>
      </c>
      <c r="G30" s="1" t="n">
        <f aca="false">IF(OR(D30="spend",D30="mfree",D30="pot"),1,0)</f>
        <v>0</v>
      </c>
      <c r="H30" s="1" t="str">
        <f aca="false">IF(G30=1,MAX(F_Age+1,MIN(AS_End,F30)),"")</f>
        <v/>
      </c>
      <c r="I30" s="1" t="n">
        <f aca="false">IF(D30="retire",F_R,F30)</f>
        <v>0</v>
      </c>
      <c r="J30" s="1" t="n">
        <f aca="false">IF(AND(C30="safety",Goal7_auto="Yes",Has_costsM=1),ROUND(F_EssM*AS_Months,0),Goal7_amount)</f>
        <v>0</v>
      </c>
      <c r="K30" s="1" t="n">
        <f aca="false">Goal7_saved</f>
        <v>0</v>
      </c>
      <c r="L30" s="1" t="str">
        <f aca="false">Goal7_prio</f>
        <v>Must have</v>
      </c>
      <c r="M30" s="1" t="str">
        <f aca="false">Goal7_rank</f>
        <v/>
      </c>
      <c r="N30" s="1" t="n">
        <f aca="false">IF(Goal_RankSet=1,IF(M30&lt;&gt;"",M30-1,IF(C30="safety",-1,1000000)),0)</f>
        <v>0</v>
      </c>
      <c r="O30" s="1" t="n">
        <f aca="false">IF(G30=1,(N30+1)*100000000+IF(C30="safety",0,1)*10000000+IF(L30="Nice to have",1,0)*1000000+H30*1000+7,1000000000000000)</f>
        <v>1000000000000000</v>
      </c>
      <c r="P30" s="1" t="str">
        <f aca="false">IF(G30=1,1+SUMPRODUCT(($G$24:$G$33=1)*($O$24:$O$33&lt;O30)),"")</f>
        <v/>
      </c>
    </row>
    <row r="31" customFormat="false" ht="15" hidden="false" customHeight="false" outlineLevel="0" collapsed="false">
      <c r="B31" s="1" t="s">
        <v>1485</v>
      </c>
      <c r="C31" s="1" t="str">
        <f aca="false">Goal8_key</f>
        <v/>
      </c>
      <c r="D31" s="1" t="str">
        <f aca="false">IFERROR(INDEX(Goal_Kinds,MATCH(C31,Goal_Keys,0)),"")</f>
        <v/>
      </c>
      <c r="E31" s="1" t="str">
        <f aca="false">Goal8_name</f>
        <v/>
      </c>
      <c r="F31" s="1" t="n">
        <f aca="false">Goal8_age</f>
        <v>0</v>
      </c>
      <c r="G31" s="1" t="n">
        <f aca="false">IF(OR(D31="spend",D31="mfree",D31="pot"),1,0)</f>
        <v>0</v>
      </c>
      <c r="H31" s="1" t="str">
        <f aca="false">IF(G31=1,MAX(F_Age+1,MIN(AS_End,F31)),"")</f>
        <v/>
      </c>
      <c r="I31" s="1" t="n">
        <f aca="false">IF(D31="retire",F_R,F31)</f>
        <v>0</v>
      </c>
      <c r="J31" s="1" t="n">
        <f aca="false">IF(AND(C31="safety",Goal8_auto="Yes",Has_costsM=1),ROUND(F_EssM*AS_Months,0),Goal8_amount)</f>
        <v>0</v>
      </c>
      <c r="K31" s="1" t="n">
        <f aca="false">Goal8_saved</f>
        <v>0</v>
      </c>
      <c r="L31" s="1" t="str">
        <f aca="false">Goal8_prio</f>
        <v>Must have</v>
      </c>
      <c r="M31" s="1" t="str">
        <f aca="false">Goal8_rank</f>
        <v/>
      </c>
      <c r="N31" s="1" t="n">
        <f aca="false">IF(Goal_RankSet=1,IF(M31&lt;&gt;"",M31-1,IF(C31="safety",-1,1000000)),0)</f>
        <v>0</v>
      </c>
      <c r="O31" s="1" t="n">
        <f aca="false">IF(G31=1,(N31+1)*100000000+IF(C31="safety",0,1)*10000000+IF(L31="Nice to have",1,0)*1000000+H31*1000+8,1000000000000000)</f>
        <v>1000000000000000</v>
      </c>
      <c r="P31" s="1" t="str">
        <f aca="false">IF(G31=1,1+SUMPRODUCT(($G$24:$G$33=1)*($O$24:$O$33&lt;O31)),"")</f>
        <v/>
      </c>
    </row>
    <row r="32" customFormat="false" ht="15" hidden="false" customHeight="false" outlineLevel="0" collapsed="false">
      <c r="B32" s="1" t="s">
        <v>1486</v>
      </c>
      <c r="C32" s="1" t="str">
        <f aca="false">Goal9_key</f>
        <v/>
      </c>
      <c r="D32" s="1" t="str">
        <f aca="false">IFERROR(INDEX(Goal_Kinds,MATCH(C32,Goal_Keys,0)),"")</f>
        <v/>
      </c>
      <c r="E32" s="1" t="str">
        <f aca="false">Goal9_name</f>
        <v/>
      </c>
      <c r="F32" s="1" t="n">
        <f aca="false">Goal9_age</f>
        <v>0</v>
      </c>
      <c r="G32" s="1" t="n">
        <f aca="false">IF(OR(D32="spend",D32="mfree",D32="pot"),1,0)</f>
        <v>0</v>
      </c>
      <c r="H32" s="1" t="str">
        <f aca="false">IF(G32=1,MAX(F_Age+1,MIN(AS_End,F32)),"")</f>
        <v/>
      </c>
      <c r="I32" s="1" t="n">
        <f aca="false">IF(D32="retire",F_R,F32)</f>
        <v>0</v>
      </c>
      <c r="J32" s="1" t="n">
        <f aca="false">IF(AND(C32="safety",Goal9_auto="Yes",Has_costsM=1),ROUND(F_EssM*AS_Months,0),Goal9_amount)</f>
        <v>0</v>
      </c>
      <c r="K32" s="1" t="n">
        <f aca="false">Goal9_saved</f>
        <v>0</v>
      </c>
      <c r="L32" s="1" t="str">
        <f aca="false">Goal9_prio</f>
        <v>Must have</v>
      </c>
      <c r="M32" s="1" t="str">
        <f aca="false">Goal9_rank</f>
        <v/>
      </c>
      <c r="N32" s="1" t="n">
        <f aca="false">IF(Goal_RankSet=1,IF(M32&lt;&gt;"",M32-1,IF(C32="safety",-1,1000000)),0)</f>
        <v>0</v>
      </c>
      <c r="O32" s="1" t="n">
        <f aca="false">IF(G32=1,(N32+1)*100000000+IF(C32="safety",0,1)*10000000+IF(L32="Nice to have",1,0)*1000000+H32*1000+9,1000000000000000)</f>
        <v>1000000000000000</v>
      </c>
      <c r="P32" s="1" t="str">
        <f aca="false">IF(G32=1,1+SUMPRODUCT(($G$24:$G$33=1)*($O$24:$O$33&lt;O32)),"")</f>
        <v/>
      </c>
    </row>
    <row r="33" customFormat="false" ht="15" hidden="false" customHeight="false" outlineLevel="0" collapsed="false">
      <c r="B33" s="1" t="s">
        <v>1487</v>
      </c>
      <c r="C33" s="1" t="str">
        <f aca="false">Goal10_key</f>
        <v/>
      </c>
      <c r="D33" s="1" t="str">
        <f aca="false">IFERROR(INDEX(Goal_Kinds,MATCH(C33,Goal_Keys,0)),"")</f>
        <v/>
      </c>
      <c r="E33" s="1" t="str">
        <f aca="false">Goal10_name</f>
        <v/>
      </c>
      <c r="F33" s="1" t="n">
        <f aca="false">Goal10_age</f>
        <v>0</v>
      </c>
      <c r="G33" s="1" t="n">
        <f aca="false">IF(OR(D33="spend",D33="mfree",D33="pot"),1,0)</f>
        <v>0</v>
      </c>
      <c r="H33" s="1" t="str">
        <f aca="false">IF(G33=1,MAX(F_Age+1,MIN(AS_End,F33)),"")</f>
        <v/>
      </c>
      <c r="I33" s="1" t="n">
        <f aca="false">IF(D33="retire",F_R,F33)</f>
        <v>0</v>
      </c>
      <c r="J33" s="1" t="n">
        <f aca="false">IF(AND(C33="safety",Goal10_auto="Yes",Has_costsM=1),ROUND(F_EssM*AS_Months,0),Goal10_amount)</f>
        <v>0</v>
      </c>
      <c r="K33" s="1" t="n">
        <f aca="false">Goal10_saved</f>
        <v>0</v>
      </c>
      <c r="L33" s="1" t="str">
        <f aca="false">Goal10_prio</f>
        <v>Must have</v>
      </c>
      <c r="M33" s="1" t="str">
        <f aca="false">Goal10_rank</f>
        <v/>
      </c>
      <c r="N33" s="1" t="n">
        <f aca="false">IF(Goal_RankSet=1,IF(M33&lt;&gt;"",M33-1,IF(C33="safety",-1,1000000)),0)</f>
        <v>0</v>
      </c>
      <c r="O33" s="1" t="n">
        <f aca="false">IF(G33=1,(N33+1)*100000000+IF(C33="safety",0,1)*10000000+IF(L33="Nice to have",1,0)*1000000+H33*1000+10,1000000000000000)</f>
        <v>1000000000000000</v>
      </c>
      <c r="P33" s="1" t="str">
        <f aca="false">IF(G33=1,1+SUMPRODUCT(($G$24:$G$33=1)*($O$24:$O$33&lt;O33)),"")</f>
        <v/>
      </c>
    </row>
    <row r="35" customFormat="false" ht="15" hidden="false" customHeight="false" outlineLevel="0" collapsed="false">
      <c r="B35" s="1" t="s">
        <v>2173</v>
      </c>
      <c r="D35" s="99" t="n">
        <f aca="false">IF(COUNT($M$24:$M$33)&gt;0,1,0)</f>
        <v>0</v>
      </c>
      <c r="E35" s="22"/>
    </row>
    <row r="36" customFormat="false" ht="15" hidden="false" customHeight="false" outlineLevel="0" collapsed="false">
      <c r="B36" s="1" t="s">
        <v>2174</v>
      </c>
      <c r="D36" s="99" t="n">
        <f aca="false">IF(COUNTIF(GL_Kind,"retire")&gt;0,1,0)</f>
        <v>0</v>
      </c>
      <c r="E36" s="22"/>
    </row>
    <row r="37" customFormat="false" ht="15" hidden="false" customHeight="false" outlineLevel="0" collapsed="false">
      <c r="B37" s="1" t="s">
        <v>2175</v>
      </c>
      <c r="D37" s="99" t="n">
        <f aca="false">IFERROR(MATCH("retire",GL_Kind,0),0)</f>
        <v>0</v>
      </c>
      <c r="E37" s="22"/>
    </row>
    <row r="38" customFormat="false" ht="15" hidden="false" customHeight="false" outlineLevel="0" collapsed="false">
      <c r="B38" s="1" t="s">
        <v>2176</v>
      </c>
      <c r="D38" s="99" t="n">
        <f aca="false">IF(RG_Row&gt;0,INDEX(GL_Amount,RG_Row),0)</f>
        <v>0</v>
      </c>
      <c r="E38" s="22"/>
    </row>
    <row r="40" customFormat="false" ht="15" hidden="false" customHeight="false" outlineLevel="0" collapsed="false">
      <c r="B40" s="108" t="s">
        <v>2177</v>
      </c>
    </row>
    <row r="41" customFormat="false" ht="45.75" hidden="false" customHeight="true" outlineLevel="0" collapsed="false">
      <c r="B41" s="96" t="s">
        <v>2178</v>
      </c>
      <c r="C41" s="96" t="s">
        <v>2179</v>
      </c>
      <c r="D41" s="96" t="s">
        <v>2180</v>
      </c>
      <c r="E41" s="96" t="s">
        <v>2162</v>
      </c>
      <c r="F41" s="96" t="s">
        <v>2122</v>
      </c>
      <c r="G41" s="96" t="s">
        <v>2181</v>
      </c>
      <c r="H41" s="96" t="s">
        <v>2182</v>
      </c>
      <c r="I41" s="96" t="s">
        <v>381</v>
      </c>
      <c r="J41" s="96" t="s">
        <v>2183</v>
      </c>
      <c r="K41" s="96" t="s">
        <v>2184</v>
      </c>
      <c r="L41" s="96" t="s">
        <v>2185</v>
      </c>
      <c r="M41" s="96" t="s">
        <v>2186</v>
      </c>
      <c r="N41" s="96" t="s">
        <v>2187</v>
      </c>
      <c r="O41" s="96" t="s">
        <v>2188</v>
      </c>
      <c r="P41" s="96" t="s">
        <v>2189</v>
      </c>
      <c r="Q41" s="96" t="s">
        <v>2190</v>
      </c>
      <c r="R41" s="96" t="s">
        <v>2191</v>
      </c>
      <c r="S41" s="96" t="s">
        <v>2192</v>
      </c>
      <c r="T41" s="96" t="s">
        <v>2193</v>
      </c>
      <c r="U41" s="96" t="s">
        <v>2194</v>
      </c>
      <c r="V41" s="96" t="s">
        <v>2195</v>
      </c>
      <c r="W41" s="96" t="s">
        <v>2196</v>
      </c>
      <c r="X41" s="96" t="s">
        <v>2197</v>
      </c>
    </row>
    <row r="42" customFormat="false" ht="15" hidden="false" customHeight="false" outlineLevel="0" collapsed="false">
      <c r="B42" s="1" t="n">
        <v>1</v>
      </c>
      <c r="C42" s="1" t="n">
        <f aca="false">IFERROR(MATCH(1,GL_Pos,0),0)</f>
        <v>0</v>
      </c>
      <c r="D42" s="1" t="n">
        <f aca="false">IF(C42&gt;0,1,0)</f>
        <v>0</v>
      </c>
      <c r="E42" s="1" t="str">
        <f aca="false">IF(D42=1,INDEX(GL_Key,C42),"")</f>
        <v/>
      </c>
      <c r="F42" s="1" t="str">
        <f aca="false">IF(D42=1,INDEX(GL_Kind,C42),"")</f>
        <v/>
      </c>
      <c r="G42" s="1" t="n">
        <f aca="false">IF(D42=1,INDEX(GL_Age,C42),0)</f>
        <v>0</v>
      </c>
      <c r="H42" s="1" t="n">
        <f aca="false">IF(D42=1,INDEX(GL_Amount,C42),0)</f>
        <v>0</v>
      </c>
      <c r="I42" s="1" t="n">
        <f aca="false">IF(D42=1,INDEX(GL_Saved,C42),0)</f>
        <v>0</v>
      </c>
      <c r="J42" s="1" t="n">
        <f aca="false">IF(D42=1,MAX(0,G42-F_Age),0)</f>
        <v>0</v>
      </c>
      <c r="K42" s="109" t="n">
        <f aca="false">IF(J42&gt;=AS_LongYrs,AS_Inv,AS_Cash)</f>
        <v>0.01</v>
      </c>
      <c r="L42" s="1" t="n">
        <f aca="false">IF(D42=1,IF(F42="mfree",IF(F_MortBal&gt;0,INDEX(Plan_mPath,MIN(J42+1,F_N)+1),H42*(1+AS_Infl)^J42),H42*(1+AS_Infl)^J42),0)</f>
        <v>0</v>
      </c>
      <c r="M42" s="1" t="n">
        <f aca="false">IF(OR(F42="spend",F42="mfree"),1,0)</f>
        <v>0</v>
      </c>
      <c r="N42" s="1" t="n">
        <f aca="false">IF(AND(F42="pot",E42&lt;&gt;"safety"),1,0)</f>
        <v>0</v>
      </c>
      <c r="O42" s="1" t="n">
        <f aca="false">IF(AND(F42="pot",E42="safety"),1,0)</f>
        <v>0</v>
      </c>
      <c r="P42" s="1" t="n">
        <f aca="false">IF(F42="mfree",1,0)</f>
        <v>0</v>
      </c>
      <c r="Q42" s="1" t="n">
        <f aca="false">IF(AND(D42=1,In_wiGoal&gt;0,C42=In_wiGoal),1,0)</f>
        <v>0</v>
      </c>
      <c r="R42" s="1" t="n">
        <f aca="false">IF(D42=1,MIN(I42,F_Cash),0)</f>
        <v>0</v>
      </c>
      <c r="S42" s="1" t="n">
        <f aca="false">IF(AND(Q42=1,WI_Retire=0),WI_L,0)</f>
        <v>0</v>
      </c>
      <c r="T42" s="1" t="n">
        <f aca="false">F_Cash-R42</f>
        <v>0</v>
      </c>
      <c r="U42" s="1" t="n">
        <f aca="false">IF(D42=1,MAX(0,L42/(1+K42)^J42-(R42+S42)),0)</f>
        <v>0</v>
      </c>
      <c r="V42" s="1" t="n">
        <f aca="false">MIN(U42,Init_Free0)</f>
        <v>0</v>
      </c>
      <c r="W42" s="1" t="n">
        <f aca="false">Init_Free0-V42</f>
        <v>0</v>
      </c>
      <c r="X42" s="1" t="n">
        <f aca="false">R42+S42+V42</f>
        <v>0</v>
      </c>
    </row>
    <row r="43" customFormat="false" ht="15" hidden="false" customHeight="false" outlineLevel="0" collapsed="false">
      <c r="B43" s="1" t="n">
        <v>2</v>
      </c>
      <c r="C43" s="1" t="n">
        <f aca="false">IFERROR(MATCH(2,GL_Pos,0),0)</f>
        <v>0</v>
      </c>
      <c r="D43" s="1" t="n">
        <f aca="false">IF(C43&gt;0,1,0)</f>
        <v>0</v>
      </c>
      <c r="E43" s="1" t="str">
        <f aca="false">IF(D43=1,INDEX(GL_Key,C43),"")</f>
        <v/>
      </c>
      <c r="F43" s="1" t="str">
        <f aca="false">IF(D43=1,INDEX(GL_Kind,C43),"")</f>
        <v/>
      </c>
      <c r="G43" s="1" t="n">
        <f aca="false">IF(D43=1,INDEX(GL_Age,C43),0)</f>
        <v>0</v>
      </c>
      <c r="H43" s="1" t="n">
        <f aca="false">IF(D43=1,INDEX(GL_Amount,C43),0)</f>
        <v>0</v>
      </c>
      <c r="I43" s="1" t="n">
        <f aca="false">IF(D43=1,INDEX(GL_Saved,C43),0)</f>
        <v>0</v>
      </c>
      <c r="J43" s="1" t="n">
        <f aca="false">IF(D43=1,MAX(0,G43-F_Age),0)</f>
        <v>0</v>
      </c>
      <c r="K43" s="109" t="n">
        <f aca="false">IF(J43&gt;=AS_LongYrs,AS_Inv,AS_Cash)</f>
        <v>0.01</v>
      </c>
      <c r="L43" s="1" t="n">
        <f aca="false">IF(D43=1,IF(F43="mfree",IF(F_MortBal&gt;0,INDEX(Plan_mPath,MIN(J43+1,F_N)+1),H43*(1+AS_Infl)^J43),H43*(1+AS_Infl)^J43),0)</f>
        <v>0</v>
      </c>
      <c r="M43" s="1" t="n">
        <f aca="false">IF(OR(F43="spend",F43="mfree"),1,0)</f>
        <v>0</v>
      </c>
      <c r="N43" s="1" t="n">
        <f aca="false">IF(AND(F43="pot",E43&lt;&gt;"safety"),1,0)</f>
        <v>0</v>
      </c>
      <c r="O43" s="1" t="n">
        <f aca="false">IF(AND(F43="pot",E43="safety"),1,0)</f>
        <v>0</v>
      </c>
      <c r="P43" s="1" t="n">
        <f aca="false">IF(F43="mfree",1,0)</f>
        <v>0</v>
      </c>
      <c r="Q43" s="1" t="n">
        <f aca="false">IF(AND(D43=1,In_wiGoal&gt;0,C43=In_wiGoal),1,0)</f>
        <v>0</v>
      </c>
      <c r="R43" s="1" t="n">
        <f aca="false">IF(D43=1,MIN(I43,T42),0)</f>
        <v>0</v>
      </c>
      <c r="S43" s="1" t="n">
        <f aca="false">IF(AND(Q43=1,WI_Retire=0),WI_L,0)</f>
        <v>0</v>
      </c>
      <c r="T43" s="1" t="n">
        <f aca="false">T42-R43</f>
        <v>0</v>
      </c>
      <c r="U43" s="1" t="n">
        <f aca="false">IF(D43=1,MAX(0,L43/(1+K43)^J43-(R43+S43)),0)</f>
        <v>0</v>
      </c>
      <c r="V43" s="1" t="n">
        <f aca="false">MIN(U43,W42)</f>
        <v>0</v>
      </c>
      <c r="W43" s="1" t="n">
        <f aca="false">W42-V43</f>
        <v>0</v>
      </c>
      <c r="X43" s="1" t="n">
        <f aca="false">R43+S43+V43</f>
        <v>0</v>
      </c>
    </row>
    <row r="44" customFormat="false" ht="15" hidden="false" customHeight="false" outlineLevel="0" collapsed="false">
      <c r="B44" s="1" t="n">
        <v>3</v>
      </c>
      <c r="C44" s="1" t="n">
        <f aca="false">IFERROR(MATCH(3,GL_Pos,0),0)</f>
        <v>0</v>
      </c>
      <c r="D44" s="1" t="n">
        <f aca="false">IF(C44&gt;0,1,0)</f>
        <v>0</v>
      </c>
      <c r="E44" s="1" t="str">
        <f aca="false">IF(D44=1,INDEX(GL_Key,C44),"")</f>
        <v/>
      </c>
      <c r="F44" s="1" t="str">
        <f aca="false">IF(D44=1,INDEX(GL_Kind,C44),"")</f>
        <v/>
      </c>
      <c r="G44" s="1" t="n">
        <f aca="false">IF(D44=1,INDEX(GL_Age,C44),0)</f>
        <v>0</v>
      </c>
      <c r="H44" s="1" t="n">
        <f aca="false">IF(D44=1,INDEX(GL_Amount,C44),0)</f>
        <v>0</v>
      </c>
      <c r="I44" s="1" t="n">
        <f aca="false">IF(D44=1,INDEX(GL_Saved,C44),0)</f>
        <v>0</v>
      </c>
      <c r="J44" s="1" t="n">
        <f aca="false">IF(D44=1,MAX(0,G44-F_Age),0)</f>
        <v>0</v>
      </c>
      <c r="K44" s="109" t="n">
        <f aca="false">IF(J44&gt;=AS_LongYrs,AS_Inv,AS_Cash)</f>
        <v>0.01</v>
      </c>
      <c r="L44" s="1" t="n">
        <f aca="false">IF(D44=1,IF(F44="mfree",IF(F_MortBal&gt;0,INDEX(Plan_mPath,MIN(J44+1,F_N)+1),H44*(1+AS_Infl)^J44),H44*(1+AS_Infl)^J44),0)</f>
        <v>0</v>
      </c>
      <c r="M44" s="1" t="n">
        <f aca="false">IF(OR(F44="spend",F44="mfree"),1,0)</f>
        <v>0</v>
      </c>
      <c r="N44" s="1" t="n">
        <f aca="false">IF(AND(F44="pot",E44&lt;&gt;"safety"),1,0)</f>
        <v>0</v>
      </c>
      <c r="O44" s="1" t="n">
        <f aca="false">IF(AND(F44="pot",E44="safety"),1,0)</f>
        <v>0</v>
      </c>
      <c r="P44" s="1" t="n">
        <f aca="false">IF(F44="mfree",1,0)</f>
        <v>0</v>
      </c>
      <c r="Q44" s="1" t="n">
        <f aca="false">IF(AND(D44=1,In_wiGoal&gt;0,C44=In_wiGoal),1,0)</f>
        <v>0</v>
      </c>
      <c r="R44" s="1" t="n">
        <f aca="false">IF(D44=1,MIN(I44,T43),0)</f>
        <v>0</v>
      </c>
      <c r="S44" s="1" t="n">
        <f aca="false">IF(AND(Q44=1,WI_Retire=0),WI_L,0)</f>
        <v>0</v>
      </c>
      <c r="T44" s="1" t="n">
        <f aca="false">T43-R44</f>
        <v>0</v>
      </c>
      <c r="U44" s="1" t="n">
        <f aca="false">IF(D44=1,MAX(0,L44/(1+K44)^J44-(R44+S44)),0)</f>
        <v>0</v>
      </c>
      <c r="V44" s="1" t="n">
        <f aca="false">MIN(U44,W43)</f>
        <v>0</v>
      </c>
      <c r="W44" s="1" t="n">
        <f aca="false">W43-V44</f>
        <v>0</v>
      </c>
      <c r="X44" s="1" t="n">
        <f aca="false">R44+S44+V44</f>
        <v>0</v>
      </c>
    </row>
    <row r="45" customFormat="false" ht="15" hidden="false" customHeight="false" outlineLevel="0" collapsed="false">
      <c r="B45" s="1" t="n">
        <v>4</v>
      </c>
      <c r="C45" s="1" t="n">
        <f aca="false">IFERROR(MATCH(4,GL_Pos,0),0)</f>
        <v>0</v>
      </c>
      <c r="D45" s="1" t="n">
        <f aca="false">IF(C45&gt;0,1,0)</f>
        <v>0</v>
      </c>
      <c r="E45" s="1" t="str">
        <f aca="false">IF(D45=1,INDEX(GL_Key,C45),"")</f>
        <v/>
      </c>
      <c r="F45" s="1" t="str">
        <f aca="false">IF(D45=1,INDEX(GL_Kind,C45),"")</f>
        <v/>
      </c>
      <c r="G45" s="1" t="n">
        <f aca="false">IF(D45=1,INDEX(GL_Age,C45),0)</f>
        <v>0</v>
      </c>
      <c r="H45" s="1" t="n">
        <f aca="false">IF(D45=1,INDEX(GL_Amount,C45),0)</f>
        <v>0</v>
      </c>
      <c r="I45" s="1" t="n">
        <f aca="false">IF(D45=1,INDEX(GL_Saved,C45),0)</f>
        <v>0</v>
      </c>
      <c r="J45" s="1" t="n">
        <f aca="false">IF(D45=1,MAX(0,G45-F_Age),0)</f>
        <v>0</v>
      </c>
      <c r="K45" s="109" t="n">
        <f aca="false">IF(J45&gt;=AS_LongYrs,AS_Inv,AS_Cash)</f>
        <v>0.01</v>
      </c>
      <c r="L45" s="1" t="n">
        <f aca="false">IF(D45=1,IF(F45="mfree",IF(F_MortBal&gt;0,INDEX(Plan_mPath,MIN(J45+1,F_N)+1),H45*(1+AS_Infl)^J45),H45*(1+AS_Infl)^J45),0)</f>
        <v>0</v>
      </c>
      <c r="M45" s="1" t="n">
        <f aca="false">IF(OR(F45="spend",F45="mfree"),1,0)</f>
        <v>0</v>
      </c>
      <c r="N45" s="1" t="n">
        <f aca="false">IF(AND(F45="pot",E45&lt;&gt;"safety"),1,0)</f>
        <v>0</v>
      </c>
      <c r="O45" s="1" t="n">
        <f aca="false">IF(AND(F45="pot",E45="safety"),1,0)</f>
        <v>0</v>
      </c>
      <c r="P45" s="1" t="n">
        <f aca="false">IF(F45="mfree",1,0)</f>
        <v>0</v>
      </c>
      <c r="Q45" s="1" t="n">
        <f aca="false">IF(AND(D45=1,In_wiGoal&gt;0,C45=In_wiGoal),1,0)</f>
        <v>0</v>
      </c>
      <c r="R45" s="1" t="n">
        <f aca="false">IF(D45=1,MIN(I45,T44),0)</f>
        <v>0</v>
      </c>
      <c r="S45" s="1" t="n">
        <f aca="false">IF(AND(Q45=1,WI_Retire=0),WI_L,0)</f>
        <v>0</v>
      </c>
      <c r="T45" s="1" t="n">
        <f aca="false">T44-R45</f>
        <v>0</v>
      </c>
      <c r="U45" s="1" t="n">
        <f aca="false">IF(D45=1,MAX(0,L45/(1+K45)^J45-(R45+S45)),0)</f>
        <v>0</v>
      </c>
      <c r="V45" s="1" t="n">
        <f aca="false">MIN(U45,W44)</f>
        <v>0</v>
      </c>
      <c r="W45" s="1" t="n">
        <f aca="false">W44-V45</f>
        <v>0</v>
      </c>
      <c r="X45" s="1" t="n">
        <f aca="false">R45+S45+V45</f>
        <v>0</v>
      </c>
    </row>
    <row r="46" customFormat="false" ht="15" hidden="false" customHeight="false" outlineLevel="0" collapsed="false">
      <c r="B46" s="1" t="n">
        <v>5</v>
      </c>
      <c r="C46" s="1" t="n">
        <f aca="false">IFERROR(MATCH(5,GL_Pos,0),0)</f>
        <v>0</v>
      </c>
      <c r="D46" s="1" t="n">
        <f aca="false">IF(C46&gt;0,1,0)</f>
        <v>0</v>
      </c>
      <c r="E46" s="1" t="str">
        <f aca="false">IF(D46=1,INDEX(GL_Key,C46),"")</f>
        <v/>
      </c>
      <c r="F46" s="1" t="str">
        <f aca="false">IF(D46=1,INDEX(GL_Kind,C46),"")</f>
        <v/>
      </c>
      <c r="G46" s="1" t="n">
        <f aca="false">IF(D46=1,INDEX(GL_Age,C46),0)</f>
        <v>0</v>
      </c>
      <c r="H46" s="1" t="n">
        <f aca="false">IF(D46=1,INDEX(GL_Amount,C46),0)</f>
        <v>0</v>
      </c>
      <c r="I46" s="1" t="n">
        <f aca="false">IF(D46=1,INDEX(GL_Saved,C46),0)</f>
        <v>0</v>
      </c>
      <c r="J46" s="1" t="n">
        <f aca="false">IF(D46=1,MAX(0,G46-F_Age),0)</f>
        <v>0</v>
      </c>
      <c r="K46" s="109" t="n">
        <f aca="false">IF(J46&gt;=AS_LongYrs,AS_Inv,AS_Cash)</f>
        <v>0.01</v>
      </c>
      <c r="L46" s="1" t="n">
        <f aca="false">IF(D46=1,IF(F46="mfree",IF(F_MortBal&gt;0,INDEX(Plan_mPath,MIN(J46+1,F_N)+1),H46*(1+AS_Infl)^J46),H46*(1+AS_Infl)^J46),0)</f>
        <v>0</v>
      </c>
      <c r="M46" s="1" t="n">
        <f aca="false">IF(OR(F46="spend",F46="mfree"),1,0)</f>
        <v>0</v>
      </c>
      <c r="N46" s="1" t="n">
        <f aca="false">IF(AND(F46="pot",E46&lt;&gt;"safety"),1,0)</f>
        <v>0</v>
      </c>
      <c r="O46" s="1" t="n">
        <f aca="false">IF(AND(F46="pot",E46="safety"),1,0)</f>
        <v>0</v>
      </c>
      <c r="P46" s="1" t="n">
        <f aca="false">IF(F46="mfree",1,0)</f>
        <v>0</v>
      </c>
      <c r="Q46" s="1" t="n">
        <f aca="false">IF(AND(D46=1,In_wiGoal&gt;0,C46=In_wiGoal),1,0)</f>
        <v>0</v>
      </c>
      <c r="R46" s="1" t="n">
        <f aca="false">IF(D46=1,MIN(I46,T45),0)</f>
        <v>0</v>
      </c>
      <c r="S46" s="1" t="n">
        <f aca="false">IF(AND(Q46=1,WI_Retire=0),WI_L,0)</f>
        <v>0</v>
      </c>
      <c r="T46" s="1" t="n">
        <f aca="false">T45-R46</f>
        <v>0</v>
      </c>
      <c r="U46" s="1" t="n">
        <f aca="false">IF(D46=1,MAX(0,L46/(1+K46)^J46-(R46+S46)),0)</f>
        <v>0</v>
      </c>
      <c r="V46" s="1" t="n">
        <f aca="false">MIN(U46,W45)</f>
        <v>0</v>
      </c>
      <c r="W46" s="1" t="n">
        <f aca="false">W45-V46</f>
        <v>0</v>
      </c>
      <c r="X46" s="1" t="n">
        <f aca="false">R46+S46+V46</f>
        <v>0</v>
      </c>
    </row>
    <row r="47" customFormat="false" ht="15" hidden="false" customHeight="false" outlineLevel="0" collapsed="false">
      <c r="B47" s="1" t="n">
        <v>6</v>
      </c>
      <c r="C47" s="1" t="n">
        <f aca="false">IFERROR(MATCH(6,GL_Pos,0),0)</f>
        <v>0</v>
      </c>
      <c r="D47" s="1" t="n">
        <f aca="false">IF(C47&gt;0,1,0)</f>
        <v>0</v>
      </c>
      <c r="E47" s="1" t="str">
        <f aca="false">IF(D47=1,INDEX(GL_Key,C47),"")</f>
        <v/>
      </c>
      <c r="F47" s="1" t="str">
        <f aca="false">IF(D47=1,INDEX(GL_Kind,C47),"")</f>
        <v/>
      </c>
      <c r="G47" s="1" t="n">
        <f aca="false">IF(D47=1,INDEX(GL_Age,C47),0)</f>
        <v>0</v>
      </c>
      <c r="H47" s="1" t="n">
        <f aca="false">IF(D47=1,INDEX(GL_Amount,C47),0)</f>
        <v>0</v>
      </c>
      <c r="I47" s="1" t="n">
        <f aca="false">IF(D47=1,INDEX(GL_Saved,C47),0)</f>
        <v>0</v>
      </c>
      <c r="J47" s="1" t="n">
        <f aca="false">IF(D47=1,MAX(0,G47-F_Age),0)</f>
        <v>0</v>
      </c>
      <c r="K47" s="109" t="n">
        <f aca="false">IF(J47&gt;=AS_LongYrs,AS_Inv,AS_Cash)</f>
        <v>0.01</v>
      </c>
      <c r="L47" s="1" t="n">
        <f aca="false">IF(D47=1,IF(F47="mfree",IF(F_MortBal&gt;0,INDEX(Plan_mPath,MIN(J47+1,F_N)+1),H47*(1+AS_Infl)^J47),H47*(1+AS_Infl)^J47),0)</f>
        <v>0</v>
      </c>
      <c r="M47" s="1" t="n">
        <f aca="false">IF(OR(F47="spend",F47="mfree"),1,0)</f>
        <v>0</v>
      </c>
      <c r="N47" s="1" t="n">
        <f aca="false">IF(AND(F47="pot",E47&lt;&gt;"safety"),1,0)</f>
        <v>0</v>
      </c>
      <c r="O47" s="1" t="n">
        <f aca="false">IF(AND(F47="pot",E47="safety"),1,0)</f>
        <v>0</v>
      </c>
      <c r="P47" s="1" t="n">
        <f aca="false">IF(F47="mfree",1,0)</f>
        <v>0</v>
      </c>
      <c r="Q47" s="1" t="n">
        <f aca="false">IF(AND(D47=1,In_wiGoal&gt;0,C47=In_wiGoal),1,0)</f>
        <v>0</v>
      </c>
      <c r="R47" s="1" t="n">
        <f aca="false">IF(D47=1,MIN(I47,T46),0)</f>
        <v>0</v>
      </c>
      <c r="S47" s="1" t="n">
        <f aca="false">IF(AND(Q47=1,WI_Retire=0),WI_L,0)</f>
        <v>0</v>
      </c>
      <c r="T47" s="1" t="n">
        <f aca="false">T46-R47</f>
        <v>0</v>
      </c>
      <c r="U47" s="1" t="n">
        <f aca="false">IF(D47=1,MAX(0,L47/(1+K47)^J47-(R47+S47)),0)</f>
        <v>0</v>
      </c>
      <c r="V47" s="1" t="n">
        <f aca="false">MIN(U47,W46)</f>
        <v>0</v>
      </c>
      <c r="W47" s="1" t="n">
        <f aca="false">W46-V47</f>
        <v>0</v>
      </c>
      <c r="X47" s="1" t="n">
        <f aca="false">R47+S47+V47</f>
        <v>0</v>
      </c>
    </row>
    <row r="48" customFormat="false" ht="15" hidden="false" customHeight="false" outlineLevel="0" collapsed="false">
      <c r="B48" s="1" t="n">
        <v>7</v>
      </c>
      <c r="C48" s="1" t="n">
        <f aca="false">IFERROR(MATCH(7,GL_Pos,0),0)</f>
        <v>0</v>
      </c>
      <c r="D48" s="1" t="n">
        <f aca="false">IF(C48&gt;0,1,0)</f>
        <v>0</v>
      </c>
      <c r="E48" s="1" t="str">
        <f aca="false">IF(D48=1,INDEX(GL_Key,C48),"")</f>
        <v/>
      </c>
      <c r="F48" s="1" t="str">
        <f aca="false">IF(D48=1,INDEX(GL_Kind,C48),"")</f>
        <v/>
      </c>
      <c r="G48" s="1" t="n">
        <f aca="false">IF(D48=1,INDEX(GL_Age,C48),0)</f>
        <v>0</v>
      </c>
      <c r="H48" s="1" t="n">
        <f aca="false">IF(D48=1,INDEX(GL_Amount,C48),0)</f>
        <v>0</v>
      </c>
      <c r="I48" s="1" t="n">
        <f aca="false">IF(D48=1,INDEX(GL_Saved,C48),0)</f>
        <v>0</v>
      </c>
      <c r="J48" s="1" t="n">
        <f aca="false">IF(D48=1,MAX(0,G48-F_Age),0)</f>
        <v>0</v>
      </c>
      <c r="K48" s="109" t="n">
        <f aca="false">IF(J48&gt;=AS_LongYrs,AS_Inv,AS_Cash)</f>
        <v>0.01</v>
      </c>
      <c r="L48" s="1" t="n">
        <f aca="false">IF(D48=1,IF(F48="mfree",IF(F_MortBal&gt;0,INDEX(Plan_mPath,MIN(J48+1,F_N)+1),H48*(1+AS_Infl)^J48),H48*(1+AS_Infl)^J48),0)</f>
        <v>0</v>
      </c>
      <c r="M48" s="1" t="n">
        <f aca="false">IF(OR(F48="spend",F48="mfree"),1,0)</f>
        <v>0</v>
      </c>
      <c r="N48" s="1" t="n">
        <f aca="false">IF(AND(F48="pot",E48&lt;&gt;"safety"),1,0)</f>
        <v>0</v>
      </c>
      <c r="O48" s="1" t="n">
        <f aca="false">IF(AND(F48="pot",E48="safety"),1,0)</f>
        <v>0</v>
      </c>
      <c r="P48" s="1" t="n">
        <f aca="false">IF(F48="mfree",1,0)</f>
        <v>0</v>
      </c>
      <c r="Q48" s="1" t="n">
        <f aca="false">IF(AND(D48=1,In_wiGoal&gt;0,C48=In_wiGoal),1,0)</f>
        <v>0</v>
      </c>
      <c r="R48" s="1" t="n">
        <f aca="false">IF(D48=1,MIN(I48,T47),0)</f>
        <v>0</v>
      </c>
      <c r="S48" s="1" t="n">
        <f aca="false">IF(AND(Q48=1,WI_Retire=0),WI_L,0)</f>
        <v>0</v>
      </c>
      <c r="T48" s="1" t="n">
        <f aca="false">T47-R48</f>
        <v>0</v>
      </c>
      <c r="U48" s="1" t="n">
        <f aca="false">IF(D48=1,MAX(0,L48/(1+K48)^J48-(R48+S48)),0)</f>
        <v>0</v>
      </c>
      <c r="V48" s="1" t="n">
        <f aca="false">MIN(U48,W47)</f>
        <v>0</v>
      </c>
      <c r="W48" s="1" t="n">
        <f aca="false">W47-V48</f>
        <v>0</v>
      </c>
      <c r="X48" s="1" t="n">
        <f aca="false">R48+S48+V48</f>
        <v>0</v>
      </c>
    </row>
    <row r="49" customFormat="false" ht="15" hidden="false" customHeight="false" outlineLevel="0" collapsed="false">
      <c r="B49" s="1" t="n">
        <v>8</v>
      </c>
      <c r="C49" s="1" t="n">
        <f aca="false">IFERROR(MATCH(8,GL_Pos,0),0)</f>
        <v>0</v>
      </c>
      <c r="D49" s="1" t="n">
        <f aca="false">IF(C49&gt;0,1,0)</f>
        <v>0</v>
      </c>
      <c r="E49" s="1" t="str">
        <f aca="false">IF(D49=1,INDEX(GL_Key,C49),"")</f>
        <v/>
      </c>
      <c r="F49" s="1" t="str">
        <f aca="false">IF(D49=1,INDEX(GL_Kind,C49),"")</f>
        <v/>
      </c>
      <c r="G49" s="1" t="n">
        <f aca="false">IF(D49=1,INDEX(GL_Age,C49),0)</f>
        <v>0</v>
      </c>
      <c r="H49" s="1" t="n">
        <f aca="false">IF(D49=1,INDEX(GL_Amount,C49),0)</f>
        <v>0</v>
      </c>
      <c r="I49" s="1" t="n">
        <f aca="false">IF(D49=1,INDEX(GL_Saved,C49),0)</f>
        <v>0</v>
      </c>
      <c r="J49" s="1" t="n">
        <f aca="false">IF(D49=1,MAX(0,G49-F_Age),0)</f>
        <v>0</v>
      </c>
      <c r="K49" s="109" t="n">
        <f aca="false">IF(J49&gt;=AS_LongYrs,AS_Inv,AS_Cash)</f>
        <v>0.01</v>
      </c>
      <c r="L49" s="1" t="n">
        <f aca="false">IF(D49=1,IF(F49="mfree",IF(F_MortBal&gt;0,INDEX(Plan_mPath,MIN(J49+1,F_N)+1),H49*(1+AS_Infl)^J49),H49*(1+AS_Infl)^J49),0)</f>
        <v>0</v>
      </c>
      <c r="M49" s="1" t="n">
        <f aca="false">IF(OR(F49="spend",F49="mfree"),1,0)</f>
        <v>0</v>
      </c>
      <c r="N49" s="1" t="n">
        <f aca="false">IF(AND(F49="pot",E49&lt;&gt;"safety"),1,0)</f>
        <v>0</v>
      </c>
      <c r="O49" s="1" t="n">
        <f aca="false">IF(AND(F49="pot",E49="safety"),1,0)</f>
        <v>0</v>
      </c>
      <c r="P49" s="1" t="n">
        <f aca="false">IF(F49="mfree",1,0)</f>
        <v>0</v>
      </c>
      <c r="Q49" s="1" t="n">
        <f aca="false">IF(AND(D49=1,In_wiGoal&gt;0,C49=In_wiGoal),1,0)</f>
        <v>0</v>
      </c>
      <c r="R49" s="1" t="n">
        <f aca="false">IF(D49=1,MIN(I49,T48),0)</f>
        <v>0</v>
      </c>
      <c r="S49" s="1" t="n">
        <f aca="false">IF(AND(Q49=1,WI_Retire=0),WI_L,0)</f>
        <v>0</v>
      </c>
      <c r="T49" s="1" t="n">
        <f aca="false">T48-R49</f>
        <v>0</v>
      </c>
      <c r="U49" s="1" t="n">
        <f aca="false">IF(D49=1,MAX(0,L49/(1+K49)^J49-(R49+S49)),0)</f>
        <v>0</v>
      </c>
      <c r="V49" s="1" t="n">
        <f aca="false">MIN(U49,W48)</f>
        <v>0</v>
      </c>
      <c r="W49" s="1" t="n">
        <f aca="false">W48-V49</f>
        <v>0</v>
      </c>
      <c r="X49" s="1" t="n">
        <f aca="false">R49+S49+V49</f>
        <v>0</v>
      </c>
    </row>
    <row r="51" customFormat="false" ht="15" hidden="false" customHeight="false" outlineLevel="0" collapsed="false">
      <c r="B51" s="1" t="s">
        <v>2198</v>
      </c>
      <c r="D51" s="99" t="n">
        <f aca="false">IF(SUM($O$42:$O$49)&gt;0,1,0)</f>
        <v>0</v>
      </c>
      <c r="E51" s="22"/>
    </row>
    <row r="52" customFormat="false" ht="15" hidden="false" customHeight="false" outlineLevel="0" collapsed="false">
      <c r="B52" s="1" t="s">
        <v>2199</v>
      </c>
      <c r="D52" s="99" t="n">
        <f aca="false">IF(HasSafety=1,0,MIN($T$49,AS_Months*F_EssM))</f>
        <v>0</v>
      </c>
      <c r="E52" s="22"/>
    </row>
    <row r="53" customFormat="false" ht="15" hidden="false" customHeight="false" outlineLevel="0" collapsed="false">
      <c r="B53" s="1" t="s">
        <v>2200</v>
      </c>
      <c r="D53" s="99" t="n">
        <f aca="false">$T$49-Init_Buf0+F_Invest</f>
        <v>0</v>
      </c>
      <c r="E53" s="22"/>
    </row>
    <row r="54" customFormat="false" ht="15" hidden="false" customHeight="false" outlineLevel="0" collapsed="false">
      <c r="B54" s="1" t="s">
        <v>2201</v>
      </c>
      <c r="D54" s="99" t="n">
        <f aca="false">$W$49</f>
        <v>0</v>
      </c>
      <c r="E54" s="22"/>
    </row>
    <row r="55" customFormat="false" ht="15" hidden="false" customHeight="false" outlineLevel="0" collapsed="false">
      <c r="B55" s="1" t="s">
        <v>2202</v>
      </c>
      <c r="D55" s="99" t="n">
        <f aca="false">(1-AS_InvShare)*AS_Cash+AS_InvShare*AS_Inv</f>
        <v>0.0164</v>
      </c>
      <c r="E55" s="22"/>
    </row>
    <row r="56" customFormat="false" ht="15" hidden="false" customHeight="false" outlineLevel="0" collapsed="false">
      <c r="B56" s="1" t="s">
        <v>2203</v>
      </c>
      <c r="D56" s="99" t="n">
        <f aca="false">SUM($G$24:$G$33)</f>
        <v>0</v>
      </c>
      <c r="E56" s="22"/>
    </row>
    <row r="57" customFormat="false" ht="15" hidden="false" customHeight="false" outlineLevel="0" collapsed="false">
      <c r="B57" s="1" t="s">
        <v>2204</v>
      </c>
      <c r="D57" s="99" t="n">
        <f aca="false">IF(Slots_Funded&gt;8,1,0)</f>
        <v>0</v>
      </c>
      <c r="E57" s="22"/>
    </row>
    <row r="59" customFormat="false" ht="15" hidden="false" customHeight="false" outlineLevel="0" collapsed="false">
      <c r="B59" s="108" t="s">
        <v>2205</v>
      </c>
    </row>
    <row r="60" customFormat="false" ht="45.75" hidden="false" customHeight="true" outlineLevel="0" collapsed="false">
      <c r="B60" s="96" t="s">
        <v>2178</v>
      </c>
      <c r="C60" s="96" t="s">
        <v>2206</v>
      </c>
      <c r="D60" s="96" t="s">
        <v>2207</v>
      </c>
      <c r="E60" s="96" t="s">
        <v>2208</v>
      </c>
      <c r="F60" s="96" t="s">
        <v>2209</v>
      </c>
      <c r="G60" s="96" t="s">
        <v>2210</v>
      </c>
      <c r="H60" s="96" t="s">
        <v>2211</v>
      </c>
      <c r="I60" s="96" t="s">
        <v>2212</v>
      </c>
      <c r="J60" s="96" t="s">
        <v>2213</v>
      </c>
      <c r="K60" s="96" t="s">
        <v>2214</v>
      </c>
      <c r="L60" s="96" t="s">
        <v>2215</v>
      </c>
      <c r="M60" s="96" t="s">
        <v>2216</v>
      </c>
    </row>
    <row r="61" customFormat="false" ht="15" hidden="false" customHeight="false" outlineLevel="0" collapsed="false">
      <c r="B61" s="1" t="n">
        <v>1</v>
      </c>
      <c r="C61" s="1" t="n">
        <f aca="false">IF(Slot1_On=1,INDEX('Plan cashflow'!$Z$8:$Z$97,Slot1_Age-F_Age+1),0)</f>
        <v>0</v>
      </c>
      <c r="D61" s="1" t="n">
        <f aca="false">Slot1_Cost</f>
        <v>0</v>
      </c>
      <c r="E61" s="1" t="str">
        <f aca="false">IF(Slot1_On=1,IF(D61&gt;0,IF(C61&gt;=D61-1,100,MIN(99,MAX(0,INT(C61/D61*100)))),100),"")</f>
        <v/>
      </c>
      <c r="F61" s="1" t="n">
        <f aca="false">IF(AND(Slot1_On=1,E61&lt;95),1,0)</f>
        <v>0</v>
      </c>
      <c r="G61" s="1" t="n">
        <f aca="false">INDEX('Plan cashflow'!$HI$8:$HI$97,1)</f>
        <v>0</v>
      </c>
      <c r="H61" s="1" t="n">
        <f aca="false">INDEX('Plan cashflow'!$HH$8:$HH$97,1)</f>
        <v>0</v>
      </c>
      <c r="I61" s="1" t="n">
        <f aca="false">SUMIFS('Plan cashflow'!$HG$8:$HG$97,'Plan cashflow'!$C$8:$C$97,1)</f>
        <v>0</v>
      </c>
      <c r="J61" s="1" t="n">
        <f aca="false">SUMIFS('Plan cashflow'!$V$8:$V$97,'Plan cashflow'!$C$8:$C$97,1)</f>
        <v>0</v>
      </c>
      <c r="K61" s="1" t="n">
        <f aca="false">ROUND(G61/12,0)</f>
        <v>0</v>
      </c>
      <c r="L61" s="1" t="n">
        <f aca="false">ROUND(H61/12,0)</f>
        <v>0</v>
      </c>
      <c r="M61" s="1" t="n">
        <f aca="false">IF(J61&gt;0,ROUND(I61/J61/12,0),0)</f>
        <v>0</v>
      </c>
    </row>
    <row r="62" customFormat="false" ht="15" hidden="false" customHeight="false" outlineLevel="0" collapsed="false">
      <c r="B62" s="1" t="n">
        <v>2</v>
      </c>
      <c r="C62" s="1" t="n">
        <f aca="false">IF(Slot2_On=1,INDEX('Plan cashflow'!$AK$8:$AK$97,Slot2_Age-F_Age+1),0)</f>
        <v>0</v>
      </c>
      <c r="D62" s="1" t="n">
        <f aca="false">Slot2_Cost</f>
        <v>0</v>
      </c>
      <c r="E62" s="1" t="str">
        <f aca="false">IF(Slot2_On=1,IF(D62&gt;0,IF(C62&gt;=D62-1,100,MIN(99,MAX(0,INT(C62/D62*100)))),100),"")</f>
        <v/>
      </c>
      <c r="F62" s="1" t="n">
        <f aca="false">IF(AND(Slot2_On=1,E62&lt;95),1,0)</f>
        <v>0</v>
      </c>
      <c r="G62" s="1" t="n">
        <f aca="false">INDEX('Plan cashflow'!$HM$8:$HM$97,1)</f>
        <v>0</v>
      </c>
      <c r="H62" s="1" t="n">
        <f aca="false">INDEX('Plan cashflow'!$HL$8:$HL$97,1)</f>
        <v>0</v>
      </c>
      <c r="I62" s="1" t="n">
        <f aca="false">SUMIFS('Plan cashflow'!$HK$8:$HK$97,'Plan cashflow'!$C$8:$C$97,1)</f>
        <v>0</v>
      </c>
      <c r="J62" s="1" t="n">
        <f aca="false">SUMIFS('Plan cashflow'!$AG$8:$AG$97,'Plan cashflow'!$C$8:$C$97,1)</f>
        <v>0</v>
      </c>
      <c r="K62" s="1" t="n">
        <f aca="false">ROUND(G62/12,0)</f>
        <v>0</v>
      </c>
      <c r="L62" s="1" t="n">
        <f aca="false">ROUND(H62/12,0)</f>
        <v>0</v>
      </c>
      <c r="M62" s="1" t="n">
        <f aca="false">IF(J62&gt;0,ROUND(I62/J62/12,0),0)</f>
        <v>0</v>
      </c>
    </row>
    <row r="63" customFormat="false" ht="15" hidden="false" customHeight="false" outlineLevel="0" collapsed="false">
      <c r="B63" s="1" t="n">
        <v>3</v>
      </c>
      <c r="C63" s="1" t="n">
        <f aca="false">IF(Slot3_On=1,INDEX('Plan cashflow'!$AU$8:$AU$97,Slot3_Age-F_Age+1),0)</f>
        <v>0</v>
      </c>
      <c r="D63" s="1" t="n">
        <f aca="false">Slot3_Cost</f>
        <v>0</v>
      </c>
      <c r="E63" s="1" t="str">
        <f aca="false">IF(Slot3_On=1,IF(D63&gt;0,IF(C63&gt;=D63-1,100,MIN(99,MAX(0,INT(C63/D63*100)))),100),"")</f>
        <v/>
      </c>
      <c r="F63" s="1" t="n">
        <f aca="false">IF(AND(Slot3_On=1,E63&lt;95),1,0)</f>
        <v>0</v>
      </c>
      <c r="G63" s="1" t="n">
        <f aca="false">INDEX('Plan cashflow'!$HQ$8:$HQ$97,1)</f>
        <v>0</v>
      </c>
      <c r="H63" s="1" t="n">
        <f aca="false">INDEX('Plan cashflow'!$HP$8:$HP$97,1)</f>
        <v>0</v>
      </c>
      <c r="I63" s="1" t="n">
        <f aca="false">SUMIFS('Plan cashflow'!$HO$8:$HO$97,'Plan cashflow'!$C$8:$C$97,1)</f>
        <v>0</v>
      </c>
      <c r="J63" s="1" t="n">
        <f aca="false">SUMIFS('Plan cashflow'!$AQ$8:$AQ$97,'Plan cashflow'!$C$8:$C$97,1)</f>
        <v>0</v>
      </c>
      <c r="K63" s="1" t="n">
        <f aca="false">ROUND(G63/12,0)</f>
        <v>0</v>
      </c>
      <c r="L63" s="1" t="n">
        <f aca="false">ROUND(H63/12,0)</f>
        <v>0</v>
      </c>
      <c r="M63" s="1" t="n">
        <f aca="false">IF(J63&gt;0,ROUND(I63/J63/12,0),0)</f>
        <v>0</v>
      </c>
    </row>
    <row r="64" customFormat="false" ht="15" hidden="false" customHeight="false" outlineLevel="0" collapsed="false">
      <c r="B64" s="1" t="n">
        <v>4</v>
      </c>
      <c r="C64" s="1" t="n">
        <f aca="false">IF(Slot4_On=1,INDEX('Plan cashflow'!$BE$8:$BE$97,Slot4_Age-F_Age+1),0)</f>
        <v>0</v>
      </c>
      <c r="D64" s="1" t="n">
        <f aca="false">Slot4_Cost</f>
        <v>0</v>
      </c>
      <c r="E64" s="1" t="str">
        <f aca="false">IF(Slot4_On=1,IF(D64&gt;0,IF(C64&gt;=D64-1,100,MIN(99,MAX(0,INT(C64/D64*100)))),100),"")</f>
        <v/>
      </c>
      <c r="F64" s="1" t="n">
        <f aca="false">IF(AND(Slot4_On=1,E64&lt;95),1,0)</f>
        <v>0</v>
      </c>
      <c r="G64" s="1" t="n">
        <f aca="false">INDEX('Plan cashflow'!$HU$8:$HU$97,1)</f>
        <v>0</v>
      </c>
      <c r="H64" s="1" t="n">
        <f aca="false">INDEX('Plan cashflow'!$HT$8:$HT$97,1)</f>
        <v>0</v>
      </c>
      <c r="I64" s="1" t="n">
        <f aca="false">SUMIFS('Plan cashflow'!$HS$8:$HS$97,'Plan cashflow'!$C$8:$C$97,1)</f>
        <v>0</v>
      </c>
      <c r="J64" s="1" t="n">
        <f aca="false">SUMIFS('Plan cashflow'!$BA$8:$BA$97,'Plan cashflow'!$C$8:$C$97,1)</f>
        <v>0</v>
      </c>
      <c r="K64" s="1" t="n">
        <f aca="false">ROUND(G64/12,0)</f>
        <v>0</v>
      </c>
      <c r="L64" s="1" t="n">
        <f aca="false">ROUND(H64/12,0)</f>
        <v>0</v>
      </c>
      <c r="M64" s="1" t="n">
        <f aca="false">IF(J64&gt;0,ROUND(I64/J64/12,0),0)</f>
        <v>0</v>
      </c>
    </row>
    <row r="65" customFormat="false" ht="15" hidden="false" customHeight="false" outlineLevel="0" collapsed="false">
      <c r="B65" s="1" t="n">
        <v>5</v>
      </c>
      <c r="C65" s="1" t="n">
        <f aca="false">IF(Slot5_On=1,INDEX('Plan cashflow'!$BO$8:$BO$97,Slot5_Age-F_Age+1),0)</f>
        <v>0</v>
      </c>
      <c r="D65" s="1" t="n">
        <f aca="false">Slot5_Cost</f>
        <v>0</v>
      </c>
      <c r="E65" s="1" t="str">
        <f aca="false">IF(Slot5_On=1,IF(D65&gt;0,IF(C65&gt;=D65-1,100,MIN(99,MAX(0,INT(C65/D65*100)))),100),"")</f>
        <v/>
      </c>
      <c r="F65" s="1" t="n">
        <f aca="false">IF(AND(Slot5_On=1,E65&lt;95),1,0)</f>
        <v>0</v>
      </c>
      <c r="G65" s="1" t="n">
        <f aca="false">INDEX('Plan cashflow'!$HY$8:$HY$97,1)</f>
        <v>0</v>
      </c>
      <c r="H65" s="1" t="n">
        <f aca="false">INDEX('Plan cashflow'!$HX$8:$HX$97,1)</f>
        <v>0</v>
      </c>
      <c r="I65" s="1" t="n">
        <f aca="false">SUMIFS('Plan cashflow'!$HW$8:$HW$97,'Plan cashflow'!$C$8:$C$97,1)</f>
        <v>0</v>
      </c>
      <c r="J65" s="1" t="n">
        <f aca="false">SUMIFS('Plan cashflow'!$BK$8:$BK$97,'Plan cashflow'!$C$8:$C$97,1)</f>
        <v>0</v>
      </c>
      <c r="K65" s="1" t="n">
        <f aca="false">ROUND(G65/12,0)</f>
        <v>0</v>
      </c>
      <c r="L65" s="1" t="n">
        <f aca="false">ROUND(H65/12,0)</f>
        <v>0</v>
      </c>
      <c r="M65" s="1" t="n">
        <f aca="false">IF(J65&gt;0,ROUND(I65/J65/12,0),0)</f>
        <v>0</v>
      </c>
    </row>
    <row r="66" customFormat="false" ht="15" hidden="false" customHeight="false" outlineLevel="0" collapsed="false">
      <c r="B66" s="1" t="n">
        <v>6</v>
      </c>
      <c r="C66" s="1" t="n">
        <f aca="false">IF(Slot6_On=1,INDEX('Plan cashflow'!$BY$8:$BY$97,Slot6_Age-F_Age+1),0)</f>
        <v>0</v>
      </c>
      <c r="D66" s="1" t="n">
        <f aca="false">Slot6_Cost</f>
        <v>0</v>
      </c>
      <c r="E66" s="1" t="str">
        <f aca="false">IF(Slot6_On=1,IF(D66&gt;0,IF(C66&gt;=D66-1,100,MIN(99,MAX(0,INT(C66/D66*100)))),100),"")</f>
        <v/>
      </c>
      <c r="F66" s="1" t="n">
        <f aca="false">IF(AND(Slot6_On=1,E66&lt;95),1,0)</f>
        <v>0</v>
      </c>
      <c r="G66" s="1" t="n">
        <f aca="false">INDEX('Plan cashflow'!$IC$8:$IC$97,1)</f>
        <v>0</v>
      </c>
      <c r="H66" s="1" t="n">
        <f aca="false">INDEX('Plan cashflow'!$IB$8:$IB$97,1)</f>
        <v>0</v>
      </c>
      <c r="I66" s="1" t="n">
        <f aca="false">SUMIFS('Plan cashflow'!$IA$8:$IA$97,'Plan cashflow'!$C$8:$C$97,1)</f>
        <v>0</v>
      </c>
      <c r="J66" s="1" t="n">
        <f aca="false">SUMIFS('Plan cashflow'!$BU$8:$BU$97,'Plan cashflow'!$C$8:$C$97,1)</f>
        <v>0</v>
      </c>
      <c r="K66" s="1" t="n">
        <f aca="false">ROUND(G66/12,0)</f>
        <v>0</v>
      </c>
      <c r="L66" s="1" t="n">
        <f aca="false">ROUND(H66/12,0)</f>
        <v>0</v>
      </c>
      <c r="M66" s="1" t="n">
        <f aca="false">IF(J66&gt;0,ROUND(I66/J66/12,0),0)</f>
        <v>0</v>
      </c>
    </row>
    <row r="67" customFormat="false" ht="15" hidden="false" customHeight="false" outlineLevel="0" collapsed="false">
      <c r="B67" s="1" t="n">
        <v>7</v>
      </c>
      <c r="C67" s="1" t="n">
        <f aca="false">IF(Slot7_On=1,INDEX('Plan cashflow'!$CI$8:$CI$97,Slot7_Age-F_Age+1),0)</f>
        <v>0</v>
      </c>
      <c r="D67" s="1" t="n">
        <f aca="false">Slot7_Cost</f>
        <v>0</v>
      </c>
      <c r="E67" s="1" t="str">
        <f aca="false">IF(Slot7_On=1,IF(D67&gt;0,IF(C67&gt;=D67-1,100,MIN(99,MAX(0,INT(C67/D67*100)))),100),"")</f>
        <v/>
      </c>
      <c r="F67" s="1" t="n">
        <f aca="false">IF(AND(Slot7_On=1,E67&lt;95),1,0)</f>
        <v>0</v>
      </c>
      <c r="G67" s="1" t="n">
        <f aca="false">INDEX('Plan cashflow'!$IG$8:$IG$97,1)</f>
        <v>0</v>
      </c>
      <c r="H67" s="1" t="n">
        <f aca="false">INDEX('Plan cashflow'!$IF$8:$IF$97,1)</f>
        <v>0</v>
      </c>
      <c r="I67" s="1" t="n">
        <f aca="false">SUMIFS('Plan cashflow'!$IE$8:$IE$97,'Plan cashflow'!$C$8:$C$97,1)</f>
        <v>0</v>
      </c>
      <c r="J67" s="1" t="n">
        <f aca="false">SUMIFS('Plan cashflow'!$CE$8:$CE$97,'Plan cashflow'!$C$8:$C$97,1)</f>
        <v>0</v>
      </c>
      <c r="K67" s="1" t="n">
        <f aca="false">ROUND(G67/12,0)</f>
        <v>0</v>
      </c>
      <c r="L67" s="1" t="n">
        <f aca="false">ROUND(H67/12,0)</f>
        <v>0</v>
      </c>
      <c r="M67" s="1" t="n">
        <f aca="false">IF(J67&gt;0,ROUND(I67/J67/12,0),0)</f>
        <v>0</v>
      </c>
    </row>
    <row r="68" customFormat="false" ht="15" hidden="false" customHeight="false" outlineLevel="0" collapsed="false">
      <c r="B68" s="1" t="n">
        <v>8</v>
      </c>
      <c r="C68" s="1" t="n">
        <f aca="false">IF(Slot8_On=1,INDEX('Plan cashflow'!$CS$8:$CS$97,Slot8_Age-F_Age+1),0)</f>
        <v>0</v>
      </c>
      <c r="D68" s="1" t="n">
        <f aca="false">Slot8_Cost</f>
        <v>0</v>
      </c>
      <c r="E68" s="1" t="str">
        <f aca="false">IF(Slot8_On=1,IF(D68&gt;0,IF(C68&gt;=D68-1,100,MIN(99,MAX(0,INT(C68/D68*100)))),100),"")</f>
        <v/>
      </c>
      <c r="F68" s="1" t="n">
        <f aca="false">IF(AND(Slot8_On=1,E68&lt;95),1,0)</f>
        <v>0</v>
      </c>
      <c r="G68" s="1" t="n">
        <f aca="false">INDEX('Plan cashflow'!$IK$8:$IK$97,1)</f>
        <v>0</v>
      </c>
      <c r="H68" s="1" t="n">
        <f aca="false">INDEX('Plan cashflow'!$IJ$8:$IJ$97,1)</f>
        <v>0</v>
      </c>
      <c r="I68" s="1" t="n">
        <f aca="false">SUMIFS('Plan cashflow'!$II$8:$II$97,'Plan cashflow'!$C$8:$C$97,1)</f>
        <v>0</v>
      </c>
      <c r="J68" s="1" t="n">
        <f aca="false">SUMIFS('Plan cashflow'!$CO$8:$CO$97,'Plan cashflow'!$C$8:$C$97,1)</f>
        <v>0</v>
      </c>
      <c r="K68" s="1" t="n">
        <f aca="false">ROUND(G68/12,0)</f>
        <v>0</v>
      </c>
      <c r="L68" s="1" t="n">
        <f aca="false">ROUND(H68/12,0)</f>
        <v>0</v>
      </c>
      <c r="M68" s="1" t="n">
        <f aca="false">IF(J68&gt;0,ROUND(I68/J68/12,0),0)</f>
        <v>0</v>
      </c>
    </row>
    <row r="70" customFormat="false" ht="15" hidden="false" customHeight="false" outlineLevel="0" collapsed="false">
      <c r="B70" s="108" t="s">
        <v>2217</v>
      </c>
    </row>
    <row r="71" customFormat="false" ht="90" hidden="false" customHeight="true" outlineLevel="0" collapsed="false">
      <c r="B71" s="96" t="s">
        <v>288</v>
      </c>
      <c r="C71" s="96" t="s">
        <v>2163</v>
      </c>
      <c r="D71" s="96" t="s">
        <v>2122</v>
      </c>
      <c r="E71" s="96" t="s">
        <v>2218</v>
      </c>
      <c r="F71" s="96" t="s">
        <v>2219</v>
      </c>
      <c r="G71" s="96" t="s">
        <v>2208</v>
      </c>
      <c r="H71" s="96" t="s">
        <v>2220</v>
      </c>
      <c r="I71" s="96" t="s">
        <v>2172</v>
      </c>
      <c r="J71" s="96" t="s">
        <v>2221</v>
      </c>
      <c r="K71" s="96" t="s">
        <v>2222</v>
      </c>
      <c r="L71" s="96" t="s">
        <v>2223</v>
      </c>
      <c r="M71" s="96" t="s">
        <v>2224</v>
      </c>
      <c r="N71" s="96" t="s">
        <v>2167</v>
      </c>
      <c r="O71" s="96" t="s">
        <v>2225</v>
      </c>
      <c r="P71" s="96" t="s">
        <v>2226</v>
      </c>
      <c r="Q71" s="96" t="s">
        <v>2162</v>
      </c>
      <c r="R71" s="96" t="s">
        <v>2227</v>
      </c>
      <c r="S71" s="96" t="s">
        <v>2123</v>
      </c>
      <c r="T71" s="96" t="s">
        <v>2228</v>
      </c>
      <c r="U71" s="96" t="s">
        <v>2229</v>
      </c>
      <c r="V71" s="96" t="s">
        <v>2230</v>
      </c>
    </row>
    <row r="72" customFormat="false" ht="15" hidden="false" customHeight="false" outlineLevel="0" collapsed="false">
      <c r="B72" s="1" t="n">
        <v>1</v>
      </c>
      <c r="C72" s="1" t="str">
        <f aca="false">IF($Q72="","",INDEX(GL_Name,1))</f>
        <v/>
      </c>
      <c r="D72" s="1" t="str">
        <f aca="false">INDEX(GL_Kind,1)</f>
        <v/>
      </c>
      <c r="E72" s="1" t="str">
        <f aca="false">IF($Q72="","",IF(OR($D72="spend",$D72="mfree",$D72="pot"),CHOOSE($I72,Slot1_Cost,Slot2_Cost,Slot3_Cost,Slot4_Cost,Slot5_Cost,Slot6_Cost,Slot7_Cost,Slot8_Cost),IF($D72="retire",SUMIFS('Plan cashflow'!$IP$8:$IP$97,'Plan cashflow'!$C$8:$C$97,1),IF($D72="legacy",INDEX(GL_Amount,1)*(1+AS_Infl)^F_N,0))))</f>
        <v/>
      </c>
      <c r="F72" s="1" t="str">
        <f aca="false">IF($Q72="","",IF(OR($D72="spend",$D72="mfree",$D72="pot"),CHOOSE($I72,Slot1_Paid,Slot2_Paid,Slot3_Paid,Slot4_Paid,Slot5_Paid,Slot6_Paid,Slot7_Paid,Slot8_Paid),IF($D72="retire",SUMIFS('Plan cashflow'!$IQ$8:$IQ$97,'Plan cashflow'!$C$8:$C$97,1),IF($D72="legacy",MIN(E72,INDEX('Plan cashflow'!$HD$8:$HD$97,F_N+1)+INDEX('Plan cashflow'!$HE$8:$HE$97,F_N+1)),0))))</f>
        <v/>
      </c>
      <c r="G72" s="1" t="str">
        <f aca="false">IF($Q72="","",IF($D72="retire",IF(SUM('Plan cashflow'!$JD$8:$JD$97)&gt;0,MIN(IF(E72&gt;0,IF(F72&gt;=E72-1,100,MIN(99,MAX(0,INT(F72/E72*100)))),100),94),IF(E72&gt;0,IF(F72&gt;=E72-1,100,MIN(99,MAX(0,INT(F72/E72*100)))),100)),IF(E72&gt;0,IF(F72&gt;=E72-1,100,MIN(99,MAX(0,INT(F72/E72*100)))),100)))</f>
        <v/>
      </c>
      <c r="H72" s="1" t="str">
        <f aca="false">IF(G72="","",IF(G72&gt;=PR_Good,"good",IF(G72&gt;=PR_Nudge,"nudge","alert")))</f>
        <v/>
      </c>
      <c r="I72" s="1" t="str">
        <f aca="false">IF(OR($D72="spend",$D72="mfree",$D72="pot"),INDEX(GL_Pos,1),"")</f>
        <v/>
      </c>
      <c r="J72" s="1" t="str">
        <f aca="false">IF(OR($D72="spend",$D72="mfree",$D72="pot"),CHOOSE($I72,Slot1_NeedM,Slot2_NeedM,Slot3_NeedM,Slot4_NeedM,Slot5_NeedM,Slot6_NeedM,Slot7_NeedM,Slot8_NeedM),"")</f>
        <v/>
      </c>
      <c r="K72" s="1" t="str">
        <f aca="false">IF(OR($D72="spend",$D72="mfree",$D72="pot"),CHOOSE($I72,Slot1_AvgM,Slot2_AvgM,Slot3_AvgM,Slot4_AvgM,Slot5_AvgM,Slot6_AvgM,Slot7_AvgM,Slot8_AvgM),"")</f>
        <v/>
      </c>
      <c r="L72" s="92"/>
      <c r="M72" s="1" t="str">
        <f aca="false">IF(NOT(OR($D72="spend",$D72="mfree",$D72="pot")),"",IF(AND($D72="mfree",In_home&lt;&gt;"",In_home&lt;&gt;"Own with mortgage"),"No mortgage in Your finances: remove this goal, or add your mortgage",IF(G72&gt;=100,"Fully funded"&amp;IF(K72&gt;0," · on average you'll put "&amp;"€"&amp;TEXT(ROUND(K72,0),"#,##0")&amp;" a month",""),IF(L72="","Type the extra the what-if search finds in column L to see this line",IF(IF(L72="none",TRUE(),K72+L72&gt;Save_SurplusM),"Needs about "&amp;"€"&amp;TEXT(ROUND(IF(L72="none",MAX(J72,K72+5),K72+L72),0),"#,##0")&amp;" a month, more than your spare money · on average you'll put "&amp;"€"&amp;TEXT(ROUND(K72,0),"#,##0")&amp;" a month","Needs about "&amp;"€"&amp;TEXT(ROUND(K72+L72,0),"#,##0")&amp;" a month · on average you'll put "&amp;"€"&amp;TEXT(ROUND(K72,0),"#,##0")&amp;" a month")))))</f>
        <v/>
      </c>
      <c r="N72" s="1" t="str">
        <f aca="false">IF($Q72="","",INDEX(GL_AgeT,1))</f>
        <v/>
      </c>
      <c r="O72" s="1" t="str">
        <f aca="false">IF(AND($Q72&lt;&gt;"",G72&gt;=95,Findings_Over=0),G72*1000000-N72*1000-1,"")</f>
        <v/>
      </c>
      <c r="P72" s="1" t="str">
        <f aca="false">IF($Q72="","",G72*1000000+N72*1000+1)</f>
        <v/>
      </c>
      <c r="Q72" s="1" t="str">
        <f aca="false">INDEX(GL_Key,1)</f>
        <v/>
      </c>
      <c r="R72" s="1" t="n">
        <f aca="false">IF(G72="",0,G72)</f>
        <v>0</v>
      </c>
      <c r="S72" s="1" t="str">
        <f aca="false">IF($Q72="","",IFERROR(INDEX(Goal_Specs,MATCH($Q72,Goal_Keys,0)),""))</f>
        <v/>
      </c>
      <c r="T72" s="1" t="n">
        <f aca="false">IF($Q72="",9999,G72)</f>
        <v>9999</v>
      </c>
      <c r="U72" s="1" t="str">
        <f aca="false">IF($Q72="","",IF($D72="legacy","at the end of your plan"&amp;IF(Has_a_planEnd=1," ("&amp;AS_End&amp;")",""),IF($D72="retire",IF(Has_retireAge=1,"at "&amp;INDEX(GL_AgeT,1),"at an age you haven't chosen yet"),"in "&amp;(INDEX(GL_AgeRaw,1)-F_Age)&amp;IF(INDEX(GL_AgeRaw,1)-F_Age=1," year"," years"))))</f>
        <v/>
      </c>
      <c r="V72" s="1" t="str">
        <f aca="false">IF(AND($Q72="safety",F_EssM&gt;0,INDEX(GL_Amount,1)&gt;0),ROUND(INDEX(GL_Amount,1)/F_EssM*10,0)/10,"")</f>
        <v/>
      </c>
    </row>
    <row r="73" customFormat="false" ht="15" hidden="false" customHeight="false" outlineLevel="0" collapsed="false">
      <c r="B73" s="1" t="n">
        <v>2</v>
      </c>
      <c r="C73" s="1" t="str">
        <f aca="false">IF($Q73="","",INDEX(GL_Name,2))</f>
        <v/>
      </c>
      <c r="D73" s="1" t="str">
        <f aca="false">INDEX(GL_Kind,2)</f>
        <v/>
      </c>
      <c r="E73" s="1" t="str">
        <f aca="false">IF($Q73="","",IF(OR($D73="spend",$D73="mfree",$D73="pot"),CHOOSE($I73,Slot1_Cost,Slot2_Cost,Slot3_Cost,Slot4_Cost,Slot5_Cost,Slot6_Cost,Slot7_Cost,Slot8_Cost),IF($D73="retire",SUMIFS('Plan cashflow'!$IP$8:$IP$97,'Plan cashflow'!$C$8:$C$97,1),IF($D73="legacy",INDEX(GL_Amount,2)*(1+AS_Infl)^F_N,0))))</f>
        <v/>
      </c>
      <c r="F73" s="1" t="str">
        <f aca="false">IF($Q73="","",IF(OR($D73="spend",$D73="mfree",$D73="pot"),CHOOSE($I73,Slot1_Paid,Slot2_Paid,Slot3_Paid,Slot4_Paid,Slot5_Paid,Slot6_Paid,Slot7_Paid,Slot8_Paid),IF($D73="retire",SUMIFS('Plan cashflow'!$IQ$8:$IQ$97,'Plan cashflow'!$C$8:$C$97,1),IF($D73="legacy",MIN(E73,INDEX('Plan cashflow'!$HD$8:$HD$97,F_N+1)+INDEX('Plan cashflow'!$HE$8:$HE$97,F_N+1)),0))))</f>
        <v/>
      </c>
      <c r="G73" s="1" t="str">
        <f aca="false">IF($Q73="","",IF($D73="retire",IF(SUM('Plan cashflow'!$JD$8:$JD$97)&gt;0,MIN(IF(E73&gt;0,IF(F73&gt;=E73-1,100,MIN(99,MAX(0,INT(F73/E73*100)))),100),94),IF(E73&gt;0,IF(F73&gt;=E73-1,100,MIN(99,MAX(0,INT(F73/E73*100)))),100)),IF(E73&gt;0,IF(F73&gt;=E73-1,100,MIN(99,MAX(0,INT(F73/E73*100)))),100)))</f>
        <v/>
      </c>
      <c r="H73" s="1" t="str">
        <f aca="false">IF(G73="","",IF(G73&gt;=PR_Good,"good",IF(G73&gt;=PR_Nudge,"nudge","alert")))</f>
        <v/>
      </c>
      <c r="I73" s="1" t="str">
        <f aca="false">IF(OR($D73="spend",$D73="mfree",$D73="pot"),INDEX(GL_Pos,2),"")</f>
        <v/>
      </c>
      <c r="J73" s="1" t="str">
        <f aca="false">IF(OR($D73="spend",$D73="mfree",$D73="pot"),CHOOSE($I73,Slot1_NeedM,Slot2_NeedM,Slot3_NeedM,Slot4_NeedM,Slot5_NeedM,Slot6_NeedM,Slot7_NeedM,Slot8_NeedM),"")</f>
        <v/>
      </c>
      <c r="K73" s="1" t="str">
        <f aca="false">IF(OR($D73="spend",$D73="mfree",$D73="pot"),CHOOSE($I73,Slot1_AvgM,Slot2_AvgM,Slot3_AvgM,Slot4_AvgM,Slot5_AvgM,Slot6_AvgM,Slot7_AvgM,Slot8_AvgM),"")</f>
        <v/>
      </c>
      <c r="L73" s="92"/>
      <c r="M73" s="1" t="str">
        <f aca="false">IF(NOT(OR($D73="spend",$D73="mfree",$D73="pot")),"",IF(AND($D73="mfree",In_home&lt;&gt;"",In_home&lt;&gt;"Own with mortgage"),"No mortgage in Your finances: remove this goal, or add your mortgage",IF(G73&gt;=100,"Fully funded"&amp;IF(K73&gt;0," · on average you'll put "&amp;"€"&amp;TEXT(ROUND(K73,0),"#,##0")&amp;" a month",""),IF(L73="","Type the extra the what-if search finds in column L to see this line",IF(IF(L73="none",TRUE(),K73+L73&gt;Save_SurplusM),"Needs about "&amp;"€"&amp;TEXT(ROUND(IF(L73="none",MAX(J73,K73+5),K73+L73),0),"#,##0")&amp;" a month, more than your spare money · on average you'll put "&amp;"€"&amp;TEXT(ROUND(K73,0),"#,##0")&amp;" a month","Needs about "&amp;"€"&amp;TEXT(ROUND(K73+L73,0),"#,##0")&amp;" a month · on average you'll put "&amp;"€"&amp;TEXT(ROUND(K73,0),"#,##0")&amp;" a month")))))</f>
        <v/>
      </c>
      <c r="N73" s="1" t="str">
        <f aca="false">IF($Q73="","",INDEX(GL_AgeT,2))</f>
        <v/>
      </c>
      <c r="O73" s="1" t="str">
        <f aca="false">IF(AND($Q73&lt;&gt;"",G73&gt;=95,Findings_Over=0),G73*1000000-N73*1000-2,"")</f>
        <v/>
      </c>
      <c r="P73" s="1" t="str">
        <f aca="false">IF($Q73="","",G73*1000000+N73*1000+2)</f>
        <v/>
      </c>
      <c r="Q73" s="1" t="str">
        <f aca="false">INDEX(GL_Key,2)</f>
        <v/>
      </c>
      <c r="R73" s="1" t="n">
        <f aca="false">IF(G73="",0,G73)</f>
        <v>0</v>
      </c>
      <c r="S73" s="1" t="str">
        <f aca="false">IF($Q73="","",IFERROR(INDEX(Goal_Specs,MATCH($Q73,Goal_Keys,0)),""))</f>
        <v/>
      </c>
      <c r="T73" s="1" t="n">
        <f aca="false">IF($Q73="",9999,G73)</f>
        <v>9999</v>
      </c>
      <c r="U73" s="1" t="str">
        <f aca="false">IF($Q73="","",IF($D73="legacy","at the end of your plan"&amp;IF(Has_a_planEnd=1," ("&amp;AS_End&amp;")",""),IF($D73="retire",IF(Has_retireAge=1,"at "&amp;INDEX(GL_AgeT,2),"at an age you haven't chosen yet"),"in "&amp;(INDEX(GL_AgeRaw,2)-F_Age)&amp;IF(INDEX(GL_AgeRaw,2)-F_Age=1," year"," years"))))</f>
        <v/>
      </c>
      <c r="V73" s="1" t="str">
        <f aca="false">IF(AND($Q73="safety",F_EssM&gt;0,INDEX(GL_Amount,2)&gt;0),ROUND(INDEX(GL_Amount,2)/F_EssM*10,0)/10,"")</f>
        <v/>
      </c>
    </row>
    <row r="74" customFormat="false" ht="15" hidden="false" customHeight="false" outlineLevel="0" collapsed="false">
      <c r="B74" s="1" t="n">
        <v>3</v>
      </c>
      <c r="C74" s="1" t="str">
        <f aca="false">IF($Q74="","",INDEX(GL_Name,3))</f>
        <v/>
      </c>
      <c r="D74" s="1" t="str">
        <f aca="false">INDEX(GL_Kind,3)</f>
        <v/>
      </c>
      <c r="E74" s="1" t="str">
        <f aca="false">IF($Q74="","",IF(OR($D74="spend",$D74="mfree",$D74="pot"),CHOOSE($I74,Slot1_Cost,Slot2_Cost,Slot3_Cost,Slot4_Cost,Slot5_Cost,Slot6_Cost,Slot7_Cost,Slot8_Cost),IF($D74="retire",SUMIFS('Plan cashflow'!$IP$8:$IP$97,'Plan cashflow'!$C$8:$C$97,1),IF($D74="legacy",INDEX(GL_Amount,3)*(1+AS_Infl)^F_N,0))))</f>
        <v/>
      </c>
      <c r="F74" s="1" t="str">
        <f aca="false">IF($Q74="","",IF(OR($D74="spend",$D74="mfree",$D74="pot"),CHOOSE($I74,Slot1_Paid,Slot2_Paid,Slot3_Paid,Slot4_Paid,Slot5_Paid,Slot6_Paid,Slot7_Paid,Slot8_Paid),IF($D74="retire",SUMIFS('Plan cashflow'!$IQ$8:$IQ$97,'Plan cashflow'!$C$8:$C$97,1),IF($D74="legacy",MIN(E74,INDEX('Plan cashflow'!$HD$8:$HD$97,F_N+1)+INDEX('Plan cashflow'!$HE$8:$HE$97,F_N+1)),0))))</f>
        <v/>
      </c>
      <c r="G74" s="1" t="str">
        <f aca="false">IF($Q74="","",IF($D74="retire",IF(SUM('Plan cashflow'!$JD$8:$JD$97)&gt;0,MIN(IF(E74&gt;0,IF(F74&gt;=E74-1,100,MIN(99,MAX(0,INT(F74/E74*100)))),100),94),IF(E74&gt;0,IF(F74&gt;=E74-1,100,MIN(99,MAX(0,INT(F74/E74*100)))),100)),IF(E74&gt;0,IF(F74&gt;=E74-1,100,MIN(99,MAX(0,INT(F74/E74*100)))),100)))</f>
        <v/>
      </c>
      <c r="H74" s="1" t="str">
        <f aca="false">IF(G74="","",IF(G74&gt;=PR_Good,"good",IF(G74&gt;=PR_Nudge,"nudge","alert")))</f>
        <v/>
      </c>
      <c r="I74" s="1" t="str">
        <f aca="false">IF(OR($D74="spend",$D74="mfree",$D74="pot"),INDEX(GL_Pos,3),"")</f>
        <v/>
      </c>
      <c r="J74" s="1" t="str">
        <f aca="false">IF(OR($D74="spend",$D74="mfree",$D74="pot"),CHOOSE($I74,Slot1_NeedM,Slot2_NeedM,Slot3_NeedM,Slot4_NeedM,Slot5_NeedM,Slot6_NeedM,Slot7_NeedM,Slot8_NeedM),"")</f>
        <v/>
      </c>
      <c r="K74" s="1" t="str">
        <f aca="false">IF(OR($D74="spend",$D74="mfree",$D74="pot"),CHOOSE($I74,Slot1_AvgM,Slot2_AvgM,Slot3_AvgM,Slot4_AvgM,Slot5_AvgM,Slot6_AvgM,Slot7_AvgM,Slot8_AvgM),"")</f>
        <v/>
      </c>
      <c r="L74" s="92"/>
      <c r="M74" s="1" t="str">
        <f aca="false">IF(NOT(OR($D74="spend",$D74="mfree",$D74="pot")),"",IF(AND($D74="mfree",In_home&lt;&gt;"",In_home&lt;&gt;"Own with mortgage"),"No mortgage in Your finances: remove this goal, or add your mortgage",IF(G74&gt;=100,"Fully funded"&amp;IF(K74&gt;0," · on average you'll put "&amp;"€"&amp;TEXT(ROUND(K74,0),"#,##0")&amp;" a month",""),IF(L74="","Type the extra the what-if search finds in column L to see this line",IF(IF(L74="none",TRUE(),K74+L74&gt;Save_SurplusM),"Needs about "&amp;"€"&amp;TEXT(ROUND(IF(L74="none",MAX(J74,K74+5),K74+L74),0),"#,##0")&amp;" a month, more than your spare money · on average you'll put "&amp;"€"&amp;TEXT(ROUND(K74,0),"#,##0")&amp;" a month","Needs about "&amp;"€"&amp;TEXT(ROUND(K74+L74,0),"#,##0")&amp;" a month · on average you'll put "&amp;"€"&amp;TEXT(ROUND(K74,0),"#,##0")&amp;" a month")))))</f>
        <v/>
      </c>
      <c r="N74" s="1" t="str">
        <f aca="false">IF($Q74="","",INDEX(GL_AgeT,3))</f>
        <v/>
      </c>
      <c r="O74" s="1" t="str">
        <f aca="false">IF(AND($Q74&lt;&gt;"",G74&gt;=95,Findings_Over=0),G74*1000000-N74*1000-3,"")</f>
        <v/>
      </c>
      <c r="P74" s="1" t="str">
        <f aca="false">IF($Q74="","",G74*1000000+N74*1000+3)</f>
        <v/>
      </c>
      <c r="Q74" s="1" t="str">
        <f aca="false">INDEX(GL_Key,3)</f>
        <v/>
      </c>
      <c r="R74" s="1" t="n">
        <f aca="false">IF(G74="",0,G74)</f>
        <v>0</v>
      </c>
      <c r="S74" s="1" t="str">
        <f aca="false">IF($Q74="","",IFERROR(INDEX(Goal_Specs,MATCH($Q74,Goal_Keys,0)),""))</f>
        <v/>
      </c>
      <c r="T74" s="1" t="n">
        <f aca="false">IF($Q74="",9999,G74)</f>
        <v>9999</v>
      </c>
      <c r="U74" s="1" t="str">
        <f aca="false">IF($Q74="","",IF($D74="legacy","at the end of your plan"&amp;IF(Has_a_planEnd=1," ("&amp;AS_End&amp;")",""),IF($D74="retire",IF(Has_retireAge=1,"at "&amp;INDEX(GL_AgeT,3),"at an age you haven't chosen yet"),"in "&amp;(INDEX(GL_AgeRaw,3)-F_Age)&amp;IF(INDEX(GL_AgeRaw,3)-F_Age=1," year"," years"))))</f>
        <v/>
      </c>
      <c r="V74" s="1" t="str">
        <f aca="false">IF(AND($Q74="safety",F_EssM&gt;0,INDEX(GL_Amount,3)&gt;0),ROUND(INDEX(GL_Amount,3)/F_EssM*10,0)/10,"")</f>
        <v/>
      </c>
    </row>
    <row r="75" customFormat="false" ht="15" hidden="false" customHeight="false" outlineLevel="0" collapsed="false">
      <c r="B75" s="1" t="n">
        <v>4</v>
      </c>
      <c r="C75" s="1" t="str">
        <f aca="false">IF($Q75="","",INDEX(GL_Name,4))</f>
        <v/>
      </c>
      <c r="D75" s="1" t="str">
        <f aca="false">INDEX(GL_Kind,4)</f>
        <v/>
      </c>
      <c r="E75" s="1" t="str">
        <f aca="false">IF($Q75="","",IF(OR($D75="spend",$D75="mfree",$D75="pot"),CHOOSE($I75,Slot1_Cost,Slot2_Cost,Slot3_Cost,Slot4_Cost,Slot5_Cost,Slot6_Cost,Slot7_Cost,Slot8_Cost),IF($D75="retire",SUMIFS('Plan cashflow'!$IP$8:$IP$97,'Plan cashflow'!$C$8:$C$97,1),IF($D75="legacy",INDEX(GL_Amount,4)*(1+AS_Infl)^F_N,0))))</f>
        <v/>
      </c>
      <c r="F75" s="1" t="str">
        <f aca="false">IF($Q75="","",IF(OR($D75="spend",$D75="mfree",$D75="pot"),CHOOSE($I75,Slot1_Paid,Slot2_Paid,Slot3_Paid,Slot4_Paid,Slot5_Paid,Slot6_Paid,Slot7_Paid,Slot8_Paid),IF($D75="retire",SUMIFS('Plan cashflow'!$IQ$8:$IQ$97,'Plan cashflow'!$C$8:$C$97,1),IF($D75="legacy",MIN(E75,INDEX('Plan cashflow'!$HD$8:$HD$97,F_N+1)+INDEX('Plan cashflow'!$HE$8:$HE$97,F_N+1)),0))))</f>
        <v/>
      </c>
      <c r="G75" s="1" t="str">
        <f aca="false">IF($Q75="","",IF($D75="retire",IF(SUM('Plan cashflow'!$JD$8:$JD$97)&gt;0,MIN(IF(E75&gt;0,IF(F75&gt;=E75-1,100,MIN(99,MAX(0,INT(F75/E75*100)))),100),94),IF(E75&gt;0,IF(F75&gt;=E75-1,100,MIN(99,MAX(0,INT(F75/E75*100)))),100)),IF(E75&gt;0,IF(F75&gt;=E75-1,100,MIN(99,MAX(0,INT(F75/E75*100)))),100)))</f>
        <v/>
      </c>
      <c r="H75" s="1" t="str">
        <f aca="false">IF(G75="","",IF(G75&gt;=PR_Good,"good",IF(G75&gt;=PR_Nudge,"nudge","alert")))</f>
        <v/>
      </c>
      <c r="I75" s="1" t="str">
        <f aca="false">IF(OR($D75="spend",$D75="mfree",$D75="pot"),INDEX(GL_Pos,4),"")</f>
        <v/>
      </c>
      <c r="J75" s="1" t="str">
        <f aca="false">IF(OR($D75="spend",$D75="mfree",$D75="pot"),CHOOSE($I75,Slot1_NeedM,Slot2_NeedM,Slot3_NeedM,Slot4_NeedM,Slot5_NeedM,Slot6_NeedM,Slot7_NeedM,Slot8_NeedM),"")</f>
        <v/>
      </c>
      <c r="K75" s="1" t="str">
        <f aca="false">IF(OR($D75="spend",$D75="mfree",$D75="pot"),CHOOSE($I75,Slot1_AvgM,Slot2_AvgM,Slot3_AvgM,Slot4_AvgM,Slot5_AvgM,Slot6_AvgM,Slot7_AvgM,Slot8_AvgM),"")</f>
        <v/>
      </c>
      <c r="L75" s="92"/>
      <c r="M75" s="1" t="str">
        <f aca="false">IF(NOT(OR($D75="spend",$D75="mfree",$D75="pot")),"",IF(AND($D75="mfree",In_home&lt;&gt;"",In_home&lt;&gt;"Own with mortgage"),"No mortgage in Your finances: remove this goal, or add your mortgage",IF(G75&gt;=100,"Fully funded"&amp;IF(K75&gt;0," · on average you'll put "&amp;"€"&amp;TEXT(ROUND(K75,0),"#,##0")&amp;" a month",""),IF(L75="","Type the extra the what-if search finds in column L to see this line",IF(IF(L75="none",TRUE(),K75+L75&gt;Save_SurplusM),"Needs about "&amp;"€"&amp;TEXT(ROUND(IF(L75="none",MAX(J75,K75+5),K75+L75),0),"#,##0")&amp;" a month, more than your spare money · on average you'll put "&amp;"€"&amp;TEXT(ROUND(K75,0),"#,##0")&amp;" a month","Needs about "&amp;"€"&amp;TEXT(ROUND(K75+L75,0),"#,##0")&amp;" a month · on average you'll put "&amp;"€"&amp;TEXT(ROUND(K75,0),"#,##0")&amp;" a month")))))</f>
        <v/>
      </c>
      <c r="N75" s="1" t="str">
        <f aca="false">IF($Q75="","",INDEX(GL_AgeT,4))</f>
        <v/>
      </c>
      <c r="O75" s="1" t="str">
        <f aca="false">IF(AND($Q75&lt;&gt;"",G75&gt;=95,Findings_Over=0),G75*1000000-N75*1000-4,"")</f>
        <v/>
      </c>
      <c r="P75" s="1" t="str">
        <f aca="false">IF($Q75="","",G75*1000000+N75*1000+4)</f>
        <v/>
      </c>
      <c r="Q75" s="1" t="str">
        <f aca="false">INDEX(GL_Key,4)</f>
        <v/>
      </c>
      <c r="R75" s="1" t="n">
        <f aca="false">IF(G75="",0,G75)</f>
        <v>0</v>
      </c>
      <c r="S75" s="1" t="str">
        <f aca="false">IF($Q75="","",IFERROR(INDEX(Goal_Specs,MATCH($Q75,Goal_Keys,0)),""))</f>
        <v/>
      </c>
      <c r="T75" s="1" t="n">
        <f aca="false">IF($Q75="",9999,G75)</f>
        <v>9999</v>
      </c>
      <c r="U75" s="1" t="str">
        <f aca="false">IF($Q75="","",IF($D75="legacy","at the end of your plan"&amp;IF(Has_a_planEnd=1," ("&amp;AS_End&amp;")",""),IF($D75="retire",IF(Has_retireAge=1,"at "&amp;INDEX(GL_AgeT,4),"at an age you haven't chosen yet"),"in "&amp;(INDEX(GL_AgeRaw,4)-F_Age)&amp;IF(INDEX(GL_AgeRaw,4)-F_Age=1," year"," years"))))</f>
        <v/>
      </c>
      <c r="V75" s="1" t="str">
        <f aca="false">IF(AND($Q75="safety",F_EssM&gt;0,INDEX(GL_Amount,4)&gt;0),ROUND(INDEX(GL_Amount,4)/F_EssM*10,0)/10,"")</f>
        <v/>
      </c>
    </row>
    <row r="76" customFormat="false" ht="15" hidden="false" customHeight="false" outlineLevel="0" collapsed="false">
      <c r="B76" s="1" t="n">
        <v>5</v>
      </c>
      <c r="C76" s="1" t="str">
        <f aca="false">IF($Q76="","",INDEX(GL_Name,5))</f>
        <v/>
      </c>
      <c r="D76" s="1" t="str">
        <f aca="false">INDEX(GL_Kind,5)</f>
        <v/>
      </c>
      <c r="E76" s="1" t="str">
        <f aca="false">IF($Q76="","",IF(OR($D76="spend",$D76="mfree",$D76="pot"),CHOOSE($I76,Slot1_Cost,Slot2_Cost,Slot3_Cost,Slot4_Cost,Slot5_Cost,Slot6_Cost,Slot7_Cost,Slot8_Cost),IF($D76="retire",SUMIFS('Plan cashflow'!$IP$8:$IP$97,'Plan cashflow'!$C$8:$C$97,1),IF($D76="legacy",INDEX(GL_Amount,5)*(1+AS_Infl)^F_N,0))))</f>
        <v/>
      </c>
      <c r="F76" s="1" t="str">
        <f aca="false">IF($Q76="","",IF(OR($D76="spend",$D76="mfree",$D76="pot"),CHOOSE($I76,Slot1_Paid,Slot2_Paid,Slot3_Paid,Slot4_Paid,Slot5_Paid,Slot6_Paid,Slot7_Paid,Slot8_Paid),IF($D76="retire",SUMIFS('Plan cashflow'!$IQ$8:$IQ$97,'Plan cashflow'!$C$8:$C$97,1),IF($D76="legacy",MIN(E76,INDEX('Plan cashflow'!$HD$8:$HD$97,F_N+1)+INDEX('Plan cashflow'!$HE$8:$HE$97,F_N+1)),0))))</f>
        <v/>
      </c>
      <c r="G76" s="1" t="str">
        <f aca="false">IF($Q76="","",IF($D76="retire",IF(SUM('Plan cashflow'!$JD$8:$JD$97)&gt;0,MIN(IF(E76&gt;0,IF(F76&gt;=E76-1,100,MIN(99,MAX(0,INT(F76/E76*100)))),100),94),IF(E76&gt;0,IF(F76&gt;=E76-1,100,MIN(99,MAX(0,INT(F76/E76*100)))),100)),IF(E76&gt;0,IF(F76&gt;=E76-1,100,MIN(99,MAX(0,INT(F76/E76*100)))),100)))</f>
        <v/>
      </c>
      <c r="H76" s="1" t="str">
        <f aca="false">IF(G76="","",IF(G76&gt;=PR_Good,"good",IF(G76&gt;=PR_Nudge,"nudge","alert")))</f>
        <v/>
      </c>
      <c r="I76" s="1" t="str">
        <f aca="false">IF(OR($D76="spend",$D76="mfree",$D76="pot"),INDEX(GL_Pos,5),"")</f>
        <v/>
      </c>
      <c r="J76" s="1" t="str">
        <f aca="false">IF(OR($D76="spend",$D76="mfree",$D76="pot"),CHOOSE($I76,Slot1_NeedM,Slot2_NeedM,Slot3_NeedM,Slot4_NeedM,Slot5_NeedM,Slot6_NeedM,Slot7_NeedM,Slot8_NeedM),"")</f>
        <v/>
      </c>
      <c r="K76" s="1" t="str">
        <f aca="false">IF(OR($D76="spend",$D76="mfree",$D76="pot"),CHOOSE($I76,Slot1_AvgM,Slot2_AvgM,Slot3_AvgM,Slot4_AvgM,Slot5_AvgM,Slot6_AvgM,Slot7_AvgM,Slot8_AvgM),"")</f>
        <v/>
      </c>
      <c r="L76" s="92"/>
      <c r="M76" s="1" t="str">
        <f aca="false">IF(NOT(OR($D76="spend",$D76="mfree",$D76="pot")),"",IF(AND($D76="mfree",In_home&lt;&gt;"",In_home&lt;&gt;"Own with mortgage"),"No mortgage in Your finances: remove this goal, or add your mortgage",IF(G76&gt;=100,"Fully funded"&amp;IF(K76&gt;0," · on average you'll put "&amp;"€"&amp;TEXT(ROUND(K76,0),"#,##0")&amp;" a month",""),IF(L76="","Type the extra the what-if search finds in column L to see this line",IF(IF(L76="none",TRUE(),K76+L76&gt;Save_SurplusM),"Needs about "&amp;"€"&amp;TEXT(ROUND(IF(L76="none",MAX(J76,K76+5),K76+L76),0),"#,##0")&amp;" a month, more than your spare money · on average you'll put "&amp;"€"&amp;TEXT(ROUND(K76,0),"#,##0")&amp;" a month","Needs about "&amp;"€"&amp;TEXT(ROUND(K76+L76,0),"#,##0")&amp;" a month · on average you'll put "&amp;"€"&amp;TEXT(ROUND(K76,0),"#,##0")&amp;" a month")))))</f>
        <v/>
      </c>
      <c r="N76" s="1" t="str">
        <f aca="false">IF($Q76="","",INDEX(GL_AgeT,5))</f>
        <v/>
      </c>
      <c r="O76" s="1" t="str">
        <f aca="false">IF(AND($Q76&lt;&gt;"",G76&gt;=95,Findings_Over=0),G76*1000000-N76*1000-5,"")</f>
        <v/>
      </c>
      <c r="P76" s="1" t="str">
        <f aca="false">IF($Q76="","",G76*1000000+N76*1000+5)</f>
        <v/>
      </c>
      <c r="Q76" s="1" t="str">
        <f aca="false">INDEX(GL_Key,5)</f>
        <v/>
      </c>
      <c r="R76" s="1" t="n">
        <f aca="false">IF(G76="",0,G76)</f>
        <v>0</v>
      </c>
      <c r="S76" s="1" t="str">
        <f aca="false">IF($Q76="","",IFERROR(INDEX(Goal_Specs,MATCH($Q76,Goal_Keys,0)),""))</f>
        <v/>
      </c>
      <c r="T76" s="1" t="n">
        <f aca="false">IF($Q76="",9999,G76)</f>
        <v>9999</v>
      </c>
      <c r="U76" s="1" t="str">
        <f aca="false">IF($Q76="","",IF($D76="legacy","at the end of your plan"&amp;IF(Has_a_planEnd=1," ("&amp;AS_End&amp;")",""),IF($D76="retire",IF(Has_retireAge=1,"at "&amp;INDEX(GL_AgeT,5),"at an age you haven't chosen yet"),"in "&amp;(INDEX(GL_AgeRaw,5)-F_Age)&amp;IF(INDEX(GL_AgeRaw,5)-F_Age=1," year"," years"))))</f>
        <v/>
      </c>
      <c r="V76" s="1" t="str">
        <f aca="false">IF(AND($Q76="safety",F_EssM&gt;0,INDEX(GL_Amount,5)&gt;0),ROUND(INDEX(GL_Amount,5)/F_EssM*10,0)/10,"")</f>
        <v/>
      </c>
    </row>
    <row r="77" customFormat="false" ht="15" hidden="false" customHeight="false" outlineLevel="0" collapsed="false">
      <c r="B77" s="1" t="n">
        <v>6</v>
      </c>
      <c r="C77" s="1" t="str">
        <f aca="false">IF($Q77="","",INDEX(GL_Name,6))</f>
        <v/>
      </c>
      <c r="D77" s="1" t="str">
        <f aca="false">INDEX(GL_Kind,6)</f>
        <v/>
      </c>
      <c r="E77" s="1" t="str">
        <f aca="false">IF($Q77="","",IF(OR($D77="spend",$D77="mfree",$D77="pot"),CHOOSE($I77,Slot1_Cost,Slot2_Cost,Slot3_Cost,Slot4_Cost,Slot5_Cost,Slot6_Cost,Slot7_Cost,Slot8_Cost),IF($D77="retire",SUMIFS('Plan cashflow'!$IP$8:$IP$97,'Plan cashflow'!$C$8:$C$97,1),IF($D77="legacy",INDEX(GL_Amount,6)*(1+AS_Infl)^F_N,0))))</f>
        <v/>
      </c>
      <c r="F77" s="1" t="str">
        <f aca="false">IF($Q77="","",IF(OR($D77="spend",$D77="mfree",$D77="pot"),CHOOSE($I77,Slot1_Paid,Slot2_Paid,Slot3_Paid,Slot4_Paid,Slot5_Paid,Slot6_Paid,Slot7_Paid,Slot8_Paid),IF($D77="retire",SUMIFS('Plan cashflow'!$IQ$8:$IQ$97,'Plan cashflow'!$C$8:$C$97,1),IF($D77="legacy",MIN(E77,INDEX('Plan cashflow'!$HD$8:$HD$97,F_N+1)+INDEX('Plan cashflow'!$HE$8:$HE$97,F_N+1)),0))))</f>
        <v/>
      </c>
      <c r="G77" s="1" t="str">
        <f aca="false">IF($Q77="","",IF($D77="retire",IF(SUM('Plan cashflow'!$JD$8:$JD$97)&gt;0,MIN(IF(E77&gt;0,IF(F77&gt;=E77-1,100,MIN(99,MAX(0,INT(F77/E77*100)))),100),94),IF(E77&gt;0,IF(F77&gt;=E77-1,100,MIN(99,MAX(0,INT(F77/E77*100)))),100)),IF(E77&gt;0,IF(F77&gt;=E77-1,100,MIN(99,MAX(0,INT(F77/E77*100)))),100)))</f>
        <v/>
      </c>
      <c r="H77" s="1" t="str">
        <f aca="false">IF(G77="","",IF(G77&gt;=PR_Good,"good",IF(G77&gt;=PR_Nudge,"nudge","alert")))</f>
        <v/>
      </c>
      <c r="I77" s="1" t="str">
        <f aca="false">IF(OR($D77="spend",$D77="mfree",$D77="pot"),INDEX(GL_Pos,6),"")</f>
        <v/>
      </c>
      <c r="J77" s="1" t="str">
        <f aca="false">IF(OR($D77="spend",$D77="mfree",$D77="pot"),CHOOSE($I77,Slot1_NeedM,Slot2_NeedM,Slot3_NeedM,Slot4_NeedM,Slot5_NeedM,Slot6_NeedM,Slot7_NeedM,Slot8_NeedM),"")</f>
        <v/>
      </c>
      <c r="K77" s="1" t="str">
        <f aca="false">IF(OR($D77="spend",$D77="mfree",$D77="pot"),CHOOSE($I77,Slot1_AvgM,Slot2_AvgM,Slot3_AvgM,Slot4_AvgM,Slot5_AvgM,Slot6_AvgM,Slot7_AvgM,Slot8_AvgM),"")</f>
        <v/>
      </c>
      <c r="L77" s="92"/>
      <c r="M77" s="1" t="str">
        <f aca="false">IF(NOT(OR($D77="spend",$D77="mfree",$D77="pot")),"",IF(AND($D77="mfree",In_home&lt;&gt;"",In_home&lt;&gt;"Own with mortgage"),"No mortgage in Your finances: remove this goal, or add your mortgage",IF(G77&gt;=100,"Fully funded"&amp;IF(K77&gt;0," · on average you'll put "&amp;"€"&amp;TEXT(ROUND(K77,0),"#,##0")&amp;" a month",""),IF(L77="","Type the extra the what-if search finds in column L to see this line",IF(IF(L77="none",TRUE(),K77+L77&gt;Save_SurplusM),"Needs about "&amp;"€"&amp;TEXT(ROUND(IF(L77="none",MAX(J77,K77+5),K77+L77),0),"#,##0")&amp;" a month, more than your spare money · on average you'll put "&amp;"€"&amp;TEXT(ROUND(K77,0),"#,##0")&amp;" a month","Needs about "&amp;"€"&amp;TEXT(ROUND(K77+L77,0),"#,##0")&amp;" a month · on average you'll put "&amp;"€"&amp;TEXT(ROUND(K77,0),"#,##0")&amp;" a month")))))</f>
        <v/>
      </c>
      <c r="N77" s="1" t="str">
        <f aca="false">IF($Q77="","",INDEX(GL_AgeT,6))</f>
        <v/>
      </c>
      <c r="O77" s="1" t="str">
        <f aca="false">IF(AND($Q77&lt;&gt;"",G77&gt;=95,Findings_Over=0),G77*1000000-N77*1000-6,"")</f>
        <v/>
      </c>
      <c r="P77" s="1" t="str">
        <f aca="false">IF($Q77="","",G77*1000000+N77*1000+6)</f>
        <v/>
      </c>
      <c r="Q77" s="1" t="str">
        <f aca="false">INDEX(GL_Key,6)</f>
        <v/>
      </c>
      <c r="R77" s="1" t="n">
        <f aca="false">IF(G77="",0,G77)</f>
        <v>0</v>
      </c>
      <c r="S77" s="1" t="str">
        <f aca="false">IF($Q77="","",IFERROR(INDEX(Goal_Specs,MATCH($Q77,Goal_Keys,0)),""))</f>
        <v/>
      </c>
      <c r="T77" s="1" t="n">
        <f aca="false">IF($Q77="",9999,G77)</f>
        <v>9999</v>
      </c>
      <c r="U77" s="1" t="str">
        <f aca="false">IF($Q77="","",IF($D77="legacy","at the end of your plan"&amp;IF(Has_a_planEnd=1," ("&amp;AS_End&amp;")",""),IF($D77="retire",IF(Has_retireAge=1,"at "&amp;INDEX(GL_AgeT,6),"at an age you haven't chosen yet"),"in "&amp;(INDEX(GL_AgeRaw,6)-F_Age)&amp;IF(INDEX(GL_AgeRaw,6)-F_Age=1," year"," years"))))</f>
        <v/>
      </c>
      <c r="V77" s="1" t="str">
        <f aca="false">IF(AND($Q77="safety",F_EssM&gt;0,INDEX(GL_Amount,6)&gt;0),ROUND(INDEX(GL_Amount,6)/F_EssM*10,0)/10,"")</f>
        <v/>
      </c>
    </row>
    <row r="78" customFormat="false" ht="15" hidden="false" customHeight="false" outlineLevel="0" collapsed="false">
      <c r="B78" s="1" t="n">
        <v>7</v>
      </c>
      <c r="C78" s="1" t="str">
        <f aca="false">IF($Q78="","",INDEX(GL_Name,7))</f>
        <v/>
      </c>
      <c r="D78" s="1" t="str">
        <f aca="false">INDEX(GL_Kind,7)</f>
        <v/>
      </c>
      <c r="E78" s="1" t="str">
        <f aca="false">IF($Q78="","",IF(OR($D78="spend",$D78="mfree",$D78="pot"),CHOOSE($I78,Slot1_Cost,Slot2_Cost,Slot3_Cost,Slot4_Cost,Slot5_Cost,Slot6_Cost,Slot7_Cost,Slot8_Cost),IF($D78="retire",SUMIFS('Plan cashflow'!$IP$8:$IP$97,'Plan cashflow'!$C$8:$C$97,1),IF($D78="legacy",INDEX(GL_Amount,7)*(1+AS_Infl)^F_N,0))))</f>
        <v/>
      </c>
      <c r="F78" s="1" t="str">
        <f aca="false">IF($Q78="","",IF(OR($D78="spend",$D78="mfree",$D78="pot"),CHOOSE($I78,Slot1_Paid,Slot2_Paid,Slot3_Paid,Slot4_Paid,Slot5_Paid,Slot6_Paid,Slot7_Paid,Slot8_Paid),IF($D78="retire",SUMIFS('Plan cashflow'!$IQ$8:$IQ$97,'Plan cashflow'!$C$8:$C$97,1),IF($D78="legacy",MIN(E78,INDEX('Plan cashflow'!$HD$8:$HD$97,F_N+1)+INDEX('Plan cashflow'!$HE$8:$HE$97,F_N+1)),0))))</f>
        <v/>
      </c>
      <c r="G78" s="1" t="str">
        <f aca="false">IF($Q78="","",IF($D78="retire",IF(SUM('Plan cashflow'!$JD$8:$JD$97)&gt;0,MIN(IF(E78&gt;0,IF(F78&gt;=E78-1,100,MIN(99,MAX(0,INT(F78/E78*100)))),100),94),IF(E78&gt;0,IF(F78&gt;=E78-1,100,MIN(99,MAX(0,INT(F78/E78*100)))),100)),IF(E78&gt;0,IF(F78&gt;=E78-1,100,MIN(99,MAX(0,INT(F78/E78*100)))),100)))</f>
        <v/>
      </c>
      <c r="H78" s="1" t="str">
        <f aca="false">IF(G78="","",IF(G78&gt;=PR_Good,"good",IF(G78&gt;=PR_Nudge,"nudge","alert")))</f>
        <v/>
      </c>
      <c r="I78" s="1" t="str">
        <f aca="false">IF(OR($D78="spend",$D78="mfree",$D78="pot"),INDEX(GL_Pos,7),"")</f>
        <v/>
      </c>
      <c r="J78" s="1" t="str">
        <f aca="false">IF(OR($D78="spend",$D78="mfree",$D78="pot"),CHOOSE($I78,Slot1_NeedM,Slot2_NeedM,Slot3_NeedM,Slot4_NeedM,Slot5_NeedM,Slot6_NeedM,Slot7_NeedM,Slot8_NeedM),"")</f>
        <v/>
      </c>
      <c r="K78" s="1" t="str">
        <f aca="false">IF(OR($D78="spend",$D78="mfree",$D78="pot"),CHOOSE($I78,Slot1_AvgM,Slot2_AvgM,Slot3_AvgM,Slot4_AvgM,Slot5_AvgM,Slot6_AvgM,Slot7_AvgM,Slot8_AvgM),"")</f>
        <v/>
      </c>
      <c r="L78" s="92"/>
      <c r="M78" s="1" t="str">
        <f aca="false">IF(NOT(OR($D78="spend",$D78="mfree",$D78="pot")),"",IF(AND($D78="mfree",In_home&lt;&gt;"",In_home&lt;&gt;"Own with mortgage"),"No mortgage in Your finances: remove this goal, or add your mortgage",IF(G78&gt;=100,"Fully funded"&amp;IF(K78&gt;0," · on average you'll put "&amp;"€"&amp;TEXT(ROUND(K78,0),"#,##0")&amp;" a month",""),IF(L78="","Type the extra the what-if search finds in column L to see this line",IF(IF(L78="none",TRUE(),K78+L78&gt;Save_SurplusM),"Needs about "&amp;"€"&amp;TEXT(ROUND(IF(L78="none",MAX(J78,K78+5),K78+L78),0),"#,##0")&amp;" a month, more than your spare money · on average you'll put "&amp;"€"&amp;TEXT(ROUND(K78,0),"#,##0")&amp;" a month","Needs about "&amp;"€"&amp;TEXT(ROUND(K78+L78,0),"#,##0")&amp;" a month · on average you'll put "&amp;"€"&amp;TEXT(ROUND(K78,0),"#,##0")&amp;" a month")))))</f>
        <v/>
      </c>
      <c r="N78" s="1" t="str">
        <f aca="false">IF($Q78="","",INDEX(GL_AgeT,7))</f>
        <v/>
      </c>
      <c r="O78" s="1" t="str">
        <f aca="false">IF(AND($Q78&lt;&gt;"",G78&gt;=95,Findings_Over=0),G78*1000000-N78*1000-7,"")</f>
        <v/>
      </c>
      <c r="P78" s="1" t="str">
        <f aca="false">IF($Q78="","",G78*1000000+N78*1000+7)</f>
        <v/>
      </c>
      <c r="Q78" s="1" t="str">
        <f aca="false">INDEX(GL_Key,7)</f>
        <v/>
      </c>
      <c r="R78" s="1" t="n">
        <f aca="false">IF(G78="",0,G78)</f>
        <v>0</v>
      </c>
      <c r="S78" s="1" t="str">
        <f aca="false">IF($Q78="","",IFERROR(INDEX(Goal_Specs,MATCH($Q78,Goal_Keys,0)),""))</f>
        <v/>
      </c>
      <c r="T78" s="1" t="n">
        <f aca="false">IF($Q78="",9999,G78)</f>
        <v>9999</v>
      </c>
      <c r="U78" s="1" t="str">
        <f aca="false">IF($Q78="","",IF($D78="legacy","at the end of your plan"&amp;IF(Has_a_planEnd=1," ("&amp;AS_End&amp;")",""),IF($D78="retire",IF(Has_retireAge=1,"at "&amp;INDEX(GL_AgeT,7),"at an age you haven't chosen yet"),"in "&amp;(INDEX(GL_AgeRaw,7)-F_Age)&amp;IF(INDEX(GL_AgeRaw,7)-F_Age=1," year"," years"))))</f>
        <v/>
      </c>
      <c r="V78" s="1" t="str">
        <f aca="false">IF(AND($Q78="safety",F_EssM&gt;0,INDEX(GL_Amount,7)&gt;0),ROUND(INDEX(GL_Amount,7)/F_EssM*10,0)/10,"")</f>
        <v/>
      </c>
    </row>
    <row r="79" customFormat="false" ht="15" hidden="false" customHeight="false" outlineLevel="0" collapsed="false">
      <c r="B79" s="1" t="n">
        <v>8</v>
      </c>
      <c r="C79" s="1" t="str">
        <f aca="false">IF($Q79="","",INDEX(GL_Name,8))</f>
        <v/>
      </c>
      <c r="D79" s="1" t="str">
        <f aca="false">INDEX(GL_Kind,8)</f>
        <v/>
      </c>
      <c r="E79" s="1" t="str">
        <f aca="false">IF($Q79="","",IF(OR($D79="spend",$D79="mfree",$D79="pot"),CHOOSE($I79,Slot1_Cost,Slot2_Cost,Slot3_Cost,Slot4_Cost,Slot5_Cost,Slot6_Cost,Slot7_Cost,Slot8_Cost),IF($D79="retire",SUMIFS('Plan cashflow'!$IP$8:$IP$97,'Plan cashflow'!$C$8:$C$97,1),IF($D79="legacy",INDEX(GL_Amount,8)*(1+AS_Infl)^F_N,0))))</f>
        <v/>
      </c>
      <c r="F79" s="1" t="str">
        <f aca="false">IF($Q79="","",IF(OR($D79="spend",$D79="mfree",$D79="pot"),CHOOSE($I79,Slot1_Paid,Slot2_Paid,Slot3_Paid,Slot4_Paid,Slot5_Paid,Slot6_Paid,Slot7_Paid,Slot8_Paid),IF($D79="retire",SUMIFS('Plan cashflow'!$IQ$8:$IQ$97,'Plan cashflow'!$C$8:$C$97,1),IF($D79="legacy",MIN(E79,INDEX('Plan cashflow'!$HD$8:$HD$97,F_N+1)+INDEX('Plan cashflow'!$HE$8:$HE$97,F_N+1)),0))))</f>
        <v/>
      </c>
      <c r="G79" s="1" t="str">
        <f aca="false">IF($Q79="","",IF($D79="retire",IF(SUM('Plan cashflow'!$JD$8:$JD$97)&gt;0,MIN(IF(E79&gt;0,IF(F79&gt;=E79-1,100,MIN(99,MAX(0,INT(F79/E79*100)))),100),94),IF(E79&gt;0,IF(F79&gt;=E79-1,100,MIN(99,MAX(0,INT(F79/E79*100)))),100)),IF(E79&gt;0,IF(F79&gt;=E79-1,100,MIN(99,MAX(0,INT(F79/E79*100)))),100)))</f>
        <v/>
      </c>
      <c r="H79" s="1" t="str">
        <f aca="false">IF(G79="","",IF(G79&gt;=PR_Good,"good",IF(G79&gt;=PR_Nudge,"nudge","alert")))</f>
        <v/>
      </c>
      <c r="I79" s="1" t="str">
        <f aca="false">IF(OR($D79="spend",$D79="mfree",$D79="pot"),INDEX(GL_Pos,8),"")</f>
        <v/>
      </c>
      <c r="J79" s="1" t="str">
        <f aca="false">IF(OR($D79="spend",$D79="mfree",$D79="pot"),CHOOSE($I79,Slot1_NeedM,Slot2_NeedM,Slot3_NeedM,Slot4_NeedM,Slot5_NeedM,Slot6_NeedM,Slot7_NeedM,Slot8_NeedM),"")</f>
        <v/>
      </c>
      <c r="K79" s="1" t="str">
        <f aca="false">IF(OR($D79="spend",$D79="mfree",$D79="pot"),CHOOSE($I79,Slot1_AvgM,Slot2_AvgM,Slot3_AvgM,Slot4_AvgM,Slot5_AvgM,Slot6_AvgM,Slot7_AvgM,Slot8_AvgM),"")</f>
        <v/>
      </c>
      <c r="L79" s="92"/>
      <c r="M79" s="1" t="str">
        <f aca="false">IF(NOT(OR($D79="spend",$D79="mfree",$D79="pot")),"",IF(AND($D79="mfree",In_home&lt;&gt;"",In_home&lt;&gt;"Own with mortgage"),"No mortgage in Your finances: remove this goal, or add your mortgage",IF(G79&gt;=100,"Fully funded"&amp;IF(K79&gt;0," · on average you'll put "&amp;"€"&amp;TEXT(ROUND(K79,0),"#,##0")&amp;" a month",""),IF(L79="","Type the extra the what-if search finds in column L to see this line",IF(IF(L79="none",TRUE(),K79+L79&gt;Save_SurplusM),"Needs about "&amp;"€"&amp;TEXT(ROUND(IF(L79="none",MAX(J79,K79+5),K79+L79),0),"#,##0")&amp;" a month, more than your spare money · on average you'll put "&amp;"€"&amp;TEXT(ROUND(K79,0),"#,##0")&amp;" a month","Needs about "&amp;"€"&amp;TEXT(ROUND(K79+L79,0),"#,##0")&amp;" a month · on average you'll put "&amp;"€"&amp;TEXT(ROUND(K79,0),"#,##0")&amp;" a month")))))</f>
        <v/>
      </c>
      <c r="N79" s="1" t="str">
        <f aca="false">IF($Q79="","",INDEX(GL_AgeT,8))</f>
        <v/>
      </c>
      <c r="O79" s="1" t="str">
        <f aca="false">IF(AND($Q79&lt;&gt;"",G79&gt;=95,Findings_Over=0),G79*1000000-N79*1000-8,"")</f>
        <v/>
      </c>
      <c r="P79" s="1" t="str">
        <f aca="false">IF($Q79="","",G79*1000000+N79*1000+8)</f>
        <v/>
      </c>
      <c r="Q79" s="1" t="str">
        <f aca="false">INDEX(GL_Key,8)</f>
        <v/>
      </c>
      <c r="R79" s="1" t="n">
        <f aca="false">IF(G79="",0,G79)</f>
        <v>0</v>
      </c>
      <c r="S79" s="1" t="str">
        <f aca="false">IF($Q79="","",IFERROR(INDEX(Goal_Specs,MATCH($Q79,Goal_Keys,0)),""))</f>
        <v/>
      </c>
      <c r="T79" s="1" t="n">
        <f aca="false">IF($Q79="",9999,G79)</f>
        <v>9999</v>
      </c>
      <c r="U79" s="1" t="str">
        <f aca="false">IF($Q79="","",IF($D79="legacy","at the end of your plan"&amp;IF(Has_a_planEnd=1," ("&amp;AS_End&amp;")",""),IF($D79="retire",IF(Has_retireAge=1,"at "&amp;INDEX(GL_AgeT,8),"at an age you haven't chosen yet"),"in "&amp;(INDEX(GL_AgeRaw,8)-F_Age)&amp;IF(INDEX(GL_AgeRaw,8)-F_Age=1," year"," years"))))</f>
        <v/>
      </c>
      <c r="V79" s="1" t="str">
        <f aca="false">IF(AND($Q79="safety",F_EssM&gt;0,INDEX(GL_Amount,8)&gt;0),ROUND(INDEX(GL_Amount,8)/F_EssM*10,0)/10,"")</f>
        <v/>
      </c>
    </row>
    <row r="80" customFormat="false" ht="15" hidden="false" customHeight="false" outlineLevel="0" collapsed="false">
      <c r="B80" s="1" t="n">
        <v>9</v>
      </c>
      <c r="C80" s="1" t="str">
        <f aca="false">IF($Q80="","",INDEX(GL_Name,9))</f>
        <v/>
      </c>
      <c r="D80" s="1" t="str">
        <f aca="false">INDEX(GL_Kind,9)</f>
        <v/>
      </c>
      <c r="E80" s="1" t="str">
        <f aca="false">IF($Q80="","",IF(OR($D80="spend",$D80="mfree",$D80="pot"),CHOOSE($I80,Slot1_Cost,Slot2_Cost,Slot3_Cost,Slot4_Cost,Slot5_Cost,Slot6_Cost,Slot7_Cost,Slot8_Cost),IF($D80="retire",SUMIFS('Plan cashflow'!$IP$8:$IP$97,'Plan cashflow'!$C$8:$C$97,1),IF($D80="legacy",INDEX(GL_Amount,9)*(1+AS_Infl)^F_N,0))))</f>
        <v/>
      </c>
      <c r="F80" s="1" t="str">
        <f aca="false">IF($Q80="","",IF(OR($D80="spend",$D80="mfree",$D80="pot"),CHOOSE($I80,Slot1_Paid,Slot2_Paid,Slot3_Paid,Slot4_Paid,Slot5_Paid,Slot6_Paid,Slot7_Paid,Slot8_Paid),IF($D80="retire",SUMIFS('Plan cashflow'!$IQ$8:$IQ$97,'Plan cashflow'!$C$8:$C$97,1),IF($D80="legacy",MIN(E80,INDEX('Plan cashflow'!$HD$8:$HD$97,F_N+1)+INDEX('Plan cashflow'!$HE$8:$HE$97,F_N+1)),0))))</f>
        <v/>
      </c>
      <c r="G80" s="1" t="str">
        <f aca="false">IF($Q80="","",IF($D80="retire",IF(SUM('Plan cashflow'!$JD$8:$JD$97)&gt;0,MIN(IF(E80&gt;0,IF(F80&gt;=E80-1,100,MIN(99,MAX(0,INT(F80/E80*100)))),100),94),IF(E80&gt;0,IF(F80&gt;=E80-1,100,MIN(99,MAX(0,INT(F80/E80*100)))),100)),IF(E80&gt;0,IF(F80&gt;=E80-1,100,MIN(99,MAX(0,INT(F80/E80*100)))),100)))</f>
        <v/>
      </c>
      <c r="H80" s="1" t="str">
        <f aca="false">IF(G80="","",IF(G80&gt;=PR_Good,"good",IF(G80&gt;=PR_Nudge,"nudge","alert")))</f>
        <v/>
      </c>
      <c r="I80" s="1" t="str">
        <f aca="false">IF(OR($D80="spend",$D80="mfree",$D80="pot"),INDEX(GL_Pos,9),"")</f>
        <v/>
      </c>
      <c r="J80" s="1" t="str">
        <f aca="false">IF(OR($D80="spend",$D80="mfree",$D80="pot"),CHOOSE($I80,Slot1_NeedM,Slot2_NeedM,Slot3_NeedM,Slot4_NeedM,Slot5_NeedM,Slot6_NeedM,Slot7_NeedM,Slot8_NeedM),"")</f>
        <v/>
      </c>
      <c r="K80" s="1" t="str">
        <f aca="false">IF(OR($D80="spend",$D80="mfree",$D80="pot"),CHOOSE($I80,Slot1_AvgM,Slot2_AvgM,Slot3_AvgM,Slot4_AvgM,Slot5_AvgM,Slot6_AvgM,Slot7_AvgM,Slot8_AvgM),"")</f>
        <v/>
      </c>
      <c r="L80" s="92"/>
      <c r="M80" s="1" t="str">
        <f aca="false">IF(NOT(OR($D80="spend",$D80="mfree",$D80="pot")),"",IF(AND($D80="mfree",In_home&lt;&gt;"",In_home&lt;&gt;"Own with mortgage"),"No mortgage in Your finances: remove this goal, or add your mortgage",IF(G80&gt;=100,"Fully funded"&amp;IF(K80&gt;0," · on average you'll put "&amp;"€"&amp;TEXT(ROUND(K80,0),"#,##0")&amp;" a month",""),IF(L80="","Type the extra the what-if search finds in column L to see this line",IF(IF(L80="none",TRUE(),K80+L80&gt;Save_SurplusM),"Needs about "&amp;"€"&amp;TEXT(ROUND(IF(L80="none",MAX(J80,K80+5),K80+L80),0),"#,##0")&amp;" a month, more than your spare money · on average you'll put "&amp;"€"&amp;TEXT(ROUND(K80,0),"#,##0")&amp;" a month","Needs about "&amp;"€"&amp;TEXT(ROUND(K80+L80,0),"#,##0")&amp;" a month · on average you'll put "&amp;"€"&amp;TEXT(ROUND(K80,0),"#,##0")&amp;" a month")))))</f>
        <v/>
      </c>
      <c r="N80" s="1" t="str">
        <f aca="false">IF($Q80="","",INDEX(GL_AgeT,9))</f>
        <v/>
      </c>
      <c r="O80" s="1" t="str">
        <f aca="false">IF(AND($Q80&lt;&gt;"",G80&gt;=95,Findings_Over=0),G80*1000000-N80*1000-9,"")</f>
        <v/>
      </c>
      <c r="P80" s="1" t="str">
        <f aca="false">IF($Q80="","",G80*1000000+N80*1000+9)</f>
        <v/>
      </c>
      <c r="Q80" s="1" t="str">
        <f aca="false">INDEX(GL_Key,9)</f>
        <v/>
      </c>
      <c r="R80" s="1" t="n">
        <f aca="false">IF(G80="",0,G80)</f>
        <v>0</v>
      </c>
      <c r="S80" s="1" t="str">
        <f aca="false">IF($Q80="","",IFERROR(INDEX(Goal_Specs,MATCH($Q80,Goal_Keys,0)),""))</f>
        <v/>
      </c>
      <c r="T80" s="1" t="n">
        <f aca="false">IF($Q80="",9999,G80)</f>
        <v>9999</v>
      </c>
      <c r="U80" s="1" t="str">
        <f aca="false">IF($Q80="","",IF($D80="legacy","at the end of your plan"&amp;IF(Has_a_planEnd=1," ("&amp;AS_End&amp;")",""),IF($D80="retire",IF(Has_retireAge=1,"at "&amp;INDEX(GL_AgeT,9),"at an age you haven't chosen yet"),"in "&amp;(INDEX(GL_AgeRaw,9)-F_Age)&amp;IF(INDEX(GL_AgeRaw,9)-F_Age=1," year"," years"))))</f>
        <v/>
      </c>
      <c r="V80" s="1" t="str">
        <f aca="false">IF(AND($Q80="safety",F_EssM&gt;0,INDEX(GL_Amount,9)&gt;0),ROUND(INDEX(GL_Amount,9)/F_EssM*10,0)/10,"")</f>
        <v/>
      </c>
    </row>
    <row r="81" customFormat="false" ht="15" hidden="false" customHeight="false" outlineLevel="0" collapsed="false">
      <c r="B81" s="1" t="n">
        <v>10</v>
      </c>
      <c r="C81" s="1" t="str">
        <f aca="false">IF($Q81="","",INDEX(GL_Name,10))</f>
        <v/>
      </c>
      <c r="D81" s="1" t="str">
        <f aca="false">INDEX(GL_Kind,10)</f>
        <v/>
      </c>
      <c r="E81" s="1" t="str">
        <f aca="false">IF($Q81="","",IF(OR($D81="spend",$D81="mfree",$D81="pot"),CHOOSE($I81,Slot1_Cost,Slot2_Cost,Slot3_Cost,Slot4_Cost,Slot5_Cost,Slot6_Cost,Slot7_Cost,Slot8_Cost),IF($D81="retire",SUMIFS('Plan cashflow'!$IP$8:$IP$97,'Plan cashflow'!$C$8:$C$97,1),IF($D81="legacy",INDEX(GL_Amount,10)*(1+AS_Infl)^F_N,0))))</f>
        <v/>
      </c>
      <c r="F81" s="1" t="str">
        <f aca="false">IF($Q81="","",IF(OR($D81="spend",$D81="mfree",$D81="pot"),CHOOSE($I81,Slot1_Paid,Slot2_Paid,Slot3_Paid,Slot4_Paid,Slot5_Paid,Slot6_Paid,Slot7_Paid,Slot8_Paid),IF($D81="retire",SUMIFS('Plan cashflow'!$IQ$8:$IQ$97,'Plan cashflow'!$C$8:$C$97,1),IF($D81="legacy",MIN(E81,INDEX('Plan cashflow'!$HD$8:$HD$97,F_N+1)+INDEX('Plan cashflow'!$HE$8:$HE$97,F_N+1)),0))))</f>
        <v/>
      </c>
      <c r="G81" s="1" t="str">
        <f aca="false">IF($Q81="","",IF($D81="retire",IF(SUM('Plan cashflow'!$JD$8:$JD$97)&gt;0,MIN(IF(E81&gt;0,IF(F81&gt;=E81-1,100,MIN(99,MAX(0,INT(F81/E81*100)))),100),94),IF(E81&gt;0,IF(F81&gt;=E81-1,100,MIN(99,MAX(0,INT(F81/E81*100)))),100)),IF(E81&gt;0,IF(F81&gt;=E81-1,100,MIN(99,MAX(0,INT(F81/E81*100)))),100)))</f>
        <v/>
      </c>
      <c r="H81" s="1" t="str">
        <f aca="false">IF(G81="","",IF(G81&gt;=PR_Good,"good",IF(G81&gt;=PR_Nudge,"nudge","alert")))</f>
        <v/>
      </c>
      <c r="I81" s="1" t="str">
        <f aca="false">IF(OR($D81="spend",$D81="mfree",$D81="pot"),INDEX(GL_Pos,10),"")</f>
        <v/>
      </c>
      <c r="J81" s="1" t="str">
        <f aca="false">IF(OR($D81="spend",$D81="mfree",$D81="pot"),CHOOSE($I81,Slot1_NeedM,Slot2_NeedM,Slot3_NeedM,Slot4_NeedM,Slot5_NeedM,Slot6_NeedM,Slot7_NeedM,Slot8_NeedM),"")</f>
        <v/>
      </c>
      <c r="K81" s="1" t="str">
        <f aca="false">IF(OR($D81="spend",$D81="mfree",$D81="pot"),CHOOSE($I81,Slot1_AvgM,Slot2_AvgM,Slot3_AvgM,Slot4_AvgM,Slot5_AvgM,Slot6_AvgM,Slot7_AvgM,Slot8_AvgM),"")</f>
        <v/>
      </c>
      <c r="L81" s="92"/>
      <c r="M81" s="1" t="str">
        <f aca="false">IF(NOT(OR($D81="spend",$D81="mfree",$D81="pot")),"",IF(AND($D81="mfree",In_home&lt;&gt;"",In_home&lt;&gt;"Own with mortgage"),"No mortgage in Your finances: remove this goal, or add your mortgage",IF(G81&gt;=100,"Fully funded"&amp;IF(K81&gt;0," · on average you'll put "&amp;"€"&amp;TEXT(ROUND(K81,0),"#,##0")&amp;" a month",""),IF(L81="","Type the extra the what-if search finds in column L to see this line",IF(IF(L81="none",TRUE(),K81+L81&gt;Save_SurplusM),"Needs about "&amp;"€"&amp;TEXT(ROUND(IF(L81="none",MAX(J81,K81+5),K81+L81),0),"#,##0")&amp;" a month, more than your spare money · on average you'll put "&amp;"€"&amp;TEXT(ROUND(K81,0),"#,##0")&amp;" a month","Needs about "&amp;"€"&amp;TEXT(ROUND(K81+L81,0),"#,##0")&amp;" a month · on average you'll put "&amp;"€"&amp;TEXT(ROUND(K81,0),"#,##0")&amp;" a month")))))</f>
        <v/>
      </c>
      <c r="N81" s="1" t="str">
        <f aca="false">IF($Q81="","",INDEX(GL_AgeT,10))</f>
        <v/>
      </c>
      <c r="O81" s="1" t="str">
        <f aca="false">IF(AND($Q81&lt;&gt;"",G81&gt;=95,Findings_Over=0),G81*1000000-N81*1000-10,"")</f>
        <v/>
      </c>
      <c r="P81" s="1" t="str">
        <f aca="false">IF($Q81="","",G81*1000000+N81*1000+10)</f>
        <v/>
      </c>
      <c r="Q81" s="1" t="str">
        <f aca="false">INDEX(GL_Key,10)</f>
        <v/>
      </c>
      <c r="R81" s="1" t="n">
        <f aca="false">IF(G81="",0,G81)</f>
        <v>0</v>
      </c>
      <c r="S81" s="1" t="str">
        <f aca="false">IF($Q81="","",IFERROR(INDEX(Goal_Specs,MATCH($Q81,Goal_Keys,0)),""))</f>
        <v/>
      </c>
      <c r="T81" s="1" t="n">
        <f aca="false">IF($Q81="",9999,G81)</f>
        <v>9999</v>
      </c>
      <c r="U81" s="1" t="str">
        <f aca="false">IF($Q81="","",IF($D81="legacy","at the end of your plan"&amp;IF(Has_a_planEnd=1," ("&amp;AS_End&amp;")",""),IF($D81="retire",IF(Has_retireAge=1,"at "&amp;INDEX(GL_AgeT,10),"at an age you haven't chosen yet"),"in "&amp;(INDEX(GL_AgeRaw,10)-F_Age)&amp;IF(INDEX(GL_AgeRaw,10)-F_Age=1," year"," years"))))</f>
        <v/>
      </c>
      <c r="V81" s="1" t="str">
        <f aca="false">IF(AND($Q81="safety",F_EssM&gt;0,INDEX(GL_Amount,10)&gt;0),ROUND(INDEX(GL_Amount,10)/F_EssM*10,0)/10,"")</f>
        <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J18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2"/>
    <col collapsed="false" customWidth="true" hidden="false" outlineLevel="0" max="3" min="3" style="1" width="34"/>
    <col collapsed="false" customWidth="true" hidden="false" outlineLevel="0" max="7" min="4" style="1" width="14"/>
    <col collapsed="false" customWidth="true" hidden="false" outlineLevel="0" max="8" min="8" style="1" width="30"/>
  </cols>
  <sheetData>
    <row r="1" customFormat="false" ht="17.35" hidden="false" customHeight="false" outlineLevel="0" collapsed="false">
      <c r="B1" s="89" t="s">
        <v>2231</v>
      </c>
    </row>
    <row r="2" customFormat="false" ht="48" hidden="false" customHeight="true" outlineLevel="0" collapsed="false">
      <c r="B2" s="90" t="s">
        <v>2232</v>
      </c>
      <c r="C2" s="90"/>
      <c r="D2" s="90"/>
      <c r="E2" s="90"/>
      <c r="F2" s="90"/>
      <c r="G2" s="90"/>
      <c r="H2" s="90"/>
    </row>
    <row r="4" customFormat="false" ht="15" hidden="false" customHeight="false" outlineLevel="0" collapsed="false">
      <c r="B4" s="91" t="s">
        <v>2233</v>
      </c>
      <c r="C4" s="91" t="s">
        <v>1490</v>
      </c>
    </row>
    <row r="5" customFormat="false" ht="15" hidden="false" customHeight="false" outlineLevel="0" collapsed="false">
      <c r="B5" s="1" t="s">
        <v>2234</v>
      </c>
      <c r="C5" s="99" t="n">
        <f aca="false">ROUND(IF(F_Age&lt;F_R,('Plan cashflow'!$HB$8+'Plan cashflow'!$HC$8)/12,0),0)</f>
        <v>0</v>
      </c>
    </row>
    <row r="6" customFormat="false" ht="15" hidden="false" customHeight="false" outlineLevel="0" collapsed="false">
      <c r="B6" s="1" t="s">
        <v>2235</v>
      </c>
      <c r="C6" s="99" t="n">
        <f aca="false">ROUND('Plan cashflow'!$HB$8/12,0)</f>
        <v>0</v>
      </c>
    </row>
    <row r="7" customFormat="false" ht="15" hidden="false" customHeight="false" outlineLevel="0" collapsed="false">
      <c r="B7" s="1" t="s">
        <v>2236</v>
      </c>
      <c r="C7" s="99" t="n">
        <f aca="false">'Plan cashflow'!$DC$8</f>
        <v>0</v>
      </c>
    </row>
    <row r="8" customFormat="false" ht="15" hidden="false" customHeight="false" outlineLevel="0" collapsed="false">
      <c r="B8" s="1" t="s">
        <v>2237</v>
      </c>
      <c r="C8" s="99" t="n">
        <f aca="false">SUM('Plan cashflow'!$JF$8:$JF$97)</f>
        <v>0</v>
      </c>
    </row>
    <row r="9" customFormat="false" ht="15" hidden="false" customHeight="false" outlineLevel="0" collapsed="false">
      <c r="B9" s="1" t="s">
        <v>2238</v>
      </c>
      <c r="C9" s="99" t="n">
        <f aca="false">SUM('Plan cashflow'!$IS$8:$IS$97)</f>
        <v>0</v>
      </c>
    </row>
    <row r="11" customFormat="false" ht="15" hidden="false" customHeight="false" outlineLevel="0" collapsed="false">
      <c r="B11" s="91" t="s">
        <v>2239</v>
      </c>
      <c r="C11" s="91" t="s">
        <v>1490</v>
      </c>
    </row>
    <row r="12" customFormat="false" ht="15" hidden="false" customHeight="false" outlineLevel="0" collapsed="false">
      <c r="B12" s="108" t="s">
        <v>128</v>
      </c>
      <c r="C12" s="108" t="s">
        <v>2240</v>
      </c>
      <c r="D12" s="108" t="s">
        <v>2118</v>
      </c>
      <c r="E12" s="108" t="s">
        <v>2241</v>
      </c>
      <c r="F12" s="108" t="s">
        <v>2242</v>
      </c>
    </row>
    <row r="13" customFormat="false" ht="15" hidden="false" customHeight="false" outlineLevel="0" collapsed="false">
      <c r="B13" s="1" t="s">
        <v>2243</v>
      </c>
      <c r="C13" s="99" t="n">
        <f aca="false">IF(AND(1,Has_infl=0),1,0)</f>
        <v>1</v>
      </c>
      <c r="D13" s="1" t="s">
        <v>2244</v>
      </c>
      <c r="E13" s="1" t="n">
        <v>0</v>
      </c>
      <c r="F13" s="1" t="str">
        <f aca="false">""&amp;IF(C13=1,IF(""="","",",")&amp;D13,"")</f>
        <v>infl</v>
      </c>
    </row>
    <row r="14" customFormat="false" ht="15" hidden="false" customHeight="false" outlineLevel="0" collapsed="false">
      <c r="B14" s="1" t="s">
        <v>2245</v>
      </c>
      <c r="C14" s="99" t="n">
        <f aca="false">IF(AND(1,Has_retireAge=0),1,0)</f>
        <v>1</v>
      </c>
      <c r="D14" s="1" t="s">
        <v>2246</v>
      </c>
      <c r="E14" s="1" t="n">
        <v>0</v>
      </c>
      <c r="F14" s="1" t="str">
        <f aca="false">F13&amp;IF(C14=1,IF(F13="","",",")&amp;D14,"")</f>
        <v>infl,retireAge</v>
      </c>
    </row>
    <row r="15" customFormat="false" ht="15" hidden="false" customHeight="false" outlineLevel="0" collapsed="false">
      <c r="B15" s="1" t="s">
        <v>2247</v>
      </c>
      <c r="C15" s="99" t="n">
        <f aca="false">IF(AND(AND(In_income&gt;0,In_work=""),1),1,0)</f>
        <v>0</v>
      </c>
      <c r="D15" s="1" t="s">
        <v>2248</v>
      </c>
      <c r="E15" s="1" t="n">
        <v>1</v>
      </c>
      <c r="F15" s="1" t="str">
        <f aca="false">F14&amp;IF(C15=1,IF(F14="","",",")&amp;D15,"")</f>
        <v>infl,retireAge</v>
      </c>
    </row>
    <row r="16" customFormat="false" ht="15" hidden="false" customHeight="false" outlineLevel="0" collapsed="false">
      <c r="B16" s="1" t="s">
        <v>2249</v>
      </c>
      <c r="C16" s="99" t="n">
        <f aca="false">IF(AND(AND(F_Partner=1,In_pIncome&gt;0),Has_pRet=0),1,0)</f>
        <v>0</v>
      </c>
      <c r="D16" s="1" t="s">
        <v>2250</v>
      </c>
      <c r="E16" s="1" t="n">
        <v>0</v>
      </c>
      <c r="F16" s="1" t="str">
        <f aca="false">F15&amp;IF(C16=1,IF(F15="","",",")&amp;D16,"")</f>
        <v>infl,retireAge</v>
      </c>
    </row>
    <row r="17" customFormat="false" ht="15" hidden="false" customHeight="false" outlineLevel="0" collapsed="false">
      <c r="B17" s="1" t="s">
        <v>2251</v>
      </c>
      <c r="C17" s="99" t="n">
        <f aca="false">IF(AND(AND(F_Partner=1,NOT(In_pAge&gt;0)),1),1,0)</f>
        <v>0</v>
      </c>
      <c r="D17" s="1" t="s">
        <v>2252</v>
      </c>
      <c r="E17" s="1" t="n">
        <v>1</v>
      </c>
      <c r="F17" s="1" t="str">
        <f aca="false">F16&amp;IF(C17=1,IF(F16="","",",")&amp;D17,"")</f>
        <v>infl,retireAge</v>
      </c>
    </row>
    <row r="18" customFormat="false" ht="15" hidden="false" customHeight="false" outlineLevel="0" collapsed="false">
      <c r="B18" s="1" t="s">
        <v>2253</v>
      </c>
      <c r="C18" s="99" t="n">
        <f aca="false">IF(AND(AND(In_home="Own with mortgage",In_mortBal&gt;0,NOT(In_mortPayM&gt;0),NOT(In_mortYears&gt;0)),1),1,0)</f>
        <v>0</v>
      </c>
      <c r="D18" s="1" t="s">
        <v>2254</v>
      </c>
      <c r="E18" s="1" t="n">
        <v>1</v>
      </c>
      <c r="F18" s="1" t="str">
        <f aca="false">F17&amp;IF(C18=1,IF(F17="","",",")&amp;D18,"")</f>
        <v>infl,retireAge</v>
      </c>
    </row>
    <row r="19" customFormat="false" ht="15" hidden="false" customHeight="false" outlineLevel="0" collapsed="false">
      <c r="B19" s="1" t="s">
        <v>2255</v>
      </c>
      <c r="C19" s="99" t="n">
        <f aca="false">IF(AND(Mort2_NeedsTerm=1,1),1,0)</f>
        <v>0</v>
      </c>
      <c r="D19" s="1" t="s">
        <v>2256</v>
      </c>
      <c r="E19" s="1" t="n">
        <v>1</v>
      </c>
      <c r="F19" s="1" t="str">
        <f aca="false">F18&amp;IF(C19=1,IF(F18="","",",")&amp;D19,"")</f>
        <v>infl,retireAge</v>
      </c>
    </row>
    <row r="20" customFormat="false" ht="15" hidden="false" customHeight="false" outlineLevel="0" collapsed="false">
      <c r="B20" s="1" t="s">
        <v>2257</v>
      </c>
      <c r="C20" s="99" t="n">
        <f aca="false">IF(AND(1,Has_a_planEnd=0),1,0)</f>
        <v>1</v>
      </c>
      <c r="D20" s="1" t="s">
        <v>2258</v>
      </c>
      <c r="E20" s="1" t="n">
        <v>0</v>
      </c>
      <c r="F20" s="1" t="str">
        <f aca="false">F19&amp;IF(C20=1,IF(F19="","",",")&amp;D20,"")</f>
        <v>infl,retireAge,planEnd</v>
      </c>
    </row>
    <row r="21" customFormat="false" ht="15" hidden="false" customHeight="false" outlineLevel="0" collapsed="false">
      <c r="B21" s="1" t="s">
        <v>2259</v>
      </c>
      <c r="C21" s="99" t="n">
        <f aca="false">IF(AND(1,Has_a_inv=0),1,0)</f>
        <v>1</v>
      </c>
      <c r="D21" s="1" t="s">
        <v>2260</v>
      </c>
      <c r="E21" s="1" t="n">
        <v>0</v>
      </c>
      <c r="F21" s="1" t="str">
        <f aca="false">F20&amp;IF(C21=1,IF(F20="","",",")&amp;D21,"")</f>
        <v>infl,retireAge,planEnd,inv</v>
      </c>
    </row>
    <row r="22" customFormat="false" ht="15" hidden="false" customHeight="false" outlineLevel="0" collapsed="false">
      <c r="B22" s="1" t="s">
        <v>2261</v>
      </c>
      <c r="C22" s="99" t="n">
        <f aca="false">IF(AND(1,Has_a_cash=0),1,0)</f>
        <v>1</v>
      </c>
      <c r="D22" s="1" t="s">
        <v>2262</v>
      </c>
      <c r="E22" s="1" t="n">
        <v>0</v>
      </c>
      <c r="F22" s="1" t="str">
        <f aca="false">F21&amp;IF(C22=1,IF(F21="","",",")&amp;D22,"")</f>
        <v>infl,retireAge,planEnd,inv,cash</v>
      </c>
    </row>
    <row r="23" customFormat="false" ht="15" hidden="false" customHeight="false" outlineLevel="0" collapsed="false">
      <c r="B23" s="1" t="s">
        <v>2263</v>
      </c>
      <c r="C23" s="99" t="n">
        <f aca="false">IF(AND(1,Has_a_pen=0),1,0)</f>
        <v>1</v>
      </c>
      <c r="D23" s="1" t="s">
        <v>2264</v>
      </c>
      <c r="E23" s="1" t="n">
        <v>0</v>
      </c>
      <c r="F23" s="1" t="str">
        <f aca="false">F22&amp;IF(C23=1,IF(F22="","",",")&amp;D23,"")</f>
        <v>infl,retireAge,planEnd,inv,cash,pen</v>
      </c>
    </row>
    <row r="24" customFormat="false" ht="15" hidden="false" customHeight="false" outlineLevel="0" collapsed="false">
      <c r="B24" s="1" t="s">
        <v>2265</v>
      </c>
      <c r="C24" s="99" t="n">
        <f aca="false">IF(AND(1,Has_a_penRet=0),1,0)</f>
        <v>1</v>
      </c>
      <c r="D24" s="1" t="s">
        <v>2266</v>
      </c>
      <c r="E24" s="1" t="n">
        <v>0</v>
      </c>
      <c r="F24" s="1" t="str">
        <f aca="false">F23&amp;IF(C24=1,IF(F23="","",",")&amp;D24,"")</f>
        <v>infl,retireAge,planEnd,inv,cash,pen,penRet</v>
      </c>
    </row>
    <row r="25" customFormat="false" ht="15" hidden="false" customHeight="false" outlineLevel="0" collapsed="false">
      <c r="B25" s="1" t="s">
        <v>2267</v>
      </c>
      <c r="C25" s="99" t="n">
        <f aca="false">IF(AND(Has_penChg=1,Has_a_penChg=0),1,0)</f>
        <v>0</v>
      </c>
      <c r="D25" s="1" t="s">
        <v>2268</v>
      </c>
      <c r="E25" s="1" t="n">
        <v>0</v>
      </c>
      <c r="F25" s="1" t="str">
        <f aca="false">F24&amp;IF(C25=1,IF(F24="","",",")&amp;D25,"")</f>
        <v>infl,retireAge,planEnd,inv,cash,pen,penRet</v>
      </c>
    </row>
    <row r="26" customFormat="false" ht="15" hidden="false" customHeight="false" outlineLevel="0" collapsed="false">
      <c r="B26" s="1" t="s">
        <v>2269</v>
      </c>
      <c r="C26" s="99" t="n">
        <f aca="false">IF(AND(1,Has_a_wage=0),1,0)</f>
        <v>1</v>
      </c>
      <c r="D26" s="1" t="s">
        <v>2270</v>
      </c>
      <c r="E26" s="1" t="n">
        <v>0</v>
      </c>
      <c r="F26" s="1" t="str">
        <f aca="false">F25&amp;IF(C26=1,IF(F25="","",",")&amp;D26,"")</f>
        <v>infl,retireAge,planEnd,inv,cash,pen,penRet,wage</v>
      </c>
    </row>
    <row r="27" customFormat="false" ht="15" hidden="false" customHeight="false" outlineLevel="0" collapsed="false">
      <c r="B27" s="1" t="s">
        <v>2271</v>
      </c>
      <c r="C27" s="99" t="n">
        <f aca="false">IF(AND(1,Has_a_bands=0),1,0)</f>
        <v>1</v>
      </c>
      <c r="D27" s="1" t="s">
        <v>2272</v>
      </c>
      <c r="E27" s="1" t="n">
        <v>0</v>
      </c>
      <c r="F27" s="1" t="str">
        <f aca="false">F26&amp;IF(C27=1,IF(F26="","",",")&amp;D27,"")</f>
        <v>infl,retireAge,planEnd,inv,cash,pen,penRet,wage,bands</v>
      </c>
    </row>
    <row r="28" customFormat="false" ht="15" hidden="false" customHeight="false" outlineLevel="0" collapsed="false">
      <c r="B28" s="1" t="s">
        <v>1714</v>
      </c>
      <c r="C28" s="99" t="n">
        <f aca="false">IF(AND(1,Has_a_spGrow=0),1,0)</f>
        <v>1</v>
      </c>
      <c r="D28" s="1" t="s">
        <v>2273</v>
      </c>
      <c r="E28" s="1" t="n">
        <v>0</v>
      </c>
      <c r="F28" s="1" t="str">
        <f aca="false">F27&amp;IF(C28=1,IF(F27="","",",")&amp;D28,"")</f>
        <v>infl,retireAge,planEnd,inv,cash,pen,penRet,wage,bands,spGrow</v>
      </c>
    </row>
    <row r="29" customFormat="false" ht="15" hidden="false" customHeight="false" outlineLevel="0" collapsed="false">
      <c r="B29" s="1" t="s">
        <v>2274</v>
      </c>
      <c r="C29" s="99" t="n">
        <f aca="false">IF(AND(AND(OR(AS_SpOwn="Partly",AS_SpOwn="Not sure"),NOT(OR(Has_spYears=1,Has_a_spYears=1))),Has_a_spWeek=0),1,0)</f>
        <v>1</v>
      </c>
      <c r="D29" s="1" t="s">
        <v>2275</v>
      </c>
      <c r="E29" s="1" t="n">
        <v>0</v>
      </c>
      <c r="F29" s="1" t="str">
        <f aca="false">F28&amp;IF(C29=1,IF(F28="","",",")&amp;D29,"")</f>
        <v>infl,retireAge,planEnd,inv,cash,pen,penRet,wage,bands,spGrow,spWeek</v>
      </c>
    </row>
    <row r="30" customFormat="false" ht="15" hidden="false" customHeight="false" outlineLevel="0" collapsed="false">
      <c r="B30" s="1" t="s">
        <v>2276</v>
      </c>
      <c r="C30" s="99" t="n">
        <f aca="false">IF(AND(AND(F_Partner=1,OR(AS_PSpOwn="Own partial",AS_PSpOwn="Not sure")),Has_a_pSpWeek=0),1,0)</f>
        <v>0</v>
      </c>
      <c r="D30" s="1" t="s">
        <v>2277</v>
      </c>
      <c r="E30" s="1" t="n">
        <v>0</v>
      </c>
      <c r="F30" s="1" t="str">
        <f aca="false">F29&amp;IF(C30=1,IF(F29="","",",")&amp;D30,"")</f>
        <v>infl,retireAge,planEnd,inv,cash,pen,penRet,wage,bands,spGrow,spWeek</v>
      </c>
    </row>
    <row r="31" customFormat="false" ht="15" hidden="false" customHeight="false" outlineLevel="0" collapsed="false">
      <c r="B31" s="1" t="s">
        <v>2278</v>
      </c>
      <c r="C31" s="99" t="n">
        <f aca="false">IF(AND(AND(In_pensionM&gt;0,In_work&lt;&gt;"Not working",Has_pensionOwnM=0),Has_a_ownShare=0),1,0)</f>
        <v>0</v>
      </c>
      <c r="D31" s="1" t="s">
        <v>2279</v>
      </c>
      <c r="E31" s="1" t="n">
        <v>0</v>
      </c>
      <c r="F31" s="1" t="str">
        <f aca="false">F30&amp;IF(C31=1,IF(F30="","",",")&amp;D31,"")</f>
        <v>infl,retireAge,planEnd,inv,cash,pen,penRet,wage,bands,spGrow,spWeek</v>
      </c>
    </row>
    <row r="32" customFormat="false" ht="15" hidden="false" customHeight="false" outlineLevel="0" collapsed="false">
      <c r="B32" s="1" t="s">
        <v>2280</v>
      </c>
      <c r="C32" s="99" t="n">
        <f aca="false">IF(AND(RG_Exists=0,Has_a_retireSpend=0),1,0)</f>
        <v>1</v>
      </c>
      <c r="D32" s="1" t="s">
        <v>2281</v>
      </c>
      <c r="E32" s="1" t="n">
        <v>0</v>
      </c>
      <c r="F32" s="1" t="str">
        <f aca="false">F31&amp;IF(C32=1,IF(F31="","",",")&amp;D32,"")</f>
        <v>infl,retireAge,planEnd,inv,cash,pen,penRet,wage,bands,spGrow,spWeek,retireSpend</v>
      </c>
    </row>
    <row r="33" customFormat="false" ht="15" hidden="false" customHeight="false" outlineLevel="0" collapsed="false">
      <c r="B33" s="1" t="s">
        <v>2282</v>
      </c>
      <c r="C33" s="99" t="n">
        <f aca="false">IF(AND(1,Has_a_lumpSum=0),1,0)</f>
        <v>1</v>
      </c>
      <c r="D33" s="1" t="s">
        <v>2283</v>
      </c>
      <c r="E33" s="1" t="n">
        <v>0</v>
      </c>
      <c r="F33" s="1" t="str">
        <f aca="false">F32&amp;IF(C33=1,IF(F32="","",",")&amp;D33,"")</f>
        <v>infl,retireAge,planEnd,inv,cash,pen,penRet,wage,bands,spGrow,spWeek,retireSpend,lumpSum</v>
      </c>
    </row>
    <row r="34" customFormat="false" ht="15" hidden="false" customHeight="false" outlineLevel="0" collapsed="false">
      <c r="B34" s="1" t="s">
        <v>2284</v>
      </c>
      <c r="C34" s="99" t="n">
        <f aca="false">IF(AND(1,Has_a_drawRule=0),1,0)</f>
        <v>1</v>
      </c>
      <c r="D34" s="1" t="s">
        <v>2285</v>
      </c>
      <c r="E34" s="1" t="n">
        <v>0</v>
      </c>
      <c r="F34" s="1" t="str">
        <f aca="false">F33&amp;IF(C34=1,IF(F33="","",",")&amp;D34,"")</f>
        <v>infl,retireAge,planEnd,inv,cash,pen,penRet,wage,bands,spGrow,spWeek,retireSpend,lumpSum,drawRule</v>
      </c>
    </row>
    <row r="35" customFormat="false" ht="15" hidden="false" customHeight="false" outlineLevel="0" collapsed="false">
      <c r="B35" s="1" t="s">
        <v>2286</v>
      </c>
      <c r="C35" s="99" t="n">
        <f aca="false">IF(AND(AND(Has_a_drawRule=1,In_a_drawRule="fixed"),Has_a_drawFixed=0),1,0)</f>
        <v>0</v>
      </c>
      <c r="D35" s="1" t="s">
        <v>2287</v>
      </c>
      <c r="E35" s="1" t="n">
        <v>0</v>
      </c>
      <c r="F35" s="1" t="str">
        <f aca="false">F34&amp;IF(C35=1,IF(F34="","",",")&amp;D35,"")</f>
        <v>infl,retireAge,planEnd,inv,cash,pen,penRet,wage,bands,spGrow,spWeek,retireSpend,lumpSum,drawRule</v>
      </c>
    </row>
    <row r="36" customFormat="false" ht="15" hidden="false" customHeight="false" outlineLevel="0" collapsed="false">
      <c r="B36" s="1" t="s">
        <v>2288</v>
      </c>
      <c r="C36" s="99" t="n">
        <f aca="false">IF(AND(1,Has_a_safetyMonths=0),1,0)</f>
        <v>1</v>
      </c>
      <c r="D36" s="1" t="s">
        <v>2289</v>
      </c>
      <c r="E36" s="1" t="n">
        <v>0</v>
      </c>
      <c r="F36" s="1" t="str">
        <f aca="false">F35&amp;IF(C36=1,IF(F35="","",",")&amp;D36,"")</f>
        <v>infl,retireAge,planEnd,inv,cash,pen,penRet,wage,bands,spGrow,spWeek,retireSpend,lumpSum,drawRule,safetyMonths</v>
      </c>
    </row>
    <row r="37" customFormat="false" ht="15" hidden="false" customHeight="false" outlineLevel="0" collapsed="false">
      <c r="B37" s="1" t="s">
        <v>2290</v>
      </c>
      <c r="C37" s="99" t="n">
        <f aca="false">IF(AND(OR(AND(In_home="Own with mortgage",In_mortBal&gt;0,NOT(In_mortRate&gt;0)),Mort2_NeedsRate=1),Has_a_mortRate=0),1,0)</f>
        <v>0</v>
      </c>
      <c r="D37" s="1" t="s">
        <v>2291</v>
      </c>
      <c r="E37" s="1" t="n">
        <v>0</v>
      </c>
      <c r="F37" s="1" t="str">
        <f aca="false">F36&amp;IF(C37=1,IF(F36="","",",")&amp;D37,"")</f>
        <v>infl,retireAge,planEnd,inv,cash,pen,penRet,wage,bands,spGrow,spWeek,retireSpend,lumpSum,drawRule,safetyMonths</v>
      </c>
    </row>
    <row r="38" customFormat="false" ht="15" hidden="false" customHeight="false" outlineLevel="0" collapsed="false">
      <c r="B38" s="1" t="s">
        <v>2292</v>
      </c>
      <c r="C38" s="99" t="n">
        <f aca="false">IF(AND(AND(In_cardBal&gt;0,NOT(In_cardRate&gt;0)),Has_a_cardRate=0),1,0)</f>
        <v>0</v>
      </c>
      <c r="D38" s="1" t="s">
        <v>2293</v>
      </c>
      <c r="E38" s="1" t="n">
        <v>0</v>
      </c>
      <c r="F38" s="1" t="str">
        <f aca="false">F37&amp;IF(C38=1,IF(F37="","",",")&amp;D38,"")</f>
        <v>infl,retireAge,planEnd,inv,cash,pen,penRet,wage,bands,spGrow,spWeek,retireSpend,lumpSum,drawRule,safetyMonths</v>
      </c>
    </row>
    <row r="39" customFormat="false" ht="15" hidden="false" customHeight="false" outlineLevel="0" collapsed="false">
      <c r="B39" s="1" t="s">
        <v>2294</v>
      </c>
      <c r="C39" s="99" t="n">
        <f aca="false">IF(AND(AND(In_loanBal+In_debt&gt;0,NOT(In_loanRate&gt;0)),Has_a_loanRate=0),1,0)</f>
        <v>0</v>
      </c>
      <c r="D39" s="1" t="s">
        <v>2295</v>
      </c>
      <c r="E39" s="1" t="n">
        <v>0</v>
      </c>
      <c r="F39" s="1" t="str">
        <f aca="false">F38&amp;IF(C39=1,IF(F38="","",",")&amp;D39,"")</f>
        <v>infl,retireAge,planEnd,inv,cash,pen,penRet,wage,bands,spGrow,spWeek,retireSpend,lumpSum,drawRule,safetyMonths</v>
      </c>
    </row>
    <row r="40" customFormat="false" ht="15" hidden="false" customHeight="false" outlineLevel="0" collapsed="false">
      <c r="B40" s="1" t="s">
        <v>2296</v>
      </c>
      <c r="C40" s="99" t="n">
        <f aca="false">IF(AND(1,Has_a_cashYears=0),1,0)</f>
        <v>1</v>
      </c>
      <c r="D40" s="1" t="s">
        <v>2297</v>
      </c>
      <c r="E40" s="1" t="n">
        <v>0</v>
      </c>
      <c r="F40" s="1" t="str">
        <f aca="false">F39&amp;IF(C40=1,IF(F39="","",",")&amp;D40,"")</f>
        <v>infl,retireAge,planEnd,inv,cash,pen,penRet,wage,bands,spGrow,spWeek,retireSpend,lumpSum,drawRule,safetyMonths,cashYears</v>
      </c>
    </row>
    <row r="41" customFormat="false" ht="15" hidden="false" customHeight="false" outlineLevel="0" collapsed="false">
      <c r="B41" s="1" t="s">
        <v>2298</v>
      </c>
      <c r="C41" s="99" t="n">
        <f aca="false">IF(AND(1,Has_a_investShare=0),1,0)</f>
        <v>1</v>
      </c>
      <c r="D41" s="1" t="s">
        <v>2299</v>
      </c>
      <c r="E41" s="1" t="n">
        <v>0</v>
      </c>
      <c r="F41" s="1" t="str">
        <f aca="false">F40&amp;IF(C41=1,IF(F40="","",",")&amp;D41,"")</f>
        <v>infl,retireAge,planEnd,inv,cash,pen,penRet,wage,bands,spGrow,spWeek,retireSpend,lumpSum,drawRule,safetyMonths,cashYears,investShare</v>
      </c>
    </row>
    <row r="42" customFormat="false" ht="15" hidden="false" customHeight="false" outlineLevel="0" collapsed="false">
      <c r="B42" s="1" t="s">
        <v>2300</v>
      </c>
      <c r="C42" s="99" t="n">
        <f aca="false">IF(AND(Has_saveM=0,Has_a_saveShare=0),1,0)</f>
        <v>1</v>
      </c>
      <c r="D42" s="1" t="s">
        <v>2301</v>
      </c>
      <c r="E42" s="1" t="n">
        <v>0</v>
      </c>
      <c r="F42" s="1" t="str">
        <f aca="false">F41&amp;IF(C42=1,IF(F41="","",",")&amp;D42,"")</f>
        <v>infl,retireAge,planEnd,inv,cash,pen,penRet,wage,bands,spGrow,spWeek,retireSpend,lumpSum,drawRule,safetyMonths,cashYears,investShare,saveShare</v>
      </c>
    </row>
    <row r="43" customFormat="false" ht="15" hidden="false" customHeight="false" outlineLevel="0" collapsed="false">
      <c r="B43" s="1" t="s">
        <v>2302</v>
      </c>
      <c r="C43" s="99" t="n">
        <f aca="false">IF(AND(AND(Has_saveM=0,Has_q6=0),Has_a_noAnswer=0),1,0)</f>
        <v>1</v>
      </c>
      <c r="D43" s="1" t="s">
        <v>2303</v>
      </c>
      <c r="E43" s="1" t="n">
        <v>0</v>
      </c>
      <c r="F43" s="1" t="str">
        <f aca="false">F42&amp;IF(C43=1,IF(F42="","",",")&amp;D43,"")</f>
        <v>infl,retireAge,planEnd,inv,cash,pen,penRet,wage,bands,spGrow,spWeek,retireSpend,lumpSum,drawRule,safetyMonths,cashYears,investShare,saveShare,noAnswer</v>
      </c>
    </row>
    <row r="44" customFormat="false" ht="15" hidden="false" customHeight="false" outlineLevel="0" collapsed="false">
      <c r="B44" s="1" t="s">
        <v>2304</v>
      </c>
      <c r="C44" s="99" t="n">
        <f aca="false">IF(AND(1,Has_a_startYear=0),1,0)</f>
        <v>1</v>
      </c>
      <c r="D44" s="1" t="s">
        <v>2305</v>
      </c>
      <c r="E44" s="1" t="n">
        <v>0</v>
      </c>
      <c r="F44" s="1" t="str">
        <f aca="false">F43&amp;IF(C44=1,IF(F43="","",",")&amp;D44,"")</f>
        <v>infl,retireAge,planEnd,inv,cash,pen,penRet,wage,bands,spGrow,spWeek,retireSpend,lumpSum,drawRule,safetyMonths,cashYears,investShare,saveShare,noAnswer,startYear</v>
      </c>
    </row>
    <row r="45" customFormat="false" ht="15" hidden="false" customHeight="false" outlineLevel="0" collapsed="false">
      <c r="B45" s="1" t="s">
        <v>2306</v>
      </c>
      <c r="C45" s="99" t="n">
        <f aca="false">SUM($C$13:$C$44)</f>
        <v>20</v>
      </c>
    </row>
    <row r="46" customFormat="false" ht="15" hidden="false" customHeight="false" outlineLevel="0" collapsed="false">
      <c r="B46" s="1" t="s">
        <v>2307</v>
      </c>
      <c r="C46" s="99" t="str">
        <f aca="false">F44</f>
        <v>infl,retireAge,planEnd,inv,cash,pen,penRet,wage,bands,spGrow,spWeek,retireSpend,lumpSum,drawRule,safetyMonths,cashYears,investShare,saveShare,noAnswer,startYear</v>
      </c>
    </row>
    <row r="47" customFormat="false" ht="15" hidden="false" customHeight="false" outlineLevel="0" collapsed="false">
      <c r="B47" s="1" t="s">
        <v>2308</v>
      </c>
      <c r="C47" s="99" t="str">
        <f aca="false">IF(Gate_Count=0,"",IFERROR(INDEX($B$13:$B$44,MATCH(1,$C$13:$C$44,0)),""))</f>
        <v>inflation rate</v>
      </c>
    </row>
    <row r="48" customFormat="false" ht="15" hidden="false" customHeight="false" outlineLevel="0" collapsed="false">
      <c r="B48" s="1" t="s">
        <v>2309</v>
      </c>
      <c r="C48" s="99" t="str">
        <f aca="false">IF(Gate_Count=0,"",IF(INDEX($E$13:$E$44,MATCH(1,$C$13:$C$44,0))=1,"Add ","Choose ")&amp;IF(LEFT(Gate_FirstLabel,4)="the ","","your ")&amp;Gate_FirstLabel&amp;" to see this")</f>
        <v>Choose your inflation rate to see this</v>
      </c>
    </row>
    <row r="49" customFormat="false" ht="15" hidden="false" customHeight="false" outlineLevel="0" collapsed="false">
      <c r="B49" s="1" t="s">
        <v>2310</v>
      </c>
      <c r="C49" s="99" t="n">
        <f aca="false">IF(Gate_Count=0,1,0)</f>
        <v>0</v>
      </c>
    </row>
    <row r="50" customFormat="false" ht="15" hidden="false" customHeight="false" outlineLevel="0" collapsed="false">
      <c r="B50" s="1" t="s">
        <v>2311</v>
      </c>
      <c r="C50" s="99" t="n">
        <f aca="false">3+IF(AND(F_Partner=1,In_pIncome&gt;0),1,0)</f>
        <v>3</v>
      </c>
    </row>
    <row r="51" customFormat="false" ht="15" hidden="false" customHeight="false" outlineLevel="0" collapsed="false">
      <c r="B51" s="1" t="s">
        <v>2312</v>
      </c>
      <c r="C51" s="99" t="n">
        <f aca="false">Req_Count-(C13+C14+C20+C16)</f>
        <v>0</v>
      </c>
    </row>
    <row r="52" customFormat="false" ht="15" hidden="false" customHeight="false" outlineLevel="0" collapsed="false">
      <c r="B52" s="1" t="s">
        <v>2313</v>
      </c>
      <c r="C52" s="99" t="n">
        <f aca="false">C21+C22+C23+C24+C26+C27+C28+C31+C32+C33+C34+C36+C40+C41+C42+C43+C44</f>
        <v>16</v>
      </c>
    </row>
    <row r="53" customFormat="false" ht="15" hidden="false" customHeight="false" outlineLevel="0" collapsed="false">
      <c r="B53" s="1" t="s">
        <v>2314</v>
      </c>
      <c r="C53" s="99" t="n">
        <f aca="false">IF(AND(1,1),1,0)+IF(AND(1,1),1,0)+IF(AND(1,1),1,0)+IF(AND(1,1),1,0)+IF(AND(1,1),1,0)+IF(AND(1,1),1,0)+IF(AND(1,1),1,0)+IF(AND(AND(In_pensionM&gt;0,In_work&lt;&gt;"Not working",Has_pensionOwnM=0),1),1,0)+IF(AND(RG_Exists=0,1),1,0)+IF(AND(1,1),1,0)+IF(AND(1,1),1,0)+IF(AND(1,1),1,0)+IF(AND(1,1),1,0)+IF(AND(1,1),1,0)+IF(AND(Has_saveM=0,1),1,0)+IF(AND(AND(Has_saveM=0,Has_q6=0),1),1,0)+IF(AND(1,1),1,0)</f>
        <v>16</v>
      </c>
    </row>
    <row r="55" customFormat="false" ht="15" hidden="false" customHeight="false" outlineLevel="0" collapsed="false">
      <c r="B55" s="91" t="s">
        <v>2315</v>
      </c>
      <c r="C55" s="91" t="s">
        <v>1490</v>
      </c>
    </row>
    <row r="56" customFormat="false" ht="15" hidden="false" customHeight="false" outlineLevel="0" collapsed="false">
      <c r="B56" s="1" t="s">
        <v>2316</v>
      </c>
      <c r="C56" s="99" t="n">
        <f aca="false">IF(SUM('Plan cashflow'!$JC$8:$JC$97)&gt;0,1,0)</f>
        <v>0</v>
      </c>
    </row>
    <row r="57" customFormat="false" ht="15" hidden="false" customHeight="false" outlineLevel="0" collapsed="false">
      <c r="B57" s="1" t="s">
        <v>2317</v>
      </c>
      <c r="C57" s="99" t="str">
        <f aca="false">IF(COUNT(GR_Best)&gt;0,MAX(GR_Best),"")</f>
        <v/>
      </c>
    </row>
    <row r="58" customFormat="false" ht="15" hidden="false" customHeight="false" outlineLevel="0" collapsed="false">
      <c r="B58" s="1" t="s">
        <v>2318</v>
      </c>
      <c r="C58" s="99" t="n">
        <f aca="false">IF(Find_BestScore="",0,MATCH(Find_BestScore,GR_Best,0))</f>
        <v>0</v>
      </c>
    </row>
    <row r="59" customFormat="false" ht="15" hidden="false" customHeight="false" outlineLevel="0" collapsed="false">
      <c r="B59" s="1" t="s">
        <v>2319</v>
      </c>
      <c r="C59" s="99" t="n">
        <f aca="false">IF(COUNT(GR_Worst)&gt;0,MATCH(MIN(GR_Worst),GR_Worst,0),0)</f>
        <v>0</v>
      </c>
    </row>
    <row r="60" customFormat="false" ht="15" hidden="false" customHeight="false" outlineLevel="0" collapsed="false">
      <c r="B60" s="1" t="s">
        <v>2320</v>
      </c>
      <c r="C60" s="99" t="str">
        <f aca="false">IF(Find_WorstIdx&gt;0,INDEX(GR_Pct,Find_WorstIdx),"")</f>
        <v/>
      </c>
    </row>
    <row r="61" customFormat="false" ht="15" hidden="false" customHeight="false" outlineLevel="0" collapsed="false">
      <c r="B61" s="1" t="s">
        <v>2321</v>
      </c>
      <c r="C61" s="99" t="str">
        <f aca="false">IF(Find_WorstIdx&gt;0,INDEX(GR_Name,Find_WorstIdx),"")</f>
        <v/>
      </c>
    </row>
    <row r="62" customFormat="false" ht="15" hidden="false" customHeight="false" outlineLevel="0" collapsed="false">
      <c r="B62" s="1" t="s">
        <v>2322</v>
      </c>
      <c r="C62" s="92"/>
    </row>
    <row r="63" customFormat="false" ht="15" hidden="false" customHeight="false" outlineLevel="0" collapsed="false">
      <c r="B63" s="1" t="s">
        <v>2323</v>
      </c>
      <c r="C63" s="99" t="str">
        <f aca="false">IF(Find_BestIdx&gt;0,IF(INDEX(GR_Kind,Find_BestIdx)="retire","Your pension and savings cover retiring at "&amp;INDEX(GR_AgeT,Find_BestIdx),INDEX(GR_Name,Find_BestIdx)&amp;" is "&amp;INDEX(GR_Pct,Find_BestIdx)&amp;"% covered"),IF(Findings_Over=1,"No strength to point to yet: your spending is more than comes in","Nothing is fully covered yet, so closing the gap comes first"))</f>
        <v>Nothing is fully covered yet, so closing the gap comes first</v>
      </c>
    </row>
    <row r="64" customFormat="false" ht="15" hidden="false" customHeight="false" outlineLevel="0" collapsed="false">
      <c r="B64" s="1" t="s">
        <v>2324</v>
      </c>
      <c r="C64" s="99" t="str">
        <f aca="false">IF(Find_WorstIdx=0,"",IF(Find_WorstPct&gt;=95,"No big gaps right now",Find_WorstName&amp;" is "&amp;Find_WorstPct&amp;"% covered"))</f>
        <v/>
      </c>
    </row>
    <row r="65" customFormat="false" ht="15" hidden="false" customHeight="false" outlineLevel="0" collapsed="false">
      <c r="B65" s="1" t="s">
        <v>2325</v>
      </c>
      <c r="C65" s="99" t="str">
        <f aca="false">IF(Find_WorstIdx=0,"",IF(Find_WorstPct&gt;=95,IF(OR(In_life&lt;&gt;"Yes",In_ip&lt;&gt;"Yes"),"Worth a look: would your plan cope with illness or death? An adviser can check your cover with you","A yearly review keeps it on track"),IF(ISNUMBER(Find_ExtraFor),"Saving about "&amp;"€"&amp;TEXT(ROUND(Find_ExtraFor,0),"#,##0")&amp;" more a month could close this gap, on our assumptions",IF(Find_ExtraFor="","Type the extra the what-if search finds in Find_ExtraFor to see this line","Moving "&amp;LOWER(Find_WorstName)&amp;" later, or changing the amount, would make the biggest difference"))))</f>
        <v/>
      </c>
    </row>
    <row r="67" customFormat="false" ht="15" hidden="false" customHeight="false" outlineLevel="0" collapsed="false">
      <c r="B67" s="91" t="s">
        <v>2326</v>
      </c>
      <c r="C67" s="91" t="s">
        <v>1490</v>
      </c>
    </row>
    <row r="68" customFormat="false" ht="15" hidden="false" customHeight="false" outlineLevel="0" collapsed="false">
      <c r="B68" s="1" t="s">
        <v>2327</v>
      </c>
      <c r="C68" s="99" t="n">
        <f aca="false">F_R-F_Age</f>
        <v>0</v>
      </c>
    </row>
    <row r="69" customFormat="false" ht="15" hidden="false" customHeight="false" outlineLevel="0" collapsed="false">
      <c r="B69" s="1" t="s">
        <v>2328</v>
      </c>
      <c r="C69" s="99" t="n">
        <f aca="false">IF(AND(Ret_Year&gt;=0,Ret_Year&lt;=F_N),INDEX('Plan pay &amp; tax'!$S$210:$S$299,Ret_Year+1),"")</f>
        <v>0</v>
      </c>
    </row>
    <row r="70" customFormat="false" ht="15" hidden="false" customHeight="false" outlineLevel="0" collapsed="false">
      <c r="B70" s="1" t="s">
        <v>2329</v>
      </c>
      <c r="C70" s="99" t="n">
        <f aca="false">IF(AND(Ret_Year&gt;=0,Ret_Year&lt;=F_N),INDEX('Plan cashflow'!$G$8:$G$97,Ret_Year+1)/INDEX('Plan cashflow'!$E$8:$E$97,Ret_Year+1)/12,"")</f>
        <v>0</v>
      </c>
    </row>
    <row r="71" customFormat="false" ht="15" hidden="false" customHeight="false" outlineLevel="0" collapsed="false">
      <c r="B71" s="1" t="s">
        <v>2330</v>
      </c>
      <c r="C71" s="99" t="n">
        <f aca="false">IF(AND(Ret_Year&gt;=0,Ret_Year&lt;=F_N),INDEX('Plan pay &amp; tax'!$Y$210:$Y$299,MAX(F_R,PR_Earliest)-F_Age+1),0)</f>
        <v>0</v>
      </c>
    </row>
    <row r="73" customFormat="false" ht="15" hidden="false" customHeight="false" outlineLevel="0" collapsed="false">
      <c r="B73" s="91" t="s">
        <v>2331</v>
      </c>
      <c r="C73" s="91" t="s">
        <v>1490</v>
      </c>
    </row>
    <row r="74" customFormat="false" ht="15" hidden="false" customHeight="false" outlineLevel="0" collapsed="false">
      <c r="B74" s="1" t="s">
        <v>2332</v>
      </c>
      <c r="C74" s="99" t="str">
        <f aca="false">IF(OR(AND(Has_income=0,In_work&lt;&gt;"Not working"),Has_costsM=0),"na",IF(ROUND(('Plan cashflow'!$G$8-'Plan cashflow'!$IN$8)/12,0)&lt;0,"bad",IF(ROUND(('Plan cashflow'!$G$8-'Plan cashflow'!$IN$8)/12,0)&lt;0.05*MAX(1,'Plan cashflow'!$G$8/12),"mid","ok")))</f>
        <v>na</v>
      </c>
    </row>
    <row r="75" customFormat="false" ht="15" hidden="false" customHeight="false" outlineLevel="0" collapsed="false">
      <c r="B75" s="1" t="s">
        <v>2333</v>
      </c>
      <c r="C75" s="99" t="str">
        <f aca="false">IF(Fnd1_St="na","Add your income and spending to check this",IF(ROUND(('Plan cashflow'!$G$8-'Plan cashflow'!$IN$8)/12,0)&lt;0,"Spending about "&amp;"€"&amp;TEXT(ROUND(-ROUND(('Plan cashflow'!$G$8-'Plan cashflow'!$IN$8)/12,0),0),"#,##0")&amp;" a month more than comes in","About "&amp;"€"&amp;TEXT(ROUND(ROUND(('Plan cashflow'!$G$8-'Plan cashflow'!$IN$8)/12,0),0),"#,##0")&amp;" a month spare"))</f>
        <v>Add your income and spending to check this</v>
      </c>
    </row>
    <row r="76" customFormat="false" ht="15" hidden="false" customHeight="false" outlineLevel="0" collapsed="false">
      <c r="B76" s="1" t="s">
        <v>2334</v>
      </c>
      <c r="C76" s="99" t="str">
        <f aca="false">IF(AND(Has_cash=1,Has_costsM=1,F_EssM&gt;0),IF(F_Cash/F_EssM&gt;=AS_Months,"ok",IF(F_Cash/F_EssM&gt;=3,"mid","bad")),"na")</f>
        <v>na</v>
      </c>
    </row>
    <row r="77" customFormat="false" ht="15" hidden="false" customHeight="false" outlineLevel="0" collapsed="false">
      <c r="B77" s="1" t="s">
        <v>2335</v>
      </c>
      <c r="C77" s="99" t="str">
        <f aca="false">IF(Fnd2_St="na","Add your assets to check this",IF(Fnd2_St="ok",INT(F_Cash/F_EssM*10)/10&amp;" months of essential spending · target of "&amp;AS_Months&amp;" met",INT(F_Cash/F_EssM*10)/10&amp;" of "&amp;AS_Months&amp;" months of essential spending"))</f>
        <v>Add your assets to check this</v>
      </c>
    </row>
    <row r="78" customFormat="false" ht="15" hidden="false" customHeight="false" outlineLevel="0" collapsed="false">
      <c r="B78" s="1" t="s">
        <v>2336</v>
      </c>
      <c r="C78" s="99" t="n">
        <f aca="false">IF(OR(F_CardPayM&lt;=F_CardBal*D_iC,F_CardPayM&lt;=0),1E+099,CEILING(ROUND(IF(D_iC&lt;&gt;0,-LN(1-F_CardBal*D_iC/F_CardPayM)/LN(1+D_iC),F_CardBal/F_CardPayM)*1000000,0)/1000000,1))</f>
        <v>1E+099</v>
      </c>
    </row>
    <row r="79" customFormat="false" ht="15" hidden="false" customHeight="false" outlineLevel="0" collapsed="false">
      <c r="B79" s="1" t="s">
        <v>2337</v>
      </c>
      <c r="C79" s="99" t="n">
        <f aca="false">IF(OR(F_LoanPayM&lt;=F_LoanBal*D_iL,F_LoanPayM&lt;=0),1E+099,CEILING(ROUND(IF(D_iL&lt;&gt;0,-LN(1-F_LoanBal*D_iL/F_LoanPayM)/LN(1+D_iL),F_LoanBal/F_LoanPayM)*1000000,0)/1000000,1))</f>
        <v>1E+099</v>
      </c>
    </row>
    <row r="80" customFormat="false" ht="15" hidden="false" customHeight="false" outlineLevel="0" collapsed="false">
      <c r="B80" s="1" t="s">
        <v>2338</v>
      </c>
      <c r="C80" s="99" t="n">
        <f aca="false">IF(OR(Has_cardBal=1,Has_loanBal=1,Has_debt=1),1,0)</f>
        <v>0</v>
      </c>
    </row>
    <row r="81" customFormat="false" ht="15" hidden="false" customHeight="false" outlineLevel="0" collapsed="false">
      <c r="B81" s="1" t="s">
        <v>2339</v>
      </c>
      <c r="C81" s="99" t="str">
        <f aca="false">IF(AND(L3_Debt=1,F_CardBal&gt;1),IF(L3_CardM&lt;=12,"mid","bad"),"")</f>
        <v/>
      </c>
    </row>
    <row r="82" customFormat="false" ht="15" hidden="false" customHeight="false" outlineLevel="0" collapsed="false">
      <c r="B82" s="1" t="s">
        <v>2340</v>
      </c>
      <c r="C82" s="99" t="str">
        <f aca="false">IF(L3_CardSt="","","Credit card "&amp;"€"&amp;TEXT(ROUND(F_CardBal,0),"#,##0")&amp;IF(L3_CardSt="mid"," clears in about "&amp;MAX(1,L3_CardM)&amp;" months",IF(L3_CardM&gt;=1E+099," with no repayment set"," takes about "&amp;L3_CardM&amp;" months to clear"))&amp;IF(F_CardPayEst=1," (repayment worked out from your figures, because "&amp;IF(In_cardPayM&gt;0,"the repayment given doesn't cover the interest",IF(Has_cardPayM=1,"a €0 repayment wouldn't clear it","no repayment was given"))&amp;")",""))</f>
        <v/>
      </c>
    </row>
    <row r="83" customFormat="false" ht="15" hidden="false" customHeight="false" outlineLevel="0" collapsed="false">
      <c r="B83" s="1" t="s">
        <v>2341</v>
      </c>
      <c r="C83" s="99" t="str">
        <f aca="false">IF(AND(L3_Debt=1,F_LoanBal&gt;1),IF(L3_LoanM&lt;=24,"mid","bad"),"")</f>
        <v/>
      </c>
    </row>
    <row r="84" customFormat="false" ht="15" hidden="false" customHeight="false" outlineLevel="0" collapsed="false">
      <c r="B84" s="1" t="s">
        <v>2342</v>
      </c>
      <c r="C84" s="99" t="str">
        <f aca="false">IF(L3_LoanSt="","","Loans of "&amp;"€"&amp;TEXT(ROUND(F_LoanBal,0),"#,##0")&amp;IF(L3_LoanSt="mid"," clear in about "&amp;MAX(1,L3_LoanM)&amp;" months",IF(L3_LoanM&gt;=1E+099," with no repayment set"," take about "&amp;CEILING(L3_LoanM/12,1)&amp;" years to clear"))&amp;IF(F_LoanPayEst=1," (repayment worked out from your figures, because "&amp;IF(In_loanPayM&gt;0,"the repayment given doesn't cover the interest",IF(Has_loanPayM=1,"a €0 repayment wouldn't clear it","no repayment was given"))&amp;")",""))</f>
        <v/>
      </c>
    </row>
    <row r="85" customFormat="false" ht="15" hidden="false" customHeight="false" outlineLevel="0" collapsed="false">
      <c r="B85" s="1" t="s">
        <v>2343</v>
      </c>
      <c r="C85" s="99" t="str">
        <f aca="false">IF(AND(L3_Debt=1,F_Debt&lt;=1),"ok","")</f>
        <v/>
      </c>
    </row>
    <row r="86" customFormat="false" ht="15" hidden="false" customHeight="false" outlineLevel="0" collapsed="false">
      <c r="B86" s="1" t="s">
        <v>2344</v>
      </c>
      <c r="C86" s="99" t="str">
        <f aca="false">IF(L3_NoDebtSt="","","No costly debt")</f>
        <v/>
      </c>
    </row>
    <row r="87" customFormat="false" ht="15" hidden="false" customHeight="false" outlineLevel="0" collapsed="false">
      <c r="B87" s="1" t="s">
        <v>2345</v>
      </c>
      <c r="C87" s="99" t="n">
        <f aca="false">IF(In_workCover="Yes",Cover_Work_Total,0)</f>
        <v>0</v>
      </c>
    </row>
    <row r="88" customFormat="false" ht="15" hidden="false" customHeight="false" outlineLevel="0" collapsed="false">
      <c r="B88" s="1" t="s">
        <v>2346</v>
      </c>
      <c r="C88" s="99" t="n">
        <f aca="false">IF(In_life="Yes",Cover_Life_Total,0)</f>
        <v>0</v>
      </c>
    </row>
    <row r="89" customFormat="false" ht="15" hidden="false" customHeight="false" outlineLevel="0" collapsed="false">
      <c r="B89" s="1" t="s">
        <v>2347</v>
      </c>
      <c r="C89" s="99" t="n">
        <f aca="false">IF(OR(F_Partner=1,In_deps&gt;0),1,0)</f>
        <v>0</v>
      </c>
    </row>
    <row r="90" customFormat="false" ht="15" hidden="false" customHeight="false" outlineLevel="0" collapsed="false">
      <c r="B90" s="1" t="s">
        <v>2348</v>
      </c>
      <c r="C90" s="99" t="str">
        <f aca="false">IF(L3_NeedLife=0,"",IF(Has_life=0,"na",IF(OR(In_life="Yes",L3_CoverWork&gt;0),"ok",IF(In_life="No","bad","mid"))))</f>
        <v/>
      </c>
    </row>
    <row r="91" customFormat="false" ht="15" hidden="false" customHeight="false" outlineLevel="0" collapsed="false">
      <c r="B91" s="1" t="s">
        <v>2349</v>
      </c>
      <c r="C91" s="99" t="str">
        <f aca="false">IF(L3_LifeSt="","",IF(L3_LifeSt="na","Add your protection to check life cover",IF(L3_LifeSt="ok",IF(In_life="Yes","Life cover in place"&amp;IF(L3_CoverLife&gt;0," ("&amp;"€"&amp;TEXT(ROUND(L3_CoverLife,0),"#,##0")&amp;" covered)","")&amp;IF(L3_CoverWork&gt;0,", plus "&amp;"€"&amp;TEXT(ROUND(L3_CoverWork,0),"#,##0")&amp;" through work",""),"Cover through work in place ("&amp;"€"&amp;TEXT(ROUND(L3_CoverWork,0),"#,##0")&amp;")"),IF(In_life="No","No life cover, and ","Not sure about life cover, and ")&amp;IF(In_deps&gt;0,"people rely on you","you plan with a partner"))))</f>
        <v/>
      </c>
    </row>
    <row r="92" customFormat="false" ht="15" hidden="false" customHeight="false" outlineLevel="0" collapsed="false">
      <c r="B92" s="1" t="s">
        <v>2350</v>
      </c>
      <c r="C92" s="99" t="str">
        <f aca="false">IF(AND(In_work&lt;&gt;"",In_work&lt;&gt;"Not working"),IF(Has_ip=0,"na",IF(In_ip="Yes","ok","mid")),"")</f>
        <v/>
      </c>
    </row>
    <row r="93" customFormat="false" ht="15" hidden="false" customHeight="false" outlineLevel="0" collapsed="false">
      <c r="B93" s="1" t="s">
        <v>2351</v>
      </c>
      <c r="C93" s="99" t="str">
        <f aca="false">IF(L3_IpSt="","",IF(L3_IpSt="na","Add your protection to check income protection",IF(L3_IpSt="ok","Income protection in place"&amp;IF(AND(In_ip="Yes",IP_Listed_Total&gt;0)," ("&amp;"€"&amp;TEXT(ROUND(IP_Listed_Total,0),"#,##0")&amp;" a month)",""),"No income protection if you couldn't work")))</f>
        <v/>
      </c>
    </row>
    <row r="94" customFormat="false" ht="15" hidden="false" customHeight="false" outlineLevel="0" collapsed="false">
      <c r="B94" s="1" t="s">
        <v>2352</v>
      </c>
      <c r="C94" s="99" t="n">
        <f aca="false">MIN(IF(L3_CardSt="",9,IF(L3_CardSt="bad",0,IF(L3_CardSt="mid",1,IF(L3_CardSt="na",2,3)))),IF(L3_LoanSt="",9,IF(L3_LoanSt="bad",0,IF(L3_LoanSt="mid",1,IF(L3_LoanSt="na",2,3)))),IF(L3_NoDebtSt="",9,IF(L3_NoDebtSt="bad",0,IF(L3_NoDebtSt="mid",1,IF(L3_NoDebtSt="na",2,3)))),IF(L3_LifeSt="",9,IF(L3_LifeSt="bad",0,IF(L3_LifeSt="mid",1,IF(L3_LifeSt="na",2,3)))),IF(L3_IpSt="",9,IF(L3_IpSt="bad",0,IF(L3_IpSt="mid",1,IF(L3_IpSt="na",2,3)))))</f>
        <v>9</v>
      </c>
    </row>
    <row r="95" customFormat="false" ht="15" hidden="false" customHeight="false" outlineLevel="0" collapsed="false">
      <c r="B95" s="1" t="s">
        <v>2353</v>
      </c>
      <c r="C95" s="99" t="str">
        <f aca="false">IF(L3_Rank=9,"na",IF(IF(L3_CardSt="",9,IF(L3_CardSt="bad",0,IF(L3_CardSt="mid",1,IF(L3_CardSt="na",2,3))))=L3_Rank,L3_CardSt,IF(IF(L3_LoanSt="",9,IF(L3_LoanSt="bad",0,IF(L3_LoanSt="mid",1,IF(L3_LoanSt="na",2,3))))=L3_Rank,L3_LoanSt,IF(IF(L3_NoDebtSt="",9,IF(L3_NoDebtSt="bad",0,IF(L3_NoDebtSt="mid",1,IF(L3_NoDebtSt="na",2,3))))=L3_Rank,L3_NoDebtSt,IF(IF(L3_LifeSt="",9,IF(L3_LifeSt="bad",0,IF(L3_LifeSt="mid",1,IF(L3_LifeSt="na",2,3))))=L3_Rank,L3_LifeSt,L3_IpSt)))))</f>
        <v>na</v>
      </c>
    </row>
    <row r="96" customFormat="false" ht="15" hidden="false" customHeight="false" outlineLevel="0" collapsed="false">
      <c r="B96" s="1" t="s">
        <v>2354</v>
      </c>
      <c r="C96" s="99" t="str">
        <f aca="false">IF(L3_Rank=9,"Add your loans and protection to check this",IF(IF(L3_CardSt="",9,IF(L3_CardSt="bad",0,IF(L3_CardSt="mid",1,IF(L3_CardSt="na",2,3))))=L3_Rank,L3_CardS,IF(IF(L3_LoanSt="",9,IF(L3_LoanSt="bad",0,IF(L3_LoanSt="mid",1,IF(L3_LoanSt="na",2,3))))=L3_Rank,L3_LoanS,IF(IF(L3_NoDebtSt="",9,IF(L3_NoDebtSt="bad",0,IF(L3_NoDebtSt="mid",1,IF(L3_NoDebtSt="na",2,3))))=L3_Rank,L3_NoDebtS,IF(IF(L3_LifeSt="",9,IF(L3_LifeSt="bad",0,IF(L3_LifeSt="mid",1,IF(L3_LifeSt="na",2,3))))=L3_Rank,L3_LifeS,L3_IpS)))))</f>
        <v>Add your loans and protection to check this</v>
      </c>
    </row>
    <row r="97" customFormat="false" ht="15" hidden="false" customHeight="false" outlineLevel="0" collapsed="false">
      <c r="B97" s="1" t="s">
        <v>2355</v>
      </c>
      <c r="C97" s="99" t="n">
        <f aca="false">SUMPRODUCT((GR_Key&lt;&gt;"")*(GR_Kind&lt;&gt;"legacy"))</f>
        <v>0</v>
      </c>
    </row>
    <row r="98" customFormat="false" ht="15" hidden="false" customHeight="false" outlineLevel="0" collapsed="false">
      <c r="B98" s="1" t="s">
        <v>2356</v>
      </c>
      <c r="C98" s="99" t="n">
        <f aca="false">SUMPRODUCT((GR_Key&lt;&gt;"")*(GR_Kind&lt;&gt;"legacy")*(GR_PctN&gt;=95))</f>
        <v>0</v>
      </c>
    </row>
    <row r="99" customFormat="false" ht="15" hidden="false" customHeight="false" outlineLevel="0" collapsed="false">
      <c r="B99" s="1" t="s">
        <v>2357</v>
      </c>
      <c r="C99" s="99" t="n">
        <f aca="false">SUMPRODUCT((GR_Key&lt;&gt;"")*(GR_Kind&lt;&gt;"legacy")*(GR_PctN&lt;50))</f>
        <v>0</v>
      </c>
    </row>
    <row r="100" customFormat="false" ht="15" hidden="false" customHeight="false" outlineLevel="0" collapsed="false">
      <c r="B100" s="1" t="s">
        <v>2358</v>
      </c>
      <c r="C100" s="99" t="n">
        <f aca="false">IF(OR(F_PenM&gt;0,IF(RG_Exists=1,INDEX(GR_PctN,RG_Row)&gt;=95,FALSE())),1,0)</f>
        <v>0</v>
      </c>
    </row>
    <row r="101" customFormat="false" ht="15" hidden="false" customHeight="false" outlineLevel="0" collapsed="false">
      <c r="B101" s="1" t="s">
        <v>2359</v>
      </c>
      <c r="C101" s="99" t="str">
        <f aca="false">IF(L4_N=0,"na",IF(L4_Low&gt;L4_N/2,"bad",IF(AND(L4_On=L4_N,L4_PenOn=1),"ok","mid")))</f>
        <v>na</v>
      </c>
    </row>
    <row r="102" customFormat="false" ht="15" hidden="false" customHeight="false" outlineLevel="0" collapsed="false">
      <c r="B102" s="1" t="s">
        <v>2360</v>
      </c>
      <c r="C102" s="99" t="str">
        <f aca="false">IF(L4_N&gt;0,L4_On&amp;" of "&amp;L4_N&amp;" goals on track"&amp;IF(L4_PenOn=1," · pension saving under way"," · no pension saving yet"),"Add goals to check this")</f>
        <v>Add goals to check this</v>
      </c>
    </row>
    <row r="103" customFormat="false" ht="15" hidden="false" customHeight="false" outlineLevel="0" collapsed="false">
      <c r="B103" s="1" t="s">
        <v>2361</v>
      </c>
      <c r="C103" s="99" t="n">
        <f aca="false">SUMPRODUCT((GR_Key&lt;&gt;"")*((GR_Key="wealth")+(GR_Kind="legacy")&gt;0))</f>
        <v>0</v>
      </c>
    </row>
    <row r="104" customFormat="false" ht="15" hidden="false" customHeight="false" outlineLevel="0" collapsed="false">
      <c r="B104" s="1" t="s">
        <v>2362</v>
      </c>
      <c r="C104" s="99" t="n">
        <f aca="false">IFERROR(MATCH(1,INDEX((GR_Key&lt;&gt;"")*((GR_Key="wealth")+(GR_Kind="legacy")&gt;0)*(GR_PctN&gt;=95),0),0),0)</f>
        <v>0</v>
      </c>
    </row>
    <row r="105" customFormat="false" ht="15" hidden="false" customHeight="false" outlineLevel="0" collapsed="false">
      <c r="B105" s="1" t="s">
        <v>2363</v>
      </c>
      <c r="C105" s="99" t="n">
        <f aca="false">IFERROR(MATCH(1,INDEX((GR_Key&lt;&gt;"")*((GR_Key="wealth")+(GR_Kind="legacy")&gt;0),0),0),0)</f>
        <v>0</v>
      </c>
    </row>
    <row r="106" customFormat="false" ht="15" hidden="false" customHeight="false" outlineLevel="0" collapsed="false">
      <c r="B106" s="1" t="s">
        <v>2364</v>
      </c>
      <c r="C106" s="99" t="n">
        <f aca="false">IF(AND(Has_invest=1,F_Invest&gt;0),1,0)</f>
        <v>0</v>
      </c>
    </row>
    <row r="107" customFormat="false" ht="15" hidden="false" customHeight="false" outlineLevel="0" collapsed="false">
      <c r="B107" s="1" t="s">
        <v>2365</v>
      </c>
      <c r="C107" s="99" t="str">
        <f aca="false">IF(OR(L5_Inv=1,L5_OnIdx&gt;0),"ok",IF(L5_N&gt;0,"mid","na"))</f>
        <v>na</v>
      </c>
    </row>
    <row r="108" customFormat="false" ht="15" hidden="false" customHeight="false" outlineLevel="0" collapsed="false">
      <c r="B108" s="1" t="s">
        <v>2366</v>
      </c>
      <c r="C108" s="99" t="str">
        <f aca="false">IF(L5_Inv=1,"Investing "&amp;"€"&amp;TEXT(ROUND(F_Invest,0),"#,##0")&amp;IF(L5_OnIdx&gt;0," · "&amp;LOWER(INDEX(GR_Name,L5_OnIdx))&amp;" on track",""),IF(L5_OnIdx&gt;0,INDEX(GR_Name,L5_OnIdx)&amp;" on track",IF(L5_N&gt;0,INDEX(GR_Name,L5_FirstIdx)&amp;" not on track yet","Not started yet")))</f>
        <v>Not started yet</v>
      </c>
    </row>
    <row r="109" customFormat="false" ht="15" hidden="false" customHeight="false" outlineLevel="0" collapsed="false">
      <c r="B109" s="1" t="s">
        <v>2367</v>
      </c>
      <c r="C109" s="99" t="str">
        <f aca="false">IF(AND(Fnd2_St="ok",OR(Fnd1_St="bad",Fnd1_St="mid")),"held",Fnd2_St)</f>
        <v>na</v>
      </c>
    </row>
    <row r="110" customFormat="false" ht="15" hidden="false" customHeight="false" outlineLevel="0" collapsed="false">
      <c r="B110" s="1" t="s">
        <v>2368</v>
      </c>
      <c r="C110" s="99" t="str">
        <f aca="false">IF(AND(Fnd3_St="ok",OR(Fnd1_St="bad",Fnd1_St="mid",Fnd2_St="bad",Fnd2_St="mid")),"held",Fnd3_St)</f>
        <v>na</v>
      </c>
    </row>
    <row r="111" customFormat="false" ht="15" hidden="false" customHeight="false" outlineLevel="0" collapsed="false">
      <c r="B111" s="1" t="s">
        <v>2369</v>
      </c>
      <c r="C111" s="99" t="str">
        <f aca="false">IF(AND(Fnd4_St="ok",OR(Fnd1_St="bad",Fnd1_St="mid",Fnd2_St="bad",Fnd2_St="mid",Fnd3_St="bad",Fnd3_St="mid")),"held",Fnd4_St)</f>
        <v>na</v>
      </c>
    </row>
    <row r="112" customFormat="false" ht="15" hidden="false" customHeight="false" outlineLevel="0" collapsed="false">
      <c r="B112" s="1" t="s">
        <v>2370</v>
      </c>
      <c r="C112" s="99" t="str">
        <f aca="false">IF(AND(Fnd5_St="ok",OR(Fnd1_St="bad",Fnd1_St="mid",Fnd2_St="bad",Fnd2_St="mid",Fnd3_St="bad",Fnd3_St="mid",Fnd4_St="bad",Fnd4_St="mid")),"held",Fnd5_St)</f>
        <v>na</v>
      </c>
    </row>
    <row r="113" customFormat="false" ht="15" hidden="false" customHeight="false" outlineLevel="0" collapsed="false">
      <c r="B113" s="1" t="s">
        <v>2371</v>
      </c>
      <c r="C113" s="99" t="str">
        <f aca="false">Fnd1_St</f>
        <v>na</v>
      </c>
    </row>
    <row r="115" customFormat="false" ht="15" hidden="false" customHeight="false" outlineLevel="0" collapsed="false">
      <c r="B115" s="91" t="s">
        <v>2372</v>
      </c>
      <c r="C115" s="91" t="s">
        <v>1490</v>
      </c>
    </row>
    <row r="116" customFormat="false" ht="15" hidden="false" customHeight="false" outlineLevel="0" collapsed="false">
      <c r="B116" s="1" t="s">
        <v>2373</v>
      </c>
      <c r="C116" s="99" t="n">
        <f aca="false">IF(Fnd1_Fin&lt;&gt;"ok",1,IF(Fnd2_Fin&lt;&gt;"ok",2,IF(Fnd3_Fin&lt;&gt;"ok",3,IF(Fnd4_Fin&lt;&gt;"ok",4,IF(Fnd5_Fin&lt;&gt;"ok",5,0)))))</f>
        <v>1</v>
      </c>
    </row>
    <row r="117" customFormat="false" ht="15" hidden="false" customHeight="false" outlineLevel="0" collapsed="false">
      <c r="B117" s="1" t="s">
        <v>2374</v>
      </c>
      <c r="C117" s="99" t="str">
        <f aca="false">IF(L3_Rank=9,"",IF(AND(L3_CardSt&lt;&gt;"",IF(L3_CardSt="",9,IF(L3_CardSt="bad",0,IF(L3_CardSt="mid",1,IF(L3_CardSt="na",2,3))))=L3_Rank),"debtpay",IF(AND(L3_LoanSt&lt;&gt;"",IF(L3_LoanSt="",9,IF(L3_LoanSt="bad",0,IF(L3_LoanSt="mid",1,IF(L3_LoanSt="na",2,3))))=L3_Rank),"debtpay","")))</f>
        <v/>
      </c>
    </row>
    <row r="118" customFormat="false" ht="15" hidden="false" customHeight="false" outlineLevel="0" collapsed="false">
      <c r="B118" s="1" t="s">
        <v>2375</v>
      </c>
      <c r="C118" s="99" t="str">
        <f aca="false">IF(Fnd_NextN=0,"",CHOOSE(Fnd_NextN,IF(Fnd1_Fin="bad","Spend less than you earn first","Give yourself more room each month"),"Build your emergency fund first",IF(AND(Fnd3_Fin&lt;&gt;"na",L3_Kind="debtpay"),"Clear your costly debt first","Check your protection first"),"Get your goals on track","Start growing your wealth when you're ready"))</f>
        <v>Give yourself more room each month</v>
      </c>
    </row>
    <row r="119" customFormat="false" ht="15" hidden="false" customHeight="false" outlineLevel="0" collapsed="false">
      <c r="B119" s="1" t="s">
        <v>2376</v>
      </c>
      <c r="C119" s="99" t="str">
        <f aca="false">IF(Fnd_NextN=0,"",IF(AND(Fnd_NextN=2,Fnd2_St&lt;&gt;"na"),"You're "&amp;INT(F_Cash/F_EssM*10)/10&amp;" of "&amp;AS_Months&amp;" months there.",CHOOSE(Fnd_NextN,IF(Fnd1_Fin="held",Fnd1_S&amp;" · strengthen your foundations first",Fnd1_S)&amp;".",IF(Fnd2_Fin="held",Fnd2_S&amp;" · strengthen your foundations first",Fnd2_S)&amp;".",IF(Fnd3_Fin="held",Fnd3_S&amp;" · strengthen your foundations first",Fnd3_S)&amp;".",IF(Fnd4_Fin="held",Fnd4_S&amp;" · strengthen your foundations first",Fnd4_S)&amp;".",IF(Fnd5_Fin="held",Fnd5_S&amp;" · strengthen your foundations first",Fnd5_S)&amp;".")))</f>
        <v>Add your income and spending to check this.</v>
      </c>
    </row>
    <row r="120" customFormat="false" ht="15" hidden="false" customHeight="false" outlineLevel="0" collapsed="false">
      <c r="B120" s="1" t="s">
        <v>2377</v>
      </c>
      <c r="C120" s="99" t="n">
        <f aca="false">SUMPRODUCT((GR_Key&lt;&gt;"")*(GR_PctN&lt;95))</f>
        <v>0</v>
      </c>
    </row>
    <row r="121" customFormat="false" ht="15" hidden="false" customHeight="false" outlineLevel="0" collapsed="false">
      <c r="B121" s="1" t="s">
        <v>2378</v>
      </c>
      <c r="C121" s="99" t="str">
        <f aca="false">IF(AND(INDEX(GR_Key,1)&lt;&gt;"",INDEX(GR_PctN,1)&lt;95),INDEX(GR_Name,1)&amp;"|","")&amp;IF(AND(INDEX(GR_Key,2)&lt;&gt;"",INDEX(GR_PctN,2)&lt;95),INDEX(GR_Name,2)&amp;"|","")&amp;IF(AND(INDEX(GR_Key,3)&lt;&gt;"",INDEX(GR_PctN,3)&lt;95),INDEX(GR_Name,3)&amp;"|","")&amp;IF(AND(INDEX(GR_Key,4)&lt;&gt;"",INDEX(GR_PctN,4)&lt;95),INDEX(GR_Name,4)&amp;"|","")&amp;IF(AND(INDEX(GR_Key,5)&lt;&gt;"",INDEX(GR_PctN,5)&lt;95),INDEX(GR_Name,5)&amp;"|","")&amp;IF(AND(INDEX(GR_Key,6)&lt;&gt;"",INDEX(GR_PctN,6)&lt;95),INDEX(GR_Name,6)&amp;"|","")&amp;IF(AND(INDEX(GR_Key,7)&lt;&gt;"",INDEX(GR_PctN,7)&lt;95),INDEX(GR_Name,7)&amp;"|","")&amp;IF(AND(INDEX(GR_Key,8)&lt;&gt;"",INDEX(GR_PctN,8)&lt;95),INDEX(GR_Name,8)&amp;"|","")&amp;IF(AND(INDEX(GR_Key,9)&lt;&gt;"",INDEX(GR_PctN,9)&lt;95),INDEX(GR_Name,9)&amp;"|","")&amp;IF(AND(INDEX(GR_Key,10)&lt;&gt;"",INDEX(GR_PctN,10)&lt;95),INDEX(GR_Name,10)&amp;"|","")</f>
        <v/>
      </c>
    </row>
    <row r="123" customFormat="false" ht="15" hidden="false" customHeight="false" outlineLevel="0" collapsed="false">
      <c r="B123" s="91" t="s">
        <v>2379</v>
      </c>
      <c r="C123" s="91" t="s">
        <v>1490</v>
      </c>
    </row>
    <row r="124" customFormat="false" ht="15" hidden="false" customHeight="false" outlineLevel="0" collapsed="false">
      <c r="B124" s="108" t="s">
        <v>2380</v>
      </c>
      <c r="C124" s="108" t="s">
        <v>2381</v>
      </c>
    </row>
    <row r="125" customFormat="false" ht="15" hidden="false" customHeight="false" outlineLevel="0" collapsed="false">
      <c r="B125" s="1" t="s">
        <v>1339</v>
      </c>
      <c r="C125" s="99" t="n">
        <f aca="false">IF(AND(F_Partner=1,Has_pAge=0),1,0)</f>
        <v>0</v>
      </c>
    </row>
    <row r="126" customFormat="false" ht="15" hidden="false" customHeight="false" outlineLevel="0" collapsed="false">
      <c r="B126" s="1" t="s">
        <v>2382</v>
      </c>
      <c r="C126" s="99" t="n">
        <f aca="false">IF(AND(1,Has_work=0),1,0)</f>
        <v>1</v>
      </c>
    </row>
    <row r="127" customFormat="false" ht="15" hidden="false" customHeight="false" outlineLevel="0" collapsed="false">
      <c r="B127" s="1" t="s">
        <v>224</v>
      </c>
      <c r="C127" s="99" t="n">
        <f aca="false">IF(AND(1,Has_income=0),1,0)</f>
        <v>1</v>
      </c>
    </row>
    <row r="128" customFormat="false" ht="15" hidden="false" customHeight="false" outlineLevel="0" collapsed="false">
      <c r="B128" s="1" t="s">
        <v>227</v>
      </c>
      <c r="C128" s="99" t="n">
        <f aca="false">IF(AND(F_Partner=1,Has_pIncome=0),1,0)</f>
        <v>0</v>
      </c>
    </row>
    <row r="129" customFormat="false" ht="15" hidden="false" customHeight="false" outlineLevel="0" collapsed="false">
      <c r="B129" s="1" t="s">
        <v>2383</v>
      </c>
      <c r="C129" s="99" t="n">
        <f aca="false">IF(AND(1,Has_costsM=0),1,0)</f>
        <v>1</v>
      </c>
    </row>
    <row r="130" customFormat="false" ht="15" hidden="false" customHeight="false" outlineLevel="0" collapsed="false">
      <c r="B130" s="1" t="s">
        <v>2384</v>
      </c>
      <c r="C130" s="99" t="n">
        <f aca="false">IF(AND(1,Has_home=0),1,0)</f>
        <v>1</v>
      </c>
    </row>
    <row r="131" customFormat="false" ht="15" hidden="false" customHeight="false" outlineLevel="0" collapsed="false">
      <c r="B131" s="1" t="s">
        <v>529</v>
      </c>
      <c r="C131" s="99" t="n">
        <f aca="false">IF(AND(LEFT(In_home,3)="Own",Has_homeValue=0),1,0)</f>
        <v>0</v>
      </c>
    </row>
    <row r="132" customFormat="false" ht="15" hidden="false" customHeight="false" outlineLevel="0" collapsed="false">
      <c r="B132" s="1" t="s">
        <v>1353</v>
      </c>
      <c r="C132" s="99" t="n">
        <f aca="false">IF(AND(1,Has_cash=0),1,0)</f>
        <v>1</v>
      </c>
    </row>
    <row r="133" customFormat="false" ht="15" hidden="false" customHeight="false" outlineLevel="0" collapsed="false">
      <c r="B133" s="1" t="s">
        <v>56</v>
      </c>
      <c r="C133" s="99" t="n">
        <f aca="false">IF(AND(1,Has_invest=0),1,0)</f>
        <v>1</v>
      </c>
    </row>
    <row r="134" customFormat="false" ht="15" hidden="false" customHeight="false" outlineLevel="0" collapsed="false">
      <c r="B134" s="1" t="s">
        <v>1356</v>
      </c>
      <c r="C134" s="99" t="n">
        <f aca="false">IF(AND(In_home="Own with mortgage",Has_mortBal=0),1,0)</f>
        <v>0</v>
      </c>
    </row>
    <row r="135" customFormat="false" ht="15" hidden="false" customHeight="false" outlineLevel="0" collapsed="false">
      <c r="B135" s="1" t="s">
        <v>318</v>
      </c>
      <c r="C135" s="99" t="n">
        <f aca="false">IF(F_MortPayLow=1,1,IF(AND(In_home="Own with mortgage",Has_mortPayM=0),1,0))</f>
        <v>0</v>
      </c>
    </row>
    <row r="136" customFormat="false" ht="15" hidden="false" customHeight="false" outlineLevel="0" collapsed="false">
      <c r="B136" s="1" t="s">
        <v>418</v>
      </c>
      <c r="C136" s="99" t="n">
        <f aca="false">IF(AND(In_home="Own with mortgage",Has_mortYears=0),1,0)</f>
        <v>0</v>
      </c>
    </row>
    <row r="137" customFormat="false" ht="15" hidden="false" customHeight="false" outlineLevel="0" collapsed="false">
      <c r="B137" s="1" t="s">
        <v>2385</v>
      </c>
      <c r="C137" s="99" t="n">
        <f aca="false">IF(AND(1,Has_cardBal=0),1,0)</f>
        <v>1</v>
      </c>
    </row>
    <row r="138" customFormat="false" ht="15" hidden="false" customHeight="false" outlineLevel="0" collapsed="false">
      <c r="B138" s="1" t="s">
        <v>1366</v>
      </c>
      <c r="C138" s="99" t="n">
        <f aca="false">IF(AND(In_cardBal&gt;0,In_cardPayM&gt;0,IF(In_cardRate&gt;0,In_cardRate/100,IF(Has_a_cardRate=1,In_a_cardRate,0))&gt;0,In_cardPayM&lt;In_cardBal*(IF(In_cardRate&gt;0,In_cardRate/100,IF(Has_a_cardRate=1,In_a_cardRate,0))/12+0.01)),1,IF(AND(1,Has_cardPayM=0),1,0))</f>
        <v>1</v>
      </c>
    </row>
    <row r="139" customFormat="false" ht="15" hidden="false" customHeight="false" outlineLevel="0" collapsed="false">
      <c r="B139" s="1" t="s">
        <v>1370</v>
      </c>
      <c r="C139" s="99" t="n">
        <f aca="false">IF(AND(1,Has_loanBal=0),1,0)</f>
        <v>1</v>
      </c>
    </row>
    <row r="140" customFormat="false" ht="15" hidden="false" customHeight="false" outlineLevel="0" collapsed="false">
      <c r="B140" s="1" t="s">
        <v>1372</v>
      </c>
      <c r="C140" s="99" t="n">
        <f aca="false">IF(AND(In_loanBal&gt;0,In_loanPayM&gt;0,IF(In_loanRate&gt;0,In_loanRate/100,IF(Has_a_loanRate=1,In_a_loanRate,0))&gt;0,In_loanPayM&lt;In_loanBal*(IF(In_loanRate&gt;0,In_loanRate/100,IF(Has_a_loanRate=1,In_a_loanRate,0))/12+0.01)),1,IF(AND(1,Has_loanPayM=0),1,0))</f>
        <v>1</v>
      </c>
    </row>
    <row r="141" customFormat="false" ht="15" hidden="false" customHeight="false" outlineLevel="0" collapsed="false">
      <c r="B141" s="1" t="s">
        <v>2386</v>
      </c>
      <c r="C141" s="99" t="n">
        <f aca="false">IF(AND(1,Has_life=0),1,0)</f>
        <v>1</v>
      </c>
    </row>
    <row r="142" customFormat="false" ht="15" hidden="false" customHeight="false" outlineLevel="0" collapsed="false">
      <c r="B142" s="1" t="s">
        <v>2387</v>
      </c>
      <c r="C142" s="99" t="n">
        <f aca="false">IF(AND(1,Has_ip=0),1,0)</f>
        <v>1</v>
      </c>
    </row>
    <row r="143" customFormat="false" ht="15" hidden="false" customHeight="false" outlineLevel="0" collapsed="false">
      <c r="B143" s="1" t="s">
        <v>2388</v>
      </c>
      <c r="C143" s="99" t="n">
        <f aca="false">IF(AND(1,Has_ci=0),1,0)</f>
        <v>1</v>
      </c>
    </row>
    <row r="144" customFormat="false" ht="15" hidden="false" customHeight="false" outlineLevel="0" collapsed="false">
      <c r="B144" s="1" t="s">
        <v>2389</v>
      </c>
      <c r="C144" s="99" t="n">
        <f aca="false">IF(AND(1,Has_workCover=0),1,0)</f>
        <v>1</v>
      </c>
    </row>
    <row r="145" customFormat="false" ht="15" hidden="false" customHeight="false" outlineLevel="0" collapsed="false">
      <c r="B145" s="1" t="s">
        <v>2390</v>
      </c>
      <c r="C145" s="99" t="n">
        <f aca="false">IF(AND(1,Has_health=0),1,0)</f>
        <v>1</v>
      </c>
    </row>
    <row r="146" customFormat="false" ht="15" hidden="false" customHeight="false" outlineLevel="0" collapsed="false">
      <c r="B146" s="1" t="s">
        <v>728</v>
      </c>
      <c r="C146" s="99" t="n">
        <f aca="false">IF(AND(1,Has_pension=0),1,0)</f>
        <v>1</v>
      </c>
    </row>
    <row r="147" customFormat="false" ht="15" hidden="false" customHeight="false" outlineLevel="0" collapsed="false">
      <c r="B147" s="1" t="s">
        <v>2391</v>
      </c>
      <c r="C147" s="99" t="n">
        <f aca="false">IF(AND(1,Has_pensionM=0),1,0)</f>
        <v>1</v>
      </c>
    </row>
    <row r="148" customFormat="false" ht="15" hidden="false" customHeight="false" outlineLevel="0" collapsed="false">
      <c r="B148" s="1" t="s">
        <v>2274</v>
      </c>
      <c r="C148" s="99" t="n">
        <f aca="false">IF(AND(1,Has_sp=0),1,0)</f>
        <v>1</v>
      </c>
    </row>
    <row r="149" customFormat="false" ht="15" hidden="false" customHeight="false" outlineLevel="0" collapsed="false">
      <c r="B149" s="1" t="s">
        <v>2392</v>
      </c>
      <c r="C149" s="99" t="n">
        <f aca="false">SUM(C125:C148)</f>
        <v>18</v>
      </c>
    </row>
    <row r="151" customFormat="false" ht="15" hidden="false" customHeight="false" outlineLevel="0" collapsed="false">
      <c r="B151" s="91" t="s">
        <v>2393</v>
      </c>
      <c r="C151" s="91" t="s">
        <v>1490</v>
      </c>
    </row>
    <row r="152" customFormat="false" ht="15" hidden="false" customHeight="false" outlineLevel="0" collapsed="false">
      <c r="B152" s="1" t="s">
        <v>2394</v>
      </c>
      <c r="C152" s="99" t="n">
        <f aca="false">SUMPRODUCT((GR_Key&lt;&gt;"")*1)</f>
        <v>0</v>
      </c>
    </row>
    <row r="153" customFormat="false" ht="15" hidden="false" customHeight="false" outlineLevel="0" collapsed="false">
      <c r="B153" s="1" t="s">
        <v>2395</v>
      </c>
      <c r="C153" s="99" t="n">
        <f aca="false">IF(Home_N&gt;0,ROUND(SUM(GR_PctN)/Home_N,0),0)</f>
        <v>0</v>
      </c>
    </row>
    <row r="154" customFormat="false" ht="15" hidden="false" customHeight="false" outlineLevel="0" collapsed="false">
      <c r="B154" s="1" t="s">
        <v>2396</v>
      </c>
      <c r="C154" s="99" t="n">
        <f aca="false">SUMPRODUCT((GR_Key&lt;&gt;"")*(GR_PctN&gt;=95))</f>
        <v>0</v>
      </c>
    </row>
    <row r="155" customFormat="false" ht="15" hidden="false" customHeight="false" outlineLevel="0" collapsed="false">
      <c r="B155" s="1" t="s">
        <v>2397</v>
      </c>
      <c r="C155" s="99" t="str">
        <f aca="false">IF(Home_Avg&gt;=PR_Good,"good",IF(Home_Avg&gt;=PR_Nudge,"nudge","alert"))</f>
        <v>alert</v>
      </c>
    </row>
    <row r="156" customFormat="false" ht="15" hidden="false" customHeight="false" outlineLevel="0" collapsed="false">
      <c r="B156" s="1" t="s">
        <v>2398</v>
      </c>
      <c r="C156" s="99" t="str">
        <f aca="false">IF(SUMPRODUCT((GR_Spec="mortgage")*1)&gt;0,"borrow,deposit,","")&amp;IF(SUMPRODUCT((GR_Spec="pension")*1)&gt;0,"retirement,contrib,","")&amp;"goalplanner,emergency,surplus,lifecover,compound"</f>
        <v>goalplanner,emergency,surplus,lifecover,compound</v>
      </c>
    </row>
    <row r="157" customFormat="false" ht="15" hidden="false" customHeight="false" outlineLevel="0" collapsed="false">
      <c r="B157" s="1" t="s">
        <v>2399</v>
      </c>
      <c r="C157" s="99" t="str">
        <f aca="false">IF(LEN(Tools_All)-LEN(SUBSTITUTE(Tools_All,",",""))&gt;=6,LEFT(Tools_All,FIND("|",SUBSTITUTE(Tools_All,",","|",6))-1),Tools_All)</f>
        <v>goalplanner,emergency,surplus,lifecover,compound</v>
      </c>
    </row>
    <row r="158" customFormat="false" ht="15" hidden="false" customHeight="false" outlineLevel="0" collapsed="false">
      <c r="B158" s="1" t="s">
        <v>2400</v>
      </c>
      <c r="C158" s="99" t="n">
        <f aca="false">IF(Home_N&gt;0,MATCH(MIN(GR_PctB),GR_PctB,0),0)</f>
        <v>0</v>
      </c>
    </row>
    <row r="159" customFormat="false" ht="15" hidden="false" customHeight="false" outlineLevel="0" collapsed="false">
      <c r="B159" s="1" t="s">
        <v>2401</v>
      </c>
      <c r="C159" s="99" t="str">
        <f aca="false">IF(Expert_Idx=0,"planner",INDEX(GR_Spec,Expert_Idx))</f>
        <v>planner</v>
      </c>
    </row>
    <row r="160" customFormat="false" ht="15" hidden="false" customHeight="false" outlineLevel="0" collapsed="false">
      <c r="B160" s="1" t="s">
        <v>2402</v>
      </c>
      <c r="C160" s="99" t="str">
        <f aca="false">IF(Expert_Key="mortgage","Mortgage expert",IF(Expert_Key="pension","Pension &amp; retirement expert",IF(Expert_Key="protection","Protection expert",IF(Expert_Key="investment","Investment expert","Financial planner"))))</f>
        <v>Financial planner</v>
      </c>
    </row>
    <row r="161" customFormat="false" ht="15" hidden="false" customHeight="false" outlineLevel="0" collapsed="false">
      <c r="B161" s="1" t="s">
        <v>2403</v>
      </c>
      <c r="C161" s="99" t="n">
        <f aca="false">ROUND(IF('Plan cashflow'!$DD$8=1,IF('Plan cashflow'!$F$8=1,MIN(MAX(0,'Plan cashflow'!$DI$8),'Plan cashflow'!$DB$8),'Plan cashflow'!$DB$8),0)/12,0)</f>
        <v>0</v>
      </c>
    </row>
    <row r="162" customFormat="false" ht="15" hidden="false" customHeight="false" outlineLevel="0" collapsed="false">
      <c r="B162" s="1" t="s">
        <v>2404</v>
      </c>
      <c r="C162" s="99" t="n">
        <f aca="false">INT(AS_SaveShare*Save_SurplusM/25)*25</f>
        <v>0</v>
      </c>
    </row>
    <row r="163" customFormat="false" ht="15" hidden="false" customHeight="false" outlineLevel="0" collapsed="false">
      <c r="B163" s="1" t="s">
        <v>2405</v>
      </c>
      <c r="C163" s="99" t="n">
        <f aca="false">IF(AND(Nudge_X&gt;=Save_SaveM_Base+50,Nudge_X&gt;=IF(Has_saveM=1,In_saveM,Save_SaveM_Base)+50),1,0)</f>
        <v>0</v>
      </c>
    </row>
    <row r="164" customFormat="false" ht="15" hidden="false" customHeight="false" outlineLevel="0" collapsed="false">
      <c r="B164" s="1" t="s">
        <v>2406</v>
      </c>
      <c r="C164" s="99" t="n">
        <f aca="false">MAX(0,Save_SaveM_Base+WI_M)</f>
        <v>0</v>
      </c>
    </row>
    <row r="165" customFormat="false" ht="15" hidden="false" customHeight="false" outlineLevel="0" collapsed="false">
      <c r="B165" s="1" t="s">
        <v>2407</v>
      </c>
      <c r="C165" s="99" t="n">
        <f aca="false">IF(AND(WI_M&lt;&gt;0,Wi_Total&gt;MAX(0,Save_SurplusM)+0.5),1,0)</f>
        <v>0</v>
      </c>
    </row>
    <row r="167" customFormat="false" ht="15" hidden="false" customHeight="false" outlineLevel="0" collapsed="false">
      <c r="B167" s="91" t="s">
        <v>2408</v>
      </c>
      <c r="C167" s="91" t="s">
        <v>1490</v>
      </c>
    </row>
    <row r="168" customFormat="false" ht="15" hidden="false" customHeight="false" outlineLevel="0" collapsed="false">
      <c r="B168" s="1" t="s">
        <v>2409</v>
      </c>
      <c r="C168" s="99" t="n">
        <f aca="false">SUM('Plan cashflow'!$IW$8:$IW$97)</f>
        <v>0</v>
      </c>
    </row>
    <row r="169" customFormat="false" ht="15" hidden="false" customHeight="false" outlineLevel="0" collapsed="false">
      <c r="B169" s="1" t="s">
        <v>2410</v>
      </c>
      <c r="C169" s="99" t="n">
        <f aca="false">SUM('Plan cashflow'!$IX$8:$IX$97)</f>
        <v>0</v>
      </c>
    </row>
    <row r="170" customFormat="false" ht="15" hidden="false" customHeight="false" outlineLevel="0" collapsed="false">
      <c r="B170" s="1" t="s">
        <v>2411</v>
      </c>
      <c r="C170" s="99" t="n">
        <f aca="false">IFERROR(MATCH(1,'Plan cashflow'!$IW$8:$IW$97,0),0)</f>
        <v>0</v>
      </c>
    </row>
    <row r="171" customFormat="false" ht="15" hidden="false" customHeight="false" outlineLevel="0" collapsed="false">
      <c r="B171" s="1" t="s">
        <v>2412</v>
      </c>
      <c r="C171" s="99" t="str">
        <f aca="false">IF(Chart_FirstShortIdx&gt;0,F_Age+Chart_FirstShortIdx-1,"")</f>
        <v/>
      </c>
    </row>
    <row r="172" customFormat="false" ht="15" hidden="false" customHeight="false" outlineLevel="0" collapsed="false">
      <c r="B172" s="1" t="s">
        <v>2413</v>
      </c>
      <c r="C172" s="99" t="str">
        <f aca="false">IF(Chart_FirstShortIdx&gt;0,INDEX('Plan cashflow'!$IV$8:$IV$97,Chart_FirstShortIdx),"")</f>
        <v/>
      </c>
    </row>
    <row r="173" customFormat="false" ht="15" hidden="false" customHeight="false" outlineLevel="0" collapsed="false">
      <c r="B173" s="1" t="s">
        <v>2414</v>
      </c>
      <c r="C173" s="99" t="n">
        <f aca="false">SUMPRODUCT('Plan cashflow'!$IW$8:$IW$97*'Plan cashflow'!$IV$8:$IV$97)</f>
        <v>0</v>
      </c>
    </row>
    <row r="174" customFormat="false" ht="15" hidden="false" customHeight="false" outlineLevel="0" collapsed="false">
      <c r="B174" s="1" t="s">
        <v>2415</v>
      </c>
      <c r="C174" s="99" t="n">
        <f aca="false">SUM('Plan cashflow'!$IY$8:$IY$97)</f>
        <v>0</v>
      </c>
    </row>
    <row r="175" customFormat="false" ht="15" hidden="false" customHeight="false" outlineLevel="0" collapsed="false">
      <c r="B175" s="1" t="s">
        <v>2416</v>
      </c>
      <c r="C175" s="99" t="str">
        <f aca="false">IFERROR(F_Age+MATCH(1,'Plan cashflow'!$IY$8:$IY$97,0)-1,"")</f>
        <v/>
      </c>
    </row>
    <row r="176" customFormat="false" ht="15" hidden="false" customHeight="false" outlineLevel="0" collapsed="false">
      <c r="B176" s="1" t="s">
        <v>2417</v>
      </c>
      <c r="C176" s="99" t="str">
        <f aca="false">IFERROR(F_Age+MATCH(1,'Plan cashflow'!$JF$8:$JF$97,0)-1,"")</f>
        <v/>
      </c>
    </row>
    <row r="177" customFormat="false" ht="15" hidden="false" customHeight="false" outlineLevel="0" collapsed="false">
      <c r="B177" s="1" t="s">
        <v>2418</v>
      </c>
      <c r="C177" s="99" t="n">
        <f aca="false">SUM('Plan cashflow'!$JF$8:$JF$97)</f>
        <v>0</v>
      </c>
    </row>
    <row r="178" customFormat="false" ht="15" hidden="false" customHeight="false" outlineLevel="0" collapsed="false">
      <c r="B178" s="108" t="s">
        <v>2419</v>
      </c>
      <c r="C178" s="108" t="s">
        <v>2420</v>
      </c>
      <c r="D178" s="108" t="s">
        <v>2421</v>
      </c>
      <c r="E178" s="108" t="s">
        <v>2422</v>
      </c>
      <c r="F178" s="108" t="s">
        <v>610</v>
      </c>
      <c r="G178" s="108" t="s">
        <v>2423</v>
      </c>
      <c r="H178" s="108" t="s">
        <v>2424</v>
      </c>
      <c r="I178" s="108" t="s">
        <v>2425</v>
      </c>
      <c r="J178" s="108" t="s">
        <v>2426</v>
      </c>
    </row>
    <row r="179" customFormat="false" ht="15" hidden="false" customHeight="false" outlineLevel="0" collapsed="false">
      <c r="B179" s="1" t="n">
        <v>1</v>
      </c>
      <c r="C179" s="1" t="n">
        <f aca="false">IF(COUNTIFS('Plan cashflow'!$JB$8:$JB$97,1,'Plan cashflow'!$C$8:$C$97,1)=0,"",INDEX('Plan cashflow'!$JA$8:$JA$97,MATCH(1,'Plan cashflow'!$JB$8:$JB$97,0)))</f>
        <v>0</v>
      </c>
      <c r="D179" s="1" t="n">
        <f aca="false">IF(COUNTIFS('Plan cashflow'!$JB$8:$JB$97,1,'Plan cashflow'!$C$8:$C$97,1)=0,"",F_Age+MATCH(1,'Plan cashflow'!$JB$8:$JB$97,0)-1)</f>
        <v>0</v>
      </c>
      <c r="E179" s="1" t="n">
        <f aca="false">IF(COUNTIFS('Plan cashflow'!$JB$8:$JB$97,1,'Plan cashflow'!$C$8:$C$97,1)=0,"",D179+COUNTIFS('Plan cashflow'!$JB$8:$JB$97,1,'Plan cashflow'!$C$8:$C$97,1)-1)</f>
        <v>9</v>
      </c>
      <c r="F179" s="1" t="n">
        <f aca="false">COUNTIFS('Plan cashflow'!$JB$8:$JB$97,1,'Plan cashflow'!$C$8:$C$97,1)</f>
        <v>10</v>
      </c>
      <c r="G179" s="1" t="n">
        <f aca="false">COUNTIFS('Plan cashflow'!$JB$8:$JB$97,1,'Plan cashflow'!$JF$8:$JF$97,1)</f>
        <v>0</v>
      </c>
      <c r="H179" s="1" t="n">
        <f aca="false">COUNTIFS('Plan cashflow'!$JB$8:$JB$97,1,'Plan cashflow'!$IZ$8:$IZ$97,1)</f>
        <v>0</v>
      </c>
      <c r="I179" s="1" t="n">
        <f aca="false">IF(G179&gt;0,SUMIFS('Plan cashflow'!$IM$8:$IM$97,'Plan cashflow'!$JB$8:$JB$97,1,'Plan cashflow'!$JF$8:$JF$97,1)/G179,0)</f>
        <v>0</v>
      </c>
      <c r="J179" s="1" t="str">
        <f aca="false">IF(F179=0,"",IF(G179&gt;0,"storm",IF(H179&gt;F179/3,"showers",IF(H179&gt;0,"partly","sun"))))</f>
        <v>sun</v>
      </c>
    </row>
    <row r="180" customFormat="false" ht="15" hidden="false" customHeight="false" outlineLevel="0" collapsed="false">
      <c r="B180" s="1" t="n">
        <v>2</v>
      </c>
      <c r="C180" s="1" t="n">
        <f aca="false">IF(COUNTIFS('Plan cashflow'!$JB$8:$JB$97,2,'Plan cashflow'!$C$8:$C$97,1)=0,"",INDEX('Plan cashflow'!$JA$8:$JA$97,MATCH(2,'Plan cashflow'!$JB$8:$JB$97,0)))</f>
        <v>10</v>
      </c>
      <c r="D180" s="1" t="n">
        <f aca="false">IF(COUNTIFS('Plan cashflow'!$JB$8:$JB$97,2,'Plan cashflow'!$C$8:$C$97,1)=0,"",F_Age+MATCH(2,'Plan cashflow'!$JB$8:$JB$97,0)-1)</f>
        <v>10</v>
      </c>
      <c r="E180" s="1" t="n">
        <f aca="false">IF(COUNTIFS('Plan cashflow'!$JB$8:$JB$97,2,'Plan cashflow'!$C$8:$C$97,1)=0,"",D180+COUNTIFS('Plan cashflow'!$JB$8:$JB$97,2,'Plan cashflow'!$C$8:$C$97,1)-1)</f>
        <v>19</v>
      </c>
      <c r="F180" s="1" t="n">
        <f aca="false">COUNTIFS('Plan cashflow'!$JB$8:$JB$97,2,'Plan cashflow'!$C$8:$C$97,1)</f>
        <v>10</v>
      </c>
      <c r="G180" s="1" t="n">
        <f aca="false">COUNTIFS('Plan cashflow'!$JB$8:$JB$97,2,'Plan cashflow'!$JF$8:$JF$97,1)</f>
        <v>0</v>
      </c>
      <c r="H180" s="1" t="n">
        <f aca="false">COUNTIFS('Plan cashflow'!$JB$8:$JB$97,2,'Plan cashflow'!$IZ$8:$IZ$97,1)</f>
        <v>0</v>
      </c>
      <c r="I180" s="1" t="n">
        <f aca="false">IF(G180&gt;0,SUMIFS('Plan cashflow'!$IM$8:$IM$97,'Plan cashflow'!$JB$8:$JB$97,2,'Plan cashflow'!$JF$8:$JF$97,1)/G180,0)</f>
        <v>0</v>
      </c>
      <c r="J180" s="1" t="str">
        <f aca="false">IF(F180=0,"",IF(G180&gt;0,"storm",IF(H180&gt;F180/3,"showers",IF(H180&gt;0,"partly","sun"))))</f>
        <v>sun</v>
      </c>
    </row>
    <row r="181" customFormat="false" ht="15" hidden="false" customHeight="false" outlineLevel="0" collapsed="false">
      <c r="B181" s="1" t="n">
        <v>3</v>
      </c>
      <c r="C181" s="1" t="n">
        <f aca="false">IF(COUNTIFS('Plan cashflow'!$JB$8:$JB$97,3,'Plan cashflow'!$C$8:$C$97,1)=0,"",INDEX('Plan cashflow'!$JA$8:$JA$97,MATCH(3,'Plan cashflow'!$JB$8:$JB$97,0)))</f>
        <v>20</v>
      </c>
      <c r="D181" s="1" t="n">
        <f aca="false">IF(COUNTIFS('Plan cashflow'!$JB$8:$JB$97,3,'Plan cashflow'!$C$8:$C$97,1)=0,"",F_Age+MATCH(3,'Plan cashflow'!$JB$8:$JB$97,0)-1)</f>
        <v>20</v>
      </c>
      <c r="E181" s="1" t="n">
        <f aca="false">IF(COUNTIFS('Plan cashflow'!$JB$8:$JB$97,3,'Plan cashflow'!$C$8:$C$97,1)=0,"",D181+COUNTIFS('Plan cashflow'!$JB$8:$JB$97,3,'Plan cashflow'!$C$8:$C$97,1)-1)</f>
        <v>29</v>
      </c>
      <c r="F181" s="1" t="n">
        <f aca="false">COUNTIFS('Plan cashflow'!$JB$8:$JB$97,3,'Plan cashflow'!$C$8:$C$97,1)</f>
        <v>10</v>
      </c>
      <c r="G181" s="1" t="n">
        <f aca="false">COUNTIFS('Plan cashflow'!$JB$8:$JB$97,3,'Plan cashflow'!$JF$8:$JF$97,1)</f>
        <v>0</v>
      </c>
      <c r="H181" s="1" t="n">
        <f aca="false">COUNTIFS('Plan cashflow'!$JB$8:$JB$97,3,'Plan cashflow'!$IZ$8:$IZ$97,1)</f>
        <v>0</v>
      </c>
      <c r="I181" s="1" t="n">
        <f aca="false">IF(G181&gt;0,SUMIFS('Plan cashflow'!$IM$8:$IM$97,'Plan cashflow'!$JB$8:$JB$97,3,'Plan cashflow'!$JF$8:$JF$97,1)/G181,0)</f>
        <v>0</v>
      </c>
      <c r="J181" s="1" t="str">
        <f aca="false">IF(F181=0,"",IF(G181&gt;0,"storm",IF(H181&gt;F181/3,"showers",IF(H181&gt;0,"partly","sun"))))</f>
        <v>sun</v>
      </c>
    </row>
    <row r="182" customFormat="false" ht="15" hidden="false" customHeight="false" outlineLevel="0" collapsed="false">
      <c r="B182" s="1" t="n">
        <v>4</v>
      </c>
      <c r="C182" s="1" t="n">
        <f aca="false">IF(COUNTIFS('Plan cashflow'!$JB$8:$JB$97,4,'Plan cashflow'!$C$8:$C$97,1)=0,"",INDEX('Plan cashflow'!$JA$8:$JA$97,MATCH(4,'Plan cashflow'!$JB$8:$JB$97,0)))</f>
        <v>30</v>
      </c>
      <c r="D182" s="1" t="n">
        <f aca="false">IF(COUNTIFS('Plan cashflow'!$JB$8:$JB$97,4,'Plan cashflow'!$C$8:$C$97,1)=0,"",F_Age+MATCH(4,'Plan cashflow'!$JB$8:$JB$97,0)-1)</f>
        <v>30</v>
      </c>
      <c r="E182" s="1" t="n">
        <f aca="false">IF(COUNTIFS('Plan cashflow'!$JB$8:$JB$97,4,'Plan cashflow'!$C$8:$C$97,1)=0,"",D182+COUNTIFS('Plan cashflow'!$JB$8:$JB$97,4,'Plan cashflow'!$C$8:$C$97,1)-1)</f>
        <v>39</v>
      </c>
      <c r="F182" s="1" t="n">
        <f aca="false">COUNTIFS('Plan cashflow'!$JB$8:$JB$97,4,'Plan cashflow'!$C$8:$C$97,1)</f>
        <v>10</v>
      </c>
      <c r="G182" s="1" t="n">
        <f aca="false">COUNTIFS('Plan cashflow'!$JB$8:$JB$97,4,'Plan cashflow'!$JF$8:$JF$97,1)</f>
        <v>0</v>
      </c>
      <c r="H182" s="1" t="n">
        <f aca="false">COUNTIFS('Plan cashflow'!$JB$8:$JB$97,4,'Plan cashflow'!$IZ$8:$IZ$97,1)</f>
        <v>0</v>
      </c>
      <c r="I182" s="1" t="n">
        <f aca="false">IF(G182&gt;0,SUMIFS('Plan cashflow'!$IM$8:$IM$97,'Plan cashflow'!$JB$8:$JB$97,4,'Plan cashflow'!$JF$8:$JF$97,1)/G182,0)</f>
        <v>0</v>
      </c>
      <c r="J182" s="1" t="str">
        <f aca="false">IF(F182=0,"",IF(G182&gt;0,"storm",IF(H182&gt;F182/3,"showers",IF(H182&gt;0,"partly","sun"))))</f>
        <v>sun</v>
      </c>
    </row>
    <row r="183" customFormat="false" ht="15" hidden="false" customHeight="false" outlineLevel="0" collapsed="false">
      <c r="B183" s="1" t="n">
        <v>5</v>
      </c>
      <c r="C183" s="1" t="n">
        <f aca="false">IF(COUNTIFS('Plan cashflow'!$JB$8:$JB$97,5,'Plan cashflow'!$C$8:$C$97,1)=0,"",INDEX('Plan cashflow'!$JA$8:$JA$97,MATCH(5,'Plan cashflow'!$JB$8:$JB$97,0)))</f>
        <v>40</v>
      </c>
      <c r="D183" s="1" t="n">
        <f aca="false">IF(COUNTIFS('Plan cashflow'!$JB$8:$JB$97,5,'Plan cashflow'!$C$8:$C$97,1)=0,"",F_Age+MATCH(5,'Plan cashflow'!$JB$8:$JB$97,0)-1)</f>
        <v>40</v>
      </c>
      <c r="E183" s="1" t="n">
        <f aca="false">IF(COUNTIFS('Plan cashflow'!$JB$8:$JB$97,5,'Plan cashflow'!$C$8:$C$97,1)=0,"",D183+COUNTIFS('Plan cashflow'!$JB$8:$JB$97,5,'Plan cashflow'!$C$8:$C$97,1)-1)</f>
        <v>49</v>
      </c>
      <c r="F183" s="1" t="n">
        <f aca="false">COUNTIFS('Plan cashflow'!$JB$8:$JB$97,5,'Plan cashflow'!$C$8:$C$97,1)</f>
        <v>10</v>
      </c>
      <c r="G183" s="1" t="n">
        <f aca="false">COUNTIFS('Plan cashflow'!$JB$8:$JB$97,5,'Plan cashflow'!$JF$8:$JF$97,1)</f>
        <v>0</v>
      </c>
      <c r="H183" s="1" t="n">
        <f aca="false">COUNTIFS('Plan cashflow'!$JB$8:$JB$97,5,'Plan cashflow'!$IZ$8:$IZ$97,1)</f>
        <v>0</v>
      </c>
      <c r="I183" s="1" t="n">
        <f aca="false">IF(G183&gt;0,SUMIFS('Plan cashflow'!$IM$8:$IM$97,'Plan cashflow'!$JB$8:$JB$97,5,'Plan cashflow'!$JF$8:$JF$97,1)/G183,0)</f>
        <v>0</v>
      </c>
      <c r="J183" s="1" t="str">
        <f aca="false">IF(F183=0,"",IF(G183&gt;0,"storm",IF(H183&gt;F183/3,"showers",IF(H183&gt;0,"partly","sun"))))</f>
        <v>sun</v>
      </c>
    </row>
    <row r="184" customFormat="false" ht="15" hidden="false" customHeight="false" outlineLevel="0" collapsed="false">
      <c r="B184" s="1" t="n">
        <v>6</v>
      </c>
      <c r="C184" s="1" t="n">
        <f aca="false">IF(COUNTIFS('Plan cashflow'!$JB$8:$JB$97,6,'Plan cashflow'!$C$8:$C$97,1)=0,"",INDEX('Plan cashflow'!$JA$8:$JA$97,MATCH(6,'Plan cashflow'!$JB$8:$JB$97,0)))</f>
        <v>50</v>
      </c>
      <c r="D184" s="1" t="n">
        <f aca="false">IF(COUNTIFS('Plan cashflow'!$JB$8:$JB$97,6,'Plan cashflow'!$C$8:$C$97,1)=0,"",F_Age+MATCH(6,'Plan cashflow'!$JB$8:$JB$97,0)-1)</f>
        <v>50</v>
      </c>
      <c r="E184" s="1" t="n">
        <f aca="false">IF(COUNTIFS('Plan cashflow'!$JB$8:$JB$97,6,'Plan cashflow'!$C$8:$C$97,1)=0,"",D184+COUNTIFS('Plan cashflow'!$JB$8:$JB$97,6,'Plan cashflow'!$C$8:$C$97,1)-1)</f>
        <v>59</v>
      </c>
      <c r="F184" s="1" t="n">
        <f aca="false">COUNTIFS('Plan cashflow'!$JB$8:$JB$97,6,'Plan cashflow'!$C$8:$C$97,1)</f>
        <v>10</v>
      </c>
      <c r="G184" s="1" t="n">
        <f aca="false">COUNTIFS('Plan cashflow'!$JB$8:$JB$97,6,'Plan cashflow'!$JF$8:$JF$97,1)</f>
        <v>0</v>
      </c>
      <c r="H184" s="1" t="n">
        <f aca="false">COUNTIFS('Plan cashflow'!$JB$8:$JB$97,6,'Plan cashflow'!$IZ$8:$IZ$97,1)</f>
        <v>0</v>
      </c>
      <c r="I184" s="1" t="n">
        <f aca="false">IF(G184&gt;0,SUMIFS('Plan cashflow'!$IM$8:$IM$97,'Plan cashflow'!$JB$8:$JB$97,6,'Plan cashflow'!$JF$8:$JF$97,1)/G184,0)</f>
        <v>0</v>
      </c>
      <c r="J184" s="1" t="str">
        <f aca="false">IF(F184=0,"",IF(G184&gt;0,"storm",IF(H184&gt;F184/3,"showers",IF(H184&gt;0,"partly","sun"))))</f>
        <v>sun</v>
      </c>
    </row>
    <row r="185" customFormat="false" ht="15" hidden="false" customHeight="false" outlineLevel="0" collapsed="false">
      <c r="B185" s="1" t="n">
        <v>7</v>
      </c>
      <c r="C185" s="1" t="n">
        <f aca="false">IF(COUNTIFS('Plan cashflow'!$JB$8:$JB$97,7,'Plan cashflow'!$C$8:$C$97,1)=0,"",INDEX('Plan cashflow'!$JA$8:$JA$97,MATCH(7,'Plan cashflow'!$JB$8:$JB$97,0)))</f>
        <v>60</v>
      </c>
      <c r="D185" s="1" t="n">
        <f aca="false">IF(COUNTIFS('Plan cashflow'!$JB$8:$JB$97,7,'Plan cashflow'!$C$8:$C$97,1)=0,"",F_Age+MATCH(7,'Plan cashflow'!$JB$8:$JB$97,0)-1)</f>
        <v>60</v>
      </c>
      <c r="E185" s="1" t="n">
        <f aca="false">IF(COUNTIFS('Plan cashflow'!$JB$8:$JB$97,7,'Plan cashflow'!$C$8:$C$97,1)=0,"",D185+COUNTIFS('Plan cashflow'!$JB$8:$JB$97,7,'Plan cashflow'!$C$8:$C$97,1)-1)</f>
        <v>69</v>
      </c>
      <c r="F185" s="1" t="n">
        <f aca="false">COUNTIFS('Plan cashflow'!$JB$8:$JB$97,7,'Plan cashflow'!$C$8:$C$97,1)</f>
        <v>10</v>
      </c>
      <c r="G185" s="1" t="n">
        <f aca="false">COUNTIFS('Plan cashflow'!$JB$8:$JB$97,7,'Plan cashflow'!$JF$8:$JF$97,1)</f>
        <v>0</v>
      </c>
      <c r="H185" s="1" t="n">
        <f aca="false">COUNTIFS('Plan cashflow'!$JB$8:$JB$97,7,'Plan cashflow'!$IZ$8:$IZ$97,1)</f>
        <v>0</v>
      </c>
      <c r="I185" s="1" t="n">
        <f aca="false">IF(G185&gt;0,SUMIFS('Plan cashflow'!$IM$8:$IM$97,'Plan cashflow'!$JB$8:$JB$97,7,'Plan cashflow'!$JF$8:$JF$97,1)/G185,0)</f>
        <v>0</v>
      </c>
      <c r="J185" s="1" t="str">
        <f aca="false">IF(F185=0,"",IF(G185&gt;0,"storm",IF(H185&gt;F185/3,"showers",IF(H185&gt;0,"partly","sun"))))</f>
        <v>sun</v>
      </c>
    </row>
    <row r="186" customFormat="false" ht="15" hidden="false" customHeight="false" outlineLevel="0" collapsed="false">
      <c r="B186" s="1" t="n">
        <v>8</v>
      </c>
      <c r="C186" s="1" t="n">
        <f aca="false">IF(COUNTIFS('Plan cashflow'!$JB$8:$JB$97,8,'Plan cashflow'!$C$8:$C$97,1)=0,"",INDEX('Plan cashflow'!$JA$8:$JA$97,MATCH(8,'Plan cashflow'!$JB$8:$JB$97,0)))</f>
        <v>70</v>
      </c>
      <c r="D186" s="1" t="n">
        <f aca="false">IF(COUNTIFS('Plan cashflow'!$JB$8:$JB$97,8,'Plan cashflow'!$C$8:$C$97,1)=0,"",F_Age+MATCH(8,'Plan cashflow'!$JB$8:$JB$97,0)-1)</f>
        <v>70</v>
      </c>
      <c r="E186" s="1" t="n">
        <f aca="false">IF(COUNTIFS('Plan cashflow'!$JB$8:$JB$97,8,'Plan cashflow'!$C$8:$C$97,1)=0,"",D186+COUNTIFS('Plan cashflow'!$JB$8:$JB$97,8,'Plan cashflow'!$C$8:$C$97,1)-1)</f>
        <v>79</v>
      </c>
      <c r="F186" s="1" t="n">
        <f aca="false">COUNTIFS('Plan cashflow'!$JB$8:$JB$97,8,'Plan cashflow'!$C$8:$C$97,1)</f>
        <v>10</v>
      </c>
      <c r="G186" s="1" t="n">
        <f aca="false">COUNTIFS('Plan cashflow'!$JB$8:$JB$97,8,'Plan cashflow'!$JF$8:$JF$97,1)</f>
        <v>0</v>
      </c>
      <c r="H186" s="1" t="n">
        <f aca="false">COUNTIFS('Plan cashflow'!$JB$8:$JB$97,8,'Plan cashflow'!$IZ$8:$IZ$97,1)</f>
        <v>0</v>
      </c>
      <c r="I186" s="1" t="n">
        <f aca="false">IF(G186&gt;0,SUMIFS('Plan cashflow'!$IM$8:$IM$97,'Plan cashflow'!$JB$8:$JB$97,8,'Plan cashflow'!$JF$8:$JF$97,1)/G186,0)</f>
        <v>0</v>
      </c>
      <c r="J186" s="1" t="str">
        <f aca="false">IF(F186=0,"",IF(G186&gt;0,"storm",IF(H186&gt;F186/3,"showers",IF(H186&gt;0,"partly","sun"))))</f>
        <v>sun</v>
      </c>
    </row>
    <row r="187" customFormat="false" ht="15" hidden="false" customHeight="false" outlineLevel="0" collapsed="false">
      <c r="B187" s="1" t="n">
        <v>9</v>
      </c>
      <c r="C187" s="1" t="n">
        <f aca="false">IF(COUNTIFS('Plan cashflow'!$JB$8:$JB$97,9,'Plan cashflow'!$C$8:$C$97,1)=0,"",INDEX('Plan cashflow'!$JA$8:$JA$97,MATCH(9,'Plan cashflow'!$JB$8:$JB$97,0)))</f>
        <v>80</v>
      </c>
      <c r="D187" s="1" t="n">
        <f aca="false">IF(COUNTIFS('Plan cashflow'!$JB$8:$JB$97,9,'Plan cashflow'!$C$8:$C$97,1)=0,"",F_Age+MATCH(9,'Plan cashflow'!$JB$8:$JB$97,0)-1)</f>
        <v>80</v>
      </c>
      <c r="E187" s="1" t="n">
        <f aca="false">IF(COUNTIFS('Plan cashflow'!$JB$8:$JB$97,9,'Plan cashflow'!$C$8:$C$97,1)=0,"",D187+COUNTIFS('Plan cashflow'!$JB$8:$JB$97,9,'Plan cashflow'!$C$8:$C$97,1)-1)</f>
        <v>89</v>
      </c>
      <c r="F187" s="1" t="n">
        <f aca="false">COUNTIFS('Plan cashflow'!$JB$8:$JB$97,9,'Plan cashflow'!$C$8:$C$97,1)</f>
        <v>10</v>
      </c>
      <c r="G187" s="1" t="n">
        <f aca="false">COUNTIFS('Plan cashflow'!$JB$8:$JB$97,9,'Plan cashflow'!$JF$8:$JF$97,1)</f>
        <v>0</v>
      </c>
      <c r="H187" s="1" t="n">
        <f aca="false">COUNTIFS('Plan cashflow'!$JB$8:$JB$97,9,'Plan cashflow'!$IZ$8:$IZ$97,1)</f>
        <v>0</v>
      </c>
      <c r="I187" s="1" t="n">
        <f aca="false">IF(G187&gt;0,SUMIFS('Plan cashflow'!$IM$8:$IM$97,'Plan cashflow'!$JB$8:$JB$97,9,'Plan cashflow'!$JF$8:$JF$97,1)/G187,0)</f>
        <v>0</v>
      </c>
      <c r="J187" s="1" t="str">
        <f aca="false">IF(F187=0,"",IF(G187&gt;0,"storm",IF(H187&gt;F187/3,"showers",IF(H187&gt;0,"partly","sun"))))</f>
        <v>sun</v>
      </c>
    </row>
    <row r="188" customFormat="false" ht="15" hidden="false" customHeight="false" outlineLevel="0" collapsed="false">
      <c r="B188" s="1" t="n">
        <v>10</v>
      </c>
      <c r="C188" s="1" t="str">
        <f aca="false">IF(COUNTIFS('Plan cashflow'!$JB$8:$JB$97,10,'Plan cashflow'!$C$8:$C$97,1)=0,"",INDEX('Plan cashflow'!$JA$8:$JA$97,MATCH(10,'Plan cashflow'!$JB$8:$JB$97,0)))</f>
        <v/>
      </c>
      <c r="D188" s="1" t="str">
        <f aca="false">IF(COUNTIFS('Plan cashflow'!$JB$8:$JB$97,10,'Plan cashflow'!$C$8:$C$97,1)=0,"",F_Age+MATCH(10,'Plan cashflow'!$JB$8:$JB$97,0)-1)</f>
        <v/>
      </c>
      <c r="E188" s="1" t="str">
        <f aca="false">IF(COUNTIFS('Plan cashflow'!$JB$8:$JB$97,10,'Plan cashflow'!$C$8:$C$97,1)=0,"",D188+COUNTIFS('Plan cashflow'!$JB$8:$JB$97,10,'Plan cashflow'!$C$8:$C$97,1)-1)</f>
        <v/>
      </c>
      <c r="F188" s="1" t="n">
        <f aca="false">COUNTIFS('Plan cashflow'!$JB$8:$JB$97,10,'Plan cashflow'!$C$8:$C$97,1)</f>
        <v>0</v>
      </c>
      <c r="G188" s="1" t="n">
        <f aca="false">COUNTIFS('Plan cashflow'!$JB$8:$JB$97,10,'Plan cashflow'!$JF$8:$JF$97,1)</f>
        <v>0</v>
      </c>
      <c r="H188" s="1" t="n">
        <f aca="false">COUNTIFS('Plan cashflow'!$JB$8:$JB$97,10,'Plan cashflow'!$IZ$8:$IZ$97,1)</f>
        <v>0</v>
      </c>
      <c r="I188" s="1" t="n">
        <f aca="false">IF(G188&gt;0,SUMIFS('Plan cashflow'!$IM$8:$IM$97,'Plan cashflow'!$JB$8:$JB$97,10,'Plan cashflow'!$JF$8:$JF$97,1)/G188,0)</f>
        <v>0</v>
      </c>
      <c r="J188" s="1" t="str">
        <f aca="false">IF(F188=0,"",IF(G188&gt;0,"storm",IF(H188&gt;F188/3,"showers",IF(H188&gt;0,"partly","sun"))))</f>
        <v/>
      </c>
    </row>
  </sheetData>
  <mergeCells count="1">
    <mergeCell ref="B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K1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8"/>
    <col collapsed="false" customWidth="true" hidden="false" outlineLevel="0" max="3" min="3" style="1" width="22"/>
    <col collapsed="false" customWidth="true" hidden="false" outlineLevel="0" max="8" min="4" style="1" width="10"/>
    <col collapsed="false" customWidth="true" hidden="false" outlineLevel="0" max="9" min="9" style="1" width="40"/>
    <col collapsed="false" customWidth="true" hidden="false" outlineLevel="0" max="12" min="10" style="1" width="10"/>
  </cols>
  <sheetData>
    <row r="1" customFormat="false" ht="17.35" hidden="false" customHeight="false" outlineLevel="0" collapsed="false">
      <c r="B1" s="89" t="s">
        <v>2427</v>
      </c>
    </row>
    <row r="2" customFormat="false" ht="51.75" hidden="false" customHeight="true" outlineLevel="0" collapsed="false">
      <c r="B2" s="90" t="s">
        <v>2428</v>
      </c>
      <c r="C2" s="90"/>
      <c r="D2" s="90"/>
      <c r="E2" s="90"/>
      <c r="F2" s="90"/>
      <c r="G2" s="90"/>
      <c r="H2" s="90"/>
    </row>
    <row r="4" customFormat="false" ht="15" hidden="false" customHeight="false" outlineLevel="0" collapsed="false">
      <c r="B4" s="91" t="s">
        <v>2429</v>
      </c>
      <c r="C4" s="91" t="s">
        <v>2430</v>
      </c>
    </row>
    <row r="5" customFormat="false" ht="15" hidden="false" customHeight="false" outlineLevel="0" collapsed="false">
      <c r="B5" s="1" t="s">
        <v>2431</v>
      </c>
      <c r="C5" s="92"/>
      <c r="D5" s="93" t="n">
        <f aca="false">IF(ISBLANK(C5),0,C5)</f>
        <v>0</v>
      </c>
    </row>
    <row r="6" customFormat="false" ht="15" hidden="false" customHeight="false" outlineLevel="0" collapsed="false">
      <c r="B6" s="1" t="s">
        <v>2432</v>
      </c>
      <c r="C6" s="92"/>
      <c r="D6" s="93" t="n">
        <f aca="false">IF(ISBLANK(C6),0,C6)</f>
        <v>0</v>
      </c>
    </row>
    <row r="7" customFormat="false" ht="15" hidden="false" customHeight="false" outlineLevel="0" collapsed="false">
      <c r="B7" s="1" t="s">
        <v>2433</v>
      </c>
      <c r="C7" s="110" t="s">
        <v>2434</v>
      </c>
      <c r="D7" s="93" t="n">
        <f aca="false">IF(Has_q6=1,In_q6+1,0)</f>
        <v>0</v>
      </c>
    </row>
    <row r="8" customFormat="false" ht="15" hidden="false" customHeight="false" outlineLevel="0" collapsed="false">
      <c r="B8" s="1" t="s">
        <v>2435</v>
      </c>
      <c r="C8" s="92"/>
      <c r="D8" s="93" t="n">
        <f aca="false">IF(ISBLANK(C8),0,C8)</f>
        <v>0</v>
      </c>
    </row>
    <row r="9" customFormat="false" ht="15" hidden="false" customHeight="false" outlineLevel="0" collapsed="false">
      <c r="B9" s="1" t="s">
        <v>2436</v>
      </c>
      <c r="C9" s="92"/>
      <c r="D9" s="93" t="n">
        <f aca="false">IF(ISBLANK(C9),0,C9)</f>
        <v>0</v>
      </c>
    </row>
    <row r="10" customFormat="false" ht="15" hidden="false" customHeight="false" outlineLevel="0" collapsed="false">
      <c r="B10" s="1" t="s">
        <v>2437</v>
      </c>
      <c r="C10" s="92"/>
      <c r="D10" s="93" t="n">
        <f aca="false">IF(ISBLANK(C10),0,C10)</f>
        <v>0</v>
      </c>
    </row>
    <row r="11" customFormat="false" ht="15" hidden="false" customHeight="false" outlineLevel="0" collapsed="false">
      <c r="B11" s="1" t="s">
        <v>2438</v>
      </c>
      <c r="C11" s="92"/>
      <c r="D11" s="93" t="n">
        <f aca="false">IF(ISBLANK(C11),0,C11)</f>
        <v>0</v>
      </c>
    </row>
    <row r="12" customFormat="false" ht="15" hidden="false" customHeight="false" outlineLevel="0" collapsed="false">
      <c r="B12" s="1" t="s">
        <v>2439</v>
      </c>
      <c r="C12" s="92"/>
      <c r="D12" s="93" t="n">
        <f aca="false">IF(ISBLANK(C12),0,C12)</f>
        <v>0</v>
      </c>
    </row>
    <row r="13" customFormat="false" ht="15" hidden="false" customHeight="false" outlineLevel="0" collapsed="false">
      <c r="B13" s="1" t="s">
        <v>2440</v>
      </c>
      <c r="C13" s="92"/>
      <c r="D13" s="93" t="n">
        <f aca="false">IF(ISBLANK(C13),0,C13)</f>
        <v>0</v>
      </c>
    </row>
    <row r="14" customFormat="false" ht="15" hidden="false" customHeight="false" outlineLevel="0" collapsed="false">
      <c r="B14" s="1" t="s">
        <v>2441</v>
      </c>
      <c r="C14" s="92"/>
      <c r="D14" s="93" t="n">
        <f aca="false">IF(ISBLANK(C14),0,C14)</f>
        <v>0</v>
      </c>
    </row>
    <row r="15" customFormat="false" ht="15" hidden="false" customHeight="false" outlineLevel="0" collapsed="false">
      <c r="B15" s="1" t="s">
        <v>2442</v>
      </c>
      <c r="C15" s="92"/>
      <c r="D15" s="93" t="n">
        <f aca="false">IF(ISBLANK(C15),0,C15)</f>
        <v>0</v>
      </c>
    </row>
    <row r="16" customFormat="false" ht="15" hidden="false" customHeight="false" outlineLevel="0" collapsed="false">
      <c r="B16" s="1" t="s">
        <v>2443</v>
      </c>
      <c r="C16" s="92"/>
      <c r="D16" s="93" t="n">
        <f aca="false">IF(ISBLANK(C16),0,C16)</f>
        <v>0</v>
      </c>
    </row>
    <row r="17" customFormat="false" ht="15" hidden="false" customHeight="false" outlineLevel="0" collapsed="false">
      <c r="B17" s="1" t="s">
        <v>2444</v>
      </c>
      <c r="C17" s="92"/>
      <c r="D17" s="93" t="n">
        <f aca="false">IF(ISBLANK(C17),0,C17)</f>
        <v>0</v>
      </c>
    </row>
    <row r="18" customFormat="false" ht="15" hidden="false" customHeight="false" outlineLevel="0" collapsed="false">
      <c r="B18" s="1" t="s">
        <v>2445</v>
      </c>
      <c r="C18" s="92"/>
      <c r="D18" s="93" t="n">
        <f aca="false">IF(ISBLANK(C18),0,C18)</f>
        <v>0</v>
      </c>
    </row>
    <row r="19" customFormat="false" ht="15" hidden="false" customHeight="false" outlineLevel="0" collapsed="false">
      <c r="B19" s="1" t="s">
        <v>2446</v>
      </c>
      <c r="C19" s="92"/>
      <c r="D19" s="93" t="n">
        <f aca="false">IF(C19="Yes",1,0)</f>
        <v>0</v>
      </c>
    </row>
    <row r="20" customFormat="false" ht="15" hidden="false" customHeight="false" outlineLevel="0" collapsed="false">
      <c r="B20" s="1" t="s">
        <v>2447</v>
      </c>
      <c r="C20" s="92"/>
      <c r="D20" s="93" t="n">
        <f aca="false">IF(C20="Yes",1,0)</f>
        <v>0</v>
      </c>
    </row>
    <row r="22" customFormat="false" ht="15" hidden="false" customHeight="false" outlineLevel="0" collapsed="false">
      <c r="B22" s="91" t="s">
        <v>2448</v>
      </c>
      <c r="C22" s="91" t="s">
        <v>2449</v>
      </c>
      <c r="D22" s="91" t="s">
        <v>2450</v>
      </c>
      <c r="E22" s="91" t="s">
        <v>2451</v>
      </c>
      <c r="F22" s="91" t="s">
        <v>2452</v>
      </c>
      <c r="G22" s="91" t="s">
        <v>2453</v>
      </c>
      <c r="H22" s="91" t="s">
        <v>2454</v>
      </c>
      <c r="I22" s="111"/>
      <c r="J22" s="111"/>
      <c r="K22" s="111"/>
    </row>
    <row r="23" customFormat="false" ht="15" hidden="false" customHeight="false" outlineLevel="0" collapsed="false">
      <c r="B23" s="1" t="s">
        <v>2455</v>
      </c>
      <c r="D23" s="1" t="n">
        <v>2</v>
      </c>
      <c r="E23" s="1" t="n">
        <v>0</v>
      </c>
      <c r="F23" s="1" t="n">
        <v>0</v>
      </c>
      <c r="G23" s="1" t="n">
        <v>0</v>
      </c>
      <c r="H23" s="1" t="s">
        <v>2456</v>
      </c>
    </row>
    <row r="24" customFormat="false" ht="15" hidden="false" customHeight="false" outlineLevel="0" collapsed="false">
      <c r="B24" s="1" t="s">
        <v>2457</v>
      </c>
      <c r="D24" s="1" t="n">
        <v>0</v>
      </c>
      <c r="E24" s="1" t="n">
        <v>2</v>
      </c>
      <c r="F24" s="1" t="n">
        <v>0</v>
      </c>
      <c r="G24" s="1" t="n">
        <v>0</v>
      </c>
      <c r="H24" s="1" t="s">
        <v>2458</v>
      </c>
    </row>
    <row r="25" customFormat="false" ht="15" hidden="false" customHeight="false" outlineLevel="0" collapsed="false">
      <c r="B25" s="1" t="s">
        <v>2459</v>
      </c>
      <c r="D25" s="1" t="n">
        <v>0</v>
      </c>
      <c r="E25" s="1" t="n">
        <v>0</v>
      </c>
      <c r="F25" s="1" t="n">
        <v>2</v>
      </c>
      <c r="G25" s="1" t="n">
        <v>0</v>
      </c>
      <c r="H25" s="1" t="s">
        <v>2460</v>
      </c>
    </row>
    <row r="26" customFormat="false" ht="15" hidden="false" customHeight="false" outlineLevel="0" collapsed="false">
      <c r="B26" s="1" t="s">
        <v>2461</v>
      </c>
      <c r="D26" s="1" t="n">
        <v>0</v>
      </c>
      <c r="E26" s="1" t="n">
        <v>0</v>
      </c>
      <c r="F26" s="1" t="n">
        <v>0</v>
      </c>
      <c r="G26" s="1" t="n">
        <v>2</v>
      </c>
      <c r="H26" s="1" t="s">
        <v>2462</v>
      </c>
    </row>
    <row r="27" customFormat="false" ht="15" hidden="false" customHeight="false" outlineLevel="0" collapsed="false">
      <c r="B27" s="1" t="s">
        <v>2463</v>
      </c>
      <c r="D27" s="1" t="n">
        <v>0</v>
      </c>
      <c r="E27" s="1" t="n">
        <v>0</v>
      </c>
      <c r="F27" s="1" t="n">
        <v>1</v>
      </c>
      <c r="G27" s="1" t="n">
        <v>0</v>
      </c>
      <c r="H27" s="1" t="s">
        <v>2464</v>
      </c>
    </row>
    <row r="28" customFormat="false" ht="15" hidden="false" customHeight="false" outlineLevel="0" collapsed="false">
      <c r="B28" s="1" t="s">
        <v>2465</v>
      </c>
      <c r="D28" s="1" t="n">
        <v>1</v>
      </c>
      <c r="E28" s="1" t="n">
        <v>0</v>
      </c>
      <c r="F28" s="1" t="n">
        <v>0</v>
      </c>
      <c r="G28" s="1" t="n">
        <v>0</v>
      </c>
      <c r="H28" s="1" t="s">
        <v>2466</v>
      </c>
    </row>
    <row r="29" customFormat="false" ht="15" hidden="false" customHeight="false" outlineLevel="0" collapsed="false">
      <c r="B29" s="1" t="s">
        <v>2467</v>
      </c>
      <c r="D29" s="1" t="n">
        <v>0</v>
      </c>
      <c r="E29" s="1" t="n">
        <v>1</v>
      </c>
      <c r="F29" s="1" t="n">
        <v>0</v>
      </c>
      <c r="G29" s="1" t="n">
        <v>0</v>
      </c>
      <c r="H29" s="1" t="s">
        <v>2468</v>
      </c>
    </row>
    <row r="30" customFormat="false" ht="15" hidden="false" customHeight="false" outlineLevel="0" collapsed="false">
      <c r="B30" s="1" t="s">
        <v>2469</v>
      </c>
      <c r="D30" s="1" t="n">
        <v>0</v>
      </c>
      <c r="E30" s="1" t="n">
        <v>0.5</v>
      </c>
      <c r="F30" s="1" t="n">
        <v>0</v>
      </c>
      <c r="G30" s="1" t="n">
        <v>0.5</v>
      </c>
      <c r="H30" s="1" t="s">
        <v>2470</v>
      </c>
    </row>
    <row r="31" customFormat="false" ht="15" hidden="false" customHeight="false" outlineLevel="0" collapsed="false">
      <c r="B31" s="1" t="s">
        <v>2471</v>
      </c>
      <c r="C31" s="1" t="n">
        <v>1</v>
      </c>
      <c r="D31" s="1" t="n">
        <v>0</v>
      </c>
      <c r="E31" s="1" t="n">
        <v>0</v>
      </c>
      <c r="F31" s="1" t="n">
        <v>0</v>
      </c>
      <c r="G31" s="1" t="n">
        <v>0</v>
      </c>
      <c r="H31" s="1" t="s">
        <v>2472</v>
      </c>
    </row>
    <row r="32" customFormat="false" ht="15" hidden="false" customHeight="false" outlineLevel="0" collapsed="false">
      <c r="B32" s="1" t="s">
        <v>2473</v>
      </c>
      <c r="C32" s="1" t="n">
        <v>2</v>
      </c>
      <c r="D32" s="1" t="n">
        <v>0</v>
      </c>
      <c r="E32" s="1" t="n">
        <v>0</v>
      </c>
      <c r="F32" s="1" t="n">
        <v>0</v>
      </c>
      <c r="G32" s="1" t="n">
        <v>0</v>
      </c>
      <c r="H32" s="1" t="s">
        <v>2474</v>
      </c>
    </row>
    <row r="33" customFormat="false" ht="15" hidden="false" customHeight="false" outlineLevel="0" collapsed="false">
      <c r="B33" s="1" t="s">
        <v>2475</v>
      </c>
      <c r="C33" s="1" t="n">
        <v>3</v>
      </c>
      <c r="D33" s="1" t="n">
        <v>0</v>
      </c>
      <c r="E33" s="1" t="n">
        <v>0</v>
      </c>
      <c r="F33" s="1" t="n">
        <v>0</v>
      </c>
      <c r="G33" s="1" t="n">
        <v>0</v>
      </c>
      <c r="H33" s="1" t="s">
        <v>2476</v>
      </c>
    </row>
    <row r="34" customFormat="false" ht="15" hidden="false" customHeight="false" outlineLevel="0" collapsed="false">
      <c r="B34" s="1" t="s">
        <v>2477</v>
      </c>
      <c r="C34" s="1" t="n">
        <v>4</v>
      </c>
      <c r="D34" s="1" t="n">
        <v>0</v>
      </c>
      <c r="E34" s="1" t="n">
        <v>0</v>
      </c>
      <c r="F34" s="1" t="n">
        <v>0</v>
      </c>
      <c r="G34" s="1" t="n">
        <v>0</v>
      </c>
      <c r="H34" s="1" t="s">
        <v>2478</v>
      </c>
    </row>
    <row r="35" customFormat="false" ht="15" hidden="false" customHeight="false" outlineLevel="0" collapsed="false">
      <c r="B35" s="1" t="s">
        <v>2479</v>
      </c>
      <c r="C35" s="1" t="n">
        <v>2</v>
      </c>
      <c r="D35" s="1" t="n">
        <v>0</v>
      </c>
      <c r="E35" s="1" t="n">
        <v>0</v>
      </c>
      <c r="F35" s="1" t="n">
        <v>0</v>
      </c>
      <c r="G35" s="1" t="n">
        <v>0</v>
      </c>
      <c r="H35" s="1" t="s">
        <v>2480</v>
      </c>
    </row>
    <row r="36" customFormat="false" ht="15" hidden="false" customHeight="false" outlineLevel="0" collapsed="false">
      <c r="B36" s="1" t="s">
        <v>2481</v>
      </c>
      <c r="C36" s="1" t="n">
        <v>4</v>
      </c>
      <c r="D36" s="1" t="n">
        <v>0.5</v>
      </c>
      <c r="E36" s="1" t="n">
        <v>0</v>
      </c>
      <c r="F36" s="1" t="n">
        <v>0</v>
      </c>
      <c r="G36" s="1" t="n">
        <v>0</v>
      </c>
      <c r="H36" s="1" t="s">
        <v>2144</v>
      </c>
    </row>
    <row r="37" customFormat="false" ht="15" hidden="false" customHeight="false" outlineLevel="0" collapsed="false">
      <c r="B37" s="1" t="s">
        <v>2482</v>
      </c>
      <c r="C37" s="1" t="n">
        <v>2</v>
      </c>
      <c r="D37" s="1" t="n">
        <v>0</v>
      </c>
      <c r="E37" s="1" t="n">
        <v>0</v>
      </c>
      <c r="F37" s="1" t="n">
        <v>0</v>
      </c>
      <c r="G37" s="1" t="n">
        <v>0</v>
      </c>
      <c r="H37" s="1" t="s">
        <v>2483</v>
      </c>
    </row>
    <row r="38" customFormat="false" ht="15" hidden="false" customHeight="false" outlineLevel="0" collapsed="false">
      <c r="B38" s="1" t="s">
        <v>2484</v>
      </c>
      <c r="C38" s="1" t="n">
        <v>1</v>
      </c>
      <c r="D38" s="1" t="n">
        <v>0</v>
      </c>
      <c r="E38" s="1" t="n">
        <v>0</v>
      </c>
      <c r="F38" s="1" t="n">
        <v>0</v>
      </c>
      <c r="G38" s="1" t="n">
        <v>0</v>
      </c>
      <c r="H38" s="1" t="s">
        <v>2485</v>
      </c>
    </row>
    <row r="39" customFormat="false" ht="15" hidden="false" customHeight="false" outlineLevel="0" collapsed="false">
      <c r="B39" s="1" t="s">
        <v>2486</v>
      </c>
      <c r="C39" s="1" t="n">
        <v>1</v>
      </c>
      <c r="D39" s="1" t="n">
        <v>0</v>
      </c>
      <c r="E39" s="1" t="n">
        <v>0</v>
      </c>
      <c r="F39" s="1" t="n">
        <v>0</v>
      </c>
      <c r="G39" s="1" t="n">
        <v>0.5</v>
      </c>
      <c r="H39" s="1" t="s">
        <v>2487</v>
      </c>
    </row>
    <row r="40" customFormat="false" ht="15" hidden="false" customHeight="false" outlineLevel="0" collapsed="false">
      <c r="B40" s="1" t="s">
        <v>2488</v>
      </c>
      <c r="C40" s="1" t="n">
        <v>1</v>
      </c>
      <c r="D40" s="1" t="n">
        <v>0</v>
      </c>
      <c r="E40" s="1" t="n">
        <v>0.5</v>
      </c>
      <c r="F40" s="1" t="n">
        <v>0</v>
      </c>
      <c r="G40" s="1" t="n">
        <v>0.5</v>
      </c>
      <c r="H40" s="1" t="s">
        <v>2489</v>
      </c>
    </row>
    <row r="41" customFormat="false" ht="15" hidden="false" customHeight="false" outlineLevel="0" collapsed="false">
      <c r="B41" s="1" t="s">
        <v>2490</v>
      </c>
      <c r="C41" s="1" t="n">
        <v>2</v>
      </c>
      <c r="D41" s="1" t="n">
        <v>0.5</v>
      </c>
      <c r="E41" s="1" t="n">
        <v>0.5</v>
      </c>
      <c r="F41" s="1" t="n">
        <v>0</v>
      </c>
      <c r="G41" s="1" t="n">
        <v>0</v>
      </c>
      <c r="H41" s="1" t="s">
        <v>2491</v>
      </c>
    </row>
    <row r="42" customFormat="false" ht="15" hidden="false" customHeight="false" outlineLevel="0" collapsed="false">
      <c r="B42" s="1" t="s">
        <v>2492</v>
      </c>
      <c r="C42" s="1" t="n">
        <v>3</v>
      </c>
      <c r="D42" s="1" t="n">
        <v>0.5</v>
      </c>
      <c r="E42" s="1" t="n">
        <v>0</v>
      </c>
      <c r="F42" s="1" t="n">
        <v>0.5</v>
      </c>
      <c r="G42" s="1" t="n">
        <v>0</v>
      </c>
      <c r="H42" s="1" t="s">
        <v>2493</v>
      </c>
    </row>
    <row r="43" customFormat="false" ht="15" hidden="false" customHeight="false" outlineLevel="0" collapsed="false">
      <c r="B43" s="1" t="s">
        <v>2494</v>
      </c>
      <c r="C43" s="1" t="n">
        <v>4</v>
      </c>
      <c r="D43" s="1" t="n">
        <v>0</v>
      </c>
      <c r="E43" s="1" t="n">
        <v>0</v>
      </c>
      <c r="F43" s="1" t="n">
        <v>1</v>
      </c>
      <c r="G43" s="1" t="n">
        <v>0</v>
      </c>
      <c r="H43" s="1" t="s">
        <v>2495</v>
      </c>
    </row>
    <row r="44" customFormat="false" ht="15" hidden="false" customHeight="false" outlineLevel="0" collapsed="false">
      <c r="B44" s="1" t="s">
        <v>2496</v>
      </c>
      <c r="C44" s="1" t="n">
        <v>1</v>
      </c>
      <c r="D44" s="1" t="n">
        <v>0</v>
      </c>
      <c r="E44" s="1" t="n">
        <v>1</v>
      </c>
      <c r="F44" s="1" t="n">
        <v>0</v>
      </c>
      <c r="G44" s="1" t="n">
        <v>0</v>
      </c>
      <c r="H44" s="1" t="s">
        <v>2497</v>
      </c>
    </row>
    <row r="45" customFormat="false" ht="15" hidden="false" customHeight="false" outlineLevel="0" collapsed="false">
      <c r="B45" s="1" t="s">
        <v>2498</v>
      </c>
      <c r="C45" s="1" t="n">
        <v>2</v>
      </c>
      <c r="D45" s="1" t="n">
        <v>0</v>
      </c>
      <c r="E45" s="1" t="n">
        <v>0.5</v>
      </c>
      <c r="F45" s="1" t="n">
        <v>0</v>
      </c>
      <c r="G45" s="1" t="n">
        <v>0</v>
      </c>
      <c r="H45" s="1" t="s">
        <v>2499</v>
      </c>
    </row>
    <row r="46" customFormat="false" ht="15" hidden="false" customHeight="false" outlineLevel="0" collapsed="false">
      <c r="B46" s="1" t="s">
        <v>2500</v>
      </c>
      <c r="C46" s="1" t="n">
        <v>3</v>
      </c>
      <c r="D46" s="1" t="n">
        <v>0.5</v>
      </c>
      <c r="E46" s="1" t="n">
        <v>0</v>
      </c>
      <c r="F46" s="1" t="n">
        <v>0</v>
      </c>
      <c r="G46" s="1" t="n">
        <v>0.5</v>
      </c>
      <c r="H46" s="1" t="s">
        <v>2501</v>
      </c>
    </row>
    <row r="47" customFormat="false" ht="15" hidden="false" customHeight="false" outlineLevel="0" collapsed="false">
      <c r="B47" s="1" t="s">
        <v>2502</v>
      </c>
      <c r="C47" s="1" t="n">
        <v>4</v>
      </c>
      <c r="D47" s="1" t="n">
        <v>0</v>
      </c>
      <c r="E47" s="1" t="n">
        <v>0</v>
      </c>
      <c r="F47" s="1" t="n">
        <v>1</v>
      </c>
      <c r="G47" s="1" t="n">
        <v>0</v>
      </c>
      <c r="H47" s="1" t="s">
        <v>2503</v>
      </c>
    </row>
    <row r="48" customFormat="false" ht="15" hidden="false" customHeight="false" outlineLevel="0" collapsed="false">
      <c r="B48" s="1" t="s">
        <v>2504</v>
      </c>
      <c r="C48" s="1" t="n">
        <v>1</v>
      </c>
      <c r="D48" s="1" t="n">
        <v>0</v>
      </c>
      <c r="E48" s="1" t="n">
        <v>1</v>
      </c>
      <c r="F48" s="1" t="n">
        <v>0</v>
      </c>
      <c r="G48" s="1" t="n">
        <v>0</v>
      </c>
      <c r="H48" s="1" t="s">
        <v>2505</v>
      </c>
    </row>
    <row r="49" customFormat="false" ht="15" hidden="false" customHeight="false" outlineLevel="0" collapsed="false">
      <c r="B49" s="1" t="s">
        <v>2506</v>
      </c>
      <c r="C49" s="1" t="n">
        <v>2</v>
      </c>
      <c r="D49" s="1" t="n">
        <v>0</v>
      </c>
      <c r="E49" s="1" t="n">
        <v>0</v>
      </c>
      <c r="F49" s="1" t="n">
        <v>0.5</v>
      </c>
      <c r="G49" s="1" t="n">
        <v>0</v>
      </c>
      <c r="H49" s="1" t="s">
        <v>2507</v>
      </c>
    </row>
    <row r="50" customFormat="false" ht="15" hidden="false" customHeight="false" outlineLevel="0" collapsed="false">
      <c r="B50" s="1" t="s">
        <v>2508</v>
      </c>
      <c r="C50" s="1" t="n">
        <v>4</v>
      </c>
      <c r="D50" s="1" t="n">
        <v>1</v>
      </c>
      <c r="E50" s="1" t="n">
        <v>0</v>
      </c>
      <c r="F50" s="1" t="n">
        <v>0</v>
      </c>
      <c r="G50" s="1" t="n">
        <v>0</v>
      </c>
      <c r="H50" s="1" t="s">
        <v>2509</v>
      </c>
    </row>
    <row r="51" customFormat="false" ht="15" hidden="false" customHeight="false" outlineLevel="0" collapsed="false">
      <c r="B51" s="1" t="s">
        <v>2510</v>
      </c>
      <c r="C51" s="1" t="n">
        <v>1</v>
      </c>
      <c r="D51" s="1" t="n">
        <v>0</v>
      </c>
      <c r="E51" s="1" t="n">
        <v>0</v>
      </c>
      <c r="F51" s="1" t="n">
        <v>0</v>
      </c>
      <c r="G51" s="1" t="n">
        <v>1</v>
      </c>
      <c r="H51" s="1" t="s">
        <v>2511</v>
      </c>
    </row>
    <row r="52" customFormat="false" ht="15" hidden="false" customHeight="false" outlineLevel="0" collapsed="false">
      <c r="B52" s="1" t="s">
        <v>2512</v>
      </c>
      <c r="C52" s="1" t="n">
        <v>1</v>
      </c>
      <c r="D52" s="1" t="n">
        <v>0</v>
      </c>
      <c r="E52" s="1" t="n">
        <v>0</v>
      </c>
      <c r="F52" s="1" t="n">
        <v>0</v>
      </c>
      <c r="G52" s="1" t="n">
        <v>0</v>
      </c>
    </row>
    <row r="53" customFormat="false" ht="15" hidden="false" customHeight="false" outlineLevel="0" collapsed="false">
      <c r="B53" s="1" t="s">
        <v>2513</v>
      </c>
      <c r="C53" s="1" t="n">
        <v>2</v>
      </c>
      <c r="D53" s="1" t="n">
        <v>0</v>
      </c>
      <c r="E53" s="1" t="n">
        <v>0</v>
      </c>
      <c r="F53" s="1" t="n">
        <v>0</v>
      </c>
      <c r="G53" s="1" t="n">
        <v>0</v>
      </c>
    </row>
    <row r="54" customFormat="false" ht="15" hidden="false" customHeight="false" outlineLevel="0" collapsed="false">
      <c r="B54" s="1" t="s">
        <v>2514</v>
      </c>
      <c r="C54" s="1" t="n">
        <v>3</v>
      </c>
      <c r="D54" s="1" t="n">
        <v>0</v>
      </c>
      <c r="E54" s="1" t="n">
        <v>0</v>
      </c>
      <c r="F54" s="1" t="n">
        <v>0</v>
      </c>
      <c r="G54" s="1" t="n">
        <v>0</v>
      </c>
    </row>
    <row r="55" customFormat="false" ht="15" hidden="false" customHeight="false" outlineLevel="0" collapsed="false">
      <c r="B55" s="1" t="s">
        <v>2515</v>
      </c>
      <c r="C55" s="1" t="n">
        <v>4</v>
      </c>
      <c r="D55" s="1" t="n">
        <v>0</v>
      </c>
      <c r="E55" s="1" t="n">
        <v>0</v>
      </c>
      <c r="F55" s="1" t="n">
        <v>0</v>
      </c>
      <c r="G55" s="1" t="n">
        <v>0</v>
      </c>
    </row>
    <row r="56" customFormat="false" ht="15" hidden="false" customHeight="false" outlineLevel="0" collapsed="false">
      <c r="B56" s="1" t="s">
        <v>2516</v>
      </c>
      <c r="C56" s="1" t="n">
        <v>1</v>
      </c>
      <c r="D56" s="1" t="n">
        <v>0</v>
      </c>
      <c r="E56" s="1" t="n">
        <v>0</v>
      </c>
      <c r="F56" s="1" t="n">
        <v>0</v>
      </c>
      <c r="G56" s="1" t="n">
        <v>0</v>
      </c>
    </row>
    <row r="57" customFormat="false" ht="15" hidden="false" customHeight="false" outlineLevel="0" collapsed="false">
      <c r="B57" s="1" t="s">
        <v>2517</v>
      </c>
      <c r="C57" s="1" t="n">
        <v>2</v>
      </c>
      <c r="D57" s="1" t="n">
        <v>0</v>
      </c>
      <c r="E57" s="1" t="n">
        <v>0</v>
      </c>
      <c r="F57" s="1" t="n">
        <v>0</v>
      </c>
      <c r="G57" s="1" t="n">
        <v>0</v>
      </c>
    </row>
    <row r="58" customFormat="false" ht="15" hidden="false" customHeight="false" outlineLevel="0" collapsed="false">
      <c r="B58" s="1" t="s">
        <v>2518</v>
      </c>
      <c r="C58" s="1" t="n">
        <v>3</v>
      </c>
      <c r="D58" s="1" t="n">
        <v>0</v>
      </c>
      <c r="E58" s="1" t="n">
        <v>0</v>
      </c>
      <c r="F58" s="1" t="n">
        <v>0</v>
      </c>
      <c r="G58" s="1" t="n">
        <v>0</v>
      </c>
    </row>
    <row r="59" customFormat="false" ht="15" hidden="false" customHeight="false" outlineLevel="0" collapsed="false">
      <c r="B59" s="1" t="s">
        <v>2519</v>
      </c>
      <c r="C59" s="1" t="n">
        <v>4</v>
      </c>
      <c r="D59" s="1" t="n">
        <v>0</v>
      </c>
      <c r="E59" s="1" t="n">
        <v>0</v>
      </c>
      <c r="F59" s="1" t="n">
        <v>0</v>
      </c>
      <c r="G59" s="1" t="n">
        <v>0</v>
      </c>
    </row>
    <row r="60" customFormat="false" ht="15" hidden="false" customHeight="false" outlineLevel="0" collapsed="false">
      <c r="B60" s="1" t="s">
        <v>2520</v>
      </c>
      <c r="C60" s="1" t="n">
        <v>1</v>
      </c>
      <c r="D60" s="1" t="n">
        <v>0</v>
      </c>
      <c r="E60" s="1" t="n">
        <v>0</v>
      </c>
      <c r="F60" s="1" t="n">
        <v>0</v>
      </c>
      <c r="G60" s="1" t="n">
        <v>0</v>
      </c>
    </row>
    <row r="61" customFormat="false" ht="15" hidden="false" customHeight="false" outlineLevel="0" collapsed="false">
      <c r="B61" s="1" t="s">
        <v>2521</v>
      </c>
      <c r="C61" s="1" t="n">
        <v>2</v>
      </c>
      <c r="D61" s="1" t="n">
        <v>0</v>
      </c>
      <c r="E61" s="1" t="n">
        <v>0</v>
      </c>
      <c r="F61" s="1" t="n">
        <v>0</v>
      </c>
      <c r="G61" s="1" t="n">
        <v>0</v>
      </c>
    </row>
    <row r="62" customFormat="false" ht="15" hidden="false" customHeight="false" outlineLevel="0" collapsed="false">
      <c r="B62" s="1" t="s">
        <v>2522</v>
      </c>
      <c r="C62" s="1" t="n">
        <v>3</v>
      </c>
      <c r="D62" s="1" t="n">
        <v>0</v>
      </c>
      <c r="E62" s="1" t="n">
        <v>0</v>
      </c>
      <c r="F62" s="1" t="n">
        <v>0</v>
      </c>
      <c r="G62" s="1" t="n">
        <v>0</v>
      </c>
    </row>
    <row r="63" customFormat="false" ht="15" hidden="false" customHeight="false" outlineLevel="0" collapsed="false">
      <c r="B63" s="1" t="s">
        <v>2523</v>
      </c>
      <c r="C63" s="1" t="n">
        <v>4</v>
      </c>
      <c r="D63" s="1" t="n">
        <v>0</v>
      </c>
      <c r="E63" s="1" t="n">
        <v>0</v>
      </c>
      <c r="F63" s="1" t="n">
        <v>0</v>
      </c>
      <c r="G63" s="1" t="n">
        <v>0</v>
      </c>
    </row>
    <row r="64" customFormat="false" ht="15" hidden="false" customHeight="false" outlineLevel="0" collapsed="false">
      <c r="B64" s="1" t="s">
        <v>2524</v>
      </c>
      <c r="C64" s="1" t="n">
        <v>1</v>
      </c>
      <c r="D64" s="1" t="n">
        <v>0</v>
      </c>
      <c r="E64" s="1" t="n">
        <v>0</v>
      </c>
      <c r="F64" s="1" t="n">
        <v>0</v>
      </c>
      <c r="G64" s="1" t="n">
        <v>0</v>
      </c>
    </row>
    <row r="65" customFormat="false" ht="15" hidden="false" customHeight="false" outlineLevel="0" collapsed="false">
      <c r="B65" s="1" t="s">
        <v>2525</v>
      </c>
      <c r="C65" s="1" t="n">
        <v>2</v>
      </c>
      <c r="D65" s="1" t="n">
        <v>0</v>
      </c>
      <c r="E65" s="1" t="n">
        <v>0</v>
      </c>
      <c r="F65" s="1" t="n">
        <v>0</v>
      </c>
      <c r="G65" s="1" t="n">
        <v>0</v>
      </c>
    </row>
    <row r="66" customFormat="false" ht="15" hidden="false" customHeight="false" outlineLevel="0" collapsed="false">
      <c r="B66" s="1" t="s">
        <v>2526</v>
      </c>
      <c r="C66" s="1" t="n">
        <v>3</v>
      </c>
      <c r="D66" s="1" t="n">
        <v>0</v>
      </c>
      <c r="E66" s="1" t="n">
        <v>0</v>
      </c>
      <c r="F66" s="1" t="n">
        <v>0</v>
      </c>
      <c r="G66" s="1" t="n">
        <v>0</v>
      </c>
    </row>
    <row r="67" customFormat="false" ht="15" hidden="false" customHeight="false" outlineLevel="0" collapsed="false">
      <c r="B67" s="1" t="s">
        <v>2527</v>
      </c>
      <c r="C67" s="1" t="n">
        <v>4</v>
      </c>
      <c r="D67" s="1" t="n">
        <v>0</v>
      </c>
      <c r="E67" s="1" t="n">
        <v>0</v>
      </c>
      <c r="F67" s="1" t="n">
        <v>0</v>
      </c>
      <c r="G67" s="1" t="n">
        <v>0</v>
      </c>
    </row>
    <row r="68" customFormat="false" ht="15" hidden="false" customHeight="false" outlineLevel="0" collapsed="false">
      <c r="B68" s="1" t="s">
        <v>2528</v>
      </c>
      <c r="D68" s="1" t="n">
        <v>0.5</v>
      </c>
      <c r="E68" s="1" t="n">
        <v>0</v>
      </c>
      <c r="F68" s="1" t="n">
        <v>0.5</v>
      </c>
      <c r="G68" s="1" t="n">
        <v>0</v>
      </c>
    </row>
    <row r="69" customFormat="false" ht="15" hidden="false" customHeight="false" outlineLevel="0" collapsed="false">
      <c r="B69" s="1" t="s">
        <v>2529</v>
      </c>
      <c r="D69" s="1" t="n">
        <v>0.5</v>
      </c>
      <c r="E69" s="1" t="n">
        <v>0.5</v>
      </c>
      <c r="F69" s="1" t="n">
        <v>0</v>
      </c>
      <c r="G69" s="1" t="n">
        <v>0</v>
      </c>
    </row>
    <row r="70" customFormat="false" ht="15" hidden="false" customHeight="false" outlineLevel="0" collapsed="false">
      <c r="B70" s="1" t="s">
        <v>2530</v>
      </c>
      <c r="D70" s="1" t="n">
        <v>0</v>
      </c>
      <c r="E70" s="1" t="n">
        <v>1</v>
      </c>
      <c r="F70" s="1" t="n">
        <v>0</v>
      </c>
      <c r="G70" s="1" t="n">
        <v>0</v>
      </c>
    </row>
    <row r="71" customFormat="false" ht="15" hidden="false" customHeight="false" outlineLevel="0" collapsed="false">
      <c r="B71" s="1" t="s">
        <v>2531</v>
      </c>
      <c r="D71" s="1" t="n">
        <v>0</v>
      </c>
      <c r="E71" s="1" t="n">
        <v>0</v>
      </c>
      <c r="F71" s="1" t="n">
        <v>0</v>
      </c>
      <c r="G71" s="1" t="n">
        <v>1</v>
      </c>
      <c r="H71" s="1" t="s">
        <v>2532</v>
      </c>
    </row>
    <row r="72" customFormat="false" ht="15" hidden="false" customHeight="false" outlineLevel="0" collapsed="false">
      <c r="B72" s="1" t="s">
        <v>2533</v>
      </c>
      <c r="C72" s="1" t="n">
        <v>1</v>
      </c>
      <c r="D72" s="1" t="n">
        <v>0</v>
      </c>
      <c r="E72" s="1" t="n">
        <v>0</v>
      </c>
      <c r="F72" s="1" t="n">
        <v>0</v>
      </c>
      <c r="G72" s="1" t="n">
        <v>0</v>
      </c>
    </row>
    <row r="73" customFormat="false" ht="15" hidden="false" customHeight="false" outlineLevel="0" collapsed="false">
      <c r="B73" s="1" t="s">
        <v>2534</v>
      </c>
      <c r="C73" s="1" t="n">
        <v>2</v>
      </c>
      <c r="D73" s="1" t="n">
        <v>0</v>
      </c>
      <c r="E73" s="1" t="n">
        <v>0</v>
      </c>
      <c r="F73" s="1" t="n">
        <v>0</v>
      </c>
      <c r="G73" s="1" t="n">
        <v>0</v>
      </c>
    </row>
    <row r="74" customFormat="false" ht="15" hidden="false" customHeight="false" outlineLevel="0" collapsed="false">
      <c r="B74" s="1" t="s">
        <v>2535</v>
      </c>
      <c r="C74" s="1" t="n">
        <v>3</v>
      </c>
      <c r="D74" s="1" t="n">
        <v>0</v>
      </c>
      <c r="E74" s="1" t="n">
        <v>0</v>
      </c>
      <c r="F74" s="1" t="n">
        <v>0</v>
      </c>
      <c r="G74" s="1" t="n">
        <v>0</v>
      </c>
    </row>
    <row r="75" customFormat="false" ht="15" hidden="false" customHeight="false" outlineLevel="0" collapsed="false">
      <c r="B75" s="1" t="s">
        <v>2536</v>
      </c>
      <c r="C75" s="1" t="n">
        <v>4</v>
      </c>
      <c r="D75" s="1" t="n">
        <v>0</v>
      </c>
      <c r="E75" s="1" t="n">
        <v>0</v>
      </c>
      <c r="F75" s="1" t="n">
        <v>0</v>
      </c>
      <c r="G75" s="1" t="n">
        <v>0</v>
      </c>
      <c r="H75" s="1" t="s">
        <v>2537</v>
      </c>
    </row>
    <row r="77" customFormat="false" ht="15" hidden="false" customHeight="false" outlineLevel="0" collapsed="false">
      <c r="B77" s="91" t="s">
        <v>245</v>
      </c>
      <c r="C77" s="91" t="s">
        <v>1490</v>
      </c>
    </row>
    <row r="78" customFormat="false" ht="15" hidden="false" customHeight="false" outlineLevel="0" collapsed="false">
      <c r="B78" s="1" t="s">
        <v>2538</v>
      </c>
      <c r="C78" s="99" t="n">
        <f aca="false">(PA_2&gt;0)+(PA_4&gt;0)+(PA_7&gt;0)+(PA_8&gt;0)+(PA_9&gt;0)+(PA_12&gt;0)</f>
        <v>0</v>
      </c>
    </row>
    <row r="79" customFormat="false" ht="15" hidden="false" customHeight="false" outlineLevel="0" collapsed="false">
      <c r="B79" s="1" t="s">
        <v>2539</v>
      </c>
      <c r="C79" s="99" t="n">
        <f aca="false">(PA_2&gt;0)+(PA_4&gt;0)+(PA_6&gt;0)+(PA_7&gt;0)+(PA_8&gt;0)+(PA_9&gt;0)+(PA_12&gt;0)+(PA_u4&gt;0)+(PA_u9&gt;0)+(PA_u10&gt;0)+(PA_u11&gt;0)+(PA_u12&gt;0)+(PA_u14&gt;0)</f>
        <v>0</v>
      </c>
    </row>
    <row r="80" customFormat="false" ht="15" hidden="false" customHeight="false" outlineLevel="0" collapsed="false">
      <c r="B80" s="1" t="s">
        <v>2540</v>
      </c>
      <c r="C80" s="99" t="n">
        <f aca="false">IF(Prof_DiscCount&gt;=4,1,0)</f>
        <v>0</v>
      </c>
    </row>
    <row r="81" customFormat="false" ht="15" hidden="false" customHeight="false" outlineLevel="0" collapsed="false">
      <c r="B81" s="1" t="s">
        <v>2541</v>
      </c>
      <c r="C81" s="99" t="n">
        <f aca="false">IF(PA_2&gt;0,SUMIFS('Plan profile'!$D$23:$D$75,Prof_Key,"2|"&amp;PA_2),0)+IF(PA_4&gt;0,SUMIFS('Plan profile'!$D$23:$D$75,Prof_Key,"4|"&amp;PA_4),0)+IF(PA_7&gt;0,SUMIFS('Plan profile'!$D$23:$D$75,Prof_Key,"7|"&amp;PA_7),0)+IF(PA_8&gt;0,SUMIFS('Plan profile'!$D$23:$D$75,Prof_Key,"8|"&amp;PA_8),0)+IF(PA_9&gt;0,SUMIFS('Plan profile'!$D$23:$D$75,Prof_Key,"9|"&amp;PA_9),0)+IF(PA_12&gt;0,SUMIFS('Plan profile'!$D$23:$D$75,Prof_Key,"12|"&amp;PA_12),0)+IF(PA_u4&gt;0,SUMIFS('Plan profile'!$D$23:$D$75,Prof_Key,"u4|"&amp;PA_u4),0)</f>
        <v>0</v>
      </c>
    </row>
    <row r="82" customFormat="false" ht="15" hidden="false" customHeight="false" outlineLevel="0" collapsed="false">
      <c r="B82" s="1" t="s">
        <v>2542</v>
      </c>
      <c r="C82" s="99" t="n">
        <f aca="false">IF(PA_2&gt;0,SUMIFS('Plan profile'!$E$23:$E$75,Prof_Key,"2|"&amp;PA_2),0)+IF(PA_4&gt;0,SUMIFS('Plan profile'!$E$23:$E$75,Prof_Key,"4|"&amp;PA_4),0)+IF(PA_7&gt;0,SUMIFS('Plan profile'!$E$23:$E$75,Prof_Key,"7|"&amp;PA_7),0)+IF(PA_8&gt;0,SUMIFS('Plan profile'!$E$23:$E$75,Prof_Key,"8|"&amp;PA_8),0)+IF(PA_9&gt;0,SUMIFS('Plan profile'!$E$23:$E$75,Prof_Key,"9|"&amp;PA_9),0)+IF(PA_12&gt;0,SUMIFS('Plan profile'!$E$23:$E$75,Prof_Key,"12|"&amp;PA_12),0)+IF(PA_u4&gt;0,SUMIFS('Plan profile'!$E$23:$E$75,Prof_Key,"u4|"&amp;PA_u4),0)</f>
        <v>0</v>
      </c>
    </row>
    <row r="83" customFormat="false" ht="15" hidden="false" customHeight="false" outlineLevel="0" collapsed="false">
      <c r="B83" s="1" t="s">
        <v>2543</v>
      </c>
      <c r="C83" s="99" t="n">
        <f aca="false">IF(PA_2&gt;0,SUMIFS('Plan profile'!$F$23:$F$75,Prof_Key,"2|"&amp;PA_2),0)+IF(PA_4&gt;0,SUMIFS('Plan profile'!$F$23:$F$75,Prof_Key,"4|"&amp;PA_4),0)+IF(PA_7&gt;0,SUMIFS('Plan profile'!$F$23:$F$75,Prof_Key,"7|"&amp;PA_7),0)+IF(PA_8&gt;0,SUMIFS('Plan profile'!$F$23:$F$75,Prof_Key,"8|"&amp;PA_8),0)+IF(PA_9&gt;0,SUMIFS('Plan profile'!$F$23:$F$75,Prof_Key,"9|"&amp;PA_9),0)+IF(PA_12&gt;0,SUMIFS('Plan profile'!$F$23:$F$75,Prof_Key,"12|"&amp;PA_12),0)+IF(PA_u4&gt;0,SUMIFS('Plan profile'!$F$23:$F$75,Prof_Key,"u4|"&amp;PA_u4),0)</f>
        <v>0</v>
      </c>
    </row>
    <row r="84" customFormat="false" ht="15" hidden="false" customHeight="false" outlineLevel="0" collapsed="false">
      <c r="B84" s="1" t="s">
        <v>2544</v>
      </c>
      <c r="C84" s="99" t="n">
        <f aca="false">IF(PA_2&gt;0,SUMIFS('Plan profile'!$G$23:$G$75,Prof_Key,"2|"&amp;PA_2),0)+IF(PA_4&gt;0,SUMIFS('Plan profile'!$G$23:$G$75,Prof_Key,"4|"&amp;PA_4),0)+IF(PA_7&gt;0,SUMIFS('Plan profile'!$G$23:$G$75,Prof_Key,"7|"&amp;PA_7),0)+IF(PA_8&gt;0,SUMIFS('Plan profile'!$G$23:$G$75,Prof_Key,"8|"&amp;PA_8),0)+IF(PA_9&gt;0,SUMIFS('Plan profile'!$G$23:$G$75,Prof_Key,"9|"&amp;PA_9),0)+IF(PA_12&gt;0,SUMIFS('Plan profile'!$G$23:$G$75,Prof_Key,"12|"&amp;PA_12),0)+IF(PA_u4&gt;0,SUMIFS('Plan profile'!$G$23:$G$75,Prof_Key,"u4|"&amp;PA_u4),0)</f>
        <v>0</v>
      </c>
    </row>
    <row r="85" customFormat="false" ht="15" hidden="false" customHeight="false" outlineLevel="0" collapsed="false">
      <c r="B85" s="1" t="s">
        <v>2545</v>
      </c>
      <c r="C85" s="99" t="n">
        <f aca="false">MAX(Prof_SA,Prof_SB,Prof_SE,Prof_SC)</f>
        <v>0</v>
      </c>
    </row>
    <row r="86" customFormat="false" ht="15" hidden="false" customHeight="false" outlineLevel="0" collapsed="false">
      <c r="B86" s="1" t="s">
        <v>2546</v>
      </c>
      <c r="C86" s="99" t="n">
        <f aca="false">IF(Prof_SA=Prof_Top,1,0)</f>
        <v>1</v>
      </c>
    </row>
    <row r="87" customFormat="false" ht="15" hidden="false" customHeight="false" outlineLevel="0" collapsed="false">
      <c r="B87" s="1" t="s">
        <v>2547</v>
      </c>
      <c r="C87" s="99" t="n">
        <f aca="false">IF(Prof_SB=Prof_Top,1,0)</f>
        <v>1</v>
      </c>
    </row>
    <row r="88" customFormat="false" ht="15" hidden="false" customHeight="false" outlineLevel="0" collapsed="false">
      <c r="B88" s="1" t="s">
        <v>2548</v>
      </c>
      <c r="C88" s="99" t="n">
        <f aca="false">IF(Prof_SE=Prof_Top,1,0)</f>
        <v>1</v>
      </c>
    </row>
    <row r="89" customFormat="false" ht="15" hidden="false" customHeight="false" outlineLevel="0" collapsed="false">
      <c r="B89" s="1" t="s">
        <v>2549</v>
      </c>
      <c r="C89" s="99" t="n">
        <f aca="false">IF(Prof_SC=Prof_Top,1,0)</f>
        <v>1</v>
      </c>
    </row>
    <row r="90" customFormat="false" ht="15" hidden="false" customHeight="false" outlineLevel="0" collapsed="false">
      <c r="B90" s="1" t="s">
        <v>2550</v>
      </c>
      <c r="C90" s="99" t="n">
        <f aca="false">Prof_TA+Prof_TB+Prof_TE+Prof_TC</f>
        <v>4</v>
      </c>
    </row>
    <row r="91" customFormat="false" ht="15" hidden="false" customHeight="false" outlineLevel="0" collapsed="false">
      <c r="B91" s="1" t="s">
        <v>2551</v>
      </c>
      <c r="C91" s="99" t="str">
        <f aca="false">IF(PA_2&gt;0,CHOOSE(PA_2,IF(Prof_TA=1,"A",""),IF(Prof_TB=1,"B",""),IF(Prof_TE=1,"E",""),IF(Prof_TC=1,"C","")),"")</f>
        <v/>
      </c>
    </row>
    <row r="92" customFormat="false" ht="15" hidden="false" customHeight="false" outlineLevel="0" collapsed="false">
      <c r="B92" s="1" t="s">
        <v>2552</v>
      </c>
      <c r="C92" s="99" t="n">
        <f aca="false">IF(PA_4&gt;0,CHOOSE(PA_4,Prof_TE,Prof_TA,Prof_TB,Prof_TB+Prof_TC),0)</f>
        <v>0</v>
      </c>
    </row>
    <row r="93" customFormat="false" ht="15" hidden="false" customHeight="false" outlineLevel="0" collapsed="false">
      <c r="B93" s="1" t="s">
        <v>2553</v>
      </c>
      <c r="C93" s="99" t="str">
        <f aca="false">IF(Prof_Q4N=1,CHOOSE(PA_4,"E","A","B",IF(Prof_TB=1,"B","C")),"")</f>
        <v/>
      </c>
    </row>
    <row r="94" customFormat="false" ht="15" hidden="false" customHeight="false" outlineLevel="0" collapsed="false">
      <c r="B94" s="1" t="s">
        <v>2554</v>
      </c>
      <c r="C94" s="99" t="str">
        <f aca="false">IF(Prof_TB=1,"B",IF(Prof_TA=1,"A",IF(Prof_TC=1,"C","E")))</f>
        <v>B</v>
      </c>
    </row>
    <row r="95" customFormat="false" ht="15" hidden="false" customHeight="false" outlineLevel="0" collapsed="false">
      <c r="B95" s="1" t="s">
        <v>2555</v>
      </c>
      <c r="C95" s="99" t="str">
        <f aca="false">IF(Prof_DiscCount&lt;4,"",IF(Prof_TiedN=1,IF(Prof_TA=1,"A",IF(Prof_TB=1,"B",IF(Prof_TE=1,"E","C"))),IF(Prof_L2&lt;&gt;"",Prof_L2,IF(Prof_Q4L&lt;&gt;"",Prof_Q4L,Prof_First))))</f>
        <v/>
      </c>
    </row>
    <row r="96" customFormat="false" ht="15" hidden="false" customHeight="false" outlineLevel="0" collapsed="false">
      <c r="B96" s="1" t="s">
        <v>2556</v>
      </c>
      <c r="C96" s="99" t="str">
        <f aca="false">IF(Prof_TypeKey="","",IF(Prof_TypeKey="A","Achiever",IF(Prof_TypeKey="B","Balancer",IF(Prof_TypeKey="E","Explorer","Contented"))))</f>
        <v/>
      </c>
    </row>
    <row r="97" customFormat="false" ht="15" hidden="false" customHeight="false" outlineLevel="0" collapsed="false">
      <c r="B97" s="1" t="s">
        <v>2557</v>
      </c>
      <c r="C97" s="99" t="n">
        <f aca="false">IF(PA_6&gt;0,SUMIFS('Plan profile'!$C$23:$C$75,Prof_Key,"6|"&amp;PA_6),-1)</f>
        <v>-1</v>
      </c>
    </row>
    <row r="98" customFormat="false" ht="15" hidden="false" customHeight="false" outlineLevel="0" collapsed="false">
      <c r="B98" s="1" t="s">
        <v>2558</v>
      </c>
      <c r="C98" s="99" t="n">
        <f aca="false">IF(PA_7&gt;0,SUMIFS('Plan profile'!$C$23:$C$75,Prof_Key,"7|"&amp;PA_7),-1)</f>
        <v>-1</v>
      </c>
    </row>
    <row r="99" customFormat="false" ht="15" hidden="false" customHeight="false" outlineLevel="0" collapsed="false">
      <c r="B99" s="1" t="s">
        <v>2559</v>
      </c>
      <c r="C99" s="99" t="n">
        <f aca="false">IF(PA_8&gt;0,SUMIFS('Plan profile'!$C$23:$C$75,Prof_Key,"8|"&amp;PA_8),-1)</f>
        <v>-1</v>
      </c>
    </row>
    <row r="100" customFormat="false" ht="15" hidden="false" customHeight="false" outlineLevel="0" collapsed="false">
      <c r="B100" s="1" t="s">
        <v>2560</v>
      </c>
      <c r="C100" s="99" t="n">
        <f aca="false">IF(PA_9&gt;0,SUMIFS('Plan profile'!$C$23:$C$75,Prof_Key,"9|"&amp;PA_9),-1)</f>
        <v>-1</v>
      </c>
    </row>
    <row r="101" customFormat="false" ht="15" hidden="false" customHeight="false" outlineLevel="0" collapsed="false">
      <c r="B101" s="1" t="s">
        <v>2561</v>
      </c>
      <c r="C101" s="99" t="n">
        <f aca="false">IF(Prof_UmCount=13,1,0)</f>
        <v>0</v>
      </c>
    </row>
    <row r="102" customFormat="false" ht="15" hidden="false" customHeight="false" outlineLevel="0" collapsed="false">
      <c r="B102" s="1" t="s">
        <v>2562</v>
      </c>
      <c r="C102" s="99" t="n">
        <f aca="false">IF(COUNTIFS(GL_Kind,"pot",GL_AgeRaw,"&gt;"&amp;(F_Age+2))=0,9999,_xlfn.MINIFS(GL_AgeRaw,GL_Kind,"pot",GL_AgeRaw,"&gt;"&amp;(F_Age+2)))</f>
        <v>9999</v>
      </c>
    </row>
    <row r="103" customFormat="false" ht="15" hidden="false" customHeight="false" outlineLevel="0" collapsed="false">
      <c r="B103" s="1" t="s">
        <v>2563</v>
      </c>
      <c r="C103" s="99" t="n">
        <f aca="false">MIN(IF(COUNTIFS(GL_Kind,"spend",GL_AgeRaw,"&gt;"&amp;(F_Age+2),GL_Saved,"&lt;=0")=0,9999,_xlfn.MINIFS(GL_AgeRaw,GL_Kind,"spend",GL_AgeRaw,"&gt;"&amp;(F_Age+2),GL_Saved,"&lt;=0")),IF(COUNTIFS(GL_Kind,"mfree",GL_AgeRaw,"&gt;"&amp;(F_Age+2),GL_Saved,"&lt;=0")=0,9999,_xlfn.MINIFS(GL_AgeRaw,GL_Kind,"mfree",GL_AgeRaw,"&gt;"&amp;(F_Age+2),GL_Saved,"&lt;=0")),IF(COUNTIFS(GL_Kind,"pot",GL_AgeRaw,"&gt;"&amp;(F_Age+2),GL_Saved,"&lt;=0")=0,9999,_xlfn.MINIFS(GL_AgeRaw,GL_Kind,"pot",GL_AgeRaw,"&gt;"&amp;(F_Age+2),GL_Saved,"&lt;=0")),IF(COUNTIFS(GL_Kind,"legacy",GL_AgeRaw,"&gt;"&amp;(F_Age+2),GL_Saved,"&lt;=0")=0,9999,_xlfn.MINIFS(GL_AgeRaw,GL_Kind,"legacy",GL_AgeRaw,"&gt;"&amp;(F_Age+2),GL_Saved,"&lt;=0")))</f>
        <v>9999</v>
      </c>
    </row>
    <row r="104" customFormat="false" ht="15" hidden="false" customHeight="false" outlineLevel="0" collapsed="false">
      <c r="B104" s="1" t="s">
        <v>2564</v>
      </c>
      <c r="C104" s="99" t="n">
        <f aca="false">IF(IF(Prof_PotAge&lt;9999,Prof_PotAge-F_Age,IF(Prof_OtherAge&lt;9999,Prof_OtherAge-F_Age,F_R-F_Age+10))&lt;=2,0,IF(IF(Prof_PotAge&lt;9999,Prof_PotAge-F_Age,IF(Prof_OtherAge&lt;9999,Prof_OtherAge-F_Age,F_R-F_Age+10))&lt;=5,1,IF(IF(Prof_PotAge&lt;9999,Prof_PotAge-F_Age,IF(Prof_OtherAge&lt;9999,Prof_OtherAge-F_Age,F_R-F_Age+10))&lt;=10,2,3)))</f>
        <v>2</v>
      </c>
    </row>
    <row r="105" customFormat="false" ht="15" hidden="false" customHeight="false" outlineLevel="0" collapsed="false">
      <c r="B105" s="1" t="s">
        <v>2565</v>
      </c>
      <c r="C105" s="99" t="n">
        <f aca="false">IF(PA_u9&gt;0,PA_u9-1,Prof_SuggestU9)</f>
        <v>2</v>
      </c>
    </row>
    <row r="106" customFormat="false" ht="15" hidden="false" customHeight="false" outlineLevel="0" collapsed="false">
      <c r="B106" s="1" t="s">
        <v>2566</v>
      </c>
      <c r="C106" s="99" t="str">
        <f aca="false">IF(OR(Prof_q8&lt;0,Prof_q9&lt;0),"",MIN(Prof_q8+IF(AND(Prof_q9=4,Prof_q8&gt;=3),1,0),IF(Prof_q9=1,2,IF(Prof_q9=2,3,5))))</f>
        <v/>
      </c>
    </row>
    <row r="107" customFormat="false" ht="15" hidden="false" customHeight="false" outlineLevel="0" collapsed="false">
      <c r="B107" s="1" t="s">
        <v>2567</v>
      </c>
      <c r="C107" s="99" t="str">
        <f aca="false">IF(Prof_T="","",MIN(IF(Prof_q7=2,3,5),IF(Prof_q7=1,2,5),IF(Prof_Full=1,IF(PA_u10=1,2,IF(PA_u10=2,3,IF(PA_u10=3,4,5))),5),IF(Prof_Full=1,IF(PA_u12=1,2,IF(PA_u12=2,4,5)),5),IF(Prof_Full=1,IF(PA_u14=1,2,IF(PA_u14=2,3,5)),5),IF(AND(Has_cash=1,Has_costsM=1,F_CostsM&gt;0,F_Cash&lt;3*F_CostsM),3,5)))</f>
        <v/>
      </c>
    </row>
    <row r="108" customFormat="false" ht="15" hidden="false" customHeight="false" outlineLevel="0" collapsed="false">
      <c r="B108" s="1" t="s">
        <v>2568</v>
      </c>
      <c r="C108" s="99" t="str">
        <f aca="false">IF(Prof_T="","",CHOOSE(Prof_Wait+1,1,2,4,5))</f>
        <v/>
      </c>
    </row>
    <row r="109" customFormat="false" ht="15" hidden="false" customHeight="false" outlineLevel="0" collapsed="false">
      <c r="B109" s="1" t="s">
        <v>2569</v>
      </c>
      <c r="C109" s="99" t="str">
        <f aca="false">IF(Prof_T="","",IF(OR(Prof_Full=0,PA_u11=0),3,MIN(CHOOSE(PA_u11,3,4,5,IF(PA_chipShares=1,5,4)),IF(AND(PA_u11&gt;=3,PA_chipsN&gt;0,PA_chipsSafe=1),4,9))))</f>
        <v/>
      </c>
    </row>
    <row r="110" customFormat="false" ht="15" hidden="false" customHeight="false" outlineLevel="0" collapsed="false">
      <c r="B110" s="1" t="s">
        <v>2570</v>
      </c>
      <c r="C110" s="99" t="str">
        <f aca="false">IF(Prof_T="","",MIN(Prof_T,Prof_C,Prof_H,Prof_KE))</f>
        <v/>
      </c>
    </row>
    <row r="111" customFormat="false" ht="15" hidden="false" customHeight="false" outlineLevel="0" collapsed="false">
      <c r="B111" s="1" t="s">
        <v>2571</v>
      </c>
      <c r="C111" s="99" t="str">
        <f aca="false">IF(Prof_Level="","",CHOOSE(Prof_Level,"Cautious","Cautious–balanced","Balanced","Balanced–growth","Growth"))</f>
        <v/>
      </c>
    </row>
    <row r="112" customFormat="false" ht="15" hidden="false" customHeight="false" outlineLevel="0" collapsed="false">
      <c r="B112" s="1" t="s">
        <v>2572</v>
      </c>
      <c r="C112" s="99" t="str">
        <f aca="false">IF(Prof_Level="","",IF(Prof_Level=Prof_T,"want",IF(Prof_Level=Prof_C,"can",IF(Prof_Level=Prof_H,"time","experience"))))</f>
        <v/>
      </c>
    </row>
    <row r="113" customFormat="false" ht="15" hidden="false" customHeight="false" outlineLevel="0" collapsed="false">
      <c r="B113" s="1" t="s">
        <v>2573</v>
      </c>
      <c r="C113" s="99" t="str">
        <f aca="false">IF(Prof_q8&lt;=0,"",CHOOSE(Prof_q8,"Steady","Mostly steady","Balanced","Adventurous"))</f>
        <v/>
      </c>
    </row>
    <row r="114" customFormat="false" ht="15" hidden="false" customHeight="false" outlineLevel="0" collapsed="false">
      <c r="B114" s="1" t="s">
        <v>2574</v>
      </c>
      <c r="C114" s="99" t="str">
        <f aca="false">IF(Prof_q7&lt;0,"",IF(Prof_q7=4,"Strong","Thin"))</f>
        <v/>
      </c>
    </row>
    <row r="115" customFormat="false" ht="15" hidden="false" customHeight="false" outlineLevel="0" collapsed="false">
      <c r="B115" s="1" t="s">
        <v>2575</v>
      </c>
      <c r="C115" s="99" t="n">
        <f aca="false">IF(Prof_Full=1,0,1)</f>
        <v>1</v>
      </c>
    </row>
    <row r="116" customFormat="false" ht="15" hidden="false" customHeight="false" outlineLevel="0" collapsed="false">
      <c r="B116" s="1" t="s">
        <v>2576</v>
      </c>
      <c r="C116" s="99" t="n">
        <f aca="false">IF(Prof_q8&gt;=3,1,0)</f>
        <v>0</v>
      </c>
    </row>
    <row r="117" customFormat="false" ht="15" hidden="false" customHeight="false" outlineLevel="0" collapsed="false">
      <c r="B117" s="1" t="s">
        <v>2577</v>
      </c>
      <c r="C117" s="99" t="n">
        <f aca="false">IF(AND(Prof_q8&gt;=1,Prof_q8&lt;=2),1,0)</f>
        <v>0</v>
      </c>
    </row>
    <row r="118" customFormat="false" ht="15" hidden="false" customHeight="false" outlineLevel="0" collapsed="false">
      <c r="B118" s="1" t="s">
        <v>2578</v>
      </c>
      <c r="C118" s="99" t="n">
        <f aca="false">IF(Prof_q9&gt;=3,1,0)</f>
        <v>0</v>
      </c>
    </row>
    <row r="119" customFormat="false" ht="15" hidden="false" customHeight="false" outlineLevel="0" collapsed="false">
      <c r="B119" s="1" t="s">
        <v>2579</v>
      </c>
      <c r="C119" s="99" t="n">
        <f aca="false">IF(AND(Prof_q9&gt;=1,Prof_q9&lt;=2),1,0)</f>
        <v>0</v>
      </c>
    </row>
    <row r="120" customFormat="false" ht="15" hidden="false" customHeight="false" outlineLevel="0" collapsed="false">
      <c r="B120" s="1" t="s">
        <v>2580</v>
      </c>
      <c r="C120" s="99" t="n">
        <f aca="false">IF(OR(AND(Prof_q7&gt;=0,Prof_q7&lt;=2),AND(Prof_Full=1,PA_u14&gt;0,PA_u14&lt;=2)),1,0)</f>
        <v>0</v>
      </c>
    </row>
    <row r="121" customFormat="false" ht="15" hidden="false" customHeight="false" outlineLevel="0" collapsed="false">
      <c r="B121" s="1" t="s">
        <v>2581</v>
      </c>
      <c r="C121" s="99" t="n">
        <f aca="false">IF(AND(Prof_Full=1,Prof_H&lt;&gt;"",Prof_H&lt;=2),1,0)</f>
        <v>0</v>
      </c>
    </row>
    <row r="122" customFormat="false" ht="15" hidden="false" customHeight="false" outlineLevel="0" collapsed="false">
      <c r="B122" s="1" t="s">
        <v>2582</v>
      </c>
      <c r="C122" s="99" t="n">
        <f aca="false">IF(AND(Prof_Full=1,Prof_C&lt;&gt;"",Prof_C&lt;=2),1,0)</f>
        <v>0</v>
      </c>
    </row>
    <row r="123" customFormat="false" ht="15" hidden="false" customHeight="false" outlineLevel="0" collapsed="false">
      <c r="B123" s="1" t="s">
        <v>2583</v>
      </c>
      <c r="C123" s="99" t="n">
        <f aca="false">IF(OR(Prof_Thin=1,Prof_LossLo=1,Prof_ShortT=1),1,0)</f>
        <v>0</v>
      </c>
    </row>
    <row r="124" customFormat="false" ht="15" hidden="false" customHeight="false" outlineLevel="0" collapsed="false">
      <c r="B124" s="1" t="s">
        <v>2584</v>
      </c>
      <c r="C124" s="99" t="n">
        <f aca="false">IF(Prof_Level="",0,IF(Prof_Full=1,IF(AND(Prof_C&gt;=4,Prof_H&gt;=4),1,0),IF(AND(Prof_q7=4,Prof_q6&gt;=3),1,0)))</f>
        <v>0</v>
      </c>
    </row>
    <row r="125" customFormat="false" ht="15" hidden="false" customHeight="false" outlineLevel="0" collapsed="false">
      <c r="B125" s="1" t="s">
        <v>2585</v>
      </c>
      <c r="C125" s="99" t="str">
        <f aca="false">IF(Prof_Level="","",IF(AND(Prof_WantLo=1,Prof_CompLo=1,Prof_CapLo=1),"K16",IF(AND(Prof_WantHi=1,Prof_CapLo=1),IF(Prof_Thin=1,"K14c",IF(Prof_LossLo=1,"K14l","K14t")),IF(AND(Prof_WantHi=1,Prof_CompLo=1),"K13",IF(AND(Prof_WantLo=1,Prof_CapHi=1),"K15",IF(AND(Prof_Full=1,Prof_WantHi=1,Prof_CompHi=1,Prof_CapHi=1,PA_u11&gt;=2,PA_u11&lt;&gt;4),"K17","OK"))))))</f>
        <v/>
      </c>
    </row>
    <row r="126" customFormat="false" ht="15" hidden="false" customHeight="false" outlineLevel="0" collapsed="false">
      <c r="B126" s="1" t="s">
        <v>2586</v>
      </c>
      <c r="C126" s="99" t="str">
        <f aca="false">IF(Prof_DiscEnough=0,"Risk profile: not enough answers yet","Risk profile"&amp;IF(AND(Prof_Provisional=1,Prof_Label&lt;&gt;"")," (first read)","")&amp;": "&amp;IF(Prof_Label="","Not answered yet",Prof_Label)&amp;" · "&amp;IF(Prof_Full=1,"from your profile in Me","Finish in Me to confirm"))</f>
        <v>Risk profile: not enough answers yet</v>
      </c>
    </row>
    <row r="127" customFormat="false" ht="15" hidden="false" customHeight="false" outlineLevel="0" collapsed="false">
      <c r="B127" s="1" t="s">
        <v>2587</v>
      </c>
      <c r="C127" s="99" t="str">
        <f aca="false">MID(IF(IF(PA_2&gt;0,INDEX('Plan profile'!$H$23:$H$75,MATCH("2|"&amp;PA_2,Prof_Key,0)),"")="","","|"&amp;IF(PA_2&gt;0,INDEX('Plan profile'!$H$23:$H$75,MATCH("2|"&amp;PA_2,Prof_Key,0)),""))&amp;IF(IF(PA_12&gt;0,INDEX('Plan profile'!$H$23:$H$75,MATCH("12|"&amp;PA_12,Prof_Key,0)),"")="","","|"&amp;IF(PA_12&gt;0,INDEX('Plan profile'!$H$23:$H$75,MATCH("12|"&amp;PA_12,Prof_Key,0)),"")),2,500)</f>
        <v/>
      </c>
    </row>
    <row r="128" customFormat="false" ht="15" hidden="false" customHeight="false" outlineLevel="0" collapsed="false">
      <c r="B128" s="1" t="s">
        <v>2588</v>
      </c>
      <c r="C128" s="99" t="str">
        <f aca="false">MID(IF(IF(PA_4&gt;0,INDEX('Plan profile'!$H$23:$H$75,MATCH("4|"&amp;PA_4,Prof_Key,0)),"")="","","|"&amp;IF(PA_4&gt;0,INDEX('Plan profile'!$H$23:$H$75,MATCH("4|"&amp;PA_4,Prof_Key,0)),""))&amp;IF(IF(PA_9&gt;0,INDEX('Plan profile'!$H$23:$H$75,MATCH("9|"&amp;PA_9,Prof_Key,0)),"")="","","|"&amp;IF(PA_9&gt;0,INDEX('Plan profile'!$H$23:$H$75,MATCH("9|"&amp;PA_9,Prof_Key,0)),""))&amp;IF(IF(PA_u4=4,"Procrastination · Status quo bias","")="","","|"&amp;IF(PA_u4=4,"Procrastination · Status quo bias",""))&amp;IF(IF(PA_u11=4,"Overconfidence bias","")="","","|"&amp;IF(PA_u11=4,"Overconfidence bias","")),2,500)</f>
        <v/>
      </c>
    </row>
    <row r="129" customFormat="false" ht="15" hidden="false" customHeight="false" outlineLevel="0" collapsed="false">
      <c r="B129" s="1" t="s">
        <v>2589</v>
      </c>
      <c r="C129" s="99" t="str">
        <f aca="false">MID(IF(IF(PA_8&gt;0,INDEX('Plan profile'!$H$23:$H$75,MATCH("8|"&amp;PA_8,Prof_Key,0)),"")="","","|"&amp;IF(PA_8&gt;0,INDEX('Plan profile'!$H$23:$H$75,MATCH("8|"&amp;PA_8,Prof_Key,0)),"")),2,500)</f>
        <v/>
      </c>
    </row>
    <row r="130" customFormat="false" ht="15" hidden="false" customHeight="false" outlineLevel="0" collapsed="false">
      <c r="B130" s="1" t="s">
        <v>2590</v>
      </c>
      <c r="C130" s="99" t="str">
        <f aca="false">MID(IF(IF(PA_7&gt;0,INDEX('Plan profile'!$H$23:$H$75,MATCH("7|"&amp;PA_7,Prof_Key,0)),"")="","","|"&amp;IF(PA_7&gt;0,INDEX('Plan profile'!$H$23:$H$75,MATCH("7|"&amp;PA_7,Prof_Key,0)),""))&amp;IF(IF(PA_6&gt;0,INDEX('Plan profile'!$H$23:$H$75,MATCH("6|"&amp;PA_6,Prof_Key,0)),"")="","","|"&amp;IF(PA_6&gt;0,INDEX('Plan profile'!$H$23:$H$75,MATCH("6|"&amp;PA_6,Prof_Key,0)),"")),2,500)</f>
        <v/>
      </c>
    </row>
  </sheetData>
  <mergeCells count="1">
    <mergeCell ref="B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DG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1" width="6"/>
    <col collapsed="false" customWidth="true" hidden="false" outlineLevel="0" max="3" min="3" style="1" width="12"/>
    <col collapsed="false" customWidth="true" hidden="false" outlineLevel="0" max="27" min="4" style="1" width="10"/>
    <col collapsed="false" customWidth="true" hidden="false" outlineLevel="0" max="30" min="28" style="1" width="12"/>
    <col collapsed="false" customWidth="true" hidden="false" outlineLevel="0" max="54" min="31" style="1" width="10"/>
    <col collapsed="false" customWidth="true" hidden="false" outlineLevel="0" max="57" min="55" style="1" width="12"/>
    <col collapsed="false" customWidth="true" hidden="false" outlineLevel="0" max="81" min="58" style="1" width="10"/>
    <col collapsed="false" customWidth="true" hidden="false" outlineLevel="0" max="84" min="82" style="1" width="12"/>
    <col collapsed="false" customWidth="true" hidden="false" outlineLevel="0" max="108" min="85" style="1" width="10"/>
    <col collapsed="false" customWidth="true" hidden="false" outlineLevel="0" max="111" min="109" style="1" width="12"/>
  </cols>
  <sheetData>
    <row r="1" customFormat="false" ht="17.35" hidden="false" customHeight="false" outlineLevel="0" collapsed="false">
      <c r="B1" s="89" t="s">
        <v>2591</v>
      </c>
    </row>
    <row r="2" customFormat="false" ht="39.75" hidden="false" customHeight="true" outlineLevel="0" collapsed="false">
      <c r="B2" s="90" t="s">
        <v>2592</v>
      </c>
      <c r="C2" s="90"/>
      <c r="D2" s="90"/>
      <c r="E2" s="90"/>
      <c r="F2" s="90"/>
      <c r="G2" s="90"/>
      <c r="H2" s="90"/>
      <c r="I2" s="90"/>
      <c r="J2" s="90"/>
      <c r="K2" s="90"/>
      <c r="L2" s="90"/>
    </row>
    <row r="6" customFormat="false" ht="82.05" hidden="false" customHeight="false" outlineLevel="0" collapsed="false">
      <c r="A6" s="91" t="s">
        <v>1783</v>
      </c>
      <c r="B6" s="96" t="s">
        <v>1784</v>
      </c>
      <c r="C6" s="96" t="s">
        <v>2593</v>
      </c>
      <c r="D6" s="96" t="s">
        <v>2594</v>
      </c>
      <c r="E6" s="96" t="s">
        <v>2595</v>
      </c>
      <c r="F6" s="96" t="s">
        <v>2596</v>
      </c>
      <c r="G6" s="96" t="s">
        <v>2597</v>
      </c>
      <c r="H6" s="96" t="s">
        <v>2598</v>
      </c>
      <c r="I6" s="96" t="s">
        <v>2599</v>
      </c>
      <c r="J6" s="96" t="s">
        <v>2600</v>
      </c>
      <c r="K6" s="96" t="s">
        <v>2601</v>
      </c>
      <c r="L6" s="96" t="s">
        <v>2602</v>
      </c>
      <c r="M6" s="96" t="s">
        <v>2603</v>
      </c>
      <c r="N6" s="96" t="s">
        <v>2604</v>
      </c>
      <c r="O6" s="96" t="s">
        <v>2605</v>
      </c>
      <c r="P6" s="96" t="s">
        <v>2606</v>
      </c>
      <c r="Q6" s="96" t="s">
        <v>2607</v>
      </c>
      <c r="R6" s="96" t="s">
        <v>2608</v>
      </c>
      <c r="S6" s="96" t="s">
        <v>2609</v>
      </c>
      <c r="T6" s="96" t="s">
        <v>2610</v>
      </c>
      <c r="U6" s="96" t="s">
        <v>2611</v>
      </c>
      <c r="V6" s="96" t="s">
        <v>2612</v>
      </c>
      <c r="W6" s="96" t="s">
        <v>2613</v>
      </c>
      <c r="X6" s="96" t="s">
        <v>2614</v>
      </c>
      <c r="Y6" s="96" t="s">
        <v>2615</v>
      </c>
      <c r="Z6" s="96" t="s">
        <v>2616</v>
      </c>
      <c r="AA6" s="96" t="s">
        <v>2617</v>
      </c>
      <c r="AB6" s="96" t="s">
        <v>2618</v>
      </c>
      <c r="AC6" s="96" t="s">
        <v>2619</v>
      </c>
      <c r="AD6" s="96" t="s">
        <v>2620</v>
      </c>
      <c r="AE6" s="96" t="s">
        <v>2621</v>
      </c>
      <c r="AF6" s="96" t="s">
        <v>2622</v>
      </c>
      <c r="AG6" s="96" t="s">
        <v>2623</v>
      </c>
      <c r="AH6" s="96" t="s">
        <v>2624</v>
      </c>
      <c r="AI6" s="96" t="s">
        <v>2625</v>
      </c>
      <c r="AJ6" s="96" t="s">
        <v>2626</v>
      </c>
      <c r="AK6" s="96" t="s">
        <v>2627</v>
      </c>
      <c r="AL6" s="96" t="s">
        <v>2628</v>
      </c>
      <c r="AM6" s="96" t="s">
        <v>2629</v>
      </c>
      <c r="AN6" s="96" t="s">
        <v>2630</v>
      </c>
      <c r="AO6" s="96" t="s">
        <v>2631</v>
      </c>
      <c r="AP6" s="96" t="s">
        <v>2632</v>
      </c>
      <c r="AQ6" s="96" t="s">
        <v>2633</v>
      </c>
      <c r="AR6" s="96" t="s">
        <v>2634</v>
      </c>
      <c r="AS6" s="96" t="s">
        <v>2635</v>
      </c>
      <c r="AT6" s="96" t="s">
        <v>2636</v>
      </c>
      <c r="AU6" s="96" t="s">
        <v>2637</v>
      </c>
      <c r="AV6" s="96" t="s">
        <v>2638</v>
      </c>
      <c r="AW6" s="96" t="s">
        <v>2639</v>
      </c>
      <c r="AX6" s="96" t="s">
        <v>2640</v>
      </c>
      <c r="AY6" s="96" t="s">
        <v>2641</v>
      </c>
      <c r="AZ6" s="96" t="s">
        <v>2642</v>
      </c>
      <c r="BA6" s="96" t="s">
        <v>2643</v>
      </c>
      <c r="BB6" s="96" t="s">
        <v>2644</v>
      </c>
      <c r="BC6" s="96" t="s">
        <v>2645</v>
      </c>
      <c r="BD6" s="96" t="s">
        <v>2646</v>
      </c>
      <c r="BE6" s="96" t="s">
        <v>2647</v>
      </c>
      <c r="BF6" s="96" t="s">
        <v>2648</v>
      </c>
      <c r="BG6" s="96" t="s">
        <v>2649</v>
      </c>
      <c r="BH6" s="96" t="s">
        <v>2650</v>
      </c>
      <c r="BI6" s="96" t="s">
        <v>2651</v>
      </c>
      <c r="BJ6" s="96" t="s">
        <v>2652</v>
      </c>
      <c r="BK6" s="96" t="s">
        <v>2653</v>
      </c>
      <c r="BL6" s="96" t="s">
        <v>2654</v>
      </c>
      <c r="BM6" s="96" t="s">
        <v>2655</v>
      </c>
      <c r="BN6" s="96" t="s">
        <v>2656</v>
      </c>
      <c r="BO6" s="96" t="s">
        <v>2657</v>
      </c>
      <c r="BP6" s="96" t="s">
        <v>2658</v>
      </c>
      <c r="BQ6" s="96" t="s">
        <v>2659</v>
      </c>
      <c r="BR6" s="96" t="s">
        <v>2660</v>
      </c>
      <c r="BS6" s="96" t="s">
        <v>2661</v>
      </c>
      <c r="BT6" s="96" t="s">
        <v>2662</v>
      </c>
      <c r="BU6" s="96" t="s">
        <v>2663</v>
      </c>
      <c r="BV6" s="96" t="s">
        <v>2664</v>
      </c>
      <c r="BW6" s="96" t="s">
        <v>2665</v>
      </c>
      <c r="BX6" s="96" t="s">
        <v>2666</v>
      </c>
      <c r="BY6" s="96" t="s">
        <v>2667</v>
      </c>
      <c r="BZ6" s="96" t="s">
        <v>2668</v>
      </c>
      <c r="CA6" s="96" t="s">
        <v>2669</v>
      </c>
      <c r="CB6" s="96" t="s">
        <v>2670</v>
      </c>
      <c r="CC6" s="96" t="s">
        <v>2671</v>
      </c>
      <c r="CD6" s="96" t="s">
        <v>2672</v>
      </c>
      <c r="CE6" s="96" t="s">
        <v>2673</v>
      </c>
      <c r="CF6" s="96" t="s">
        <v>2674</v>
      </c>
      <c r="CG6" s="96" t="s">
        <v>2675</v>
      </c>
      <c r="CH6" s="96" t="s">
        <v>2676</v>
      </c>
      <c r="CI6" s="96" t="s">
        <v>2677</v>
      </c>
      <c r="CJ6" s="96" t="s">
        <v>2678</v>
      </c>
      <c r="CK6" s="96" t="s">
        <v>2679</v>
      </c>
      <c r="CL6" s="96" t="s">
        <v>2680</v>
      </c>
      <c r="CM6" s="96" t="s">
        <v>2681</v>
      </c>
      <c r="CN6" s="96" t="s">
        <v>2682</v>
      </c>
      <c r="CO6" s="96" t="s">
        <v>2683</v>
      </c>
      <c r="CP6" s="96" t="s">
        <v>2684</v>
      </c>
      <c r="CQ6" s="96" t="s">
        <v>2685</v>
      </c>
      <c r="CR6" s="96" t="s">
        <v>2686</v>
      </c>
      <c r="CS6" s="96" t="s">
        <v>2687</v>
      </c>
      <c r="CT6" s="96" t="s">
        <v>2688</v>
      </c>
      <c r="CU6" s="96" t="s">
        <v>2689</v>
      </c>
      <c r="CV6" s="96" t="s">
        <v>2690</v>
      </c>
      <c r="CW6" s="96" t="s">
        <v>2691</v>
      </c>
      <c r="CX6" s="96" t="s">
        <v>2692</v>
      </c>
      <c r="CY6" s="96" t="s">
        <v>2693</v>
      </c>
      <c r="CZ6" s="96" t="s">
        <v>2694</v>
      </c>
      <c r="DA6" s="96" t="s">
        <v>2695</v>
      </c>
      <c r="DB6" s="96" t="s">
        <v>2696</v>
      </c>
      <c r="DC6" s="96" t="s">
        <v>2697</v>
      </c>
      <c r="DD6" s="96" t="s">
        <v>2698</v>
      </c>
      <c r="DE6" s="96" t="s">
        <v>2699</v>
      </c>
      <c r="DF6" s="96" t="s">
        <v>2700</v>
      </c>
      <c r="DG6" s="96" t="s">
        <v>2701</v>
      </c>
    </row>
    <row r="7" customFormat="false" ht="15" hidden="false" customHeight="false" outlineLevel="0" collapsed="false">
      <c r="A7" s="1" t="s">
        <v>1852</v>
      </c>
      <c r="CF7" s="105" t="n">
        <f aca="false">F_MortBal</f>
        <v>0</v>
      </c>
      <c r="DE7" s="105" t="n">
        <f aca="false">F_MortBal</f>
        <v>0</v>
      </c>
    </row>
    <row r="8" customFormat="false" ht="15" hidden="false" customHeight="false" outlineLevel="0" collapsed="false">
      <c r="B8" s="1" t="n">
        <v>0</v>
      </c>
      <c r="C8" s="1" t="n">
        <f aca="false">'Plan cashflow'!I8</f>
        <v>0</v>
      </c>
      <c r="D8" s="1" t="n">
        <f aca="false">IF(C8&gt;0.5,C8+C8*(F_MR/12)-MIN(F_MortPayM,C8+C8*(F_MR/12)),C8)</f>
        <v>0</v>
      </c>
      <c r="E8" s="1" t="n">
        <f aca="false">IF(D8&gt;0.5,D8+D8*(F_MR/12)-MIN(F_MortPayM,D8+D8*(F_MR/12)),D8)</f>
        <v>0</v>
      </c>
      <c r="F8" s="1" t="n">
        <f aca="false">IF(E8&gt;0.5,E8+E8*(F_MR/12)-MIN(F_MortPayM,E8+E8*(F_MR/12)),E8)</f>
        <v>0</v>
      </c>
      <c r="G8" s="1" t="n">
        <f aca="false">IF(F8&gt;0.5,F8+F8*(F_MR/12)-MIN(F_MortPayM,F8+F8*(F_MR/12)),F8)</f>
        <v>0</v>
      </c>
      <c r="H8" s="1" t="n">
        <f aca="false">IF(G8&gt;0.5,G8+G8*(F_MR/12)-MIN(F_MortPayM,G8+G8*(F_MR/12)),G8)</f>
        <v>0</v>
      </c>
      <c r="I8" s="1" t="n">
        <f aca="false">IF(H8&gt;0.5,H8+H8*(F_MR/12)-MIN(F_MortPayM,H8+H8*(F_MR/12)),H8)</f>
        <v>0</v>
      </c>
      <c r="J8" s="1" t="n">
        <f aca="false">IF(I8&gt;0.5,I8+I8*(F_MR/12)-MIN(F_MortPayM,I8+I8*(F_MR/12)),I8)</f>
        <v>0</v>
      </c>
      <c r="K8" s="1" t="n">
        <f aca="false">IF(J8&gt;0.5,J8+J8*(F_MR/12)-MIN(F_MortPayM,J8+J8*(F_MR/12)),J8)</f>
        <v>0</v>
      </c>
      <c r="L8" s="1" t="n">
        <f aca="false">IF(K8&gt;0.5,K8+K8*(F_MR/12)-MIN(F_MortPayM,K8+K8*(F_MR/12)),K8)</f>
        <v>0</v>
      </c>
      <c r="M8" s="1" t="n">
        <f aca="false">IF(L8&gt;0.5,L8+L8*(F_MR/12)-MIN(F_MortPayM,L8+L8*(F_MR/12)),L8)</f>
        <v>0</v>
      </c>
      <c r="N8" s="1" t="n">
        <f aca="false">IF(M8&gt;0.5,M8+M8*(F_MR/12)-MIN(F_MortPayM,M8+M8*(F_MR/12)),M8)</f>
        <v>0</v>
      </c>
      <c r="O8" s="1" t="n">
        <f aca="false">IF(N8&gt;0.5,N8+N8*(F_MR/12)-MIN(F_MortPayM,N8+N8*(F_MR/12)),N8)</f>
        <v>0</v>
      </c>
      <c r="P8" s="1" t="n">
        <f aca="false">IF(C8&gt;0.5,MIN(F_MortPayM,C8+C8*(F_MR/12)),0)</f>
        <v>0</v>
      </c>
      <c r="Q8" s="1" t="n">
        <f aca="false">IF(D8&gt;0.5,MIN(F_MortPayM,D8+D8*(F_MR/12)),0)</f>
        <v>0</v>
      </c>
      <c r="R8" s="1" t="n">
        <f aca="false">IF(E8&gt;0.5,MIN(F_MortPayM,E8+E8*(F_MR/12)),0)</f>
        <v>0</v>
      </c>
      <c r="S8" s="1" t="n">
        <f aca="false">IF(F8&gt;0.5,MIN(F_MortPayM,F8+F8*(F_MR/12)),0)</f>
        <v>0</v>
      </c>
      <c r="T8" s="1" t="n">
        <f aca="false">IF(G8&gt;0.5,MIN(F_MortPayM,G8+G8*(F_MR/12)),0)</f>
        <v>0</v>
      </c>
      <c r="U8" s="1" t="n">
        <f aca="false">IF(H8&gt;0.5,MIN(F_MortPayM,H8+H8*(F_MR/12)),0)</f>
        <v>0</v>
      </c>
      <c r="V8" s="1" t="n">
        <f aca="false">IF(I8&gt;0.5,MIN(F_MortPayM,I8+I8*(F_MR/12)),0)</f>
        <v>0</v>
      </c>
      <c r="W8" s="1" t="n">
        <f aca="false">IF(J8&gt;0.5,MIN(F_MortPayM,J8+J8*(F_MR/12)),0)</f>
        <v>0</v>
      </c>
      <c r="X8" s="1" t="n">
        <f aca="false">IF(K8&gt;0.5,MIN(F_MortPayM,K8+K8*(F_MR/12)),0)</f>
        <v>0</v>
      </c>
      <c r="Y8" s="1" t="n">
        <f aca="false">IF(L8&gt;0.5,MIN(F_MortPayM,L8+L8*(F_MR/12)),0)</f>
        <v>0</v>
      </c>
      <c r="Z8" s="1" t="n">
        <f aca="false">IF(M8&gt;0.5,MIN(F_MortPayM,M8+M8*(F_MR/12)),0)</f>
        <v>0</v>
      </c>
      <c r="AA8" s="1" t="n">
        <f aca="false">IF(N8&gt;0.5,MIN(F_MortPayM,N8+N8*(F_MR/12)),0)</f>
        <v>0</v>
      </c>
      <c r="AB8" s="1" t="n">
        <f aca="false">MAX(0,O8)</f>
        <v>0</v>
      </c>
      <c r="AC8" s="1" t="n">
        <f aca="false">SUM(P8:AA8)</f>
        <v>0</v>
      </c>
      <c r="AD8" s="1" t="n">
        <f aca="false">'Plan cashflow'!L8</f>
        <v>0</v>
      </c>
      <c r="AE8" s="1" t="n">
        <f aca="false">IF(AD8&gt;0.5,AD8+AD8*(D_iC)-MIN(F_CardPayM,AD8+AD8*(D_iC)),AD8)</f>
        <v>0</v>
      </c>
      <c r="AF8" s="1" t="n">
        <f aca="false">IF(AE8&gt;0.5,AE8+AE8*(D_iC)-MIN(F_CardPayM,AE8+AE8*(D_iC)),AE8)</f>
        <v>0</v>
      </c>
      <c r="AG8" s="1" t="n">
        <f aca="false">IF(AF8&gt;0.5,AF8+AF8*(D_iC)-MIN(F_CardPayM,AF8+AF8*(D_iC)),AF8)</f>
        <v>0</v>
      </c>
      <c r="AH8" s="1" t="n">
        <f aca="false">IF(AG8&gt;0.5,AG8+AG8*(D_iC)-MIN(F_CardPayM,AG8+AG8*(D_iC)),AG8)</f>
        <v>0</v>
      </c>
      <c r="AI8" s="1" t="n">
        <f aca="false">IF(AH8&gt;0.5,AH8+AH8*(D_iC)-MIN(F_CardPayM,AH8+AH8*(D_iC)),AH8)</f>
        <v>0</v>
      </c>
      <c r="AJ8" s="1" t="n">
        <f aca="false">IF(AI8&gt;0.5,AI8+AI8*(D_iC)-MIN(F_CardPayM,AI8+AI8*(D_iC)),AI8)</f>
        <v>0</v>
      </c>
      <c r="AK8" s="1" t="n">
        <f aca="false">IF(AJ8&gt;0.5,AJ8+AJ8*(D_iC)-MIN(F_CardPayM,AJ8+AJ8*(D_iC)),AJ8)</f>
        <v>0</v>
      </c>
      <c r="AL8" s="1" t="n">
        <f aca="false">IF(AK8&gt;0.5,AK8+AK8*(D_iC)-MIN(F_CardPayM,AK8+AK8*(D_iC)),AK8)</f>
        <v>0</v>
      </c>
      <c r="AM8" s="1" t="n">
        <f aca="false">IF(AL8&gt;0.5,AL8+AL8*(D_iC)-MIN(F_CardPayM,AL8+AL8*(D_iC)),AL8)</f>
        <v>0</v>
      </c>
      <c r="AN8" s="1" t="n">
        <f aca="false">IF(AM8&gt;0.5,AM8+AM8*(D_iC)-MIN(F_CardPayM,AM8+AM8*(D_iC)),AM8)</f>
        <v>0</v>
      </c>
      <c r="AO8" s="1" t="n">
        <f aca="false">IF(AN8&gt;0.5,AN8+AN8*(D_iC)-MIN(F_CardPayM,AN8+AN8*(D_iC)),AN8)</f>
        <v>0</v>
      </c>
      <c r="AP8" s="1" t="n">
        <f aca="false">IF(AO8&gt;0.5,AO8+AO8*(D_iC)-MIN(F_CardPayM,AO8+AO8*(D_iC)),AO8)</f>
        <v>0</v>
      </c>
      <c r="AQ8" s="1" t="n">
        <f aca="false">IF(AD8&gt;0.5,MIN(F_CardPayM,AD8+AD8*(D_iC)),0)</f>
        <v>0</v>
      </c>
      <c r="AR8" s="1" t="n">
        <f aca="false">IF(AE8&gt;0.5,MIN(F_CardPayM,AE8+AE8*(D_iC)),0)</f>
        <v>0</v>
      </c>
      <c r="AS8" s="1" t="n">
        <f aca="false">IF(AF8&gt;0.5,MIN(F_CardPayM,AF8+AF8*(D_iC)),0)</f>
        <v>0</v>
      </c>
      <c r="AT8" s="1" t="n">
        <f aca="false">IF(AG8&gt;0.5,MIN(F_CardPayM,AG8+AG8*(D_iC)),0)</f>
        <v>0</v>
      </c>
      <c r="AU8" s="1" t="n">
        <f aca="false">IF(AH8&gt;0.5,MIN(F_CardPayM,AH8+AH8*(D_iC)),0)</f>
        <v>0</v>
      </c>
      <c r="AV8" s="1" t="n">
        <f aca="false">IF(AI8&gt;0.5,MIN(F_CardPayM,AI8+AI8*(D_iC)),0)</f>
        <v>0</v>
      </c>
      <c r="AW8" s="1" t="n">
        <f aca="false">IF(AJ8&gt;0.5,MIN(F_CardPayM,AJ8+AJ8*(D_iC)),0)</f>
        <v>0</v>
      </c>
      <c r="AX8" s="1" t="n">
        <f aca="false">IF(AK8&gt;0.5,MIN(F_CardPayM,AK8+AK8*(D_iC)),0)</f>
        <v>0</v>
      </c>
      <c r="AY8" s="1" t="n">
        <f aca="false">IF(AL8&gt;0.5,MIN(F_CardPayM,AL8+AL8*(D_iC)),0)</f>
        <v>0</v>
      </c>
      <c r="AZ8" s="1" t="n">
        <f aca="false">IF(AM8&gt;0.5,MIN(F_CardPayM,AM8+AM8*(D_iC)),0)</f>
        <v>0</v>
      </c>
      <c r="BA8" s="1" t="n">
        <f aca="false">IF(AN8&gt;0.5,MIN(F_CardPayM,AN8+AN8*(D_iC)),0)</f>
        <v>0</v>
      </c>
      <c r="BB8" s="1" t="n">
        <f aca="false">IF(AO8&gt;0.5,MIN(F_CardPayM,AO8+AO8*(D_iC)),0)</f>
        <v>0</v>
      </c>
      <c r="BC8" s="1" t="n">
        <f aca="false">MAX(0,AP8)</f>
        <v>0</v>
      </c>
      <c r="BD8" s="1" t="n">
        <f aca="false">SUM(AQ8:BB8)</f>
        <v>0</v>
      </c>
      <c r="BE8" s="1" t="n">
        <f aca="false">'Plan cashflow'!O8</f>
        <v>0</v>
      </c>
      <c r="BF8" s="1" t="n">
        <f aca="false">IF(BE8&gt;0.5,BE8+BE8*(D_iL)-MIN(F_LoanPayM,BE8+BE8*(D_iL)),BE8)</f>
        <v>0</v>
      </c>
      <c r="BG8" s="1" t="n">
        <f aca="false">IF(BF8&gt;0.5,BF8+BF8*(D_iL)-MIN(F_LoanPayM,BF8+BF8*(D_iL)),BF8)</f>
        <v>0</v>
      </c>
      <c r="BH8" s="1" t="n">
        <f aca="false">IF(BG8&gt;0.5,BG8+BG8*(D_iL)-MIN(F_LoanPayM,BG8+BG8*(D_iL)),BG8)</f>
        <v>0</v>
      </c>
      <c r="BI8" s="1" t="n">
        <f aca="false">IF(BH8&gt;0.5,BH8+BH8*(D_iL)-MIN(F_LoanPayM,BH8+BH8*(D_iL)),BH8)</f>
        <v>0</v>
      </c>
      <c r="BJ8" s="1" t="n">
        <f aca="false">IF(BI8&gt;0.5,BI8+BI8*(D_iL)-MIN(F_LoanPayM,BI8+BI8*(D_iL)),BI8)</f>
        <v>0</v>
      </c>
      <c r="BK8" s="1" t="n">
        <f aca="false">IF(BJ8&gt;0.5,BJ8+BJ8*(D_iL)-MIN(F_LoanPayM,BJ8+BJ8*(D_iL)),BJ8)</f>
        <v>0</v>
      </c>
      <c r="BL8" s="1" t="n">
        <f aca="false">IF(BK8&gt;0.5,BK8+BK8*(D_iL)-MIN(F_LoanPayM,BK8+BK8*(D_iL)),BK8)</f>
        <v>0</v>
      </c>
      <c r="BM8" s="1" t="n">
        <f aca="false">IF(BL8&gt;0.5,BL8+BL8*(D_iL)-MIN(F_LoanPayM,BL8+BL8*(D_iL)),BL8)</f>
        <v>0</v>
      </c>
      <c r="BN8" s="1" t="n">
        <f aca="false">IF(BM8&gt;0.5,BM8+BM8*(D_iL)-MIN(F_LoanPayM,BM8+BM8*(D_iL)),BM8)</f>
        <v>0</v>
      </c>
      <c r="BO8" s="1" t="n">
        <f aca="false">IF(BN8&gt;0.5,BN8+BN8*(D_iL)-MIN(F_LoanPayM,BN8+BN8*(D_iL)),BN8)</f>
        <v>0</v>
      </c>
      <c r="BP8" s="1" t="n">
        <f aca="false">IF(BO8&gt;0.5,BO8+BO8*(D_iL)-MIN(F_LoanPayM,BO8+BO8*(D_iL)),BO8)</f>
        <v>0</v>
      </c>
      <c r="BQ8" s="1" t="n">
        <f aca="false">IF(BP8&gt;0.5,BP8+BP8*(D_iL)-MIN(F_LoanPayM,BP8+BP8*(D_iL)),BP8)</f>
        <v>0</v>
      </c>
      <c r="BR8" s="1" t="n">
        <f aca="false">IF(BE8&gt;0.5,MIN(F_LoanPayM,BE8+BE8*(D_iL)),0)</f>
        <v>0</v>
      </c>
      <c r="BS8" s="1" t="n">
        <f aca="false">IF(BF8&gt;0.5,MIN(F_LoanPayM,BF8+BF8*(D_iL)),0)</f>
        <v>0</v>
      </c>
      <c r="BT8" s="1" t="n">
        <f aca="false">IF(BG8&gt;0.5,MIN(F_LoanPayM,BG8+BG8*(D_iL)),0)</f>
        <v>0</v>
      </c>
      <c r="BU8" s="1" t="n">
        <f aca="false">IF(BH8&gt;0.5,MIN(F_LoanPayM,BH8+BH8*(D_iL)),0)</f>
        <v>0</v>
      </c>
      <c r="BV8" s="1" t="n">
        <f aca="false">IF(BI8&gt;0.5,MIN(F_LoanPayM,BI8+BI8*(D_iL)),0)</f>
        <v>0</v>
      </c>
      <c r="BW8" s="1" t="n">
        <f aca="false">IF(BJ8&gt;0.5,MIN(F_LoanPayM,BJ8+BJ8*(D_iL)),0)</f>
        <v>0</v>
      </c>
      <c r="BX8" s="1" t="n">
        <f aca="false">IF(BK8&gt;0.5,MIN(F_LoanPayM,BK8+BK8*(D_iL)),0)</f>
        <v>0</v>
      </c>
      <c r="BY8" s="1" t="n">
        <f aca="false">IF(BL8&gt;0.5,MIN(F_LoanPayM,BL8+BL8*(D_iL)),0)</f>
        <v>0</v>
      </c>
      <c r="BZ8" s="1" t="n">
        <f aca="false">IF(BM8&gt;0.5,MIN(F_LoanPayM,BM8+BM8*(D_iL)),0)</f>
        <v>0</v>
      </c>
      <c r="CA8" s="1" t="n">
        <f aca="false">IF(BN8&gt;0.5,MIN(F_LoanPayM,BN8+BN8*(D_iL)),0)</f>
        <v>0</v>
      </c>
      <c r="CB8" s="1" t="n">
        <f aca="false">IF(BO8&gt;0.5,MIN(F_LoanPayM,BO8+BO8*(D_iL)),0)</f>
        <v>0</v>
      </c>
      <c r="CC8" s="1" t="n">
        <f aca="false">IF(BP8&gt;0.5,MIN(F_LoanPayM,BP8+BP8*(D_iL)),0)</f>
        <v>0</v>
      </c>
      <c r="CD8" s="1" t="n">
        <f aca="false">MAX(0,BQ8)</f>
        <v>0</v>
      </c>
      <c r="CE8" s="1" t="n">
        <f aca="false">SUM(BR8:CC8)</f>
        <v>0</v>
      </c>
      <c r="CF8" s="1" t="n">
        <f aca="false">IF(CF7&gt;1,DE7,CF7)</f>
        <v>0</v>
      </c>
      <c r="CG8" s="1" t="n">
        <f aca="false">IF(CF8&gt;0.5,CF8+CF8*(F_MR/12)-MIN(F_MortPayM,CF8+CF8*(F_MR/12)),CF8)</f>
        <v>0</v>
      </c>
      <c r="CH8" s="1" t="n">
        <f aca="false">IF(CG8&gt;0.5,CG8+CG8*(F_MR/12)-MIN(F_MortPayM,CG8+CG8*(F_MR/12)),CG8)</f>
        <v>0</v>
      </c>
      <c r="CI8" s="1" t="n">
        <f aca="false">IF(CH8&gt;0.5,CH8+CH8*(F_MR/12)-MIN(F_MortPayM,CH8+CH8*(F_MR/12)),CH8)</f>
        <v>0</v>
      </c>
      <c r="CJ8" s="1" t="n">
        <f aca="false">IF(CI8&gt;0.5,CI8+CI8*(F_MR/12)-MIN(F_MortPayM,CI8+CI8*(F_MR/12)),CI8)</f>
        <v>0</v>
      </c>
      <c r="CK8" s="1" t="n">
        <f aca="false">IF(CJ8&gt;0.5,CJ8+CJ8*(F_MR/12)-MIN(F_MortPayM,CJ8+CJ8*(F_MR/12)),CJ8)</f>
        <v>0</v>
      </c>
      <c r="CL8" s="1" t="n">
        <f aca="false">IF(CK8&gt;0.5,CK8+CK8*(F_MR/12)-MIN(F_MortPayM,CK8+CK8*(F_MR/12)),CK8)</f>
        <v>0</v>
      </c>
      <c r="CM8" s="1" t="n">
        <f aca="false">IF(CL8&gt;0.5,CL8+CL8*(F_MR/12)-MIN(F_MortPayM,CL8+CL8*(F_MR/12)),CL8)</f>
        <v>0</v>
      </c>
      <c r="CN8" s="1" t="n">
        <f aca="false">IF(CM8&gt;0.5,CM8+CM8*(F_MR/12)-MIN(F_MortPayM,CM8+CM8*(F_MR/12)),CM8)</f>
        <v>0</v>
      </c>
      <c r="CO8" s="1" t="n">
        <f aca="false">IF(CN8&gt;0.5,CN8+CN8*(F_MR/12)-MIN(F_MortPayM,CN8+CN8*(F_MR/12)),CN8)</f>
        <v>0</v>
      </c>
      <c r="CP8" s="1" t="n">
        <f aca="false">IF(CO8&gt;0.5,CO8+CO8*(F_MR/12)-MIN(F_MortPayM,CO8+CO8*(F_MR/12)),CO8)</f>
        <v>0</v>
      </c>
      <c r="CQ8" s="1" t="n">
        <f aca="false">IF(CP8&gt;0.5,CP8+CP8*(F_MR/12)-MIN(F_MortPayM,CP8+CP8*(F_MR/12)),CP8)</f>
        <v>0</v>
      </c>
      <c r="CR8" s="1" t="n">
        <f aca="false">IF(CQ8&gt;0.5,CQ8+CQ8*(F_MR/12)-MIN(F_MortPayM,CQ8+CQ8*(F_MR/12)),CQ8)</f>
        <v>0</v>
      </c>
      <c r="CS8" s="1" t="n">
        <f aca="false">IF(CF8&gt;0.5,MIN(F_MortPayM,CF8+CF8*(F_MR/12)),0)</f>
        <v>0</v>
      </c>
      <c r="CT8" s="1" t="n">
        <f aca="false">IF(CG8&gt;0.5,MIN(F_MortPayM,CG8+CG8*(F_MR/12)),0)</f>
        <v>0</v>
      </c>
      <c r="CU8" s="1" t="n">
        <f aca="false">IF(CH8&gt;0.5,MIN(F_MortPayM,CH8+CH8*(F_MR/12)),0)</f>
        <v>0</v>
      </c>
      <c r="CV8" s="1" t="n">
        <f aca="false">IF(CI8&gt;0.5,MIN(F_MortPayM,CI8+CI8*(F_MR/12)),0)</f>
        <v>0</v>
      </c>
      <c r="CW8" s="1" t="n">
        <f aca="false">IF(CJ8&gt;0.5,MIN(F_MortPayM,CJ8+CJ8*(F_MR/12)),0)</f>
        <v>0</v>
      </c>
      <c r="CX8" s="1" t="n">
        <f aca="false">IF(CK8&gt;0.5,MIN(F_MortPayM,CK8+CK8*(F_MR/12)),0)</f>
        <v>0</v>
      </c>
      <c r="CY8" s="1" t="n">
        <f aca="false">IF(CL8&gt;0.5,MIN(F_MortPayM,CL8+CL8*(F_MR/12)),0)</f>
        <v>0</v>
      </c>
      <c r="CZ8" s="1" t="n">
        <f aca="false">IF(CM8&gt;0.5,MIN(F_MortPayM,CM8+CM8*(F_MR/12)),0)</f>
        <v>0</v>
      </c>
      <c r="DA8" s="1" t="n">
        <f aca="false">IF(CN8&gt;0.5,MIN(F_MortPayM,CN8+CN8*(F_MR/12)),0)</f>
        <v>0</v>
      </c>
      <c r="DB8" s="1" t="n">
        <f aca="false">IF(CO8&gt;0.5,MIN(F_MortPayM,CO8+CO8*(F_MR/12)),0)</f>
        <v>0</v>
      </c>
      <c r="DC8" s="1" t="n">
        <f aca="false">IF(CP8&gt;0.5,MIN(F_MortPayM,CP8+CP8*(F_MR/12)),0)</f>
        <v>0</v>
      </c>
      <c r="DD8" s="1" t="n">
        <f aca="false">IF(CQ8&gt;0.5,MIN(F_MortPayM,CQ8+CQ8*(F_MR/12)),0)</f>
        <v>0</v>
      </c>
      <c r="DE8" s="1" t="n">
        <f aca="false">MAX(0,CR8)</f>
        <v>0</v>
      </c>
      <c r="DF8" s="1" t="n">
        <f aca="false">SUM(CS8:DD8)</f>
        <v>0</v>
      </c>
      <c r="DG8" s="1" t="n">
        <f aca="false">MAX(0,CF8)</f>
        <v>0</v>
      </c>
    </row>
    <row r="9" customFormat="false" ht="15" hidden="false" customHeight="false" outlineLevel="0" collapsed="false">
      <c r="B9" s="1" t="n">
        <v>1</v>
      </c>
      <c r="C9" s="1" t="n">
        <f aca="false">'Plan cashflow'!I9</f>
        <v>0</v>
      </c>
      <c r="D9" s="1" t="n">
        <f aca="false">IF(C9&gt;0.5,C9+C9*(F_MR/12)-MIN(F_MortPayM,C9+C9*(F_MR/12)),C9)</f>
        <v>0</v>
      </c>
      <c r="E9" s="1" t="n">
        <f aca="false">IF(D9&gt;0.5,D9+D9*(F_MR/12)-MIN(F_MortPayM,D9+D9*(F_MR/12)),D9)</f>
        <v>0</v>
      </c>
      <c r="F9" s="1" t="n">
        <f aca="false">IF(E9&gt;0.5,E9+E9*(F_MR/12)-MIN(F_MortPayM,E9+E9*(F_MR/12)),E9)</f>
        <v>0</v>
      </c>
      <c r="G9" s="1" t="n">
        <f aca="false">IF(F9&gt;0.5,F9+F9*(F_MR/12)-MIN(F_MortPayM,F9+F9*(F_MR/12)),F9)</f>
        <v>0</v>
      </c>
      <c r="H9" s="1" t="n">
        <f aca="false">IF(G9&gt;0.5,G9+G9*(F_MR/12)-MIN(F_MortPayM,G9+G9*(F_MR/12)),G9)</f>
        <v>0</v>
      </c>
      <c r="I9" s="1" t="n">
        <f aca="false">IF(H9&gt;0.5,H9+H9*(F_MR/12)-MIN(F_MortPayM,H9+H9*(F_MR/12)),H9)</f>
        <v>0</v>
      </c>
      <c r="J9" s="1" t="n">
        <f aca="false">IF(I9&gt;0.5,I9+I9*(F_MR/12)-MIN(F_MortPayM,I9+I9*(F_MR/12)),I9)</f>
        <v>0</v>
      </c>
      <c r="K9" s="1" t="n">
        <f aca="false">IF(J9&gt;0.5,J9+J9*(F_MR/12)-MIN(F_MortPayM,J9+J9*(F_MR/12)),J9)</f>
        <v>0</v>
      </c>
      <c r="L9" s="1" t="n">
        <f aca="false">IF(K9&gt;0.5,K9+K9*(F_MR/12)-MIN(F_MortPayM,K9+K9*(F_MR/12)),K9)</f>
        <v>0</v>
      </c>
      <c r="M9" s="1" t="n">
        <f aca="false">IF(L9&gt;0.5,L9+L9*(F_MR/12)-MIN(F_MortPayM,L9+L9*(F_MR/12)),L9)</f>
        <v>0</v>
      </c>
      <c r="N9" s="1" t="n">
        <f aca="false">IF(M9&gt;0.5,M9+M9*(F_MR/12)-MIN(F_MortPayM,M9+M9*(F_MR/12)),M9)</f>
        <v>0</v>
      </c>
      <c r="O9" s="1" t="n">
        <f aca="false">IF(N9&gt;0.5,N9+N9*(F_MR/12)-MIN(F_MortPayM,N9+N9*(F_MR/12)),N9)</f>
        <v>0</v>
      </c>
      <c r="P9" s="1" t="n">
        <f aca="false">IF(C9&gt;0.5,MIN(F_MortPayM,C9+C9*(F_MR/12)),0)</f>
        <v>0</v>
      </c>
      <c r="Q9" s="1" t="n">
        <f aca="false">IF(D9&gt;0.5,MIN(F_MortPayM,D9+D9*(F_MR/12)),0)</f>
        <v>0</v>
      </c>
      <c r="R9" s="1" t="n">
        <f aca="false">IF(E9&gt;0.5,MIN(F_MortPayM,E9+E9*(F_MR/12)),0)</f>
        <v>0</v>
      </c>
      <c r="S9" s="1" t="n">
        <f aca="false">IF(F9&gt;0.5,MIN(F_MortPayM,F9+F9*(F_MR/12)),0)</f>
        <v>0</v>
      </c>
      <c r="T9" s="1" t="n">
        <f aca="false">IF(G9&gt;0.5,MIN(F_MortPayM,G9+G9*(F_MR/12)),0)</f>
        <v>0</v>
      </c>
      <c r="U9" s="1" t="n">
        <f aca="false">IF(H9&gt;0.5,MIN(F_MortPayM,H9+H9*(F_MR/12)),0)</f>
        <v>0</v>
      </c>
      <c r="V9" s="1" t="n">
        <f aca="false">IF(I9&gt;0.5,MIN(F_MortPayM,I9+I9*(F_MR/12)),0)</f>
        <v>0</v>
      </c>
      <c r="W9" s="1" t="n">
        <f aca="false">IF(J9&gt;0.5,MIN(F_MortPayM,J9+J9*(F_MR/12)),0)</f>
        <v>0</v>
      </c>
      <c r="X9" s="1" t="n">
        <f aca="false">IF(K9&gt;0.5,MIN(F_MortPayM,K9+K9*(F_MR/12)),0)</f>
        <v>0</v>
      </c>
      <c r="Y9" s="1" t="n">
        <f aca="false">IF(L9&gt;0.5,MIN(F_MortPayM,L9+L9*(F_MR/12)),0)</f>
        <v>0</v>
      </c>
      <c r="Z9" s="1" t="n">
        <f aca="false">IF(M9&gt;0.5,MIN(F_MortPayM,M9+M9*(F_MR/12)),0)</f>
        <v>0</v>
      </c>
      <c r="AA9" s="1" t="n">
        <f aca="false">IF(N9&gt;0.5,MIN(F_MortPayM,N9+N9*(F_MR/12)),0)</f>
        <v>0</v>
      </c>
      <c r="AB9" s="1" t="n">
        <f aca="false">MAX(0,O9)</f>
        <v>0</v>
      </c>
      <c r="AC9" s="1" t="n">
        <f aca="false">SUM(P9:AA9)</f>
        <v>0</v>
      </c>
      <c r="AD9" s="1" t="n">
        <f aca="false">'Plan cashflow'!L9</f>
        <v>0</v>
      </c>
      <c r="AE9" s="1" t="n">
        <f aca="false">IF(AD9&gt;0.5,AD9+AD9*(D_iC)-MIN(F_CardPayM,AD9+AD9*(D_iC)),AD9)</f>
        <v>0</v>
      </c>
      <c r="AF9" s="1" t="n">
        <f aca="false">IF(AE9&gt;0.5,AE9+AE9*(D_iC)-MIN(F_CardPayM,AE9+AE9*(D_iC)),AE9)</f>
        <v>0</v>
      </c>
      <c r="AG9" s="1" t="n">
        <f aca="false">IF(AF9&gt;0.5,AF9+AF9*(D_iC)-MIN(F_CardPayM,AF9+AF9*(D_iC)),AF9)</f>
        <v>0</v>
      </c>
      <c r="AH9" s="1" t="n">
        <f aca="false">IF(AG9&gt;0.5,AG9+AG9*(D_iC)-MIN(F_CardPayM,AG9+AG9*(D_iC)),AG9)</f>
        <v>0</v>
      </c>
      <c r="AI9" s="1" t="n">
        <f aca="false">IF(AH9&gt;0.5,AH9+AH9*(D_iC)-MIN(F_CardPayM,AH9+AH9*(D_iC)),AH9)</f>
        <v>0</v>
      </c>
      <c r="AJ9" s="1" t="n">
        <f aca="false">IF(AI9&gt;0.5,AI9+AI9*(D_iC)-MIN(F_CardPayM,AI9+AI9*(D_iC)),AI9)</f>
        <v>0</v>
      </c>
      <c r="AK9" s="1" t="n">
        <f aca="false">IF(AJ9&gt;0.5,AJ9+AJ9*(D_iC)-MIN(F_CardPayM,AJ9+AJ9*(D_iC)),AJ9)</f>
        <v>0</v>
      </c>
      <c r="AL9" s="1" t="n">
        <f aca="false">IF(AK9&gt;0.5,AK9+AK9*(D_iC)-MIN(F_CardPayM,AK9+AK9*(D_iC)),AK9)</f>
        <v>0</v>
      </c>
      <c r="AM9" s="1" t="n">
        <f aca="false">IF(AL9&gt;0.5,AL9+AL9*(D_iC)-MIN(F_CardPayM,AL9+AL9*(D_iC)),AL9)</f>
        <v>0</v>
      </c>
      <c r="AN9" s="1" t="n">
        <f aca="false">IF(AM9&gt;0.5,AM9+AM9*(D_iC)-MIN(F_CardPayM,AM9+AM9*(D_iC)),AM9)</f>
        <v>0</v>
      </c>
      <c r="AO9" s="1" t="n">
        <f aca="false">IF(AN9&gt;0.5,AN9+AN9*(D_iC)-MIN(F_CardPayM,AN9+AN9*(D_iC)),AN9)</f>
        <v>0</v>
      </c>
      <c r="AP9" s="1" t="n">
        <f aca="false">IF(AO9&gt;0.5,AO9+AO9*(D_iC)-MIN(F_CardPayM,AO9+AO9*(D_iC)),AO9)</f>
        <v>0</v>
      </c>
      <c r="AQ9" s="1" t="n">
        <f aca="false">IF(AD9&gt;0.5,MIN(F_CardPayM,AD9+AD9*(D_iC)),0)</f>
        <v>0</v>
      </c>
      <c r="AR9" s="1" t="n">
        <f aca="false">IF(AE9&gt;0.5,MIN(F_CardPayM,AE9+AE9*(D_iC)),0)</f>
        <v>0</v>
      </c>
      <c r="AS9" s="1" t="n">
        <f aca="false">IF(AF9&gt;0.5,MIN(F_CardPayM,AF9+AF9*(D_iC)),0)</f>
        <v>0</v>
      </c>
      <c r="AT9" s="1" t="n">
        <f aca="false">IF(AG9&gt;0.5,MIN(F_CardPayM,AG9+AG9*(D_iC)),0)</f>
        <v>0</v>
      </c>
      <c r="AU9" s="1" t="n">
        <f aca="false">IF(AH9&gt;0.5,MIN(F_CardPayM,AH9+AH9*(D_iC)),0)</f>
        <v>0</v>
      </c>
      <c r="AV9" s="1" t="n">
        <f aca="false">IF(AI9&gt;0.5,MIN(F_CardPayM,AI9+AI9*(D_iC)),0)</f>
        <v>0</v>
      </c>
      <c r="AW9" s="1" t="n">
        <f aca="false">IF(AJ9&gt;0.5,MIN(F_CardPayM,AJ9+AJ9*(D_iC)),0)</f>
        <v>0</v>
      </c>
      <c r="AX9" s="1" t="n">
        <f aca="false">IF(AK9&gt;0.5,MIN(F_CardPayM,AK9+AK9*(D_iC)),0)</f>
        <v>0</v>
      </c>
      <c r="AY9" s="1" t="n">
        <f aca="false">IF(AL9&gt;0.5,MIN(F_CardPayM,AL9+AL9*(D_iC)),0)</f>
        <v>0</v>
      </c>
      <c r="AZ9" s="1" t="n">
        <f aca="false">IF(AM9&gt;0.5,MIN(F_CardPayM,AM9+AM9*(D_iC)),0)</f>
        <v>0</v>
      </c>
      <c r="BA9" s="1" t="n">
        <f aca="false">IF(AN9&gt;0.5,MIN(F_CardPayM,AN9+AN9*(D_iC)),0)</f>
        <v>0</v>
      </c>
      <c r="BB9" s="1" t="n">
        <f aca="false">IF(AO9&gt;0.5,MIN(F_CardPayM,AO9+AO9*(D_iC)),0)</f>
        <v>0</v>
      </c>
      <c r="BC9" s="1" t="n">
        <f aca="false">MAX(0,AP9)</f>
        <v>0</v>
      </c>
      <c r="BD9" s="1" t="n">
        <f aca="false">SUM(AQ9:BB9)</f>
        <v>0</v>
      </c>
      <c r="BE9" s="1" t="n">
        <f aca="false">'Plan cashflow'!O9</f>
        <v>0</v>
      </c>
      <c r="BF9" s="1" t="n">
        <f aca="false">IF(BE9&gt;0.5,BE9+BE9*(D_iL)-MIN(F_LoanPayM,BE9+BE9*(D_iL)),BE9)</f>
        <v>0</v>
      </c>
      <c r="BG9" s="1" t="n">
        <f aca="false">IF(BF9&gt;0.5,BF9+BF9*(D_iL)-MIN(F_LoanPayM,BF9+BF9*(D_iL)),BF9)</f>
        <v>0</v>
      </c>
      <c r="BH9" s="1" t="n">
        <f aca="false">IF(BG9&gt;0.5,BG9+BG9*(D_iL)-MIN(F_LoanPayM,BG9+BG9*(D_iL)),BG9)</f>
        <v>0</v>
      </c>
      <c r="BI9" s="1" t="n">
        <f aca="false">IF(BH9&gt;0.5,BH9+BH9*(D_iL)-MIN(F_LoanPayM,BH9+BH9*(D_iL)),BH9)</f>
        <v>0</v>
      </c>
      <c r="BJ9" s="1" t="n">
        <f aca="false">IF(BI9&gt;0.5,BI9+BI9*(D_iL)-MIN(F_LoanPayM,BI9+BI9*(D_iL)),BI9)</f>
        <v>0</v>
      </c>
      <c r="BK9" s="1" t="n">
        <f aca="false">IF(BJ9&gt;0.5,BJ9+BJ9*(D_iL)-MIN(F_LoanPayM,BJ9+BJ9*(D_iL)),BJ9)</f>
        <v>0</v>
      </c>
      <c r="BL9" s="1" t="n">
        <f aca="false">IF(BK9&gt;0.5,BK9+BK9*(D_iL)-MIN(F_LoanPayM,BK9+BK9*(D_iL)),BK9)</f>
        <v>0</v>
      </c>
      <c r="BM9" s="1" t="n">
        <f aca="false">IF(BL9&gt;0.5,BL9+BL9*(D_iL)-MIN(F_LoanPayM,BL9+BL9*(D_iL)),BL9)</f>
        <v>0</v>
      </c>
      <c r="BN9" s="1" t="n">
        <f aca="false">IF(BM9&gt;0.5,BM9+BM9*(D_iL)-MIN(F_LoanPayM,BM9+BM9*(D_iL)),BM9)</f>
        <v>0</v>
      </c>
      <c r="BO9" s="1" t="n">
        <f aca="false">IF(BN9&gt;0.5,BN9+BN9*(D_iL)-MIN(F_LoanPayM,BN9+BN9*(D_iL)),BN9)</f>
        <v>0</v>
      </c>
      <c r="BP9" s="1" t="n">
        <f aca="false">IF(BO9&gt;0.5,BO9+BO9*(D_iL)-MIN(F_LoanPayM,BO9+BO9*(D_iL)),BO9)</f>
        <v>0</v>
      </c>
      <c r="BQ9" s="1" t="n">
        <f aca="false">IF(BP9&gt;0.5,BP9+BP9*(D_iL)-MIN(F_LoanPayM,BP9+BP9*(D_iL)),BP9)</f>
        <v>0</v>
      </c>
      <c r="BR9" s="1" t="n">
        <f aca="false">IF(BE9&gt;0.5,MIN(F_LoanPayM,BE9+BE9*(D_iL)),0)</f>
        <v>0</v>
      </c>
      <c r="BS9" s="1" t="n">
        <f aca="false">IF(BF9&gt;0.5,MIN(F_LoanPayM,BF9+BF9*(D_iL)),0)</f>
        <v>0</v>
      </c>
      <c r="BT9" s="1" t="n">
        <f aca="false">IF(BG9&gt;0.5,MIN(F_LoanPayM,BG9+BG9*(D_iL)),0)</f>
        <v>0</v>
      </c>
      <c r="BU9" s="1" t="n">
        <f aca="false">IF(BH9&gt;0.5,MIN(F_LoanPayM,BH9+BH9*(D_iL)),0)</f>
        <v>0</v>
      </c>
      <c r="BV9" s="1" t="n">
        <f aca="false">IF(BI9&gt;0.5,MIN(F_LoanPayM,BI9+BI9*(D_iL)),0)</f>
        <v>0</v>
      </c>
      <c r="BW9" s="1" t="n">
        <f aca="false">IF(BJ9&gt;0.5,MIN(F_LoanPayM,BJ9+BJ9*(D_iL)),0)</f>
        <v>0</v>
      </c>
      <c r="BX9" s="1" t="n">
        <f aca="false">IF(BK9&gt;0.5,MIN(F_LoanPayM,BK9+BK9*(D_iL)),0)</f>
        <v>0</v>
      </c>
      <c r="BY9" s="1" t="n">
        <f aca="false">IF(BL9&gt;0.5,MIN(F_LoanPayM,BL9+BL9*(D_iL)),0)</f>
        <v>0</v>
      </c>
      <c r="BZ9" s="1" t="n">
        <f aca="false">IF(BM9&gt;0.5,MIN(F_LoanPayM,BM9+BM9*(D_iL)),0)</f>
        <v>0</v>
      </c>
      <c r="CA9" s="1" t="n">
        <f aca="false">IF(BN9&gt;0.5,MIN(F_LoanPayM,BN9+BN9*(D_iL)),0)</f>
        <v>0</v>
      </c>
      <c r="CB9" s="1" t="n">
        <f aca="false">IF(BO9&gt;0.5,MIN(F_LoanPayM,BO9+BO9*(D_iL)),0)</f>
        <v>0</v>
      </c>
      <c r="CC9" s="1" t="n">
        <f aca="false">IF(BP9&gt;0.5,MIN(F_LoanPayM,BP9+BP9*(D_iL)),0)</f>
        <v>0</v>
      </c>
      <c r="CD9" s="1" t="n">
        <f aca="false">MAX(0,BQ9)</f>
        <v>0</v>
      </c>
      <c r="CE9" s="1" t="n">
        <f aca="false">SUM(BR9:CC9)</f>
        <v>0</v>
      </c>
      <c r="CF9" s="1" t="n">
        <f aca="false">IF(CF8&gt;1,DE8,CF8)</f>
        <v>0</v>
      </c>
      <c r="CG9" s="1" t="n">
        <f aca="false">IF(CF9&gt;0.5,CF9+CF9*(F_MR/12)-MIN(F_MortPayM,CF9+CF9*(F_MR/12)),CF9)</f>
        <v>0</v>
      </c>
      <c r="CH9" s="1" t="n">
        <f aca="false">IF(CG9&gt;0.5,CG9+CG9*(F_MR/12)-MIN(F_MortPayM,CG9+CG9*(F_MR/12)),CG9)</f>
        <v>0</v>
      </c>
      <c r="CI9" s="1" t="n">
        <f aca="false">IF(CH9&gt;0.5,CH9+CH9*(F_MR/12)-MIN(F_MortPayM,CH9+CH9*(F_MR/12)),CH9)</f>
        <v>0</v>
      </c>
      <c r="CJ9" s="1" t="n">
        <f aca="false">IF(CI9&gt;0.5,CI9+CI9*(F_MR/12)-MIN(F_MortPayM,CI9+CI9*(F_MR/12)),CI9)</f>
        <v>0</v>
      </c>
      <c r="CK9" s="1" t="n">
        <f aca="false">IF(CJ9&gt;0.5,CJ9+CJ9*(F_MR/12)-MIN(F_MortPayM,CJ9+CJ9*(F_MR/12)),CJ9)</f>
        <v>0</v>
      </c>
      <c r="CL9" s="1" t="n">
        <f aca="false">IF(CK9&gt;0.5,CK9+CK9*(F_MR/12)-MIN(F_MortPayM,CK9+CK9*(F_MR/12)),CK9)</f>
        <v>0</v>
      </c>
      <c r="CM9" s="1" t="n">
        <f aca="false">IF(CL9&gt;0.5,CL9+CL9*(F_MR/12)-MIN(F_MortPayM,CL9+CL9*(F_MR/12)),CL9)</f>
        <v>0</v>
      </c>
      <c r="CN9" s="1" t="n">
        <f aca="false">IF(CM9&gt;0.5,CM9+CM9*(F_MR/12)-MIN(F_MortPayM,CM9+CM9*(F_MR/12)),CM9)</f>
        <v>0</v>
      </c>
      <c r="CO9" s="1" t="n">
        <f aca="false">IF(CN9&gt;0.5,CN9+CN9*(F_MR/12)-MIN(F_MortPayM,CN9+CN9*(F_MR/12)),CN9)</f>
        <v>0</v>
      </c>
      <c r="CP9" s="1" t="n">
        <f aca="false">IF(CO9&gt;0.5,CO9+CO9*(F_MR/12)-MIN(F_MortPayM,CO9+CO9*(F_MR/12)),CO9)</f>
        <v>0</v>
      </c>
      <c r="CQ9" s="1" t="n">
        <f aca="false">IF(CP9&gt;0.5,CP9+CP9*(F_MR/12)-MIN(F_MortPayM,CP9+CP9*(F_MR/12)),CP9)</f>
        <v>0</v>
      </c>
      <c r="CR9" s="1" t="n">
        <f aca="false">IF(CQ9&gt;0.5,CQ9+CQ9*(F_MR/12)-MIN(F_MortPayM,CQ9+CQ9*(F_MR/12)),CQ9)</f>
        <v>0</v>
      </c>
      <c r="CS9" s="1" t="n">
        <f aca="false">IF(CF9&gt;0.5,MIN(F_MortPayM,CF9+CF9*(F_MR/12)),0)</f>
        <v>0</v>
      </c>
      <c r="CT9" s="1" t="n">
        <f aca="false">IF(CG9&gt;0.5,MIN(F_MortPayM,CG9+CG9*(F_MR/12)),0)</f>
        <v>0</v>
      </c>
      <c r="CU9" s="1" t="n">
        <f aca="false">IF(CH9&gt;0.5,MIN(F_MortPayM,CH9+CH9*(F_MR/12)),0)</f>
        <v>0</v>
      </c>
      <c r="CV9" s="1" t="n">
        <f aca="false">IF(CI9&gt;0.5,MIN(F_MortPayM,CI9+CI9*(F_MR/12)),0)</f>
        <v>0</v>
      </c>
      <c r="CW9" s="1" t="n">
        <f aca="false">IF(CJ9&gt;0.5,MIN(F_MortPayM,CJ9+CJ9*(F_MR/12)),0)</f>
        <v>0</v>
      </c>
      <c r="CX9" s="1" t="n">
        <f aca="false">IF(CK9&gt;0.5,MIN(F_MortPayM,CK9+CK9*(F_MR/12)),0)</f>
        <v>0</v>
      </c>
      <c r="CY9" s="1" t="n">
        <f aca="false">IF(CL9&gt;0.5,MIN(F_MortPayM,CL9+CL9*(F_MR/12)),0)</f>
        <v>0</v>
      </c>
      <c r="CZ9" s="1" t="n">
        <f aca="false">IF(CM9&gt;0.5,MIN(F_MortPayM,CM9+CM9*(F_MR/12)),0)</f>
        <v>0</v>
      </c>
      <c r="DA9" s="1" t="n">
        <f aca="false">IF(CN9&gt;0.5,MIN(F_MortPayM,CN9+CN9*(F_MR/12)),0)</f>
        <v>0</v>
      </c>
      <c r="DB9" s="1" t="n">
        <f aca="false">IF(CO9&gt;0.5,MIN(F_MortPayM,CO9+CO9*(F_MR/12)),0)</f>
        <v>0</v>
      </c>
      <c r="DC9" s="1" t="n">
        <f aca="false">IF(CP9&gt;0.5,MIN(F_MortPayM,CP9+CP9*(F_MR/12)),0)</f>
        <v>0</v>
      </c>
      <c r="DD9" s="1" t="n">
        <f aca="false">IF(CQ9&gt;0.5,MIN(F_MortPayM,CQ9+CQ9*(F_MR/12)),0)</f>
        <v>0</v>
      </c>
      <c r="DE9" s="1" t="n">
        <f aca="false">MAX(0,CR9)</f>
        <v>0</v>
      </c>
      <c r="DF9" s="1" t="n">
        <f aca="false">SUM(CS9:DD9)</f>
        <v>0</v>
      </c>
      <c r="DG9" s="1" t="n">
        <f aca="false">MAX(0,CF9)</f>
        <v>0</v>
      </c>
    </row>
    <row r="10" customFormat="false" ht="15" hidden="false" customHeight="false" outlineLevel="0" collapsed="false">
      <c r="B10" s="1" t="n">
        <v>2</v>
      </c>
      <c r="C10" s="1" t="n">
        <f aca="false">'Plan cashflow'!I10</f>
        <v>0</v>
      </c>
      <c r="D10" s="1" t="n">
        <f aca="false">IF(C10&gt;0.5,C10+C10*(F_MR/12)-MIN(F_MortPayM,C10+C10*(F_MR/12)),C10)</f>
        <v>0</v>
      </c>
      <c r="E10" s="1" t="n">
        <f aca="false">IF(D10&gt;0.5,D10+D10*(F_MR/12)-MIN(F_MortPayM,D10+D10*(F_MR/12)),D10)</f>
        <v>0</v>
      </c>
      <c r="F10" s="1" t="n">
        <f aca="false">IF(E10&gt;0.5,E10+E10*(F_MR/12)-MIN(F_MortPayM,E10+E10*(F_MR/12)),E10)</f>
        <v>0</v>
      </c>
      <c r="G10" s="1" t="n">
        <f aca="false">IF(F10&gt;0.5,F10+F10*(F_MR/12)-MIN(F_MortPayM,F10+F10*(F_MR/12)),F10)</f>
        <v>0</v>
      </c>
      <c r="H10" s="1" t="n">
        <f aca="false">IF(G10&gt;0.5,G10+G10*(F_MR/12)-MIN(F_MortPayM,G10+G10*(F_MR/12)),G10)</f>
        <v>0</v>
      </c>
      <c r="I10" s="1" t="n">
        <f aca="false">IF(H10&gt;0.5,H10+H10*(F_MR/12)-MIN(F_MortPayM,H10+H10*(F_MR/12)),H10)</f>
        <v>0</v>
      </c>
      <c r="J10" s="1" t="n">
        <f aca="false">IF(I10&gt;0.5,I10+I10*(F_MR/12)-MIN(F_MortPayM,I10+I10*(F_MR/12)),I10)</f>
        <v>0</v>
      </c>
      <c r="K10" s="1" t="n">
        <f aca="false">IF(J10&gt;0.5,J10+J10*(F_MR/12)-MIN(F_MortPayM,J10+J10*(F_MR/12)),J10)</f>
        <v>0</v>
      </c>
      <c r="L10" s="1" t="n">
        <f aca="false">IF(K10&gt;0.5,K10+K10*(F_MR/12)-MIN(F_MortPayM,K10+K10*(F_MR/12)),K10)</f>
        <v>0</v>
      </c>
      <c r="M10" s="1" t="n">
        <f aca="false">IF(L10&gt;0.5,L10+L10*(F_MR/12)-MIN(F_MortPayM,L10+L10*(F_MR/12)),L10)</f>
        <v>0</v>
      </c>
      <c r="N10" s="1" t="n">
        <f aca="false">IF(M10&gt;0.5,M10+M10*(F_MR/12)-MIN(F_MortPayM,M10+M10*(F_MR/12)),M10)</f>
        <v>0</v>
      </c>
      <c r="O10" s="1" t="n">
        <f aca="false">IF(N10&gt;0.5,N10+N10*(F_MR/12)-MIN(F_MortPayM,N10+N10*(F_MR/12)),N10)</f>
        <v>0</v>
      </c>
      <c r="P10" s="1" t="n">
        <f aca="false">IF(C10&gt;0.5,MIN(F_MortPayM,C10+C10*(F_MR/12)),0)</f>
        <v>0</v>
      </c>
      <c r="Q10" s="1" t="n">
        <f aca="false">IF(D10&gt;0.5,MIN(F_MortPayM,D10+D10*(F_MR/12)),0)</f>
        <v>0</v>
      </c>
      <c r="R10" s="1" t="n">
        <f aca="false">IF(E10&gt;0.5,MIN(F_MortPayM,E10+E10*(F_MR/12)),0)</f>
        <v>0</v>
      </c>
      <c r="S10" s="1" t="n">
        <f aca="false">IF(F10&gt;0.5,MIN(F_MortPayM,F10+F10*(F_MR/12)),0)</f>
        <v>0</v>
      </c>
      <c r="T10" s="1" t="n">
        <f aca="false">IF(G10&gt;0.5,MIN(F_MortPayM,G10+G10*(F_MR/12)),0)</f>
        <v>0</v>
      </c>
      <c r="U10" s="1" t="n">
        <f aca="false">IF(H10&gt;0.5,MIN(F_MortPayM,H10+H10*(F_MR/12)),0)</f>
        <v>0</v>
      </c>
      <c r="V10" s="1" t="n">
        <f aca="false">IF(I10&gt;0.5,MIN(F_MortPayM,I10+I10*(F_MR/12)),0)</f>
        <v>0</v>
      </c>
      <c r="W10" s="1" t="n">
        <f aca="false">IF(J10&gt;0.5,MIN(F_MortPayM,J10+J10*(F_MR/12)),0)</f>
        <v>0</v>
      </c>
      <c r="X10" s="1" t="n">
        <f aca="false">IF(K10&gt;0.5,MIN(F_MortPayM,K10+K10*(F_MR/12)),0)</f>
        <v>0</v>
      </c>
      <c r="Y10" s="1" t="n">
        <f aca="false">IF(L10&gt;0.5,MIN(F_MortPayM,L10+L10*(F_MR/12)),0)</f>
        <v>0</v>
      </c>
      <c r="Z10" s="1" t="n">
        <f aca="false">IF(M10&gt;0.5,MIN(F_MortPayM,M10+M10*(F_MR/12)),0)</f>
        <v>0</v>
      </c>
      <c r="AA10" s="1" t="n">
        <f aca="false">IF(N10&gt;0.5,MIN(F_MortPayM,N10+N10*(F_MR/12)),0)</f>
        <v>0</v>
      </c>
      <c r="AB10" s="1" t="n">
        <f aca="false">MAX(0,O10)</f>
        <v>0</v>
      </c>
      <c r="AC10" s="1" t="n">
        <f aca="false">SUM(P10:AA10)</f>
        <v>0</v>
      </c>
      <c r="AD10" s="1" t="n">
        <f aca="false">'Plan cashflow'!L10</f>
        <v>0</v>
      </c>
      <c r="AE10" s="1" t="n">
        <f aca="false">IF(AD10&gt;0.5,AD10+AD10*(D_iC)-MIN(F_CardPayM,AD10+AD10*(D_iC)),AD10)</f>
        <v>0</v>
      </c>
      <c r="AF10" s="1" t="n">
        <f aca="false">IF(AE10&gt;0.5,AE10+AE10*(D_iC)-MIN(F_CardPayM,AE10+AE10*(D_iC)),AE10)</f>
        <v>0</v>
      </c>
      <c r="AG10" s="1" t="n">
        <f aca="false">IF(AF10&gt;0.5,AF10+AF10*(D_iC)-MIN(F_CardPayM,AF10+AF10*(D_iC)),AF10)</f>
        <v>0</v>
      </c>
      <c r="AH10" s="1" t="n">
        <f aca="false">IF(AG10&gt;0.5,AG10+AG10*(D_iC)-MIN(F_CardPayM,AG10+AG10*(D_iC)),AG10)</f>
        <v>0</v>
      </c>
      <c r="AI10" s="1" t="n">
        <f aca="false">IF(AH10&gt;0.5,AH10+AH10*(D_iC)-MIN(F_CardPayM,AH10+AH10*(D_iC)),AH10)</f>
        <v>0</v>
      </c>
      <c r="AJ10" s="1" t="n">
        <f aca="false">IF(AI10&gt;0.5,AI10+AI10*(D_iC)-MIN(F_CardPayM,AI10+AI10*(D_iC)),AI10)</f>
        <v>0</v>
      </c>
      <c r="AK10" s="1" t="n">
        <f aca="false">IF(AJ10&gt;0.5,AJ10+AJ10*(D_iC)-MIN(F_CardPayM,AJ10+AJ10*(D_iC)),AJ10)</f>
        <v>0</v>
      </c>
      <c r="AL10" s="1" t="n">
        <f aca="false">IF(AK10&gt;0.5,AK10+AK10*(D_iC)-MIN(F_CardPayM,AK10+AK10*(D_iC)),AK10)</f>
        <v>0</v>
      </c>
      <c r="AM10" s="1" t="n">
        <f aca="false">IF(AL10&gt;0.5,AL10+AL10*(D_iC)-MIN(F_CardPayM,AL10+AL10*(D_iC)),AL10)</f>
        <v>0</v>
      </c>
      <c r="AN10" s="1" t="n">
        <f aca="false">IF(AM10&gt;0.5,AM10+AM10*(D_iC)-MIN(F_CardPayM,AM10+AM10*(D_iC)),AM10)</f>
        <v>0</v>
      </c>
      <c r="AO10" s="1" t="n">
        <f aca="false">IF(AN10&gt;0.5,AN10+AN10*(D_iC)-MIN(F_CardPayM,AN10+AN10*(D_iC)),AN10)</f>
        <v>0</v>
      </c>
      <c r="AP10" s="1" t="n">
        <f aca="false">IF(AO10&gt;0.5,AO10+AO10*(D_iC)-MIN(F_CardPayM,AO10+AO10*(D_iC)),AO10)</f>
        <v>0</v>
      </c>
      <c r="AQ10" s="1" t="n">
        <f aca="false">IF(AD10&gt;0.5,MIN(F_CardPayM,AD10+AD10*(D_iC)),0)</f>
        <v>0</v>
      </c>
      <c r="AR10" s="1" t="n">
        <f aca="false">IF(AE10&gt;0.5,MIN(F_CardPayM,AE10+AE10*(D_iC)),0)</f>
        <v>0</v>
      </c>
      <c r="AS10" s="1" t="n">
        <f aca="false">IF(AF10&gt;0.5,MIN(F_CardPayM,AF10+AF10*(D_iC)),0)</f>
        <v>0</v>
      </c>
      <c r="AT10" s="1" t="n">
        <f aca="false">IF(AG10&gt;0.5,MIN(F_CardPayM,AG10+AG10*(D_iC)),0)</f>
        <v>0</v>
      </c>
      <c r="AU10" s="1" t="n">
        <f aca="false">IF(AH10&gt;0.5,MIN(F_CardPayM,AH10+AH10*(D_iC)),0)</f>
        <v>0</v>
      </c>
      <c r="AV10" s="1" t="n">
        <f aca="false">IF(AI10&gt;0.5,MIN(F_CardPayM,AI10+AI10*(D_iC)),0)</f>
        <v>0</v>
      </c>
      <c r="AW10" s="1" t="n">
        <f aca="false">IF(AJ10&gt;0.5,MIN(F_CardPayM,AJ10+AJ10*(D_iC)),0)</f>
        <v>0</v>
      </c>
      <c r="AX10" s="1" t="n">
        <f aca="false">IF(AK10&gt;0.5,MIN(F_CardPayM,AK10+AK10*(D_iC)),0)</f>
        <v>0</v>
      </c>
      <c r="AY10" s="1" t="n">
        <f aca="false">IF(AL10&gt;0.5,MIN(F_CardPayM,AL10+AL10*(D_iC)),0)</f>
        <v>0</v>
      </c>
      <c r="AZ10" s="1" t="n">
        <f aca="false">IF(AM10&gt;0.5,MIN(F_CardPayM,AM10+AM10*(D_iC)),0)</f>
        <v>0</v>
      </c>
      <c r="BA10" s="1" t="n">
        <f aca="false">IF(AN10&gt;0.5,MIN(F_CardPayM,AN10+AN10*(D_iC)),0)</f>
        <v>0</v>
      </c>
      <c r="BB10" s="1" t="n">
        <f aca="false">IF(AO10&gt;0.5,MIN(F_CardPayM,AO10+AO10*(D_iC)),0)</f>
        <v>0</v>
      </c>
      <c r="BC10" s="1" t="n">
        <f aca="false">MAX(0,AP10)</f>
        <v>0</v>
      </c>
      <c r="BD10" s="1" t="n">
        <f aca="false">SUM(AQ10:BB10)</f>
        <v>0</v>
      </c>
      <c r="BE10" s="1" t="n">
        <f aca="false">'Plan cashflow'!O10</f>
        <v>0</v>
      </c>
      <c r="BF10" s="1" t="n">
        <f aca="false">IF(BE10&gt;0.5,BE10+BE10*(D_iL)-MIN(F_LoanPayM,BE10+BE10*(D_iL)),BE10)</f>
        <v>0</v>
      </c>
      <c r="BG10" s="1" t="n">
        <f aca="false">IF(BF10&gt;0.5,BF10+BF10*(D_iL)-MIN(F_LoanPayM,BF10+BF10*(D_iL)),BF10)</f>
        <v>0</v>
      </c>
      <c r="BH10" s="1" t="n">
        <f aca="false">IF(BG10&gt;0.5,BG10+BG10*(D_iL)-MIN(F_LoanPayM,BG10+BG10*(D_iL)),BG10)</f>
        <v>0</v>
      </c>
      <c r="BI10" s="1" t="n">
        <f aca="false">IF(BH10&gt;0.5,BH10+BH10*(D_iL)-MIN(F_LoanPayM,BH10+BH10*(D_iL)),BH10)</f>
        <v>0</v>
      </c>
      <c r="BJ10" s="1" t="n">
        <f aca="false">IF(BI10&gt;0.5,BI10+BI10*(D_iL)-MIN(F_LoanPayM,BI10+BI10*(D_iL)),BI10)</f>
        <v>0</v>
      </c>
      <c r="BK10" s="1" t="n">
        <f aca="false">IF(BJ10&gt;0.5,BJ10+BJ10*(D_iL)-MIN(F_LoanPayM,BJ10+BJ10*(D_iL)),BJ10)</f>
        <v>0</v>
      </c>
      <c r="BL10" s="1" t="n">
        <f aca="false">IF(BK10&gt;0.5,BK10+BK10*(D_iL)-MIN(F_LoanPayM,BK10+BK10*(D_iL)),BK10)</f>
        <v>0</v>
      </c>
      <c r="BM10" s="1" t="n">
        <f aca="false">IF(BL10&gt;0.5,BL10+BL10*(D_iL)-MIN(F_LoanPayM,BL10+BL10*(D_iL)),BL10)</f>
        <v>0</v>
      </c>
      <c r="BN10" s="1" t="n">
        <f aca="false">IF(BM10&gt;0.5,BM10+BM10*(D_iL)-MIN(F_LoanPayM,BM10+BM10*(D_iL)),BM10)</f>
        <v>0</v>
      </c>
      <c r="BO10" s="1" t="n">
        <f aca="false">IF(BN10&gt;0.5,BN10+BN10*(D_iL)-MIN(F_LoanPayM,BN10+BN10*(D_iL)),BN10)</f>
        <v>0</v>
      </c>
      <c r="BP10" s="1" t="n">
        <f aca="false">IF(BO10&gt;0.5,BO10+BO10*(D_iL)-MIN(F_LoanPayM,BO10+BO10*(D_iL)),BO10)</f>
        <v>0</v>
      </c>
      <c r="BQ10" s="1" t="n">
        <f aca="false">IF(BP10&gt;0.5,BP10+BP10*(D_iL)-MIN(F_LoanPayM,BP10+BP10*(D_iL)),BP10)</f>
        <v>0</v>
      </c>
      <c r="BR10" s="1" t="n">
        <f aca="false">IF(BE10&gt;0.5,MIN(F_LoanPayM,BE10+BE10*(D_iL)),0)</f>
        <v>0</v>
      </c>
      <c r="BS10" s="1" t="n">
        <f aca="false">IF(BF10&gt;0.5,MIN(F_LoanPayM,BF10+BF10*(D_iL)),0)</f>
        <v>0</v>
      </c>
      <c r="BT10" s="1" t="n">
        <f aca="false">IF(BG10&gt;0.5,MIN(F_LoanPayM,BG10+BG10*(D_iL)),0)</f>
        <v>0</v>
      </c>
      <c r="BU10" s="1" t="n">
        <f aca="false">IF(BH10&gt;0.5,MIN(F_LoanPayM,BH10+BH10*(D_iL)),0)</f>
        <v>0</v>
      </c>
      <c r="BV10" s="1" t="n">
        <f aca="false">IF(BI10&gt;0.5,MIN(F_LoanPayM,BI10+BI10*(D_iL)),0)</f>
        <v>0</v>
      </c>
      <c r="BW10" s="1" t="n">
        <f aca="false">IF(BJ10&gt;0.5,MIN(F_LoanPayM,BJ10+BJ10*(D_iL)),0)</f>
        <v>0</v>
      </c>
      <c r="BX10" s="1" t="n">
        <f aca="false">IF(BK10&gt;0.5,MIN(F_LoanPayM,BK10+BK10*(D_iL)),0)</f>
        <v>0</v>
      </c>
      <c r="BY10" s="1" t="n">
        <f aca="false">IF(BL10&gt;0.5,MIN(F_LoanPayM,BL10+BL10*(D_iL)),0)</f>
        <v>0</v>
      </c>
      <c r="BZ10" s="1" t="n">
        <f aca="false">IF(BM10&gt;0.5,MIN(F_LoanPayM,BM10+BM10*(D_iL)),0)</f>
        <v>0</v>
      </c>
      <c r="CA10" s="1" t="n">
        <f aca="false">IF(BN10&gt;0.5,MIN(F_LoanPayM,BN10+BN10*(D_iL)),0)</f>
        <v>0</v>
      </c>
      <c r="CB10" s="1" t="n">
        <f aca="false">IF(BO10&gt;0.5,MIN(F_LoanPayM,BO10+BO10*(D_iL)),0)</f>
        <v>0</v>
      </c>
      <c r="CC10" s="1" t="n">
        <f aca="false">IF(BP10&gt;0.5,MIN(F_LoanPayM,BP10+BP10*(D_iL)),0)</f>
        <v>0</v>
      </c>
      <c r="CD10" s="1" t="n">
        <f aca="false">MAX(0,BQ10)</f>
        <v>0</v>
      </c>
      <c r="CE10" s="1" t="n">
        <f aca="false">SUM(BR10:CC10)</f>
        <v>0</v>
      </c>
      <c r="CF10" s="1" t="n">
        <f aca="false">IF(CF9&gt;1,DE9,CF9)</f>
        <v>0</v>
      </c>
      <c r="CG10" s="1" t="n">
        <f aca="false">IF(CF10&gt;0.5,CF10+CF10*(F_MR/12)-MIN(F_MortPayM,CF10+CF10*(F_MR/12)),CF10)</f>
        <v>0</v>
      </c>
      <c r="CH10" s="1" t="n">
        <f aca="false">IF(CG10&gt;0.5,CG10+CG10*(F_MR/12)-MIN(F_MortPayM,CG10+CG10*(F_MR/12)),CG10)</f>
        <v>0</v>
      </c>
      <c r="CI10" s="1" t="n">
        <f aca="false">IF(CH10&gt;0.5,CH10+CH10*(F_MR/12)-MIN(F_MortPayM,CH10+CH10*(F_MR/12)),CH10)</f>
        <v>0</v>
      </c>
      <c r="CJ10" s="1" t="n">
        <f aca="false">IF(CI10&gt;0.5,CI10+CI10*(F_MR/12)-MIN(F_MortPayM,CI10+CI10*(F_MR/12)),CI10)</f>
        <v>0</v>
      </c>
      <c r="CK10" s="1" t="n">
        <f aca="false">IF(CJ10&gt;0.5,CJ10+CJ10*(F_MR/12)-MIN(F_MortPayM,CJ10+CJ10*(F_MR/12)),CJ10)</f>
        <v>0</v>
      </c>
      <c r="CL10" s="1" t="n">
        <f aca="false">IF(CK10&gt;0.5,CK10+CK10*(F_MR/12)-MIN(F_MortPayM,CK10+CK10*(F_MR/12)),CK10)</f>
        <v>0</v>
      </c>
      <c r="CM10" s="1" t="n">
        <f aca="false">IF(CL10&gt;0.5,CL10+CL10*(F_MR/12)-MIN(F_MortPayM,CL10+CL10*(F_MR/12)),CL10)</f>
        <v>0</v>
      </c>
      <c r="CN10" s="1" t="n">
        <f aca="false">IF(CM10&gt;0.5,CM10+CM10*(F_MR/12)-MIN(F_MortPayM,CM10+CM10*(F_MR/12)),CM10)</f>
        <v>0</v>
      </c>
      <c r="CO10" s="1" t="n">
        <f aca="false">IF(CN10&gt;0.5,CN10+CN10*(F_MR/12)-MIN(F_MortPayM,CN10+CN10*(F_MR/12)),CN10)</f>
        <v>0</v>
      </c>
      <c r="CP10" s="1" t="n">
        <f aca="false">IF(CO10&gt;0.5,CO10+CO10*(F_MR/12)-MIN(F_MortPayM,CO10+CO10*(F_MR/12)),CO10)</f>
        <v>0</v>
      </c>
      <c r="CQ10" s="1" t="n">
        <f aca="false">IF(CP10&gt;0.5,CP10+CP10*(F_MR/12)-MIN(F_MortPayM,CP10+CP10*(F_MR/12)),CP10)</f>
        <v>0</v>
      </c>
      <c r="CR10" s="1" t="n">
        <f aca="false">IF(CQ10&gt;0.5,CQ10+CQ10*(F_MR/12)-MIN(F_MortPayM,CQ10+CQ10*(F_MR/12)),CQ10)</f>
        <v>0</v>
      </c>
      <c r="CS10" s="1" t="n">
        <f aca="false">IF(CF10&gt;0.5,MIN(F_MortPayM,CF10+CF10*(F_MR/12)),0)</f>
        <v>0</v>
      </c>
      <c r="CT10" s="1" t="n">
        <f aca="false">IF(CG10&gt;0.5,MIN(F_MortPayM,CG10+CG10*(F_MR/12)),0)</f>
        <v>0</v>
      </c>
      <c r="CU10" s="1" t="n">
        <f aca="false">IF(CH10&gt;0.5,MIN(F_MortPayM,CH10+CH10*(F_MR/12)),0)</f>
        <v>0</v>
      </c>
      <c r="CV10" s="1" t="n">
        <f aca="false">IF(CI10&gt;0.5,MIN(F_MortPayM,CI10+CI10*(F_MR/12)),0)</f>
        <v>0</v>
      </c>
      <c r="CW10" s="1" t="n">
        <f aca="false">IF(CJ10&gt;0.5,MIN(F_MortPayM,CJ10+CJ10*(F_MR/12)),0)</f>
        <v>0</v>
      </c>
      <c r="CX10" s="1" t="n">
        <f aca="false">IF(CK10&gt;0.5,MIN(F_MortPayM,CK10+CK10*(F_MR/12)),0)</f>
        <v>0</v>
      </c>
      <c r="CY10" s="1" t="n">
        <f aca="false">IF(CL10&gt;0.5,MIN(F_MortPayM,CL10+CL10*(F_MR/12)),0)</f>
        <v>0</v>
      </c>
      <c r="CZ10" s="1" t="n">
        <f aca="false">IF(CM10&gt;0.5,MIN(F_MortPayM,CM10+CM10*(F_MR/12)),0)</f>
        <v>0</v>
      </c>
      <c r="DA10" s="1" t="n">
        <f aca="false">IF(CN10&gt;0.5,MIN(F_MortPayM,CN10+CN10*(F_MR/12)),0)</f>
        <v>0</v>
      </c>
      <c r="DB10" s="1" t="n">
        <f aca="false">IF(CO10&gt;0.5,MIN(F_MortPayM,CO10+CO10*(F_MR/12)),0)</f>
        <v>0</v>
      </c>
      <c r="DC10" s="1" t="n">
        <f aca="false">IF(CP10&gt;0.5,MIN(F_MortPayM,CP10+CP10*(F_MR/12)),0)</f>
        <v>0</v>
      </c>
      <c r="DD10" s="1" t="n">
        <f aca="false">IF(CQ10&gt;0.5,MIN(F_MortPayM,CQ10+CQ10*(F_MR/12)),0)</f>
        <v>0</v>
      </c>
      <c r="DE10" s="1" t="n">
        <f aca="false">MAX(0,CR10)</f>
        <v>0</v>
      </c>
      <c r="DF10" s="1" t="n">
        <f aca="false">SUM(CS10:DD10)</f>
        <v>0</v>
      </c>
      <c r="DG10" s="1" t="n">
        <f aca="false">MAX(0,CF10)</f>
        <v>0</v>
      </c>
    </row>
    <row r="11" customFormat="false" ht="15" hidden="false" customHeight="false" outlineLevel="0" collapsed="false">
      <c r="B11" s="1" t="n">
        <v>3</v>
      </c>
      <c r="C11" s="1" t="n">
        <f aca="false">'Plan cashflow'!I11</f>
        <v>0</v>
      </c>
      <c r="D11" s="1" t="n">
        <f aca="false">IF(C11&gt;0.5,C11+C11*(F_MR/12)-MIN(F_MortPayM,C11+C11*(F_MR/12)),C11)</f>
        <v>0</v>
      </c>
      <c r="E11" s="1" t="n">
        <f aca="false">IF(D11&gt;0.5,D11+D11*(F_MR/12)-MIN(F_MortPayM,D11+D11*(F_MR/12)),D11)</f>
        <v>0</v>
      </c>
      <c r="F11" s="1" t="n">
        <f aca="false">IF(E11&gt;0.5,E11+E11*(F_MR/12)-MIN(F_MortPayM,E11+E11*(F_MR/12)),E11)</f>
        <v>0</v>
      </c>
      <c r="G11" s="1" t="n">
        <f aca="false">IF(F11&gt;0.5,F11+F11*(F_MR/12)-MIN(F_MortPayM,F11+F11*(F_MR/12)),F11)</f>
        <v>0</v>
      </c>
      <c r="H11" s="1" t="n">
        <f aca="false">IF(G11&gt;0.5,G11+G11*(F_MR/12)-MIN(F_MortPayM,G11+G11*(F_MR/12)),G11)</f>
        <v>0</v>
      </c>
      <c r="I11" s="1" t="n">
        <f aca="false">IF(H11&gt;0.5,H11+H11*(F_MR/12)-MIN(F_MortPayM,H11+H11*(F_MR/12)),H11)</f>
        <v>0</v>
      </c>
      <c r="J11" s="1" t="n">
        <f aca="false">IF(I11&gt;0.5,I11+I11*(F_MR/12)-MIN(F_MortPayM,I11+I11*(F_MR/12)),I11)</f>
        <v>0</v>
      </c>
      <c r="K11" s="1" t="n">
        <f aca="false">IF(J11&gt;0.5,J11+J11*(F_MR/12)-MIN(F_MortPayM,J11+J11*(F_MR/12)),J11)</f>
        <v>0</v>
      </c>
      <c r="L11" s="1" t="n">
        <f aca="false">IF(K11&gt;0.5,K11+K11*(F_MR/12)-MIN(F_MortPayM,K11+K11*(F_MR/12)),K11)</f>
        <v>0</v>
      </c>
      <c r="M11" s="1" t="n">
        <f aca="false">IF(L11&gt;0.5,L11+L11*(F_MR/12)-MIN(F_MortPayM,L11+L11*(F_MR/12)),L11)</f>
        <v>0</v>
      </c>
      <c r="N11" s="1" t="n">
        <f aca="false">IF(M11&gt;0.5,M11+M11*(F_MR/12)-MIN(F_MortPayM,M11+M11*(F_MR/12)),M11)</f>
        <v>0</v>
      </c>
      <c r="O11" s="1" t="n">
        <f aca="false">IF(N11&gt;0.5,N11+N11*(F_MR/12)-MIN(F_MortPayM,N11+N11*(F_MR/12)),N11)</f>
        <v>0</v>
      </c>
      <c r="P11" s="1" t="n">
        <f aca="false">IF(C11&gt;0.5,MIN(F_MortPayM,C11+C11*(F_MR/12)),0)</f>
        <v>0</v>
      </c>
      <c r="Q11" s="1" t="n">
        <f aca="false">IF(D11&gt;0.5,MIN(F_MortPayM,D11+D11*(F_MR/12)),0)</f>
        <v>0</v>
      </c>
      <c r="R11" s="1" t="n">
        <f aca="false">IF(E11&gt;0.5,MIN(F_MortPayM,E11+E11*(F_MR/12)),0)</f>
        <v>0</v>
      </c>
      <c r="S11" s="1" t="n">
        <f aca="false">IF(F11&gt;0.5,MIN(F_MortPayM,F11+F11*(F_MR/12)),0)</f>
        <v>0</v>
      </c>
      <c r="T11" s="1" t="n">
        <f aca="false">IF(G11&gt;0.5,MIN(F_MortPayM,G11+G11*(F_MR/12)),0)</f>
        <v>0</v>
      </c>
      <c r="U11" s="1" t="n">
        <f aca="false">IF(H11&gt;0.5,MIN(F_MortPayM,H11+H11*(F_MR/12)),0)</f>
        <v>0</v>
      </c>
      <c r="V11" s="1" t="n">
        <f aca="false">IF(I11&gt;0.5,MIN(F_MortPayM,I11+I11*(F_MR/12)),0)</f>
        <v>0</v>
      </c>
      <c r="W11" s="1" t="n">
        <f aca="false">IF(J11&gt;0.5,MIN(F_MortPayM,J11+J11*(F_MR/12)),0)</f>
        <v>0</v>
      </c>
      <c r="X11" s="1" t="n">
        <f aca="false">IF(K11&gt;0.5,MIN(F_MortPayM,K11+K11*(F_MR/12)),0)</f>
        <v>0</v>
      </c>
      <c r="Y11" s="1" t="n">
        <f aca="false">IF(L11&gt;0.5,MIN(F_MortPayM,L11+L11*(F_MR/12)),0)</f>
        <v>0</v>
      </c>
      <c r="Z11" s="1" t="n">
        <f aca="false">IF(M11&gt;0.5,MIN(F_MortPayM,M11+M11*(F_MR/12)),0)</f>
        <v>0</v>
      </c>
      <c r="AA11" s="1" t="n">
        <f aca="false">IF(N11&gt;0.5,MIN(F_MortPayM,N11+N11*(F_MR/12)),0)</f>
        <v>0</v>
      </c>
      <c r="AB11" s="1" t="n">
        <f aca="false">MAX(0,O11)</f>
        <v>0</v>
      </c>
      <c r="AC11" s="1" t="n">
        <f aca="false">SUM(P11:AA11)</f>
        <v>0</v>
      </c>
      <c r="AD11" s="1" t="n">
        <f aca="false">'Plan cashflow'!L11</f>
        <v>0</v>
      </c>
      <c r="AE11" s="1" t="n">
        <f aca="false">IF(AD11&gt;0.5,AD11+AD11*(D_iC)-MIN(F_CardPayM,AD11+AD11*(D_iC)),AD11)</f>
        <v>0</v>
      </c>
      <c r="AF11" s="1" t="n">
        <f aca="false">IF(AE11&gt;0.5,AE11+AE11*(D_iC)-MIN(F_CardPayM,AE11+AE11*(D_iC)),AE11)</f>
        <v>0</v>
      </c>
      <c r="AG11" s="1" t="n">
        <f aca="false">IF(AF11&gt;0.5,AF11+AF11*(D_iC)-MIN(F_CardPayM,AF11+AF11*(D_iC)),AF11)</f>
        <v>0</v>
      </c>
      <c r="AH11" s="1" t="n">
        <f aca="false">IF(AG11&gt;0.5,AG11+AG11*(D_iC)-MIN(F_CardPayM,AG11+AG11*(D_iC)),AG11)</f>
        <v>0</v>
      </c>
      <c r="AI11" s="1" t="n">
        <f aca="false">IF(AH11&gt;0.5,AH11+AH11*(D_iC)-MIN(F_CardPayM,AH11+AH11*(D_iC)),AH11)</f>
        <v>0</v>
      </c>
      <c r="AJ11" s="1" t="n">
        <f aca="false">IF(AI11&gt;0.5,AI11+AI11*(D_iC)-MIN(F_CardPayM,AI11+AI11*(D_iC)),AI11)</f>
        <v>0</v>
      </c>
      <c r="AK11" s="1" t="n">
        <f aca="false">IF(AJ11&gt;0.5,AJ11+AJ11*(D_iC)-MIN(F_CardPayM,AJ11+AJ11*(D_iC)),AJ11)</f>
        <v>0</v>
      </c>
      <c r="AL11" s="1" t="n">
        <f aca="false">IF(AK11&gt;0.5,AK11+AK11*(D_iC)-MIN(F_CardPayM,AK11+AK11*(D_iC)),AK11)</f>
        <v>0</v>
      </c>
      <c r="AM11" s="1" t="n">
        <f aca="false">IF(AL11&gt;0.5,AL11+AL11*(D_iC)-MIN(F_CardPayM,AL11+AL11*(D_iC)),AL11)</f>
        <v>0</v>
      </c>
      <c r="AN11" s="1" t="n">
        <f aca="false">IF(AM11&gt;0.5,AM11+AM11*(D_iC)-MIN(F_CardPayM,AM11+AM11*(D_iC)),AM11)</f>
        <v>0</v>
      </c>
      <c r="AO11" s="1" t="n">
        <f aca="false">IF(AN11&gt;0.5,AN11+AN11*(D_iC)-MIN(F_CardPayM,AN11+AN11*(D_iC)),AN11)</f>
        <v>0</v>
      </c>
      <c r="AP11" s="1" t="n">
        <f aca="false">IF(AO11&gt;0.5,AO11+AO11*(D_iC)-MIN(F_CardPayM,AO11+AO11*(D_iC)),AO11)</f>
        <v>0</v>
      </c>
      <c r="AQ11" s="1" t="n">
        <f aca="false">IF(AD11&gt;0.5,MIN(F_CardPayM,AD11+AD11*(D_iC)),0)</f>
        <v>0</v>
      </c>
      <c r="AR11" s="1" t="n">
        <f aca="false">IF(AE11&gt;0.5,MIN(F_CardPayM,AE11+AE11*(D_iC)),0)</f>
        <v>0</v>
      </c>
      <c r="AS11" s="1" t="n">
        <f aca="false">IF(AF11&gt;0.5,MIN(F_CardPayM,AF11+AF11*(D_iC)),0)</f>
        <v>0</v>
      </c>
      <c r="AT11" s="1" t="n">
        <f aca="false">IF(AG11&gt;0.5,MIN(F_CardPayM,AG11+AG11*(D_iC)),0)</f>
        <v>0</v>
      </c>
      <c r="AU11" s="1" t="n">
        <f aca="false">IF(AH11&gt;0.5,MIN(F_CardPayM,AH11+AH11*(D_iC)),0)</f>
        <v>0</v>
      </c>
      <c r="AV11" s="1" t="n">
        <f aca="false">IF(AI11&gt;0.5,MIN(F_CardPayM,AI11+AI11*(D_iC)),0)</f>
        <v>0</v>
      </c>
      <c r="AW11" s="1" t="n">
        <f aca="false">IF(AJ11&gt;0.5,MIN(F_CardPayM,AJ11+AJ11*(D_iC)),0)</f>
        <v>0</v>
      </c>
      <c r="AX11" s="1" t="n">
        <f aca="false">IF(AK11&gt;0.5,MIN(F_CardPayM,AK11+AK11*(D_iC)),0)</f>
        <v>0</v>
      </c>
      <c r="AY11" s="1" t="n">
        <f aca="false">IF(AL11&gt;0.5,MIN(F_CardPayM,AL11+AL11*(D_iC)),0)</f>
        <v>0</v>
      </c>
      <c r="AZ11" s="1" t="n">
        <f aca="false">IF(AM11&gt;0.5,MIN(F_CardPayM,AM11+AM11*(D_iC)),0)</f>
        <v>0</v>
      </c>
      <c r="BA11" s="1" t="n">
        <f aca="false">IF(AN11&gt;0.5,MIN(F_CardPayM,AN11+AN11*(D_iC)),0)</f>
        <v>0</v>
      </c>
      <c r="BB11" s="1" t="n">
        <f aca="false">IF(AO11&gt;0.5,MIN(F_CardPayM,AO11+AO11*(D_iC)),0)</f>
        <v>0</v>
      </c>
      <c r="BC11" s="1" t="n">
        <f aca="false">MAX(0,AP11)</f>
        <v>0</v>
      </c>
      <c r="BD11" s="1" t="n">
        <f aca="false">SUM(AQ11:BB11)</f>
        <v>0</v>
      </c>
      <c r="BE11" s="1" t="n">
        <f aca="false">'Plan cashflow'!O11</f>
        <v>0</v>
      </c>
      <c r="BF11" s="1" t="n">
        <f aca="false">IF(BE11&gt;0.5,BE11+BE11*(D_iL)-MIN(F_LoanPayM,BE11+BE11*(D_iL)),BE11)</f>
        <v>0</v>
      </c>
      <c r="BG11" s="1" t="n">
        <f aca="false">IF(BF11&gt;0.5,BF11+BF11*(D_iL)-MIN(F_LoanPayM,BF11+BF11*(D_iL)),BF11)</f>
        <v>0</v>
      </c>
      <c r="BH11" s="1" t="n">
        <f aca="false">IF(BG11&gt;0.5,BG11+BG11*(D_iL)-MIN(F_LoanPayM,BG11+BG11*(D_iL)),BG11)</f>
        <v>0</v>
      </c>
      <c r="BI11" s="1" t="n">
        <f aca="false">IF(BH11&gt;0.5,BH11+BH11*(D_iL)-MIN(F_LoanPayM,BH11+BH11*(D_iL)),BH11)</f>
        <v>0</v>
      </c>
      <c r="BJ11" s="1" t="n">
        <f aca="false">IF(BI11&gt;0.5,BI11+BI11*(D_iL)-MIN(F_LoanPayM,BI11+BI11*(D_iL)),BI11)</f>
        <v>0</v>
      </c>
      <c r="BK11" s="1" t="n">
        <f aca="false">IF(BJ11&gt;0.5,BJ11+BJ11*(D_iL)-MIN(F_LoanPayM,BJ11+BJ11*(D_iL)),BJ11)</f>
        <v>0</v>
      </c>
      <c r="BL11" s="1" t="n">
        <f aca="false">IF(BK11&gt;0.5,BK11+BK11*(D_iL)-MIN(F_LoanPayM,BK11+BK11*(D_iL)),BK11)</f>
        <v>0</v>
      </c>
      <c r="BM11" s="1" t="n">
        <f aca="false">IF(BL11&gt;0.5,BL11+BL11*(D_iL)-MIN(F_LoanPayM,BL11+BL11*(D_iL)),BL11)</f>
        <v>0</v>
      </c>
      <c r="BN11" s="1" t="n">
        <f aca="false">IF(BM11&gt;0.5,BM11+BM11*(D_iL)-MIN(F_LoanPayM,BM11+BM11*(D_iL)),BM11)</f>
        <v>0</v>
      </c>
      <c r="BO11" s="1" t="n">
        <f aca="false">IF(BN11&gt;0.5,BN11+BN11*(D_iL)-MIN(F_LoanPayM,BN11+BN11*(D_iL)),BN11)</f>
        <v>0</v>
      </c>
      <c r="BP11" s="1" t="n">
        <f aca="false">IF(BO11&gt;0.5,BO11+BO11*(D_iL)-MIN(F_LoanPayM,BO11+BO11*(D_iL)),BO11)</f>
        <v>0</v>
      </c>
      <c r="BQ11" s="1" t="n">
        <f aca="false">IF(BP11&gt;0.5,BP11+BP11*(D_iL)-MIN(F_LoanPayM,BP11+BP11*(D_iL)),BP11)</f>
        <v>0</v>
      </c>
      <c r="BR11" s="1" t="n">
        <f aca="false">IF(BE11&gt;0.5,MIN(F_LoanPayM,BE11+BE11*(D_iL)),0)</f>
        <v>0</v>
      </c>
      <c r="BS11" s="1" t="n">
        <f aca="false">IF(BF11&gt;0.5,MIN(F_LoanPayM,BF11+BF11*(D_iL)),0)</f>
        <v>0</v>
      </c>
      <c r="BT11" s="1" t="n">
        <f aca="false">IF(BG11&gt;0.5,MIN(F_LoanPayM,BG11+BG11*(D_iL)),0)</f>
        <v>0</v>
      </c>
      <c r="BU11" s="1" t="n">
        <f aca="false">IF(BH11&gt;0.5,MIN(F_LoanPayM,BH11+BH11*(D_iL)),0)</f>
        <v>0</v>
      </c>
      <c r="BV11" s="1" t="n">
        <f aca="false">IF(BI11&gt;0.5,MIN(F_LoanPayM,BI11+BI11*(D_iL)),0)</f>
        <v>0</v>
      </c>
      <c r="BW11" s="1" t="n">
        <f aca="false">IF(BJ11&gt;0.5,MIN(F_LoanPayM,BJ11+BJ11*(D_iL)),0)</f>
        <v>0</v>
      </c>
      <c r="BX11" s="1" t="n">
        <f aca="false">IF(BK11&gt;0.5,MIN(F_LoanPayM,BK11+BK11*(D_iL)),0)</f>
        <v>0</v>
      </c>
      <c r="BY11" s="1" t="n">
        <f aca="false">IF(BL11&gt;0.5,MIN(F_LoanPayM,BL11+BL11*(D_iL)),0)</f>
        <v>0</v>
      </c>
      <c r="BZ11" s="1" t="n">
        <f aca="false">IF(BM11&gt;0.5,MIN(F_LoanPayM,BM11+BM11*(D_iL)),0)</f>
        <v>0</v>
      </c>
      <c r="CA11" s="1" t="n">
        <f aca="false">IF(BN11&gt;0.5,MIN(F_LoanPayM,BN11+BN11*(D_iL)),0)</f>
        <v>0</v>
      </c>
      <c r="CB11" s="1" t="n">
        <f aca="false">IF(BO11&gt;0.5,MIN(F_LoanPayM,BO11+BO11*(D_iL)),0)</f>
        <v>0</v>
      </c>
      <c r="CC11" s="1" t="n">
        <f aca="false">IF(BP11&gt;0.5,MIN(F_LoanPayM,BP11+BP11*(D_iL)),0)</f>
        <v>0</v>
      </c>
      <c r="CD11" s="1" t="n">
        <f aca="false">MAX(0,BQ11)</f>
        <v>0</v>
      </c>
      <c r="CE11" s="1" t="n">
        <f aca="false">SUM(BR11:CC11)</f>
        <v>0</v>
      </c>
      <c r="CF11" s="1" t="n">
        <f aca="false">IF(CF10&gt;1,DE10,CF10)</f>
        <v>0</v>
      </c>
      <c r="CG11" s="1" t="n">
        <f aca="false">IF(CF11&gt;0.5,CF11+CF11*(F_MR/12)-MIN(F_MortPayM,CF11+CF11*(F_MR/12)),CF11)</f>
        <v>0</v>
      </c>
      <c r="CH11" s="1" t="n">
        <f aca="false">IF(CG11&gt;0.5,CG11+CG11*(F_MR/12)-MIN(F_MortPayM,CG11+CG11*(F_MR/12)),CG11)</f>
        <v>0</v>
      </c>
      <c r="CI11" s="1" t="n">
        <f aca="false">IF(CH11&gt;0.5,CH11+CH11*(F_MR/12)-MIN(F_MortPayM,CH11+CH11*(F_MR/12)),CH11)</f>
        <v>0</v>
      </c>
      <c r="CJ11" s="1" t="n">
        <f aca="false">IF(CI11&gt;0.5,CI11+CI11*(F_MR/12)-MIN(F_MortPayM,CI11+CI11*(F_MR/12)),CI11)</f>
        <v>0</v>
      </c>
      <c r="CK11" s="1" t="n">
        <f aca="false">IF(CJ11&gt;0.5,CJ11+CJ11*(F_MR/12)-MIN(F_MortPayM,CJ11+CJ11*(F_MR/12)),CJ11)</f>
        <v>0</v>
      </c>
      <c r="CL11" s="1" t="n">
        <f aca="false">IF(CK11&gt;0.5,CK11+CK11*(F_MR/12)-MIN(F_MortPayM,CK11+CK11*(F_MR/12)),CK11)</f>
        <v>0</v>
      </c>
      <c r="CM11" s="1" t="n">
        <f aca="false">IF(CL11&gt;0.5,CL11+CL11*(F_MR/12)-MIN(F_MortPayM,CL11+CL11*(F_MR/12)),CL11)</f>
        <v>0</v>
      </c>
      <c r="CN11" s="1" t="n">
        <f aca="false">IF(CM11&gt;0.5,CM11+CM11*(F_MR/12)-MIN(F_MortPayM,CM11+CM11*(F_MR/12)),CM11)</f>
        <v>0</v>
      </c>
      <c r="CO11" s="1" t="n">
        <f aca="false">IF(CN11&gt;0.5,CN11+CN11*(F_MR/12)-MIN(F_MortPayM,CN11+CN11*(F_MR/12)),CN11)</f>
        <v>0</v>
      </c>
      <c r="CP11" s="1" t="n">
        <f aca="false">IF(CO11&gt;0.5,CO11+CO11*(F_MR/12)-MIN(F_MortPayM,CO11+CO11*(F_MR/12)),CO11)</f>
        <v>0</v>
      </c>
      <c r="CQ11" s="1" t="n">
        <f aca="false">IF(CP11&gt;0.5,CP11+CP11*(F_MR/12)-MIN(F_MortPayM,CP11+CP11*(F_MR/12)),CP11)</f>
        <v>0</v>
      </c>
      <c r="CR11" s="1" t="n">
        <f aca="false">IF(CQ11&gt;0.5,CQ11+CQ11*(F_MR/12)-MIN(F_MortPayM,CQ11+CQ11*(F_MR/12)),CQ11)</f>
        <v>0</v>
      </c>
      <c r="CS11" s="1" t="n">
        <f aca="false">IF(CF11&gt;0.5,MIN(F_MortPayM,CF11+CF11*(F_MR/12)),0)</f>
        <v>0</v>
      </c>
      <c r="CT11" s="1" t="n">
        <f aca="false">IF(CG11&gt;0.5,MIN(F_MortPayM,CG11+CG11*(F_MR/12)),0)</f>
        <v>0</v>
      </c>
      <c r="CU11" s="1" t="n">
        <f aca="false">IF(CH11&gt;0.5,MIN(F_MortPayM,CH11+CH11*(F_MR/12)),0)</f>
        <v>0</v>
      </c>
      <c r="CV11" s="1" t="n">
        <f aca="false">IF(CI11&gt;0.5,MIN(F_MortPayM,CI11+CI11*(F_MR/12)),0)</f>
        <v>0</v>
      </c>
      <c r="CW11" s="1" t="n">
        <f aca="false">IF(CJ11&gt;0.5,MIN(F_MortPayM,CJ11+CJ11*(F_MR/12)),0)</f>
        <v>0</v>
      </c>
      <c r="CX11" s="1" t="n">
        <f aca="false">IF(CK11&gt;0.5,MIN(F_MortPayM,CK11+CK11*(F_MR/12)),0)</f>
        <v>0</v>
      </c>
      <c r="CY11" s="1" t="n">
        <f aca="false">IF(CL11&gt;0.5,MIN(F_MortPayM,CL11+CL11*(F_MR/12)),0)</f>
        <v>0</v>
      </c>
      <c r="CZ11" s="1" t="n">
        <f aca="false">IF(CM11&gt;0.5,MIN(F_MortPayM,CM11+CM11*(F_MR/12)),0)</f>
        <v>0</v>
      </c>
      <c r="DA11" s="1" t="n">
        <f aca="false">IF(CN11&gt;0.5,MIN(F_MortPayM,CN11+CN11*(F_MR/12)),0)</f>
        <v>0</v>
      </c>
      <c r="DB11" s="1" t="n">
        <f aca="false">IF(CO11&gt;0.5,MIN(F_MortPayM,CO11+CO11*(F_MR/12)),0)</f>
        <v>0</v>
      </c>
      <c r="DC11" s="1" t="n">
        <f aca="false">IF(CP11&gt;0.5,MIN(F_MortPayM,CP11+CP11*(F_MR/12)),0)</f>
        <v>0</v>
      </c>
      <c r="DD11" s="1" t="n">
        <f aca="false">IF(CQ11&gt;0.5,MIN(F_MortPayM,CQ11+CQ11*(F_MR/12)),0)</f>
        <v>0</v>
      </c>
      <c r="DE11" s="1" t="n">
        <f aca="false">MAX(0,CR11)</f>
        <v>0</v>
      </c>
      <c r="DF11" s="1" t="n">
        <f aca="false">SUM(CS11:DD11)</f>
        <v>0</v>
      </c>
      <c r="DG11" s="1" t="n">
        <f aca="false">MAX(0,CF11)</f>
        <v>0</v>
      </c>
    </row>
    <row r="12" customFormat="false" ht="15" hidden="false" customHeight="false" outlineLevel="0" collapsed="false">
      <c r="B12" s="1" t="n">
        <v>4</v>
      </c>
      <c r="C12" s="1" t="n">
        <f aca="false">'Plan cashflow'!I12</f>
        <v>0</v>
      </c>
      <c r="D12" s="1" t="n">
        <f aca="false">IF(C12&gt;0.5,C12+C12*(F_MR/12)-MIN(F_MortPayM,C12+C12*(F_MR/12)),C12)</f>
        <v>0</v>
      </c>
      <c r="E12" s="1" t="n">
        <f aca="false">IF(D12&gt;0.5,D12+D12*(F_MR/12)-MIN(F_MortPayM,D12+D12*(F_MR/12)),D12)</f>
        <v>0</v>
      </c>
      <c r="F12" s="1" t="n">
        <f aca="false">IF(E12&gt;0.5,E12+E12*(F_MR/12)-MIN(F_MortPayM,E12+E12*(F_MR/12)),E12)</f>
        <v>0</v>
      </c>
      <c r="G12" s="1" t="n">
        <f aca="false">IF(F12&gt;0.5,F12+F12*(F_MR/12)-MIN(F_MortPayM,F12+F12*(F_MR/12)),F12)</f>
        <v>0</v>
      </c>
      <c r="H12" s="1" t="n">
        <f aca="false">IF(G12&gt;0.5,G12+G12*(F_MR/12)-MIN(F_MortPayM,G12+G12*(F_MR/12)),G12)</f>
        <v>0</v>
      </c>
      <c r="I12" s="1" t="n">
        <f aca="false">IF(H12&gt;0.5,H12+H12*(F_MR/12)-MIN(F_MortPayM,H12+H12*(F_MR/12)),H12)</f>
        <v>0</v>
      </c>
      <c r="J12" s="1" t="n">
        <f aca="false">IF(I12&gt;0.5,I12+I12*(F_MR/12)-MIN(F_MortPayM,I12+I12*(F_MR/12)),I12)</f>
        <v>0</v>
      </c>
      <c r="K12" s="1" t="n">
        <f aca="false">IF(J12&gt;0.5,J12+J12*(F_MR/12)-MIN(F_MortPayM,J12+J12*(F_MR/12)),J12)</f>
        <v>0</v>
      </c>
      <c r="L12" s="1" t="n">
        <f aca="false">IF(K12&gt;0.5,K12+K12*(F_MR/12)-MIN(F_MortPayM,K12+K12*(F_MR/12)),K12)</f>
        <v>0</v>
      </c>
      <c r="M12" s="1" t="n">
        <f aca="false">IF(L12&gt;0.5,L12+L12*(F_MR/12)-MIN(F_MortPayM,L12+L12*(F_MR/12)),L12)</f>
        <v>0</v>
      </c>
      <c r="N12" s="1" t="n">
        <f aca="false">IF(M12&gt;0.5,M12+M12*(F_MR/12)-MIN(F_MortPayM,M12+M12*(F_MR/12)),M12)</f>
        <v>0</v>
      </c>
      <c r="O12" s="1" t="n">
        <f aca="false">IF(N12&gt;0.5,N12+N12*(F_MR/12)-MIN(F_MortPayM,N12+N12*(F_MR/12)),N12)</f>
        <v>0</v>
      </c>
      <c r="P12" s="1" t="n">
        <f aca="false">IF(C12&gt;0.5,MIN(F_MortPayM,C12+C12*(F_MR/12)),0)</f>
        <v>0</v>
      </c>
      <c r="Q12" s="1" t="n">
        <f aca="false">IF(D12&gt;0.5,MIN(F_MortPayM,D12+D12*(F_MR/12)),0)</f>
        <v>0</v>
      </c>
      <c r="R12" s="1" t="n">
        <f aca="false">IF(E12&gt;0.5,MIN(F_MortPayM,E12+E12*(F_MR/12)),0)</f>
        <v>0</v>
      </c>
      <c r="S12" s="1" t="n">
        <f aca="false">IF(F12&gt;0.5,MIN(F_MortPayM,F12+F12*(F_MR/12)),0)</f>
        <v>0</v>
      </c>
      <c r="T12" s="1" t="n">
        <f aca="false">IF(G12&gt;0.5,MIN(F_MortPayM,G12+G12*(F_MR/12)),0)</f>
        <v>0</v>
      </c>
      <c r="U12" s="1" t="n">
        <f aca="false">IF(H12&gt;0.5,MIN(F_MortPayM,H12+H12*(F_MR/12)),0)</f>
        <v>0</v>
      </c>
      <c r="V12" s="1" t="n">
        <f aca="false">IF(I12&gt;0.5,MIN(F_MortPayM,I12+I12*(F_MR/12)),0)</f>
        <v>0</v>
      </c>
      <c r="W12" s="1" t="n">
        <f aca="false">IF(J12&gt;0.5,MIN(F_MortPayM,J12+J12*(F_MR/12)),0)</f>
        <v>0</v>
      </c>
      <c r="X12" s="1" t="n">
        <f aca="false">IF(K12&gt;0.5,MIN(F_MortPayM,K12+K12*(F_MR/12)),0)</f>
        <v>0</v>
      </c>
      <c r="Y12" s="1" t="n">
        <f aca="false">IF(L12&gt;0.5,MIN(F_MortPayM,L12+L12*(F_MR/12)),0)</f>
        <v>0</v>
      </c>
      <c r="Z12" s="1" t="n">
        <f aca="false">IF(M12&gt;0.5,MIN(F_MortPayM,M12+M12*(F_MR/12)),0)</f>
        <v>0</v>
      </c>
      <c r="AA12" s="1" t="n">
        <f aca="false">IF(N12&gt;0.5,MIN(F_MortPayM,N12+N12*(F_MR/12)),0)</f>
        <v>0</v>
      </c>
      <c r="AB12" s="1" t="n">
        <f aca="false">MAX(0,O12)</f>
        <v>0</v>
      </c>
      <c r="AC12" s="1" t="n">
        <f aca="false">SUM(P12:AA12)</f>
        <v>0</v>
      </c>
      <c r="AD12" s="1" t="n">
        <f aca="false">'Plan cashflow'!L12</f>
        <v>0</v>
      </c>
      <c r="AE12" s="1" t="n">
        <f aca="false">IF(AD12&gt;0.5,AD12+AD12*(D_iC)-MIN(F_CardPayM,AD12+AD12*(D_iC)),AD12)</f>
        <v>0</v>
      </c>
      <c r="AF12" s="1" t="n">
        <f aca="false">IF(AE12&gt;0.5,AE12+AE12*(D_iC)-MIN(F_CardPayM,AE12+AE12*(D_iC)),AE12)</f>
        <v>0</v>
      </c>
      <c r="AG12" s="1" t="n">
        <f aca="false">IF(AF12&gt;0.5,AF12+AF12*(D_iC)-MIN(F_CardPayM,AF12+AF12*(D_iC)),AF12)</f>
        <v>0</v>
      </c>
      <c r="AH12" s="1" t="n">
        <f aca="false">IF(AG12&gt;0.5,AG12+AG12*(D_iC)-MIN(F_CardPayM,AG12+AG12*(D_iC)),AG12)</f>
        <v>0</v>
      </c>
      <c r="AI12" s="1" t="n">
        <f aca="false">IF(AH12&gt;0.5,AH12+AH12*(D_iC)-MIN(F_CardPayM,AH12+AH12*(D_iC)),AH12)</f>
        <v>0</v>
      </c>
      <c r="AJ12" s="1" t="n">
        <f aca="false">IF(AI12&gt;0.5,AI12+AI12*(D_iC)-MIN(F_CardPayM,AI12+AI12*(D_iC)),AI12)</f>
        <v>0</v>
      </c>
      <c r="AK12" s="1" t="n">
        <f aca="false">IF(AJ12&gt;0.5,AJ12+AJ12*(D_iC)-MIN(F_CardPayM,AJ12+AJ12*(D_iC)),AJ12)</f>
        <v>0</v>
      </c>
      <c r="AL12" s="1" t="n">
        <f aca="false">IF(AK12&gt;0.5,AK12+AK12*(D_iC)-MIN(F_CardPayM,AK12+AK12*(D_iC)),AK12)</f>
        <v>0</v>
      </c>
      <c r="AM12" s="1" t="n">
        <f aca="false">IF(AL12&gt;0.5,AL12+AL12*(D_iC)-MIN(F_CardPayM,AL12+AL12*(D_iC)),AL12)</f>
        <v>0</v>
      </c>
      <c r="AN12" s="1" t="n">
        <f aca="false">IF(AM12&gt;0.5,AM12+AM12*(D_iC)-MIN(F_CardPayM,AM12+AM12*(D_iC)),AM12)</f>
        <v>0</v>
      </c>
      <c r="AO12" s="1" t="n">
        <f aca="false">IF(AN12&gt;0.5,AN12+AN12*(D_iC)-MIN(F_CardPayM,AN12+AN12*(D_iC)),AN12)</f>
        <v>0</v>
      </c>
      <c r="AP12" s="1" t="n">
        <f aca="false">IF(AO12&gt;0.5,AO12+AO12*(D_iC)-MIN(F_CardPayM,AO12+AO12*(D_iC)),AO12)</f>
        <v>0</v>
      </c>
      <c r="AQ12" s="1" t="n">
        <f aca="false">IF(AD12&gt;0.5,MIN(F_CardPayM,AD12+AD12*(D_iC)),0)</f>
        <v>0</v>
      </c>
      <c r="AR12" s="1" t="n">
        <f aca="false">IF(AE12&gt;0.5,MIN(F_CardPayM,AE12+AE12*(D_iC)),0)</f>
        <v>0</v>
      </c>
      <c r="AS12" s="1" t="n">
        <f aca="false">IF(AF12&gt;0.5,MIN(F_CardPayM,AF12+AF12*(D_iC)),0)</f>
        <v>0</v>
      </c>
      <c r="AT12" s="1" t="n">
        <f aca="false">IF(AG12&gt;0.5,MIN(F_CardPayM,AG12+AG12*(D_iC)),0)</f>
        <v>0</v>
      </c>
      <c r="AU12" s="1" t="n">
        <f aca="false">IF(AH12&gt;0.5,MIN(F_CardPayM,AH12+AH12*(D_iC)),0)</f>
        <v>0</v>
      </c>
      <c r="AV12" s="1" t="n">
        <f aca="false">IF(AI12&gt;0.5,MIN(F_CardPayM,AI12+AI12*(D_iC)),0)</f>
        <v>0</v>
      </c>
      <c r="AW12" s="1" t="n">
        <f aca="false">IF(AJ12&gt;0.5,MIN(F_CardPayM,AJ12+AJ12*(D_iC)),0)</f>
        <v>0</v>
      </c>
      <c r="AX12" s="1" t="n">
        <f aca="false">IF(AK12&gt;0.5,MIN(F_CardPayM,AK12+AK12*(D_iC)),0)</f>
        <v>0</v>
      </c>
      <c r="AY12" s="1" t="n">
        <f aca="false">IF(AL12&gt;0.5,MIN(F_CardPayM,AL12+AL12*(D_iC)),0)</f>
        <v>0</v>
      </c>
      <c r="AZ12" s="1" t="n">
        <f aca="false">IF(AM12&gt;0.5,MIN(F_CardPayM,AM12+AM12*(D_iC)),0)</f>
        <v>0</v>
      </c>
      <c r="BA12" s="1" t="n">
        <f aca="false">IF(AN12&gt;0.5,MIN(F_CardPayM,AN12+AN12*(D_iC)),0)</f>
        <v>0</v>
      </c>
      <c r="BB12" s="1" t="n">
        <f aca="false">IF(AO12&gt;0.5,MIN(F_CardPayM,AO12+AO12*(D_iC)),0)</f>
        <v>0</v>
      </c>
      <c r="BC12" s="1" t="n">
        <f aca="false">MAX(0,AP12)</f>
        <v>0</v>
      </c>
      <c r="BD12" s="1" t="n">
        <f aca="false">SUM(AQ12:BB12)</f>
        <v>0</v>
      </c>
      <c r="BE12" s="1" t="n">
        <f aca="false">'Plan cashflow'!O12</f>
        <v>0</v>
      </c>
      <c r="BF12" s="1" t="n">
        <f aca="false">IF(BE12&gt;0.5,BE12+BE12*(D_iL)-MIN(F_LoanPayM,BE12+BE12*(D_iL)),BE12)</f>
        <v>0</v>
      </c>
      <c r="BG12" s="1" t="n">
        <f aca="false">IF(BF12&gt;0.5,BF12+BF12*(D_iL)-MIN(F_LoanPayM,BF12+BF12*(D_iL)),BF12)</f>
        <v>0</v>
      </c>
      <c r="BH12" s="1" t="n">
        <f aca="false">IF(BG12&gt;0.5,BG12+BG12*(D_iL)-MIN(F_LoanPayM,BG12+BG12*(D_iL)),BG12)</f>
        <v>0</v>
      </c>
      <c r="BI12" s="1" t="n">
        <f aca="false">IF(BH12&gt;0.5,BH12+BH12*(D_iL)-MIN(F_LoanPayM,BH12+BH12*(D_iL)),BH12)</f>
        <v>0</v>
      </c>
      <c r="BJ12" s="1" t="n">
        <f aca="false">IF(BI12&gt;0.5,BI12+BI12*(D_iL)-MIN(F_LoanPayM,BI12+BI12*(D_iL)),BI12)</f>
        <v>0</v>
      </c>
      <c r="BK12" s="1" t="n">
        <f aca="false">IF(BJ12&gt;0.5,BJ12+BJ12*(D_iL)-MIN(F_LoanPayM,BJ12+BJ12*(D_iL)),BJ12)</f>
        <v>0</v>
      </c>
      <c r="BL12" s="1" t="n">
        <f aca="false">IF(BK12&gt;0.5,BK12+BK12*(D_iL)-MIN(F_LoanPayM,BK12+BK12*(D_iL)),BK12)</f>
        <v>0</v>
      </c>
      <c r="BM12" s="1" t="n">
        <f aca="false">IF(BL12&gt;0.5,BL12+BL12*(D_iL)-MIN(F_LoanPayM,BL12+BL12*(D_iL)),BL12)</f>
        <v>0</v>
      </c>
      <c r="BN12" s="1" t="n">
        <f aca="false">IF(BM12&gt;0.5,BM12+BM12*(D_iL)-MIN(F_LoanPayM,BM12+BM12*(D_iL)),BM12)</f>
        <v>0</v>
      </c>
      <c r="BO12" s="1" t="n">
        <f aca="false">IF(BN12&gt;0.5,BN12+BN12*(D_iL)-MIN(F_LoanPayM,BN12+BN12*(D_iL)),BN12)</f>
        <v>0</v>
      </c>
      <c r="BP12" s="1" t="n">
        <f aca="false">IF(BO12&gt;0.5,BO12+BO12*(D_iL)-MIN(F_LoanPayM,BO12+BO12*(D_iL)),BO12)</f>
        <v>0</v>
      </c>
      <c r="BQ12" s="1" t="n">
        <f aca="false">IF(BP12&gt;0.5,BP12+BP12*(D_iL)-MIN(F_LoanPayM,BP12+BP12*(D_iL)),BP12)</f>
        <v>0</v>
      </c>
      <c r="BR12" s="1" t="n">
        <f aca="false">IF(BE12&gt;0.5,MIN(F_LoanPayM,BE12+BE12*(D_iL)),0)</f>
        <v>0</v>
      </c>
      <c r="BS12" s="1" t="n">
        <f aca="false">IF(BF12&gt;0.5,MIN(F_LoanPayM,BF12+BF12*(D_iL)),0)</f>
        <v>0</v>
      </c>
      <c r="BT12" s="1" t="n">
        <f aca="false">IF(BG12&gt;0.5,MIN(F_LoanPayM,BG12+BG12*(D_iL)),0)</f>
        <v>0</v>
      </c>
      <c r="BU12" s="1" t="n">
        <f aca="false">IF(BH12&gt;0.5,MIN(F_LoanPayM,BH12+BH12*(D_iL)),0)</f>
        <v>0</v>
      </c>
      <c r="BV12" s="1" t="n">
        <f aca="false">IF(BI12&gt;0.5,MIN(F_LoanPayM,BI12+BI12*(D_iL)),0)</f>
        <v>0</v>
      </c>
      <c r="BW12" s="1" t="n">
        <f aca="false">IF(BJ12&gt;0.5,MIN(F_LoanPayM,BJ12+BJ12*(D_iL)),0)</f>
        <v>0</v>
      </c>
      <c r="BX12" s="1" t="n">
        <f aca="false">IF(BK12&gt;0.5,MIN(F_LoanPayM,BK12+BK12*(D_iL)),0)</f>
        <v>0</v>
      </c>
      <c r="BY12" s="1" t="n">
        <f aca="false">IF(BL12&gt;0.5,MIN(F_LoanPayM,BL12+BL12*(D_iL)),0)</f>
        <v>0</v>
      </c>
      <c r="BZ12" s="1" t="n">
        <f aca="false">IF(BM12&gt;0.5,MIN(F_LoanPayM,BM12+BM12*(D_iL)),0)</f>
        <v>0</v>
      </c>
      <c r="CA12" s="1" t="n">
        <f aca="false">IF(BN12&gt;0.5,MIN(F_LoanPayM,BN12+BN12*(D_iL)),0)</f>
        <v>0</v>
      </c>
      <c r="CB12" s="1" t="n">
        <f aca="false">IF(BO12&gt;0.5,MIN(F_LoanPayM,BO12+BO12*(D_iL)),0)</f>
        <v>0</v>
      </c>
      <c r="CC12" s="1" t="n">
        <f aca="false">IF(BP12&gt;0.5,MIN(F_LoanPayM,BP12+BP12*(D_iL)),0)</f>
        <v>0</v>
      </c>
      <c r="CD12" s="1" t="n">
        <f aca="false">MAX(0,BQ12)</f>
        <v>0</v>
      </c>
      <c r="CE12" s="1" t="n">
        <f aca="false">SUM(BR12:CC12)</f>
        <v>0</v>
      </c>
      <c r="CF12" s="1" t="n">
        <f aca="false">IF(CF11&gt;1,DE11,CF11)</f>
        <v>0</v>
      </c>
      <c r="CG12" s="1" t="n">
        <f aca="false">IF(CF12&gt;0.5,CF12+CF12*(F_MR/12)-MIN(F_MortPayM,CF12+CF12*(F_MR/12)),CF12)</f>
        <v>0</v>
      </c>
      <c r="CH12" s="1" t="n">
        <f aca="false">IF(CG12&gt;0.5,CG12+CG12*(F_MR/12)-MIN(F_MortPayM,CG12+CG12*(F_MR/12)),CG12)</f>
        <v>0</v>
      </c>
      <c r="CI12" s="1" t="n">
        <f aca="false">IF(CH12&gt;0.5,CH12+CH12*(F_MR/12)-MIN(F_MortPayM,CH12+CH12*(F_MR/12)),CH12)</f>
        <v>0</v>
      </c>
      <c r="CJ12" s="1" t="n">
        <f aca="false">IF(CI12&gt;0.5,CI12+CI12*(F_MR/12)-MIN(F_MortPayM,CI12+CI12*(F_MR/12)),CI12)</f>
        <v>0</v>
      </c>
      <c r="CK12" s="1" t="n">
        <f aca="false">IF(CJ12&gt;0.5,CJ12+CJ12*(F_MR/12)-MIN(F_MortPayM,CJ12+CJ12*(F_MR/12)),CJ12)</f>
        <v>0</v>
      </c>
      <c r="CL12" s="1" t="n">
        <f aca="false">IF(CK12&gt;0.5,CK12+CK12*(F_MR/12)-MIN(F_MortPayM,CK12+CK12*(F_MR/12)),CK12)</f>
        <v>0</v>
      </c>
      <c r="CM12" s="1" t="n">
        <f aca="false">IF(CL12&gt;0.5,CL12+CL12*(F_MR/12)-MIN(F_MortPayM,CL12+CL12*(F_MR/12)),CL12)</f>
        <v>0</v>
      </c>
      <c r="CN12" s="1" t="n">
        <f aca="false">IF(CM12&gt;0.5,CM12+CM12*(F_MR/12)-MIN(F_MortPayM,CM12+CM12*(F_MR/12)),CM12)</f>
        <v>0</v>
      </c>
      <c r="CO12" s="1" t="n">
        <f aca="false">IF(CN12&gt;0.5,CN12+CN12*(F_MR/12)-MIN(F_MortPayM,CN12+CN12*(F_MR/12)),CN12)</f>
        <v>0</v>
      </c>
      <c r="CP12" s="1" t="n">
        <f aca="false">IF(CO12&gt;0.5,CO12+CO12*(F_MR/12)-MIN(F_MortPayM,CO12+CO12*(F_MR/12)),CO12)</f>
        <v>0</v>
      </c>
      <c r="CQ12" s="1" t="n">
        <f aca="false">IF(CP12&gt;0.5,CP12+CP12*(F_MR/12)-MIN(F_MortPayM,CP12+CP12*(F_MR/12)),CP12)</f>
        <v>0</v>
      </c>
      <c r="CR12" s="1" t="n">
        <f aca="false">IF(CQ12&gt;0.5,CQ12+CQ12*(F_MR/12)-MIN(F_MortPayM,CQ12+CQ12*(F_MR/12)),CQ12)</f>
        <v>0</v>
      </c>
      <c r="CS12" s="1" t="n">
        <f aca="false">IF(CF12&gt;0.5,MIN(F_MortPayM,CF12+CF12*(F_MR/12)),0)</f>
        <v>0</v>
      </c>
      <c r="CT12" s="1" t="n">
        <f aca="false">IF(CG12&gt;0.5,MIN(F_MortPayM,CG12+CG12*(F_MR/12)),0)</f>
        <v>0</v>
      </c>
      <c r="CU12" s="1" t="n">
        <f aca="false">IF(CH12&gt;0.5,MIN(F_MortPayM,CH12+CH12*(F_MR/12)),0)</f>
        <v>0</v>
      </c>
      <c r="CV12" s="1" t="n">
        <f aca="false">IF(CI12&gt;0.5,MIN(F_MortPayM,CI12+CI12*(F_MR/12)),0)</f>
        <v>0</v>
      </c>
      <c r="CW12" s="1" t="n">
        <f aca="false">IF(CJ12&gt;0.5,MIN(F_MortPayM,CJ12+CJ12*(F_MR/12)),0)</f>
        <v>0</v>
      </c>
      <c r="CX12" s="1" t="n">
        <f aca="false">IF(CK12&gt;0.5,MIN(F_MortPayM,CK12+CK12*(F_MR/12)),0)</f>
        <v>0</v>
      </c>
      <c r="CY12" s="1" t="n">
        <f aca="false">IF(CL12&gt;0.5,MIN(F_MortPayM,CL12+CL12*(F_MR/12)),0)</f>
        <v>0</v>
      </c>
      <c r="CZ12" s="1" t="n">
        <f aca="false">IF(CM12&gt;0.5,MIN(F_MortPayM,CM12+CM12*(F_MR/12)),0)</f>
        <v>0</v>
      </c>
      <c r="DA12" s="1" t="n">
        <f aca="false">IF(CN12&gt;0.5,MIN(F_MortPayM,CN12+CN12*(F_MR/12)),0)</f>
        <v>0</v>
      </c>
      <c r="DB12" s="1" t="n">
        <f aca="false">IF(CO12&gt;0.5,MIN(F_MortPayM,CO12+CO12*(F_MR/12)),0)</f>
        <v>0</v>
      </c>
      <c r="DC12" s="1" t="n">
        <f aca="false">IF(CP12&gt;0.5,MIN(F_MortPayM,CP12+CP12*(F_MR/12)),0)</f>
        <v>0</v>
      </c>
      <c r="DD12" s="1" t="n">
        <f aca="false">IF(CQ12&gt;0.5,MIN(F_MortPayM,CQ12+CQ12*(F_MR/12)),0)</f>
        <v>0</v>
      </c>
      <c r="DE12" s="1" t="n">
        <f aca="false">MAX(0,CR12)</f>
        <v>0</v>
      </c>
      <c r="DF12" s="1" t="n">
        <f aca="false">SUM(CS12:DD12)</f>
        <v>0</v>
      </c>
      <c r="DG12" s="1" t="n">
        <f aca="false">MAX(0,CF12)</f>
        <v>0</v>
      </c>
    </row>
    <row r="13" customFormat="false" ht="15" hidden="false" customHeight="false" outlineLevel="0" collapsed="false">
      <c r="B13" s="1" t="n">
        <v>5</v>
      </c>
      <c r="C13" s="1" t="n">
        <f aca="false">'Plan cashflow'!I13</f>
        <v>0</v>
      </c>
      <c r="D13" s="1" t="n">
        <f aca="false">IF(C13&gt;0.5,C13+C13*(F_MR/12)-MIN(F_MortPayM,C13+C13*(F_MR/12)),C13)</f>
        <v>0</v>
      </c>
      <c r="E13" s="1" t="n">
        <f aca="false">IF(D13&gt;0.5,D13+D13*(F_MR/12)-MIN(F_MortPayM,D13+D13*(F_MR/12)),D13)</f>
        <v>0</v>
      </c>
      <c r="F13" s="1" t="n">
        <f aca="false">IF(E13&gt;0.5,E13+E13*(F_MR/12)-MIN(F_MortPayM,E13+E13*(F_MR/12)),E13)</f>
        <v>0</v>
      </c>
      <c r="G13" s="1" t="n">
        <f aca="false">IF(F13&gt;0.5,F13+F13*(F_MR/12)-MIN(F_MortPayM,F13+F13*(F_MR/12)),F13)</f>
        <v>0</v>
      </c>
      <c r="H13" s="1" t="n">
        <f aca="false">IF(G13&gt;0.5,G13+G13*(F_MR/12)-MIN(F_MortPayM,G13+G13*(F_MR/12)),G13)</f>
        <v>0</v>
      </c>
      <c r="I13" s="1" t="n">
        <f aca="false">IF(H13&gt;0.5,H13+H13*(F_MR/12)-MIN(F_MortPayM,H13+H13*(F_MR/12)),H13)</f>
        <v>0</v>
      </c>
      <c r="J13" s="1" t="n">
        <f aca="false">IF(I13&gt;0.5,I13+I13*(F_MR/12)-MIN(F_MortPayM,I13+I13*(F_MR/12)),I13)</f>
        <v>0</v>
      </c>
      <c r="K13" s="1" t="n">
        <f aca="false">IF(J13&gt;0.5,J13+J13*(F_MR/12)-MIN(F_MortPayM,J13+J13*(F_MR/12)),J13)</f>
        <v>0</v>
      </c>
      <c r="L13" s="1" t="n">
        <f aca="false">IF(K13&gt;0.5,K13+K13*(F_MR/12)-MIN(F_MortPayM,K13+K13*(F_MR/12)),K13)</f>
        <v>0</v>
      </c>
      <c r="M13" s="1" t="n">
        <f aca="false">IF(L13&gt;0.5,L13+L13*(F_MR/12)-MIN(F_MortPayM,L13+L13*(F_MR/12)),L13)</f>
        <v>0</v>
      </c>
      <c r="N13" s="1" t="n">
        <f aca="false">IF(M13&gt;0.5,M13+M13*(F_MR/12)-MIN(F_MortPayM,M13+M13*(F_MR/12)),M13)</f>
        <v>0</v>
      </c>
      <c r="O13" s="1" t="n">
        <f aca="false">IF(N13&gt;0.5,N13+N13*(F_MR/12)-MIN(F_MortPayM,N13+N13*(F_MR/12)),N13)</f>
        <v>0</v>
      </c>
      <c r="P13" s="1" t="n">
        <f aca="false">IF(C13&gt;0.5,MIN(F_MortPayM,C13+C13*(F_MR/12)),0)</f>
        <v>0</v>
      </c>
      <c r="Q13" s="1" t="n">
        <f aca="false">IF(D13&gt;0.5,MIN(F_MortPayM,D13+D13*(F_MR/12)),0)</f>
        <v>0</v>
      </c>
      <c r="R13" s="1" t="n">
        <f aca="false">IF(E13&gt;0.5,MIN(F_MortPayM,E13+E13*(F_MR/12)),0)</f>
        <v>0</v>
      </c>
      <c r="S13" s="1" t="n">
        <f aca="false">IF(F13&gt;0.5,MIN(F_MortPayM,F13+F13*(F_MR/12)),0)</f>
        <v>0</v>
      </c>
      <c r="T13" s="1" t="n">
        <f aca="false">IF(G13&gt;0.5,MIN(F_MortPayM,G13+G13*(F_MR/12)),0)</f>
        <v>0</v>
      </c>
      <c r="U13" s="1" t="n">
        <f aca="false">IF(H13&gt;0.5,MIN(F_MortPayM,H13+H13*(F_MR/12)),0)</f>
        <v>0</v>
      </c>
      <c r="V13" s="1" t="n">
        <f aca="false">IF(I13&gt;0.5,MIN(F_MortPayM,I13+I13*(F_MR/12)),0)</f>
        <v>0</v>
      </c>
      <c r="W13" s="1" t="n">
        <f aca="false">IF(J13&gt;0.5,MIN(F_MortPayM,J13+J13*(F_MR/12)),0)</f>
        <v>0</v>
      </c>
      <c r="X13" s="1" t="n">
        <f aca="false">IF(K13&gt;0.5,MIN(F_MortPayM,K13+K13*(F_MR/12)),0)</f>
        <v>0</v>
      </c>
      <c r="Y13" s="1" t="n">
        <f aca="false">IF(L13&gt;0.5,MIN(F_MortPayM,L13+L13*(F_MR/12)),0)</f>
        <v>0</v>
      </c>
      <c r="Z13" s="1" t="n">
        <f aca="false">IF(M13&gt;0.5,MIN(F_MortPayM,M13+M13*(F_MR/12)),0)</f>
        <v>0</v>
      </c>
      <c r="AA13" s="1" t="n">
        <f aca="false">IF(N13&gt;0.5,MIN(F_MortPayM,N13+N13*(F_MR/12)),0)</f>
        <v>0</v>
      </c>
      <c r="AB13" s="1" t="n">
        <f aca="false">MAX(0,O13)</f>
        <v>0</v>
      </c>
      <c r="AC13" s="1" t="n">
        <f aca="false">SUM(P13:AA13)</f>
        <v>0</v>
      </c>
      <c r="AD13" s="1" t="n">
        <f aca="false">'Plan cashflow'!L13</f>
        <v>0</v>
      </c>
      <c r="AE13" s="1" t="n">
        <f aca="false">IF(AD13&gt;0.5,AD13+AD13*(D_iC)-MIN(F_CardPayM,AD13+AD13*(D_iC)),AD13)</f>
        <v>0</v>
      </c>
      <c r="AF13" s="1" t="n">
        <f aca="false">IF(AE13&gt;0.5,AE13+AE13*(D_iC)-MIN(F_CardPayM,AE13+AE13*(D_iC)),AE13)</f>
        <v>0</v>
      </c>
      <c r="AG13" s="1" t="n">
        <f aca="false">IF(AF13&gt;0.5,AF13+AF13*(D_iC)-MIN(F_CardPayM,AF13+AF13*(D_iC)),AF13)</f>
        <v>0</v>
      </c>
      <c r="AH13" s="1" t="n">
        <f aca="false">IF(AG13&gt;0.5,AG13+AG13*(D_iC)-MIN(F_CardPayM,AG13+AG13*(D_iC)),AG13)</f>
        <v>0</v>
      </c>
      <c r="AI13" s="1" t="n">
        <f aca="false">IF(AH13&gt;0.5,AH13+AH13*(D_iC)-MIN(F_CardPayM,AH13+AH13*(D_iC)),AH13)</f>
        <v>0</v>
      </c>
      <c r="AJ13" s="1" t="n">
        <f aca="false">IF(AI13&gt;0.5,AI13+AI13*(D_iC)-MIN(F_CardPayM,AI13+AI13*(D_iC)),AI13)</f>
        <v>0</v>
      </c>
      <c r="AK13" s="1" t="n">
        <f aca="false">IF(AJ13&gt;0.5,AJ13+AJ13*(D_iC)-MIN(F_CardPayM,AJ13+AJ13*(D_iC)),AJ13)</f>
        <v>0</v>
      </c>
      <c r="AL13" s="1" t="n">
        <f aca="false">IF(AK13&gt;0.5,AK13+AK13*(D_iC)-MIN(F_CardPayM,AK13+AK13*(D_iC)),AK13)</f>
        <v>0</v>
      </c>
      <c r="AM13" s="1" t="n">
        <f aca="false">IF(AL13&gt;0.5,AL13+AL13*(D_iC)-MIN(F_CardPayM,AL13+AL13*(D_iC)),AL13)</f>
        <v>0</v>
      </c>
      <c r="AN13" s="1" t="n">
        <f aca="false">IF(AM13&gt;0.5,AM13+AM13*(D_iC)-MIN(F_CardPayM,AM13+AM13*(D_iC)),AM13)</f>
        <v>0</v>
      </c>
      <c r="AO13" s="1" t="n">
        <f aca="false">IF(AN13&gt;0.5,AN13+AN13*(D_iC)-MIN(F_CardPayM,AN13+AN13*(D_iC)),AN13)</f>
        <v>0</v>
      </c>
      <c r="AP13" s="1" t="n">
        <f aca="false">IF(AO13&gt;0.5,AO13+AO13*(D_iC)-MIN(F_CardPayM,AO13+AO13*(D_iC)),AO13)</f>
        <v>0</v>
      </c>
      <c r="AQ13" s="1" t="n">
        <f aca="false">IF(AD13&gt;0.5,MIN(F_CardPayM,AD13+AD13*(D_iC)),0)</f>
        <v>0</v>
      </c>
      <c r="AR13" s="1" t="n">
        <f aca="false">IF(AE13&gt;0.5,MIN(F_CardPayM,AE13+AE13*(D_iC)),0)</f>
        <v>0</v>
      </c>
      <c r="AS13" s="1" t="n">
        <f aca="false">IF(AF13&gt;0.5,MIN(F_CardPayM,AF13+AF13*(D_iC)),0)</f>
        <v>0</v>
      </c>
      <c r="AT13" s="1" t="n">
        <f aca="false">IF(AG13&gt;0.5,MIN(F_CardPayM,AG13+AG13*(D_iC)),0)</f>
        <v>0</v>
      </c>
      <c r="AU13" s="1" t="n">
        <f aca="false">IF(AH13&gt;0.5,MIN(F_CardPayM,AH13+AH13*(D_iC)),0)</f>
        <v>0</v>
      </c>
      <c r="AV13" s="1" t="n">
        <f aca="false">IF(AI13&gt;0.5,MIN(F_CardPayM,AI13+AI13*(D_iC)),0)</f>
        <v>0</v>
      </c>
      <c r="AW13" s="1" t="n">
        <f aca="false">IF(AJ13&gt;0.5,MIN(F_CardPayM,AJ13+AJ13*(D_iC)),0)</f>
        <v>0</v>
      </c>
      <c r="AX13" s="1" t="n">
        <f aca="false">IF(AK13&gt;0.5,MIN(F_CardPayM,AK13+AK13*(D_iC)),0)</f>
        <v>0</v>
      </c>
      <c r="AY13" s="1" t="n">
        <f aca="false">IF(AL13&gt;0.5,MIN(F_CardPayM,AL13+AL13*(D_iC)),0)</f>
        <v>0</v>
      </c>
      <c r="AZ13" s="1" t="n">
        <f aca="false">IF(AM13&gt;0.5,MIN(F_CardPayM,AM13+AM13*(D_iC)),0)</f>
        <v>0</v>
      </c>
      <c r="BA13" s="1" t="n">
        <f aca="false">IF(AN13&gt;0.5,MIN(F_CardPayM,AN13+AN13*(D_iC)),0)</f>
        <v>0</v>
      </c>
      <c r="BB13" s="1" t="n">
        <f aca="false">IF(AO13&gt;0.5,MIN(F_CardPayM,AO13+AO13*(D_iC)),0)</f>
        <v>0</v>
      </c>
      <c r="BC13" s="1" t="n">
        <f aca="false">MAX(0,AP13)</f>
        <v>0</v>
      </c>
      <c r="BD13" s="1" t="n">
        <f aca="false">SUM(AQ13:BB13)</f>
        <v>0</v>
      </c>
      <c r="BE13" s="1" t="n">
        <f aca="false">'Plan cashflow'!O13</f>
        <v>0</v>
      </c>
      <c r="BF13" s="1" t="n">
        <f aca="false">IF(BE13&gt;0.5,BE13+BE13*(D_iL)-MIN(F_LoanPayM,BE13+BE13*(D_iL)),BE13)</f>
        <v>0</v>
      </c>
      <c r="BG13" s="1" t="n">
        <f aca="false">IF(BF13&gt;0.5,BF13+BF13*(D_iL)-MIN(F_LoanPayM,BF13+BF13*(D_iL)),BF13)</f>
        <v>0</v>
      </c>
      <c r="BH13" s="1" t="n">
        <f aca="false">IF(BG13&gt;0.5,BG13+BG13*(D_iL)-MIN(F_LoanPayM,BG13+BG13*(D_iL)),BG13)</f>
        <v>0</v>
      </c>
      <c r="BI13" s="1" t="n">
        <f aca="false">IF(BH13&gt;0.5,BH13+BH13*(D_iL)-MIN(F_LoanPayM,BH13+BH13*(D_iL)),BH13)</f>
        <v>0</v>
      </c>
      <c r="BJ13" s="1" t="n">
        <f aca="false">IF(BI13&gt;0.5,BI13+BI13*(D_iL)-MIN(F_LoanPayM,BI13+BI13*(D_iL)),BI13)</f>
        <v>0</v>
      </c>
      <c r="BK13" s="1" t="n">
        <f aca="false">IF(BJ13&gt;0.5,BJ13+BJ13*(D_iL)-MIN(F_LoanPayM,BJ13+BJ13*(D_iL)),BJ13)</f>
        <v>0</v>
      </c>
      <c r="BL13" s="1" t="n">
        <f aca="false">IF(BK13&gt;0.5,BK13+BK13*(D_iL)-MIN(F_LoanPayM,BK13+BK13*(D_iL)),BK13)</f>
        <v>0</v>
      </c>
      <c r="BM13" s="1" t="n">
        <f aca="false">IF(BL13&gt;0.5,BL13+BL13*(D_iL)-MIN(F_LoanPayM,BL13+BL13*(D_iL)),BL13)</f>
        <v>0</v>
      </c>
      <c r="BN13" s="1" t="n">
        <f aca="false">IF(BM13&gt;0.5,BM13+BM13*(D_iL)-MIN(F_LoanPayM,BM13+BM13*(D_iL)),BM13)</f>
        <v>0</v>
      </c>
      <c r="BO13" s="1" t="n">
        <f aca="false">IF(BN13&gt;0.5,BN13+BN13*(D_iL)-MIN(F_LoanPayM,BN13+BN13*(D_iL)),BN13)</f>
        <v>0</v>
      </c>
      <c r="BP13" s="1" t="n">
        <f aca="false">IF(BO13&gt;0.5,BO13+BO13*(D_iL)-MIN(F_LoanPayM,BO13+BO13*(D_iL)),BO13)</f>
        <v>0</v>
      </c>
      <c r="BQ13" s="1" t="n">
        <f aca="false">IF(BP13&gt;0.5,BP13+BP13*(D_iL)-MIN(F_LoanPayM,BP13+BP13*(D_iL)),BP13)</f>
        <v>0</v>
      </c>
      <c r="BR13" s="1" t="n">
        <f aca="false">IF(BE13&gt;0.5,MIN(F_LoanPayM,BE13+BE13*(D_iL)),0)</f>
        <v>0</v>
      </c>
      <c r="BS13" s="1" t="n">
        <f aca="false">IF(BF13&gt;0.5,MIN(F_LoanPayM,BF13+BF13*(D_iL)),0)</f>
        <v>0</v>
      </c>
      <c r="BT13" s="1" t="n">
        <f aca="false">IF(BG13&gt;0.5,MIN(F_LoanPayM,BG13+BG13*(D_iL)),0)</f>
        <v>0</v>
      </c>
      <c r="BU13" s="1" t="n">
        <f aca="false">IF(BH13&gt;0.5,MIN(F_LoanPayM,BH13+BH13*(D_iL)),0)</f>
        <v>0</v>
      </c>
      <c r="BV13" s="1" t="n">
        <f aca="false">IF(BI13&gt;0.5,MIN(F_LoanPayM,BI13+BI13*(D_iL)),0)</f>
        <v>0</v>
      </c>
      <c r="BW13" s="1" t="n">
        <f aca="false">IF(BJ13&gt;0.5,MIN(F_LoanPayM,BJ13+BJ13*(D_iL)),0)</f>
        <v>0</v>
      </c>
      <c r="BX13" s="1" t="n">
        <f aca="false">IF(BK13&gt;0.5,MIN(F_LoanPayM,BK13+BK13*(D_iL)),0)</f>
        <v>0</v>
      </c>
      <c r="BY13" s="1" t="n">
        <f aca="false">IF(BL13&gt;0.5,MIN(F_LoanPayM,BL13+BL13*(D_iL)),0)</f>
        <v>0</v>
      </c>
      <c r="BZ13" s="1" t="n">
        <f aca="false">IF(BM13&gt;0.5,MIN(F_LoanPayM,BM13+BM13*(D_iL)),0)</f>
        <v>0</v>
      </c>
      <c r="CA13" s="1" t="n">
        <f aca="false">IF(BN13&gt;0.5,MIN(F_LoanPayM,BN13+BN13*(D_iL)),0)</f>
        <v>0</v>
      </c>
      <c r="CB13" s="1" t="n">
        <f aca="false">IF(BO13&gt;0.5,MIN(F_LoanPayM,BO13+BO13*(D_iL)),0)</f>
        <v>0</v>
      </c>
      <c r="CC13" s="1" t="n">
        <f aca="false">IF(BP13&gt;0.5,MIN(F_LoanPayM,BP13+BP13*(D_iL)),0)</f>
        <v>0</v>
      </c>
      <c r="CD13" s="1" t="n">
        <f aca="false">MAX(0,BQ13)</f>
        <v>0</v>
      </c>
      <c r="CE13" s="1" t="n">
        <f aca="false">SUM(BR13:CC13)</f>
        <v>0</v>
      </c>
      <c r="CF13" s="1" t="n">
        <f aca="false">IF(CF12&gt;1,DE12,CF12)</f>
        <v>0</v>
      </c>
      <c r="CG13" s="1" t="n">
        <f aca="false">IF(CF13&gt;0.5,CF13+CF13*(F_MR/12)-MIN(F_MortPayM,CF13+CF13*(F_MR/12)),CF13)</f>
        <v>0</v>
      </c>
      <c r="CH13" s="1" t="n">
        <f aca="false">IF(CG13&gt;0.5,CG13+CG13*(F_MR/12)-MIN(F_MortPayM,CG13+CG13*(F_MR/12)),CG13)</f>
        <v>0</v>
      </c>
      <c r="CI13" s="1" t="n">
        <f aca="false">IF(CH13&gt;0.5,CH13+CH13*(F_MR/12)-MIN(F_MortPayM,CH13+CH13*(F_MR/12)),CH13)</f>
        <v>0</v>
      </c>
      <c r="CJ13" s="1" t="n">
        <f aca="false">IF(CI13&gt;0.5,CI13+CI13*(F_MR/12)-MIN(F_MortPayM,CI13+CI13*(F_MR/12)),CI13)</f>
        <v>0</v>
      </c>
      <c r="CK13" s="1" t="n">
        <f aca="false">IF(CJ13&gt;0.5,CJ13+CJ13*(F_MR/12)-MIN(F_MortPayM,CJ13+CJ13*(F_MR/12)),CJ13)</f>
        <v>0</v>
      </c>
      <c r="CL13" s="1" t="n">
        <f aca="false">IF(CK13&gt;0.5,CK13+CK13*(F_MR/12)-MIN(F_MortPayM,CK13+CK13*(F_MR/12)),CK13)</f>
        <v>0</v>
      </c>
      <c r="CM13" s="1" t="n">
        <f aca="false">IF(CL13&gt;0.5,CL13+CL13*(F_MR/12)-MIN(F_MortPayM,CL13+CL13*(F_MR/12)),CL13)</f>
        <v>0</v>
      </c>
      <c r="CN13" s="1" t="n">
        <f aca="false">IF(CM13&gt;0.5,CM13+CM13*(F_MR/12)-MIN(F_MortPayM,CM13+CM13*(F_MR/12)),CM13)</f>
        <v>0</v>
      </c>
      <c r="CO13" s="1" t="n">
        <f aca="false">IF(CN13&gt;0.5,CN13+CN13*(F_MR/12)-MIN(F_MortPayM,CN13+CN13*(F_MR/12)),CN13)</f>
        <v>0</v>
      </c>
      <c r="CP13" s="1" t="n">
        <f aca="false">IF(CO13&gt;0.5,CO13+CO13*(F_MR/12)-MIN(F_MortPayM,CO13+CO13*(F_MR/12)),CO13)</f>
        <v>0</v>
      </c>
      <c r="CQ13" s="1" t="n">
        <f aca="false">IF(CP13&gt;0.5,CP13+CP13*(F_MR/12)-MIN(F_MortPayM,CP13+CP13*(F_MR/12)),CP13)</f>
        <v>0</v>
      </c>
      <c r="CR13" s="1" t="n">
        <f aca="false">IF(CQ13&gt;0.5,CQ13+CQ13*(F_MR/12)-MIN(F_MortPayM,CQ13+CQ13*(F_MR/12)),CQ13)</f>
        <v>0</v>
      </c>
      <c r="CS13" s="1" t="n">
        <f aca="false">IF(CF13&gt;0.5,MIN(F_MortPayM,CF13+CF13*(F_MR/12)),0)</f>
        <v>0</v>
      </c>
      <c r="CT13" s="1" t="n">
        <f aca="false">IF(CG13&gt;0.5,MIN(F_MortPayM,CG13+CG13*(F_MR/12)),0)</f>
        <v>0</v>
      </c>
      <c r="CU13" s="1" t="n">
        <f aca="false">IF(CH13&gt;0.5,MIN(F_MortPayM,CH13+CH13*(F_MR/12)),0)</f>
        <v>0</v>
      </c>
      <c r="CV13" s="1" t="n">
        <f aca="false">IF(CI13&gt;0.5,MIN(F_MortPayM,CI13+CI13*(F_MR/12)),0)</f>
        <v>0</v>
      </c>
      <c r="CW13" s="1" t="n">
        <f aca="false">IF(CJ13&gt;0.5,MIN(F_MortPayM,CJ13+CJ13*(F_MR/12)),0)</f>
        <v>0</v>
      </c>
      <c r="CX13" s="1" t="n">
        <f aca="false">IF(CK13&gt;0.5,MIN(F_MortPayM,CK13+CK13*(F_MR/12)),0)</f>
        <v>0</v>
      </c>
      <c r="CY13" s="1" t="n">
        <f aca="false">IF(CL13&gt;0.5,MIN(F_MortPayM,CL13+CL13*(F_MR/12)),0)</f>
        <v>0</v>
      </c>
      <c r="CZ13" s="1" t="n">
        <f aca="false">IF(CM13&gt;0.5,MIN(F_MortPayM,CM13+CM13*(F_MR/12)),0)</f>
        <v>0</v>
      </c>
      <c r="DA13" s="1" t="n">
        <f aca="false">IF(CN13&gt;0.5,MIN(F_MortPayM,CN13+CN13*(F_MR/12)),0)</f>
        <v>0</v>
      </c>
      <c r="DB13" s="1" t="n">
        <f aca="false">IF(CO13&gt;0.5,MIN(F_MortPayM,CO13+CO13*(F_MR/12)),0)</f>
        <v>0</v>
      </c>
      <c r="DC13" s="1" t="n">
        <f aca="false">IF(CP13&gt;0.5,MIN(F_MortPayM,CP13+CP13*(F_MR/12)),0)</f>
        <v>0</v>
      </c>
      <c r="DD13" s="1" t="n">
        <f aca="false">IF(CQ13&gt;0.5,MIN(F_MortPayM,CQ13+CQ13*(F_MR/12)),0)</f>
        <v>0</v>
      </c>
      <c r="DE13" s="1" t="n">
        <f aca="false">MAX(0,CR13)</f>
        <v>0</v>
      </c>
      <c r="DF13" s="1" t="n">
        <f aca="false">SUM(CS13:DD13)</f>
        <v>0</v>
      </c>
      <c r="DG13" s="1" t="n">
        <f aca="false">MAX(0,CF13)</f>
        <v>0</v>
      </c>
    </row>
    <row r="14" customFormat="false" ht="15" hidden="false" customHeight="false" outlineLevel="0" collapsed="false">
      <c r="B14" s="1" t="n">
        <v>6</v>
      </c>
      <c r="C14" s="1" t="n">
        <f aca="false">'Plan cashflow'!I14</f>
        <v>0</v>
      </c>
      <c r="D14" s="1" t="n">
        <f aca="false">IF(C14&gt;0.5,C14+C14*(F_MR/12)-MIN(F_MortPayM,C14+C14*(F_MR/12)),C14)</f>
        <v>0</v>
      </c>
      <c r="E14" s="1" t="n">
        <f aca="false">IF(D14&gt;0.5,D14+D14*(F_MR/12)-MIN(F_MortPayM,D14+D14*(F_MR/12)),D14)</f>
        <v>0</v>
      </c>
      <c r="F14" s="1" t="n">
        <f aca="false">IF(E14&gt;0.5,E14+E14*(F_MR/12)-MIN(F_MortPayM,E14+E14*(F_MR/12)),E14)</f>
        <v>0</v>
      </c>
      <c r="G14" s="1" t="n">
        <f aca="false">IF(F14&gt;0.5,F14+F14*(F_MR/12)-MIN(F_MortPayM,F14+F14*(F_MR/12)),F14)</f>
        <v>0</v>
      </c>
      <c r="H14" s="1" t="n">
        <f aca="false">IF(G14&gt;0.5,G14+G14*(F_MR/12)-MIN(F_MortPayM,G14+G14*(F_MR/12)),G14)</f>
        <v>0</v>
      </c>
      <c r="I14" s="1" t="n">
        <f aca="false">IF(H14&gt;0.5,H14+H14*(F_MR/12)-MIN(F_MortPayM,H14+H14*(F_MR/12)),H14)</f>
        <v>0</v>
      </c>
      <c r="J14" s="1" t="n">
        <f aca="false">IF(I14&gt;0.5,I14+I14*(F_MR/12)-MIN(F_MortPayM,I14+I14*(F_MR/12)),I14)</f>
        <v>0</v>
      </c>
      <c r="K14" s="1" t="n">
        <f aca="false">IF(J14&gt;0.5,J14+J14*(F_MR/12)-MIN(F_MortPayM,J14+J14*(F_MR/12)),J14)</f>
        <v>0</v>
      </c>
      <c r="L14" s="1" t="n">
        <f aca="false">IF(K14&gt;0.5,K14+K14*(F_MR/12)-MIN(F_MortPayM,K14+K14*(F_MR/12)),K14)</f>
        <v>0</v>
      </c>
      <c r="M14" s="1" t="n">
        <f aca="false">IF(L14&gt;0.5,L14+L14*(F_MR/12)-MIN(F_MortPayM,L14+L14*(F_MR/12)),L14)</f>
        <v>0</v>
      </c>
      <c r="N14" s="1" t="n">
        <f aca="false">IF(M14&gt;0.5,M14+M14*(F_MR/12)-MIN(F_MortPayM,M14+M14*(F_MR/12)),M14)</f>
        <v>0</v>
      </c>
      <c r="O14" s="1" t="n">
        <f aca="false">IF(N14&gt;0.5,N14+N14*(F_MR/12)-MIN(F_MortPayM,N14+N14*(F_MR/12)),N14)</f>
        <v>0</v>
      </c>
      <c r="P14" s="1" t="n">
        <f aca="false">IF(C14&gt;0.5,MIN(F_MortPayM,C14+C14*(F_MR/12)),0)</f>
        <v>0</v>
      </c>
      <c r="Q14" s="1" t="n">
        <f aca="false">IF(D14&gt;0.5,MIN(F_MortPayM,D14+D14*(F_MR/12)),0)</f>
        <v>0</v>
      </c>
      <c r="R14" s="1" t="n">
        <f aca="false">IF(E14&gt;0.5,MIN(F_MortPayM,E14+E14*(F_MR/12)),0)</f>
        <v>0</v>
      </c>
      <c r="S14" s="1" t="n">
        <f aca="false">IF(F14&gt;0.5,MIN(F_MortPayM,F14+F14*(F_MR/12)),0)</f>
        <v>0</v>
      </c>
      <c r="T14" s="1" t="n">
        <f aca="false">IF(G14&gt;0.5,MIN(F_MortPayM,G14+G14*(F_MR/12)),0)</f>
        <v>0</v>
      </c>
      <c r="U14" s="1" t="n">
        <f aca="false">IF(H14&gt;0.5,MIN(F_MortPayM,H14+H14*(F_MR/12)),0)</f>
        <v>0</v>
      </c>
      <c r="V14" s="1" t="n">
        <f aca="false">IF(I14&gt;0.5,MIN(F_MortPayM,I14+I14*(F_MR/12)),0)</f>
        <v>0</v>
      </c>
      <c r="W14" s="1" t="n">
        <f aca="false">IF(J14&gt;0.5,MIN(F_MortPayM,J14+J14*(F_MR/12)),0)</f>
        <v>0</v>
      </c>
      <c r="X14" s="1" t="n">
        <f aca="false">IF(K14&gt;0.5,MIN(F_MortPayM,K14+K14*(F_MR/12)),0)</f>
        <v>0</v>
      </c>
      <c r="Y14" s="1" t="n">
        <f aca="false">IF(L14&gt;0.5,MIN(F_MortPayM,L14+L14*(F_MR/12)),0)</f>
        <v>0</v>
      </c>
      <c r="Z14" s="1" t="n">
        <f aca="false">IF(M14&gt;0.5,MIN(F_MortPayM,M14+M14*(F_MR/12)),0)</f>
        <v>0</v>
      </c>
      <c r="AA14" s="1" t="n">
        <f aca="false">IF(N14&gt;0.5,MIN(F_MortPayM,N14+N14*(F_MR/12)),0)</f>
        <v>0</v>
      </c>
      <c r="AB14" s="1" t="n">
        <f aca="false">MAX(0,O14)</f>
        <v>0</v>
      </c>
      <c r="AC14" s="1" t="n">
        <f aca="false">SUM(P14:AA14)</f>
        <v>0</v>
      </c>
      <c r="AD14" s="1" t="n">
        <f aca="false">'Plan cashflow'!L14</f>
        <v>0</v>
      </c>
      <c r="AE14" s="1" t="n">
        <f aca="false">IF(AD14&gt;0.5,AD14+AD14*(D_iC)-MIN(F_CardPayM,AD14+AD14*(D_iC)),AD14)</f>
        <v>0</v>
      </c>
      <c r="AF14" s="1" t="n">
        <f aca="false">IF(AE14&gt;0.5,AE14+AE14*(D_iC)-MIN(F_CardPayM,AE14+AE14*(D_iC)),AE14)</f>
        <v>0</v>
      </c>
      <c r="AG14" s="1" t="n">
        <f aca="false">IF(AF14&gt;0.5,AF14+AF14*(D_iC)-MIN(F_CardPayM,AF14+AF14*(D_iC)),AF14)</f>
        <v>0</v>
      </c>
      <c r="AH14" s="1" t="n">
        <f aca="false">IF(AG14&gt;0.5,AG14+AG14*(D_iC)-MIN(F_CardPayM,AG14+AG14*(D_iC)),AG14)</f>
        <v>0</v>
      </c>
      <c r="AI14" s="1" t="n">
        <f aca="false">IF(AH14&gt;0.5,AH14+AH14*(D_iC)-MIN(F_CardPayM,AH14+AH14*(D_iC)),AH14)</f>
        <v>0</v>
      </c>
      <c r="AJ14" s="1" t="n">
        <f aca="false">IF(AI14&gt;0.5,AI14+AI14*(D_iC)-MIN(F_CardPayM,AI14+AI14*(D_iC)),AI14)</f>
        <v>0</v>
      </c>
      <c r="AK14" s="1" t="n">
        <f aca="false">IF(AJ14&gt;0.5,AJ14+AJ14*(D_iC)-MIN(F_CardPayM,AJ14+AJ14*(D_iC)),AJ14)</f>
        <v>0</v>
      </c>
      <c r="AL14" s="1" t="n">
        <f aca="false">IF(AK14&gt;0.5,AK14+AK14*(D_iC)-MIN(F_CardPayM,AK14+AK14*(D_iC)),AK14)</f>
        <v>0</v>
      </c>
      <c r="AM14" s="1" t="n">
        <f aca="false">IF(AL14&gt;0.5,AL14+AL14*(D_iC)-MIN(F_CardPayM,AL14+AL14*(D_iC)),AL14)</f>
        <v>0</v>
      </c>
      <c r="AN14" s="1" t="n">
        <f aca="false">IF(AM14&gt;0.5,AM14+AM14*(D_iC)-MIN(F_CardPayM,AM14+AM14*(D_iC)),AM14)</f>
        <v>0</v>
      </c>
      <c r="AO14" s="1" t="n">
        <f aca="false">IF(AN14&gt;0.5,AN14+AN14*(D_iC)-MIN(F_CardPayM,AN14+AN14*(D_iC)),AN14)</f>
        <v>0</v>
      </c>
      <c r="AP14" s="1" t="n">
        <f aca="false">IF(AO14&gt;0.5,AO14+AO14*(D_iC)-MIN(F_CardPayM,AO14+AO14*(D_iC)),AO14)</f>
        <v>0</v>
      </c>
      <c r="AQ14" s="1" t="n">
        <f aca="false">IF(AD14&gt;0.5,MIN(F_CardPayM,AD14+AD14*(D_iC)),0)</f>
        <v>0</v>
      </c>
      <c r="AR14" s="1" t="n">
        <f aca="false">IF(AE14&gt;0.5,MIN(F_CardPayM,AE14+AE14*(D_iC)),0)</f>
        <v>0</v>
      </c>
      <c r="AS14" s="1" t="n">
        <f aca="false">IF(AF14&gt;0.5,MIN(F_CardPayM,AF14+AF14*(D_iC)),0)</f>
        <v>0</v>
      </c>
      <c r="AT14" s="1" t="n">
        <f aca="false">IF(AG14&gt;0.5,MIN(F_CardPayM,AG14+AG14*(D_iC)),0)</f>
        <v>0</v>
      </c>
      <c r="AU14" s="1" t="n">
        <f aca="false">IF(AH14&gt;0.5,MIN(F_CardPayM,AH14+AH14*(D_iC)),0)</f>
        <v>0</v>
      </c>
      <c r="AV14" s="1" t="n">
        <f aca="false">IF(AI14&gt;0.5,MIN(F_CardPayM,AI14+AI14*(D_iC)),0)</f>
        <v>0</v>
      </c>
      <c r="AW14" s="1" t="n">
        <f aca="false">IF(AJ14&gt;0.5,MIN(F_CardPayM,AJ14+AJ14*(D_iC)),0)</f>
        <v>0</v>
      </c>
      <c r="AX14" s="1" t="n">
        <f aca="false">IF(AK14&gt;0.5,MIN(F_CardPayM,AK14+AK14*(D_iC)),0)</f>
        <v>0</v>
      </c>
      <c r="AY14" s="1" t="n">
        <f aca="false">IF(AL14&gt;0.5,MIN(F_CardPayM,AL14+AL14*(D_iC)),0)</f>
        <v>0</v>
      </c>
      <c r="AZ14" s="1" t="n">
        <f aca="false">IF(AM14&gt;0.5,MIN(F_CardPayM,AM14+AM14*(D_iC)),0)</f>
        <v>0</v>
      </c>
      <c r="BA14" s="1" t="n">
        <f aca="false">IF(AN14&gt;0.5,MIN(F_CardPayM,AN14+AN14*(D_iC)),0)</f>
        <v>0</v>
      </c>
      <c r="BB14" s="1" t="n">
        <f aca="false">IF(AO14&gt;0.5,MIN(F_CardPayM,AO14+AO14*(D_iC)),0)</f>
        <v>0</v>
      </c>
      <c r="BC14" s="1" t="n">
        <f aca="false">MAX(0,AP14)</f>
        <v>0</v>
      </c>
      <c r="BD14" s="1" t="n">
        <f aca="false">SUM(AQ14:BB14)</f>
        <v>0</v>
      </c>
      <c r="BE14" s="1" t="n">
        <f aca="false">'Plan cashflow'!O14</f>
        <v>0</v>
      </c>
      <c r="BF14" s="1" t="n">
        <f aca="false">IF(BE14&gt;0.5,BE14+BE14*(D_iL)-MIN(F_LoanPayM,BE14+BE14*(D_iL)),BE14)</f>
        <v>0</v>
      </c>
      <c r="BG14" s="1" t="n">
        <f aca="false">IF(BF14&gt;0.5,BF14+BF14*(D_iL)-MIN(F_LoanPayM,BF14+BF14*(D_iL)),BF14)</f>
        <v>0</v>
      </c>
      <c r="BH14" s="1" t="n">
        <f aca="false">IF(BG14&gt;0.5,BG14+BG14*(D_iL)-MIN(F_LoanPayM,BG14+BG14*(D_iL)),BG14)</f>
        <v>0</v>
      </c>
      <c r="BI14" s="1" t="n">
        <f aca="false">IF(BH14&gt;0.5,BH14+BH14*(D_iL)-MIN(F_LoanPayM,BH14+BH14*(D_iL)),BH14)</f>
        <v>0</v>
      </c>
      <c r="BJ14" s="1" t="n">
        <f aca="false">IF(BI14&gt;0.5,BI14+BI14*(D_iL)-MIN(F_LoanPayM,BI14+BI14*(D_iL)),BI14)</f>
        <v>0</v>
      </c>
      <c r="BK14" s="1" t="n">
        <f aca="false">IF(BJ14&gt;0.5,BJ14+BJ14*(D_iL)-MIN(F_LoanPayM,BJ14+BJ14*(D_iL)),BJ14)</f>
        <v>0</v>
      </c>
      <c r="BL14" s="1" t="n">
        <f aca="false">IF(BK14&gt;0.5,BK14+BK14*(D_iL)-MIN(F_LoanPayM,BK14+BK14*(D_iL)),BK14)</f>
        <v>0</v>
      </c>
      <c r="BM14" s="1" t="n">
        <f aca="false">IF(BL14&gt;0.5,BL14+BL14*(D_iL)-MIN(F_LoanPayM,BL14+BL14*(D_iL)),BL14)</f>
        <v>0</v>
      </c>
      <c r="BN14" s="1" t="n">
        <f aca="false">IF(BM14&gt;0.5,BM14+BM14*(D_iL)-MIN(F_LoanPayM,BM14+BM14*(D_iL)),BM14)</f>
        <v>0</v>
      </c>
      <c r="BO14" s="1" t="n">
        <f aca="false">IF(BN14&gt;0.5,BN14+BN14*(D_iL)-MIN(F_LoanPayM,BN14+BN14*(D_iL)),BN14)</f>
        <v>0</v>
      </c>
      <c r="BP14" s="1" t="n">
        <f aca="false">IF(BO14&gt;0.5,BO14+BO14*(D_iL)-MIN(F_LoanPayM,BO14+BO14*(D_iL)),BO14)</f>
        <v>0</v>
      </c>
      <c r="BQ14" s="1" t="n">
        <f aca="false">IF(BP14&gt;0.5,BP14+BP14*(D_iL)-MIN(F_LoanPayM,BP14+BP14*(D_iL)),BP14)</f>
        <v>0</v>
      </c>
      <c r="BR14" s="1" t="n">
        <f aca="false">IF(BE14&gt;0.5,MIN(F_LoanPayM,BE14+BE14*(D_iL)),0)</f>
        <v>0</v>
      </c>
      <c r="BS14" s="1" t="n">
        <f aca="false">IF(BF14&gt;0.5,MIN(F_LoanPayM,BF14+BF14*(D_iL)),0)</f>
        <v>0</v>
      </c>
      <c r="BT14" s="1" t="n">
        <f aca="false">IF(BG14&gt;0.5,MIN(F_LoanPayM,BG14+BG14*(D_iL)),0)</f>
        <v>0</v>
      </c>
      <c r="BU14" s="1" t="n">
        <f aca="false">IF(BH14&gt;0.5,MIN(F_LoanPayM,BH14+BH14*(D_iL)),0)</f>
        <v>0</v>
      </c>
      <c r="BV14" s="1" t="n">
        <f aca="false">IF(BI14&gt;0.5,MIN(F_LoanPayM,BI14+BI14*(D_iL)),0)</f>
        <v>0</v>
      </c>
      <c r="BW14" s="1" t="n">
        <f aca="false">IF(BJ14&gt;0.5,MIN(F_LoanPayM,BJ14+BJ14*(D_iL)),0)</f>
        <v>0</v>
      </c>
      <c r="BX14" s="1" t="n">
        <f aca="false">IF(BK14&gt;0.5,MIN(F_LoanPayM,BK14+BK14*(D_iL)),0)</f>
        <v>0</v>
      </c>
      <c r="BY14" s="1" t="n">
        <f aca="false">IF(BL14&gt;0.5,MIN(F_LoanPayM,BL14+BL14*(D_iL)),0)</f>
        <v>0</v>
      </c>
      <c r="BZ14" s="1" t="n">
        <f aca="false">IF(BM14&gt;0.5,MIN(F_LoanPayM,BM14+BM14*(D_iL)),0)</f>
        <v>0</v>
      </c>
      <c r="CA14" s="1" t="n">
        <f aca="false">IF(BN14&gt;0.5,MIN(F_LoanPayM,BN14+BN14*(D_iL)),0)</f>
        <v>0</v>
      </c>
      <c r="CB14" s="1" t="n">
        <f aca="false">IF(BO14&gt;0.5,MIN(F_LoanPayM,BO14+BO14*(D_iL)),0)</f>
        <v>0</v>
      </c>
      <c r="CC14" s="1" t="n">
        <f aca="false">IF(BP14&gt;0.5,MIN(F_LoanPayM,BP14+BP14*(D_iL)),0)</f>
        <v>0</v>
      </c>
      <c r="CD14" s="1" t="n">
        <f aca="false">MAX(0,BQ14)</f>
        <v>0</v>
      </c>
      <c r="CE14" s="1" t="n">
        <f aca="false">SUM(BR14:CC14)</f>
        <v>0</v>
      </c>
      <c r="CF14" s="1" t="n">
        <f aca="false">IF(CF13&gt;1,DE13,CF13)</f>
        <v>0</v>
      </c>
      <c r="CG14" s="1" t="n">
        <f aca="false">IF(CF14&gt;0.5,CF14+CF14*(F_MR/12)-MIN(F_MortPayM,CF14+CF14*(F_MR/12)),CF14)</f>
        <v>0</v>
      </c>
      <c r="CH14" s="1" t="n">
        <f aca="false">IF(CG14&gt;0.5,CG14+CG14*(F_MR/12)-MIN(F_MortPayM,CG14+CG14*(F_MR/12)),CG14)</f>
        <v>0</v>
      </c>
      <c r="CI14" s="1" t="n">
        <f aca="false">IF(CH14&gt;0.5,CH14+CH14*(F_MR/12)-MIN(F_MortPayM,CH14+CH14*(F_MR/12)),CH14)</f>
        <v>0</v>
      </c>
      <c r="CJ14" s="1" t="n">
        <f aca="false">IF(CI14&gt;0.5,CI14+CI14*(F_MR/12)-MIN(F_MortPayM,CI14+CI14*(F_MR/12)),CI14)</f>
        <v>0</v>
      </c>
      <c r="CK14" s="1" t="n">
        <f aca="false">IF(CJ14&gt;0.5,CJ14+CJ14*(F_MR/12)-MIN(F_MortPayM,CJ14+CJ14*(F_MR/12)),CJ14)</f>
        <v>0</v>
      </c>
      <c r="CL14" s="1" t="n">
        <f aca="false">IF(CK14&gt;0.5,CK14+CK14*(F_MR/12)-MIN(F_MortPayM,CK14+CK14*(F_MR/12)),CK14)</f>
        <v>0</v>
      </c>
      <c r="CM14" s="1" t="n">
        <f aca="false">IF(CL14&gt;0.5,CL14+CL14*(F_MR/12)-MIN(F_MortPayM,CL14+CL14*(F_MR/12)),CL14)</f>
        <v>0</v>
      </c>
      <c r="CN14" s="1" t="n">
        <f aca="false">IF(CM14&gt;0.5,CM14+CM14*(F_MR/12)-MIN(F_MortPayM,CM14+CM14*(F_MR/12)),CM14)</f>
        <v>0</v>
      </c>
      <c r="CO14" s="1" t="n">
        <f aca="false">IF(CN14&gt;0.5,CN14+CN14*(F_MR/12)-MIN(F_MortPayM,CN14+CN14*(F_MR/12)),CN14)</f>
        <v>0</v>
      </c>
      <c r="CP14" s="1" t="n">
        <f aca="false">IF(CO14&gt;0.5,CO14+CO14*(F_MR/12)-MIN(F_MortPayM,CO14+CO14*(F_MR/12)),CO14)</f>
        <v>0</v>
      </c>
      <c r="CQ14" s="1" t="n">
        <f aca="false">IF(CP14&gt;0.5,CP14+CP14*(F_MR/12)-MIN(F_MortPayM,CP14+CP14*(F_MR/12)),CP14)</f>
        <v>0</v>
      </c>
      <c r="CR14" s="1" t="n">
        <f aca="false">IF(CQ14&gt;0.5,CQ14+CQ14*(F_MR/12)-MIN(F_MortPayM,CQ14+CQ14*(F_MR/12)),CQ14)</f>
        <v>0</v>
      </c>
      <c r="CS14" s="1" t="n">
        <f aca="false">IF(CF14&gt;0.5,MIN(F_MortPayM,CF14+CF14*(F_MR/12)),0)</f>
        <v>0</v>
      </c>
      <c r="CT14" s="1" t="n">
        <f aca="false">IF(CG14&gt;0.5,MIN(F_MortPayM,CG14+CG14*(F_MR/12)),0)</f>
        <v>0</v>
      </c>
      <c r="CU14" s="1" t="n">
        <f aca="false">IF(CH14&gt;0.5,MIN(F_MortPayM,CH14+CH14*(F_MR/12)),0)</f>
        <v>0</v>
      </c>
      <c r="CV14" s="1" t="n">
        <f aca="false">IF(CI14&gt;0.5,MIN(F_MortPayM,CI14+CI14*(F_MR/12)),0)</f>
        <v>0</v>
      </c>
      <c r="CW14" s="1" t="n">
        <f aca="false">IF(CJ14&gt;0.5,MIN(F_MortPayM,CJ14+CJ14*(F_MR/12)),0)</f>
        <v>0</v>
      </c>
      <c r="CX14" s="1" t="n">
        <f aca="false">IF(CK14&gt;0.5,MIN(F_MortPayM,CK14+CK14*(F_MR/12)),0)</f>
        <v>0</v>
      </c>
      <c r="CY14" s="1" t="n">
        <f aca="false">IF(CL14&gt;0.5,MIN(F_MortPayM,CL14+CL14*(F_MR/12)),0)</f>
        <v>0</v>
      </c>
      <c r="CZ14" s="1" t="n">
        <f aca="false">IF(CM14&gt;0.5,MIN(F_MortPayM,CM14+CM14*(F_MR/12)),0)</f>
        <v>0</v>
      </c>
      <c r="DA14" s="1" t="n">
        <f aca="false">IF(CN14&gt;0.5,MIN(F_MortPayM,CN14+CN14*(F_MR/12)),0)</f>
        <v>0</v>
      </c>
      <c r="DB14" s="1" t="n">
        <f aca="false">IF(CO14&gt;0.5,MIN(F_MortPayM,CO14+CO14*(F_MR/12)),0)</f>
        <v>0</v>
      </c>
      <c r="DC14" s="1" t="n">
        <f aca="false">IF(CP14&gt;0.5,MIN(F_MortPayM,CP14+CP14*(F_MR/12)),0)</f>
        <v>0</v>
      </c>
      <c r="DD14" s="1" t="n">
        <f aca="false">IF(CQ14&gt;0.5,MIN(F_MortPayM,CQ14+CQ14*(F_MR/12)),0)</f>
        <v>0</v>
      </c>
      <c r="DE14" s="1" t="n">
        <f aca="false">MAX(0,CR14)</f>
        <v>0</v>
      </c>
      <c r="DF14" s="1" t="n">
        <f aca="false">SUM(CS14:DD14)</f>
        <v>0</v>
      </c>
      <c r="DG14" s="1" t="n">
        <f aca="false">MAX(0,CF14)</f>
        <v>0</v>
      </c>
    </row>
    <row r="15" customFormat="false" ht="15" hidden="false" customHeight="false" outlineLevel="0" collapsed="false">
      <c r="B15" s="1" t="n">
        <v>7</v>
      </c>
      <c r="C15" s="1" t="n">
        <f aca="false">'Plan cashflow'!I15</f>
        <v>0</v>
      </c>
      <c r="D15" s="1" t="n">
        <f aca="false">IF(C15&gt;0.5,C15+C15*(F_MR/12)-MIN(F_MortPayM,C15+C15*(F_MR/12)),C15)</f>
        <v>0</v>
      </c>
      <c r="E15" s="1" t="n">
        <f aca="false">IF(D15&gt;0.5,D15+D15*(F_MR/12)-MIN(F_MortPayM,D15+D15*(F_MR/12)),D15)</f>
        <v>0</v>
      </c>
      <c r="F15" s="1" t="n">
        <f aca="false">IF(E15&gt;0.5,E15+E15*(F_MR/12)-MIN(F_MortPayM,E15+E15*(F_MR/12)),E15)</f>
        <v>0</v>
      </c>
      <c r="G15" s="1" t="n">
        <f aca="false">IF(F15&gt;0.5,F15+F15*(F_MR/12)-MIN(F_MortPayM,F15+F15*(F_MR/12)),F15)</f>
        <v>0</v>
      </c>
      <c r="H15" s="1" t="n">
        <f aca="false">IF(G15&gt;0.5,G15+G15*(F_MR/12)-MIN(F_MortPayM,G15+G15*(F_MR/12)),G15)</f>
        <v>0</v>
      </c>
      <c r="I15" s="1" t="n">
        <f aca="false">IF(H15&gt;0.5,H15+H15*(F_MR/12)-MIN(F_MortPayM,H15+H15*(F_MR/12)),H15)</f>
        <v>0</v>
      </c>
      <c r="J15" s="1" t="n">
        <f aca="false">IF(I15&gt;0.5,I15+I15*(F_MR/12)-MIN(F_MortPayM,I15+I15*(F_MR/12)),I15)</f>
        <v>0</v>
      </c>
      <c r="K15" s="1" t="n">
        <f aca="false">IF(J15&gt;0.5,J15+J15*(F_MR/12)-MIN(F_MortPayM,J15+J15*(F_MR/12)),J15)</f>
        <v>0</v>
      </c>
      <c r="L15" s="1" t="n">
        <f aca="false">IF(K15&gt;0.5,K15+K15*(F_MR/12)-MIN(F_MortPayM,K15+K15*(F_MR/12)),K15)</f>
        <v>0</v>
      </c>
      <c r="M15" s="1" t="n">
        <f aca="false">IF(L15&gt;0.5,L15+L15*(F_MR/12)-MIN(F_MortPayM,L15+L15*(F_MR/12)),L15)</f>
        <v>0</v>
      </c>
      <c r="N15" s="1" t="n">
        <f aca="false">IF(M15&gt;0.5,M15+M15*(F_MR/12)-MIN(F_MortPayM,M15+M15*(F_MR/12)),M15)</f>
        <v>0</v>
      </c>
      <c r="O15" s="1" t="n">
        <f aca="false">IF(N15&gt;0.5,N15+N15*(F_MR/12)-MIN(F_MortPayM,N15+N15*(F_MR/12)),N15)</f>
        <v>0</v>
      </c>
      <c r="P15" s="1" t="n">
        <f aca="false">IF(C15&gt;0.5,MIN(F_MortPayM,C15+C15*(F_MR/12)),0)</f>
        <v>0</v>
      </c>
      <c r="Q15" s="1" t="n">
        <f aca="false">IF(D15&gt;0.5,MIN(F_MortPayM,D15+D15*(F_MR/12)),0)</f>
        <v>0</v>
      </c>
      <c r="R15" s="1" t="n">
        <f aca="false">IF(E15&gt;0.5,MIN(F_MortPayM,E15+E15*(F_MR/12)),0)</f>
        <v>0</v>
      </c>
      <c r="S15" s="1" t="n">
        <f aca="false">IF(F15&gt;0.5,MIN(F_MortPayM,F15+F15*(F_MR/12)),0)</f>
        <v>0</v>
      </c>
      <c r="T15" s="1" t="n">
        <f aca="false">IF(G15&gt;0.5,MIN(F_MortPayM,G15+G15*(F_MR/12)),0)</f>
        <v>0</v>
      </c>
      <c r="U15" s="1" t="n">
        <f aca="false">IF(H15&gt;0.5,MIN(F_MortPayM,H15+H15*(F_MR/12)),0)</f>
        <v>0</v>
      </c>
      <c r="V15" s="1" t="n">
        <f aca="false">IF(I15&gt;0.5,MIN(F_MortPayM,I15+I15*(F_MR/12)),0)</f>
        <v>0</v>
      </c>
      <c r="W15" s="1" t="n">
        <f aca="false">IF(J15&gt;0.5,MIN(F_MortPayM,J15+J15*(F_MR/12)),0)</f>
        <v>0</v>
      </c>
      <c r="X15" s="1" t="n">
        <f aca="false">IF(K15&gt;0.5,MIN(F_MortPayM,K15+K15*(F_MR/12)),0)</f>
        <v>0</v>
      </c>
      <c r="Y15" s="1" t="n">
        <f aca="false">IF(L15&gt;0.5,MIN(F_MortPayM,L15+L15*(F_MR/12)),0)</f>
        <v>0</v>
      </c>
      <c r="Z15" s="1" t="n">
        <f aca="false">IF(M15&gt;0.5,MIN(F_MortPayM,M15+M15*(F_MR/12)),0)</f>
        <v>0</v>
      </c>
      <c r="AA15" s="1" t="n">
        <f aca="false">IF(N15&gt;0.5,MIN(F_MortPayM,N15+N15*(F_MR/12)),0)</f>
        <v>0</v>
      </c>
      <c r="AB15" s="1" t="n">
        <f aca="false">MAX(0,O15)</f>
        <v>0</v>
      </c>
      <c r="AC15" s="1" t="n">
        <f aca="false">SUM(P15:AA15)</f>
        <v>0</v>
      </c>
      <c r="AD15" s="1" t="n">
        <f aca="false">'Plan cashflow'!L15</f>
        <v>0</v>
      </c>
      <c r="AE15" s="1" t="n">
        <f aca="false">IF(AD15&gt;0.5,AD15+AD15*(D_iC)-MIN(F_CardPayM,AD15+AD15*(D_iC)),AD15)</f>
        <v>0</v>
      </c>
      <c r="AF15" s="1" t="n">
        <f aca="false">IF(AE15&gt;0.5,AE15+AE15*(D_iC)-MIN(F_CardPayM,AE15+AE15*(D_iC)),AE15)</f>
        <v>0</v>
      </c>
      <c r="AG15" s="1" t="n">
        <f aca="false">IF(AF15&gt;0.5,AF15+AF15*(D_iC)-MIN(F_CardPayM,AF15+AF15*(D_iC)),AF15)</f>
        <v>0</v>
      </c>
      <c r="AH15" s="1" t="n">
        <f aca="false">IF(AG15&gt;0.5,AG15+AG15*(D_iC)-MIN(F_CardPayM,AG15+AG15*(D_iC)),AG15)</f>
        <v>0</v>
      </c>
      <c r="AI15" s="1" t="n">
        <f aca="false">IF(AH15&gt;0.5,AH15+AH15*(D_iC)-MIN(F_CardPayM,AH15+AH15*(D_iC)),AH15)</f>
        <v>0</v>
      </c>
      <c r="AJ15" s="1" t="n">
        <f aca="false">IF(AI15&gt;0.5,AI15+AI15*(D_iC)-MIN(F_CardPayM,AI15+AI15*(D_iC)),AI15)</f>
        <v>0</v>
      </c>
      <c r="AK15" s="1" t="n">
        <f aca="false">IF(AJ15&gt;0.5,AJ15+AJ15*(D_iC)-MIN(F_CardPayM,AJ15+AJ15*(D_iC)),AJ15)</f>
        <v>0</v>
      </c>
      <c r="AL15" s="1" t="n">
        <f aca="false">IF(AK15&gt;0.5,AK15+AK15*(D_iC)-MIN(F_CardPayM,AK15+AK15*(D_iC)),AK15)</f>
        <v>0</v>
      </c>
      <c r="AM15" s="1" t="n">
        <f aca="false">IF(AL15&gt;0.5,AL15+AL15*(D_iC)-MIN(F_CardPayM,AL15+AL15*(D_iC)),AL15)</f>
        <v>0</v>
      </c>
      <c r="AN15" s="1" t="n">
        <f aca="false">IF(AM15&gt;0.5,AM15+AM15*(D_iC)-MIN(F_CardPayM,AM15+AM15*(D_iC)),AM15)</f>
        <v>0</v>
      </c>
      <c r="AO15" s="1" t="n">
        <f aca="false">IF(AN15&gt;0.5,AN15+AN15*(D_iC)-MIN(F_CardPayM,AN15+AN15*(D_iC)),AN15)</f>
        <v>0</v>
      </c>
      <c r="AP15" s="1" t="n">
        <f aca="false">IF(AO15&gt;0.5,AO15+AO15*(D_iC)-MIN(F_CardPayM,AO15+AO15*(D_iC)),AO15)</f>
        <v>0</v>
      </c>
      <c r="AQ15" s="1" t="n">
        <f aca="false">IF(AD15&gt;0.5,MIN(F_CardPayM,AD15+AD15*(D_iC)),0)</f>
        <v>0</v>
      </c>
      <c r="AR15" s="1" t="n">
        <f aca="false">IF(AE15&gt;0.5,MIN(F_CardPayM,AE15+AE15*(D_iC)),0)</f>
        <v>0</v>
      </c>
      <c r="AS15" s="1" t="n">
        <f aca="false">IF(AF15&gt;0.5,MIN(F_CardPayM,AF15+AF15*(D_iC)),0)</f>
        <v>0</v>
      </c>
      <c r="AT15" s="1" t="n">
        <f aca="false">IF(AG15&gt;0.5,MIN(F_CardPayM,AG15+AG15*(D_iC)),0)</f>
        <v>0</v>
      </c>
      <c r="AU15" s="1" t="n">
        <f aca="false">IF(AH15&gt;0.5,MIN(F_CardPayM,AH15+AH15*(D_iC)),0)</f>
        <v>0</v>
      </c>
      <c r="AV15" s="1" t="n">
        <f aca="false">IF(AI15&gt;0.5,MIN(F_CardPayM,AI15+AI15*(D_iC)),0)</f>
        <v>0</v>
      </c>
      <c r="AW15" s="1" t="n">
        <f aca="false">IF(AJ15&gt;0.5,MIN(F_CardPayM,AJ15+AJ15*(D_iC)),0)</f>
        <v>0</v>
      </c>
      <c r="AX15" s="1" t="n">
        <f aca="false">IF(AK15&gt;0.5,MIN(F_CardPayM,AK15+AK15*(D_iC)),0)</f>
        <v>0</v>
      </c>
      <c r="AY15" s="1" t="n">
        <f aca="false">IF(AL15&gt;0.5,MIN(F_CardPayM,AL15+AL15*(D_iC)),0)</f>
        <v>0</v>
      </c>
      <c r="AZ15" s="1" t="n">
        <f aca="false">IF(AM15&gt;0.5,MIN(F_CardPayM,AM15+AM15*(D_iC)),0)</f>
        <v>0</v>
      </c>
      <c r="BA15" s="1" t="n">
        <f aca="false">IF(AN15&gt;0.5,MIN(F_CardPayM,AN15+AN15*(D_iC)),0)</f>
        <v>0</v>
      </c>
      <c r="BB15" s="1" t="n">
        <f aca="false">IF(AO15&gt;0.5,MIN(F_CardPayM,AO15+AO15*(D_iC)),0)</f>
        <v>0</v>
      </c>
      <c r="BC15" s="1" t="n">
        <f aca="false">MAX(0,AP15)</f>
        <v>0</v>
      </c>
      <c r="BD15" s="1" t="n">
        <f aca="false">SUM(AQ15:BB15)</f>
        <v>0</v>
      </c>
      <c r="BE15" s="1" t="n">
        <f aca="false">'Plan cashflow'!O15</f>
        <v>0</v>
      </c>
      <c r="BF15" s="1" t="n">
        <f aca="false">IF(BE15&gt;0.5,BE15+BE15*(D_iL)-MIN(F_LoanPayM,BE15+BE15*(D_iL)),BE15)</f>
        <v>0</v>
      </c>
      <c r="BG15" s="1" t="n">
        <f aca="false">IF(BF15&gt;0.5,BF15+BF15*(D_iL)-MIN(F_LoanPayM,BF15+BF15*(D_iL)),BF15)</f>
        <v>0</v>
      </c>
      <c r="BH15" s="1" t="n">
        <f aca="false">IF(BG15&gt;0.5,BG15+BG15*(D_iL)-MIN(F_LoanPayM,BG15+BG15*(D_iL)),BG15)</f>
        <v>0</v>
      </c>
      <c r="BI15" s="1" t="n">
        <f aca="false">IF(BH15&gt;0.5,BH15+BH15*(D_iL)-MIN(F_LoanPayM,BH15+BH15*(D_iL)),BH15)</f>
        <v>0</v>
      </c>
      <c r="BJ15" s="1" t="n">
        <f aca="false">IF(BI15&gt;0.5,BI15+BI15*(D_iL)-MIN(F_LoanPayM,BI15+BI15*(D_iL)),BI15)</f>
        <v>0</v>
      </c>
      <c r="BK15" s="1" t="n">
        <f aca="false">IF(BJ15&gt;0.5,BJ15+BJ15*(D_iL)-MIN(F_LoanPayM,BJ15+BJ15*(D_iL)),BJ15)</f>
        <v>0</v>
      </c>
      <c r="BL15" s="1" t="n">
        <f aca="false">IF(BK15&gt;0.5,BK15+BK15*(D_iL)-MIN(F_LoanPayM,BK15+BK15*(D_iL)),BK15)</f>
        <v>0</v>
      </c>
      <c r="BM15" s="1" t="n">
        <f aca="false">IF(BL15&gt;0.5,BL15+BL15*(D_iL)-MIN(F_LoanPayM,BL15+BL15*(D_iL)),BL15)</f>
        <v>0</v>
      </c>
      <c r="BN15" s="1" t="n">
        <f aca="false">IF(BM15&gt;0.5,BM15+BM15*(D_iL)-MIN(F_LoanPayM,BM15+BM15*(D_iL)),BM15)</f>
        <v>0</v>
      </c>
      <c r="BO15" s="1" t="n">
        <f aca="false">IF(BN15&gt;0.5,BN15+BN15*(D_iL)-MIN(F_LoanPayM,BN15+BN15*(D_iL)),BN15)</f>
        <v>0</v>
      </c>
      <c r="BP15" s="1" t="n">
        <f aca="false">IF(BO15&gt;0.5,BO15+BO15*(D_iL)-MIN(F_LoanPayM,BO15+BO15*(D_iL)),BO15)</f>
        <v>0</v>
      </c>
      <c r="BQ15" s="1" t="n">
        <f aca="false">IF(BP15&gt;0.5,BP15+BP15*(D_iL)-MIN(F_LoanPayM,BP15+BP15*(D_iL)),BP15)</f>
        <v>0</v>
      </c>
      <c r="BR15" s="1" t="n">
        <f aca="false">IF(BE15&gt;0.5,MIN(F_LoanPayM,BE15+BE15*(D_iL)),0)</f>
        <v>0</v>
      </c>
      <c r="BS15" s="1" t="n">
        <f aca="false">IF(BF15&gt;0.5,MIN(F_LoanPayM,BF15+BF15*(D_iL)),0)</f>
        <v>0</v>
      </c>
      <c r="BT15" s="1" t="n">
        <f aca="false">IF(BG15&gt;0.5,MIN(F_LoanPayM,BG15+BG15*(D_iL)),0)</f>
        <v>0</v>
      </c>
      <c r="BU15" s="1" t="n">
        <f aca="false">IF(BH15&gt;0.5,MIN(F_LoanPayM,BH15+BH15*(D_iL)),0)</f>
        <v>0</v>
      </c>
      <c r="BV15" s="1" t="n">
        <f aca="false">IF(BI15&gt;0.5,MIN(F_LoanPayM,BI15+BI15*(D_iL)),0)</f>
        <v>0</v>
      </c>
      <c r="BW15" s="1" t="n">
        <f aca="false">IF(BJ15&gt;0.5,MIN(F_LoanPayM,BJ15+BJ15*(D_iL)),0)</f>
        <v>0</v>
      </c>
      <c r="BX15" s="1" t="n">
        <f aca="false">IF(BK15&gt;0.5,MIN(F_LoanPayM,BK15+BK15*(D_iL)),0)</f>
        <v>0</v>
      </c>
      <c r="BY15" s="1" t="n">
        <f aca="false">IF(BL15&gt;0.5,MIN(F_LoanPayM,BL15+BL15*(D_iL)),0)</f>
        <v>0</v>
      </c>
      <c r="BZ15" s="1" t="n">
        <f aca="false">IF(BM15&gt;0.5,MIN(F_LoanPayM,BM15+BM15*(D_iL)),0)</f>
        <v>0</v>
      </c>
      <c r="CA15" s="1" t="n">
        <f aca="false">IF(BN15&gt;0.5,MIN(F_LoanPayM,BN15+BN15*(D_iL)),0)</f>
        <v>0</v>
      </c>
      <c r="CB15" s="1" t="n">
        <f aca="false">IF(BO15&gt;0.5,MIN(F_LoanPayM,BO15+BO15*(D_iL)),0)</f>
        <v>0</v>
      </c>
      <c r="CC15" s="1" t="n">
        <f aca="false">IF(BP15&gt;0.5,MIN(F_LoanPayM,BP15+BP15*(D_iL)),0)</f>
        <v>0</v>
      </c>
      <c r="CD15" s="1" t="n">
        <f aca="false">MAX(0,BQ15)</f>
        <v>0</v>
      </c>
      <c r="CE15" s="1" t="n">
        <f aca="false">SUM(BR15:CC15)</f>
        <v>0</v>
      </c>
      <c r="CF15" s="1" t="n">
        <f aca="false">IF(CF14&gt;1,DE14,CF14)</f>
        <v>0</v>
      </c>
      <c r="CG15" s="1" t="n">
        <f aca="false">IF(CF15&gt;0.5,CF15+CF15*(F_MR/12)-MIN(F_MortPayM,CF15+CF15*(F_MR/12)),CF15)</f>
        <v>0</v>
      </c>
      <c r="CH15" s="1" t="n">
        <f aca="false">IF(CG15&gt;0.5,CG15+CG15*(F_MR/12)-MIN(F_MortPayM,CG15+CG15*(F_MR/12)),CG15)</f>
        <v>0</v>
      </c>
      <c r="CI15" s="1" t="n">
        <f aca="false">IF(CH15&gt;0.5,CH15+CH15*(F_MR/12)-MIN(F_MortPayM,CH15+CH15*(F_MR/12)),CH15)</f>
        <v>0</v>
      </c>
      <c r="CJ15" s="1" t="n">
        <f aca="false">IF(CI15&gt;0.5,CI15+CI15*(F_MR/12)-MIN(F_MortPayM,CI15+CI15*(F_MR/12)),CI15)</f>
        <v>0</v>
      </c>
      <c r="CK15" s="1" t="n">
        <f aca="false">IF(CJ15&gt;0.5,CJ15+CJ15*(F_MR/12)-MIN(F_MortPayM,CJ15+CJ15*(F_MR/12)),CJ15)</f>
        <v>0</v>
      </c>
      <c r="CL15" s="1" t="n">
        <f aca="false">IF(CK15&gt;0.5,CK15+CK15*(F_MR/12)-MIN(F_MortPayM,CK15+CK15*(F_MR/12)),CK15)</f>
        <v>0</v>
      </c>
      <c r="CM15" s="1" t="n">
        <f aca="false">IF(CL15&gt;0.5,CL15+CL15*(F_MR/12)-MIN(F_MortPayM,CL15+CL15*(F_MR/12)),CL15)</f>
        <v>0</v>
      </c>
      <c r="CN15" s="1" t="n">
        <f aca="false">IF(CM15&gt;0.5,CM15+CM15*(F_MR/12)-MIN(F_MortPayM,CM15+CM15*(F_MR/12)),CM15)</f>
        <v>0</v>
      </c>
      <c r="CO15" s="1" t="n">
        <f aca="false">IF(CN15&gt;0.5,CN15+CN15*(F_MR/12)-MIN(F_MortPayM,CN15+CN15*(F_MR/12)),CN15)</f>
        <v>0</v>
      </c>
      <c r="CP15" s="1" t="n">
        <f aca="false">IF(CO15&gt;0.5,CO15+CO15*(F_MR/12)-MIN(F_MortPayM,CO15+CO15*(F_MR/12)),CO15)</f>
        <v>0</v>
      </c>
      <c r="CQ15" s="1" t="n">
        <f aca="false">IF(CP15&gt;0.5,CP15+CP15*(F_MR/12)-MIN(F_MortPayM,CP15+CP15*(F_MR/12)),CP15)</f>
        <v>0</v>
      </c>
      <c r="CR15" s="1" t="n">
        <f aca="false">IF(CQ15&gt;0.5,CQ15+CQ15*(F_MR/12)-MIN(F_MortPayM,CQ15+CQ15*(F_MR/12)),CQ15)</f>
        <v>0</v>
      </c>
      <c r="CS15" s="1" t="n">
        <f aca="false">IF(CF15&gt;0.5,MIN(F_MortPayM,CF15+CF15*(F_MR/12)),0)</f>
        <v>0</v>
      </c>
      <c r="CT15" s="1" t="n">
        <f aca="false">IF(CG15&gt;0.5,MIN(F_MortPayM,CG15+CG15*(F_MR/12)),0)</f>
        <v>0</v>
      </c>
      <c r="CU15" s="1" t="n">
        <f aca="false">IF(CH15&gt;0.5,MIN(F_MortPayM,CH15+CH15*(F_MR/12)),0)</f>
        <v>0</v>
      </c>
      <c r="CV15" s="1" t="n">
        <f aca="false">IF(CI15&gt;0.5,MIN(F_MortPayM,CI15+CI15*(F_MR/12)),0)</f>
        <v>0</v>
      </c>
      <c r="CW15" s="1" t="n">
        <f aca="false">IF(CJ15&gt;0.5,MIN(F_MortPayM,CJ15+CJ15*(F_MR/12)),0)</f>
        <v>0</v>
      </c>
      <c r="CX15" s="1" t="n">
        <f aca="false">IF(CK15&gt;0.5,MIN(F_MortPayM,CK15+CK15*(F_MR/12)),0)</f>
        <v>0</v>
      </c>
      <c r="CY15" s="1" t="n">
        <f aca="false">IF(CL15&gt;0.5,MIN(F_MortPayM,CL15+CL15*(F_MR/12)),0)</f>
        <v>0</v>
      </c>
      <c r="CZ15" s="1" t="n">
        <f aca="false">IF(CM15&gt;0.5,MIN(F_MortPayM,CM15+CM15*(F_MR/12)),0)</f>
        <v>0</v>
      </c>
      <c r="DA15" s="1" t="n">
        <f aca="false">IF(CN15&gt;0.5,MIN(F_MortPayM,CN15+CN15*(F_MR/12)),0)</f>
        <v>0</v>
      </c>
      <c r="DB15" s="1" t="n">
        <f aca="false">IF(CO15&gt;0.5,MIN(F_MortPayM,CO15+CO15*(F_MR/12)),0)</f>
        <v>0</v>
      </c>
      <c r="DC15" s="1" t="n">
        <f aca="false">IF(CP15&gt;0.5,MIN(F_MortPayM,CP15+CP15*(F_MR/12)),0)</f>
        <v>0</v>
      </c>
      <c r="DD15" s="1" t="n">
        <f aca="false">IF(CQ15&gt;0.5,MIN(F_MortPayM,CQ15+CQ15*(F_MR/12)),0)</f>
        <v>0</v>
      </c>
      <c r="DE15" s="1" t="n">
        <f aca="false">MAX(0,CR15)</f>
        <v>0</v>
      </c>
      <c r="DF15" s="1" t="n">
        <f aca="false">SUM(CS15:DD15)</f>
        <v>0</v>
      </c>
      <c r="DG15" s="1" t="n">
        <f aca="false">MAX(0,CF15)</f>
        <v>0</v>
      </c>
    </row>
    <row r="16" customFormat="false" ht="15" hidden="false" customHeight="false" outlineLevel="0" collapsed="false">
      <c r="B16" s="1" t="n">
        <v>8</v>
      </c>
      <c r="C16" s="1" t="n">
        <f aca="false">'Plan cashflow'!I16</f>
        <v>0</v>
      </c>
      <c r="D16" s="1" t="n">
        <f aca="false">IF(C16&gt;0.5,C16+C16*(F_MR/12)-MIN(F_MortPayM,C16+C16*(F_MR/12)),C16)</f>
        <v>0</v>
      </c>
      <c r="E16" s="1" t="n">
        <f aca="false">IF(D16&gt;0.5,D16+D16*(F_MR/12)-MIN(F_MortPayM,D16+D16*(F_MR/12)),D16)</f>
        <v>0</v>
      </c>
      <c r="F16" s="1" t="n">
        <f aca="false">IF(E16&gt;0.5,E16+E16*(F_MR/12)-MIN(F_MortPayM,E16+E16*(F_MR/12)),E16)</f>
        <v>0</v>
      </c>
      <c r="G16" s="1" t="n">
        <f aca="false">IF(F16&gt;0.5,F16+F16*(F_MR/12)-MIN(F_MortPayM,F16+F16*(F_MR/12)),F16)</f>
        <v>0</v>
      </c>
      <c r="H16" s="1" t="n">
        <f aca="false">IF(G16&gt;0.5,G16+G16*(F_MR/12)-MIN(F_MortPayM,G16+G16*(F_MR/12)),G16)</f>
        <v>0</v>
      </c>
      <c r="I16" s="1" t="n">
        <f aca="false">IF(H16&gt;0.5,H16+H16*(F_MR/12)-MIN(F_MortPayM,H16+H16*(F_MR/12)),H16)</f>
        <v>0</v>
      </c>
      <c r="J16" s="1" t="n">
        <f aca="false">IF(I16&gt;0.5,I16+I16*(F_MR/12)-MIN(F_MortPayM,I16+I16*(F_MR/12)),I16)</f>
        <v>0</v>
      </c>
      <c r="K16" s="1" t="n">
        <f aca="false">IF(J16&gt;0.5,J16+J16*(F_MR/12)-MIN(F_MortPayM,J16+J16*(F_MR/12)),J16)</f>
        <v>0</v>
      </c>
      <c r="L16" s="1" t="n">
        <f aca="false">IF(K16&gt;0.5,K16+K16*(F_MR/12)-MIN(F_MortPayM,K16+K16*(F_MR/12)),K16)</f>
        <v>0</v>
      </c>
      <c r="M16" s="1" t="n">
        <f aca="false">IF(L16&gt;0.5,L16+L16*(F_MR/12)-MIN(F_MortPayM,L16+L16*(F_MR/12)),L16)</f>
        <v>0</v>
      </c>
      <c r="N16" s="1" t="n">
        <f aca="false">IF(M16&gt;0.5,M16+M16*(F_MR/12)-MIN(F_MortPayM,M16+M16*(F_MR/12)),M16)</f>
        <v>0</v>
      </c>
      <c r="O16" s="1" t="n">
        <f aca="false">IF(N16&gt;0.5,N16+N16*(F_MR/12)-MIN(F_MortPayM,N16+N16*(F_MR/12)),N16)</f>
        <v>0</v>
      </c>
      <c r="P16" s="1" t="n">
        <f aca="false">IF(C16&gt;0.5,MIN(F_MortPayM,C16+C16*(F_MR/12)),0)</f>
        <v>0</v>
      </c>
      <c r="Q16" s="1" t="n">
        <f aca="false">IF(D16&gt;0.5,MIN(F_MortPayM,D16+D16*(F_MR/12)),0)</f>
        <v>0</v>
      </c>
      <c r="R16" s="1" t="n">
        <f aca="false">IF(E16&gt;0.5,MIN(F_MortPayM,E16+E16*(F_MR/12)),0)</f>
        <v>0</v>
      </c>
      <c r="S16" s="1" t="n">
        <f aca="false">IF(F16&gt;0.5,MIN(F_MortPayM,F16+F16*(F_MR/12)),0)</f>
        <v>0</v>
      </c>
      <c r="T16" s="1" t="n">
        <f aca="false">IF(G16&gt;0.5,MIN(F_MortPayM,G16+G16*(F_MR/12)),0)</f>
        <v>0</v>
      </c>
      <c r="U16" s="1" t="n">
        <f aca="false">IF(H16&gt;0.5,MIN(F_MortPayM,H16+H16*(F_MR/12)),0)</f>
        <v>0</v>
      </c>
      <c r="V16" s="1" t="n">
        <f aca="false">IF(I16&gt;0.5,MIN(F_MortPayM,I16+I16*(F_MR/12)),0)</f>
        <v>0</v>
      </c>
      <c r="W16" s="1" t="n">
        <f aca="false">IF(J16&gt;0.5,MIN(F_MortPayM,J16+J16*(F_MR/12)),0)</f>
        <v>0</v>
      </c>
      <c r="X16" s="1" t="n">
        <f aca="false">IF(K16&gt;0.5,MIN(F_MortPayM,K16+K16*(F_MR/12)),0)</f>
        <v>0</v>
      </c>
      <c r="Y16" s="1" t="n">
        <f aca="false">IF(L16&gt;0.5,MIN(F_MortPayM,L16+L16*(F_MR/12)),0)</f>
        <v>0</v>
      </c>
      <c r="Z16" s="1" t="n">
        <f aca="false">IF(M16&gt;0.5,MIN(F_MortPayM,M16+M16*(F_MR/12)),0)</f>
        <v>0</v>
      </c>
      <c r="AA16" s="1" t="n">
        <f aca="false">IF(N16&gt;0.5,MIN(F_MortPayM,N16+N16*(F_MR/12)),0)</f>
        <v>0</v>
      </c>
      <c r="AB16" s="1" t="n">
        <f aca="false">MAX(0,O16)</f>
        <v>0</v>
      </c>
      <c r="AC16" s="1" t="n">
        <f aca="false">SUM(P16:AA16)</f>
        <v>0</v>
      </c>
      <c r="AD16" s="1" t="n">
        <f aca="false">'Plan cashflow'!L16</f>
        <v>0</v>
      </c>
      <c r="AE16" s="1" t="n">
        <f aca="false">IF(AD16&gt;0.5,AD16+AD16*(D_iC)-MIN(F_CardPayM,AD16+AD16*(D_iC)),AD16)</f>
        <v>0</v>
      </c>
      <c r="AF16" s="1" t="n">
        <f aca="false">IF(AE16&gt;0.5,AE16+AE16*(D_iC)-MIN(F_CardPayM,AE16+AE16*(D_iC)),AE16)</f>
        <v>0</v>
      </c>
      <c r="AG16" s="1" t="n">
        <f aca="false">IF(AF16&gt;0.5,AF16+AF16*(D_iC)-MIN(F_CardPayM,AF16+AF16*(D_iC)),AF16)</f>
        <v>0</v>
      </c>
      <c r="AH16" s="1" t="n">
        <f aca="false">IF(AG16&gt;0.5,AG16+AG16*(D_iC)-MIN(F_CardPayM,AG16+AG16*(D_iC)),AG16)</f>
        <v>0</v>
      </c>
      <c r="AI16" s="1" t="n">
        <f aca="false">IF(AH16&gt;0.5,AH16+AH16*(D_iC)-MIN(F_CardPayM,AH16+AH16*(D_iC)),AH16)</f>
        <v>0</v>
      </c>
      <c r="AJ16" s="1" t="n">
        <f aca="false">IF(AI16&gt;0.5,AI16+AI16*(D_iC)-MIN(F_CardPayM,AI16+AI16*(D_iC)),AI16)</f>
        <v>0</v>
      </c>
      <c r="AK16" s="1" t="n">
        <f aca="false">IF(AJ16&gt;0.5,AJ16+AJ16*(D_iC)-MIN(F_CardPayM,AJ16+AJ16*(D_iC)),AJ16)</f>
        <v>0</v>
      </c>
      <c r="AL16" s="1" t="n">
        <f aca="false">IF(AK16&gt;0.5,AK16+AK16*(D_iC)-MIN(F_CardPayM,AK16+AK16*(D_iC)),AK16)</f>
        <v>0</v>
      </c>
      <c r="AM16" s="1" t="n">
        <f aca="false">IF(AL16&gt;0.5,AL16+AL16*(D_iC)-MIN(F_CardPayM,AL16+AL16*(D_iC)),AL16)</f>
        <v>0</v>
      </c>
      <c r="AN16" s="1" t="n">
        <f aca="false">IF(AM16&gt;0.5,AM16+AM16*(D_iC)-MIN(F_CardPayM,AM16+AM16*(D_iC)),AM16)</f>
        <v>0</v>
      </c>
      <c r="AO16" s="1" t="n">
        <f aca="false">IF(AN16&gt;0.5,AN16+AN16*(D_iC)-MIN(F_CardPayM,AN16+AN16*(D_iC)),AN16)</f>
        <v>0</v>
      </c>
      <c r="AP16" s="1" t="n">
        <f aca="false">IF(AO16&gt;0.5,AO16+AO16*(D_iC)-MIN(F_CardPayM,AO16+AO16*(D_iC)),AO16)</f>
        <v>0</v>
      </c>
      <c r="AQ16" s="1" t="n">
        <f aca="false">IF(AD16&gt;0.5,MIN(F_CardPayM,AD16+AD16*(D_iC)),0)</f>
        <v>0</v>
      </c>
      <c r="AR16" s="1" t="n">
        <f aca="false">IF(AE16&gt;0.5,MIN(F_CardPayM,AE16+AE16*(D_iC)),0)</f>
        <v>0</v>
      </c>
      <c r="AS16" s="1" t="n">
        <f aca="false">IF(AF16&gt;0.5,MIN(F_CardPayM,AF16+AF16*(D_iC)),0)</f>
        <v>0</v>
      </c>
      <c r="AT16" s="1" t="n">
        <f aca="false">IF(AG16&gt;0.5,MIN(F_CardPayM,AG16+AG16*(D_iC)),0)</f>
        <v>0</v>
      </c>
      <c r="AU16" s="1" t="n">
        <f aca="false">IF(AH16&gt;0.5,MIN(F_CardPayM,AH16+AH16*(D_iC)),0)</f>
        <v>0</v>
      </c>
      <c r="AV16" s="1" t="n">
        <f aca="false">IF(AI16&gt;0.5,MIN(F_CardPayM,AI16+AI16*(D_iC)),0)</f>
        <v>0</v>
      </c>
      <c r="AW16" s="1" t="n">
        <f aca="false">IF(AJ16&gt;0.5,MIN(F_CardPayM,AJ16+AJ16*(D_iC)),0)</f>
        <v>0</v>
      </c>
      <c r="AX16" s="1" t="n">
        <f aca="false">IF(AK16&gt;0.5,MIN(F_CardPayM,AK16+AK16*(D_iC)),0)</f>
        <v>0</v>
      </c>
      <c r="AY16" s="1" t="n">
        <f aca="false">IF(AL16&gt;0.5,MIN(F_CardPayM,AL16+AL16*(D_iC)),0)</f>
        <v>0</v>
      </c>
      <c r="AZ16" s="1" t="n">
        <f aca="false">IF(AM16&gt;0.5,MIN(F_CardPayM,AM16+AM16*(D_iC)),0)</f>
        <v>0</v>
      </c>
      <c r="BA16" s="1" t="n">
        <f aca="false">IF(AN16&gt;0.5,MIN(F_CardPayM,AN16+AN16*(D_iC)),0)</f>
        <v>0</v>
      </c>
      <c r="BB16" s="1" t="n">
        <f aca="false">IF(AO16&gt;0.5,MIN(F_CardPayM,AO16+AO16*(D_iC)),0)</f>
        <v>0</v>
      </c>
      <c r="BC16" s="1" t="n">
        <f aca="false">MAX(0,AP16)</f>
        <v>0</v>
      </c>
      <c r="BD16" s="1" t="n">
        <f aca="false">SUM(AQ16:BB16)</f>
        <v>0</v>
      </c>
      <c r="BE16" s="1" t="n">
        <f aca="false">'Plan cashflow'!O16</f>
        <v>0</v>
      </c>
      <c r="BF16" s="1" t="n">
        <f aca="false">IF(BE16&gt;0.5,BE16+BE16*(D_iL)-MIN(F_LoanPayM,BE16+BE16*(D_iL)),BE16)</f>
        <v>0</v>
      </c>
      <c r="BG16" s="1" t="n">
        <f aca="false">IF(BF16&gt;0.5,BF16+BF16*(D_iL)-MIN(F_LoanPayM,BF16+BF16*(D_iL)),BF16)</f>
        <v>0</v>
      </c>
      <c r="BH16" s="1" t="n">
        <f aca="false">IF(BG16&gt;0.5,BG16+BG16*(D_iL)-MIN(F_LoanPayM,BG16+BG16*(D_iL)),BG16)</f>
        <v>0</v>
      </c>
      <c r="BI16" s="1" t="n">
        <f aca="false">IF(BH16&gt;0.5,BH16+BH16*(D_iL)-MIN(F_LoanPayM,BH16+BH16*(D_iL)),BH16)</f>
        <v>0</v>
      </c>
      <c r="BJ16" s="1" t="n">
        <f aca="false">IF(BI16&gt;0.5,BI16+BI16*(D_iL)-MIN(F_LoanPayM,BI16+BI16*(D_iL)),BI16)</f>
        <v>0</v>
      </c>
      <c r="BK16" s="1" t="n">
        <f aca="false">IF(BJ16&gt;0.5,BJ16+BJ16*(D_iL)-MIN(F_LoanPayM,BJ16+BJ16*(D_iL)),BJ16)</f>
        <v>0</v>
      </c>
      <c r="BL16" s="1" t="n">
        <f aca="false">IF(BK16&gt;0.5,BK16+BK16*(D_iL)-MIN(F_LoanPayM,BK16+BK16*(D_iL)),BK16)</f>
        <v>0</v>
      </c>
      <c r="BM16" s="1" t="n">
        <f aca="false">IF(BL16&gt;0.5,BL16+BL16*(D_iL)-MIN(F_LoanPayM,BL16+BL16*(D_iL)),BL16)</f>
        <v>0</v>
      </c>
      <c r="BN16" s="1" t="n">
        <f aca="false">IF(BM16&gt;0.5,BM16+BM16*(D_iL)-MIN(F_LoanPayM,BM16+BM16*(D_iL)),BM16)</f>
        <v>0</v>
      </c>
      <c r="BO16" s="1" t="n">
        <f aca="false">IF(BN16&gt;0.5,BN16+BN16*(D_iL)-MIN(F_LoanPayM,BN16+BN16*(D_iL)),BN16)</f>
        <v>0</v>
      </c>
      <c r="BP16" s="1" t="n">
        <f aca="false">IF(BO16&gt;0.5,BO16+BO16*(D_iL)-MIN(F_LoanPayM,BO16+BO16*(D_iL)),BO16)</f>
        <v>0</v>
      </c>
      <c r="BQ16" s="1" t="n">
        <f aca="false">IF(BP16&gt;0.5,BP16+BP16*(D_iL)-MIN(F_LoanPayM,BP16+BP16*(D_iL)),BP16)</f>
        <v>0</v>
      </c>
      <c r="BR16" s="1" t="n">
        <f aca="false">IF(BE16&gt;0.5,MIN(F_LoanPayM,BE16+BE16*(D_iL)),0)</f>
        <v>0</v>
      </c>
      <c r="BS16" s="1" t="n">
        <f aca="false">IF(BF16&gt;0.5,MIN(F_LoanPayM,BF16+BF16*(D_iL)),0)</f>
        <v>0</v>
      </c>
      <c r="BT16" s="1" t="n">
        <f aca="false">IF(BG16&gt;0.5,MIN(F_LoanPayM,BG16+BG16*(D_iL)),0)</f>
        <v>0</v>
      </c>
      <c r="BU16" s="1" t="n">
        <f aca="false">IF(BH16&gt;0.5,MIN(F_LoanPayM,BH16+BH16*(D_iL)),0)</f>
        <v>0</v>
      </c>
      <c r="BV16" s="1" t="n">
        <f aca="false">IF(BI16&gt;0.5,MIN(F_LoanPayM,BI16+BI16*(D_iL)),0)</f>
        <v>0</v>
      </c>
      <c r="BW16" s="1" t="n">
        <f aca="false">IF(BJ16&gt;0.5,MIN(F_LoanPayM,BJ16+BJ16*(D_iL)),0)</f>
        <v>0</v>
      </c>
      <c r="BX16" s="1" t="n">
        <f aca="false">IF(BK16&gt;0.5,MIN(F_LoanPayM,BK16+BK16*(D_iL)),0)</f>
        <v>0</v>
      </c>
      <c r="BY16" s="1" t="n">
        <f aca="false">IF(BL16&gt;0.5,MIN(F_LoanPayM,BL16+BL16*(D_iL)),0)</f>
        <v>0</v>
      </c>
      <c r="BZ16" s="1" t="n">
        <f aca="false">IF(BM16&gt;0.5,MIN(F_LoanPayM,BM16+BM16*(D_iL)),0)</f>
        <v>0</v>
      </c>
      <c r="CA16" s="1" t="n">
        <f aca="false">IF(BN16&gt;0.5,MIN(F_LoanPayM,BN16+BN16*(D_iL)),0)</f>
        <v>0</v>
      </c>
      <c r="CB16" s="1" t="n">
        <f aca="false">IF(BO16&gt;0.5,MIN(F_LoanPayM,BO16+BO16*(D_iL)),0)</f>
        <v>0</v>
      </c>
      <c r="CC16" s="1" t="n">
        <f aca="false">IF(BP16&gt;0.5,MIN(F_LoanPayM,BP16+BP16*(D_iL)),0)</f>
        <v>0</v>
      </c>
      <c r="CD16" s="1" t="n">
        <f aca="false">MAX(0,BQ16)</f>
        <v>0</v>
      </c>
      <c r="CE16" s="1" t="n">
        <f aca="false">SUM(BR16:CC16)</f>
        <v>0</v>
      </c>
      <c r="CF16" s="1" t="n">
        <f aca="false">IF(CF15&gt;1,DE15,CF15)</f>
        <v>0</v>
      </c>
      <c r="CG16" s="1" t="n">
        <f aca="false">IF(CF16&gt;0.5,CF16+CF16*(F_MR/12)-MIN(F_MortPayM,CF16+CF16*(F_MR/12)),CF16)</f>
        <v>0</v>
      </c>
      <c r="CH16" s="1" t="n">
        <f aca="false">IF(CG16&gt;0.5,CG16+CG16*(F_MR/12)-MIN(F_MortPayM,CG16+CG16*(F_MR/12)),CG16)</f>
        <v>0</v>
      </c>
      <c r="CI16" s="1" t="n">
        <f aca="false">IF(CH16&gt;0.5,CH16+CH16*(F_MR/12)-MIN(F_MortPayM,CH16+CH16*(F_MR/12)),CH16)</f>
        <v>0</v>
      </c>
      <c r="CJ16" s="1" t="n">
        <f aca="false">IF(CI16&gt;0.5,CI16+CI16*(F_MR/12)-MIN(F_MortPayM,CI16+CI16*(F_MR/12)),CI16)</f>
        <v>0</v>
      </c>
      <c r="CK16" s="1" t="n">
        <f aca="false">IF(CJ16&gt;0.5,CJ16+CJ16*(F_MR/12)-MIN(F_MortPayM,CJ16+CJ16*(F_MR/12)),CJ16)</f>
        <v>0</v>
      </c>
      <c r="CL16" s="1" t="n">
        <f aca="false">IF(CK16&gt;0.5,CK16+CK16*(F_MR/12)-MIN(F_MortPayM,CK16+CK16*(F_MR/12)),CK16)</f>
        <v>0</v>
      </c>
      <c r="CM16" s="1" t="n">
        <f aca="false">IF(CL16&gt;0.5,CL16+CL16*(F_MR/12)-MIN(F_MortPayM,CL16+CL16*(F_MR/12)),CL16)</f>
        <v>0</v>
      </c>
      <c r="CN16" s="1" t="n">
        <f aca="false">IF(CM16&gt;0.5,CM16+CM16*(F_MR/12)-MIN(F_MortPayM,CM16+CM16*(F_MR/12)),CM16)</f>
        <v>0</v>
      </c>
      <c r="CO16" s="1" t="n">
        <f aca="false">IF(CN16&gt;0.5,CN16+CN16*(F_MR/12)-MIN(F_MortPayM,CN16+CN16*(F_MR/12)),CN16)</f>
        <v>0</v>
      </c>
      <c r="CP16" s="1" t="n">
        <f aca="false">IF(CO16&gt;0.5,CO16+CO16*(F_MR/12)-MIN(F_MortPayM,CO16+CO16*(F_MR/12)),CO16)</f>
        <v>0</v>
      </c>
      <c r="CQ16" s="1" t="n">
        <f aca="false">IF(CP16&gt;0.5,CP16+CP16*(F_MR/12)-MIN(F_MortPayM,CP16+CP16*(F_MR/12)),CP16)</f>
        <v>0</v>
      </c>
      <c r="CR16" s="1" t="n">
        <f aca="false">IF(CQ16&gt;0.5,CQ16+CQ16*(F_MR/12)-MIN(F_MortPayM,CQ16+CQ16*(F_MR/12)),CQ16)</f>
        <v>0</v>
      </c>
      <c r="CS16" s="1" t="n">
        <f aca="false">IF(CF16&gt;0.5,MIN(F_MortPayM,CF16+CF16*(F_MR/12)),0)</f>
        <v>0</v>
      </c>
      <c r="CT16" s="1" t="n">
        <f aca="false">IF(CG16&gt;0.5,MIN(F_MortPayM,CG16+CG16*(F_MR/12)),0)</f>
        <v>0</v>
      </c>
      <c r="CU16" s="1" t="n">
        <f aca="false">IF(CH16&gt;0.5,MIN(F_MortPayM,CH16+CH16*(F_MR/12)),0)</f>
        <v>0</v>
      </c>
      <c r="CV16" s="1" t="n">
        <f aca="false">IF(CI16&gt;0.5,MIN(F_MortPayM,CI16+CI16*(F_MR/12)),0)</f>
        <v>0</v>
      </c>
      <c r="CW16" s="1" t="n">
        <f aca="false">IF(CJ16&gt;0.5,MIN(F_MortPayM,CJ16+CJ16*(F_MR/12)),0)</f>
        <v>0</v>
      </c>
      <c r="CX16" s="1" t="n">
        <f aca="false">IF(CK16&gt;0.5,MIN(F_MortPayM,CK16+CK16*(F_MR/12)),0)</f>
        <v>0</v>
      </c>
      <c r="CY16" s="1" t="n">
        <f aca="false">IF(CL16&gt;0.5,MIN(F_MortPayM,CL16+CL16*(F_MR/12)),0)</f>
        <v>0</v>
      </c>
      <c r="CZ16" s="1" t="n">
        <f aca="false">IF(CM16&gt;0.5,MIN(F_MortPayM,CM16+CM16*(F_MR/12)),0)</f>
        <v>0</v>
      </c>
      <c r="DA16" s="1" t="n">
        <f aca="false">IF(CN16&gt;0.5,MIN(F_MortPayM,CN16+CN16*(F_MR/12)),0)</f>
        <v>0</v>
      </c>
      <c r="DB16" s="1" t="n">
        <f aca="false">IF(CO16&gt;0.5,MIN(F_MortPayM,CO16+CO16*(F_MR/12)),0)</f>
        <v>0</v>
      </c>
      <c r="DC16" s="1" t="n">
        <f aca="false">IF(CP16&gt;0.5,MIN(F_MortPayM,CP16+CP16*(F_MR/12)),0)</f>
        <v>0</v>
      </c>
      <c r="DD16" s="1" t="n">
        <f aca="false">IF(CQ16&gt;0.5,MIN(F_MortPayM,CQ16+CQ16*(F_MR/12)),0)</f>
        <v>0</v>
      </c>
      <c r="DE16" s="1" t="n">
        <f aca="false">MAX(0,CR16)</f>
        <v>0</v>
      </c>
      <c r="DF16" s="1" t="n">
        <f aca="false">SUM(CS16:DD16)</f>
        <v>0</v>
      </c>
      <c r="DG16" s="1" t="n">
        <f aca="false">MAX(0,CF16)</f>
        <v>0</v>
      </c>
    </row>
    <row r="17" customFormat="false" ht="15" hidden="false" customHeight="false" outlineLevel="0" collapsed="false">
      <c r="B17" s="1" t="n">
        <v>9</v>
      </c>
      <c r="C17" s="1" t="n">
        <f aca="false">'Plan cashflow'!I17</f>
        <v>0</v>
      </c>
      <c r="D17" s="1" t="n">
        <f aca="false">IF(C17&gt;0.5,C17+C17*(F_MR/12)-MIN(F_MortPayM,C17+C17*(F_MR/12)),C17)</f>
        <v>0</v>
      </c>
      <c r="E17" s="1" t="n">
        <f aca="false">IF(D17&gt;0.5,D17+D17*(F_MR/12)-MIN(F_MortPayM,D17+D17*(F_MR/12)),D17)</f>
        <v>0</v>
      </c>
      <c r="F17" s="1" t="n">
        <f aca="false">IF(E17&gt;0.5,E17+E17*(F_MR/12)-MIN(F_MortPayM,E17+E17*(F_MR/12)),E17)</f>
        <v>0</v>
      </c>
      <c r="G17" s="1" t="n">
        <f aca="false">IF(F17&gt;0.5,F17+F17*(F_MR/12)-MIN(F_MortPayM,F17+F17*(F_MR/12)),F17)</f>
        <v>0</v>
      </c>
      <c r="H17" s="1" t="n">
        <f aca="false">IF(G17&gt;0.5,G17+G17*(F_MR/12)-MIN(F_MortPayM,G17+G17*(F_MR/12)),G17)</f>
        <v>0</v>
      </c>
      <c r="I17" s="1" t="n">
        <f aca="false">IF(H17&gt;0.5,H17+H17*(F_MR/12)-MIN(F_MortPayM,H17+H17*(F_MR/12)),H17)</f>
        <v>0</v>
      </c>
      <c r="J17" s="1" t="n">
        <f aca="false">IF(I17&gt;0.5,I17+I17*(F_MR/12)-MIN(F_MortPayM,I17+I17*(F_MR/12)),I17)</f>
        <v>0</v>
      </c>
      <c r="K17" s="1" t="n">
        <f aca="false">IF(J17&gt;0.5,J17+J17*(F_MR/12)-MIN(F_MortPayM,J17+J17*(F_MR/12)),J17)</f>
        <v>0</v>
      </c>
      <c r="L17" s="1" t="n">
        <f aca="false">IF(K17&gt;0.5,K17+K17*(F_MR/12)-MIN(F_MortPayM,K17+K17*(F_MR/12)),K17)</f>
        <v>0</v>
      </c>
      <c r="M17" s="1" t="n">
        <f aca="false">IF(L17&gt;0.5,L17+L17*(F_MR/12)-MIN(F_MortPayM,L17+L17*(F_MR/12)),L17)</f>
        <v>0</v>
      </c>
      <c r="N17" s="1" t="n">
        <f aca="false">IF(M17&gt;0.5,M17+M17*(F_MR/12)-MIN(F_MortPayM,M17+M17*(F_MR/12)),M17)</f>
        <v>0</v>
      </c>
      <c r="O17" s="1" t="n">
        <f aca="false">IF(N17&gt;0.5,N17+N17*(F_MR/12)-MIN(F_MortPayM,N17+N17*(F_MR/12)),N17)</f>
        <v>0</v>
      </c>
      <c r="P17" s="1" t="n">
        <f aca="false">IF(C17&gt;0.5,MIN(F_MortPayM,C17+C17*(F_MR/12)),0)</f>
        <v>0</v>
      </c>
      <c r="Q17" s="1" t="n">
        <f aca="false">IF(D17&gt;0.5,MIN(F_MortPayM,D17+D17*(F_MR/12)),0)</f>
        <v>0</v>
      </c>
      <c r="R17" s="1" t="n">
        <f aca="false">IF(E17&gt;0.5,MIN(F_MortPayM,E17+E17*(F_MR/12)),0)</f>
        <v>0</v>
      </c>
      <c r="S17" s="1" t="n">
        <f aca="false">IF(F17&gt;0.5,MIN(F_MortPayM,F17+F17*(F_MR/12)),0)</f>
        <v>0</v>
      </c>
      <c r="T17" s="1" t="n">
        <f aca="false">IF(G17&gt;0.5,MIN(F_MortPayM,G17+G17*(F_MR/12)),0)</f>
        <v>0</v>
      </c>
      <c r="U17" s="1" t="n">
        <f aca="false">IF(H17&gt;0.5,MIN(F_MortPayM,H17+H17*(F_MR/12)),0)</f>
        <v>0</v>
      </c>
      <c r="V17" s="1" t="n">
        <f aca="false">IF(I17&gt;0.5,MIN(F_MortPayM,I17+I17*(F_MR/12)),0)</f>
        <v>0</v>
      </c>
      <c r="W17" s="1" t="n">
        <f aca="false">IF(J17&gt;0.5,MIN(F_MortPayM,J17+J17*(F_MR/12)),0)</f>
        <v>0</v>
      </c>
      <c r="X17" s="1" t="n">
        <f aca="false">IF(K17&gt;0.5,MIN(F_MortPayM,K17+K17*(F_MR/12)),0)</f>
        <v>0</v>
      </c>
      <c r="Y17" s="1" t="n">
        <f aca="false">IF(L17&gt;0.5,MIN(F_MortPayM,L17+L17*(F_MR/12)),0)</f>
        <v>0</v>
      </c>
      <c r="Z17" s="1" t="n">
        <f aca="false">IF(M17&gt;0.5,MIN(F_MortPayM,M17+M17*(F_MR/12)),0)</f>
        <v>0</v>
      </c>
      <c r="AA17" s="1" t="n">
        <f aca="false">IF(N17&gt;0.5,MIN(F_MortPayM,N17+N17*(F_MR/12)),0)</f>
        <v>0</v>
      </c>
      <c r="AB17" s="1" t="n">
        <f aca="false">MAX(0,O17)</f>
        <v>0</v>
      </c>
      <c r="AC17" s="1" t="n">
        <f aca="false">SUM(P17:AA17)</f>
        <v>0</v>
      </c>
      <c r="AD17" s="1" t="n">
        <f aca="false">'Plan cashflow'!L17</f>
        <v>0</v>
      </c>
      <c r="AE17" s="1" t="n">
        <f aca="false">IF(AD17&gt;0.5,AD17+AD17*(D_iC)-MIN(F_CardPayM,AD17+AD17*(D_iC)),AD17)</f>
        <v>0</v>
      </c>
      <c r="AF17" s="1" t="n">
        <f aca="false">IF(AE17&gt;0.5,AE17+AE17*(D_iC)-MIN(F_CardPayM,AE17+AE17*(D_iC)),AE17)</f>
        <v>0</v>
      </c>
      <c r="AG17" s="1" t="n">
        <f aca="false">IF(AF17&gt;0.5,AF17+AF17*(D_iC)-MIN(F_CardPayM,AF17+AF17*(D_iC)),AF17)</f>
        <v>0</v>
      </c>
      <c r="AH17" s="1" t="n">
        <f aca="false">IF(AG17&gt;0.5,AG17+AG17*(D_iC)-MIN(F_CardPayM,AG17+AG17*(D_iC)),AG17)</f>
        <v>0</v>
      </c>
      <c r="AI17" s="1" t="n">
        <f aca="false">IF(AH17&gt;0.5,AH17+AH17*(D_iC)-MIN(F_CardPayM,AH17+AH17*(D_iC)),AH17)</f>
        <v>0</v>
      </c>
      <c r="AJ17" s="1" t="n">
        <f aca="false">IF(AI17&gt;0.5,AI17+AI17*(D_iC)-MIN(F_CardPayM,AI17+AI17*(D_iC)),AI17)</f>
        <v>0</v>
      </c>
      <c r="AK17" s="1" t="n">
        <f aca="false">IF(AJ17&gt;0.5,AJ17+AJ17*(D_iC)-MIN(F_CardPayM,AJ17+AJ17*(D_iC)),AJ17)</f>
        <v>0</v>
      </c>
      <c r="AL17" s="1" t="n">
        <f aca="false">IF(AK17&gt;0.5,AK17+AK17*(D_iC)-MIN(F_CardPayM,AK17+AK17*(D_iC)),AK17)</f>
        <v>0</v>
      </c>
      <c r="AM17" s="1" t="n">
        <f aca="false">IF(AL17&gt;0.5,AL17+AL17*(D_iC)-MIN(F_CardPayM,AL17+AL17*(D_iC)),AL17)</f>
        <v>0</v>
      </c>
      <c r="AN17" s="1" t="n">
        <f aca="false">IF(AM17&gt;0.5,AM17+AM17*(D_iC)-MIN(F_CardPayM,AM17+AM17*(D_iC)),AM17)</f>
        <v>0</v>
      </c>
      <c r="AO17" s="1" t="n">
        <f aca="false">IF(AN17&gt;0.5,AN17+AN17*(D_iC)-MIN(F_CardPayM,AN17+AN17*(D_iC)),AN17)</f>
        <v>0</v>
      </c>
      <c r="AP17" s="1" t="n">
        <f aca="false">IF(AO17&gt;0.5,AO17+AO17*(D_iC)-MIN(F_CardPayM,AO17+AO17*(D_iC)),AO17)</f>
        <v>0</v>
      </c>
      <c r="AQ17" s="1" t="n">
        <f aca="false">IF(AD17&gt;0.5,MIN(F_CardPayM,AD17+AD17*(D_iC)),0)</f>
        <v>0</v>
      </c>
      <c r="AR17" s="1" t="n">
        <f aca="false">IF(AE17&gt;0.5,MIN(F_CardPayM,AE17+AE17*(D_iC)),0)</f>
        <v>0</v>
      </c>
      <c r="AS17" s="1" t="n">
        <f aca="false">IF(AF17&gt;0.5,MIN(F_CardPayM,AF17+AF17*(D_iC)),0)</f>
        <v>0</v>
      </c>
      <c r="AT17" s="1" t="n">
        <f aca="false">IF(AG17&gt;0.5,MIN(F_CardPayM,AG17+AG17*(D_iC)),0)</f>
        <v>0</v>
      </c>
      <c r="AU17" s="1" t="n">
        <f aca="false">IF(AH17&gt;0.5,MIN(F_CardPayM,AH17+AH17*(D_iC)),0)</f>
        <v>0</v>
      </c>
      <c r="AV17" s="1" t="n">
        <f aca="false">IF(AI17&gt;0.5,MIN(F_CardPayM,AI17+AI17*(D_iC)),0)</f>
        <v>0</v>
      </c>
      <c r="AW17" s="1" t="n">
        <f aca="false">IF(AJ17&gt;0.5,MIN(F_CardPayM,AJ17+AJ17*(D_iC)),0)</f>
        <v>0</v>
      </c>
      <c r="AX17" s="1" t="n">
        <f aca="false">IF(AK17&gt;0.5,MIN(F_CardPayM,AK17+AK17*(D_iC)),0)</f>
        <v>0</v>
      </c>
      <c r="AY17" s="1" t="n">
        <f aca="false">IF(AL17&gt;0.5,MIN(F_CardPayM,AL17+AL17*(D_iC)),0)</f>
        <v>0</v>
      </c>
      <c r="AZ17" s="1" t="n">
        <f aca="false">IF(AM17&gt;0.5,MIN(F_CardPayM,AM17+AM17*(D_iC)),0)</f>
        <v>0</v>
      </c>
      <c r="BA17" s="1" t="n">
        <f aca="false">IF(AN17&gt;0.5,MIN(F_CardPayM,AN17+AN17*(D_iC)),0)</f>
        <v>0</v>
      </c>
      <c r="BB17" s="1" t="n">
        <f aca="false">IF(AO17&gt;0.5,MIN(F_CardPayM,AO17+AO17*(D_iC)),0)</f>
        <v>0</v>
      </c>
      <c r="BC17" s="1" t="n">
        <f aca="false">MAX(0,AP17)</f>
        <v>0</v>
      </c>
      <c r="BD17" s="1" t="n">
        <f aca="false">SUM(AQ17:BB17)</f>
        <v>0</v>
      </c>
      <c r="BE17" s="1" t="n">
        <f aca="false">'Plan cashflow'!O17</f>
        <v>0</v>
      </c>
      <c r="BF17" s="1" t="n">
        <f aca="false">IF(BE17&gt;0.5,BE17+BE17*(D_iL)-MIN(F_LoanPayM,BE17+BE17*(D_iL)),BE17)</f>
        <v>0</v>
      </c>
      <c r="BG17" s="1" t="n">
        <f aca="false">IF(BF17&gt;0.5,BF17+BF17*(D_iL)-MIN(F_LoanPayM,BF17+BF17*(D_iL)),BF17)</f>
        <v>0</v>
      </c>
      <c r="BH17" s="1" t="n">
        <f aca="false">IF(BG17&gt;0.5,BG17+BG17*(D_iL)-MIN(F_LoanPayM,BG17+BG17*(D_iL)),BG17)</f>
        <v>0</v>
      </c>
      <c r="BI17" s="1" t="n">
        <f aca="false">IF(BH17&gt;0.5,BH17+BH17*(D_iL)-MIN(F_LoanPayM,BH17+BH17*(D_iL)),BH17)</f>
        <v>0</v>
      </c>
      <c r="BJ17" s="1" t="n">
        <f aca="false">IF(BI17&gt;0.5,BI17+BI17*(D_iL)-MIN(F_LoanPayM,BI17+BI17*(D_iL)),BI17)</f>
        <v>0</v>
      </c>
      <c r="BK17" s="1" t="n">
        <f aca="false">IF(BJ17&gt;0.5,BJ17+BJ17*(D_iL)-MIN(F_LoanPayM,BJ17+BJ17*(D_iL)),BJ17)</f>
        <v>0</v>
      </c>
      <c r="BL17" s="1" t="n">
        <f aca="false">IF(BK17&gt;0.5,BK17+BK17*(D_iL)-MIN(F_LoanPayM,BK17+BK17*(D_iL)),BK17)</f>
        <v>0</v>
      </c>
      <c r="BM17" s="1" t="n">
        <f aca="false">IF(BL17&gt;0.5,BL17+BL17*(D_iL)-MIN(F_LoanPayM,BL17+BL17*(D_iL)),BL17)</f>
        <v>0</v>
      </c>
      <c r="BN17" s="1" t="n">
        <f aca="false">IF(BM17&gt;0.5,BM17+BM17*(D_iL)-MIN(F_LoanPayM,BM17+BM17*(D_iL)),BM17)</f>
        <v>0</v>
      </c>
      <c r="BO17" s="1" t="n">
        <f aca="false">IF(BN17&gt;0.5,BN17+BN17*(D_iL)-MIN(F_LoanPayM,BN17+BN17*(D_iL)),BN17)</f>
        <v>0</v>
      </c>
      <c r="BP17" s="1" t="n">
        <f aca="false">IF(BO17&gt;0.5,BO17+BO17*(D_iL)-MIN(F_LoanPayM,BO17+BO17*(D_iL)),BO17)</f>
        <v>0</v>
      </c>
      <c r="BQ17" s="1" t="n">
        <f aca="false">IF(BP17&gt;0.5,BP17+BP17*(D_iL)-MIN(F_LoanPayM,BP17+BP17*(D_iL)),BP17)</f>
        <v>0</v>
      </c>
      <c r="BR17" s="1" t="n">
        <f aca="false">IF(BE17&gt;0.5,MIN(F_LoanPayM,BE17+BE17*(D_iL)),0)</f>
        <v>0</v>
      </c>
      <c r="BS17" s="1" t="n">
        <f aca="false">IF(BF17&gt;0.5,MIN(F_LoanPayM,BF17+BF17*(D_iL)),0)</f>
        <v>0</v>
      </c>
      <c r="BT17" s="1" t="n">
        <f aca="false">IF(BG17&gt;0.5,MIN(F_LoanPayM,BG17+BG17*(D_iL)),0)</f>
        <v>0</v>
      </c>
      <c r="BU17" s="1" t="n">
        <f aca="false">IF(BH17&gt;0.5,MIN(F_LoanPayM,BH17+BH17*(D_iL)),0)</f>
        <v>0</v>
      </c>
      <c r="BV17" s="1" t="n">
        <f aca="false">IF(BI17&gt;0.5,MIN(F_LoanPayM,BI17+BI17*(D_iL)),0)</f>
        <v>0</v>
      </c>
      <c r="BW17" s="1" t="n">
        <f aca="false">IF(BJ17&gt;0.5,MIN(F_LoanPayM,BJ17+BJ17*(D_iL)),0)</f>
        <v>0</v>
      </c>
      <c r="BX17" s="1" t="n">
        <f aca="false">IF(BK17&gt;0.5,MIN(F_LoanPayM,BK17+BK17*(D_iL)),0)</f>
        <v>0</v>
      </c>
      <c r="BY17" s="1" t="n">
        <f aca="false">IF(BL17&gt;0.5,MIN(F_LoanPayM,BL17+BL17*(D_iL)),0)</f>
        <v>0</v>
      </c>
      <c r="BZ17" s="1" t="n">
        <f aca="false">IF(BM17&gt;0.5,MIN(F_LoanPayM,BM17+BM17*(D_iL)),0)</f>
        <v>0</v>
      </c>
      <c r="CA17" s="1" t="n">
        <f aca="false">IF(BN17&gt;0.5,MIN(F_LoanPayM,BN17+BN17*(D_iL)),0)</f>
        <v>0</v>
      </c>
      <c r="CB17" s="1" t="n">
        <f aca="false">IF(BO17&gt;0.5,MIN(F_LoanPayM,BO17+BO17*(D_iL)),0)</f>
        <v>0</v>
      </c>
      <c r="CC17" s="1" t="n">
        <f aca="false">IF(BP17&gt;0.5,MIN(F_LoanPayM,BP17+BP17*(D_iL)),0)</f>
        <v>0</v>
      </c>
      <c r="CD17" s="1" t="n">
        <f aca="false">MAX(0,BQ17)</f>
        <v>0</v>
      </c>
      <c r="CE17" s="1" t="n">
        <f aca="false">SUM(BR17:CC17)</f>
        <v>0</v>
      </c>
      <c r="CF17" s="1" t="n">
        <f aca="false">IF(CF16&gt;1,DE16,CF16)</f>
        <v>0</v>
      </c>
      <c r="CG17" s="1" t="n">
        <f aca="false">IF(CF17&gt;0.5,CF17+CF17*(F_MR/12)-MIN(F_MortPayM,CF17+CF17*(F_MR/12)),CF17)</f>
        <v>0</v>
      </c>
      <c r="CH17" s="1" t="n">
        <f aca="false">IF(CG17&gt;0.5,CG17+CG17*(F_MR/12)-MIN(F_MortPayM,CG17+CG17*(F_MR/12)),CG17)</f>
        <v>0</v>
      </c>
      <c r="CI17" s="1" t="n">
        <f aca="false">IF(CH17&gt;0.5,CH17+CH17*(F_MR/12)-MIN(F_MortPayM,CH17+CH17*(F_MR/12)),CH17)</f>
        <v>0</v>
      </c>
      <c r="CJ17" s="1" t="n">
        <f aca="false">IF(CI17&gt;0.5,CI17+CI17*(F_MR/12)-MIN(F_MortPayM,CI17+CI17*(F_MR/12)),CI17)</f>
        <v>0</v>
      </c>
      <c r="CK17" s="1" t="n">
        <f aca="false">IF(CJ17&gt;0.5,CJ17+CJ17*(F_MR/12)-MIN(F_MortPayM,CJ17+CJ17*(F_MR/12)),CJ17)</f>
        <v>0</v>
      </c>
      <c r="CL17" s="1" t="n">
        <f aca="false">IF(CK17&gt;0.5,CK17+CK17*(F_MR/12)-MIN(F_MortPayM,CK17+CK17*(F_MR/12)),CK17)</f>
        <v>0</v>
      </c>
      <c r="CM17" s="1" t="n">
        <f aca="false">IF(CL17&gt;0.5,CL17+CL17*(F_MR/12)-MIN(F_MortPayM,CL17+CL17*(F_MR/12)),CL17)</f>
        <v>0</v>
      </c>
      <c r="CN17" s="1" t="n">
        <f aca="false">IF(CM17&gt;0.5,CM17+CM17*(F_MR/12)-MIN(F_MortPayM,CM17+CM17*(F_MR/12)),CM17)</f>
        <v>0</v>
      </c>
      <c r="CO17" s="1" t="n">
        <f aca="false">IF(CN17&gt;0.5,CN17+CN17*(F_MR/12)-MIN(F_MortPayM,CN17+CN17*(F_MR/12)),CN17)</f>
        <v>0</v>
      </c>
      <c r="CP17" s="1" t="n">
        <f aca="false">IF(CO17&gt;0.5,CO17+CO17*(F_MR/12)-MIN(F_MortPayM,CO17+CO17*(F_MR/12)),CO17)</f>
        <v>0</v>
      </c>
      <c r="CQ17" s="1" t="n">
        <f aca="false">IF(CP17&gt;0.5,CP17+CP17*(F_MR/12)-MIN(F_MortPayM,CP17+CP17*(F_MR/12)),CP17)</f>
        <v>0</v>
      </c>
      <c r="CR17" s="1" t="n">
        <f aca="false">IF(CQ17&gt;0.5,CQ17+CQ17*(F_MR/12)-MIN(F_MortPayM,CQ17+CQ17*(F_MR/12)),CQ17)</f>
        <v>0</v>
      </c>
      <c r="CS17" s="1" t="n">
        <f aca="false">IF(CF17&gt;0.5,MIN(F_MortPayM,CF17+CF17*(F_MR/12)),0)</f>
        <v>0</v>
      </c>
      <c r="CT17" s="1" t="n">
        <f aca="false">IF(CG17&gt;0.5,MIN(F_MortPayM,CG17+CG17*(F_MR/12)),0)</f>
        <v>0</v>
      </c>
      <c r="CU17" s="1" t="n">
        <f aca="false">IF(CH17&gt;0.5,MIN(F_MortPayM,CH17+CH17*(F_MR/12)),0)</f>
        <v>0</v>
      </c>
      <c r="CV17" s="1" t="n">
        <f aca="false">IF(CI17&gt;0.5,MIN(F_MortPayM,CI17+CI17*(F_MR/12)),0)</f>
        <v>0</v>
      </c>
      <c r="CW17" s="1" t="n">
        <f aca="false">IF(CJ17&gt;0.5,MIN(F_MortPayM,CJ17+CJ17*(F_MR/12)),0)</f>
        <v>0</v>
      </c>
      <c r="CX17" s="1" t="n">
        <f aca="false">IF(CK17&gt;0.5,MIN(F_MortPayM,CK17+CK17*(F_MR/12)),0)</f>
        <v>0</v>
      </c>
      <c r="CY17" s="1" t="n">
        <f aca="false">IF(CL17&gt;0.5,MIN(F_MortPayM,CL17+CL17*(F_MR/12)),0)</f>
        <v>0</v>
      </c>
      <c r="CZ17" s="1" t="n">
        <f aca="false">IF(CM17&gt;0.5,MIN(F_MortPayM,CM17+CM17*(F_MR/12)),0)</f>
        <v>0</v>
      </c>
      <c r="DA17" s="1" t="n">
        <f aca="false">IF(CN17&gt;0.5,MIN(F_MortPayM,CN17+CN17*(F_MR/12)),0)</f>
        <v>0</v>
      </c>
      <c r="DB17" s="1" t="n">
        <f aca="false">IF(CO17&gt;0.5,MIN(F_MortPayM,CO17+CO17*(F_MR/12)),0)</f>
        <v>0</v>
      </c>
      <c r="DC17" s="1" t="n">
        <f aca="false">IF(CP17&gt;0.5,MIN(F_MortPayM,CP17+CP17*(F_MR/12)),0)</f>
        <v>0</v>
      </c>
      <c r="DD17" s="1" t="n">
        <f aca="false">IF(CQ17&gt;0.5,MIN(F_MortPayM,CQ17+CQ17*(F_MR/12)),0)</f>
        <v>0</v>
      </c>
      <c r="DE17" s="1" t="n">
        <f aca="false">MAX(0,CR17)</f>
        <v>0</v>
      </c>
      <c r="DF17" s="1" t="n">
        <f aca="false">SUM(CS17:DD17)</f>
        <v>0</v>
      </c>
      <c r="DG17" s="1" t="n">
        <f aca="false">MAX(0,CF17)</f>
        <v>0</v>
      </c>
    </row>
    <row r="18" customFormat="false" ht="15" hidden="false" customHeight="false" outlineLevel="0" collapsed="false">
      <c r="B18" s="1" t="n">
        <v>10</v>
      </c>
      <c r="C18" s="1" t="n">
        <f aca="false">'Plan cashflow'!I18</f>
        <v>0</v>
      </c>
      <c r="D18" s="1" t="n">
        <f aca="false">IF(C18&gt;0.5,C18+C18*(F_MR/12)-MIN(F_MortPayM,C18+C18*(F_MR/12)),C18)</f>
        <v>0</v>
      </c>
      <c r="E18" s="1" t="n">
        <f aca="false">IF(D18&gt;0.5,D18+D18*(F_MR/12)-MIN(F_MortPayM,D18+D18*(F_MR/12)),D18)</f>
        <v>0</v>
      </c>
      <c r="F18" s="1" t="n">
        <f aca="false">IF(E18&gt;0.5,E18+E18*(F_MR/12)-MIN(F_MortPayM,E18+E18*(F_MR/12)),E18)</f>
        <v>0</v>
      </c>
      <c r="G18" s="1" t="n">
        <f aca="false">IF(F18&gt;0.5,F18+F18*(F_MR/12)-MIN(F_MortPayM,F18+F18*(F_MR/12)),F18)</f>
        <v>0</v>
      </c>
      <c r="H18" s="1" t="n">
        <f aca="false">IF(G18&gt;0.5,G18+G18*(F_MR/12)-MIN(F_MortPayM,G18+G18*(F_MR/12)),G18)</f>
        <v>0</v>
      </c>
      <c r="I18" s="1" t="n">
        <f aca="false">IF(H18&gt;0.5,H18+H18*(F_MR/12)-MIN(F_MortPayM,H18+H18*(F_MR/12)),H18)</f>
        <v>0</v>
      </c>
      <c r="J18" s="1" t="n">
        <f aca="false">IF(I18&gt;0.5,I18+I18*(F_MR/12)-MIN(F_MortPayM,I18+I18*(F_MR/12)),I18)</f>
        <v>0</v>
      </c>
      <c r="K18" s="1" t="n">
        <f aca="false">IF(J18&gt;0.5,J18+J18*(F_MR/12)-MIN(F_MortPayM,J18+J18*(F_MR/12)),J18)</f>
        <v>0</v>
      </c>
      <c r="L18" s="1" t="n">
        <f aca="false">IF(K18&gt;0.5,K18+K18*(F_MR/12)-MIN(F_MortPayM,K18+K18*(F_MR/12)),K18)</f>
        <v>0</v>
      </c>
      <c r="M18" s="1" t="n">
        <f aca="false">IF(L18&gt;0.5,L18+L18*(F_MR/12)-MIN(F_MortPayM,L18+L18*(F_MR/12)),L18)</f>
        <v>0</v>
      </c>
      <c r="N18" s="1" t="n">
        <f aca="false">IF(M18&gt;0.5,M18+M18*(F_MR/12)-MIN(F_MortPayM,M18+M18*(F_MR/12)),M18)</f>
        <v>0</v>
      </c>
      <c r="O18" s="1" t="n">
        <f aca="false">IF(N18&gt;0.5,N18+N18*(F_MR/12)-MIN(F_MortPayM,N18+N18*(F_MR/12)),N18)</f>
        <v>0</v>
      </c>
      <c r="P18" s="1" t="n">
        <f aca="false">IF(C18&gt;0.5,MIN(F_MortPayM,C18+C18*(F_MR/12)),0)</f>
        <v>0</v>
      </c>
      <c r="Q18" s="1" t="n">
        <f aca="false">IF(D18&gt;0.5,MIN(F_MortPayM,D18+D18*(F_MR/12)),0)</f>
        <v>0</v>
      </c>
      <c r="R18" s="1" t="n">
        <f aca="false">IF(E18&gt;0.5,MIN(F_MortPayM,E18+E18*(F_MR/12)),0)</f>
        <v>0</v>
      </c>
      <c r="S18" s="1" t="n">
        <f aca="false">IF(F18&gt;0.5,MIN(F_MortPayM,F18+F18*(F_MR/12)),0)</f>
        <v>0</v>
      </c>
      <c r="T18" s="1" t="n">
        <f aca="false">IF(G18&gt;0.5,MIN(F_MortPayM,G18+G18*(F_MR/12)),0)</f>
        <v>0</v>
      </c>
      <c r="U18" s="1" t="n">
        <f aca="false">IF(H18&gt;0.5,MIN(F_MortPayM,H18+H18*(F_MR/12)),0)</f>
        <v>0</v>
      </c>
      <c r="V18" s="1" t="n">
        <f aca="false">IF(I18&gt;0.5,MIN(F_MortPayM,I18+I18*(F_MR/12)),0)</f>
        <v>0</v>
      </c>
      <c r="W18" s="1" t="n">
        <f aca="false">IF(J18&gt;0.5,MIN(F_MortPayM,J18+J18*(F_MR/12)),0)</f>
        <v>0</v>
      </c>
      <c r="X18" s="1" t="n">
        <f aca="false">IF(K18&gt;0.5,MIN(F_MortPayM,K18+K18*(F_MR/12)),0)</f>
        <v>0</v>
      </c>
      <c r="Y18" s="1" t="n">
        <f aca="false">IF(L18&gt;0.5,MIN(F_MortPayM,L18+L18*(F_MR/12)),0)</f>
        <v>0</v>
      </c>
      <c r="Z18" s="1" t="n">
        <f aca="false">IF(M18&gt;0.5,MIN(F_MortPayM,M18+M18*(F_MR/12)),0)</f>
        <v>0</v>
      </c>
      <c r="AA18" s="1" t="n">
        <f aca="false">IF(N18&gt;0.5,MIN(F_MortPayM,N18+N18*(F_MR/12)),0)</f>
        <v>0</v>
      </c>
      <c r="AB18" s="1" t="n">
        <f aca="false">MAX(0,O18)</f>
        <v>0</v>
      </c>
      <c r="AC18" s="1" t="n">
        <f aca="false">SUM(P18:AA18)</f>
        <v>0</v>
      </c>
      <c r="AD18" s="1" t="n">
        <f aca="false">'Plan cashflow'!L18</f>
        <v>0</v>
      </c>
      <c r="AE18" s="1" t="n">
        <f aca="false">IF(AD18&gt;0.5,AD18+AD18*(D_iC)-MIN(F_CardPayM,AD18+AD18*(D_iC)),AD18)</f>
        <v>0</v>
      </c>
      <c r="AF18" s="1" t="n">
        <f aca="false">IF(AE18&gt;0.5,AE18+AE18*(D_iC)-MIN(F_CardPayM,AE18+AE18*(D_iC)),AE18)</f>
        <v>0</v>
      </c>
      <c r="AG18" s="1" t="n">
        <f aca="false">IF(AF18&gt;0.5,AF18+AF18*(D_iC)-MIN(F_CardPayM,AF18+AF18*(D_iC)),AF18)</f>
        <v>0</v>
      </c>
      <c r="AH18" s="1" t="n">
        <f aca="false">IF(AG18&gt;0.5,AG18+AG18*(D_iC)-MIN(F_CardPayM,AG18+AG18*(D_iC)),AG18)</f>
        <v>0</v>
      </c>
      <c r="AI18" s="1" t="n">
        <f aca="false">IF(AH18&gt;0.5,AH18+AH18*(D_iC)-MIN(F_CardPayM,AH18+AH18*(D_iC)),AH18)</f>
        <v>0</v>
      </c>
      <c r="AJ18" s="1" t="n">
        <f aca="false">IF(AI18&gt;0.5,AI18+AI18*(D_iC)-MIN(F_CardPayM,AI18+AI18*(D_iC)),AI18)</f>
        <v>0</v>
      </c>
      <c r="AK18" s="1" t="n">
        <f aca="false">IF(AJ18&gt;0.5,AJ18+AJ18*(D_iC)-MIN(F_CardPayM,AJ18+AJ18*(D_iC)),AJ18)</f>
        <v>0</v>
      </c>
      <c r="AL18" s="1" t="n">
        <f aca="false">IF(AK18&gt;0.5,AK18+AK18*(D_iC)-MIN(F_CardPayM,AK18+AK18*(D_iC)),AK18)</f>
        <v>0</v>
      </c>
      <c r="AM18" s="1" t="n">
        <f aca="false">IF(AL18&gt;0.5,AL18+AL18*(D_iC)-MIN(F_CardPayM,AL18+AL18*(D_iC)),AL18)</f>
        <v>0</v>
      </c>
      <c r="AN18" s="1" t="n">
        <f aca="false">IF(AM18&gt;0.5,AM18+AM18*(D_iC)-MIN(F_CardPayM,AM18+AM18*(D_iC)),AM18)</f>
        <v>0</v>
      </c>
      <c r="AO18" s="1" t="n">
        <f aca="false">IF(AN18&gt;0.5,AN18+AN18*(D_iC)-MIN(F_CardPayM,AN18+AN18*(D_iC)),AN18)</f>
        <v>0</v>
      </c>
      <c r="AP18" s="1" t="n">
        <f aca="false">IF(AO18&gt;0.5,AO18+AO18*(D_iC)-MIN(F_CardPayM,AO18+AO18*(D_iC)),AO18)</f>
        <v>0</v>
      </c>
      <c r="AQ18" s="1" t="n">
        <f aca="false">IF(AD18&gt;0.5,MIN(F_CardPayM,AD18+AD18*(D_iC)),0)</f>
        <v>0</v>
      </c>
      <c r="AR18" s="1" t="n">
        <f aca="false">IF(AE18&gt;0.5,MIN(F_CardPayM,AE18+AE18*(D_iC)),0)</f>
        <v>0</v>
      </c>
      <c r="AS18" s="1" t="n">
        <f aca="false">IF(AF18&gt;0.5,MIN(F_CardPayM,AF18+AF18*(D_iC)),0)</f>
        <v>0</v>
      </c>
      <c r="AT18" s="1" t="n">
        <f aca="false">IF(AG18&gt;0.5,MIN(F_CardPayM,AG18+AG18*(D_iC)),0)</f>
        <v>0</v>
      </c>
      <c r="AU18" s="1" t="n">
        <f aca="false">IF(AH18&gt;0.5,MIN(F_CardPayM,AH18+AH18*(D_iC)),0)</f>
        <v>0</v>
      </c>
      <c r="AV18" s="1" t="n">
        <f aca="false">IF(AI18&gt;0.5,MIN(F_CardPayM,AI18+AI18*(D_iC)),0)</f>
        <v>0</v>
      </c>
      <c r="AW18" s="1" t="n">
        <f aca="false">IF(AJ18&gt;0.5,MIN(F_CardPayM,AJ18+AJ18*(D_iC)),0)</f>
        <v>0</v>
      </c>
      <c r="AX18" s="1" t="n">
        <f aca="false">IF(AK18&gt;0.5,MIN(F_CardPayM,AK18+AK18*(D_iC)),0)</f>
        <v>0</v>
      </c>
      <c r="AY18" s="1" t="n">
        <f aca="false">IF(AL18&gt;0.5,MIN(F_CardPayM,AL18+AL18*(D_iC)),0)</f>
        <v>0</v>
      </c>
      <c r="AZ18" s="1" t="n">
        <f aca="false">IF(AM18&gt;0.5,MIN(F_CardPayM,AM18+AM18*(D_iC)),0)</f>
        <v>0</v>
      </c>
      <c r="BA18" s="1" t="n">
        <f aca="false">IF(AN18&gt;0.5,MIN(F_CardPayM,AN18+AN18*(D_iC)),0)</f>
        <v>0</v>
      </c>
      <c r="BB18" s="1" t="n">
        <f aca="false">IF(AO18&gt;0.5,MIN(F_CardPayM,AO18+AO18*(D_iC)),0)</f>
        <v>0</v>
      </c>
      <c r="BC18" s="1" t="n">
        <f aca="false">MAX(0,AP18)</f>
        <v>0</v>
      </c>
      <c r="BD18" s="1" t="n">
        <f aca="false">SUM(AQ18:BB18)</f>
        <v>0</v>
      </c>
      <c r="BE18" s="1" t="n">
        <f aca="false">'Plan cashflow'!O18</f>
        <v>0</v>
      </c>
      <c r="BF18" s="1" t="n">
        <f aca="false">IF(BE18&gt;0.5,BE18+BE18*(D_iL)-MIN(F_LoanPayM,BE18+BE18*(D_iL)),BE18)</f>
        <v>0</v>
      </c>
      <c r="BG18" s="1" t="n">
        <f aca="false">IF(BF18&gt;0.5,BF18+BF18*(D_iL)-MIN(F_LoanPayM,BF18+BF18*(D_iL)),BF18)</f>
        <v>0</v>
      </c>
      <c r="BH18" s="1" t="n">
        <f aca="false">IF(BG18&gt;0.5,BG18+BG18*(D_iL)-MIN(F_LoanPayM,BG18+BG18*(D_iL)),BG18)</f>
        <v>0</v>
      </c>
      <c r="BI18" s="1" t="n">
        <f aca="false">IF(BH18&gt;0.5,BH18+BH18*(D_iL)-MIN(F_LoanPayM,BH18+BH18*(D_iL)),BH18)</f>
        <v>0</v>
      </c>
      <c r="BJ18" s="1" t="n">
        <f aca="false">IF(BI18&gt;0.5,BI18+BI18*(D_iL)-MIN(F_LoanPayM,BI18+BI18*(D_iL)),BI18)</f>
        <v>0</v>
      </c>
      <c r="BK18" s="1" t="n">
        <f aca="false">IF(BJ18&gt;0.5,BJ18+BJ18*(D_iL)-MIN(F_LoanPayM,BJ18+BJ18*(D_iL)),BJ18)</f>
        <v>0</v>
      </c>
      <c r="BL18" s="1" t="n">
        <f aca="false">IF(BK18&gt;0.5,BK18+BK18*(D_iL)-MIN(F_LoanPayM,BK18+BK18*(D_iL)),BK18)</f>
        <v>0</v>
      </c>
      <c r="BM18" s="1" t="n">
        <f aca="false">IF(BL18&gt;0.5,BL18+BL18*(D_iL)-MIN(F_LoanPayM,BL18+BL18*(D_iL)),BL18)</f>
        <v>0</v>
      </c>
      <c r="BN18" s="1" t="n">
        <f aca="false">IF(BM18&gt;0.5,BM18+BM18*(D_iL)-MIN(F_LoanPayM,BM18+BM18*(D_iL)),BM18)</f>
        <v>0</v>
      </c>
      <c r="BO18" s="1" t="n">
        <f aca="false">IF(BN18&gt;0.5,BN18+BN18*(D_iL)-MIN(F_LoanPayM,BN18+BN18*(D_iL)),BN18)</f>
        <v>0</v>
      </c>
      <c r="BP18" s="1" t="n">
        <f aca="false">IF(BO18&gt;0.5,BO18+BO18*(D_iL)-MIN(F_LoanPayM,BO18+BO18*(D_iL)),BO18)</f>
        <v>0</v>
      </c>
      <c r="BQ18" s="1" t="n">
        <f aca="false">IF(BP18&gt;0.5,BP18+BP18*(D_iL)-MIN(F_LoanPayM,BP18+BP18*(D_iL)),BP18)</f>
        <v>0</v>
      </c>
      <c r="BR18" s="1" t="n">
        <f aca="false">IF(BE18&gt;0.5,MIN(F_LoanPayM,BE18+BE18*(D_iL)),0)</f>
        <v>0</v>
      </c>
      <c r="BS18" s="1" t="n">
        <f aca="false">IF(BF18&gt;0.5,MIN(F_LoanPayM,BF18+BF18*(D_iL)),0)</f>
        <v>0</v>
      </c>
      <c r="BT18" s="1" t="n">
        <f aca="false">IF(BG18&gt;0.5,MIN(F_LoanPayM,BG18+BG18*(D_iL)),0)</f>
        <v>0</v>
      </c>
      <c r="BU18" s="1" t="n">
        <f aca="false">IF(BH18&gt;0.5,MIN(F_LoanPayM,BH18+BH18*(D_iL)),0)</f>
        <v>0</v>
      </c>
      <c r="BV18" s="1" t="n">
        <f aca="false">IF(BI18&gt;0.5,MIN(F_LoanPayM,BI18+BI18*(D_iL)),0)</f>
        <v>0</v>
      </c>
      <c r="BW18" s="1" t="n">
        <f aca="false">IF(BJ18&gt;0.5,MIN(F_LoanPayM,BJ18+BJ18*(D_iL)),0)</f>
        <v>0</v>
      </c>
      <c r="BX18" s="1" t="n">
        <f aca="false">IF(BK18&gt;0.5,MIN(F_LoanPayM,BK18+BK18*(D_iL)),0)</f>
        <v>0</v>
      </c>
      <c r="BY18" s="1" t="n">
        <f aca="false">IF(BL18&gt;0.5,MIN(F_LoanPayM,BL18+BL18*(D_iL)),0)</f>
        <v>0</v>
      </c>
      <c r="BZ18" s="1" t="n">
        <f aca="false">IF(BM18&gt;0.5,MIN(F_LoanPayM,BM18+BM18*(D_iL)),0)</f>
        <v>0</v>
      </c>
      <c r="CA18" s="1" t="n">
        <f aca="false">IF(BN18&gt;0.5,MIN(F_LoanPayM,BN18+BN18*(D_iL)),0)</f>
        <v>0</v>
      </c>
      <c r="CB18" s="1" t="n">
        <f aca="false">IF(BO18&gt;0.5,MIN(F_LoanPayM,BO18+BO18*(D_iL)),0)</f>
        <v>0</v>
      </c>
      <c r="CC18" s="1" t="n">
        <f aca="false">IF(BP18&gt;0.5,MIN(F_LoanPayM,BP18+BP18*(D_iL)),0)</f>
        <v>0</v>
      </c>
      <c r="CD18" s="1" t="n">
        <f aca="false">MAX(0,BQ18)</f>
        <v>0</v>
      </c>
      <c r="CE18" s="1" t="n">
        <f aca="false">SUM(BR18:CC18)</f>
        <v>0</v>
      </c>
      <c r="CF18" s="1" t="n">
        <f aca="false">IF(CF17&gt;1,DE17,CF17)</f>
        <v>0</v>
      </c>
      <c r="CG18" s="1" t="n">
        <f aca="false">IF(CF18&gt;0.5,CF18+CF18*(F_MR/12)-MIN(F_MortPayM,CF18+CF18*(F_MR/12)),CF18)</f>
        <v>0</v>
      </c>
      <c r="CH18" s="1" t="n">
        <f aca="false">IF(CG18&gt;0.5,CG18+CG18*(F_MR/12)-MIN(F_MortPayM,CG18+CG18*(F_MR/12)),CG18)</f>
        <v>0</v>
      </c>
      <c r="CI18" s="1" t="n">
        <f aca="false">IF(CH18&gt;0.5,CH18+CH18*(F_MR/12)-MIN(F_MortPayM,CH18+CH18*(F_MR/12)),CH18)</f>
        <v>0</v>
      </c>
      <c r="CJ18" s="1" t="n">
        <f aca="false">IF(CI18&gt;0.5,CI18+CI18*(F_MR/12)-MIN(F_MortPayM,CI18+CI18*(F_MR/12)),CI18)</f>
        <v>0</v>
      </c>
      <c r="CK18" s="1" t="n">
        <f aca="false">IF(CJ18&gt;0.5,CJ18+CJ18*(F_MR/12)-MIN(F_MortPayM,CJ18+CJ18*(F_MR/12)),CJ18)</f>
        <v>0</v>
      </c>
      <c r="CL18" s="1" t="n">
        <f aca="false">IF(CK18&gt;0.5,CK18+CK18*(F_MR/12)-MIN(F_MortPayM,CK18+CK18*(F_MR/12)),CK18)</f>
        <v>0</v>
      </c>
      <c r="CM18" s="1" t="n">
        <f aca="false">IF(CL18&gt;0.5,CL18+CL18*(F_MR/12)-MIN(F_MortPayM,CL18+CL18*(F_MR/12)),CL18)</f>
        <v>0</v>
      </c>
      <c r="CN18" s="1" t="n">
        <f aca="false">IF(CM18&gt;0.5,CM18+CM18*(F_MR/12)-MIN(F_MortPayM,CM18+CM18*(F_MR/12)),CM18)</f>
        <v>0</v>
      </c>
      <c r="CO18" s="1" t="n">
        <f aca="false">IF(CN18&gt;0.5,CN18+CN18*(F_MR/12)-MIN(F_MortPayM,CN18+CN18*(F_MR/12)),CN18)</f>
        <v>0</v>
      </c>
      <c r="CP18" s="1" t="n">
        <f aca="false">IF(CO18&gt;0.5,CO18+CO18*(F_MR/12)-MIN(F_MortPayM,CO18+CO18*(F_MR/12)),CO18)</f>
        <v>0</v>
      </c>
      <c r="CQ18" s="1" t="n">
        <f aca="false">IF(CP18&gt;0.5,CP18+CP18*(F_MR/12)-MIN(F_MortPayM,CP18+CP18*(F_MR/12)),CP18)</f>
        <v>0</v>
      </c>
      <c r="CR18" s="1" t="n">
        <f aca="false">IF(CQ18&gt;0.5,CQ18+CQ18*(F_MR/12)-MIN(F_MortPayM,CQ18+CQ18*(F_MR/12)),CQ18)</f>
        <v>0</v>
      </c>
      <c r="CS18" s="1" t="n">
        <f aca="false">IF(CF18&gt;0.5,MIN(F_MortPayM,CF18+CF18*(F_MR/12)),0)</f>
        <v>0</v>
      </c>
      <c r="CT18" s="1" t="n">
        <f aca="false">IF(CG18&gt;0.5,MIN(F_MortPayM,CG18+CG18*(F_MR/12)),0)</f>
        <v>0</v>
      </c>
      <c r="CU18" s="1" t="n">
        <f aca="false">IF(CH18&gt;0.5,MIN(F_MortPayM,CH18+CH18*(F_MR/12)),0)</f>
        <v>0</v>
      </c>
      <c r="CV18" s="1" t="n">
        <f aca="false">IF(CI18&gt;0.5,MIN(F_MortPayM,CI18+CI18*(F_MR/12)),0)</f>
        <v>0</v>
      </c>
      <c r="CW18" s="1" t="n">
        <f aca="false">IF(CJ18&gt;0.5,MIN(F_MortPayM,CJ18+CJ18*(F_MR/12)),0)</f>
        <v>0</v>
      </c>
      <c r="CX18" s="1" t="n">
        <f aca="false">IF(CK18&gt;0.5,MIN(F_MortPayM,CK18+CK18*(F_MR/12)),0)</f>
        <v>0</v>
      </c>
      <c r="CY18" s="1" t="n">
        <f aca="false">IF(CL18&gt;0.5,MIN(F_MortPayM,CL18+CL18*(F_MR/12)),0)</f>
        <v>0</v>
      </c>
      <c r="CZ18" s="1" t="n">
        <f aca="false">IF(CM18&gt;0.5,MIN(F_MortPayM,CM18+CM18*(F_MR/12)),0)</f>
        <v>0</v>
      </c>
      <c r="DA18" s="1" t="n">
        <f aca="false">IF(CN18&gt;0.5,MIN(F_MortPayM,CN18+CN18*(F_MR/12)),0)</f>
        <v>0</v>
      </c>
      <c r="DB18" s="1" t="n">
        <f aca="false">IF(CO18&gt;0.5,MIN(F_MortPayM,CO18+CO18*(F_MR/12)),0)</f>
        <v>0</v>
      </c>
      <c r="DC18" s="1" t="n">
        <f aca="false">IF(CP18&gt;0.5,MIN(F_MortPayM,CP18+CP18*(F_MR/12)),0)</f>
        <v>0</v>
      </c>
      <c r="DD18" s="1" t="n">
        <f aca="false">IF(CQ18&gt;0.5,MIN(F_MortPayM,CQ18+CQ18*(F_MR/12)),0)</f>
        <v>0</v>
      </c>
      <c r="DE18" s="1" t="n">
        <f aca="false">MAX(0,CR18)</f>
        <v>0</v>
      </c>
      <c r="DF18" s="1" t="n">
        <f aca="false">SUM(CS18:DD18)</f>
        <v>0</v>
      </c>
      <c r="DG18" s="1" t="n">
        <f aca="false">MAX(0,CF18)</f>
        <v>0</v>
      </c>
    </row>
    <row r="19" customFormat="false" ht="15" hidden="false" customHeight="false" outlineLevel="0" collapsed="false">
      <c r="B19" s="1" t="n">
        <v>11</v>
      </c>
      <c r="C19" s="1" t="n">
        <f aca="false">'Plan cashflow'!I19</f>
        <v>0</v>
      </c>
      <c r="D19" s="1" t="n">
        <f aca="false">IF(C19&gt;0.5,C19+C19*(F_MR/12)-MIN(F_MortPayM,C19+C19*(F_MR/12)),C19)</f>
        <v>0</v>
      </c>
      <c r="E19" s="1" t="n">
        <f aca="false">IF(D19&gt;0.5,D19+D19*(F_MR/12)-MIN(F_MortPayM,D19+D19*(F_MR/12)),D19)</f>
        <v>0</v>
      </c>
      <c r="F19" s="1" t="n">
        <f aca="false">IF(E19&gt;0.5,E19+E19*(F_MR/12)-MIN(F_MortPayM,E19+E19*(F_MR/12)),E19)</f>
        <v>0</v>
      </c>
      <c r="G19" s="1" t="n">
        <f aca="false">IF(F19&gt;0.5,F19+F19*(F_MR/12)-MIN(F_MortPayM,F19+F19*(F_MR/12)),F19)</f>
        <v>0</v>
      </c>
      <c r="H19" s="1" t="n">
        <f aca="false">IF(G19&gt;0.5,G19+G19*(F_MR/12)-MIN(F_MortPayM,G19+G19*(F_MR/12)),G19)</f>
        <v>0</v>
      </c>
      <c r="I19" s="1" t="n">
        <f aca="false">IF(H19&gt;0.5,H19+H19*(F_MR/12)-MIN(F_MortPayM,H19+H19*(F_MR/12)),H19)</f>
        <v>0</v>
      </c>
      <c r="J19" s="1" t="n">
        <f aca="false">IF(I19&gt;0.5,I19+I19*(F_MR/12)-MIN(F_MortPayM,I19+I19*(F_MR/12)),I19)</f>
        <v>0</v>
      </c>
      <c r="K19" s="1" t="n">
        <f aca="false">IF(J19&gt;0.5,J19+J19*(F_MR/12)-MIN(F_MortPayM,J19+J19*(F_MR/12)),J19)</f>
        <v>0</v>
      </c>
      <c r="L19" s="1" t="n">
        <f aca="false">IF(K19&gt;0.5,K19+K19*(F_MR/12)-MIN(F_MortPayM,K19+K19*(F_MR/12)),K19)</f>
        <v>0</v>
      </c>
      <c r="M19" s="1" t="n">
        <f aca="false">IF(L19&gt;0.5,L19+L19*(F_MR/12)-MIN(F_MortPayM,L19+L19*(F_MR/12)),L19)</f>
        <v>0</v>
      </c>
      <c r="N19" s="1" t="n">
        <f aca="false">IF(M19&gt;0.5,M19+M19*(F_MR/12)-MIN(F_MortPayM,M19+M19*(F_MR/12)),M19)</f>
        <v>0</v>
      </c>
      <c r="O19" s="1" t="n">
        <f aca="false">IF(N19&gt;0.5,N19+N19*(F_MR/12)-MIN(F_MortPayM,N19+N19*(F_MR/12)),N19)</f>
        <v>0</v>
      </c>
      <c r="P19" s="1" t="n">
        <f aca="false">IF(C19&gt;0.5,MIN(F_MortPayM,C19+C19*(F_MR/12)),0)</f>
        <v>0</v>
      </c>
      <c r="Q19" s="1" t="n">
        <f aca="false">IF(D19&gt;0.5,MIN(F_MortPayM,D19+D19*(F_MR/12)),0)</f>
        <v>0</v>
      </c>
      <c r="R19" s="1" t="n">
        <f aca="false">IF(E19&gt;0.5,MIN(F_MortPayM,E19+E19*(F_MR/12)),0)</f>
        <v>0</v>
      </c>
      <c r="S19" s="1" t="n">
        <f aca="false">IF(F19&gt;0.5,MIN(F_MortPayM,F19+F19*(F_MR/12)),0)</f>
        <v>0</v>
      </c>
      <c r="T19" s="1" t="n">
        <f aca="false">IF(G19&gt;0.5,MIN(F_MortPayM,G19+G19*(F_MR/12)),0)</f>
        <v>0</v>
      </c>
      <c r="U19" s="1" t="n">
        <f aca="false">IF(H19&gt;0.5,MIN(F_MortPayM,H19+H19*(F_MR/12)),0)</f>
        <v>0</v>
      </c>
      <c r="V19" s="1" t="n">
        <f aca="false">IF(I19&gt;0.5,MIN(F_MortPayM,I19+I19*(F_MR/12)),0)</f>
        <v>0</v>
      </c>
      <c r="W19" s="1" t="n">
        <f aca="false">IF(J19&gt;0.5,MIN(F_MortPayM,J19+J19*(F_MR/12)),0)</f>
        <v>0</v>
      </c>
      <c r="X19" s="1" t="n">
        <f aca="false">IF(K19&gt;0.5,MIN(F_MortPayM,K19+K19*(F_MR/12)),0)</f>
        <v>0</v>
      </c>
      <c r="Y19" s="1" t="n">
        <f aca="false">IF(L19&gt;0.5,MIN(F_MortPayM,L19+L19*(F_MR/12)),0)</f>
        <v>0</v>
      </c>
      <c r="Z19" s="1" t="n">
        <f aca="false">IF(M19&gt;0.5,MIN(F_MortPayM,M19+M19*(F_MR/12)),0)</f>
        <v>0</v>
      </c>
      <c r="AA19" s="1" t="n">
        <f aca="false">IF(N19&gt;0.5,MIN(F_MortPayM,N19+N19*(F_MR/12)),0)</f>
        <v>0</v>
      </c>
      <c r="AB19" s="1" t="n">
        <f aca="false">MAX(0,O19)</f>
        <v>0</v>
      </c>
      <c r="AC19" s="1" t="n">
        <f aca="false">SUM(P19:AA19)</f>
        <v>0</v>
      </c>
      <c r="AD19" s="1" t="n">
        <f aca="false">'Plan cashflow'!L19</f>
        <v>0</v>
      </c>
      <c r="AE19" s="1" t="n">
        <f aca="false">IF(AD19&gt;0.5,AD19+AD19*(D_iC)-MIN(F_CardPayM,AD19+AD19*(D_iC)),AD19)</f>
        <v>0</v>
      </c>
      <c r="AF19" s="1" t="n">
        <f aca="false">IF(AE19&gt;0.5,AE19+AE19*(D_iC)-MIN(F_CardPayM,AE19+AE19*(D_iC)),AE19)</f>
        <v>0</v>
      </c>
      <c r="AG19" s="1" t="n">
        <f aca="false">IF(AF19&gt;0.5,AF19+AF19*(D_iC)-MIN(F_CardPayM,AF19+AF19*(D_iC)),AF19)</f>
        <v>0</v>
      </c>
      <c r="AH19" s="1" t="n">
        <f aca="false">IF(AG19&gt;0.5,AG19+AG19*(D_iC)-MIN(F_CardPayM,AG19+AG19*(D_iC)),AG19)</f>
        <v>0</v>
      </c>
      <c r="AI19" s="1" t="n">
        <f aca="false">IF(AH19&gt;0.5,AH19+AH19*(D_iC)-MIN(F_CardPayM,AH19+AH19*(D_iC)),AH19)</f>
        <v>0</v>
      </c>
      <c r="AJ19" s="1" t="n">
        <f aca="false">IF(AI19&gt;0.5,AI19+AI19*(D_iC)-MIN(F_CardPayM,AI19+AI19*(D_iC)),AI19)</f>
        <v>0</v>
      </c>
      <c r="AK19" s="1" t="n">
        <f aca="false">IF(AJ19&gt;0.5,AJ19+AJ19*(D_iC)-MIN(F_CardPayM,AJ19+AJ19*(D_iC)),AJ19)</f>
        <v>0</v>
      </c>
      <c r="AL19" s="1" t="n">
        <f aca="false">IF(AK19&gt;0.5,AK19+AK19*(D_iC)-MIN(F_CardPayM,AK19+AK19*(D_iC)),AK19)</f>
        <v>0</v>
      </c>
      <c r="AM19" s="1" t="n">
        <f aca="false">IF(AL19&gt;0.5,AL19+AL19*(D_iC)-MIN(F_CardPayM,AL19+AL19*(D_iC)),AL19)</f>
        <v>0</v>
      </c>
      <c r="AN19" s="1" t="n">
        <f aca="false">IF(AM19&gt;0.5,AM19+AM19*(D_iC)-MIN(F_CardPayM,AM19+AM19*(D_iC)),AM19)</f>
        <v>0</v>
      </c>
      <c r="AO19" s="1" t="n">
        <f aca="false">IF(AN19&gt;0.5,AN19+AN19*(D_iC)-MIN(F_CardPayM,AN19+AN19*(D_iC)),AN19)</f>
        <v>0</v>
      </c>
      <c r="AP19" s="1" t="n">
        <f aca="false">IF(AO19&gt;0.5,AO19+AO19*(D_iC)-MIN(F_CardPayM,AO19+AO19*(D_iC)),AO19)</f>
        <v>0</v>
      </c>
      <c r="AQ19" s="1" t="n">
        <f aca="false">IF(AD19&gt;0.5,MIN(F_CardPayM,AD19+AD19*(D_iC)),0)</f>
        <v>0</v>
      </c>
      <c r="AR19" s="1" t="n">
        <f aca="false">IF(AE19&gt;0.5,MIN(F_CardPayM,AE19+AE19*(D_iC)),0)</f>
        <v>0</v>
      </c>
      <c r="AS19" s="1" t="n">
        <f aca="false">IF(AF19&gt;0.5,MIN(F_CardPayM,AF19+AF19*(D_iC)),0)</f>
        <v>0</v>
      </c>
      <c r="AT19" s="1" t="n">
        <f aca="false">IF(AG19&gt;0.5,MIN(F_CardPayM,AG19+AG19*(D_iC)),0)</f>
        <v>0</v>
      </c>
      <c r="AU19" s="1" t="n">
        <f aca="false">IF(AH19&gt;0.5,MIN(F_CardPayM,AH19+AH19*(D_iC)),0)</f>
        <v>0</v>
      </c>
      <c r="AV19" s="1" t="n">
        <f aca="false">IF(AI19&gt;0.5,MIN(F_CardPayM,AI19+AI19*(D_iC)),0)</f>
        <v>0</v>
      </c>
      <c r="AW19" s="1" t="n">
        <f aca="false">IF(AJ19&gt;0.5,MIN(F_CardPayM,AJ19+AJ19*(D_iC)),0)</f>
        <v>0</v>
      </c>
      <c r="AX19" s="1" t="n">
        <f aca="false">IF(AK19&gt;0.5,MIN(F_CardPayM,AK19+AK19*(D_iC)),0)</f>
        <v>0</v>
      </c>
      <c r="AY19" s="1" t="n">
        <f aca="false">IF(AL19&gt;0.5,MIN(F_CardPayM,AL19+AL19*(D_iC)),0)</f>
        <v>0</v>
      </c>
      <c r="AZ19" s="1" t="n">
        <f aca="false">IF(AM19&gt;0.5,MIN(F_CardPayM,AM19+AM19*(D_iC)),0)</f>
        <v>0</v>
      </c>
      <c r="BA19" s="1" t="n">
        <f aca="false">IF(AN19&gt;0.5,MIN(F_CardPayM,AN19+AN19*(D_iC)),0)</f>
        <v>0</v>
      </c>
      <c r="BB19" s="1" t="n">
        <f aca="false">IF(AO19&gt;0.5,MIN(F_CardPayM,AO19+AO19*(D_iC)),0)</f>
        <v>0</v>
      </c>
      <c r="BC19" s="1" t="n">
        <f aca="false">MAX(0,AP19)</f>
        <v>0</v>
      </c>
      <c r="BD19" s="1" t="n">
        <f aca="false">SUM(AQ19:BB19)</f>
        <v>0</v>
      </c>
      <c r="BE19" s="1" t="n">
        <f aca="false">'Plan cashflow'!O19</f>
        <v>0</v>
      </c>
      <c r="BF19" s="1" t="n">
        <f aca="false">IF(BE19&gt;0.5,BE19+BE19*(D_iL)-MIN(F_LoanPayM,BE19+BE19*(D_iL)),BE19)</f>
        <v>0</v>
      </c>
      <c r="BG19" s="1" t="n">
        <f aca="false">IF(BF19&gt;0.5,BF19+BF19*(D_iL)-MIN(F_LoanPayM,BF19+BF19*(D_iL)),BF19)</f>
        <v>0</v>
      </c>
      <c r="BH19" s="1" t="n">
        <f aca="false">IF(BG19&gt;0.5,BG19+BG19*(D_iL)-MIN(F_LoanPayM,BG19+BG19*(D_iL)),BG19)</f>
        <v>0</v>
      </c>
      <c r="BI19" s="1" t="n">
        <f aca="false">IF(BH19&gt;0.5,BH19+BH19*(D_iL)-MIN(F_LoanPayM,BH19+BH19*(D_iL)),BH19)</f>
        <v>0</v>
      </c>
      <c r="BJ19" s="1" t="n">
        <f aca="false">IF(BI19&gt;0.5,BI19+BI19*(D_iL)-MIN(F_LoanPayM,BI19+BI19*(D_iL)),BI19)</f>
        <v>0</v>
      </c>
      <c r="BK19" s="1" t="n">
        <f aca="false">IF(BJ19&gt;0.5,BJ19+BJ19*(D_iL)-MIN(F_LoanPayM,BJ19+BJ19*(D_iL)),BJ19)</f>
        <v>0</v>
      </c>
      <c r="BL19" s="1" t="n">
        <f aca="false">IF(BK19&gt;0.5,BK19+BK19*(D_iL)-MIN(F_LoanPayM,BK19+BK19*(D_iL)),BK19)</f>
        <v>0</v>
      </c>
      <c r="BM19" s="1" t="n">
        <f aca="false">IF(BL19&gt;0.5,BL19+BL19*(D_iL)-MIN(F_LoanPayM,BL19+BL19*(D_iL)),BL19)</f>
        <v>0</v>
      </c>
      <c r="BN19" s="1" t="n">
        <f aca="false">IF(BM19&gt;0.5,BM19+BM19*(D_iL)-MIN(F_LoanPayM,BM19+BM19*(D_iL)),BM19)</f>
        <v>0</v>
      </c>
      <c r="BO19" s="1" t="n">
        <f aca="false">IF(BN19&gt;0.5,BN19+BN19*(D_iL)-MIN(F_LoanPayM,BN19+BN19*(D_iL)),BN19)</f>
        <v>0</v>
      </c>
      <c r="BP19" s="1" t="n">
        <f aca="false">IF(BO19&gt;0.5,BO19+BO19*(D_iL)-MIN(F_LoanPayM,BO19+BO19*(D_iL)),BO19)</f>
        <v>0</v>
      </c>
      <c r="BQ19" s="1" t="n">
        <f aca="false">IF(BP19&gt;0.5,BP19+BP19*(D_iL)-MIN(F_LoanPayM,BP19+BP19*(D_iL)),BP19)</f>
        <v>0</v>
      </c>
      <c r="BR19" s="1" t="n">
        <f aca="false">IF(BE19&gt;0.5,MIN(F_LoanPayM,BE19+BE19*(D_iL)),0)</f>
        <v>0</v>
      </c>
      <c r="BS19" s="1" t="n">
        <f aca="false">IF(BF19&gt;0.5,MIN(F_LoanPayM,BF19+BF19*(D_iL)),0)</f>
        <v>0</v>
      </c>
      <c r="BT19" s="1" t="n">
        <f aca="false">IF(BG19&gt;0.5,MIN(F_LoanPayM,BG19+BG19*(D_iL)),0)</f>
        <v>0</v>
      </c>
      <c r="BU19" s="1" t="n">
        <f aca="false">IF(BH19&gt;0.5,MIN(F_LoanPayM,BH19+BH19*(D_iL)),0)</f>
        <v>0</v>
      </c>
      <c r="BV19" s="1" t="n">
        <f aca="false">IF(BI19&gt;0.5,MIN(F_LoanPayM,BI19+BI19*(D_iL)),0)</f>
        <v>0</v>
      </c>
      <c r="BW19" s="1" t="n">
        <f aca="false">IF(BJ19&gt;0.5,MIN(F_LoanPayM,BJ19+BJ19*(D_iL)),0)</f>
        <v>0</v>
      </c>
      <c r="BX19" s="1" t="n">
        <f aca="false">IF(BK19&gt;0.5,MIN(F_LoanPayM,BK19+BK19*(D_iL)),0)</f>
        <v>0</v>
      </c>
      <c r="BY19" s="1" t="n">
        <f aca="false">IF(BL19&gt;0.5,MIN(F_LoanPayM,BL19+BL19*(D_iL)),0)</f>
        <v>0</v>
      </c>
      <c r="BZ19" s="1" t="n">
        <f aca="false">IF(BM19&gt;0.5,MIN(F_LoanPayM,BM19+BM19*(D_iL)),0)</f>
        <v>0</v>
      </c>
      <c r="CA19" s="1" t="n">
        <f aca="false">IF(BN19&gt;0.5,MIN(F_LoanPayM,BN19+BN19*(D_iL)),0)</f>
        <v>0</v>
      </c>
      <c r="CB19" s="1" t="n">
        <f aca="false">IF(BO19&gt;0.5,MIN(F_LoanPayM,BO19+BO19*(D_iL)),0)</f>
        <v>0</v>
      </c>
      <c r="CC19" s="1" t="n">
        <f aca="false">IF(BP19&gt;0.5,MIN(F_LoanPayM,BP19+BP19*(D_iL)),0)</f>
        <v>0</v>
      </c>
      <c r="CD19" s="1" t="n">
        <f aca="false">MAX(0,BQ19)</f>
        <v>0</v>
      </c>
      <c r="CE19" s="1" t="n">
        <f aca="false">SUM(BR19:CC19)</f>
        <v>0</v>
      </c>
      <c r="CF19" s="1" t="n">
        <f aca="false">IF(CF18&gt;1,DE18,CF18)</f>
        <v>0</v>
      </c>
      <c r="CG19" s="1" t="n">
        <f aca="false">IF(CF19&gt;0.5,CF19+CF19*(F_MR/12)-MIN(F_MortPayM,CF19+CF19*(F_MR/12)),CF19)</f>
        <v>0</v>
      </c>
      <c r="CH19" s="1" t="n">
        <f aca="false">IF(CG19&gt;0.5,CG19+CG19*(F_MR/12)-MIN(F_MortPayM,CG19+CG19*(F_MR/12)),CG19)</f>
        <v>0</v>
      </c>
      <c r="CI19" s="1" t="n">
        <f aca="false">IF(CH19&gt;0.5,CH19+CH19*(F_MR/12)-MIN(F_MortPayM,CH19+CH19*(F_MR/12)),CH19)</f>
        <v>0</v>
      </c>
      <c r="CJ19" s="1" t="n">
        <f aca="false">IF(CI19&gt;0.5,CI19+CI19*(F_MR/12)-MIN(F_MortPayM,CI19+CI19*(F_MR/12)),CI19)</f>
        <v>0</v>
      </c>
      <c r="CK19" s="1" t="n">
        <f aca="false">IF(CJ19&gt;0.5,CJ19+CJ19*(F_MR/12)-MIN(F_MortPayM,CJ19+CJ19*(F_MR/12)),CJ19)</f>
        <v>0</v>
      </c>
      <c r="CL19" s="1" t="n">
        <f aca="false">IF(CK19&gt;0.5,CK19+CK19*(F_MR/12)-MIN(F_MortPayM,CK19+CK19*(F_MR/12)),CK19)</f>
        <v>0</v>
      </c>
      <c r="CM19" s="1" t="n">
        <f aca="false">IF(CL19&gt;0.5,CL19+CL19*(F_MR/12)-MIN(F_MortPayM,CL19+CL19*(F_MR/12)),CL19)</f>
        <v>0</v>
      </c>
      <c r="CN19" s="1" t="n">
        <f aca="false">IF(CM19&gt;0.5,CM19+CM19*(F_MR/12)-MIN(F_MortPayM,CM19+CM19*(F_MR/12)),CM19)</f>
        <v>0</v>
      </c>
      <c r="CO19" s="1" t="n">
        <f aca="false">IF(CN19&gt;0.5,CN19+CN19*(F_MR/12)-MIN(F_MortPayM,CN19+CN19*(F_MR/12)),CN19)</f>
        <v>0</v>
      </c>
      <c r="CP19" s="1" t="n">
        <f aca="false">IF(CO19&gt;0.5,CO19+CO19*(F_MR/12)-MIN(F_MortPayM,CO19+CO19*(F_MR/12)),CO19)</f>
        <v>0</v>
      </c>
      <c r="CQ19" s="1" t="n">
        <f aca="false">IF(CP19&gt;0.5,CP19+CP19*(F_MR/12)-MIN(F_MortPayM,CP19+CP19*(F_MR/12)),CP19)</f>
        <v>0</v>
      </c>
      <c r="CR19" s="1" t="n">
        <f aca="false">IF(CQ19&gt;0.5,CQ19+CQ19*(F_MR/12)-MIN(F_MortPayM,CQ19+CQ19*(F_MR/12)),CQ19)</f>
        <v>0</v>
      </c>
      <c r="CS19" s="1" t="n">
        <f aca="false">IF(CF19&gt;0.5,MIN(F_MortPayM,CF19+CF19*(F_MR/12)),0)</f>
        <v>0</v>
      </c>
      <c r="CT19" s="1" t="n">
        <f aca="false">IF(CG19&gt;0.5,MIN(F_MortPayM,CG19+CG19*(F_MR/12)),0)</f>
        <v>0</v>
      </c>
      <c r="CU19" s="1" t="n">
        <f aca="false">IF(CH19&gt;0.5,MIN(F_MortPayM,CH19+CH19*(F_MR/12)),0)</f>
        <v>0</v>
      </c>
      <c r="CV19" s="1" t="n">
        <f aca="false">IF(CI19&gt;0.5,MIN(F_MortPayM,CI19+CI19*(F_MR/12)),0)</f>
        <v>0</v>
      </c>
      <c r="CW19" s="1" t="n">
        <f aca="false">IF(CJ19&gt;0.5,MIN(F_MortPayM,CJ19+CJ19*(F_MR/12)),0)</f>
        <v>0</v>
      </c>
      <c r="CX19" s="1" t="n">
        <f aca="false">IF(CK19&gt;0.5,MIN(F_MortPayM,CK19+CK19*(F_MR/12)),0)</f>
        <v>0</v>
      </c>
      <c r="CY19" s="1" t="n">
        <f aca="false">IF(CL19&gt;0.5,MIN(F_MortPayM,CL19+CL19*(F_MR/12)),0)</f>
        <v>0</v>
      </c>
      <c r="CZ19" s="1" t="n">
        <f aca="false">IF(CM19&gt;0.5,MIN(F_MortPayM,CM19+CM19*(F_MR/12)),0)</f>
        <v>0</v>
      </c>
      <c r="DA19" s="1" t="n">
        <f aca="false">IF(CN19&gt;0.5,MIN(F_MortPayM,CN19+CN19*(F_MR/12)),0)</f>
        <v>0</v>
      </c>
      <c r="DB19" s="1" t="n">
        <f aca="false">IF(CO19&gt;0.5,MIN(F_MortPayM,CO19+CO19*(F_MR/12)),0)</f>
        <v>0</v>
      </c>
      <c r="DC19" s="1" t="n">
        <f aca="false">IF(CP19&gt;0.5,MIN(F_MortPayM,CP19+CP19*(F_MR/12)),0)</f>
        <v>0</v>
      </c>
      <c r="DD19" s="1" t="n">
        <f aca="false">IF(CQ19&gt;0.5,MIN(F_MortPayM,CQ19+CQ19*(F_MR/12)),0)</f>
        <v>0</v>
      </c>
      <c r="DE19" s="1" t="n">
        <f aca="false">MAX(0,CR19)</f>
        <v>0</v>
      </c>
      <c r="DF19" s="1" t="n">
        <f aca="false">SUM(CS19:DD19)</f>
        <v>0</v>
      </c>
      <c r="DG19" s="1" t="n">
        <f aca="false">MAX(0,CF19)</f>
        <v>0</v>
      </c>
    </row>
    <row r="20" customFormat="false" ht="15" hidden="false" customHeight="false" outlineLevel="0" collapsed="false">
      <c r="B20" s="1" t="n">
        <v>12</v>
      </c>
      <c r="C20" s="1" t="n">
        <f aca="false">'Plan cashflow'!I20</f>
        <v>0</v>
      </c>
      <c r="D20" s="1" t="n">
        <f aca="false">IF(C20&gt;0.5,C20+C20*(F_MR/12)-MIN(F_MortPayM,C20+C20*(F_MR/12)),C20)</f>
        <v>0</v>
      </c>
      <c r="E20" s="1" t="n">
        <f aca="false">IF(D20&gt;0.5,D20+D20*(F_MR/12)-MIN(F_MortPayM,D20+D20*(F_MR/12)),D20)</f>
        <v>0</v>
      </c>
      <c r="F20" s="1" t="n">
        <f aca="false">IF(E20&gt;0.5,E20+E20*(F_MR/12)-MIN(F_MortPayM,E20+E20*(F_MR/12)),E20)</f>
        <v>0</v>
      </c>
      <c r="G20" s="1" t="n">
        <f aca="false">IF(F20&gt;0.5,F20+F20*(F_MR/12)-MIN(F_MortPayM,F20+F20*(F_MR/12)),F20)</f>
        <v>0</v>
      </c>
      <c r="H20" s="1" t="n">
        <f aca="false">IF(G20&gt;0.5,G20+G20*(F_MR/12)-MIN(F_MortPayM,G20+G20*(F_MR/12)),G20)</f>
        <v>0</v>
      </c>
      <c r="I20" s="1" t="n">
        <f aca="false">IF(H20&gt;0.5,H20+H20*(F_MR/12)-MIN(F_MortPayM,H20+H20*(F_MR/12)),H20)</f>
        <v>0</v>
      </c>
      <c r="J20" s="1" t="n">
        <f aca="false">IF(I20&gt;0.5,I20+I20*(F_MR/12)-MIN(F_MortPayM,I20+I20*(F_MR/12)),I20)</f>
        <v>0</v>
      </c>
      <c r="K20" s="1" t="n">
        <f aca="false">IF(J20&gt;0.5,J20+J20*(F_MR/12)-MIN(F_MortPayM,J20+J20*(F_MR/12)),J20)</f>
        <v>0</v>
      </c>
      <c r="L20" s="1" t="n">
        <f aca="false">IF(K20&gt;0.5,K20+K20*(F_MR/12)-MIN(F_MortPayM,K20+K20*(F_MR/12)),K20)</f>
        <v>0</v>
      </c>
      <c r="M20" s="1" t="n">
        <f aca="false">IF(L20&gt;0.5,L20+L20*(F_MR/12)-MIN(F_MortPayM,L20+L20*(F_MR/12)),L20)</f>
        <v>0</v>
      </c>
      <c r="N20" s="1" t="n">
        <f aca="false">IF(M20&gt;0.5,M20+M20*(F_MR/12)-MIN(F_MortPayM,M20+M20*(F_MR/12)),M20)</f>
        <v>0</v>
      </c>
      <c r="O20" s="1" t="n">
        <f aca="false">IF(N20&gt;0.5,N20+N20*(F_MR/12)-MIN(F_MortPayM,N20+N20*(F_MR/12)),N20)</f>
        <v>0</v>
      </c>
      <c r="P20" s="1" t="n">
        <f aca="false">IF(C20&gt;0.5,MIN(F_MortPayM,C20+C20*(F_MR/12)),0)</f>
        <v>0</v>
      </c>
      <c r="Q20" s="1" t="n">
        <f aca="false">IF(D20&gt;0.5,MIN(F_MortPayM,D20+D20*(F_MR/12)),0)</f>
        <v>0</v>
      </c>
      <c r="R20" s="1" t="n">
        <f aca="false">IF(E20&gt;0.5,MIN(F_MortPayM,E20+E20*(F_MR/12)),0)</f>
        <v>0</v>
      </c>
      <c r="S20" s="1" t="n">
        <f aca="false">IF(F20&gt;0.5,MIN(F_MortPayM,F20+F20*(F_MR/12)),0)</f>
        <v>0</v>
      </c>
      <c r="T20" s="1" t="n">
        <f aca="false">IF(G20&gt;0.5,MIN(F_MortPayM,G20+G20*(F_MR/12)),0)</f>
        <v>0</v>
      </c>
      <c r="U20" s="1" t="n">
        <f aca="false">IF(H20&gt;0.5,MIN(F_MortPayM,H20+H20*(F_MR/12)),0)</f>
        <v>0</v>
      </c>
      <c r="V20" s="1" t="n">
        <f aca="false">IF(I20&gt;0.5,MIN(F_MortPayM,I20+I20*(F_MR/12)),0)</f>
        <v>0</v>
      </c>
      <c r="W20" s="1" t="n">
        <f aca="false">IF(J20&gt;0.5,MIN(F_MortPayM,J20+J20*(F_MR/12)),0)</f>
        <v>0</v>
      </c>
      <c r="X20" s="1" t="n">
        <f aca="false">IF(K20&gt;0.5,MIN(F_MortPayM,K20+K20*(F_MR/12)),0)</f>
        <v>0</v>
      </c>
      <c r="Y20" s="1" t="n">
        <f aca="false">IF(L20&gt;0.5,MIN(F_MortPayM,L20+L20*(F_MR/12)),0)</f>
        <v>0</v>
      </c>
      <c r="Z20" s="1" t="n">
        <f aca="false">IF(M20&gt;0.5,MIN(F_MortPayM,M20+M20*(F_MR/12)),0)</f>
        <v>0</v>
      </c>
      <c r="AA20" s="1" t="n">
        <f aca="false">IF(N20&gt;0.5,MIN(F_MortPayM,N20+N20*(F_MR/12)),0)</f>
        <v>0</v>
      </c>
      <c r="AB20" s="1" t="n">
        <f aca="false">MAX(0,O20)</f>
        <v>0</v>
      </c>
      <c r="AC20" s="1" t="n">
        <f aca="false">SUM(P20:AA20)</f>
        <v>0</v>
      </c>
      <c r="AD20" s="1" t="n">
        <f aca="false">'Plan cashflow'!L20</f>
        <v>0</v>
      </c>
      <c r="AE20" s="1" t="n">
        <f aca="false">IF(AD20&gt;0.5,AD20+AD20*(D_iC)-MIN(F_CardPayM,AD20+AD20*(D_iC)),AD20)</f>
        <v>0</v>
      </c>
      <c r="AF20" s="1" t="n">
        <f aca="false">IF(AE20&gt;0.5,AE20+AE20*(D_iC)-MIN(F_CardPayM,AE20+AE20*(D_iC)),AE20)</f>
        <v>0</v>
      </c>
      <c r="AG20" s="1" t="n">
        <f aca="false">IF(AF20&gt;0.5,AF20+AF20*(D_iC)-MIN(F_CardPayM,AF20+AF20*(D_iC)),AF20)</f>
        <v>0</v>
      </c>
      <c r="AH20" s="1" t="n">
        <f aca="false">IF(AG20&gt;0.5,AG20+AG20*(D_iC)-MIN(F_CardPayM,AG20+AG20*(D_iC)),AG20)</f>
        <v>0</v>
      </c>
      <c r="AI20" s="1" t="n">
        <f aca="false">IF(AH20&gt;0.5,AH20+AH20*(D_iC)-MIN(F_CardPayM,AH20+AH20*(D_iC)),AH20)</f>
        <v>0</v>
      </c>
      <c r="AJ20" s="1" t="n">
        <f aca="false">IF(AI20&gt;0.5,AI20+AI20*(D_iC)-MIN(F_CardPayM,AI20+AI20*(D_iC)),AI20)</f>
        <v>0</v>
      </c>
      <c r="AK20" s="1" t="n">
        <f aca="false">IF(AJ20&gt;0.5,AJ20+AJ20*(D_iC)-MIN(F_CardPayM,AJ20+AJ20*(D_iC)),AJ20)</f>
        <v>0</v>
      </c>
      <c r="AL20" s="1" t="n">
        <f aca="false">IF(AK20&gt;0.5,AK20+AK20*(D_iC)-MIN(F_CardPayM,AK20+AK20*(D_iC)),AK20)</f>
        <v>0</v>
      </c>
      <c r="AM20" s="1" t="n">
        <f aca="false">IF(AL20&gt;0.5,AL20+AL20*(D_iC)-MIN(F_CardPayM,AL20+AL20*(D_iC)),AL20)</f>
        <v>0</v>
      </c>
      <c r="AN20" s="1" t="n">
        <f aca="false">IF(AM20&gt;0.5,AM20+AM20*(D_iC)-MIN(F_CardPayM,AM20+AM20*(D_iC)),AM20)</f>
        <v>0</v>
      </c>
      <c r="AO20" s="1" t="n">
        <f aca="false">IF(AN20&gt;0.5,AN20+AN20*(D_iC)-MIN(F_CardPayM,AN20+AN20*(D_iC)),AN20)</f>
        <v>0</v>
      </c>
      <c r="AP20" s="1" t="n">
        <f aca="false">IF(AO20&gt;0.5,AO20+AO20*(D_iC)-MIN(F_CardPayM,AO20+AO20*(D_iC)),AO20)</f>
        <v>0</v>
      </c>
      <c r="AQ20" s="1" t="n">
        <f aca="false">IF(AD20&gt;0.5,MIN(F_CardPayM,AD20+AD20*(D_iC)),0)</f>
        <v>0</v>
      </c>
      <c r="AR20" s="1" t="n">
        <f aca="false">IF(AE20&gt;0.5,MIN(F_CardPayM,AE20+AE20*(D_iC)),0)</f>
        <v>0</v>
      </c>
      <c r="AS20" s="1" t="n">
        <f aca="false">IF(AF20&gt;0.5,MIN(F_CardPayM,AF20+AF20*(D_iC)),0)</f>
        <v>0</v>
      </c>
      <c r="AT20" s="1" t="n">
        <f aca="false">IF(AG20&gt;0.5,MIN(F_CardPayM,AG20+AG20*(D_iC)),0)</f>
        <v>0</v>
      </c>
      <c r="AU20" s="1" t="n">
        <f aca="false">IF(AH20&gt;0.5,MIN(F_CardPayM,AH20+AH20*(D_iC)),0)</f>
        <v>0</v>
      </c>
      <c r="AV20" s="1" t="n">
        <f aca="false">IF(AI20&gt;0.5,MIN(F_CardPayM,AI20+AI20*(D_iC)),0)</f>
        <v>0</v>
      </c>
      <c r="AW20" s="1" t="n">
        <f aca="false">IF(AJ20&gt;0.5,MIN(F_CardPayM,AJ20+AJ20*(D_iC)),0)</f>
        <v>0</v>
      </c>
      <c r="AX20" s="1" t="n">
        <f aca="false">IF(AK20&gt;0.5,MIN(F_CardPayM,AK20+AK20*(D_iC)),0)</f>
        <v>0</v>
      </c>
      <c r="AY20" s="1" t="n">
        <f aca="false">IF(AL20&gt;0.5,MIN(F_CardPayM,AL20+AL20*(D_iC)),0)</f>
        <v>0</v>
      </c>
      <c r="AZ20" s="1" t="n">
        <f aca="false">IF(AM20&gt;0.5,MIN(F_CardPayM,AM20+AM20*(D_iC)),0)</f>
        <v>0</v>
      </c>
      <c r="BA20" s="1" t="n">
        <f aca="false">IF(AN20&gt;0.5,MIN(F_CardPayM,AN20+AN20*(D_iC)),0)</f>
        <v>0</v>
      </c>
      <c r="BB20" s="1" t="n">
        <f aca="false">IF(AO20&gt;0.5,MIN(F_CardPayM,AO20+AO20*(D_iC)),0)</f>
        <v>0</v>
      </c>
      <c r="BC20" s="1" t="n">
        <f aca="false">MAX(0,AP20)</f>
        <v>0</v>
      </c>
      <c r="BD20" s="1" t="n">
        <f aca="false">SUM(AQ20:BB20)</f>
        <v>0</v>
      </c>
      <c r="BE20" s="1" t="n">
        <f aca="false">'Plan cashflow'!O20</f>
        <v>0</v>
      </c>
      <c r="BF20" s="1" t="n">
        <f aca="false">IF(BE20&gt;0.5,BE20+BE20*(D_iL)-MIN(F_LoanPayM,BE20+BE20*(D_iL)),BE20)</f>
        <v>0</v>
      </c>
      <c r="BG20" s="1" t="n">
        <f aca="false">IF(BF20&gt;0.5,BF20+BF20*(D_iL)-MIN(F_LoanPayM,BF20+BF20*(D_iL)),BF20)</f>
        <v>0</v>
      </c>
      <c r="BH20" s="1" t="n">
        <f aca="false">IF(BG20&gt;0.5,BG20+BG20*(D_iL)-MIN(F_LoanPayM,BG20+BG20*(D_iL)),BG20)</f>
        <v>0</v>
      </c>
      <c r="BI20" s="1" t="n">
        <f aca="false">IF(BH20&gt;0.5,BH20+BH20*(D_iL)-MIN(F_LoanPayM,BH20+BH20*(D_iL)),BH20)</f>
        <v>0</v>
      </c>
      <c r="BJ20" s="1" t="n">
        <f aca="false">IF(BI20&gt;0.5,BI20+BI20*(D_iL)-MIN(F_LoanPayM,BI20+BI20*(D_iL)),BI20)</f>
        <v>0</v>
      </c>
      <c r="BK20" s="1" t="n">
        <f aca="false">IF(BJ20&gt;0.5,BJ20+BJ20*(D_iL)-MIN(F_LoanPayM,BJ20+BJ20*(D_iL)),BJ20)</f>
        <v>0</v>
      </c>
      <c r="BL20" s="1" t="n">
        <f aca="false">IF(BK20&gt;0.5,BK20+BK20*(D_iL)-MIN(F_LoanPayM,BK20+BK20*(D_iL)),BK20)</f>
        <v>0</v>
      </c>
      <c r="BM20" s="1" t="n">
        <f aca="false">IF(BL20&gt;0.5,BL20+BL20*(D_iL)-MIN(F_LoanPayM,BL20+BL20*(D_iL)),BL20)</f>
        <v>0</v>
      </c>
      <c r="BN20" s="1" t="n">
        <f aca="false">IF(BM20&gt;0.5,BM20+BM20*(D_iL)-MIN(F_LoanPayM,BM20+BM20*(D_iL)),BM20)</f>
        <v>0</v>
      </c>
      <c r="BO20" s="1" t="n">
        <f aca="false">IF(BN20&gt;0.5,BN20+BN20*(D_iL)-MIN(F_LoanPayM,BN20+BN20*(D_iL)),BN20)</f>
        <v>0</v>
      </c>
      <c r="BP20" s="1" t="n">
        <f aca="false">IF(BO20&gt;0.5,BO20+BO20*(D_iL)-MIN(F_LoanPayM,BO20+BO20*(D_iL)),BO20)</f>
        <v>0</v>
      </c>
      <c r="BQ20" s="1" t="n">
        <f aca="false">IF(BP20&gt;0.5,BP20+BP20*(D_iL)-MIN(F_LoanPayM,BP20+BP20*(D_iL)),BP20)</f>
        <v>0</v>
      </c>
      <c r="BR20" s="1" t="n">
        <f aca="false">IF(BE20&gt;0.5,MIN(F_LoanPayM,BE20+BE20*(D_iL)),0)</f>
        <v>0</v>
      </c>
      <c r="BS20" s="1" t="n">
        <f aca="false">IF(BF20&gt;0.5,MIN(F_LoanPayM,BF20+BF20*(D_iL)),0)</f>
        <v>0</v>
      </c>
      <c r="BT20" s="1" t="n">
        <f aca="false">IF(BG20&gt;0.5,MIN(F_LoanPayM,BG20+BG20*(D_iL)),0)</f>
        <v>0</v>
      </c>
      <c r="BU20" s="1" t="n">
        <f aca="false">IF(BH20&gt;0.5,MIN(F_LoanPayM,BH20+BH20*(D_iL)),0)</f>
        <v>0</v>
      </c>
      <c r="BV20" s="1" t="n">
        <f aca="false">IF(BI20&gt;0.5,MIN(F_LoanPayM,BI20+BI20*(D_iL)),0)</f>
        <v>0</v>
      </c>
      <c r="BW20" s="1" t="n">
        <f aca="false">IF(BJ20&gt;0.5,MIN(F_LoanPayM,BJ20+BJ20*(D_iL)),0)</f>
        <v>0</v>
      </c>
      <c r="BX20" s="1" t="n">
        <f aca="false">IF(BK20&gt;0.5,MIN(F_LoanPayM,BK20+BK20*(D_iL)),0)</f>
        <v>0</v>
      </c>
      <c r="BY20" s="1" t="n">
        <f aca="false">IF(BL20&gt;0.5,MIN(F_LoanPayM,BL20+BL20*(D_iL)),0)</f>
        <v>0</v>
      </c>
      <c r="BZ20" s="1" t="n">
        <f aca="false">IF(BM20&gt;0.5,MIN(F_LoanPayM,BM20+BM20*(D_iL)),0)</f>
        <v>0</v>
      </c>
      <c r="CA20" s="1" t="n">
        <f aca="false">IF(BN20&gt;0.5,MIN(F_LoanPayM,BN20+BN20*(D_iL)),0)</f>
        <v>0</v>
      </c>
      <c r="CB20" s="1" t="n">
        <f aca="false">IF(BO20&gt;0.5,MIN(F_LoanPayM,BO20+BO20*(D_iL)),0)</f>
        <v>0</v>
      </c>
      <c r="CC20" s="1" t="n">
        <f aca="false">IF(BP20&gt;0.5,MIN(F_LoanPayM,BP20+BP20*(D_iL)),0)</f>
        <v>0</v>
      </c>
      <c r="CD20" s="1" t="n">
        <f aca="false">MAX(0,BQ20)</f>
        <v>0</v>
      </c>
      <c r="CE20" s="1" t="n">
        <f aca="false">SUM(BR20:CC20)</f>
        <v>0</v>
      </c>
      <c r="CF20" s="1" t="n">
        <f aca="false">IF(CF19&gt;1,DE19,CF19)</f>
        <v>0</v>
      </c>
      <c r="CG20" s="1" t="n">
        <f aca="false">IF(CF20&gt;0.5,CF20+CF20*(F_MR/12)-MIN(F_MortPayM,CF20+CF20*(F_MR/12)),CF20)</f>
        <v>0</v>
      </c>
      <c r="CH20" s="1" t="n">
        <f aca="false">IF(CG20&gt;0.5,CG20+CG20*(F_MR/12)-MIN(F_MortPayM,CG20+CG20*(F_MR/12)),CG20)</f>
        <v>0</v>
      </c>
      <c r="CI20" s="1" t="n">
        <f aca="false">IF(CH20&gt;0.5,CH20+CH20*(F_MR/12)-MIN(F_MortPayM,CH20+CH20*(F_MR/12)),CH20)</f>
        <v>0</v>
      </c>
      <c r="CJ20" s="1" t="n">
        <f aca="false">IF(CI20&gt;0.5,CI20+CI20*(F_MR/12)-MIN(F_MortPayM,CI20+CI20*(F_MR/12)),CI20)</f>
        <v>0</v>
      </c>
      <c r="CK20" s="1" t="n">
        <f aca="false">IF(CJ20&gt;0.5,CJ20+CJ20*(F_MR/12)-MIN(F_MortPayM,CJ20+CJ20*(F_MR/12)),CJ20)</f>
        <v>0</v>
      </c>
      <c r="CL20" s="1" t="n">
        <f aca="false">IF(CK20&gt;0.5,CK20+CK20*(F_MR/12)-MIN(F_MortPayM,CK20+CK20*(F_MR/12)),CK20)</f>
        <v>0</v>
      </c>
      <c r="CM20" s="1" t="n">
        <f aca="false">IF(CL20&gt;0.5,CL20+CL20*(F_MR/12)-MIN(F_MortPayM,CL20+CL20*(F_MR/12)),CL20)</f>
        <v>0</v>
      </c>
      <c r="CN20" s="1" t="n">
        <f aca="false">IF(CM20&gt;0.5,CM20+CM20*(F_MR/12)-MIN(F_MortPayM,CM20+CM20*(F_MR/12)),CM20)</f>
        <v>0</v>
      </c>
      <c r="CO20" s="1" t="n">
        <f aca="false">IF(CN20&gt;0.5,CN20+CN20*(F_MR/12)-MIN(F_MortPayM,CN20+CN20*(F_MR/12)),CN20)</f>
        <v>0</v>
      </c>
      <c r="CP20" s="1" t="n">
        <f aca="false">IF(CO20&gt;0.5,CO20+CO20*(F_MR/12)-MIN(F_MortPayM,CO20+CO20*(F_MR/12)),CO20)</f>
        <v>0</v>
      </c>
      <c r="CQ20" s="1" t="n">
        <f aca="false">IF(CP20&gt;0.5,CP20+CP20*(F_MR/12)-MIN(F_MortPayM,CP20+CP20*(F_MR/12)),CP20)</f>
        <v>0</v>
      </c>
      <c r="CR20" s="1" t="n">
        <f aca="false">IF(CQ20&gt;0.5,CQ20+CQ20*(F_MR/12)-MIN(F_MortPayM,CQ20+CQ20*(F_MR/12)),CQ20)</f>
        <v>0</v>
      </c>
      <c r="CS20" s="1" t="n">
        <f aca="false">IF(CF20&gt;0.5,MIN(F_MortPayM,CF20+CF20*(F_MR/12)),0)</f>
        <v>0</v>
      </c>
      <c r="CT20" s="1" t="n">
        <f aca="false">IF(CG20&gt;0.5,MIN(F_MortPayM,CG20+CG20*(F_MR/12)),0)</f>
        <v>0</v>
      </c>
      <c r="CU20" s="1" t="n">
        <f aca="false">IF(CH20&gt;0.5,MIN(F_MortPayM,CH20+CH20*(F_MR/12)),0)</f>
        <v>0</v>
      </c>
      <c r="CV20" s="1" t="n">
        <f aca="false">IF(CI20&gt;0.5,MIN(F_MortPayM,CI20+CI20*(F_MR/12)),0)</f>
        <v>0</v>
      </c>
      <c r="CW20" s="1" t="n">
        <f aca="false">IF(CJ20&gt;0.5,MIN(F_MortPayM,CJ20+CJ20*(F_MR/12)),0)</f>
        <v>0</v>
      </c>
      <c r="CX20" s="1" t="n">
        <f aca="false">IF(CK20&gt;0.5,MIN(F_MortPayM,CK20+CK20*(F_MR/12)),0)</f>
        <v>0</v>
      </c>
      <c r="CY20" s="1" t="n">
        <f aca="false">IF(CL20&gt;0.5,MIN(F_MortPayM,CL20+CL20*(F_MR/12)),0)</f>
        <v>0</v>
      </c>
      <c r="CZ20" s="1" t="n">
        <f aca="false">IF(CM20&gt;0.5,MIN(F_MortPayM,CM20+CM20*(F_MR/12)),0)</f>
        <v>0</v>
      </c>
      <c r="DA20" s="1" t="n">
        <f aca="false">IF(CN20&gt;0.5,MIN(F_MortPayM,CN20+CN20*(F_MR/12)),0)</f>
        <v>0</v>
      </c>
      <c r="DB20" s="1" t="n">
        <f aca="false">IF(CO20&gt;0.5,MIN(F_MortPayM,CO20+CO20*(F_MR/12)),0)</f>
        <v>0</v>
      </c>
      <c r="DC20" s="1" t="n">
        <f aca="false">IF(CP20&gt;0.5,MIN(F_MortPayM,CP20+CP20*(F_MR/12)),0)</f>
        <v>0</v>
      </c>
      <c r="DD20" s="1" t="n">
        <f aca="false">IF(CQ20&gt;0.5,MIN(F_MortPayM,CQ20+CQ20*(F_MR/12)),0)</f>
        <v>0</v>
      </c>
      <c r="DE20" s="1" t="n">
        <f aca="false">MAX(0,CR20)</f>
        <v>0</v>
      </c>
      <c r="DF20" s="1" t="n">
        <f aca="false">SUM(CS20:DD20)</f>
        <v>0</v>
      </c>
      <c r="DG20" s="1" t="n">
        <f aca="false">MAX(0,CF20)</f>
        <v>0</v>
      </c>
    </row>
    <row r="21" customFormat="false" ht="15" hidden="false" customHeight="false" outlineLevel="0" collapsed="false">
      <c r="B21" s="1" t="n">
        <v>13</v>
      </c>
      <c r="C21" s="1" t="n">
        <f aca="false">'Plan cashflow'!I21</f>
        <v>0</v>
      </c>
      <c r="D21" s="1" t="n">
        <f aca="false">IF(C21&gt;0.5,C21+C21*(F_MR/12)-MIN(F_MortPayM,C21+C21*(F_MR/12)),C21)</f>
        <v>0</v>
      </c>
      <c r="E21" s="1" t="n">
        <f aca="false">IF(D21&gt;0.5,D21+D21*(F_MR/12)-MIN(F_MortPayM,D21+D21*(F_MR/12)),D21)</f>
        <v>0</v>
      </c>
      <c r="F21" s="1" t="n">
        <f aca="false">IF(E21&gt;0.5,E21+E21*(F_MR/12)-MIN(F_MortPayM,E21+E21*(F_MR/12)),E21)</f>
        <v>0</v>
      </c>
      <c r="G21" s="1" t="n">
        <f aca="false">IF(F21&gt;0.5,F21+F21*(F_MR/12)-MIN(F_MortPayM,F21+F21*(F_MR/12)),F21)</f>
        <v>0</v>
      </c>
      <c r="H21" s="1" t="n">
        <f aca="false">IF(G21&gt;0.5,G21+G21*(F_MR/12)-MIN(F_MortPayM,G21+G21*(F_MR/12)),G21)</f>
        <v>0</v>
      </c>
      <c r="I21" s="1" t="n">
        <f aca="false">IF(H21&gt;0.5,H21+H21*(F_MR/12)-MIN(F_MortPayM,H21+H21*(F_MR/12)),H21)</f>
        <v>0</v>
      </c>
      <c r="J21" s="1" t="n">
        <f aca="false">IF(I21&gt;0.5,I21+I21*(F_MR/12)-MIN(F_MortPayM,I21+I21*(F_MR/12)),I21)</f>
        <v>0</v>
      </c>
      <c r="K21" s="1" t="n">
        <f aca="false">IF(J21&gt;0.5,J21+J21*(F_MR/12)-MIN(F_MortPayM,J21+J21*(F_MR/12)),J21)</f>
        <v>0</v>
      </c>
      <c r="L21" s="1" t="n">
        <f aca="false">IF(K21&gt;0.5,K21+K21*(F_MR/12)-MIN(F_MortPayM,K21+K21*(F_MR/12)),K21)</f>
        <v>0</v>
      </c>
      <c r="M21" s="1" t="n">
        <f aca="false">IF(L21&gt;0.5,L21+L21*(F_MR/12)-MIN(F_MortPayM,L21+L21*(F_MR/12)),L21)</f>
        <v>0</v>
      </c>
      <c r="N21" s="1" t="n">
        <f aca="false">IF(M21&gt;0.5,M21+M21*(F_MR/12)-MIN(F_MortPayM,M21+M21*(F_MR/12)),M21)</f>
        <v>0</v>
      </c>
      <c r="O21" s="1" t="n">
        <f aca="false">IF(N21&gt;0.5,N21+N21*(F_MR/12)-MIN(F_MortPayM,N21+N21*(F_MR/12)),N21)</f>
        <v>0</v>
      </c>
      <c r="P21" s="1" t="n">
        <f aca="false">IF(C21&gt;0.5,MIN(F_MortPayM,C21+C21*(F_MR/12)),0)</f>
        <v>0</v>
      </c>
      <c r="Q21" s="1" t="n">
        <f aca="false">IF(D21&gt;0.5,MIN(F_MortPayM,D21+D21*(F_MR/12)),0)</f>
        <v>0</v>
      </c>
      <c r="R21" s="1" t="n">
        <f aca="false">IF(E21&gt;0.5,MIN(F_MortPayM,E21+E21*(F_MR/12)),0)</f>
        <v>0</v>
      </c>
      <c r="S21" s="1" t="n">
        <f aca="false">IF(F21&gt;0.5,MIN(F_MortPayM,F21+F21*(F_MR/12)),0)</f>
        <v>0</v>
      </c>
      <c r="T21" s="1" t="n">
        <f aca="false">IF(G21&gt;0.5,MIN(F_MortPayM,G21+G21*(F_MR/12)),0)</f>
        <v>0</v>
      </c>
      <c r="U21" s="1" t="n">
        <f aca="false">IF(H21&gt;0.5,MIN(F_MortPayM,H21+H21*(F_MR/12)),0)</f>
        <v>0</v>
      </c>
      <c r="V21" s="1" t="n">
        <f aca="false">IF(I21&gt;0.5,MIN(F_MortPayM,I21+I21*(F_MR/12)),0)</f>
        <v>0</v>
      </c>
      <c r="W21" s="1" t="n">
        <f aca="false">IF(J21&gt;0.5,MIN(F_MortPayM,J21+J21*(F_MR/12)),0)</f>
        <v>0</v>
      </c>
      <c r="X21" s="1" t="n">
        <f aca="false">IF(K21&gt;0.5,MIN(F_MortPayM,K21+K21*(F_MR/12)),0)</f>
        <v>0</v>
      </c>
      <c r="Y21" s="1" t="n">
        <f aca="false">IF(L21&gt;0.5,MIN(F_MortPayM,L21+L21*(F_MR/12)),0)</f>
        <v>0</v>
      </c>
      <c r="Z21" s="1" t="n">
        <f aca="false">IF(M21&gt;0.5,MIN(F_MortPayM,M21+M21*(F_MR/12)),0)</f>
        <v>0</v>
      </c>
      <c r="AA21" s="1" t="n">
        <f aca="false">IF(N21&gt;0.5,MIN(F_MortPayM,N21+N21*(F_MR/12)),0)</f>
        <v>0</v>
      </c>
      <c r="AB21" s="1" t="n">
        <f aca="false">MAX(0,O21)</f>
        <v>0</v>
      </c>
      <c r="AC21" s="1" t="n">
        <f aca="false">SUM(P21:AA21)</f>
        <v>0</v>
      </c>
      <c r="AD21" s="1" t="n">
        <f aca="false">'Plan cashflow'!L21</f>
        <v>0</v>
      </c>
      <c r="AE21" s="1" t="n">
        <f aca="false">IF(AD21&gt;0.5,AD21+AD21*(D_iC)-MIN(F_CardPayM,AD21+AD21*(D_iC)),AD21)</f>
        <v>0</v>
      </c>
      <c r="AF21" s="1" t="n">
        <f aca="false">IF(AE21&gt;0.5,AE21+AE21*(D_iC)-MIN(F_CardPayM,AE21+AE21*(D_iC)),AE21)</f>
        <v>0</v>
      </c>
      <c r="AG21" s="1" t="n">
        <f aca="false">IF(AF21&gt;0.5,AF21+AF21*(D_iC)-MIN(F_CardPayM,AF21+AF21*(D_iC)),AF21)</f>
        <v>0</v>
      </c>
      <c r="AH21" s="1" t="n">
        <f aca="false">IF(AG21&gt;0.5,AG21+AG21*(D_iC)-MIN(F_CardPayM,AG21+AG21*(D_iC)),AG21)</f>
        <v>0</v>
      </c>
      <c r="AI21" s="1" t="n">
        <f aca="false">IF(AH21&gt;0.5,AH21+AH21*(D_iC)-MIN(F_CardPayM,AH21+AH21*(D_iC)),AH21)</f>
        <v>0</v>
      </c>
      <c r="AJ21" s="1" t="n">
        <f aca="false">IF(AI21&gt;0.5,AI21+AI21*(D_iC)-MIN(F_CardPayM,AI21+AI21*(D_iC)),AI21)</f>
        <v>0</v>
      </c>
      <c r="AK21" s="1" t="n">
        <f aca="false">IF(AJ21&gt;0.5,AJ21+AJ21*(D_iC)-MIN(F_CardPayM,AJ21+AJ21*(D_iC)),AJ21)</f>
        <v>0</v>
      </c>
      <c r="AL21" s="1" t="n">
        <f aca="false">IF(AK21&gt;0.5,AK21+AK21*(D_iC)-MIN(F_CardPayM,AK21+AK21*(D_iC)),AK21)</f>
        <v>0</v>
      </c>
      <c r="AM21" s="1" t="n">
        <f aca="false">IF(AL21&gt;0.5,AL21+AL21*(D_iC)-MIN(F_CardPayM,AL21+AL21*(D_iC)),AL21)</f>
        <v>0</v>
      </c>
      <c r="AN21" s="1" t="n">
        <f aca="false">IF(AM21&gt;0.5,AM21+AM21*(D_iC)-MIN(F_CardPayM,AM21+AM21*(D_iC)),AM21)</f>
        <v>0</v>
      </c>
      <c r="AO21" s="1" t="n">
        <f aca="false">IF(AN21&gt;0.5,AN21+AN21*(D_iC)-MIN(F_CardPayM,AN21+AN21*(D_iC)),AN21)</f>
        <v>0</v>
      </c>
      <c r="AP21" s="1" t="n">
        <f aca="false">IF(AO21&gt;0.5,AO21+AO21*(D_iC)-MIN(F_CardPayM,AO21+AO21*(D_iC)),AO21)</f>
        <v>0</v>
      </c>
      <c r="AQ21" s="1" t="n">
        <f aca="false">IF(AD21&gt;0.5,MIN(F_CardPayM,AD21+AD21*(D_iC)),0)</f>
        <v>0</v>
      </c>
      <c r="AR21" s="1" t="n">
        <f aca="false">IF(AE21&gt;0.5,MIN(F_CardPayM,AE21+AE21*(D_iC)),0)</f>
        <v>0</v>
      </c>
      <c r="AS21" s="1" t="n">
        <f aca="false">IF(AF21&gt;0.5,MIN(F_CardPayM,AF21+AF21*(D_iC)),0)</f>
        <v>0</v>
      </c>
      <c r="AT21" s="1" t="n">
        <f aca="false">IF(AG21&gt;0.5,MIN(F_CardPayM,AG21+AG21*(D_iC)),0)</f>
        <v>0</v>
      </c>
      <c r="AU21" s="1" t="n">
        <f aca="false">IF(AH21&gt;0.5,MIN(F_CardPayM,AH21+AH21*(D_iC)),0)</f>
        <v>0</v>
      </c>
      <c r="AV21" s="1" t="n">
        <f aca="false">IF(AI21&gt;0.5,MIN(F_CardPayM,AI21+AI21*(D_iC)),0)</f>
        <v>0</v>
      </c>
      <c r="AW21" s="1" t="n">
        <f aca="false">IF(AJ21&gt;0.5,MIN(F_CardPayM,AJ21+AJ21*(D_iC)),0)</f>
        <v>0</v>
      </c>
      <c r="AX21" s="1" t="n">
        <f aca="false">IF(AK21&gt;0.5,MIN(F_CardPayM,AK21+AK21*(D_iC)),0)</f>
        <v>0</v>
      </c>
      <c r="AY21" s="1" t="n">
        <f aca="false">IF(AL21&gt;0.5,MIN(F_CardPayM,AL21+AL21*(D_iC)),0)</f>
        <v>0</v>
      </c>
      <c r="AZ21" s="1" t="n">
        <f aca="false">IF(AM21&gt;0.5,MIN(F_CardPayM,AM21+AM21*(D_iC)),0)</f>
        <v>0</v>
      </c>
      <c r="BA21" s="1" t="n">
        <f aca="false">IF(AN21&gt;0.5,MIN(F_CardPayM,AN21+AN21*(D_iC)),0)</f>
        <v>0</v>
      </c>
      <c r="BB21" s="1" t="n">
        <f aca="false">IF(AO21&gt;0.5,MIN(F_CardPayM,AO21+AO21*(D_iC)),0)</f>
        <v>0</v>
      </c>
      <c r="BC21" s="1" t="n">
        <f aca="false">MAX(0,AP21)</f>
        <v>0</v>
      </c>
      <c r="BD21" s="1" t="n">
        <f aca="false">SUM(AQ21:BB21)</f>
        <v>0</v>
      </c>
      <c r="BE21" s="1" t="n">
        <f aca="false">'Plan cashflow'!O21</f>
        <v>0</v>
      </c>
      <c r="BF21" s="1" t="n">
        <f aca="false">IF(BE21&gt;0.5,BE21+BE21*(D_iL)-MIN(F_LoanPayM,BE21+BE21*(D_iL)),BE21)</f>
        <v>0</v>
      </c>
      <c r="BG21" s="1" t="n">
        <f aca="false">IF(BF21&gt;0.5,BF21+BF21*(D_iL)-MIN(F_LoanPayM,BF21+BF21*(D_iL)),BF21)</f>
        <v>0</v>
      </c>
      <c r="BH21" s="1" t="n">
        <f aca="false">IF(BG21&gt;0.5,BG21+BG21*(D_iL)-MIN(F_LoanPayM,BG21+BG21*(D_iL)),BG21)</f>
        <v>0</v>
      </c>
      <c r="BI21" s="1" t="n">
        <f aca="false">IF(BH21&gt;0.5,BH21+BH21*(D_iL)-MIN(F_LoanPayM,BH21+BH21*(D_iL)),BH21)</f>
        <v>0</v>
      </c>
      <c r="BJ21" s="1" t="n">
        <f aca="false">IF(BI21&gt;0.5,BI21+BI21*(D_iL)-MIN(F_LoanPayM,BI21+BI21*(D_iL)),BI21)</f>
        <v>0</v>
      </c>
      <c r="BK21" s="1" t="n">
        <f aca="false">IF(BJ21&gt;0.5,BJ21+BJ21*(D_iL)-MIN(F_LoanPayM,BJ21+BJ21*(D_iL)),BJ21)</f>
        <v>0</v>
      </c>
      <c r="BL21" s="1" t="n">
        <f aca="false">IF(BK21&gt;0.5,BK21+BK21*(D_iL)-MIN(F_LoanPayM,BK21+BK21*(D_iL)),BK21)</f>
        <v>0</v>
      </c>
      <c r="BM21" s="1" t="n">
        <f aca="false">IF(BL21&gt;0.5,BL21+BL21*(D_iL)-MIN(F_LoanPayM,BL21+BL21*(D_iL)),BL21)</f>
        <v>0</v>
      </c>
      <c r="BN21" s="1" t="n">
        <f aca="false">IF(BM21&gt;0.5,BM21+BM21*(D_iL)-MIN(F_LoanPayM,BM21+BM21*(D_iL)),BM21)</f>
        <v>0</v>
      </c>
      <c r="BO21" s="1" t="n">
        <f aca="false">IF(BN21&gt;0.5,BN21+BN21*(D_iL)-MIN(F_LoanPayM,BN21+BN21*(D_iL)),BN21)</f>
        <v>0</v>
      </c>
      <c r="BP21" s="1" t="n">
        <f aca="false">IF(BO21&gt;0.5,BO21+BO21*(D_iL)-MIN(F_LoanPayM,BO21+BO21*(D_iL)),BO21)</f>
        <v>0</v>
      </c>
      <c r="BQ21" s="1" t="n">
        <f aca="false">IF(BP21&gt;0.5,BP21+BP21*(D_iL)-MIN(F_LoanPayM,BP21+BP21*(D_iL)),BP21)</f>
        <v>0</v>
      </c>
      <c r="BR21" s="1" t="n">
        <f aca="false">IF(BE21&gt;0.5,MIN(F_LoanPayM,BE21+BE21*(D_iL)),0)</f>
        <v>0</v>
      </c>
      <c r="BS21" s="1" t="n">
        <f aca="false">IF(BF21&gt;0.5,MIN(F_LoanPayM,BF21+BF21*(D_iL)),0)</f>
        <v>0</v>
      </c>
      <c r="BT21" s="1" t="n">
        <f aca="false">IF(BG21&gt;0.5,MIN(F_LoanPayM,BG21+BG21*(D_iL)),0)</f>
        <v>0</v>
      </c>
      <c r="BU21" s="1" t="n">
        <f aca="false">IF(BH21&gt;0.5,MIN(F_LoanPayM,BH21+BH21*(D_iL)),0)</f>
        <v>0</v>
      </c>
      <c r="BV21" s="1" t="n">
        <f aca="false">IF(BI21&gt;0.5,MIN(F_LoanPayM,BI21+BI21*(D_iL)),0)</f>
        <v>0</v>
      </c>
      <c r="BW21" s="1" t="n">
        <f aca="false">IF(BJ21&gt;0.5,MIN(F_LoanPayM,BJ21+BJ21*(D_iL)),0)</f>
        <v>0</v>
      </c>
      <c r="BX21" s="1" t="n">
        <f aca="false">IF(BK21&gt;0.5,MIN(F_LoanPayM,BK21+BK21*(D_iL)),0)</f>
        <v>0</v>
      </c>
      <c r="BY21" s="1" t="n">
        <f aca="false">IF(BL21&gt;0.5,MIN(F_LoanPayM,BL21+BL21*(D_iL)),0)</f>
        <v>0</v>
      </c>
      <c r="BZ21" s="1" t="n">
        <f aca="false">IF(BM21&gt;0.5,MIN(F_LoanPayM,BM21+BM21*(D_iL)),0)</f>
        <v>0</v>
      </c>
      <c r="CA21" s="1" t="n">
        <f aca="false">IF(BN21&gt;0.5,MIN(F_LoanPayM,BN21+BN21*(D_iL)),0)</f>
        <v>0</v>
      </c>
      <c r="CB21" s="1" t="n">
        <f aca="false">IF(BO21&gt;0.5,MIN(F_LoanPayM,BO21+BO21*(D_iL)),0)</f>
        <v>0</v>
      </c>
      <c r="CC21" s="1" t="n">
        <f aca="false">IF(BP21&gt;0.5,MIN(F_LoanPayM,BP21+BP21*(D_iL)),0)</f>
        <v>0</v>
      </c>
      <c r="CD21" s="1" t="n">
        <f aca="false">MAX(0,BQ21)</f>
        <v>0</v>
      </c>
      <c r="CE21" s="1" t="n">
        <f aca="false">SUM(BR21:CC21)</f>
        <v>0</v>
      </c>
      <c r="CF21" s="1" t="n">
        <f aca="false">IF(CF20&gt;1,DE20,CF20)</f>
        <v>0</v>
      </c>
      <c r="CG21" s="1" t="n">
        <f aca="false">IF(CF21&gt;0.5,CF21+CF21*(F_MR/12)-MIN(F_MortPayM,CF21+CF21*(F_MR/12)),CF21)</f>
        <v>0</v>
      </c>
      <c r="CH21" s="1" t="n">
        <f aca="false">IF(CG21&gt;0.5,CG21+CG21*(F_MR/12)-MIN(F_MortPayM,CG21+CG21*(F_MR/12)),CG21)</f>
        <v>0</v>
      </c>
      <c r="CI21" s="1" t="n">
        <f aca="false">IF(CH21&gt;0.5,CH21+CH21*(F_MR/12)-MIN(F_MortPayM,CH21+CH21*(F_MR/12)),CH21)</f>
        <v>0</v>
      </c>
      <c r="CJ21" s="1" t="n">
        <f aca="false">IF(CI21&gt;0.5,CI21+CI21*(F_MR/12)-MIN(F_MortPayM,CI21+CI21*(F_MR/12)),CI21)</f>
        <v>0</v>
      </c>
      <c r="CK21" s="1" t="n">
        <f aca="false">IF(CJ21&gt;0.5,CJ21+CJ21*(F_MR/12)-MIN(F_MortPayM,CJ21+CJ21*(F_MR/12)),CJ21)</f>
        <v>0</v>
      </c>
      <c r="CL21" s="1" t="n">
        <f aca="false">IF(CK21&gt;0.5,CK21+CK21*(F_MR/12)-MIN(F_MortPayM,CK21+CK21*(F_MR/12)),CK21)</f>
        <v>0</v>
      </c>
      <c r="CM21" s="1" t="n">
        <f aca="false">IF(CL21&gt;0.5,CL21+CL21*(F_MR/12)-MIN(F_MortPayM,CL21+CL21*(F_MR/12)),CL21)</f>
        <v>0</v>
      </c>
      <c r="CN21" s="1" t="n">
        <f aca="false">IF(CM21&gt;0.5,CM21+CM21*(F_MR/12)-MIN(F_MortPayM,CM21+CM21*(F_MR/12)),CM21)</f>
        <v>0</v>
      </c>
      <c r="CO21" s="1" t="n">
        <f aca="false">IF(CN21&gt;0.5,CN21+CN21*(F_MR/12)-MIN(F_MortPayM,CN21+CN21*(F_MR/12)),CN21)</f>
        <v>0</v>
      </c>
      <c r="CP21" s="1" t="n">
        <f aca="false">IF(CO21&gt;0.5,CO21+CO21*(F_MR/12)-MIN(F_MortPayM,CO21+CO21*(F_MR/12)),CO21)</f>
        <v>0</v>
      </c>
      <c r="CQ21" s="1" t="n">
        <f aca="false">IF(CP21&gt;0.5,CP21+CP21*(F_MR/12)-MIN(F_MortPayM,CP21+CP21*(F_MR/12)),CP21)</f>
        <v>0</v>
      </c>
      <c r="CR21" s="1" t="n">
        <f aca="false">IF(CQ21&gt;0.5,CQ21+CQ21*(F_MR/12)-MIN(F_MortPayM,CQ21+CQ21*(F_MR/12)),CQ21)</f>
        <v>0</v>
      </c>
      <c r="CS21" s="1" t="n">
        <f aca="false">IF(CF21&gt;0.5,MIN(F_MortPayM,CF21+CF21*(F_MR/12)),0)</f>
        <v>0</v>
      </c>
      <c r="CT21" s="1" t="n">
        <f aca="false">IF(CG21&gt;0.5,MIN(F_MortPayM,CG21+CG21*(F_MR/12)),0)</f>
        <v>0</v>
      </c>
      <c r="CU21" s="1" t="n">
        <f aca="false">IF(CH21&gt;0.5,MIN(F_MortPayM,CH21+CH21*(F_MR/12)),0)</f>
        <v>0</v>
      </c>
      <c r="CV21" s="1" t="n">
        <f aca="false">IF(CI21&gt;0.5,MIN(F_MortPayM,CI21+CI21*(F_MR/12)),0)</f>
        <v>0</v>
      </c>
      <c r="CW21" s="1" t="n">
        <f aca="false">IF(CJ21&gt;0.5,MIN(F_MortPayM,CJ21+CJ21*(F_MR/12)),0)</f>
        <v>0</v>
      </c>
      <c r="CX21" s="1" t="n">
        <f aca="false">IF(CK21&gt;0.5,MIN(F_MortPayM,CK21+CK21*(F_MR/12)),0)</f>
        <v>0</v>
      </c>
      <c r="CY21" s="1" t="n">
        <f aca="false">IF(CL21&gt;0.5,MIN(F_MortPayM,CL21+CL21*(F_MR/12)),0)</f>
        <v>0</v>
      </c>
      <c r="CZ21" s="1" t="n">
        <f aca="false">IF(CM21&gt;0.5,MIN(F_MortPayM,CM21+CM21*(F_MR/12)),0)</f>
        <v>0</v>
      </c>
      <c r="DA21" s="1" t="n">
        <f aca="false">IF(CN21&gt;0.5,MIN(F_MortPayM,CN21+CN21*(F_MR/12)),0)</f>
        <v>0</v>
      </c>
      <c r="DB21" s="1" t="n">
        <f aca="false">IF(CO21&gt;0.5,MIN(F_MortPayM,CO21+CO21*(F_MR/12)),0)</f>
        <v>0</v>
      </c>
      <c r="DC21" s="1" t="n">
        <f aca="false">IF(CP21&gt;0.5,MIN(F_MortPayM,CP21+CP21*(F_MR/12)),0)</f>
        <v>0</v>
      </c>
      <c r="DD21" s="1" t="n">
        <f aca="false">IF(CQ21&gt;0.5,MIN(F_MortPayM,CQ21+CQ21*(F_MR/12)),0)</f>
        <v>0</v>
      </c>
      <c r="DE21" s="1" t="n">
        <f aca="false">MAX(0,CR21)</f>
        <v>0</v>
      </c>
      <c r="DF21" s="1" t="n">
        <f aca="false">SUM(CS21:DD21)</f>
        <v>0</v>
      </c>
      <c r="DG21" s="1" t="n">
        <f aca="false">MAX(0,CF21)</f>
        <v>0</v>
      </c>
    </row>
    <row r="22" customFormat="false" ht="15" hidden="false" customHeight="false" outlineLevel="0" collapsed="false">
      <c r="B22" s="1" t="n">
        <v>14</v>
      </c>
      <c r="C22" s="1" t="n">
        <f aca="false">'Plan cashflow'!I22</f>
        <v>0</v>
      </c>
      <c r="D22" s="1" t="n">
        <f aca="false">IF(C22&gt;0.5,C22+C22*(F_MR/12)-MIN(F_MortPayM,C22+C22*(F_MR/12)),C22)</f>
        <v>0</v>
      </c>
      <c r="E22" s="1" t="n">
        <f aca="false">IF(D22&gt;0.5,D22+D22*(F_MR/12)-MIN(F_MortPayM,D22+D22*(F_MR/12)),D22)</f>
        <v>0</v>
      </c>
      <c r="F22" s="1" t="n">
        <f aca="false">IF(E22&gt;0.5,E22+E22*(F_MR/12)-MIN(F_MortPayM,E22+E22*(F_MR/12)),E22)</f>
        <v>0</v>
      </c>
      <c r="G22" s="1" t="n">
        <f aca="false">IF(F22&gt;0.5,F22+F22*(F_MR/12)-MIN(F_MortPayM,F22+F22*(F_MR/12)),F22)</f>
        <v>0</v>
      </c>
      <c r="H22" s="1" t="n">
        <f aca="false">IF(G22&gt;0.5,G22+G22*(F_MR/12)-MIN(F_MortPayM,G22+G22*(F_MR/12)),G22)</f>
        <v>0</v>
      </c>
      <c r="I22" s="1" t="n">
        <f aca="false">IF(H22&gt;0.5,H22+H22*(F_MR/12)-MIN(F_MortPayM,H22+H22*(F_MR/12)),H22)</f>
        <v>0</v>
      </c>
      <c r="J22" s="1" t="n">
        <f aca="false">IF(I22&gt;0.5,I22+I22*(F_MR/12)-MIN(F_MortPayM,I22+I22*(F_MR/12)),I22)</f>
        <v>0</v>
      </c>
      <c r="K22" s="1" t="n">
        <f aca="false">IF(J22&gt;0.5,J22+J22*(F_MR/12)-MIN(F_MortPayM,J22+J22*(F_MR/12)),J22)</f>
        <v>0</v>
      </c>
      <c r="L22" s="1" t="n">
        <f aca="false">IF(K22&gt;0.5,K22+K22*(F_MR/12)-MIN(F_MortPayM,K22+K22*(F_MR/12)),K22)</f>
        <v>0</v>
      </c>
      <c r="M22" s="1" t="n">
        <f aca="false">IF(L22&gt;0.5,L22+L22*(F_MR/12)-MIN(F_MortPayM,L22+L22*(F_MR/12)),L22)</f>
        <v>0</v>
      </c>
      <c r="N22" s="1" t="n">
        <f aca="false">IF(M22&gt;0.5,M22+M22*(F_MR/12)-MIN(F_MortPayM,M22+M22*(F_MR/12)),M22)</f>
        <v>0</v>
      </c>
      <c r="O22" s="1" t="n">
        <f aca="false">IF(N22&gt;0.5,N22+N22*(F_MR/12)-MIN(F_MortPayM,N22+N22*(F_MR/12)),N22)</f>
        <v>0</v>
      </c>
      <c r="P22" s="1" t="n">
        <f aca="false">IF(C22&gt;0.5,MIN(F_MortPayM,C22+C22*(F_MR/12)),0)</f>
        <v>0</v>
      </c>
      <c r="Q22" s="1" t="n">
        <f aca="false">IF(D22&gt;0.5,MIN(F_MortPayM,D22+D22*(F_MR/12)),0)</f>
        <v>0</v>
      </c>
      <c r="R22" s="1" t="n">
        <f aca="false">IF(E22&gt;0.5,MIN(F_MortPayM,E22+E22*(F_MR/12)),0)</f>
        <v>0</v>
      </c>
      <c r="S22" s="1" t="n">
        <f aca="false">IF(F22&gt;0.5,MIN(F_MortPayM,F22+F22*(F_MR/12)),0)</f>
        <v>0</v>
      </c>
      <c r="T22" s="1" t="n">
        <f aca="false">IF(G22&gt;0.5,MIN(F_MortPayM,G22+G22*(F_MR/12)),0)</f>
        <v>0</v>
      </c>
      <c r="U22" s="1" t="n">
        <f aca="false">IF(H22&gt;0.5,MIN(F_MortPayM,H22+H22*(F_MR/12)),0)</f>
        <v>0</v>
      </c>
      <c r="V22" s="1" t="n">
        <f aca="false">IF(I22&gt;0.5,MIN(F_MortPayM,I22+I22*(F_MR/12)),0)</f>
        <v>0</v>
      </c>
      <c r="W22" s="1" t="n">
        <f aca="false">IF(J22&gt;0.5,MIN(F_MortPayM,J22+J22*(F_MR/12)),0)</f>
        <v>0</v>
      </c>
      <c r="X22" s="1" t="n">
        <f aca="false">IF(K22&gt;0.5,MIN(F_MortPayM,K22+K22*(F_MR/12)),0)</f>
        <v>0</v>
      </c>
      <c r="Y22" s="1" t="n">
        <f aca="false">IF(L22&gt;0.5,MIN(F_MortPayM,L22+L22*(F_MR/12)),0)</f>
        <v>0</v>
      </c>
      <c r="Z22" s="1" t="n">
        <f aca="false">IF(M22&gt;0.5,MIN(F_MortPayM,M22+M22*(F_MR/12)),0)</f>
        <v>0</v>
      </c>
      <c r="AA22" s="1" t="n">
        <f aca="false">IF(N22&gt;0.5,MIN(F_MortPayM,N22+N22*(F_MR/12)),0)</f>
        <v>0</v>
      </c>
      <c r="AB22" s="1" t="n">
        <f aca="false">MAX(0,O22)</f>
        <v>0</v>
      </c>
      <c r="AC22" s="1" t="n">
        <f aca="false">SUM(P22:AA22)</f>
        <v>0</v>
      </c>
      <c r="AD22" s="1" t="n">
        <f aca="false">'Plan cashflow'!L22</f>
        <v>0</v>
      </c>
      <c r="AE22" s="1" t="n">
        <f aca="false">IF(AD22&gt;0.5,AD22+AD22*(D_iC)-MIN(F_CardPayM,AD22+AD22*(D_iC)),AD22)</f>
        <v>0</v>
      </c>
      <c r="AF22" s="1" t="n">
        <f aca="false">IF(AE22&gt;0.5,AE22+AE22*(D_iC)-MIN(F_CardPayM,AE22+AE22*(D_iC)),AE22)</f>
        <v>0</v>
      </c>
      <c r="AG22" s="1" t="n">
        <f aca="false">IF(AF22&gt;0.5,AF22+AF22*(D_iC)-MIN(F_CardPayM,AF22+AF22*(D_iC)),AF22)</f>
        <v>0</v>
      </c>
      <c r="AH22" s="1" t="n">
        <f aca="false">IF(AG22&gt;0.5,AG22+AG22*(D_iC)-MIN(F_CardPayM,AG22+AG22*(D_iC)),AG22)</f>
        <v>0</v>
      </c>
      <c r="AI22" s="1" t="n">
        <f aca="false">IF(AH22&gt;0.5,AH22+AH22*(D_iC)-MIN(F_CardPayM,AH22+AH22*(D_iC)),AH22)</f>
        <v>0</v>
      </c>
      <c r="AJ22" s="1" t="n">
        <f aca="false">IF(AI22&gt;0.5,AI22+AI22*(D_iC)-MIN(F_CardPayM,AI22+AI22*(D_iC)),AI22)</f>
        <v>0</v>
      </c>
      <c r="AK22" s="1" t="n">
        <f aca="false">IF(AJ22&gt;0.5,AJ22+AJ22*(D_iC)-MIN(F_CardPayM,AJ22+AJ22*(D_iC)),AJ22)</f>
        <v>0</v>
      </c>
      <c r="AL22" s="1" t="n">
        <f aca="false">IF(AK22&gt;0.5,AK22+AK22*(D_iC)-MIN(F_CardPayM,AK22+AK22*(D_iC)),AK22)</f>
        <v>0</v>
      </c>
      <c r="AM22" s="1" t="n">
        <f aca="false">IF(AL22&gt;0.5,AL22+AL22*(D_iC)-MIN(F_CardPayM,AL22+AL22*(D_iC)),AL22)</f>
        <v>0</v>
      </c>
      <c r="AN22" s="1" t="n">
        <f aca="false">IF(AM22&gt;0.5,AM22+AM22*(D_iC)-MIN(F_CardPayM,AM22+AM22*(D_iC)),AM22)</f>
        <v>0</v>
      </c>
      <c r="AO22" s="1" t="n">
        <f aca="false">IF(AN22&gt;0.5,AN22+AN22*(D_iC)-MIN(F_CardPayM,AN22+AN22*(D_iC)),AN22)</f>
        <v>0</v>
      </c>
      <c r="AP22" s="1" t="n">
        <f aca="false">IF(AO22&gt;0.5,AO22+AO22*(D_iC)-MIN(F_CardPayM,AO22+AO22*(D_iC)),AO22)</f>
        <v>0</v>
      </c>
      <c r="AQ22" s="1" t="n">
        <f aca="false">IF(AD22&gt;0.5,MIN(F_CardPayM,AD22+AD22*(D_iC)),0)</f>
        <v>0</v>
      </c>
      <c r="AR22" s="1" t="n">
        <f aca="false">IF(AE22&gt;0.5,MIN(F_CardPayM,AE22+AE22*(D_iC)),0)</f>
        <v>0</v>
      </c>
      <c r="AS22" s="1" t="n">
        <f aca="false">IF(AF22&gt;0.5,MIN(F_CardPayM,AF22+AF22*(D_iC)),0)</f>
        <v>0</v>
      </c>
      <c r="AT22" s="1" t="n">
        <f aca="false">IF(AG22&gt;0.5,MIN(F_CardPayM,AG22+AG22*(D_iC)),0)</f>
        <v>0</v>
      </c>
      <c r="AU22" s="1" t="n">
        <f aca="false">IF(AH22&gt;0.5,MIN(F_CardPayM,AH22+AH22*(D_iC)),0)</f>
        <v>0</v>
      </c>
      <c r="AV22" s="1" t="n">
        <f aca="false">IF(AI22&gt;0.5,MIN(F_CardPayM,AI22+AI22*(D_iC)),0)</f>
        <v>0</v>
      </c>
      <c r="AW22" s="1" t="n">
        <f aca="false">IF(AJ22&gt;0.5,MIN(F_CardPayM,AJ22+AJ22*(D_iC)),0)</f>
        <v>0</v>
      </c>
      <c r="AX22" s="1" t="n">
        <f aca="false">IF(AK22&gt;0.5,MIN(F_CardPayM,AK22+AK22*(D_iC)),0)</f>
        <v>0</v>
      </c>
      <c r="AY22" s="1" t="n">
        <f aca="false">IF(AL22&gt;0.5,MIN(F_CardPayM,AL22+AL22*(D_iC)),0)</f>
        <v>0</v>
      </c>
      <c r="AZ22" s="1" t="n">
        <f aca="false">IF(AM22&gt;0.5,MIN(F_CardPayM,AM22+AM22*(D_iC)),0)</f>
        <v>0</v>
      </c>
      <c r="BA22" s="1" t="n">
        <f aca="false">IF(AN22&gt;0.5,MIN(F_CardPayM,AN22+AN22*(D_iC)),0)</f>
        <v>0</v>
      </c>
      <c r="BB22" s="1" t="n">
        <f aca="false">IF(AO22&gt;0.5,MIN(F_CardPayM,AO22+AO22*(D_iC)),0)</f>
        <v>0</v>
      </c>
      <c r="BC22" s="1" t="n">
        <f aca="false">MAX(0,AP22)</f>
        <v>0</v>
      </c>
      <c r="BD22" s="1" t="n">
        <f aca="false">SUM(AQ22:BB22)</f>
        <v>0</v>
      </c>
      <c r="BE22" s="1" t="n">
        <f aca="false">'Plan cashflow'!O22</f>
        <v>0</v>
      </c>
      <c r="BF22" s="1" t="n">
        <f aca="false">IF(BE22&gt;0.5,BE22+BE22*(D_iL)-MIN(F_LoanPayM,BE22+BE22*(D_iL)),BE22)</f>
        <v>0</v>
      </c>
      <c r="BG22" s="1" t="n">
        <f aca="false">IF(BF22&gt;0.5,BF22+BF22*(D_iL)-MIN(F_LoanPayM,BF22+BF22*(D_iL)),BF22)</f>
        <v>0</v>
      </c>
      <c r="BH22" s="1" t="n">
        <f aca="false">IF(BG22&gt;0.5,BG22+BG22*(D_iL)-MIN(F_LoanPayM,BG22+BG22*(D_iL)),BG22)</f>
        <v>0</v>
      </c>
      <c r="BI22" s="1" t="n">
        <f aca="false">IF(BH22&gt;0.5,BH22+BH22*(D_iL)-MIN(F_LoanPayM,BH22+BH22*(D_iL)),BH22)</f>
        <v>0</v>
      </c>
      <c r="BJ22" s="1" t="n">
        <f aca="false">IF(BI22&gt;0.5,BI22+BI22*(D_iL)-MIN(F_LoanPayM,BI22+BI22*(D_iL)),BI22)</f>
        <v>0</v>
      </c>
      <c r="BK22" s="1" t="n">
        <f aca="false">IF(BJ22&gt;0.5,BJ22+BJ22*(D_iL)-MIN(F_LoanPayM,BJ22+BJ22*(D_iL)),BJ22)</f>
        <v>0</v>
      </c>
      <c r="BL22" s="1" t="n">
        <f aca="false">IF(BK22&gt;0.5,BK22+BK22*(D_iL)-MIN(F_LoanPayM,BK22+BK22*(D_iL)),BK22)</f>
        <v>0</v>
      </c>
      <c r="BM22" s="1" t="n">
        <f aca="false">IF(BL22&gt;0.5,BL22+BL22*(D_iL)-MIN(F_LoanPayM,BL22+BL22*(D_iL)),BL22)</f>
        <v>0</v>
      </c>
      <c r="BN22" s="1" t="n">
        <f aca="false">IF(BM22&gt;0.5,BM22+BM22*(D_iL)-MIN(F_LoanPayM,BM22+BM22*(D_iL)),BM22)</f>
        <v>0</v>
      </c>
      <c r="BO22" s="1" t="n">
        <f aca="false">IF(BN22&gt;0.5,BN22+BN22*(D_iL)-MIN(F_LoanPayM,BN22+BN22*(D_iL)),BN22)</f>
        <v>0</v>
      </c>
      <c r="BP22" s="1" t="n">
        <f aca="false">IF(BO22&gt;0.5,BO22+BO22*(D_iL)-MIN(F_LoanPayM,BO22+BO22*(D_iL)),BO22)</f>
        <v>0</v>
      </c>
      <c r="BQ22" s="1" t="n">
        <f aca="false">IF(BP22&gt;0.5,BP22+BP22*(D_iL)-MIN(F_LoanPayM,BP22+BP22*(D_iL)),BP22)</f>
        <v>0</v>
      </c>
      <c r="BR22" s="1" t="n">
        <f aca="false">IF(BE22&gt;0.5,MIN(F_LoanPayM,BE22+BE22*(D_iL)),0)</f>
        <v>0</v>
      </c>
      <c r="BS22" s="1" t="n">
        <f aca="false">IF(BF22&gt;0.5,MIN(F_LoanPayM,BF22+BF22*(D_iL)),0)</f>
        <v>0</v>
      </c>
      <c r="BT22" s="1" t="n">
        <f aca="false">IF(BG22&gt;0.5,MIN(F_LoanPayM,BG22+BG22*(D_iL)),0)</f>
        <v>0</v>
      </c>
      <c r="BU22" s="1" t="n">
        <f aca="false">IF(BH22&gt;0.5,MIN(F_LoanPayM,BH22+BH22*(D_iL)),0)</f>
        <v>0</v>
      </c>
      <c r="BV22" s="1" t="n">
        <f aca="false">IF(BI22&gt;0.5,MIN(F_LoanPayM,BI22+BI22*(D_iL)),0)</f>
        <v>0</v>
      </c>
      <c r="BW22" s="1" t="n">
        <f aca="false">IF(BJ22&gt;0.5,MIN(F_LoanPayM,BJ22+BJ22*(D_iL)),0)</f>
        <v>0</v>
      </c>
      <c r="BX22" s="1" t="n">
        <f aca="false">IF(BK22&gt;0.5,MIN(F_LoanPayM,BK22+BK22*(D_iL)),0)</f>
        <v>0</v>
      </c>
      <c r="BY22" s="1" t="n">
        <f aca="false">IF(BL22&gt;0.5,MIN(F_LoanPayM,BL22+BL22*(D_iL)),0)</f>
        <v>0</v>
      </c>
      <c r="BZ22" s="1" t="n">
        <f aca="false">IF(BM22&gt;0.5,MIN(F_LoanPayM,BM22+BM22*(D_iL)),0)</f>
        <v>0</v>
      </c>
      <c r="CA22" s="1" t="n">
        <f aca="false">IF(BN22&gt;0.5,MIN(F_LoanPayM,BN22+BN22*(D_iL)),0)</f>
        <v>0</v>
      </c>
      <c r="CB22" s="1" t="n">
        <f aca="false">IF(BO22&gt;0.5,MIN(F_LoanPayM,BO22+BO22*(D_iL)),0)</f>
        <v>0</v>
      </c>
      <c r="CC22" s="1" t="n">
        <f aca="false">IF(BP22&gt;0.5,MIN(F_LoanPayM,BP22+BP22*(D_iL)),0)</f>
        <v>0</v>
      </c>
      <c r="CD22" s="1" t="n">
        <f aca="false">MAX(0,BQ22)</f>
        <v>0</v>
      </c>
      <c r="CE22" s="1" t="n">
        <f aca="false">SUM(BR22:CC22)</f>
        <v>0</v>
      </c>
      <c r="CF22" s="1" t="n">
        <f aca="false">IF(CF21&gt;1,DE21,CF21)</f>
        <v>0</v>
      </c>
      <c r="CG22" s="1" t="n">
        <f aca="false">IF(CF22&gt;0.5,CF22+CF22*(F_MR/12)-MIN(F_MortPayM,CF22+CF22*(F_MR/12)),CF22)</f>
        <v>0</v>
      </c>
      <c r="CH22" s="1" t="n">
        <f aca="false">IF(CG22&gt;0.5,CG22+CG22*(F_MR/12)-MIN(F_MortPayM,CG22+CG22*(F_MR/12)),CG22)</f>
        <v>0</v>
      </c>
      <c r="CI22" s="1" t="n">
        <f aca="false">IF(CH22&gt;0.5,CH22+CH22*(F_MR/12)-MIN(F_MortPayM,CH22+CH22*(F_MR/12)),CH22)</f>
        <v>0</v>
      </c>
      <c r="CJ22" s="1" t="n">
        <f aca="false">IF(CI22&gt;0.5,CI22+CI22*(F_MR/12)-MIN(F_MortPayM,CI22+CI22*(F_MR/12)),CI22)</f>
        <v>0</v>
      </c>
      <c r="CK22" s="1" t="n">
        <f aca="false">IF(CJ22&gt;0.5,CJ22+CJ22*(F_MR/12)-MIN(F_MortPayM,CJ22+CJ22*(F_MR/12)),CJ22)</f>
        <v>0</v>
      </c>
      <c r="CL22" s="1" t="n">
        <f aca="false">IF(CK22&gt;0.5,CK22+CK22*(F_MR/12)-MIN(F_MortPayM,CK22+CK22*(F_MR/12)),CK22)</f>
        <v>0</v>
      </c>
      <c r="CM22" s="1" t="n">
        <f aca="false">IF(CL22&gt;0.5,CL22+CL22*(F_MR/12)-MIN(F_MortPayM,CL22+CL22*(F_MR/12)),CL22)</f>
        <v>0</v>
      </c>
      <c r="CN22" s="1" t="n">
        <f aca="false">IF(CM22&gt;0.5,CM22+CM22*(F_MR/12)-MIN(F_MortPayM,CM22+CM22*(F_MR/12)),CM22)</f>
        <v>0</v>
      </c>
      <c r="CO22" s="1" t="n">
        <f aca="false">IF(CN22&gt;0.5,CN22+CN22*(F_MR/12)-MIN(F_MortPayM,CN22+CN22*(F_MR/12)),CN22)</f>
        <v>0</v>
      </c>
      <c r="CP22" s="1" t="n">
        <f aca="false">IF(CO22&gt;0.5,CO22+CO22*(F_MR/12)-MIN(F_MortPayM,CO22+CO22*(F_MR/12)),CO22)</f>
        <v>0</v>
      </c>
      <c r="CQ22" s="1" t="n">
        <f aca="false">IF(CP22&gt;0.5,CP22+CP22*(F_MR/12)-MIN(F_MortPayM,CP22+CP22*(F_MR/12)),CP22)</f>
        <v>0</v>
      </c>
      <c r="CR22" s="1" t="n">
        <f aca="false">IF(CQ22&gt;0.5,CQ22+CQ22*(F_MR/12)-MIN(F_MortPayM,CQ22+CQ22*(F_MR/12)),CQ22)</f>
        <v>0</v>
      </c>
      <c r="CS22" s="1" t="n">
        <f aca="false">IF(CF22&gt;0.5,MIN(F_MortPayM,CF22+CF22*(F_MR/12)),0)</f>
        <v>0</v>
      </c>
      <c r="CT22" s="1" t="n">
        <f aca="false">IF(CG22&gt;0.5,MIN(F_MortPayM,CG22+CG22*(F_MR/12)),0)</f>
        <v>0</v>
      </c>
      <c r="CU22" s="1" t="n">
        <f aca="false">IF(CH22&gt;0.5,MIN(F_MortPayM,CH22+CH22*(F_MR/12)),0)</f>
        <v>0</v>
      </c>
      <c r="CV22" s="1" t="n">
        <f aca="false">IF(CI22&gt;0.5,MIN(F_MortPayM,CI22+CI22*(F_MR/12)),0)</f>
        <v>0</v>
      </c>
      <c r="CW22" s="1" t="n">
        <f aca="false">IF(CJ22&gt;0.5,MIN(F_MortPayM,CJ22+CJ22*(F_MR/12)),0)</f>
        <v>0</v>
      </c>
      <c r="CX22" s="1" t="n">
        <f aca="false">IF(CK22&gt;0.5,MIN(F_MortPayM,CK22+CK22*(F_MR/12)),0)</f>
        <v>0</v>
      </c>
      <c r="CY22" s="1" t="n">
        <f aca="false">IF(CL22&gt;0.5,MIN(F_MortPayM,CL22+CL22*(F_MR/12)),0)</f>
        <v>0</v>
      </c>
      <c r="CZ22" s="1" t="n">
        <f aca="false">IF(CM22&gt;0.5,MIN(F_MortPayM,CM22+CM22*(F_MR/12)),0)</f>
        <v>0</v>
      </c>
      <c r="DA22" s="1" t="n">
        <f aca="false">IF(CN22&gt;0.5,MIN(F_MortPayM,CN22+CN22*(F_MR/12)),0)</f>
        <v>0</v>
      </c>
      <c r="DB22" s="1" t="n">
        <f aca="false">IF(CO22&gt;0.5,MIN(F_MortPayM,CO22+CO22*(F_MR/12)),0)</f>
        <v>0</v>
      </c>
      <c r="DC22" s="1" t="n">
        <f aca="false">IF(CP22&gt;0.5,MIN(F_MortPayM,CP22+CP22*(F_MR/12)),0)</f>
        <v>0</v>
      </c>
      <c r="DD22" s="1" t="n">
        <f aca="false">IF(CQ22&gt;0.5,MIN(F_MortPayM,CQ22+CQ22*(F_MR/12)),0)</f>
        <v>0</v>
      </c>
      <c r="DE22" s="1" t="n">
        <f aca="false">MAX(0,CR22)</f>
        <v>0</v>
      </c>
      <c r="DF22" s="1" t="n">
        <f aca="false">SUM(CS22:DD22)</f>
        <v>0</v>
      </c>
      <c r="DG22" s="1" t="n">
        <f aca="false">MAX(0,CF22)</f>
        <v>0</v>
      </c>
    </row>
    <row r="23" customFormat="false" ht="15" hidden="false" customHeight="false" outlineLevel="0" collapsed="false">
      <c r="B23" s="1" t="n">
        <v>15</v>
      </c>
      <c r="C23" s="1" t="n">
        <f aca="false">'Plan cashflow'!I23</f>
        <v>0</v>
      </c>
      <c r="D23" s="1" t="n">
        <f aca="false">IF(C23&gt;0.5,C23+C23*(F_MR/12)-MIN(F_MortPayM,C23+C23*(F_MR/12)),C23)</f>
        <v>0</v>
      </c>
      <c r="E23" s="1" t="n">
        <f aca="false">IF(D23&gt;0.5,D23+D23*(F_MR/12)-MIN(F_MortPayM,D23+D23*(F_MR/12)),D23)</f>
        <v>0</v>
      </c>
      <c r="F23" s="1" t="n">
        <f aca="false">IF(E23&gt;0.5,E23+E23*(F_MR/12)-MIN(F_MortPayM,E23+E23*(F_MR/12)),E23)</f>
        <v>0</v>
      </c>
      <c r="G23" s="1" t="n">
        <f aca="false">IF(F23&gt;0.5,F23+F23*(F_MR/12)-MIN(F_MortPayM,F23+F23*(F_MR/12)),F23)</f>
        <v>0</v>
      </c>
      <c r="H23" s="1" t="n">
        <f aca="false">IF(G23&gt;0.5,G23+G23*(F_MR/12)-MIN(F_MortPayM,G23+G23*(F_MR/12)),G23)</f>
        <v>0</v>
      </c>
      <c r="I23" s="1" t="n">
        <f aca="false">IF(H23&gt;0.5,H23+H23*(F_MR/12)-MIN(F_MortPayM,H23+H23*(F_MR/12)),H23)</f>
        <v>0</v>
      </c>
      <c r="J23" s="1" t="n">
        <f aca="false">IF(I23&gt;0.5,I23+I23*(F_MR/12)-MIN(F_MortPayM,I23+I23*(F_MR/12)),I23)</f>
        <v>0</v>
      </c>
      <c r="K23" s="1" t="n">
        <f aca="false">IF(J23&gt;0.5,J23+J23*(F_MR/12)-MIN(F_MortPayM,J23+J23*(F_MR/12)),J23)</f>
        <v>0</v>
      </c>
      <c r="L23" s="1" t="n">
        <f aca="false">IF(K23&gt;0.5,K23+K23*(F_MR/12)-MIN(F_MortPayM,K23+K23*(F_MR/12)),K23)</f>
        <v>0</v>
      </c>
      <c r="M23" s="1" t="n">
        <f aca="false">IF(L23&gt;0.5,L23+L23*(F_MR/12)-MIN(F_MortPayM,L23+L23*(F_MR/12)),L23)</f>
        <v>0</v>
      </c>
      <c r="N23" s="1" t="n">
        <f aca="false">IF(M23&gt;0.5,M23+M23*(F_MR/12)-MIN(F_MortPayM,M23+M23*(F_MR/12)),M23)</f>
        <v>0</v>
      </c>
      <c r="O23" s="1" t="n">
        <f aca="false">IF(N23&gt;0.5,N23+N23*(F_MR/12)-MIN(F_MortPayM,N23+N23*(F_MR/12)),N23)</f>
        <v>0</v>
      </c>
      <c r="P23" s="1" t="n">
        <f aca="false">IF(C23&gt;0.5,MIN(F_MortPayM,C23+C23*(F_MR/12)),0)</f>
        <v>0</v>
      </c>
      <c r="Q23" s="1" t="n">
        <f aca="false">IF(D23&gt;0.5,MIN(F_MortPayM,D23+D23*(F_MR/12)),0)</f>
        <v>0</v>
      </c>
      <c r="R23" s="1" t="n">
        <f aca="false">IF(E23&gt;0.5,MIN(F_MortPayM,E23+E23*(F_MR/12)),0)</f>
        <v>0</v>
      </c>
      <c r="S23" s="1" t="n">
        <f aca="false">IF(F23&gt;0.5,MIN(F_MortPayM,F23+F23*(F_MR/12)),0)</f>
        <v>0</v>
      </c>
      <c r="T23" s="1" t="n">
        <f aca="false">IF(G23&gt;0.5,MIN(F_MortPayM,G23+G23*(F_MR/12)),0)</f>
        <v>0</v>
      </c>
      <c r="U23" s="1" t="n">
        <f aca="false">IF(H23&gt;0.5,MIN(F_MortPayM,H23+H23*(F_MR/12)),0)</f>
        <v>0</v>
      </c>
      <c r="V23" s="1" t="n">
        <f aca="false">IF(I23&gt;0.5,MIN(F_MortPayM,I23+I23*(F_MR/12)),0)</f>
        <v>0</v>
      </c>
      <c r="W23" s="1" t="n">
        <f aca="false">IF(J23&gt;0.5,MIN(F_MortPayM,J23+J23*(F_MR/12)),0)</f>
        <v>0</v>
      </c>
      <c r="X23" s="1" t="n">
        <f aca="false">IF(K23&gt;0.5,MIN(F_MortPayM,K23+K23*(F_MR/12)),0)</f>
        <v>0</v>
      </c>
      <c r="Y23" s="1" t="n">
        <f aca="false">IF(L23&gt;0.5,MIN(F_MortPayM,L23+L23*(F_MR/12)),0)</f>
        <v>0</v>
      </c>
      <c r="Z23" s="1" t="n">
        <f aca="false">IF(M23&gt;0.5,MIN(F_MortPayM,M23+M23*(F_MR/12)),0)</f>
        <v>0</v>
      </c>
      <c r="AA23" s="1" t="n">
        <f aca="false">IF(N23&gt;0.5,MIN(F_MortPayM,N23+N23*(F_MR/12)),0)</f>
        <v>0</v>
      </c>
      <c r="AB23" s="1" t="n">
        <f aca="false">MAX(0,O23)</f>
        <v>0</v>
      </c>
      <c r="AC23" s="1" t="n">
        <f aca="false">SUM(P23:AA23)</f>
        <v>0</v>
      </c>
      <c r="AD23" s="1" t="n">
        <f aca="false">'Plan cashflow'!L23</f>
        <v>0</v>
      </c>
      <c r="AE23" s="1" t="n">
        <f aca="false">IF(AD23&gt;0.5,AD23+AD23*(D_iC)-MIN(F_CardPayM,AD23+AD23*(D_iC)),AD23)</f>
        <v>0</v>
      </c>
      <c r="AF23" s="1" t="n">
        <f aca="false">IF(AE23&gt;0.5,AE23+AE23*(D_iC)-MIN(F_CardPayM,AE23+AE23*(D_iC)),AE23)</f>
        <v>0</v>
      </c>
      <c r="AG23" s="1" t="n">
        <f aca="false">IF(AF23&gt;0.5,AF23+AF23*(D_iC)-MIN(F_CardPayM,AF23+AF23*(D_iC)),AF23)</f>
        <v>0</v>
      </c>
      <c r="AH23" s="1" t="n">
        <f aca="false">IF(AG23&gt;0.5,AG23+AG23*(D_iC)-MIN(F_CardPayM,AG23+AG23*(D_iC)),AG23)</f>
        <v>0</v>
      </c>
      <c r="AI23" s="1" t="n">
        <f aca="false">IF(AH23&gt;0.5,AH23+AH23*(D_iC)-MIN(F_CardPayM,AH23+AH23*(D_iC)),AH23)</f>
        <v>0</v>
      </c>
      <c r="AJ23" s="1" t="n">
        <f aca="false">IF(AI23&gt;0.5,AI23+AI23*(D_iC)-MIN(F_CardPayM,AI23+AI23*(D_iC)),AI23)</f>
        <v>0</v>
      </c>
      <c r="AK23" s="1" t="n">
        <f aca="false">IF(AJ23&gt;0.5,AJ23+AJ23*(D_iC)-MIN(F_CardPayM,AJ23+AJ23*(D_iC)),AJ23)</f>
        <v>0</v>
      </c>
      <c r="AL23" s="1" t="n">
        <f aca="false">IF(AK23&gt;0.5,AK23+AK23*(D_iC)-MIN(F_CardPayM,AK23+AK23*(D_iC)),AK23)</f>
        <v>0</v>
      </c>
      <c r="AM23" s="1" t="n">
        <f aca="false">IF(AL23&gt;0.5,AL23+AL23*(D_iC)-MIN(F_CardPayM,AL23+AL23*(D_iC)),AL23)</f>
        <v>0</v>
      </c>
      <c r="AN23" s="1" t="n">
        <f aca="false">IF(AM23&gt;0.5,AM23+AM23*(D_iC)-MIN(F_CardPayM,AM23+AM23*(D_iC)),AM23)</f>
        <v>0</v>
      </c>
      <c r="AO23" s="1" t="n">
        <f aca="false">IF(AN23&gt;0.5,AN23+AN23*(D_iC)-MIN(F_CardPayM,AN23+AN23*(D_iC)),AN23)</f>
        <v>0</v>
      </c>
      <c r="AP23" s="1" t="n">
        <f aca="false">IF(AO23&gt;0.5,AO23+AO23*(D_iC)-MIN(F_CardPayM,AO23+AO23*(D_iC)),AO23)</f>
        <v>0</v>
      </c>
      <c r="AQ23" s="1" t="n">
        <f aca="false">IF(AD23&gt;0.5,MIN(F_CardPayM,AD23+AD23*(D_iC)),0)</f>
        <v>0</v>
      </c>
      <c r="AR23" s="1" t="n">
        <f aca="false">IF(AE23&gt;0.5,MIN(F_CardPayM,AE23+AE23*(D_iC)),0)</f>
        <v>0</v>
      </c>
      <c r="AS23" s="1" t="n">
        <f aca="false">IF(AF23&gt;0.5,MIN(F_CardPayM,AF23+AF23*(D_iC)),0)</f>
        <v>0</v>
      </c>
      <c r="AT23" s="1" t="n">
        <f aca="false">IF(AG23&gt;0.5,MIN(F_CardPayM,AG23+AG23*(D_iC)),0)</f>
        <v>0</v>
      </c>
      <c r="AU23" s="1" t="n">
        <f aca="false">IF(AH23&gt;0.5,MIN(F_CardPayM,AH23+AH23*(D_iC)),0)</f>
        <v>0</v>
      </c>
      <c r="AV23" s="1" t="n">
        <f aca="false">IF(AI23&gt;0.5,MIN(F_CardPayM,AI23+AI23*(D_iC)),0)</f>
        <v>0</v>
      </c>
      <c r="AW23" s="1" t="n">
        <f aca="false">IF(AJ23&gt;0.5,MIN(F_CardPayM,AJ23+AJ23*(D_iC)),0)</f>
        <v>0</v>
      </c>
      <c r="AX23" s="1" t="n">
        <f aca="false">IF(AK23&gt;0.5,MIN(F_CardPayM,AK23+AK23*(D_iC)),0)</f>
        <v>0</v>
      </c>
      <c r="AY23" s="1" t="n">
        <f aca="false">IF(AL23&gt;0.5,MIN(F_CardPayM,AL23+AL23*(D_iC)),0)</f>
        <v>0</v>
      </c>
      <c r="AZ23" s="1" t="n">
        <f aca="false">IF(AM23&gt;0.5,MIN(F_CardPayM,AM23+AM23*(D_iC)),0)</f>
        <v>0</v>
      </c>
      <c r="BA23" s="1" t="n">
        <f aca="false">IF(AN23&gt;0.5,MIN(F_CardPayM,AN23+AN23*(D_iC)),0)</f>
        <v>0</v>
      </c>
      <c r="BB23" s="1" t="n">
        <f aca="false">IF(AO23&gt;0.5,MIN(F_CardPayM,AO23+AO23*(D_iC)),0)</f>
        <v>0</v>
      </c>
      <c r="BC23" s="1" t="n">
        <f aca="false">MAX(0,AP23)</f>
        <v>0</v>
      </c>
      <c r="BD23" s="1" t="n">
        <f aca="false">SUM(AQ23:BB23)</f>
        <v>0</v>
      </c>
      <c r="BE23" s="1" t="n">
        <f aca="false">'Plan cashflow'!O23</f>
        <v>0</v>
      </c>
      <c r="BF23" s="1" t="n">
        <f aca="false">IF(BE23&gt;0.5,BE23+BE23*(D_iL)-MIN(F_LoanPayM,BE23+BE23*(D_iL)),BE23)</f>
        <v>0</v>
      </c>
      <c r="BG23" s="1" t="n">
        <f aca="false">IF(BF23&gt;0.5,BF23+BF23*(D_iL)-MIN(F_LoanPayM,BF23+BF23*(D_iL)),BF23)</f>
        <v>0</v>
      </c>
      <c r="BH23" s="1" t="n">
        <f aca="false">IF(BG23&gt;0.5,BG23+BG23*(D_iL)-MIN(F_LoanPayM,BG23+BG23*(D_iL)),BG23)</f>
        <v>0</v>
      </c>
      <c r="BI23" s="1" t="n">
        <f aca="false">IF(BH23&gt;0.5,BH23+BH23*(D_iL)-MIN(F_LoanPayM,BH23+BH23*(D_iL)),BH23)</f>
        <v>0</v>
      </c>
      <c r="BJ23" s="1" t="n">
        <f aca="false">IF(BI23&gt;0.5,BI23+BI23*(D_iL)-MIN(F_LoanPayM,BI23+BI23*(D_iL)),BI23)</f>
        <v>0</v>
      </c>
      <c r="BK23" s="1" t="n">
        <f aca="false">IF(BJ23&gt;0.5,BJ23+BJ23*(D_iL)-MIN(F_LoanPayM,BJ23+BJ23*(D_iL)),BJ23)</f>
        <v>0</v>
      </c>
      <c r="BL23" s="1" t="n">
        <f aca="false">IF(BK23&gt;0.5,BK23+BK23*(D_iL)-MIN(F_LoanPayM,BK23+BK23*(D_iL)),BK23)</f>
        <v>0</v>
      </c>
      <c r="BM23" s="1" t="n">
        <f aca="false">IF(BL23&gt;0.5,BL23+BL23*(D_iL)-MIN(F_LoanPayM,BL23+BL23*(D_iL)),BL23)</f>
        <v>0</v>
      </c>
      <c r="BN23" s="1" t="n">
        <f aca="false">IF(BM23&gt;0.5,BM23+BM23*(D_iL)-MIN(F_LoanPayM,BM23+BM23*(D_iL)),BM23)</f>
        <v>0</v>
      </c>
      <c r="BO23" s="1" t="n">
        <f aca="false">IF(BN23&gt;0.5,BN23+BN23*(D_iL)-MIN(F_LoanPayM,BN23+BN23*(D_iL)),BN23)</f>
        <v>0</v>
      </c>
      <c r="BP23" s="1" t="n">
        <f aca="false">IF(BO23&gt;0.5,BO23+BO23*(D_iL)-MIN(F_LoanPayM,BO23+BO23*(D_iL)),BO23)</f>
        <v>0</v>
      </c>
      <c r="BQ23" s="1" t="n">
        <f aca="false">IF(BP23&gt;0.5,BP23+BP23*(D_iL)-MIN(F_LoanPayM,BP23+BP23*(D_iL)),BP23)</f>
        <v>0</v>
      </c>
      <c r="BR23" s="1" t="n">
        <f aca="false">IF(BE23&gt;0.5,MIN(F_LoanPayM,BE23+BE23*(D_iL)),0)</f>
        <v>0</v>
      </c>
      <c r="BS23" s="1" t="n">
        <f aca="false">IF(BF23&gt;0.5,MIN(F_LoanPayM,BF23+BF23*(D_iL)),0)</f>
        <v>0</v>
      </c>
      <c r="BT23" s="1" t="n">
        <f aca="false">IF(BG23&gt;0.5,MIN(F_LoanPayM,BG23+BG23*(D_iL)),0)</f>
        <v>0</v>
      </c>
      <c r="BU23" s="1" t="n">
        <f aca="false">IF(BH23&gt;0.5,MIN(F_LoanPayM,BH23+BH23*(D_iL)),0)</f>
        <v>0</v>
      </c>
      <c r="BV23" s="1" t="n">
        <f aca="false">IF(BI23&gt;0.5,MIN(F_LoanPayM,BI23+BI23*(D_iL)),0)</f>
        <v>0</v>
      </c>
      <c r="BW23" s="1" t="n">
        <f aca="false">IF(BJ23&gt;0.5,MIN(F_LoanPayM,BJ23+BJ23*(D_iL)),0)</f>
        <v>0</v>
      </c>
      <c r="BX23" s="1" t="n">
        <f aca="false">IF(BK23&gt;0.5,MIN(F_LoanPayM,BK23+BK23*(D_iL)),0)</f>
        <v>0</v>
      </c>
      <c r="BY23" s="1" t="n">
        <f aca="false">IF(BL23&gt;0.5,MIN(F_LoanPayM,BL23+BL23*(D_iL)),0)</f>
        <v>0</v>
      </c>
      <c r="BZ23" s="1" t="n">
        <f aca="false">IF(BM23&gt;0.5,MIN(F_LoanPayM,BM23+BM23*(D_iL)),0)</f>
        <v>0</v>
      </c>
      <c r="CA23" s="1" t="n">
        <f aca="false">IF(BN23&gt;0.5,MIN(F_LoanPayM,BN23+BN23*(D_iL)),0)</f>
        <v>0</v>
      </c>
      <c r="CB23" s="1" t="n">
        <f aca="false">IF(BO23&gt;0.5,MIN(F_LoanPayM,BO23+BO23*(D_iL)),0)</f>
        <v>0</v>
      </c>
      <c r="CC23" s="1" t="n">
        <f aca="false">IF(BP23&gt;0.5,MIN(F_LoanPayM,BP23+BP23*(D_iL)),0)</f>
        <v>0</v>
      </c>
      <c r="CD23" s="1" t="n">
        <f aca="false">MAX(0,BQ23)</f>
        <v>0</v>
      </c>
      <c r="CE23" s="1" t="n">
        <f aca="false">SUM(BR23:CC23)</f>
        <v>0</v>
      </c>
      <c r="CF23" s="1" t="n">
        <f aca="false">IF(CF22&gt;1,DE22,CF22)</f>
        <v>0</v>
      </c>
      <c r="CG23" s="1" t="n">
        <f aca="false">IF(CF23&gt;0.5,CF23+CF23*(F_MR/12)-MIN(F_MortPayM,CF23+CF23*(F_MR/12)),CF23)</f>
        <v>0</v>
      </c>
      <c r="CH23" s="1" t="n">
        <f aca="false">IF(CG23&gt;0.5,CG23+CG23*(F_MR/12)-MIN(F_MortPayM,CG23+CG23*(F_MR/12)),CG23)</f>
        <v>0</v>
      </c>
      <c r="CI23" s="1" t="n">
        <f aca="false">IF(CH23&gt;0.5,CH23+CH23*(F_MR/12)-MIN(F_MortPayM,CH23+CH23*(F_MR/12)),CH23)</f>
        <v>0</v>
      </c>
      <c r="CJ23" s="1" t="n">
        <f aca="false">IF(CI23&gt;0.5,CI23+CI23*(F_MR/12)-MIN(F_MortPayM,CI23+CI23*(F_MR/12)),CI23)</f>
        <v>0</v>
      </c>
      <c r="CK23" s="1" t="n">
        <f aca="false">IF(CJ23&gt;0.5,CJ23+CJ23*(F_MR/12)-MIN(F_MortPayM,CJ23+CJ23*(F_MR/12)),CJ23)</f>
        <v>0</v>
      </c>
      <c r="CL23" s="1" t="n">
        <f aca="false">IF(CK23&gt;0.5,CK23+CK23*(F_MR/12)-MIN(F_MortPayM,CK23+CK23*(F_MR/12)),CK23)</f>
        <v>0</v>
      </c>
      <c r="CM23" s="1" t="n">
        <f aca="false">IF(CL23&gt;0.5,CL23+CL23*(F_MR/12)-MIN(F_MortPayM,CL23+CL23*(F_MR/12)),CL23)</f>
        <v>0</v>
      </c>
      <c r="CN23" s="1" t="n">
        <f aca="false">IF(CM23&gt;0.5,CM23+CM23*(F_MR/12)-MIN(F_MortPayM,CM23+CM23*(F_MR/12)),CM23)</f>
        <v>0</v>
      </c>
      <c r="CO23" s="1" t="n">
        <f aca="false">IF(CN23&gt;0.5,CN23+CN23*(F_MR/12)-MIN(F_MortPayM,CN23+CN23*(F_MR/12)),CN23)</f>
        <v>0</v>
      </c>
      <c r="CP23" s="1" t="n">
        <f aca="false">IF(CO23&gt;0.5,CO23+CO23*(F_MR/12)-MIN(F_MortPayM,CO23+CO23*(F_MR/12)),CO23)</f>
        <v>0</v>
      </c>
      <c r="CQ23" s="1" t="n">
        <f aca="false">IF(CP23&gt;0.5,CP23+CP23*(F_MR/12)-MIN(F_MortPayM,CP23+CP23*(F_MR/12)),CP23)</f>
        <v>0</v>
      </c>
      <c r="CR23" s="1" t="n">
        <f aca="false">IF(CQ23&gt;0.5,CQ23+CQ23*(F_MR/12)-MIN(F_MortPayM,CQ23+CQ23*(F_MR/12)),CQ23)</f>
        <v>0</v>
      </c>
      <c r="CS23" s="1" t="n">
        <f aca="false">IF(CF23&gt;0.5,MIN(F_MortPayM,CF23+CF23*(F_MR/12)),0)</f>
        <v>0</v>
      </c>
      <c r="CT23" s="1" t="n">
        <f aca="false">IF(CG23&gt;0.5,MIN(F_MortPayM,CG23+CG23*(F_MR/12)),0)</f>
        <v>0</v>
      </c>
      <c r="CU23" s="1" t="n">
        <f aca="false">IF(CH23&gt;0.5,MIN(F_MortPayM,CH23+CH23*(F_MR/12)),0)</f>
        <v>0</v>
      </c>
      <c r="CV23" s="1" t="n">
        <f aca="false">IF(CI23&gt;0.5,MIN(F_MortPayM,CI23+CI23*(F_MR/12)),0)</f>
        <v>0</v>
      </c>
      <c r="CW23" s="1" t="n">
        <f aca="false">IF(CJ23&gt;0.5,MIN(F_MortPayM,CJ23+CJ23*(F_MR/12)),0)</f>
        <v>0</v>
      </c>
      <c r="CX23" s="1" t="n">
        <f aca="false">IF(CK23&gt;0.5,MIN(F_MortPayM,CK23+CK23*(F_MR/12)),0)</f>
        <v>0</v>
      </c>
      <c r="CY23" s="1" t="n">
        <f aca="false">IF(CL23&gt;0.5,MIN(F_MortPayM,CL23+CL23*(F_MR/12)),0)</f>
        <v>0</v>
      </c>
      <c r="CZ23" s="1" t="n">
        <f aca="false">IF(CM23&gt;0.5,MIN(F_MortPayM,CM23+CM23*(F_MR/12)),0)</f>
        <v>0</v>
      </c>
      <c r="DA23" s="1" t="n">
        <f aca="false">IF(CN23&gt;0.5,MIN(F_MortPayM,CN23+CN23*(F_MR/12)),0)</f>
        <v>0</v>
      </c>
      <c r="DB23" s="1" t="n">
        <f aca="false">IF(CO23&gt;0.5,MIN(F_MortPayM,CO23+CO23*(F_MR/12)),0)</f>
        <v>0</v>
      </c>
      <c r="DC23" s="1" t="n">
        <f aca="false">IF(CP23&gt;0.5,MIN(F_MortPayM,CP23+CP23*(F_MR/12)),0)</f>
        <v>0</v>
      </c>
      <c r="DD23" s="1" t="n">
        <f aca="false">IF(CQ23&gt;0.5,MIN(F_MortPayM,CQ23+CQ23*(F_MR/12)),0)</f>
        <v>0</v>
      </c>
      <c r="DE23" s="1" t="n">
        <f aca="false">MAX(0,CR23)</f>
        <v>0</v>
      </c>
      <c r="DF23" s="1" t="n">
        <f aca="false">SUM(CS23:DD23)</f>
        <v>0</v>
      </c>
      <c r="DG23" s="1" t="n">
        <f aca="false">MAX(0,CF23)</f>
        <v>0</v>
      </c>
    </row>
    <row r="24" customFormat="false" ht="15" hidden="false" customHeight="false" outlineLevel="0" collapsed="false">
      <c r="B24" s="1" t="n">
        <v>16</v>
      </c>
      <c r="C24" s="1" t="n">
        <f aca="false">'Plan cashflow'!I24</f>
        <v>0</v>
      </c>
      <c r="D24" s="1" t="n">
        <f aca="false">IF(C24&gt;0.5,C24+C24*(F_MR/12)-MIN(F_MortPayM,C24+C24*(F_MR/12)),C24)</f>
        <v>0</v>
      </c>
      <c r="E24" s="1" t="n">
        <f aca="false">IF(D24&gt;0.5,D24+D24*(F_MR/12)-MIN(F_MortPayM,D24+D24*(F_MR/12)),D24)</f>
        <v>0</v>
      </c>
      <c r="F24" s="1" t="n">
        <f aca="false">IF(E24&gt;0.5,E24+E24*(F_MR/12)-MIN(F_MortPayM,E24+E24*(F_MR/12)),E24)</f>
        <v>0</v>
      </c>
      <c r="G24" s="1" t="n">
        <f aca="false">IF(F24&gt;0.5,F24+F24*(F_MR/12)-MIN(F_MortPayM,F24+F24*(F_MR/12)),F24)</f>
        <v>0</v>
      </c>
      <c r="H24" s="1" t="n">
        <f aca="false">IF(G24&gt;0.5,G24+G24*(F_MR/12)-MIN(F_MortPayM,G24+G24*(F_MR/12)),G24)</f>
        <v>0</v>
      </c>
      <c r="I24" s="1" t="n">
        <f aca="false">IF(H24&gt;0.5,H24+H24*(F_MR/12)-MIN(F_MortPayM,H24+H24*(F_MR/12)),H24)</f>
        <v>0</v>
      </c>
      <c r="J24" s="1" t="n">
        <f aca="false">IF(I24&gt;0.5,I24+I24*(F_MR/12)-MIN(F_MortPayM,I24+I24*(F_MR/12)),I24)</f>
        <v>0</v>
      </c>
      <c r="K24" s="1" t="n">
        <f aca="false">IF(J24&gt;0.5,J24+J24*(F_MR/12)-MIN(F_MortPayM,J24+J24*(F_MR/12)),J24)</f>
        <v>0</v>
      </c>
      <c r="L24" s="1" t="n">
        <f aca="false">IF(K24&gt;0.5,K24+K24*(F_MR/12)-MIN(F_MortPayM,K24+K24*(F_MR/12)),K24)</f>
        <v>0</v>
      </c>
      <c r="M24" s="1" t="n">
        <f aca="false">IF(L24&gt;0.5,L24+L24*(F_MR/12)-MIN(F_MortPayM,L24+L24*(F_MR/12)),L24)</f>
        <v>0</v>
      </c>
      <c r="N24" s="1" t="n">
        <f aca="false">IF(M24&gt;0.5,M24+M24*(F_MR/12)-MIN(F_MortPayM,M24+M24*(F_MR/12)),M24)</f>
        <v>0</v>
      </c>
      <c r="O24" s="1" t="n">
        <f aca="false">IF(N24&gt;0.5,N24+N24*(F_MR/12)-MIN(F_MortPayM,N24+N24*(F_MR/12)),N24)</f>
        <v>0</v>
      </c>
      <c r="P24" s="1" t="n">
        <f aca="false">IF(C24&gt;0.5,MIN(F_MortPayM,C24+C24*(F_MR/12)),0)</f>
        <v>0</v>
      </c>
      <c r="Q24" s="1" t="n">
        <f aca="false">IF(D24&gt;0.5,MIN(F_MortPayM,D24+D24*(F_MR/12)),0)</f>
        <v>0</v>
      </c>
      <c r="R24" s="1" t="n">
        <f aca="false">IF(E24&gt;0.5,MIN(F_MortPayM,E24+E24*(F_MR/12)),0)</f>
        <v>0</v>
      </c>
      <c r="S24" s="1" t="n">
        <f aca="false">IF(F24&gt;0.5,MIN(F_MortPayM,F24+F24*(F_MR/12)),0)</f>
        <v>0</v>
      </c>
      <c r="T24" s="1" t="n">
        <f aca="false">IF(G24&gt;0.5,MIN(F_MortPayM,G24+G24*(F_MR/12)),0)</f>
        <v>0</v>
      </c>
      <c r="U24" s="1" t="n">
        <f aca="false">IF(H24&gt;0.5,MIN(F_MortPayM,H24+H24*(F_MR/12)),0)</f>
        <v>0</v>
      </c>
      <c r="V24" s="1" t="n">
        <f aca="false">IF(I24&gt;0.5,MIN(F_MortPayM,I24+I24*(F_MR/12)),0)</f>
        <v>0</v>
      </c>
      <c r="W24" s="1" t="n">
        <f aca="false">IF(J24&gt;0.5,MIN(F_MortPayM,J24+J24*(F_MR/12)),0)</f>
        <v>0</v>
      </c>
      <c r="X24" s="1" t="n">
        <f aca="false">IF(K24&gt;0.5,MIN(F_MortPayM,K24+K24*(F_MR/12)),0)</f>
        <v>0</v>
      </c>
      <c r="Y24" s="1" t="n">
        <f aca="false">IF(L24&gt;0.5,MIN(F_MortPayM,L24+L24*(F_MR/12)),0)</f>
        <v>0</v>
      </c>
      <c r="Z24" s="1" t="n">
        <f aca="false">IF(M24&gt;0.5,MIN(F_MortPayM,M24+M24*(F_MR/12)),0)</f>
        <v>0</v>
      </c>
      <c r="AA24" s="1" t="n">
        <f aca="false">IF(N24&gt;0.5,MIN(F_MortPayM,N24+N24*(F_MR/12)),0)</f>
        <v>0</v>
      </c>
      <c r="AB24" s="1" t="n">
        <f aca="false">MAX(0,O24)</f>
        <v>0</v>
      </c>
      <c r="AC24" s="1" t="n">
        <f aca="false">SUM(P24:AA24)</f>
        <v>0</v>
      </c>
      <c r="AD24" s="1" t="n">
        <f aca="false">'Plan cashflow'!L24</f>
        <v>0</v>
      </c>
      <c r="AE24" s="1" t="n">
        <f aca="false">IF(AD24&gt;0.5,AD24+AD24*(D_iC)-MIN(F_CardPayM,AD24+AD24*(D_iC)),AD24)</f>
        <v>0</v>
      </c>
      <c r="AF24" s="1" t="n">
        <f aca="false">IF(AE24&gt;0.5,AE24+AE24*(D_iC)-MIN(F_CardPayM,AE24+AE24*(D_iC)),AE24)</f>
        <v>0</v>
      </c>
      <c r="AG24" s="1" t="n">
        <f aca="false">IF(AF24&gt;0.5,AF24+AF24*(D_iC)-MIN(F_CardPayM,AF24+AF24*(D_iC)),AF24)</f>
        <v>0</v>
      </c>
      <c r="AH24" s="1" t="n">
        <f aca="false">IF(AG24&gt;0.5,AG24+AG24*(D_iC)-MIN(F_CardPayM,AG24+AG24*(D_iC)),AG24)</f>
        <v>0</v>
      </c>
      <c r="AI24" s="1" t="n">
        <f aca="false">IF(AH24&gt;0.5,AH24+AH24*(D_iC)-MIN(F_CardPayM,AH24+AH24*(D_iC)),AH24)</f>
        <v>0</v>
      </c>
      <c r="AJ24" s="1" t="n">
        <f aca="false">IF(AI24&gt;0.5,AI24+AI24*(D_iC)-MIN(F_CardPayM,AI24+AI24*(D_iC)),AI24)</f>
        <v>0</v>
      </c>
      <c r="AK24" s="1" t="n">
        <f aca="false">IF(AJ24&gt;0.5,AJ24+AJ24*(D_iC)-MIN(F_CardPayM,AJ24+AJ24*(D_iC)),AJ24)</f>
        <v>0</v>
      </c>
      <c r="AL24" s="1" t="n">
        <f aca="false">IF(AK24&gt;0.5,AK24+AK24*(D_iC)-MIN(F_CardPayM,AK24+AK24*(D_iC)),AK24)</f>
        <v>0</v>
      </c>
      <c r="AM24" s="1" t="n">
        <f aca="false">IF(AL24&gt;0.5,AL24+AL24*(D_iC)-MIN(F_CardPayM,AL24+AL24*(D_iC)),AL24)</f>
        <v>0</v>
      </c>
      <c r="AN24" s="1" t="n">
        <f aca="false">IF(AM24&gt;0.5,AM24+AM24*(D_iC)-MIN(F_CardPayM,AM24+AM24*(D_iC)),AM24)</f>
        <v>0</v>
      </c>
      <c r="AO24" s="1" t="n">
        <f aca="false">IF(AN24&gt;0.5,AN24+AN24*(D_iC)-MIN(F_CardPayM,AN24+AN24*(D_iC)),AN24)</f>
        <v>0</v>
      </c>
      <c r="AP24" s="1" t="n">
        <f aca="false">IF(AO24&gt;0.5,AO24+AO24*(D_iC)-MIN(F_CardPayM,AO24+AO24*(D_iC)),AO24)</f>
        <v>0</v>
      </c>
      <c r="AQ24" s="1" t="n">
        <f aca="false">IF(AD24&gt;0.5,MIN(F_CardPayM,AD24+AD24*(D_iC)),0)</f>
        <v>0</v>
      </c>
      <c r="AR24" s="1" t="n">
        <f aca="false">IF(AE24&gt;0.5,MIN(F_CardPayM,AE24+AE24*(D_iC)),0)</f>
        <v>0</v>
      </c>
      <c r="AS24" s="1" t="n">
        <f aca="false">IF(AF24&gt;0.5,MIN(F_CardPayM,AF24+AF24*(D_iC)),0)</f>
        <v>0</v>
      </c>
      <c r="AT24" s="1" t="n">
        <f aca="false">IF(AG24&gt;0.5,MIN(F_CardPayM,AG24+AG24*(D_iC)),0)</f>
        <v>0</v>
      </c>
      <c r="AU24" s="1" t="n">
        <f aca="false">IF(AH24&gt;0.5,MIN(F_CardPayM,AH24+AH24*(D_iC)),0)</f>
        <v>0</v>
      </c>
      <c r="AV24" s="1" t="n">
        <f aca="false">IF(AI24&gt;0.5,MIN(F_CardPayM,AI24+AI24*(D_iC)),0)</f>
        <v>0</v>
      </c>
      <c r="AW24" s="1" t="n">
        <f aca="false">IF(AJ24&gt;0.5,MIN(F_CardPayM,AJ24+AJ24*(D_iC)),0)</f>
        <v>0</v>
      </c>
      <c r="AX24" s="1" t="n">
        <f aca="false">IF(AK24&gt;0.5,MIN(F_CardPayM,AK24+AK24*(D_iC)),0)</f>
        <v>0</v>
      </c>
      <c r="AY24" s="1" t="n">
        <f aca="false">IF(AL24&gt;0.5,MIN(F_CardPayM,AL24+AL24*(D_iC)),0)</f>
        <v>0</v>
      </c>
      <c r="AZ24" s="1" t="n">
        <f aca="false">IF(AM24&gt;0.5,MIN(F_CardPayM,AM24+AM24*(D_iC)),0)</f>
        <v>0</v>
      </c>
      <c r="BA24" s="1" t="n">
        <f aca="false">IF(AN24&gt;0.5,MIN(F_CardPayM,AN24+AN24*(D_iC)),0)</f>
        <v>0</v>
      </c>
      <c r="BB24" s="1" t="n">
        <f aca="false">IF(AO24&gt;0.5,MIN(F_CardPayM,AO24+AO24*(D_iC)),0)</f>
        <v>0</v>
      </c>
      <c r="BC24" s="1" t="n">
        <f aca="false">MAX(0,AP24)</f>
        <v>0</v>
      </c>
      <c r="BD24" s="1" t="n">
        <f aca="false">SUM(AQ24:BB24)</f>
        <v>0</v>
      </c>
      <c r="BE24" s="1" t="n">
        <f aca="false">'Plan cashflow'!O24</f>
        <v>0</v>
      </c>
      <c r="BF24" s="1" t="n">
        <f aca="false">IF(BE24&gt;0.5,BE24+BE24*(D_iL)-MIN(F_LoanPayM,BE24+BE24*(D_iL)),BE24)</f>
        <v>0</v>
      </c>
      <c r="BG24" s="1" t="n">
        <f aca="false">IF(BF24&gt;0.5,BF24+BF24*(D_iL)-MIN(F_LoanPayM,BF24+BF24*(D_iL)),BF24)</f>
        <v>0</v>
      </c>
      <c r="BH24" s="1" t="n">
        <f aca="false">IF(BG24&gt;0.5,BG24+BG24*(D_iL)-MIN(F_LoanPayM,BG24+BG24*(D_iL)),BG24)</f>
        <v>0</v>
      </c>
      <c r="BI24" s="1" t="n">
        <f aca="false">IF(BH24&gt;0.5,BH24+BH24*(D_iL)-MIN(F_LoanPayM,BH24+BH24*(D_iL)),BH24)</f>
        <v>0</v>
      </c>
      <c r="BJ24" s="1" t="n">
        <f aca="false">IF(BI24&gt;0.5,BI24+BI24*(D_iL)-MIN(F_LoanPayM,BI24+BI24*(D_iL)),BI24)</f>
        <v>0</v>
      </c>
      <c r="BK24" s="1" t="n">
        <f aca="false">IF(BJ24&gt;0.5,BJ24+BJ24*(D_iL)-MIN(F_LoanPayM,BJ24+BJ24*(D_iL)),BJ24)</f>
        <v>0</v>
      </c>
      <c r="BL24" s="1" t="n">
        <f aca="false">IF(BK24&gt;0.5,BK24+BK24*(D_iL)-MIN(F_LoanPayM,BK24+BK24*(D_iL)),BK24)</f>
        <v>0</v>
      </c>
      <c r="BM24" s="1" t="n">
        <f aca="false">IF(BL24&gt;0.5,BL24+BL24*(D_iL)-MIN(F_LoanPayM,BL24+BL24*(D_iL)),BL24)</f>
        <v>0</v>
      </c>
      <c r="BN24" s="1" t="n">
        <f aca="false">IF(BM24&gt;0.5,BM24+BM24*(D_iL)-MIN(F_LoanPayM,BM24+BM24*(D_iL)),BM24)</f>
        <v>0</v>
      </c>
      <c r="BO24" s="1" t="n">
        <f aca="false">IF(BN24&gt;0.5,BN24+BN24*(D_iL)-MIN(F_LoanPayM,BN24+BN24*(D_iL)),BN24)</f>
        <v>0</v>
      </c>
      <c r="BP24" s="1" t="n">
        <f aca="false">IF(BO24&gt;0.5,BO24+BO24*(D_iL)-MIN(F_LoanPayM,BO24+BO24*(D_iL)),BO24)</f>
        <v>0</v>
      </c>
      <c r="BQ24" s="1" t="n">
        <f aca="false">IF(BP24&gt;0.5,BP24+BP24*(D_iL)-MIN(F_LoanPayM,BP24+BP24*(D_iL)),BP24)</f>
        <v>0</v>
      </c>
      <c r="BR24" s="1" t="n">
        <f aca="false">IF(BE24&gt;0.5,MIN(F_LoanPayM,BE24+BE24*(D_iL)),0)</f>
        <v>0</v>
      </c>
      <c r="BS24" s="1" t="n">
        <f aca="false">IF(BF24&gt;0.5,MIN(F_LoanPayM,BF24+BF24*(D_iL)),0)</f>
        <v>0</v>
      </c>
      <c r="BT24" s="1" t="n">
        <f aca="false">IF(BG24&gt;0.5,MIN(F_LoanPayM,BG24+BG24*(D_iL)),0)</f>
        <v>0</v>
      </c>
      <c r="BU24" s="1" t="n">
        <f aca="false">IF(BH24&gt;0.5,MIN(F_LoanPayM,BH24+BH24*(D_iL)),0)</f>
        <v>0</v>
      </c>
      <c r="BV24" s="1" t="n">
        <f aca="false">IF(BI24&gt;0.5,MIN(F_LoanPayM,BI24+BI24*(D_iL)),0)</f>
        <v>0</v>
      </c>
      <c r="BW24" s="1" t="n">
        <f aca="false">IF(BJ24&gt;0.5,MIN(F_LoanPayM,BJ24+BJ24*(D_iL)),0)</f>
        <v>0</v>
      </c>
      <c r="BX24" s="1" t="n">
        <f aca="false">IF(BK24&gt;0.5,MIN(F_LoanPayM,BK24+BK24*(D_iL)),0)</f>
        <v>0</v>
      </c>
      <c r="BY24" s="1" t="n">
        <f aca="false">IF(BL24&gt;0.5,MIN(F_LoanPayM,BL24+BL24*(D_iL)),0)</f>
        <v>0</v>
      </c>
      <c r="BZ24" s="1" t="n">
        <f aca="false">IF(BM24&gt;0.5,MIN(F_LoanPayM,BM24+BM24*(D_iL)),0)</f>
        <v>0</v>
      </c>
      <c r="CA24" s="1" t="n">
        <f aca="false">IF(BN24&gt;0.5,MIN(F_LoanPayM,BN24+BN24*(D_iL)),0)</f>
        <v>0</v>
      </c>
      <c r="CB24" s="1" t="n">
        <f aca="false">IF(BO24&gt;0.5,MIN(F_LoanPayM,BO24+BO24*(D_iL)),0)</f>
        <v>0</v>
      </c>
      <c r="CC24" s="1" t="n">
        <f aca="false">IF(BP24&gt;0.5,MIN(F_LoanPayM,BP24+BP24*(D_iL)),0)</f>
        <v>0</v>
      </c>
      <c r="CD24" s="1" t="n">
        <f aca="false">MAX(0,BQ24)</f>
        <v>0</v>
      </c>
      <c r="CE24" s="1" t="n">
        <f aca="false">SUM(BR24:CC24)</f>
        <v>0</v>
      </c>
      <c r="CF24" s="1" t="n">
        <f aca="false">IF(CF23&gt;1,DE23,CF23)</f>
        <v>0</v>
      </c>
      <c r="CG24" s="1" t="n">
        <f aca="false">IF(CF24&gt;0.5,CF24+CF24*(F_MR/12)-MIN(F_MortPayM,CF24+CF24*(F_MR/12)),CF24)</f>
        <v>0</v>
      </c>
      <c r="CH24" s="1" t="n">
        <f aca="false">IF(CG24&gt;0.5,CG24+CG24*(F_MR/12)-MIN(F_MortPayM,CG24+CG24*(F_MR/12)),CG24)</f>
        <v>0</v>
      </c>
      <c r="CI24" s="1" t="n">
        <f aca="false">IF(CH24&gt;0.5,CH24+CH24*(F_MR/12)-MIN(F_MortPayM,CH24+CH24*(F_MR/12)),CH24)</f>
        <v>0</v>
      </c>
      <c r="CJ24" s="1" t="n">
        <f aca="false">IF(CI24&gt;0.5,CI24+CI24*(F_MR/12)-MIN(F_MortPayM,CI24+CI24*(F_MR/12)),CI24)</f>
        <v>0</v>
      </c>
      <c r="CK24" s="1" t="n">
        <f aca="false">IF(CJ24&gt;0.5,CJ24+CJ24*(F_MR/12)-MIN(F_MortPayM,CJ24+CJ24*(F_MR/12)),CJ24)</f>
        <v>0</v>
      </c>
      <c r="CL24" s="1" t="n">
        <f aca="false">IF(CK24&gt;0.5,CK24+CK24*(F_MR/12)-MIN(F_MortPayM,CK24+CK24*(F_MR/12)),CK24)</f>
        <v>0</v>
      </c>
      <c r="CM24" s="1" t="n">
        <f aca="false">IF(CL24&gt;0.5,CL24+CL24*(F_MR/12)-MIN(F_MortPayM,CL24+CL24*(F_MR/12)),CL24)</f>
        <v>0</v>
      </c>
      <c r="CN24" s="1" t="n">
        <f aca="false">IF(CM24&gt;0.5,CM24+CM24*(F_MR/12)-MIN(F_MortPayM,CM24+CM24*(F_MR/12)),CM24)</f>
        <v>0</v>
      </c>
      <c r="CO24" s="1" t="n">
        <f aca="false">IF(CN24&gt;0.5,CN24+CN24*(F_MR/12)-MIN(F_MortPayM,CN24+CN24*(F_MR/12)),CN24)</f>
        <v>0</v>
      </c>
      <c r="CP24" s="1" t="n">
        <f aca="false">IF(CO24&gt;0.5,CO24+CO24*(F_MR/12)-MIN(F_MortPayM,CO24+CO24*(F_MR/12)),CO24)</f>
        <v>0</v>
      </c>
      <c r="CQ24" s="1" t="n">
        <f aca="false">IF(CP24&gt;0.5,CP24+CP24*(F_MR/12)-MIN(F_MortPayM,CP24+CP24*(F_MR/12)),CP24)</f>
        <v>0</v>
      </c>
      <c r="CR24" s="1" t="n">
        <f aca="false">IF(CQ24&gt;0.5,CQ24+CQ24*(F_MR/12)-MIN(F_MortPayM,CQ24+CQ24*(F_MR/12)),CQ24)</f>
        <v>0</v>
      </c>
      <c r="CS24" s="1" t="n">
        <f aca="false">IF(CF24&gt;0.5,MIN(F_MortPayM,CF24+CF24*(F_MR/12)),0)</f>
        <v>0</v>
      </c>
      <c r="CT24" s="1" t="n">
        <f aca="false">IF(CG24&gt;0.5,MIN(F_MortPayM,CG24+CG24*(F_MR/12)),0)</f>
        <v>0</v>
      </c>
      <c r="CU24" s="1" t="n">
        <f aca="false">IF(CH24&gt;0.5,MIN(F_MortPayM,CH24+CH24*(F_MR/12)),0)</f>
        <v>0</v>
      </c>
      <c r="CV24" s="1" t="n">
        <f aca="false">IF(CI24&gt;0.5,MIN(F_MortPayM,CI24+CI24*(F_MR/12)),0)</f>
        <v>0</v>
      </c>
      <c r="CW24" s="1" t="n">
        <f aca="false">IF(CJ24&gt;0.5,MIN(F_MortPayM,CJ24+CJ24*(F_MR/12)),0)</f>
        <v>0</v>
      </c>
      <c r="CX24" s="1" t="n">
        <f aca="false">IF(CK24&gt;0.5,MIN(F_MortPayM,CK24+CK24*(F_MR/12)),0)</f>
        <v>0</v>
      </c>
      <c r="CY24" s="1" t="n">
        <f aca="false">IF(CL24&gt;0.5,MIN(F_MortPayM,CL24+CL24*(F_MR/12)),0)</f>
        <v>0</v>
      </c>
      <c r="CZ24" s="1" t="n">
        <f aca="false">IF(CM24&gt;0.5,MIN(F_MortPayM,CM24+CM24*(F_MR/12)),0)</f>
        <v>0</v>
      </c>
      <c r="DA24" s="1" t="n">
        <f aca="false">IF(CN24&gt;0.5,MIN(F_MortPayM,CN24+CN24*(F_MR/12)),0)</f>
        <v>0</v>
      </c>
      <c r="DB24" s="1" t="n">
        <f aca="false">IF(CO24&gt;0.5,MIN(F_MortPayM,CO24+CO24*(F_MR/12)),0)</f>
        <v>0</v>
      </c>
      <c r="DC24" s="1" t="n">
        <f aca="false">IF(CP24&gt;0.5,MIN(F_MortPayM,CP24+CP24*(F_MR/12)),0)</f>
        <v>0</v>
      </c>
      <c r="DD24" s="1" t="n">
        <f aca="false">IF(CQ24&gt;0.5,MIN(F_MortPayM,CQ24+CQ24*(F_MR/12)),0)</f>
        <v>0</v>
      </c>
      <c r="DE24" s="1" t="n">
        <f aca="false">MAX(0,CR24)</f>
        <v>0</v>
      </c>
      <c r="DF24" s="1" t="n">
        <f aca="false">SUM(CS24:DD24)</f>
        <v>0</v>
      </c>
      <c r="DG24" s="1" t="n">
        <f aca="false">MAX(0,CF24)</f>
        <v>0</v>
      </c>
    </row>
    <row r="25" customFormat="false" ht="15" hidden="false" customHeight="false" outlineLevel="0" collapsed="false">
      <c r="B25" s="1" t="n">
        <v>17</v>
      </c>
      <c r="C25" s="1" t="n">
        <f aca="false">'Plan cashflow'!I25</f>
        <v>0</v>
      </c>
      <c r="D25" s="1" t="n">
        <f aca="false">IF(C25&gt;0.5,C25+C25*(F_MR/12)-MIN(F_MortPayM,C25+C25*(F_MR/12)),C25)</f>
        <v>0</v>
      </c>
      <c r="E25" s="1" t="n">
        <f aca="false">IF(D25&gt;0.5,D25+D25*(F_MR/12)-MIN(F_MortPayM,D25+D25*(F_MR/12)),D25)</f>
        <v>0</v>
      </c>
      <c r="F25" s="1" t="n">
        <f aca="false">IF(E25&gt;0.5,E25+E25*(F_MR/12)-MIN(F_MortPayM,E25+E25*(F_MR/12)),E25)</f>
        <v>0</v>
      </c>
      <c r="G25" s="1" t="n">
        <f aca="false">IF(F25&gt;0.5,F25+F25*(F_MR/12)-MIN(F_MortPayM,F25+F25*(F_MR/12)),F25)</f>
        <v>0</v>
      </c>
      <c r="H25" s="1" t="n">
        <f aca="false">IF(G25&gt;0.5,G25+G25*(F_MR/12)-MIN(F_MortPayM,G25+G25*(F_MR/12)),G25)</f>
        <v>0</v>
      </c>
      <c r="I25" s="1" t="n">
        <f aca="false">IF(H25&gt;0.5,H25+H25*(F_MR/12)-MIN(F_MortPayM,H25+H25*(F_MR/12)),H25)</f>
        <v>0</v>
      </c>
      <c r="J25" s="1" t="n">
        <f aca="false">IF(I25&gt;0.5,I25+I25*(F_MR/12)-MIN(F_MortPayM,I25+I25*(F_MR/12)),I25)</f>
        <v>0</v>
      </c>
      <c r="K25" s="1" t="n">
        <f aca="false">IF(J25&gt;0.5,J25+J25*(F_MR/12)-MIN(F_MortPayM,J25+J25*(F_MR/12)),J25)</f>
        <v>0</v>
      </c>
      <c r="L25" s="1" t="n">
        <f aca="false">IF(K25&gt;0.5,K25+K25*(F_MR/12)-MIN(F_MortPayM,K25+K25*(F_MR/12)),K25)</f>
        <v>0</v>
      </c>
      <c r="M25" s="1" t="n">
        <f aca="false">IF(L25&gt;0.5,L25+L25*(F_MR/12)-MIN(F_MortPayM,L25+L25*(F_MR/12)),L25)</f>
        <v>0</v>
      </c>
      <c r="N25" s="1" t="n">
        <f aca="false">IF(M25&gt;0.5,M25+M25*(F_MR/12)-MIN(F_MortPayM,M25+M25*(F_MR/12)),M25)</f>
        <v>0</v>
      </c>
      <c r="O25" s="1" t="n">
        <f aca="false">IF(N25&gt;0.5,N25+N25*(F_MR/12)-MIN(F_MortPayM,N25+N25*(F_MR/12)),N25)</f>
        <v>0</v>
      </c>
      <c r="P25" s="1" t="n">
        <f aca="false">IF(C25&gt;0.5,MIN(F_MortPayM,C25+C25*(F_MR/12)),0)</f>
        <v>0</v>
      </c>
      <c r="Q25" s="1" t="n">
        <f aca="false">IF(D25&gt;0.5,MIN(F_MortPayM,D25+D25*(F_MR/12)),0)</f>
        <v>0</v>
      </c>
      <c r="R25" s="1" t="n">
        <f aca="false">IF(E25&gt;0.5,MIN(F_MortPayM,E25+E25*(F_MR/12)),0)</f>
        <v>0</v>
      </c>
      <c r="S25" s="1" t="n">
        <f aca="false">IF(F25&gt;0.5,MIN(F_MortPayM,F25+F25*(F_MR/12)),0)</f>
        <v>0</v>
      </c>
      <c r="T25" s="1" t="n">
        <f aca="false">IF(G25&gt;0.5,MIN(F_MortPayM,G25+G25*(F_MR/12)),0)</f>
        <v>0</v>
      </c>
      <c r="U25" s="1" t="n">
        <f aca="false">IF(H25&gt;0.5,MIN(F_MortPayM,H25+H25*(F_MR/12)),0)</f>
        <v>0</v>
      </c>
      <c r="V25" s="1" t="n">
        <f aca="false">IF(I25&gt;0.5,MIN(F_MortPayM,I25+I25*(F_MR/12)),0)</f>
        <v>0</v>
      </c>
      <c r="W25" s="1" t="n">
        <f aca="false">IF(J25&gt;0.5,MIN(F_MortPayM,J25+J25*(F_MR/12)),0)</f>
        <v>0</v>
      </c>
      <c r="X25" s="1" t="n">
        <f aca="false">IF(K25&gt;0.5,MIN(F_MortPayM,K25+K25*(F_MR/12)),0)</f>
        <v>0</v>
      </c>
      <c r="Y25" s="1" t="n">
        <f aca="false">IF(L25&gt;0.5,MIN(F_MortPayM,L25+L25*(F_MR/12)),0)</f>
        <v>0</v>
      </c>
      <c r="Z25" s="1" t="n">
        <f aca="false">IF(M25&gt;0.5,MIN(F_MortPayM,M25+M25*(F_MR/12)),0)</f>
        <v>0</v>
      </c>
      <c r="AA25" s="1" t="n">
        <f aca="false">IF(N25&gt;0.5,MIN(F_MortPayM,N25+N25*(F_MR/12)),0)</f>
        <v>0</v>
      </c>
      <c r="AB25" s="1" t="n">
        <f aca="false">MAX(0,O25)</f>
        <v>0</v>
      </c>
      <c r="AC25" s="1" t="n">
        <f aca="false">SUM(P25:AA25)</f>
        <v>0</v>
      </c>
      <c r="AD25" s="1" t="n">
        <f aca="false">'Plan cashflow'!L25</f>
        <v>0</v>
      </c>
      <c r="AE25" s="1" t="n">
        <f aca="false">IF(AD25&gt;0.5,AD25+AD25*(D_iC)-MIN(F_CardPayM,AD25+AD25*(D_iC)),AD25)</f>
        <v>0</v>
      </c>
      <c r="AF25" s="1" t="n">
        <f aca="false">IF(AE25&gt;0.5,AE25+AE25*(D_iC)-MIN(F_CardPayM,AE25+AE25*(D_iC)),AE25)</f>
        <v>0</v>
      </c>
      <c r="AG25" s="1" t="n">
        <f aca="false">IF(AF25&gt;0.5,AF25+AF25*(D_iC)-MIN(F_CardPayM,AF25+AF25*(D_iC)),AF25)</f>
        <v>0</v>
      </c>
      <c r="AH25" s="1" t="n">
        <f aca="false">IF(AG25&gt;0.5,AG25+AG25*(D_iC)-MIN(F_CardPayM,AG25+AG25*(D_iC)),AG25)</f>
        <v>0</v>
      </c>
      <c r="AI25" s="1" t="n">
        <f aca="false">IF(AH25&gt;0.5,AH25+AH25*(D_iC)-MIN(F_CardPayM,AH25+AH25*(D_iC)),AH25)</f>
        <v>0</v>
      </c>
      <c r="AJ25" s="1" t="n">
        <f aca="false">IF(AI25&gt;0.5,AI25+AI25*(D_iC)-MIN(F_CardPayM,AI25+AI25*(D_iC)),AI25)</f>
        <v>0</v>
      </c>
      <c r="AK25" s="1" t="n">
        <f aca="false">IF(AJ25&gt;0.5,AJ25+AJ25*(D_iC)-MIN(F_CardPayM,AJ25+AJ25*(D_iC)),AJ25)</f>
        <v>0</v>
      </c>
      <c r="AL25" s="1" t="n">
        <f aca="false">IF(AK25&gt;0.5,AK25+AK25*(D_iC)-MIN(F_CardPayM,AK25+AK25*(D_iC)),AK25)</f>
        <v>0</v>
      </c>
      <c r="AM25" s="1" t="n">
        <f aca="false">IF(AL25&gt;0.5,AL25+AL25*(D_iC)-MIN(F_CardPayM,AL25+AL25*(D_iC)),AL25)</f>
        <v>0</v>
      </c>
      <c r="AN25" s="1" t="n">
        <f aca="false">IF(AM25&gt;0.5,AM25+AM25*(D_iC)-MIN(F_CardPayM,AM25+AM25*(D_iC)),AM25)</f>
        <v>0</v>
      </c>
      <c r="AO25" s="1" t="n">
        <f aca="false">IF(AN25&gt;0.5,AN25+AN25*(D_iC)-MIN(F_CardPayM,AN25+AN25*(D_iC)),AN25)</f>
        <v>0</v>
      </c>
      <c r="AP25" s="1" t="n">
        <f aca="false">IF(AO25&gt;0.5,AO25+AO25*(D_iC)-MIN(F_CardPayM,AO25+AO25*(D_iC)),AO25)</f>
        <v>0</v>
      </c>
      <c r="AQ25" s="1" t="n">
        <f aca="false">IF(AD25&gt;0.5,MIN(F_CardPayM,AD25+AD25*(D_iC)),0)</f>
        <v>0</v>
      </c>
      <c r="AR25" s="1" t="n">
        <f aca="false">IF(AE25&gt;0.5,MIN(F_CardPayM,AE25+AE25*(D_iC)),0)</f>
        <v>0</v>
      </c>
      <c r="AS25" s="1" t="n">
        <f aca="false">IF(AF25&gt;0.5,MIN(F_CardPayM,AF25+AF25*(D_iC)),0)</f>
        <v>0</v>
      </c>
      <c r="AT25" s="1" t="n">
        <f aca="false">IF(AG25&gt;0.5,MIN(F_CardPayM,AG25+AG25*(D_iC)),0)</f>
        <v>0</v>
      </c>
      <c r="AU25" s="1" t="n">
        <f aca="false">IF(AH25&gt;0.5,MIN(F_CardPayM,AH25+AH25*(D_iC)),0)</f>
        <v>0</v>
      </c>
      <c r="AV25" s="1" t="n">
        <f aca="false">IF(AI25&gt;0.5,MIN(F_CardPayM,AI25+AI25*(D_iC)),0)</f>
        <v>0</v>
      </c>
      <c r="AW25" s="1" t="n">
        <f aca="false">IF(AJ25&gt;0.5,MIN(F_CardPayM,AJ25+AJ25*(D_iC)),0)</f>
        <v>0</v>
      </c>
      <c r="AX25" s="1" t="n">
        <f aca="false">IF(AK25&gt;0.5,MIN(F_CardPayM,AK25+AK25*(D_iC)),0)</f>
        <v>0</v>
      </c>
      <c r="AY25" s="1" t="n">
        <f aca="false">IF(AL25&gt;0.5,MIN(F_CardPayM,AL25+AL25*(D_iC)),0)</f>
        <v>0</v>
      </c>
      <c r="AZ25" s="1" t="n">
        <f aca="false">IF(AM25&gt;0.5,MIN(F_CardPayM,AM25+AM25*(D_iC)),0)</f>
        <v>0</v>
      </c>
      <c r="BA25" s="1" t="n">
        <f aca="false">IF(AN25&gt;0.5,MIN(F_CardPayM,AN25+AN25*(D_iC)),0)</f>
        <v>0</v>
      </c>
      <c r="BB25" s="1" t="n">
        <f aca="false">IF(AO25&gt;0.5,MIN(F_CardPayM,AO25+AO25*(D_iC)),0)</f>
        <v>0</v>
      </c>
      <c r="BC25" s="1" t="n">
        <f aca="false">MAX(0,AP25)</f>
        <v>0</v>
      </c>
      <c r="BD25" s="1" t="n">
        <f aca="false">SUM(AQ25:BB25)</f>
        <v>0</v>
      </c>
      <c r="BE25" s="1" t="n">
        <f aca="false">'Plan cashflow'!O25</f>
        <v>0</v>
      </c>
      <c r="BF25" s="1" t="n">
        <f aca="false">IF(BE25&gt;0.5,BE25+BE25*(D_iL)-MIN(F_LoanPayM,BE25+BE25*(D_iL)),BE25)</f>
        <v>0</v>
      </c>
      <c r="BG25" s="1" t="n">
        <f aca="false">IF(BF25&gt;0.5,BF25+BF25*(D_iL)-MIN(F_LoanPayM,BF25+BF25*(D_iL)),BF25)</f>
        <v>0</v>
      </c>
      <c r="BH25" s="1" t="n">
        <f aca="false">IF(BG25&gt;0.5,BG25+BG25*(D_iL)-MIN(F_LoanPayM,BG25+BG25*(D_iL)),BG25)</f>
        <v>0</v>
      </c>
      <c r="BI25" s="1" t="n">
        <f aca="false">IF(BH25&gt;0.5,BH25+BH25*(D_iL)-MIN(F_LoanPayM,BH25+BH25*(D_iL)),BH25)</f>
        <v>0</v>
      </c>
      <c r="BJ25" s="1" t="n">
        <f aca="false">IF(BI25&gt;0.5,BI25+BI25*(D_iL)-MIN(F_LoanPayM,BI25+BI25*(D_iL)),BI25)</f>
        <v>0</v>
      </c>
      <c r="BK25" s="1" t="n">
        <f aca="false">IF(BJ25&gt;0.5,BJ25+BJ25*(D_iL)-MIN(F_LoanPayM,BJ25+BJ25*(D_iL)),BJ25)</f>
        <v>0</v>
      </c>
      <c r="BL25" s="1" t="n">
        <f aca="false">IF(BK25&gt;0.5,BK25+BK25*(D_iL)-MIN(F_LoanPayM,BK25+BK25*(D_iL)),BK25)</f>
        <v>0</v>
      </c>
      <c r="BM25" s="1" t="n">
        <f aca="false">IF(BL25&gt;0.5,BL25+BL25*(D_iL)-MIN(F_LoanPayM,BL25+BL25*(D_iL)),BL25)</f>
        <v>0</v>
      </c>
      <c r="BN25" s="1" t="n">
        <f aca="false">IF(BM25&gt;0.5,BM25+BM25*(D_iL)-MIN(F_LoanPayM,BM25+BM25*(D_iL)),BM25)</f>
        <v>0</v>
      </c>
      <c r="BO25" s="1" t="n">
        <f aca="false">IF(BN25&gt;0.5,BN25+BN25*(D_iL)-MIN(F_LoanPayM,BN25+BN25*(D_iL)),BN25)</f>
        <v>0</v>
      </c>
      <c r="BP25" s="1" t="n">
        <f aca="false">IF(BO25&gt;0.5,BO25+BO25*(D_iL)-MIN(F_LoanPayM,BO25+BO25*(D_iL)),BO25)</f>
        <v>0</v>
      </c>
      <c r="BQ25" s="1" t="n">
        <f aca="false">IF(BP25&gt;0.5,BP25+BP25*(D_iL)-MIN(F_LoanPayM,BP25+BP25*(D_iL)),BP25)</f>
        <v>0</v>
      </c>
      <c r="BR25" s="1" t="n">
        <f aca="false">IF(BE25&gt;0.5,MIN(F_LoanPayM,BE25+BE25*(D_iL)),0)</f>
        <v>0</v>
      </c>
      <c r="BS25" s="1" t="n">
        <f aca="false">IF(BF25&gt;0.5,MIN(F_LoanPayM,BF25+BF25*(D_iL)),0)</f>
        <v>0</v>
      </c>
      <c r="BT25" s="1" t="n">
        <f aca="false">IF(BG25&gt;0.5,MIN(F_LoanPayM,BG25+BG25*(D_iL)),0)</f>
        <v>0</v>
      </c>
      <c r="BU25" s="1" t="n">
        <f aca="false">IF(BH25&gt;0.5,MIN(F_LoanPayM,BH25+BH25*(D_iL)),0)</f>
        <v>0</v>
      </c>
      <c r="BV25" s="1" t="n">
        <f aca="false">IF(BI25&gt;0.5,MIN(F_LoanPayM,BI25+BI25*(D_iL)),0)</f>
        <v>0</v>
      </c>
      <c r="BW25" s="1" t="n">
        <f aca="false">IF(BJ25&gt;0.5,MIN(F_LoanPayM,BJ25+BJ25*(D_iL)),0)</f>
        <v>0</v>
      </c>
      <c r="BX25" s="1" t="n">
        <f aca="false">IF(BK25&gt;0.5,MIN(F_LoanPayM,BK25+BK25*(D_iL)),0)</f>
        <v>0</v>
      </c>
      <c r="BY25" s="1" t="n">
        <f aca="false">IF(BL25&gt;0.5,MIN(F_LoanPayM,BL25+BL25*(D_iL)),0)</f>
        <v>0</v>
      </c>
      <c r="BZ25" s="1" t="n">
        <f aca="false">IF(BM25&gt;0.5,MIN(F_LoanPayM,BM25+BM25*(D_iL)),0)</f>
        <v>0</v>
      </c>
      <c r="CA25" s="1" t="n">
        <f aca="false">IF(BN25&gt;0.5,MIN(F_LoanPayM,BN25+BN25*(D_iL)),0)</f>
        <v>0</v>
      </c>
      <c r="CB25" s="1" t="n">
        <f aca="false">IF(BO25&gt;0.5,MIN(F_LoanPayM,BO25+BO25*(D_iL)),0)</f>
        <v>0</v>
      </c>
      <c r="CC25" s="1" t="n">
        <f aca="false">IF(BP25&gt;0.5,MIN(F_LoanPayM,BP25+BP25*(D_iL)),0)</f>
        <v>0</v>
      </c>
      <c r="CD25" s="1" t="n">
        <f aca="false">MAX(0,BQ25)</f>
        <v>0</v>
      </c>
      <c r="CE25" s="1" t="n">
        <f aca="false">SUM(BR25:CC25)</f>
        <v>0</v>
      </c>
      <c r="CF25" s="1" t="n">
        <f aca="false">IF(CF24&gt;1,DE24,CF24)</f>
        <v>0</v>
      </c>
      <c r="CG25" s="1" t="n">
        <f aca="false">IF(CF25&gt;0.5,CF25+CF25*(F_MR/12)-MIN(F_MortPayM,CF25+CF25*(F_MR/12)),CF25)</f>
        <v>0</v>
      </c>
      <c r="CH25" s="1" t="n">
        <f aca="false">IF(CG25&gt;0.5,CG25+CG25*(F_MR/12)-MIN(F_MortPayM,CG25+CG25*(F_MR/12)),CG25)</f>
        <v>0</v>
      </c>
      <c r="CI25" s="1" t="n">
        <f aca="false">IF(CH25&gt;0.5,CH25+CH25*(F_MR/12)-MIN(F_MortPayM,CH25+CH25*(F_MR/12)),CH25)</f>
        <v>0</v>
      </c>
      <c r="CJ25" s="1" t="n">
        <f aca="false">IF(CI25&gt;0.5,CI25+CI25*(F_MR/12)-MIN(F_MortPayM,CI25+CI25*(F_MR/12)),CI25)</f>
        <v>0</v>
      </c>
      <c r="CK25" s="1" t="n">
        <f aca="false">IF(CJ25&gt;0.5,CJ25+CJ25*(F_MR/12)-MIN(F_MortPayM,CJ25+CJ25*(F_MR/12)),CJ25)</f>
        <v>0</v>
      </c>
      <c r="CL25" s="1" t="n">
        <f aca="false">IF(CK25&gt;0.5,CK25+CK25*(F_MR/12)-MIN(F_MortPayM,CK25+CK25*(F_MR/12)),CK25)</f>
        <v>0</v>
      </c>
      <c r="CM25" s="1" t="n">
        <f aca="false">IF(CL25&gt;0.5,CL25+CL25*(F_MR/12)-MIN(F_MortPayM,CL25+CL25*(F_MR/12)),CL25)</f>
        <v>0</v>
      </c>
      <c r="CN25" s="1" t="n">
        <f aca="false">IF(CM25&gt;0.5,CM25+CM25*(F_MR/12)-MIN(F_MortPayM,CM25+CM25*(F_MR/12)),CM25)</f>
        <v>0</v>
      </c>
      <c r="CO25" s="1" t="n">
        <f aca="false">IF(CN25&gt;0.5,CN25+CN25*(F_MR/12)-MIN(F_MortPayM,CN25+CN25*(F_MR/12)),CN25)</f>
        <v>0</v>
      </c>
      <c r="CP25" s="1" t="n">
        <f aca="false">IF(CO25&gt;0.5,CO25+CO25*(F_MR/12)-MIN(F_MortPayM,CO25+CO25*(F_MR/12)),CO25)</f>
        <v>0</v>
      </c>
      <c r="CQ25" s="1" t="n">
        <f aca="false">IF(CP25&gt;0.5,CP25+CP25*(F_MR/12)-MIN(F_MortPayM,CP25+CP25*(F_MR/12)),CP25)</f>
        <v>0</v>
      </c>
      <c r="CR25" s="1" t="n">
        <f aca="false">IF(CQ25&gt;0.5,CQ25+CQ25*(F_MR/12)-MIN(F_MortPayM,CQ25+CQ25*(F_MR/12)),CQ25)</f>
        <v>0</v>
      </c>
      <c r="CS25" s="1" t="n">
        <f aca="false">IF(CF25&gt;0.5,MIN(F_MortPayM,CF25+CF25*(F_MR/12)),0)</f>
        <v>0</v>
      </c>
      <c r="CT25" s="1" t="n">
        <f aca="false">IF(CG25&gt;0.5,MIN(F_MortPayM,CG25+CG25*(F_MR/12)),0)</f>
        <v>0</v>
      </c>
      <c r="CU25" s="1" t="n">
        <f aca="false">IF(CH25&gt;0.5,MIN(F_MortPayM,CH25+CH25*(F_MR/12)),0)</f>
        <v>0</v>
      </c>
      <c r="CV25" s="1" t="n">
        <f aca="false">IF(CI25&gt;0.5,MIN(F_MortPayM,CI25+CI25*(F_MR/12)),0)</f>
        <v>0</v>
      </c>
      <c r="CW25" s="1" t="n">
        <f aca="false">IF(CJ25&gt;0.5,MIN(F_MortPayM,CJ25+CJ25*(F_MR/12)),0)</f>
        <v>0</v>
      </c>
      <c r="CX25" s="1" t="n">
        <f aca="false">IF(CK25&gt;0.5,MIN(F_MortPayM,CK25+CK25*(F_MR/12)),0)</f>
        <v>0</v>
      </c>
      <c r="CY25" s="1" t="n">
        <f aca="false">IF(CL25&gt;0.5,MIN(F_MortPayM,CL25+CL25*(F_MR/12)),0)</f>
        <v>0</v>
      </c>
      <c r="CZ25" s="1" t="n">
        <f aca="false">IF(CM25&gt;0.5,MIN(F_MortPayM,CM25+CM25*(F_MR/12)),0)</f>
        <v>0</v>
      </c>
      <c r="DA25" s="1" t="n">
        <f aca="false">IF(CN25&gt;0.5,MIN(F_MortPayM,CN25+CN25*(F_MR/12)),0)</f>
        <v>0</v>
      </c>
      <c r="DB25" s="1" t="n">
        <f aca="false">IF(CO25&gt;0.5,MIN(F_MortPayM,CO25+CO25*(F_MR/12)),0)</f>
        <v>0</v>
      </c>
      <c r="DC25" s="1" t="n">
        <f aca="false">IF(CP25&gt;0.5,MIN(F_MortPayM,CP25+CP25*(F_MR/12)),0)</f>
        <v>0</v>
      </c>
      <c r="DD25" s="1" t="n">
        <f aca="false">IF(CQ25&gt;0.5,MIN(F_MortPayM,CQ25+CQ25*(F_MR/12)),0)</f>
        <v>0</v>
      </c>
      <c r="DE25" s="1" t="n">
        <f aca="false">MAX(0,CR25)</f>
        <v>0</v>
      </c>
      <c r="DF25" s="1" t="n">
        <f aca="false">SUM(CS25:DD25)</f>
        <v>0</v>
      </c>
      <c r="DG25" s="1" t="n">
        <f aca="false">MAX(0,CF25)</f>
        <v>0</v>
      </c>
    </row>
    <row r="26" customFormat="false" ht="15" hidden="false" customHeight="false" outlineLevel="0" collapsed="false">
      <c r="B26" s="1" t="n">
        <v>18</v>
      </c>
      <c r="C26" s="1" t="n">
        <f aca="false">'Plan cashflow'!I26</f>
        <v>0</v>
      </c>
      <c r="D26" s="1" t="n">
        <f aca="false">IF(C26&gt;0.5,C26+C26*(F_MR/12)-MIN(F_MortPayM,C26+C26*(F_MR/12)),C26)</f>
        <v>0</v>
      </c>
      <c r="E26" s="1" t="n">
        <f aca="false">IF(D26&gt;0.5,D26+D26*(F_MR/12)-MIN(F_MortPayM,D26+D26*(F_MR/12)),D26)</f>
        <v>0</v>
      </c>
      <c r="F26" s="1" t="n">
        <f aca="false">IF(E26&gt;0.5,E26+E26*(F_MR/12)-MIN(F_MortPayM,E26+E26*(F_MR/12)),E26)</f>
        <v>0</v>
      </c>
      <c r="G26" s="1" t="n">
        <f aca="false">IF(F26&gt;0.5,F26+F26*(F_MR/12)-MIN(F_MortPayM,F26+F26*(F_MR/12)),F26)</f>
        <v>0</v>
      </c>
      <c r="H26" s="1" t="n">
        <f aca="false">IF(G26&gt;0.5,G26+G26*(F_MR/12)-MIN(F_MortPayM,G26+G26*(F_MR/12)),G26)</f>
        <v>0</v>
      </c>
      <c r="I26" s="1" t="n">
        <f aca="false">IF(H26&gt;0.5,H26+H26*(F_MR/12)-MIN(F_MortPayM,H26+H26*(F_MR/12)),H26)</f>
        <v>0</v>
      </c>
      <c r="J26" s="1" t="n">
        <f aca="false">IF(I26&gt;0.5,I26+I26*(F_MR/12)-MIN(F_MortPayM,I26+I26*(F_MR/12)),I26)</f>
        <v>0</v>
      </c>
      <c r="K26" s="1" t="n">
        <f aca="false">IF(J26&gt;0.5,J26+J26*(F_MR/12)-MIN(F_MortPayM,J26+J26*(F_MR/12)),J26)</f>
        <v>0</v>
      </c>
      <c r="L26" s="1" t="n">
        <f aca="false">IF(K26&gt;0.5,K26+K26*(F_MR/12)-MIN(F_MortPayM,K26+K26*(F_MR/12)),K26)</f>
        <v>0</v>
      </c>
      <c r="M26" s="1" t="n">
        <f aca="false">IF(L26&gt;0.5,L26+L26*(F_MR/12)-MIN(F_MortPayM,L26+L26*(F_MR/12)),L26)</f>
        <v>0</v>
      </c>
      <c r="N26" s="1" t="n">
        <f aca="false">IF(M26&gt;0.5,M26+M26*(F_MR/12)-MIN(F_MortPayM,M26+M26*(F_MR/12)),M26)</f>
        <v>0</v>
      </c>
      <c r="O26" s="1" t="n">
        <f aca="false">IF(N26&gt;0.5,N26+N26*(F_MR/12)-MIN(F_MortPayM,N26+N26*(F_MR/12)),N26)</f>
        <v>0</v>
      </c>
      <c r="P26" s="1" t="n">
        <f aca="false">IF(C26&gt;0.5,MIN(F_MortPayM,C26+C26*(F_MR/12)),0)</f>
        <v>0</v>
      </c>
      <c r="Q26" s="1" t="n">
        <f aca="false">IF(D26&gt;0.5,MIN(F_MortPayM,D26+D26*(F_MR/12)),0)</f>
        <v>0</v>
      </c>
      <c r="R26" s="1" t="n">
        <f aca="false">IF(E26&gt;0.5,MIN(F_MortPayM,E26+E26*(F_MR/12)),0)</f>
        <v>0</v>
      </c>
      <c r="S26" s="1" t="n">
        <f aca="false">IF(F26&gt;0.5,MIN(F_MortPayM,F26+F26*(F_MR/12)),0)</f>
        <v>0</v>
      </c>
      <c r="T26" s="1" t="n">
        <f aca="false">IF(G26&gt;0.5,MIN(F_MortPayM,G26+G26*(F_MR/12)),0)</f>
        <v>0</v>
      </c>
      <c r="U26" s="1" t="n">
        <f aca="false">IF(H26&gt;0.5,MIN(F_MortPayM,H26+H26*(F_MR/12)),0)</f>
        <v>0</v>
      </c>
      <c r="V26" s="1" t="n">
        <f aca="false">IF(I26&gt;0.5,MIN(F_MortPayM,I26+I26*(F_MR/12)),0)</f>
        <v>0</v>
      </c>
      <c r="W26" s="1" t="n">
        <f aca="false">IF(J26&gt;0.5,MIN(F_MortPayM,J26+J26*(F_MR/12)),0)</f>
        <v>0</v>
      </c>
      <c r="X26" s="1" t="n">
        <f aca="false">IF(K26&gt;0.5,MIN(F_MortPayM,K26+K26*(F_MR/12)),0)</f>
        <v>0</v>
      </c>
      <c r="Y26" s="1" t="n">
        <f aca="false">IF(L26&gt;0.5,MIN(F_MortPayM,L26+L26*(F_MR/12)),0)</f>
        <v>0</v>
      </c>
      <c r="Z26" s="1" t="n">
        <f aca="false">IF(M26&gt;0.5,MIN(F_MortPayM,M26+M26*(F_MR/12)),0)</f>
        <v>0</v>
      </c>
      <c r="AA26" s="1" t="n">
        <f aca="false">IF(N26&gt;0.5,MIN(F_MortPayM,N26+N26*(F_MR/12)),0)</f>
        <v>0</v>
      </c>
      <c r="AB26" s="1" t="n">
        <f aca="false">MAX(0,O26)</f>
        <v>0</v>
      </c>
      <c r="AC26" s="1" t="n">
        <f aca="false">SUM(P26:AA26)</f>
        <v>0</v>
      </c>
      <c r="AD26" s="1" t="n">
        <f aca="false">'Plan cashflow'!L26</f>
        <v>0</v>
      </c>
      <c r="AE26" s="1" t="n">
        <f aca="false">IF(AD26&gt;0.5,AD26+AD26*(D_iC)-MIN(F_CardPayM,AD26+AD26*(D_iC)),AD26)</f>
        <v>0</v>
      </c>
      <c r="AF26" s="1" t="n">
        <f aca="false">IF(AE26&gt;0.5,AE26+AE26*(D_iC)-MIN(F_CardPayM,AE26+AE26*(D_iC)),AE26)</f>
        <v>0</v>
      </c>
      <c r="AG26" s="1" t="n">
        <f aca="false">IF(AF26&gt;0.5,AF26+AF26*(D_iC)-MIN(F_CardPayM,AF26+AF26*(D_iC)),AF26)</f>
        <v>0</v>
      </c>
      <c r="AH26" s="1" t="n">
        <f aca="false">IF(AG26&gt;0.5,AG26+AG26*(D_iC)-MIN(F_CardPayM,AG26+AG26*(D_iC)),AG26)</f>
        <v>0</v>
      </c>
      <c r="AI26" s="1" t="n">
        <f aca="false">IF(AH26&gt;0.5,AH26+AH26*(D_iC)-MIN(F_CardPayM,AH26+AH26*(D_iC)),AH26)</f>
        <v>0</v>
      </c>
      <c r="AJ26" s="1" t="n">
        <f aca="false">IF(AI26&gt;0.5,AI26+AI26*(D_iC)-MIN(F_CardPayM,AI26+AI26*(D_iC)),AI26)</f>
        <v>0</v>
      </c>
      <c r="AK26" s="1" t="n">
        <f aca="false">IF(AJ26&gt;0.5,AJ26+AJ26*(D_iC)-MIN(F_CardPayM,AJ26+AJ26*(D_iC)),AJ26)</f>
        <v>0</v>
      </c>
      <c r="AL26" s="1" t="n">
        <f aca="false">IF(AK26&gt;0.5,AK26+AK26*(D_iC)-MIN(F_CardPayM,AK26+AK26*(D_iC)),AK26)</f>
        <v>0</v>
      </c>
      <c r="AM26" s="1" t="n">
        <f aca="false">IF(AL26&gt;0.5,AL26+AL26*(D_iC)-MIN(F_CardPayM,AL26+AL26*(D_iC)),AL26)</f>
        <v>0</v>
      </c>
      <c r="AN26" s="1" t="n">
        <f aca="false">IF(AM26&gt;0.5,AM26+AM26*(D_iC)-MIN(F_CardPayM,AM26+AM26*(D_iC)),AM26)</f>
        <v>0</v>
      </c>
      <c r="AO26" s="1" t="n">
        <f aca="false">IF(AN26&gt;0.5,AN26+AN26*(D_iC)-MIN(F_CardPayM,AN26+AN26*(D_iC)),AN26)</f>
        <v>0</v>
      </c>
      <c r="AP26" s="1" t="n">
        <f aca="false">IF(AO26&gt;0.5,AO26+AO26*(D_iC)-MIN(F_CardPayM,AO26+AO26*(D_iC)),AO26)</f>
        <v>0</v>
      </c>
      <c r="AQ26" s="1" t="n">
        <f aca="false">IF(AD26&gt;0.5,MIN(F_CardPayM,AD26+AD26*(D_iC)),0)</f>
        <v>0</v>
      </c>
      <c r="AR26" s="1" t="n">
        <f aca="false">IF(AE26&gt;0.5,MIN(F_CardPayM,AE26+AE26*(D_iC)),0)</f>
        <v>0</v>
      </c>
      <c r="AS26" s="1" t="n">
        <f aca="false">IF(AF26&gt;0.5,MIN(F_CardPayM,AF26+AF26*(D_iC)),0)</f>
        <v>0</v>
      </c>
      <c r="AT26" s="1" t="n">
        <f aca="false">IF(AG26&gt;0.5,MIN(F_CardPayM,AG26+AG26*(D_iC)),0)</f>
        <v>0</v>
      </c>
      <c r="AU26" s="1" t="n">
        <f aca="false">IF(AH26&gt;0.5,MIN(F_CardPayM,AH26+AH26*(D_iC)),0)</f>
        <v>0</v>
      </c>
      <c r="AV26" s="1" t="n">
        <f aca="false">IF(AI26&gt;0.5,MIN(F_CardPayM,AI26+AI26*(D_iC)),0)</f>
        <v>0</v>
      </c>
      <c r="AW26" s="1" t="n">
        <f aca="false">IF(AJ26&gt;0.5,MIN(F_CardPayM,AJ26+AJ26*(D_iC)),0)</f>
        <v>0</v>
      </c>
      <c r="AX26" s="1" t="n">
        <f aca="false">IF(AK26&gt;0.5,MIN(F_CardPayM,AK26+AK26*(D_iC)),0)</f>
        <v>0</v>
      </c>
      <c r="AY26" s="1" t="n">
        <f aca="false">IF(AL26&gt;0.5,MIN(F_CardPayM,AL26+AL26*(D_iC)),0)</f>
        <v>0</v>
      </c>
      <c r="AZ26" s="1" t="n">
        <f aca="false">IF(AM26&gt;0.5,MIN(F_CardPayM,AM26+AM26*(D_iC)),0)</f>
        <v>0</v>
      </c>
      <c r="BA26" s="1" t="n">
        <f aca="false">IF(AN26&gt;0.5,MIN(F_CardPayM,AN26+AN26*(D_iC)),0)</f>
        <v>0</v>
      </c>
      <c r="BB26" s="1" t="n">
        <f aca="false">IF(AO26&gt;0.5,MIN(F_CardPayM,AO26+AO26*(D_iC)),0)</f>
        <v>0</v>
      </c>
      <c r="BC26" s="1" t="n">
        <f aca="false">MAX(0,AP26)</f>
        <v>0</v>
      </c>
      <c r="BD26" s="1" t="n">
        <f aca="false">SUM(AQ26:BB26)</f>
        <v>0</v>
      </c>
      <c r="BE26" s="1" t="n">
        <f aca="false">'Plan cashflow'!O26</f>
        <v>0</v>
      </c>
      <c r="BF26" s="1" t="n">
        <f aca="false">IF(BE26&gt;0.5,BE26+BE26*(D_iL)-MIN(F_LoanPayM,BE26+BE26*(D_iL)),BE26)</f>
        <v>0</v>
      </c>
      <c r="BG26" s="1" t="n">
        <f aca="false">IF(BF26&gt;0.5,BF26+BF26*(D_iL)-MIN(F_LoanPayM,BF26+BF26*(D_iL)),BF26)</f>
        <v>0</v>
      </c>
      <c r="BH26" s="1" t="n">
        <f aca="false">IF(BG26&gt;0.5,BG26+BG26*(D_iL)-MIN(F_LoanPayM,BG26+BG26*(D_iL)),BG26)</f>
        <v>0</v>
      </c>
      <c r="BI26" s="1" t="n">
        <f aca="false">IF(BH26&gt;0.5,BH26+BH26*(D_iL)-MIN(F_LoanPayM,BH26+BH26*(D_iL)),BH26)</f>
        <v>0</v>
      </c>
      <c r="BJ26" s="1" t="n">
        <f aca="false">IF(BI26&gt;0.5,BI26+BI26*(D_iL)-MIN(F_LoanPayM,BI26+BI26*(D_iL)),BI26)</f>
        <v>0</v>
      </c>
      <c r="BK26" s="1" t="n">
        <f aca="false">IF(BJ26&gt;0.5,BJ26+BJ26*(D_iL)-MIN(F_LoanPayM,BJ26+BJ26*(D_iL)),BJ26)</f>
        <v>0</v>
      </c>
      <c r="BL26" s="1" t="n">
        <f aca="false">IF(BK26&gt;0.5,BK26+BK26*(D_iL)-MIN(F_LoanPayM,BK26+BK26*(D_iL)),BK26)</f>
        <v>0</v>
      </c>
      <c r="BM26" s="1" t="n">
        <f aca="false">IF(BL26&gt;0.5,BL26+BL26*(D_iL)-MIN(F_LoanPayM,BL26+BL26*(D_iL)),BL26)</f>
        <v>0</v>
      </c>
      <c r="BN26" s="1" t="n">
        <f aca="false">IF(BM26&gt;0.5,BM26+BM26*(D_iL)-MIN(F_LoanPayM,BM26+BM26*(D_iL)),BM26)</f>
        <v>0</v>
      </c>
      <c r="BO26" s="1" t="n">
        <f aca="false">IF(BN26&gt;0.5,BN26+BN26*(D_iL)-MIN(F_LoanPayM,BN26+BN26*(D_iL)),BN26)</f>
        <v>0</v>
      </c>
      <c r="BP26" s="1" t="n">
        <f aca="false">IF(BO26&gt;0.5,BO26+BO26*(D_iL)-MIN(F_LoanPayM,BO26+BO26*(D_iL)),BO26)</f>
        <v>0</v>
      </c>
      <c r="BQ26" s="1" t="n">
        <f aca="false">IF(BP26&gt;0.5,BP26+BP26*(D_iL)-MIN(F_LoanPayM,BP26+BP26*(D_iL)),BP26)</f>
        <v>0</v>
      </c>
      <c r="BR26" s="1" t="n">
        <f aca="false">IF(BE26&gt;0.5,MIN(F_LoanPayM,BE26+BE26*(D_iL)),0)</f>
        <v>0</v>
      </c>
      <c r="BS26" s="1" t="n">
        <f aca="false">IF(BF26&gt;0.5,MIN(F_LoanPayM,BF26+BF26*(D_iL)),0)</f>
        <v>0</v>
      </c>
      <c r="BT26" s="1" t="n">
        <f aca="false">IF(BG26&gt;0.5,MIN(F_LoanPayM,BG26+BG26*(D_iL)),0)</f>
        <v>0</v>
      </c>
      <c r="BU26" s="1" t="n">
        <f aca="false">IF(BH26&gt;0.5,MIN(F_LoanPayM,BH26+BH26*(D_iL)),0)</f>
        <v>0</v>
      </c>
      <c r="BV26" s="1" t="n">
        <f aca="false">IF(BI26&gt;0.5,MIN(F_LoanPayM,BI26+BI26*(D_iL)),0)</f>
        <v>0</v>
      </c>
      <c r="BW26" s="1" t="n">
        <f aca="false">IF(BJ26&gt;0.5,MIN(F_LoanPayM,BJ26+BJ26*(D_iL)),0)</f>
        <v>0</v>
      </c>
      <c r="BX26" s="1" t="n">
        <f aca="false">IF(BK26&gt;0.5,MIN(F_LoanPayM,BK26+BK26*(D_iL)),0)</f>
        <v>0</v>
      </c>
      <c r="BY26" s="1" t="n">
        <f aca="false">IF(BL26&gt;0.5,MIN(F_LoanPayM,BL26+BL26*(D_iL)),0)</f>
        <v>0</v>
      </c>
      <c r="BZ26" s="1" t="n">
        <f aca="false">IF(BM26&gt;0.5,MIN(F_LoanPayM,BM26+BM26*(D_iL)),0)</f>
        <v>0</v>
      </c>
      <c r="CA26" s="1" t="n">
        <f aca="false">IF(BN26&gt;0.5,MIN(F_LoanPayM,BN26+BN26*(D_iL)),0)</f>
        <v>0</v>
      </c>
      <c r="CB26" s="1" t="n">
        <f aca="false">IF(BO26&gt;0.5,MIN(F_LoanPayM,BO26+BO26*(D_iL)),0)</f>
        <v>0</v>
      </c>
      <c r="CC26" s="1" t="n">
        <f aca="false">IF(BP26&gt;0.5,MIN(F_LoanPayM,BP26+BP26*(D_iL)),0)</f>
        <v>0</v>
      </c>
      <c r="CD26" s="1" t="n">
        <f aca="false">MAX(0,BQ26)</f>
        <v>0</v>
      </c>
      <c r="CE26" s="1" t="n">
        <f aca="false">SUM(BR26:CC26)</f>
        <v>0</v>
      </c>
      <c r="CF26" s="1" t="n">
        <f aca="false">IF(CF25&gt;1,DE25,CF25)</f>
        <v>0</v>
      </c>
      <c r="CG26" s="1" t="n">
        <f aca="false">IF(CF26&gt;0.5,CF26+CF26*(F_MR/12)-MIN(F_MortPayM,CF26+CF26*(F_MR/12)),CF26)</f>
        <v>0</v>
      </c>
      <c r="CH26" s="1" t="n">
        <f aca="false">IF(CG26&gt;0.5,CG26+CG26*(F_MR/12)-MIN(F_MortPayM,CG26+CG26*(F_MR/12)),CG26)</f>
        <v>0</v>
      </c>
      <c r="CI26" s="1" t="n">
        <f aca="false">IF(CH26&gt;0.5,CH26+CH26*(F_MR/12)-MIN(F_MortPayM,CH26+CH26*(F_MR/12)),CH26)</f>
        <v>0</v>
      </c>
      <c r="CJ26" s="1" t="n">
        <f aca="false">IF(CI26&gt;0.5,CI26+CI26*(F_MR/12)-MIN(F_MortPayM,CI26+CI26*(F_MR/12)),CI26)</f>
        <v>0</v>
      </c>
      <c r="CK26" s="1" t="n">
        <f aca="false">IF(CJ26&gt;0.5,CJ26+CJ26*(F_MR/12)-MIN(F_MortPayM,CJ26+CJ26*(F_MR/12)),CJ26)</f>
        <v>0</v>
      </c>
      <c r="CL26" s="1" t="n">
        <f aca="false">IF(CK26&gt;0.5,CK26+CK26*(F_MR/12)-MIN(F_MortPayM,CK26+CK26*(F_MR/12)),CK26)</f>
        <v>0</v>
      </c>
      <c r="CM26" s="1" t="n">
        <f aca="false">IF(CL26&gt;0.5,CL26+CL26*(F_MR/12)-MIN(F_MortPayM,CL26+CL26*(F_MR/12)),CL26)</f>
        <v>0</v>
      </c>
      <c r="CN26" s="1" t="n">
        <f aca="false">IF(CM26&gt;0.5,CM26+CM26*(F_MR/12)-MIN(F_MortPayM,CM26+CM26*(F_MR/12)),CM26)</f>
        <v>0</v>
      </c>
      <c r="CO26" s="1" t="n">
        <f aca="false">IF(CN26&gt;0.5,CN26+CN26*(F_MR/12)-MIN(F_MortPayM,CN26+CN26*(F_MR/12)),CN26)</f>
        <v>0</v>
      </c>
      <c r="CP26" s="1" t="n">
        <f aca="false">IF(CO26&gt;0.5,CO26+CO26*(F_MR/12)-MIN(F_MortPayM,CO26+CO26*(F_MR/12)),CO26)</f>
        <v>0</v>
      </c>
      <c r="CQ26" s="1" t="n">
        <f aca="false">IF(CP26&gt;0.5,CP26+CP26*(F_MR/12)-MIN(F_MortPayM,CP26+CP26*(F_MR/12)),CP26)</f>
        <v>0</v>
      </c>
      <c r="CR26" s="1" t="n">
        <f aca="false">IF(CQ26&gt;0.5,CQ26+CQ26*(F_MR/12)-MIN(F_MortPayM,CQ26+CQ26*(F_MR/12)),CQ26)</f>
        <v>0</v>
      </c>
      <c r="CS26" s="1" t="n">
        <f aca="false">IF(CF26&gt;0.5,MIN(F_MortPayM,CF26+CF26*(F_MR/12)),0)</f>
        <v>0</v>
      </c>
      <c r="CT26" s="1" t="n">
        <f aca="false">IF(CG26&gt;0.5,MIN(F_MortPayM,CG26+CG26*(F_MR/12)),0)</f>
        <v>0</v>
      </c>
      <c r="CU26" s="1" t="n">
        <f aca="false">IF(CH26&gt;0.5,MIN(F_MortPayM,CH26+CH26*(F_MR/12)),0)</f>
        <v>0</v>
      </c>
      <c r="CV26" s="1" t="n">
        <f aca="false">IF(CI26&gt;0.5,MIN(F_MortPayM,CI26+CI26*(F_MR/12)),0)</f>
        <v>0</v>
      </c>
      <c r="CW26" s="1" t="n">
        <f aca="false">IF(CJ26&gt;0.5,MIN(F_MortPayM,CJ26+CJ26*(F_MR/12)),0)</f>
        <v>0</v>
      </c>
      <c r="CX26" s="1" t="n">
        <f aca="false">IF(CK26&gt;0.5,MIN(F_MortPayM,CK26+CK26*(F_MR/12)),0)</f>
        <v>0</v>
      </c>
      <c r="CY26" s="1" t="n">
        <f aca="false">IF(CL26&gt;0.5,MIN(F_MortPayM,CL26+CL26*(F_MR/12)),0)</f>
        <v>0</v>
      </c>
      <c r="CZ26" s="1" t="n">
        <f aca="false">IF(CM26&gt;0.5,MIN(F_MortPayM,CM26+CM26*(F_MR/12)),0)</f>
        <v>0</v>
      </c>
      <c r="DA26" s="1" t="n">
        <f aca="false">IF(CN26&gt;0.5,MIN(F_MortPayM,CN26+CN26*(F_MR/12)),0)</f>
        <v>0</v>
      </c>
      <c r="DB26" s="1" t="n">
        <f aca="false">IF(CO26&gt;0.5,MIN(F_MortPayM,CO26+CO26*(F_MR/12)),0)</f>
        <v>0</v>
      </c>
      <c r="DC26" s="1" t="n">
        <f aca="false">IF(CP26&gt;0.5,MIN(F_MortPayM,CP26+CP26*(F_MR/12)),0)</f>
        <v>0</v>
      </c>
      <c r="DD26" s="1" t="n">
        <f aca="false">IF(CQ26&gt;0.5,MIN(F_MortPayM,CQ26+CQ26*(F_MR/12)),0)</f>
        <v>0</v>
      </c>
      <c r="DE26" s="1" t="n">
        <f aca="false">MAX(0,CR26)</f>
        <v>0</v>
      </c>
      <c r="DF26" s="1" t="n">
        <f aca="false">SUM(CS26:DD26)</f>
        <v>0</v>
      </c>
      <c r="DG26" s="1" t="n">
        <f aca="false">MAX(0,CF26)</f>
        <v>0</v>
      </c>
    </row>
    <row r="27" customFormat="false" ht="15" hidden="false" customHeight="false" outlineLevel="0" collapsed="false">
      <c r="B27" s="1" t="n">
        <v>19</v>
      </c>
      <c r="C27" s="1" t="n">
        <f aca="false">'Plan cashflow'!I27</f>
        <v>0</v>
      </c>
      <c r="D27" s="1" t="n">
        <f aca="false">IF(C27&gt;0.5,C27+C27*(F_MR/12)-MIN(F_MortPayM,C27+C27*(F_MR/12)),C27)</f>
        <v>0</v>
      </c>
      <c r="E27" s="1" t="n">
        <f aca="false">IF(D27&gt;0.5,D27+D27*(F_MR/12)-MIN(F_MortPayM,D27+D27*(F_MR/12)),D27)</f>
        <v>0</v>
      </c>
      <c r="F27" s="1" t="n">
        <f aca="false">IF(E27&gt;0.5,E27+E27*(F_MR/12)-MIN(F_MortPayM,E27+E27*(F_MR/12)),E27)</f>
        <v>0</v>
      </c>
      <c r="G27" s="1" t="n">
        <f aca="false">IF(F27&gt;0.5,F27+F27*(F_MR/12)-MIN(F_MortPayM,F27+F27*(F_MR/12)),F27)</f>
        <v>0</v>
      </c>
      <c r="H27" s="1" t="n">
        <f aca="false">IF(G27&gt;0.5,G27+G27*(F_MR/12)-MIN(F_MortPayM,G27+G27*(F_MR/12)),G27)</f>
        <v>0</v>
      </c>
      <c r="I27" s="1" t="n">
        <f aca="false">IF(H27&gt;0.5,H27+H27*(F_MR/12)-MIN(F_MortPayM,H27+H27*(F_MR/12)),H27)</f>
        <v>0</v>
      </c>
      <c r="J27" s="1" t="n">
        <f aca="false">IF(I27&gt;0.5,I27+I27*(F_MR/12)-MIN(F_MortPayM,I27+I27*(F_MR/12)),I27)</f>
        <v>0</v>
      </c>
      <c r="K27" s="1" t="n">
        <f aca="false">IF(J27&gt;0.5,J27+J27*(F_MR/12)-MIN(F_MortPayM,J27+J27*(F_MR/12)),J27)</f>
        <v>0</v>
      </c>
      <c r="L27" s="1" t="n">
        <f aca="false">IF(K27&gt;0.5,K27+K27*(F_MR/12)-MIN(F_MortPayM,K27+K27*(F_MR/12)),K27)</f>
        <v>0</v>
      </c>
      <c r="M27" s="1" t="n">
        <f aca="false">IF(L27&gt;0.5,L27+L27*(F_MR/12)-MIN(F_MortPayM,L27+L27*(F_MR/12)),L27)</f>
        <v>0</v>
      </c>
      <c r="N27" s="1" t="n">
        <f aca="false">IF(M27&gt;0.5,M27+M27*(F_MR/12)-MIN(F_MortPayM,M27+M27*(F_MR/12)),M27)</f>
        <v>0</v>
      </c>
      <c r="O27" s="1" t="n">
        <f aca="false">IF(N27&gt;0.5,N27+N27*(F_MR/12)-MIN(F_MortPayM,N27+N27*(F_MR/12)),N27)</f>
        <v>0</v>
      </c>
      <c r="P27" s="1" t="n">
        <f aca="false">IF(C27&gt;0.5,MIN(F_MortPayM,C27+C27*(F_MR/12)),0)</f>
        <v>0</v>
      </c>
      <c r="Q27" s="1" t="n">
        <f aca="false">IF(D27&gt;0.5,MIN(F_MortPayM,D27+D27*(F_MR/12)),0)</f>
        <v>0</v>
      </c>
      <c r="R27" s="1" t="n">
        <f aca="false">IF(E27&gt;0.5,MIN(F_MortPayM,E27+E27*(F_MR/12)),0)</f>
        <v>0</v>
      </c>
      <c r="S27" s="1" t="n">
        <f aca="false">IF(F27&gt;0.5,MIN(F_MortPayM,F27+F27*(F_MR/12)),0)</f>
        <v>0</v>
      </c>
      <c r="T27" s="1" t="n">
        <f aca="false">IF(G27&gt;0.5,MIN(F_MortPayM,G27+G27*(F_MR/12)),0)</f>
        <v>0</v>
      </c>
      <c r="U27" s="1" t="n">
        <f aca="false">IF(H27&gt;0.5,MIN(F_MortPayM,H27+H27*(F_MR/12)),0)</f>
        <v>0</v>
      </c>
      <c r="V27" s="1" t="n">
        <f aca="false">IF(I27&gt;0.5,MIN(F_MortPayM,I27+I27*(F_MR/12)),0)</f>
        <v>0</v>
      </c>
      <c r="W27" s="1" t="n">
        <f aca="false">IF(J27&gt;0.5,MIN(F_MortPayM,J27+J27*(F_MR/12)),0)</f>
        <v>0</v>
      </c>
      <c r="X27" s="1" t="n">
        <f aca="false">IF(K27&gt;0.5,MIN(F_MortPayM,K27+K27*(F_MR/12)),0)</f>
        <v>0</v>
      </c>
      <c r="Y27" s="1" t="n">
        <f aca="false">IF(L27&gt;0.5,MIN(F_MortPayM,L27+L27*(F_MR/12)),0)</f>
        <v>0</v>
      </c>
      <c r="Z27" s="1" t="n">
        <f aca="false">IF(M27&gt;0.5,MIN(F_MortPayM,M27+M27*(F_MR/12)),0)</f>
        <v>0</v>
      </c>
      <c r="AA27" s="1" t="n">
        <f aca="false">IF(N27&gt;0.5,MIN(F_MortPayM,N27+N27*(F_MR/12)),0)</f>
        <v>0</v>
      </c>
      <c r="AB27" s="1" t="n">
        <f aca="false">MAX(0,O27)</f>
        <v>0</v>
      </c>
      <c r="AC27" s="1" t="n">
        <f aca="false">SUM(P27:AA27)</f>
        <v>0</v>
      </c>
      <c r="AD27" s="1" t="n">
        <f aca="false">'Plan cashflow'!L27</f>
        <v>0</v>
      </c>
      <c r="AE27" s="1" t="n">
        <f aca="false">IF(AD27&gt;0.5,AD27+AD27*(D_iC)-MIN(F_CardPayM,AD27+AD27*(D_iC)),AD27)</f>
        <v>0</v>
      </c>
      <c r="AF27" s="1" t="n">
        <f aca="false">IF(AE27&gt;0.5,AE27+AE27*(D_iC)-MIN(F_CardPayM,AE27+AE27*(D_iC)),AE27)</f>
        <v>0</v>
      </c>
      <c r="AG27" s="1" t="n">
        <f aca="false">IF(AF27&gt;0.5,AF27+AF27*(D_iC)-MIN(F_CardPayM,AF27+AF27*(D_iC)),AF27)</f>
        <v>0</v>
      </c>
      <c r="AH27" s="1" t="n">
        <f aca="false">IF(AG27&gt;0.5,AG27+AG27*(D_iC)-MIN(F_CardPayM,AG27+AG27*(D_iC)),AG27)</f>
        <v>0</v>
      </c>
      <c r="AI27" s="1" t="n">
        <f aca="false">IF(AH27&gt;0.5,AH27+AH27*(D_iC)-MIN(F_CardPayM,AH27+AH27*(D_iC)),AH27)</f>
        <v>0</v>
      </c>
      <c r="AJ27" s="1" t="n">
        <f aca="false">IF(AI27&gt;0.5,AI27+AI27*(D_iC)-MIN(F_CardPayM,AI27+AI27*(D_iC)),AI27)</f>
        <v>0</v>
      </c>
      <c r="AK27" s="1" t="n">
        <f aca="false">IF(AJ27&gt;0.5,AJ27+AJ27*(D_iC)-MIN(F_CardPayM,AJ27+AJ27*(D_iC)),AJ27)</f>
        <v>0</v>
      </c>
      <c r="AL27" s="1" t="n">
        <f aca="false">IF(AK27&gt;0.5,AK27+AK27*(D_iC)-MIN(F_CardPayM,AK27+AK27*(D_iC)),AK27)</f>
        <v>0</v>
      </c>
      <c r="AM27" s="1" t="n">
        <f aca="false">IF(AL27&gt;0.5,AL27+AL27*(D_iC)-MIN(F_CardPayM,AL27+AL27*(D_iC)),AL27)</f>
        <v>0</v>
      </c>
      <c r="AN27" s="1" t="n">
        <f aca="false">IF(AM27&gt;0.5,AM27+AM27*(D_iC)-MIN(F_CardPayM,AM27+AM27*(D_iC)),AM27)</f>
        <v>0</v>
      </c>
      <c r="AO27" s="1" t="n">
        <f aca="false">IF(AN27&gt;0.5,AN27+AN27*(D_iC)-MIN(F_CardPayM,AN27+AN27*(D_iC)),AN27)</f>
        <v>0</v>
      </c>
      <c r="AP27" s="1" t="n">
        <f aca="false">IF(AO27&gt;0.5,AO27+AO27*(D_iC)-MIN(F_CardPayM,AO27+AO27*(D_iC)),AO27)</f>
        <v>0</v>
      </c>
      <c r="AQ27" s="1" t="n">
        <f aca="false">IF(AD27&gt;0.5,MIN(F_CardPayM,AD27+AD27*(D_iC)),0)</f>
        <v>0</v>
      </c>
      <c r="AR27" s="1" t="n">
        <f aca="false">IF(AE27&gt;0.5,MIN(F_CardPayM,AE27+AE27*(D_iC)),0)</f>
        <v>0</v>
      </c>
      <c r="AS27" s="1" t="n">
        <f aca="false">IF(AF27&gt;0.5,MIN(F_CardPayM,AF27+AF27*(D_iC)),0)</f>
        <v>0</v>
      </c>
      <c r="AT27" s="1" t="n">
        <f aca="false">IF(AG27&gt;0.5,MIN(F_CardPayM,AG27+AG27*(D_iC)),0)</f>
        <v>0</v>
      </c>
      <c r="AU27" s="1" t="n">
        <f aca="false">IF(AH27&gt;0.5,MIN(F_CardPayM,AH27+AH27*(D_iC)),0)</f>
        <v>0</v>
      </c>
      <c r="AV27" s="1" t="n">
        <f aca="false">IF(AI27&gt;0.5,MIN(F_CardPayM,AI27+AI27*(D_iC)),0)</f>
        <v>0</v>
      </c>
      <c r="AW27" s="1" t="n">
        <f aca="false">IF(AJ27&gt;0.5,MIN(F_CardPayM,AJ27+AJ27*(D_iC)),0)</f>
        <v>0</v>
      </c>
      <c r="AX27" s="1" t="n">
        <f aca="false">IF(AK27&gt;0.5,MIN(F_CardPayM,AK27+AK27*(D_iC)),0)</f>
        <v>0</v>
      </c>
      <c r="AY27" s="1" t="n">
        <f aca="false">IF(AL27&gt;0.5,MIN(F_CardPayM,AL27+AL27*(D_iC)),0)</f>
        <v>0</v>
      </c>
      <c r="AZ27" s="1" t="n">
        <f aca="false">IF(AM27&gt;0.5,MIN(F_CardPayM,AM27+AM27*(D_iC)),0)</f>
        <v>0</v>
      </c>
      <c r="BA27" s="1" t="n">
        <f aca="false">IF(AN27&gt;0.5,MIN(F_CardPayM,AN27+AN27*(D_iC)),0)</f>
        <v>0</v>
      </c>
      <c r="BB27" s="1" t="n">
        <f aca="false">IF(AO27&gt;0.5,MIN(F_CardPayM,AO27+AO27*(D_iC)),0)</f>
        <v>0</v>
      </c>
      <c r="BC27" s="1" t="n">
        <f aca="false">MAX(0,AP27)</f>
        <v>0</v>
      </c>
      <c r="BD27" s="1" t="n">
        <f aca="false">SUM(AQ27:BB27)</f>
        <v>0</v>
      </c>
      <c r="BE27" s="1" t="n">
        <f aca="false">'Plan cashflow'!O27</f>
        <v>0</v>
      </c>
      <c r="BF27" s="1" t="n">
        <f aca="false">IF(BE27&gt;0.5,BE27+BE27*(D_iL)-MIN(F_LoanPayM,BE27+BE27*(D_iL)),BE27)</f>
        <v>0</v>
      </c>
      <c r="BG27" s="1" t="n">
        <f aca="false">IF(BF27&gt;0.5,BF27+BF27*(D_iL)-MIN(F_LoanPayM,BF27+BF27*(D_iL)),BF27)</f>
        <v>0</v>
      </c>
      <c r="BH27" s="1" t="n">
        <f aca="false">IF(BG27&gt;0.5,BG27+BG27*(D_iL)-MIN(F_LoanPayM,BG27+BG27*(D_iL)),BG27)</f>
        <v>0</v>
      </c>
      <c r="BI27" s="1" t="n">
        <f aca="false">IF(BH27&gt;0.5,BH27+BH27*(D_iL)-MIN(F_LoanPayM,BH27+BH27*(D_iL)),BH27)</f>
        <v>0</v>
      </c>
      <c r="BJ27" s="1" t="n">
        <f aca="false">IF(BI27&gt;0.5,BI27+BI27*(D_iL)-MIN(F_LoanPayM,BI27+BI27*(D_iL)),BI27)</f>
        <v>0</v>
      </c>
      <c r="BK27" s="1" t="n">
        <f aca="false">IF(BJ27&gt;0.5,BJ27+BJ27*(D_iL)-MIN(F_LoanPayM,BJ27+BJ27*(D_iL)),BJ27)</f>
        <v>0</v>
      </c>
      <c r="BL27" s="1" t="n">
        <f aca="false">IF(BK27&gt;0.5,BK27+BK27*(D_iL)-MIN(F_LoanPayM,BK27+BK27*(D_iL)),BK27)</f>
        <v>0</v>
      </c>
      <c r="BM27" s="1" t="n">
        <f aca="false">IF(BL27&gt;0.5,BL27+BL27*(D_iL)-MIN(F_LoanPayM,BL27+BL27*(D_iL)),BL27)</f>
        <v>0</v>
      </c>
      <c r="BN27" s="1" t="n">
        <f aca="false">IF(BM27&gt;0.5,BM27+BM27*(D_iL)-MIN(F_LoanPayM,BM27+BM27*(D_iL)),BM27)</f>
        <v>0</v>
      </c>
      <c r="BO27" s="1" t="n">
        <f aca="false">IF(BN27&gt;0.5,BN27+BN27*(D_iL)-MIN(F_LoanPayM,BN27+BN27*(D_iL)),BN27)</f>
        <v>0</v>
      </c>
      <c r="BP27" s="1" t="n">
        <f aca="false">IF(BO27&gt;0.5,BO27+BO27*(D_iL)-MIN(F_LoanPayM,BO27+BO27*(D_iL)),BO27)</f>
        <v>0</v>
      </c>
      <c r="BQ27" s="1" t="n">
        <f aca="false">IF(BP27&gt;0.5,BP27+BP27*(D_iL)-MIN(F_LoanPayM,BP27+BP27*(D_iL)),BP27)</f>
        <v>0</v>
      </c>
      <c r="BR27" s="1" t="n">
        <f aca="false">IF(BE27&gt;0.5,MIN(F_LoanPayM,BE27+BE27*(D_iL)),0)</f>
        <v>0</v>
      </c>
      <c r="BS27" s="1" t="n">
        <f aca="false">IF(BF27&gt;0.5,MIN(F_LoanPayM,BF27+BF27*(D_iL)),0)</f>
        <v>0</v>
      </c>
      <c r="BT27" s="1" t="n">
        <f aca="false">IF(BG27&gt;0.5,MIN(F_LoanPayM,BG27+BG27*(D_iL)),0)</f>
        <v>0</v>
      </c>
      <c r="BU27" s="1" t="n">
        <f aca="false">IF(BH27&gt;0.5,MIN(F_LoanPayM,BH27+BH27*(D_iL)),0)</f>
        <v>0</v>
      </c>
      <c r="BV27" s="1" t="n">
        <f aca="false">IF(BI27&gt;0.5,MIN(F_LoanPayM,BI27+BI27*(D_iL)),0)</f>
        <v>0</v>
      </c>
      <c r="BW27" s="1" t="n">
        <f aca="false">IF(BJ27&gt;0.5,MIN(F_LoanPayM,BJ27+BJ27*(D_iL)),0)</f>
        <v>0</v>
      </c>
      <c r="BX27" s="1" t="n">
        <f aca="false">IF(BK27&gt;0.5,MIN(F_LoanPayM,BK27+BK27*(D_iL)),0)</f>
        <v>0</v>
      </c>
      <c r="BY27" s="1" t="n">
        <f aca="false">IF(BL27&gt;0.5,MIN(F_LoanPayM,BL27+BL27*(D_iL)),0)</f>
        <v>0</v>
      </c>
      <c r="BZ27" s="1" t="n">
        <f aca="false">IF(BM27&gt;0.5,MIN(F_LoanPayM,BM27+BM27*(D_iL)),0)</f>
        <v>0</v>
      </c>
      <c r="CA27" s="1" t="n">
        <f aca="false">IF(BN27&gt;0.5,MIN(F_LoanPayM,BN27+BN27*(D_iL)),0)</f>
        <v>0</v>
      </c>
      <c r="CB27" s="1" t="n">
        <f aca="false">IF(BO27&gt;0.5,MIN(F_LoanPayM,BO27+BO27*(D_iL)),0)</f>
        <v>0</v>
      </c>
      <c r="CC27" s="1" t="n">
        <f aca="false">IF(BP27&gt;0.5,MIN(F_LoanPayM,BP27+BP27*(D_iL)),0)</f>
        <v>0</v>
      </c>
      <c r="CD27" s="1" t="n">
        <f aca="false">MAX(0,BQ27)</f>
        <v>0</v>
      </c>
      <c r="CE27" s="1" t="n">
        <f aca="false">SUM(BR27:CC27)</f>
        <v>0</v>
      </c>
      <c r="CF27" s="1" t="n">
        <f aca="false">IF(CF26&gt;1,DE26,CF26)</f>
        <v>0</v>
      </c>
      <c r="CG27" s="1" t="n">
        <f aca="false">IF(CF27&gt;0.5,CF27+CF27*(F_MR/12)-MIN(F_MortPayM,CF27+CF27*(F_MR/12)),CF27)</f>
        <v>0</v>
      </c>
      <c r="CH27" s="1" t="n">
        <f aca="false">IF(CG27&gt;0.5,CG27+CG27*(F_MR/12)-MIN(F_MortPayM,CG27+CG27*(F_MR/12)),CG27)</f>
        <v>0</v>
      </c>
      <c r="CI27" s="1" t="n">
        <f aca="false">IF(CH27&gt;0.5,CH27+CH27*(F_MR/12)-MIN(F_MortPayM,CH27+CH27*(F_MR/12)),CH27)</f>
        <v>0</v>
      </c>
      <c r="CJ27" s="1" t="n">
        <f aca="false">IF(CI27&gt;0.5,CI27+CI27*(F_MR/12)-MIN(F_MortPayM,CI27+CI27*(F_MR/12)),CI27)</f>
        <v>0</v>
      </c>
      <c r="CK27" s="1" t="n">
        <f aca="false">IF(CJ27&gt;0.5,CJ27+CJ27*(F_MR/12)-MIN(F_MortPayM,CJ27+CJ27*(F_MR/12)),CJ27)</f>
        <v>0</v>
      </c>
      <c r="CL27" s="1" t="n">
        <f aca="false">IF(CK27&gt;0.5,CK27+CK27*(F_MR/12)-MIN(F_MortPayM,CK27+CK27*(F_MR/12)),CK27)</f>
        <v>0</v>
      </c>
      <c r="CM27" s="1" t="n">
        <f aca="false">IF(CL27&gt;0.5,CL27+CL27*(F_MR/12)-MIN(F_MortPayM,CL27+CL27*(F_MR/12)),CL27)</f>
        <v>0</v>
      </c>
      <c r="CN27" s="1" t="n">
        <f aca="false">IF(CM27&gt;0.5,CM27+CM27*(F_MR/12)-MIN(F_MortPayM,CM27+CM27*(F_MR/12)),CM27)</f>
        <v>0</v>
      </c>
      <c r="CO27" s="1" t="n">
        <f aca="false">IF(CN27&gt;0.5,CN27+CN27*(F_MR/12)-MIN(F_MortPayM,CN27+CN27*(F_MR/12)),CN27)</f>
        <v>0</v>
      </c>
      <c r="CP27" s="1" t="n">
        <f aca="false">IF(CO27&gt;0.5,CO27+CO27*(F_MR/12)-MIN(F_MortPayM,CO27+CO27*(F_MR/12)),CO27)</f>
        <v>0</v>
      </c>
      <c r="CQ27" s="1" t="n">
        <f aca="false">IF(CP27&gt;0.5,CP27+CP27*(F_MR/12)-MIN(F_MortPayM,CP27+CP27*(F_MR/12)),CP27)</f>
        <v>0</v>
      </c>
      <c r="CR27" s="1" t="n">
        <f aca="false">IF(CQ27&gt;0.5,CQ27+CQ27*(F_MR/12)-MIN(F_MortPayM,CQ27+CQ27*(F_MR/12)),CQ27)</f>
        <v>0</v>
      </c>
      <c r="CS27" s="1" t="n">
        <f aca="false">IF(CF27&gt;0.5,MIN(F_MortPayM,CF27+CF27*(F_MR/12)),0)</f>
        <v>0</v>
      </c>
      <c r="CT27" s="1" t="n">
        <f aca="false">IF(CG27&gt;0.5,MIN(F_MortPayM,CG27+CG27*(F_MR/12)),0)</f>
        <v>0</v>
      </c>
      <c r="CU27" s="1" t="n">
        <f aca="false">IF(CH27&gt;0.5,MIN(F_MortPayM,CH27+CH27*(F_MR/12)),0)</f>
        <v>0</v>
      </c>
      <c r="CV27" s="1" t="n">
        <f aca="false">IF(CI27&gt;0.5,MIN(F_MortPayM,CI27+CI27*(F_MR/12)),0)</f>
        <v>0</v>
      </c>
      <c r="CW27" s="1" t="n">
        <f aca="false">IF(CJ27&gt;0.5,MIN(F_MortPayM,CJ27+CJ27*(F_MR/12)),0)</f>
        <v>0</v>
      </c>
      <c r="CX27" s="1" t="n">
        <f aca="false">IF(CK27&gt;0.5,MIN(F_MortPayM,CK27+CK27*(F_MR/12)),0)</f>
        <v>0</v>
      </c>
      <c r="CY27" s="1" t="n">
        <f aca="false">IF(CL27&gt;0.5,MIN(F_MortPayM,CL27+CL27*(F_MR/12)),0)</f>
        <v>0</v>
      </c>
      <c r="CZ27" s="1" t="n">
        <f aca="false">IF(CM27&gt;0.5,MIN(F_MortPayM,CM27+CM27*(F_MR/12)),0)</f>
        <v>0</v>
      </c>
      <c r="DA27" s="1" t="n">
        <f aca="false">IF(CN27&gt;0.5,MIN(F_MortPayM,CN27+CN27*(F_MR/12)),0)</f>
        <v>0</v>
      </c>
      <c r="DB27" s="1" t="n">
        <f aca="false">IF(CO27&gt;0.5,MIN(F_MortPayM,CO27+CO27*(F_MR/12)),0)</f>
        <v>0</v>
      </c>
      <c r="DC27" s="1" t="n">
        <f aca="false">IF(CP27&gt;0.5,MIN(F_MortPayM,CP27+CP27*(F_MR/12)),0)</f>
        <v>0</v>
      </c>
      <c r="DD27" s="1" t="n">
        <f aca="false">IF(CQ27&gt;0.5,MIN(F_MortPayM,CQ27+CQ27*(F_MR/12)),0)</f>
        <v>0</v>
      </c>
      <c r="DE27" s="1" t="n">
        <f aca="false">MAX(0,CR27)</f>
        <v>0</v>
      </c>
      <c r="DF27" s="1" t="n">
        <f aca="false">SUM(CS27:DD27)</f>
        <v>0</v>
      </c>
      <c r="DG27" s="1" t="n">
        <f aca="false">MAX(0,CF27)</f>
        <v>0</v>
      </c>
    </row>
    <row r="28" customFormat="false" ht="15" hidden="false" customHeight="false" outlineLevel="0" collapsed="false">
      <c r="B28" s="1" t="n">
        <v>20</v>
      </c>
      <c r="C28" s="1" t="n">
        <f aca="false">'Plan cashflow'!I28</f>
        <v>0</v>
      </c>
      <c r="D28" s="1" t="n">
        <f aca="false">IF(C28&gt;0.5,C28+C28*(F_MR/12)-MIN(F_MortPayM,C28+C28*(F_MR/12)),C28)</f>
        <v>0</v>
      </c>
      <c r="E28" s="1" t="n">
        <f aca="false">IF(D28&gt;0.5,D28+D28*(F_MR/12)-MIN(F_MortPayM,D28+D28*(F_MR/12)),D28)</f>
        <v>0</v>
      </c>
      <c r="F28" s="1" t="n">
        <f aca="false">IF(E28&gt;0.5,E28+E28*(F_MR/12)-MIN(F_MortPayM,E28+E28*(F_MR/12)),E28)</f>
        <v>0</v>
      </c>
      <c r="G28" s="1" t="n">
        <f aca="false">IF(F28&gt;0.5,F28+F28*(F_MR/12)-MIN(F_MortPayM,F28+F28*(F_MR/12)),F28)</f>
        <v>0</v>
      </c>
      <c r="H28" s="1" t="n">
        <f aca="false">IF(G28&gt;0.5,G28+G28*(F_MR/12)-MIN(F_MortPayM,G28+G28*(F_MR/12)),G28)</f>
        <v>0</v>
      </c>
      <c r="I28" s="1" t="n">
        <f aca="false">IF(H28&gt;0.5,H28+H28*(F_MR/12)-MIN(F_MortPayM,H28+H28*(F_MR/12)),H28)</f>
        <v>0</v>
      </c>
      <c r="J28" s="1" t="n">
        <f aca="false">IF(I28&gt;0.5,I28+I28*(F_MR/12)-MIN(F_MortPayM,I28+I28*(F_MR/12)),I28)</f>
        <v>0</v>
      </c>
      <c r="K28" s="1" t="n">
        <f aca="false">IF(J28&gt;0.5,J28+J28*(F_MR/12)-MIN(F_MortPayM,J28+J28*(F_MR/12)),J28)</f>
        <v>0</v>
      </c>
      <c r="L28" s="1" t="n">
        <f aca="false">IF(K28&gt;0.5,K28+K28*(F_MR/12)-MIN(F_MortPayM,K28+K28*(F_MR/12)),K28)</f>
        <v>0</v>
      </c>
      <c r="M28" s="1" t="n">
        <f aca="false">IF(L28&gt;0.5,L28+L28*(F_MR/12)-MIN(F_MortPayM,L28+L28*(F_MR/12)),L28)</f>
        <v>0</v>
      </c>
      <c r="N28" s="1" t="n">
        <f aca="false">IF(M28&gt;0.5,M28+M28*(F_MR/12)-MIN(F_MortPayM,M28+M28*(F_MR/12)),M28)</f>
        <v>0</v>
      </c>
      <c r="O28" s="1" t="n">
        <f aca="false">IF(N28&gt;0.5,N28+N28*(F_MR/12)-MIN(F_MortPayM,N28+N28*(F_MR/12)),N28)</f>
        <v>0</v>
      </c>
      <c r="P28" s="1" t="n">
        <f aca="false">IF(C28&gt;0.5,MIN(F_MortPayM,C28+C28*(F_MR/12)),0)</f>
        <v>0</v>
      </c>
      <c r="Q28" s="1" t="n">
        <f aca="false">IF(D28&gt;0.5,MIN(F_MortPayM,D28+D28*(F_MR/12)),0)</f>
        <v>0</v>
      </c>
      <c r="R28" s="1" t="n">
        <f aca="false">IF(E28&gt;0.5,MIN(F_MortPayM,E28+E28*(F_MR/12)),0)</f>
        <v>0</v>
      </c>
      <c r="S28" s="1" t="n">
        <f aca="false">IF(F28&gt;0.5,MIN(F_MortPayM,F28+F28*(F_MR/12)),0)</f>
        <v>0</v>
      </c>
      <c r="T28" s="1" t="n">
        <f aca="false">IF(G28&gt;0.5,MIN(F_MortPayM,G28+G28*(F_MR/12)),0)</f>
        <v>0</v>
      </c>
      <c r="U28" s="1" t="n">
        <f aca="false">IF(H28&gt;0.5,MIN(F_MortPayM,H28+H28*(F_MR/12)),0)</f>
        <v>0</v>
      </c>
      <c r="V28" s="1" t="n">
        <f aca="false">IF(I28&gt;0.5,MIN(F_MortPayM,I28+I28*(F_MR/12)),0)</f>
        <v>0</v>
      </c>
      <c r="W28" s="1" t="n">
        <f aca="false">IF(J28&gt;0.5,MIN(F_MortPayM,J28+J28*(F_MR/12)),0)</f>
        <v>0</v>
      </c>
      <c r="X28" s="1" t="n">
        <f aca="false">IF(K28&gt;0.5,MIN(F_MortPayM,K28+K28*(F_MR/12)),0)</f>
        <v>0</v>
      </c>
      <c r="Y28" s="1" t="n">
        <f aca="false">IF(L28&gt;0.5,MIN(F_MortPayM,L28+L28*(F_MR/12)),0)</f>
        <v>0</v>
      </c>
      <c r="Z28" s="1" t="n">
        <f aca="false">IF(M28&gt;0.5,MIN(F_MortPayM,M28+M28*(F_MR/12)),0)</f>
        <v>0</v>
      </c>
      <c r="AA28" s="1" t="n">
        <f aca="false">IF(N28&gt;0.5,MIN(F_MortPayM,N28+N28*(F_MR/12)),0)</f>
        <v>0</v>
      </c>
      <c r="AB28" s="1" t="n">
        <f aca="false">MAX(0,O28)</f>
        <v>0</v>
      </c>
      <c r="AC28" s="1" t="n">
        <f aca="false">SUM(P28:AA28)</f>
        <v>0</v>
      </c>
      <c r="AD28" s="1" t="n">
        <f aca="false">'Plan cashflow'!L28</f>
        <v>0</v>
      </c>
      <c r="AE28" s="1" t="n">
        <f aca="false">IF(AD28&gt;0.5,AD28+AD28*(D_iC)-MIN(F_CardPayM,AD28+AD28*(D_iC)),AD28)</f>
        <v>0</v>
      </c>
      <c r="AF28" s="1" t="n">
        <f aca="false">IF(AE28&gt;0.5,AE28+AE28*(D_iC)-MIN(F_CardPayM,AE28+AE28*(D_iC)),AE28)</f>
        <v>0</v>
      </c>
      <c r="AG28" s="1" t="n">
        <f aca="false">IF(AF28&gt;0.5,AF28+AF28*(D_iC)-MIN(F_CardPayM,AF28+AF28*(D_iC)),AF28)</f>
        <v>0</v>
      </c>
      <c r="AH28" s="1" t="n">
        <f aca="false">IF(AG28&gt;0.5,AG28+AG28*(D_iC)-MIN(F_CardPayM,AG28+AG28*(D_iC)),AG28)</f>
        <v>0</v>
      </c>
      <c r="AI28" s="1" t="n">
        <f aca="false">IF(AH28&gt;0.5,AH28+AH28*(D_iC)-MIN(F_CardPayM,AH28+AH28*(D_iC)),AH28)</f>
        <v>0</v>
      </c>
      <c r="AJ28" s="1" t="n">
        <f aca="false">IF(AI28&gt;0.5,AI28+AI28*(D_iC)-MIN(F_CardPayM,AI28+AI28*(D_iC)),AI28)</f>
        <v>0</v>
      </c>
      <c r="AK28" s="1" t="n">
        <f aca="false">IF(AJ28&gt;0.5,AJ28+AJ28*(D_iC)-MIN(F_CardPayM,AJ28+AJ28*(D_iC)),AJ28)</f>
        <v>0</v>
      </c>
      <c r="AL28" s="1" t="n">
        <f aca="false">IF(AK28&gt;0.5,AK28+AK28*(D_iC)-MIN(F_CardPayM,AK28+AK28*(D_iC)),AK28)</f>
        <v>0</v>
      </c>
      <c r="AM28" s="1" t="n">
        <f aca="false">IF(AL28&gt;0.5,AL28+AL28*(D_iC)-MIN(F_CardPayM,AL28+AL28*(D_iC)),AL28)</f>
        <v>0</v>
      </c>
      <c r="AN28" s="1" t="n">
        <f aca="false">IF(AM28&gt;0.5,AM28+AM28*(D_iC)-MIN(F_CardPayM,AM28+AM28*(D_iC)),AM28)</f>
        <v>0</v>
      </c>
      <c r="AO28" s="1" t="n">
        <f aca="false">IF(AN28&gt;0.5,AN28+AN28*(D_iC)-MIN(F_CardPayM,AN28+AN28*(D_iC)),AN28)</f>
        <v>0</v>
      </c>
      <c r="AP28" s="1" t="n">
        <f aca="false">IF(AO28&gt;0.5,AO28+AO28*(D_iC)-MIN(F_CardPayM,AO28+AO28*(D_iC)),AO28)</f>
        <v>0</v>
      </c>
      <c r="AQ28" s="1" t="n">
        <f aca="false">IF(AD28&gt;0.5,MIN(F_CardPayM,AD28+AD28*(D_iC)),0)</f>
        <v>0</v>
      </c>
      <c r="AR28" s="1" t="n">
        <f aca="false">IF(AE28&gt;0.5,MIN(F_CardPayM,AE28+AE28*(D_iC)),0)</f>
        <v>0</v>
      </c>
      <c r="AS28" s="1" t="n">
        <f aca="false">IF(AF28&gt;0.5,MIN(F_CardPayM,AF28+AF28*(D_iC)),0)</f>
        <v>0</v>
      </c>
      <c r="AT28" s="1" t="n">
        <f aca="false">IF(AG28&gt;0.5,MIN(F_CardPayM,AG28+AG28*(D_iC)),0)</f>
        <v>0</v>
      </c>
      <c r="AU28" s="1" t="n">
        <f aca="false">IF(AH28&gt;0.5,MIN(F_CardPayM,AH28+AH28*(D_iC)),0)</f>
        <v>0</v>
      </c>
      <c r="AV28" s="1" t="n">
        <f aca="false">IF(AI28&gt;0.5,MIN(F_CardPayM,AI28+AI28*(D_iC)),0)</f>
        <v>0</v>
      </c>
      <c r="AW28" s="1" t="n">
        <f aca="false">IF(AJ28&gt;0.5,MIN(F_CardPayM,AJ28+AJ28*(D_iC)),0)</f>
        <v>0</v>
      </c>
      <c r="AX28" s="1" t="n">
        <f aca="false">IF(AK28&gt;0.5,MIN(F_CardPayM,AK28+AK28*(D_iC)),0)</f>
        <v>0</v>
      </c>
      <c r="AY28" s="1" t="n">
        <f aca="false">IF(AL28&gt;0.5,MIN(F_CardPayM,AL28+AL28*(D_iC)),0)</f>
        <v>0</v>
      </c>
      <c r="AZ28" s="1" t="n">
        <f aca="false">IF(AM28&gt;0.5,MIN(F_CardPayM,AM28+AM28*(D_iC)),0)</f>
        <v>0</v>
      </c>
      <c r="BA28" s="1" t="n">
        <f aca="false">IF(AN28&gt;0.5,MIN(F_CardPayM,AN28+AN28*(D_iC)),0)</f>
        <v>0</v>
      </c>
      <c r="BB28" s="1" t="n">
        <f aca="false">IF(AO28&gt;0.5,MIN(F_CardPayM,AO28+AO28*(D_iC)),0)</f>
        <v>0</v>
      </c>
      <c r="BC28" s="1" t="n">
        <f aca="false">MAX(0,AP28)</f>
        <v>0</v>
      </c>
      <c r="BD28" s="1" t="n">
        <f aca="false">SUM(AQ28:BB28)</f>
        <v>0</v>
      </c>
      <c r="BE28" s="1" t="n">
        <f aca="false">'Plan cashflow'!O28</f>
        <v>0</v>
      </c>
      <c r="BF28" s="1" t="n">
        <f aca="false">IF(BE28&gt;0.5,BE28+BE28*(D_iL)-MIN(F_LoanPayM,BE28+BE28*(D_iL)),BE28)</f>
        <v>0</v>
      </c>
      <c r="BG28" s="1" t="n">
        <f aca="false">IF(BF28&gt;0.5,BF28+BF28*(D_iL)-MIN(F_LoanPayM,BF28+BF28*(D_iL)),BF28)</f>
        <v>0</v>
      </c>
      <c r="BH28" s="1" t="n">
        <f aca="false">IF(BG28&gt;0.5,BG28+BG28*(D_iL)-MIN(F_LoanPayM,BG28+BG28*(D_iL)),BG28)</f>
        <v>0</v>
      </c>
      <c r="BI28" s="1" t="n">
        <f aca="false">IF(BH28&gt;0.5,BH28+BH28*(D_iL)-MIN(F_LoanPayM,BH28+BH28*(D_iL)),BH28)</f>
        <v>0</v>
      </c>
      <c r="BJ28" s="1" t="n">
        <f aca="false">IF(BI28&gt;0.5,BI28+BI28*(D_iL)-MIN(F_LoanPayM,BI28+BI28*(D_iL)),BI28)</f>
        <v>0</v>
      </c>
      <c r="BK28" s="1" t="n">
        <f aca="false">IF(BJ28&gt;0.5,BJ28+BJ28*(D_iL)-MIN(F_LoanPayM,BJ28+BJ28*(D_iL)),BJ28)</f>
        <v>0</v>
      </c>
      <c r="BL28" s="1" t="n">
        <f aca="false">IF(BK28&gt;0.5,BK28+BK28*(D_iL)-MIN(F_LoanPayM,BK28+BK28*(D_iL)),BK28)</f>
        <v>0</v>
      </c>
      <c r="BM28" s="1" t="n">
        <f aca="false">IF(BL28&gt;0.5,BL28+BL28*(D_iL)-MIN(F_LoanPayM,BL28+BL28*(D_iL)),BL28)</f>
        <v>0</v>
      </c>
      <c r="BN28" s="1" t="n">
        <f aca="false">IF(BM28&gt;0.5,BM28+BM28*(D_iL)-MIN(F_LoanPayM,BM28+BM28*(D_iL)),BM28)</f>
        <v>0</v>
      </c>
      <c r="BO28" s="1" t="n">
        <f aca="false">IF(BN28&gt;0.5,BN28+BN28*(D_iL)-MIN(F_LoanPayM,BN28+BN28*(D_iL)),BN28)</f>
        <v>0</v>
      </c>
      <c r="BP28" s="1" t="n">
        <f aca="false">IF(BO28&gt;0.5,BO28+BO28*(D_iL)-MIN(F_LoanPayM,BO28+BO28*(D_iL)),BO28)</f>
        <v>0</v>
      </c>
      <c r="BQ28" s="1" t="n">
        <f aca="false">IF(BP28&gt;0.5,BP28+BP28*(D_iL)-MIN(F_LoanPayM,BP28+BP28*(D_iL)),BP28)</f>
        <v>0</v>
      </c>
      <c r="BR28" s="1" t="n">
        <f aca="false">IF(BE28&gt;0.5,MIN(F_LoanPayM,BE28+BE28*(D_iL)),0)</f>
        <v>0</v>
      </c>
      <c r="BS28" s="1" t="n">
        <f aca="false">IF(BF28&gt;0.5,MIN(F_LoanPayM,BF28+BF28*(D_iL)),0)</f>
        <v>0</v>
      </c>
      <c r="BT28" s="1" t="n">
        <f aca="false">IF(BG28&gt;0.5,MIN(F_LoanPayM,BG28+BG28*(D_iL)),0)</f>
        <v>0</v>
      </c>
      <c r="BU28" s="1" t="n">
        <f aca="false">IF(BH28&gt;0.5,MIN(F_LoanPayM,BH28+BH28*(D_iL)),0)</f>
        <v>0</v>
      </c>
      <c r="BV28" s="1" t="n">
        <f aca="false">IF(BI28&gt;0.5,MIN(F_LoanPayM,BI28+BI28*(D_iL)),0)</f>
        <v>0</v>
      </c>
      <c r="BW28" s="1" t="n">
        <f aca="false">IF(BJ28&gt;0.5,MIN(F_LoanPayM,BJ28+BJ28*(D_iL)),0)</f>
        <v>0</v>
      </c>
      <c r="BX28" s="1" t="n">
        <f aca="false">IF(BK28&gt;0.5,MIN(F_LoanPayM,BK28+BK28*(D_iL)),0)</f>
        <v>0</v>
      </c>
      <c r="BY28" s="1" t="n">
        <f aca="false">IF(BL28&gt;0.5,MIN(F_LoanPayM,BL28+BL28*(D_iL)),0)</f>
        <v>0</v>
      </c>
      <c r="BZ28" s="1" t="n">
        <f aca="false">IF(BM28&gt;0.5,MIN(F_LoanPayM,BM28+BM28*(D_iL)),0)</f>
        <v>0</v>
      </c>
      <c r="CA28" s="1" t="n">
        <f aca="false">IF(BN28&gt;0.5,MIN(F_LoanPayM,BN28+BN28*(D_iL)),0)</f>
        <v>0</v>
      </c>
      <c r="CB28" s="1" t="n">
        <f aca="false">IF(BO28&gt;0.5,MIN(F_LoanPayM,BO28+BO28*(D_iL)),0)</f>
        <v>0</v>
      </c>
      <c r="CC28" s="1" t="n">
        <f aca="false">IF(BP28&gt;0.5,MIN(F_LoanPayM,BP28+BP28*(D_iL)),0)</f>
        <v>0</v>
      </c>
      <c r="CD28" s="1" t="n">
        <f aca="false">MAX(0,BQ28)</f>
        <v>0</v>
      </c>
      <c r="CE28" s="1" t="n">
        <f aca="false">SUM(BR28:CC28)</f>
        <v>0</v>
      </c>
      <c r="CF28" s="1" t="n">
        <f aca="false">IF(CF27&gt;1,DE27,CF27)</f>
        <v>0</v>
      </c>
      <c r="CG28" s="1" t="n">
        <f aca="false">IF(CF28&gt;0.5,CF28+CF28*(F_MR/12)-MIN(F_MortPayM,CF28+CF28*(F_MR/12)),CF28)</f>
        <v>0</v>
      </c>
      <c r="CH28" s="1" t="n">
        <f aca="false">IF(CG28&gt;0.5,CG28+CG28*(F_MR/12)-MIN(F_MortPayM,CG28+CG28*(F_MR/12)),CG28)</f>
        <v>0</v>
      </c>
      <c r="CI28" s="1" t="n">
        <f aca="false">IF(CH28&gt;0.5,CH28+CH28*(F_MR/12)-MIN(F_MortPayM,CH28+CH28*(F_MR/12)),CH28)</f>
        <v>0</v>
      </c>
      <c r="CJ28" s="1" t="n">
        <f aca="false">IF(CI28&gt;0.5,CI28+CI28*(F_MR/12)-MIN(F_MortPayM,CI28+CI28*(F_MR/12)),CI28)</f>
        <v>0</v>
      </c>
      <c r="CK28" s="1" t="n">
        <f aca="false">IF(CJ28&gt;0.5,CJ28+CJ28*(F_MR/12)-MIN(F_MortPayM,CJ28+CJ28*(F_MR/12)),CJ28)</f>
        <v>0</v>
      </c>
      <c r="CL28" s="1" t="n">
        <f aca="false">IF(CK28&gt;0.5,CK28+CK28*(F_MR/12)-MIN(F_MortPayM,CK28+CK28*(F_MR/12)),CK28)</f>
        <v>0</v>
      </c>
      <c r="CM28" s="1" t="n">
        <f aca="false">IF(CL28&gt;0.5,CL28+CL28*(F_MR/12)-MIN(F_MortPayM,CL28+CL28*(F_MR/12)),CL28)</f>
        <v>0</v>
      </c>
      <c r="CN28" s="1" t="n">
        <f aca="false">IF(CM28&gt;0.5,CM28+CM28*(F_MR/12)-MIN(F_MortPayM,CM28+CM28*(F_MR/12)),CM28)</f>
        <v>0</v>
      </c>
      <c r="CO28" s="1" t="n">
        <f aca="false">IF(CN28&gt;0.5,CN28+CN28*(F_MR/12)-MIN(F_MortPayM,CN28+CN28*(F_MR/12)),CN28)</f>
        <v>0</v>
      </c>
      <c r="CP28" s="1" t="n">
        <f aca="false">IF(CO28&gt;0.5,CO28+CO28*(F_MR/12)-MIN(F_MortPayM,CO28+CO28*(F_MR/12)),CO28)</f>
        <v>0</v>
      </c>
      <c r="CQ28" s="1" t="n">
        <f aca="false">IF(CP28&gt;0.5,CP28+CP28*(F_MR/12)-MIN(F_MortPayM,CP28+CP28*(F_MR/12)),CP28)</f>
        <v>0</v>
      </c>
      <c r="CR28" s="1" t="n">
        <f aca="false">IF(CQ28&gt;0.5,CQ28+CQ28*(F_MR/12)-MIN(F_MortPayM,CQ28+CQ28*(F_MR/12)),CQ28)</f>
        <v>0</v>
      </c>
      <c r="CS28" s="1" t="n">
        <f aca="false">IF(CF28&gt;0.5,MIN(F_MortPayM,CF28+CF28*(F_MR/12)),0)</f>
        <v>0</v>
      </c>
      <c r="CT28" s="1" t="n">
        <f aca="false">IF(CG28&gt;0.5,MIN(F_MortPayM,CG28+CG28*(F_MR/12)),0)</f>
        <v>0</v>
      </c>
      <c r="CU28" s="1" t="n">
        <f aca="false">IF(CH28&gt;0.5,MIN(F_MortPayM,CH28+CH28*(F_MR/12)),0)</f>
        <v>0</v>
      </c>
      <c r="CV28" s="1" t="n">
        <f aca="false">IF(CI28&gt;0.5,MIN(F_MortPayM,CI28+CI28*(F_MR/12)),0)</f>
        <v>0</v>
      </c>
      <c r="CW28" s="1" t="n">
        <f aca="false">IF(CJ28&gt;0.5,MIN(F_MortPayM,CJ28+CJ28*(F_MR/12)),0)</f>
        <v>0</v>
      </c>
      <c r="CX28" s="1" t="n">
        <f aca="false">IF(CK28&gt;0.5,MIN(F_MortPayM,CK28+CK28*(F_MR/12)),0)</f>
        <v>0</v>
      </c>
      <c r="CY28" s="1" t="n">
        <f aca="false">IF(CL28&gt;0.5,MIN(F_MortPayM,CL28+CL28*(F_MR/12)),0)</f>
        <v>0</v>
      </c>
      <c r="CZ28" s="1" t="n">
        <f aca="false">IF(CM28&gt;0.5,MIN(F_MortPayM,CM28+CM28*(F_MR/12)),0)</f>
        <v>0</v>
      </c>
      <c r="DA28" s="1" t="n">
        <f aca="false">IF(CN28&gt;0.5,MIN(F_MortPayM,CN28+CN28*(F_MR/12)),0)</f>
        <v>0</v>
      </c>
      <c r="DB28" s="1" t="n">
        <f aca="false">IF(CO28&gt;0.5,MIN(F_MortPayM,CO28+CO28*(F_MR/12)),0)</f>
        <v>0</v>
      </c>
      <c r="DC28" s="1" t="n">
        <f aca="false">IF(CP28&gt;0.5,MIN(F_MortPayM,CP28+CP28*(F_MR/12)),0)</f>
        <v>0</v>
      </c>
      <c r="DD28" s="1" t="n">
        <f aca="false">IF(CQ28&gt;0.5,MIN(F_MortPayM,CQ28+CQ28*(F_MR/12)),0)</f>
        <v>0</v>
      </c>
      <c r="DE28" s="1" t="n">
        <f aca="false">MAX(0,CR28)</f>
        <v>0</v>
      </c>
      <c r="DF28" s="1" t="n">
        <f aca="false">SUM(CS28:DD28)</f>
        <v>0</v>
      </c>
      <c r="DG28" s="1" t="n">
        <f aca="false">MAX(0,CF28)</f>
        <v>0</v>
      </c>
    </row>
    <row r="29" customFormat="false" ht="15" hidden="false" customHeight="false" outlineLevel="0" collapsed="false">
      <c r="B29" s="1" t="n">
        <v>21</v>
      </c>
      <c r="C29" s="1" t="n">
        <f aca="false">'Plan cashflow'!I29</f>
        <v>0</v>
      </c>
      <c r="D29" s="1" t="n">
        <f aca="false">IF(C29&gt;0.5,C29+C29*(F_MR/12)-MIN(F_MortPayM,C29+C29*(F_MR/12)),C29)</f>
        <v>0</v>
      </c>
      <c r="E29" s="1" t="n">
        <f aca="false">IF(D29&gt;0.5,D29+D29*(F_MR/12)-MIN(F_MortPayM,D29+D29*(F_MR/12)),D29)</f>
        <v>0</v>
      </c>
      <c r="F29" s="1" t="n">
        <f aca="false">IF(E29&gt;0.5,E29+E29*(F_MR/12)-MIN(F_MortPayM,E29+E29*(F_MR/12)),E29)</f>
        <v>0</v>
      </c>
      <c r="G29" s="1" t="n">
        <f aca="false">IF(F29&gt;0.5,F29+F29*(F_MR/12)-MIN(F_MortPayM,F29+F29*(F_MR/12)),F29)</f>
        <v>0</v>
      </c>
      <c r="H29" s="1" t="n">
        <f aca="false">IF(G29&gt;0.5,G29+G29*(F_MR/12)-MIN(F_MortPayM,G29+G29*(F_MR/12)),G29)</f>
        <v>0</v>
      </c>
      <c r="I29" s="1" t="n">
        <f aca="false">IF(H29&gt;0.5,H29+H29*(F_MR/12)-MIN(F_MortPayM,H29+H29*(F_MR/12)),H29)</f>
        <v>0</v>
      </c>
      <c r="J29" s="1" t="n">
        <f aca="false">IF(I29&gt;0.5,I29+I29*(F_MR/12)-MIN(F_MortPayM,I29+I29*(F_MR/12)),I29)</f>
        <v>0</v>
      </c>
      <c r="K29" s="1" t="n">
        <f aca="false">IF(J29&gt;0.5,J29+J29*(F_MR/12)-MIN(F_MortPayM,J29+J29*(F_MR/12)),J29)</f>
        <v>0</v>
      </c>
      <c r="L29" s="1" t="n">
        <f aca="false">IF(K29&gt;0.5,K29+K29*(F_MR/12)-MIN(F_MortPayM,K29+K29*(F_MR/12)),K29)</f>
        <v>0</v>
      </c>
      <c r="M29" s="1" t="n">
        <f aca="false">IF(L29&gt;0.5,L29+L29*(F_MR/12)-MIN(F_MortPayM,L29+L29*(F_MR/12)),L29)</f>
        <v>0</v>
      </c>
      <c r="N29" s="1" t="n">
        <f aca="false">IF(M29&gt;0.5,M29+M29*(F_MR/12)-MIN(F_MortPayM,M29+M29*(F_MR/12)),M29)</f>
        <v>0</v>
      </c>
      <c r="O29" s="1" t="n">
        <f aca="false">IF(N29&gt;0.5,N29+N29*(F_MR/12)-MIN(F_MortPayM,N29+N29*(F_MR/12)),N29)</f>
        <v>0</v>
      </c>
      <c r="P29" s="1" t="n">
        <f aca="false">IF(C29&gt;0.5,MIN(F_MortPayM,C29+C29*(F_MR/12)),0)</f>
        <v>0</v>
      </c>
      <c r="Q29" s="1" t="n">
        <f aca="false">IF(D29&gt;0.5,MIN(F_MortPayM,D29+D29*(F_MR/12)),0)</f>
        <v>0</v>
      </c>
      <c r="R29" s="1" t="n">
        <f aca="false">IF(E29&gt;0.5,MIN(F_MortPayM,E29+E29*(F_MR/12)),0)</f>
        <v>0</v>
      </c>
      <c r="S29" s="1" t="n">
        <f aca="false">IF(F29&gt;0.5,MIN(F_MortPayM,F29+F29*(F_MR/12)),0)</f>
        <v>0</v>
      </c>
      <c r="T29" s="1" t="n">
        <f aca="false">IF(G29&gt;0.5,MIN(F_MortPayM,G29+G29*(F_MR/12)),0)</f>
        <v>0</v>
      </c>
      <c r="U29" s="1" t="n">
        <f aca="false">IF(H29&gt;0.5,MIN(F_MortPayM,H29+H29*(F_MR/12)),0)</f>
        <v>0</v>
      </c>
      <c r="V29" s="1" t="n">
        <f aca="false">IF(I29&gt;0.5,MIN(F_MortPayM,I29+I29*(F_MR/12)),0)</f>
        <v>0</v>
      </c>
      <c r="W29" s="1" t="n">
        <f aca="false">IF(J29&gt;0.5,MIN(F_MortPayM,J29+J29*(F_MR/12)),0)</f>
        <v>0</v>
      </c>
      <c r="X29" s="1" t="n">
        <f aca="false">IF(K29&gt;0.5,MIN(F_MortPayM,K29+K29*(F_MR/12)),0)</f>
        <v>0</v>
      </c>
      <c r="Y29" s="1" t="n">
        <f aca="false">IF(L29&gt;0.5,MIN(F_MortPayM,L29+L29*(F_MR/12)),0)</f>
        <v>0</v>
      </c>
      <c r="Z29" s="1" t="n">
        <f aca="false">IF(M29&gt;0.5,MIN(F_MortPayM,M29+M29*(F_MR/12)),0)</f>
        <v>0</v>
      </c>
      <c r="AA29" s="1" t="n">
        <f aca="false">IF(N29&gt;0.5,MIN(F_MortPayM,N29+N29*(F_MR/12)),0)</f>
        <v>0</v>
      </c>
      <c r="AB29" s="1" t="n">
        <f aca="false">MAX(0,O29)</f>
        <v>0</v>
      </c>
      <c r="AC29" s="1" t="n">
        <f aca="false">SUM(P29:AA29)</f>
        <v>0</v>
      </c>
      <c r="AD29" s="1" t="n">
        <f aca="false">'Plan cashflow'!L29</f>
        <v>0</v>
      </c>
      <c r="AE29" s="1" t="n">
        <f aca="false">IF(AD29&gt;0.5,AD29+AD29*(D_iC)-MIN(F_CardPayM,AD29+AD29*(D_iC)),AD29)</f>
        <v>0</v>
      </c>
      <c r="AF29" s="1" t="n">
        <f aca="false">IF(AE29&gt;0.5,AE29+AE29*(D_iC)-MIN(F_CardPayM,AE29+AE29*(D_iC)),AE29)</f>
        <v>0</v>
      </c>
      <c r="AG29" s="1" t="n">
        <f aca="false">IF(AF29&gt;0.5,AF29+AF29*(D_iC)-MIN(F_CardPayM,AF29+AF29*(D_iC)),AF29)</f>
        <v>0</v>
      </c>
      <c r="AH29" s="1" t="n">
        <f aca="false">IF(AG29&gt;0.5,AG29+AG29*(D_iC)-MIN(F_CardPayM,AG29+AG29*(D_iC)),AG29)</f>
        <v>0</v>
      </c>
      <c r="AI29" s="1" t="n">
        <f aca="false">IF(AH29&gt;0.5,AH29+AH29*(D_iC)-MIN(F_CardPayM,AH29+AH29*(D_iC)),AH29)</f>
        <v>0</v>
      </c>
      <c r="AJ29" s="1" t="n">
        <f aca="false">IF(AI29&gt;0.5,AI29+AI29*(D_iC)-MIN(F_CardPayM,AI29+AI29*(D_iC)),AI29)</f>
        <v>0</v>
      </c>
      <c r="AK29" s="1" t="n">
        <f aca="false">IF(AJ29&gt;0.5,AJ29+AJ29*(D_iC)-MIN(F_CardPayM,AJ29+AJ29*(D_iC)),AJ29)</f>
        <v>0</v>
      </c>
      <c r="AL29" s="1" t="n">
        <f aca="false">IF(AK29&gt;0.5,AK29+AK29*(D_iC)-MIN(F_CardPayM,AK29+AK29*(D_iC)),AK29)</f>
        <v>0</v>
      </c>
      <c r="AM29" s="1" t="n">
        <f aca="false">IF(AL29&gt;0.5,AL29+AL29*(D_iC)-MIN(F_CardPayM,AL29+AL29*(D_iC)),AL29)</f>
        <v>0</v>
      </c>
      <c r="AN29" s="1" t="n">
        <f aca="false">IF(AM29&gt;0.5,AM29+AM29*(D_iC)-MIN(F_CardPayM,AM29+AM29*(D_iC)),AM29)</f>
        <v>0</v>
      </c>
      <c r="AO29" s="1" t="n">
        <f aca="false">IF(AN29&gt;0.5,AN29+AN29*(D_iC)-MIN(F_CardPayM,AN29+AN29*(D_iC)),AN29)</f>
        <v>0</v>
      </c>
      <c r="AP29" s="1" t="n">
        <f aca="false">IF(AO29&gt;0.5,AO29+AO29*(D_iC)-MIN(F_CardPayM,AO29+AO29*(D_iC)),AO29)</f>
        <v>0</v>
      </c>
      <c r="AQ29" s="1" t="n">
        <f aca="false">IF(AD29&gt;0.5,MIN(F_CardPayM,AD29+AD29*(D_iC)),0)</f>
        <v>0</v>
      </c>
      <c r="AR29" s="1" t="n">
        <f aca="false">IF(AE29&gt;0.5,MIN(F_CardPayM,AE29+AE29*(D_iC)),0)</f>
        <v>0</v>
      </c>
      <c r="AS29" s="1" t="n">
        <f aca="false">IF(AF29&gt;0.5,MIN(F_CardPayM,AF29+AF29*(D_iC)),0)</f>
        <v>0</v>
      </c>
      <c r="AT29" s="1" t="n">
        <f aca="false">IF(AG29&gt;0.5,MIN(F_CardPayM,AG29+AG29*(D_iC)),0)</f>
        <v>0</v>
      </c>
      <c r="AU29" s="1" t="n">
        <f aca="false">IF(AH29&gt;0.5,MIN(F_CardPayM,AH29+AH29*(D_iC)),0)</f>
        <v>0</v>
      </c>
      <c r="AV29" s="1" t="n">
        <f aca="false">IF(AI29&gt;0.5,MIN(F_CardPayM,AI29+AI29*(D_iC)),0)</f>
        <v>0</v>
      </c>
      <c r="AW29" s="1" t="n">
        <f aca="false">IF(AJ29&gt;0.5,MIN(F_CardPayM,AJ29+AJ29*(D_iC)),0)</f>
        <v>0</v>
      </c>
      <c r="AX29" s="1" t="n">
        <f aca="false">IF(AK29&gt;0.5,MIN(F_CardPayM,AK29+AK29*(D_iC)),0)</f>
        <v>0</v>
      </c>
      <c r="AY29" s="1" t="n">
        <f aca="false">IF(AL29&gt;0.5,MIN(F_CardPayM,AL29+AL29*(D_iC)),0)</f>
        <v>0</v>
      </c>
      <c r="AZ29" s="1" t="n">
        <f aca="false">IF(AM29&gt;0.5,MIN(F_CardPayM,AM29+AM29*(D_iC)),0)</f>
        <v>0</v>
      </c>
      <c r="BA29" s="1" t="n">
        <f aca="false">IF(AN29&gt;0.5,MIN(F_CardPayM,AN29+AN29*(D_iC)),0)</f>
        <v>0</v>
      </c>
      <c r="BB29" s="1" t="n">
        <f aca="false">IF(AO29&gt;0.5,MIN(F_CardPayM,AO29+AO29*(D_iC)),0)</f>
        <v>0</v>
      </c>
      <c r="BC29" s="1" t="n">
        <f aca="false">MAX(0,AP29)</f>
        <v>0</v>
      </c>
      <c r="BD29" s="1" t="n">
        <f aca="false">SUM(AQ29:BB29)</f>
        <v>0</v>
      </c>
      <c r="BE29" s="1" t="n">
        <f aca="false">'Plan cashflow'!O29</f>
        <v>0</v>
      </c>
      <c r="BF29" s="1" t="n">
        <f aca="false">IF(BE29&gt;0.5,BE29+BE29*(D_iL)-MIN(F_LoanPayM,BE29+BE29*(D_iL)),BE29)</f>
        <v>0</v>
      </c>
      <c r="BG29" s="1" t="n">
        <f aca="false">IF(BF29&gt;0.5,BF29+BF29*(D_iL)-MIN(F_LoanPayM,BF29+BF29*(D_iL)),BF29)</f>
        <v>0</v>
      </c>
      <c r="BH29" s="1" t="n">
        <f aca="false">IF(BG29&gt;0.5,BG29+BG29*(D_iL)-MIN(F_LoanPayM,BG29+BG29*(D_iL)),BG29)</f>
        <v>0</v>
      </c>
      <c r="BI29" s="1" t="n">
        <f aca="false">IF(BH29&gt;0.5,BH29+BH29*(D_iL)-MIN(F_LoanPayM,BH29+BH29*(D_iL)),BH29)</f>
        <v>0</v>
      </c>
      <c r="BJ29" s="1" t="n">
        <f aca="false">IF(BI29&gt;0.5,BI29+BI29*(D_iL)-MIN(F_LoanPayM,BI29+BI29*(D_iL)),BI29)</f>
        <v>0</v>
      </c>
      <c r="BK29" s="1" t="n">
        <f aca="false">IF(BJ29&gt;0.5,BJ29+BJ29*(D_iL)-MIN(F_LoanPayM,BJ29+BJ29*(D_iL)),BJ29)</f>
        <v>0</v>
      </c>
      <c r="BL29" s="1" t="n">
        <f aca="false">IF(BK29&gt;0.5,BK29+BK29*(D_iL)-MIN(F_LoanPayM,BK29+BK29*(D_iL)),BK29)</f>
        <v>0</v>
      </c>
      <c r="BM29" s="1" t="n">
        <f aca="false">IF(BL29&gt;0.5,BL29+BL29*(D_iL)-MIN(F_LoanPayM,BL29+BL29*(D_iL)),BL29)</f>
        <v>0</v>
      </c>
      <c r="BN29" s="1" t="n">
        <f aca="false">IF(BM29&gt;0.5,BM29+BM29*(D_iL)-MIN(F_LoanPayM,BM29+BM29*(D_iL)),BM29)</f>
        <v>0</v>
      </c>
      <c r="BO29" s="1" t="n">
        <f aca="false">IF(BN29&gt;0.5,BN29+BN29*(D_iL)-MIN(F_LoanPayM,BN29+BN29*(D_iL)),BN29)</f>
        <v>0</v>
      </c>
      <c r="BP29" s="1" t="n">
        <f aca="false">IF(BO29&gt;0.5,BO29+BO29*(D_iL)-MIN(F_LoanPayM,BO29+BO29*(D_iL)),BO29)</f>
        <v>0</v>
      </c>
      <c r="BQ29" s="1" t="n">
        <f aca="false">IF(BP29&gt;0.5,BP29+BP29*(D_iL)-MIN(F_LoanPayM,BP29+BP29*(D_iL)),BP29)</f>
        <v>0</v>
      </c>
      <c r="BR29" s="1" t="n">
        <f aca="false">IF(BE29&gt;0.5,MIN(F_LoanPayM,BE29+BE29*(D_iL)),0)</f>
        <v>0</v>
      </c>
      <c r="BS29" s="1" t="n">
        <f aca="false">IF(BF29&gt;0.5,MIN(F_LoanPayM,BF29+BF29*(D_iL)),0)</f>
        <v>0</v>
      </c>
      <c r="BT29" s="1" t="n">
        <f aca="false">IF(BG29&gt;0.5,MIN(F_LoanPayM,BG29+BG29*(D_iL)),0)</f>
        <v>0</v>
      </c>
      <c r="BU29" s="1" t="n">
        <f aca="false">IF(BH29&gt;0.5,MIN(F_LoanPayM,BH29+BH29*(D_iL)),0)</f>
        <v>0</v>
      </c>
      <c r="BV29" s="1" t="n">
        <f aca="false">IF(BI29&gt;0.5,MIN(F_LoanPayM,BI29+BI29*(D_iL)),0)</f>
        <v>0</v>
      </c>
      <c r="BW29" s="1" t="n">
        <f aca="false">IF(BJ29&gt;0.5,MIN(F_LoanPayM,BJ29+BJ29*(D_iL)),0)</f>
        <v>0</v>
      </c>
      <c r="BX29" s="1" t="n">
        <f aca="false">IF(BK29&gt;0.5,MIN(F_LoanPayM,BK29+BK29*(D_iL)),0)</f>
        <v>0</v>
      </c>
      <c r="BY29" s="1" t="n">
        <f aca="false">IF(BL29&gt;0.5,MIN(F_LoanPayM,BL29+BL29*(D_iL)),0)</f>
        <v>0</v>
      </c>
      <c r="BZ29" s="1" t="n">
        <f aca="false">IF(BM29&gt;0.5,MIN(F_LoanPayM,BM29+BM29*(D_iL)),0)</f>
        <v>0</v>
      </c>
      <c r="CA29" s="1" t="n">
        <f aca="false">IF(BN29&gt;0.5,MIN(F_LoanPayM,BN29+BN29*(D_iL)),0)</f>
        <v>0</v>
      </c>
      <c r="CB29" s="1" t="n">
        <f aca="false">IF(BO29&gt;0.5,MIN(F_LoanPayM,BO29+BO29*(D_iL)),0)</f>
        <v>0</v>
      </c>
      <c r="CC29" s="1" t="n">
        <f aca="false">IF(BP29&gt;0.5,MIN(F_LoanPayM,BP29+BP29*(D_iL)),0)</f>
        <v>0</v>
      </c>
      <c r="CD29" s="1" t="n">
        <f aca="false">MAX(0,BQ29)</f>
        <v>0</v>
      </c>
      <c r="CE29" s="1" t="n">
        <f aca="false">SUM(BR29:CC29)</f>
        <v>0</v>
      </c>
      <c r="CF29" s="1" t="n">
        <f aca="false">IF(CF28&gt;1,DE28,CF28)</f>
        <v>0</v>
      </c>
      <c r="CG29" s="1" t="n">
        <f aca="false">IF(CF29&gt;0.5,CF29+CF29*(F_MR/12)-MIN(F_MortPayM,CF29+CF29*(F_MR/12)),CF29)</f>
        <v>0</v>
      </c>
      <c r="CH29" s="1" t="n">
        <f aca="false">IF(CG29&gt;0.5,CG29+CG29*(F_MR/12)-MIN(F_MortPayM,CG29+CG29*(F_MR/12)),CG29)</f>
        <v>0</v>
      </c>
      <c r="CI29" s="1" t="n">
        <f aca="false">IF(CH29&gt;0.5,CH29+CH29*(F_MR/12)-MIN(F_MortPayM,CH29+CH29*(F_MR/12)),CH29)</f>
        <v>0</v>
      </c>
      <c r="CJ29" s="1" t="n">
        <f aca="false">IF(CI29&gt;0.5,CI29+CI29*(F_MR/12)-MIN(F_MortPayM,CI29+CI29*(F_MR/12)),CI29)</f>
        <v>0</v>
      </c>
      <c r="CK29" s="1" t="n">
        <f aca="false">IF(CJ29&gt;0.5,CJ29+CJ29*(F_MR/12)-MIN(F_MortPayM,CJ29+CJ29*(F_MR/12)),CJ29)</f>
        <v>0</v>
      </c>
      <c r="CL29" s="1" t="n">
        <f aca="false">IF(CK29&gt;0.5,CK29+CK29*(F_MR/12)-MIN(F_MortPayM,CK29+CK29*(F_MR/12)),CK29)</f>
        <v>0</v>
      </c>
      <c r="CM29" s="1" t="n">
        <f aca="false">IF(CL29&gt;0.5,CL29+CL29*(F_MR/12)-MIN(F_MortPayM,CL29+CL29*(F_MR/12)),CL29)</f>
        <v>0</v>
      </c>
      <c r="CN29" s="1" t="n">
        <f aca="false">IF(CM29&gt;0.5,CM29+CM29*(F_MR/12)-MIN(F_MortPayM,CM29+CM29*(F_MR/12)),CM29)</f>
        <v>0</v>
      </c>
      <c r="CO29" s="1" t="n">
        <f aca="false">IF(CN29&gt;0.5,CN29+CN29*(F_MR/12)-MIN(F_MortPayM,CN29+CN29*(F_MR/12)),CN29)</f>
        <v>0</v>
      </c>
      <c r="CP29" s="1" t="n">
        <f aca="false">IF(CO29&gt;0.5,CO29+CO29*(F_MR/12)-MIN(F_MortPayM,CO29+CO29*(F_MR/12)),CO29)</f>
        <v>0</v>
      </c>
      <c r="CQ29" s="1" t="n">
        <f aca="false">IF(CP29&gt;0.5,CP29+CP29*(F_MR/12)-MIN(F_MortPayM,CP29+CP29*(F_MR/12)),CP29)</f>
        <v>0</v>
      </c>
      <c r="CR29" s="1" t="n">
        <f aca="false">IF(CQ29&gt;0.5,CQ29+CQ29*(F_MR/12)-MIN(F_MortPayM,CQ29+CQ29*(F_MR/12)),CQ29)</f>
        <v>0</v>
      </c>
      <c r="CS29" s="1" t="n">
        <f aca="false">IF(CF29&gt;0.5,MIN(F_MortPayM,CF29+CF29*(F_MR/12)),0)</f>
        <v>0</v>
      </c>
      <c r="CT29" s="1" t="n">
        <f aca="false">IF(CG29&gt;0.5,MIN(F_MortPayM,CG29+CG29*(F_MR/12)),0)</f>
        <v>0</v>
      </c>
      <c r="CU29" s="1" t="n">
        <f aca="false">IF(CH29&gt;0.5,MIN(F_MortPayM,CH29+CH29*(F_MR/12)),0)</f>
        <v>0</v>
      </c>
      <c r="CV29" s="1" t="n">
        <f aca="false">IF(CI29&gt;0.5,MIN(F_MortPayM,CI29+CI29*(F_MR/12)),0)</f>
        <v>0</v>
      </c>
      <c r="CW29" s="1" t="n">
        <f aca="false">IF(CJ29&gt;0.5,MIN(F_MortPayM,CJ29+CJ29*(F_MR/12)),0)</f>
        <v>0</v>
      </c>
      <c r="CX29" s="1" t="n">
        <f aca="false">IF(CK29&gt;0.5,MIN(F_MortPayM,CK29+CK29*(F_MR/12)),0)</f>
        <v>0</v>
      </c>
      <c r="CY29" s="1" t="n">
        <f aca="false">IF(CL29&gt;0.5,MIN(F_MortPayM,CL29+CL29*(F_MR/12)),0)</f>
        <v>0</v>
      </c>
      <c r="CZ29" s="1" t="n">
        <f aca="false">IF(CM29&gt;0.5,MIN(F_MortPayM,CM29+CM29*(F_MR/12)),0)</f>
        <v>0</v>
      </c>
      <c r="DA29" s="1" t="n">
        <f aca="false">IF(CN29&gt;0.5,MIN(F_MortPayM,CN29+CN29*(F_MR/12)),0)</f>
        <v>0</v>
      </c>
      <c r="DB29" s="1" t="n">
        <f aca="false">IF(CO29&gt;0.5,MIN(F_MortPayM,CO29+CO29*(F_MR/12)),0)</f>
        <v>0</v>
      </c>
      <c r="DC29" s="1" t="n">
        <f aca="false">IF(CP29&gt;0.5,MIN(F_MortPayM,CP29+CP29*(F_MR/12)),0)</f>
        <v>0</v>
      </c>
      <c r="DD29" s="1" t="n">
        <f aca="false">IF(CQ29&gt;0.5,MIN(F_MortPayM,CQ29+CQ29*(F_MR/12)),0)</f>
        <v>0</v>
      </c>
      <c r="DE29" s="1" t="n">
        <f aca="false">MAX(0,CR29)</f>
        <v>0</v>
      </c>
      <c r="DF29" s="1" t="n">
        <f aca="false">SUM(CS29:DD29)</f>
        <v>0</v>
      </c>
      <c r="DG29" s="1" t="n">
        <f aca="false">MAX(0,CF29)</f>
        <v>0</v>
      </c>
    </row>
    <row r="30" customFormat="false" ht="15" hidden="false" customHeight="false" outlineLevel="0" collapsed="false">
      <c r="B30" s="1" t="n">
        <v>22</v>
      </c>
      <c r="C30" s="1" t="n">
        <f aca="false">'Plan cashflow'!I30</f>
        <v>0</v>
      </c>
      <c r="D30" s="1" t="n">
        <f aca="false">IF(C30&gt;0.5,C30+C30*(F_MR/12)-MIN(F_MortPayM,C30+C30*(F_MR/12)),C30)</f>
        <v>0</v>
      </c>
      <c r="E30" s="1" t="n">
        <f aca="false">IF(D30&gt;0.5,D30+D30*(F_MR/12)-MIN(F_MortPayM,D30+D30*(F_MR/12)),D30)</f>
        <v>0</v>
      </c>
      <c r="F30" s="1" t="n">
        <f aca="false">IF(E30&gt;0.5,E30+E30*(F_MR/12)-MIN(F_MortPayM,E30+E30*(F_MR/12)),E30)</f>
        <v>0</v>
      </c>
      <c r="G30" s="1" t="n">
        <f aca="false">IF(F30&gt;0.5,F30+F30*(F_MR/12)-MIN(F_MortPayM,F30+F30*(F_MR/12)),F30)</f>
        <v>0</v>
      </c>
      <c r="H30" s="1" t="n">
        <f aca="false">IF(G30&gt;0.5,G30+G30*(F_MR/12)-MIN(F_MortPayM,G30+G30*(F_MR/12)),G30)</f>
        <v>0</v>
      </c>
      <c r="I30" s="1" t="n">
        <f aca="false">IF(H30&gt;0.5,H30+H30*(F_MR/12)-MIN(F_MortPayM,H30+H30*(F_MR/12)),H30)</f>
        <v>0</v>
      </c>
      <c r="J30" s="1" t="n">
        <f aca="false">IF(I30&gt;0.5,I30+I30*(F_MR/12)-MIN(F_MortPayM,I30+I30*(F_MR/12)),I30)</f>
        <v>0</v>
      </c>
      <c r="K30" s="1" t="n">
        <f aca="false">IF(J30&gt;0.5,J30+J30*(F_MR/12)-MIN(F_MortPayM,J30+J30*(F_MR/12)),J30)</f>
        <v>0</v>
      </c>
      <c r="L30" s="1" t="n">
        <f aca="false">IF(K30&gt;0.5,K30+K30*(F_MR/12)-MIN(F_MortPayM,K30+K30*(F_MR/12)),K30)</f>
        <v>0</v>
      </c>
      <c r="M30" s="1" t="n">
        <f aca="false">IF(L30&gt;0.5,L30+L30*(F_MR/12)-MIN(F_MortPayM,L30+L30*(F_MR/12)),L30)</f>
        <v>0</v>
      </c>
      <c r="N30" s="1" t="n">
        <f aca="false">IF(M30&gt;0.5,M30+M30*(F_MR/12)-MIN(F_MortPayM,M30+M30*(F_MR/12)),M30)</f>
        <v>0</v>
      </c>
      <c r="O30" s="1" t="n">
        <f aca="false">IF(N30&gt;0.5,N30+N30*(F_MR/12)-MIN(F_MortPayM,N30+N30*(F_MR/12)),N30)</f>
        <v>0</v>
      </c>
      <c r="P30" s="1" t="n">
        <f aca="false">IF(C30&gt;0.5,MIN(F_MortPayM,C30+C30*(F_MR/12)),0)</f>
        <v>0</v>
      </c>
      <c r="Q30" s="1" t="n">
        <f aca="false">IF(D30&gt;0.5,MIN(F_MortPayM,D30+D30*(F_MR/12)),0)</f>
        <v>0</v>
      </c>
      <c r="R30" s="1" t="n">
        <f aca="false">IF(E30&gt;0.5,MIN(F_MortPayM,E30+E30*(F_MR/12)),0)</f>
        <v>0</v>
      </c>
      <c r="S30" s="1" t="n">
        <f aca="false">IF(F30&gt;0.5,MIN(F_MortPayM,F30+F30*(F_MR/12)),0)</f>
        <v>0</v>
      </c>
      <c r="T30" s="1" t="n">
        <f aca="false">IF(G30&gt;0.5,MIN(F_MortPayM,G30+G30*(F_MR/12)),0)</f>
        <v>0</v>
      </c>
      <c r="U30" s="1" t="n">
        <f aca="false">IF(H30&gt;0.5,MIN(F_MortPayM,H30+H30*(F_MR/12)),0)</f>
        <v>0</v>
      </c>
      <c r="V30" s="1" t="n">
        <f aca="false">IF(I30&gt;0.5,MIN(F_MortPayM,I30+I30*(F_MR/12)),0)</f>
        <v>0</v>
      </c>
      <c r="W30" s="1" t="n">
        <f aca="false">IF(J30&gt;0.5,MIN(F_MortPayM,J30+J30*(F_MR/12)),0)</f>
        <v>0</v>
      </c>
      <c r="X30" s="1" t="n">
        <f aca="false">IF(K30&gt;0.5,MIN(F_MortPayM,K30+K30*(F_MR/12)),0)</f>
        <v>0</v>
      </c>
      <c r="Y30" s="1" t="n">
        <f aca="false">IF(L30&gt;0.5,MIN(F_MortPayM,L30+L30*(F_MR/12)),0)</f>
        <v>0</v>
      </c>
      <c r="Z30" s="1" t="n">
        <f aca="false">IF(M30&gt;0.5,MIN(F_MortPayM,M30+M30*(F_MR/12)),0)</f>
        <v>0</v>
      </c>
      <c r="AA30" s="1" t="n">
        <f aca="false">IF(N30&gt;0.5,MIN(F_MortPayM,N30+N30*(F_MR/12)),0)</f>
        <v>0</v>
      </c>
      <c r="AB30" s="1" t="n">
        <f aca="false">MAX(0,O30)</f>
        <v>0</v>
      </c>
      <c r="AC30" s="1" t="n">
        <f aca="false">SUM(P30:AA30)</f>
        <v>0</v>
      </c>
      <c r="AD30" s="1" t="n">
        <f aca="false">'Plan cashflow'!L30</f>
        <v>0</v>
      </c>
      <c r="AE30" s="1" t="n">
        <f aca="false">IF(AD30&gt;0.5,AD30+AD30*(D_iC)-MIN(F_CardPayM,AD30+AD30*(D_iC)),AD30)</f>
        <v>0</v>
      </c>
      <c r="AF30" s="1" t="n">
        <f aca="false">IF(AE30&gt;0.5,AE30+AE30*(D_iC)-MIN(F_CardPayM,AE30+AE30*(D_iC)),AE30)</f>
        <v>0</v>
      </c>
      <c r="AG30" s="1" t="n">
        <f aca="false">IF(AF30&gt;0.5,AF30+AF30*(D_iC)-MIN(F_CardPayM,AF30+AF30*(D_iC)),AF30)</f>
        <v>0</v>
      </c>
      <c r="AH30" s="1" t="n">
        <f aca="false">IF(AG30&gt;0.5,AG30+AG30*(D_iC)-MIN(F_CardPayM,AG30+AG30*(D_iC)),AG30)</f>
        <v>0</v>
      </c>
      <c r="AI30" s="1" t="n">
        <f aca="false">IF(AH30&gt;0.5,AH30+AH30*(D_iC)-MIN(F_CardPayM,AH30+AH30*(D_iC)),AH30)</f>
        <v>0</v>
      </c>
      <c r="AJ30" s="1" t="n">
        <f aca="false">IF(AI30&gt;0.5,AI30+AI30*(D_iC)-MIN(F_CardPayM,AI30+AI30*(D_iC)),AI30)</f>
        <v>0</v>
      </c>
      <c r="AK30" s="1" t="n">
        <f aca="false">IF(AJ30&gt;0.5,AJ30+AJ30*(D_iC)-MIN(F_CardPayM,AJ30+AJ30*(D_iC)),AJ30)</f>
        <v>0</v>
      </c>
      <c r="AL30" s="1" t="n">
        <f aca="false">IF(AK30&gt;0.5,AK30+AK30*(D_iC)-MIN(F_CardPayM,AK30+AK30*(D_iC)),AK30)</f>
        <v>0</v>
      </c>
      <c r="AM30" s="1" t="n">
        <f aca="false">IF(AL30&gt;0.5,AL30+AL30*(D_iC)-MIN(F_CardPayM,AL30+AL30*(D_iC)),AL30)</f>
        <v>0</v>
      </c>
      <c r="AN30" s="1" t="n">
        <f aca="false">IF(AM30&gt;0.5,AM30+AM30*(D_iC)-MIN(F_CardPayM,AM30+AM30*(D_iC)),AM30)</f>
        <v>0</v>
      </c>
      <c r="AO30" s="1" t="n">
        <f aca="false">IF(AN30&gt;0.5,AN30+AN30*(D_iC)-MIN(F_CardPayM,AN30+AN30*(D_iC)),AN30)</f>
        <v>0</v>
      </c>
      <c r="AP30" s="1" t="n">
        <f aca="false">IF(AO30&gt;0.5,AO30+AO30*(D_iC)-MIN(F_CardPayM,AO30+AO30*(D_iC)),AO30)</f>
        <v>0</v>
      </c>
      <c r="AQ30" s="1" t="n">
        <f aca="false">IF(AD30&gt;0.5,MIN(F_CardPayM,AD30+AD30*(D_iC)),0)</f>
        <v>0</v>
      </c>
      <c r="AR30" s="1" t="n">
        <f aca="false">IF(AE30&gt;0.5,MIN(F_CardPayM,AE30+AE30*(D_iC)),0)</f>
        <v>0</v>
      </c>
      <c r="AS30" s="1" t="n">
        <f aca="false">IF(AF30&gt;0.5,MIN(F_CardPayM,AF30+AF30*(D_iC)),0)</f>
        <v>0</v>
      </c>
      <c r="AT30" s="1" t="n">
        <f aca="false">IF(AG30&gt;0.5,MIN(F_CardPayM,AG30+AG30*(D_iC)),0)</f>
        <v>0</v>
      </c>
      <c r="AU30" s="1" t="n">
        <f aca="false">IF(AH30&gt;0.5,MIN(F_CardPayM,AH30+AH30*(D_iC)),0)</f>
        <v>0</v>
      </c>
      <c r="AV30" s="1" t="n">
        <f aca="false">IF(AI30&gt;0.5,MIN(F_CardPayM,AI30+AI30*(D_iC)),0)</f>
        <v>0</v>
      </c>
      <c r="AW30" s="1" t="n">
        <f aca="false">IF(AJ30&gt;0.5,MIN(F_CardPayM,AJ30+AJ30*(D_iC)),0)</f>
        <v>0</v>
      </c>
      <c r="AX30" s="1" t="n">
        <f aca="false">IF(AK30&gt;0.5,MIN(F_CardPayM,AK30+AK30*(D_iC)),0)</f>
        <v>0</v>
      </c>
      <c r="AY30" s="1" t="n">
        <f aca="false">IF(AL30&gt;0.5,MIN(F_CardPayM,AL30+AL30*(D_iC)),0)</f>
        <v>0</v>
      </c>
      <c r="AZ30" s="1" t="n">
        <f aca="false">IF(AM30&gt;0.5,MIN(F_CardPayM,AM30+AM30*(D_iC)),0)</f>
        <v>0</v>
      </c>
      <c r="BA30" s="1" t="n">
        <f aca="false">IF(AN30&gt;0.5,MIN(F_CardPayM,AN30+AN30*(D_iC)),0)</f>
        <v>0</v>
      </c>
      <c r="BB30" s="1" t="n">
        <f aca="false">IF(AO30&gt;0.5,MIN(F_CardPayM,AO30+AO30*(D_iC)),0)</f>
        <v>0</v>
      </c>
      <c r="BC30" s="1" t="n">
        <f aca="false">MAX(0,AP30)</f>
        <v>0</v>
      </c>
      <c r="BD30" s="1" t="n">
        <f aca="false">SUM(AQ30:BB30)</f>
        <v>0</v>
      </c>
      <c r="BE30" s="1" t="n">
        <f aca="false">'Plan cashflow'!O30</f>
        <v>0</v>
      </c>
      <c r="BF30" s="1" t="n">
        <f aca="false">IF(BE30&gt;0.5,BE30+BE30*(D_iL)-MIN(F_LoanPayM,BE30+BE30*(D_iL)),BE30)</f>
        <v>0</v>
      </c>
      <c r="BG30" s="1" t="n">
        <f aca="false">IF(BF30&gt;0.5,BF30+BF30*(D_iL)-MIN(F_LoanPayM,BF30+BF30*(D_iL)),BF30)</f>
        <v>0</v>
      </c>
      <c r="BH30" s="1" t="n">
        <f aca="false">IF(BG30&gt;0.5,BG30+BG30*(D_iL)-MIN(F_LoanPayM,BG30+BG30*(D_iL)),BG30)</f>
        <v>0</v>
      </c>
      <c r="BI30" s="1" t="n">
        <f aca="false">IF(BH30&gt;0.5,BH30+BH30*(D_iL)-MIN(F_LoanPayM,BH30+BH30*(D_iL)),BH30)</f>
        <v>0</v>
      </c>
      <c r="BJ30" s="1" t="n">
        <f aca="false">IF(BI30&gt;0.5,BI30+BI30*(D_iL)-MIN(F_LoanPayM,BI30+BI30*(D_iL)),BI30)</f>
        <v>0</v>
      </c>
      <c r="BK30" s="1" t="n">
        <f aca="false">IF(BJ30&gt;0.5,BJ30+BJ30*(D_iL)-MIN(F_LoanPayM,BJ30+BJ30*(D_iL)),BJ30)</f>
        <v>0</v>
      </c>
      <c r="BL30" s="1" t="n">
        <f aca="false">IF(BK30&gt;0.5,BK30+BK30*(D_iL)-MIN(F_LoanPayM,BK30+BK30*(D_iL)),BK30)</f>
        <v>0</v>
      </c>
      <c r="BM30" s="1" t="n">
        <f aca="false">IF(BL30&gt;0.5,BL30+BL30*(D_iL)-MIN(F_LoanPayM,BL30+BL30*(D_iL)),BL30)</f>
        <v>0</v>
      </c>
      <c r="BN30" s="1" t="n">
        <f aca="false">IF(BM30&gt;0.5,BM30+BM30*(D_iL)-MIN(F_LoanPayM,BM30+BM30*(D_iL)),BM30)</f>
        <v>0</v>
      </c>
      <c r="BO30" s="1" t="n">
        <f aca="false">IF(BN30&gt;0.5,BN30+BN30*(D_iL)-MIN(F_LoanPayM,BN30+BN30*(D_iL)),BN30)</f>
        <v>0</v>
      </c>
      <c r="BP30" s="1" t="n">
        <f aca="false">IF(BO30&gt;0.5,BO30+BO30*(D_iL)-MIN(F_LoanPayM,BO30+BO30*(D_iL)),BO30)</f>
        <v>0</v>
      </c>
      <c r="BQ30" s="1" t="n">
        <f aca="false">IF(BP30&gt;0.5,BP30+BP30*(D_iL)-MIN(F_LoanPayM,BP30+BP30*(D_iL)),BP30)</f>
        <v>0</v>
      </c>
      <c r="BR30" s="1" t="n">
        <f aca="false">IF(BE30&gt;0.5,MIN(F_LoanPayM,BE30+BE30*(D_iL)),0)</f>
        <v>0</v>
      </c>
      <c r="BS30" s="1" t="n">
        <f aca="false">IF(BF30&gt;0.5,MIN(F_LoanPayM,BF30+BF30*(D_iL)),0)</f>
        <v>0</v>
      </c>
      <c r="BT30" s="1" t="n">
        <f aca="false">IF(BG30&gt;0.5,MIN(F_LoanPayM,BG30+BG30*(D_iL)),0)</f>
        <v>0</v>
      </c>
      <c r="BU30" s="1" t="n">
        <f aca="false">IF(BH30&gt;0.5,MIN(F_LoanPayM,BH30+BH30*(D_iL)),0)</f>
        <v>0</v>
      </c>
      <c r="BV30" s="1" t="n">
        <f aca="false">IF(BI30&gt;0.5,MIN(F_LoanPayM,BI30+BI30*(D_iL)),0)</f>
        <v>0</v>
      </c>
      <c r="BW30" s="1" t="n">
        <f aca="false">IF(BJ30&gt;0.5,MIN(F_LoanPayM,BJ30+BJ30*(D_iL)),0)</f>
        <v>0</v>
      </c>
      <c r="BX30" s="1" t="n">
        <f aca="false">IF(BK30&gt;0.5,MIN(F_LoanPayM,BK30+BK30*(D_iL)),0)</f>
        <v>0</v>
      </c>
      <c r="BY30" s="1" t="n">
        <f aca="false">IF(BL30&gt;0.5,MIN(F_LoanPayM,BL30+BL30*(D_iL)),0)</f>
        <v>0</v>
      </c>
      <c r="BZ30" s="1" t="n">
        <f aca="false">IF(BM30&gt;0.5,MIN(F_LoanPayM,BM30+BM30*(D_iL)),0)</f>
        <v>0</v>
      </c>
      <c r="CA30" s="1" t="n">
        <f aca="false">IF(BN30&gt;0.5,MIN(F_LoanPayM,BN30+BN30*(D_iL)),0)</f>
        <v>0</v>
      </c>
      <c r="CB30" s="1" t="n">
        <f aca="false">IF(BO30&gt;0.5,MIN(F_LoanPayM,BO30+BO30*(D_iL)),0)</f>
        <v>0</v>
      </c>
      <c r="CC30" s="1" t="n">
        <f aca="false">IF(BP30&gt;0.5,MIN(F_LoanPayM,BP30+BP30*(D_iL)),0)</f>
        <v>0</v>
      </c>
      <c r="CD30" s="1" t="n">
        <f aca="false">MAX(0,BQ30)</f>
        <v>0</v>
      </c>
      <c r="CE30" s="1" t="n">
        <f aca="false">SUM(BR30:CC30)</f>
        <v>0</v>
      </c>
      <c r="CF30" s="1" t="n">
        <f aca="false">IF(CF29&gt;1,DE29,CF29)</f>
        <v>0</v>
      </c>
      <c r="CG30" s="1" t="n">
        <f aca="false">IF(CF30&gt;0.5,CF30+CF30*(F_MR/12)-MIN(F_MortPayM,CF30+CF30*(F_MR/12)),CF30)</f>
        <v>0</v>
      </c>
      <c r="CH30" s="1" t="n">
        <f aca="false">IF(CG30&gt;0.5,CG30+CG30*(F_MR/12)-MIN(F_MortPayM,CG30+CG30*(F_MR/12)),CG30)</f>
        <v>0</v>
      </c>
      <c r="CI30" s="1" t="n">
        <f aca="false">IF(CH30&gt;0.5,CH30+CH30*(F_MR/12)-MIN(F_MortPayM,CH30+CH30*(F_MR/12)),CH30)</f>
        <v>0</v>
      </c>
      <c r="CJ30" s="1" t="n">
        <f aca="false">IF(CI30&gt;0.5,CI30+CI30*(F_MR/12)-MIN(F_MortPayM,CI30+CI30*(F_MR/12)),CI30)</f>
        <v>0</v>
      </c>
      <c r="CK30" s="1" t="n">
        <f aca="false">IF(CJ30&gt;0.5,CJ30+CJ30*(F_MR/12)-MIN(F_MortPayM,CJ30+CJ30*(F_MR/12)),CJ30)</f>
        <v>0</v>
      </c>
      <c r="CL30" s="1" t="n">
        <f aca="false">IF(CK30&gt;0.5,CK30+CK30*(F_MR/12)-MIN(F_MortPayM,CK30+CK30*(F_MR/12)),CK30)</f>
        <v>0</v>
      </c>
      <c r="CM30" s="1" t="n">
        <f aca="false">IF(CL30&gt;0.5,CL30+CL30*(F_MR/12)-MIN(F_MortPayM,CL30+CL30*(F_MR/12)),CL30)</f>
        <v>0</v>
      </c>
      <c r="CN30" s="1" t="n">
        <f aca="false">IF(CM30&gt;0.5,CM30+CM30*(F_MR/12)-MIN(F_MortPayM,CM30+CM30*(F_MR/12)),CM30)</f>
        <v>0</v>
      </c>
      <c r="CO30" s="1" t="n">
        <f aca="false">IF(CN30&gt;0.5,CN30+CN30*(F_MR/12)-MIN(F_MortPayM,CN30+CN30*(F_MR/12)),CN30)</f>
        <v>0</v>
      </c>
      <c r="CP30" s="1" t="n">
        <f aca="false">IF(CO30&gt;0.5,CO30+CO30*(F_MR/12)-MIN(F_MortPayM,CO30+CO30*(F_MR/12)),CO30)</f>
        <v>0</v>
      </c>
      <c r="CQ30" s="1" t="n">
        <f aca="false">IF(CP30&gt;0.5,CP30+CP30*(F_MR/12)-MIN(F_MortPayM,CP30+CP30*(F_MR/12)),CP30)</f>
        <v>0</v>
      </c>
      <c r="CR30" s="1" t="n">
        <f aca="false">IF(CQ30&gt;0.5,CQ30+CQ30*(F_MR/12)-MIN(F_MortPayM,CQ30+CQ30*(F_MR/12)),CQ30)</f>
        <v>0</v>
      </c>
      <c r="CS30" s="1" t="n">
        <f aca="false">IF(CF30&gt;0.5,MIN(F_MortPayM,CF30+CF30*(F_MR/12)),0)</f>
        <v>0</v>
      </c>
      <c r="CT30" s="1" t="n">
        <f aca="false">IF(CG30&gt;0.5,MIN(F_MortPayM,CG30+CG30*(F_MR/12)),0)</f>
        <v>0</v>
      </c>
      <c r="CU30" s="1" t="n">
        <f aca="false">IF(CH30&gt;0.5,MIN(F_MortPayM,CH30+CH30*(F_MR/12)),0)</f>
        <v>0</v>
      </c>
      <c r="CV30" s="1" t="n">
        <f aca="false">IF(CI30&gt;0.5,MIN(F_MortPayM,CI30+CI30*(F_MR/12)),0)</f>
        <v>0</v>
      </c>
      <c r="CW30" s="1" t="n">
        <f aca="false">IF(CJ30&gt;0.5,MIN(F_MortPayM,CJ30+CJ30*(F_MR/12)),0)</f>
        <v>0</v>
      </c>
      <c r="CX30" s="1" t="n">
        <f aca="false">IF(CK30&gt;0.5,MIN(F_MortPayM,CK30+CK30*(F_MR/12)),0)</f>
        <v>0</v>
      </c>
      <c r="CY30" s="1" t="n">
        <f aca="false">IF(CL30&gt;0.5,MIN(F_MortPayM,CL30+CL30*(F_MR/12)),0)</f>
        <v>0</v>
      </c>
      <c r="CZ30" s="1" t="n">
        <f aca="false">IF(CM30&gt;0.5,MIN(F_MortPayM,CM30+CM30*(F_MR/12)),0)</f>
        <v>0</v>
      </c>
      <c r="DA30" s="1" t="n">
        <f aca="false">IF(CN30&gt;0.5,MIN(F_MortPayM,CN30+CN30*(F_MR/12)),0)</f>
        <v>0</v>
      </c>
      <c r="DB30" s="1" t="n">
        <f aca="false">IF(CO30&gt;0.5,MIN(F_MortPayM,CO30+CO30*(F_MR/12)),0)</f>
        <v>0</v>
      </c>
      <c r="DC30" s="1" t="n">
        <f aca="false">IF(CP30&gt;0.5,MIN(F_MortPayM,CP30+CP30*(F_MR/12)),0)</f>
        <v>0</v>
      </c>
      <c r="DD30" s="1" t="n">
        <f aca="false">IF(CQ30&gt;0.5,MIN(F_MortPayM,CQ30+CQ30*(F_MR/12)),0)</f>
        <v>0</v>
      </c>
      <c r="DE30" s="1" t="n">
        <f aca="false">MAX(0,CR30)</f>
        <v>0</v>
      </c>
      <c r="DF30" s="1" t="n">
        <f aca="false">SUM(CS30:DD30)</f>
        <v>0</v>
      </c>
      <c r="DG30" s="1" t="n">
        <f aca="false">MAX(0,CF30)</f>
        <v>0</v>
      </c>
    </row>
    <row r="31" customFormat="false" ht="15" hidden="false" customHeight="false" outlineLevel="0" collapsed="false">
      <c r="B31" s="1" t="n">
        <v>23</v>
      </c>
      <c r="C31" s="1" t="n">
        <f aca="false">'Plan cashflow'!I31</f>
        <v>0</v>
      </c>
      <c r="D31" s="1" t="n">
        <f aca="false">IF(C31&gt;0.5,C31+C31*(F_MR/12)-MIN(F_MortPayM,C31+C31*(F_MR/12)),C31)</f>
        <v>0</v>
      </c>
      <c r="E31" s="1" t="n">
        <f aca="false">IF(D31&gt;0.5,D31+D31*(F_MR/12)-MIN(F_MortPayM,D31+D31*(F_MR/12)),D31)</f>
        <v>0</v>
      </c>
      <c r="F31" s="1" t="n">
        <f aca="false">IF(E31&gt;0.5,E31+E31*(F_MR/12)-MIN(F_MortPayM,E31+E31*(F_MR/12)),E31)</f>
        <v>0</v>
      </c>
      <c r="G31" s="1" t="n">
        <f aca="false">IF(F31&gt;0.5,F31+F31*(F_MR/12)-MIN(F_MortPayM,F31+F31*(F_MR/12)),F31)</f>
        <v>0</v>
      </c>
      <c r="H31" s="1" t="n">
        <f aca="false">IF(G31&gt;0.5,G31+G31*(F_MR/12)-MIN(F_MortPayM,G31+G31*(F_MR/12)),G31)</f>
        <v>0</v>
      </c>
      <c r="I31" s="1" t="n">
        <f aca="false">IF(H31&gt;0.5,H31+H31*(F_MR/12)-MIN(F_MortPayM,H31+H31*(F_MR/12)),H31)</f>
        <v>0</v>
      </c>
      <c r="J31" s="1" t="n">
        <f aca="false">IF(I31&gt;0.5,I31+I31*(F_MR/12)-MIN(F_MortPayM,I31+I31*(F_MR/12)),I31)</f>
        <v>0</v>
      </c>
      <c r="K31" s="1" t="n">
        <f aca="false">IF(J31&gt;0.5,J31+J31*(F_MR/12)-MIN(F_MortPayM,J31+J31*(F_MR/12)),J31)</f>
        <v>0</v>
      </c>
      <c r="L31" s="1" t="n">
        <f aca="false">IF(K31&gt;0.5,K31+K31*(F_MR/12)-MIN(F_MortPayM,K31+K31*(F_MR/12)),K31)</f>
        <v>0</v>
      </c>
      <c r="M31" s="1" t="n">
        <f aca="false">IF(L31&gt;0.5,L31+L31*(F_MR/12)-MIN(F_MortPayM,L31+L31*(F_MR/12)),L31)</f>
        <v>0</v>
      </c>
      <c r="N31" s="1" t="n">
        <f aca="false">IF(M31&gt;0.5,M31+M31*(F_MR/12)-MIN(F_MortPayM,M31+M31*(F_MR/12)),M31)</f>
        <v>0</v>
      </c>
      <c r="O31" s="1" t="n">
        <f aca="false">IF(N31&gt;0.5,N31+N31*(F_MR/12)-MIN(F_MortPayM,N31+N31*(F_MR/12)),N31)</f>
        <v>0</v>
      </c>
      <c r="P31" s="1" t="n">
        <f aca="false">IF(C31&gt;0.5,MIN(F_MortPayM,C31+C31*(F_MR/12)),0)</f>
        <v>0</v>
      </c>
      <c r="Q31" s="1" t="n">
        <f aca="false">IF(D31&gt;0.5,MIN(F_MortPayM,D31+D31*(F_MR/12)),0)</f>
        <v>0</v>
      </c>
      <c r="R31" s="1" t="n">
        <f aca="false">IF(E31&gt;0.5,MIN(F_MortPayM,E31+E31*(F_MR/12)),0)</f>
        <v>0</v>
      </c>
      <c r="S31" s="1" t="n">
        <f aca="false">IF(F31&gt;0.5,MIN(F_MortPayM,F31+F31*(F_MR/12)),0)</f>
        <v>0</v>
      </c>
      <c r="T31" s="1" t="n">
        <f aca="false">IF(G31&gt;0.5,MIN(F_MortPayM,G31+G31*(F_MR/12)),0)</f>
        <v>0</v>
      </c>
      <c r="U31" s="1" t="n">
        <f aca="false">IF(H31&gt;0.5,MIN(F_MortPayM,H31+H31*(F_MR/12)),0)</f>
        <v>0</v>
      </c>
      <c r="V31" s="1" t="n">
        <f aca="false">IF(I31&gt;0.5,MIN(F_MortPayM,I31+I31*(F_MR/12)),0)</f>
        <v>0</v>
      </c>
      <c r="W31" s="1" t="n">
        <f aca="false">IF(J31&gt;0.5,MIN(F_MortPayM,J31+J31*(F_MR/12)),0)</f>
        <v>0</v>
      </c>
      <c r="X31" s="1" t="n">
        <f aca="false">IF(K31&gt;0.5,MIN(F_MortPayM,K31+K31*(F_MR/12)),0)</f>
        <v>0</v>
      </c>
      <c r="Y31" s="1" t="n">
        <f aca="false">IF(L31&gt;0.5,MIN(F_MortPayM,L31+L31*(F_MR/12)),0)</f>
        <v>0</v>
      </c>
      <c r="Z31" s="1" t="n">
        <f aca="false">IF(M31&gt;0.5,MIN(F_MortPayM,M31+M31*(F_MR/12)),0)</f>
        <v>0</v>
      </c>
      <c r="AA31" s="1" t="n">
        <f aca="false">IF(N31&gt;0.5,MIN(F_MortPayM,N31+N31*(F_MR/12)),0)</f>
        <v>0</v>
      </c>
      <c r="AB31" s="1" t="n">
        <f aca="false">MAX(0,O31)</f>
        <v>0</v>
      </c>
      <c r="AC31" s="1" t="n">
        <f aca="false">SUM(P31:AA31)</f>
        <v>0</v>
      </c>
      <c r="AD31" s="1" t="n">
        <f aca="false">'Plan cashflow'!L31</f>
        <v>0</v>
      </c>
      <c r="AE31" s="1" t="n">
        <f aca="false">IF(AD31&gt;0.5,AD31+AD31*(D_iC)-MIN(F_CardPayM,AD31+AD31*(D_iC)),AD31)</f>
        <v>0</v>
      </c>
      <c r="AF31" s="1" t="n">
        <f aca="false">IF(AE31&gt;0.5,AE31+AE31*(D_iC)-MIN(F_CardPayM,AE31+AE31*(D_iC)),AE31)</f>
        <v>0</v>
      </c>
      <c r="AG31" s="1" t="n">
        <f aca="false">IF(AF31&gt;0.5,AF31+AF31*(D_iC)-MIN(F_CardPayM,AF31+AF31*(D_iC)),AF31)</f>
        <v>0</v>
      </c>
      <c r="AH31" s="1" t="n">
        <f aca="false">IF(AG31&gt;0.5,AG31+AG31*(D_iC)-MIN(F_CardPayM,AG31+AG31*(D_iC)),AG31)</f>
        <v>0</v>
      </c>
      <c r="AI31" s="1" t="n">
        <f aca="false">IF(AH31&gt;0.5,AH31+AH31*(D_iC)-MIN(F_CardPayM,AH31+AH31*(D_iC)),AH31)</f>
        <v>0</v>
      </c>
      <c r="AJ31" s="1" t="n">
        <f aca="false">IF(AI31&gt;0.5,AI31+AI31*(D_iC)-MIN(F_CardPayM,AI31+AI31*(D_iC)),AI31)</f>
        <v>0</v>
      </c>
      <c r="AK31" s="1" t="n">
        <f aca="false">IF(AJ31&gt;0.5,AJ31+AJ31*(D_iC)-MIN(F_CardPayM,AJ31+AJ31*(D_iC)),AJ31)</f>
        <v>0</v>
      </c>
      <c r="AL31" s="1" t="n">
        <f aca="false">IF(AK31&gt;0.5,AK31+AK31*(D_iC)-MIN(F_CardPayM,AK31+AK31*(D_iC)),AK31)</f>
        <v>0</v>
      </c>
      <c r="AM31" s="1" t="n">
        <f aca="false">IF(AL31&gt;0.5,AL31+AL31*(D_iC)-MIN(F_CardPayM,AL31+AL31*(D_iC)),AL31)</f>
        <v>0</v>
      </c>
      <c r="AN31" s="1" t="n">
        <f aca="false">IF(AM31&gt;0.5,AM31+AM31*(D_iC)-MIN(F_CardPayM,AM31+AM31*(D_iC)),AM31)</f>
        <v>0</v>
      </c>
      <c r="AO31" s="1" t="n">
        <f aca="false">IF(AN31&gt;0.5,AN31+AN31*(D_iC)-MIN(F_CardPayM,AN31+AN31*(D_iC)),AN31)</f>
        <v>0</v>
      </c>
      <c r="AP31" s="1" t="n">
        <f aca="false">IF(AO31&gt;0.5,AO31+AO31*(D_iC)-MIN(F_CardPayM,AO31+AO31*(D_iC)),AO31)</f>
        <v>0</v>
      </c>
      <c r="AQ31" s="1" t="n">
        <f aca="false">IF(AD31&gt;0.5,MIN(F_CardPayM,AD31+AD31*(D_iC)),0)</f>
        <v>0</v>
      </c>
      <c r="AR31" s="1" t="n">
        <f aca="false">IF(AE31&gt;0.5,MIN(F_CardPayM,AE31+AE31*(D_iC)),0)</f>
        <v>0</v>
      </c>
      <c r="AS31" s="1" t="n">
        <f aca="false">IF(AF31&gt;0.5,MIN(F_CardPayM,AF31+AF31*(D_iC)),0)</f>
        <v>0</v>
      </c>
      <c r="AT31" s="1" t="n">
        <f aca="false">IF(AG31&gt;0.5,MIN(F_CardPayM,AG31+AG31*(D_iC)),0)</f>
        <v>0</v>
      </c>
      <c r="AU31" s="1" t="n">
        <f aca="false">IF(AH31&gt;0.5,MIN(F_CardPayM,AH31+AH31*(D_iC)),0)</f>
        <v>0</v>
      </c>
      <c r="AV31" s="1" t="n">
        <f aca="false">IF(AI31&gt;0.5,MIN(F_CardPayM,AI31+AI31*(D_iC)),0)</f>
        <v>0</v>
      </c>
      <c r="AW31" s="1" t="n">
        <f aca="false">IF(AJ31&gt;0.5,MIN(F_CardPayM,AJ31+AJ31*(D_iC)),0)</f>
        <v>0</v>
      </c>
      <c r="AX31" s="1" t="n">
        <f aca="false">IF(AK31&gt;0.5,MIN(F_CardPayM,AK31+AK31*(D_iC)),0)</f>
        <v>0</v>
      </c>
      <c r="AY31" s="1" t="n">
        <f aca="false">IF(AL31&gt;0.5,MIN(F_CardPayM,AL31+AL31*(D_iC)),0)</f>
        <v>0</v>
      </c>
      <c r="AZ31" s="1" t="n">
        <f aca="false">IF(AM31&gt;0.5,MIN(F_CardPayM,AM31+AM31*(D_iC)),0)</f>
        <v>0</v>
      </c>
      <c r="BA31" s="1" t="n">
        <f aca="false">IF(AN31&gt;0.5,MIN(F_CardPayM,AN31+AN31*(D_iC)),0)</f>
        <v>0</v>
      </c>
      <c r="BB31" s="1" t="n">
        <f aca="false">IF(AO31&gt;0.5,MIN(F_CardPayM,AO31+AO31*(D_iC)),0)</f>
        <v>0</v>
      </c>
      <c r="BC31" s="1" t="n">
        <f aca="false">MAX(0,AP31)</f>
        <v>0</v>
      </c>
      <c r="BD31" s="1" t="n">
        <f aca="false">SUM(AQ31:BB31)</f>
        <v>0</v>
      </c>
      <c r="BE31" s="1" t="n">
        <f aca="false">'Plan cashflow'!O31</f>
        <v>0</v>
      </c>
      <c r="BF31" s="1" t="n">
        <f aca="false">IF(BE31&gt;0.5,BE31+BE31*(D_iL)-MIN(F_LoanPayM,BE31+BE31*(D_iL)),BE31)</f>
        <v>0</v>
      </c>
      <c r="BG31" s="1" t="n">
        <f aca="false">IF(BF31&gt;0.5,BF31+BF31*(D_iL)-MIN(F_LoanPayM,BF31+BF31*(D_iL)),BF31)</f>
        <v>0</v>
      </c>
      <c r="BH31" s="1" t="n">
        <f aca="false">IF(BG31&gt;0.5,BG31+BG31*(D_iL)-MIN(F_LoanPayM,BG31+BG31*(D_iL)),BG31)</f>
        <v>0</v>
      </c>
      <c r="BI31" s="1" t="n">
        <f aca="false">IF(BH31&gt;0.5,BH31+BH31*(D_iL)-MIN(F_LoanPayM,BH31+BH31*(D_iL)),BH31)</f>
        <v>0</v>
      </c>
      <c r="BJ31" s="1" t="n">
        <f aca="false">IF(BI31&gt;0.5,BI31+BI31*(D_iL)-MIN(F_LoanPayM,BI31+BI31*(D_iL)),BI31)</f>
        <v>0</v>
      </c>
      <c r="BK31" s="1" t="n">
        <f aca="false">IF(BJ31&gt;0.5,BJ31+BJ31*(D_iL)-MIN(F_LoanPayM,BJ31+BJ31*(D_iL)),BJ31)</f>
        <v>0</v>
      </c>
      <c r="BL31" s="1" t="n">
        <f aca="false">IF(BK31&gt;0.5,BK31+BK31*(D_iL)-MIN(F_LoanPayM,BK31+BK31*(D_iL)),BK31)</f>
        <v>0</v>
      </c>
      <c r="BM31" s="1" t="n">
        <f aca="false">IF(BL31&gt;0.5,BL31+BL31*(D_iL)-MIN(F_LoanPayM,BL31+BL31*(D_iL)),BL31)</f>
        <v>0</v>
      </c>
      <c r="BN31" s="1" t="n">
        <f aca="false">IF(BM31&gt;0.5,BM31+BM31*(D_iL)-MIN(F_LoanPayM,BM31+BM31*(D_iL)),BM31)</f>
        <v>0</v>
      </c>
      <c r="BO31" s="1" t="n">
        <f aca="false">IF(BN31&gt;0.5,BN31+BN31*(D_iL)-MIN(F_LoanPayM,BN31+BN31*(D_iL)),BN31)</f>
        <v>0</v>
      </c>
      <c r="BP31" s="1" t="n">
        <f aca="false">IF(BO31&gt;0.5,BO31+BO31*(D_iL)-MIN(F_LoanPayM,BO31+BO31*(D_iL)),BO31)</f>
        <v>0</v>
      </c>
      <c r="BQ31" s="1" t="n">
        <f aca="false">IF(BP31&gt;0.5,BP31+BP31*(D_iL)-MIN(F_LoanPayM,BP31+BP31*(D_iL)),BP31)</f>
        <v>0</v>
      </c>
      <c r="BR31" s="1" t="n">
        <f aca="false">IF(BE31&gt;0.5,MIN(F_LoanPayM,BE31+BE31*(D_iL)),0)</f>
        <v>0</v>
      </c>
      <c r="BS31" s="1" t="n">
        <f aca="false">IF(BF31&gt;0.5,MIN(F_LoanPayM,BF31+BF31*(D_iL)),0)</f>
        <v>0</v>
      </c>
      <c r="BT31" s="1" t="n">
        <f aca="false">IF(BG31&gt;0.5,MIN(F_LoanPayM,BG31+BG31*(D_iL)),0)</f>
        <v>0</v>
      </c>
      <c r="BU31" s="1" t="n">
        <f aca="false">IF(BH31&gt;0.5,MIN(F_LoanPayM,BH31+BH31*(D_iL)),0)</f>
        <v>0</v>
      </c>
      <c r="BV31" s="1" t="n">
        <f aca="false">IF(BI31&gt;0.5,MIN(F_LoanPayM,BI31+BI31*(D_iL)),0)</f>
        <v>0</v>
      </c>
      <c r="BW31" s="1" t="n">
        <f aca="false">IF(BJ31&gt;0.5,MIN(F_LoanPayM,BJ31+BJ31*(D_iL)),0)</f>
        <v>0</v>
      </c>
      <c r="BX31" s="1" t="n">
        <f aca="false">IF(BK31&gt;0.5,MIN(F_LoanPayM,BK31+BK31*(D_iL)),0)</f>
        <v>0</v>
      </c>
      <c r="BY31" s="1" t="n">
        <f aca="false">IF(BL31&gt;0.5,MIN(F_LoanPayM,BL31+BL31*(D_iL)),0)</f>
        <v>0</v>
      </c>
      <c r="BZ31" s="1" t="n">
        <f aca="false">IF(BM31&gt;0.5,MIN(F_LoanPayM,BM31+BM31*(D_iL)),0)</f>
        <v>0</v>
      </c>
      <c r="CA31" s="1" t="n">
        <f aca="false">IF(BN31&gt;0.5,MIN(F_LoanPayM,BN31+BN31*(D_iL)),0)</f>
        <v>0</v>
      </c>
      <c r="CB31" s="1" t="n">
        <f aca="false">IF(BO31&gt;0.5,MIN(F_LoanPayM,BO31+BO31*(D_iL)),0)</f>
        <v>0</v>
      </c>
      <c r="CC31" s="1" t="n">
        <f aca="false">IF(BP31&gt;0.5,MIN(F_LoanPayM,BP31+BP31*(D_iL)),0)</f>
        <v>0</v>
      </c>
      <c r="CD31" s="1" t="n">
        <f aca="false">MAX(0,BQ31)</f>
        <v>0</v>
      </c>
      <c r="CE31" s="1" t="n">
        <f aca="false">SUM(BR31:CC31)</f>
        <v>0</v>
      </c>
      <c r="CF31" s="1" t="n">
        <f aca="false">IF(CF30&gt;1,DE30,CF30)</f>
        <v>0</v>
      </c>
      <c r="CG31" s="1" t="n">
        <f aca="false">IF(CF31&gt;0.5,CF31+CF31*(F_MR/12)-MIN(F_MortPayM,CF31+CF31*(F_MR/12)),CF31)</f>
        <v>0</v>
      </c>
      <c r="CH31" s="1" t="n">
        <f aca="false">IF(CG31&gt;0.5,CG31+CG31*(F_MR/12)-MIN(F_MortPayM,CG31+CG31*(F_MR/12)),CG31)</f>
        <v>0</v>
      </c>
      <c r="CI31" s="1" t="n">
        <f aca="false">IF(CH31&gt;0.5,CH31+CH31*(F_MR/12)-MIN(F_MortPayM,CH31+CH31*(F_MR/12)),CH31)</f>
        <v>0</v>
      </c>
      <c r="CJ31" s="1" t="n">
        <f aca="false">IF(CI31&gt;0.5,CI31+CI31*(F_MR/12)-MIN(F_MortPayM,CI31+CI31*(F_MR/12)),CI31)</f>
        <v>0</v>
      </c>
      <c r="CK31" s="1" t="n">
        <f aca="false">IF(CJ31&gt;0.5,CJ31+CJ31*(F_MR/12)-MIN(F_MortPayM,CJ31+CJ31*(F_MR/12)),CJ31)</f>
        <v>0</v>
      </c>
      <c r="CL31" s="1" t="n">
        <f aca="false">IF(CK31&gt;0.5,CK31+CK31*(F_MR/12)-MIN(F_MortPayM,CK31+CK31*(F_MR/12)),CK31)</f>
        <v>0</v>
      </c>
      <c r="CM31" s="1" t="n">
        <f aca="false">IF(CL31&gt;0.5,CL31+CL31*(F_MR/12)-MIN(F_MortPayM,CL31+CL31*(F_MR/12)),CL31)</f>
        <v>0</v>
      </c>
      <c r="CN31" s="1" t="n">
        <f aca="false">IF(CM31&gt;0.5,CM31+CM31*(F_MR/12)-MIN(F_MortPayM,CM31+CM31*(F_MR/12)),CM31)</f>
        <v>0</v>
      </c>
      <c r="CO31" s="1" t="n">
        <f aca="false">IF(CN31&gt;0.5,CN31+CN31*(F_MR/12)-MIN(F_MortPayM,CN31+CN31*(F_MR/12)),CN31)</f>
        <v>0</v>
      </c>
      <c r="CP31" s="1" t="n">
        <f aca="false">IF(CO31&gt;0.5,CO31+CO31*(F_MR/12)-MIN(F_MortPayM,CO31+CO31*(F_MR/12)),CO31)</f>
        <v>0</v>
      </c>
      <c r="CQ31" s="1" t="n">
        <f aca="false">IF(CP31&gt;0.5,CP31+CP31*(F_MR/12)-MIN(F_MortPayM,CP31+CP31*(F_MR/12)),CP31)</f>
        <v>0</v>
      </c>
      <c r="CR31" s="1" t="n">
        <f aca="false">IF(CQ31&gt;0.5,CQ31+CQ31*(F_MR/12)-MIN(F_MortPayM,CQ31+CQ31*(F_MR/12)),CQ31)</f>
        <v>0</v>
      </c>
      <c r="CS31" s="1" t="n">
        <f aca="false">IF(CF31&gt;0.5,MIN(F_MortPayM,CF31+CF31*(F_MR/12)),0)</f>
        <v>0</v>
      </c>
      <c r="CT31" s="1" t="n">
        <f aca="false">IF(CG31&gt;0.5,MIN(F_MortPayM,CG31+CG31*(F_MR/12)),0)</f>
        <v>0</v>
      </c>
      <c r="CU31" s="1" t="n">
        <f aca="false">IF(CH31&gt;0.5,MIN(F_MortPayM,CH31+CH31*(F_MR/12)),0)</f>
        <v>0</v>
      </c>
      <c r="CV31" s="1" t="n">
        <f aca="false">IF(CI31&gt;0.5,MIN(F_MortPayM,CI31+CI31*(F_MR/12)),0)</f>
        <v>0</v>
      </c>
      <c r="CW31" s="1" t="n">
        <f aca="false">IF(CJ31&gt;0.5,MIN(F_MortPayM,CJ31+CJ31*(F_MR/12)),0)</f>
        <v>0</v>
      </c>
      <c r="CX31" s="1" t="n">
        <f aca="false">IF(CK31&gt;0.5,MIN(F_MortPayM,CK31+CK31*(F_MR/12)),0)</f>
        <v>0</v>
      </c>
      <c r="CY31" s="1" t="n">
        <f aca="false">IF(CL31&gt;0.5,MIN(F_MortPayM,CL31+CL31*(F_MR/12)),0)</f>
        <v>0</v>
      </c>
      <c r="CZ31" s="1" t="n">
        <f aca="false">IF(CM31&gt;0.5,MIN(F_MortPayM,CM31+CM31*(F_MR/12)),0)</f>
        <v>0</v>
      </c>
      <c r="DA31" s="1" t="n">
        <f aca="false">IF(CN31&gt;0.5,MIN(F_MortPayM,CN31+CN31*(F_MR/12)),0)</f>
        <v>0</v>
      </c>
      <c r="DB31" s="1" t="n">
        <f aca="false">IF(CO31&gt;0.5,MIN(F_MortPayM,CO31+CO31*(F_MR/12)),0)</f>
        <v>0</v>
      </c>
      <c r="DC31" s="1" t="n">
        <f aca="false">IF(CP31&gt;0.5,MIN(F_MortPayM,CP31+CP31*(F_MR/12)),0)</f>
        <v>0</v>
      </c>
      <c r="DD31" s="1" t="n">
        <f aca="false">IF(CQ31&gt;0.5,MIN(F_MortPayM,CQ31+CQ31*(F_MR/12)),0)</f>
        <v>0</v>
      </c>
      <c r="DE31" s="1" t="n">
        <f aca="false">MAX(0,CR31)</f>
        <v>0</v>
      </c>
      <c r="DF31" s="1" t="n">
        <f aca="false">SUM(CS31:DD31)</f>
        <v>0</v>
      </c>
      <c r="DG31" s="1" t="n">
        <f aca="false">MAX(0,CF31)</f>
        <v>0</v>
      </c>
    </row>
    <row r="32" customFormat="false" ht="15" hidden="false" customHeight="false" outlineLevel="0" collapsed="false">
      <c r="B32" s="1" t="n">
        <v>24</v>
      </c>
      <c r="C32" s="1" t="n">
        <f aca="false">'Plan cashflow'!I32</f>
        <v>0</v>
      </c>
      <c r="D32" s="1" t="n">
        <f aca="false">IF(C32&gt;0.5,C32+C32*(F_MR/12)-MIN(F_MortPayM,C32+C32*(F_MR/12)),C32)</f>
        <v>0</v>
      </c>
      <c r="E32" s="1" t="n">
        <f aca="false">IF(D32&gt;0.5,D32+D32*(F_MR/12)-MIN(F_MortPayM,D32+D32*(F_MR/12)),D32)</f>
        <v>0</v>
      </c>
      <c r="F32" s="1" t="n">
        <f aca="false">IF(E32&gt;0.5,E32+E32*(F_MR/12)-MIN(F_MortPayM,E32+E32*(F_MR/12)),E32)</f>
        <v>0</v>
      </c>
      <c r="G32" s="1" t="n">
        <f aca="false">IF(F32&gt;0.5,F32+F32*(F_MR/12)-MIN(F_MortPayM,F32+F32*(F_MR/12)),F32)</f>
        <v>0</v>
      </c>
      <c r="H32" s="1" t="n">
        <f aca="false">IF(G32&gt;0.5,G32+G32*(F_MR/12)-MIN(F_MortPayM,G32+G32*(F_MR/12)),G32)</f>
        <v>0</v>
      </c>
      <c r="I32" s="1" t="n">
        <f aca="false">IF(H32&gt;0.5,H32+H32*(F_MR/12)-MIN(F_MortPayM,H32+H32*(F_MR/12)),H32)</f>
        <v>0</v>
      </c>
      <c r="J32" s="1" t="n">
        <f aca="false">IF(I32&gt;0.5,I32+I32*(F_MR/12)-MIN(F_MortPayM,I32+I32*(F_MR/12)),I32)</f>
        <v>0</v>
      </c>
      <c r="K32" s="1" t="n">
        <f aca="false">IF(J32&gt;0.5,J32+J32*(F_MR/12)-MIN(F_MortPayM,J32+J32*(F_MR/12)),J32)</f>
        <v>0</v>
      </c>
      <c r="L32" s="1" t="n">
        <f aca="false">IF(K32&gt;0.5,K32+K32*(F_MR/12)-MIN(F_MortPayM,K32+K32*(F_MR/12)),K32)</f>
        <v>0</v>
      </c>
      <c r="M32" s="1" t="n">
        <f aca="false">IF(L32&gt;0.5,L32+L32*(F_MR/12)-MIN(F_MortPayM,L32+L32*(F_MR/12)),L32)</f>
        <v>0</v>
      </c>
      <c r="N32" s="1" t="n">
        <f aca="false">IF(M32&gt;0.5,M32+M32*(F_MR/12)-MIN(F_MortPayM,M32+M32*(F_MR/12)),M32)</f>
        <v>0</v>
      </c>
      <c r="O32" s="1" t="n">
        <f aca="false">IF(N32&gt;0.5,N32+N32*(F_MR/12)-MIN(F_MortPayM,N32+N32*(F_MR/12)),N32)</f>
        <v>0</v>
      </c>
      <c r="P32" s="1" t="n">
        <f aca="false">IF(C32&gt;0.5,MIN(F_MortPayM,C32+C32*(F_MR/12)),0)</f>
        <v>0</v>
      </c>
      <c r="Q32" s="1" t="n">
        <f aca="false">IF(D32&gt;0.5,MIN(F_MortPayM,D32+D32*(F_MR/12)),0)</f>
        <v>0</v>
      </c>
      <c r="R32" s="1" t="n">
        <f aca="false">IF(E32&gt;0.5,MIN(F_MortPayM,E32+E32*(F_MR/12)),0)</f>
        <v>0</v>
      </c>
      <c r="S32" s="1" t="n">
        <f aca="false">IF(F32&gt;0.5,MIN(F_MortPayM,F32+F32*(F_MR/12)),0)</f>
        <v>0</v>
      </c>
      <c r="T32" s="1" t="n">
        <f aca="false">IF(G32&gt;0.5,MIN(F_MortPayM,G32+G32*(F_MR/12)),0)</f>
        <v>0</v>
      </c>
      <c r="U32" s="1" t="n">
        <f aca="false">IF(H32&gt;0.5,MIN(F_MortPayM,H32+H32*(F_MR/12)),0)</f>
        <v>0</v>
      </c>
      <c r="V32" s="1" t="n">
        <f aca="false">IF(I32&gt;0.5,MIN(F_MortPayM,I32+I32*(F_MR/12)),0)</f>
        <v>0</v>
      </c>
      <c r="W32" s="1" t="n">
        <f aca="false">IF(J32&gt;0.5,MIN(F_MortPayM,J32+J32*(F_MR/12)),0)</f>
        <v>0</v>
      </c>
      <c r="X32" s="1" t="n">
        <f aca="false">IF(K32&gt;0.5,MIN(F_MortPayM,K32+K32*(F_MR/12)),0)</f>
        <v>0</v>
      </c>
      <c r="Y32" s="1" t="n">
        <f aca="false">IF(L32&gt;0.5,MIN(F_MortPayM,L32+L32*(F_MR/12)),0)</f>
        <v>0</v>
      </c>
      <c r="Z32" s="1" t="n">
        <f aca="false">IF(M32&gt;0.5,MIN(F_MortPayM,M32+M32*(F_MR/12)),0)</f>
        <v>0</v>
      </c>
      <c r="AA32" s="1" t="n">
        <f aca="false">IF(N32&gt;0.5,MIN(F_MortPayM,N32+N32*(F_MR/12)),0)</f>
        <v>0</v>
      </c>
      <c r="AB32" s="1" t="n">
        <f aca="false">MAX(0,O32)</f>
        <v>0</v>
      </c>
      <c r="AC32" s="1" t="n">
        <f aca="false">SUM(P32:AA32)</f>
        <v>0</v>
      </c>
      <c r="AD32" s="1" t="n">
        <f aca="false">'Plan cashflow'!L32</f>
        <v>0</v>
      </c>
      <c r="AE32" s="1" t="n">
        <f aca="false">IF(AD32&gt;0.5,AD32+AD32*(D_iC)-MIN(F_CardPayM,AD32+AD32*(D_iC)),AD32)</f>
        <v>0</v>
      </c>
      <c r="AF32" s="1" t="n">
        <f aca="false">IF(AE32&gt;0.5,AE32+AE32*(D_iC)-MIN(F_CardPayM,AE32+AE32*(D_iC)),AE32)</f>
        <v>0</v>
      </c>
      <c r="AG32" s="1" t="n">
        <f aca="false">IF(AF32&gt;0.5,AF32+AF32*(D_iC)-MIN(F_CardPayM,AF32+AF32*(D_iC)),AF32)</f>
        <v>0</v>
      </c>
      <c r="AH32" s="1" t="n">
        <f aca="false">IF(AG32&gt;0.5,AG32+AG32*(D_iC)-MIN(F_CardPayM,AG32+AG32*(D_iC)),AG32)</f>
        <v>0</v>
      </c>
      <c r="AI32" s="1" t="n">
        <f aca="false">IF(AH32&gt;0.5,AH32+AH32*(D_iC)-MIN(F_CardPayM,AH32+AH32*(D_iC)),AH32)</f>
        <v>0</v>
      </c>
      <c r="AJ32" s="1" t="n">
        <f aca="false">IF(AI32&gt;0.5,AI32+AI32*(D_iC)-MIN(F_CardPayM,AI32+AI32*(D_iC)),AI32)</f>
        <v>0</v>
      </c>
      <c r="AK32" s="1" t="n">
        <f aca="false">IF(AJ32&gt;0.5,AJ32+AJ32*(D_iC)-MIN(F_CardPayM,AJ32+AJ32*(D_iC)),AJ32)</f>
        <v>0</v>
      </c>
      <c r="AL32" s="1" t="n">
        <f aca="false">IF(AK32&gt;0.5,AK32+AK32*(D_iC)-MIN(F_CardPayM,AK32+AK32*(D_iC)),AK32)</f>
        <v>0</v>
      </c>
      <c r="AM32" s="1" t="n">
        <f aca="false">IF(AL32&gt;0.5,AL32+AL32*(D_iC)-MIN(F_CardPayM,AL32+AL32*(D_iC)),AL32)</f>
        <v>0</v>
      </c>
      <c r="AN32" s="1" t="n">
        <f aca="false">IF(AM32&gt;0.5,AM32+AM32*(D_iC)-MIN(F_CardPayM,AM32+AM32*(D_iC)),AM32)</f>
        <v>0</v>
      </c>
      <c r="AO32" s="1" t="n">
        <f aca="false">IF(AN32&gt;0.5,AN32+AN32*(D_iC)-MIN(F_CardPayM,AN32+AN32*(D_iC)),AN32)</f>
        <v>0</v>
      </c>
      <c r="AP32" s="1" t="n">
        <f aca="false">IF(AO32&gt;0.5,AO32+AO32*(D_iC)-MIN(F_CardPayM,AO32+AO32*(D_iC)),AO32)</f>
        <v>0</v>
      </c>
      <c r="AQ32" s="1" t="n">
        <f aca="false">IF(AD32&gt;0.5,MIN(F_CardPayM,AD32+AD32*(D_iC)),0)</f>
        <v>0</v>
      </c>
      <c r="AR32" s="1" t="n">
        <f aca="false">IF(AE32&gt;0.5,MIN(F_CardPayM,AE32+AE32*(D_iC)),0)</f>
        <v>0</v>
      </c>
      <c r="AS32" s="1" t="n">
        <f aca="false">IF(AF32&gt;0.5,MIN(F_CardPayM,AF32+AF32*(D_iC)),0)</f>
        <v>0</v>
      </c>
      <c r="AT32" s="1" t="n">
        <f aca="false">IF(AG32&gt;0.5,MIN(F_CardPayM,AG32+AG32*(D_iC)),0)</f>
        <v>0</v>
      </c>
      <c r="AU32" s="1" t="n">
        <f aca="false">IF(AH32&gt;0.5,MIN(F_CardPayM,AH32+AH32*(D_iC)),0)</f>
        <v>0</v>
      </c>
      <c r="AV32" s="1" t="n">
        <f aca="false">IF(AI32&gt;0.5,MIN(F_CardPayM,AI32+AI32*(D_iC)),0)</f>
        <v>0</v>
      </c>
      <c r="AW32" s="1" t="n">
        <f aca="false">IF(AJ32&gt;0.5,MIN(F_CardPayM,AJ32+AJ32*(D_iC)),0)</f>
        <v>0</v>
      </c>
      <c r="AX32" s="1" t="n">
        <f aca="false">IF(AK32&gt;0.5,MIN(F_CardPayM,AK32+AK32*(D_iC)),0)</f>
        <v>0</v>
      </c>
      <c r="AY32" s="1" t="n">
        <f aca="false">IF(AL32&gt;0.5,MIN(F_CardPayM,AL32+AL32*(D_iC)),0)</f>
        <v>0</v>
      </c>
      <c r="AZ32" s="1" t="n">
        <f aca="false">IF(AM32&gt;0.5,MIN(F_CardPayM,AM32+AM32*(D_iC)),0)</f>
        <v>0</v>
      </c>
      <c r="BA32" s="1" t="n">
        <f aca="false">IF(AN32&gt;0.5,MIN(F_CardPayM,AN32+AN32*(D_iC)),0)</f>
        <v>0</v>
      </c>
      <c r="BB32" s="1" t="n">
        <f aca="false">IF(AO32&gt;0.5,MIN(F_CardPayM,AO32+AO32*(D_iC)),0)</f>
        <v>0</v>
      </c>
      <c r="BC32" s="1" t="n">
        <f aca="false">MAX(0,AP32)</f>
        <v>0</v>
      </c>
      <c r="BD32" s="1" t="n">
        <f aca="false">SUM(AQ32:BB32)</f>
        <v>0</v>
      </c>
      <c r="BE32" s="1" t="n">
        <f aca="false">'Plan cashflow'!O32</f>
        <v>0</v>
      </c>
      <c r="BF32" s="1" t="n">
        <f aca="false">IF(BE32&gt;0.5,BE32+BE32*(D_iL)-MIN(F_LoanPayM,BE32+BE32*(D_iL)),BE32)</f>
        <v>0</v>
      </c>
      <c r="BG32" s="1" t="n">
        <f aca="false">IF(BF32&gt;0.5,BF32+BF32*(D_iL)-MIN(F_LoanPayM,BF32+BF32*(D_iL)),BF32)</f>
        <v>0</v>
      </c>
      <c r="BH32" s="1" t="n">
        <f aca="false">IF(BG32&gt;0.5,BG32+BG32*(D_iL)-MIN(F_LoanPayM,BG32+BG32*(D_iL)),BG32)</f>
        <v>0</v>
      </c>
      <c r="BI32" s="1" t="n">
        <f aca="false">IF(BH32&gt;0.5,BH32+BH32*(D_iL)-MIN(F_LoanPayM,BH32+BH32*(D_iL)),BH32)</f>
        <v>0</v>
      </c>
      <c r="BJ32" s="1" t="n">
        <f aca="false">IF(BI32&gt;0.5,BI32+BI32*(D_iL)-MIN(F_LoanPayM,BI32+BI32*(D_iL)),BI32)</f>
        <v>0</v>
      </c>
      <c r="BK32" s="1" t="n">
        <f aca="false">IF(BJ32&gt;0.5,BJ32+BJ32*(D_iL)-MIN(F_LoanPayM,BJ32+BJ32*(D_iL)),BJ32)</f>
        <v>0</v>
      </c>
      <c r="BL32" s="1" t="n">
        <f aca="false">IF(BK32&gt;0.5,BK32+BK32*(D_iL)-MIN(F_LoanPayM,BK32+BK32*(D_iL)),BK32)</f>
        <v>0</v>
      </c>
      <c r="BM32" s="1" t="n">
        <f aca="false">IF(BL32&gt;0.5,BL32+BL32*(D_iL)-MIN(F_LoanPayM,BL32+BL32*(D_iL)),BL32)</f>
        <v>0</v>
      </c>
      <c r="BN32" s="1" t="n">
        <f aca="false">IF(BM32&gt;0.5,BM32+BM32*(D_iL)-MIN(F_LoanPayM,BM32+BM32*(D_iL)),BM32)</f>
        <v>0</v>
      </c>
      <c r="BO32" s="1" t="n">
        <f aca="false">IF(BN32&gt;0.5,BN32+BN32*(D_iL)-MIN(F_LoanPayM,BN32+BN32*(D_iL)),BN32)</f>
        <v>0</v>
      </c>
      <c r="BP32" s="1" t="n">
        <f aca="false">IF(BO32&gt;0.5,BO32+BO32*(D_iL)-MIN(F_LoanPayM,BO32+BO32*(D_iL)),BO32)</f>
        <v>0</v>
      </c>
      <c r="BQ32" s="1" t="n">
        <f aca="false">IF(BP32&gt;0.5,BP32+BP32*(D_iL)-MIN(F_LoanPayM,BP32+BP32*(D_iL)),BP32)</f>
        <v>0</v>
      </c>
      <c r="BR32" s="1" t="n">
        <f aca="false">IF(BE32&gt;0.5,MIN(F_LoanPayM,BE32+BE32*(D_iL)),0)</f>
        <v>0</v>
      </c>
      <c r="BS32" s="1" t="n">
        <f aca="false">IF(BF32&gt;0.5,MIN(F_LoanPayM,BF32+BF32*(D_iL)),0)</f>
        <v>0</v>
      </c>
      <c r="BT32" s="1" t="n">
        <f aca="false">IF(BG32&gt;0.5,MIN(F_LoanPayM,BG32+BG32*(D_iL)),0)</f>
        <v>0</v>
      </c>
      <c r="BU32" s="1" t="n">
        <f aca="false">IF(BH32&gt;0.5,MIN(F_LoanPayM,BH32+BH32*(D_iL)),0)</f>
        <v>0</v>
      </c>
      <c r="BV32" s="1" t="n">
        <f aca="false">IF(BI32&gt;0.5,MIN(F_LoanPayM,BI32+BI32*(D_iL)),0)</f>
        <v>0</v>
      </c>
      <c r="BW32" s="1" t="n">
        <f aca="false">IF(BJ32&gt;0.5,MIN(F_LoanPayM,BJ32+BJ32*(D_iL)),0)</f>
        <v>0</v>
      </c>
      <c r="BX32" s="1" t="n">
        <f aca="false">IF(BK32&gt;0.5,MIN(F_LoanPayM,BK32+BK32*(D_iL)),0)</f>
        <v>0</v>
      </c>
      <c r="BY32" s="1" t="n">
        <f aca="false">IF(BL32&gt;0.5,MIN(F_LoanPayM,BL32+BL32*(D_iL)),0)</f>
        <v>0</v>
      </c>
      <c r="BZ32" s="1" t="n">
        <f aca="false">IF(BM32&gt;0.5,MIN(F_LoanPayM,BM32+BM32*(D_iL)),0)</f>
        <v>0</v>
      </c>
      <c r="CA32" s="1" t="n">
        <f aca="false">IF(BN32&gt;0.5,MIN(F_LoanPayM,BN32+BN32*(D_iL)),0)</f>
        <v>0</v>
      </c>
      <c r="CB32" s="1" t="n">
        <f aca="false">IF(BO32&gt;0.5,MIN(F_LoanPayM,BO32+BO32*(D_iL)),0)</f>
        <v>0</v>
      </c>
      <c r="CC32" s="1" t="n">
        <f aca="false">IF(BP32&gt;0.5,MIN(F_LoanPayM,BP32+BP32*(D_iL)),0)</f>
        <v>0</v>
      </c>
      <c r="CD32" s="1" t="n">
        <f aca="false">MAX(0,BQ32)</f>
        <v>0</v>
      </c>
      <c r="CE32" s="1" t="n">
        <f aca="false">SUM(BR32:CC32)</f>
        <v>0</v>
      </c>
      <c r="CF32" s="1" t="n">
        <f aca="false">IF(CF31&gt;1,DE31,CF31)</f>
        <v>0</v>
      </c>
      <c r="CG32" s="1" t="n">
        <f aca="false">IF(CF32&gt;0.5,CF32+CF32*(F_MR/12)-MIN(F_MortPayM,CF32+CF32*(F_MR/12)),CF32)</f>
        <v>0</v>
      </c>
      <c r="CH32" s="1" t="n">
        <f aca="false">IF(CG32&gt;0.5,CG32+CG32*(F_MR/12)-MIN(F_MortPayM,CG32+CG32*(F_MR/12)),CG32)</f>
        <v>0</v>
      </c>
      <c r="CI32" s="1" t="n">
        <f aca="false">IF(CH32&gt;0.5,CH32+CH32*(F_MR/12)-MIN(F_MortPayM,CH32+CH32*(F_MR/12)),CH32)</f>
        <v>0</v>
      </c>
      <c r="CJ32" s="1" t="n">
        <f aca="false">IF(CI32&gt;0.5,CI32+CI32*(F_MR/12)-MIN(F_MortPayM,CI32+CI32*(F_MR/12)),CI32)</f>
        <v>0</v>
      </c>
      <c r="CK32" s="1" t="n">
        <f aca="false">IF(CJ32&gt;0.5,CJ32+CJ32*(F_MR/12)-MIN(F_MortPayM,CJ32+CJ32*(F_MR/12)),CJ32)</f>
        <v>0</v>
      </c>
      <c r="CL32" s="1" t="n">
        <f aca="false">IF(CK32&gt;0.5,CK32+CK32*(F_MR/12)-MIN(F_MortPayM,CK32+CK32*(F_MR/12)),CK32)</f>
        <v>0</v>
      </c>
      <c r="CM32" s="1" t="n">
        <f aca="false">IF(CL32&gt;0.5,CL32+CL32*(F_MR/12)-MIN(F_MortPayM,CL32+CL32*(F_MR/12)),CL32)</f>
        <v>0</v>
      </c>
      <c r="CN32" s="1" t="n">
        <f aca="false">IF(CM32&gt;0.5,CM32+CM32*(F_MR/12)-MIN(F_MortPayM,CM32+CM32*(F_MR/12)),CM32)</f>
        <v>0</v>
      </c>
      <c r="CO32" s="1" t="n">
        <f aca="false">IF(CN32&gt;0.5,CN32+CN32*(F_MR/12)-MIN(F_MortPayM,CN32+CN32*(F_MR/12)),CN32)</f>
        <v>0</v>
      </c>
      <c r="CP32" s="1" t="n">
        <f aca="false">IF(CO32&gt;0.5,CO32+CO32*(F_MR/12)-MIN(F_MortPayM,CO32+CO32*(F_MR/12)),CO32)</f>
        <v>0</v>
      </c>
      <c r="CQ32" s="1" t="n">
        <f aca="false">IF(CP32&gt;0.5,CP32+CP32*(F_MR/12)-MIN(F_MortPayM,CP32+CP32*(F_MR/12)),CP32)</f>
        <v>0</v>
      </c>
      <c r="CR32" s="1" t="n">
        <f aca="false">IF(CQ32&gt;0.5,CQ32+CQ32*(F_MR/12)-MIN(F_MortPayM,CQ32+CQ32*(F_MR/12)),CQ32)</f>
        <v>0</v>
      </c>
      <c r="CS32" s="1" t="n">
        <f aca="false">IF(CF32&gt;0.5,MIN(F_MortPayM,CF32+CF32*(F_MR/12)),0)</f>
        <v>0</v>
      </c>
      <c r="CT32" s="1" t="n">
        <f aca="false">IF(CG32&gt;0.5,MIN(F_MortPayM,CG32+CG32*(F_MR/12)),0)</f>
        <v>0</v>
      </c>
      <c r="CU32" s="1" t="n">
        <f aca="false">IF(CH32&gt;0.5,MIN(F_MortPayM,CH32+CH32*(F_MR/12)),0)</f>
        <v>0</v>
      </c>
      <c r="CV32" s="1" t="n">
        <f aca="false">IF(CI32&gt;0.5,MIN(F_MortPayM,CI32+CI32*(F_MR/12)),0)</f>
        <v>0</v>
      </c>
      <c r="CW32" s="1" t="n">
        <f aca="false">IF(CJ32&gt;0.5,MIN(F_MortPayM,CJ32+CJ32*(F_MR/12)),0)</f>
        <v>0</v>
      </c>
      <c r="CX32" s="1" t="n">
        <f aca="false">IF(CK32&gt;0.5,MIN(F_MortPayM,CK32+CK32*(F_MR/12)),0)</f>
        <v>0</v>
      </c>
      <c r="CY32" s="1" t="n">
        <f aca="false">IF(CL32&gt;0.5,MIN(F_MortPayM,CL32+CL32*(F_MR/12)),0)</f>
        <v>0</v>
      </c>
      <c r="CZ32" s="1" t="n">
        <f aca="false">IF(CM32&gt;0.5,MIN(F_MortPayM,CM32+CM32*(F_MR/12)),0)</f>
        <v>0</v>
      </c>
      <c r="DA32" s="1" t="n">
        <f aca="false">IF(CN32&gt;0.5,MIN(F_MortPayM,CN32+CN32*(F_MR/12)),0)</f>
        <v>0</v>
      </c>
      <c r="DB32" s="1" t="n">
        <f aca="false">IF(CO32&gt;0.5,MIN(F_MortPayM,CO32+CO32*(F_MR/12)),0)</f>
        <v>0</v>
      </c>
      <c r="DC32" s="1" t="n">
        <f aca="false">IF(CP32&gt;0.5,MIN(F_MortPayM,CP32+CP32*(F_MR/12)),0)</f>
        <v>0</v>
      </c>
      <c r="DD32" s="1" t="n">
        <f aca="false">IF(CQ32&gt;0.5,MIN(F_MortPayM,CQ32+CQ32*(F_MR/12)),0)</f>
        <v>0</v>
      </c>
      <c r="DE32" s="1" t="n">
        <f aca="false">MAX(0,CR32)</f>
        <v>0</v>
      </c>
      <c r="DF32" s="1" t="n">
        <f aca="false">SUM(CS32:DD32)</f>
        <v>0</v>
      </c>
      <c r="DG32" s="1" t="n">
        <f aca="false">MAX(0,CF32)</f>
        <v>0</v>
      </c>
    </row>
    <row r="33" customFormat="false" ht="15" hidden="false" customHeight="false" outlineLevel="0" collapsed="false">
      <c r="B33" s="1" t="n">
        <v>25</v>
      </c>
      <c r="C33" s="1" t="n">
        <f aca="false">'Plan cashflow'!I33</f>
        <v>0</v>
      </c>
      <c r="D33" s="1" t="n">
        <f aca="false">IF(C33&gt;0.5,C33+C33*(F_MR/12)-MIN(F_MortPayM,C33+C33*(F_MR/12)),C33)</f>
        <v>0</v>
      </c>
      <c r="E33" s="1" t="n">
        <f aca="false">IF(D33&gt;0.5,D33+D33*(F_MR/12)-MIN(F_MortPayM,D33+D33*(F_MR/12)),D33)</f>
        <v>0</v>
      </c>
      <c r="F33" s="1" t="n">
        <f aca="false">IF(E33&gt;0.5,E33+E33*(F_MR/12)-MIN(F_MortPayM,E33+E33*(F_MR/12)),E33)</f>
        <v>0</v>
      </c>
      <c r="G33" s="1" t="n">
        <f aca="false">IF(F33&gt;0.5,F33+F33*(F_MR/12)-MIN(F_MortPayM,F33+F33*(F_MR/12)),F33)</f>
        <v>0</v>
      </c>
      <c r="H33" s="1" t="n">
        <f aca="false">IF(G33&gt;0.5,G33+G33*(F_MR/12)-MIN(F_MortPayM,G33+G33*(F_MR/12)),G33)</f>
        <v>0</v>
      </c>
      <c r="I33" s="1" t="n">
        <f aca="false">IF(H33&gt;0.5,H33+H33*(F_MR/12)-MIN(F_MortPayM,H33+H33*(F_MR/12)),H33)</f>
        <v>0</v>
      </c>
      <c r="J33" s="1" t="n">
        <f aca="false">IF(I33&gt;0.5,I33+I33*(F_MR/12)-MIN(F_MortPayM,I33+I33*(F_MR/12)),I33)</f>
        <v>0</v>
      </c>
      <c r="K33" s="1" t="n">
        <f aca="false">IF(J33&gt;0.5,J33+J33*(F_MR/12)-MIN(F_MortPayM,J33+J33*(F_MR/12)),J33)</f>
        <v>0</v>
      </c>
      <c r="L33" s="1" t="n">
        <f aca="false">IF(K33&gt;0.5,K33+K33*(F_MR/12)-MIN(F_MortPayM,K33+K33*(F_MR/12)),K33)</f>
        <v>0</v>
      </c>
      <c r="M33" s="1" t="n">
        <f aca="false">IF(L33&gt;0.5,L33+L33*(F_MR/12)-MIN(F_MortPayM,L33+L33*(F_MR/12)),L33)</f>
        <v>0</v>
      </c>
      <c r="N33" s="1" t="n">
        <f aca="false">IF(M33&gt;0.5,M33+M33*(F_MR/12)-MIN(F_MortPayM,M33+M33*(F_MR/12)),M33)</f>
        <v>0</v>
      </c>
      <c r="O33" s="1" t="n">
        <f aca="false">IF(N33&gt;0.5,N33+N33*(F_MR/12)-MIN(F_MortPayM,N33+N33*(F_MR/12)),N33)</f>
        <v>0</v>
      </c>
      <c r="P33" s="1" t="n">
        <f aca="false">IF(C33&gt;0.5,MIN(F_MortPayM,C33+C33*(F_MR/12)),0)</f>
        <v>0</v>
      </c>
      <c r="Q33" s="1" t="n">
        <f aca="false">IF(D33&gt;0.5,MIN(F_MortPayM,D33+D33*(F_MR/12)),0)</f>
        <v>0</v>
      </c>
      <c r="R33" s="1" t="n">
        <f aca="false">IF(E33&gt;0.5,MIN(F_MortPayM,E33+E33*(F_MR/12)),0)</f>
        <v>0</v>
      </c>
      <c r="S33" s="1" t="n">
        <f aca="false">IF(F33&gt;0.5,MIN(F_MortPayM,F33+F33*(F_MR/12)),0)</f>
        <v>0</v>
      </c>
      <c r="T33" s="1" t="n">
        <f aca="false">IF(G33&gt;0.5,MIN(F_MortPayM,G33+G33*(F_MR/12)),0)</f>
        <v>0</v>
      </c>
      <c r="U33" s="1" t="n">
        <f aca="false">IF(H33&gt;0.5,MIN(F_MortPayM,H33+H33*(F_MR/12)),0)</f>
        <v>0</v>
      </c>
      <c r="V33" s="1" t="n">
        <f aca="false">IF(I33&gt;0.5,MIN(F_MortPayM,I33+I33*(F_MR/12)),0)</f>
        <v>0</v>
      </c>
      <c r="W33" s="1" t="n">
        <f aca="false">IF(J33&gt;0.5,MIN(F_MortPayM,J33+J33*(F_MR/12)),0)</f>
        <v>0</v>
      </c>
      <c r="X33" s="1" t="n">
        <f aca="false">IF(K33&gt;0.5,MIN(F_MortPayM,K33+K33*(F_MR/12)),0)</f>
        <v>0</v>
      </c>
      <c r="Y33" s="1" t="n">
        <f aca="false">IF(L33&gt;0.5,MIN(F_MortPayM,L33+L33*(F_MR/12)),0)</f>
        <v>0</v>
      </c>
      <c r="Z33" s="1" t="n">
        <f aca="false">IF(M33&gt;0.5,MIN(F_MortPayM,M33+M33*(F_MR/12)),0)</f>
        <v>0</v>
      </c>
      <c r="AA33" s="1" t="n">
        <f aca="false">IF(N33&gt;0.5,MIN(F_MortPayM,N33+N33*(F_MR/12)),0)</f>
        <v>0</v>
      </c>
      <c r="AB33" s="1" t="n">
        <f aca="false">MAX(0,O33)</f>
        <v>0</v>
      </c>
      <c r="AC33" s="1" t="n">
        <f aca="false">SUM(P33:AA33)</f>
        <v>0</v>
      </c>
      <c r="AD33" s="1" t="n">
        <f aca="false">'Plan cashflow'!L33</f>
        <v>0</v>
      </c>
      <c r="AE33" s="1" t="n">
        <f aca="false">IF(AD33&gt;0.5,AD33+AD33*(D_iC)-MIN(F_CardPayM,AD33+AD33*(D_iC)),AD33)</f>
        <v>0</v>
      </c>
      <c r="AF33" s="1" t="n">
        <f aca="false">IF(AE33&gt;0.5,AE33+AE33*(D_iC)-MIN(F_CardPayM,AE33+AE33*(D_iC)),AE33)</f>
        <v>0</v>
      </c>
      <c r="AG33" s="1" t="n">
        <f aca="false">IF(AF33&gt;0.5,AF33+AF33*(D_iC)-MIN(F_CardPayM,AF33+AF33*(D_iC)),AF33)</f>
        <v>0</v>
      </c>
      <c r="AH33" s="1" t="n">
        <f aca="false">IF(AG33&gt;0.5,AG33+AG33*(D_iC)-MIN(F_CardPayM,AG33+AG33*(D_iC)),AG33)</f>
        <v>0</v>
      </c>
      <c r="AI33" s="1" t="n">
        <f aca="false">IF(AH33&gt;0.5,AH33+AH33*(D_iC)-MIN(F_CardPayM,AH33+AH33*(D_iC)),AH33)</f>
        <v>0</v>
      </c>
      <c r="AJ33" s="1" t="n">
        <f aca="false">IF(AI33&gt;0.5,AI33+AI33*(D_iC)-MIN(F_CardPayM,AI33+AI33*(D_iC)),AI33)</f>
        <v>0</v>
      </c>
      <c r="AK33" s="1" t="n">
        <f aca="false">IF(AJ33&gt;0.5,AJ33+AJ33*(D_iC)-MIN(F_CardPayM,AJ33+AJ33*(D_iC)),AJ33)</f>
        <v>0</v>
      </c>
      <c r="AL33" s="1" t="n">
        <f aca="false">IF(AK33&gt;0.5,AK33+AK33*(D_iC)-MIN(F_CardPayM,AK33+AK33*(D_iC)),AK33)</f>
        <v>0</v>
      </c>
      <c r="AM33" s="1" t="n">
        <f aca="false">IF(AL33&gt;0.5,AL33+AL33*(D_iC)-MIN(F_CardPayM,AL33+AL33*(D_iC)),AL33)</f>
        <v>0</v>
      </c>
      <c r="AN33" s="1" t="n">
        <f aca="false">IF(AM33&gt;0.5,AM33+AM33*(D_iC)-MIN(F_CardPayM,AM33+AM33*(D_iC)),AM33)</f>
        <v>0</v>
      </c>
      <c r="AO33" s="1" t="n">
        <f aca="false">IF(AN33&gt;0.5,AN33+AN33*(D_iC)-MIN(F_CardPayM,AN33+AN33*(D_iC)),AN33)</f>
        <v>0</v>
      </c>
      <c r="AP33" s="1" t="n">
        <f aca="false">IF(AO33&gt;0.5,AO33+AO33*(D_iC)-MIN(F_CardPayM,AO33+AO33*(D_iC)),AO33)</f>
        <v>0</v>
      </c>
      <c r="AQ33" s="1" t="n">
        <f aca="false">IF(AD33&gt;0.5,MIN(F_CardPayM,AD33+AD33*(D_iC)),0)</f>
        <v>0</v>
      </c>
      <c r="AR33" s="1" t="n">
        <f aca="false">IF(AE33&gt;0.5,MIN(F_CardPayM,AE33+AE33*(D_iC)),0)</f>
        <v>0</v>
      </c>
      <c r="AS33" s="1" t="n">
        <f aca="false">IF(AF33&gt;0.5,MIN(F_CardPayM,AF33+AF33*(D_iC)),0)</f>
        <v>0</v>
      </c>
      <c r="AT33" s="1" t="n">
        <f aca="false">IF(AG33&gt;0.5,MIN(F_CardPayM,AG33+AG33*(D_iC)),0)</f>
        <v>0</v>
      </c>
      <c r="AU33" s="1" t="n">
        <f aca="false">IF(AH33&gt;0.5,MIN(F_CardPayM,AH33+AH33*(D_iC)),0)</f>
        <v>0</v>
      </c>
      <c r="AV33" s="1" t="n">
        <f aca="false">IF(AI33&gt;0.5,MIN(F_CardPayM,AI33+AI33*(D_iC)),0)</f>
        <v>0</v>
      </c>
      <c r="AW33" s="1" t="n">
        <f aca="false">IF(AJ33&gt;0.5,MIN(F_CardPayM,AJ33+AJ33*(D_iC)),0)</f>
        <v>0</v>
      </c>
      <c r="AX33" s="1" t="n">
        <f aca="false">IF(AK33&gt;0.5,MIN(F_CardPayM,AK33+AK33*(D_iC)),0)</f>
        <v>0</v>
      </c>
      <c r="AY33" s="1" t="n">
        <f aca="false">IF(AL33&gt;0.5,MIN(F_CardPayM,AL33+AL33*(D_iC)),0)</f>
        <v>0</v>
      </c>
      <c r="AZ33" s="1" t="n">
        <f aca="false">IF(AM33&gt;0.5,MIN(F_CardPayM,AM33+AM33*(D_iC)),0)</f>
        <v>0</v>
      </c>
      <c r="BA33" s="1" t="n">
        <f aca="false">IF(AN33&gt;0.5,MIN(F_CardPayM,AN33+AN33*(D_iC)),0)</f>
        <v>0</v>
      </c>
      <c r="BB33" s="1" t="n">
        <f aca="false">IF(AO33&gt;0.5,MIN(F_CardPayM,AO33+AO33*(D_iC)),0)</f>
        <v>0</v>
      </c>
      <c r="BC33" s="1" t="n">
        <f aca="false">MAX(0,AP33)</f>
        <v>0</v>
      </c>
      <c r="BD33" s="1" t="n">
        <f aca="false">SUM(AQ33:BB33)</f>
        <v>0</v>
      </c>
      <c r="BE33" s="1" t="n">
        <f aca="false">'Plan cashflow'!O33</f>
        <v>0</v>
      </c>
      <c r="BF33" s="1" t="n">
        <f aca="false">IF(BE33&gt;0.5,BE33+BE33*(D_iL)-MIN(F_LoanPayM,BE33+BE33*(D_iL)),BE33)</f>
        <v>0</v>
      </c>
      <c r="BG33" s="1" t="n">
        <f aca="false">IF(BF33&gt;0.5,BF33+BF33*(D_iL)-MIN(F_LoanPayM,BF33+BF33*(D_iL)),BF33)</f>
        <v>0</v>
      </c>
      <c r="BH33" s="1" t="n">
        <f aca="false">IF(BG33&gt;0.5,BG33+BG33*(D_iL)-MIN(F_LoanPayM,BG33+BG33*(D_iL)),BG33)</f>
        <v>0</v>
      </c>
      <c r="BI33" s="1" t="n">
        <f aca="false">IF(BH33&gt;0.5,BH33+BH33*(D_iL)-MIN(F_LoanPayM,BH33+BH33*(D_iL)),BH33)</f>
        <v>0</v>
      </c>
      <c r="BJ33" s="1" t="n">
        <f aca="false">IF(BI33&gt;0.5,BI33+BI33*(D_iL)-MIN(F_LoanPayM,BI33+BI33*(D_iL)),BI33)</f>
        <v>0</v>
      </c>
      <c r="BK33" s="1" t="n">
        <f aca="false">IF(BJ33&gt;0.5,BJ33+BJ33*(D_iL)-MIN(F_LoanPayM,BJ33+BJ33*(D_iL)),BJ33)</f>
        <v>0</v>
      </c>
      <c r="BL33" s="1" t="n">
        <f aca="false">IF(BK33&gt;0.5,BK33+BK33*(D_iL)-MIN(F_LoanPayM,BK33+BK33*(D_iL)),BK33)</f>
        <v>0</v>
      </c>
      <c r="BM33" s="1" t="n">
        <f aca="false">IF(BL33&gt;0.5,BL33+BL33*(D_iL)-MIN(F_LoanPayM,BL33+BL33*(D_iL)),BL33)</f>
        <v>0</v>
      </c>
      <c r="BN33" s="1" t="n">
        <f aca="false">IF(BM33&gt;0.5,BM33+BM33*(D_iL)-MIN(F_LoanPayM,BM33+BM33*(D_iL)),BM33)</f>
        <v>0</v>
      </c>
      <c r="BO33" s="1" t="n">
        <f aca="false">IF(BN33&gt;0.5,BN33+BN33*(D_iL)-MIN(F_LoanPayM,BN33+BN33*(D_iL)),BN33)</f>
        <v>0</v>
      </c>
      <c r="BP33" s="1" t="n">
        <f aca="false">IF(BO33&gt;0.5,BO33+BO33*(D_iL)-MIN(F_LoanPayM,BO33+BO33*(D_iL)),BO33)</f>
        <v>0</v>
      </c>
      <c r="BQ33" s="1" t="n">
        <f aca="false">IF(BP33&gt;0.5,BP33+BP33*(D_iL)-MIN(F_LoanPayM,BP33+BP33*(D_iL)),BP33)</f>
        <v>0</v>
      </c>
      <c r="BR33" s="1" t="n">
        <f aca="false">IF(BE33&gt;0.5,MIN(F_LoanPayM,BE33+BE33*(D_iL)),0)</f>
        <v>0</v>
      </c>
      <c r="BS33" s="1" t="n">
        <f aca="false">IF(BF33&gt;0.5,MIN(F_LoanPayM,BF33+BF33*(D_iL)),0)</f>
        <v>0</v>
      </c>
      <c r="BT33" s="1" t="n">
        <f aca="false">IF(BG33&gt;0.5,MIN(F_LoanPayM,BG33+BG33*(D_iL)),0)</f>
        <v>0</v>
      </c>
      <c r="BU33" s="1" t="n">
        <f aca="false">IF(BH33&gt;0.5,MIN(F_LoanPayM,BH33+BH33*(D_iL)),0)</f>
        <v>0</v>
      </c>
      <c r="BV33" s="1" t="n">
        <f aca="false">IF(BI33&gt;0.5,MIN(F_LoanPayM,BI33+BI33*(D_iL)),0)</f>
        <v>0</v>
      </c>
      <c r="BW33" s="1" t="n">
        <f aca="false">IF(BJ33&gt;0.5,MIN(F_LoanPayM,BJ33+BJ33*(D_iL)),0)</f>
        <v>0</v>
      </c>
      <c r="BX33" s="1" t="n">
        <f aca="false">IF(BK33&gt;0.5,MIN(F_LoanPayM,BK33+BK33*(D_iL)),0)</f>
        <v>0</v>
      </c>
      <c r="BY33" s="1" t="n">
        <f aca="false">IF(BL33&gt;0.5,MIN(F_LoanPayM,BL33+BL33*(D_iL)),0)</f>
        <v>0</v>
      </c>
      <c r="BZ33" s="1" t="n">
        <f aca="false">IF(BM33&gt;0.5,MIN(F_LoanPayM,BM33+BM33*(D_iL)),0)</f>
        <v>0</v>
      </c>
      <c r="CA33" s="1" t="n">
        <f aca="false">IF(BN33&gt;0.5,MIN(F_LoanPayM,BN33+BN33*(D_iL)),0)</f>
        <v>0</v>
      </c>
      <c r="CB33" s="1" t="n">
        <f aca="false">IF(BO33&gt;0.5,MIN(F_LoanPayM,BO33+BO33*(D_iL)),0)</f>
        <v>0</v>
      </c>
      <c r="CC33" s="1" t="n">
        <f aca="false">IF(BP33&gt;0.5,MIN(F_LoanPayM,BP33+BP33*(D_iL)),0)</f>
        <v>0</v>
      </c>
      <c r="CD33" s="1" t="n">
        <f aca="false">MAX(0,BQ33)</f>
        <v>0</v>
      </c>
      <c r="CE33" s="1" t="n">
        <f aca="false">SUM(BR33:CC33)</f>
        <v>0</v>
      </c>
      <c r="CF33" s="1" t="n">
        <f aca="false">IF(CF32&gt;1,DE32,CF32)</f>
        <v>0</v>
      </c>
      <c r="CG33" s="1" t="n">
        <f aca="false">IF(CF33&gt;0.5,CF33+CF33*(F_MR/12)-MIN(F_MortPayM,CF33+CF33*(F_MR/12)),CF33)</f>
        <v>0</v>
      </c>
      <c r="CH33" s="1" t="n">
        <f aca="false">IF(CG33&gt;0.5,CG33+CG33*(F_MR/12)-MIN(F_MortPayM,CG33+CG33*(F_MR/12)),CG33)</f>
        <v>0</v>
      </c>
      <c r="CI33" s="1" t="n">
        <f aca="false">IF(CH33&gt;0.5,CH33+CH33*(F_MR/12)-MIN(F_MortPayM,CH33+CH33*(F_MR/12)),CH33)</f>
        <v>0</v>
      </c>
      <c r="CJ33" s="1" t="n">
        <f aca="false">IF(CI33&gt;0.5,CI33+CI33*(F_MR/12)-MIN(F_MortPayM,CI33+CI33*(F_MR/12)),CI33)</f>
        <v>0</v>
      </c>
      <c r="CK33" s="1" t="n">
        <f aca="false">IF(CJ33&gt;0.5,CJ33+CJ33*(F_MR/12)-MIN(F_MortPayM,CJ33+CJ33*(F_MR/12)),CJ33)</f>
        <v>0</v>
      </c>
      <c r="CL33" s="1" t="n">
        <f aca="false">IF(CK33&gt;0.5,CK33+CK33*(F_MR/12)-MIN(F_MortPayM,CK33+CK33*(F_MR/12)),CK33)</f>
        <v>0</v>
      </c>
      <c r="CM33" s="1" t="n">
        <f aca="false">IF(CL33&gt;0.5,CL33+CL33*(F_MR/12)-MIN(F_MortPayM,CL33+CL33*(F_MR/12)),CL33)</f>
        <v>0</v>
      </c>
      <c r="CN33" s="1" t="n">
        <f aca="false">IF(CM33&gt;0.5,CM33+CM33*(F_MR/12)-MIN(F_MortPayM,CM33+CM33*(F_MR/12)),CM33)</f>
        <v>0</v>
      </c>
      <c r="CO33" s="1" t="n">
        <f aca="false">IF(CN33&gt;0.5,CN33+CN33*(F_MR/12)-MIN(F_MortPayM,CN33+CN33*(F_MR/12)),CN33)</f>
        <v>0</v>
      </c>
      <c r="CP33" s="1" t="n">
        <f aca="false">IF(CO33&gt;0.5,CO33+CO33*(F_MR/12)-MIN(F_MortPayM,CO33+CO33*(F_MR/12)),CO33)</f>
        <v>0</v>
      </c>
      <c r="CQ33" s="1" t="n">
        <f aca="false">IF(CP33&gt;0.5,CP33+CP33*(F_MR/12)-MIN(F_MortPayM,CP33+CP33*(F_MR/12)),CP33)</f>
        <v>0</v>
      </c>
      <c r="CR33" s="1" t="n">
        <f aca="false">IF(CQ33&gt;0.5,CQ33+CQ33*(F_MR/12)-MIN(F_MortPayM,CQ33+CQ33*(F_MR/12)),CQ33)</f>
        <v>0</v>
      </c>
      <c r="CS33" s="1" t="n">
        <f aca="false">IF(CF33&gt;0.5,MIN(F_MortPayM,CF33+CF33*(F_MR/12)),0)</f>
        <v>0</v>
      </c>
      <c r="CT33" s="1" t="n">
        <f aca="false">IF(CG33&gt;0.5,MIN(F_MortPayM,CG33+CG33*(F_MR/12)),0)</f>
        <v>0</v>
      </c>
      <c r="CU33" s="1" t="n">
        <f aca="false">IF(CH33&gt;0.5,MIN(F_MortPayM,CH33+CH33*(F_MR/12)),0)</f>
        <v>0</v>
      </c>
      <c r="CV33" s="1" t="n">
        <f aca="false">IF(CI33&gt;0.5,MIN(F_MortPayM,CI33+CI33*(F_MR/12)),0)</f>
        <v>0</v>
      </c>
      <c r="CW33" s="1" t="n">
        <f aca="false">IF(CJ33&gt;0.5,MIN(F_MortPayM,CJ33+CJ33*(F_MR/12)),0)</f>
        <v>0</v>
      </c>
      <c r="CX33" s="1" t="n">
        <f aca="false">IF(CK33&gt;0.5,MIN(F_MortPayM,CK33+CK33*(F_MR/12)),0)</f>
        <v>0</v>
      </c>
      <c r="CY33" s="1" t="n">
        <f aca="false">IF(CL33&gt;0.5,MIN(F_MortPayM,CL33+CL33*(F_MR/12)),0)</f>
        <v>0</v>
      </c>
      <c r="CZ33" s="1" t="n">
        <f aca="false">IF(CM33&gt;0.5,MIN(F_MortPayM,CM33+CM33*(F_MR/12)),0)</f>
        <v>0</v>
      </c>
      <c r="DA33" s="1" t="n">
        <f aca="false">IF(CN33&gt;0.5,MIN(F_MortPayM,CN33+CN33*(F_MR/12)),0)</f>
        <v>0</v>
      </c>
      <c r="DB33" s="1" t="n">
        <f aca="false">IF(CO33&gt;0.5,MIN(F_MortPayM,CO33+CO33*(F_MR/12)),0)</f>
        <v>0</v>
      </c>
      <c r="DC33" s="1" t="n">
        <f aca="false">IF(CP33&gt;0.5,MIN(F_MortPayM,CP33+CP33*(F_MR/12)),0)</f>
        <v>0</v>
      </c>
      <c r="DD33" s="1" t="n">
        <f aca="false">IF(CQ33&gt;0.5,MIN(F_MortPayM,CQ33+CQ33*(F_MR/12)),0)</f>
        <v>0</v>
      </c>
      <c r="DE33" s="1" t="n">
        <f aca="false">MAX(0,CR33)</f>
        <v>0</v>
      </c>
      <c r="DF33" s="1" t="n">
        <f aca="false">SUM(CS33:DD33)</f>
        <v>0</v>
      </c>
      <c r="DG33" s="1" t="n">
        <f aca="false">MAX(0,CF33)</f>
        <v>0</v>
      </c>
    </row>
    <row r="34" customFormat="false" ht="15" hidden="false" customHeight="false" outlineLevel="0" collapsed="false">
      <c r="B34" s="1" t="n">
        <v>26</v>
      </c>
      <c r="C34" s="1" t="n">
        <f aca="false">'Plan cashflow'!I34</f>
        <v>0</v>
      </c>
      <c r="D34" s="1" t="n">
        <f aca="false">IF(C34&gt;0.5,C34+C34*(F_MR/12)-MIN(F_MortPayM,C34+C34*(F_MR/12)),C34)</f>
        <v>0</v>
      </c>
      <c r="E34" s="1" t="n">
        <f aca="false">IF(D34&gt;0.5,D34+D34*(F_MR/12)-MIN(F_MortPayM,D34+D34*(F_MR/12)),D34)</f>
        <v>0</v>
      </c>
      <c r="F34" s="1" t="n">
        <f aca="false">IF(E34&gt;0.5,E34+E34*(F_MR/12)-MIN(F_MortPayM,E34+E34*(F_MR/12)),E34)</f>
        <v>0</v>
      </c>
      <c r="G34" s="1" t="n">
        <f aca="false">IF(F34&gt;0.5,F34+F34*(F_MR/12)-MIN(F_MortPayM,F34+F34*(F_MR/12)),F34)</f>
        <v>0</v>
      </c>
      <c r="H34" s="1" t="n">
        <f aca="false">IF(G34&gt;0.5,G34+G34*(F_MR/12)-MIN(F_MortPayM,G34+G34*(F_MR/12)),G34)</f>
        <v>0</v>
      </c>
      <c r="I34" s="1" t="n">
        <f aca="false">IF(H34&gt;0.5,H34+H34*(F_MR/12)-MIN(F_MortPayM,H34+H34*(F_MR/12)),H34)</f>
        <v>0</v>
      </c>
      <c r="J34" s="1" t="n">
        <f aca="false">IF(I34&gt;0.5,I34+I34*(F_MR/12)-MIN(F_MortPayM,I34+I34*(F_MR/12)),I34)</f>
        <v>0</v>
      </c>
      <c r="K34" s="1" t="n">
        <f aca="false">IF(J34&gt;0.5,J34+J34*(F_MR/12)-MIN(F_MortPayM,J34+J34*(F_MR/12)),J34)</f>
        <v>0</v>
      </c>
      <c r="L34" s="1" t="n">
        <f aca="false">IF(K34&gt;0.5,K34+K34*(F_MR/12)-MIN(F_MortPayM,K34+K34*(F_MR/12)),K34)</f>
        <v>0</v>
      </c>
      <c r="M34" s="1" t="n">
        <f aca="false">IF(L34&gt;0.5,L34+L34*(F_MR/12)-MIN(F_MortPayM,L34+L34*(F_MR/12)),L34)</f>
        <v>0</v>
      </c>
      <c r="N34" s="1" t="n">
        <f aca="false">IF(M34&gt;0.5,M34+M34*(F_MR/12)-MIN(F_MortPayM,M34+M34*(F_MR/12)),M34)</f>
        <v>0</v>
      </c>
      <c r="O34" s="1" t="n">
        <f aca="false">IF(N34&gt;0.5,N34+N34*(F_MR/12)-MIN(F_MortPayM,N34+N34*(F_MR/12)),N34)</f>
        <v>0</v>
      </c>
      <c r="P34" s="1" t="n">
        <f aca="false">IF(C34&gt;0.5,MIN(F_MortPayM,C34+C34*(F_MR/12)),0)</f>
        <v>0</v>
      </c>
      <c r="Q34" s="1" t="n">
        <f aca="false">IF(D34&gt;0.5,MIN(F_MortPayM,D34+D34*(F_MR/12)),0)</f>
        <v>0</v>
      </c>
      <c r="R34" s="1" t="n">
        <f aca="false">IF(E34&gt;0.5,MIN(F_MortPayM,E34+E34*(F_MR/12)),0)</f>
        <v>0</v>
      </c>
      <c r="S34" s="1" t="n">
        <f aca="false">IF(F34&gt;0.5,MIN(F_MortPayM,F34+F34*(F_MR/12)),0)</f>
        <v>0</v>
      </c>
      <c r="T34" s="1" t="n">
        <f aca="false">IF(G34&gt;0.5,MIN(F_MortPayM,G34+G34*(F_MR/12)),0)</f>
        <v>0</v>
      </c>
      <c r="U34" s="1" t="n">
        <f aca="false">IF(H34&gt;0.5,MIN(F_MortPayM,H34+H34*(F_MR/12)),0)</f>
        <v>0</v>
      </c>
      <c r="V34" s="1" t="n">
        <f aca="false">IF(I34&gt;0.5,MIN(F_MortPayM,I34+I34*(F_MR/12)),0)</f>
        <v>0</v>
      </c>
      <c r="W34" s="1" t="n">
        <f aca="false">IF(J34&gt;0.5,MIN(F_MortPayM,J34+J34*(F_MR/12)),0)</f>
        <v>0</v>
      </c>
      <c r="X34" s="1" t="n">
        <f aca="false">IF(K34&gt;0.5,MIN(F_MortPayM,K34+K34*(F_MR/12)),0)</f>
        <v>0</v>
      </c>
      <c r="Y34" s="1" t="n">
        <f aca="false">IF(L34&gt;0.5,MIN(F_MortPayM,L34+L34*(F_MR/12)),0)</f>
        <v>0</v>
      </c>
      <c r="Z34" s="1" t="n">
        <f aca="false">IF(M34&gt;0.5,MIN(F_MortPayM,M34+M34*(F_MR/12)),0)</f>
        <v>0</v>
      </c>
      <c r="AA34" s="1" t="n">
        <f aca="false">IF(N34&gt;0.5,MIN(F_MortPayM,N34+N34*(F_MR/12)),0)</f>
        <v>0</v>
      </c>
      <c r="AB34" s="1" t="n">
        <f aca="false">MAX(0,O34)</f>
        <v>0</v>
      </c>
      <c r="AC34" s="1" t="n">
        <f aca="false">SUM(P34:AA34)</f>
        <v>0</v>
      </c>
      <c r="AD34" s="1" t="n">
        <f aca="false">'Plan cashflow'!L34</f>
        <v>0</v>
      </c>
      <c r="AE34" s="1" t="n">
        <f aca="false">IF(AD34&gt;0.5,AD34+AD34*(D_iC)-MIN(F_CardPayM,AD34+AD34*(D_iC)),AD34)</f>
        <v>0</v>
      </c>
      <c r="AF34" s="1" t="n">
        <f aca="false">IF(AE34&gt;0.5,AE34+AE34*(D_iC)-MIN(F_CardPayM,AE34+AE34*(D_iC)),AE34)</f>
        <v>0</v>
      </c>
      <c r="AG34" s="1" t="n">
        <f aca="false">IF(AF34&gt;0.5,AF34+AF34*(D_iC)-MIN(F_CardPayM,AF34+AF34*(D_iC)),AF34)</f>
        <v>0</v>
      </c>
      <c r="AH34" s="1" t="n">
        <f aca="false">IF(AG34&gt;0.5,AG34+AG34*(D_iC)-MIN(F_CardPayM,AG34+AG34*(D_iC)),AG34)</f>
        <v>0</v>
      </c>
      <c r="AI34" s="1" t="n">
        <f aca="false">IF(AH34&gt;0.5,AH34+AH34*(D_iC)-MIN(F_CardPayM,AH34+AH34*(D_iC)),AH34)</f>
        <v>0</v>
      </c>
      <c r="AJ34" s="1" t="n">
        <f aca="false">IF(AI34&gt;0.5,AI34+AI34*(D_iC)-MIN(F_CardPayM,AI34+AI34*(D_iC)),AI34)</f>
        <v>0</v>
      </c>
      <c r="AK34" s="1" t="n">
        <f aca="false">IF(AJ34&gt;0.5,AJ34+AJ34*(D_iC)-MIN(F_CardPayM,AJ34+AJ34*(D_iC)),AJ34)</f>
        <v>0</v>
      </c>
      <c r="AL34" s="1" t="n">
        <f aca="false">IF(AK34&gt;0.5,AK34+AK34*(D_iC)-MIN(F_CardPayM,AK34+AK34*(D_iC)),AK34)</f>
        <v>0</v>
      </c>
      <c r="AM34" s="1" t="n">
        <f aca="false">IF(AL34&gt;0.5,AL34+AL34*(D_iC)-MIN(F_CardPayM,AL34+AL34*(D_iC)),AL34)</f>
        <v>0</v>
      </c>
      <c r="AN34" s="1" t="n">
        <f aca="false">IF(AM34&gt;0.5,AM34+AM34*(D_iC)-MIN(F_CardPayM,AM34+AM34*(D_iC)),AM34)</f>
        <v>0</v>
      </c>
      <c r="AO34" s="1" t="n">
        <f aca="false">IF(AN34&gt;0.5,AN34+AN34*(D_iC)-MIN(F_CardPayM,AN34+AN34*(D_iC)),AN34)</f>
        <v>0</v>
      </c>
      <c r="AP34" s="1" t="n">
        <f aca="false">IF(AO34&gt;0.5,AO34+AO34*(D_iC)-MIN(F_CardPayM,AO34+AO34*(D_iC)),AO34)</f>
        <v>0</v>
      </c>
      <c r="AQ34" s="1" t="n">
        <f aca="false">IF(AD34&gt;0.5,MIN(F_CardPayM,AD34+AD34*(D_iC)),0)</f>
        <v>0</v>
      </c>
      <c r="AR34" s="1" t="n">
        <f aca="false">IF(AE34&gt;0.5,MIN(F_CardPayM,AE34+AE34*(D_iC)),0)</f>
        <v>0</v>
      </c>
      <c r="AS34" s="1" t="n">
        <f aca="false">IF(AF34&gt;0.5,MIN(F_CardPayM,AF34+AF34*(D_iC)),0)</f>
        <v>0</v>
      </c>
      <c r="AT34" s="1" t="n">
        <f aca="false">IF(AG34&gt;0.5,MIN(F_CardPayM,AG34+AG34*(D_iC)),0)</f>
        <v>0</v>
      </c>
      <c r="AU34" s="1" t="n">
        <f aca="false">IF(AH34&gt;0.5,MIN(F_CardPayM,AH34+AH34*(D_iC)),0)</f>
        <v>0</v>
      </c>
      <c r="AV34" s="1" t="n">
        <f aca="false">IF(AI34&gt;0.5,MIN(F_CardPayM,AI34+AI34*(D_iC)),0)</f>
        <v>0</v>
      </c>
      <c r="AW34" s="1" t="n">
        <f aca="false">IF(AJ34&gt;0.5,MIN(F_CardPayM,AJ34+AJ34*(D_iC)),0)</f>
        <v>0</v>
      </c>
      <c r="AX34" s="1" t="n">
        <f aca="false">IF(AK34&gt;0.5,MIN(F_CardPayM,AK34+AK34*(D_iC)),0)</f>
        <v>0</v>
      </c>
      <c r="AY34" s="1" t="n">
        <f aca="false">IF(AL34&gt;0.5,MIN(F_CardPayM,AL34+AL34*(D_iC)),0)</f>
        <v>0</v>
      </c>
      <c r="AZ34" s="1" t="n">
        <f aca="false">IF(AM34&gt;0.5,MIN(F_CardPayM,AM34+AM34*(D_iC)),0)</f>
        <v>0</v>
      </c>
      <c r="BA34" s="1" t="n">
        <f aca="false">IF(AN34&gt;0.5,MIN(F_CardPayM,AN34+AN34*(D_iC)),0)</f>
        <v>0</v>
      </c>
      <c r="BB34" s="1" t="n">
        <f aca="false">IF(AO34&gt;0.5,MIN(F_CardPayM,AO34+AO34*(D_iC)),0)</f>
        <v>0</v>
      </c>
      <c r="BC34" s="1" t="n">
        <f aca="false">MAX(0,AP34)</f>
        <v>0</v>
      </c>
      <c r="BD34" s="1" t="n">
        <f aca="false">SUM(AQ34:BB34)</f>
        <v>0</v>
      </c>
      <c r="BE34" s="1" t="n">
        <f aca="false">'Plan cashflow'!O34</f>
        <v>0</v>
      </c>
      <c r="BF34" s="1" t="n">
        <f aca="false">IF(BE34&gt;0.5,BE34+BE34*(D_iL)-MIN(F_LoanPayM,BE34+BE34*(D_iL)),BE34)</f>
        <v>0</v>
      </c>
      <c r="BG34" s="1" t="n">
        <f aca="false">IF(BF34&gt;0.5,BF34+BF34*(D_iL)-MIN(F_LoanPayM,BF34+BF34*(D_iL)),BF34)</f>
        <v>0</v>
      </c>
      <c r="BH34" s="1" t="n">
        <f aca="false">IF(BG34&gt;0.5,BG34+BG34*(D_iL)-MIN(F_LoanPayM,BG34+BG34*(D_iL)),BG34)</f>
        <v>0</v>
      </c>
      <c r="BI34" s="1" t="n">
        <f aca="false">IF(BH34&gt;0.5,BH34+BH34*(D_iL)-MIN(F_LoanPayM,BH34+BH34*(D_iL)),BH34)</f>
        <v>0</v>
      </c>
      <c r="BJ34" s="1" t="n">
        <f aca="false">IF(BI34&gt;0.5,BI34+BI34*(D_iL)-MIN(F_LoanPayM,BI34+BI34*(D_iL)),BI34)</f>
        <v>0</v>
      </c>
      <c r="BK34" s="1" t="n">
        <f aca="false">IF(BJ34&gt;0.5,BJ34+BJ34*(D_iL)-MIN(F_LoanPayM,BJ34+BJ34*(D_iL)),BJ34)</f>
        <v>0</v>
      </c>
      <c r="BL34" s="1" t="n">
        <f aca="false">IF(BK34&gt;0.5,BK34+BK34*(D_iL)-MIN(F_LoanPayM,BK34+BK34*(D_iL)),BK34)</f>
        <v>0</v>
      </c>
      <c r="BM34" s="1" t="n">
        <f aca="false">IF(BL34&gt;0.5,BL34+BL34*(D_iL)-MIN(F_LoanPayM,BL34+BL34*(D_iL)),BL34)</f>
        <v>0</v>
      </c>
      <c r="BN34" s="1" t="n">
        <f aca="false">IF(BM34&gt;0.5,BM34+BM34*(D_iL)-MIN(F_LoanPayM,BM34+BM34*(D_iL)),BM34)</f>
        <v>0</v>
      </c>
      <c r="BO34" s="1" t="n">
        <f aca="false">IF(BN34&gt;0.5,BN34+BN34*(D_iL)-MIN(F_LoanPayM,BN34+BN34*(D_iL)),BN34)</f>
        <v>0</v>
      </c>
      <c r="BP34" s="1" t="n">
        <f aca="false">IF(BO34&gt;0.5,BO34+BO34*(D_iL)-MIN(F_LoanPayM,BO34+BO34*(D_iL)),BO34)</f>
        <v>0</v>
      </c>
      <c r="BQ34" s="1" t="n">
        <f aca="false">IF(BP34&gt;0.5,BP34+BP34*(D_iL)-MIN(F_LoanPayM,BP34+BP34*(D_iL)),BP34)</f>
        <v>0</v>
      </c>
      <c r="BR34" s="1" t="n">
        <f aca="false">IF(BE34&gt;0.5,MIN(F_LoanPayM,BE34+BE34*(D_iL)),0)</f>
        <v>0</v>
      </c>
      <c r="BS34" s="1" t="n">
        <f aca="false">IF(BF34&gt;0.5,MIN(F_LoanPayM,BF34+BF34*(D_iL)),0)</f>
        <v>0</v>
      </c>
      <c r="BT34" s="1" t="n">
        <f aca="false">IF(BG34&gt;0.5,MIN(F_LoanPayM,BG34+BG34*(D_iL)),0)</f>
        <v>0</v>
      </c>
      <c r="BU34" s="1" t="n">
        <f aca="false">IF(BH34&gt;0.5,MIN(F_LoanPayM,BH34+BH34*(D_iL)),0)</f>
        <v>0</v>
      </c>
      <c r="BV34" s="1" t="n">
        <f aca="false">IF(BI34&gt;0.5,MIN(F_LoanPayM,BI34+BI34*(D_iL)),0)</f>
        <v>0</v>
      </c>
      <c r="BW34" s="1" t="n">
        <f aca="false">IF(BJ34&gt;0.5,MIN(F_LoanPayM,BJ34+BJ34*(D_iL)),0)</f>
        <v>0</v>
      </c>
      <c r="BX34" s="1" t="n">
        <f aca="false">IF(BK34&gt;0.5,MIN(F_LoanPayM,BK34+BK34*(D_iL)),0)</f>
        <v>0</v>
      </c>
      <c r="BY34" s="1" t="n">
        <f aca="false">IF(BL34&gt;0.5,MIN(F_LoanPayM,BL34+BL34*(D_iL)),0)</f>
        <v>0</v>
      </c>
      <c r="BZ34" s="1" t="n">
        <f aca="false">IF(BM34&gt;0.5,MIN(F_LoanPayM,BM34+BM34*(D_iL)),0)</f>
        <v>0</v>
      </c>
      <c r="CA34" s="1" t="n">
        <f aca="false">IF(BN34&gt;0.5,MIN(F_LoanPayM,BN34+BN34*(D_iL)),0)</f>
        <v>0</v>
      </c>
      <c r="CB34" s="1" t="n">
        <f aca="false">IF(BO34&gt;0.5,MIN(F_LoanPayM,BO34+BO34*(D_iL)),0)</f>
        <v>0</v>
      </c>
      <c r="CC34" s="1" t="n">
        <f aca="false">IF(BP34&gt;0.5,MIN(F_LoanPayM,BP34+BP34*(D_iL)),0)</f>
        <v>0</v>
      </c>
      <c r="CD34" s="1" t="n">
        <f aca="false">MAX(0,BQ34)</f>
        <v>0</v>
      </c>
      <c r="CE34" s="1" t="n">
        <f aca="false">SUM(BR34:CC34)</f>
        <v>0</v>
      </c>
      <c r="CF34" s="1" t="n">
        <f aca="false">IF(CF33&gt;1,DE33,CF33)</f>
        <v>0</v>
      </c>
      <c r="CG34" s="1" t="n">
        <f aca="false">IF(CF34&gt;0.5,CF34+CF34*(F_MR/12)-MIN(F_MortPayM,CF34+CF34*(F_MR/12)),CF34)</f>
        <v>0</v>
      </c>
      <c r="CH34" s="1" t="n">
        <f aca="false">IF(CG34&gt;0.5,CG34+CG34*(F_MR/12)-MIN(F_MortPayM,CG34+CG34*(F_MR/12)),CG34)</f>
        <v>0</v>
      </c>
      <c r="CI34" s="1" t="n">
        <f aca="false">IF(CH34&gt;0.5,CH34+CH34*(F_MR/12)-MIN(F_MortPayM,CH34+CH34*(F_MR/12)),CH34)</f>
        <v>0</v>
      </c>
      <c r="CJ34" s="1" t="n">
        <f aca="false">IF(CI34&gt;0.5,CI34+CI34*(F_MR/12)-MIN(F_MortPayM,CI34+CI34*(F_MR/12)),CI34)</f>
        <v>0</v>
      </c>
      <c r="CK34" s="1" t="n">
        <f aca="false">IF(CJ34&gt;0.5,CJ34+CJ34*(F_MR/12)-MIN(F_MortPayM,CJ34+CJ34*(F_MR/12)),CJ34)</f>
        <v>0</v>
      </c>
      <c r="CL34" s="1" t="n">
        <f aca="false">IF(CK34&gt;0.5,CK34+CK34*(F_MR/12)-MIN(F_MortPayM,CK34+CK34*(F_MR/12)),CK34)</f>
        <v>0</v>
      </c>
      <c r="CM34" s="1" t="n">
        <f aca="false">IF(CL34&gt;0.5,CL34+CL34*(F_MR/12)-MIN(F_MortPayM,CL34+CL34*(F_MR/12)),CL34)</f>
        <v>0</v>
      </c>
      <c r="CN34" s="1" t="n">
        <f aca="false">IF(CM34&gt;0.5,CM34+CM34*(F_MR/12)-MIN(F_MortPayM,CM34+CM34*(F_MR/12)),CM34)</f>
        <v>0</v>
      </c>
      <c r="CO34" s="1" t="n">
        <f aca="false">IF(CN34&gt;0.5,CN34+CN34*(F_MR/12)-MIN(F_MortPayM,CN34+CN34*(F_MR/12)),CN34)</f>
        <v>0</v>
      </c>
      <c r="CP34" s="1" t="n">
        <f aca="false">IF(CO34&gt;0.5,CO34+CO34*(F_MR/12)-MIN(F_MortPayM,CO34+CO34*(F_MR/12)),CO34)</f>
        <v>0</v>
      </c>
      <c r="CQ34" s="1" t="n">
        <f aca="false">IF(CP34&gt;0.5,CP34+CP34*(F_MR/12)-MIN(F_MortPayM,CP34+CP34*(F_MR/12)),CP34)</f>
        <v>0</v>
      </c>
      <c r="CR34" s="1" t="n">
        <f aca="false">IF(CQ34&gt;0.5,CQ34+CQ34*(F_MR/12)-MIN(F_MortPayM,CQ34+CQ34*(F_MR/12)),CQ34)</f>
        <v>0</v>
      </c>
      <c r="CS34" s="1" t="n">
        <f aca="false">IF(CF34&gt;0.5,MIN(F_MortPayM,CF34+CF34*(F_MR/12)),0)</f>
        <v>0</v>
      </c>
      <c r="CT34" s="1" t="n">
        <f aca="false">IF(CG34&gt;0.5,MIN(F_MortPayM,CG34+CG34*(F_MR/12)),0)</f>
        <v>0</v>
      </c>
      <c r="CU34" s="1" t="n">
        <f aca="false">IF(CH34&gt;0.5,MIN(F_MortPayM,CH34+CH34*(F_MR/12)),0)</f>
        <v>0</v>
      </c>
      <c r="CV34" s="1" t="n">
        <f aca="false">IF(CI34&gt;0.5,MIN(F_MortPayM,CI34+CI34*(F_MR/12)),0)</f>
        <v>0</v>
      </c>
      <c r="CW34" s="1" t="n">
        <f aca="false">IF(CJ34&gt;0.5,MIN(F_MortPayM,CJ34+CJ34*(F_MR/12)),0)</f>
        <v>0</v>
      </c>
      <c r="CX34" s="1" t="n">
        <f aca="false">IF(CK34&gt;0.5,MIN(F_MortPayM,CK34+CK34*(F_MR/12)),0)</f>
        <v>0</v>
      </c>
      <c r="CY34" s="1" t="n">
        <f aca="false">IF(CL34&gt;0.5,MIN(F_MortPayM,CL34+CL34*(F_MR/12)),0)</f>
        <v>0</v>
      </c>
      <c r="CZ34" s="1" t="n">
        <f aca="false">IF(CM34&gt;0.5,MIN(F_MortPayM,CM34+CM34*(F_MR/12)),0)</f>
        <v>0</v>
      </c>
      <c r="DA34" s="1" t="n">
        <f aca="false">IF(CN34&gt;0.5,MIN(F_MortPayM,CN34+CN34*(F_MR/12)),0)</f>
        <v>0</v>
      </c>
      <c r="DB34" s="1" t="n">
        <f aca="false">IF(CO34&gt;0.5,MIN(F_MortPayM,CO34+CO34*(F_MR/12)),0)</f>
        <v>0</v>
      </c>
      <c r="DC34" s="1" t="n">
        <f aca="false">IF(CP34&gt;0.5,MIN(F_MortPayM,CP34+CP34*(F_MR/12)),0)</f>
        <v>0</v>
      </c>
      <c r="DD34" s="1" t="n">
        <f aca="false">IF(CQ34&gt;0.5,MIN(F_MortPayM,CQ34+CQ34*(F_MR/12)),0)</f>
        <v>0</v>
      </c>
      <c r="DE34" s="1" t="n">
        <f aca="false">MAX(0,CR34)</f>
        <v>0</v>
      </c>
      <c r="DF34" s="1" t="n">
        <f aca="false">SUM(CS34:DD34)</f>
        <v>0</v>
      </c>
      <c r="DG34" s="1" t="n">
        <f aca="false">MAX(0,CF34)</f>
        <v>0</v>
      </c>
    </row>
    <row r="35" customFormat="false" ht="15" hidden="false" customHeight="false" outlineLevel="0" collapsed="false">
      <c r="B35" s="1" t="n">
        <v>27</v>
      </c>
      <c r="C35" s="1" t="n">
        <f aca="false">'Plan cashflow'!I35</f>
        <v>0</v>
      </c>
      <c r="D35" s="1" t="n">
        <f aca="false">IF(C35&gt;0.5,C35+C35*(F_MR/12)-MIN(F_MortPayM,C35+C35*(F_MR/12)),C35)</f>
        <v>0</v>
      </c>
      <c r="E35" s="1" t="n">
        <f aca="false">IF(D35&gt;0.5,D35+D35*(F_MR/12)-MIN(F_MortPayM,D35+D35*(F_MR/12)),D35)</f>
        <v>0</v>
      </c>
      <c r="F35" s="1" t="n">
        <f aca="false">IF(E35&gt;0.5,E35+E35*(F_MR/12)-MIN(F_MortPayM,E35+E35*(F_MR/12)),E35)</f>
        <v>0</v>
      </c>
      <c r="G35" s="1" t="n">
        <f aca="false">IF(F35&gt;0.5,F35+F35*(F_MR/12)-MIN(F_MortPayM,F35+F35*(F_MR/12)),F35)</f>
        <v>0</v>
      </c>
      <c r="H35" s="1" t="n">
        <f aca="false">IF(G35&gt;0.5,G35+G35*(F_MR/12)-MIN(F_MortPayM,G35+G35*(F_MR/12)),G35)</f>
        <v>0</v>
      </c>
      <c r="I35" s="1" t="n">
        <f aca="false">IF(H35&gt;0.5,H35+H35*(F_MR/12)-MIN(F_MortPayM,H35+H35*(F_MR/12)),H35)</f>
        <v>0</v>
      </c>
      <c r="J35" s="1" t="n">
        <f aca="false">IF(I35&gt;0.5,I35+I35*(F_MR/12)-MIN(F_MortPayM,I35+I35*(F_MR/12)),I35)</f>
        <v>0</v>
      </c>
      <c r="K35" s="1" t="n">
        <f aca="false">IF(J35&gt;0.5,J35+J35*(F_MR/12)-MIN(F_MortPayM,J35+J35*(F_MR/12)),J35)</f>
        <v>0</v>
      </c>
      <c r="L35" s="1" t="n">
        <f aca="false">IF(K35&gt;0.5,K35+K35*(F_MR/12)-MIN(F_MortPayM,K35+K35*(F_MR/12)),K35)</f>
        <v>0</v>
      </c>
      <c r="M35" s="1" t="n">
        <f aca="false">IF(L35&gt;0.5,L35+L35*(F_MR/12)-MIN(F_MortPayM,L35+L35*(F_MR/12)),L35)</f>
        <v>0</v>
      </c>
      <c r="N35" s="1" t="n">
        <f aca="false">IF(M35&gt;0.5,M35+M35*(F_MR/12)-MIN(F_MortPayM,M35+M35*(F_MR/12)),M35)</f>
        <v>0</v>
      </c>
      <c r="O35" s="1" t="n">
        <f aca="false">IF(N35&gt;0.5,N35+N35*(F_MR/12)-MIN(F_MortPayM,N35+N35*(F_MR/12)),N35)</f>
        <v>0</v>
      </c>
      <c r="P35" s="1" t="n">
        <f aca="false">IF(C35&gt;0.5,MIN(F_MortPayM,C35+C35*(F_MR/12)),0)</f>
        <v>0</v>
      </c>
      <c r="Q35" s="1" t="n">
        <f aca="false">IF(D35&gt;0.5,MIN(F_MortPayM,D35+D35*(F_MR/12)),0)</f>
        <v>0</v>
      </c>
      <c r="R35" s="1" t="n">
        <f aca="false">IF(E35&gt;0.5,MIN(F_MortPayM,E35+E35*(F_MR/12)),0)</f>
        <v>0</v>
      </c>
      <c r="S35" s="1" t="n">
        <f aca="false">IF(F35&gt;0.5,MIN(F_MortPayM,F35+F35*(F_MR/12)),0)</f>
        <v>0</v>
      </c>
      <c r="T35" s="1" t="n">
        <f aca="false">IF(G35&gt;0.5,MIN(F_MortPayM,G35+G35*(F_MR/12)),0)</f>
        <v>0</v>
      </c>
      <c r="U35" s="1" t="n">
        <f aca="false">IF(H35&gt;0.5,MIN(F_MortPayM,H35+H35*(F_MR/12)),0)</f>
        <v>0</v>
      </c>
      <c r="V35" s="1" t="n">
        <f aca="false">IF(I35&gt;0.5,MIN(F_MortPayM,I35+I35*(F_MR/12)),0)</f>
        <v>0</v>
      </c>
      <c r="W35" s="1" t="n">
        <f aca="false">IF(J35&gt;0.5,MIN(F_MortPayM,J35+J35*(F_MR/12)),0)</f>
        <v>0</v>
      </c>
      <c r="X35" s="1" t="n">
        <f aca="false">IF(K35&gt;0.5,MIN(F_MortPayM,K35+K35*(F_MR/12)),0)</f>
        <v>0</v>
      </c>
      <c r="Y35" s="1" t="n">
        <f aca="false">IF(L35&gt;0.5,MIN(F_MortPayM,L35+L35*(F_MR/12)),0)</f>
        <v>0</v>
      </c>
      <c r="Z35" s="1" t="n">
        <f aca="false">IF(M35&gt;0.5,MIN(F_MortPayM,M35+M35*(F_MR/12)),0)</f>
        <v>0</v>
      </c>
      <c r="AA35" s="1" t="n">
        <f aca="false">IF(N35&gt;0.5,MIN(F_MortPayM,N35+N35*(F_MR/12)),0)</f>
        <v>0</v>
      </c>
      <c r="AB35" s="1" t="n">
        <f aca="false">MAX(0,O35)</f>
        <v>0</v>
      </c>
      <c r="AC35" s="1" t="n">
        <f aca="false">SUM(P35:AA35)</f>
        <v>0</v>
      </c>
      <c r="AD35" s="1" t="n">
        <f aca="false">'Plan cashflow'!L35</f>
        <v>0</v>
      </c>
      <c r="AE35" s="1" t="n">
        <f aca="false">IF(AD35&gt;0.5,AD35+AD35*(D_iC)-MIN(F_CardPayM,AD35+AD35*(D_iC)),AD35)</f>
        <v>0</v>
      </c>
      <c r="AF35" s="1" t="n">
        <f aca="false">IF(AE35&gt;0.5,AE35+AE35*(D_iC)-MIN(F_CardPayM,AE35+AE35*(D_iC)),AE35)</f>
        <v>0</v>
      </c>
      <c r="AG35" s="1" t="n">
        <f aca="false">IF(AF35&gt;0.5,AF35+AF35*(D_iC)-MIN(F_CardPayM,AF35+AF35*(D_iC)),AF35)</f>
        <v>0</v>
      </c>
      <c r="AH35" s="1" t="n">
        <f aca="false">IF(AG35&gt;0.5,AG35+AG35*(D_iC)-MIN(F_CardPayM,AG35+AG35*(D_iC)),AG35)</f>
        <v>0</v>
      </c>
      <c r="AI35" s="1" t="n">
        <f aca="false">IF(AH35&gt;0.5,AH35+AH35*(D_iC)-MIN(F_CardPayM,AH35+AH35*(D_iC)),AH35)</f>
        <v>0</v>
      </c>
      <c r="AJ35" s="1" t="n">
        <f aca="false">IF(AI35&gt;0.5,AI35+AI35*(D_iC)-MIN(F_CardPayM,AI35+AI35*(D_iC)),AI35)</f>
        <v>0</v>
      </c>
      <c r="AK35" s="1" t="n">
        <f aca="false">IF(AJ35&gt;0.5,AJ35+AJ35*(D_iC)-MIN(F_CardPayM,AJ35+AJ35*(D_iC)),AJ35)</f>
        <v>0</v>
      </c>
      <c r="AL35" s="1" t="n">
        <f aca="false">IF(AK35&gt;0.5,AK35+AK35*(D_iC)-MIN(F_CardPayM,AK35+AK35*(D_iC)),AK35)</f>
        <v>0</v>
      </c>
      <c r="AM35" s="1" t="n">
        <f aca="false">IF(AL35&gt;0.5,AL35+AL35*(D_iC)-MIN(F_CardPayM,AL35+AL35*(D_iC)),AL35)</f>
        <v>0</v>
      </c>
      <c r="AN35" s="1" t="n">
        <f aca="false">IF(AM35&gt;0.5,AM35+AM35*(D_iC)-MIN(F_CardPayM,AM35+AM35*(D_iC)),AM35)</f>
        <v>0</v>
      </c>
      <c r="AO35" s="1" t="n">
        <f aca="false">IF(AN35&gt;0.5,AN35+AN35*(D_iC)-MIN(F_CardPayM,AN35+AN35*(D_iC)),AN35)</f>
        <v>0</v>
      </c>
      <c r="AP35" s="1" t="n">
        <f aca="false">IF(AO35&gt;0.5,AO35+AO35*(D_iC)-MIN(F_CardPayM,AO35+AO35*(D_iC)),AO35)</f>
        <v>0</v>
      </c>
      <c r="AQ35" s="1" t="n">
        <f aca="false">IF(AD35&gt;0.5,MIN(F_CardPayM,AD35+AD35*(D_iC)),0)</f>
        <v>0</v>
      </c>
      <c r="AR35" s="1" t="n">
        <f aca="false">IF(AE35&gt;0.5,MIN(F_CardPayM,AE35+AE35*(D_iC)),0)</f>
        <v>0</v>
      </c>
      <c r="AS35" s="1" t="n">
        <f aca="false">IF(AF35&gt;0.5,MIN(F_CardPayM,AF35+AF35*(D_iC)),0)</f>
        <v>0</v>
      </c>
      <c r="AT35" s="1" t="n">
        <f aca="false">IF(AG35&gt;0.5,MIN(F_CardPayM,AG35+AG35*(D_iC)),0)</f>
        <v>0</v>
      </c>
      <c r="AU35" s="1" t="n">
        <f aca="false">IF(AH35&gt;0.5,MIN(F_CardPayM,AH35+AH35*(D_iC)),0)</f>
        <v>0</v>
      </c>
      <c r="AV35" s="1" t="n">
        <f aca="false">IF(AI35&gt;0.5,MIN(F_CardPayM,AI35+AI35*(D_iC)),0)</f>
        <v>0</v>
      </c>
      <c r="AW35" s="1" t="n">
        <f aca="false">IF(AJ35&gt;0.5,MIN(F_CardPayM,AJ35+AJ35*(D_iC)),0)</f>
        <v>0</v>
      </c>
      <c r="AX35" s="1" t="n">
        <f aca="false">IF(AK35&gt;0.5,MIN(F_CardPayM,AK35+AK35*(D_iC)),0)</f>
        <v>0</v>
      </c>
      <c r="AY35" s="1" t="n">
        <f aca="false">IF(AL35&gt;0.5,MIN(F_CardPayM,AL35+AL35*(D_iC)),0)</f>
        <v>0</v>
      </c>
      <c r="AZ35" s="1" t="n">
        <f aca="false">IF(AM35&gt;0.5,MIN(F_CardPayM,AM35+AM35*(D_iC)),0)</f>
        <v>0</v>
      </c>
      <c r="BA35" s="1" t="n">
        <f aca="false">IF(AN35&gt;0.5,MIN(F_CardPayM,AN35+AN35*(D_iC)),0)</f>
        <v>0</v>
      </c>
      <c r="BB35" s="1" t="n">
        <f aca="false">IF(AO35&gt;0.5,MIN(F_CardPayM,AO35+AO35*(D_iC)),0)</f>
        <v>0</v>
      </c>
      <c r="BC35" s="1" t="n">
        <f aca="false">MAX(0,AP35)</f>
        <v>0</v>
      </c>
      <c r="BD35" s="1" t="n">
        <f aca="false">SUM(AQ35:BB35)</f>
        <v>0</v>
      </c>
      <c r="BE35" s="1" t="n">
        <f aca="false">'Plan cashflow'!O35</f>
        <v>0</v>
      </c>
      <c r="BF35" s="1" t="n">
        <f aca="false">IF(BE35&gt;0.5,BE35+BE35*(D_iL)-MIN(F_LoanPayM,BE35+BE35*(D_iL)),BE35)</f>
        <v>0</v>
      </c>
      <c r="BG35" s="1" t="n">
        <f aca="false">IF(BF35&gt;0.5,BF35+BF35*(D_iL)-MIN(F_LoanPayM,BF35+BF35*(D_iL)),BF35)</f>
        <v>0</v>
      </c>
      <c r="BH35" s="1" t="n">
        <f aca="false">IF(BG35&gt;0.5,BG35+BG35*(D_iL)-MIN(F_LoanPayM,BG35+BG35*(D_iL)),BG35)</f>
        <v>0</v>
      </c>
      <c r="BI35" s="1" t="n">
        <f aca="false">IF(BH35&gt;0.5,BH35+BH35*(D_iL)-MIN(F_LoanPayM,BH35+BH35*(D_iL)),BH35)</f>
        <v>0</v>
      </c>
      <c r="BJ35" s="1" t="n">
        <f aca="false">IF(BI35&gt;0.5,BI35+BI35*(D_iL)-MIN(F_LoanPayM,BI35+BI35*(D_iL)),BI35)</f>
        <v>0</v>
      </c>
      <c r="BK35" s="1" t="n">
        <f aca="false">IF(BJ35&gt;0.5,BJ35+BJ35*(D_iL)-MIN(F_LoanPayM,BJ35+BJ35*(D_iL)),BJ35)</f>
        <v>0</v>
      </c>
      <c r="BL35" s="1" t="n">
        <f aca="false">IF(BK35&gt;0.5,BK35+BK35*(D_iL)-MIN(F_LoanPayM,BK35+BK35*(D_iL)),BK35)</f>
        <v>0</v>
      </c>
      <c r="BM35" s="1" t="n">
        <f aca="false">IF(BL35&gt;0.5,BL35+BL35*(D_iL)-MIN(F_LoanPayM,BL35+BL35*(D_iL)),BL35)</f>
        <v>0</v>
      </c>
      <c r="BN35" s="1" t="n">
        <f aca="false">IF(BM35&gt;0.5,BM35+BM35*(D_iL)-MIN(F_LoanPayM,BM35+BM35*(D_iL)),BM35)</f>
        <v>0</v>
      </c>
      <c r="BO35" s="1" t="n">
        <f aca="false">IF(BN35&gt;0.5,BN35+BN35*(D_iL)-MIN(F_LoanPayM,BN35+BN35*(D_iL)),BN35)</f>
        <v>0</v>
      </c>
      <c r="BP35" s="1" t="n">
        <f aca="false">IF(BO35&gt;0.5,BO35+BO35*(D_iL)-MIN(F_LoanPayM,BO35+BO35*(D_iL)),BO35)</f>
        <v>0</v>
      </c>
      <c r="BQ35" s="1" t="n">
        <f aca="false">IF(BP35&gt;0.5,BP35+BP35*(D_iL)-MIN(F_LoanPayM,BP35+BP35*(D_iL)),BP35)</f>
        <v>0</v>
      </c>
      <c r="BR35" s="1" t="n">
        <f aca="false">IF(BE35&gt;0.5,MIN(F_LoanPayM,BE35+BE35*(D_iL)),0)</f>
        <v>0</v>
      </c>
      <c r="BS35" s="1" t="n">
        <f aca="false">IF(BF35&gt;0.5,MIN(F_LoanPayM,BF35+BF35*(D_iL)),0)</f>
        <v>0</v>
      </c>
      <c r="BT35" s="1" t="n">
        <f aca="false">IF(BG35&gt;0.5,MIN(F_LoanPayM,BG35+BG35*(D_iL)),0)</f>
        <v>0</v>
      </c>
      <c r="BU35" s="1" t="n">
        <f aca="false">IF(BH35&gt;0.5,MIN(F_LoanPayM,BH35+BH35*(D_iL)),0)</f>
        <v>0</v>
      </c>
      <c r="BV35" s="1" t="n">
        <f aca="false">IF(BI35&gt;0.5,MIN(F_LoanPayM,BI35+BI35*(D_iL)),0)</f>
        <v>0</v>
      </c>
      <c r="BW35" s="1" t="n">
        <f aca="false">IF(BJ35&gt;0.5,MIN(F_LoanPayM,BJ35+BJ35*(D_iL)),0)</f>
        <v>0</v>
      </c>
      <c r="BX35" s="1" t="n">
        <f aca="false">IF(BK35&gt;0.5,MIN(F_LoanPayM,BK35+BK35*(D_iL)),0)</f>
        <v>0</v>
      </c>
      <c r="BY35" s="1" t="n">
        <f aca="false">IF(BL35&gt;0.5,MIN(F_LoanPayM,BL35+BL35*(D_iL)),0)</f>
        <v>0</v>
      </c>
      <c r="BZ35" s="1" t="n">
        <f aca="false">IF(BM35&gt;0.5,MIN(F_LoanPayM,BM35+BM35*(D_iL)),0)</f>
        <v>0</v>
      </c>
      <c r="CA35" s="1" t="n">
        <f aca="false">IF(BN35&gt;0.5,MIN(F_LoanPayM,BN35+BN35*(D_iL)),0)</f>
        <v>0</v>
      </c>
      <c r="CB35" s="1" t="n">
        <f aca="false">IF(BO35&gt;0.5,MIN(F_LoanPayM,BO35+BO35*(D_iL)),0)</f>
        <v>0</v>
      </c>
      <c r="CC35" s="1" t="n">
        <f aca="false">IF(BP35&gt;0.5,MIN(F_LoanPayM,BP35+BP35*(D_iL)),0)</f>
        <v>0</v>
      </c>
      <c r="CD35" s="1" t="n">
        <f aca="false">MAX(0,BQ35)</f>
        <v>0</v>
      </c>
      <c r="CE35" s="1" t="n">
        <f aca="false">SUM(BR35:CC35)</f>
        <v>0</v>
      </c>
      <c r="CF35" s="1" t="n">
        <f aca="false">IF(CF34&gt;1,DE34,CF34)</f>
        <v>0</v>
      </c>
      <c r="CG35" s="1" t="n">
        <f aca="false">IF(CF35&gt;0.5,CF35+CF35*(F_MR/12)-MIN(F_MortPayM,CF35+CF35*(F_MR/12)),CF35)</f>
        <v>0</v>
      </c>
      <c r="CH35" s="1" t="n">
        <f aca="false">IF(CG35&gt;0.5,CG35+CG35*(F_MR/12)-MIN(F_MortPayM,CG35+CG35*(F_MR/12)),CG35)</f>
        <v>0</v>
      </c>
      <c r="CI35" s="1" t="n">
        <f aca="false">IF(CH35&gt;0.5,CH35+CH35*(F_MR/12)-MIN(F_MortPayM,CH35+CH35*(F_MR/12)),CH35)</f>
        <v>0</v>
      </c>
      <c r="CJ35" s="1" t="n">
        <f aca="false">IF(CI35&gt;0.5,CI35+CI35*(F_MR/12)-MIN(F_MortPayM,CI35+CI35*(F_MR/12)),CI35)</f>
        <v>0</v>
      </c>
      <c r="CK35" s="1" t="n">
        <f aca="false">IF(CJ35&gt;0.5,CJ35+CJ35*(F_MR/12)-MIN(F_MortPayM,CJ35+CJ35*(F_MR/12)),CJ35)</f>
        <v>0</v>
      </c>
      <c r="CL35" s="1" t="n">
        <f aca="false">IF(CK35&gt;0.5,CK35+CK35*(F_MR/12)-MIN(F_MortPayM,CK35+CK35*(F_MR/12)),CK35)</f>
        <v>0</v>
      </c>
      <c r="CM35" s="1" t="n">
        <f aca="false">IF(CL35&gt;0.5,CL35+CL35*(F_MR/12)-MIN(F_MortPayM,CL35+CL35*(F_MR/12)),CL35)</f>
        <v>0</v>
      </c>
      <c r="CN35" s="1" t="n">
        <f aca="false">IF(CM35&gt;0.5,CM35+CM35*(F_MR/12)-MIN(F_MortPayM,CM35+CM35*(F_MR/12)),CM35)</f>
        <v>0</v>
      </c>
      <c r="CO35" s="1" t="n">
        <f aca="false">IF(CN35&gt;0.5,CN35+CN35*(F_MR/12)-MIN(F_MortPayM,CN35+CN35*(F_MR/12)),CN35)</f>
        <v>0</v>
      </c>
      <c r="CP35" s="1" t="n">
        <f aca="false">IF(CO35&gt;0.5,CO35+CO35*(F_MR/12)-MIN(F_MortPayM,CO35+CO35*(F_MR/12)),CO35)</f>
        <v>0</v>
      </c>
      <c r="CQ35" s="1" t="n">
        <f aca="false">IF(CP35&gt;0.5,CP35+CP35*(F_MR/12)-MIN(F_MortPayM,CP35+CP35*(F_MR/12)),CP35)</f>
        <v>0</v>
      </c>
      <c r="CR35" s="1" t="n">
        <f aca="false">IF(CQ35&gt;0.5,CQ35+CQ35*(F_MR/12)-MIN(F_MortPayM,CQ35+CQ35*(F_MR/12)),CQ35)</f>
        <v>0</v>
      </c>
      <c r="CS35" s="1" t="n">
        <f aca="false">IF(CF35&gt;0.5,MIN(F_MortPayM,CF35+CF35*(F_MR/12)),0)</f>
        <v>0</v>
      </c>
      <c r="CT35" s="1" t="n">
        <f aca="false">IF(CG35&gt;0.5,MIN(F_MortPayM,CG35+CG35*(F_MR/12)),0)</f>
        <v>0</v>
      </c>
      <c r="CU35" s="1" t="n">
        <f aca="false">IF(CH35&gt;0.5,MIN(F_MortPayM,CH35+CH35*(F_MR/12)),0)</f>
        <v>0</v>
      </c>
      <c r="CV35" s="1" t="n">
        <f aca="false">IF(CI35&gt;0.5,MIN(F_MortPayM,CI35+CI35*(F_MR/12)),0)</f>
        <v>0</v>
      </c>
      <c r="CW35" s="1" t="n">
        <f aca="false">IF(CJ35&gt;0.5,MIN(F_MortPayM,CJ35+CJ35*(F_MR/12)),0)</f>
        <v>0</v>
      </c>
      <c r="CX35" s="1" t="n">
        <f aca="false">IF(CK35&gt;0.5,MIN(F_MortPayM,CK35+CK35*(F_MR/12)),0)</f>
        <v>0</v>
      </c>
      <c r="CY35" s="1" t="n">
        <f aca="false">IF(CL35&gt;0.5,MIN(F_MortPayM,CL35+CL35*(F_MR/12)),0)</f>
        <v>0</v>
      </c>
      <c r="CZ35" s="1" t="n">
        <f aca="false">IF(CM35&gt;0.5,MIN(F_MortPayM,CM35+CM35*(F_MR/12)),0)</f>
        <v>0</v>
      </c>
      <c r="DA35" s="1" t="n">
        <f aca="false">IF(CN35&gt;0.5,MIN(F_MortPayM,CN35+CN35*(F_MR/12)),0)</f>
        <v>0</v>
      </c>
      <c r="DB35" s="1" t="n">
        <f aca="false">IF(CO35&gt;0.5,MIN(F_MortPayM,CO35+CO35*(F_MR/12)),0)</f>
        <v>0</v>
      </c>
      <c r="DC35" s="1" t="n">
        <f aca="false">IF(CP35&gt;0.5,MIN(F_MortPayM,CP35+CP35*(F_MR/12)),0)</f>
        <v>0</v>
      </c>
      <c r="DD35" s="1" t="n">
        <f aca="false">IF(CQ35&gt;0.5,MIN(F_MortPayM,CQ35+CQ35*(F_MR/12)),0)</f>
        <v>0</v>
      </c>
      <c r="DE35" s="1" t="n">
        <f aca="false">MAX(0,CR35)</f>
        <v>0</v>
      </c>
      <c r="DF35" s="1" t="n">
        <f aca="false">SUM(CS35:DD35)</f>
        <v>0</v>
      </c>
      <c r="DG35" s="1" t="n">
        <f aca="false">MAX(0,CF35)</f>
        <v>0</v>
      </c>
    </row>
    <row r="36" customFormat="false" ht="15" hidden="false" customHeight="false" outlineLevel="0" collapsed="false">
      <c r="B36" s="1" t="n">
        <v>28</v>
      </c>
      <c r="C36" s="1" t="n">
        <f aca="false">'Plan cashflow'!I36</f>
        <v>0</v>
      </c>
      <c r="D36" s="1" t="n">
        <f aca="false">IF(C36&gt;0.5,C36+C36*(F_MR/12)-MIN(F_MortPayM,C36+C36*(F_MR/12)),C36)</f>
        <v>0</v>
      </c>
      <c r="E36" s="1" t="n">
        <f aca="false">IF(D36&gt;0.5,D36+D36*(F_MR/12)-MIN(F_MortPayM,D36+D36*(F_MR/12)),D36)</f>
        <v>0</v>
      </c>
      <c r="F36" s="1" t="n">
        <f aca="false">IF(E36&gt;0.5,E36+E36*(F_MR/12)-MIN(F_MortPayM,E36+E36*(F_MR/12)),E36)</f>
        <v>0</v>
      </c>
      <c r="G36" s="1" t="n">
        <f aca="false">IF(F36&gt;0.5,F36+F36*(F_MR/12)-MIN(F_MortPayM,F36+F36*(F_MR/12)),F36)</f>
        <v>0</v>
      </c>
      <c r="H36" s="1" t="n">
        <f aca="false">IF(G36&gt;0.5,G36+G36*(F_MR/12)-MIN(F_MortPayM,G36+G36*(F_MR/12)),G36)</f>
        <v>0</v>
      </c>
      <c r="I36" s="1" t="n">
        <f aca="false">IF(H36&gt;0.5,H36+H36*(F_MR/12)-MIN(F_MortPayM,H36+H36*(F_MR/12)),H36)</f>
        <v>0</v>
      </c>
      <c r="J36" s="1" t="n">
        <f aca="false">IF(I36&gt;0.5,I36+I36*(F_MR/12)-MIN(F_MortPayM,I36+I36*(F_MR/12)),I36)</f>
        <v>0</v>
      </c>
      <c r="K36" s="1" t="n">
        <f aca="false">IF(J36&gt;0.5,J36+J36*(F_MR/12)-MIN(F_MortPayM,J36+J36*(F_MR/12)),J36)</f>
        <v>0</v>
      </c>
      <c r="L36" s="1" t="n">
        <f aca="false">IF(K36&gt;0.5,K36+K36*(F_MR/12)-MIN(F_MortPayM,K36+K36*(F_MR/12)),K36)</f>
        <v>0</v>
      </c>
      <c r="M36" s="1" t="n">
        <f aca="false">IF(L36&gt;0.5,L36+L36*(F_MR/12)-MIN(F_MortPayM,L36+L36*(F_MR/12)),L36)</f>
        <v>0</v>
      </c>
      <c r="N36" s="1" t="n">
        <f aca="false">IF(M36&gt;0.5,M36+M36*(F_MR/12)-MIN(F_MortPayM,M36+M36*(F_MR/12)),M36)</f>
        <v>0</v>
      </c>
      <c r="O36" s="1" t="n">
        <f aca="false">IF(N36&gt;0.5,N36+N36*(F_MR/12)-MIN(F_MortPayM,N36+N36*(F_MR/12)),N36)</f>
        <v>0</v>
      </c>
      <c r="P36" s="1" t="n">
        <f aca="false">IF(C36&gt;0.5,MIN(F_MortPayM,C36+C36*(F_MR/12)),0)</f>
        <v>0</v>
      </c>
      <c r="Q36" s="1" t="n">
        <f aca="false">IF(D36&gt;0.5,MIN(F_MortPayM,D36+D36*(F_MR/12)),0)</f>
        <v>0</v>
      </c>
      <c r="R36" s="1" t="n">
        <f aca="false">IF(E36&gt;0.5,MIN(F_MortPayM,E36+E36*(F_MR/12)),0)</f>
        <v>0</v>
      </c>
      <c r="S36" s="1" t="n">
        <f aca="false">IF(F36&gt;0.5,MIN(F_MortPayM,F36+F36*(F_MR/12)),0)</f>
        <v>0</v>
      </c>
      <c r="T36" s="1" t="n">
        <f aca="false">IF(G36&gt;0.5,MIN(F_MortPayM,G36+G36*(F_MR/12)),0)</f>
        <v>0</v>
      </c>
      <c r="U36" s="1" t="n">
        <f aca="false">IF(H36&gt;0.5,MIN(F_MortPayM,H36+H36*(F_MR/12)),0)</f>
        <v>0</v>
      </c>
      <c r="V36" s="1" t="n">
        <f aca="false">IF(I36&gt;0.5,MIN(F_MortPayM,I36+I36*(F_MR/12)),0)</f>
        <v>0</v>
      </c>
      <c r="W36" s="1" t="n">
        <f aca="false">IF(J36&gt;0.5,MIN(F_MortPayM,J36+J36*(F_MR/12)),0)</f>
        <v>0</v>
      </c>
      <c r="X36" s="1" t="n">
        <f aca="false">IF(K36&gt;0.5,MIN(F_MortPayM,K36+K36*(F_MR/12)),0)</f>
        <v>0</v>
      </c>
      <c r="Y36" s="1" t="n">
        <f aca="false">IF(L36&gt;0.5,MIN(F_MortPayM,L36+L36*(F_MR/12)),0)</f>
        <v>0</v>
      </c>
      <c r="Z36" s="1" t="n">
        <f aca="false">IF(M36&gt;0.5,MIN(F_MortPayM,M36+M36*(F_MR/12)),0)</f>
        <v>0</v>
      </c>
      <c r="AA36" s="1" t="n">
        <f aca="false">IF(N36&gt;0.5,MIN(F_MortPayM,N36+N36*(F_MR/12)),0)</f>
        <v>0</v>
      </c>
      <c r="AB36" s="1" t="n">
        <f aca="false">MAX(0,O36)</f>
        <v>0</v>
      </c>
      <c r="AC36" s="1" t="n">
        <f aca="false">SUM(P36:AA36)</f>
        <v>0</v>
      </c>
      <c r="AD36" s="1" t="n">
        <f aca="false">'Plan cashflow'!L36</f>
        <v>0</v>
      </c>
      <c r="AE36" s="1" t="n">
        <f aca="false">IF(AD36&gt;0.5,AD36+AD36*(D_iC)-MIN(F_CardPayM,AD36+AD36*(D_iC)),AD36)</f>
        <v>0</v>
      </c>
      <c r="AF36" s="1" t="n">
        <f aca="false">IF(AE36&gt;0.5,AE36+AE36*(D_iC)-MIN(F_CardPayM,AE36+AE36*(D_iC)),AE36)</f>
        <v>0</v>
      </c>
      <c r="AG36" s="1" t="n">
        <f aca="false">IF(AF36&gt;0.5,AF36+AF36*(D_iC)-MIN(F_CardPayM,AF36+AF36*(D_iC)),AF36)</f>
        <v>0</v>
      </c>
      <c r="AH36" s="1" t="n">
        <f aca="false">IF(AG36&gt;0.5,AG36+AG36*(D_iC)-MIN(F_CardPayM,AG36+AG36*(D_iC)),AG36)</f>
        <v>0</v>
      </c>
      <c r="AI36" s="1" t="n">
        <f aca="false">IF(AH36&gt;0.5,AH36+AH36*(D_iC)-MIN(F_CardPayM,AH36+AH36*(D_iC)),AH36)</f>
        <v>0</v>
      </c>
      <c r="AJ36" s="1" t="n">
        <f aca="false">IF(AI36&gt;0.5,AI36+AI36*(D_iC)-MIN(F_CardPayM,AI36+AI36*(D_iC)),AI36)</f>
        <v>0</v>
      </c>
      <c r="AK36" s="1" t="n">
        <f aca="false">IF(AJ36&gt;0.5,AJ36+AJ36*(D_iC)-MIN(F_CardPayM,AJ36+AJ36*(D_iC)),AJ36)</f>
        <v>0</v>
      </c>
      <c r="AL36" s="1" t="n">
        <f aca="false">IF(AK36&gt;0.5,AK36+AK36*(D_iC)-MIN(F_CardPayM,AK36+AK36*(D_iC)),AK36)</f>
        <v>0</v>
      </c>
      <c r="AM36" s="1" t="n">
        <f aca="false">IF(AL36&gt;0.5,AL36+AL36*(D_iC)-MIN(F_CardPayM,AL36+AL36*(D_iC)),AL36)</f>
        <v>0</v>
      </c>
      <c r="AN36" s="1" t="n">
        <f aca="false">IF(AM36&gt;0.5,AM36+AM36*(D_iC)-MIN(F_CardPayM,AM36+AM36*(D_iC)),AM36)</f>
        <v>0</v>
      </c>
      <c r="AO36" s="1" t="n">
        <f aca="false">IF(AN36&gt;0.5,AN36+AN36*(D_iC)-MIN(F_CardPayM,AN36+AN36*(D_iC)),AN36)</f>
        <v>0</v>
      </c>
      <c r="AP36" s="1" t="n">
        <f aca="false">IF(AO36&gt;0.5,AO36+AO36*(D_iC)-MIN(F_CardPayM,AO36+AO36*(D_iC)),AO36)</f>
        <v>0</v>
      </c>
      <c r="AQ36" s="1" t="n">
        <f aca="false">IF(AD36&gt;0.5,MIN(F_CardPayM,AD36+AD36*(D_iC)),0)</f>
        <v>0</v>
      </c>
      <c r="AR36" s="1" t="n">
        <f aca="false">IF(AE36&gt;0.5,MIN(F_CardPayM,AE36+AE36*(D_iC)),0)</f>
        <v>0</v>
      </c>
      <c r="AS36" s="1" t="n">
        <f aca="false">IF(AF36&gt;0.5,MIN(F_CardPayM,AF36+AF36*(D_iC)),0)</f>
        <v>0</v>
      </c>
      <c r="AT36" s="1" t="n">
        <f aca="false">IF(AG36&gt;0.5,MIN(F_CardPayM,AG36+AG36*(D_iC)),0)</f>
        <v>0</v>
      </c>
      <c r="AU36" s="1" t="n">
        <f aca="false">IF(AH36&gt;0.5,MIN(F_CardPayM,AH36+AH36*(D_iC)),0)</f>
        <v>0</v>
      </c>
      <c r="AV36" s="1" t="n">
        <f aca="false">IF(AI36&gt;0.5,MIN(F_CardPayM,AI36+AI36*(D_iC)),0)</f>
        <v>0</v>
      </c>
      <c r="AW36" s="1" t="n">
        <f aca="false">IF(AJ36&gt;0.5,MIN(F_CardPayM,AJ36+AJ36*(D_iC)),0)</f>
        <v>0</v>
      </c>
      <c r="AX36" s="1" t="n">
        <f aca="false">IF(AK36&gt;0.5,MIN(F_CardPayM,AK36+AK36*(D_iC)),0)</f>
        <v>0</v>
      </c>
      <c r="AY36" s="1" t="n">
        <f aca="false">IF(AL36&gt;0.5,MIN(F_CardPayM,AL36+AL36*(D_iC)),0)</f>
        <v>0</v>
      </c>
      <c r="AZ36" s="1" t="n">
        <f aca="false">IF(AM36&gt;0.5,MIN(F_CardPayM,AM36+AM36*(D_iC)),0)</f>
        <v>0</v>
      </c>
      <c r="BA36" s="1" t="n">
        <f aca="false">IF(AN36&gt;0.5,MIN(F_CardPayM,AN36+AN36*(D_iC)),0)</f>
        <v>0</v>
      </c>
      <c r="BB36" s="1" t="n">
        <f aca="false">IF(AO36&gt;0.5,MIN(F_CardPayM,AO36+AO36*(D_iC)),0)</f>
        <v>0</v>
      </c>
      <c r="BC36" s="1" t="n">
        <f aca="false">MAX(0,AP36)</f>
        <v>0</v>
      </c>
      <c r="BD36" s="1" t="n">
        <f aca="false">SUM(AQ36:BB36)</f>
        <v>0</v>
      </c>
      <c r="BE36" s="1" t="n">
        <f aca="false">'Plan cashflow'!O36</f>
        <v>0</v>
      </c>
      <c r="BF36" s="1" t="n">
        <f aca="false">IF(BE36&gt;0.5,BE36+BE36*(D_iL)-MIN(F_LoanPayM,BE36+BE36*(D_iL)),BE36)</f>
        <v>0</v>
      </c>
      <c r="BG36" s="1" t="n">
        <f aca="false">IF(BF36&gt;0.5,BF36+BF36*(D_iL)-MIN(F_LoanPayM,BF36+BF36*(D_iL)),BF36)</f>
        <v>0</v>
      </c>
      <c r="BH36" s="1" t="n">
        <f aca="false">IF(BG36&gt;0.5,BG36+BG36*(D_iL)-MIN(F_LoanPayM,BG36+BG36*(D_iL)),BG36)</f>
        <v>0</v>
      </c>
      <c r="BI36" s="1" t="n">
        <f aca="false">IF(BH36&gt;0.5,BH36+BH36*(D_iL)-MIN(F_LoanPayM,BH36+BH36*(D_iL)),BH36)</f>
        <v>0</v>
      </c>
      <c r="BJ36" s="1" t="n">
        <f aca="false">IF(BI36&gt;0.5,BI36+BI36*(D_iL)-MIN(F_LoanPayM,BI36+BI36*(D_iL)),BI36)</f>
        <v>0</v>
      </c>
      <c r="BK36" s="1" t="n">
        <f aca="false">IF(BJ36&gt;0.5,BJ36+BJ36*(D_iL)-MIN(F_LoanPayM,BJ36+BJ36*(D_iL)),BJ36)</f>
        <v>0</v>
      </c>
      <c r="BL36" s="1" t="n">
        <f aca="false">IF(BK36&gt;0.5,BK36+BK36*(D_iL)-MIN(F_LoanPayM,BK36+BK36*(D_iL)),BK36)</f>
        <v>0</v>
      </c>
      <c r="BM36" s="1" t="n">
        <f aca="false">IF(BL36&gt;0.5,BL36+BL36*(D_iL)-MIN(F_LoanPayM,BL36+BL36*(D_iL)),BL36)</f>
        <v>0</v>
      </c>
      <c r="BN36" s="1" t="n">
        <f aca="false">IF(BM36&gt;0.5,BM36+BM36*(D_iL)-MIN(F_LoanPayM,BM36+BM36*(D_iL)),BM36)</f>
        <v>0</v>
      </c>
      <c r="BO36" s="1" t="n">
        <f aca="false">IF(BN36&gt;0.5,BN36+BN36*(D_iL)-MIN(F_LoanPayM,BN36+BN36*(D_iL)),BN36)</f>
        <v>0</v>
      </c>
      <c r="BP36" s="1" t="n">
        <f aca="false">IF(BO36&gt;0.5,BO36+BO36*(D_iL)-MIN(F_LoanPayM,BO36+BO36*(D_iL)),BO36)</f>
        <v>0</v>
      </c>
      <c r="BQ36" s="1" t="n">
        <f aca="false">IF(BP36&gt;0.5,BP36+BP36*(D_iL)-MIN(F_LoanPayM,BP36+BP36*(D_iL)),BP36)</f>
        <v>0</v>
      </c>
      <c r="BR36" s="1" t="n">
        <f aca="false">IF(BE36&gt;0.5,MIN(F_LoanPayM,BE36+BE36*(D_iL)),0)</f>
        <v>0</v>
      </c>
      <c r="BS36" s="1" t="n">
        <f aca="false">IF(BF36&gt;0.5,MIN(F_LoanPayM,BF36+BF36*(D_iL)),0)</f>
        <v>0</v>
      </c>
      <c r="BT36" s="1" t="n">
        <f aca="false">IF(BG36&gt;0.5,MIN(F_LoanPayM,BG36+BG36*(D_iL)),0)</f>
        <v>0</v>
      </c>
      <c r="BU36" s="1" t="n">
        <f aca="false">IF(BH36&gt;0.5,MIN(F_LoanPayM,BH36+BH36*(D_iL)),0)</f>
        <v>0</v>
      </c>
      <c r="BV36" s="1" t="n">
        <f aca="false">IF(BI36&gt;0.5,MIN(F_LoanPayM,BI36+BI36*(D_iL)),0)</f>
        <v>0</v>
      </c>
      <c r="BW36" s="1" t="n">
        <f aca="false">IF(BJ36&gt;0.5,MIN(F_LoanPayM,BJ36+BJ36*(D_iL)),0)</f>
        <v>0</v>
      </c>
      <c r="BX36" s="1" t="n">
        <f aca="false">IF(BK36&gt;0.5,MIN(F_LoanPayM,BK36+BK36*(D_iL)),0)</f>
        <v>0</v>
      </c>
      <c r="BY36" s="1" t="n">
        <f aca="false">IF(BL36&gt;0.5,MIN(F_LoanPayM,BL36+BL36*(D_iL)),0)</f>
        <v>0</v>
      </c>
      <c r="BZ36" s="1" t="n">
        <f aca="false">IF(BM36&gt;0.5,MIN(F_LoanPayM,BM36+BM36*(D_iL)),0)</f>
        <v>0</v>
      </c>
      <c r="CA36" s="1" t="n">
        <f aca="false">IF(BN36&gt;0.5,MIN(F_LoanPayM,BN36+BN36*(D_iL)),0)</f>
        <v>0</v>
      </c>
      <c r="CB36" s="1" t="n">
        <f aca="false">IF(BO36&gt;0.5,MIN(F_LoanPayM,BO36+BO36*(D_iL)),0)</f>
        <v>0</v>
      </c>
      <c r="CC36" s="1" t="n">
        <f aca="false">IF(BP36&gt;0.5,MIN(F_LoanPayM,BP36+BP36*(D_iL)),0)</f>
        <v>0</v>
      </c>
      <c r="CD36" s="1" t="n">
        <f aca="false">MAX(0,BQ36)</f>
        <v>0</v>
      </c>
      <c r="CE36" s="1" t="n">
        <f aca="false">SUM(BR36:CC36)</f>
        <v>0</v>
      </c>
      <c r="CF36" s="1" t="n">
        <f aca="false">IF(CF35&gt;1,DE35,CF35)</f>
        <v>0</v>
      </c>
      <c r="CG36" s="1" t="n">
        <f aca="false">IF(CF36&gt;0.5,CF36+CF36*(F_MR/12)-MIN(F_MortPayM,CF36+CF36*(F_MR/12)),CF36)</f>
        <v>0</v>
      </c>
      <c r="CH36" s="1" t="n">
        <f aca="false">IF(CG36&gt;0.5,CG36+CG36*(F_MR/12)-MIN(F_MortPayM,CG36+CG36*(F_MR/12)),CG36)</f>
        <v>0</v>
      </c>
      <c r="CI36" s="1" t="n">
        <f aca="false">IF(CH36&gt;0.5,CH36+CH36*(F_MR/12)-MIN(F_MortPayM,CH36+CH36*(F_MR/12)),CH36)</f>
        <v>0</v>
      </c>
      <c r="CJ36" s="1" t="n">
        <f aca="false">IF(CI36&gt;0.5,CI36+CI36*(F_MR/12)-MIN(F_MortPayM,CI36+CI36*(F_MR/12)),CI36)</f>
        <v>0</v>
      </c>
      <c r="CK36" s="1" t="n">
        <f aca="false">IF(CJ36&gt;0.5,CJ36+CJ36*(F_MR/12)-MIN(F_MortPayM,CJ36+CJ36*(F_MR/12)),CJ36)</f>
        <v>0</v>
      </c>
      <c r="CL36" s="1" t="n">
        <f aca="false">IF(CK36&gt;0.5,CK36+CK36*(F_MR/12)-MIN(F_MortPayM,CK36+CK36*(F_MR/12)),CK36)</f>
        <v>0</v>
      </c>
      <c r="CM36" s="1" t="n">
        <f aca="false">IF(CL36&gt;0.5,CL36+CL36*(F_MR/12)-MIN(F_MortPayM,CL36+CL36*(F_MR/12)),CL36)</f>
        <v>0</v>
      </c>
      <c r="CN36" s="1" t="n">
        <f aca="false">IF(CM36&gt;0.5,CM36+CM36*(F_MR/12)-MIN(F_MortPayM,CM36+CM36*(F_MR/12)),CM36)</f>
        <v>0</v>
      </c>
      <c r="CO36" s="1" t="n">
        <f aca="false">IF(CN36&gt;0.5,CN36+CN36*(F_MR/12)-MIN(F_MortPayM,CN36+CN36*(F_MR/12)),CN36)</f>
        <v>0</v>
      </c>
      <c r="CP36" s="1" t="n">
        <f aca="false">IF(CO36&gt;0.5,CO36+CO36*(F_MR/12)-MIN(F_MortPayM,CO36+CO36*(F_MR/12)),CO36)</f>
        <v>0</v>
      </c>
      <c r="CQ36" s="1" t="n">
        <f aca="false">IF(CP36&gt;0.5,CP36+CP36*(F_MR/12)-MIN(F_MortPayM,CP36+CP36*(F_MR/12)),CP36)</f>
        <v>0</v>
      </c>
      <c r="CR36" s="1" t="n">
        <f aca="false">IF(CQ36&gt;0.5,CQ36+CQ36*(F_MR/12)-MIN(F_MortPayM,CQ36+CQ36*(F_MR/12)),CQ36)</f>
        <v>0</v>
      </c>
      <c r="CS36" s="1" t="n">
        <f aca="false">IF(CF36&gt;0.5,MIN(F_MortPayM,CF36+CF36*(F_MR/12)),0)</f>
        <v>0</v>
      </c>
      <c r="CT36" s="1" t="n">
        <f aca="false">IF(CG36&gt;0.5,MIN(F_MortPayM,CG36+CG36*(F_MR/12)),0)</f>
        <v>0</v>
      </c>
      <c r="CU36" s="1" t="n">
        <f aca="false">IF(CH36&gt;0.5,MIN(F_MortPayM,CH36+CH36*(F_MR/12)),0)</f>
        <v>0</v>
      </c>
      <c r="CV36" s="1" t="n">
        <f aca="false">IF(CI36&gt;0.5,MIN(F_MortPayM,CI36+CI36*(F_MR/12)),0)</f>
        <v>0</v>
      </c>
      <c r="CW36" s="1" t="n">
        <f aca="false">IF(CJ36&gt;0.5,MIN(F_MortPayM,CJ36+CJ36*(F_MR/12)),0)</f>
        <v>0</v>
      </c>
      <c r="CX36" s="1" t="n">
        <f aca="false">IF(CK36&gt;0.5,MIN(F_MortPayM,CK36+CK36*(F_MR/12)),0)</f>
        <v>0</v>
      </c>
      <c r="CY36" s="1" t="n">
        <f aca="false">IF(CL36&gt;0.5,MIN(F_MortPayM,CL36+CL36*(F_MR/12)),0)</f>
        <v>0</v>
      </c>
      <c r="CZ36" s="1" t="n">
        <f aca="false">IF(CM36&gt;0.5,MIN(F_MortPayM,CM36+CM36*(F_MR/12)),0)</f>
        <v>0</v>
      </c>
      <c r="DA36" s="1" t="n">
        <f aca="false">IF(CN36&gt;0.5,MIN(F_MortPayM,CN36+CN36*(F_MR/12)),0)</f>
        <v>0</v>
      </c>
      <c r="DB36" s="1" t="n">
        <f aca="false">IF(CO36&gt;0.5,MIN(F_MortPayM,CO36+CO36*(F_MR/12)),0)</f>
        <v>0</v>
      </c>
      <c r="DC36" s="1" t="n">
        <f aca="false">IF(CP36&gt;0.5,MIN(F_MortPayM,CP36+CP36*(F_MR/12)),0)</f>
        <v>0</v>
      </c>
      <c r="DD36" s="1" t="n">
        <f aca="false">IF(CQ36&gt;0.5,MIN(F_MortPayM,CQ36+CQ36*(F_MR/12)),0)</f>
        <v>0</v>
      </c>
      <c r="DE36" s="1" t="n">
        <f aca="false">MAX(0,CR36)</f>
        <v>0</v>
      </c>
      <c r="DF36" s="1" t="n">
        <f aca="false">SUM(CS36:DD36)</f>
        <v>0</v>
      </c>
      <c r="DG36" s="1" t="n">
        <f aca="false">MAX(0,CF36)</f>
        <v>0</v>
      </c>
    </row>
    <row r="37" customFormat="false" ht="15" hidden="false" customHeight="false" outlineLevel="0" collapsed="false">
      <c r="B37" s="1" t="n">
        <v>29</v>
      </c>
      <c r="C37" s="1" t="n">
        <f aca="false">'Plan cashflow'!I37</f>
        <v>0</v>
      </c>
      <c r="D37" s="1" t="n">
        <f aca="false">IF(C37&gt;0.5,C37+C37*(F_MR/12)-MIN(F_MortPayM,C37+C37*(F_MR/12)),C37)</f>
        <v>0</v>
      </c>
      <c r="E37" s="1" t="n">
        <f aca="false">IF(D37&gt;0.5,D37+D37*(F_MR/12)-MIN(F_MortPayM,D37+D37*(F_MR/12)),D37)</f>
        <v>0</v>
      </c>
      <c r="F37" s="1" t="n">
        <f aca="false">IF(E37&gt;0.5,E37+E37*(F_MR/12)-MIN(F_MortPayM,E37+E37*(F_MR/12)),E37)</f>
        <v>0</v>
      </c>
      <c r="G37" s="1" t="n">
        <f aca="false">IF(F37&gt;0.5,F37+F37*(F_MR/12)-MIN(F_MortPayM,F37+F37*(F_MR/12)),F37)</f>
        <v>0</v>
      </c>
      <c r="H37" s="1" t="n">
        <f aca="false">IF(G37&gt;0.5,G37+G37*(F_MR/12)-MIN(F_MortPayM,G37+G37*(F_MR/12)),G37)</f>
        <v>0</v>
      </c>
      <c r="I37" s="1" t="n">
        <f aca="false">IF(H37&gt;0.5,H37+H37*(F_MR/12)-MIN(F_MortPayM,H37+H37*(F_MR/12)),H37)</f>
        <v>0</v>
      </c>
      <c r="J37" s="1" t="n">
        <f aca="false">IF(I37&gt;0.5,I37+I37*(F_MR/12)-MIN(F_MortPayM,I37+I37*(F_MR/12)),I37)</f>
        <v>0</v>
      </c>
      <c r="K37" s="1" t="n">
        <f aca="false">IF(J37&gt;0.5,J37+J37*(F_MR/12)-MIN(F_MortPayM,J37+J37*(F_MR/12)),J37)</f>
        <v>0</v>
      </c>
      <c r="L37" s="1" t="n">
        <f aca="false">IF(K37&gt;0.5,K37+K37*(F_MR/12)-MIN(F_MortPayM,K37+K37*(F_MR/12)),K37)</f>
        <v>0</v>
      </c>
      <c r="M37" s="1" t="n">
        <f aca="false">IF(L37&gt;0.5,L37+L37*(F_MR/12)-MIN(F_MortPayM,L37+L37*(F_MR/12)),L37)</f>
        <v>0</v>
      </c>
      <c r="N37" s="1" t="n">
        <f aca="false">IF(M37&gt;0.5,M37+M37*(F_MR/12)-MIN(F_MortPayM,M37+M37*(F_MR/12)),M37)</f>
        <v>0</v>
      </c>
      <c r="O37" s="1" t="n">
        <f aca="false">IF(N37&gt;0.5,N37+N37*(F_MR/12)-MIN(F_MortPayM,N37+N37*(F_MR/12)),N37)</f>
        <v>0</v>
      </c>
      <c r="P37" s="1" t="n">
        <f aca="false">IF(C37&gt;0.5,MIN(F_MortPayM,C37+C37*(F_MR/12)),0)</f>
        <v>0</v>
      </c>
      <c r="Q37" s="1" t="n">
        <f aca="false">IF(D37&gt;0.5,MIN(F_MortPayM,D37+D37*(F_MR/12)),0)</f>
        <v>0</v>
      </c>
      <c r="R37" s="1" t="n">
        <f aca="false">IF(E37&gt;0.5,MIN(F_MortPayM,E37+E37*(F_MR/12)),0)</f>
        <v>0</v>
      </c>
      <c r="S37" s="1" t="n">
        <f aca="false">IF(F37&gt;0.5,MIN(F_MortPayM,F37+F37*(F_MR/12)),0)</f>
        <v>0</v>
      </c>
      <c r="T37" s="1" t="n">
        <f aca="false">IF(G37&gt;0.5,MIN(F_MortPayM,G37+G37*(F_MR/12)),0)</f>
        <v>0</v>
      </c>
      <c r="U37" s="1" t="n">
        <f aca="false">IF(H37&gt;0.5,MIN(F_MortPayM,H37+H37*(F_MR/12)),0)</f>
        <v>0</v>
      </c>
      <c r="V37" s="1" t="n">
        <f aca="false">IF(I37&gt;0.5,MIN(F_MortPayM,I37+I37*(F_MR/12)),0)</f>
        <v>0</v>
      </c>
      <c r="W37" s="1" t="n">
        <f aca="false">IF(J37&gt;0.5,MIN(F_MortPayM,J37+J37*(F_MR/12)),0)</f>
        <v>0</v>
      </c>
      <c r="X37" s="1" t="n">
        <f aca="false">IF(K37&gt;0.5,MIN(F_MortPayM,K37+K37*(F_MR/12)),0)</f>
        <v>0</v>
      </c>
      <c r="Y37" s="1" t="n">
        <f aca="false">IF(L37&gt;0.5,MIN(F_MortPayM,L37+L37*(F_MR/12)),0)</f>
        <v>0</v>
      </c>
      <c r="Z37" s="1" t="n">
        <f aca="false">IF(M37&gt;0.5,MIN(F_MortPayM,M37+M37*(F_MR/12)),0)</f>
        <v>0</v>
      </c>
      <c r="AA37" s="1" t="n">
        <f aca="false">IF(N37&gt;0.5,MIN(F_MortPayM,N37+N37*(F_MR/12)),0)</f>
        <v>0</v>
      </c>
      <c r="AB37" s="1" t="n">
        <f aca="false">MAX(0,O37)</f>
        <v>0</v>
      </c>
      <c r="AC37" s="1" t="n">
        <f aca="false">SUM(P37:AA37)</f>
        <v>0</v>
      </c>
      <c r="AD37" s="1" t="n">
        <f aca="false">'Plan cashflow'!L37</f>
        <v>0</v>
      </c>
      <c r="AE37" s="1" t="n">
        <f aca="false">IF(AD37&gt;0.5,AD37+AD37*(D_iC)-MIN(F_CardPayM,AD37+AD37*(D_iC)),AD37)</f>
        <v>0</v>
      </c>
      <c r="AF37" s="1" t="n">
        <f aca="false">IF(AE37&gt;0.5,AE37+AE37*(D_iC)-MIN(F_CardPayM,AE37+AE37*(D_iC)),AE37)</f>
        <v>0</v>
      </c>
      <c r="AG37" s="1" t="n">
        <f aca="false">IF(AF37&gt;0.5,AF37+AF37*(D_iC)-MIN(F_CardPayM,AF37+AF37*(D_iC)),AF37)</f>
        <v>0</v>
      </c>
      <c r="AH37" s="1" t="n">
        <f aca="false">IF(AG37&gt;0.5,AG37+AG37*(D_iC)-MIN(F_CardPayM,AG37+AG37*(D_iC)),AG37)</f>
        <v>0</v>
      </c>
      <c r="AI37" s="1" t="n">
        <f aca="false">IF(AH37&gt;0.5,AH37+AH37*(D_iC)-MIN(F_CardPayM,AH37+AH37*(D_iC)),AH37)</f>
        <v>0</v>
      </c>
      <c r="AJ37" s="1" t="n">
        <f aca="false">IF(AI37&gt;0.5,AI37+AI37*(D_iC)-MIN(F_CardPayM,AI37+AI37*(D_iC)),AI37)</f>
        <v>0</v>
      </c>
      <c r="AK37" s="1" t="n">
        <f aca="false">IF(AJ37&gt;0.5,AJ37+AJ37*(D_iC)-MIN(F_CardPayM,AJ37+AJ37*(D_iC)),AJ37)</f>
        <v>0</v>
      </c>
      <c r="AL37" s="1" t="n">
        <f aca="false">IF(AK37&gt;0.5,AK37+AK37*(D_iC)-MIN(F_CardPayM,AK37+AK37*(D_iC)),AK37)</f>
        <v>0</v>
      </c>
      <c r="AM37" s="1" t="n">
        <f aca="false">IF(AL37&gt;0.5,AL37+AL37*(D_iC)-MIN(F_CardPayM,AL37+AL37*(D_iC)),AL37)</f>
        <v>0</v>
      </c>
      <c r="AN37" s="1" t="n">
        <f aca="false">IF(AM37&gt;0.5,AM37+AM37*(D_iC)-MIN(F_CardPayM,AM37+AM37*(D_iC)),AM37)</f>
        <v>0</v>
      </c>
      <c r="AO37" s="1" t="n">
        <f aca="false">IF(AN37&gt;0.5,AN37+AN37*(D_iC)-MIN(F_CardPayM,AN37+AN37*(D_iC)),AN37)</f>
        <v>0</v>
      </c>
      <c r="AP37" s="1" t="n">
        <f aca="false">IF(AO37&gt;0.5,AO37+AO37*(D_iC)-MIN(F_CardPayM,AO37+AO37*(D_iC)),AO37)</f>
        <v>0</v>
      </c>
      <c r="AQ37" s="1" t="n">
        <f aca="false">IF(AD37&gt;0.5,MIN(F_CardPayM,AD37+AD37*(D_iC)),0)</f>
        <v>0</v>
      </c>
      <c r="AR37" s="1" t="n">
        <f aca="false">IF(AE37&gt;0.5,MIN(F_CardPayM,AE37+AE37*(D_iC)),0)</f>
        <v>0</v>
      </c>
      <c r="AS37" s="1" t="n">
        <f aca="false">IF(AF37&gt;0.5,MIN(F_CardPayM,AF37+AF37*(D_iC)),0)</f>
        <v>0</v>
      </c>
      <c r="AT37" s="1" t="n">
        <f aca="false">IF(AG37&gt;0.5,MIN(F_CardPayM,AG37+AG37*(D_iC)),0)</f>
        <v>0</v>
      </c>
      <c r="AU37" s="1" t="n">
        <f aca="false">IF(AH37&gt;0.5,MIN(F_CardPayM,AH37+AH37*(D_iC)),0)</f>
        <v>0</v>
      </c>
      <c r="AV37" s="1" t="n">
        <f aca="false">IF(AI37&gt;0.5,MIN(F_CardPayM,AI37+AI37*(D_iC)),0)</f>
        <v>0</v>
      </c>
      <c r="AW37" s="1" t="n">
        <f aca="false">IF(AJ37&gt;0.5,MIN(F_CardPayM,AJ37+AJ37*(D_iC)),0)</f>
        <v>0</v>
      </c>
      <c r="AX37" s="1" t="n">
        <f aca="false">IF(AK37&gt;0.5,MIN(F_CardPayM,AK37+AK37*(D_iC)),0)</f>
        <v>0</v>
      </c>
      <c r="AY37" s="1" t="n">
        <f aca="false">IF(AL37&gt;0.5,MIN(F_CardPayM,AL37+AL37*(D_iC)),0)</f>
        <v>0</v>
      </c>
      <c r="AZ37" s="1" t="n">
        <f aca="false">IF(AM37&gt;0.5,MIN(F_CardPayM,AM37+AM37*(D_iC)),0)</f>
        <v>0</v>
      </c>
      <c r="BA37" s="1" t="n">
        <f aca="false">IF(AN37&gt;0.5,MIN(F_CardPayM,AN37+AN37*(D_iC)),0)</f>
        <v>0</v>
      </c>
      <c r="BB37" s="1" t="n">
        <f aca="false">IF(AO37&gt;0.5,MIN(F_CardPayM,AO37+AO37*(D_iC)),0)</f>
        <v>0</v>
      </c>
      <c r="BC37" s="1" t="n">
        <f aca="false">MAX(0,AP37)</f>
        <v>0</v>
      </c>
      <c r="BD37" s="1" t="n">
        <f aca="false">SUM(AQ37:BB37)</f>
        <v>0</v>
      </c>
      <c r="BE37" s="1" t="n">
        <f aca="false">'Plan cashflow'!O37</f>
        <v>0</v>
      </c>
      <c r="BF37" s="1" t="n">
        <f aca="false">IF(BE37&gt;0.5,BE37+BE37*(D_iL)-MIN(F_LoanPayM,BE37+BE37*(D_iL)),BE37)</f>
        <v>0</v>
      </c>
      <c r="BG37" s="1" t="n">
        <f aca="false">IF(BF37&gt;0.5,BF37+BF37*(D_iL)-MIN(F_LoanPayM,BF37+BF37*(D_iL)),BF37)</f>
        <v>0</v>
      </c>
      <c r="BH37" s="1" t="n">
        <f aca="false">IF(BG37&gt;0.5,BG37+BG37*(D_iL)-MIN(F_LoanPayM,BG37+BG37*(D_iL)),BG37)</f>
        <v>0</v>
      </c>
      <c r="BI37" s="1" t="n">
        <f aca="false">IF(BH37&gt;0.5,BH37+BH37*(D_iL)-MIN(F_LoanPayM,BH37+BH37*(D_iL)),BH37)</f>
        <v>0</v>
      </c>
      <c r="BJ37" s="1" t="n">
        <f aca="false">IF(BI37&gt;0.5,BI37+BI37*(D_iL)-MIN(F_LoanPayM,BI37+BI37*(D_iL)),BI37)</f>
        <v>0</v>
      </c>
      <c r="BK37" s="1" t="n">
        <f aca="false">IF(BJ37&gt;0.5,BJ37+BJ37*(D_iL)-MIN(F_LoanPayM,BJ37+BJ37*(D_iL)),BJ37)</f>
        <v>0</v>
      </c>
      <c r="BL37" s="1" t="n">
        <f aca="false">IF(BK37&gt;0.5,BK37+BK37*(D_iL)-MIN(F_LoanPayM,BK37+BK37*(D_iL)),BK37)</f>
        <v>0</v>
      </c>
      <c r="BM37" s="1" t="n">
        <f aca="false">IF(BL37&gt;0.5,BL37+BL37*(D_iL)-MIN(F_LoanPayM,BL37+BL37*(D_iL)),BL37)</f>
        <v>0</v>
      </c>
      <c r="BN37" s="1" t="n">
        <f aca="false">IF(BM37&gt;0.5,BM37+BM37*(D_iL)-MIN(F_LoanPayM,BM37+BM37*(D_iL)),BM37)</f>
        <v>0</v>
      </c>
      <c r="BO37" s="1" t="n">
        <f aca="false">IF(BN37&gt;0.5,BN37+BN37*(D_iL)-MIN(F_LoanPayM,BN37+BN37*(D_iL)),BN37)</f>
        <v>0</v>
      </c>
      <c r="BP37" s="1" t="n">
        <f aca="false">IF(BO37&gt;0.5,BO37+BO37*(D_iL)-MIN(F_LoanPayM,BO37+BO37*(D_iL)),BO37)</f>
        <v>0</v>
      </c>
      <c r="BQ37" s="1" t="n">
        <f aca="false">IF(BP37&gt;0.5,BP37+BP37*(D_iL)-MIN(F_LoanPayM,BP37+BP37*(D_iL)),BP37)</f>
        <v>0</v>
      </c>
      <c r="BR37" s="1" t="n">
        <f aca="false">IF(BE37&gt;0.5,MIN(F_LoanPayM,BE37+BE37*(D_iL)),0)</f>
        <v>0</v>
      </c>
      <c r="BS37" s="1" t="n">
        <f aca="false">IF(BF37&gt;0.5,MIN(F_LoanPayM,BF37+BF37*(D_iL)),0)</f>
        <v>0</v>
      </c>
      <c r="BT37" s="1" t="n">
        <f aca="false">IF(BG37&gt;0.5,MIN(F_LoanPayM,BG37+BG37*(D_iL)),0)</f>
        <v>0</v>
      </c>
      <c r="BU37" s="1" t="n">
        <f aca="false">IF(BH37&gt;0.5,MIN(F_LoanPayM,BH37+BH37*(D_iL)),0)</f>
        <v>0</v>
      </c>
      <c r="BV37" s="1" t="n">
        <f aca="false">IF(BI37&gt;0.5,MIN(F_LoanPayM,BI37+BI37*(D_iL)),0)</f>
        <v>0</v>
      </c>
      <c r="BW37" s="1" t="n">
        <f aca="false">IF(BJ37&gt;0.5,MIN(F_LoanPayM,BJ37+BJ37*(D_iL)),0)</f>
        <v>0</v>
      </c>
      <c r="BX37" s="1" t="n">
        <f aca="false">IF(BK37&gt;0.5,MIN(F_LoanPayM,BK37+BK37*(D_iL)),0)</f>
        <v>0</v>
      </c>
      <c r="BY37" s="1" t="n">
        <f aca="false">IF(BL37&gt;0.5,MIN(F_LoanPayM,BL37+BL37*(D_iL)),0)</f>
        <v>0</v>
      </c>
      <c r="BZ37" s="1" t="n">
        <f aca="false">IF(BM37&gt;0.5,MIN(F_LoanPayM,BM37+BM37*(D_iL)),0)</f>
        <v>0</v>
      </c>
      <c r="CA37" s="1" t="n">
        <f aca="false">IF(BN37&gt;0.5,MIN(F_LoanPayM,BN37+BN37*(D_iL)),0)</f>
        <v>0</v>
      </c>
      <c r="CB37" s="1" t="n">
        <f aca="false">IF(BO37&gt;0.5,MIN(F_LoanPayM,BO37+BO37*(D_iL)),0)</f>
        <v>0</v>
      </c>
      <c r="CC37" s="1" t="n">
        <f aca="false">IF(BP37&gt;0.5,MIN(F_LoanPayM,BP37+BP37*(D_iL)),0)</f>
        <v>0</v>
      </c>
      <c r="CD37" s="1" t="n">
        <f aca="false">MAX(0,BQ37)</f>
        <v>0</v>
      </c>
      <c r="CE37" s="1" t="n">
        <f aca="false">SUM(BR37:CC37)</f>
        <v>0</v>
      </c>
      <c r="CF37" s="1" t="n">
        <f aca="false">IF(CF36&gt;1,DE36,CF36)</f>
        <v>0</v>
      </c>
      <c r="CG37" s="1" t="n">
        <f aca="false">IF(CF37&gt;0.5,CF37+CF37*(F_MR/12)-MIN(F_MortPayM,CF37+CF37*(F_MR/12)),CF37)</f>
        <v>0</v>
      </c>
      <c r="CH37" s="1" t="n">
        <f aca="false">IF(CG37&gt;0.5,CG37+CG37*(F_MR/12)-MIN(F_MortPayM,CG37+CG37*(F_MR/12)),CG37)</f>
        <v>0</v>
      </c>
      <c r="CI37" s="1" t="n">
        <f aca="false">IF(CH37&gt;0.5,CH37+CH37*(F_MR/12)-MIN(F_MortPayM,CH37+CH37*(F_MR/12)),CH37)</f>
        <v>0</v>
      </c>
      <c r="CJ37" s="1" t="n">
        <f aca="false">IF(CI37&gt;0.5,CI37+CI37*(F_MR/12)-MIN(F_MortPayM,CI37+CI37*(F_MR/12)),CI37)</f>
        <v>0</v>
      </c>
      <c r="CK37" s="1" t="n">
        <f aca="false">IF(CJ37&gt;0.5,CJ37+CJ37*(F_MR/12)-MIN(F_MortPayM,CJ37+CJ37*(F_MR/12)),CJ37)</f>
        <v>0</v>
      </c>
      <c r="CL37" s="1" t="n">
        <f aca="false">IF(CK37&gt;0.5,CK37+CK37*(F_MR/12)-MIN(F_MortPayM,CK37+CK37*(F_MR/12)),CK37)</f>
        <v>0</v>
      </c>
      <c r="CM37" s="1" t="n">
        <f aca="false">IF(CL37&gt;0.5,CL37+CL37*(F_MR/12)-MIN(F_MortPayM,CL37+CL37*(F_MR/12)),CL37)</f>
        <v>0</v>
      </c>
      <c r="CN37" s="1" t="n">
        <f aca="false">IF(CM37&gt;0.5,CM37+CM37*(F_MR/12)-MIN(F_MortPayM,CM37+CM37*(F_MR/12)),CM37)</f>
        <v>0</v>
      </c>
      <c r="CO37" s="1" t="n">
        <f aca="false">IF(CN37&gt;0.5,CN37+CN37*(F_MR/12)-MIN(F_MortPayM,CN37+CN37*(F_MR/12)),CN37)</f>
        <v>0</v>
      </c>
      <c r="CP37" s="1" t="n">
        <f aca="false">IF(CO37&gt;0.5,CO37+CO37*(F_MR/12)-MIN(F_MortPayM,CO37+CO37*(F_MR/12)),CO37)</f>
        <v>0</v>
      </c>
      <c r="CQ37" s="1" t="n">
        <f aca="false">IF(CP37&gt;0.5,CP37+CP37*(F_MR/12)-MIN(F_MortPayM,CP37+CP37*(F_MR/12)),CP37)</f>
        <v>0</v>
      </c>
      <c r="CR37" s="1" t="n">
        <f aca="false">IF(CQ37&gt;0.5,CQ37+CQ37*(F_MR/12)-MIN(F_MortPayM,CQ37+CQ37*(F_MR/12)),CQ37)</f>
        <v>0</v>
      </c>
      <c r="CS37" s="1" t="n">
        <f aca="false">IF(CF37&gt;0.5,MIN(F_MortPayM,CF37+CF37*(F_MR/12)),0)</f>
        <v>0</v>
      </c>
      <c r="CT37" s="1" t="n">
        <f aca="false">IF(CG37&gt;0.5,MIN(F_MortPayM,CG37+CG37*(F_MR/12)),0)</f>
        <v>0</v>
      </c>
      <c r="CU37" s="1" t="n">
        <f aca="false">IF(CH37&gt;0.5,MIN(F_MortPayM,CH37+CH37*(F_MR/12)),0)</f>
        <v>0</v>
      </c>
      <c r="CV37" s="1" t="n">
        <f aca="false">IF(CI37&gt;0.5,MIN(F_MortPayM,CI37+CI37*(F_MR/12)),0)</f>
        <v>0</v>
      </c>
      <c r="CW37" s="1" t="n">
        <f aca="false">IF(CJ37&gt;0.5,MIN(F_MortPayM,CJ37+CJ37*(F_MR/12)),0)</f>
        <v>0</v>
      </c>
      <c r="CX37" s="1" t="n">
        <f aca="false">IF(CK37&gt;0.5,MIN(F_MortPayM,CK37+CK37*(F_MR/12)),0)</f>
        <v>0</v>
      </c>
      <c r="CY37" s="1" t="n">
        <f aca="false">IF(CL37&gt;0.5,MIN(F_MortPayM,CL37+CL37*(F_MR/12)),0)</f>
        <v>0</v>
      </c>
      <c r="CZ37" s="1" t="n">
        <f aca="false">IF(CM37&gt;0.5,MIN(F_MortPayM,CM37+CM37*(F_MR/12)),0)</f>
        <v>0</v>
      </c>
      <c r="DA37" s="1" t="n">
        <f aca="false">IF(CN37&gt;0.5,MIN(F_MortPayM,CN37+CN37*(F_MR/12)),0)</f>
        <v>0</v>
      </c>
      <c r="DB37" s="1" t="n">
        <f aca="false">IF(CO37&gt;0.5,MIN(F_MortPayM,CO37+CO37*(F_MR/12)),0)</f>
        <v>0</v>
      </c>
      <c r="DC37" s="1" t="n">
        <f aca="false">IF(CP37&gt;0.5,MIN(F_MortPayM,CP37+CP37*(F_MR/12)),0)</f>
        <v>0</v>
      </c>
      <c r="DD37" s="1" t="n">
        <f aca="false">IF(CQ37&gt;0.5,MIN(F_MortPayM,CQ37+CQ37*(F_MR/12)),0)</f>
        <v>0</v>
      </c>
      <c r="DE37" s="1" t="n">
        <f aca="false">MAX(0,CR37)</f>
        <v>0</v>
      </c>
      <c r="DF37" s="1" t="n">
        <f aca="false">SUM(CS37:DD37)</f>
        <v>0</v>
      </c>
      <c r="DG37" s="1" t="n">
        <f aca="false">MAX(0,CF37)</f>
        <v>0</v>
      </c>
    </row>
    <row r="38" customFormat="false" ht="15" hidden="false" customHeight="false" outlineLevel="0" collapsed="false">
      <c r="B38" s="1" t="n">
        <v>30</v>
      </c>
      <c r="C38" s="1" t="n">
        <f aca="false">'Plan cashflow'!I38</f>
        <v>0</v>
      </c>
      <c r="D38" s="1" t="n">
        <f aca="false">IF(C38&gt;0.5,C38+C38*(F_MR/12)-MIN(F_MortPayM,C38+C38*(F_MR/12)),C38)</f>
        <v>0</v>
      </c>
      <c r="E38" s="1" t="n">
        <f aca="false">IF(D38&gt;0.5,D38+D38*(F_MR/12)-MIN(F_MortPayM,D38+D38*(F_MR/12)),D38)</f>
        <v>0</v>
      </c>
      <c r="F38" s="1" t="n">
        <f aca="false">IF(E38&gt;0.5,E38+E38*(F_MR/12)-MIN(F_MortPayM,E38+E38*(F_MR/12)),E38)</f>
        <v>0</v>
      </c>
      <c r="G38" s="1" t="n">
        <f aca="false">IF(F38&gt;0.5,F38+F38*(F_MR/12)-MIN(F_MortPayM,F38+F38*(F_MR/12)),F38)</f>
        <v>0</v>
      </c>
      <c r="H38" s="1" t="n">
        <f aca="false">IF(G38&gt;0.5,G38+G38*(F_MR/12)-MIN(F_MortPayM,G38+G38*(F_MR/12)),G38)</f>
        <v>0</v>
      </c>
      <c r="I38" s="1" t="n">
        <f aca="false">IF(H38&gt;0.5,H38+H38*(F_MR/12)-MIN(F_MortPayM,H38+H38*(F_MR/12)),H38)</f>
        <v>0</v>
      </c>
      <c r="J38" s="1" t="n">
        <f aca="false">IF(I38&gt;0.5,I38+I38*(F_MR/12)-MIN(F_MortPayM,I38+I38*(F_MR/12)),I38)</f>
        <v>0</v>
      </c>
      <c r="K38" s="1" t="n">
        <f aca="false">IF(J38&gt;0.5,J38+J38*(F_MR/12)-MIN(F_MortPayM,J38+J38*(F_MR/12)),J38)</f>
        <v>0</v>
      </c>
      <c r="L38" s="1" t="n">
        <f aca="false">IF(K38&gt;0.5,K38+K38*(F_MR/12)-MIN(F_MortPayM,K38+K38*(F_MR/12)),K38)</f>
        <v>0</v>
      </c>
      <c r="M38" s="1" t="n">
        <f aca="false">IF(L38&gt;0.5,L38+L38*(F_MR/12)-MIN(F_MortPayM,L38+L38*(F_MR/12)),L38)</f>
        <v>0</v>
      </c>
      <c r="N38" s="1" t="n">
        <f aca="false">IF(M38&gt;0.5,M38+M38*(F_MR/12)-MIN(F_MortPayM,M38+M38*(F_MR/12)),M38)</f>
        <v>0</v>
      </c>
      <c r="O38" s="1" t="n">
        <f aca="false">IF(N38&gt;0.5,N38+N38*(F_MR/12)-MIN(F_MortPayM,N38+N38*(F_MR/12)),N38)</f>
        <v>0</v>
      </c>
      <c r="P38" s="1" t="n">
        <f aca="false">IF(C38&gt;0.5,MIN(F_MortPayM,C38+C38*(F_MR/12)),0)</f>
        <v>0</v>
      </c>
      <c r="Q38" s="1" t="n">
        <f aca="false">IF(D38&gt;0.5,MIN(F_MortPayM,D38+D38*(F_MR/12)),0)</f>
        <v>0</v>
      </c>
      <c r="R38" s="1" t="n">
        <f aca="false">IF(E38&gt;0.5,MIN(F_MortPayM,E38+E38*(F_MR/12)),0)</f>
        <v>0</v>
      </c>
      <c r="S38" s="1" t="n">
        <f aca="false">IF(F38&gt;0.5,MIN(F_MortPayM,F38+F38*(F_MR/12)),0)</f>
        <v>0</v>
      </c>
      <c r="T38" s="1" t="n">
        <f aca="false">IF(G38&gt;0.5,MIN(F_MortPayM,G38+G38*(F_MR/12)),0)</f>
        <v>0</v>
      </c>
      <c r="U38" s="1" t="n">
        <f aca="false">IF(H38&gt;0.5,MIN(F_MortPayM,H38+H38*(F_MR/12)),0)</f>
        <v>0</v>
      </c>
      <c r="V38" s="1" t="n">
        <f aca="false">IF(I38&gt;0.5,MIN(F_MortPayM,I38+I38*(F_MR/12)),0)</f>
        <v>0</v>
      </c>
      <c r="W38" s="1" t="n">
        <f aca="false">IF(J38&gt;0.5,MIN(F_MortPayM,J38+J38*(F_MR/12)),0)</f>
        <v>0</v>
      </c>
      <c r="X38" s="1" t="n">
        <f aca="false">IF(K38&gt;0.5,MIN(F_MortPayM,K38+K38*(F_MR/12)),0)</f>
        <v>0</v>
      </c>
      <c r="Y38" s="1" t="n">
        <f aca="false">IF(L38&gt;0.5,MIN(F_MortPayM,L38+L38*(F_MR/12)),0)</f>
        <v>0</v>
      </c>
      <c r="Z38" s="1" t="n">
        <f aca="false">IF(M38&gt;0.5,MIN(F_MortPayM,M38+M38*(F_MR/12)),0)</f>
        <v>0</v>
      </c>
      <c r="AA38" s="1" t="n">
        <f aca="false">IF(N38&gt;0.5,MIN(F_MortPayM,N38+N38*(F_MR/12)),0)</f>
        <v>0</v>
      </c>
      <c r="AB38" s="1" t="n">
        <f aca="false">MAX(0,O38)</f>
        <v>0</v>
      </c>
      <c r="AC38" s="1" t="n">
        <f aca="false">SUM(P38:AA38)</f>
        <v>0</v>
      </c>
      <c r="AD38" s="1" t="n">
        <f aca="false">'Plan cashflow'!L38</f>
        <v>0</v>
      </c>
      <c r="AE38" s="1" t="n">
        <f aca="false">IF(AD38&gt;0.5,AD38+AD38*(D_iC)-MIN(F_CardPayM,AD38+AD38*(D_iC)),AD38)</f>
        <v>0</v>
      </c>
      <c r="AF38" s="1" t="n">
        <f aca="false">IF(AE38&gt;0.5,AE38+AE38*(D_iC)-MIN(F_CardPayM,AE38+AE38*(D_iC)),AE38)</f>
        <v>0</v>
      </c>
      <c r="AG38" s="1" t="n">
        <f aca="false">IF(AF38&gt;0.5,AF38+AF38*(D_iC)-MIN(F_CardPayM,AF38+AF38*(D_iC)),AF38)</f>
        <v>0</v>
      </c>
      <c r="AH38" s="1" t="n">
        <f aca="false">IF(AG38&gt;0.5,AG38+AG38*(D_iC)-MIN(F_CardPayM,AG38+AG38*(D_iC)),AG38)</f>
        <v>0</v>
      </c>
      <c r="AI38" s="1" t="n">
        <f aca="false">IF(AH38&gt;0.5,AH38+AH38*(D_iC)-MIN(F_CardPayM,AH38+AH38*(D_iC)),AH38)</f>
        <v>0</v>
      </c>
      <c r="AJ38" s="1" t="n">
        <f aca="false">IF(AI38&gt;0.5,AI38+AI38*(D_iC)-MIN(F_CardPayM,AI38+AI38*(D_iC)),AI38)</f>
        <v>0</v>
      </c>
      <c r="AK38" s="1" t="n">
        <f aca="false">IF(AJ38&gt;0.5,AJ38+AJ38*(D_iC)-MIN(F_CardPayM,AJ38+AJ38*(D_iC)),AJ38)</f>
        <v>0</v>
      </c>
      <c r="AL38" s="1" t="n">
        <f aca="false">IF(AK38&gt;0.5,AK38+AK38*(D_iC)-MIN(F_CardPayM,AK38+AK38*(D_iC)),AK38)</f>
        <v>0</v>
      </c>
      <c r="AM38" s="1" t="n">
        <f aca="false">IF(AL38&gt;0.5,AL38+AL38*(D_iC)-MIN(F_CardPayM,AL38+AL38*(D_iC)),AL38)</f>
        <v>0</v>
      </c>
      <c r="AN38" s="1" t="n">
        <f aca="false">IF(AM38&gt;0.5,AM38+AM38*(D_iC)-MIN(F_CardPayM,AM38+AM38*(D_iC)),AM38)</f>
        <v>0</v>
      </c>
      <c r="AO38" s="1" t="n">
        <f aca="false">IF(AN38&gt;0.5,AN38+AN38*(D_iC)-MIN(F_CardPayM,AN38+AN38*(D_iC)),AN38)</f>
        <v>0</v>
      </c>
      <c r="AP38" s="1" t="n">
        <f aca="false">IF(AO38&gt;0.5,AO38+AO38*(D_iC)-MIN(F_CardPayM,AO38+AO38*(D_iC)),AO38)</f>
        <v>0</v>
      </c>
      <c r="AQ38" s="1" t="n">
        <f aca="false">IF(AD38&gt;0.5,MIN(F_CardPayM,AD38+AD38*(D_iC)),0)</f>
        <v>0</v>
      </c>
      <c r="AR38" s="1" t="n">
        <f aca="false">IF(AE38&gt;0.5,MIN(F_CardPayM,AE38+AE38*(D_iC)),0)</f>
        <v>0</v>
      </c>
      <c r="AS38" s="1" t="n">
        <f aca="false">IF(AF38&gt;0.5,MIN(F_CardPayM,AF38+AF38*(D_iC)),0)</f>
        <v>0</v>
      </c>
      <c r="AT38" s="1" t="n">
        <f aca="false">IF(AG38&gt;0.5,MIN(F_CardPayM,AG38+AG38*(D_iC)),0)</f>
        <v>0</v>
      </c>
      <c r="AU38" s="1" t="n">
        <f aca="false">IF(AH38&gt;0.5,MIN(F_CardPayM,AH38+AH38*(D_iC)),0)</f>
        <v>0</v>
      </c>
      <c r="AV38" s="1" t="n">
        <f aca="false">IF(AI38&gt;0.5,MIN(F_CardPayM,AI38+AI38*(D_iC)),0)</f>
        <v>0</v>
      </c>
      <c r="AW38" s="1" t="n">
        <f aca="false">IF(AJ38&gt;0.5,MIN(F_CardPayM,AJ38+AJ38*(D_iC)),0)</f>
        <v>0</v>
      </c>
      <c r="AX38" s="1" t="n">
        <f aca="false">IF(AK38&gt;0.5,MIN(F_CardPayM,AK38+AK38*(D_iC)),0)</f>
        <v>0</v>
      </c>
      <c r="AY38" s="1" t="n">
        <f aca="false">IF(AL38&gt;0.5,MIN(F_CardPayM,AL38+AL38*(D_iC)),0)</f>
        <v>0</v>
      </c>
      <c r="AZ38" s="1" t="n">
        <f aca="false">IF(AM38&gt;0.5,MIN(F_CardPayM,AM38+AM38*(D_iC)),0)</f>
        <v>0</v>
      </c>
      <c r="BA38" s="1" t="n">
        <f aca="false">IF(AN38&gt;0.5,MIN(F_CardPayM,AN38+AN38*(D_iC)),0)</f>
        <v>0</v>
      </c>
      <c r="BB38" s="1" t="n">
        <f aca="false">IF(AO38&gt;0.5,MIN(F_CardPayM,AO38+AO38*(D_iC)),0)</f>
        <v>0</v>
      </c>
      <c r="BC38" s="1" t="n">
        <f aca="false">MAX(0,AP38)</f>
        <v>0</v>
      </c>
      <c r="BD38" s="1" t="n">
        <f aca="false">SUM(AQ38:BB38)</f>
        <v>0</v>
      </c>
      <c r="BE38" s="1" t="n">
        <f aca="false">'Plan cashflow'!O38</f>
        <v>0</v>
      </c>
      <c r="BF38" s="1" t="n">
        <f aca="false">IF(BE38&gt;0.5,BE38+BE38*(D_iL)-MIN(F_LoanPayM,BE38+BE38*(D_iL)),BE38)</f>
        <v>0</v>
      </c>
      <c r="BG38" s="1" t="n">
        <f aca="false">IF(BF38&gt;0.5,BF38+BF38*(D_iL)-MIN(F_LoanPayM,BF38+BF38*(D_iL)),BF38)</f>
        <v>0</v>
      </c>
      <c r="BH38" s="1" t="n">
        <f aca="false">IF(BG38&gt;0.5,BG38+BG38*(D_iL)-MIN(F_LoanPayM,BG38+BG38*(D_iL)),BG38)</f>
        <v>0</v>
      </c>
      <c r="BI38" s="1" t="n">
        <f aca="false">IF(BH38&gt;0.5,BH38+BH38*(D_iL)-MIN(F_LoanPayM,BH38+BH38*(D_iL)),BH38)</f>
        <v>0</v>
      </c>
      <c r="BJ38" s="1" t="n">
        <f aca="false">IF(BI38&gt;0.5,BI38+BI38*(D_iL)-MIN(F_LoanPayM,BI38+BI38*(D_iL)),BI38)</f>
        <v>0</v>
      </c>
      <c r="BK38" s="1" t="n">
        <f aca="false">IF(BJ38&gt;0.5,BJ38+BJ38*(D_iL)-MIN(F_LoanPayM,BJ38+BJ38*(D_iL)),BJ38)</f>
        <v>0</v>
      </c>
      <c r="BL38" s="1" t="n">
        <f aca="false">IF(BK38&gt;0.5,BK38+BK38*(D_iL)-MIN(F_LoanPayM,BK38+BK38*(D_iL)),BK38)</f>
        <v>0</v>
      </c>
      <c r="BM38" s="1" t="n">
        <f aca="false">IF(BL38&gt;0.5,BL38+BL38*(D_iL)-MIN(F_LoanPayM,BL38+BL38*(D_iL)),BL38)</f>
        <v>0</v>
      </c>
      <c r="BN38" s="1" t="n">
        <f aca="false">IF(BM38&gt;0.5,BM38+BM38*(D_iL)-MIN(F_LoanPayM,BM38+BM38*(D_iL)),BM38)</f>
        <v>0</v>
      </c>
      <c r="BO38" s="1" t="n">
        <f aca="false">IF(BN38&gt;0.5,BN38+BN38*(D_iL)-MIN(F_LoanPayM,BN38+BN38*(D_iL)),BN38)</f>
        <v>0</v>
      </c>
      <c r="BP38" s="1" t="n">
        <f aca="false">IF(BO38&gt;0.5,BO38+BO38*(D_iL)-MIN(F_LoanPayM,BO38+BO38*(D_iL)),BO38)</f>
        <v>0</v>
      </c>
      <c r="BQ38" s="1" t="n">
        <f aca="false">IF(BP38&gt;0.5,BP38+BP38*(D_iL)-MIN(F_LoanPayM,BP38+BP38*(D_iL)),BP38)</f>
        <v>0</v>
      </c>
      <c r="BR38" s="1" t="n">
        <f aca="false">IF(BE38&gt;0.5,MIN(F_LoanPayM,BE38+BE38*(D_iL)),0)</f>
        <v>0</v>
      </c>
      <c r="BS38" s="1" t="n">
        <f aca="false">IF(BF38&gt;0.5,MIN(F_LoanPayM,BF38+BF38*(D_iL)),0)</f>
        <v>0</v>
      </c>
      <c r="BT38" s="1" t="n">
        <f aca="false">IF(BG38&gt;0.5,MIN(F_LoanPayM,BG38+BG38*(D_iL)),0)</f>
        <v>0</v>
      </c>
      <c r="BU38" s="1" t="n">
        <f aca="false">IF(BH38&gt;0.5,MIN(F_LoanPayM,BH38+BH38*(D_iL)),0)</f>
        <v>0</v>
      </c>
      <c r="BV38" s="1" t="n">
        <f aca="false">IF(BI38&gt;0.5,MIN(F_LoanPayM,BI38+BI38*(D_iL)),0)</f>
        <v>0</v>
      </c>
      <c r="BW38" s="1" t="n">
        <f aca="false">IF(BJ38&gt;0.5,MIN(F_LoanPayM,BJ38+BJ38*(D_iL)),0)</f>
        <v>0</v>
      </c>
      <c r="BX38" s="1" t="n">
        <f aca="false">IF(BK38&gt;0.5,MIN(F_LoanPayM,BK38+BK38*(D_iL)),0)</f>
        <v>0</v>
      </c>
      <c r="BY38" s="1" t="n">
        <f aca="false">IF(BL38&gt;0.5,MIN(F_LoanPayM,BL38+BL38*(D_iL)),0)</f>
        <v>0</v>
      </c>
      <c r="BZ38" s="1" t="n">
        <f aca="false">IF(BM38&gt;0.5,MIN(F_LoanPayM,BM38+BM38*(D_iL)),0)</f>
        <v>0</v>
      </c>
      <c r="CA38" s="1" t="n">
        <f aca="false">IF(BN38&gt;0.5,MIN(F_LoanPayM,BN38+BN38*(D_iL)),0)</f>
        <v>0</v>
      </c>
      <c r="CB38" s="1" t="n">
        <f aca="false">IF(BO38&gt;0.5,MIN(F_LoanPayM,BO38+BO38*(D_iL)),0)</f>
        <v>0</v>
      </c>
      <c r="CC38" s="1" t="n">
        <f aca="false">IF(BP38&gt;0.5,MIN(F_LoanPayM,BP38+BP38*(D_iL)),0)</f>
        <v>0</v>
      </c>
      <c r="CD38" s="1" t="n">
        <f aca="false">MAX(0,BQ38)</f>
        <v>0</v>
      </c>
      <c r="CE38" s="1" t="n">
        <f aca="false">SUM(BR38:CC38)</f>
        <v>0</v>
      </c>
      <c r="CF38" s="1" t="n">
        <f aca="false">IF(CF37&gt;1,DE37,CF37)</f>
        <v>0</v>
      </c>
      <c r="CG38" s="1" t="n">
        <f aca="false">IF(CF38&gt;0.5,CF38+CF38*(F_MR/12)-MIN(F_MortPayM,CF38+CF38*(F_MR/12)),CF38)</f>
        <v>0</v>
      </c>
      <c r="CH38" s="1" t="n">
        <f aca="false">IF(CG38&gt;0.5,CG38+CG38*(F_MR/12)-MIN(F_MortPayM,CG38+CG38*(F_MR/12)),CG38)</f>
        <v>0</v>
      </c>
      <c r="CI38" s="1" t="n">
        <f aca="false">IF(CH38&gt;0.5,CH38+CH38*(F_MR/12)-MIN(F_MortPayM,CH38+CH38*(F_MR/12)),CH38)</f>
        <v>0</v>
      </c>
      <c r="CJ38" s="1" t="n">
        <f aca="false">IF(CI38&gt;0.5,CI38+CI38*(F_MR/12)-MIN(F_MortPayM,CI38+CI38*(F_MR/12)),CI38)</f>
        <v>0</v>
      </c>
      <c r="CK38" s="1" t="n">
        <f aca="false">IF(CJ38&gt;0.5,CJ38+CJ38*(F_MR/12)-MIN(F_MortPayM,CJ38+CJ38*(F_MR/12)),CJ38)</f>
        <v>0</v>
      </c>
      <c r="CL38" s="1" t="n">
        <f aca="false">IF(CK38&gt;0.5,CK38+CK38*(F_MR/12)-MIN(F_MortPayM,CK38+CK38*(F_MR/12)),CK38)</f>
        <v>0</v>
      </c>
      <c r="CM38" s="1" t="n">
        <f aca="false">IF(CL38&gt;0.5,CL38+CL38*(F_MR/12)-MIN(F_MortPayM,CL38+CL38*(F_MR/12)),CL38)</f>
        <v>0</v>
      </c>
      <c r="CN38" s="1" t="n">
        <f aca="false">IF(CM38&gt;0.5,CM38+CM38*(F_MR/12)-MIN(F_MortPayM,CM38+CM38*(F_MR/12)),CM38)</f>
        <v>0</v>
      </c>
      <c r="CO38" s="1" t="n">
        <f aca="false">IF(CN38&gt;0.5,CN38+CN38*(F_MR/12)-MIN(F_MortPayM,CN38+CN38*(F_MR/12)),CN38)</f>
        <v>0</v>
      </c>
      <c r="CP38" s="1" t="n">
        <f aca="false">IF(CO38&gt;0.5,CO38+CO38*(F_MR/12)-MIN(F_MortPayM,CO38+CO38*(F_MR/12)),CO38)</f>
        <v>0</v>
      </c>
      <c r="CQ38" s="1" t="n">
        <f aca="false">IF(CP38&gt;0.5,CP38+CP38*(F_MR/12)-MIN(F_MortPayM,CP38+CP38*(F_MR/12)),CP38)</f>
        <v>0</v>
      </c>
      <c r="CR38" s="1" t="n">
        <f aca="false">IF(CQ38&gt;0.5,CQ38+CQ38*(F_MR/12)-MIN(F_MortPayM,CQ38+CQ38*(F_MR/12)),CQ38)</f>
        <v>0</v>
      </c>
      <c r="CS38" s="1" t="n">
        <f aca="false">IF(CF38&gt;0.5,MIN(F_MortPayM,CF38+CF38*(F_MR/12)),0)</f>
        <v>0</v>
      </c>
      <c r="CT38" s="1" t="n">
        <f aca="false">IF(CG38&gt;0.5,MIN(F_MortPayM,CG38+CG38*(F_MR/12)),0)</f>
        <v>0</v>
      </c>
      <c r="CU38" s="1" t="n">
        <f aca="false">IF(CH38&gt;0.5,MIN(F_MortPayM,CH38+CH38*(F_MR/12)),0)</f>
        <v>0</v>
      </c>
      <c r="CV38" s="1" t="n">
        <f aca="false">IF(CI38&gt;0.5,MIN(F_MortPayM,CI38+CI38*(F_MR/12)),0)</f>
        <v>0</v>
      </c>
      <c r="CW38" s="1" t="n">
        <f aca="false">IF(CJ38&gt;0.5,MIN(F_MortPayM,CJ38+CJ38*(F_MR/12)),0)</f>
        <v>0</v>
      </c>
      <c r="CX38" s="1" t="n">
        <f aca="false">IF(CK38&gt;0.5,MIN(F_MortPayM,CK38+CK38*(F_MR/12)),0)</f>
        <v>0</v>
      </c>
      <c r="CY38" s="1" t="n">
        <f aca="false">IF(CL38&gt;0.5,MIN(F_MortPayM,CL38+CL38*(F_MR/12)),0)</f>
        <v>0</v>
      </c>
      <c r="CZ38" s="1" t="n">
        <f aca="false">IF(CM38&gt;0.5,MIN(F_MortPayM,CM38+CM38*(F_MR/12)),0)</f>
        <v>0</v>
      </c>
      <c r="DA38" s="1" t="n">
        <f aca="false">IF(CN38&gt;0.5,MIN(F_MortPayM,CN38+CN38*(F_MR/12)),0)</f>
        <v>0</v>
      </c>
      <c r="DB38" s="1" t="n">
        <f aca="false">IF(CO38&gt;0.5,MIN(F_MortPayM,CO38+CO38*(F_MR/12)),0)</f>
        <v>0</v>
      </c>
      <c r="DC38" s="1" t="n">
        <f aca="false">IF(CP38&gt;0.5,MIN(F_MortPayM,CP38+CP38*(F_MR/12)),0)</f>
        <v>0</v>
      </c>
      <c r="DD38" s="1" t="n">
        <f aca="false">IF(CQ38&gt;0.5,MIN(F_MortPayM,CQ38+CQ38*(F_MR/12)),0)</f>
        <v>0</v>
      </c>
      <c r="DE38" s="1" t="n">
        <f aca="false">MAX(0,CR38)</f>
        <v>0</v>
      </c>
      <c r="DF38" s="1" t="n">
        <f aca="false">SUM(CS38:DD38)</f>
        <v>0</v>
      </c>
      <c r="DG38" s="1" t="n">
        <f aca="false">MAX(0,CF38)</f>
        <v>0</v>
      </c>
    </row>
    <row r="39" customFormat="false" ht="15" hidden="false" customHeight="false" outlineLevel="0" collapsed="false">
      <c r="B39" s="1" t="n">
        <v>31</v>
      </c>
      <c r="C39" s="1" t="n">
        <f aca="false">'Plan cashflow'!I39</f>
        <v>0</v>
      </c>
      <c r="D39" s="1" t="n">
        <f aca="false">IF(C39&gt;0.5,C39+C39*(F_MR/12)-MIN(F_MortPayM,C39+C39*(F_MR/12)),C39)</f>
        <v>0</v>
      </c>
      <c r="E39" s="1" t="n">
        <f aca="false">IF(D39&gt;0.5,D39+D39*(F_MR/12)-MIN(F_MortPayM,D39+D39*(F_MR/12)),D39)</f>
        <v>0</v>
      </c>
      <c r="F39" s="1" t="n">
        <f aca="false">IF(E39&gt;0.5,E39+E39*(F_MR/12)-MIN(F_MortPayM,E39+E39*(F_MR/12)),E39)</f>
        <v>0</v>
      </c>
      <c r="G39" s="1" t="n">
        <f aca="false">IF(F39&gt;0.5,F39+F39*(F_MR/12)-MIN(F_MortPayM,F39+F39*(F_MR/12)),F39)</f>
        <v>0</v>
      </c>
      <c r="H39" s="1" t="n">
        <f aca="false">IF(G39&gt;0.5,G39+G39*(F_MR/12)-MIN(F_MortPayM,G39+G39*(F_MR/12)),G39)</f>
        <v>0</v>
      </c>
      <c r="I39" s="1" t="n">
        <f aca="false">IF(H39&gt;0.5,H39+H39*(F_MR/12)-MIN(F_MortPayM,H39+H39*(F_MR/12)),H39)</f>
        <v>0</v>
      </c>
      <c r="J39" s="1" t="n">
        <f aca="false">IF(I39&gt;0.5,I39+I39*(F_MR/12)-MIN(F_MortPayM,I39+I39*(F_MR/12)),I39)</f>
        <v>0</v>
      </c>
      <c r="K39" s="1" t="n">
        <f aca="false">IF(J39&gt;0.5,J39+J39*(F_MR/12)-MIN(F_MortPayM,J39+J39*(F_MR/12)),J39)</f>
        <v>0</v>
      </c>
      <c r="L39" s="1" t="n">
        <f aca="false">IF(K39&gt;0.5,K39+K39*(F_MR/12)-MIN(F_MortPayM,K39+K39*(F_MR/12)),K39)</f>
        <v>0</v>
      </c>
      <c r="M39" s="1" t="n">
        <f aca="false">IF(L39&gt;0.5,L39+L39*(F_MR/12)-MIN(F_MortPayM,L39+L39*(F_MR/12)),L39)</f>
        <v>0</v>
      </c>
      <c r="N39" s="1" t="n">
        <f aca="false">IF(M39&gt;0.5,M39+M39*(F_MR/12)-MIN(F_MortPayM,M39+M39*(F_MR/12)),M39)</f>
        <v>0</v>
      </c>
      <c r="O39" s="1" t="n">
        <f aca="false">IF(N39&gt;0.5,N39+N39*(F_MR/12)-MIN(F_MortPayM,N39+N39*(F_MR/12)),N39)</f>
        <v>0</v>
      </c>
      <c r="P39" s="1" t="n">
        <f aca="false">IF(C39&gt;0.5,MIN(F_MortPayM,C39+C39*(F_MR/12)),0)</f>
        <v>0</v>
      </c>
      <c r="Q39" s="1" t="n">
        <f aca="false">IF(D39&gt;0.5,MIN(F_MortPayM,D39+D39*(F_MR/12)),0)</f>
        <v>0</v>
      </c>
      <c r="R39" s="1" t="n">
        <f aca="false">IF(E39&gt;0.5,MIN(F_MortPayM,E39+E39*(F_MR/12)),0)</f>
        <v>0</v>
      </c>
      <c r="S39" s="1" t="n">
        <f aca="false">IF(F39&gt;0.5,MIN(F_MortPayM,F39+F39*(F_MR/12)),0)</f>
        <v>0</v>
      </c>
      <c r="T39" s="1" t="n">
        <f aca="false">IF(G39&gt;0.5,MIN(F_MortPayM,G39+G39*(F_MR/12)),0)</f>
        <v>0</v>
      </c>
      <c r="U39" s="1" t="n">
        <f aca="false">IF(H39&gt;0.5,MIN(F_MortPayM,H39+H39*(F_MR/12)),0)</f>
        <v>0</v>
      </c>
      <c r="V39" s="1" t="n">
        <f aca="false">IF(I39&gt;0.5,MIN(F_MortPayM,I39+I39*(F_MR/12)),0)</f>
        <v>0</v>
      </c>
      <c r="W39" s="1" t="n">
        <f aca="false">IF(J39&gt;0.5,MIN(F_MortPayM,J39+J39*(F_MR/12)),0)</f>
        <v>0</v>
      </c>
      <c r="X39" s="1" t="n">
        <f aca="false">IF(K39&gt;0.5,MIN(F_MortPayM,K39+K39*(F_MR/12)),0)</f>
        <v>0</v>
      </c>
      <c r="Y39" s="1" t="n">
        <f aca="false">IF(L39&gt;0.5,MIN(F_MortPayM,L39+L39*(F_MR/12)),0)</f>
        <v>0</v>
      </c>
      <c r="Z39" s="1" t="n">
        <f aca="false">IF(M39&gt;0.5,MIN(F_MortPayM,M39+M39*(F_MR/12)),0)</f>
        <v>0</v>
      </c>
      <c r="AA39" s="1" t="n">
        <f aca="false">IF(N39&gt;0.5,MIN(F_MortPayM,N39+N39*(F_MR/12)),0)</f>
        <v>0</v>
      </c>
      <c r="AB39" s="1" t="n">
        <f aca="false">MAX(0,O39)</f>
        <v>0</v>
      </c>
      <c r="AC39" s="1" t="n">
        <f aca="false">SUM(P39:AA39)</f>
        <v>0</v>
      </c>
      <c r="AD39" s="1" t="n">
        <f aca="false">'Plan cashflow'!L39</f>
        <v>0</v>
      </c>
      <c r="AE39" s="1" t="n">
        <f aca="false">IF(AD39&gt;0.5,AD39+AD39*(D_iC)-MIN(F_CardPayM,AD39+AD39*(D_iC)),AD39)</f>
        <v>0</v>
      </c>
      <c r="AF39" s="1" t="n">
        <f aca="false">IF(AE39&gt;0.5,AE39+AE39*(D_iC)-MIN(F_CardPayM,AE39+AE39*(D_iC)),AE39)</f>
        <v>0</v>
      </c>
      <c r="AG39" s="1" t="n">
        <f aca="false">IF(AF39&gt;0.5,AF39+AF39*(D_iC)-MIN(F_CardPayM,AF39+AF39*(D_iC)),AF39)</f>
        <v>0</v>
      </c>
      <c r="AH39" s="1" t="n">
        <f aca="false">IF(AG39&gt;0.5,AG39+AG39*(D_iC)-MIN(F_CardPayM,AG39+AG39*(D_iC)),AG39)</f>
        <v>0</v>
      </c>
      <c r="AI39" s="1" t="n">
        <f aca="false">IF(AH39&gt;0.5,AH39+AH39*(D_iC)-MIN(F_CardPayM,AH39+AH39*(D_iC)),AH39)</f>
        <v>0</v>
      </c>
      <c r="AJ39" s="1" t="n">
        <f aca="false">IF(AI39&gt;0.5,AI39+AI39*(D_iC)-MIN(F_CardPayM,AI39+AI39*(D_iC)),AI39)</f>
        <v>0</v>
      </c>
      <c r="AK39" s="1" t="n">
        <f aca="false">IF(AJ39&gt;0.5,AJ39+AJ39*(D_iC)-MIN(F_CardPayM,AJ39+AJ39*(D_iC)),AJ39)</f>
        <v>0</v>
      </c>
      <c r="AL39" s="1" t="n">
        <f aca="false">IF(AK39&gt;0.5,AK39+AK39*(D_iC)-MIN(F_CardPayM,AK39+AK39*(D_iC)),AK39)</f>
        <v>0</v>
      </c>
      <c r="AM39" s="1" t="n">
        <f aca="false">IF(AL39&gt;0.5,AL39+AL39*(D_iC)-MIN(F_CardPayM,AL39+AL39*(D_iC)),AL39)</f>
        <v>0</v>
      </c>
      <c r="AN39" s="1" t="n">
        <f aca="false">IF(AM39&gt;0.5,AM39+AM39*(D_iC)-MIN(F_CardPayM,AM39+AM39*(D_iC)),AM39)</f>
        <v>0</v>
      </c>
      <c r="AO39" s="1" t="n">
        <f aca="false">IF(AN39&gt;0.5,AN39+AN39*(D_iC)-MIN(F_CardPayM,AN39+AN39*(D_iC)),AN39)</f>
        <v>0</v>
      </c>
      <c r="AP39" s="1" t="n">
        <f aca="false">IF(AO39&gt;0.5,AO39+AO39*(D_iC)-MIN(F_CardPayM,AO39+AO39*(D_iC)),AO39)</f>
        <v>0</v>
      </c>
      <c r="AQ39" s="1" t="n">
        <f aca="false">IF(AD39&gt;0.5,MIN(F_CardPayM,AD39+AD39*(D_iC)),0)</f>
        <v>0</v>
      </c>
      <c r="AR39" s="1" t="n">
        <f aca="false">IF(AE39&gt;0.5,MIN(F_CardPayM,AE39+AE39*(D_iC)),0)</f>
        <v>0</v>
      </c>
      <c r="AS39" s="1" t="n">
        <f aca="false">IF(AF39&gt;0.5,MIN(F_CardPayM,AF39+AF39*(D_iC)),0)</f>
        <v>0</v>
      </c>
      <c r="AT39" s="1" t="n">
        <f aca="false">IF(AG39&gt;0.5,MIN(F_CardPayM,AG39+AG39*(D_iC)),0)</f>
        <v>0</v>
      </c>
      <c r="AU39" s="1" t="n">
        <f aca="false">IF(AH39&gt;0.5,MIN(F_CardPayM,AH39+AH39*(D_iC)),0)</f>
        <v>0</v>
      </c>
      <c r="AV39" s="1" t="n">
        <f aca="false">IF(AI39&gt;0.5,MIN(F_CardPayM,AI39+AI39*(D_iC)),0)</f>
        <v>0</v>
      </c>
      <c r="AW39" s="1" t="n">
        <f aca="false">IF(AJ39&gt;0.5,MIN(F_CardPayM,AJ39+AJ39*(D_iC)),0)</f>
        <v>0</v>
      </c>
      <c r="AX39" s="1" t="n">
        <f aca="false">IF(AK39&gt;0.5,MIN(F_CardPayM,AK39+AK39*(D_iC)),0)</f>
        <v>0</v>
      </c>
      <c r="AY39" s="1" t="n">
        <f aca="false">IF(AL39&gt;0.5,MIN(F_CardPayM,AL39+AL39*(D_iC)),0)</f>
        <v>0</v>
      </c>
      <c r="AZ39" s="1" t="n">
        <f aca="false">IF(AM39&gt;0.5,MIN(F_CardPayM,AM39+AM39*(D_iC)),0)</f>
        <v>0</v>
      </c>
      <c r="BA39" s="1" t="n">
        <f aca="false">IF(AN39&gt;0.5,MIN(F_CardPayM,AN39+AN39*(D_iC)),0)</f>
        <v>0</v>
      </c>
      <c r="BB39" s="1" t="n">
        <f aca="false">IF(AO39&gt;0.5,MIN(F_CardPayM,AO39+AO39*(D_iC)),0)</f>
        <v>0</v>
      </c>
      <c r="BC39" s="1" t="n">
        <f aca="false">MAX(0,AP39)</f>
        <v>0</v>
      </c>
      <c r="BD39" s="1" t="n">
        <f aca="false">SUM(AQ39:BB39)</f>
        <v>0</v>
      </c>
      <c r="BE39" s="1" t="n">
        <f aca="false">'Plan cashflow'!O39</f>
        <v>0</v>
      </c>
      <c r="BF39" s="1" t="n">
        <f aca="false">IF(BE39&gt;0.5,BE39+BE39*(D_iL)-MIN(F_LoanPayM,BE39+BE39*(D_iL)),BE39)</f>
        <v>0</v>
      </c>
      <c r="BG39" s="1" t="n">
        <f aca="false">IF(BF39&gt;0.5,BF39+BF39*(D_iL)-MIN(F_LoanPayM,BF39+BF39*(D_iL)),BF39)</f>
        <v>0</v>
      </c>
      <c r="BH39" s="1" t="n">
        <f aca="false">IF(BG39&gt;0.5,BG39+BG39*(D_iL)-MIN(F_LoanPayM,BG39+BG39*(D_iL)),BG39)</f>
        <v>0</v>
      </c>
      <c r="BI39" s="1" t="n">
        <f aca="false">IF(BH39&gt;0.5,BH39+BH39*(D_iL)-MIN(F_LoanPayM,BH39+BH39*(D_iL)),BH39)</f>
        <v>0</v>
      </c>
      <c r="BJ39" s="1" t="n">
        <f aca="false">IF(BI39&gt;0.5,BI39+BI39*(D_iL)-MIN(F_LoanPayM,BI39+BI39*(D_iL)),BI39)</f>
        <v>0</v>
      </c>
      <c r="BK39" s="1" t="n">
        <f aca="false">IF(BJ39&gt;0.5,BJ39+BJ39*(D_iL)-MIN(F_LoanPayM,BJ39+BJ39*(D_iL)),BJ39)</f>
        <v>0</v>
      </c>
      <c r="BL39" s="1" t="n">
        <f aca="false">IF(BK39&gt;0.5,BK39+BK39*(D_iL)-MIN(F_LoanPayM,BK39+BK39*(D_iL)),BK39)</f>
        <v>0</v>
      </c>
      <c r="BM39" s="1" t="n">
        <f aca="false">IF(BL39&gt;0.5,BL39+BL39*(D_iL)-MIN(F_LoanPayM,BL39+BL39*(D_iL)),BL39)</f>
        <v>0</v>
      </c>
      <c r="BN39" s="1" t="n">
        <f aca="false">IF(BM39&gt;0.5,BM39+BM39*(D_iL)-MIN(F_LoanPayM,BM39+BM39*(D_iL)),BM39)</f>
        <v>0</v>
      </c>
      <c r="BO39" s="1" t="n">
        <f aca="false">IF(BN39&gt;0.5,BN39+BN39*(D_iL)-MIN(F_LoanPayM,BN39+BN39*(D_iL)),BN39)</f>
        <v>0</v>
      </c>
      <c r="BP39" s="1" t="n">
        <f aca="false">IF(BO39&gt;0.5,BO39+BO39*(D_iL)-MIN(F_LoanPayM,BO39+BO39*(D_iL)),BO39)</f>
        <v>0</v>
      </c>
      <c r="BQ39" s="1" t="n">
        <f aca="false">IF(BP39&gt;0.5,BP39+BP39*(D_iL)-MIN(F_LoanPayM,BP39+BP39*(D_iL)),BP39)</f>
        <v>0</v>
      </c>
      <c r="BR39" s="1" t="n">
        <f aca="false">IF(BE39&gt;0.5,MIN(F_LoanPayM,BE39+BE39*(D_iL)),0)</f>
        <v>0</v>
      </c>
      <c r="BS39" s="1" t="n">
        <f aca="false">IF(BF39&gt;0.5,MIN(F_LoanPayM,BF39+BF39*(D_iL)),0)</f>
        <v>0</v>
      </c>
      <c r="BT39" s="1" t="n">
        <f aca="false">IF(BG39&gt;0.5,MIN(F_LoanPayM,BG39+BG39*(D_iL)),0)</f>
        <v>0</v>
      </c>
      <c r="BU39" s="1" t="n">
        <f aca="false">IF(BH39&gt;0.5,MIN(F_LoanPayM,BH39+BH39*(D_iL)),0)</f>
        <v>0</v>
      </c>
      <c r="BV39" s="1" t="n">
        <f aca="false">IF(BI39&gt;0.5,MIN(F_LoanPayM,BI39+BI39*(D_iL)),0)</f>
        <v>0</v>
      </c>
      <c r="BW39" s="1" t="n">
        <f aca="false">IF(BJ39&gt;0.5,MIN(F_LoanPayM,BJ39+BJ39*(D_iL)),0)</f>
        <v>0</v>
      </c>
      <c r="BX39" s="1" t="n">
        <f aca="false">IF(BK39&gt;0.5,MIN(F_LoanPayM,BK39+BK39*(D_iL)),0)</f>
        <v>0</v>
      </c>
      <c r="BY39" s="1" t="n">
        <f aca="false">IF(BL39&gt;0.5,MIN(F_LoanPayM,BL39+BL39*(D_iL)),0)</f>
        <v>0</v>
      </c>
      <c r="BZ39" s="1" t="n">
        <f aca="false">IF(BM39&gt;0.5,MIN(F_LoanPayM,BM39+BM39*(D_iL)),0)</f>
        <v>0</v>
      </c>
      <c r="CA39" s="1" t="n">
        <f aca="false">IF(BN39&gt;0.5,MIN(F_LoanPayM,BN39+BN39*(D_iL)),0)</f>
        <v>0</v>
      </c>
      <c r="CB39" s="1" t="n">
        <f aca="false">IF(BO39&gt;0.5,MIN(F_LoanPayM,BO39+BO39*(D_iL)),0)</f>
        <v>0</v>
      </c>
      <c r="CC39" s="1" t="n">
        <f aca="false">IF(BP39&gt;0.5,MIN(F_LoanPayM,BP39+BP39*(D_iL)),0)</f>
        <v>0</v>
      </c>
      <c r="CD39" s="1" t="n">
        <f aca="false">MAX(0,BQ39)</f>
        <v>0</v>
      </c>
      <c r="CE39" s="1" t="n">
        <f aca="false">SUM(BR39:CC39)</f>
        <v>0</v>
      </c>
      <c r="CF39" s="1" t="n">
        <f aca="false">IF(CF38&gt;1,DE38,CF38)</f>
        <v>0</v>
      </c>
      <c r="CG39" s="1" t="n">
        <f aca="false">IF(CF39&gt;0.5,CF39+CF39*(F_MR/12)-MIN(F_MortPayM,CF39+CF39*(F_MR/12)),CF39)</f>
        <v>0</v>
      </c>
      <c r="CH39" s="1" t="n">
        <f aca="false">IF(CG39&gt;0.5,CG39+CG39*(F_MR/12)-MIN(F_MortPayM,CG39+CG39*(F_MR/12)),CG39)</f>
        <v>0</v>
      </c>
      <c r="CI39" s="1" t="n">
        <f aca="false">IF(CH39&gt;0.5,CH39+CH39*(F_MR/12)-MIN(F_MortPayM,CH39+CH39*(F_MR/12)),CH39)</f>
        <v>0</v>
      </c>
      <c r="CJ39" s="1" t="n">
        <f aca="false">IF(CI39&gt;0.5,CI39+CI39*(F_MR/12)-MIN(F_MortPayM,CI39+CI39*(F_MR/12)),CI39)</f>
        <v>0</v>
      </c>
      <c r="CK39" s="1" t="n">
        <f aca="false">IF(CJ39&gt;0.5,CJ39+CJ39*(F_MR/12)-MIN(F_MortPayM,CJ39+CJ39*(F_MR/12)),CJ39)</f>
        <v>0</v>
      </c>
      <c r="CL39" s="1" t="n">
        <f aca="false">IF(CK39&gt;0.5,CK39+CK39*(F_MR/12)-MIN(F_MortPayM,CK39+CK39*(F_MR/12)),CK39)</f>
        <v>0</v>
      </c>
      <c r="CM39" s="1" t="n">
        <f aca="false">IF(CL39&gt;0.5,CL39+CL39*(F_MR/12)-MIN(F_MortPayM,CL39+CL39*(F_MR/12)),CL39)</f>
        <v>0</v>
      </c>
      <c r="CN39" s="1" t="n">
        <f aca="false">IF(CM39&gt;0.5,CM39+CM39*(F_MR/12)-MIN(F_MortPayM,CM39+CM39*(F_MR/12)),CM39)</f>
        <v>0</v>
      </c>
      <c r="CO39" s="1" t="n">
        <f aca="false">IF(CN39&gt;0.5,CN39+CN39*(F_MR/12)-MIN(F_MortPayM,CN39+CN39*(F_MR/12)),CN39)</f>
        <v>0</v>
      </c>
      <c r="CP39" s="1" t="n">
        <f aca="false">IF(CO39&gt;0.5,CO39+CO39*(F_MR/12)-MIN(F_MortPayM,CO39+CO39*(F_MR/12)),CO39)</f>
        <v>0</v>
      </c>
      <c r="CQ39" s="1" t="n">
        <f aca="false">IF(CP39&gt;0.5,CP39+CP39*(F_MR/12)-MIN(F_MortPayM,CP39+CP39*(F_MR/12)),CP39)</f>
        <v>0</v>
      </c>
      <c r="CR39" s="1" t="n">
        <f aca="false">IF(CQ39&gt;0.5,CQ39+CQ39*(F_MR/12)-MIN(F_MortPayM,CQ39+CQ39*(F_MR/12)),CQ39)</f>
        <v>0</v>
      </c>
      <c r="CS39" s="1" t="n">
        <f aca="false">IF(CF39&gt;0.5,MIN(F_MortPayM,CF39+CF39*(F_MR/12)),0)</f>
        <v>0</v>
      </c>
      <c r="CT39" s="1" t="n">
        <f aca="false">IF(CG39&gt;0.5,MIN(F_MortPayM,CG39+CG39*(F_MR/12)),0)</f>
        <v>0</v>
      </c>
      <c r="CU39" s="1" t="n">
        <f aca="false">IF(CH39&gt;0.5,MIN(F_MortPayM,CH39+CH39*(F_MR/12)),0)</f>
        <v>0</v>
      </c>
      <c r="CV39" s="1" t="n">
        <f aca="false">IF(CI39&gt;0.5,MIN(F_MortPayM,CI39+CI39*(F_MR/12)),0)</f>
        <v>0</v>
      </c>
      <c r="CW39" s="1" t="n">
        <f aca="false">IF(CJ39&gt;0.5,MIN(F_MortPayM,CJ39+CJ39*(F_MR/12)),0)</f>
        <v>0</v>
      </c>
      <c r="CX39" s="1" t="n">
        <f aca="false">IF(CK39&gt;0.5,MIN(F_MortPayM,CK39+CK39*(F_MR/12)),0)</f>
        <v>0</v>
      </c>
      <c r="CY39" s="1" t="n">
        <f aca="false">IF(CL39&gt;0.5,MIN(F_MortPayM,CL39+CL39*(F_MR/12)),0)</f>
        <v>0</v>
      </c>
      <c r="CZ39" s="1" t="n">
        <f aca="false">IF(CM39&gt;0.5,MIN(F_MortPayM,CM39+CM39*(F_MR/12)),0)</f>
        <v>0</v>
      </c>
      <c r="DA39" s="1" t="n">
        <f aca="false">IF(CN39&gt;0.5,MIN(F_MortPayM,CN39+CN39*(F_MR/12)),0)</f>
        <v>0</v>
      </c>
      <c r="DB39" s="1" t="n">
        <f aca="false">IF(CO39&gt;0.5,MIN(F_MortPayM,CO39+CO39*(F_MR/12)),0)</f>
        <v>0</v>
      </c>
      <c r="DC39" s="1" t="n">
        <f aca="false">IF(CP39&gt;0.5,MIN(F_MortPayM,CP39+CP39*(F_MR/12)),0)</f>
        <v>0</v>
      </c>
      <c r="DD39" s="1" t="n">
        <f aca="false">IF(CQ39&gt;0.5,MIN(F_MortPayM,CQ39+CQ39*(F_MR/12)),0)</f>
        <v>0</v>
      </c>
      <c r="DE39" s="1" t="n">
        <f aca="false">MAX(0,CR39)</f>
        <v>0</v>
      </c>
      <c r="DF39" s="1" t="n">
        <f aca="false">SUM(CS39:DD39)</f>
        <v>0</v>
      </c>
      <c r="DG39" s="1" t="n">
        <f aca="false">MAX(0,CF39)</f>
        <v>0</v>
      </c>
    </row>
    <row r="40" customFormat="false" ht="15" hidden="false" customHeight="false" outlineLevel="0" collapsed="false">
      <c r="B40" s="1" t="n">
        <v>32</v>
      </c>
      <c r="C40" s="1" t="n">
        <f aca="false">'Plan cashflow'!I40</f>
        <v>0</v>
      </c>
      <c r="D40" s="1" t="n">
        <f aca="false">IF(C40&gt;0.5,C40+C40*(F_MR/12)-MIN(F_MortPayM,C40+C40*(F_MR/12)),C40)</f>
        <v>0</v>
      </c>
      <c r="E40" s="1" t="n">
        <f aca="false">IF(D40&gt;0.5,D40+D40*(F_MR/12)-MIN(F_MortPayM,D40+D40*(F_MR/12)),D40)</f>
        <v>0</v>
      </c>
      <c r="F40" s="1" t="n">
        <f aca="false">IF(E40&gt;0.5,E40+E40*(F_MR/12)-MIN(F_MortPayM,E40+E40*(F_MR/12)),E40)</f>
        <v>0</v>
      </c>
      <c r="G40" s="1" t="n">
        <f aca="false">IF(F40&gt;0.5,F40+F40*(F_MR/12)-MIN(F_MortPayM,F40+F40*(F_MR/12)),F40)</f>
        <v>0</v>
      </c>
      <c r="H40" s="1" t="n">
        <f aca="false">IF(G40&gt;0.5,G40+G40*(F_MR/12)-MIN(F_MortPayM,G40+G40*(F_MR/12)),G40)</f>
        <v>0</v>
      </c>
      <c r="I40" s="1" t="n">
        <f aca="false">IF(H40&gt;0.5,H40+H40*(F_MR/12)-MIN(F_MortPayM,H40+H40*(F_MR/12)),H40)</f>
        <v>0</v>
      </c>
      <c r="J40" s="1" t="n">
        <f aca="false">IF(I40&gt;0.5,I40+I40*(F_MR/12)-MIN(F_MortPayM,I40+I40*(F_MR/12)),I40)</f>
        <v>0</v>
      </c>
      <c r="K40" s="1" t="n">
        <f aca="false">IF(J40&gt;0.5,J40+J40*(F_MR/12)-MIN(F_MortPayM,J40+J40*(F_MR/12)),J40)</f>
        <v>0</v>
      </c>
      <c r="L40" s="1" t="n">
        <f aca="false">IF(K40&gt;0.5,K40+K40*(F_MR/12)-MIN(F_MortPayM,K40+K40*(F_MR/12)),K40)</f>
        <v>0</v>
      </c>
      <c r="M40" s="1" t="n">
        <f aca="false">IF(L40&gt;0.5,L40+L40*(F_MR/12)-MIN(F_MortPayM,L40+L40*(F_MR/12)),L40)</f>
        <v>0</v>
      </c>
      <c r="N40" s="1" t="n">
        <f aca="false">IF(M40&gt;0.5,M40+M40*(F_MR/12)-MIN(F_MortPayM,M40+M40*(F_MR/12)),M40)</f>
        <v>0</v>
      </c>
      <c r="O40" s="1" t="n">
        <f aca="false">IF(N40&gt;0.5,N40+N40*(F_MR/12)-MIN(F_MortPayM,N40+N40*(F_MR/12)),N40)</f>
        <v>0</v>
      </c>
      <c r="P40" s="1" t="n">
        <f aca="false">IF(C40&gt;0.5,MIN(F_MortPayM,C40+C40*(F_MR/12)),0)</f>
        <v>0</v>
      </c>
      <c r="Q40" s="1" t="n">
        <f aca="false">IF(D40&gt;0.5,MIN(F_MortPayM,D40+D40*(F_MR/12)),0)</f>
        <v>0</v>
      </c>
      <c r="R40" s="1" t="n">
        <f aca="false">IF(E40&gt;0.5,MIN(F_MortPayM,E40+E40*(F_MR/12)),0)</f>
        <v>0</v>
      </c>
      <c r="S40" s="1" t="n">
        <f aca="false">IF(F40&gt;0.5,MIN(F_MortPayM,F40+F40*(F_MR/12)),0)</f>
        <v>0</v>
      </c>
      <c r="T40" s="1" t="n">
        <f aca="false">IF(G40&gt;0.5,MIN(F_MortPayM,G40+G40*(F_MR/12)),0)</f>
        <v>0</v>
      </c>
      <c r="U40" s="1" t="n">
        <f aca="false">IF(H40&gt;0.5,MIN(F_MortPayM,H40+H40*(F_MR/12)),0)</f>
        <v>0</v>
      </c>
      <c r="V40" s="1" t="n">
        <f aca="false">IF(I40&gt;0.5,MIN(F_MortPayM,I40+I40*(F_MR/12)),0)</f>
        <v>0</v>
      </c>
      <c r="W40" s="1" t="n">
        <f aca="false">IF(J40&gt;0.5,MIN(F_MortPayM,J40+J40*(F_MR/12)),0)</f>
        <v>0</v>
      </c>
      <c r="X40" s="1" t="n">
        <f aca="false">IF(K40&gt;0.5,MIN(F_MortPayM,K40+K40*(F_MR/12)),0)</f>
        <v>0</v>
      </c>
      <c r="Y40" s="1" t="n">
        <f aca="false">IF(L40&gt;0.5,MIN(F_MortPayM,L40+L40*(F_MR/12)),0)</f>
        <v>0</v>
      </c>
      <c r="Z40" s="1" t="n">
        <f aca="false">IF(M40&gt;0.5,MIN(F_MortPayM,M40+M40*(F_MR/12)),0)</f>
        <v>0</v>
      </c>
      <c r="AA40" s="1" t="n">
        <f aca="false">IF(N40&gt;0.5,MIN(F_MortPayM,N40+N40*(F_MR/12)),0)</f>
        <v>0</v>
      </c>
      <c r="AB40" s="1" t="n">
        <f aca="false">MAX(0,O40)</f>
        <v>0</v>
      </c>
      <c r="AC40" s="1" t="n">
        <f aca="false">SUM(P40:AA40)</f>
        <v>0</v>
      </c>
      <c r="AD40" s="1" t="n">
        <f aca="false">'Plan cashflow'!L40</f>
        <v>0</v>
      </c>
      <c r="AE40" s="1" t="n">
        <f aca="false">IF(AD40&gt;0.5,AD40+AD40*(D_iC)-MIN(F_CardPayM,AD40+AD40*(D_iC)),AD40)</f>
        <v>0</v>
      </c>
      <c r="AF40" s="1" t="n">
        <f aca="false">IF(AE40&gt;0.5,AE40+AE40*(D_iC)-MIN(F_CardPayM,AE40+AE40*(D_iC)),AE40)</f>
        <v>0</v>
      </c>
      <c r="AG40" s="1" t="n">
        <f aca="false">IF(AF40&gt;0.5,AF40+AF40*(D_iC)-MIN(F_CardPayM,AF40+AF40*(D_iC)),AF40)</f>
        <v>0</v>
      </c>
      <c r="AH40" s="1" t="n">
        <f aca="false">IF(AG40&gt;0.5,AG40+AG40*(D_iC)-MIN(F_CardPayM,AG40+AG40*(D_iC)),AG40)</f>
        <v>0</v>
      </c>
      <c r="AI40" s="1" t="n">
        <f aca="false">IF(AH40&gt;0.5,AH40+AH40*(D_iC)-MIN(F_CardPayM,AH40+AH40*(D_iC)),AH40)</f>
        <v>0</v>
      </c>
      <c r="AJ40" s="1" t="n">
        <f aca="false">IF(AI40&gt;0.5,AI40+AI40*(D_iC)-MIN(F_CardPayM,AI40+AI40*(D_iC)),AI40)</f>
        <v>0</v>
      </c>
      <c r="AK40" s="1" t="n">
        <f aca="false">IF(AJ40&gt;0.5,AJ40+AJ40*(D_iC)-MIN(F_CardPayM,AJ40+AJ40*(D_iC)),AJ40)</f>
        <v>0</v>
      </c>
      <c r="AL40" s="1" t="n">
        <f aca="false">IF(AK40&gt;0.5,AK40+AK40*(D_iC)-MIN(F_CardPayM,AK40+AK40*(D_iC)),AK40)</f>
        <v>0</v>
      </c>
      <c r="AM40" s="1" t="n">
        <f aca="false">IF(AL40&gt;0.5,AL40+AL40*(D_iC)-MIN(F_CardPayM,AL40+AL40*(D_iC)),AL40)</f>
        <v>0</v>
      </c>
      <c r="AN40" s="1" t="n">
        <f aca="false">IF(AM40&gt;0.5,AM40+AM40*(D_iC)-MIN(F_CardPayM,AM40+AM40*(D_iC)),AM40)</f>
        <v>0</v>
      </c>
      <c r="AO40" s="1" t="n">
        <f aca="false">IF(AN40&gt;0.5,AN40+AN40*(D_iC)-MIN(F_CardPayM,AN40+AN40*(D_iC)),AN40)</f>
        <v>0</v>
      </c>
      <c r="AP40" s="1" t="n">
        <f aca="false">IF(AO40&gt;0.5,AO40+AO40*(D_iC)-MIN(F_CardPayM,AO40+AO40*(D_iC)),AO40)</f>
        <v>0</v>
      </c>
      <c r="AQ40" s="1" t="n">
        <f aca="false">IF(AD40&gt;0.5,MIN(F_CardPayM,AD40+AD40*(D_iC)),0)</f>
        <v>0</v>
      </c>
      <c r="AR40" s="1" t="n">
        <f aca="false">IF(AE40&gt;0.5,MIN(F_CardPayM,AE40+AE40*(D_iC)),0)</f>
        <v>0</v>
      </c>
      <c r="AS40" s="1" t="n">
        <f aca="false">IF(AF40&gt;0.5,MIN(F_CardPayM,AF40+AF40*(D_iC)),0)</f>
        <v>0</v>
      </c>
      <c r="AT40" s="1" t="n">
        <f aca="false">IF(AG40&gt;0.5,MIN(F_CardPayM,AG40+AG40*(D_iC)),0)</f>
        <v>0</v>
      </c>
      <c r="AU40" s="1" t="n">
        <f aca="false">IF(AH40&gt;0.5,MIN(F_CardPayM,AH40+AH40*(D_iC)),0)</f>
        <v>0</v>
      </c>
      <c r="AV40" s="1" t="n">
        <f aca="false">IF(AI40&gt;0.5,MIN(F_CardPayM,AI40+AI40*(D_iC)),0)</f>
        <v>0</v>
      </c>
      <c r="AW40" s="1" t="n">
        <f aca="false">IF(AJ40&gt;0.5,MIN(F_CardPayM,AJ40+AJ40*(D_iC)),0)</f>
        <v>0</v>
      </c>
      <c r="AX40" s="1" t="n">
        <f aca="false">IF(AK40&gt;0.5,MIN(F_CardPayM,AK40+AK40*(D_iC)),0)</f>
        <v>0</v>
      </c>
      <c r="AY40" s="1" t="n">
        <f aca="false">IF(AL40&gt;0.5,MIN(F_CardPayM,AL40+AL40*(D_iC)),0)</f>
        <v>0</v>
      </c>
      <c r="AZ40" s="1" t="n">
        <f aca="false">IF(AM40&gt;0.5,MIN(F_CardPayM,AM40+AM40*(D_iC)),0)</f>
        <v>0</v>
      </c>
      <c r="BA40" s="1" t="n">
        <f aca="false">IF(AN40&gt;0.5,MIN(F_CardPayM,AN40+AN40*(D_iC)),0)</f>
        <v>0</v>
      </c>
      <c r="BB40" s="1" t="n">
        <f aca="false">IF(AO40&gt;0.5,MIN(F_CardPayM,AO40+AO40*(D_iC)),0)</f>
        <v>0</v>
      </c>
      <c r="BC40" s="1" t="n">
        <f aca="false">MAX(0,AP40)</f>
        <v>0</v>
      </c>
      <c r="BD40" s="1" t="n">
        <f aca="false">SUM(AQ40:BB40)</f>
        <v>0</v>
      </c>
      <c r="BE40" s="1" t="n">
        <f aca="false">'Plan cashflow'!O40</f>
        <v>0</v>
      </c>
      <c r="BF40" s="1" t="n">
        <f aca="false">IF(BE40&gt;0.5,BE40+BE40*(D_iL)-MIN(F_LoanPayM,BE40+BE40*(D_iL)),BE40)</f>
        <v>0</v>
      </c>
      <c r="BG40" s="1" t="n">
        <f aca="false">IF(BF40&gt;0.5,BF40+BF40*(D_iL)-MIN(F_LoanPayM,BF40+BF40*(D_iL)),BF40)</f>
        <v>0</v>
      </c>
      <c r="BH40" s="1" t="n">
        <f aca="false">IF(BG40&gt;0.5,BG40+BG40*(D_iL)-MIN(F_LoanPayM,BG40+BG40*(D_iL)),BG40)</f>
        <v>0</v>
      </c>
      <c r="BI40" s="1" t="n">
        <f aca="false">IF(BH40&gt;0.5,BH40+BH40*(D_iL)-MIN(F_LoanPayM,BH40+BH40*(D_iL)),BH40)</f>
        <v>0</v>
      </c>
      <c r="BJ40" s="1" t="n">
        <f aca="false">IF(BI40&gt;0.5,BI40+BI40*(D_iL)-MIN(F_LoanPayM,BI40+BI40*(D_iL)),BI40)</f>
        <v>0</v>
      </c>
      <c r="BK40" s="1" t="n">
        <f aca="false">IF(BJ40&gt;0.5,BJ40+BJ40*(D_iL)-MIN(F_LoanPayM,BJ40+BJ40*(D_iL)),BJ40)</f>
        <v>0</v>
      </c>
      <c r="BL40" s="1" t="n">
        <f aca="false">IF(BK40&gt;0.5,BK40+BK40*(D_iL)-MIN(F_LoanPayM,BK40+BK40*(D_iL)),BK40)</f>
        <v>0</v>
      </c>
      <c r="BM40" s="1" t="n">
        <f aca="false">IF(BL40&gt;0.5,BL40+BL40*(D_iL)-MIN(F_LoanPayM,BL40+BL40*(D_iL)),BL40)</f>
        <v>0</v>
      </c>
      <c r="BN40" s="1" t="n">
        <f aca="false">IF(BM40&gt;0.5,BM40+BM40*(D_iL)-MIN(F_LoanPayM,BM40+BM40*(D_iL)),BM40)</f>
        <v>0</v>
      </c>
      <c r="BO40" s="1" t="n">
        <f aca="false">IF(BN40&gt;0.5,BN40+BN40*(D_iL)-MIN(F_LoanPayM,BN40+BN40*(D_iL)),BN40)</f>
        <v>0</v>
      </c>
      <c r="BP40" s="1" t="n">
        <f aca="false">IF(BO40&gt;0.5,BO40+BO40*(D_iL)-MIN(F_LoanPayM,BO40+BO40*(D_iL)),BO40)</f>
        <v>0</v>
      </c>
      <c r="BQ40" s="1" t="n">
        <f aca="false">IF(BP40&gt;0.5,BP40+BP40*(D_iL)-MIN(F_LoanPayM,BP40+BP40*(D_iL)),BP40)</f>
        <v>0</v>
      </c>
      <c r="BR40" s="1" t="n">
        <f aca="false">IF(BE40&gt;0.5,MIN(F_LoanPayM,BE40+BE40*(D_iL)),0)</f>
        <v>0</v>
      </c>
      <c r="BS40" s="1" t="n">
        <f aca="false">IF(BF40&gt;0.5,MIN(F_LoanPayM,BF40+BF40*(D_iL)),0)</f>
        <v>0</v>
      </c>
      <c r="BT40" s="1" t="n">
        <f aca="false">IF(BG40&gt;0.5,MIN(F_LoanPayM,BG40+BG40*(D_iL)),0)</f>
        <v>0</v>
      </c>
      <c r="BU40" s="1" t="n">
        <f aca="false">IF(BH40&gt;0.5,MIN(F_LoanPayM,BH40+BH40*(D_iL)),0)</f>
        <v>0</v>
      </c>
      <c r="BV40" s="1" t="n">
        <f aca="false">IF(BI40&gt;0.5,MIN(F_LoanPayM,BI40+BI40*(D_iL)),0)</f>
        <v>0</v>
      </c>
      <c r="BW40" s="1" t="n">
        <f aca="false">IF(BJ40&gt;0.5,MIN(F_LoanPayM,BJ40+BJ40*(D_iL)),0)</f>
        <v>0</v>
      </c>
      <c r="BX40" s="1" t="n">
        <f aca="false">IF(BK40&gt;0.5,MIN(F_LoanPayM,BK40+BK40*(D_iL)),0)</f>
        <v>0</v>
      </c>
      <c r="BY40" s="1" t="n">
        <f aca="false">IF(BL40&gt;0.5,MIN(F_LoanPayM,BL40+BL40*(D_iL)),0)</f>
        <v>0</v>
      </c>
      <c r="BZ40" s="1" t="n">
        <f aca="false">IF(BM40&gt;0.5,MIN(F_LoanPayM,BM40+BM40*(D_iL)),0)</f>
        <v>0</v>
      </c>
      <c r="CA40" s="1" t="n">
        <f aca="false">IF(BN40&gt;0.5,MIN(F_LoanPayM,BN40+BN40*(D_iL)),0)</f>
        <v>0</v>
      </c>
      <c r="CB40" s="1" t="n">
        <f aca="false">IF(BO40&gt;0.5,MIN(F_LoanPayM,BO40+BO40*(D_iL)),0)</f>
        <v>0</v>
      </c>
      <c r="CC40" s="1" t="n">
        <f aca="false">IF(BP40&gt;0.5,MIN(F_LoanPayM,BP40+BP40*(D_iL)),0)</f>
        <v>0</v>
      </c>
      <c r="CD40" s="1" t="n">
        <f aca="false">MAX(0,BQ40)</f>
        <v>0</v>
      </c>
      <c r="CE40" s="1" t="n">
        <f aca="false">SUM(BR40:CC40)</f>
        <v>0</v>
      </c>
      <c r="CF40" s="1" t="n">
        <f aca="false">IF(CF39&gt;1,DE39,CF39)</f>
        <v>0</v>
      </c>
      <c r="CG40" s="1" t="n">
        <f aca="false">IF(CF40&gt;0.5,CF40+CF40*(F_MR/12)-MIN(F_MortPayM,CF40+CF40*(F_MR/12)),CF40)</f>
        <v>0</v>
      </c>
      <c r="CH40" s="1" t="n">
        <f aca="false">IF(CG40&gt;0.5,CG40+CG40*(F_MR/12)-MIN(F_MortPayM,CG40+CG40*(F_MR/12)),CG40)</f>
        <v>0</v>
      </c>
      <c r="CI40" s="1" t="n">
        <f aca="false">IF(CH40&gt;0.5,CH40+CH40*(F_MR/12)-MIN(F_MortPayM,CH40+CH40*(F_MR/12)),CH40)</f>
        <v>0</v>
      </c>
      <c r="CJ40" s="1" t="n">
        <f aca="false">IF(CI40&gt;0.5,CI40+CI40*(F_MR/12)-MIN(F_MortPayM,CI40+CI40*(F_MR/12)),CI40)</f>
        <v>0</v>
      </c>
      <c r="CK40" s="1" t="n">
        <f aca="false">IF(CJ40&gt;0.5,CJ40+CJ40*(F_MR/12)-MIN(F_MortPayM,CJ40+CJ40*(F_MR/12)),CJ40)</f>
        <v>0</v>
      </c>
      <c r="CL40" s="1" t="n">
        <f aca="false">IF(CK40&gt;0.5,CK40+CK40*(F_MR/12)-MIN(F_MortPayM,CK40+CK40*(F_MR/12)),CK40)</f>
        <v>0</v>
      </c>
      <c r="CM40" s="1" t="n">
        <f aca="false">IF(CL40&gt;0.5,CL40+CL40*(F_MR/12)-MIN(F_MortPayM,CL40+CL40*(F_MR/12)),CL40)</f>
        <v>0</v>
      </c>
      <c r="CN40" s="1" t="n">
        <f aca="false">IF(CM40&gt;0.5,CM40+CM40*(F_MR/12)-MIN(F_MortPayM,CM40+CM40*(F_MR/12)),CM40)</f>
        <v>0</v>
      </c>
      <c r="CO40" s="1" t="n">
        <f aca="false">IF(CN40&gt;0.5,CN40+CN40*(F_MR/12)-MIN(F_MortPayM,CN40+CN40*(F_MR/12)),CN40)</f>
        <v>0</v>
      </c>
      <c r="CP40" s="1" t="n">
        <f aca="false">IF(CO40&gt;0.5,CO40+CO40*(F_MR/12)-MIN(F_MortPayM,CO40+CO40*(F_MR/12)),CO40)</f>
        <v>0</v>
      </c>
      <c r="CQ40" s="1" t="n">
        <f aca="false">IF(CP40&gt;0.5,CP40+CP40*(F_MR/12)-MIN(F_MortPayM,CP40+CP40*(F_MR/12)),CP40)</f>
        <v>0</v>
      </c>
      <c r="CR40" s="1" t="n">
        <f aca="false">IF(CQ40&gt;0.5,CQ40+CQ40*(F_MR/12)-MIN(F_MortPayM,CQ40+CQ40*(F_MR/12)),CQ40)</f>
        <v>0</v>
      </c>
      <c r="CS40" s="1" t="n">
        <f aca="false">IF(CF40&gt;0.5,MIN(F_MortPayM,CF40+CF40*(F_MR/12)),0)</f>
        <v>0</v>
      </c>
      <c r="CT40" s="1" t="n">
        <f aca="false">IF(CG40&gt;0.5,MIN(F_MortPayM,CG40+CG40*(F_MR/12)),0)</f>
        <v>0</v>
      </c>
      <c r="CU40" s="1" t="n">
        <f aca="false">IF(CH40&gt;0.5,MIN(F_MortPayM,CH40+CH40*(F_MR/12)),0)</f>
        <v>0</v>
      </c>
      <c r="CV40" s="1" t="n">
        <f aca="false">IF(CI40&gt;0.5,MIN(F_MortPayM,CI40+CI40*(F_MR/12)),0)</f>
        <v>0</v>
      </c>
      <c r="CW40" s="1" t="n">
        <f aca="false">IF(CJ40&gt;0.5,MIN(F_MortPayM,CJ40+CJ40*(F_MR/12)),0)</f>
        <v>0</v>
      </c>
      <c r="CX40" s="1" t="n">
        <f aca="false">IF(CK40&gt;0.5,MIN(F_MortPayM,CK40+CK40*(F_MR/12)),0)</f>
        <v>0</v>
      </c>
      <c r="CY40" s="1" t="n">
        <f aca="false">IF(CL40&gt;0.5,MIN(F_MortPayM,CL40+CL40*(F_MR/12)),0)</f>
        <v>0</v>
      </c>
      <c r="CZ40" s="1" t="n">
        <f aca="false">IF(CM40&gt;0.5,MIN(F_MortPayM,CM40+CM40*(F_MR/12)),0)</f>
        <v>0</v>
      </c>
      <c r="DA40" s="1" t="n">
        <f aca="false">IF(CN40&gt;0.5,MIN(F_MortPayM,CN40+CN40*(F_MR/12)),0)</f>
        <v>0</v>
      </c>
      <c r="DB40" s="1" t="n">
        <f aca="false">IF(CO40&gt;0.5,MIN(F_MortPayM,CO40+CO40*(F_MR/12)),0)</f>
        <v>0</v>
      </c>
      <c r="DC40" s="1" t="n">
        <f aca="false">IF(CP40&gt;0.5,MIN(F_MortPayM,CP40+CP40*(F_MR/12)),0)</f>
        <v>0</v>
      </c>
      <c r="DD40" s="1" t="n">
        <f aca="false">IF(CQ40&gt;0.5,MIN(F_MortPayM,CQ40+CQ40*(F_MR/12)),0)</f>
        <v>0</v>
      </c>
      <c r="DE40" s="1" t="n">
        <f aca="false">MAX(0,CR40)</f>
        <v>0</v>
      </c>
      <c r="DF40" s="1" t="n">
        <f aca="false">SUM(CS40:DD40)</f>
        <v>0</v>
      </c>
      <c r="DG40" s="1" t="n">
        <f aca="false">MAX(0,CF40)</f>
        <v>0</v>
      </c>
    </row>
    <row r="41" customFormat="false" ht="15" hidden="false" customHeight="false" outlineLevel="0" collapsed="false">
      <c r="B41" s="1" t="n">
        <v>33</v>
      </c>
      <c r="C41" s="1" t="n">
        <f aca="false">'Plan cashflow'!I41</f>
        <v>0</v>
      </c>
      <c r="D41" s="1" t="n">
        <f aca="false">IF(C41&gt;0.5,C41+C41*(F_MR/12)-MIN(F_MortPayM,C41+C41*(F_MR/12)),C41)</f>
        <v>0</v>
      </c>
      <c r="E41" s="1" t="n">
        <f aca="false">IF(D41&gt;0.5,D41+D41*(F_MR/12)-MIN(F_MortPayM,D41+D41*(F_MR/12)),D41)</f>
        <v>0</v>
      </c>
      <c r="F41" s="1" t="n">
        <f aca="false">IF(E41&gt;0.5,E41+E41*(F_MR/12)-MIN(F_MortPayM,E41+E41*(F_MR/12)),E41)</f>
        <v>0</v>
      </c>
      <c r="G41" s="1" t="n">
        <f aca="false">IF(F41&gt;0.5,F41+F41*(F_MR/12)-MIN(F_MortPayM,F41+F41*(F_MR/12)),F41)</f>
        <v>0</v>
      </c>
      <c r="H41" s="1" t="n">
        <f aca="false">IF(G41&gt;0.5,G41+G41*(F_MR/12)-MIN(F_MortPayM,G41+G41*(F_MR/12)),G41)</f>
        <v>0</v>
      </c>
      <c r="I41" s="1" t="n">
        <f aca="false">IF(H41&gt;0.5,H41+H41*(F_MR/12)-MIN(F_MortPayM,H41+H41*(F_MR/12)),H41)</f>
        <v>0</v>
      </c>
      <c r="J41" s="1" t="n">
        <f aca="false">IF(I41&gt;0.5,I41+I41*(F_MR/12)-MIN(F_MortPayM,I41+I41*(F_MR/12)),I41)</f>
        <v>0</v>
      </c>
      <c r="K41" s="1" t="n">
        <f aca="false">IF(J41&gt;0.5,J41+J41*(F_MR/12)-MIN(F_MortPayM,J41+J41*(F_MR/12)),J41)</f>
        <v>0</v>
      </c>
      <c r="L41" s="1" t="n">
        <f aca="false">IF(K41&gt;0.5,K41+K41*(F_MR/12)-MIN(F_MortPayM,K41+K41*(F_MR/12)),K41)</f>
        <v>0</v>
      </c>
      <c r="M41" s="1" t="n">
        <f aca="false">IF(L41&gt;0.5,L41+L41*(F_MR/12)-MIN(F_MortPayM,L41+L41*(F_MR/12)),L41)</f>
        <v>0</v>
      </c>
      <c r="N41" s="1" t="n">
        <f aca="false">IF(M41&gt;0.5,M41+M41*(F_MR/12)-MIN(F_MortPayM,M41+M41*(F_MR/12)),M41)</f>
        <v>0</v>
      </c>
      <c r="O41" s="1" t="n">
        <f aca="false">IF(N41&gt;0.5,N41+N41*(F_MR/12)-MIN(F_MortPayM,N41+N41*(F_MR/12)),N41)</f>
        <v>0</v>
      </c>
      <c r="P41" s="1" t="n">
        <f aca="false">IF(C41&gt;0.5,MIN(F_MortPayM,C41+C41*(F_MR/12)),0)</f>
        <v>0</v>
      </c>
      <c r="Q41" s="1" t="n">
        <f aca="false">IF(D41&gt;0.5,MIN(F_MortPayM,D41+D41*(F_MR/12)),0)</f>
        <v>0</v>
      </c>
      <c r="R41" s="1" t="n">
        <f aca="false">IF(E41&gt;0.5,MIN(F_MortPayM,E41+E41*(F_MR/12)),0)</f>
        <v>0</v>
      </c>
      <c r="S41" s="1" t="n">
        <f aca="false">IF(F41&gt;0.5,MIN(F_MortPayM,F41+F41*(F_MR/12)),0)</f>
        <v>0</v>
      </c>
      <c r="T41" s="1" t="n">
        <f aca="false">IF(G41&gt;0.5,MIN(F_MortPayM,G41+G41*(F_MR/12)),0)</f>
        <v>0</v>
      </c>
      <c r="U41" s="1" t="n">
        <f aca="false">IF(H41&gt;0.5,MIN(F_MortPayM,H41+H41*(F_MR/12)),0)</f>
        <v>0</v>
      </c>
      <c r="V41" s="1" t="n">
        <f aca="false">IF(I41&gt;0.5,MIN(F_MortPayM,I41+I41*(F_MR/12)),0)</f>
        <v>0</v>
      </c>
      <c r="W41" s="1" t="n">
        <f aca="false">IF(J41&gt;0.5,MIN(F_MortPayM,J41+J41*(F_MR/12)),0)</f>
        <v>0</v>
      </c>
      <c r="X41" s="1" t="n">
        <f aca="false">IF(K41&gt;0.5,MIN(F_MortPayM,K41+K41*(F_MR/12)),0)</f>
        <v>0</v>
      </c>
      <c r="Y41" s="1" t="n">
        <f aca="false">IF(L41&gt;0.5,MIN(F_MortPayM,L41+L41*(F_MR/12)),0)</f>
        <v>0</v>
      </c>
      <c r="Z41" s="1" t="n">
        <f aca="false">IF(M41&gt;0.5,MIN(F_MortPayM,M41+M41*(F_MR/12)),0)</f>
        <v>0</v>
      </c>
      <c r="AA41" s="1" t="n">
        <f aca="false">IF(N41&gt;0.5,MIN(F_MortPayM,N41+N41*(F_MR/12)),0)</f>
        <v>0</v>
      </c>
      <c r="AB41" s="1" t="n">
        <f aca="false">MAX(0,O41)</f>
        <v>0</v>
      </c>
      <c r="AC41" s="1" t="n">
        <f aca="false">SUM(P41:AA41)</f>
        <v>0</v>
      </c>
      <c r="AD41" s="1" t="n">
        <f aca="false">'Plan cashflow'!L41</f>
        <v>0</v>
      </c>
      <c r="AE41" s="1" t="n">
        <f aca="false">IF(AD41&gt;0.5,AD41+AD41*(D_iC)-MIN(F_CardPayM,AD41+AD41*(D_iC)),AD41)</f>
        <v>0</v>
      </c>
      <c r="AF41" s="1" t="n">
        <f aca="false">IF(AE41&gt;0.5,AE41+AE41*(D_iC)-MIN(F_CardPayM,AE41+AE41*(D_iC)),AE41)</f>
        <v>0</v>
      </c>
      <c r="AG41" s="1" t="n">
        <f aca="false">IF(AF41&gt;0.5,AF41+AF41*(D_iC)-MIN(F_CardPayM,AF41+AF41*(D_iC)),AF41)</f>
        <v>0</v>
      </c>
      <c r="AH41" s="1" t="n">
        <f aca="false">IF(AG41&gt;0.5,AG41+AG41*(D_iC)-MIN(F_CardPayM,AG41+AG41*(D_iC)),AG41)</f>
        <v>0</v>
      </c>
      <c r="AI41" s="1" t="n">
        <f aca="false">IF(AH41&gt;0.5,AH41+AH41*(D_iC)-MIN(F_CardPayM,AH41+AH41*(D_iC)),AH41)</f>
        <v>0</v>
      </c>
      <c r="AJ41" s="1" t="n">
        <f aca="false">IF(AI41&gt;0.5,AI41+AI41*(D_iC)-MIN(F_CardPayM,AI41+AI41*(D_iC)),AI41)</f>
        <v>0</v>
      </c>
      <c r="AK41" s="1" t="n">
        <f aca="false">IF(AJ41&gt;0.5,AJ41+AJ41*(D_iC)-MIN(F_CardPayM,AJ41+AJ41*(D_iC)),AJ41)</f>
        <v>0</v>
      </c>
      <c r="AL41" s="1" t="n">
        <f aca="false">IF(AK41&gt;0.5,AK41+AK41*(D_iC)-MIN(F_CardPayM,AK41+AK41*(D_iC)),AK41)</f>
        <v>0</v>
      </c>
      <c r="AM41" s="1" t="n">
        <f aca="false">IF(AL41&gt;0.5,AL41+AL41*(D_iC)-MIN(F_CardPayM,AL41+AL41*(D_iC)),AL41)</f>
        <v>0</v>
      </c>
      <c r="AN41" s="1" t="n">
        <f aca="false">IF(AM41&gt;0.5,AM41+AM41*(D_iC)-MIN(F_CardPayM,AM41+AM41*(D_iC)),AM41)</f>
        <v>0</v>
      </c>
      <c r="AO41" s="1" t="n">
        <f aca="false">IF(AN41&gt;0.5,AN41+AN41*(D_iC)-MIN(F_CardPayM,AN41+AN41*(D_iC)),AN41)</f>
        <v>0</v>
      </c>
      <c r="AP41" s="1" t="n">
        <f aca="false">IF(AO41&gt;0.5,AO41+AO41*(D_iC)-MIN(F_CardPayM,AO41+AO41*(D_iC)),AO41)</f>
        <v>0</v>
      </c>
      <c r="AQ41" s="1" t="n">
        <f aca="false">IF(AD41&gt;0.5,MIN(F_CardPayM,AD41+AD41*(D_iC)),0)</f>
        <v>0</v>
      </c>
      <c r="AR41" s="1" t="n">
        <f aca="false">IF(AE41&gt;0.5,MIN(F_CardPayM,AE41+AE41*(D_iC)),0)</f>
        <v>0</v>
      </c>
      <c r="AS41" s="1" t="n">
        <f aca="false">IF(AF41&gt;0.5,MIN(F_CardPayM,AF41+AF41*(D_iC)),0)</f>
        <v>0</v>
      </c>
      <c r="AT41" s="1" t="n">
        <f aca="false">IF(AG41&gt;0.5,MIN(F_CardPayM,AG41+AG41*(D_iC)),0)</f>
        <v>0</v>
      </c>
      <c r="AU41" s="1" t="n">
        <f aca="false">IF(AH41&gt;0.5,MIN(F_CardPayM,AH41+AH41*(D_iC)),0)</f>
        <v>0</v>
      </c>
      <c r="AV41" s="1" t="n">
        <f aca="false">IF(AI41&gt;0.5,MIN(F_CardPayM,AI41+AI41*(D_iC)),0)</f>
        <v>0</v>
      </c>
      <c r="AW41" s="1" t="n">
        <f aca="false">IF(AJ41&gt;0.5,MIN(F_CardPayM,AJ41+AJ41*(D_iC)),0)</f>
        <v>0</v>
      </c>
      <c r="AX41" s="1" t="n">
        <f aca="false">IF(AK41&gt;0.5,MIN(F_CardPayM,AK41+AK41*(D_iC)),0)</f>
        <v>0</v>
      </c>
      <c r="AY41" s="1" t="n">
        <f aca="false">IF(AL41&gt;0.5,MIN(F_CardPayM,AL41+AL41*(D_iC)),0)</f>
        <v>0</v>
      </c>
      <c r="AZ41" s="1" t="n">
        <f aca="false">IF(AM41&gt;0.5,MIN(F_CardPayM,AM41+AM41*(D_iC)),0)</f>
        <v>0</v>
      </c>
      <c r="BA41" s="1" t="n">
        <f aca="false">IF(AN41&gt;0.5,MIN(F_CardPayM,AN41+AN41*(D_iC)),0)</f>
        <v>0</v>
      </c>
      <c r="BB41" s="1" t="n">
        <f aca="false">IF(AO41&gt;0.5,MIN(F_CardPayM,AO41+AO41*(D_iC)),0)</f>
        <v>0</v>
      </c>
      <c r="BC41" s="1" t="n">
        <f aca="false">MAX(0,AP41)</f>
        <v>0</v>
      </c>
      <c r="BD41" s="1" t="n">
        <f aca="false">SUM(AQ41:BB41)</f>
        <v>0</v>
      </c>
      <c r="BE41" s="1" t="n">
        <f aca="false">'Plan cashflow'!O41</f>
        <v>0</v>
      </c>
      <c r="BF41" s="1" t="n">
        <f aca="false">IF(BE41&gt;0.5,BE41+BE41*(D_iL)-MIN(F_LoanPayM,BE41+BE41*(D_iL)),BE41)</f>
        <v>0</v>
      </c>
      <c r="BG41" s="1" t="n">
        <f aca="false">IF(BF41&gt;0.5,BF41+BF41*(D_iL)-MIN(F_LoanPayM,BF41+BF41*(D_iL)),BF41)</f>
        <v>0</v>
      </c>
      <c r="BH41" s="1" t="n">
        <f aca="false">IF(BG41&gt;0.5,BG41+BG41*(D_iL)-MIN(F_LoanPayM,BG41+BG41*(D_iL)),BG41)</f>
        <v>0</v>
      </c>
      <c r="BI41" s="1" t="n">
        <f aca="false">IF(BH41&gt;0.5,BH41+BH41*(D_iL)-MIN(F_LoanPayM,BH41+BH41*(D_iL)),BH41)</f>
        <v>0</v>
      </c>
      <c r="BJ41" s="1" t="n">
        <f aca="false">IF(BI41&gt;0.5,BI41+BI41*(D_iL)-MIN(F_LoanPayM,BI41+BI41*(D_iL)),BI41)</f>
        <v>0</v>
      </c>
      <c r="BK41" s="1" t="n">
        <f aca="false">IF(BJ41&gt;0.5,BJ41+BJ41*(D_iL)-MIN(F_LoanPayM,BJ41+BJ41*(D_iL)),BJ41)</f>
        <v>0</v>
      </c>
      <c r="BL41" s="1" t="n">
        <f aca="false">IF(BK41&gt;0.5,BK41+BK41*(D_iL)-MIN(F_LoanPayM,BK41+BK41*(D_iL)),BK41)</f>
        <v>0</v>
      </c>
      <c r="BM41" s="1" t="n">
        <f aca="false">IF(BL41&gt;0.5,BL41+BL41*(D_iL)-MIN(F_LoanPayM,BL41+BL41*(D_iL)),BL41)</f>
        <v>0</v>
      </c>
      <c r="BN41" s="1" t="n">
        <f aca="false">IF(BM41&gt;0.5,BM41+BM41*(D_iL)-MIN(F_LoanPayM,BM41+BM41*(D_iL)),BM41)</f>
        <v>0</v>
      </c>
      <c r="BO41" s="1" t="n">
        <f aca="false">IF(BN41&gt;0.5,BN41+BN41*(D_iL)-MIN(F_LoanPayM,BN41+BN41*(D_iL)),BN41)</f>
        <v>0</v>
      </c>
      <c r="BP41" s="1" t="n">
        <f aca="false">IF(BO41&gt;0.5,BO41+BO41*(D_iL)-MIN(F_LoanPayM,BO41+BO41*(D_iL)),BO41)</f>
        <v>0</v>
      </c>
      <c r="BQ41" s="1" t="n">
        <f aca="false">IF(BP41&gt;0.5,BP41+BP41*(D_iL)-MIN(F_LoanPayM,BP41+BP41*(D_iL)),BP41)</f>
        <v>0</v>
      </c>
      <c r="BR41" s="1" t="n">
        <f aca="false">IF(BE41&gt;0.5,MIN(F_LoanPayM,BE41+BE41*(D_iL)),0)</f>
        <v>0</v>
      </c>
      <c r="BS41" s="1" t="n">
        <f aca="false">IF(BF41&gt;0.5,MIN(F_LoanPayM,BF41+BF41*(D_iL)),0)</f>
        <v>0</v>
      </c>
      <c r="BT41" s="1" t="n">
        <f aca="false">IF(BG41&gt;0.5,MIN(F_LoanPayM,BG41+BG41*(D_iL)),0)</f>
        <v>0</v>
      </c>
      <c r="BU41" s="1" t="n">
        <f aca="false">IF(BH41&gt;0.5,MIN(F_LoanPayM,BH41+BH41*(D_iL)),0)</f>
        <v>0</v>
      </c>
      <c r="BV41" s="1" t="n">
        <f aca="false">IF(BI41&gt;0.5,MIN(F_LoanPayM,BI41+BI41*(D_iL)),0)</f>
        <v>0</v>
      </c>
      <c r="BW41" s="1" t="n">
        <f aca="false">IF(BJ41&gt;0.5,MIN(F_LoanPayM,BJ41+BJ41*(D_iL)),0)</f>
        <v>0</v>
      </c>
      <c r="BX41" s="1" t="n">
        <f aca="false">IF(BK41&gt;0.5,MIN(F_LoanPayM,BK41+BK41*(D_iL)),0)</f>
        <v>0</v>
      </c>
      <c r="BY41" s="1" t="n">
        <f aca="false">IF(BL41&gt;0.5,MIN(F_LoanPayM,BL41+BL41*(D_iL)),0)</f>
        <v>0</v>
      </c>
      <c r="BZ41" s="1" t="n">
        <f aca="false">IF(BM41&gt;0.5,MIN(F_LoanPayM,BM41+BM41*(D_iL)),0)</f>
        <v>0</v>
      </c>
      <c r="CA41" s="1" t="n">
        <f aca="false">IF(BN41&gt;0.5,MIN(F_LoanPayM,BN41+BN41*(D_iL)),0)</f>
        <v>0</v>
      </c>
      <c r="CB41" s="1" t="n">
        <f aca="false">IF(BO41&gt;0.5,MIN(F_LoanPayM,BO41+BO41*(D_iL)),0)</f>
        <v>0</v>
      </c>
      <c r="CC41" s="1" t="n">
        <f aca="false">IF(BP41&gt;0.5,MIN(F_LoanPayM,BP41+BP41*(D_iL)),0)</f>
        <v>0</v>
      </c>
      <c r="CD41" s="1" t="n">
        <f aca="false">MAX(0,BQ41)</f>
        <v>0</v>
      </c>
      <c r="CE41" s="1" t="n">
        <f aca="false">SUM(BR41:CC41)</f>
        <v>0</v>
      </c>
      <c r="CF41" s="1" t="n">
        <f aca="false">IF(CF40&gt;1,DE40,CF40)</f>
        <v>0</v>
      </c>
      <c r="CG41" s="1" t="n">
        <f aca="false">IF(CF41&gt;0.5,CF41+CF41*(F_MR/12)-MIN(F_MortPayM,CF41+CF41*(F_MR/12)),CF41)</f>
        <v>0</v>
      </c>
      <c r="CH41" s="1" t="n">
        <f aca="false">IF(CG41&gt;0.5,CG41+CG41*(F_MR/12)-MIN(F_MortPayM,CG41+CG41*(F_MR/12)),CG41)</f>
        <v>0</v>
      </c>
      <c r="CI41" s="1" t="n">
        <f aca="false">IF(CH41&gt;0.5,CH41+CH41*(F_MR/12)-MIN(F_MortPayM,CH41+CH41*(F_MR/12)),CH41)</f>
        <v>0</v>
      </c>
      <c r="CJ41" s="1" t="n">
        <f aca="false">IF(CI41&gt;0.5,CI41+CI41*(F_MR/12)-MIN(F_MortPayM,CI41+CI41*(F_MR/12)),CI41)</f>
        <v>0</v>
      </c>
      <c r="CK41" s="1" t="n">
        <f aca="false">IF(CJ41&gt;0.5,CJ41+CJ41*(F_MR/12)-MIN(F_MortPayM,CJ41+CJ41*(F_MR/12)),CJ41)</f>
        <v>0</v>
      </c>
      <c r="CL41" s="1" t="n">
        <f aca="false">IF(CK41&gt;0.5,CK41+CK41*(F_MR/12)-MIN(F_MortPayM,CK41+CK41*(F_MR/12)),CK41)</f>
        <v>0</v>
      </c>
      <c r="CM41" s="1" t="n">
        <f aca="false">IF(CL41&gt;0.5,CL41+CL41*(F_MR/12)-MIN(F_MortPayM,CL41+CL41*(F_MR/12)),CL41)</f>
        <v>0</v>
      </c>
      <c r="CN41" s="1" t="n">
        <f aca="false">IF(CM41&gt;0.5,CM41+CM41*(F_MR/12)-MIN(F_MortPayM,CM41+CM41*(F_MR/12)),CM41)</f>
        <v>0</v>
      </c>
      <c r="CO41" s="1" t="n">
        <f aca="false">IF(CN41&gt;0.5,CN41+CN41*(F_MR/12)-MIN(F_MortPayM,CN41+CN41*(F_MR/12)),CN41)</f>
        <v>0</v>
      </c>
      <c r="CP41" s="1" t="n">
        <f aca="false">IF(CO41&gt;0.5,CO41+CO41*(F_MR/12)-MIN(F_MortPayM,CO41+CO41*(F_MR/12)),CO41)</f>
        <v>0</v>
      </c>
      <c r="CQ41" s="1" t="n">
        <f aca="false">IF(CP41&gt;0.5,CP41+CP41*(F_MR/12)-MIN(F_MortPayM,CP41+CP41*(F_MR/12)),CP41)</f>
        <v>0</v>
      </c>
      <c r="CR41" s="1" t="n">
        <f aca="false">IF(CQ41&gt;0.5,CQ41+CQ41*(F_MR/12)-MIN(F_MortPayM,CQ41+CQ41*(F_MR/12)),CQ41)</f>
        <v>0</v>
      </c>
      <c r="CS41" s="1" t="n">
        <f aca="false">IF(CF41&gt;0.5,MIN(F_MortPayM,CF41+CF41*(F_MR/12)),0)</f>
        <v>0</v>
      </c>
      <c r="CT41" s="1" t="n">
        <f aca="false">IF(CG41&gt;0.5,MIN(F_MortPayM,CG41+CG41*(F_MR/12)),0)</f>
        <v>0</v>
      </c>
      <c r="CU41" s="1" t="n">
        <f aca="false">IF(CH41&gt;0.5,MIN(F_MortPayM,CH41+CH41*(F_MR/12)),0)</f>
        <v>0</v>
      </c>
      <c r="CV41" s="1" t="n">
        <f aca="false">IF(CI41&gt;0.5,MIN(F_MortPayM,CI41+CI41*(F_MR/12)),0)</f>
        <v>0</v>
      </c>
      <c r="CW41" s="1" t="n">
        <f aca="false">IF(CJ41&gt;0.5,MIN(F_MortPayM,CJ41+CJ41*(F_MR/12)),0)</f>
        <v>0</v>
      </c>
      <c r="CX41" s="1" t="n">
        <f aca="false">IF(CK41&gt;0.5,MIN(F_MortPayM,CK41+CK41*(F_MR/12)),0)</f>
        <v>0</v>
      </c>
      <c r="CY41" s="1" t="n">
        <f aca="false">IF(CL41&gt;0.5,MIN(F_MortPayM,CL41+CL41*(F_MR/12)),0)</f>
        <v>0</v>
      </c>
      <c r="CZ41" s="1" t="n">
        <f aca="false">IF(CM41&gt;0.5,MIN(F_MortPayM,CM41+CM41*(F_MR/12)),0)</f>
        <v>0</v>
      </c>
      <c r="DA41" s="1" t="n">
        <f aca="false">IF(CN41&gt;0.5,MIN(F_MortPayM,CN41+CN41*(F_MR/12)),0)</f>
        <v>0</v>
      </c>
      <c r="DB41" s="1" t="n">
        <f aca="false">IF(CO41&gt;0.5,MIN(F_MortPayM,CO41+CO41*(F_MR/12)),0)</f>
        <v>0</v>
      </c>
      <c r="DC41" s="1" t="n">
        <f aca="false">IF(CP41&gt;0.5,MIN(F_MortPayM,CP41+CP41*(F_MR/12)),0)</f>
        <v>0</v>
      </c>
      <c r="DD41" s="1" t="n">
        <f aca="false">IF(CQ41&gt;0.5,MIN(F_MortPayM,CQ41+CQ41*(F_MR/12)),0)</f>
        <v>0</v>
      </c>
      <c r="DE41" s="1" t="n">
        <f aca="false">MAX(0,CR41)</f>
        <v>0</v>
      </c>
      <c r="DF41" s="1" t="n">
        <f aca="false">SUM(CS41:DD41)</f>
        <v>0</v>
      </c>
      <c r="DG41" s="1" t="n">
        <f aca="false">MAX(0,CF41)</f>
        <v>0</v>
      </c>
    </row>
    <row r="42" customFormat="false" ht="15" hidden="false" customHeight="false" outlineLevel="0" collapsed="false">
      <c r="B42" s="1" t="n">
        <v>34</v>
      </c>
      <c r="C42" s="1" t="n">
        <f aca="false">'Plan cashflow'!I42</f>
        <v>0</v>
      </c>
      <c r="D42" s="1" t="n">
        <f aca="false">IF(C42&gt;0.5,C42+C42*(F_MR/12)-MIN(F_MortPayM,C42+C42*(F_MR/12)),C42)</f>
        <v>0</v>
      </c>
      <c r="E42" s="1" t="n">
        <f aca="false">IF(D42&gt;0.5,D42+D42*(F_MR/12)-MIN(F_MortPayM,D42+D42*(F_MR/12)),D42)</f>
        <v>0</v>
      </c>
      <c r="F42" s="1" t="n">
        <f aca="false">IF(E42&gt;0.5,E42+E42*(F_MR/12)-MIN(F_MortPayM,E42+E42*(F_MR/12)),E42)</f>
        <v>0</v>
      </c>
      <c r="G42" s="1" t="n">
        <f aca="false">IF(F42&gt;0.5,F42+F42*(F_MR/12)-MIN(F_MortPayM,F42+F42*(F_MR/12)),F42)</f>
        <v>0</v>
      </c>
      <c r="H42" s="1" t="n">
        <f aca="false">IF(G42&gt;0.5,G42+G42*(F_MR/12)-MIN(F_MortPayM,G42+G42*(F_MR/12)),G42)</f>
        <v>0</v>
      </c>
      <c r="I42" s="1" t="n">
        <f aca="false">IF(H42&gt;0.5,H42+H42*(F_MR/12)-MIN(F_MortPayM,H42+H42*(F_MR/12)),H42)</f>
        <v>0</v>
      </c>
      <c r="J42" s="1" t="n">
        <f aca="false">IF(I42&gt;0.5,I42+I42*(F_MR/12)-MIN(F_MortPayM,I42+I42*(F_MR/12)),I42)</f>
        <v>0</v>
      </c>
      <c r="K42" s="1" t="n">
        <f aca="false">IF(J42&gt;0.5,J42+J42*(F_MR/12)-MIN(F_MortPayM,J42+J42*(F_MR/12)),J42)</f>
        <v>0</v>
      </c>
      <c r="L42" s="1" t="n">
        <f aca="false">IF(K42&gt;0.5,K42+K42*(F_MR/12)-MIN(F_MortPayM,K42+K42*(F_MR/12)),K42)</f>
        <v>0</v>
      </c>
      <c r="M42" s="1" t="n">
        <f aca="false">IF(L42&gt;0.5,L42+L42*(F_MR/12)-MIN(F_MortPayM,L42+L42*(F_MR/12)),L42)</f>
        <v>0</v>
      </c>
      <c r="N42" s="1" t="n">
        <f aca="false">IF(M42&gt;0.5,M42+M42*(F_MR/12)-MIN(F_MortPayM,M42+M42*(F_MR/12)),M42)</f>
        <v>0</v>
      </c>
      <c r="O42" s="1" t="n">
        <f aca="false">IF(N42&gt;0.5,N42+N42*(F_MR/12)-MIN(F_MortPayM,N42+N42*(F_MR/12)),N42)</f>
        <v>0</v>
      </c>
      <c r="P42" s="1" t="n">
        <f aca="false">IF(C42&gt;0.5,MIN(F_MortPayM,C42+C42*(F_MR/12)),0)</f>
        <v>0</v>
      </c>
      <c r="Q42" s="1" t="n">
        <f aca="false">IF(D42&gt;0.5,MIN(F_MortPayM,D42+D42*(F_MR/12)),0)</f>
        <v>0</v>
      </c>
      <c r="R42" s="1" t="n">
        <f aca="false">IF(E42&gt;0.5,MIN(F_MortPayM,E42+E42*(F_MR/12)),0)</f>
        <v>0</v>
      </c>
      <c r="S42" s="1" t="n">
        <f aca="false">IF(F42&gt;0.5,MIN(F_MortPayM,F42+F42*(F_MR/12)),0)</f>
        <v>0</v>
      </c>
      <c r="T42" s="1" t="n">
        <f aca="false">IF(G42&gt;0.5,MIN(F_MortPayM,G42+G42*(F_MR/12)),0)</f>
        <v>0</v>
      </c>
      <c r="U42" s="1" t="n">
        <f aca="false">IF(H42&gt;0.5,MIN(F_MortPayM,H42+H42*(F_MR/12)),0)</f>
        <v>0</v>
      </c>
      <c r="V42" s="1" t="n">
        <f aca="false">IF(I42&gt;0.5,MIN(F_MortPayM,I42+I42*(F_MR/12)),0)</f>
        <v>0</v>
      </c>
      <c r="W42" s="1" t="n">
        <f aca="false">IF(J42&gt;0.5,MIN(F_MortPayM,J42+J42*(F_MR/12)),0)</f>
        <v>0</v>
      </c>
      <c r="X42" s="1" t="n">
        <f aca="false">IF(K42&gt;0.5,MIN(F_MortPayM,K42+K42*(F_MR/12)),0)</f>
        <v>0</v>
      </c>
      <c r="Y42" s="1" t="n">
        <f aca="false">IF(L42&gt;0.5,MIN(F_MortPayM,L42+L42*(F_MR/12)),0)</f>
        <v>0</v>
      </c>
      <c r="Z42" s="1" t="n">
        <f aca="false">IF(M42&gt;0.5,MIN(F_MortPayM,M42+M42*(F_MR/12)),0)</f>
        <v>0</v>
      </c>
      <c r="AA42" s="1" t="n">
        <f aca="false">IF(N42&gt;0.5,MIN(F_MortPayM,N42+N42*(F_MR/12)),0)</f>
        <v>0</v>
      </c>
      <c r="AB42" s="1" t="n">
        <f aca="false">MAX(0,O42)</f>
        <v>0</v>
      </c>
      <c r="AC42" s="1" t="n">
        <f aca="false">SUM(P42:AA42)</f>
        <v>0</v>
      </c>
      <c r="AD42" s="1" t="n">
        <f aca="false">'Plan cashflow'!L42</f>
        <v>0</v>
      </c>
      <c r="AE42" s="1" t="n">
        <f aca="false">IF(AD42&gt;0.5,AD42+AD42*(D_iC)-MIN(F_CardPayM,AD42+AD42*(D_iC)),AD42)</f>
        <v>0</v>
      </c>
      <c r="AF42" s="1" t="n">
        <f aca="false">IF(AE42&gt;0.5,AE42+AE42*(D_iC)-MIN(F_CardPayM,AE42+AE42*(D_iC)),AE42)</f>
        <v>0</v>
      </c>
      <c r="AG42" s="1" t="n">
        <f aca="false">IF(AF42&gt;0.5,AF42+AF42*(D_iC)-MIN(F_CardPayM,AF42+AF42*(D_iC)),AF42)</f>
        <v>0</v>
      </c>
      <c r="AH42" s="1" t="n">
        <f aca="false">IF(AG42&gt;0.5,AG42+AG42*(D_iC)-MIN(F_CardPayM,AG42+AG42*(D_iC)),AG42)</f>
        <v>0</v>
      </c>
      <c r="AI42" s="1" t="n">
        <f aca="false">IF(AH42&gt;0.5,AH42+AH42*(D_iC)-MIN(F_CardPayM,AH42+AH42*(D_iC)),AH42)</f>
        <v>0</v>
      </c>
      <c r="AJ42" s="1" t="n">
        <f aca="false">IF(AI42&gt;0.5,AI42+AI42*(D_iC)-MIN(F_CardPayM,AI42+AI42*(D_iC)),AI42)</f>
        <v>0</v>
      </c>
      <c r="AK42" s="1" t="n">
        <f aca="false">IF(AJ42&gt;0.5,AJ42+AJ42*(D_iC)-MIN(F_CardPayM,AJ42+AJ42*(D_iC)),AJ42)</f>
        <v>0</v>
      </c>
      <c r="AL42" s="1" t="n">
        <f aca="false">IF(AK42&gt;0.5,AK42+AK42*(D_iC)-MIN(F_CardPayM,AK42+AK42*(D_iC)),AK42)</f>
        <v>0</v>
      </c>
      <c r="AM42" s="1" t="n">
        <f aca="false">IF(AL42&gt;0.5,AL42+AL42*(D_iC)-MIN(F_CardPayM,AL42+AL42*(D_iC)),AL42)</f>
        <v>0</v>
      </c>
      <c r="AN42" s="1" t="n">
        <f aca="false">IF(AM42&gt;0.5,AM42+AM42*(D_iC)-MIN(F_CardPayM,AM42+AM42*(D_iC)),AM42)</f>
        <v>0</v>
      </c>
      <c r="AO42" s="1" t="n">
        <f aca="false">IF(AN42&gt;0.5,AN42+AN42*(D_iC)-MIN(F_CardPayM,AN42+AN42*(D_iC)),AN42)</f>
        <v>0</v>
      </c>
      <c r="AP42" s="1" t="n">
        <f aca="false">IF(AO42&gt;0.5,AO42+AO42*(D_iC)-MIN(F_CardPayM,AO42+AO42*(D_iC)),AO42)</f>
        <v>0</v>
      </c>
      <c r="AQ42" s="1" t="n">
        <f aca="false">IF(AD42&gt;0.5,MIN(F_CardPayM,AD42+AD42*(D_iC)),0)</f>
        <v>0</v>
      </c>
      <c r="AR42" s="1" t="n">
        <f aca="false">IF(AE42&gt;0.5,MIN(F_CardPayM,AE42+AE42*(D_iC)),0)</f>
        <v>0</v>
      </c>
      <c r="AS42" s="1" t="n">
        <f aca="false">IF(AF42&gt;0.5,MIN(F_CardPayM,AF42+AF42*(D_iC)),0)</f>
        <v>0</v>
      </c>
      <c r="AT42" s="1" t="n">
        <f aca="false">IF(AG42&gt;0.5,MIN(F_CardPayM,AG42+AG42*(D_iC)),0)</f>
        <v>0</v>
      </c>
      <c r="AU42" s="1" t="n">
        <f aca="false">IF(AH42&gt;0.5,MIN(F_CardPayM,AH42+AH42*(D_iC)),0)</f>
        <v>0</v>
      </c>
      <c r="AV42" s="1" t="n">
        <f aca="false">IF(AI42&gt;0.5,MIN(F_CardPayM,AI42+AI42*(D_iC)),0)</f>
        <v>0</v>
      </c>
      <c r="AW42" s="1" t="n">
        <f aca="false">IF(AJ42&gt;0.5,MIN(F_CardPayM,AJ42+AJ42*(D_iC)),0)</f>
        <v>0</v>
      </c>
      <c r="AX42" s="1" t="n">
        <f aca="false">IF(AK42&gt;0.5,MIN(F_CardPayM,AK42+AK42*(D_iC)),0)</f>
        <v>0</v>
      </c>
      <c r="AY42" s="1" t="n">
        <f aca="false">IF(AL42&gt;0.5,MIN(F_CardPayM,AL42+AL42*(D_iC)),0)</f>
        <v>0</v>
      </c>
      <c r="AZ42" s="1" t="n">
        <f aca="false">IF(AM42&gt;0.5,MIN(F_CardPayM,AM42+AM42*(D_iC)),0)</f>
        <v>0</v>
      </c>
      <c r="BA42" s="1" t="n">
        <f aca="false">IF(AN42&gt;0.5,MIN(F_CardPayM,AN42+AN42*(D_iC)),0)</f>
        <v>0</v>
      </c>
      <c r="BB42" s="1" t="n">
        <f aca="false">IF(AO42&gt;0.5,MIN(F_CardPayM,AO42+AO42*(D_iC)),0)</f>
        <v>0</v>
      </c>
      <c r="BC42" s="1" t="n">
        <f aca="false">MAX(0,AP42)</f>
        <v>0</v>
      </c>
      <c r="BD42" s="1" t="n">
        <f aca="false">SUM(AQ42:BB42)</f>
        <v>0</v>
      </c>
      <c r="BE42" s="1" t="n">
        <f aca="false">'Plan cashflow'!O42</f>
        <v>0</v>
      </c>
      <c r="BF42" s="1" t="n">
        <f aca="false">IF(BE42&gt;0.5,BE42+BE42*(D_iL)-MIN(F_LoanPayM,BE42+BE42*(D_iL)),BE42)</f>
        <v>0</v>
      </c>
      <c r="BG42" s="1" t="n">
        <f aca="false">IF(BF42&gt;0.5,BF42+BF42*(D_iL)-MIN(F_LoanPayM,BF42+BF42*(D_iL)),BF42)</f>
        <v>0</v>
      </c>
      <c r="BH42" s="1" t="n">
        <f aca="false">IF(BG42&gt;0.5,BG42+BG42*(D_iL)-MIN(F_LoanPayM,BG42+BG42*(D_iL)),BG42)</f>
        <v>0</v>
      </c>
      <c r="BI42" s="1" t="n">
        <f aca="false">IF(BH42&gt;0.5,BH42+BH42*(D_iL)-MIN(F_LoanPayM,BH42+BH42*(D_iL)),BH42)</f>
        <v>0</v>
      </c>
      <c r="BJ42" s="1" t="n">
        <f aca="false">IF(BI42&gt;0.5,BI42+BI42*(D_iL)-MIN(F_LoanPayM,BI42+BI42*(D_iL)),BI42)</f>
        <v>0</v>
      </c>
      <c r="BK42" s="1" t="n">
        <f aca="false">IF(BJ42&gt;0.5,BJ42+BJ42*(D_iL)-MIN(F_LoanPayM,BJ42+BJ42*(D_iL)),BJ42)</f>
        <v>0</v>
      </c>
      <c r="BL42" s="1" t="n">
        <f aca="false">IF(BK42&gt;0.5,BK42+BK42*(D_iL)-MIN(F_LoanPayM,BK42+BK42*(D_iL)),BK42)</f>
        <v>0</v>
      </c>
      <c r="BM42" s="1" t="n">
        <f aca="false">IF(BL42&gt;0.5,BL42+BL42*(D_iL)-MIN(F_LoanPayM,BL42+BL42*(D_iL)),BL42)</f>
        <v>0</v>
      </c>
      <c r="BN42" s="1" t="n">
        <f aca="false">IF(BM42&gt;0.5,BM42+BM42*(D_iL)-MIN(F_LoanPayM,BM42+BM42*(D_iL)),BM42)</f>
        <v>0</v>
      </c>
      <c r="BO42" s="1" t="n">
        <f aca="false">IF(BN42&gt;0.5,BN42+BN42*(D_iL)-MIN(F_LoanPayM,BN42+BN42*(D_iL)),BN42)</f>
        <v>0</v>
      </c>
      <c r="BP42" s="1" t="n">
        <f aca="false">IF(BO42&gt;0.5,BO42+BO42*(D_iL)-MIN(F_LoanPayM,BO42+BO42*(D_iL)),BO42)</f>
        <v>0</v>
      </c>
      <c r="BQ42" s="1" t="n">
        <f aca="false">IF(BP42&gt;0.5,BP42+BP42*(D_iL)-MIN(F_LoanPayM,BP42+BP42*(D_iL)),BP42)</f>
        <v>0</v>
      </c>
      <c r="BR42" s="1" t="n">
        <f aca="false">IF(BE42&gt;0.5,MIN(F_LoanPayM,BE42+BE42*(D_iL)),0)</f>
        <v>0</v>
      </c>
      <c r="BS42" s="1" t="n">
        <f aca="false">IF(BF42&gt;0.5,MIN(F_LoanPayM,BF42+BF42*(D_iL)),0)</f>
        <v>0</v>
      </c>
      <c r="BT42" s="1" t="n">
        <f aca="false">IF(BG42&gt;0.5,MIN(F_LoanPayM,BG42+BG42*(D_iL)),0)</f>
        <v>0</v>
      </c>
      <c r="BU42" s="1" t="n">
        <f aca="false">IF(BH42&gt;0.5,MIN(F_LoanPayM,BH42+BH42*(D_iL)),0)</f>
        <v>0</v>
      </c>
      <c r="BV42" s="1" t="n">
        <f aca="false">IF(BI42&gt;0.5,MIN(F_LoanPayM,BI42+BI42*(D_iL)),0)</f>
        <v>0</v>
      </c>
      <c r="BW42" s="1" t="n">
        <f aca="false">IF(BJ42&gt;0.5,MIN(F_LoanPayM,BJ42+BJ42*(D_iL)),0)</f>
        <v>0</v>
      </c>
      <c r="BX42" s="1" t="n">
        <f aca="false">IF(BK42&gt;0.5,MIN(F_LoanPayM,BK42+BK42*(D_iL)),0)</f>
        <v>0</v>
      </c>
      <c r="BY42" s="1" t="n">
        <f aca="false">IF(BL42&gt;0.5,MIN(F_LoanPayM,BL42+BL42*(D_iL)),0)</f>
        <v>0</v>
      </c>
      <c r="BZ42" s="1" t="n">
        <f aca="false">IF(BM42&gt;0.5,MIN(F_LoanPayM,BM42+BM42*(D_iL)),0)</f>
        <v>0</v>
      </c>
      <c r="CA42" s="1" t="n">
        <f aca="false">IF(BN42&gt;0.5,MIN(F_LoanPayM,BN42+BN42*(D_iL)),0)</f>
        <v>0</v>
      </c>
      <c r="CB42" s="1" t="n">
        <f aca="false">IF(BO42&gt;0.5,MIN(F_LoanPayM,BO42+BO42*(D_iL)),0)</f>
        <v>0</v>
      </c>
      <c r="CC42" s="1" t="n">
        <f aca="false">IF(BP42&gt;0.5,MIN(F_LoanPayM,BP42+BP42*(D_iL)),0)</f>
        <v>0</v>
      </c>
      <c r="CD42" s="1" t="n">
        <f aca="false">MAX(0,BQ42)</f>
        <v>0</v>
      </c>
      <c r="CE42" s="1" t="n">
        <f aca="false">SUM(BR42:CC42)</f>
        <v>0</v>
      </c>
      <c r="CF42" s="1" t="n">
        <f aca="false">IF(CF41&gt;1,DE41,CF41)</f>
        <v>0</v>
      </c>
      <c r="CG42" s="1" t="n">
        <f aca="false">IF(CF42&gt;0.5,CF42+CF42*(F_MR/12)-MIN(F_MortPayM,CF42+CF42*(F_MR/12)),CF42)</f>
        <v>0</v>
      </c>
      <c r="CH42" s="1" t="n">
        <f aca="false">IF(CG42&gt;0.5,CG42+CG42*(F_MR/12)-MIN(F_MortPayM,CG42+CG42*(F_MR/12)),CG42)</f>
        <v>0</v>
      </c>
      <c r="CI42" s="1" t="n">
        <f aca="false">IF(CH42&gt;0.5,CH42+CH42*(F_MR/12)-MIN(F_MortPayM,CH42+CH42*(F_MR/12)),CH42)</f>
        <v>0</v>
      </c>
      <c r="CJ42" s="1" t="n">
        <f aca="false">IF(CI42&gt;0.5,CI42+CI42*(F_MR/12)-MIN(F_MortPayM,CI42+CI42*(F_MR/12)),CI42)</f>
        <v>0</v>
      </c>
      <c r="CK42" s="1" t="n">
        <f aca="false">IF(CJ42&gt;0.5,CJ42+CJ42*(F_MR/12)-MIN(F_MortPayM,CJ42+CJ42*(F_MR/12)),CJ42)</f>
        <v>0</v>
      </c>
      <c r="CL42" s="1" t="n">
        <f aca="false">IF(CK42&gt;0.5,CK42+CK42*(F_MR/12)-MIN(F_MortPayM,CK42+CK42*(F_MR/12)),CK42)</f>
        <v>0</v>
      </c>
      <c r="CM42" s="1" t="n">
        <f aca="false">IF(CL42&gt;0.5,CL42+CL42*(F_MR/12)-MIN(F_MortPayM,CL42+CL42*(F_MR/12)),CL42)</f>
        <v>0</v>
      </c>
      <c r="CN42" s="1" t="n">
        <f aca="false">IF(CM42&gt;0.5,CM42+CM42*(F_MR/12)-MIN(F_MortPayM,CM42+CM42*(F_MR/12)),CM42)</f>
        <v>0</v>
      </c>
      <c r="CO42" s="1" t="n">
        <f aca="false">IF(CN42&gt;0.5,CN42+CN42*(F_MR/12)-MIN(F_MortPayM,CN42+CN42*(F_MR/12)),CN42)</f>
        <v>0</v>
      </c>
      <c r="CP42" s="1" t="n">
        <f aca="false">IF(CO42&gt;0.5,CO42+CO42*(F_MR/12)-MIN(F_MortPayM,CO42+CO42*(F_MR/12)),CO42)</f>
        <v>0</v>
      </c>
      <c r="CQ42" s="1" t="n">
        <f aca="false">IF(CP42&gt;0.5,CP42+CP42*(F_MR/12)-MIN(F_MortPayM,CP42+CP42*(F_MR/12)),CP42)</f>
        <v>0</v>
      </c>
      <c r="CR42" s="1" t="n">
        <f aca="false">IF(CQ42&gt;0.5,CQ42+CQ42*(F_MR/12)-MIN(F_MortPayM,CQ42+CQ42*(F_MR/12)),CQ42)</f>
        <v>0</v>
      </c>
      <c r="CS42" s="1" t="n">
        <f aca="false">IF(CF42&gt;0.5,MIN(F_MortPayM,CF42+CF42*(F_MR/12)),0)</f>
        <v>0</v>
      </c>
      <c r="CT42" s="1" t="n">
        <f aca="false">IF(CG42&gt;0.5,MIN(F_MortPayM,CG42+CG42*(F_MR/12)),0)</f>
        <v>0</v>
      </c>
      <c r="CU42" s="1" t="n">
        <f aca="false">IF(CH42&gt;0.5,MIN(F_MortPayM,CH42+CH42*(F_MR/12)),0)</f>
        <v>0</v>
      </c>
      <c r="CV42" s="1" t="n">
        <f aca="false">IF(CI42&gt;0.5,MIN(F_MortPayM,CI42+CI42*(F_MR/12)),0)</f>
        <v>0</v>
      </c>
      <c r="CW42" s="1" t="n">
        <f aca="false">IF(CJ42&gt;0.5,MIN(F_MortPayM,CJ42+CJ42*(F_MR/12)),0)</f>
        <v>0</v>
      </c>
      <c r="CX42" s="1" t="n">
        <f aca="false">IF(CK42&gt;0.5,MIN(F_MortPayM,CK42+CK42*(F_MR/12)),0)</f>
        <v>0</v>
      </c>
      <c r="CY42" s="1" t="n">
        <f aca="false">IF(CL42&gt;0.5,MIN(F_MortPayM,CL42+CL42*(F_MR/12)),0)</f>
        <v>0</v>
      </c>
      <c r="CZ42" s="1" t="n">
        <f aca="false">IF(CM42&gt;0.5,MIN(F_MortPayM,CM42+CM42*(F_MR/12)),0)</f>
        <v>0</v>
      </c>
      <c r="DA42" s="1" t="n">
        <f aca="false">IF(CN42&gt;0.5,MIN(F_MortPayM,CN42+CN42*(F_MR/12)),0)</f>
        <v>0</v>
      </c>
      <c r="DB42" s="1" t="n">
        <f aca="false">IF(CO42&gt;0.5,MIN(F_MortPayM,CO42+CO42*(F_MR/12)),0)</f>
        <v>0</v>
      </c>
      <c r="DC42" s="1" t="n">
        <f aca="false">IF(CP42&gt;0.5,MIN(F_MortPayM,CP42+CP42*(F_MR/12)),0)</f>
        <v>0</v>
      </c>
      <c r="DD42" s="1" t="n">
        <f aca="false">IF(CQ42&gt;0.5,MIN(F_MortPayM,CQ42+CQ42*(F_MR/12)),0)</f>
        <v>0</v>
      </c>
      <c r="DE42" s="1" t="n">
        <f aca="false">MAX(0,CR42)</f>
        <v>0</v>
      </c>
      <c r="DF42" s="1" t="n">
        <f aca="false">SUM(CS42:DD42)</f>
        <v>0</v>
      </c>
      <c r="DG42" s="1" t="n">
        <f aca="false">MAX(0,CF42)</f>
        <v>0</v>
      </c>
    </row>
    <row r="43" customFormat="false" ht="15" hidden="false" customHeight="false" outlineLevel="0" collapsed="false">
      <c r="B43" s="1" t="n">
        <v>35</v>
      </c>
      <c r="C43" s="1" t="n">
        <f aca="false">'Plan cashflow'!I43</f>
        <v>0</v>
      </c>
      <c r="D43" s="1" t="n">
        <f aca="false">IF(C43&gt;0.5,C43+C43*(F_MR/12)-MIN(F_MortPayM,C43+C43*(F_MR/12)),C43)</f>
        <v>0</v>
      </c>
      <c r="E43" s="1" t="n">
        <f aca="false">IF(D43&gt;0.5,D43+D43*(F_MR/12)-MIN(F_MortPayM,D43+D43*(F_MR/12)),D43)</f>
        <v>0</v>
      </c>
      <c r="F43" s="1" t="n">
        <f aca="false">IF(E43&gt;0.5,E43+E43*(F_MR/12)-MIN(F_MortPayM,E43+E43*(F_MR/12)),E43)</f>
        <v>0</v>
      </c>
      <c r="G43" s="1" t="n">
        <f aca="false">IF(F43&gt;0.5,F43+F43*(F_MR/12)-MIN(F_MortPayM,F43+F43*(F_MR/12)),F43)</f>
        <v>0</v>
      </c>
      <c r="H43" s="1" t="n">
        <f aca="false">IF(G43&gt;0.5,G43+G43*(F_MR/12)-MIN(F_MortPayM,G43+G43*(F_MR/12)),G43)</f>
        <v>0</v>
      </c>
      <c r="I43" s="1" t="n">
        <f aca="false">IF(H43&gt;0.5,H43+H43*(F_MR/12)-MIN(F_MortPayM,H43+H43*(F_MR/12)),H43)</f>
        <v>0</v>
      </c>
      <c r="J43" s="1" t="n">
        <f aca="false">IF(I43&gt;0.5,I43+I43*(F_MR/12)-MIN(F_MortPayM,I43+I43*(F_MR/12)),I43)</f>
        <v>0</v>
      </c>
      <c r="K43" s="1" t="n">
        <f aca="false">IF(J43&gt;0.5,J43+J43*(F_MR/12)-MIN(F_MortPayM,J43+J43*(F_MR/12)),J43)</f>
        <v>0</v>
      </c>
      <c r="L43" s="1" t="n">
        <f aca="false">IF(K43&gt;0.5,K43+K43*(F_MR/12)-MIN(F_MortPayM,K43+K43*(F_MR/12)),K43)</f>
        <v>0</v>
      </c>
      <c r="M43" s="1" t="n">
        <f aca="false">IF(L43&gt;0.5,L43+L43*(F_MR/12)-MIN(F_MortPayM,L43+L43*(F_MR/12)),L43)</f>
        <v>0</v>
      </c>
      <c r="N43" s="1" t="n">
        <f aca="false">IF(M43&gt;0.5,M43+M43*(F_MR/12)-MIN(F_MortPayM,M43+M43*(F_MR/12)),M43)</f>
        <v>0</v>
      </c>
      <c r="O43" s="1" t="n">
        <f aca="false">IF(N43&gt;0.5,N43+N43*(F_MR/12)-MIN(F_MortPayM,N43+N43*(F_MR/12)),N43)</f>
        <v>0</v>
      </c>
      <c r="P43" s="1" t="n">
        <f aca="false">IF(C43&gt;0.5,MIN(F_MortPayM,C43+C43*(F_MR/12)),0)</f>
        <v>0</v>
      </c>
      <c r="Q43" s="1" t="n">
        <f aca="false">IF(D43&gt;0.5,MIN(F_MortPayM,D43+D43*(F_MR/12)),0)</f>
        <v>0</v>
      </c>
      <c r="R43" s="1" t="n">
        <f aca="false">IF(E43&gt;0.5,MIN(F_MortPayM,E43+E43*(F_MR/12)),0)</f>
        <v>0</v>
      </c>
      <c r="S43" s="1" t="n">
        <f aca="false">IF(F43&gt;0.5,MIN(F_MortPayM,F43+F43*(F_MR/12)),0)</f>
        <v>0</v>
      </c>
      <c r="T43" s="1" t="n">
        <f aca="false">IF(G43&gt;0.5,MIN(F_MortPayM,G43+G43*(F_MR/12)),0)</f>
        <v>0</v>
      </c>
      <c r="U43" s="1" t="n">
        <f aca="false">IF(H43&gt;0.5,MIN(F_MortPayM,H43+H43*(F_MR/12)),0)</f>
        <v>0</v>
      </c>
      <c r="V43" s="1" t="n">
        <f aca="false">IF(I43&gt;0.5,MIN(F_MortPayM,I43+I43*(F_MR/12)),0)</f>
        <v>0</v>
      </c>
      <c r="W43" s="1" t="n">
        <f aca="false">IF(J43&gt;0.5,MIN(F_MortPayM,J43+J43*(F_MR/12)),0)</f>
        <v>0</v>
      </c>
      <c r="X43" s="1" t="n">
        <f aca="false">IF(K43&gt;0.5,MIN(F_MortPayM,K43+K43*(F_MR/12)),0)</f>
        <v>0</v>
      </c>
      <c r="Y43" s="1" t="n">
        <f aca="false">IF(L43&gt;0.5,MIN(F_MortPayM,L43+L43*(F_MR/12)),0)</f>
        <v>0</v>
      </c>
      <c r="Z43" s="1" t="n">
        <f aca="false">IF(M43&gt;0.5,MIN(F_MortPayM,M43+M43*(F_MR/12)),0)</f>
        <v>0</v>
      </c>
      <c r="AA43" s="1" t="n">
        <f aca="false">IF(N43&gt;0.5,MIN(F_MortPayM,N43+N43*(F_MR/12)),0)</f>
        <v>0</v>
      </c>
      <c r="AB43" s="1" t="n">
        <f aca="false">MAX(0,O43)</f>
        <v>0</v>
      </c>
      <c r="AC43" s="1" t="n">
        <f aca="false">SUM(P43:AA43)</f>
        <v>0</v>
      </c>
      <c r="AD43" s="1" t="n">
        <f aca="false">'Plan cashflow'!L43</f>
        <v>0</v>
      </c>
      <c r="AE43" s="1" t="n">
        <f aca="false">IF(AD43&gt;0.5,AD43+AD43*(D_iC)-MIN(F_CardPayM,AD43+AD43*(D_iC)),AD43)</f>
        <v>0</v>
      </c>
      <c r="AF43" s="1" t="n">
        <f aca="false">IF(AE43&gt;0.5,AE43+AE43*(D_iC)-MIN(F_CardPayM,AE43+AE43*(D_iC)),AE43)</f>
        <v>0</v>
      </c>
      <c r="AG43" s="1" t="n">
        <f aca="false">IF(AF43&gt;0.5,AF43+AF43*(D_iC)-MIN(F_CardPayM,AF43+AF43*(D_iC)),AF43)</f>
        <v>0</v>
      </c>
      <c r="AH43" s="1" t="n">
        <f aca="false">IF(AG43&gt;0.5,AG43+AG43*(D_iC)-MIN(F_CardPayM,AG43+AG43*(D_iC)),AG43)</f>
        <v>0</v>
      </c>
      <c r="AI43" s="1" t="n">
        <f aca="false">IF(AH43&gt;0.5,AH43+AH43*(D_iC)-MIN(F_CardPayM,AH43+AH43*(D_iC)),AH43)</f>
        <v>0</v>
      </c>
      <c r="AJ43" s="1" t="n">
        <f aca="false">IF(AI43&gt;0.5,AI43+AI43*(D_iC)-MIN(F_CardPayM,AI43+AI43*(D_iC)),AI43)</f>
        <v>0</v>
      </c>
      <c r="AK43" s="1" t="n">
        <f aca="false">IF(AJ43&gt;0.5,AJ43+AJ43*(D_iC)-MIN(F_CardPayM,AJ43+AJ43*(D_iC)),AJ43)</f>
        <v>0</v>
      </c>
      <c r="AL43" s="1" t="n">
        <f aca="false">IF(AK43&gt;0.5,AK43+AK43*(D_iC)-MIN(F_CardPayM,AK43+AK43*(D_iC)),AK43)</f>
        <v>0</v>
      </c>
      <c r="AM43" s="1" t="n">
        <f aca="false">IF(AL43&gt;0.5,AL43+AL43*(D_iC)-MIN(F_CardPayM,AL43+AL43*(D_iC)),AL43)</f>
        <v>0</v>
      </c>
      <c r="AN43" s="1" t="n">
        <f aca="false">IF(AM43&gt;0.5,AM43+AM43*(D_iC)-MIN(F_CardPayM,AM43+AM43*(D_iC)),AM43)</f>
        <v>0</v>
      </c>
      <c r="AO43" s="1" t="n">
        <f aca="false">IF(AN43&gt;0.5,AN43+AN43*(D_iC)-MIN(F_CardPayM,AN43+AN43*(D_iC)),AN43)</f>
        <v>0</v>
      </c>
      <c r="AP43" s="1" t="n">
        <f aca="false">IF(AO43&gt;0.5,AO43+AO43*(D_iC)-MIN(F_CardPayM,AO43+AO43*(D_iC)),AO43)</f>
        <v>0</v>
      </c>
      <c r="AQ43" s="1" t="n">
        <f aca="false">IF(AD43&gt;0.5,MIN(F_CardPayM,AD43+AD43*(D_iC)),0)</f>
        <v>0</v>
      </c>
      <c r="AR43" s="1" t="n">
        <f aca="false">IF(AE43&gt;0.5,MIN(F_CardPayM,AE43+AE43*(D_iC)),0)</f>
        <v>0</v>
      </c>
      <c r="AS43" s="1" t="n">
        <f aca="false">IF(AF43&gt;0.5,MIN(F_CardPayM,AF43+AF43*(D_iC)),0)</f>
        <v>0</v>
      </c>
      <c r="AT43" s="1" t="n">
        <f aca="false">IF(AG43&gt;0.5,MIN(F_CardPayM,AG43+AG43*(D_iC)),0)</f>
        <v>0</v>
      </c>
      <c r="AU43" s="1" t="n">
        <f aca="false">IF(AH43&gt;0.5,MIN(F_CardPayM,AH43+AH43*(D_iC)),0)</f>
        <v>0</v>
      </c>
      <c r="AV43" s="1" t="n">
        <f aca="false">IF(AI43&gt;0.5,MIN(F_CardPayM,AI43+AI43*(D_iC)),0)</f>
        <v>0</v>
      </c>
      <c r="AW43" s="1" t="n">
        <f aca="false">IF(AJ43&gt;0.5,MIN(F_CardPayM,AJ43+AJ43*(D_iC)),0)</f>
        <v>0</v>
      </c>
      <c r="AX43" s="1" t="n">
        <f aca="false">IF(AK43&gt;0.5,MIN(F_CardPayM,AK43+AK43*(D_iC)),0)</f>
        <v>0</v>
      </c>
      <c r="AY43" s="1" t="n">
        <f aca="false">IF(AL43&gt;0.5,MIN(F_CardPayM,AL43+AL43*(D_iC)),0)</f>
        <v>0</v>
      </c>
      <c r="AZ43" s="1" t="n">
        <f aca="false">IF(AM43&gt;0.5,MIN(F_CardPayM,AM43+AM43*(D_iC)),0)</f>
        <v>0</v>
      </c>
      <c r="BA43" s="1" t="n">
        <f aca="false">IF(AN43&gt;0.5,MIN(F_CardPayM,AN43+AN43*(D_iC)),0)</f>
        <v>0</v>
      </c>
      <c r="BB43" s="1" t="n">
        <f aca="false">IF(AO43&gt;0.5,MIN(F_CardPayM,AO43+AO43*(D_iC)),0)</f>
        <v>0</v>
      </c>
      <c r="BC43" s="1" t="n">
        <f aca="false">MAX(0,AP43)</f>
        <v>0</v>
      </c>
      <c r="BD43" s="1" t="n">
        <f aca="false">SUM(AQ43:BB43)</f>
        <v>0</v>
      </c>
      <c r="BE43" s="1" t="n">
        <f aca="false">'Plan cashflow'!O43</f>
        <v>0</v>
      </c>
      <c r="BF43" s="1" t="n">
        <f aca="false">IF(BE43&gt;0.5,BE43+BE43*(D_iL)-MIN(F_LoanPayM,BE43+BE43*(D_iL)),BE43)</f>
        <v>0</v>
      </c>
      <c r="BG43" s="1" t="n">
        <f aca="false">IF(BF43&gt;0.5,BF43+BF43*(D_iL)-MIN(F_LoanPayM,BF43+BF43*(D_iL)),BF43)</f>
        <v>0</v>
      </c>
      <c r="BH43" s="1" t="n">
        <f aca="false">IF(BG43&gt;0.5,BG43+BG43*(D_iL)-MIN(F_LoanPayM,BG43+BG43*(D_iL)),BG43)</f>
        <v>0</v>
      </c>
      <c r="BI43" s="1" t="n">
        <f aca="false">IF(BH43&gt;0.5,BH43+BH43*(D_iL)-MIN(F_LoanPayM,BH43+BH43*(D_iL)),BH43)</f>
        <v>0</v>
      </c>
      <c r="BJ43" s="1" t="n">
        <f aca="false">IF(BI43&gt;0.5,BI43+BI43*(D_iL)-MIN(F_LoanPayM,BI43+BI43*(D_iL)),BI43)</f>
        <v>0</v>
      </c>
      <c r="BK43" s="1" t="n">
        <f aca="false">IF(BJ43&gt;0.5,BJ43+BJ43*(D_iL)-MIN(F_LoanPayM,BJ43+BJ43*(D_iL)),BJ43)</f>
        <v>0</v>
      </c>
      <c r="BL43" s="1" t="n">
        <f aca="false">IF(BK43&gt;0.5,BK43+BK43*(D_iL)-MIN(F_LoanPayM,BK43+BK43*(D_iL)),BK43)</f>
        <v>0</v>
      </c>
      <c r="BM43" s="1" t="n">
        <f aca="false">IF(BL43&gt;0.5,BL43+BL43*(D_iL)-MIN(F_LoanPayM,BL43+BL43*(D_iL)),BL43)</f>
        <v>0</v>
      </c>
      <c r="BN43" s="1" t="n">
        <f aca="false">IF(BM43&gt;0.5,BM43+BM43*(D_iL)-MIN(F_LoanPayM,BM43+BM43*(D_iL)),BM43)</f>
        <v>0</v>
      </c>
      <c r="BO43" s="1" t="n">
        <f aca="false">IF(BN43&gt;0.5,BN43+BN43*(D_iL)-MIN(F_LoanPayM,BN43+BN43*(D_iL)),BN43)</f>
        <v>0</v>
      </c>
      <c r="BP43" s="1" t="n">
        <f aca="false">IF(BO43&gt;0.5,BO43+BO43*(D_iL)-MIN(F_LoanPayM,BO43+BO43*(D_iL)),BO43)</f>
        <v>0</v>
      </c>
      <c r="BQ43" s="1" t="n">
        <f aca="false">IF(BP43&gt;0.5,BP43+BP43*(D_iL)-MIN(F_LoanPayM,BP43+BP43*(D_iL)),BP43)</f>
        <v>0</v>
      </c>
      <c r="BR43" s="1" t="n">
        <f aca="false">IF(BE43&gt;0.5,MIN(F_LoanPayM,BE43+BE43*(D_iL)),0)</f>
        <v>0</v>
      </c>
      <c r="BS43" s="1" t="n">
        <f aca="false">IF(BF43&gt;0.5,MIN(F_LoanPayM,BF43+BF43*(D_iL)),0)</f>
        <v>0</v>
      </c>
      <c r="BT43" s="1" t="n">
        <f aca="false">IF(BG43&gt;0.5,MIN(F_LoanPayM,BG43+BG43*(D_iL)),0)</f>
        <v>0</v>
      </c>
      <c r="BU43" s="1" t="n">
        <f aca="false">IF(BH43&gt;0.5,MIN(F_LoanPayM,BH43+BH43*(D_iL)),0)</f>
        <v>0</v>
      </c>
      <c r="BV43" s="1" t="n">
        <f aca="false">IF(BI43&gt;0.5,MIN(F_LoanPayM,BI43+BI43*(D_iL)),0)</f>
        <v>0</v>
      </c>
      <c r="BW43" s="1" t="n">
        <f aca="false">IF(BJ43&gt;0.5,MIN(F_LoanPayM,BJ43+BJ43*(D_iL)),0)</f>
        <v>0</v>
      </c>
      <c r="BX43" s="1" t="n">
        <f aca="false">IF(BK43&gt;0.5,MIN(F_LoanPayM,BK43+BK43*(D_iL)),0)</f>
        <v>0</v>
      </c>
      <c r="BY43" s="1" t="n">
        <f aca="false">IF(BL43&gt;0.5,MIN(F_LoanPayM,BL43+BL43*(D_iL)),0)</f>
        <v>0</v>
      </c>
      <c r="BZ43" s="1" t="n">
        <f aca="false">IF(BM43&gt;0.5,MIN(F_LoanPayM,BM43+BM43*(D_iL)),0)</f>
        <v>0</v>
      </c>
      <c r="CA43" s="1" t="n">
        <f aca="false">IF(BN43&gt;0.5,MIN(F_LoanPayM,BN43+BN43*(D_iL)),0)</f>
        <v>0</v>
      </c>
      <c r="CB43" s="1" t="n">
        <f aca="false">IF(BO43&gt;0.5,MIN(F_LoanPayM,BO43+BO43*(D_iL)),0)</f>
        <v>0</v>
      </c>
      <c r="CC43" s="1" t="n">
        <f aca="false">IF(BP43&gt;0.5,MIN(F_LoanPayM,BP43+BP43*(D_iL)),0)</f>
        <v>0</v>
      </c>
      <c r="CD43" s="1" t="n">
        <f aca="false">MAX(0,BQ43)</f>
        <v>0</v>
      </c>
      <c r="CE43" s="1" t="n">
        <f aca="false">SUM(BR43:CC43)</f>
        <v>0</v>
      </c>
      <c r="CF43" s="1" t="n">
        <f aca="false">IF(CF42&gt;1,DE42,CF42)</f>
        <v>0</v>
      </c>
      <c r="CG43" s="1" t="n">
        <f aca="false">IF(CF43&gt;0.5,CF43+CF43*(F_MR/12)-MIN(F_MortPayM,CF43+CF43*(F_MR/12)),CF43)</f>
        <v>0</v>
      </c>
      <c r="CH43" s="1" t="n">
        <f aca="false">IF(CG43&gt;0.5,CG43+CG43*(F_MR/12)-MIN(F_MortPayM,CG43+CG43*(F_MR/12)),CG43)</f>
        <v>0</v>
      </c>
      <c r="CI43" s="1" t="n">
        <f aca="false">IF(CH43&gt;0.5,CH43+CH43*(F_MR/12)-MIN(F_MortPayM,CH43+CH43*(F_MR/12)),CH43)</f>
        <v>0</v>
      </c>
      <c r="CJ43" s="1" t="n">
        <f aca="false">IF(CI43&gt;0.5,CI43+CI43*(F_MR/12)-MIN(F_MortPayM,CI43+CI43*(F_MR/12)),CI43)</f>
        <v>0</v>
      </c>
      <c r="CK43" s="1" t="n">
        <f aca="false">IF(CJ43&gt;0.5,CJ43+CJ43*(F_MR/12)-MIN(F_MortPayM,CJ43+CJ43*(F_MR/12)),CJ43)</f>
        <v>0</v>
      </c>
      <c r="CL43" s="1" t="n">
        <f aca="false">IF(CK43&gt;0.5,CK43+CK43*(F_MR/12)-MIN(F_MortPayM,CK43+CK43*(F_MR/12)),CK43)</f>
        <v>0</v>
      </c>
      <c r="CM43" s="1" t="n">
        <f aca="false">IF(CL43&gt;0.5,CL43+CL43*(F_MR/12)-MIN(F_MortPayM,CL43+CL43*(F_MR/12)),CL43)</f>
        <v>0</v>
      </c>
      <c r="CN43" s="1" t="n">
        <f aca="false">IF(CM43&gt;0.5,CM43+CM43*(F_MR/12)-MIN(F_MortPayM,CM43+CM43*(F_MR/12)),CM43)</f>
        <v>0</v>
      </c>
      <c r="CO43" s="1" t="n">
        <f aca="false">IF(CN43&gt;0.5,CN43+CN43*(F_MR/12)-MIN(F_MortPayM,CN43+CN43*(F_MR/12)),CN43)</f>
        <v>0</v>
      </c>
      <c r="CP43" s="1" t="n">
        <f aca="false">IF(CO43&gt;0.5,CO43+CO43*(F_MR/12)-MIN(F_MortPayM,CO43+CO43*(F_MR/12)),CO43)</f>
        <v>0</v>
      </c>
      <c r="CQ43" s="1" t="n">
        <f aca="false">IF(CP43&gt;0.5,CP43+CP43*(F_MR/12)-MIN(F_MortPayM,CP43+CP43*(F_MR/12)),CP43)</f>
        <v>0</v>
      </c>
      <c r="CR43" s="1" t="n">
        <f aca="false">IF(CQ43&gt;0.5,CQ43+CQ43*(F_MR/12)-MIN(F_MortPayM,CQ43+CQ43*(F_MR/12)),CQ43)</f>
        <v>0</v>
      </c>
      <c r="CS43" s="1" t="n">
        <f aca="false">IF(CF43&gt;0.5,MIN(F_MortPayM,CF43+CF43*(F_MR/12)),0)</f>
        <v>0</v>
      </c>
      <c r="CT43" s="1" t="n">
        <f aca="false">IF(CG43&gt;0.5,MIN(F_MortPayM,CG43+CG43*(F_MR/12)),0)</f>
        <v>0</v>
      </c>
      <c r="CU43" s="1" t="n">
        <f aca="false">IF(CH43&gt;0.5,MIN(F_MortPayM,CH43+CH43*(F_MR/12)),0)</f>
        <v>0</v>
      </c>
      <c r="CV43" s="1" t="n">
        <f aca="false">IF(CI43&gt;0.5,MIN(F_MortPayM,CI43+CI43*(F_MR/12)),0)</f>
        <v>0</v>
      </c>
      <c r="CW43" s="1" t="n">
        <f aca="false">IF(CJ43&gt;0.5,MIN(F_MortPayM,CJ43+CJ43*(F_MR/12)),0)</f>
        <v>0</v>
      </c>
      <c r="CX43" s="1" t="n">
        <f aca="false">IF(CK43&gt;0.5,MIN(F_MortPayM,CK43+CK43*(F_MR/12)),0)</f>
        <v>0</v>
      </c>
      <c r="CY43" s="1" t="n">
        <f aca="false">IF(CL43&gt;0.5,MIN(F_MortPayM,CL43+CL43*(F_MR/12)),0)</f>
        <v>0</v>
      </c>
      <c r="CZ43" s="1" t="n">
        <f aca="false">IF(CM43&gt;0.5,MIN(F_MortPayM,CM43+CM43*(F_MR/12)),0)</f>
        <v>0</v>
      </c>
      <c r="DA43" s="1" t="n">
        <f aca="false">IF(CN43&gt;0.5,MIN(F_MortPayM,CN43+CN43*(F_MR/12)),0)</f>
        <v>0</v>
      </c>
      <c r="DB43" s="1" t="n">
        <f aca="false">IF(CO43&gt;0.5,MIN(F_MortPayM,CO43+CO43*(F_MR/12)),0)</f>
        <v>0</v>
      </c>
      <c r="DC43" s="1" t="n">
        <f aca="false">IF(CP43&gt;0.5,MIN(F_MortPayM,CP43+CP43*(F_MR/12)),0)</f>
        <v>0</v>
      </c>
      <c r="DD43" s="1" t="n">
        <f aca="false">IF(CQ43&gt;0.5,MIN(F_MortPayM,CQ43+CQ43*(F_MR/12)),0)</f>
        <v>0</v>
      </c>
      <c r="DE43" s="1" t="n">
        <f aca="false">MAX(0,CR43)</f>
        <v>0</v>
      </c>
      <c r="DF43" s="1" t="n">
        <f aca="false">SUM(CS43:DD43)</f>
        <v>0</v>
      </c>
      <c r="DG43" s="1" t="n">
        <f aca="false">MAX(0,CF43)</f>
        <v>0</v>
      </c>
    </row>
    <row r="44" customFormat="false" ht="15" hidden="false" customHeight="false" outlineLevel="0" collapsed="false">
      <c r="B44" s="1" t="n">
        <v>36</v>
      </c>
      <c r="C44" s="1" t="n">
        <f aca="false">'Plan cashflow'!I44</f>
        <v>0</v>
      </c>
      <c r="D44" s="1" t="n">
        <f aca="false">IF(C44&gt;0.5,C44+C44*(F_MR/12)-MIN(F_MortPayM,C44+C44*(F_MR/12)),C44)</f>
        <v>0</v>
      </c>
      <c r="E44" s="1" t="n">
        <f aca="false">IF(D44&gt;0.5,D44+D44*(F_MR/12)-MIN(F_MortPayM,D44+D44*(F_MR/12)),D44)</f>
        <v>0</v>
      </c>
      <c r="F44" s="1" t="n">
        <f aca="false">IF(E44&gt;0.5,E44+E44*(F_MR/12)-MIN(F_MortPayM,E44+E44*(F_MR/12)),E44)</f>
        <v>0</v>
      </c>
      <c r="G44" s="1" t="n">
        <f aca="false">IF(F44&gt;0.5,F44+F44*(F_MR/12)-MIN(F_MortPayM,F44+F44*(F_MR/12)),F44)</f>
        <v>0</v>
      </c>
      <c r="H44" s="1" t="n">
        <f aca="false">IF(G44&gt;0.5,G44+G44*(F_MR/12)-MIN(F_MortPayM,G44+G44*(F_MR/12)),G44)</f>
        <v>0</v>
      </c>
      <c r="I44" s="1" t="n">
        <f aca="false">IF(H44&gt;0.5,H44+H44*(F_MR/12)-MIN(F_MortPayM,H44+H44*(F_MR/12)),H44)</f>
        <v>0</v>
      </c>
      <c r="J44" s="1" t="n">
        <f aca="false">IF(I44&gt;0.5,I44+I44*(F_MR/12)-MIN(F_MortPayM,I44+I44*(F_MR/12)),I44)</f>
        <v>0</v>
      </c>
      <c r="K44" s="1" t="n">
        <f aca="false">IF(J44&gt;0.5,J44+J44*(F_MR/12)-MIN(F_MortPayM,J44+J44*(F_MR/12)),J44)</f>
        <v>0</v>
      </c>
      <c r="L44" s="1" t="n">
        <f aca="false">IF(K44&gt;0.5,K44+K44*(F_MR/12)-MIN(F_MortPayM,K44+K44*(F_MR/12)),K44)</f>
        <v>0</v>
      </c>
      <c r="M44" s="1" t="n">
        <f aca="false">IF(L44&gt;0.5,L44+L44*(F_MR/12)-MIN(F_MortPayM,L44+L44*(F_MR/12)),L44)</f>
        <v>0</v>
      </c>
      <c r="N44" s="1" t="n">
        <f aca="false">IF(M44&gt;0.5,M44+M44*(F_MR/12)-MIN(F_MortPayM,M44+M44*(F_MR/12)),M44)</f>
        <v>0</v>
      </c>
      <c r="O44" s="1" t="n">
        <f aca="false">IF(N44&gt;0.5,N44+N44*(F_MR/12)-MIN(F_MortPayM,N44+N44*(F_MR/12)),N44)</f>
        <v>0</v>
      </c>
      <c r="P44" s="1" t="n">
        <f aca="false">IF(C44&gt;0.5,MIN(F_MortPayM,C44+C44*(F_MR/12)),0)</f>
        <v>0</v>
      </c>
      <c r="Q44" s="1" t="n">
        <f aca="false">IF(D44&gt;0.5,MIN(F_MortPayM,D44+D44*(F_MR/12)),0)</f>
        <v>0</v>
      </c>
      <c r="R44" s="1" t="n">
        <f aca="false">IF(E44&gt;0.5,MIN(F_MortPayM,E44+E44*(F_MR/12)),0)</f>
        <v>0</v>
      </c>
      <c r="S44" s="1" t="n">
        <f aca="false">IF(F44&gt;0.5,MIN(F_MortPayM,F44+F44*(F_MR/12)),0)</f>
        <v>0</v>
      </c>
      <c r="T44" s="1" t="n">
        <f aca="false">IF(G44&gt;0.5,MIN(F_MortPayM,G44+G44*(F_MR/12)),0)</f>
        <v>0</v>
      </c>
      <c r="U44" s="1" t="n">
        <f aca="false">IF(H44&gt;0.5,MIN(F_MortPayM,H44+H44*(F_MR/12)),0)</f>
        <v>0</v>
      </c>
      <c r="V44" s="1" t="n">
        <f aca="false">IF(I44&gt;0.5,MIN(F_MortPayM,I44+I44*(F_MR/12)),0)</f>
        <v>0</v>
      </c>
      <c r="W44" s="1" t="n">
        <f aca="false">IF(J44&gt;0.5,MIN(F_MortPayM,J44+J44*(F_MR/12)),0)</f>
        <v>0</v>
      </c>
      <c r="X44" s="1" t="n">
        <f aca="false">IF(K44&gt;0.5,MIN(F_MortPayM,K44+K44*(F_MR/12)),0)</f>
        <v>0</v>
      </c>
      <c r="Y44" s="1" t="n">
        <f aca="false">IF(L44&gt;0.5,MIN(F_MortPayM,L44+L44*(F_MR/12)),0)</f>
        <v>0</v>
      </c>
      <c r="Z44" s="1" t="n">
        <f aca="false">IF(M44&gt;0.5,MIN(F_MortPayM,M44+M44*(F_MR/12)),0)</f>
        <v>0</v>
      </c>
      <c r="AA44" s="1" t="n">
        <f aca="false">IF(N44&gt;0.5,MIN(F_MortPayM,N44+N44*(F_MR/12)),0)</f>
        <v>0</v>
      </c>
      <c r="AB44" s="1" t="n">
        <f aca="false">MAX(0,O44)</f>
        <v>0</v>
      </c>
      <c r="AC44" s="1" t="n">
        <f aca="false">SUM(P44:AA44)</f>
        <v>0</v>
      </c>
      <c r="AD44" s="1" t="n">
        <f aca="false">'Plan cashflow'!L44</f>
        <v>0</v>
      </c>
      <c r="AE44" s="1" t="n">
        <f aca="false">IF(AD44&gt;0.5,AD44+AD44*(D_iC)-MIN(F_CardPayM,AD44+AD44*(D_iC)),AD44)</f>
        <v>0</v>
      </c>
      <c r="AF44" s="1" t="n">
        <f aca="false">IF(AE44&gt;0.5,AE44+AE44*(D_iC)-MIN(F_CardPayM,AE44+AE44*(D_iC)),AE44)</f>
        <v>0</v>
      </c>
      <c r="AG44" s="1" t="n">
        <f aca="false">IF(AF44&gt;0.5,AF44+AF44*(D_iC)-MIN(F_CardPayM,AF44+AF44*(D_iC)),AF44)</f>
        <v>0</v>
      </c>
      <c r="AH44" s="1" t="n">
        <f aca="false">IF(AG44&gt;0.5,AG44+AG44*(D_iC)-MIN(F_CardPayM,AG44+AG44*(D_iC)),AG44)</f>
        <v>0</v>
      </c>
      <c r="AI44" s="1" t="n">
        <f aca="false">IF(AH44&gt;0.5,AH44+AH44*(D_iC)-MIN(F_CardPayM,AH44+AH44*(D_iC)),AH44)</f>
        <v>0</v>
      </c>
      <c r="AJ44" s="1" t="n">
        <f aca="false">IF(AI44&gt;0.5,AI44+AI44*(D_iC)-MIN(F_CardPayM,AI44+AI44*(D_iC)),AI44)</f>
        <v>0</v>
      </c>
      <c r="AK44" s="1" t="n">
        <f aca="false">IF(AJ44&gt;0.5,AJ44+AJ44*(D_iC)-MIN(F_CardPayM,AJ44+AJ44*(D_iC)),AJ44)</f>
        <v>0</v>
      </c>
      <c r="AL44" s="1" t="n">
        <f aca="false">IF(AK44&gt;0.5,AK44+AK44*(D_iC)-MIN(F_CardPayM,AK44+AK44*(D_iC)),AK44)</f>
        <v>0</v>
      </c>
      <c r="AM44" s="1" t="n">
        <f aca="false">IF(AL44&gt;0.5,AL44+AL44*(D_iC)-MIN(F_CardPayM,AL44+AL44*(D_iC)),AL44)</f>
        <v>0</v>
      </c>
      <c r="AN44" s="1" t="n">
        <f aca="false">IF(AM44&gt;0.5,AM44+AM44*(D_iC)-MIN(F_CardPayM,AM44+AM44*(D_iC)),AM44)</f>
        <v>0</v>
      </c>
      <c r="AO44" s="1" t="n">
        <f aca="false">IF(AN44&gt;0.5,AN44+AN44*(D_iC)-MIN(F_CardPayM,AN44+AN44*(D_iC)),AN44)</f>
        <v>0</v>
      </c>
      <c r="AP44" s="1" t="n">
        <f aca="false">IF(AO44&gt;0.5,AO44+AO44*(D_iC)-MIN(F_CardPayM,AO44+AO44*(D_iC)),AO44)</f>
        <v>0</v>
      </c>
      <c r="AQ44" s="1" t="n">
        <f aca="false">IF(AD44&gt;0.5,MIN(F_CardPayM,AD44+AD44*(D_iC)),0)</f>
        <v>0</v>
      </c>
      <c r="AR44" s="1" t="n">
        <f aca="false">IF(AE44&gt;0.5,MIN(F_CardPayM,AE44+AE44*(D_iC)),0)</f>
        <v>0</v>
      </c>
      <c r="AS44" s="1" t="n">
        <f aca="false">IF(AF44&gt;0.5,MIN(F_CardPayM,AF44+AF44*(D_iC)),0)</f>
        <v>0</v>
      </c>
      <c r="AT44" s="1" t="n">
        <f aca="false">IF(AG44&gt;0.5,MIN(F_CardPayM,AG44+AG44*(D_iC)),0)</f>
        <v>0</v>
      </c>
      <c r="AU44" s="1" t="n">
        <f aca="false">IF(AH44&gt;0.5,MIN(F_CardPayM,AH44+AH44*(D_iC)),0)</f>
        <v>0</v>
      </c>
      <c r="AV44" s="1" t="n">
        <f aca="false">IF(AI44&gt;0.5,MIN(F_CardPayM,AI44+AI44*(D_iC)),0)</f>
        <v>0</v>
      </c>
      <c r="AW44" s="1" t="n">
        <f aca="false">IF(AJ44&gt;0.5,MIN(F_CardPayM,AJ44+AJ44*(D_iC)),0)</f>
        <v>0</v>
      </c>
      <c r="AX44" s="1" t="n">
        <f aca="false">IF(AK44&gt;0.5,MIN(F_CardPayM,AK44+AK44*(D_iC)),0)</f>
        <v>0</v>
      </c>
      <c r="AY44" s="1" t="n">
        <f aca="false">IF(AL44&gt;0.5,MIN(F_CardPayM,AL44+AL44*(D_iC)),0)</f>
        <v>0</v>
      </c>
      <c r="AZ44" s="1" t="n">
        <f aca="false">IF(AM44&gt;0.5,MIN(F_CardPayM,AM44+AM44*(D_iC)),0)</f>
        <v>0</v>
      </c>
      <c r="BA44" s="1" t="n">
        <f aca="false">IF(AN44&gt;0.5,MIN(F_CardPayM,AN44+AN44*(D_iC)),0)</f>
        <v>0</v>
      </c>
      <c r="BB44" s="1" t="n">
        <f aca="false">IF(AO44&gt;0.5,MIN(F_CardPayM,AO44+AO44*(D_iC)),0)</f>
        <v>0</v>
      </c>
      <c r="BC44" s="1" t="n">
        <f aca="false">MAX(0,AP44)</f>
        <v>0</v>
      </c>
      <c r="BD44" s="1" t="n">
        <f aca="false">SUM(AQ44:BB44)</f>
        <v>0</v>
      </c>
      <c r="BE44" s="1" t="n">
        <f aca="false">'Plan cashflow'!O44</f>
        <v>0</v>
      </c>
      <c r="BF44" s="1" t="n">
        <f aca="false">IF(BE44&gt;0.5,BE44+BE44*(D_iL)-MIN(F_LoanPayM,BE44+BE44*(D_iL)),BE44)</f>
        <v>0</v>
      </c>
      <c r="BG44" s="1" t="n">
        <f aca="false">IF(BF44&gt;0.5,BF44+BF44*(D_iL)-MIN(F_LoanPayM,BF44+BF44*(D_iL)),BF44)</f>
        <v>0</v>
      </c>
      <c r="BH44" s="1" t="n">
        <f aca="false">IF(BG44&gt;0.5,BG44+BG44*(D_iL)-MIN(F_LoanPayM,BG44+BG44*(D_iL)),BG44)</f>
        <v>0</v>
      </c>
      <c r="BI44" s="1" t="n">
        <f aca="false">IF(BH44&gt;0.5,BH44+BH44*(D_iL)-MIN(F_LoanPayM,BH44+BH44*(D_iL)),BH44)</f>
        <v>0</v>
      </c>
      <c r="BJ44" s="1" t="n">
        <f aca="false">IF(BI44&gt;0.5,BI44+BI44*(D_iL)-MIN(F_LoanPayM,BI44+BI44*(D_iL)),BI44)</f>
        <v>0</v>
      </c>
      <c r="BK44" s="1" t="n">
        <f aca="false">IF(BJ44&gt;0.5,BJ44+BJ44*(D_iL)-MIN(F_LoanPayM,BJ44+BJ44*(D_iL)),BJ44)</f>
        <v>0</v>
      </c>
      <c r="BL44" s="1" t="n">
        <f aca="false">IF(BK44&gt;0.5,BK44+BK44*(D_iL)-MIN(F_LoanPayM,BK44+BK44*(D_iL)),BK44)</f>
        <v>0</v>
      </c>
      <c r="BM44" s="1" t="n">
        <f aca="false">IF(BL44&gt;0.5,BL44+BL44*(D_iL)-MIN(F_LoanPayM,BL44+BL44*(D_iL)),BL44)</f>
        <v>0</v>
      </c>
      <c r="BN44" s="1" t="n">
        <f aca="false">IF(BM44&gt;0.5,BM44+BM44*(D_iL)-MIN(F_LoanPayM,BM44+BM44*(D_iL)),BM44)</f>
        <v>0</v>
      </c>
      <c r="BO44" s="1" t="n">
        <f aca="false">IF(BN44&gt;0.5,BN44+BN44*(D_iL)-MIN(F_LoanPayM,BN44+BN44*(D_iL)),BN44)</f>
        <v>0</v>
      </c>
      <c r="BP44" s="1" t="n">
        <f aca="false">IF(BO44&gt;0.5,BO44+BO44*(D_iL)-MIN(F_LoanPayM,BO44+BO44*(D_iL)),BO44)</f>
        <v>0</v>
      </c>
      <c r="BQ44" s="1" t="n">
        <f aca="false">IF(BP44&gt;0.5,BP44+BP44*(D_iL)-MIN(F_LoanPayM,BP44+BP44*(D_iL)),BP44)</f>
        <v>0</v>
      </c>
      <c r="BR44" s="1" t="n">
        <f aca="false">IF(BE44&gt;0.5,MIN(F_LoanPayM,BE44+BE44*(D_iL)),0)</f>
        <v>0</v>
      </c>
      <c r="BS44" s="1" t="n">
        <f aca="false">IF(BF44&gt;0.5,MIN(F_LoanPayM,BF44+BF44*(D_iL)),0)</f>
        <v>0</v>
      </c>
      <c r="BT44" s="1" t="n">
        <f aca="false">IF(BG44&gt;0.5,MIN(F_LoanPayM,BG44+BG44*(D_iL)),0)</f>
        <v>0</v>
      </c>
      <c r="BU44" s="1" t="n">
        <f aca="false">IF(BH44&gt;0.5,MIN(F_LoanPayM,BH44+BH44*(D_iL)),0)</f>
        <v>0</v>
      </c>
      <c r="BV44" s="1" t="n">
        <f aca="false">IF(BI44&gt;0.5,MIN(F_LoanPayM,BI44+BI44*(D_iL)),0)</f>
        <v>0</v>
      </c>
      <c r="BW44" s="1" t="n">
        <f aca="false">IF(BJ44&gt;0.5,MIN(F_LoanPayM,BJ44+BJ44*(D_iL)),0)</f>
        <v>0</v>
      </c>
      <c r="BX44" s="1" t="n">
        <f aca="false">IF(BK44&gt;0.5,MIN(F_LoanPayM,BK44+BK44*(D_iL)),0)</f>
        <v>0</v>
      </c>
      <c r="BY44" s="1" t="n">
        <f aca="false">IF(BL44&gt;0.5,MIN(F_LoanPayM,BL44+BL44*(D_iL)),0)</f>
        <v>0</v>
      </c>
      <c r="BZ44" s="1" t="n">
        <f aca="false">IF(BM44&gt;0.5,MIN(F_LoanPayM,BM44+BM44*(D_iL)),0)</f>
        <v>0</v>
      </c>
      <c r="CA44" s="1" t="n">
        <f aca="false">IF(BN44&gt;0.5,MIN(F_LoanPayM,BN44+BN44*(D_iL)),0)</f>
        <v>0</v>
      </c>
      <c r="CB44" s="1" t="n">
        <f aca="false">IF(BO44&gt;0.5,MIN(F_LoanPayM,BO44+BO44*(D_iL)),0)</f>
        <v>0</v>
      </c>
      <c r="CC44" s="1" t="n">
        <f aca="false">IF(BP44&gt;0.5,MIN(F_LoanPayM,BP44+BP44*(D_iL)),0)</f>
        <v>0</v>
      </c>
      <c r="CD44" s="1" t="n">
        <f aca="false">MAX(0,BQ44)</f>
        <v>0</v>
      </c>
      <c r="CE44" s="1" t="n">
        <f aca="false">SUM(BR44:CC44)</f>
        <v>0</v>
      </c>
      <c r="CF44" s="1" t="n">
        <f aca="false">IF(CF43&gt;1,DE43,CF43)</f>
        <v>0</v>
      </c>
      <c r="CG44" s="1" t="n">
        <f aca="false">IF(CF44&gt;0.5,CF44+CF44*(F_MR/12)-MIN(F_MortPayM,CF44+CF44*(F_MR/12)),CF44)</f>
        <v>0</v>
      </c>
      <c r="CH44" s="1" t="n">
        <f aca="false">IF(CG44&gt;0.5,CG44+CG44*(F_MR/12)-MIN(F_MortPayM,CG44+CG44*(F_MR/12)),CG44)</f>
        <v>0</v>
      </c>
      <c r="CI44" s="1" t="n">
        <f aca="false">IF(CH44&gt;0.5,CH44+CH44*(F_MR/12)-MIN(F_MortPayM,CH44+CH44*(F_MR/12)),CH44)</f>
        <v>0</v>
      </c>
      <c r="CJ44" s="1" t="n">
        <f aca="false">IF(CI44&gt;0.5,CI44+CI44*(F_MR/12)-MIN(F_MortPayM,CI44+CI44*(F_MR/12)),CI44)</f>
        <v>0</v>
      </c>
      <c r="CK44" s="1" t="n">
        <f aca="false">IF(CJ44&gt;0.5,CJ44+CJ44*(F_MR/12)-MIN(F_MortPayM,CJ44+CJ44*(F_MR/12)),CJ44)</f>
        <v>0</v>
      </c>
      <c r="CL44" s="1" t="n">
        <f aca="false">IF(CK44&gt;0.5,CK44+CK44*(F_MR/12)-MIN(F_MortPayM,CK44+CK44*(F_MR/12)),CK44)</f>
        <v>0</v>
      </c>
      <c r="CM44" s="1" t="n">
        <f aca="false">IF(CL44&gt;0.5,CL44+CL44*(F_MR/12)-MIN(F_MortPayM,CL44+CL44*(F_MR/12)),CL44)</f>
        <v>0</v>
      </c>
      <c r="CN44" s="1" t="n">
        <f aca="false">IF(CM44&gt;0.5,CM44+CM44*(F_MR/12)-MIN(F_MortPayM,CM44+CM44*(F_MR/12)),CM44)</f>
        <v>0</v>
      </c>
      <c r="CO44" s="1" t="n">
        <f aca="false">IF(CN44&gt;0.5,CN44+CN44*(F_MR/12)-MIN(F_MortPayM,CN44+CN44*(F_MR/12)),CN44)</f>
        <v>0</v>
      </c>
      <c r="CP44" s="1" t="n">
        <f aca="false">IF(CO44&gt;0.5,CO44+CO44*(F_MR/12)-MIN(F_MortPayM,CO44+CO44*(F_MR/12)),CO44)</f>
        <v>0</v>
      </c>
      <c r="CQ44" s="1" t="n">
        <f aca="false">IF(CP44&gt;0.5,CP44+CP44*(F_MR/12)-MIN(F_MortPayM,CP44+CP44*(F_MR/12)),CP44)</f>
        <v>0</v>
      </c>
      <c r="CR44" s="1" t="n">
        <f aca="false">IF(CQ44&gt;0.5,CQ44+CQ44*(F_MR/12)-MIN(F_MortPayM,CQ44+CQ44*(F_MR/12)),CQ44)</f>
        <v>0</v>
      </c>
      <c r="CS44" s="1" t="n">
        <f aca="false">IF(CF44&gt;0.5,MIN(F_MortPayM,CF44+CF44*(F_MR/12)),0)</f>
        <v>0</v>
      </c>
      <c r="CT44" s="1" t="n">
        <f aca="false">IF(CG44&gt;0.5,MIN(F_MortPayM,CG44+CG44*(F_MR/12)),0)</f>
        <v>0</v>
      </c>
      <c r="CU44" s="1" t="n">
        <f aca="false">IF(CH44&gt;0.5,MIN(F_MortPayM,CH44+CH44*(F_MR/12)),0)</f>
        <v>0</v>
      </c>
      <c r="CV44" s="1" t="n">
        <f aca="false">IF(CI44&gt;0.5,MIN(F_MortPayM,CI44+CI44*(F_MR/12)),0)</f>
        <v>0</v>
      </c>
      <c r="CW44" s="1" t="n">
        <f aca="false">IF(CJ44&gt;0.5,MIN(F_MortPayM,CJ44+CJ44*(F_MR/12)),0)</f>
        <v>0</v>
      </c>
      <c r="CX44" s="1" t="n">
        <f aca="false">IF(CK44&gt;0.5,MIN(F_MortPayM,CK44+CK44*(F_MR/12)),0)</f>
        <v>0</v>
      </c>
      <c r="CY44" s="1" t="n">
        <f aca="false">IF(CL44&gt;0.5,MIN(F_MortPayM,CL44+CL44*(F_MR/12)),0)</f>
        <v>0</v>
      </c>
      <c r="CZ44" s="1" t="n">
        <f aca="false">IF(CM44&gt;0.5,MIN(F_MortPayM,CM44+CM44*(F_MR/12)),0)</f>
        <v>0</v>
      </c>
      <c r="DA44" s="1" t="n">
        <f aca="false">IF(CN44&gt;0.5,MIN(F_MortPayM,CN44+CN44*(F_MR/12)),0)</f>
        <v>0</v>
      </c>
      <c r="DB44" s="1" t="n">
        <f aca="false">IF(CO44&gt;0.5,MIN(F_MortPayM,CO44+CO44*(F_MR/12)),0)</f>
        <v>0</v>
      </c>
      <c r="DC44" s="1" t="n">
        <f aca="false">IF(CP44&gt;0.5,MIN(F_MortPayM,CP44+CP44*(F_MR/12)),0)</f>
        <v>0</v>
      </c>
      <c r="DD44" s="1" t="n">
        <f aca="false">IF(CQ44&gt;0.5,MIN(F_MortPayM,CQ44+CQ44*(F_MR/12)),0)</f>
        <v>0</v>
      </c>
      <c r="DE44" s="1" t="n">
        <f aca="false">MAX(0,CR44)</f>
        <v>0</v>
      </c>
      <c r="DF44" s="1" t="n">
        <f aca="false">SUM(CS44:DD44)</f>
        <v>0</v>
      </c>
      <c r="DG44" s="1" t="n">
        <f aca="false">MAX(0,CF44)</f>
        <v>0</v>
      </c>
    </row>
    <row r="45" customFormat="false" ht="15" hidden="false" customHeight="false" outlineLevel="0" collapsed="false">
      <c r="B45" s="1" t="n">
        <v>37</v>
      </c>
      <c r="C45" s="1" t="n">
        <f aca="false">'Plan cashflow'!I45</f>
        <v>0</v>
      </c>
      <c r="D45" s="1" t="n">
        <f aca="false">IF(C45&gt;0.5,C45+C45*(F_MR/12)-MIN(F_MortPayM,C45+C45*(F_MR/12)),C45)</f>
        <v>0</v>
      </c>
      <c r="E45" s="1" t="n">
        <f aca="false">IF(D45&gt;0.5,D45+D45*(F_MR/12)-MIN(F_MortPayM,D45+D45*(F_MR/12)),D45)</f>
        <v>0</v>
      </c>
      <c r="F45" s="1" t="n">
        <f aca="false">IF(E45&gt;0.5,E45+E45*(F_MR/12)-MIN(F_MortPayM,E45+E45*(F_MR/12)),E45)</f>
        <v>0</v>
      </c>
      <c r="G45" s="1" t="n">
        <f aca="false">IF(F45&gt;0.5,F45+F45*(F_MR/12)-MIN(F_MortPayM,F45+F45*(F_MR/12)),F45)</f>
        <v>0</v>
      </c>
      <c r="H45" s="1" t="n">
        <f aca="false">IF(G45&gt;0.5,G45+G45*(F_MR/12)-MIN(F_MortPayM,G45+G45*(F_MR/12)),G45)</f>
        <v>0</v>
      </c>
      <c r="I45" s="1" t="n">
        <f aca="false">IF(H45&gt;0.5,H45+H45*(F_MR/12)-MIN(F_MortPayM,H45+H45*(F_MR/12)),H45)</f>
        <v>0</v>
      </c>
      <c r="J45" s="1" t="n">
        <f aca="false">IF(I45&gt;0.5,I45+I45*(F_MR/12)-MIN(F_MortPayM,I45+I45*(F_MR/12)),I45)</f>
        <v>0</v>
      </c>
      <c r="K45" s="1" t="n">
        <f aca="false">IF(J45&gt;0.5,J45+J45*(F_MR/12)-MIN(F_MortPayM,J45+J45*(F_MR/12)),J45)</f>
        <v>0</v>
      </c>
      <c r="L45" s="1" t="n">
        <f aca="false">IF(K45&gt;0.5,K45+K45*(F_MR/12)-MIN(F_MortPayM,K45+K45*(F_MR/12)),K45)</f>
        <v>0</v>
      </c>
      <c r="M45" s="1" t="n">
        <f aca="false">IF(L45&gt;0.5,L45+L45*(F_MR/12)-MIN(F_MortPayM,L45+L45*(F_MR/12)),L45)</f>
        <v>0</v>
      </c>
      <c r="N45" s="1" t="n">
        <f aca="false">IF(M45&gt;0.5,M45+M45*(F_MR/12)-MIN(F_MortPayM,M45+M45*(F_MR/12)),M45)</f>
        <v>0</v>
      </c>
      <c r="O45" s="1" t="n">
        <f aca="false">IF(N45&gt;0.5,N45+N45*(F_MR/12)-MIN(F_MortPayM,N45+N45*(F_MR/12)),N45)</f>
        <v>0</v>
      </c>
      <c r="P45" s="1" t="n">
        <f aca="false">IF(C45&gt;0.5,MIN(F_MortPayM,C45+C45*(F_MR/12)),0)</f>
        <v>0</v>
      </c>
      <c r="Q45" s="1" t="n">
        <f aca="false">IF(D45&gt;0.5,MIN(F_MortPayM,D45+D45*(F_MR/12)),0)</f>
        <v>0</v>
      </c>
      <c r="R45" s="1" t="n">
        <f aca="false">IF(E45&gt;0.5,MIN(F_MortPayM,E45+E45*(F_MR/12)),0)</f>
        <v>0</v>
      </c>
      <c r="S45" s="1" t="n">
        <f aca="false">IF(F45&gt;0.5,MIN(F_MortPayM,F45+F45*(F_MR/12)),0)</f>
        <v>0</v>
      </c>
      <c r="T45" s="1" t="n">
        <f aca="false">IF(G45&gt;0.5,MIN(F_MortPayM,G45+G45*(F_MR/12)),0)</f>
        <v>0</v>
      </c>
      <c r="U45" s="1" t="n">
        <f aca="false">IF(H45&gt;0.5,MIN(F_MortPayM,H45+H45*(F_MR/12)),0)</f>
        <v>0</v>
      </c>
      <c r="V45" s="1" t="n">
        <f aca="false">IF(I45&gt;0.5,MIN(F_MortPayM,I45+I45*(F_MR/12)),0)</f>
        <v>0</v>
      </c>
      <c r="W45" s="1" t="n">
        <f aca="false">IF(J45&gt;0.5,MIN(F_MortPayM,J45+J45*(F_MR/12)),0)</f>
        <v>0</v>
      </c>
      <c r="X45" s="1" t="n">
        <f aca="false">IF(K45&gt;0.5,MIN(F_MortPayM,K45+K45*(F_MR/12)),0)</f>
        <v>0</v>
      </c>
      <c r="Y45" s="1" t="n">
        <f aca="false">IF(L45&gt;0.5,MIN(F_MortPayM,L45+L45*(F_MR/12)),0)</f>
        <v>0</v>
      </c>
      <c r="Z45" s="1" t="n">
        <f aca="false">IF(M45&gt;0.5,MIN(F_MortPayM,M45+M45*(F_MR/12)),0)</f>
        <v>0</v>
      </c>
      <c r="AA45" s="1" t="n">
        <f aca="false">IF(N45&gt;0.5,MIN(F_MortPayM,N45+N45*(F_MR/12)),0)</f>
        <v>0</v>
      </c>
      <c r="AB45" s="1" t="n">
        <f aca="false">MAX(0,O45)</f>
        <v>0</v>
      </c>
      <c r="AC45" s="1" t="n">
        <f aca="false">SUM(P45:AA45)</f>
        <v>0</v>
      </c>
      <c r="AD45" s="1" t="n">
        <f aca="false">'Plan cashflow'!L45</f>
        <v>0</v>
      </c>
      <c r="AE45" s="1" t="n">
        <f aca="false">IF(AD45&gt;0.5,AD45+AD45*(D_iC)-MIN(F_CardPayM,AD45+AD45*(D_iC)),AD45)</f>
        <v>0</v>
      </c>
      <c r="AF45" s="1" t="n">
        <f aca="false">IF(AE45&gt;0.5,AE45+AE45*(D_iC)-MIN(F_CardPayM,AE45+AE45*(D_iC)),AE45)</f>
        <v>0</v>
      </c>
      <c r="AG45" s="1" t="n">
        <f aca="false">IF(AF45&gt;0.5,AF45+AF45*(D_iC)-MIN(F_CardPayM,AF45+AF45*(D_iC)),AF45)</f>
        <v>0</v>
      </c>
      <c r="AH45" s="1" t="n">
        <f aca="false">IF(AG45&gt;0.5,AG45+AG45*(D_iC)-MIN(F_CardPayM,AG45+AG45*(D_iC)),AG45)</f>
        <v>0</v>
      </c>
      <c r="AI45" s="1" t="n">
        <f aca="false">IF(AH45&gt;0.5,AH45+AH45*(D_iC)-MIN(F_CardPayM,AH45+AH45*(D_iC)),AH45)</f>
        <v>0</v>
      </c>
      <c r="AJ45" s="1" t="n">
        <f aca="false">IF(AI45&gt;0.5,AI45+AI45*(D_iC)-MIN(F_CardPayM,AI45+AI45*(D_iC)),AI45)</f>
        <v>0</v>
      </c>
      <c r="AK45" s="1" t="n">
        <f aca="false">IF(AJ45&gt;0.5,AJ45+AJ45*(D_iC)-MIN(F_CardPayM,AJ45+AJ45*(D_iC)),AJ45)</f>
        <v>0</v>
      </c>
      <c r="AL45" s="1" t="n">
        <f aca="false">IF(AK45&gt;0.5,AK45+AK45*(D_iC)-MIN(F_CardPayM,AK45+AK45*(D_iC)),AK45)</f>
        <v>0</v>
      </c>
      <c r="AM45" s="1" t="n">
        <f aca="false">IF(AL45&gt;0.5,AL45+AL45*(D_iC)-MIN(F_CardPayM,AL45+AL45*(D_iC)),AL45)</f>
        <v>0</v>
      </c>
      <c r="AN45" s="1" t="n">
        <f aca="false">IF(AM45&gt;0.5,AM45+AM45*(D_iC)-MIN(F_CardPayM,AM45+AM45*(D_iC)),AM45)</f>
        <v>0</v>
      </c>
      <c r="AO45" s="1" t="n">
        <f aca="false">IF(AN45&gt;0.5,AN45+AN45*(D_iC)-MIN(F_CardPayM,AN45+AN45*(D_iC)),AN45)</f>
        <v>0</v>
      </c>
      <c r="AP45" s="1" t="n">
        <f aca="false">IF(AO45&gt;0.5,AO45+AO45*(D_iC)-MIN(F_CardPayM,AO45+AO45*(D_iC)),AO45)</f>
        <v>0</v>
      </c>
      <c r="AQ45" s="1" t="n">
        <f aca="false">IF(AD45&gt;0.5,MIN(F_CardPayM,AD45+AD45*(D_iC)),0)</f>
        <v>0</v>
      </c>
      <c r="AR45" s="1" t="n">
        <f aca="false">IF(AE45&gt;0.5,MIN(F_CardPayM,AE45+AE45*(D_iC)),0)</f>
        <v>0</v>
      </c>
      <c r="AS45" s="1" t="n">
        <f aca="false">IF(AF45&gt;0.5,MIN(F_CardPayM,AF45+AF45*(D_iC)),0)</f>
        <v>0</v>
      </c>
      <c r="AT45" s="1" t="n">
        <f aca="false">IF(AG45&gt;0.5,MIN(F_CardPayM,AG45+AG45*(D_iC)),0)</f>
        <v>0</v>
      </c>
      <c r="AU45" s="1" t="n">
        <f aca="false">IF(AH45&gt;0.5,MIN(F_CardPayM,AH45+AH45*(D_iC)),0)</f>
        <v>0</v>
      </c>
      <c r="AV45" s="1" t="n">
        <f aca="false">IF(AI45&gt;0.5,MIN(F_CardPayM,AI45+AI45*(D_iC)),0)</f>
        <v>0</v>
      </c>
      <c r="AW45" s="1" t="n">
        <f aca="false">IF(AJ45&gt;0.5,MIN(F_CardPayM,AJ45+AJ45*(D_iC)),0)</f>
        <v>0</v>
      </c>
      <c r="AX45" s="1" t="n">
        <f aca="false">IF(AK45&gt;0.5,MIN(F_CardPayM,AK45+AK45*(D_iC)),0)</f>
        <v>0</v>
      </c>
      <c r="AY45" s="1" t="n">
        <f aca="false">IF(AL45&gt;0.5,MIN(F_CardPayM,AL45+AL45*(D_iC)),0)</f>
        <v>0</v>
      </c>
      <c r="AZ45" s="1" t="n">
        <f aca="false">IF(AM45&gt;0.5,MIN(F_CardPayM,AM45+AM45*(D_iC)),0)</f>
        <v>0</v>
      </c>
      <c r="BA45" s="1" t="n">
        <f aca="false">IF(AN45&gt;0.5,MIN(F_CardPayM,AN45+AN45*(D_iC)),0)</f>
        <v>0</v>
      </c>
      <c r="BB45" s="1" t="n">
        <f aca="false">IF(AO45&gt;0.5,MIN(F_CardPayM,AO45+AO45*(D_iC)),0)</f>
        <v>0</v>
      </c>
      <c r="BC45" s="1" t="n">
        <f aca="false">MAX(0,AP45)</f>
        <v>0</v>
      </c>
      <c r="BD45" s="1" t="n">
        <f aca="false">SUM(AQ45:BB45)</f>
        <v>0</v>
      </c>
      <c r="BE45" s="1" t="n">
        <f aca="false">'Plan cashflow'!O45</f>
        <v>0</v>
      </c>
      <c r="BF45" s="1" t="n">
        <f aca="false">IF(BE45&gt;0.5,BE45+BE45*(D_iL)-MIN(F_LoanPayM,BE45+BE45*(D_iL)),BE45)</f>
        <v>0</v>
      </c>
      <c r="BG45" s="1" t="n">
        <f aca="false">IF(BF45&gt;0.5,BF45+BF45*(D_iL)-MIN(F_LoanPayM,BF45+BF45*(D_iL)),BF45)</f>
        <v>0</v>
      </c>
      <c r="BH45" s="1" t="n">
        <f aca="false">IF(BG45&gt;0.5,BG45+BG45*(D_iL)-MIN(F_LoanPayM,BG45+BG45*(D_iL)),BG45)</f>
        <v>0</v>
      </c>
      <c r="BI45" s="1" t="n">
        <f aca="false">IF(BH45&gt;0.5,BH45+BH45*(D_iL)-MIN(F_LoanPayM,BH45+BH45*(D_iL)),BH45)</f>
        <v>0</v>
      </c>
      <c r="BJ45" s="1" t="n">
        <f aca="false">IF(BI45&gt;0.5,BI45+BI45*(D_iL)-MIN(F_LoanPayM,BI45+BI45*(D_iL)),BI45)</f>
        <v>0</v>
      </c>
      <c r="BK45" s="1" t="n">
        <f aca="false">IF(BJ45&gt;0.5,BJ45+BJ45*(D_iL)-MIN(F_LoanPayM,BJ45+BJ45*(D_iL)),BJ45)</f>
        <v>0</v>
      </c>
      <c r="BL45" s="1" t="n">
        <f aca="false">IF(BK45&gt;0.5,BK45+BK45*(D_iL)-MIN(F_LoanPayM,BK45+BK45*(D_iL)),BK45)</f>
        <v>0</v>
      </c>
      <c r="BM45" s="1" t="n">
        <f aca="false">IF(BL45&gt;0.5,BL45+BL45*(D_iL)-MIN(F_LoanPayM,BL45+BL45*(D_iL)),BL45)</f>
        <v>0</v>
      </c>
      <c r="BN45" s="1" t="n">
        <f aca="false">IF(BM45&gt;0.5,BM45+BM45*(D_iL)-MIN(F_LoanPayM,BM45+BM45*(D_iL)),BM45)</f>
        <v>0</v>
      </c>
      <c r="BO45" s="1" t="n">
        <f aca="false">IF(BN45&gt;0.5,BN45+BN45*(D_iL)-MIN(F_LoanPayM,BN45+BN45*(D_iL)),BN45)</f>
        <v>0</v>
      </c>
      <c r="BP45" s="1" t="n">
        <f aca="false">IF(BO45&gt;0.5,BO45+BO45*(D_iL)-MIN(F_LoanPayM,BO45+BO45*(D_iL)),BO45)</f>
        <v>0</v>
      </c>
      <c r="BQ45" s="1" t="n">
        <f aca="false">IF(BP45&gt;0.5,BP45+BP45*(D_iL)-MIN(F_LoanPayM,BP45+BP45*(D_iL)),BP45)</f>
        <v>0</v>
      </c>
      <c r="BR45" s="1" t="n">
        <f aca="false">IF(BE45&gt;0.5,MIN(F_LoanPayM,BE45+BE45*(D_iL)),0)</f>
        <v>0</v>
      </c>
      <c r="BS45" s="1" t="n">
        <f aca="false">IF(BF45&gt;0.5,MIN(F_LoanPayM,BF45+BF45*(D_iL)),0)</f>
        <v>0</v>
      </c>
      <c r="BT45" s="1" t="n">
        <f aca="false">IF(BG45&gt;0.5,MIN(F_LoanPayM,BG45+BG45*(D_iL)),0)</f>
        <v>0</v>
      </c>
      <c r="BU45" s="1" t="n">
        <f aca="false">IF(BH45&gt;0.5,MIN(F_LoanPayM,BH45+BH45*(D_iL)),0)</f>
        <v>0</v>
      </c>
      <c r="BV45" s="1" t="n">
        <f aca="false">IF(BI45&gt;0.5,MIN(F_LoanPayM,BI45+BI45*(D_iL)),0)</f>
        <v>0</v>
      </c>
      <c r="BW45" s="1" t="n">
        <f aca="false">IF(BJ45&gt;0.5,MIN(F_LoanPayM,BJ45+BJ45*(D_iL)),0)</f>
        <v>0</v>
      </c>
      <c r="BX45" s="1" t="n">
        <f aca="false">IF(BK45&gt;0.5,MIN(F_LoanPayM,BK45+BK45*(D_iL)),0)</f>
        <v>0</v>
      </c>
      <c r="BY45" s="1" t="n">
        <f aca="false">IF(BL45&gt;0.5,MIN(F_LoanPayM,BL45+BL45*(D_iL)),0)</f>
        <v>0</v>
      </c>
      <c r="BZ45" s="1" t="n">
        <f aca="false">IF(BM45&gt;0.5,MIN(F_LoanPayM,BM45+BM45*(D_iL)),0)</f>
        <v>0</v>
      </c>
      <c r="CA45" s="1" t="n">
        <f aca="false">IF(BN45&gt;0.5,MIN(F_LoanPayM,BN45+BN45*(D_iL)),0)</f>
        <v>0</v>
      </c>
      <c r="CB45" s="1" t="n">
        <f aca="false">IF(BO45&gt;0.5,MIN(F_LoanPayM,BO45+BO45*(D_iL)),0)</f>
        <v>0</v>
      </c>
      <c r="CC45" s="1" t="n">
        <f aca="false">IF(BP45&gt;0.5,MIN(F_LoanPayM,BP45+BP45*(D_iL)),0)</f>
        <v>0</v>
      </c>
      <c r="CD45" s="1" t="n">
        <f aca="false">MAX(0,BQ45)</f>
        <v>0</v>
      </c>
      <c r="CE45" s="1" t="n">
        <f aca="false">SUM(BR45:CC45)</f>
        <v>0</v>
      </c>
      <c r="CF45" s="1" t="n">
        <f aca="false">IF(CF44&gt;1,DE44,CF44)</f>
        <v>0</v>
      </c>
      <c r="CG45" s="1" t="n">
        <f aca="false">IF(CF45&gt;0.5,CF45+CF45*(F_MR/12)-MIN(F_MortPayM,CF45+CF45*(F_MR/12)),CF45)</f>
        <v>0</v>
      </c>
      <c r="CH45" s="1" t="n">
        <f aca="false">IF(CG45&gt;0.5,CG45+CG45*(F_MR/12)-MIN(F_MortPayM,CG45+CG45*(F_MR/12)),CG45)</f>
        <v>0</v>
      </c>
      <c r="CI45" s="1" t="n">
        <f aca="false">IF(CH45&gt;0.5,CH45+CH45*(F_MR/12)-MIN(F_MortPayM,CH45+CH45*(F_MR/12)),CH45)</f>
        <v>0</v>
      </c>
      <c r="CJ45" s="1" t="n">
        <f aca="false">IF(CI45&gt;0.5,CI45+CI45*(F_MR/12)-MIN(F_MortPayM,CI45+CI45*(F_MR/12)),CI45)</f>
        <v>0</v>
      </c>
      <c r="CK45" s="1" t="n">
        <f aca="false">IF(CJ45&gt;0.5,CJ45+CJ45*(F_MR/12)-MIN(F_MortPayM,CJ45+CJ45*(F_MR/12)),CJ45)</f>
        <v>0</v>
      </c>
      <c r="CL45" s="1" t="n">
        <f aca="false">IF(CK45&gt;0.5,CK45+CK45*(F_MR/12)-MIN(F_MortPayM,CK45+CK45*(F_MR/12)),CK45)</f>
        <v>0</v>
      </c>
      <c r="CM45" s="1" t="n">
        <f aca="false">IF(CL45&gt;0.5,CL45+CL45*(F_MR/12)-MIN(F_MortPayM,CL45+CL45*(F_MR/12)),CL45)</f>
        <v>0</v>
      </c>
      <c r="CN45" s="1" t="n">
        <f aca="false">IF(CM45&gt;0.5,CM45+CM45*(F_MR/12)-MIN(F_MortPayM,CM45+CM45*(F_MR/12)),CM45)</f>
        <v>0</v>
      </c>
      <c r="CO45" s="1" t="n">
        <f aca="false">IF(CN45&gt;0.5,CN45+CN45*(F_MR/12)-MIN(F_MortPayM,CN45+CN45*(F_MR/12)),CN45)</f>
        <v>0</v>
      </c>
      <c r="CP45" s="1" t="n">
        <f aca="false">IF(CO45&gt;0.5,CO45+CO45*(F_MR/12)-MIN(F_MortPayM,CO45+CO45*(F_MR/12)),CO45)</f>
        <v>0</v>
      </c>
      <c r="CQ45" s="1" t="n">
        <f aca="false">IF(CP45&gt;0.5,CP45+CP45*(F_MR/12)-MIN(F_MortPayM,CP45+CP45*(F_MR/12)),CP45)</f>
        <v>0</v>
      </c>
      <c r="CR45" s="1" t="n">
        <f aca="false">IF(CQ45&gt;0.5,CQ45+CQ45*(F_MR/12)-MIN(F_MortPayM,CQ45+CQ45*(F_MR/12)),CQ45)</f>
        <v>0</v>
      </c>
      <c r="CS45" s="1" t="n">
        <f aca="false">IF(CF45&gt;0.5,MIN(F_MortPayM,CF45+CF45*(F_MR/12)),0)</f>
        <v>0</v>
      </c>
      <c r="CT45" s="1" t="n">
        <f aca="false">IF(CG45&gt;0.5,MIN(F_MortPayM,CG45+CG45*(F_MR/12)),0)</f>
        <v>0</v>
      </c>
      <c r="CU45" s="1" t="n">
        <f aca="false">IF(CH45&gt;0.5,MIN(F_MortPayM,CH45+CH45*(F_MR/12)),0)</f>
        <v>0</v>
      </c>
      <c r="CV45" s="1" t="n">
        <f aca="false">IF(CI45&gt;0.5,MIN(F_MortPayM,CI45+CI45*(F_MR/12)),0)</f>
        <v>0</v>
      </c>
      <c r="CW45" s="1" t="n">
        <f aca="false">IF(CJ45&gt;0.5,MIN(F_MortPayM,CJ45+CJ45*(F_MR/12)),0)</f>
        <v>0</v>
      </c>
      <c r="CX45" s="1" t="n">
        <f aca="false">IF(CK45&gt;0.5,MIN(F_MortPayM,CK45+CK45*(F_MR/12)),0)</f>
        <v>0</v>
      </c>
      <c r="CY45" s="1" t="n">
        <f aca="false">IF(CL45&gt;0.5,MIN(F_MortPayM,CL45+CL45*(F_MR/12)),0)</f>
        <v>0</v>
      </c>
      <c r="CZ45" s="1" t="n">
        <f aca="false">IF(CM45&gt;0.5,MIN(F_MortPayM,CM45+CM45*(F_MR/12)),0)</f>
        <v>0</v>
      </c>
      <c r="DA45" s="1" t="n">
        <f aca="false">IF(CN45&gt;0.5,MIN(F_MortPayM,CN45+CN45*(F_MR/12)),0)</f>
        <v>0</v>
      </c>
      <c r="DB45" s="1" t="n">
        <f aca="false">IF(CO45&gt;0.5,MIN(F_MortPayM,CO45+CO45*(F_MR/12)),0)</f>
        <v>0</v>
      </c>
      <c r="DC45" s="1" t="n">
        <f aca="false">IF(CP45&gt;0.5,MIN(F_MortPayM,CP45+CP45*(F_MR/12)),0)</f>
        <v>0</v>
      </c>
      <c r="DD45" s="1" t="n">
        <f aca="false">IF(CQ45&gt;0.5,MIN(F_MortPayM,CQ45+CQ45*(F_MR/12)),0)</f>
        <v>0</v>
      </c>
      <c r="DE45" s="1" t="n">
        <f aca="false">MAX(0,CR45)</f>
        <v>0</v>
      </c>
      <c r="DF45" s="1" t="n">
        <f aca="false">SUM(CS45:DD45)</f>
        <v>0</v>
      </c>
      <c r="DG45" s="1" t="n">
        <f aca="false">MAX(0,CF45)</f>
        <v>0</v>
      </c>
    </row>
    <row r="46" customFormat="false" ht="15" hidden="false" customHeight="false" outlineLevel="0" collapsed="false">
      <c r="B46" s="1" t="n">
        <v>38</v>
      </c>
      <c r="C46" s="1" t="n">
        <f aca="false">'Plan cashflow'!I46</f>
        <v>0</v>
      </c>
      <c r="D46" s="1" t="n">
        <f aca="false">IF(C46&gt;0.5,C46+C46*(F_MR/12)-MIN(F_MortPayM,C46+C46*(F_MR/12)),C46)</f>
        <v>0</v>
      </c>
      <c r="E46" s="1" t="n">
        <f aca="false">IF(D46&gt;0.5,D46+D46*(F_MR/12)-MIN(F_MortPayM,D46+D46*(F_MR/12)),D46)</f>
        <v>0</v>
      </c>
      <c r="F46" s="1" t="n">
        <f aca="false">IF(E46&gt;0.5,E46+E46*(F_MR/12)-MIN(F_MortPayM,E46+E46*(F_MR/12)),E46)</f>
        <v>0</v>
      </c>
      <c r="G46" s="1" t="n">
        <f aca="false">IF(F46&gt;0.5,F46+F46*(F_MR/12)-MIN(F_MortPayM,F46+F46*(F_MR/12)),F46)</f>
        <v>0</v>
      </c>
      <c r="H46" s="1" t="n">
        <f aca="false">IF(G46&gt;0.5,G46+G46*(F_MR/12)-MIN(F_MortPayM,G46+G46*(F_MR/12)),G46)</f>
        <v>0</v>
      </c>
      <c r="I46" s="1" t="n">
        <f aca="false">IF(H46&gt;0.5,H46+H46*(F_MR/12)-MIN(F_MortPayM,H46+H46*(F_MR/12)),H46)</f>
        <v>0</v>
      </c>
      <c r="J46" s="1" t="n">
        <f aca="false">IF(I46&gt;0.5,I46+I46*(F_MR/12)-MIN(F_MortPayM,I46+I46*(F_MR/12)),I46)</f>
        <v>0</v>
      </c>
      <c r="K46" s="1" t="n">
        <f aca="false">IF(J46&gt;0.5,J46+J46*(F_MR/12)-MIN(F_MortPayM,J46+J46*(F_MR/12)),J46)</f>
        <v>0</v>
      </c>
      <c r="L46" s="1" t="n">
        <f aca="false">IF(K46&gt;0.5,K46+K46*(F_MR/12)-MIN(F_MortPayM,K46+K46*(F_MR/12)),K46)</f>
        <v>0</v>
      </c>
      <c r="M46" s="1" t="n">
        <f aca="false">IF(L46&gt;0.5,L46+L46*(F_MR/12)-MIN(F_MortPayM,L46+L46*(F_MR/12)),L46)</f>
        <v>0</v>
      </c>
      <c r="N46" s="1" t="n">
        <f aca="false">IF(M46&gt;0.5,M46+M46*(F_MR/12)-MIN(F_MortPayM,M46+M46*(F_MR/12)),M46)</f>
        <v>0</v>
      </c>
      <c r="O46" s="1" t="n">
        <f aca="false">IF(N46&gt;0.5,N46+N46*(F_MR/12)-MIN(F_MortPayM,N46+N46*(F_MR/12)),N46)</f>
        <v>0</v>
      </c>
      <c r="P46" s="1" t="n">
        <f aca="false">IF(C46&gt;0.5,MIN(F_MortPayM,C46+C46*(F_MR/12)),0)</f>
        <v>0</v>
      </c>
      <c r="Q46" s="1" t="n">
        <f aca="false">IF(D46&gt;0.5,MIN(F_MortPayM,D46+D46*(F_MR/12)),0)</f>
        <v>0</v>
      </c>
      <c r="R46" s="1" t="n">
        <f aca="false">IF(E46&gt;0.5,MIN(F_MortPayM,E46+E46*(F_MR/12)),0)</f>
        <v>0</v>
      </c>
      <c r="S46" s="1" t="n">
        <f aca="false">IF(F46&gt;0.5,MIN(F_MortPayM,F46+F46*(F_MR/12)),0)</f>
        <v>0</v>
      </c>
      <c r="T46" s="1" t="n">
        <f aca="false">IF(G46&gt;0.5,MIN(F_MortPayM,G46+G46*(F_MR/12)),0)</f>
        <v>0</v>
      </c>
      <c r="U46" s="1" t="n">
        <f aca="false">IF(H46&gt;0.5,MIN(F_MortPayM,H46+H46*(F_MR/12)),0)</f>
        <v>0</v>
      </c>
      <c r="V46" s="1" t="n">
        <f aca="false">IF(I46&gt;0.5,MIN(F_MortPayM,I46+I46*(F_MR/12)),0)</f>
        <v>0</v>
      </c>
      <c r="W46" s="1" t="n">
        <f aca="false">IF(J46&gt;0.5,MIN(F_MortPayM,J46+J46*(F_MR/12)),0)</f>
        <v>0</v>
      </c>
      <c r="X46" s="1" t="n">
        <f aca="false">IF(K46&gt;0.5,MIN(F_MortPayM,K46+K46*(F_MR/12)),0)</f>
        <v>0</v>
      </c>
      <c r="Y46" s="1" t="n">
        <f aca="false">IF(L46&gt;0.5,MIN(F_MortPayM,L46+L46*(F_MR/12)),0)</f>
        <v>0</v>
      </c>
      <c r="Z46" s="1" t="n">
        <f aca="false">IF(M46&gt;0.5,MIN(F_MortPayM,M46+M46*(F_MR/12)),0)</f>
        <v>0</v>
      </c>
      <c r="AA46" s="1" t="n">
        <f aca="false">IF(N46&gt;0.5,MIN(F_MortPayM,N46+N46*(F_MR/12)),0)</f>
        <v>0</v>
      </c>
      <c r="AB46" s="1" t="n">
        <f aca="false">MAX(0,O46)</f>
        <v>0</v>
      </c>
      <c r="AC46" s="1" t="n">
        <f aca="false">SUM(P46:AA46)</f>
        <v>0</v>
      </c>
      <c r="AD46" s="1" t="n">
        <f aca="false">'Plan cashflow'!L46</f>
        <v>0</v>
      </c>
      <c r="AE46" s="1" t="n">
        <f aca="false">IF(AD46&gt;0.5,AD46+AD46*(D_iC)-MIN(F_CardPayM,AD46+AD46*(D_iC)),AD46)</f>
        <v>0</v>
      </c>
      <c r="AF46" s="1" t="n">
        <f aca="false">IF(AE46&gt;0.5,AE46+AE46*(D_iC)-MIN(F_CardPayM,AE46+AE46*(D_iC)),AE46)</f>
        <v>0</v>
      </c>
      <c r="AG46" s="1" t="n">
        <f aca="false">IF(AF46&gt;0.5,AF46+AF46*(D_iC)-MIN(F_CardPayM,AF46+AF46*(D_iC)),AF46)</f>
        <v>0</v>
      </c>
      <c r="AH46" s="1" t="n">
        <f aca="false">IF(AG46&gt;0.5,AG46+AG46*(D_iC)-MIN(F_CardPayM,AG46+AG46*(D_iC)),AG46)</f>
        <v>0</v>
      </c>
      <c r="AI46" s="1" t="n">
        <f aca="false">IF(AH46&gt;0.5,AH46+AH46*(D_iC)-MIN(F_CardPayM,AH46+AH46*(D_iC)),AH46)</f>
        <v>0</v>
      </c>
      <c r="AJ46" s="1" t="n">
        <f aca="false">IF(AI46&gt;0.5,AI46+AI46*(D_iC)-MIN(F_CardPayM,AI46+AI46*(D_iC)),AI46)</f>
        <v>0</v>
      </c>
      <c r="AK46" s="1" t="n">
        <f aca="false">IF(AJ46&gt;0.5,AJ46+AJ46*(D_iC)-MIN(F_CardPayM,AJ46+AJ46*(D_iC)),AJ46)</f>
        <v>0</v>
      </c>
      <c r="AL46" s="1" t="n">
        <f aca="false">IF(AK46&gt;0.5,AK46+AK46*(D_iC)-MIN(F_CardPayM,AK46+AK46*(D_iC)),AK46)</f>
        <v>0</v>
      </c>
      <c r="AM46" s="1" t="n">
        <f aca="false">IF(AL46&gt;0.5,AL46+AL46*(D_iC)-MIN(F_CardPayM,AL46+AL46*(D_iC)),AL46)</f>
        <v>0</v>
      </c>
      <c r="AN46" s="1" t="n">
        <f aca="false">IF(AM46&gt;0.5,AM46+AM46*(D_iC)-MIN(F_CardPayM,AM46+AM46*(D_iC)),AM46)</f>
        <v>0</v>
      </c>
      <c r="AO46" s="1" t="n">
        <f aca="false">IF(AN46&gt;0.5,AN46+AN46*(D_iC)-MIN(F_CardPayM,AN46+AN46*(D_iC)),AN46)</f>
        <v>0</v>
      </c>
      <c r="AP46" s="1" t="n">
        <f aca="false">IF(AO46&gt;0.5,AO46+AO46*(D_iC)-MIN(F_CardPayM,AO46+AO46*(D_iC)),AO46)</f>
        <v>0</v>
      </c>
      <c r="AQ46" s="1" t="n">
        <f aca="false">IF(AD46&gt;0.5,MIN(F_CardPayM,AD46+AD46*(D_iC)),0)</f>
        <v>0</v>
      </c>
      <c r="AR46" s="1" t="n">
        <f aca="false">IF(AE46&gt;0.5,MIN(F_CardPayM,AE46+AE46*(D_iC)),0)</f>
        <v>0</v>
      </c>
      <c r="AS46" s="1" t="n">
        <f aca="false">IF(AF46&gt;0.5,MIN(F_CardPayM,AF46+AF46*(D_iC)),0)</f>
        <v>0</v>
      </c>
      <c r="AT46" s="1" t="n">
        <f aca="false">IF(AG46&gt;0.5,MIN(F_CardPayM,AG46+AG46*(D_iC)),0)</f>
        <v>0</v>
      </c>
      <c r="AU46" s="1" t="n">
        <f aca="false">IF(AH46&gt;0.5,MIN(F_CardPayM,AH46+AH46*(D_iC)),0)</f>
        <v>0</v>
      </c>
      <c r="AV46" s="1" t="n">
        <f aca="false">IF(AI46&gt;0.5,MIN(F_CardPayM,AI46+AI46*(D_iC)),0)</f>
        <v>0</v>
      </c>
      <c r="AW46" s="1" t="n">
        <f aca="false">IF(AJ46&gt;0.5,MIN(F_CardPayM,AJ46+AJ46*(D_iC)),0)</f>
        <v>0</v>
      </c>
      <c r="AX46" s="1" t="n">
        <f aca="false">IF(AK46&gt;0.5,MIN(F_CardPayM,AK46+AK46*(D_iC)),0)</f>
        <v>0</v>
      </c>
      <c r="AY46" s="1" t="n">
        <f aca="false">IF(AL46&gt;0.5,MIN(F_CardPayM,AL46+AL46*(D_iC)),0)</f>
        <v>0</v>
      </c>
      <c r="AZ46" s="1" t="n">
        <f aca="false">IF(AM46&gt;0.5,MIN(F_CardPayM,AM46+AM46*(D_iC)),0)</f>
        <v>0</v>
      </c>
      <c r="BA46" s="1" t="n">
        <f aca="false">IF(AN46&gt;0.5,MIN(F_CardPayM,AN46+AN46*(D_iC)),0)</f>
        <v>0</v>
      </c>
      <c r="BB46" s="1" t="n">
        <f aca="false">IF(AO46&gt;0.5,MIN(F_CardPayM,AO46+AO46*(D_iC)),0)</f>
        <v>0</v>
      </c>
      <c r="BC46" s="1" t="n">
        <f aca="false">MAX(0,AP46)</f>
        <v>0</v>
      </c>
      <c r="BD46" s="1" t="n">
        <f aca="false">SUM(AQ46:BB46)</f>
        <v>0</v>
      </c>
      <c r="BE46" s="1" t="n">
        <f aca="false">'Plan cashflow'!O46</f>
        <v>0</v>
      </c>
      <c r="BF46" s="1" t="n">
        <f aca="false">IF(BE46&gt;0.5,BE46+BE46*(D_iL)-MIN(F_LoanPayM,BE46+BE46*(D_iL)),BE46)</f>
        <v>0</v>
      </c>
      <c r="BG46" s="1" t="n">
        <f aca="false">IF(BF46&gt;0.5,BF46+BF46*(D_iL)-MIN(F_LoanPayM,BF46+BF46*(D_iL)),BF46)</f>
        <v>0</v>
      </c>
      <c r="BH46" s="1" t="n">
        <f aca="false">IF(BG46&gt;0.5,BG46+BG46*(D_iL)-MIN(F_LoanPayM,BG46+BG46*(D_iL)),BG46)</f>
        <v>0</v>
      </c>
      <c r="BI46" s="1" t="n">
        <f aca="false">IF(BH46&gt;0.5,BH46+BH46*(D_iL)-MIN(F_LoanPayM,BH46+BH46*(D_iL)),BH46)</f>
        <v>0</v>
      </c>
      <c r="BJ46" s="1" t="n">
        <f aca="false">IF(BI46&gt;0.5,BI46+BI46*(D_iL)-MIN(F_LoanPayM,BI46+BI46*(D_iL)),BI46)</f>
        <v>0</v>
      </c>
      <c r="BK46" s="1" t="n">
        <f aca="false">IF(BJ46&gt;0.5,BJ46+BJ46*(D_iL)-MIN(F_LoanPayM,BJ46+BJ46*(D_iL)),BJ46)</f>
        <v>0</v>
      </c>
      <c r="BL46" s="1" t="n">
        <f aca="false">IF(BK46&gt;0.5,BK46+BK46*(D_iL)-MIN(F_LoanPayM,BK46+BK46*(D_iL)),BK46)</f>
        <v>0</v>
      </c>
      <c r="BM46" s="1" t="n">
        <f aca="false">IF(BL46&gt;0.5,BL46+BL46*(D_iL)-MIN(F_LoanPayM,BL46+BL46*(D_iL)),BL46)</f>
        <v>0</v>
      </c>
      <c r="BN46" s="1" t="n">
        <f aca="false">IF(BM46&gt;0.5,BM46+BM46*(D_iL)-MIN(F_LoanPayM,BM46+BM46*(D_iL)),BM46)</f>
        <v>0</v>
      </c>
      <c r="BO46" s="1" t="n">
        <f aca="false">IF(BN46&gt;0.5,BN46+BN46*(D_iL)-MIN(F_LoanPayM,BN46+BN46*(D_iL)),BN46)</f>
        <v>0</v>
      </c>
      <c r="BP46" s="1" t="n">
        <f aca="false">IF(BO46&gt;0.5,BO46+BO46*(D_iL)-MIN(F_LoanPayM,BO46+BO46*(D_iL)),BO46)</f>
        <v>0</v>
      </c>
      <c r="BQ46" s="1" t="n">
        <f aca="false">IF(BP46&gt;0.5,BP46+BP46*(D_iL)-MIN(F_LoanPayM,BP46+BP46*(D_iL)),BP46)</f>
        <v>0</v>
      </c>
      <c r="BR46" s="1" t="n">
        <f aca="false">IF(BE46&gt;0.5,MIN(F_LoanPayM,BE46+BE46*(D_iL)),0)</f>
        <v>0</v>
      </c>
      <c r="BS46" s="1" t="n">
        <f aca="false">IF(BF46&gt;0.5,MIN(F_LoanPayM,BF46+BF46*(D_iL)),0)</f>
        <v>0</v>
      </c>
      <c r="BT46" s="1" t="n">
        <f aca="false">IF(BG46&gt;0.5,MIN(F_LoanPayM,BG46+BG46*(D_iL)),0)</f>
        <v>0</v>
      </c>
      <c r="BU46" s="1" t="n">
        <f aca="false">IF(BH46&gt;0.5,MIN(F_LoanPayM,BH46+BH46*(D_iL)),0)</f>
        <v>0</v>
      </c>
      <c r="BV46" s="1" t="n">
        <f aca="false">IF(BI46&gt;0.5,MIN(F_LoanPayM,BI46+BI46*(D_iL)),0)</f>
        <v>0</v>
      </c>
      <c r="BW46" s="1" t="n">
        <f aca="false">IF(BJ46&gt;0.5,MIN(F_LoanPayM,BJ46+BJ46*(D_iL)),0)</f>
        <v>0</v>
      </c>
      <c r="BX46" s="1" t="n">
        <f aca="false">IF(BK46&gt;0.5,MIN(F_LoanPayM,BK46+BK46*(D_iL)),0)</f>
        <v>0</v>
      </c>
      <c r="BY46" s="1" t="n">
        <f aca="false">IF(BL46&gt;0.5,MIN(F_LoanPayM,BL46+BL46*(D_iL)),0)</f>
        <v>0</v>
      </c>
      <c r="BZ46" s="1" t="n">
        <f aca="false">IF(BM46&gt;0.5,MIN(F_LoanPayM,BM46+BM46*(D_iL)),0)</f>
        <v>0</v>
      </c>
      <c r="CA46" s="1" t="n">
        <f aca="false">IF(BN46&gt;0.5,MIN(F_LoanPayM,BN46+BN46*(D_iL)),0)</f>
        <v>0</v>
      </c>
      <c r="CB46" s="1" t="n">
        <f aca="false">IF(BO46&gt;0.5,MIN(F_LoanPayM,BO46+BO46*(D_iL)),0)</f>
        <v>0</v>
      </c>
      <c r="CC46" s="1" t="n">
        <f aca="false">IF(BP46&gt;0.5,MIN(F_LoanPayM,BP46+BP46*(D_iL)),0)</f>
        <v>0</v>
      </c>
      <c r="CD46" s="1" t="n">
        <f aca="false">MAX(0,BQ46)</f>
        <v>0</v>
      </c>
      <c r="CE46" s="1" t="n">
        <f aca="false">SUM(BR46:CC46)</f>
        <v>0</v>
      </c>
      <c r="CF46" s="1" t="n">
        <f aca="false">IF(CF45&gt;1,DE45,CF45)</f>
        <v>0</v>
      </c>
      <c r="CG46" s="1" t="n">
        <f aca="false">IF(CF46&gt;0.5,CF46+CF46*(F_MR/12)-MIN(F_MortPayM,CF46+CF46*(F_MR/12)),CF46)</f>
        <v>0</v>
      </c>
      <c r="CH46" s="1" t="n">
        <f aca="false">IF(CG46&gt;0.5,CG46+CG46*(F_MR/12)-MIN(F_MortPayM,CG46+CG46*(F_MR/12)),CG46)</f>
        <v>0</v>
      </c>
      <c r="CI46" s="1" t="n">
        <f aca="false">IF(CH46&gt;0.5,CH46+CH46*(F_MR/12)-MIN(F_MortPayM,CH46+CH46*(F_MR/12)),CH46)</f>
        <v>0</v>
      </c>
      <c r="CJ46" s="1" t="n">
        <f aca="false">IF(CI46&gt;0.5,CI46+CI46*(F_MR/12)-MIN(F_MortPayM,CI46+CI46*(F_MR/12)),CI46)</f>
        <v>0</v>
      </c>
      <c r="CK46" s="1" t="n">
        <f aca="false">IF(CJ46&gt;0.5,CJ46+CJ46*(F_MR/12)-MIN(F_MortPayM,CJ46+CJ46*(F_MR/12)),CJ46)</f>
        <v>0</v>
      </c>
      <c r="CL46" s="1" t="n">
        <f aca="false">IF(CK46&gt;0.5,CK46+CK46*(F_MR/12)-MIN(F_MortPayM,CK46+CK46*(F_MR/12)),CK46)</f>
        <v>0</v>
      </c>
      <c r="CM46" s="1" t="n">
        <f aca="false">IF(CL46&gt;0.5,CL46+CL46*(F_MR/12)-MIN(F_MortPayM,CL46+CL46*(F_MR/12)),CL46)</f>
        <v>0</v>
      </c>
      <c r="CN46" s="1" t="n">
        <f aca="false">IF(CM46&gt;0.5,CM46+CM46*(F_MR/12)-MIN(F_MortPayM,CM46+CM46*(F_MR/12)),CM46)</f>
        <v>0</v>
      </c>
      <c r="CO46" s="1" t="n">
        <f aca="false">IF(CN46&gt;0.5,CN46+CN46*(F_MR/12)-MIN(F_MortPayM,CN46+CN46*(F_MR/12)),CN46)</f>
        <v>0</v>
      </c>
      <c r="CP46" s="1" t="n">
        <f aca="false">IF(CO46&gt;0.5,CO46+CO46*(F_MR/12)-MIN(F_MortPayM,CO46+CO46*(F_MR/12)),CO46)</f>
        <v>0</v>
      </c>
      <c r="CQ46" s="1" t="n">
        <f aca="false">IF(CP46&gt;0.5,CP46+CP46*(F_MR/12)-MIN(F_MortPayM,CP46+CP46*(F_MR/12)),CP46)</f>
        <v>0</v>
      </c>
      <c r="CR46" s="1" t="n">
        <f aca="false">IF(CQ46&gt;0.5,CQ46+CQ46*(F_MR/12)-MIN(F_MortPayM,CQ46+CQ46*(F_MR/12)),CQ46)</f>
        <v>0</v>
      </c>
      <c r="CS46" s="1" t="n">
        <f aca="false">IF(CF46&gt;0.5,MIN(F_MortPayM,CF46+CF46*(F_MR/12)),0)</f>
        <v>0</v>
      </c>
      <c r="CT46" s="1" t="n">
        <f aca="false">IF(CG46&gt;0.5,MIN(F_MortPayM,CG46+CG46*(F_MR/12)),0)</f>
        <v>0</v>
      </c>
      <c r="CU46" s="1" t="n">
        <f aca="false">IF(CH46&gt;0.5,MIN(F_MortPayM,CH46+CH46*(F_MR/12)),0)</f>
        <v>0</v>
      </c>
      <c r="CV46" s="1" t="n">
        <f aca="false">IF(CI46&gt;0.5,MIN(F_MortPayM,CI46+CI46*(F_MR/12)),0)</f>
        <v>0</v>
      </c>
      <c r="CW46" s="1" t="n">
        <f aca="false">IF(CJ46&gt;0.5,MIN(F_MortPayM,CJ46+CJ46*(F_MR/12)),0)</f>
        <v>0</v>
      </c>
      <c r="CX46" s="1" t="n">
        <f aca="false">IF(CK46&gt;0.5,MIN(F_MortPayM,CK46+CK46*(F_MR/12)),0)</f>
        <v>0</v>
      </c>
      <c r="CY46" s="1" t="n">
        <f aca="false">IF(CL46&gt;0.5,MIN(F_MortPayM,CL46+CL46*(F_MR/12)),0)</f>
        <v>0</v>
      </c>
      <c r="CZ46" s="1" t="n">
        <f aca="false">IF(CM46&gt;0.5,MIN(F_MortPayM,CM46+CM46*(F_MR/12)),0)</f>
        <v>0</v>
      </c>
      <c r="DA46" s="1" t="n">
        <f aca="false">IF(CN46&gt;0.5,MIN(F_MortPayM,CN46+CN46*(F_MR/12)),0)</f>
        <v>0</v>
      </c>
      <c r="DB46" s="1" t="n">
        <f aca="false">IF(CO46&gt;0.5,MIN(F_MortPayM,CO46+CO46*(F_MR/12)),0)</f>
        <v>0</v>
      </c>
      <c r="DC46" s="1" t="n">
        <f aca="false">IF(CP46&gt;0.5,MIN(F_MortPayM,CP46+CP46*(F_MR/12)),0)</f>
        <v>0</v>
      </c>
      <c r="DD46" s="1" t="n">
        <f aca="false">IF(CQ46&gt;0.5,MIN(F_MortPayM,CQ46+CQ46*(F_MR/12)),0)</f>
        <v>0</v>
      </c>
      <c r="DE46" s="1" t="n">
        <f aca="false">MAX(0,CR46)</f>
        <v>0</v>
      </c>
      <c r="DF46" s="1" t="n">
        <f aca="false">SUM(CS46:DD46)</f>
        <v>0</v>
      </c>
      <c r="DG46" s="1" t="n">
        <f aca="false">MAX(0,CF46)</f>
        <v>0</v>
      </c>
    </row>
    <row r="47" customFormat="false" ht="15" hidden="false" customHeight="false" outlineLevel="0" collapsed="false">
      <c r="B47" s="1" t="n">
        <v>39</v>
      </c>
      <c r="C47" s="1" t="n">
        <f aca="false">'Plan cashflow'!I47</f>
        <v>0</v>
      </c>
      <c r="D47" s="1" t="n">
        <f aca="false">IF(C47&gt;0.5,C47+C47*(F_MR/12)-MIN(F_MortPayM,C47+C47*(F_MR/12)),C47)</f>
        <v>0</v>
      </c>
      <c r="E47" s="1" t="n">
        <f aca="false">IF(D47&gt;0.5,D47+D47*(F_MR/12)-MIN(F_MortPayM,D47+D47*(F_MR/12)),D47)</f>
        <v>0</v>
      </c>
      <c r="F47" s="1" t="n">
        <f aca="false">IF(E47&gt;0.5,E47+E47*(F_MR/12)-MIN(F_MortPayM,E47+E47*(F_MR/12)),E47)</f>
        <v>0</v>
      </c>
      <c r="G47" s="1" t="n">
        <f aca="false">IF(F47&gt;0.5,F47+F47*(F_MR/12)-MIN(F_MortPayM,F47+F47*(F_MR/12)),F47)</f>
        <v>0</v>
      </c>
      <c r="H47" s="1" t="n">
        <f aca="false">IF(G47&gt;0.5,G47+G47*(F_MR/12)-MIN(F_MortPayM,G47+G47*(F_MR/12)),G47)</f>
        <v>0</v>
      </c>
      <c r="I47" s="1" t="n">
        <f aca="false">IF(H47&gt;0.5,H47+H47*(F_MR/12)-MIN(F_MortPayM,H47+H47*(F_MR/12)),H47)</f>
        <v>0</v>
      </c>
      <c r="J47" s="1" t="n">
        <f aca="false">IF(I47&gt;0.5,I47+I47*(F_MR/12)-MIN(F_MortPayM,I47+I47*(F_MR/12)),I47)</f>
        <v>0</v>
      </c>
      <c r="K47" s="1" t="n">
        <f aca="false">IF(J47&gt;0.5,J47+J47*(F_MR/12)-MIN(F_MortPayM,J47+J47*(F_MR/12)),J47)</f>
        <v>0</v>
      </c>
      <c r="L47" s="1" t="n">
        <f aca="false">IF(K47&gt;0.5,K47+K47*(F_MR/12)-MIN(F_MortPayM,K47+K47*(F_MR/12)),K47)</f>
        <v>0</v>
      </c>
      <c r="M47" s="1" t="n">
        <f aca="false">IF(L47&gt;0.5,L47+L47*(F_MR/12)-MIN(F_MortPayM,L47+L47*(F_MR/12)),L47)</f>
        <v>0</v>
      </c>
      <c r="N47" s="1" t="n">
        <f aca="false">IF(M47&gt;0.5,M47+M47*(F_MR/12)-MIN(F_MortPayM,M47+M47*(F_MR/12)),M47)</f>
        <v>0</v>
      </c>
      <c r="O47" s="1" t="n">
        <f aca="false">IF(N47&gt;0.5,N47+N47*(F_MR/12)-MIN(F_MortPayM,N47+N47*(F_MR/12)),N47)</f>
        <v>0</v>
      </c>
      <c r="P47" s="1" t="n">
        <f aca="false">IF(C47&gt;0.5,MIN(F_MortPayM,C47+C47*(F_MR/12)),0)</f>
        <v>0</v>
      </c>
      <c r="Q47" s="1" t="n">
        <f aca="false">IF(D47&gt;0.5,MIN(F_MortPayM,D47+D47*(F_MR/12)),0)</f>
        <v>0</v>
      </c>
      <c r="R47" s="1" t="n">
        <f aca="false">IF(E47&gt;0.5,MIN(F_MortPayM,E47+E47*(F_MR/12)),0)</f>
        <v>0</v>
      </c>
      <c r="S47" s="1" t="n">
        <f aca="false">IF(F47&gt;0.5,MIN(F_MortPayM,F47+F47*(F_MR/12)),0)</f>
        <v>0</v>
      </c>
      <c r="T47" s="1" t="n">
        <f aca="false">IF(G47&gt;0.5,MIN(F_MortPayM,G47+G47*(F_MR/12)),0)</f>
        <v>0</v>
      </c>
      <c r="U47" s="1" t="n">
        <f aca="false">IF(H47&gt;0.5,MIN(F_MortPayM,H47+H47*(F_MR/12)),0)</f>
        <v>0</v>
      </c>
      <c r="V47" s="1" t="n">
        <f aca="false">IF(I47&gt;0.5,MIN(F_MortPayM,I47+I47*(F_MR/12)),0)</f>
        <v>0</v>
      </c>
      <c r="W47" s="1" t="n">
        <f aca="false">IF(J47&gt;0.5,MIN(F_MortPayM,J47+J47*(F_MR/12)),0)</f>
        <v>0</v>
      </c>
      <c r="X47" s="1" t="n">
        <f aca="false">IF(K47&gt;0.5,MIN(F_MortPayM,K47+K47*(F_MR/12)),0)</f>
        <v>0</v>
      </c>
      <c r="Y47" s="1" t="n">
        <f aca="false">IF(L47&gt;0.5,MIN(F_MortPayM,L47+L47*(F_MR/12)),0)</f>
        <v>0</v>
      </c>
      <c r="Z47" s="1" t="n">
        <f aca="false">IF(M47&gt;0.5,MIN(F_MortPayM,M47+M47*(F_MR/12)),0)</f>
        <v>0</v>
      </c>
      <c r="AA47" s="1" t="n">
        <f aca="false">IF(N47&gt;0.5,MIN(F_MortPayM,N47+N47*(F_MR/12)),0)</f>
        <v>0</v>
      </c>
      <c r="AB47" s="1" t="n">
        <f aca="false">MAX(0,O47)</f>
        <v>0</v>
      </c>
      <c r="AC47" s="1" t="n">
        <f aca="false">SUM(P47:AA47)</f>
        <v>0</v>
      </c>
      <c r="AD47" s="1" t="n">
        <f aca="false">'Plan cashflow'!L47</f>
        <v>0</v>
      </c>
      <c r="AE47" s="1" t="n">
        <f aca="false">IF(AD47&gt;0.5,AD47+AD47*(D_iC)-MIN(F_CardPayM,AD47+AD47*(D_iC)),AD47)</f>
        <v>0</v>
      </c>
      <c r="AF47" s="1" t="n">
        <f aca="false">IF(AE47&gt;0.5,AE47+AE47*(D_iC)-MIN(F_CardPayM,AE47+AE47*(D_iC)),AE47)</f>
        <v>0</v>
      </c>
      <c r="AG47" s="1" t="n">
        <f aca="false">IF(AF47&gt;0.5,AF47+AF47*(D_iC)-MIN(F_CardPayM,AF47+AF47*(D_iC)),AF47)</f>
        <v>0</v>
      </c>
      <c r="AH47" s="1" t="n">
        <f aca="false">IF(AG47&gt;0.5,AG47+AG47*(D_iC)-MIN(F_CardPayM,AG47+AG47*(D_iC)),AG47)</f>
        <v>0</v>
      </c>
      <c r="AI47" s="1" t="n">
        <f aca="false">IF(AH47&gt;0.5,AH47+AH47*(D_iC)-MIN(F_CardPayM,AH47+AH47*(D_iC)),AH47)</f>
        <v>0</v>
      </c>
      <c r="AJ47" s="1" t="n">
        <f aca="false">IF(AI47&gt;0.5,AI47+AI47*(D_iC)-MIN(F_CardPayM,AI47+AI47*(D_iC)),AI47)</f>
        <v>0</v>
      </c>
      <c r="AK47" s="1" t="n">
        <f aca="false">IF(AJ47&gt;0.5,AJ47+AJ47*(D_iC)-MIN(F_CardPayM,AJ47+AJ47*(D_iC)),AJ47)</f>
        <v>0</v>
      </c>
      <c r="AL47" s="1" t="n">
        <f aca="false">IF(AK47&gt;0.5,AK47+AK47*(D_iC)-MIN(F_CardPayM,AK47+AK47*(D_iC)),AK47)</f>
        <v>0</v>
      </c>
      <c r="AM47" s="1" t="n">
        <f aca="false">IF(AL47&gt;0.5,AL47+AL47*(D_iC)-MIN(F_CardPayM,AL47+AL47*(D_iC)),AL47)</f>
        <v>0</v>
      </c>
      <c r="AN47" s="1" t="n">
        <f aca="false">IF(AM47&gt;0.5,AM47+AM47*(D_iC)-MIN(F_CardPayM,AM47+AM47*(D_iC)),AM47)</f>
        <v>0</v>
      </c>
      <c r="AO47" s="1" t="n">
        <f aca="false">IF(AN47&gt;0.5,AN47+AN47*(D_iC)-MIN(F_CardPayM,AN47+AN47*(D_iC)),AN47)</f>
        <v>0</v>
      </c>
      <c r="AP47" s="1" t="n">
        <f aca="false">IF(AO47&gt;0.5,AO47+AO47*(D_iC)-MIN(F_CardPayM,AO47+AO47*(D_iC)),AO47)</f>
        <v>0</v>
      </c>
      <c r="AQ47" s="1" t="n">
        <f aca="false">IF(AD47&gt;0.5,MIN(F_CardPayM,AD47+AD47*(D_iC)),0)</f>
        <v>0</v>
      </c>
      <c r="AR47" s="1" t="n">
        <f aca="false">IF(AE47&gt;0.5,MIN(F_CardPayM,AE47+AE47*(D_iC)),0)</f>
        <v>0</v>
      </c>
      <c r="AS47" s="1" t="n">
        <f aca="false">IF(AF47&gt;0.5,MIN(F_CardPayM,AF47+AF47*(D_iC)),0)</f>
        <v>0</v>
      </c>
      <c r="AT47" s="1" t="n">
        <f aca="false">IF(AG47&gt;0.5,MIN(F_CardPayM,AG47+AG47*(D_iC)),0)</f>
        <v>0</v>
      </c>
      <c r="AU47" s="1" t="n">
        <f aca="false">IF(AH47&gt;0.5,MIN(F_CardPayM,AH47+AH47*(D_iC)),0)</f>
        <v>0</v>
      </c>
      <c r="AV47" s="1" t="n">
        <f aca="false">IF(AI47&gt;0.5,MIN(F_CardPayM,AI47+AI47*(D_iC)),0)</f>
        <v>0</v>
      </c>
      <c r="AW47" s="1" t="n">
        <f aca="false">IF(AJ47&gt;0.5,MIN(F_CardPayM,AJ47+AJ47*(D_iC)),0)</f>
        <v>0</v>
      </c>
      <c r="AX47" s="1" t="n">
        <f aca="false">IF(AK47&gt;0.5,MIN(F_CardPayM,AK47+AK47*(D_iC)),0)</f>
        <v>0</v>
      </c>
      <c r="AY47" s="1" t="n">
        <f aca="false">IF(AL47&gt;0.5,MIN(F_CardPayM,AL47+AL47*(D_iC)),0)</f>
        <v>0</v>
      </c>
      <c r="AZ47" s="1" t="n">
        <f aca="false">IF(AM47&gt;0.5,MIN(F_CardPayM,AM47+AM47*(D_iC)),0)</f>
        <v>0</v>
      </c>
      <c r="BA47" s="1" t="n">
        <f aca="false">IF(AN47&gt;0.5,MIN(F_CardPayM,AN47+AN47*(D_iC)),0)</f>
        <v>0</v>
      </c>
      <c r="BB47" s="1" t="n">
        <f aca="false">IF(AO47&gt;0.5,MIN(F_CardPayM,AO47+AO47*(D_iC)),0)</f>
        <v>0</v>
      </c>
      <c r="BC47" s="1" t="n">
        <f aca="false">MAX(0,AP47)</f>
        <v>0</v>
      </c>
      <c r="BD47" s="1" t="n">
        <f aca="false">SUM(AQ47:BB47)</f>
        <v>0</v>
      </c>
      <c r="BE47" s="1" t="n">
        <f aca="false">'Plan cashflow'!O47</f>
        <v>0</v>
      </c>
      <c r="BF47" s="1" t="n">
        <f aca="false">IF(BE47&gt;0.5,BE47+BE47*(D_iL)-MIN(F_LoanPayM,BE47+BE47*(D_iL)),BE47)</f>
        <v>0</v>
      </c>
      <c r="BG47" s="1" t="n">
        <f aca="false">IF(BF47&gt;0.5,BF47+BF47*(D_iL)-MIN(F_LoanPayM,BF47+BF47*(D_iL)),BF47)</f>
        <v>0</v>
      </c>
      <c r="BH47" s="1" t="n">
        <f aca="false">IF(BG47&gt;0.5,BG47+BG47*(D_iL)-MIN(F_LoanPayM,BG47+BG47*(D_iL)),BG47)</f>
        <v>0</v>
      </c>
      <c r="BI47" s="1" t="n">
        <f aca="false">IF(BH47&gt;0.5,BH47+BH47*(D_iL)-MIN(F_LoanPayM,BH47+BH47*(D_iL)),BH47)</f>
        <v>0</v>
      </c>
      <c r="BJ47" s="1" t="n">
        <f aca="false">IF(BI47&gt;0.5,BI47+BI47*(D_iL)-MIN(F_LoanPayM,BI47+BI47*(D_iL)),BI47)</f>
        <v>0</v>
      </c>
      <c r="BK47" s="1" t="n">
        <f aca="false">IF(BJ47&gt;0.5,BJ47+BJ47*(D_iL)-MIN(F_LoanPayM,BJ47+BJ47*(D_iL)),BJ47)</f>
        <v>0</v>
      </c>
      <c r="BL47" s="1" t="n">
        <f aca="false">IF(BK47&gt;0.5,BK47+BK47*(D_iL)-MIN(F_LoanPayM,BK47+BK47*(D_iL)),BK47)</f>
        <v>0</v>
      </c>
      <c r="BM47" s="1" t="n">
        <f aca="false">IF(BL47&gt;0.5,BL47+BL47*(D_iL)-MIN(F_LoanPayM,BL47+BL47*(D_iL)),BL47)</f>
        <v>0</v>
      </c>
      <c r="BN47" s="1" t="n">
        <f aca="false">IF(BM47&gt;0.5,BM47+BM47*(D_iL)-MIN(F_LoanPayM,BM47+BM47*(D_iL)),BM47)</f>
        <v>0</v>
      </c>
      <c r="BO47" s="1" t="n">
        <f aca="false">IF(BN47&gt;0.5,BN47+BN47*(D_iL)-MIN(F_LoanPayM,BN47+BN47*(D_iL)),BN47)</f>
        <v>0</v>
      </c>
      <c r="BP47" s="1" t="n">
        <f aca="false">IF(BO47&gt;0.5,BO47+BO47*(D_iL)-MIN(F_LoanPayM,BO47+BO47*(D_iL)),BO47)</f>
        <v>0</v>
      </c>
      <c r="BQ47" s="1" t="n">
        <f aca="false">IF(BP47&gt;0.5,BP47+BP47*(D_iL)-MIN(F_LoanPayM,BP47+BP47*(D_iL)),BP47)</f>
        <v>0</v>
      </c>
      <c r="BR47" s="1" t="n">
        <f aca="false">IF(BE47&gt;0.5,MIN(F_LoanPayM,BE47+BE47*(D_iL)),0)</f>
        <v>0</v>
      </c>
      <c r="BS47" s="1" t="n">
        <f aca="false">IF(BF47&gt;0.5,MIN(F_LoanPayM,BF47+BF47*(D_iL)),0)</f>
        <v>0</v>
      </c>
      <c r="BT47" s="1" t="n">
        <f aca="false">IF(BG47&gt;0.5,MIN(F_LoanPayM,BG47+BG47*(D_iL)),0)</f>
        <v>0</v>
      </c>
      <c r="BU47" s="1" t="n">
        <f aca="false">IF(BH47&gt;0.5,MIN(F_LoanPayM,BH47+BH47*(D_iL)),0)</f>
        <v>0</v>
      </c>
      <c r="BV47" s="1" t="n">
        <f aca="false">IF(BI47&gt;0.5,MIN(F_LoanPayM,BI47+BI47*(D_iL)),0)</f>
        <v>0</v>
      </c>
      <c r="BW47" s="1" t="n">
        <f aca="false">IF(BJ47&gt;0.5,MIN(F_LoanPayM,BJ47+BJ47*(D_iL)),0)</f>
        <v>0</v>
      </c>
      <c r="BX47" s="1" t="n">
        <f aca="false">IF(BK47&gt;0.5,MIN(F_LoanPayM,BK47+BK47*(D_iL)),0)</f>
        <v>0</v>
      </c>
      <c r="BY47" s="1" t="n">
        <f aca="false">IF(BL47&gt;0.5,MIN(F_LoanPayM,BL47+BL47*(D_iL)),0)</f>
        <v>0</v>
      </c>
      <c r="BZ47" s="1" t="n">
        <f aca="false">IF(BM47&gt;0.5,MIN(F_LoanPayM,BM47+BM47*(D_iL)),0)</f>
        <v>0</v>
      </c>
      <c r="CA47" s="1" t="n">
        <f aca="false">IF(BN47&gt;0.5,MIN(F_LoanPayM,BN47+BN47*(D_iL)),0)</f>
        <v>0</v>
      </c>
      <c r="CB47" s="1" t="n">
        <f aca="false">IF(BO47&gt;0.5,MIN(F_LoanPayM,BO47+BO47*(D_iL)),0)</f>
        <v>0</v>
      </c>
      <c r="CC47" s="1" t="n">
        <f aca="false">IF(BP47&gt;0.5,MIN(F_LoanPayM,BP47+BP47*(D_iL)),0)</f>
        <v>0</v>
      </c>
      <c r="CD47" s="1" t="n">
        <f aca="false">MAX(0,BQ47)</f>
        <v>0</v>
      </c>
      <c r="CE47" s="1" t="n">
        <f aca="false">SUM(BR47:CC47)</f>
        <v>0</v>
      </c>
      <c r="CF47" s="1" t="n">
        <f aca="false">IF(CF46&gt;1,DE46,CF46)</f>
        <v>0</v>
      </c>
      <c r="CG47" s="1" t="n">
        <f aca="false">IF(CF47&gt;0.5,CF47+CF47*(F_MR/12)-MIN(F_MortPayM,CF47+CF47*(F_MR/12)),CF47)</f>
        <v>0</v>
      </c>
      <c r="CH47" s="1" t="n">
        <f aca="false">IF(CG47&gt;0.5,CG47+CG47*(F_MR/12)-MIN(F_MortPayM,CG47+CG47*(F_MR/12)),CG47)</f>
        <v>0</v>
      </c>
      <c r="CI47" s="1" t="n">
        <f aca="false">IF(CH47&gt;0.5,CH47+CH47*(F_MR/12)-MIN(F_MortPayM,CH47+CH47*(F_MR/12)),CH47)</f>
        <v>0</v>
      </c>
      <c r="CJ47" s="1" t="n">
        <f aca="false">IF(CI47&gt;0.5,CI47+CI47*(F_MR/12)-MIN(F_MortPayM,CI47+CI47*(F_MR/12)),CI47)</f>
        <v>0</v>
      </c>
      <c r="CK47" s="1" t="n">
        <f aca="false">IF(CJ47&gt;0.5,CJ47+CJ47*(F_MR/12)-MIN(F_MortPayM,CJ47+CJ47*(F_MR/12)),CJ47)</f>
        <v>0</v>
      </c>
      <c r="CL47" s="1" t="n">
        <f aca="false">IF(CK47&gt;0.5,CK47+CK47*(F_MR/12)-MIN(F_MortPayM,CK47+CK47*(F_MR/12)),CK47)</f>
        <v>0</v>
      </c>
      <c r="CM47" s="1" t="n">
        <f aca="false">IF(CL47&gt;0.5,CL47+CL47*(F_MR/12)-MIN(F_MortPayM,CL47+CL47*(F_MR/12)),CL47)</f>
        <v>0</v>
      </c>
      <c r="CN47" s="1" t="n">
        <f aca="false">IF(CM47&gt;0.5,CM47+CM47*(F_MR/12)-MIN(F_MortPayM,CM47+CM47*(F_MR/12)),CM47)</f>
        <v>0</v>
      </c>
      <c r="CO47" s="1" t="n">
        <f aca="false">IF(CN47&gt;0.5,CN47+CN47*(F_MR/12)-MIN(F_MortPayM,CN47+CN47*(F_MR/12)),CN47)</f>
        <v>0</v>
      </c>
      <c r="CP47" s="1" t="n">
        <f aca="false">IF(CO47&gt;0.5,CO47+CO47*(F_MR/12)-MIN(F_MortPayM,CO47+CO47*(F_MR/12)),CO47)</f>
        <v>0</v>
      </c>
      <c r="CQ47" s="1" t="n">
        <f aca="false">IF(CP47&gt;0.5,CP47+CP47*(F_MR/12)-MIN(F_MortPayM,CP47+CP47*(F_MR/12)),CP47)</f>
        <v>0</v>
      </c>
      <c r="CR47" s="1" t="n">
        <f aca="false">IF(CQ47&gt;0.5,CQ47+CQ47*(F_MR/12)-MIN(F_MortPayM,CQ47+CQ47*(F_MR/12)),CQ47)</f>
        <v>0</v>
      </c>
      <c r="CS47" s="1" t="n">
        <f aca="false">IF(CF47&gt;0.5,MIN(F_MortPayM,CF47+CF47*(F_MR/12)),0)</f>
        <v>0</v>
      </c>
      <c r="CT47" s="1" t="n">
        <f aca="false">IF(CG47&gt;0.5,MIN(F_MortPayM,CG47+CG47*(F_MR/12)),0)</f>
        <v>0</v>
      </c>
      <c r="CU47" s="1" t="n">
        <f aca="false">IF(CH47&gt;0.5,MIN(F_MortPayM,CH47+CH47*(F_MR/12)),0)</f>
        <v>0</v>
      </c>
      <c r="CV47" s="1" t="n">
        <f aca="false">IF(CI47&gt;0.5,MIN(F_MortPayM,CI47+CI47*(F_MR/12)),0)</f>
        <v>0</v>
      </c>
      <c r="CW47" s="1" t="n">
        <f aca="false">IF(CJ47&gt;0.5,MIN(F_MortPayM,CJ47+CJ47*(F_MR/12)),0)</f>
        <v>0</v>
      </c>
      <c r="CX47" s="1" t="n">
        <f aca="false">IF(CK47&gt;0.5,MIN(F_MortPayM,CK47+CK47*(F_MR/12)),0)</f>
        <v>0</v>
      </c>
      <c r="CY47" s="1" t="n">
        <f aca="false">IF(CL47&gt;0.5,MIN(F_MortPayM,CL47+CL47*(F_MR/12)),0)</f>
        <v>0</v>
      </c>
      <c r="CZ47" s="1" t="n">
        <f aca="false">IF(CM47&gt;0.5,MIN(F_MortPayM,CM47+CM47*(F_MR/12)),0)</f>
        <v>0</v>
      </c>
      <c r="DA47" s="1" t="n">
        <f aca="false">IF(CN47&gt;0.5,MIN(F_MortPayM,CN47+CN47*(F_MR/12)),0)</f>
        <v>0</v>
      </c>
      <c r="DB47" s="1" t="n">
        <f aca="false">IF(CO47&gt;0.5,MIN(F_MortPayM,CO47+CO47*(F_MR/12)),0)</f>
        <v>0</v>
      </c>
      <c r="DC47" s="1" t="n">
        <f aca="false">IF(CP47&gt;0.5,MIN(F_MortPayM,CP47+CP47*(F_MR/12)),0)</f>
        <v>0</v>
      </c>
      <c r="DD47" s="1" t="n">
        <f aca="false">IF(CQ47&gt;0.5,MIN(F_MortPayM,CQ47+CQ47*(F_MR/12)),0)</f>
        <v>0</v>
      </c>
      <c r="DE47" s="1" t="n">
        <f aca="false">MAX(0,CR47)</f>
        <v>0</v>
      </c>
      <c r="DF47" s="1" t="n">
        <f aca="false">SUM(CS47:DD47)</f>
        <v>0</v>
      </c>
      <c r="DG47" s="1" t="n">
        <f aca="false">MAX(0,CF47)</f>
        <v>0</v>
      </c>
    </row>
    <row r="48" customFormat="false" ht="15" hidden="false" customHeight="false" outlineLevel="0" collapsed="false">
      <c r="B48" s="1" t="n">
        <v>40</v>
      </c>
      <c r="C48" s="1" t="n">
        <f aca="false">'Plan cashflow'!I48</f>
        <v>0</v>
      </c>
      <c r="D48" s="1" t="n">
        <f aca="false">IF(C48&gt;0.5,C48+C48*(F_MR/12)-MIN(F_MortPayM,C48+C48*(F_MR/12)),C48)</f>
        <v>0</v>
      </c>
      <c r="E48" s="1" t="n">
        <f aca="false">IF(D48&gt;0.5,D48+D48*(F_MR/12)-MIN(F_MortPayM,D48+D48*(F_MR/12)),D48)</f>
        <v>0</v>
      </c>
      <c r="F48" s="1" t="n">
        <f aca="false">IF(E48&gt;0.5,E48+E48*(F_MR/12)-MIN(F_MortPayM,E48+E48*(F_MR/12)),E48)</f>
        <v>0</v>
      </c>
      <c r="G48" s="1" t="n">
        <f aca="false">IF(F48&gt;0.5,F48+F48*(F_MR/12)-MIN(F_MortPayM,F48+F48*(F_MR/12)),F48)</f>
        <v>0</v>
      </c>
      <c r="H48" s="1" t="n">
        <f aca="false">IF(G48&gt;0.5,G48+G48*(F_MR/12)-MIN(F_MortPayM,G48+G48*(F_MR/12)),G48)</f>
        <v>0</v>
      </c>
      <c r="I48" s="1" t="n">
        <f aca="false">IF(H48&gt;0.5,H48+H48*(F_MR/12)-MIN(F_MortPayM,H48+H48*(F_MR/12)),H48)</f>
        <v>0</v>
      </c>
      <c r="J48" s="1" t="n">
        <f aca="false">IF(I48&gt;0.5,I48+I48*(F_MR/12)-MIN(F_MortPayM,I48+I48*(F_MR/12)),I48)</f>
        <v>0</v>
      </c>
      <c r="K48" s="1" t="n">
        <f aca="false">IF(J48&gt;0.5,J48+J48*(F_MR/12)-MIN(F_MortPayM,J48+J48*(F_MR/12)),J48)</f>
        <v>0</v>
      </c>
      <c r="L48" s="1" t="n">
        <f aca="false">IF(K48&gt;0.5,K48+K48*(F_MR/12)-MIN(F_MortPayM,K48+K48*(F_MR/12)),K48)</f>
        <v>0</v>
      </c>
      <c r="M48" s="1" t="n">
        <f aca="false">IF(L48&gt;0.5,L48+L48*(F_MR/12)-MIN(F_MortPayM,L48+L48*(F_MR/12)),L48)</f>
        <v>0</v>
      </c>
      <c r="N48" s="1" t="n">
        <f aca="false">IF(M48&gt;0.5,M48+M48*(F_MR/12)-MIN(F_MortPayM,M48+M48*(F_MR/12)),M48)</f>
        <v>0</v>
      </c>
      <c r="O48" s="1" t="n">
        <f aca="false">IF(N48&gt;0.5,N48+N48*(F_MR/12)-MIN(F_MortPayM,N48+N48*(F_MR/12)),N48)</f>
        <v>0</v>
      </c>
      <c r="P48" s="1" t="n">
        <f aca="false">IF(C48&gt;0.5,MIN(F_MortPayM,C48+C48*(F_MR/12)),0)</f>
        <v>0</v>
      </c>
      <c r="Q48" s="1" t="n">
        <f aca="false">IF(D48&gt;0.5,MIN(F_MortPayM,D48+D48*(F_MR/12)),0)</f>
        <v>0</v>
      </c>
      <c r="R48" s="1" t="n">
        <f aca="false">IF(E48&gt;0.5,MIN(F_MortPayM,E48+E48*(F_MR/12)),0)</f>
        <v>0</v>
      </c>
      <c r="S48" s="1" t="n">
        <f aca="false">IF(F48&gt;0.5,MIN(F_MortPayM,F48+F48*(F_MR/12)),0)</f>
        <v>0</v>
      </c>
      <c r="T48" s="1" t="n">
        <f aca="false">IF(G48&gt;0.5,MIN(F_MortPayM,G48+G48*(F_MR/12)),0)</f>
        <v>0</v>
      </c>
      <c r="U48" s="1" t="n">
        <f aca="false">IF(H48&gt;0.5,MIN(F_MortPayM,H48+H48*(F_MR/12)),0)</f>
        <v>0</v>
      </c>
      <c r="V48" s="1" t="n">
        <f aca="false">IF(I48&gt;0.5,MIN(F_MortPayM,I48+I48*(F_MR/12)),0)</f>
        <v>0</v>
      </c>
      <c r="W48" s="1" t="n">
        <f aca="false">IF(J48&gt;0.5,MIN(F_MortPayM,J48+J48*(F_MR/12)),0)</f>
        <v>0</v>
      </c>
      <c r="X48" s="1" t="n">
        <f aca="false">IF(K48&gt;0.5,MIN(F_MortPayM,K48+K48*(F_MR/12)),0)</f>
        <v>0</v>
      </c>
      <c r="Y48" s="1" t="n">
        <f aca="false">IF(L48&gt;0.5,MIN(F_MortPayM,L48+L48*(F_MR/12)),0)</f>
        <v>0</v>
      </c>
      <c r="Z48" s="1" t="n">
        <f aca="false">IF(M48&gt;0.5,MIN(F_MortPayM,M48+M48*(F_MR/12)),0)</f>
        <v>0</v>
      </c>
      <c r="AA48" s="1" t="n">
        <f aca="false">IF(N48&gt;0.5,MIN(F_MortPayM,N48+N48*(F_MR/12)),0)</f>
        <v>0</v>
      </c>
      <c r="AB48" s="1" t="n">
        <f aca="false">MAX(0,O48)</f>
        <v>0</v>
      </c>
      <c r="AC48" s="1" t="n">
        <f aca="false">SUM(P48:AA48)</f>
        <v>0</v>
      </c>
      <c r="AD48" s="1" t="n">
        <f aca="false">'Plan cashflow'!L48</f>
        <v>0</v>
      </c>
      <c r="AE48" s="1" t="n">
        <f aca="false">IF(AD48&gt;0.5,AD48+AD48*(D_iC)-MIN(F_CardPayM,AD48+AD48*(D_iC)),AD48)</f>
        <v>0</v>
      </c>
      <c r="AF48" s="1" t="n">
        <f aca="false">IF(AE48&gt;0.5,AE48+AE48*(D_iC)-MIN(F_CardPayM,AE48+AE48*(D_iC)),AE48)</f>
        <v>0</v>
      </c>
      <c r="AG48" s="1" t="n">
        <f aca="false">IF(AF48&gt;0.5,AF48+AF48*(D_iC)-MIN(F_CardPayM,AF48+AF48*(D_iC)),AF48)</f>
        <v>0</v>
      </c>
      <c r="AH48" s="1" t="n">
        <f aca="false">IF(AG48&gt;0.5,AG48+AG48*(D_iC)-MIN(F_CardPayM,AG48+AG48*(D_iC)),AG48)</f>
        <v>0</v>
      </c>
      <c r="AI48" s="1" t="n">
        <f aca="false">IF(AH48&gt;0.5,AH48+AH48*(D_iC)-MIN(F_CardPayM,AH48+AH48*(D_iC)),AH48)</f>
        <v>0</v>
      </c>
      <c r="AJ48" s="1" t="n">
        <f aca="false">IF(AI48&gt;0.5,AI48+AI48*(D_iC)-MIN(F_CardPayM,AI48+AI48*(D_iC)),AI48)</f>
        <v>0</v>
      </c>
      <c r="AK48" s="1" t="n">
        <f aca="false">IF(AJ48&gt;0.5,AJ48+AJ48*(D_iC)-MIN(F_CardPayM,AJ48+AJ48*(D_iC)),AJ48)</f>
        <v>0</v>
      </c>
      <c r="AL48" s="1" t="n">
        <f aca="false">IF(AK48&gt;0.5,AK48+AK48*(D_iC)-MIN(F_CardPayM,AK48+AK48*(D_iC)),AK48)</f>
        <v>0</v>
      </c>
      <c r="AM48" s="1" t="n">
        <f aca="false">IF(AL48&gt;0.5,AL48+AL48*(D_iC)-MIN(F_CardPayM,AL48+AL48*(D_iC)),AL48)</f>
        <v>0</v>
      </c>
      <c r="AN48" s="1" t="n">
        <f aca="false">IF(AM48&gt;0.5,AM48+AM48*(D_iC)-MIN(F_CardPayM,AM48+AM48*(D_iC)),AM48)</f>
        <v>0</v>
      </c>
      <c r="AO48" s="1" t="n">
        <f aca="false">IF(AN48&gt;0.5,AN48+AN48*(D_iC)-MIN(F_CardPayM,AN48+AN48*(D_iC)),AN48)</f>
        <v>0</v>
      </c>
      <c r="AP48" s="1" t="n">
        <f aca="false">IF(AO48&gt;0.5,AO48+AO48*(D_iC)-MIN(F_CardPayM,AO48+AO48*(D_iC)),AO48)</f>
        <v>0</v>
      </c>
      <c r="AQ48" s="1" t="n">
        <f aca="false">IF(AD48&gt;0.5,MIN(F_CardPayM,AD48+AD48*(D_iC)),0)</f>
        <v>0</v>
      </c>
      <c r="AR48" s="1" t="n">
        <f aca="false">IF(AE48&gt;0.5,MIN(F_CardPayM,AE48+AE48*(D_iC)),0)</f>
        <v>0</v>
      </c>
      <c r="AS48" s="1" t="n">
        <f aca="false">IF(AF48&gt;0.5,MIN(F_CardPayM,AF48+AF48*(D_iC)),0)</f>
        <v>0</v>
      </c>
      <c r="AT48" s="1" t="n">
        <f aca="false">IF(AG48&gt;0.5,MIN(F_CardPayM,AG48+AG48*(D_iC)),0)</f>
        <v>0</v>
      </c>
      <c r="AU48" s="1" t="n">
        <f aca="false">IF(AH48&gt;0.5,MIN(F_CardPayM,AH48+AH48*(D_iC)),0)</f>
        <v>0</v>
      </c>
      <c r="AV48" s="1" t="n">
        <f aca="false">IF(AI48&gt;0.5,MIN(F_CardPayM,AI48+AI48*(D_iC)),0)</f>
        <v>0</v>
      </c>
      <c r="AW48" s="1" t="n">
        <f aca="false">IF(AJ48&gt;0.5,MIN(F_CardPayM,AJ48+AJ48*(D_iC)),0)</f>
        <v>0</v>
      </c>
      <c r="AX48" s="1" t="n">
        <f aca="false">IF(AK48&gt;0.5,MIN(F_CardPayM,AK48+AK48*(D_iC)),0)</f>
        <v>0</v>
      </c>
      <c r="AY48" s="1" t="n">
        <f aca="false">IF(AL48&gt;0.5,MIN(F_CardPayM,AL48+AL48*(D_iC)),0)</f>
        <v>0</v>
      </c>
      <c r="AZ48" s="1" t="n">
        <f aca="false">IF(AM48&gt;0.5,MIN(F_CardPayM,AM48+AM48*(D_iC)),0)</f>
        <v>0</v>
      </c>
      <c r="BA48" s="1" t="n">
        <f aca="false">IF(AN48&gt;0.5,MIN(F_CardPayM,AN48+AN48*(D_iC)),0)</f>
        <v>0</v>
      </c>
      <c r="BB48" s="1" t="n">
        <f aca="false">IF(AO48&gt;0.5,MIN(F_CardPayM,AO48+AO48*(D_iC)),0)</f>
        <v>0</v>
      </c>
      <c r="BC48" s="1" t="n">
        <f aca="false">MAX(0,AP48)</f>
        <v>0</v>
      </c>
      <c r="BD48" s="1" t="n">
        <f aca="false">SUM(AQ48:BB48)</f>
        <v>0</v>
      </c>
      <c r="BE48" s="1" t="n">
        <f aca="false">'Plan cashflow'!O48</f>
        <v>0</v>
      </c>
      <c r="BF48" s="1" t="n">
        <f aca="false">IF(BE48&gt;0.5,BE48+BE48*(D_iL)-MIN(F_LoanPayM,BE48+BE48*(D_iL)),BE48)</f>
        <v>0</v>
      </c>
      <c r="BG48" s="1" t="n">
        <f aca="false">IF(BF48&gt;0.5,BF48+BF48*(D_iL)-MIN(F_LoanPayM,BF48+BF48*(D_iL)),BF48)</f>
        <v>0</v>
      </c>
      <c r="BH48" s="1" t="n">
        <f aca="false">IF(BG48&gt;0.5,BG48+BG48*(D_iL)-MIN(F_LoanPayM,BG48+BG48*(D_iL)),BG48)</f>
        <v>0</v>
      </c>
      <c r="BI48" s="1" t="n">
        <f aca="false">IF(BH48&gt;0.5,BH48+BH48*(D_iL)-MIN(F_LoanPayM,BH48+BH48*(D_iL)),BH48)</f>
        <v>0</v>
      </c>
      <c r="BJ48" s="1" t="n">
        <f aca="false">IF(BI48&gt;0.5,BI48+BI48*(D_iL)-MIN(F_LoanPayM,BI48+BI48*(D_iL)),BI48)</f>
        <v>0</v>
      </c>
      <c r="BK48" s="1" t="n">
        <f aca="false">IF(BJ48&gt;0.5,BJ48+BJ48*(D_iL)-MIN(F_LoanPayM,BJ48+BJ48*(D_iL)),BJ48)</f>
        <v>0</v>
      </c>
      <c r="BL48" s="1" t="n">
        <f aca="false">IF(BK48&gt;0.5,BK48+BK48*(D_iL)-MIN(F_LoanPayM,BK48+BK48*(D_iL)),BK48)</f>
        <v>0</v>
      </c>
      <c r="BM48" s="1" t="n">
        <f aca="false">IF(BL48&gt;0.5,BL48+BL48*(D_iL)-MIN(F_LoanPayM,BL48+BL48*(D_iL)),BL48)</f>
        <v>0</v>
      </c>
      <c r="BN48" s="1" t="n">
        <f aca="false">IF(BM48&gt;0.5,BM48+BM48*(D_iL)-MIN(F_LoanPayM,BM48+BM48*(D_iL)),BM48)</f>
        <v>0</v>
      </c>
      <c r="BO48" s="1" t="n">
        <f aca="false">IF(BN48&gt;0.5,BN48+BN48*(D_iL)-MIN(F_LoanPayM,BN48+BN48*(D_iL)),BN48)</f>
        <v>0</v>
      </c>
      <c r="BP48" s="1" t="n">
        <f aca="false">IF(BO48&gt;0.5,BO48+BO48*(D_iL)-MIN(F_LoanPayM,BO48+BO48*(D_iL)),BO48)</f>
        <v>0</v>
      </c>
      <c r="BQ48" s="1" t="n">
        <f aca="false">IF(BP48&gt;0.5,BP48+BP48*(D_iL)-MIN(F_LoanPayM,BP48+BP48*(D_iL)),BP48)</f>
        <v>0</v>
      </c>
      <c r="BR48" s="1" t="n">
        <f aca="false">IF(BE48&gt;0.5,MIN(F_LoanPayM,BE48+BE48*(D_iL)),0)</f>
        <v>0</v>
      </c>
      <c r="BS48" s="1" t="n">
        <f aca="false">IF(BF48&gt;0.5,MIN(F_LoanPayM,BF48+BF48*(D_iL)),0)</f>
        <v>0</v>
      </c>
      <c r="BT48" s="1" t="n">
        <f aca="false">IF(BG48&gt;0.5,MIN(F_LoanPayM,BG48+BG48*(D_iL)),0)</f>
        <v>0</v>
      </c>
      <c r="BU48" s="1" t="n">
        <f aca="false">IF(BH48&gt;0.5,MIN(F_LoanPayM,BH48+BH48*(D_iL)),0)</f>
        <v>0</v>
      </c>
      <c r="BV48" s="1" t="n">
        <f aca="false">IF(BI48&gt;0.5,MIN(F_LoanPayM,BI48+BI48*(D_iL)),0)</f>
        <v>0</v>
      </c>
      <c r="BW48" s="1" t="n">
        <f aca="false">IF(BJ48&gt;0.5,MIN(F_LoanPayM,BJ48+BJ48*(D_iL)),0)</f>
        <v>0</v>
      </c>
      <c r="BX48" s="1" t="n">
        <f aca="false">IF(BK48&gt;0.5,MIN(F_LoanPayM,BK48+BK48*(D_iL)),0)</f>
        <v>0</v>
      </c>
      <c r="BY48" s="1" t="n">
        <f aca="false">IF(BL48&gt;0.5,MIN(F_LoanPayM,BL48+BL48*(D_iL)),0)</f>
        <v>0</v>
      </c>
      <c r="BZ48" s="1" t="n">
        <f aca="false">IF(BM48&gt;0.5,MIN(F_LoanPayM,BM48+BM48*(D_iL)),0)</f>
        <v>0</v>
      </c>
      <c r="CA48" s="1" t="n">
        <f aca="false">IF(BN48&gt;0.5,MIN(F_LoanPayM,BN48+BN48*(D_iL)),0)</f>
        <v>0</v>
      </c>
      <c r="CB48" s="1" t="n">
        <f aca="false">IF(BO48&gt;0.5,MIN(F_LoanPayM,BO48+BO48*(D_iL)),0)</f>
        <v>0</v>
      </c>
      <c r="CC48" s="1" t="n">
        <f aca="false">IF(BP48&gt;0.5,MIN(F_LoanPayM,BP48+BP48*(D_iL)),0)</f>
        <v>0</v>
      </c>
      <c r="CD48" s="1" t="n">
        <f aca="false">MAX(0,BQ48)</f>
        <v>0</v>
      </c>
      <c r="CE48" s="1" t="n">
        <f aca="false">SUM(BR48:CC48)</f>
        <v>0</v>
      </c>
      <c r="CF48" s="1" t="n">
        <f aca="false">IF(CF47&gt;1,DE47,CF47)</f>
        <v>0</v>
      </c>
      <c r="CG48" s="1" t="n">
        <f aca="false">IF(CF48&gt;0.5,CF48+CF48*(F_MR/12)-MIN(F_MortPayM,CF48+CF48*(F_MR/12)),CF48)</f>
        <v>0</v>
      </c>
      <c r="CH48" s="1" t="n">
        <f aca="false">IF(CG48&gt;0.5,CG48+CG48*(F_MR/12)-MIN(F_MortPayM,CG48+CG48*(F_MR/12)),CG48)</f>
        <v>0</v>
      </c>
      <c r="CI48" s="1" t="n">
        <f aca="false">IF(CH48&gt;0.5,CH48+CH48*(F_MR/12)-MIN(F_MortPayM,CH48+CH48*(F_MR/12)),CH48)</f>
        <v>0</v>
      </c>
      <c r="CJ48" s="1" t="n">
        <f aca="false">IF(CI48&gt;0.5,CI48+CI48*(F_MR/12)-MIN(F_MortPayM,CI48+CI48*(F_MR/12)),CI48)</f>
        <v>0</v>
      </c>
      <c r="CK48" s="1" t="n">
        <f aca="false">IF(CJ48&gt;0.5,CJ48+CJ48*(F_MR/12)-MIN(F_MortPayM,CJ48+CJ48*(F_MR/12)),CJ48)</f>
        <v>0</v>
      </c>
      <c r="CL48" s="1" t="n">
        <f aca="false">IF(CK48&gt;0.5,CK48+CK48*(F_MR/12)-MIN(F_MortPayM,CK48+CK48*(F_MR/12)),CK48)</f>
        <v>0</v>
      </c>
      <c r="CM48" s="1" t="n">
        <f aca="false">IF(CL48&gt;0.5,CL48+CL48*(F_MR/12)-MIN(F_MortPayM,CL48+CL48*(F_MR/12)),CL48)</f>
        <v>0</v>
      </c>
      <c r="CN48" s="1" t="n">
        <f aca="false">IF(CM48&gt;0.5,CM48+CM48*(F_MR/12)-MIN(F_MortPayM,CM48+CM48*(F_MR/12)),CM48)</f>
        <v>0</v>
      </c>
      <c r="CO48" s="1" t="n">
        <f aca="false">IF(CN48&gt;0.5,CN48+CN48*(F_MR/12)-MIN(F_MortPayM,CN48+CN48*(F_MR/12)),CN48)</f>
        <v>0</v>
      </c>
      <c r="CP48" s="1" t="n">
        <f aca="false">IF(CO48&gt;0.5,CO48+CO48*(F_MR/12)-MIN(F_MortPayM,CO48+CO48*(F_MR/12)),CO48)</f>
        <v>0</v>
      </c>
      <c r="CQ48" s="1" t="n">
        <f aca="false">IF(CP48&gt;0.5,CP48+CP48*(F_MR/12)-MIN(F_MortPayM,CP48+CP48*(F_MR/12)),CP48)</f>
        <v>0</v>
      </c>
      <c r="CR48" s="1" t="n">
        <f aca="false">IF(CQ48&gt;0.5,CQ48+CQ48*(F_MR/12)-MIN(F_MortPayM,CQ48+CQ48*(F_MR/12)),CQ48)</f>
        <v>0</v>
      </c>
      <c r="CS48" s="1" t="n">
        <f aca="false">IF(CF48&gt;0.5,MIN(F_MortPayM,CF48+CF48*(F_MR/12)),0)</f>
        <v>0</v>
      </c>
      <c r="CT48" s="1" t="n">
        <f aca="false">IF(CG48&gt;0.5,MIN(F_MortPayM,CG48+CG48*(F_MR/12)),0)</f>
        <v>0</v>
      </c>
      <c r="CU48" s="1" t="n">
        <f aca="false">IF(CH48&gt;0.5,MIN(F_MortPayM,CH48+CH48*(F_MR/12)),0)</f>
        <v>0</v>
      </c>
      <c r="CV48" s="1" t="n">
        <f aca="false">IF(CI48&gt;0.5,MIN(F_MortPayM,CI48+CI48*(F_MR/12)),0)</f>
        <v>0</v>
      </c>
      <c r="CW48" s="1" t="n">
        <f aca="false">IF(CJ48&gt;0.5,MIN(F_MortPayM,CJ48+CJ48*(F_MR/12)),0)</f>
        <v>0</v>
      </c>
      <c r="CX48" s="1" t="n">
        <f aca="false">IF(CK48&gt;0.5,MIN(F_MortPayM,CK48+CK48*(F_MR/12)),0)</f>
        <v>0</v>
      </c>
      <c r="CY48" s="1" t="n">
        <f aca="false">IF(CL48&gt;0.5,MIN(F_MortPayM,CL48+CL48*(F_MR/12)),0)</f>
        <v>0</v>
      </c>
      <c r="CZ48" s="1" t="n">
        <f aca="false">IF(CM48&gt;0.5,MIN(F_MortPayM,CM48+CM48*(F_MR/12)),0)</f>
        <v>0</v>
      </c>
      <c r="DA48" s="1" t="n">
        <f aca="false">IF(CN48&gt;0.5,MIN(F_MortPayM,CN48+CN48*(F_MR/12)),0)</f>
        <v>0</v>
      </c>
      <c r="DB48" s="1" t="n">
        <f aca="false">IF(CO48&gt;0.5,MIN(F_MortPayM,CO48+CO48*(F_MR/12)),0)</f>
        <v>0</v>
      </c>
      <c r="DC48" s="1" t="n">
        <f aca="false">IF(CP48&gt;0.5,MIN(F_MortPayM,CP48+CP48*(F_MR/12)),0)</f>
        <v>0</v>
      </c>
      <c r="DD48" s="1" t="n">
        <f aca="false">IF(CQ48&gt;0.5,MIN(F_MortPayM,CQ48+CQ48*(F_MR/12)),0)</f>
        <v>0</v>
      </c>
      <c r="DE48" s="1" t="n">
        <f aca="false">MAX(0,CR48)</f>
        <v>0</v>
      </c>
      <c r="DF48" s="1" t="n">
        <f aca="false">SUM(CS48:DD48)</f>
        <v>0</v>
      </c>
      <c r="DG48" s="1" t="n">
        <f aca="false">MAX(0,CF48)</f>
        <v>0</v>
      </c>
    </row>
    <row r="49" customFormat="false" ht="15" hidden="false" customHeight="false" outlineLevel="0" collapsed="false">
      <c r="B49" s="1" t="n">
        <v>41</v>
      </c>
      <c r="C49" s="1" t="n">
        <f aca="false">'Plan cashflow'!I49</f>
        <v>0</v>
      </c>
      <c r="D49" s="1" t="n">
        <f aca="false">IF(C49&gt;0.5,C49+C49*(F_MR/12)-MIN(F_MortPayM,C49+C49*(F_MR/12)),C49)</f>
        <v>0</v>
      </c>
      <c r="E49" s="1" t="n">
        <f aca="false">IF(D49&gt;0.5,D49+D49*(F_MR/12)-MIN(F_MortPayM,D49+D49*(F_MR/12)),D49)</f>
        <v>0</v>
      </c>
      <c r="F49" s="1" t="n">
        <f aca="false">IF(E49&gt;0.5,E49+E49*(F_MR/12)-MIN(F_MortPayM,E49+E49*(F_MR/12)),E49)</f>
        <v>0</v>
      </c>
      <c r="G49" s="1" t="n">
        <f aca="false">IF(F49&gt;0.5,F49+F49*(F_MR/12)-MIN(F_MortPayM,F49+F49*(F_MR/12)),F49)</f>
        <v>0</v>
      </c>
      <c r="H49" s="1" t="n">
        <f aca="false">IF(G49&gt;0.5,G49+G49*(F_MR/12)-MIN(F_MortPayM,G49+G49*(F_MR/12)),G49)</f>
        <v>0</v>
      </c>
      <c r="I49" s="1" t="n">
        <f aca="false">IF(H49&gt;0.5,H49+H49*(F_MR/12)-MIN(F_MortPayM,H49+H49*(F_MR/12)),H49)</f>
        <v>0</v>
      </c>
      <c r="J49" s="1" t="n">
        <f aca="false">IF(I49&gt;0.5,I49+I49*(F_MR/12)-MIN(F_MortPayM,I49+I49*(F_MR/12)),I49)</f>
        <v>0</v>
      </c>
      <c r="K49" s="1" t="n">
        <f aca="false">IF(J49&gt;0.5,J49+J49*(F_MR/12)-MIN(F_MortPayM,J49+J49*(F_MR/12)),J49)</f>
        <v>0</v>
      </c>
      <c r="L49" s="1" t="n">
        <f aca="false">IF(K49&gt;0.5,K49+K49*(F_MR/12)-MIN(F_MortPayM,K49+K49*(F_MR/12)),K49)</f>
        <v>0</v>
      </c>
      <c r="M49" s="1" t="n">
        <f aca="false">IF(L49&gt;0.5,L49+L49*(F_MR/12)-MIN(F_MortPayM,L49+L49*(F_MR/12)),L49)</f>
        <v>0</v>
      </c>
      <c r="N49" s="1" t="n">
        <f aca="false">IF(M49&gt;0.5,M49+M49*(F_MR/12)-MIN(F_MortPayM,M49+M49*(F_MR/12)),M49)</f>
        <v>0</v>
      </c>
      <c r="O49" s="1" t="n">
        <f aca="false">IF(N49&gt;0.5,N49+N49*(F_MR/12)-MIN(F_MortPayM,N49+N49*(F_MR/12)),N49)</f>
        <v>0</v>
      </c>
      <c r="P49" s="1" t="n">
        <f aca="false">IF(C49&gt;0.5,MIN(F_MortPayM,C49+C49*(F_MR/12)),0)</f>
        <v>0</v>
      </c>
      <c r="Q49" s="1" t="n">
        <f aca="false">IF(D49&gt;0.5,MIN(F_MortPayM,D49+D49*(F_MR/12)),0)</f>
        <v>0</v>
      </c>
      <c r="R49" s="1" t="n">
        <f aca="false">IF(E49&gt;0.5,MIN(F_MortPayM,E49+E49*(F_MR/12)),0)</f>
        <v>0</v>
      </c>
      <c r="S49" s="1" t="n">
        <f aca="false">IF(F49&gt;0.5,MIN(F_MortPayM,F49+F49*(F_MR/12)),0)</f>
        <v>0</v>
      </c>
      <c r="T49" s="1" t="n">
        <f aca="false">IF(G49&gt;0.5,MIN(F_MortPayM,G49+G49*(F_MR/12)),0)</f>
        <v>0</v>
      </c>
      <c r="U49" s="1" t="n">
        <f aca="false">IF(H49&gt;0.5,MIN(F_MortPayM,H49+H49*(F_MR/12)),0)</f>
        <v>0</v>
      </c>
      <c r="V49" s="1" t="n">
        <f aca="false">IF(I49&gt;0.5,MIN(F_MortPayM,I49+I49*(F_MR/12)),0)</f>
        <v>0</v>
      </c>
      <c r="W49" s="1" t="n">
        <f aca="false">IF(J49&gt;0.5,MIN(F_MortPayM,J49+J49*(F_MR/12)),0)</f>
        <v>0</v>
      </c>
      <c r="X49" s="1" t="n">
        <f aca="false">IF(K49&gt;0.5,MIN(F_MortPayM,K49+K49*(F_MR/12)),0)</f>
        <v>0</v>
      </c>
      <c r="Y49" s="1" t="n">
        <f aca="false">IF(L49&gt;0.5,MIN(F_MortPayM,L49+L49*(F_MR/12)),0)</f>
        <v>0</v>
      </c>
      <c r="Z49" s="1" t="n">
        <f aca="false">IF(M49&gt;0.5,MIN(F_MortPayM,M49+M49*(F_MR/12)),0)</f>
        <v>0</v>
      </c>
      <c r="AA49" s="1" t="n">
        <f aca="false">IF(N49&gt;0.5,MIN(F_MortPayM,N49+N49*(F_MR/12)),0)</f>
        <v>0</v>
      </c>
      <c r="AB49" s="1" t="n">
        <f aca="false">MAX(0,O49)</f>
        <v>0</v>
      </c>
      <c r="AC49" s="1" t="n">
        <f aca="false">SUM(P49:AA49)</f>
        <v>0</v>
      </c>
      <c r="AD49" s="1" t="n">
        <f aca="false">'Plan cashflow'!L49</f>
        <v>0</v>
      </c>
      <c r="AE49" s="1" t="n">
        <f aca="false">IF(AD49&gt;0.5,AD49+AD49*(D_iC)-MIN(F_CardPayM,AD49+AD49*(D_iC)),AD49)</f>
        <v>0</v>
      </c>
      <c r="AF49" s="1" t="n">
        <f aca="false">IF(AE49&gt;0.5,AE49+AE49*(D_iC)-MIN(F_CardPayM,AE49+AE49*(D_iC)),AE49)</f>
        <v>0</v>
      </c>
      <c r="AG49" s="1" t="n">
        <f aca="false">IF(AF49&gt;0.5,AF49+AF49*(D_iC)-MIN(F_CardPayM,AF49+AF49*(D_iC)),AF49)</f>
        <v>0</v>
      </c>
      <c r="AH49" s="1" t="n">
        <f aca="false">IF(AG49&gt;0.5,AG49+AG49*(D_iC)-MIN(F_CardPayM,AG49+AG49*(D_iC)),AG49)</f>
        <v>0</v>
      </c>
      <c r="AI49" s="1" t="n">
        <f aca="false">IF(AH49&gt;0.5,AH49+AH49*(D_iC)-MIN(F_CardPayM,AH49+AH49*(D_iC)),AH49)</f>
        <v>0</v>
      </c>
      <c r="AJ49" s="1" t="n">
        <f aca="false">IF(AI49&gt;0.5,AI49+AI49*(D_iC)-MIN(F_CardPayM,AI49+AI49*(D_iC)),AI49)</f>
        <v>0</v>
      </c>
      <c r="AK49" s="1" t="n">
        <f aca="false">IF(AJ49&gt;0.5,AJ49+AJ49*(D_iC)-MIN(F_CardPayM,AJ49+AJ49*(D_iC)),AJ49)</f>
        <v>0</v>
      </c>
      <c r="AL49" s="1" t="n">
        <f aca="false">IF(AK49&gt;0.5,AK49+AK49*(D_iC)-MIN(F_CardPayM,AK49+AK49*(D_iC)),AK49)</f>
        <v>0</v>
      </c>
      <c r="AM49" s="1" t="n">
        <f aca="false">IF(AL49&gt;0.5,AL49+AL49*(D_iC)-MIN(F_CardPayM,AL49+AL49*(D_iC)),AL49)</f>
        <v>0</v>
      </c>
      <c r="AN49" s="1" t="n">
        <f aca="false">IF(AM49&gt;0.5,AM49+AM49*(D_iC)-MIN(F_CardPayM,AM49+AM49*(D_iC)),AM49)</f>
        <v>0</v>
      </c>
      <c r="AO49" s="1" t="n">
        <f aca="false">IF(AN49&gt;0.5,AN49+AN49*(D_iC)-MIN(F_CardPayM,AN49+AN49*(D_iC)),AN49)</f>
        <v>0</v>
      </c>
      <c r="AP49" s="1" t="n">
        <f aca="false">IF(AO49&gt;0.5,AO49+AO49*(D_iC)-MIN(F_CardPayM,AO49+AO49*(D_iC)),AO49)</f>
        <v>0</v>
      </c>
      <c r="AQ49" s="1" t="n">
        <f aca="false">IF(AD49&gt;0.5,MIN(F_CardPayM,AD49+AD49*(D_iC)),0)</f>
        <v>0</v>
      </c>
      <c r="AR49" s="1" t="n">
        <f aca="false">IF(AE49&gt;0.5,MIN(F_CardPayM,AE49+AE49*(D_iC)),0)</f>
        <v>0</v>
      </c>
      <c r="AS49" s="1" t="n">
        <f aca="false">IF(AF49&gt;0.5,MIN(F_CardPayM,AF49+AF49*(D_iC)),0)</f>
        <v>0</v>
      </c>
      <c r="AT49" s="1" t="n">
        <f aca="false">IF(AG49&gt;0.5,MIN(F_CardPayM,AG49+AG49*(D_iC)),0)</f>
        <v>0</v>
      </c>
      <c r="AU49" s="1" t="n">
        <f aca="false">IF(AH49&gt;0.5,MIN(F_CardPayM,AH49+AH49*(D_iC)),0)</f>
        <v>0</v>
      </c>
      <c r="AV49" s="1" t="n">
        <f aca="false">IF(AI49&gt;0.5,MIN(F_CardPayM,AI49+AI49*(D_iC)),0)</f>
        <v>0</v>
      </c>
      <c r="AW49" s="1" t="n">
        <f aca="false">IF(AJ49&gt;0.5,MIN(F_CardPayM,AJ49+AJ49*(D_iC)),0)</f>
        <v>0</v>
      </c>
      <c r="AX49" s="1" t="n">
        <f aca="false">IF(AK49&gt;0.5,MIN(F_CardPayM,AK49+AK49*(D_iC)),0)</f>
        <v>0</v>
      </c>
      <c r="AY49" s="1" t="n">
        <f aca="false">IF(AL49&gt;0.5,MIN(F_CardPayM,AL49+AL49*(D_iC)),0)</f>
        <v>0</v>
      </c>
      <c r="AZ49" s="1" t="n">
        <f aca="false">IF(AM49&gt;0.5,MIN(F_CardPayM,AM49+AM49*(D_iC)),0)</f>
        <v>0</v>
      </c>
      <c r="BA49" s="1" t="n">
        <f aca="false">IF(AN49&gt;0.5,MIN(F_CardPayM,AN49+AN49*(D_iC)),0)</f>
        <v>0</v>
      </c>
      <c r="BB49" s="1" t="n">
        <f aca="false">IF(AO49&gt;0.5,MIN(F_CardPayM,AO49+AO49*(D_iC)),0)</f>
        <v>0</v>
      </c>
      <c r="BC49" s="1" t="n">
        <f aca="false">MAX(0,AP49)</f>
        <v>0</v>
      </c>
      <c r="BD49" s="1" t="n">
        <f aca="false">SUM(AQ49:BB49)</f>
        <v>0</v>
      </c>
      <c r="BE49" s="1" t="n">
        <f aca="false">'Plan cashflow'!O49</f>
        <v>0</v>
      </c>
      <c r="BF49" s="1" t="n">
        <f aca="false">IF(BE49&gt;0.5,BE49+BE49*(D_iL)-MIN(F_LoanPayM,BE49+BE49*(D_iL)),BE49)</f>
        <v>0</v>
      </c>
      <c r="BG49" s="1" t="n">
        <f aca="false">IF(BF49&gt;0.5,BF49+BF49*(D_iL)-MIN(F_LoanPayM,BF49+BF49*(D_iL)),BF49)</f>
        <v>0</v>
      </c>
      <c r="BH49" s="1" t="n">
        <f aca="false">IF(BG49&gt;0.5,BG49+BG49*(D_iL)-MIN(F_LoanPayM,BG49+BG49*(D_iL)),BG49)</f>
        <v>0</v>
      </c>
      <c r="BI49" s="1" t="n">
        <f aca="false">IF(BH49&gt;0.5,BH49+BH49*(D_iL)-MIN(F_LoanPayM,BH49+BH49*(D_iL)),BH49)</f>
        <v>0</v>
      </c>
      <c r="BJ49" s="1" t="n">
        <f aca="false">IF(BI49&gt;0.5,BI49+BI49*(D_iL)-MIN(F_LoanPayM,BI49+BI49*(D_iL)),BI49)</f>
        <v>0</v>
      </c>
      <c r="BK49" s="1" t="n">
        <f aca="false">IF(BJ49&gt;0.5,BJ49+BJ49*(D_iL)-MIN(F_LoanPayM,BJ49+BJ49*(D_iL)),BJ49)</f>
        <v>0</v>
      </c>
      <c r="BL49" s="1" t="n">
        <f aca="false">IF(BK49&gt;0.5,BK49+BK49*(D_iL)-MIN(F_LoanPayM,BK49+BK49*(D_iL)),BK49)</f>
        <v>0</v>
      </c>
      <c r="BM49" s="1" t="n">
        <f aca="false">IF(BL49&gt;0.5,BL49+BL49*(D_iL)-MIN(F_LoanPayM,BL49+BL49*(D_iL)),BL49)</f>
        <v>0</v>
      </c>
      <c r="BN49" s="1" t="n">
        <f aca="false">IF(BM49&gt;0.5,BM49+BM49*(D_iL)-MIN(F_LoanPayM,BM49+BM49*(D_iL)),BM49)</f>
        <v>0</v>
      </c>
      <c r="BO49" s="1" t="n">
        <f aca="false">IF(BN49&gt;0.5,BN49+BN49*(D_iL)-MIN(F_LoanPayM,BN49+BN49*(D_iL)),BN49)</f>
        <v>0</v>
      </c>
      <c r="BP49" s="1" t="n">
        <f aca="false">IF(BO49&gt;0.5,BO49+BO49*(D_iL)-MIN(F_LoanPayM,BO49+BO49*(D_iL)),BO49)</f>
        <v>0</v>
      </c>
      <c r="BQ49" s="1" t="n">
        <f aca="false">IF(BP49&gt;0.5,BP49+BP49*(D_iL)-MIN(F_LoanPayM,BP49+BP49*(D_iL)),BP49)</f>
        <v>0</v>
      </c>
      <c r="BR49" s="1" t="n">
        <f aca="false">IF(BE49&gt;0.5,MIN(F_LoanPayM,BE49+BE49*(D_iL)),0)</f>
        <v>0</v>
      </c>
      <c r="BS49" s="1" t="n">
        <f aca="false">IF(BF49&gt;0.5,MIN(F_LoanPayM,BF49+BF49*(D_iL)),0)</f>
        <v>0</v>
      </c>
      <c r="BT49" s="1" t="n">
        <f aca="false">IF(BG49&gt;0.5,MIN(F_LoanPayM,BG49+BG49*(D_iL)),0)</f>
        <v>0</v>
      </c>
      <c r="BU49" s="1" t="n">
        <f aca="false">IF(BH49&gt;0.5,MIN(F_LoanPayM,BH49+BH49*(D_iL)),0)</f>
        <v>0</v>
      </c>
      <c r="BV49" s="1" t="n">
        <f aca="false">IF(BI49&gt;0.5,MIN(F_LoanPayM,BI49+BI49*(D_iL)),0)</f>
        <v>0</v>
      </c>
      <c r="BW49" s="1" t="n">
        <f aca="false">IF(BJ49&gt;0.5,MIN(F_LoanPayM,BJ49+BJ49*(D_iL)),0)</f>
        <v>0</v>
      </c>
      <c r="BX49" s="1" t="n">
        <f aca="false">IF(BK49&gt;0.5,MIN(F_LoanPayM,BK49+BK49*(D_iL)),0)</f>
        <v>0</v>
      </c>
      <c r="BY49" s="1" t="n">
        <f aca="false">IF(BL49&gt;0.5,MIN(F_LoanPayM,BL49+BL49*(D_iL)),0)</f>
        <v>0</v>
      </c>
      <c r="BZ49" s="1" t="n">
        <f aca="false">IF(BM49&gt;0.5,MIN(F_LoanPayM,BM49+BM49*(D_iL)),0)</f>
        <v>0</v>
      </c>
      <c r="CA49" s="1" t="n">
        <f aca="false">IF(BN49&gt;0.5,MIN(F_LoanPayM,BN49+BN49*(D_iL)),0)</f>
        <v>0</v>
      </c>
      <c r="CB49" s="1" t="n">
        <f aca="false">IF(BO49&gt;0.5,MIN(F_LoanPayM,BO49+BO49*(D_iL)),0)</f>
        <v>0</v>
      </c>
      <c r="CC49" s="1" t="n">
        <f aca="false">IF(BP49&gt;0.5,MIN(F_LoanPayM,BP49+BP49*(D_iL)),0)</f>
        <v>0</v>
      </c>
      <c r="CD49" s="1" t="n">
        <f aca="false">MAX(0,BQ49)</f>
        <v>0</v>
      </c>
      <c r="CE49" s="1" t="n">
        <f aca="false">SUM(BR49:CC49)</f>
        <v>0</v>
      </c>
      <c r="CF49" s="1" t="n">
        <f aca="false">IF(CF48&gt;1,DE48,CF48)</f>
        <v>0</v>
      </c>
      <c r="CG49" s="1" t="n">
        <f aca="false">IF(CF49&gt;0.5,CF49+CF49*(F_MR/12)-MIN(F_MortPayM,CF49+CF49*(F_MR/12)),CF49)</f>
        <v>0</v>
      </c>
      <c r="CH49" s="1" t="n">
        <f aca="false">IF(CG49&gt;0.5,CG49+CG49*(F_MR/12)-MIN(F_MortPayM,CG49+CG49*(F_MR/12)),CG49)</f>
        <v>0</v>
      </c>
      <c r="CI49" s="1" t="n">
        <f aca="false">IF(CH49&gt;0.5,CH49+CH49*(F_MR/12)-MIN(F_MortPayM,CH49+CH49*(F_MR/12)),CH49)</f>
        <v>0</v>
      </c>
      <c r="CJ49" s="1" t="n">
        <f aca="false">IF(CI49&gt;0.5,CI49+CI49*(F_MR/12)-MIN(F_MortPayM,CI49+CI49*(F_MR/12)),CI49)</f>
        <v>0</v>
      </c>
      <c r="CK49" s="1" t="n">
        <f aca="false">IF(CJ49&gt;0.5,CJ49+CJ49*(F_MR/12)-MIN(F_MortPayM,CJ49+CJ49*(F_MR/12)),CJ49)</f>
        <v>0</v>
      </c>
      <c r="CL49" s="1" t="n">
        <f aca="false">IF(CK49&gt;0.5,CK49+CK49*(F_MR/12)-MIN(F_MortPayM,CK49+CK49*(F_MR/12)),CK49)</f>
        <v>0</v>
      </c>
      <c r="CM49" s="1" t="n">
        <f aca="false">IF(CL49&gt;0.5,CL49+CL49*(F_MR/12)-MIN(F_MortPayM,CL49+CL49*(F_MR/12)),CL49)</f>
        <v>0</v>
      </c>
      <c r="CN49" s="1" t="n">
        <f aca="false">IF(CM49&gt;0.5,CM49+CM49*(F_MR/12)-MIN(F_MortPayM,CM49+CM49*(F_MR/12)),CM49)</f>
        <v>0</v>
      </c>
      <c r="CO49" s="1" t="n">
        <f aca="false">IF(CN49&gt;0.5,CN49+CN49*(F_MR/12)-MIN(F_MortPayM,CN49+CN49*(F_MR/12)),CN49)</f>
        <v>0</v>
      </c>
      <c r="CP49" s="1" t="n">
        <f aca="false">IF(CO49&gt;0.5,CO49+CO49*(F_MR/12)-MIN(F_MortPayM,CO49+CO49*(F_MR/12)),CO49)</f>
        <v>0</v>
      </c>
      <c r="CQ49" s="1" t="n">
        <f aca="false">IF(CP49&gt;0.5,CP49+CP49*(F_MR/12)-MIN(F_MortPayM,CP49+CP49*(F_MR/12)),CP49)</f>
        <v>0</v>
      </c>
      <c r="CR49" s="1" t="n">
        <f aca="false">IF(CQ49&gt;0.5,CQ49+CQ49*(F_MR/12)-MIN(F_MortPayM,CQ49+CQ49*(F_MR/12)),CQ49)</f>
        <v>0</v>
      </c>
      <c r="CS49" s="1" t="n">
        <f aca="false">IF(CF49&gt;0.5,MIN(F_MortPayM,CF49+CF49*(F_MR/12)),0)</f>
        <v>0</v>
      </c>
      <c r="CT49" s="1" t="n">
        <f aca="false">IF(CG49&gt;0.5,MIN(F_MortPayM,CG49+CG49*(F_MR/12)),0)</f>
        <v>0</v>
      </c>
      <c r="CU49" s="1" t="n">
        <f aca="false">IF(CH49&gt;0.5,MIN(F_MortPayM,CH49+CH49*(F_MR/12)),0)</f>
        <v>0</v>
      </c>
      <c r="CV49" s="1" t="n">
        <f aca="false">IF(CI49&gt;0.5,MIN(F_MortPayM,CI49+CI49*(F_MR/12)),0)</f>
        <v>0</v>
      </c>
      <c r="CW49" s="1" t="n">
        <f aca="false">IF(CJ49&gt;0.5,MIN(F_MortPayM,CJ49+CJ49*(F_MR/12)),0)</f>
        <v>0</v>
      </c>
      <c r="CX49" s="1" t="n">
        <f aca="false">IF(CK49&gt;0.5,MIN(F_MortPayM,CK49+CK49*(F_MR/12)),0)</f>
        <v>0</v>
      </c>
      <c r="CY49" s="1" t="n">
        <f aca="false">IF(CL49&gt;0.5,MIN(F_MortPayM,CL49+CL49*(F_MR/12)),0)</f>
        <v>0</v>
      </c>
      <c r="CZ49" s="1" t="n">
        <f aca="false">IF(CM49&gt;0.5,MIN(F_MortPayM,CM49+CM49*(F_MR/12)),0)</f>
        <v>0</v>
      </c>
      <c r="DA49" s="1" t="n">
        <f aca="false">IF(CN49&gt;0.5,MIN(F_MortPayM,CN49+CN49*(F_MR/12)),0)</f>
        <v>0</v>
      </c>
      <c r="DB49" s="1" t="n">
        <f aca="false">IF(CO49&gt;0.5,MIN(F_MortPayM,CO49+CO49*(F_MR/12)),0)</f>
        <v>0</v>
      </c>
      <c r="DC49" s="1" t="n">
        <f aca="false">IF(CP49&gt;0.5,MIN(F_MortPayM,CP49+CP49*(F_MR/12)),0)</f>
        <v>0</v>
      </c>
      <c r="DD49" s="1" t="n">
        <f aca="false">IF(CQ49&gt;0.5,MIN(F_MortPayM,CQ49+CQ49*(F_MR/12)),0)</f>
        <v>0</v>
      </c>
      <c r="DE49" s="1" t="n">
        <f aca="false">MAX(0,CR49)</f>
        <v>0</v>
      </c>
      <c r="DF49" s="1" t="n">
        <f aca="false">SUM(CS49:DD49)</f>
        <v>0</v>
      </c>
      <c r="DG49" s="1" t="n">
        <f aca="false">MAX(0,CF49)</f>
        <v>0</v>
      </c>
    </row>
    <row r="50" customFormat="false" ht="15" hidden="false" customHeight="false" outlineLevel="0" collapsed="false">
      <c r="B50" s="1" t="n">
        <v>42</v>
      </c>
      <c r="C50" s="1" t="n">
        <f aca="false">'Plan cashflow'!I50</f>
        <v>0</v>
      </c>
      <c r="D50" s="1" t="n">
        <f aca="false">IF(C50&gt;0.5,C50+C50*(F_MR/12)-MIN(F_MortPayM,C50+C50*(F_MR/12)),C50)</f>
        <v>0</v>
      </c>
      <c r="E50" s="1" t="n">
        <f aca="false">IF(D50&gt;0.5,D50+D50*(F_MR/12)-MIN(F_MortPayM,D50+D50*(F_MR/12)),D50)</f>
        <v>0</v>
      </c>
      <c r="F50" s="1" t="n">
        <f aca="false">IF(E50&gt;0.5,E50+E50*(F_MR/12)-MIN(F_MortPayM,E50+E50*(F_MR/12)),E50)</f>
        <v>0</v>
      </c>
      <c r="G50" s="1" t="n">
        <f aca="false">IF(F50&gt;0.5,F50+F50*(F_MR/12)-MIN(F_MortPayM,F50+F50*(F_MR/12)),F50)</f>
        <v>0</v>
      </c>
      <c r="H50" s="1" t="n">
        <f aca="false">IF(G50&gt;0.5,G50+G50*(F_MR/12)-MIN(F_MortPayM,G50+G50*(F_MR/12)),G50)</f>
        <v>0</v>
      </c>
      <c r="I50" s="1" t="n">
        <f aca="false">IF(H50&gt;0.5,H50+H50*(F_MR/12)-MIN(F_MortPayM,H50+H50*(F_MR/12)),H50)</f>
        <v>0</v>
      </c>
      <c r="J50" s="1" t="n">
        <f aca="false">IF(I50&gt;0.5,I50+I50*(F_MR/12)-MIN(F_MortPayM,I50+I50*(F_MR/12)),I50)</f>
        <v>0</v>
      </c>
      <c r="K50" s="1" t="n">
        <f aca="false">IF(J50&gt;0.5,J50+J50*(F_MR/12)-MIN(F_MortPayM,J50+J50*(F_MR/12)),J50)</f>
        <v>0</v>
      </c>
      <c r="L50" s="1" t="n">
        <f aca="false">IF(K50&gt;0.5,K50+K50*(F_MR/12)-MIN(F_MortPayM,K50+K50*(F_MR/12)),K50)</f>
        <v>0</v>
      </c>
      <c r="M50" s="1" t="n">
        <f aca="false">IF(L50&gt;0.5,L50+L50*(F_MR/12)-MIN(F_MortPayM,L50+L50*(F_MR/12)),L50)</f>
        <v>0</v>
      </c>
      <c r="N50" s="1" t="n">
        <f aca="false">IF(M50&gt;0.5,M50+M50*(F_MR/12)-MIN(F_MortPayM,M50+M50*(F_MR/12)),M50)</f>
        <v>0</v>
      </c>
      <c r="O50" s="1" t="n">
        <f aca="false">IF(N50&gt;0.5,N50+N50*(F_MR/12)-MIN(F_MortPayM,N50+N50*(F_MR/12)),N50)</f>
        <v>0</v>
      </c>
      <c r="P50" s="1" t="n">
        <f aca="false">IF(C50&gt;0.5,MIN(F_MortPayM,C50+C50*(F_MR/12)),0)</f>
        <v>0</v>
      </c>
      <c r="Q50" s="1" t="n">
        <f aca="false">IF(D50&gt;0.5,MIN(F_MortPayM,D50+D50*(F_MR/12)),0)</f>
        <v>0</v>
      </c>
      <c r="R50" s="1" t="n">
        <f aca="false">IF(E50&gt;0.5,MIN(F_MortPayM,E50+E50*(F_MR/12)),0)</f>
        <v>0</v>
      </c>
      <c r="S50" s="1" t="n">
        <f aca="false">IF(F50&gt;0.5,MIN(F_MortPayM,F50+F50*(F_MR/12)),0)</f>
        <v>0</v>
      </c>
      <c r="T50" s="1" t="n">
        <f aca="false">IF(G50&gt;0.5,MIN(F_MortPayM,G50+G50*(F_MR/12)),0)</f>
        <v>0</v>
      </c>
      <c r="U50" s="1" t="n">
        <f aca="false">IF(H50&gt;0.5,MIN(F_MortPayM,H50+H50*(F_MR/12)),0)</f>
        <v>0</v>
      </c>
      <c r="V50" s="1" t="n">
        <f aca="false">IF(I50&gt;0.5,MIN(F_MortPayM,I50+I50*(F_MR/12)),0)</f>
        <v>0</v>
      </c>
      <c r="W50" s="1" t="n">
        <f aca="false">IF(J50&gt;0.5,MIN(F_MortPayM,J50+J50*(F_MR/12)),0)</f>
        <v>0</v>
      </c>
      <c r="X50" s="1" t="n">
        <f aca="false">IF(K50&gt;0.5,MIN(F_MortPayM,K50+K50*(F_MR/12)),0)</f>
        <v>0</v>
      </c>
      <c r="Y50" s="1" t="n">
        <f aca="false">IF(L50&gt;0.5,MIN(F_MortPayM,L50+L50*(F_MR/12)),0)</f>
        <v>0</v>
      </c>
      <c r="Z50" s="1" t="n">
        <f aca="false">IF(M50&gt;0.5,MIN(F_MortPayM,M50+M50*(F_MR/12)),0)</f>
        <v>0</v>
      </c>
      <c r="AA50" s="1" t="n">
        <f aca="false">IF(N50&gt;0.5,MIN(F_MortPayM,N50+N50*(F_MR/12)),0)</f>
        <v>0</v>
      </c>
      <c r="AB50" s="1" t="n">
        <f aca="false">MAX(0,O50)</f>
        <v>0</v>
      </c>
      <c r="AC50" s="1" t="n">
        <f aca="false">SUM(P50:AA50)</f>
        <v>0</v>
      </c>
      <c r="AD50" s="1" t="n">
        <f aca="false">'Plan cashflow'!L50</f>
        <v>0</v>
      </c>
      <c r="AE50" s="1" t="n">
        <f aca="false">IF(AD50&gt;0.5,AD50+AD50*(D_iC)-MIN(F_CardPayM,AD50+AD50*(D_iC)),AD50)</f>
        <v>0</v>
      </c>
      <c r="AF50" s="1" t="n">
        <f aca="false">IF(AE50&gt;0.5,AE50+AE50*(D_iC)-MIN(F_CardPayM,AE50+AE50*(D_iC)),AE50)</f>
        <v>0</v>
      </c>
      <c r="AG50" s="1" t="n">
        <f aca="false">IF(AF50&gt;0.5,AF50+AF50*(D_iC)-MIN(F_CardPayM,AF50+AF50*(D_iC)),AF50)</f>
        <v>0</v>
      </c>
      <c r="AH50" s="1" t="n">
        <f aca="false">IF(AG50&gt;0.5,AG50+AG50*(D_iC)-MIN(F_CardPayM,AG50+AG50*(D_iC)),AG50)</f>
        <v>0</v>
      </c>
      <c r="AI50" s="1" t="n">
        <f aca="false">IF(AH50&gt;0.5,AH50+AH50*(D_iC)-MIN(F_CardPayM,AH50+AH50*(D_iC)),AH50)</f>
        <v>0</v>
      </c>
      <c r="AJ50" s="1" t="n">
        <f aca="false">IF(AI50&gt;0.5,AI50+AI50*(D_iC)-MIN(F_CardPayM,AI50+AI50*(D_iC)),AI50)</f>
        <v>0</v>
      </c>
      <c r="AK50" s="1" t="n">
        <f aca="false">IF(AJ50&gt;0.5,AJ50+AJ50*(D_iC)-MIN(F_CardPayM,AJ50+AJ50*(D_iC)),AJ50)</f>
        <v>0</v>
      </c>
      <c r="AL50" s="1" t="n">
        <f aca="false">IF(AK50&gt;0.5,AK50+AK50*(D_iC)-MIN(F_CardPayM,AK50+AK50*(D_iC)),AK50)</f>
        <v>0</v>
      </c>
      <c r="AM50" s="1" t="n">
        <f aca="false">IF(AL50&gt;0.5,AL50+AL50*(D_iC)-MIN(F_CardPayM,AL50+AL50*(D_iC)),AL50)</f>
        <v>0</v>
      </c>
      <c r="AN50" s="1" t="n">
        <f aca="false">IF(AM50&gt;0.5,AM50+AM50*(D_iC)-MIN(F_CardPayM,AM50+AM50*(D_iC)),AM50)</f>
        <v>0</v>
      </c>
      <c r="AO50" s="1" t="n">
        <f aca="false">IF(AN50&gt;0.5,AN50+AN50*(D_iC)-MIN(F_CardPayM,AN50+AN50*(D_iC)),AN50)</f>
        <v>0</v>
      </c>
      <c r="AP50" s="1" t="n">
        <f aca="false">IF(AO50&gt;0.5,AO50+AO50*(D_iC)-MIN(F_CardPayM,AO50+AO50*(D_iC)),AO50)</f>
        <v>0</v>
      </c>
      <c r="AQ50" s="1" t="n">
        <f aca="false">IF(AD50&gt;0.5,MIN(F_CardPayM,AD50+AD50*(D_iC)),0)</f>
        <v>0</v>
      </c>
      <c r="AR50" s="1" t="n">
        <f aca="false">IF(AE50&gt;0.5,MIN(F_CardPayM,AE50+AE50*(D_iC)),0)</f>
        <v>0</v>
      </c>
      <c r="AS50" s="1" t="n">
        <f aca="false">IF(AF50&gt;0.5,MIN(F_CardPayM,AF50+AF50*(D_iC)),0)</f>
        <v>0</v>
      </c>
      <c r="AT50" s="1" t="n">
        <f aca="false">IF(AG50&gt;0.5,MIN(F_CardPayM,AG50+AG50*(D_iC)),0)</f>
        <v>0</v>
      </c>
      <c r="AU50" s="1" t="n">
        <f aca="false">IF(AH50&gt;0.5,MIN(F_CardPayM,AH50+AH50*(D_iC)),0)</f>
        <v>0</v>
      </c>
      <c r="AV50" s="1" t="n">
        <f aca="false">IF(AI50&gt;0.5,MIN(F_CardPayM,AI50+AI50*(D_iC)),0)</f>
        <v>0</v>
      </c>
      <c r="AW50" s="1" t="n">
        <f aca="false">IF(AJ50&gt;0.5,MIN(F_CardPayM,AJ50+AJ50*(D_iC)),0)</f>
        <v>0</v>
      </c>
      <c r="AX50" s="1" t="n">
        <f aca="false">IF(AK50&gt;0.5,MIN(F_CardPayM,AK50+AK50*(D_iC)),0)</f>
        <v>0</v>
      </c>
      <c r="AY50" s="1" t="n">
        <f aca="false">IF(AL50&gt;0.5,MIN(F_CardPayM,AL50+AL50*(D_iC)),0)</f>
        <v>0</v>
      </c>
      <c r="AZ50" s="1" t="n">
        <f aca="false">IF(AM50&gt;0.5,MIN(F_CardPayM,AM50+AM50*(D_iC)),0)</f>
        <v>0</v>
      </c>
      <c r="BA50" s="1" t="n">
        <f aca="false">IF(AN50&gt;0.5,MIN(F_CardPayM,AN50+AN50*(D_iC)),0)</f>
        <v>0</v>
      </c>
      <c r="BB50" s="1" t="n">
        <f aca="false">IF(AO50&gt;0.5,MIN(F_CardPayM,AO50+AO50*(D_iC)),0)</f>
        <v>0</v>
      </c>
      <c r="BC50" s="1" t="n">
        <f aca="false">MAX(0,AP50)</f>
        <v>0</v>
      </c>
      <c r="BD50" s="1" t="n">
        <f aca="false">SUM(AQ50:BB50)</f>
        <v>0</v>
      </c>
      <c r="BE50" s="1" t="n">
        <f aca="false">'Plan cashflow'!O50</f>
        <v>0</v>
      </c>
      <c r="BF50" s="1" t="n">
        <f aca="false">IF(BE50&gt;0.5,BE50+BE50*(D_iL)-MIN(F_LoanPayM,BE50+BE50*(D_iL)),BE50)</f>
        <v>0</v>
      </c>
      <c r="BG50" s="1" t="n">
        <f aca="false">IF(BF50&gt;0.5,BF50+BF50*(D_iL)-MIN(F_LoanPayM,BF50+BF50*(D_iL)),BF50)</f>
        <v>0</v>
      </c>
      <c r="BH50" s="1" t="n">
        <f aca="false">IF(BG50&gt;0.5,BG50+BG50*(D_iL)-MIN(F_LoanPayM,BG50+BG50*(D_iL)),BG50)</f>
        <v>0</v>
      </c>
      <c r="BI50" s="1" t="n">
        <f aca="false">IF(BH50&gt;0.5,BH50+BH50*(D_iL)-MIN(F_LoanPayM,BH50+BH50*(D_iL)),BH50)</f>
        <v>0</v>
      </c>
      <c r="BJ50" s="1" t="n">
        <f aca="false">IF(BI50&gt;0.5,BI50+BI50*(D_iL)-MIN(F_LoanPayM,BI50+BI50*(D_iL)),BI50)</f>
        <v>0</v>
      </c>
      <c r="BK50" s="1" t="n">
        <f aca="false">IF(BJ50&gt;0.5,BJ50+BJ50*(D_iL)-MIN(F_LoanPayM,BJ50+BJ50*(D_iL)),BJ50)</f>
        <v>0</v>
      </c>
      <c r="BL50" s="1" t="n">
        <f aca="false">IF(BK50&gt;0.5,BK50+BK50*(D_iL)-MIN(F_LoanPayM,BK50+BK50*(D_iL)),BK50)</f>
        <v>0</v>
      </c>
      <c r="BM50" s="1" t="n">
        <f aca="false">IF(BL50&gt;0.5,BL50+BL50*(D_iL)-MIN(F_LoanPayM,BL50+BL50*(D_iL)),BL50)</f>
        <v>0</v>
      </c>
      <c r="BN50" s="1" t="n">
        <f aca="false">IF(BM50&gt;0.5,BM50+BM50*(D_iL)-MIN(F_LoanPayM,BM50+BM50*(D_iL)),BM50)</f>
        <v>0</v>
      </c>
      <c r="BO50" s="1" t="n">
        <f aca="false">IF(BN50&gt;0.5,BN50+BN50*(D_iL)-MIN(F_LoanPayM,BN50+BN50*(D_iL)),BN50)</f>
        <v>0</v>
      </c>
      <c r="BP50" s="1" t="n">
        <f aca="false">IF(BO50&gt;0.5,BO50+BO50*(D_iL)-MIN(F_LoanPayM,BO50+BO50*(D_iL)),BO50)</f>
        <v>0</v>
      </c>
      <c r="BQ50" s="1" t="n">
        <f aca="false">IF(BP50&gt;0.5,BP50+BP50*(D_iL)-MIN(F_LoanPayM,BP50+BP50*(D_iL)),BP50)</f>
        <v>0</v>
      </c>
      <c r="BR50" s="1" t="n">
        <f aca="false">IF(BE50&gt;0.5,MIN(F_LoanPayM,BE50+BE50*(D_iL)),0)</f>
        <v>0</v>
      </c>
      <c r="BS50" s="1" t="n">
        <f aca="false">IF(BF50&gt;0.5,MIN(F_LoanPayM,BF50+BF50*(D_iL)),0)</f>
        <v>0</v>
      </c>
      <c r="BT50" s="1" t="n">
        <f aca="false">IF(BG50&gt;0.5,MIN(F_LoanPayM,BG50+BG50*(D_iL)),0)</f>
        <v>0</v>
      </c>
      <c r="BU50" s="1" t="n">
        <f aca="false">IF(BH50&gt;0.5,MIN(F_LoanPayM,BH50+BH50*(D_iL)),0)</f>
        <v>0</v>
      </c>
      <c r="BV50" s="1" t="n">
        <f aca="false">IF(BI50&gt;0.5,MIN(F_LoanPayM,BI50+BI50*(D_iL)),0)</f>
        <v>0</v>
      </c>
      <c r="BW50" s="1" t="n">
        <f aca="false">IF(BJ50&gt;0.5,MIN(F_LoanPayM,BJ50+BJ50*(D_iL)),0)</f>
        <v>0</v>
      </c>
      <c r="BX50" s="1" t="n">
        <f aca="false">IF(BK50&gt;0.5,MIN(F_LoanPayM,BK50+BK50*(D_iL)),0)</f>
        <v>0</v>
      </c>
      <c r="BY50" s="1" t="n">
        <f aca="false">IF(BL50&gt;0.5,MIN(F_LoanPayM,BL50+BL50*(D_iL)),0)</f>
        <v>0</v>
      </c>
      <c r="BZ50" s="1" t="n">
        <f aca="false">IF(BM50&gt;0.5,MIN(F_LoanPayM,BM50+BM50*(D_iL)),0)</f>
        <v>0</v>
      </c>
      <c r="CA50" s="1" t="n">
        <f aca="false">IF(BN50&gt;0.5,MIN(F_LoanPayM,BN50+BN50*(D_iL)),0)</f>
        <v>0</v>
      </c>
      <c r="CB50" s="1" t="n">
        <f aca="false">IF(BO50&gt;0.5,MIN(F_LoanPayM,BO50+BO50*(D_iL)),0)</f>
        <v>0</v>
      </c>
      <c r="CC50" s="1" t="n">
        <f aca="false">IF(BP50&gt;0.5,MIN(F_LoanPayM,BP50+BP50*(D_iL)),0)</f>
        <v>0</v>
      </c>
      <c r="CD50" s="1" t="n">
        <f aca="false">MAX(0,BQ50)</f>
        <v>0</v>
      </c>
      <c r="CE50" s="1" t="n">
        <f aca="false">SUM(BR50:CC50)</f>
        <v>0</v>
      </c>
      <c r="CF50" s="1" t="n">
        <f aca="false">IF(CF49&gt;1,DE49,CF49)</f>
        <v>0</v>
      </c>
      <c r="CG50" s="1" t="n">
        <f aca="false">IF(CF50&gt;0.5,CF50+CF50*(F_MR/12)-MIN(F_MortPayM,CF50+CF50*(F_MR/12)),CF50)</f>
        <v>0</v>
      </c>
      <c r="CH50" s="1" t="n">
        <f aca="false">IF(CG50&gt;0.5,CG50+CG50*(F_MR/12)-MIN(F_MortPayM,CG50+CG50*(F_MR/12)),CG50)</f>
        <v>0</v>
      </c>
      <c r="CI50" s="1" t="n">
        <f aca="false">IF(CH50&gt;0.5,CH50+CH50*(F_MR/12)-MIN(F_MortPayM,CH50+CH50*(F_MR/12)),CH50)</f>
        <v>0</v>
      </c>
      <c r="CJ50" s="1" t="n">
        <f aca="false">IF(CI50&gt;0.5,CI50+CI50*(F_MR/12)-MIN(F_MortPayM,CI50+CI50*(F_MR/12)),CI50)</f>
        <v>0</v>
      </c>
      <c r="CK50" s="1" t="n">
        <f aca="false">IF(CJ50&gt;0.5,CJ50+CJ50*(F_MR/12)-MIN(F_MortPayM,CJ50+CJ50*(F_MR/12)),CJ50)</f>
        <v>0</v>
      </c>
      <c r="CL50" s="1" t="n">
        <f aca="false">IF(CK50&gt;0.5,CK50+CK50*(F_MR/12)-MIN(F_MortPayM,CK50+CK50*(F_MR/12)),CK50)</f>
        <v>0</v>
      </c>
      <c r="CM50" s="1" t="n">
        <f aca="false">IF(CL50&gt;0.5,CL50+CL50*(F_MR/12)-MIN(F_MortPayM,CL50+CL50*(F_MR/12)),CL50)</f>
        <v>0</v>
      </c>
      <c r="CN50" s="1" t="n">
        <f aca="false">IF(CM50&gt;0.5,CM50+CM50*(F_MR/12)-MIN(F_MortPayM,CM50+CM50*(F_MR/12)),CM50)</f>
        <v>0</v>
      </c>
      <c r="CO50" s="1" t="n">
        <f aca="false">IF(CN50&gt;0.5,CN50+CN50*(F_MR/12)-MIN(F_MortPayM,CN50+CN50*(F_MR/12)),CN50)</f>
        <v>0</v>
      </c>
      <c r="CP50" s="1" t="n">
        <f aca="false">IF(CO50&gt;0.5,CO50+CO50*(F_MR/12)-MIN(F_MortPayM,CO50+CO50*(F_MR/12)),CO50)</f>
        <v>0</v>
      </c>
      <c r="CQ50" s="1" t="n">
        <f aca="false">IF(CP50&gt;0.5,CP50+CP50*(F_MR/12)-MIN(F_MortPayM,CP50+CP50*(F_MR/12)),CP50)</f>
        <v>0</v>
      </c>
      <c r="CR50" s="1" t="n">
        <f aca="false">IF(CQ50&gt;0.5,CQ50+CQ50*(F_MR/12)-MIN(F_MortPayM,CQ50+CQ50*(F_MR/12)),CQ50)</f>
        <v>0</v>
      </c>
      <c r="CS50" s="1" t="n">
        <f aca="false">IF(CF50&gt;0.5,MIN(F_MortPayM,CF50+CF50*(F_MR/12)),0)</f>
        <v>0</v>
      </c>
      <c r="CT50" s="1" t="n">
        <f aca="false">IF(CG50&gt;0.5,MIN(F_MortPayM,CG50+CG50*(F_MR/12)),0)</f>
        <v>0</v>
      </c>
      <c r="CU50" s="1" t="n">
        <f aca="false">IF(CH50&gt;0.5,MIN(F_MortPayM,CH50+CH50*(F_MR/12)),0)</f>
        <v>0</v>
      </c>
      <c r="CV50" s="1" t="n">
        <f aca="false">IF(CI50&gt;0.5,MIN(F_MortPayM,CI50+CI50*(F_MR/12)),0)</f>
        <v>0</v>
      </c>
      <c r="CW50" s="1" t="n">
        <f aca="false">IF(CJ50&gt;0.5,MIN(F_MortPayM,CJ50+CJ50*(F_MR/12)),0)</f>
        <v>0</v>
      </c>
      <c r="CX50" s="1" t="n">
        <f aca="false">IF(CK50&gt;0.5,MIN(F_MortPayM,CK50+CK50*(F_MR/12)),0)</f>
        <v>0</v>
      </c>
      <c r="CY50" s="1" t="n">
        <f aca="false">IF(CL50&gt;0.5,MIN(F_MortPayM,CL50+CL50*(F_MR/12)),0)</f>
        <v>0</v>
      </c>
      <c r="CZ50" s="1" t="n">
        <f aca="false">IF(CM50&gt;0.5,MIN(F_MortPayM,CM50+CM50*(F_MR/12)),0)</f>
        <v>0</v>
      </c>
      <c r="DA50" s="1" t="n">
        <f aca="false">IF(CN50&gt;0.5,MIN(F_MortPayM,CN50+CN50*(F_MR/12)),0)</f>
        <v>0</v>
      </c>
      <c r="DB50" s="1" t="n">
        <f aca="false">IF(CO50&gt;0.5,MIN(F_MortPayM,CO50+CO50*(F_MR/12)),0)</f>
        <v>0</v>
      </c>
      <c r="DC50" s="1" t="n">
        <f aca="false">IF(CP50&gt;0.5,MIN(F_MortPayM,CP50+CP50*(F_MR/12)),0)</f>
        <v>0</v>
      </c>
      <c r="DD50" s="1" t="n">
        <f aca="false">IF(CQ50&gt;0.5,MIN(F_MortPayM,CQ50+CQ50*(F_MR/12)),0)</f>
        <v>0</v>
      </c>
      <c r="DE50" s="1" t="n">
        <f aca="false">MAX(0,CR50)</f>
        <v>0</v>
      </c>
      <c r="DF50" s="1" t="n">
        <f aca="false">SUM(CS50:DD50)</f>
        <v>0</v>
      </c>
      <c r="DG50" s="1" t="n">
        <f aca="false">MAX(0,CF50)</f>
        <v>0</v>
      </c>
    </row>
    <row r="51" customFormat="false" ht="15" hidden="false" customHeight="false" outlineLevel="0" collapsed="false">
      <c r="B51" s="1" t="n">
        <v>43</v>
      </c>
      <c r="C51" s="1" t="n">
        <f aca="false">'Plan cashflow'!I51</f>
        <v>0</v>
      </c>
      <c r="D51" s="1" t="n">
        <f aca="false">IF(C51&gt;0.5,C51+C51*(F_MR/12)-MIN(F_MortPayM,C51+C51*(F_MR/12)),C51)</f>
        <v>0</v>
      </c>
      <c r="E51" s="1" t="n">
        <f aca="false">IF(D51&gt;0.5,D51+D51*(F_MR/12)-MIN(F_MortPayM,D51+D51*(F_MR/12)),D51)</f>
        <v>0</v>
      </c>
      <c r="F51" s="1" t="n">
        <f aca="false">IF(E51&gt;0.5,E51+E51*(F_MR/12)-MIN(F_MortPayM,E51+E51*(F_MR/12)),E51)</f>
        <v>0</v>
      </c>
      <c r="G51" s="1" t="n">
        <f aca="false">IF(F51&gt;0.5,F51+F51*(F_MR/12)-MIN(F_MortPayM,F51+F51*(F_MR/12)),F51)</f>
        <v>0</v>
      </c>
      <c r="H51" s="1" t="n">
        <f aca="false">IF(G51&gt;0.5,G51+G51*(F_MR/12)-MIN(F_MortPayM,G51+G51*(F_MR/12)),G51)</f>
        <v>0</v>
      </c>
      <c r="I51" s="1" t="n">
        <f aca="false">IF(H51&gt;0.5,H51+H51*(F_MR/12)-MIN(F_MortPayM,H51+H51*(F_MR/12)),H51)</f>
        <v>0</v>
      </c>
      <c r="J51" s="1" t="n">
        <f aca="false">IF(I51&gt;0.5,I51+I51*(F_MR/12)-MIN(F_MortPayM,I51+I51*(F_MR/12)),I51)</f>
        <v>0</v>
      </c>
      <c r="K51" s="1" t="n">
        <f aca="false">IF(J51&gt;0.5,J51+J51*(F_MR/12)-MIN(F_MortPayM,J51+J51*(F_MR/12)),J51)</f>
        <v>0</v>
      </c>
      <c r="L51" s="1" t="n">
        <f aca="false">IF(K51&gt;0.5,K51+K51*(F_MR/12)-MIN(F_MortPayM,K51+K51*(F_MR/12)),K51)</f>
        <v>0</v>
      </c>
      <c r="M51" s="1" t="n">
        <f aca="false">IF(L51&gt;0.5,L51+L51*(F_MR/12)-MIN(F_MortPayM,L51+L51*(F_MR/12)),L51)</f>
        <v>0</v>
      </c>
      <c r="N51" s="1" t="n">
        <f aca="false">IF(M51&gt;0.5,M51+M51*(F_MR/12)-MIN(F_MortPayM,M51+M51*(F_MR/12)),M51)</f>
        <v>0</v>
      </c>
      <c r="O51" s="1" t="n">
        <f aca="false">IF(N51&gt;0.5,N51+N51*(F_MR/12)-MIN(F_MortPayM,N51+N51*(F_MR/12)),N51)</f>
        <v>0</v>
      </c>
      <c r="P51" s="1" t="n">
        <f aca="false">IF(C51&gt;0.5,MIN(F_MortPayM,C51+C51*(F_MR/12)),0)</f>
        <v>0</v>
      </c>
      <c r="Q51" s="1" t="n">
        <f aca="false">IF(D51&gt;0.5,MIN(F_MortPayM,D51+D51*(F_MR/12)),0)</f>
        <v>0</v>
      </c>
      <c r="R51" s="1" t="n">
        <f aca="false">IF(E51&gt;0.5,MIN(F_MortPayM,E51+E51*(F_MR/12)),0)</f>
        <v>0</v>
      </c>
      <c r="S51" s="1" t="n">
        <f aca="false">IF(F51&gt;0.5,MIN(F_MortPayM,F51+F51*(F_MR/12)),0)</f>
        <v>0</v>
      </c>
      <c r="T51" s="1" t="n">
        <f aca="false">IF(G51&gt;0.5,MIN(F_MortPayM,G51+G51*(F_MR/12)),0)</f>
        <v>0</v>
      </c>
      <c r="U51" s="1" t="n">
        <f aca="false">IF(H51&gt;0.5,MIN(F_MortPayM,H51+H51*(F_MR/12)),0)</f>
        <v>0</v>
      </c>
      <c r="V51" s="1" t="n">
        <f aca="false">IF(I51&gt;0.5,MIN(F_MortPayM,I51+I51*(F_MR/12)),0)</f>
        <v>0</v>
      </c>
      <c r="W51" s="1" t="n">
        <f aca="false">IF(J51&gt;0.5,MIN(F_MortPayM,J51+J51*(F_MR/12)),0)</f>
        <v>0</v>
      </c>
      <c r="X51" s="1" t="n">
        <f aca="false">IF(K51&gt;0.5,MIN(F_MortPayM,K51+K51*(F_MR/12)),0)</f>
        <v>0</v>
      </c>
      <c r="Y51" s="1" t="n">
        <f aca="false">IF(L51&gt;0.5,MIN(F_MortPayM,L51+L51*(F_MR/12)),0)</f>
        <v>0</v>
      </c>
      <c r="Z51" s="1" t="n">
        <f aca="false">IF(M51&gt;0.5,MIN(F_MortPayM,M51+M51*(F_MR/12)),0)</f>
        <v>0</v>
      </c>
      <c r="AA51" s="1" t="n">
        <f aca="false">IF(N51&gt;0.5,MIN(F_MortPayM,N51+N51*(F_MR/12)),0)</f>
        <v>0</v>
      </c>
      <c r="AB51" s="1" t="n">
        <f aca="false">MAX(0,O51)</f>
        <v>0</v>
      </c>
      <c r="AC51" s="1" t="n">
        <f aca="false">SUM(P51:AA51)</f>
        <v>0</v>
      </c>
      <c r="AD51" s="1" t="n">
        <f aca="false">'Plan cashflow'!L51</f>
        <v>0</v>
      </c>
      <c r="AE51" s="1" t="n">
        <f aca="false">IF(AD51&gt;0.5,AD51+AD51*(D_iC)-MIN(F_CardPayM,AD51+AD51*(D_iC)),AD51)</f>
        <v>0</v>
      </c>
      <c r="AF51" s="1" t="n">
        <f aca="false">IF(AE51&gt;0.5,AE51+AE51*(D_iC)-MIN(F_CardPayM,AE51+AE51*(D_iC)),AE51)</f>
        <v>0</v>
      </c>
      <c r="AG51" s="1" t="n">
        <f aca="false">IF(AF51&gt;0.5,AF51+AF51*(D_iC)-MIN(F_CardPayM,AF51+AF51*(D_iC)),AF51)</f>
        <v>0</v>
      </c>
      <c r="AH51" s="1" t="n">
        <f aca="false">IF(AG51&gt;0.5,AG51+AG51*(D_iC)-MIN(F_CardPayM,AG51+AG51*(D_iC)),AG51)</f>
        <v>0</v>
      </c>
      <c r="AI51" s="1" t="n">
        <f aca="false">IF(AH51&gt;0.5,AH51+AH51*(D_iC)-MIN(F_CardPayM,AH51+AH51*(D_iC)),AH51)</f>
        <v>0</v>
      </c>
      <c r="AJ51" s="1" t="n">
        <f aca="false">IF(AI51&gt;0.5,AI51+AI51*(D_iC)-MIN(F_CardPayM,AI51+AI51*(D_iC)),AI51)</f>
        <v>0</v>
      </c>
      <c r="AK51" s="1" t="n">
        <f aca="false">IF(AJ51&gt;0.5,AJ51+AJ51*(D_iC)-MIN(F_CardPayM,AJ51+AJ51*(D_iC)),AJ51)</f>
        <v>0</v>
      </c>
      <c r="AL51" s="1" t="n">
        <f aca="false">IF(AK51&gt;0.5,AK51+AK51*(D_iC)-MIN(F_CardPayM,AK51+AK51*(D_iC)),AK51)</f>
        <v>0</v>
      </c>
      <c r="AM51" s="1" t="n">
        <f aca="false">IF(AL51&gt;0.5,AL51+AL51*(D_iC)-MIN(F_CardPayM,AL51+AL51*(D_iC)),AL51)</f>
        <v>0</v>
      </c>
      <c r="AN51" s="1" t="n">
        <f aca="false">IF(AM51&gt;0.5,AM51+AM51*(D_iC)-MIN(F_CardPayM,AM51+AM51*(D_iC)),AM51)</f>
        <v>0</v>
      </c>
      <c r="AO51" s="1" t="n">
        <f aca="false">IF(AN51&gt;0.5,AN51+AN51*(D_iC)-MIN(F_CardPayM,AN51+AN51*(D_iC)),AN51)</f>
        <v>0</v>
      </c>
      <c r="AP51" s="1" t="n">
        <f aca="false">IF(AO51&gt;0.5,AO51+AO51*(D_iC)-MIN(F_CardPayM,AO51+AO51*(D_iC)),AO51)</f>
        <v>0</v>
      </c>
      <c r="AQ51" s="1" t="n">
        <f aca="false">IF(AD51&gt;0.5,MIN(F_CardPayM,AD51+AD51*(D_iC)),0)</f>
        <v>0</v>
      </c>
      <c r="AR51" s="1" t="n">
        <f aca="false">IF(AE51&gt;0.5,MIN(F_CardPayM,AE51+AE51*(D_iC)),0)</f>
        <v>0</v>
      </c>
      <c r="AS51" s="1" t="n">
        <f aca="false">IF(AF51&gt;0.5,MIN(F_CardPayM,AF51+AF51*(D_iC)),0)</f>
        <v>0</v>
      </c>
      <c r="AT51" s="1" t="n">
        <f aca="false">IF(AG51&gt;0.5,MIN(F_CardPayM,AG51+AG51*(D_iC)),0)</f>
        <v>0</v>
      </c>
      <c r="AU51" s="1" t="n">
        <f aca="false">IF(AH51&gt;0.5,MIN(F_CardPayM,AH51+AH51*(D_iC)),0)</f>
        <v>0</v>
      </c>
      <c r="AV51" s="1" t="n">
        <f aca="false">IF(AI51&gt;0.5,MIN(F_CardPayM,AI51+AI51*(D_iC)),0)</f>
        <v>0</v>
      </c>
      <c r="AW51" s="1" t="n">
        <f aca="false">IF(AJ51&gt;0.5,MIN(F_CardPayM,AJ51+AJ51*(D_iC)),0)</f>
        <v>0</v>
      </c>
      <c r="AX51" s="1" t="n">
        <f aca="false">IF(AK51&gt;0.5,MIN(F_CardPayM,AK51+AK51*(D_iC)),0)</f>
        <v>0</v>
      </c>
      <c r="AY51" s="1" t="n">
        <f aca="false">IF(AL51&gt;0.5,MIN(F_CardPayM,AL51+AL51*(D_iC)),0)</f>
        <v>0</v>
      </c>
      <c r="AZ51" s="1" t="n">
        <f aca="false">IF(AM51&gt;0.5,MIN(F_CardPayM,AM51+AM51*(D_iC)),0)</f>
        <v>0</v>
      </c>
      <c r="BA51" s="1" t="n">
        <f aca="false">IF(AN51&gt;0.5,MIN(F_CardPayM,AN51+AN51*(D_iC)),0)</f>
        <v>0</v>
      </c>
      <c r="BB51" s="1" t="n">
        <f aca="false">IF(AO51&gt;0.5,MIN(F_CardPayM,AO51+AO51*(D_iC)),0)</f>
        <v>0</v>
      </c>
      <c r="BC51" s="1" t="n">
        <f aca="false">MAX(0,AP51)</f>
        <v>0</v>
      </c>
      <c r="BD51" s="1" t="n">
        <f aca="false">SUM(AQ51:BB51)</f>
        <v>0</v>
      </c>
      <c r="BE51" s="1" t="n">
        <f aca="false">'Plan cashflow'!O51</f>
        <v>0</v>
      </c>
      <c r="BF51" s="1" t="n">
        <f aca="false">IF(BE51&gt;0.5,BE51+BE51*(D_iL)-MIN(F_LoanPayM,BE51+BE51*(D_iL)),BE51)</f>
        <v>0</v>
      </c>
      <c r="BG51" s="1" t="n">
        <f aca="false">IF(BF51&gt;0.5,BF51+BF51*(D_iL)-MIN(F_LoanPayM,BF51+BF51*(D_iL)),BF51)</f>
        <v>0</v>
      </c>
      <c r="BH51" s="1" t="n">
        <f aca="false">IF(BG51&gt;0.5,BG51+BG51*(D_iL)-MIN(F_LoanPayM,BG51+BG51*(D_iL)),BG51)</f>
        <v>0</v>
      </c>
      <c r="BI51" s="1" t="n">
        <f aca="false">IF(BH51&gt;0.5,BH51+BH51*(D_iL)-MIN(F_LoanPayM,BH51+BH51*(D_iL)),BH51)</f>
        <v>0</v>
      </c>
      <c r="BJ51" s="1" t="n">
        <f aca="false">IF(BI51&gt;0.5,BI51+BI51*(D_iL)-MIN(F_LoanPayM,BI51+BI51*(D_iL)),BI51)</f>
        <v>0</v>
      </c>
      <c r="BK51" s="1" t="n">
        <f aca="false">IF(BJ51&gt;0.5,BJ51+BJ51*(D_iL)-MIN(F_LoanPayM,BJ51+BJ51*(D_iL)),BJ51)</f>
        <v>0</v>
      </c>
      <c r="BL51" s="1" t="n">
        <f aca="false">IF(BK51&gt;0.5,BK51+BK51*(D_iL)-MIN(F_LoanPayM,BK51+BK51*(D_iL)),BK51)</f>
        <v>0</v>
      </c>
      <c r="BM51" s="1" t="n">
        <f aca="false">IF(BL51&gt;0.5,BL51+BL51*(D_iL)-MIN(F_LoanPayM,BL51+BL51*(D_iL)),BL51)</f>
        <v>0</v>
      </c>
      <c r="BN51" s="1" t="n">
        <f aca="false">IF(BM51&gt;0.5,BM51+BM51*(D_iL)-MIN(F_LoanPayM,BM51+BM51*(D_iL)),BM51)</f>
        <v>0</v>
      </c>
      <c r="BO51" s="1" t="n">
        <f aca="false">IF(BN51&gt;0.5,BN51+BN51*(D_iL)-MIN(F_LoanPayM,BN51+BN51*(D_iL)),BN51)</f>
        <v>0</v>
      </c>
      <c r="BP51" s="1" t="n">
        <f aca="false">IF(BO51&gt;0.5,BO51+BO51*(D_iL)-MIN(F_LoanPayM,BO51+BO51*(D_iL)),BO51)</f>
        <v>0</v>
      </c>
      <c r="BQ51" s="1" t="n">
        <f aca="false">IF(BP51&gt;0.5,BP51+BP51*(D_iL)-MIN(F_LoanPayM,BP51+BP51*(D_iL)),BP51)</f>
        <v>0</v>
      </c>
      <c r="BR51" s="1" t="n">
        <f aca="false">IF(BE51&gt;0.5,MIN(F_LoanPayM,BE51+BE51*(D_iL)),0)</f>
        <v>0</v>
      </c>
      <c r="BS51" s="1" t="n">
        <f aca="false">IF(BF51&gt;0.5,MIN(F_LoanPayM,BF51+BF51*(D_iL)),0)</f>
        <v>0</v>
      </c>
      <c r="BT51" s="1" t="n">
        <f aca="false">IF(BG51&gt;0.5,MIN(F_LoanPayM,BG51+BG51*(D_iL)),0)</f>
        <v>0</v>
      </c>
      <c r="BU51" s="1" t="n">
        <f aca="false">IF(BH51&gt;0.5,MIN(F_LoanPayM,BH51+BH51*(D_iL)),0)</f>
        <v>0</v>
      </c>
      <c r="BV51" s="1" t="n">
        <f aca="false">IF(BI51&gt;0.5,MIN(F_LoanPayM,BI51+BI51*(D_iL)),0)</f>
        <v>0</v>
      </c>
      <c r="BW51" s="1" t="n">
        <f aca="false">IF(BJ51&gt;0.5,MIN(F_LoanPayM,BJ51+BJ51*(D_iL)),0)</f>
        <v>0</v>
      </c>
      <c r="BX51" s="1" t="n">
        <f aca="false">IF(BK51&gt;0.5,MIN(F_LoanPayM,BK51+BK51*(D_iL)),0)</f>
        <v>0</v>
      </c>
      <c r="BY51" s="1" t="n">
        <f aca="false">IF(BL51&gt;0.5,MIN(F_LoanPayM,BL51+BL51*(D_iL)),0)</f>
        <v>0</v>
      </c>
      <c r="BZ51" s="1" t="n">
        <f aca="false">IF(BM51&gt;0.5,MIN(F_LoanPayM,BM51+BM51*(D_iL)),0)</f>
        <v>0</v>
      </c>
      <c r="CA51" s="1" t="n">
        <f aca="false">IF(BN51&gt;0.5,MIN(F_LoanPayM,BN51+BN51*(D_iL)),0)</f>
        <v>0</v>
      </c>
      <c r="CB51" s="1" t="n">
        <f aca="false">IF(BO51&gt;0.5,MIN(F_LoanPayM,BO51+BO51*(D_iL)),0)</f>
        <v>0</v>
      </c>
      <c r="CC51" s="1" t="n">
        <f aca="false">IF(BP51&gt;0.5,MIN(F_LoanPayM,BP51+BP51*(D_iL)),0)</f>
        <v>0</v>
      </c>
      <c r="CD51" s="1" t="n">
        <f aca="false">MAX(0,BQ51)</f>
        <v>0</v>
      </c>
      <c r="CE51" s="1" t="n">
        <f aca="false">SUM(BR51:CC51)</f>
        <v>0</v>
      </c>
      <c r="CF51" s="1" t="n">
        <f aca="false">IF(CF50&gt;1,DE50,CF50)</f>
        <v>0</v>
      </c>
      <c r="CG51" s="1" t="n">
        <f aca="false">IF(CF51&gt;0.5,CF51+CF51*(F_MR/12)-MIN(F_MortPayM,CF51+CF51*(F_MR/12)),CF51)</f>
        <v>0</v>
      </c>
      <c r="CH51" s="1" t="n">
        <f aca="false">IF(CG51&gt;0.5,CG51+CG51*(F_MR/12)-MIN(F_MortPayM,CG51+CG51*(F_MR/12)),CG51)</f>
        <v>0</v>
      </c>
      <c r="CI51" s="1" t="n">
        <f aca="false">IF(CH51&gt;0.5,CH51+CH51*(F_MR/12)-MIN(F_MortPayM,CH51+CH51*(F_MR/12)),CH51)</f>
        <v>0</v>
      </c>
      <c r="CJ51" s="1" t="n">
        <f aca="false">IF(CI51&gt;0.5,CI51+CI51*(F_MR/12)-MIN(F_MortPayM,CI51+CI51*(F_MR/12)),CI51)</f>
        <v>0</v>
      </c>
      <c r="CK51" s="1" t="n">
        <f aca="false">IF(CJ51&gt;0.5,CJ51+CJ51*(F_MR/12)-MIN(F_MortPayM,CJ51+CJ51*(F_MR/12)),CJ51)</f>
        <v>0</v>
      </c>
      <c r="CL51" s="1" t="n">
        <f aca="false">IF(CK51&gt;0.5,CK51+CK51*(F_MR/12)-MIN(F_MortPayM,CK51+CK51*(F_MR/12)),CK51)</f>
        <v>0</v>
      </c>
      <c r="CM51" s="1" t="n">
        <f aca="false">IF(CL51&gt;0.5,CL51+CL51*(F_MR/12)-MIN(F_MortPayM,CL51+CL51*(F_MR/12)),CL51)</f>
        <v>0</v>
      </c>
      <c r="CN51" s="1" t="n">
        <f aca="false">IF(CM51&gt;0.5,CM51+CM51*(F_MR/12)-MIN(F_MortPayM,CM51+CM51*(F_MR/12)),CM51)</f>
        <v>0</v>
      </c>
      <c r="CO51" s="1" t="n">
        <f aca="false">IF(CN51&gt;0.5,CN51+CN51*(F_MR/12)-MIN(F_MortPayM,CN51+CN51*(F_MR/12)),CN51)</f>
        <v>0</v>
      </c>
      <c r="CP51" s="1" t="n">
        <f aca="false">IF(CO51&gt;0.5,CO51+CO51*(F_MR/12)-MIN(F_MortPayM,CO51+CO51*(F_MR/12)),CO51)</f>
        <v>0</v>
      </c>
      <c r="CQ51" s="1" t="n">
        <f aca="false">IF(CP51&gt;0.5,CP51+CP51*(F_MR/12)-MIN(F_MortPayM,CP51+CP51*(F_MR/12)),CP51)</f>
        <v>0</v>
      </c>
      <c r="CR51" s="1" t="n">
        <f aca="false">IF(CQ51&gt;0.5,CQ51+CQ51*(F_MR/12)-MIN(F_MortPayM,CQ51+CQ51*(F_MR/12)),CQ51)</f>
        <v>0</v>
      </c>
      <c r="CS51" s="1" t="n">
        <f aca="false">IF(CF51&gt;0.5,MIN(F_MortPayM,CF51+CF51*(F_MR/12)),0)</f>
        <v>0</v>
      </c>
      <c r="CT51" s="1" t="n">
        <f aca="false">IF(CG51&gt;0.5,MIN(F_MortPayM,CG51+CG51*(F_MR/12)),0)</f>
        <v>0</v>
      </c>
      <c r="CU51" s="1" t="n">
        <f aca="false">IF(CH51&gt;0.5,MIN(F_MortPayM,CH51+CH51*(F_MR/12)),0)</f>
        <v>0</v>
      </c>
      <c r="CV51" s="1" t="n">
        <f aca="false">IF(CI51&gt;0.5,MIN(F_MortPayM,CI51+CI51*(F_MR/12)),0)</f>
        <v>0</v>
      </c>
      <c r="CW51" s="1" t="n">
        <f aca="false">IF(CJ51&gt;0.5,MIN(F_MortPayM,CJ51+CJ51*(F_MR/12)),0)</f>
        <v>0</v>
      </c>
      <c r="CX51" s="1" t="n">
        <f aca="false">IF(CK51&gt;0.5,MIN(F_MortPayM,CK51+CK51*(F_MR/12)),0)</f>
        <v>0</v>
      </c>
      <c r="CY51" s="1" t="n">
        <f aca="false">IF(CL51&gt;0.5,MIN(F_MortPayM,CL51+CL51*(F_MR/12)),0)</f>
        <v>0</v>
      </c>
      <c r="CZ51" s="1" t="n">
        <f aca="false">IF(CM51&gt;0.5,MIN(F_MortPayM,CM51+CM51*(F_MR/12)),0)</f>
        <v>0</v>
      </c>
      <c r="DA51" s="1" t="n">
        <f aca="false">IF(CN51&gt;0.5,MIN(F_MortPayM,CN51+CN51*(F_MR/12)),0)</f>
        <v>0</v>
      </c>
      <c r="DB51" s="1" t="n">
        <f aca="false">IF(CO51&gt;0.5,MIN(F_MortPayM,CO51+CO51*(F_MR/12)),0)</f>
        <v>0</v>
      </c>
      <c r="DC51" s="1" t="n">
        <f aca="false">IF(CP51&gt;0.5,MIN(F_MortPayM,CP51+CP51*(F_MR/12)),0)</f>
        <v>0</v>
      </c>
      <c r="DD51" s="1" t="n">
        <f aca="false">IF(CQ51&gt;0.5,MIN(F_MortPayM,CQ51+CQ51*(F_MR/12)),0)</f>
        <v>0</v>
      </c>
      <c r="DE51" s="1" t="n">
        <f aca="false">MAX(0,CR51)</f>
        <v>0</v>
      </c>
      <c r="DF51" s="1" t="n">
        <f aca="false">SUM(CS51:DD51)</f>
        <v>0</v>
      </c>
      <c r="DG51" s="1" t="n">
        <f aca="false">MAX(0,CF51)</f>
        <v>0</v>
      </c>
    </row>
    <row r="52" customFormat="false" ht="15" hidden="false" customHeight="false" outlineLevel="0" collapsed="false">
      <c r="B52" s="1" t="n">
        <v>44</v>
      </c>
      <c r="C52" s="1" t="n">
        <f aca="false">'Plan cashflow'!I52</f>
        <v>0</v>
      </c>
      <c r="D52" s="1" t="n">
        <f aca="false">IF(C52&gt;0.5,C52+C52*(F_MR/12)-MIN(F_MortPayM,C52+C52*(F_MR/12)),C52)</f>
        <v>0</v>
      </c>
      <c r="E52" s="1" t="n">
        <f aca="false">IF(D52&gt;0.5,D52+D52*(F_MR/12)-MIN(F_MortPayM,D52+D52*(F_MR/12)),D52)</f>
        <v>0</v>
      </c>
      <c r="F52" s="1" t="n">
        <f aca="false">IF(E52&gt;0.5,E52+E52*(F_MR/12)-MIN(F_MortPayM,E52+E52*(F_MR/12)),E52)</f>
        <v>0</v>
      </c>
      <c r="G52" s="1" t="n">
        <f aca="false">IF(F52&gt;0.5,F52+F52*(F_MR/12)-MIN(F_MortPayM,F52+F52*(F_MR/12)),F52)</f>
        <v>0</v>
      </c>
      <c r="H52" s="1" t="n">
        <f aca="false">IF(G52&gt;0.5,G52+G52*(F_MR/12)-MIN(F_MortPayM,G52+G52*(F_MR/12)),G52)</f>
        <v>0</v>
      </c>
      <c r="I52" s="1" t="n">
        <f aca="false">IF(H52&gt;0.5,H52+H52*(F_MR/12)-MIN(F_MortPayM,H52+H52*(F_MR/12)),H52)</f>
        <v>0</v>
      </c>
      <c r="J52" s="1" t="n">
        <f aca="false">IF(I52&gt;0.5,I52+I52*(F_MR/12)-MIN(F_MortPayM,I52+I52*(F_MR/12)),I52)</f>
        <v>0</v>
      </c>
      <c r="K52" s="1" t="n">
        <f aca="false">IF(J52&gt;0.5,J52+J52*(F_MR/12)-MIN(F_MortPayM,J52+J52*(F_MR/12)),J52)</f>
        <v>0</v>
      </c>
      <c r="L52" s="1" t="n">
        <f aca="false">IF(K52&gt;0.5,K52+K52*(F_MR/12)-MIN(F_MortPayM,K52+K52*(F_MR/12)),K52)</f>
        <v>0</v>
      </c>
      <c r="M52" s="1" t="n">
        <f aca="false">IF(L52&gt;0.5,L52+L52*(F_MR/12)-MIN(F_MortPayM,L52+L52*(F_MR/12)),L52)</f>
        <v>0</v>
      </c>
      <c r="N52" s="1" t="n">
        <f aca="false">IF(M52&gt;0.5,M52+M52*(F_MR/12)-MIN(F_MortPayM,M52+M52*(F_MR/12)),M52)</f>
        <v>0</v>
      </c>
      <c r="O52" s="1" t="n">
        <f aca="false">IF(N52&gt;0.5,N52+N52*(F_MR/12)-MIN(F_MortPayM,N52+N52*(F_MR/12)),N52)</f>
        <v>0</v>
      </c>
      <c r="P52" s="1" t="n">
        <f aca="false">IF(C52&gt;0.5,MIN(F_MortPayM,C52+C52*(F_MR/12)),0)</f>
        <v>0</v>
      </c>
      <c r="Q52" s="1" t="n">
        <f aca="false">IF(D52&gt;0.5,MIN(F_MortPayM,D52+D52*(F_MR/12)),0)</f>
        <v>0</v>
      </c>
      <c r="R52" s="1" t="n">
        <f aca="false">IF(E52&gt;0.5,MIN(F_MortPayM,E52+E52*(F_MR/12)),0)</f>
        <v>0</v>
      </c>
      <c r="S52" s="1" t="n">
        <f aca="false">IF(F52&gt;0.5,MIN(F_MortPayM,F52+F52*(F_MR/12)),0)</f>
        <v>0</v>
      </c>
      <c r="T52" s="1" t="n">
        <f aca="false">IF(G52&gt;0.5,MIN(F_MortPayM,G52+G52*(F_MR/12)),0)</f>
        <v>0</v>
      </c>
      <c r="U52" s="1" t="n">
        <f aca="false">IF(H52&gt;0.5,MIN(F_MortPayM,H52+H52*(F_MR/12)),0)</f>
        <v>0</v>
      </c>
      <c r="V52" s="1" t="n">
        <f aca="false">IF(I52&gt;0.5,MIN(F_MortPayM,I52+I52*(F_MR/12)),0)</f>
        <v>0</v>
      </c>
      <c r="W52" s="1" t="n">
        <f aca="false">IF(J52&gt;0.5,MIN(F_MortPayM,J52+J52*(F_MR/12)),0)</f>
        <v>0</v>
      </c>
      <c r="X52" s="1" t="n">
        <f aca="false">IF(K52&gt;0.5,MIN(F_MortPayM,K52+K52*(F_MR/12)),0)</f>
        <v>0</v>
      </c>
      <c r="Y52" s="1" t="n">
        <f aca="false">IF(L52&gt;0.5,MIN(F_MortPayM,L52+L52*(F_MR/12)),0)</f>
        <v>0</v>
      </c>
      <c r="Z52" s="1" t="n">
        <f aca="false">IF(M52&gt;0.5,MIN(F_MortPayM,M52+M52*(F_MR/12)),0)</f>
        <v>0</v>
      </c>
      <c r="AA52" s="1" t="n">
        <f aca="false">IF(N52&gt;0.5,MIN(F_MortPayM,N52+N52*(F_MR/12)),0)</f>
        <v>0</v>
      </c>
      <c r="AB52" s="1" t="n">
        <f aca="false">MAX(0,O52)</f>
        <v>0</v>
      </c>
      <c r="AC52" s="1" t="n">
        <f aca="false">SUM(P52:AA52)</f>
        <v>0</v>
      </c>
      <c r="AD52" s="1" t="n">
        <f aca="false">'Plan cashflow'!L52</f>
        <v>0</v>
      </c>
      <c r="AE52" s="1" t="n">
        <f aca="false">IF(AD52&gt;0.5,AD52+AD52*(D_iC)-MIN(F_CardPayM,AD52+AD52*(D_iC)),AD52)</f>
        <v>0</v>
      </c>
      <c r="AF52" s="1" t="n">
        <f aca="false">IF(AE52&gt;0.5,AE52+AE52*(D_iC)-MIN(F_CardPayM,AE52+AE52*(D_iC)),AE52)</f>
        <v>0</v>
      </c>
      <c r="AG52" s="1" t="n">
        <f aca="false">IF(AF52&gt;0.5,AF52+AF52*(D_iC)-MIN(F_CardPayM,AF52+AF52*(D_iC)),AF52)</f>
        <v>0</v>
      </c>
      <c r="AH52" s="1" t="n">
        <f aca="false">IF(AG52&gt;0.5,AG52+AG52*(D_iC)-MIN(F_CardPayM,AG52+AG52*(D_iC)),AG52)</f>
        <v>0</v>
      </c>
      <c r="AI52" s="1" t="n">
        <f aca="false">IF(AH52&gt;0.5,AH52+AH52*(D_iC)-MIN(F_CardPayM,AH52+AH52*(D_iC)),AH52)</f>
        <v>0</v>
      </c>
      <c r="AJ52" s="1" t="n">
        <f aca="false">IF(AI52&gt;0.5,AI52+AI52*(D_iC)-MIN(F_CardPayM,AI52+AI52*(D_iC)),AI52)</f>
        <v>0</v>
      </c>
      <c r="AK52" s="1" t="n">
        <f aca="false">IF(AJ52&gt;0.5,AJ52+AJ52*(D_iC)-MIN(F_CardPayM,AJ52+AJ52*(D_iC)),AJ52)</f>
        <v>0</v>
      </c>
      <c r="AL52" s="1" t="n">
        <f aca="false">IF(AK52&gt;0.5,AK52+AK52*(D_iC)-MIN(F_CardPayM,AK52+AK52*(D_iC)),AK52)</f>
        <v>0</v>
      </c>
      <c r="AM52" s="1" t="n">
        <f aca="false">IF(AL52&gt;0.5,AL52+AL52*(D_iC)-MIN(F_CardPayM,AL52+AL52*(D_iC)),AL52)</f>
        <v>0</v>
      </c>
      <c r="AN52" s="1" t="n">
        <f aca="false">IF(AM52&gt;0.5,AM52+AM52*(D_iC)-MIN(F_CardPayM,AM52+AM52*(D_iC)),AM52)</f>
        <v>0</v>
      </c>
      <c r="AO52" s="1" t="n">
        <f aca="false">IF(AN52&gt;0.5,AN52+AN52*(D_iC)-MIN(F_CardPayM,AN52+AN52*(D_iC)),AN52)</f>
        <v>0</v>
      </c>
      <c r="AP52" s="1" t="n">
        <f aca="false">IF(AO52&gt;0.5,AO52+AO52*(D_iC)-MIN(F_CardPayM,AO52+AO52*(D_iC)),AO52)</f>
        <v>0</v>
      </c>
      <c r="AQ52" s="1" t="n">
        <f aca="false">IF(AD52&gt;0.5,MIN(F_CardPayM,AD52+AD52*(D_iC)),0)</f>
        <v>0</v>
      </c>
      <c r="AR52" s="1" t="n">
        <f aca="false">IF(AE52&gt;0.5,MIN(F_CardPayM,AE52+AE52*(D_iC)),0)</f>
        <v>0</v>
      </c>
      <c r="AS52" s="1" t="n">
        <f aca="false">IF(AF52&gt;0.5,MIN(F_CardPayM,AF52+AF52*(D_iC)),0)</f>
        <v>0</v>
      </c>
      <c r="AT52" s="1" t="n">
        <f aca="false">IF(AG52&gt;0.5,MIN(F_CardPayM,AG52+AG52*(D_iC)),0)</f>
        <v>0</v>
      </c>
      <c r="AU52" s="1" t="n">
        <f aca="false">IF(AH52&gt;0.5,MIN(F_CardPayM,AH52+AH52*(D_iC)),0)</f>
        <v>0</v>
      </c>
      <c r="AV52" s="1" t="n">
        <f aca="false">IF(AI52&gt;0.5,MIN(F_CardPayM,AI52+AI52*(D_iC)),0)</f>
        <v>0</v>
      </c>
      <c r="AW52" s="1" t="n">
        <f aca="false">IF(AJ52&gt;0.5,MIN(F_CardPayM,AJ52+AJ52*(D_iC)),0)</f>
        <v>0</v>
      </c>
      <c r="AX52" s="1" t="n">
        <f aca="false">IF(AK52&gt;0.5,MIN(F_CardPayM,AK52+AK52*(D_iC)),0)</f>
        <v>0</v>
      </c>
      <c r="AY52" s="1" t="n">
        <f aca="false">IF(AL52&gt;0.5,MIN(F_CardPayM,AL52+AL52*(D_iC)),0)</f>
        <v>0</v>
      </c>
      <c r="AZ52" s="1" t="n">
        <f aca="false">IF(AM52&gt;0.5,MIN(F_CardPayM,AM52+AM52*(D_iC)),0)</f>
        <v>0</v>
      </c>
      <c r="BA52" s="1" t="n">
        <f aca="false">IF(AN52&gt;0.5,MIN(F_CardPayM,AN52+AN52*(D_iC)),0)</f>
        <v>0</v>
      </c>
      <c r="BB52" s="1" t="n">
        <f aca="false">IF(AO52&gt;0.5,MIN(F_CardPayM,AO52+AO52*(D_iC)),0)</f>
        <v>0</v>
      </c>
      <c r="BC52" s="1" t="n">
        <f aca="false">MAX(0,AP52)</f>
        <v>0</v>
      </c>
      <c r="BD52" s="1" t="n">
        <f aca="false">SUM(AQ52:BB52)</f>
        <v>0</v>
      </c>
      <c r="BE52" s="1" t="n">
        <f aca="false">'Plan cashflow'!O52</f>
        <v>0</v>
      </c>
      <c r="BF52" s="1" t="n">
        <f aca="false">IF(BE52&gt;0.5,BE52+BE52*(D_iL)-MIN(F_LoanPayM,BE52+BE52*(D_iL)),BE52)</f>
        <v>0</v>
      </c>
      <c r="BG52" s="1" t="n">
        <f aca="false">IF(BF52&gt;0.5,BF52+BF52*(D_iL)-MIN(F_LoanPayM,BF52+BF52*(D_iL)),BF52)</f>
        <v>0</v>
      </c>
      <c r="BH52" s="1" t="n">
        <f aca="false">IF(BG52&gt;0.5,BG52+BG52*(D_iL)-MIN(F_LoanPayM,BG52+BG52*(D_iL)),BG52)</f>
        <v>0</v>
      </c>
      <c r="BI52" s="1" t="n">
        <f aca="false">IF(BH52&gt;0.5,BH52+BH52*(D_iL)-MIN(F_LoanPayM,BH52+BH52*(D_iL)),BH52)</f>
        <v>0</v>
      </c>
      <c r="BJ52" s="1" t="n">
        <f aca="false">IF(BI52&gt;0.5,BI52+BI52*(D_iL)-MIN(F_LoanPayM,BI52+BI52*(D_iL)),BI52)</f>
        <v>0</v>
      </c>
      <c r="BK52" s="1" t="n">
        <f aca="false">IF(BJ52&gt;0.5,BJ52+BJ52*(D_iL)-MIN(F_LoanPayM,BJ52+BJ52*(D_iL)),BJ52)</f>
        <v>0</v>
      </c>
      <c r="BL52" s="1" t="n">
        <f aca="false">IF(BK52&gt;0.5,BK52+BK52*(D_iL)-MIN(F_LoanPayM,BK52+BK52*(D_iL)),BK52)</f>
        <v>0</v>
      </c>
      <c r="BM52" s="1" t="n">
        <f aca="false">IF(BL52&gt;0.5,BL52+BL52*(D_iL)-MIN(F_LoanPayM,BL52+BL52*(D_iL)),BL52)</f>
        <v>0</v>
      </c>
      <c r="BN52" s="1" t="n">
        <f aca="false">IF(BM52&gt;0.5,BM52+BM52*(D_iL)-MIN(F_LoanPayM,BM52+BM52*(D_iL)),BM52)</f>
        <v>0</v>
      </c>
      <c r="BO52" s="1" t="n">
        <f aca="false">IF(BN52&gt;0.5,BN52+BN52*(D_iL)-MIN(F_LoanPayM,BN52+BN52*(D_iL)),BN52)</f>
        <v>0</v>
      </c>
      <c r="BP52" s="1" t="n">
        <f aca="false">IF(BO52&gt;0.5,BO52+BO52*(D_iL)-MIN(F_LoanPayM,BO52+BO52*(D_iL)),BO52)</f>
        <v>0</v>
      </c>
      <c r="BQ52" s="1" t="n">
        <f aca="false">IF(BP52&gt;0.5,BP52+BP52*(D_iL)-MIN(F_LoanPayM,BP52+BP52*(D_iL)),BP52)</f>
        <v>0</v>
      </c>
      <c r="BR52" s="1" t="n">
        <f aca="false">IF(BE52&gt;0.5,MIN(F_LoanPayM,BE52+BE52*(D_iL)),0)</f>
        <v>0</v>
      </c>
      <c r="BS52" s="1" t="n">
        <f aca="false">IF(BF52&gt;0.5,MIN(F_LoanPayM,BF52+BF52*(D_iL)),0)</f>
        <v>0</v>
      </c>
      <c r="BT52" s="1" t="n">
        <f aca="false">IF(BG52&gt;0.5,MIN(F_LoanPayM,BG52+BG52*(D_iL)),0)</f>
        <v>0</v>
      </c>
      <c r="BU52" s="1" t="n">
        <f aca="false">IF(BH52&gt;0.5,MIN(F_LoanPayM,BH52+BH52*(D_iL)),0)</f>
        <v>0</v>
      </c>
      <c r="BV52" s="1" t="n">
        <f aca="false">IF(BI52&gt;0.5,MIN(F_LoanPayM,BI52+BI52*(D_iL)),0)</f>
        <v>0</v>
      </c>
      <c r="BW52" s="1" t="n">
        <f aca="false">IF(BJ52&gt;0.5,MIN(F_LoanPayM,BJ52+BJ52*(D_iL)),0)</f>
        <v>0</v>
      </c>
      <c r="BX52" s="1" t="n">
        <f aca="false">IF(BK52&gt;0.5,MIN(F_LoanPayM,BK52+BK52*(D_iL)),0)</f>
        <v>0</v>
      </c>
      <c r="BY52" s="1" t="n">
        <f aca="false">IF(BL52&gt;0.5,MIN(F_LoanPayM,BL52+BL52*(D_iL)),0)</f>
        <v>0</v>
      </c>
      <c r="BZ52" s="1" t="n">
        <f aca="false">IF(BM52&gt;0.5,MIN(F_LoanPayM,BM52+BM52*(D_iL)),0)</f>
        <v>0</v>
      </c>
      <c r="CA52" s="1" t="n">
        <f aca="false">IF(BN52&gt;0.5,MIN(F_LoanPayM,BN52+BN52*(D_iL)),0)</f>
        <v>0</v>
      </c>
      <c r="CB52" s="1" t="n">
        <f aca="false">IF(BO52&gt;0.5,MIN(F_LoanPayM,BO52+BO52*(D_iL)),0)</f>
        <v>0</v>
      </c>
      <c r="CC52" s="1" t="n">
        <f aca="false">IF(BP52&gt;0.5,MIN(F_LoanPayM,BP52+BP52*(D_iL)),0)</f>
        <v>0</v>
      </c>
      <c r="CD52" s="1" t="n">
        <f aca="false">MAX(0,BQ52)</f>
        <v>0</v>
      </c>
      <c r="CE52" s="1" t="n">
        <f aca="false">SUM(BR52:CC52)</f>
        <v>0</v>
      </c>
      <c r="CF52" s="1" t="n">
        <f aca="false">IF(CF51&gt;1,DE51,CF51)</f>
        <v>0</v>
      </c>
      <c r="CG52" s="1" t="n">
        <f aca="false">IF(CF52&gt;0.5,CF52+CF52*(F_MR/12)-MIN(F_MortPayM,CF52+CF52*(F_MR/12)),CF52)</f>
        <v>0</v>
      </c>
      <c r="CH52" s="1" t="n">
        <f aca="false">IF(CG52&gt;0.5,CG52+CG52*(F_MR/12)-MIN(F_MortPayM,CG52+CG52*(F_MR/12)),CG52)</f>
        <v>0</v>
      </c>
      <c r="CI52" s="1" t="n">
        <f aca="false">IF(CH52&gt;0.5,CH52+CH52*(F_MR/12)-MIN(F_MortPayM,CH52+CH52*(F_MR/12)),CH52)</f>
        <v>0</v>
      </c>
      <c r="CJ52" s="1" t="n">
        <f aca="false">IF(CI52&gt;0.5,CI52+CI52*(F_MR/12)-MIN(F_MortPayM,CI52+CI52*(F_MR/12)),CI52)</f>
        <v>0</v>
      </c>
      <c r="CK52" s="1" t="n">
        <f aca="false">IF(CJ52&gt;0.5,CJ52+CJ52*(F_MR/12)-MIN(F_MortPayM,CJ52+CJ52*(F_MR/12)),CJ52)</f>
        <v>0</v>
      </c>
      <c r="CL52" s="1" t="n">
        <f aca="false">IF(CK52&gt;0.5,CK52+CK52*(F_MR/12)-MIN(F_MortPayM,CK52+CK52*(F_MR/12)),CK52)</f>
        <v>0</v>
      </c>
      <c r="CM52" s="1" t="n">
        <f aca="false">IF(CL52&gt;0.5,CL52+CL52*(F_MR/12)-MIN(F_MortPayM,CL52+CL52*(F_MR/12)),CL52)</f>
        <v>0</v>
      </c>
      <c r="CN52" s="1" t="n">
        <f aca="false">IF(CM52&gt;0.5,CM52+CM52*(F_MR/12)-MIN(F_MortPayM,CM52+CM52*(F_MR/12)),CM52)</f>
        <v>0</v>
      </c>
      <c r="CO52" s="1" t="n">
        <f aca="false">IF(CN52&gt;0.5,CN52+CN52*(F_MR/12)-MIN(F_MortPayM,CN52+CN52*(F_MR/12)),CN52)</f>
        <v>0</v>
      </c>
      <c r="CP52" s="1" t="n">
        <f aca="false">IF(CO52&gt;0.5,CO52+CO52*(F_MR/12)-MIN(F_MortPayM,CO52+CO52*(F_MR/12)),CO52)</f>
        <v>0</v>
      </c>
      <c r="CQ52" s="1" t="n">
        <f aca="false">IF(CP52&gt;0.5,CP52+CP52*(F_MR/12)-MIN(F_MortPayM,CP52+CP52*(F_MR/12)),CP52)</f>
        <v>0</v>
      </c>
      <c r="CR52" s="1" t="n">
        <f aca="false">IF(CQ52&gt;0.5,CQ52+CQ52*(F_MR/12)-MIN(F_MortPayM,CQ52+CQ52*(F_MR/12)),CQ52)</f>
        <v>0</v>
      </c>
      <c r="CS52" s="1" t="n">
        <f aca="false">IF(CF52&gt;0.5,MIN(F_MortPayM,CF52+CF52*(F_MR/12)),0)</f>
        <v>0</v>
      </c>
      <c r="CT52" s="1" t="n">
        <f aca="false">IF(CG52&gt;0.5,MIN(F_MortPayM,CG52+CG52*(F_MR/12)),0)</f>
        <v>0</v>
      </c>
      <c r="CU52" s="1" t="n">
        <f aca="false">IF(CH52&gt;0.5,MIN(F_MortPayM,CH52+CH52*(F_MR/12)),0)</f>
        <v>0</v>
      </c>
      <c r="CV52" s="1" t="n">
        <f aca="false">IF(CI52&gt;0.5,MIN(F_MortPayM,CI52+CI52*(F_MR/12)),0)</f>
        <v>0</v>
      </c>
      <c r="CW52" s="1" t="n">
        <f aca="false">IF(CJ52&gt;0.5,MIN(F_MortPayM,CJ52+CJ52*(F_MR/12)),0)</f>
        <v>0</v>
      </c>
      <c r="CX52" s="1" t="n">
        <f aca="false">IF(CK52&gt;0.5,MIN(F_MortPayM,CK52+CK52*(F_MR/12)),0)</f>
        <v>0</v>
      </c>
      <c r="CY52" s="1" t="n">
        <f aca="false">IF(CL52&gt;0.5,MIN(F_MortPayM,CL52+CL52*(F_MR/12)),0)</f>
        <v>0</v>
      </c>
      <c r="CZ52" s="1" t="n">
        <f aca="false">IF(CM52&gt;0.5,MIN(F_MortPayM,CM52+CM52*(F_MR/12)),0)</f>
        <v>0</v>
      </c>
      <c r="DA52" s="1" t="n">
        <f aca="false">IF(CN52&gt;0.5,MIN(F_MortPayM,CN52+CN52*(F_MR/12)),0)</f>
        <v>0</v>
      </c>
      <c r="DB52" s="1" t="n">
        <f aca="false">IF(CO52&gt;0.5,MIN(F_MortPayM,CO52+CO52*(F_MR/12)),0)</f>
        <v>0</v>
      </c>
      <c r="DC52" s="1" t="n">
        <f aca="false">IF(CP52&gt;0.5,MIN(F_MortPayM,CP52+CP52*(F_MR/12)),0)</f>
        <v>0</v>
      </c>
      <c r="DD52" s="1" t="n">
        <f aca="false">IF(CQ52&gt;0.5,MIN(F_MortPayM,CQ52+CQ52*(F_MR/12)),0)</f>
        <v>0</v>
      </c>
      <c r="DE52" s="1" t="n">
        <f aca="false">MAX(0,CR52)</f>
        <v>0</v>
      </c>
      <c r="DF52" s="1" t="n">
        <f aca="false">SUM(CS52:DD52)</f>
        <v>0</v>
      </c>
      <c r="DG52" s="1" t="n">
        <f aca="false">MAX(0,CF52)</f>
        <v>0</v>
      </c>
    </row>
    <row r="53" customFormat="false" ht="15" hidden="false" customHeight="false" outlineLevel="0" collapsed="false">
      <c r="B53" s="1" t="n">
        <v>45</v>
      </c>
      <c r="C53" s="1" t="n">
        <f aca="false">'Plan cashflow'!I53</f>
        <v>0</v>
      </c>
      <c r="D53" s="1" t="n">
        <f aca="false">IF(C53&gt;0.5,C53+C53*(F_MR/12)-MIN(F_MortPayM,C53+C53*(F_MR/12)),C53)</f>
        <v>0</v>
      </c>
      <c r="E53" s="1" t="n">
        <f aca="false">IF(D53&gt;0.5,D53+D53*(F_MR/12)-MIN(F_MortPayM,D53+D53*(F_MR/12)),D53)</f>
        <v>0</v>
      </c>
      <c r="F53" s="1" t="n">
        <f aca="false">IF(E53&gt;0.5,E53+E53*(F_MR/12)-MIN(F_MortPayM,E53+E53*(F_MR/12)),E53)</f>
        <v>0</v>
      </c>
      <c r="G53" s="1" t="n">
        <f aca="false">IF(F53&gt;0.5,F53+F53*(F_MR/12)-MIN(F_MortPayM,F53+F53*(F_MR/12)),F53)</f>
        <v>0</v>
      </c>
      <c r="H53" s="1" t="n">
        <f aca="false">IF(G53&gt;0.5,G53+G53*(F_MR/12)-MIN(F_MortPayM,G53+G53*(F_MR/12)),G53)</f>
        <v>0</v>
      </c>
      <c r="I53" s="1" t="n">
        <f aca="false">IF(H53&gt;0.5,H53+H53*(F_MR/12)-MIN(F_MortPayM,H53+H53*(F_MR/12)),H53)</f>
        <v>0</v>
      </c>
      <c r="J53" s="1" t="n">
        <f aca="false">IF(I53&gt;0.5,I53+I53*(F_MR/12)-MIN(F_MortPayM,I53+I53*(F_MR/12)),I53)</f>
        <v>0</v>
      </c>
      <c r="K53" s="1" t="n">
        <f aca="false">IF(J53&gt;0.5,J53+J53*(F_MR/12)-MIN(F_MortPayM,J53+J53*(F_MR/12)),J53)</f>
        <v>0</v>
      </c>
      <c r="L53" s="1" t="n">
        <f aca="false">IF(K53&gt;0.5,K53+K53*(F_MR/12)-MIN(F_MortPayM,K53+K53*(F_MR/12)),K53)</f>
        <v>0</v>
      </c>
      <c r="M53" s="1" t="n">
        <f aca="false">IF(L53&gt;0.5,L53+L53*(F_MR/12)-MIN(F_MortPayM,L53+L53*(F_MR/12)),L53)</f>
        <v>0</v>
      </c>
      <c r="N53" s="1" t="n">
        <f aca="false">IF(M53&gt;0.5,M53+M53*(F_MR/12)-MIN(F_MortPayM,M53+M53*(F_MR/12)),M53)</f>
        <v>0</v>
      </c>
      <c r="O53" s="1" t="n">
        <f aca="false">IF(N53&gt;0.5,N53+N53*(F_MR/12)-MIN(F_MortPayM,N53+N53*(F_MR/12)),N53)</f>
        <v>0</v>
      </c>
      <c r="P53" s="1" t="n">
        <f aca="false">IF(C53&gt;0.5,MIN(F_MortPayM,C53+C53*(F_MR/12)),0)</f>
        <v>0</v>
      </c>
      <c r="Q53" s="1" t="n">
        <f aca="false">IF(D53&gt;0.5,MIN(F_MortPayM,D53+D53*(F_MR/12)),0)</f>
        <v>0</v>
      </c>
      <c r="R53" s="1" t="n">
        <f aca="false">IF(E53&gt;0.5,MIN(F_MortPayM,E53+E53*(F_MR/12)),0)</f>
        <v>0</v>
      </c>
      <c r="S53" s="1" t="n">
        <f aca="false">IF(F53&gt;0.5,MIN(F_MortPayM,F53+F53*(F_MR/12)),0)</f>
        <v>0</v>
      </c>
      <c r="T53" s="1" t="n">
        <f aca="false">IF(G53&gt;0.5,MIN(F_MortPayM,G53+G53*(F_MR/12)),0)</f>
        <v>0</v>
      </c>
      <c r="U53" s="1" t="n">
        <f aca="false">IF(H53&gt;0.5,MIN(F_MortPayM,H53+H53*(F_MR/12)),0)</f>
        <v>0</v>
      </c>
      <c r="V53" s="1" t="n">
        <f aca="false">IF(I53&gt;0.5,MIN(F_MortPayM,I53+I53*(F_MR/12)),0)</f>
        <v>0</v>
      </c>
      <c r="W53" s="1" t="n">
        <f aca="false">IF(J53&gt;0.5,MIN(F_MortPayM,J53+J53*(F_MR/12)),0)</f>
        <v>0</v>
      </c>
      <c r="X53" s="1" t="n">
        <f aca="false">IF(K53&gt;0.5,MIN(F_MortPayM,K53+K53*(F_MR/12)),0)</f>
        <v>0</v>
      </c>
      <c r="Y53" s="1" t="n">
        <f aca="false">IF(L53&gt;0.5,MIN(F_MortPayM,L53+L53*(F_MR/12)),0)</f>
        <v>0</v>
      </c>
      <c r="Z53" s="1" t="n">
        <f aca="false">IF(M53&gt;0.5,MIN(F_MortPayM,M53+M53*(F_MR/12)),0)</f>
        <v>0</v>
      </c>
      <c r="AA53" s="1" t="n">
        <f aca="false">IF(N53&gt;0.5,MIN(F_MortPayM,N53+N53*(F_MR/12)),0)</f>
        <v>0</v>
      </c>
      <c r="AB53" s="1" t="n">
        <f aca="false">MAX(0,O53)</f>
        <v>0</v>
      </c>
      <c r="AC53" s="1" t="n">
        <f aca="false">SUM(P53:AA53)</f>
        <v>0</v>
      </c>
      <c r="AD53" s="1" t="n">
        <f aca="false">'Plan cashflow'!L53</f>
        <v>0</v>
      </c>
      <c r="AE53" s="1" t="n">
        <f aca="false">IF(AD53&gt;0.5,AD53+AD53*(D_iC)-MIN(F_CardPayM,AD53+AD53*(D_iC)),AD53)</f>
        <v>0</v>
      </c>
      <c r="AF53" s="1" t="n">
        <f aca="false">IF(AE53&gt;0.5,AE53+AE53*(D_iC)-MIN(F_CardPayM,AE53+AE53*(D_iC)),AE53)</f>
        <v>0</v>
      </c>
      <c r="AG53" s="1" t="n">
        <f aca="false">IF(AF53&gt;0.5,AF53+AF53*(D_iC)-MIN(F_CardPayM,AF53+AF53*(D_iC)),AF53)</f>
        <v>0</v>
      </c>
      <c r="AH53" s="1" t="n">
        <f aca="false">IF(AG53&gt;0.5,AG53+AG53*(D_iC)-MIN(F_CardPayM,AG53+AG53*(D_iC)),AG53)</f>
        <v>0</v>
      </c>
      <c r="AI53" s="1" t="n">
        <f aca="false">IF(AH53&gt;0.5,AH53+AH53*(D_iC)-MIN(F_CardPayM,AH53+AH53*(D_iC)),AH53)</f>
        <v>0</v>
      </c>
      <c r="AJ53" s="1" t="n">
        <f aca="false">IF(AI53&gt;0.5,AI53+AI53*(D_iC)-MIN(F_CardPayM,AI53+AI53*(D_iC)),AI53)</f>
        <v>0</v>
      </c>
      <c r="AK53" s="1" t="n">
        <f aca="false">IF(AJ53&gt;0.5,AJ53+AJ53*(D_iC)-MIN(F_CardPayM,AJ53+AJ53*(D_iC)),AJ53)</f>
        <v>0</v>
      </c>
      <c r="AL53" s="1" t="n">
        <f aca="false">IF(AK53&gt;0.5,AK53+AK53*(D_iC)-MIN(F_CardPayM,AK53+AK53*(D_iC)),AK53)</f>
        <v>0</v>
      </c>
      <c r="AM53" s="1" t="n">
        <f aca="false">IF(AL53&gt;0.5,AL53+AL53*(D_iC)-MIN(F_CardPayM,AL53+AL53*(D_iC)),AL53)</f>
        <v>0</v>
      </c>
      <c r="AN53" s="1" t="n">
        <f aca="false">IF(AM53&gt;0.5,AM53+AM53*(D_iC)-MIN(F_CardPayM,AM53+AM53*(D_iC)),AM53)</f>
        <v>0</v>
      </c>
      <c r="AO53" s="1" t="n">
        <f aca="false">IF(AN53&gt;0.5,AN53+AN53*(D_iC)-MIN(F_CardPayM,AN53+AN53*(D_iC)),AN53)</f>
        <v>0</v>
      </c>
      <c r="AP53" s="1" t="n">
        <f aca="false">IF(AO53&gt;0.5,AO53+AO53*(D_iC)-MIN(F_CardPayM,AO53+AO53*(D_iC)),AO53)</f>
        <v>0</v>
      </c>
      <c r="AQ53" s="1" t="n">
        <f aca="false">IF(AD53&gt;0.5,MIN(F_CardPayM,AD53+AD53*(D_iC)),0)</f>
        <v>0</v>
      </c>
      <c r="AR53" s="1" t="n">
        <f aca="false">IF(AE53&gt;0.5,MIN(F_CardPayM,AE53+AE53*(D_iC)),0)</f>
        <v>0</v>
      </c>
      <c r="AS53" s="1" t="n">
        <f aca="false">IF(AF53&gt;0.5,MIN(F_CardPayM,AF53+AF53*(D_iC)),0)</f>
        <v>0</v>
      </c>
      <c r="AT53" s="1" t="n">
        <f aca="false">IF(AG53&gt;0.5,MIN(F_CardPayM,AG53+AG53*(D_iC)),0)</f>
        <v>0</v>
      </c>
      <c r="AU53" s="1" t="n">
        <f aca="false">IF(AH53&gt;0.5,MIN(F_CardPayM,AH53+AH53*(D_iC)),0)</f>
        <v>0</v>
      </c>
      <c r="AV53" s="1" t="n">
        <f aca="false">IF(AI53&gt;0.5,MIN(F_CardPayM,AI53+AI53*(D_iC)),0)</f>
        <v>0</v>
      </c>
      <c r="AW53" s="1" t="n">
        <f aca="false">IF(AJ53&gt;0.5,MIN(F_CardPayM,AJ53+AJ53*(D_iC)),0)</f>
        <v>0</v>
      </c>
      <c r="AX53" s="1" t="n">
        <f aca="false">IF(AK53&gt;0.5,MIN(F_CardPayM,AK53+AK53*(D_iC)),0)</f>
        <v>0</v>
      </c>
      <c r="AY53" s="1" t="n">
        <f aca="false">IF(AL53&gt;0.5,MIN(F_CardPayM,AL53+AL53*(D_iC)),0)</f>
        <v>0</v>
      </c>
      <c r="AZ53" s="1" t="n">
        <f aca="false">IF(AM53&gt;0.5,MIN(F_CardPayM,AM53+AM53*(D_iC)),0)</f>
        <v>0</v>
      </c>
      <c r="BA53" s="1" t="n">
        <f aca="false">IF(AN53&gt;0.5,MIN(F_CardPayM,AN53+AN53*(D_iC)),0)</f>
        <v>0</v>
      </c>
      <c r="BB53" s="1" t="n">
        <f aca="false">IF(AO53&gt;0.5,MIN(F_CardPayM,AO53+AO53*(D_iC)),0)</f>
        <v>0</v>
      </c>
      <c r="BC53" s="1" t="n">
        <f aca="false">MAX(0,AP53)</f>
        <v>0</v>
      </c>
      <c r="BD53" s="1" t="n">
        <f aca="false">SUM(AQ53:BB53)</f>
        <v>0</v>
      </c>
      <c r="BE53" s="1" t="n">
        <f aca="false">'Plan cashflow'!O53</f>
        <v>0</v>
      </c>
      <c r="BF53" s="1" t="n">
        <f aca="false">IF(BE53&gt;0.5,BE53+BE53*(D_iL)-MIN(F_LoanPayM,BE53+BE53*(D_iL)),BE53)</f>
        <v>0</v>
      </c>
      <c r="BG53" s="1" t="n">
        <f aca="false">IF(BF53&gt;0.5,BF53+BF53*(D_iL)-MIN(F_LoanPayM,BF53+BF53*(D_iL)),BF53)</f>
        <v>0</v>
      </c>
      <c r="BH53" s="1" t="n">
        <f aca="false">IF(BG53&gt;0.5,BG53+BG53*(D_iL)-MIN(F_LoanPayM,BG53+BG53*(D_iL)),BG53)</f>
        <v>0</v>
      </c>
      <c r="BI53" s="1" t="n">
        <f aca="false">IF(BH53&gt;0.5,BH53+BH53*(D_iL)-MIN(F_LoanPayM,BH53+BH53*(D_iL)),BH53)</f>
        <v>0</v>
      </c>
      <c r="BJ53" s="1" t="n">
        <f aca="false">IF(BI53&gt;0.5,BI53+BI53*(D_iL)-MIN(F_LoanPayM,BI53+BI53*(D_iL)),BI53)</f>
        <v>0</v>
      </c>
      <c r="BK53" s="1" t="n">
        <f aca="false">IF(BJ53&gt;0.5,BJ53+BJ53*(D_iL)-MIN(F_LoanPayM,BJ53+BJ53*(D_iL)),BJ53)</f>
        <v>0</v>
      </c>
      <c r="BL53" s="1" t="n">
        <f aca="false">IF(BK53&gt;0.5,BK53+BK53*(D_iL)-MIN(F_LoanPayM,BK53+BK53*(D_iL)),BK53)</f>
        <v>0</v>
      </c>
      <c r="BM53" s="1" t="n">
        <f aca="false">IF(BL53&gt;0.5,BL53+BL53*(D_iL)-MIN(F_LoanPayM,BL53+BL53*(D_iL)),BL53)</f>
        <v>0</v>
      </c>
      <c r="BN53" s="1" t="n">
        <f aca="false">IF(BM53&gt;0.5,BM53+BM53*(D_iL)-MIN(F_LoanPayM,BM53+BM53*(D_iL)),BM53)</f>
        <v>0</v>
      </c>
      <c r="BO53" s="1" t="n">
        <f aca="false">IF(BN53&gt;0.5,BN53+BN53*(D_iL)-MIN(F_LoanPayM,BN53+BN53*(D_iL)),BN53)</f>
        <v>0</v>
      </c>
      <c r="BP53" s="1" t="n">
        <f aca="false">IF(BO53&gt;0.5,BO53+BO53*(D_iL)-MIN(F_LoanPayM,BO53+BO53*(D_iL)),BO53)</f>
        <v>0</v>
      </c>
      <c r="BQ53" s="1" t="n">
        <f aca="false">IF(BP53&gt;0.5,BP53+BP53*(D_iL)-MIN(F_LoanPayM,BP53+BP53*(D_iL)),BP53)</f>
        <v>0</v>
      </c>
      <c r="BR53" s="1" t="n">
        <f aca="false">IF(BE53&gt;0.5,MIN(F_LoanPayM,BE53+BE53*(D_iL)),0)</f>
        <v>0</v>
      </c>
      <c r="BS53" s="1" t="n">
        <f aca="false">IF(BF53&gt;0.5,MIN(F_LoanPayM,BF53+BF53*(D_iL)),0)</f>
        <v>0</v>
      </c>
      <c r="BT53" s="1" t="n">
        <f aca="false">IF(BG53&gt;0.5,MIN(F_LoanPayM,BG53+BG53*(D_iL)),0)</f>
        <v>0</v>
      </c>
      <c r="BU53" s="1" t="n">
        <f aca="false">IF(BH53&gt;0.5,MIN(F_LoanPayM,BH53+BH53*(D_iL)),0)</f>
        <v>0</v>
      </c>
      <c r="BV53" s="1" t="n">
        <f aca="false">IF(BI53&gt;0.5,MIN(F_LoanPayM,BI53+BI53*(D_iL)),0)</f>
        <v>0</v>
      </c>
      <c r="BW53" s="1" t="n">
        <f aca="false">IF(BJ53&gt;0.5,MIN(F_LoanPayM,BJ53+BJ53*(D_iL)),0)</f>
        <v>0</v>
      </c>
      <c r="BX53" s="1" t="n">
        <f aca="false">IF(BK53&gt;0.5,MIN(F_LoanPayM,BK53+BK53*(D_iL)),0)</f>
        <v>0</v>
      </c>
      <c r="BY53" s="1" t="n">
        <f aca="false">IF(BL53&gt;0.5,MIN(F_LoanPayM,BL53+BL53*(D_iL)),0)</f>
        <v>0</v>
      </c>
      <c r="BZ53" s="1" t="n">
        <f aca="false">IF(BM53&gt;0.5,MIN(F_LoanPayM,BM53+BM53*(D_iL)),0)</f>
        <v>0</v>
      </c>
      <c r="CA53" s="1" t="n">
        <f aca="false">IF(BN53&gt;0.5,MIN(F_LoanPayM,BN53+BN53*(D_iL)),0)</f>
        <v>0</v>
      </c>
      <c r="CB53" s="1" t="n">
        <f aca="false">IF(BO53&gt;0.5,MIN(F_LoanPayM,BO53+BO53*(D_iL)),0)</f>
        <v>0</v>
      </c>
      <c r="CC53" s="1" t="n">
        <f aca="false">IF(BP53&gt;0.5,MIN(F_LoanPayM,BP53+BP53*(D_iL)),0)</f>
        <v>0</v>
      </c>
      <c r="CD53" s="1" t="n">
        <f aca="false">MAX(0,BQ53)</f>
        <v>0</v>
      </c>
      <c r="CE53" s="1" t="n">
        <f aca="false">SUM(BR53:CC53)</f>
        <v>0</v>
      </c>
      <c r="CF53" s="1" t="n">
        <f aca="false">IF(CF52&gt;1,DE52,CF52)</f>
        <v>0</v>
      </c>
      <c r="CG53" s="1" t="n">
        <f aca="false">IF(CF53&gt;0.5,CF53+CF53*(F_MR/12)-MIN(F_MortPayM,CF53+CF53*(F_MR/12)),CF53)</f>
        <v>0</v>
      </c>
      <c r="CH53" s="1" t="n">
        <f aca="false">IF(CG53&gt;0.5,CG53+CG53*(F_MR/12)-MIN(F_MortPayM,CG53+CG53*(F_MR/12)),CG53)</f>
        <v>0</v>
      </c>
      <c r="CI53" s="1" t="n">
        <f aca="false">IF(CH53&gt;0.5,CH53+CH53*(F_MR/12)-MIN(F_MortPayM,CH53+CH53*(F_MR/12)),CH53)</f>
        <v>0</v>
      </c>
      <c r="CJ53" s="1" t="n">
        <f aca="false">IF(CI53&gt;0.5,CI53+CI53*(F_MR/12)-MIN(F_MortPayM,CI53+CI53*(F_MR/12)),CI53)</f>
        <v>0</v>
      </c>
      <c r="CK53" s="1" t="n">
        <f aca="false">IF(CJ53&gt;0.5,CJ53+CJ53*(F_MR/12)-MIN(F_MortPayM,CJ53+CJ53*(F_MR/12)),CJ53)</f>
        <v>0</v>
      </c>
      <c r="CL53" s="1" t="n">
        <f aca="false">IF(CK53&gt;0.5,CK53+CK53*(F_MR/12)-MIN(F_MortPayM,CK53+CK53*(F_MR/12)),CK53)</f>
        <v>0</v>
      </c>
      <c r="CM53" s="1" t="n">
        <f aca="false">IF(CL53&gt;0.5,CL53+CL53*(F_MR/12)-MIN(F_MortPayM,CL53+CL53*(F_MR/12)),CL53)</f>
        <v>0</v>
      </c>
      <c r="CN53" s="1" t="n">
        <f aca="false">IF(CM53&gt;0.5,CM53+CM53*(F_MR/12)-MIN(F_MortPayM,CM53+CM53*(F_MR/12)),CM53)</f>
        <v>0</v>
      </c>
      <c r="CO53" s="1" t="n">
        <f aca="false">IF(CN53&gt;0.5,CN53+CN53*(F_MR/12)-MIN(F_MortPayM,CN53+CN53*(F_MR/12)),CN53)</f>
        <v>0</v>
      </c>
      <c r="CP53" s="1" t="n">
        <f aca="false">IF(CO53&gt;0.5,CO53+CO53*(F_MR/12)-MIN(F_MortPayM,CO53+CO53*(F_MR/12)),CO53)</f>
        <v>0</v>
      </c>
      <c r="CQ53" s="1" t="n">
        <f aca="false">IF(CP53&gt;0.5,CP53+CP53*(F_MR/12)-MIN(F_MortPayM,CP53+CP53*(F_MR/12)),CP53)</f>
        <v>0</v>
      </c>
      <c r="CR53" s="1" t="n">
        <f aca="false">IF(CQ53&gt;0.5,CQ53+CQ53*(F_MR/12)-MIN(F_MortPayM,CQ53+CQ53*(F_MR/12)),CQ53)</f>
        <v>0</v>
      </c>
      <c r="CS53" s="1" t="n">
        <f aca="false">IF(CF53&gt;0.5,MIN(F_MortPayM,CF53+CF53*(F_MR/12)),0)</f>
        <v>0</v>
      </c>
      <c r="CT53" s="1" t="n">
        <f aca="false">IF(CG53&gt;0.5,MIN(F_MortPayM,CG53+CG53*(F_MR/12)),0)</f>
        <v>0</v>
      </c>
      <c r="CU53" s="1" t="n">
        <f aca="false">IF(CH53&gt;0.5,MIN(F_MortPayM,CH53+CH53*(F_MR/12)),0)</f>
        <v>0</v>
      </c>
      <c r="CV53" s="1" t="n">
        <f aca="false">IF(CI53&gt;0.5,MIN(F_MortPayM,CI53+CI53*(F_MR/12)),0)</f>
        <v>0</v>
      </c>
      <c r="CW53" s="1" t="n">
        <f aca="false">IF(CJ53&gt;0.5,MIN(F_MortPayM,CJ53+CJ53*(F_MR/12)),0)</f>
        <v>0</v>
      </c>
      <c r="CX53" s="1" t="n">
        <f aca="false">IF(CK53&gt;0.5,MIN(F_MortPayM,CK53+CK53*(F_MR/12)),0)</f>
        <v>0</v>
      </c>
      <c r="CY53" s="1" t="n">
        <f aca="false">IF(CL53&gt;0.5,MIN(F_MortPayM,CL53+CL53*(F_MR/12)),0)</f>
        <v>0</v>
      </c>
      <c r="CZ53" s="1" t="n">
        <f aca="false">IF(CM53&gt;0.5,MIN(F_MortPayM,CM53+CM53*(F_MR/12)),0)</f>
        <v>0</v>
      </c>
      <c r="DA53" s="1" t="n">
        <f aca="false">IF(CN53&gt;0.5,MIN(F_MortPayM,CN53+CN53*(F_MR/12)),0)</f>
        <v>0</v>
      </c>
      <c r="DB53" s="1" t="n">
        <f aca="false">IF(CO53&gt;0.5,MIN(F_MortPayM,CO53+CO53*(F_MR/12)),0)</f>
        <v>0</v>
      </c>
      <c r="DC53" s="1" t="n">
        <f aca="false">IF(CP53&gt;0.5,MIN(F_MortPayM,CP53+CP53*(F_MR/12)),0)</f>
        <v>0</v>
      </c>
      <c r="DD53" s="1" t="n">
        <f aca="false">IF(CQ53&gt;0.5,MIN(F_MortPayM,CQ53+CQ53*(F_MR/12)),0)</f>
        <v>0</v>
      </c>
      <c r="DE53" s="1" t="n">
        <f aca="false">MAX(0,CR53)</f>
        <v>0</v>
      </c>
      <c r="DF53" s="1" t="n">
        <f aca="false">SUM(CS53:DD53)</f>
        <v>0</v>
      </c>
      <c r="DG53" s="1" t="n">
        <f aca="false">MAX(0,CF53)</f>
        <v>0</v>
      </c>
    </row>
    <row r="54" customFormat="false" ht="15" hidden="false" customHeight="false" outlineLevel="0" collapsed="false">
      <c r="B54" s="1" t="n">
        <v>46</v>
      </c>
      <c r="C54" s="1" t="n">
        <f aca="false">'Plan cashflow'!I54</f>
        <v>0</v>
      </c>
      <c r="D54" s="1" t="n">
        <f aca="false">IF(C54&gt;0.5,C54+C54*(F_MR/12)-MIN(F_MortPayM,C54+C54*(F_MR/12)),C54)</f>
        <v>0</v>
      </c>
      <c r="E54" s="1" t="n">
        <f aca="false">IF(D54&gt;0.5,D54+D54*(F_MR/12)-MIN(F_MortPayM,D54+D54*(F_MR/12)),D54)</f>
        <v>0</v>
      </c>
      <c r="F54" s="1" t="n">
        <f aca="false">IF(E54&gt;0.5,E54+E54*(F_MR/12)-MIN(F_MortPayM,E54+E54*(F_MR/12)),E54)</f>
        <v>0</v>
      </c>
      <c r="G54" s="1" t="n">
        <f aca="false">IF(F54&gt;0.5,F54+F54*(F_MR/12)-MIN(F_MortPayM,F54+F54*(F_MR/12)),F54)</f>
        <v>0</v>
      </c>
      <c r="H54" s="1" t="n">
        <f aca="false">IF(G54&gt;0.5,G54+G54*(F_MR/12)-MIN(F_MortPayM,G54+G54*(F_MR/12)),G54)</f>
        <v>0</v>
      </c>
      <c r="I54" s="1" t="n">
        <f aca="false">IF(H54&gt;0.5,H54+H54*(F_MR/12)-MIN(F_MortPayM,H54+H54*(F_MR/12)),H54)</f>
        <v>0</v>
      </c>
      <c r="J54" s="1" t="n">
        <f aca="false">IF(I54&gt;0.5,I54+I54*(F_MR/12)-MIN(F_MortPayM,I54+I54*(F_MR/12)),I54)</f>
        <v>0</v>
      </c>
      <c r="K54" s="1" t="n">
        <f aca="false">IF(J54&gt;0.5,J54+J54*(F_MR/12)-MIN(F_MortPayM,J54+J54*(F_MR/12)),J54)</f>
        <v>0</v>
      </c>
      <c r="L54" s="1" t="n">
        <f aca="false">IF(K54&gt;0.5,K54+K54*(F_MR/12)-MIN(F_MortPayM,K54+K54*(F_MR/12)),K54)</f>
        <v>0</v>
      </c>
      <c r="M54" s="1" t="n">
        <f aca="false">IF(L54&gt;0.5,L54+L54*(F_MR/12)-MIN(F_MortPayM,L54+L54*(F_MR/12)),L54)</f>
        <v>0</v>
      </c>
      <c r="N54" s="1" t="n">
        <f aca="false">IF(M54&gt;0.5,M54+M54*(F_MR/12)-MIN(F_MortPayM,M54+M54*(F_MR/12)),M54)</f>
        <v>0</v>
      </c>
      <c r="O54" s="1" t="n">
        <f aca="false">IF(N54&gt;0.5,N54+N54*(F_MR/12)-MIN(F_MortPayM,N54+N54*(F_MR/12)),N54)</f>
        <v>0</v>
      </c>
      <c r="P54" s="1" t="n">
        <f aca="false">IF(C54&gt;0.5,MIN(F_MortPayM,C54+C54*(F_MR/12)),0)</f>
        <v>0</v>
      </c>
      <c r="Q54" s="1" t="n">
        <f aca="false">IF(D54&gt;0.5,MIN(F_MortPayM,D54+D54*(F_MR/12)),0)</f>
        <v>0</v>
      </c>
      <c r="R54" s="1" t="n">
        <f aca="false">IF(E54&gt;0.5,MIN(F_MortPayM,E54+E54*(F_MR/12)),0)</f>
        <v>0</v>
      </c>
      <c r="S54" s="1" t="n">
        <f aca="false">IF(F54&gt;0.5,MIN(F_MortPayM,F54+F54*(F_MR/12)),0)</f>
        <v>0</v>
      </c>
      <c r="T54" s="1" t="n">
        <f aca="false">IF(G54&gt;0.5,MIN(F_MortPayM,G54+G54*(F_MR/12)),0)</f>
        <v>0</v>
      </c>
      <c r="U54" s="1" t="n">
        <f aca="false">IF(H54&gt;0.5,MIN(F_MortPayM,H54+H54*(F_MR/12)),0)</f>
        <v>0</v>
      </c>
      <c r="V54" s="1" t="n">
        <f aca="false">IF(I54&gt;0.5,MIN(F_MortPayM,I54+I54*(F_MR/12)),0)</f>
        <v>0</v>
      </c>
      <c r="W54" s="1" t="n">
        <f aca="false">IF(J54&gt;0.5,MIN(F_MortPayM,J54+J54*(F_MR/12)),0)</f>
        <v>0</v>
      </c>
      <c r="X54" s="1" t="n">
        <f aca="false">IF(K54&gt;0.5,MIN(F_MortPayM,K54+K54*(F_MR/12)),0)</f>
        <v>0</v>
      </c>
      <c r="Y54" s="1" t="n">
        <f aca="false">IF(L54&gt;0.5,MIN(F_MortPayM,L54+L54*(F_MR/12)),0)</f>
        <v>0</v>
      </c>
      <c r="Z54" s="1" t="n">
        <f aca="false">IF(M54&gt;0.5,MIN(F_MortPayM,M54+M54*(F_MR/12)),0)</f>
        <v>0</v>
      </c>
      <c r="AA54" s="1" t="n">
        <f aca="false">IF(N54&gt;0.5,MIN(F_MortPayM,N54+N54*(F_MR/12)),0)</f>
        <v>0</v>
      </c>
      <c r="AB54" s="1" t="n">
        <f aca="false">MAX(0,O54)</f>
        <v>0</v>
      </c>
      <c r="AC54" s="1" t="n">
        <f aca="false">SUM(P54:AA54)</f>
        <v>0</v>
      </c>
      <c r="AD54" s="1" t="n">
        <f aca="false">'Plan cashflow'!L54</f>
        <v>0</v>
      </c>
      <c r="AE54" s="1" t="n">
        <f aca="false">IF(AD54&gt;0.5,AD54+AD54*(D_iC)-MIN(F_CardPayM,AD54+AD54*(D_iC)),AD54)</f>
        <v>0</v>
      </c>
      <c r="AF54" s="1" t="n">
        <f aca="false">IF(AE54&gt;0.5,AE54+AE54*(D_iC)-MIN(F_CardPayM,AE54+AE54*(D_iC)),AE54)</f>
        <v>0</v>
      </c>
      <c r="AG54" s="1" t="n">
        <f aca="false">IF(AF54&gt;0.5,AF54+AF54*(D_iC)-MIN(F_CardPayM,AF54+AF54*(D_iC)),AF54)</f>
        <v>0</v>
      </c>
      <c r="AH54" s="1" t="n">
        <f aca="false">IF(AG54&gt;0.5,AG54+AG54*(D_iC)-MIN(F_CardPayM,AG54+AG54*(D_iC)),AG54)</f>
        <v>0</v>
      </c>
      <c r="AI54" s="1" t="n">
        <f aca="false">IF(AH54&gt;0.5,AH54+AH54*(D_iC)-MIN(F_CardPayM,AH54+AH54*(D_iC)),AH54)</f>
        <v>0</v>
      </c>
      <c r="AJ54" s="1" t="n">
        <f aca="false">IF(AI54&gt;0.5,AI54+AI54*(D_iC)-MIN(F_CardPayM,AI54+AI54*(D_iC)),AI54)</f>
        <v>0</v>
      </c>
      <c r="AK54" s="1" t="n">
        <f aca="false">IF(AJ54&gt;0.5,AJ54+AJ54*(D_iC)-MIN(F_CardPayM,AJ54+AJ54*(D_iC)),AJ54)</f>
        <v>0</v>
      </c>
      <c r="AL54" s="1" t="n">
        <f aca="false">IF(AK54&gt;0.5,AK54+AK54*(D_iC)-MIN(F_CardPayM,AK54+AK54*(D_iC)),AK54)</f>
        <v>0</v>
      </c>
      <c r="AM54" s="1" t="n">
        <f aca="false">IF(AL54&gt;0.5,AL54+AL54*(D_iC)-MIN(F_CardPayM,AL54+AL54*(D_iC)),AL54)</f>
        <v>0</v>
      </c>
      <c r="AN54" s="1" t="n">
        <f aca="false">IF(AM54&gt;0.5,AM54+AM54*(D_iC)-MIN(F_CardPayM,AM54+AM54*(D_iC)),AM54)</f>
        <v>0</v>
      </c>
      <c r="AO54" s="1" t="n">
        <f aca="false">IF(AN54&gt;0.5,AN54+AN54*(D_iC)-MIN(F_CardPayM,AN54+AN54*(D_iC)),AN54)</f>
        <v>0</v>
      </c>
      <c r="AP54" s="1" t="n">
        <f aca="false">IF(AO54&gt;0.5,AO54+AO54*(D_iC)-MIN(F_CardPayM,AO54+AO54*(D_iC)),AO54)</f>
        <v>0</v>
      </c>
      <c r="AQ54" s="1" t="n">
        <f aca="false">IF(AD54&gt;0.5,MIN(F_CardPayM,AD54+AD54*(D_iC)),0)</f>
        <v>0</v>
      </c>
      <c r="AR54" s="1" t="n">
        <f aca="false">IF(AE54&gt;0.5,MIN(F_CardPayM,AE54+AE54*(D_iC)),0)</f>
        <v>0</v>
      </c>
      <c r="AS54" s="1" t="n">
        <f aca="false">IF(AF54&gt;0.5,MIN(F_CardPayM,AF54+AF54*(D_iC)),0)</f>
        <v>0</v>
      </c>
      <c r="AT54" s="1" t="n">
        <f aca="false">IF(AG54&gt;0.5,MIN(F_CardPayM,AG54+AG54*(D_iC)),0)</f>
        <v>0</v>
      </c>
      <c r="AU54" s="1" t="n">
        <f aca="false">IF(AH54&gt;0.5,MIN(F_CardPayM,AH54+AH54*(D_iC)),0)</f>
        <v>0</v>
      </c>
      <c r="AV54" s="1" t="n">
        <f aca="false">IF(AI54&gt;0.5,MIN(F_CardPayM,AI54+AI54*(D_iC)),0)</f>
        <v>0</v>
      </c>
      <c r="AW54" s="1" t="n">
        <f aca="false">IF(AJ54&gt;0.5,MIN(F_CardPayM,AJ54+AJ54*(D_iC)),0)</f>
        <v>0</v>
      </c>
      <c r="AX54" s="1" t="n">
        <f aca="false">IF(AK54&gt;0.5,MIN(F_CardPayM,AK54+AK54*(D_iC)),0)</f>
        <v>0</v>
      </c>
      <c r="AY54" s="1" t="n">
        <f aca="false">IF(AL54&gt;0.5,MIN(F_CardPayM,AL54+AL54*(D_iC)),0)</f>
        <v>0</v>
      </c>
      <c r="AZ54" s="1" t="n">
        <f aca="false">IF(AM54&gt;0.5,MIN(F_CardPayM,AM54+AM54*(D_iC)),0)</f>
        <v>0</v>
      </c>
      <c r="BA54" s="1" t="n">
        <f aca="false">IF(AN54&gt;0.5,MIN(F_CardPayM,AN54+AN54*(D_iC)),0)</f>
        <v>0</v>
      </c>
      <c r="BB54" s="1" t="n">
        <f aca="false">IF(AO54&gt;0.5,MIN(F_CardPayM,AO54+AO54*(D_iC)),0)</f>
        <v>0</v>
      </c>
      <c r="BC54" s="1" t="n">
        <f aca="false">MAX(0,AP54)</f>
        <v>0</v>
      </c>
      <c r="BD54" s="1" t="n">
        <f aca="false">SUM(AQ54:BB54)</f>
        <v>0</v>
      </c>
      <c r="BE54" s="1" t="n">
        <f aca="false">'Plan cashflow'!O54</f>
        <v>0</v>
      </c>
      <c r="BF54" s="1" t="n">
        <f aca="false">IF(BE54&gt;0.5,BE54+BE54*(D_iL)-MIN(F_LoanPayM,BE54+BE54*(D_iL)),BE54)</f>
        <v>0</v>
      </c>
      <c r="BG54" s="1" t="n">
        <f aca="false">IF(BF54&gt;0.5,BF54+BF54*(D_iL)-MIN(F_LoanPayM,BF54+BF54*(D_iL)),BF54)</f>
        <v>0</v>
      </c>
      <c r="BH54" s="1" t="n">
        <f aca="false">IF(BG54&gt;0.5,BG54+BG54*(D_iL)-MIN(F_LoanPayM,BG54+BG54*(D_iL)),BG54)</f>
        <v>0</v>
      </c>
      <c r="BI54" s="1" t="n">
        <f aca="false">IF(BH54&gt;0.5,BH54+BH54*(D_iL)-MIN(F_LoanPayM,BH54+BH54*(D_iL)),BH54)</f>
        <v>0</v>
      </c>
      <c r="BJ54" s="1" t="n">
        <f aca="false">IF(BI54&gt;0.5,BI54+BI54*(D_iL)-MIN(F_LoanPayM,BI54+BI54*(D_iL)),BI54)</f>
        <v>0</v>
      </c>
      <c r="BK54" s="1" t="n">
        <f aca="false">IF(BJ54&gt;0.5,BJ54+BJ54*(D_iL)-MIN(F_LoanPayM,BJ54+BJ54*(D_iL)),BJ54)</f>
        <v>0</v>
      </c>
      <c r="BL54" s="1" t="n">
        <f aca="false">IF(BK54&gt;0.5,BK54+BK54*(D_iL)-MIN(F_LoanPayM,BK54+BK54*(D_iL)),BK54)</f>
        <v>0</v>
      </c>
      <c r="BM54" s="1" t="n">
        <f aca="false">IF(BL54&gt;0.5,BL54+BL54*(D_iL)-MIN(F_LoanPayM,BL54+BL54*(D_iL)),BL54)</f>
        <v>0</v>
      </c>
      <c r="BN54" s="1" t="n">
        <f aca="false">IF(BM54&gt;0.5,BM54+BM54*(D_iL)-MIN(F_LoanPayM,BM54+BM54*(D_iL)),BM54)</f>
        <v>0</v>
      </c>
      <c r="BO54" s="1" t="n">
        <f aca="false">IF(BN54&gt;0.5,BN54+BN54*(D_iL)-MIN(F_LoanPayM,BN54+BN54*(D_iL)),BN54)</f>
        <v>0</v>
      </c>
      <c r="BP54" s="1" t="n">
        <f aca="false">IF(BO54&gt;0.5,BO54+BO54*(D_iL)-MIN(F_LoanPayM,BO54+BO54*(D_iL)),BO54)</f>
        <v>0</v>
      </c>
      <c r="BQ54" s="1" t="n">
        <f aca="false">IF(BP54&gt;0.5,BP54+BP54*(D_iL)-MIN(F_LoanPayM,BP54+BP54*(D_iL)),BP54)</f>
        <v>0</v>
      </c>
      <c r="BR54" s="1" t="n">
        <f aca="false">IF(BE54&gt;0.5,MIN(F_LoanPayM,BE54+BE54*(D_iL)),0)</f>
        <v>0</v>
      </c>
      <c r="BS54" s="1" t="n">
        <f aca="false">IF(BF54&gt;0.5,MIN(F_LoanPayM,BF54+BF54*(D_iL)),0)</f>
        <v>0</v>
      </c>
      <c r="BT54" s="1" t="n">
        <f aca="false">IF(BG54&gt;0.5,MIN(F_LoanPayM,BG54+BG54*(D_iL)),0)</f>
        <v>0</v>
      </c>
      <c r="BU54" s="1" t="n">
        <f aca="false">IF(BH54&gt;0.5,MIN(F_LoanPayM,BH54+BH54*(D_iL)),0)</f>
        <v>0</v>
      </c>
      <c r="BV54" s="1" t="n">
        <f aca="false">IF(BI54&gt;0.5,MIN(F_LoanPayM,BI54+BI54*(D_iL)),0)</f>
        <v>0</v>
      </c>
      <c r="BW54" s="1" t="n">
        <f aca="false">IF(BJ54&gt;0.5,MIN(F_LoanPayM,BJ54+BJ54*(D_iL)),0)</f>
        <v>0</v>
      </c>
      <c r="BX54" s="1" t="n">
        <f aca="false">IF(BK54&gt;0.5,MIN(F_LoanPayM,BK54+BK54*(D_iL)),0)</f>
        <v>0</v>
      </c>
      <c r="BY54" s="1" t="n">
        <f aca="false">IF(BL54&gt;0.5,MIN(F_LoanPayM,BL54+BL54*(D_iL)),0)</f>
        <v>0</v>
      </c>
      <c r="BZ54" s="1" t="n">
        <f aca="false">IF(BM54&gt;0.5,MIN(F_LoanPayM,BM54+BM54*(D_iL)),0)</f>
        <v>0</v>
      </c>
      <c r="CA54" s="1" t="n">
        <f aca="false">IF(BN54&gt;0.5,MIN(F_LoanPayM,BN54+BN54*(D_iL)),0)</f>
        <v>0</v>
      </c>
      <c r="CB54" s="1" t="n">
        <f aca="false">IF(BO54&gt;0.5,MIN(F_LoanPayM,BO54+BO54*(D_iL)),0)</f>
        <v>0</v>
      </c>
      <c r="CC54" s="1" t="n">
        <f aca="false">IF(BP54&gt;0.5,MIN(F_LoanPayM,BP54+BP54*(D_iL)),0)</f>
        <v>0</v>
      </c>
      <c r="CD54" s="1" t="n">
        <f aca="false">MAX(0,BQ54)</f>
        <v>0</v>
      </c>
      <c r="CE54" s="1" t="n">
        <f aca="false">SUM(BR54:CC54)</f>
        <v>0</v>
      </c>
      <c r="CF54" s="1" t="n">
        <f aca="false">IF(CF53&gt;1,DE53,CF53)</f>
        <v>0</v>
      </c>
      <c r="CG54" s="1" t="n">
        <f aca="false">IF(CF54&gt;0.5,CF54+CF54*(F_MR/12)-MIN(F_MortPayM,CF54+CF54*(F_MR/12)),CF54)</f>
        <v>0</v>
      </c>
      <c r="CH54" s="1" t="n">
        <f aca="false">IF(CG54&gt;0.5,CG54+CG54*(F_MR/12)-MIN(F_MortPayM,CG54+CG54*(F_MR/12)),CG54)</f>
        <v>0</v>
      </c>
      <c r="CI54" s="1" t="n">
        <f aca="false">IF(CH54&gt;0.5,CH54+CH54*(F_MR/12)-MIN(F_MortPayM,CH54+CH54*(F_MR/12)),CH54)</f>
        <v>0</v>
      </c>
      <c r="CJ54" s="1" t="n">
        <f aca="false">IF(CI54&gt;0.5,CI54+CI54*(F_MR/12)-MIN(F_MortPayM,CI54+CI54*(F_MR/12)),CI54)</f>
        <v>0</v>
      </c>
      <c r="CK54" s="1" t="n">
        <f aca="false">IF(CJ54&gt;0.5,CJ54+CJ54*(F_MR/12)-MIN(F_MortPayM,CJ54+CJ54*(F_MR/12)),CJ54)</f>
        <v>0</v>
      </c>
      <c r="CL54" s="1" t="n">
        <f aca="false">IF(CK54&gt;0.5,CK54+CK54*(F_MR/12)-MIN(F_MortPayM,CK54+CK54*(F_MR/12)),CK54)</f>
        <v>0</v>
      </c>
      <c r="CM54" s="1" t="n">
        <f aca="false">IF(CL54&gt;0.5,CL54+CL54*(F_MR/12)-MIN(F_MortPayM,CL54+CL54*(F_MR/12)),CL54)</f>
        <v>0</v>
      </c>
      <c r="CN54" s="1" t="n">
        <f aca="false">IF(CM54&gt;0.5,CM54+CM54*(F_MR/12)-MIN(F_MortPayM,CM54+CM54*(F_MR/12)),CM54)</f>
        <v>0</v>
      </c>
      <c r="CO54" s="1" t="n">
        <f aca="false">IF(CN54&gt;0.5,CN54+CN54*(F_MR/12)-MIN(F_MortPayM,CN54+CN54*(F_MR/12)),CN54)</f>
        <v>0</v>
      </c>
      <c r="CP54" s="1" t="n">
        <f aca="false">IF(CO54&gt;0.5,CO54+CO54*(F_MR/12)-MIN(F_MortPayM,CO54+CO54*(F_MR/12)),CO54)</f>
        <v>0</v>
      </c>
      <c r="CQ54" s="1" t="n">
        <f aca="false">IF(CP54&gt;0.5,CP54+CP54*(F_MR/12)-MIN(F_MortPayM,CP54+CP54*(F_MR/12)),CP54)</f>
        <v>0</v>
      </c>
      <c r="CR54" s="1" t="n">
        <f aca="false">IF(CQ54&gt;0.5,CQ54+CQ54*(F_MR/12)-MIN(F_MortPayM,CQ54+CQ54*(F_MR/12)),CQ54)</f>
        <v>0</v>
      </c>
      <c r="CS54" s="1" t="n">
        <f aca="false">IF(CF54&gt;0.5,MIN(F_MortPayM,CF54+CF54*(F_MR/12)),0)</f>
        <v>0</v>
      </c>
      <c r="CT54" s="1" t="n">
        <f aca="false">IF(CG54&gt;0.5,MIN(F_MortPayM,CG54+CG54*(F_MR/12)),0)</f>
        <v>0</v>
      </c>
      <c r="CU54" s="1" t="n">
        <f aca="false">IF(CH54&gt;0.5,MIN(F_MortPayM,CH54+CH54*(F_MR/12)),0)</f>
        <v>0</v>
      </c>
      <c r="CV54" s="1" t="n">
        <f aca="false">IF(CI54&gt;0.5,MIN(F_MortPayM,CI54+CI54*(F_MR/12)),0)</f>
        <v>0</v>
      </c>
      <c r="CW54" s="1" t="n">
        <f aca="false">IF(CJ54&gt;0.5,MIN(F_MortPayM,CJ54+CJ54*(F_MR/12)),0)</f>
        <v>0</v>
      </c>
      <c r="CX54" s="1" t="n">
        <f aca="false">IF(CK54&gt;0.5,MIN(F_MortPayM,CK54+CK54*(F_MR/12)),0)</f>
        <v>0</v>
      </c>
      <c r="CY54" s="1" t="n">
        <f aca="false">IF(CL54&gt;0.5,MIN(F_MortPayM,CL54+CL54*(F_MR/12)),0)</f>
        <v>0</v>
      </c>
      <c r="CZ54" s="1" t="n">
        <f aca="false">IF(CM54&gt;0.5,MIN(F_MortPayM,CM54+CM54*(F_MR/12)),0)</f>
        <v>0</v>
      </c>
      <c r="DA54" s="1" t="n">
        <f aca="false">IF(CN54&gt;0.5,MIN(F_MortPayM,CN54+CN54*(F_MR/12)),0)</f>
        <v>0</v>
      </c>
      <c r="DB54" s="1" t="n">
        <f aca="false">IF(CO54&gt;0.5,MIN(F_MortPayM,CO54+CO54*(F_MR/12)),0)</f>
        <v>0</v>
      </c>
      <c r="DC54" s="1" t="n">
        <f aca="false">IF(CP54&gt;0.5,MIN(F_MortPayM,CP54+CP54*(F_MR/12)),0)</f>
        <v>0</v>
      </c>
      <c r="DD54" s="1" t="n">
        <f aca="false">IF(CQ54&gt;0.5,MIN(F_MortPayM,CQ54+CQ54*(F_MR/12)),0)</f>
        <v>0</v>
      </c>
      <c r="DE54" s="1" t="n">
        <f aca="false">MAX(0,CR54)</f>
        <v>0</v>
      </c>
      <c r="DF54" s="1" t="n">
        <f aca="false">SUM(CS54:DD54)</f>
        <v>0</v>
      </c>
      <c r="DG54" s="1" t="n">
        <f aca="false">MAX(0,CF54)</f>
        <v>0</v>
      </c>
    </row>
    <row r="55" customFormat="false" ht="15" hidden="false" customHeight="false" outlineLevel="0" collapsed="false">
      <c r="B55" s="1" t="n">
        <v>47</v>
      </c>
      <c r="C55" s="1" t="n">
        <f aca="false">'Plan cashflow'!I55</f>
        <v>0</v>
      </c>
      <c r="D55" s="1" t="n">
        <f aca="false">IF(C55&gt;0.5,C55+C55*(F_MR/12)-MIN(F_MortPayM,C55+C55*(F_MR/12)),C55)</f>
        <v>0</v>
      </c>
      <c r="E55" s="1" t="n">
        <f aca="false">IF(D55&gt;0.5,D55+D55*(F_MR/12)-MIN(F_MortPayM,D55+D55*(F_MR/12)),D55)</f>
        <v>0</v>
      </c>
      <c r="F55" s="1" t="n">
        <f aca="false">IF(E55&gt;0.5,E55+E55*(F_MR/12)-MIN(F_MortPayM,E55+E55*(F_MR/12)),E55)</f>
        <v>0</v>
      </c>
      <c r="G55" s="1" t="n">
        <f aca="false">IF(F55&gt;0.5,F55+F55*(F_MR/12)-MIN(F_MortPayM,F55+F55*(F_MR/12)),F55)</f>
        <v>0</v>
      </c>
      <c r="H55" s="1" t="n">
        <f aca="false">IF(G55&gt;0.5,G55+G55*(F_MR/12)-MIN(F_MortPayM,G55+G55*(F_MR/12)),G55)</f>
        <v>0</v>
      </c>
      <c r="I55" s="1" t="n">
        <f aca="false">IF(H55&gt;0.5,H55+H55*(F_MR/12)-MIN(F_MortPayM,H55+H55*(F_MR/12)),H55)</f>
        <v>0</v>
      </c>
      <c r="J55" s="1" t="n">
        <f aca="false">IF(I55&gt;0.5,I55+I55*(F_MR/12)-MIN(F_MortPayM,I55+I55*(F_MR/12)),I55)</f>
        <v>0</v>
      </c>
      <c r="K55" s="1" t="n">
        <f aca="false">IF(J55&gt;0.5,J55+J55*(F_MR/12)-MIN(F_MortPayM,J55+J55*(F_MR/12)),J55)</f>
        <v>0</v>
      </c>
      <c r="L55" s="1" t="n">
        <f aca="false">IF(K55&gt;0.5,K55+K55*(F_MR/12)-MIN(F_MortPayM,K55+K55*(F_MR/12)),K55)</f>
        <v>0</v>
      </c>
      <c r="M55" s="1" t="n">
        <f aca="false">IF(L55&gt;0.5,L55+L55*(F_MR/12)-MIN(F_MortPayM,L55+L55*(F_MR/12)),L55)</f>
        <v>0</v>
      </c>
      <c r="N55" s="1" t="n">
        <f aca="false">IF(M55&gt;0.5,M55+M55*(F_MR/12)-MIN(F_MortPayM,M55+M55*(F_MR/12)),M55)</f>
        <v>0</v>
      </c>
      <c r="O55" s="1" t="n">
        <f aca="false">IF(N55&gt;0.5,N55+N55*(F_MR/12)-MIN(F_MortPayM,N55+N55*(F_MR/12)),N55)</f>
        <v>0</v>
      </c>
      <c r="P55" s="1" t="n">
        <f aca="false">IF(C55&gt;0.5,MIN(F_MortPayM,C55+C55*(F_MR/12)),0)</f>
        <v>0</v>
      </c>
      <c r="Q55" s="1" t="n">
        <f aca="false">IF(D55&gt;0.5,MIN(F_MortPayM,D55+D55*(F_MR/12)),0)</f>
        <v>0</v>
      </c>
      <c r="R55" s="1" t="n">
        <f aca="false">IF(E55&gt;0.5,MIN(F_MortPayM,E55+E55*(F_MR/12)),0)</f>
        <v>0</v>
      </c>
      <c r="S55" s="1" t="n">
        <f aca="false">IF(F55&gt;0.5,MIN(F_MortPayM,F55+F55*(F_MR/12)),0)</f>
        <v>0</v>
      </c>
      <c r="T55" s="1" t="n">
        <f aca="false">IF(G55&gt;0.5,MIN(F_MortPayM,G55+G55*(F_MR/12)),0)</f>
        <v>0</v>
      </c>
      <c r="U55" s="1" t="n">
        <f aca="false">IF(H55&gt;0.5,MIN(F_MortPayM,H55+H55*(F_MR/12)),0)</f>
        <v>0</v>
      </c>
      <c r="V55" s="1" t="n">
        <f aca="false">IF(I55&gt;0.5,MIN(F_MortPayM,I55+I55*(F_MR/12)),0)</f>
        <v>0</v>
      </c>
      <c r="W55" s="1" t="n">
        <f aca="false">IF(J55&gt;0.5,MIN(F_MortPayM,J55+J55*(F_MR/12)),0)</f>
        <v>0</v>
      </c>
      <c r="X55" s="1" t="n">
        <f aca="false">IF(K55&gt;0.5,MIN(F_MortPayM,K55+K55*(F_MR/12)),0)</f>
        <v>0</v>
      </c>
      <c r="Y55" s="1" t="n">
        <f aca="false">IF(L55&gt;0.5,MIN(F_MortPayM,L55+L55*(F_MR/12)),0)</f>
        <v>0</v>
      </c>
      <c r="Z55" s="1" t="n">
        <f aca="false">IF(M55&gt;0.5,MIN(F_MortPayM,M55+M55*(F_MR/12)),0)</f>
        <v>0</v>
      </c>
      <c r="AA55" s="1" t="n">
        <f aca="false">IF(N55&gt;0.5,MIN(F_MortPayM,N55+N55*(F_MR/12)),0)</f>
        <v>0</v>
      </c>
      <c r="AB55" s="1" t="n">
        <f aca="false">MAX(0,O55)</f>
        <v>0</v>
      </c>
      <c r="AC55" s="1" t="n">
        <f aca="false">SUM(P55:AA55)</f>
        <v>0</v>
      </c>
      <c r="AD55" s="1" t="n">
        <f aca="false">'Plan cashflow'!L55</f>
        <v>0</v>
      </c>
      <c r="AE55" s="1" t="n">
        <f aca="false">IF(AD55&gt;0.5,AD55+AD55*(D_iC)-MIN(F_CardPayM,AD55+AD55*(D_iC)),AD55)</f>
        <v>0</v>
      </c>
      <c r="AF55" s="1" t="n">
        <f aca="false">IF(AE55&gt;0.5,AE55+AE55*(D_iC)-MIN(F_CardPayM,AE55+AE55*(D_iC)),AE55)</f>
        <v>0</v>
      </c>
      <c r="AG55" s="1" t="n">
        <f aca="false">IF(AF55&gt;0.5,AF55+AF55*(D_iC)-MIN(F_CardPayM,AF55+AF55*(D_iC)),AF55)</f>
        <v>0</v>
      </c>
      <c r="AH55" s="1" t="n">
        <f aca="false">IF(AG55&gt;0.5,AG55+AG55*(D_iC)-MIN(F_CardPayM,AG55+AG55*(D_iC)),AG55)</f>
        <v>0</v>
      </c>
      <c r="AI55" s="1" t="n">
        <f aca="false">IF(AH55&gt;0.5,AH55+AH55*(D_iC)-MIN(F_CardPayM,AH55+AH55*(D_iC)),AH55)</f>
        <v>0</v>
      </c>
      <c r="AJ55" s="1" t="n">
        <f aca="false">IF(AI55&gt;0.5,AI55+AI55*(D_iC)-MIN(F_CardPayM,AI55+AI55*(D_iC)),AI55)</f>
        <v>0</v>
      </c>
      <c r="AK55" s="1" t="n">
        <f aca="false">IF(AJ55&gt;0.5,AJ55+AJ55*(D_iC)-MIN(F_CardPayM,AJ55+AJ55*(D_iC)),AJ55)</f>
        <v>0</v>
      </c>
      <c r="AL55" s="1" t="n">
        <f aca="false">IF(AK55&gt;0.5,AK55+AK55*(D_iC)-MIN(F_CardPayM,AK55+AK55*(D_iC)),AK55)</f>
        <v>0</v>
      </c>
      <c r="AM55" s="1" t="n">
        <f aca="false">IF(AL55&gt;0.5,AL55+AL55*(D_iC)-MIN(F_CardPayM,AL55+AL55*(D_iC)),AL55)</f>
        <v>0</v>
      </c>
      <c r="AN55" s="1" t="n">
        <f aca="false">IF(AM55&gt;0.5,AM55+AM55*(D_iC)-MIN(F_CardPayM,AM55+AM55*(D_iC)),AM55)</f>
        <v>0</v>
      </c>
      <c r="AO55" s="1" t="n">
        <f aca="false">IF(AN55&gt;0.5,AN55+AN55*(D_iC)-MIN(F_CardPayM,AN55+AN55*(D_iC)),AN55)</f>
        <v>0</v>
      </c>
      <c r="AP55" s="1" t="n">
        <f aca="false">IF(AO55&gt;0.5,AO55+AO55*(D_iC)-MIN(F_CardPayM,AO55+AO55*(D_iC)),AO55)</f>
        <v>0</v>
      </c>
      <c r="AQ55" s="1" t="n">
        <f aca="false">IF(AD55&gt;0.5,MIN(F_CardPayM,AD55+AD55*(D_iC)),0)</f>
        <v>0</v>
      </c>
      <c r="AR55" s="1" t="n">
        <f aca="false">IF(AE55&gt;0.5,MIN(F_CardPayM,AE55+AE55*(D_iC)),0)</f>
        <v>0</v>
      </c>
      <c r="AS55" s="1" t="n">
        <f aca="false">IF(AF55&gt;0.5,MIN(F_CardPayM,AF55+AF55*(D_iC)),0)</f>
        <v>0</v>
      </c>
      <c r="AT55" s="1" t="n">
        <f aca="false">IF(AG55&gt;0.5,MIN(F_CardPayM,AG55+AG55*(D_iC)),0)</f>
        <v>0</v>
      </c>
      <c r="AU55" s="1" t="n">
        <f aca="false">IF(AH55&gt;0.5,MIN(F_CardPayM,AH55+AH55*(D_iC)),0)</f>
        <v>0</v>
      </c>
      <c r="AV55" s="1" t="n">
        <f aca="false">IF(AI55&gt;0.5,MIN(F_CardPayM,AI55+AI55*(D_iC)),0)</f>
        <v>0</v>
      </c>
      <c r="AW55" s="1" t="n">
        <f aca="false">IF(AJ55&gt;0.5,MIN(F_CardPayM,AJ55+AJ55*(D_iC)),0)</f>
        <v>0</v>
      </c>
      <c r="AX55" s="1" t="n">
        <f aca="false">IF(AK55&gt;0.5,MIN(F_CardPayM,AK55+AK55*(D_iC)),0)</f>
        <v>0</v>
      </c>
      <c r="AY55" s="1" t="n">
        <f aca="false">IF(AL55&gt;0.5,MIN(F_CardPayM,AL55+AL55*(D_iC)),0)</f>
        <v>0</v>
      </c>
      <c r="AZ55" s="1" t="n">
        <f aca="false">IF(AM55&gt;0.5,MIN(F_CardPayM,AM55+AM55*(D_iC)),0)</f>
        <v>0</v>
      </c>
      <c r="BA55" s="1" t="n">
        <f aca="false">IF(AN55&gt;0.5,MIN(F_CardPayM,AN55+AN55*(D_iC)),0)</f>
        <v>0</v>
      </c>
      <c r="BB55" s="1" t="n">
        <f aca="false">IF(AO55&gt;0.5,MIN(F_CardPayM,AO55+AO55*(D_iC)),0)</f>
        <v>0</v>
      </c>
      <c r="BC55" s="1" t="n">
        <f aca="false">MAX(0,AP55)</f>
        <v>0</v>
      </c>
      <c r="BD55" s="1" t="n">
        <f aca="false">SUM(AQ55:BB55)</f>
        <v>0</v>
      </c>
      <c r="BE55" s="1" t="n">
        <f aca="false">'Plan cashflow'!O55</f>
        <v>0</v>
      </c>
      <c r="BF55" s="1" t="n">
        <f aca="false">IF(BE55&gt;0.5,BE55+BE55*(D_iL)-MIN(F_LoanPayM,BE55+BE55*(D_iL)),BE55)</f>
        <v>0</v>
      </c>
      <c r="BG55" s="1" t="n">
        <f aca="false">IF(BF55&gt;0.5,BF55+BF55*(D_iL)-MIN(F_LoanPayM,BF55+BF55*(D_iL)),BF55)</f>
        <v>0</v>
      </c>
      <c r="BH55" s="1" t="n">
        <f aca="false">IF(BG55&gt;0.5,BG55+BG55*(D_iL)-MIN(F_LoanPayM,BG55+BG55*(D_iL)),BG55)</f>
        <v>0</v>
      </c>
      <c r="BI55" s="1" t="n">
        <f aca="false">IF(BH55&gt;0.5,BH55+BH55*(D_iL)-MIN(F_LoanPayM,BH55+BH55*(D_iL)),BH55)</f>
        <v>0</v>
      </c>
      <c r="BJ55" s="1" t="n">
        <f aca="false">IF(BI55&gt;0.5,BI55+BI55*(D_iL)-MIN(F_LoanPayM,BI55+BI55*(D_iL)),BI55)</f>
        <v>0</v>
      </c>
      <c r="BK55" s="1" t="n">
        <f aca="false">IF(BJ55&gt;0.5,BJ55+BJ55*(D_iL)-MIN(F_LoanPayM,BJ55+BJ55*(D_iL)),BJ55)</f>
        <v>0</v>
      </c>
      <c r="BL55" s="1" t="n">
        <f aca="false">IF(BK55&gt;0.5,BK55+BK55*(D_iL)-MIN(F_LoanPayM,BK55+BK55*(D_iL)),BK55)</f>
        <v>0</v>
      </c>
      <c r="BM55" s="1" t="n">
        <f aca="false">IF(BL55&gt;0.5,BL55+BL55*(D_iL)-MIN(F_LoanPayM,BL55+BL55*(D_iL)),BL55)</f>
        <v>0</v>
      </c>
      <c r="BN55" s="1" t="n">
        <f aca="false">IF(BM55&gt;0.5,BM55+BM55*(D_iL)-MIN(F_LoanPayM,BM55+BM55*(D_iL)),BM55)</f>
        <v>0</v>
      </c>
      <c r="BO55" s="1" t="n">
        <f aca="false">IF(BN55&gt;0.5,BN55+BN55*(D_iL)-MIN(F_LoanPayM,BN55+BN55*(D_iL)),BN55)</f>
        <v>0</v>
      </c>
      <c r="BP55" s="1" t="n">
        <f aca="false">IF(BO55&gt;0.5,BO55+BO55*(D_iL)-MIN(F_LoanPayM,BO55+BO55*(D_iL)),BO55)</f>
        <v>0</v>
      </c>
      <c r="BQ55" s="1" t="n">
        <f aca="false">IF(BP55&gt;0.5,BP55+BP55*(D_iL)-MIN(F_LoanPayM,BP55+BP55*(D_iL)),BP55)</f>
        <v>0</v>
      </c>
      <c r="BR55" s="1" t="n">
        <f aca="false">IF(BE55&gt;0.5,MIN(F_LoanPayM,BE55+BE55*(D_iL)),0)</f>
        <v>0</v>
      </c>
      <c r="BS55" s="1" t="n">
        <f aca="false">IF(BF55&gt;0.5,MIN(F_LoanPayM,BF55+BF55*(D_iL)),0)</f>
        <v>0</v>
      </c>
      <c r="BT55" s="1" t="n">
        <f aca="false">IF(BG55&gt;0.5,MIN(F_LoanPayM,BG55+BG55*(D_iL)),0)</f>
        <v>0</v>
      </c>
      <c r="BU55" s="1" t="n">
        <f aca="false">IF(BH55&gt;0.5,MIN(F_LoanPayM,BH55+BH55*(D_iL)),0)</f>
        <v>0</v>
      </c>
      <c r="BV55" s="1" t="n">
        <f aca="false">IF(BI55&gt;0.5,MIN(F_LoanPayM,BI55+BI55*(D_iL)),0)</f>
        <v>0</v>
      </c>
      <c r="BW55" s="1" t="n">
        <f aca="false">IF(BJ55&gt;0.5,MIN(F_LoanPayM,BJ55+BJ55*(D_iL)),0)</f>
        <v>0</v>
      </c>
      <c r="BX55" s="1" t="n">
        <f aca="false">IF(BK55&gt;0.5,MIN(F_LoanPayM,BK55+BK55*(D_iL)),0)</f>
        <v>0</v>
      </c>
      <c r="BY55" s="1" t="n">
        <f aca="false">IF(BL55&gt;0.5,MIN(F_LoanPayM,BL55+BL55*(D_iL)),0)</f>
        <v>0</v>
      </c>
      <c r="BZ55" s="1" t="n">
        <f aca="false">IF(BM55&gt;0.5,MIN(F_LoanPayM,BM55+BM55*(D_iL)),0)</f>
        <v>0</v>
      </c>
      <c r="CA55" s="1" t="n">
        <f aca="false">IF(BN55&gt;0.5,MIN(F_LoanPayM,BN55+BN55*(D_iL)),0)</f>
        <v>0</v>
      </c>
      <c r="CB55" s="1" t="n">
        <f aca="false">IF(BO55&gt;0.5,MIN(F_LoanPayM,BO55+BO55*(D_iL)),0)</f>
        <v>0</v>
      </c>
      <c r="CC55" s="1" t="n">
        <f aca="false">IF(BP55&gt;0.5,MIN(F_LoanPayM,BP55+BP55*(D_iL)),0)</f>
        <v>0</v>
      </c>
      <c r="CD55" s="1" t="n">
        <f aca="false">MAX(0,BQ55)</f>
        <v>0</v>
      </c>
      <c r="CE55" s="1" t="n">
        <f aca="false">SUM(BR55:CC55)</f>
        <v>0</v>
      </c>
      <c r="CF55" s="1" t="n">
        <f aca="false">IF(CF54&gt;1,DE54,CF54)</f>
        <v>0</v>
      </c>
      <c r="CG55" s="1" t="n">
        <f aca="false">IF(CF55&gt;0.5,CF55+CF55*(F_MR/12)-MIN(F_MortPayM,CF55+CF55*(F_MR/12)),CF55)</f>
        <v>0</v>
      </c>
      <c r="CH55" s="1" t="n">
        <f aca="false">IF(CG55&gt;0.5,CG55+CG55*(F_MR/12)-MIN(F_MortPayM,CG55+CG55*(F_MR/12)),CG55)</f>
        <v>0</v>
      </c>
      <c r="CI55" s="1" t="n">
        <f aca="false">IF(CH55&gt;0.5,CH55+CH55*(F_MR/12)-MIN(F_MortPayM,CH55+CH55*(F_MR/12)),CH55)</f>
        <v>0</v>
      </c>
      <c r="CJ55" s="1" t="n">
        <f aca="false">IF(CI55&gt;0.5,CI55+CI55*(F_MR/12)-MIN(F_MortPayM,CI55+CI55*(F_MR/12)),CI55)</f>
        <v>0</v>
      </c>
      <c r="CK55" s="1" t="n">
        <f aca="false">IF(CJ55&gt;0.5,CJ55+CJ55*(F_MR/12)-MIN(F_MortPayM,CJ55+CJ55*(F_MR/12)),CJ55)</f>
        <v>0</v>
      </c>
      <c r="CL55" s="1" t="n">
        <f aca="false">IF(CK55&gt;0.5,CK55+CK55*(F_MR/12)-MIN(F_MortPayM,CK55+CK55*(F_MR/12)),CK55)</f>
        <v>0</v>
      </c>
      <c r="CM55" s="1" t="n">
        <f aca="false">IF(CL55&gt;0.5,CL55+CL55*(F_MR/12)-MIN(F_MortPayM,CL55+CL55*(F_MR/12)),CL55)</f>
        <v>0</v>
      </c>
      <c r="CN55" s="1" t="n">
        <f aca="false">IF(CM55&gt;0.5,CM55+CM55*(F_MR/12)-MIN(F_MortPayM,CM55+CM55*(F_MR/12)),CM55)</f>
        <v>0</v>
      </c>
      <c r="CO55" s="1" t="n">
        <f aca="false">IF(CN55&gt;0.5,CN55+CN55*(F_MR/12)-MIN(F_MortPayM,CN55+CN55*(F_MR/12)),CN55)</f>
        <v>0</v>
      </c>
      <c r="CP55" s="1" t="n">
        <f aca="false">IF(CO55&gt;0.5,CO55+CO55*(F_MR/12)-MIN(F_MortPayM,CO55+CO55*(F_MR/12)),CO55)</f>
        <v>0</v>
      </c>
      <c r="CQ55" s="1" t="n">
        <f aca="false">IF(CP55&gt;0.5,CP55+CP55*(F_MR/12)-MIN(F_MortPayM,CP55+CP55*(F_MR/12)),CP55)</f>
        <v>0</v>
      </c>
      <c r="CR55" s="1" t="n">
        <f aca="false">IF(CQ55&gt;0.5,CQ55+CQ55*(F_MR/12)-MIN(F_MortPayM,CQ55+CQ55*(F_MR/12)),CQ55)</f>
        <v>0</v>
      </c>
      <c r="CS55" s="1" t="n">
        <f aca="false">IF(CF55&gt;0.5,MIN(F_MortPayM,CF55+CF55*(F_MR/12)),0)</f>
        <v>0</v>
      </c>
      <c r="CT55" s="1" t="n">
        <f aca="false">IF(CG55&gt;0.5,MIN(F_MortPayM,CG55+CG55*(F_MR/12)),0)</f>
        <v>0</v>
      </c>
      <c r="CU55" s="1" t="n">
        <f aca="false">IF(CH55&gt;0.5,MIN(F_MortPayM,CH55+CH55*(F_MR/12)),0)</f>
        <v>0</v>
      </c>
      <c r="CV55" s="1" t="n">
        <f aca="false">IF(CI55&gt;0.5,MIN(F_MortPayM,CI55+CI55*(F_MR/12)),0)</f>
        <v>0</v>
      </c>
      <c r="CW55" s="1" t="n">
        <f aca="false">IF(CJ55&gt;0.5,MIN(F_MortPayM,CJ55+CJ55*(F_MR/12)),0)</f>
        <v>0</v>
      </c>
      <c r="CX55" s="1" t="n">
        <f aca="false">IF(CK55&gt;0.5,MIN(F_MortPayM,CK55+CK55*(F_MR/12)),0)</f>
        <v>0</v>
      </c>
      <c r="CY55" s="1" t="n">
        <f aca="false">IF(CL55&gt;0.5,MIN(F_MortPayM,CL55+CL55*(F_MR/12)),0)</f>
        <v>0</v>
      </c>
      <c r="CZ55" s="1" t="n">
        <f aca="false">IF(CM55&gt;0.5,MIN(F_MortPayM,CM55+CM55*(F_MR/12)),0)</f>
        <v>0</v>
      </c>
      <c r="DA55" s="1" t="n">
        <f aca="false">IF(CN55&gt;0.5,MIN(F_MortPayM,CN55+CN55*(F_MR/12)),0)</f>
        <v>0</v>
      </c>
      <c r="DB55" s="1" t="n">
        <f aca="false">IF(CO55&gt;0.5,MIN(F_MortPayM,CO55+CO55*(F_MR/12)),0)</f>
        <v>0</v>
      </c>
      <c r="DC55" s="1" t="n">
        <f aca="false">IF(CP55&gt;0.5,MIN(F_MortPayM,CP55+CP55*(F_MR/12)),0)</f>
        <v>0</v>
      </c>
      <c r="DD55" s="1" t="n">
        <f aca="false">IF(CQ55&gt;0.5,MIN(F_MortPayM,CQ55+CQ55*(F_MR/12)),0)</f>
        <v>0</v>
      </c>
      <c r="DE55" s="1" t="n">
        <f aca="false">MAX(0,CR55)</f>
        <v>0</v>
      </c>
      <c r="DF55" s="1" t="n">
        <f aca="false">SUM(CS55:DD55)</f>
        <v>0</v>
      </c>
      <c r="DG55" s="1" t="n">
        <f aca="false">MAX(0,CF55)</f>
        <v>0</v>
      </c>
    </row>
    <row r="56" customFormat="false" ht="15" hidden="false" customHeight="false" outlineLevel="0" collapsed="false">
      <c r="B56" s="1" t="n">
        <v>48</v>
      </c>
      <c r="C56" s="1" t="n">
        <f aca="false">'Plan cashflow'!I56</f>
        <v>0</v>
      </c>
      <c r="D56" s="1" t="n">
        <f aca="false">IF(C56&gt;0.5,C56+C56*(F_MR/12)-MIN(F_MortPayM,C56+C56*(F_MR/12)),C56)</f>
        <v>0</v>
      </c>
      <c r="E56" s="1" t="n">
        <f aca="false">IF(D56&gt;0.5,D56+D56*(F_MR/12)-MIN(F_MortPayM,D56+D56*(F_MR/12)),D56)</f>
        <v>0</v>
      </c>
      <c r="F56" s="1" t="n">
        <f aca="false">IF(E56&gt;0.5,E56+E56*(F_MR/12)-MIN(F_MortPayM,E56+E56*(F_MR/12)),E56)</f>
        <v>0</v>
      </c>
      <c r="G56" s="1" t="n">
        <f aca="false">IF(F56&gt;0.5,F56+F56*(F_MR/12)-MIN(F_MortPayM,F56+F56*(F_MR/12)),F56)</f>
        <v>0</v>
      </c>
      <c r="H56" s="1" t="n">
        <f aca="false">IF(G56&gt;0.5,G56+G56*(F_MR/12)-MIN(F_MortPayM,G56+G56*(F_MR/12)),G56)</f>
        <v>0</v>
      </c>
      <c r="I56" s="1" t="n">
        <f aca="false">IF(H56&gt;0.5,H56+H56*(F_MR/12)-MIN(F_MortPayM,H56+H56*(F_MR/12)),H56)</f>
        <v>0</v>
      </c>
      <c r="J56" s="1" t="n">
        <f aca="false">IF(I56&gt;0.5,I56+I56*(F_MR/12)-MIN(F_MortPayM,I56+I56*(F_MR/12)),I56)</f>
        <v>0</v>
      </c>
      <c r="K56" s="1" t="n">
        <f aca="false">IF(J56&gt;0.5,J56+J56*(F_MR/12)-MIN(F_MortPayM,J56+J56*(F_MR/12)),J56)</f>
        <v>0</v>
      </c>
      <c r="L56" s="1" t="n">
        <f aca="false">IF(K56&gt;0.5,K56+K56*(F_MR/12)-MIN(F_MortPayM,K56+K56*(F_MR/12)),K56)</f>
        <v>0</v>
      </c>
      <c r="M56" s="1" t="n">
        <f aca="false">IF(L56&gt;0.5,L56+L56*(F_MR/12)-MIN(F_MortPayM,L56+L56*(F_MR/12)),L56)</f>
        <v>0</v>
      </c>
      <c r="N56" s="1" t="n">
        <f aca="false">IF(M56&gt;0.5,M56+M56*(F_MR/12)-MIN(F_MortPayM,M56+M56*(F_MR/12)),M56)</f>
        <v>0</v>
      </c>
      <c r="O56" s="1" t="n">
        <f aca="false">IF(N56&gt;0.5,N56+N56*(F_MR/12)-MIN(F_MortPayM,N56+N56*(F_MR/12)),N56)</f>
        <v>0</v>
      </c>
      <c r="P56" s="1" t="n">
        <f aca="false">IF(C56&gt;0.5,MIN(F_MortPayM,C56+C56*(F_MR/12)),0)</f>
        <v>0</v>
      </c>
      <c r="Q56" s="1" t="n">
        <f aca="false">IF(D56&gt;0.5,MIN(F_MortPayM,D56+D56*(F_MR/12)),0)</f>
        <v>0</v>
      </c>
      <c r="R56" s="1" t="n">
        <f aca="false">IF(E56&gt;0.5,MIN(F_MortPayM,E56+E56*(F_MR/12)),0)</f>
        <v>0</v>
      </c>
      <c r="S56" s="1" t="n">
        <f aca="false">IF(F56&gt;0.5,MIN(F_MortPayM,F56+F56*(F_MR/12)),0)</f>
        <v>0</v>
      </c>
      <c r="T56" s="1" t="n">
        <f aca="false">IF(G56&gt;0.5,MIN(F_MortPayM,G56+G56*(F_MR/12)),0)</f>
        <v>0</v>
      </c>
      <c r="U56" s="1" t="n">
        <f aca="false">IF(H56&gt;0.5,MIN(F_MortPayM,H56+H56*(F_MR/12)),0)</f>
        <v>0</v>
      </c>
      <c r="V56" s="1" t="n">
        <f aca="false">IF(I56&gt;0.5,MIN(F_MortPayM,I56+I56*(F_MR/12)),0)</f>
        <v>0</v>
      </c>
      <c r="W56" s="1" t="n">
        <f aca="false">IF(J56&gt;0.5,MIN(F_MortPayM,J56+J56*(F_MR/12)),0)</f>
        <v>0</v>
      </c>
      <c r="X56" s="1" t="n">
        <f aca="false">IF(K56&gt;0.5,MIN(F_MortPayM,K56+K56*(F_MR/12)),0)</f>
        <v>0</v>
      </c>
      <c r="Y56" s="1" t="n">
        <f aca="false">IF(L56&gt;0.5,MIN(F_MortPayM,L56+L56*(F_MR/12)),0)</f>
        <v>0</v>
      </c>
      <c r="Z56" s="1" t="n">
        <f aca="false">IF(M56&gt;0.5,MIN(F_MortPayM,M56+M56*(F_MR/12)),0)</f>
        <v>0</v>
      </c>
      <c r="AA56" s="1" t="n">
        <f aca="false">IF(N56&gt;0.5,MIN(F_MortPayM,N56+N56*(F_MR/12)),0)</f>
        <v>0</v>
      </c>
      <c r="AB56" s="1" t="n">
        <f aca="false">MAX(0,O56)</f>
        <v>0</v>
      </c>
      <c r="AC56" s="1" t="n">
        <f aca="false">SUM(P56:AA56)</f>
        <v>0</v>
      </c>
      <c r="AD56" s="1" t="n">
        <f aca="false">'Plan cashflow'!L56</f>
        <v>0</v>
      </c>
      <c r="AE56" s="1" t="n">
        <f aca="false">IF(AD56&gt;0.5,AD56+AD56*(D_iC)-MIN(F_CardPayM,AD56+AD56*(D_iC)),AD56)</f>
        <v>0</v>
      </c>
      <c r="AF56" s="1" t="n">
        <f aca="false">IF(AE56&gt;0.5,AE56+AE56*(D_iC)-MIN(F_CardPayM,AE56+AE56*(D_iC)),AE56)</f>
        <v>0</v>
      </c>
      <c r="AG56" s="1" t="n">
        <f aca="false">IF(AF56&gt;0.5,AF56+AF56*(D_iC)-MIN(F_CardPayM,AF56+AF56*(D_iC)),AF56)</f>
        <v>0</v>
      </c>
      <c r="AH56" s="1" t="n">
        <f aca="false">IF(AG56&gt;0.5,AG56+AG56*(D_iC)-MIN(F_CardPayM,AG56+AG56*(D_iC)),AG56)</f>
        <v>0</v>
      </c>
      <c r="AI56" s="1" t="n">
        <f aca="false">IF(AH56&gt;0.5,AH56+AH56*(D_iC)-MIN(F_CardPayM,AH56+AH56*(D_iC)),AH56)</f>
        <v>0</v>
      </c>
      <c r="AJ56" s="1" t="n">
        <f aca="false">IF(AI56&gt;0.5,AI56+AI56*(D_iC)-MIN(F_CardPayM,AI56+AI56*(D_iC)),AI56)</f>
        <v>0</v>
      </c>
      <c r="AK56" s="1" t="n">
        <f aca="false">IF(AJ56&gt;0.5,AJ56+AJ56*(D_iC)-MIN(F_CardPayM,AJ56+AJ56*(D_iC)),AJ56)</f>
        <v>0</v>
      </c>
      <c r="AL56" s="1" t="n">
        <f aca="false">IF(AK56&gt;0.5,AK56+AK56*(D_iC)-MIN(F_CardPayM,AK56+AK56*(D_iC)),AK56)</f>
        <v>0</v>
      </c>
      <c r="AM56" s="1" t="n">
        <f aca="false">IF(AL56&gt;0.5,AL56+AL56*(D_iC)-MIN(F_CardPayM,AL56+AL56*(D_iC)),AL56)</f>
        <v>0</v>
      </c>
      <c r="AN56" s="1" t="n">
        <f aca="false">IF(AM56&gt;0.5,AM56+AM56*(D_iC)-MIN(F_CardPayM,AM56+AM56*(D_iC)),AM56)</f>
        <v>0</v>
      </c>
      <c r="AO56" s="1" t="n">
        <f aca="false">IF(AN56&gt;0.5,AN56+AN56*(D_iC)-MIN(F_CardPayM,AN56+AN56*(D_iC)),AN56)</f>
        <v>0</v>
      </c>
      <c r="AP56" s="1" t="n">
        <f aca="false">IF(AO56&gt;0.5,AO56+AO56*(D_iC)-MIN(F_CardPayM,AO56+AO56*(D_iC)),AO56)</f>
        <v>0</v>
      </c>
      <c r="AQ56" s="1" t="n">
        <f aca="false">IF(AD56&gt;0.5,MIN(F_CardPayM,AD56+AD56*(D_iC)),0)</f>
        <v>0</v>
      </c>
      <c r="AR56" s="1" t="n">
        <f aca="false">IF(AE56&gt;0.5,MIN(F_CardPayM,AE56+AE56*(D_iC)),0)</f>
        <v>0</v>
      </c>
      <c r="AS56" s="1" t="n">
        <f aca="false">IF(AF56&gt;0.5,MIN(F_CardPayM,AF56+AF56*(D_iC)),0)</f>
        <v>0</v>
      </c>
      <c r="AT56" s="1" t="n">
        <f aca="false">IF(AG56&gt;0.5,MIN(F_CardPayM,AG56+AG56*(D_iC)),0)</f>
        <v>0</v>
      </c>
      <c r="AU56" s="1" t="n">
        <f aca="false">IF(AH56&gt;0.5,MIN(F_CardPayM,AH56+AH56*(D_iC)),0)</f>
        <v>0</v>
      </c>
      <c r="AV56" s="1" t="n">
        <f aca="false">IF(AI56&gt;0.5,MIN(F_CardPayM,AI56+AI56*(D_iC)),0)</f>
        <v>0</v>
      </c>
      <c r="AW56" s="1" t="n">
        <f aca="false">IF(AJ56&gt;0.5,MIN(F_CardPayM,AJ56+AJ56*(D_iC)),0)</f>
        <v>0</v>
      </c>
      <c r="AX56" s="1" t="n">
        <f aca="false">IF(AK56&gt;0.5,MIN(F_CardPayM,AK56+AK56*(D_iC)),0)</f>
        <v>0</v>
      </c>
      <c r="AY56" s="1" t="n">
        <f aca="false">IF(AL56&gt;0.5,MIN(F_CardPayM,AL56+AL56*(D_iC)),0)</f>
        <v>0</v>
      </c>
      <c r="AZ56" s="1" t="n">
        <f aca="false">IF(AM56&gt;0.5,MIN(F_CardPayM,AM56+AM56*(D_iC)),0)</f>
        <v>0</v>
      </c>
      <c r="BA56" s="1" t="n">
        <f aca="false">IF(AN56&gt;0.5,MIN(F_CardPayM,AN56+AN56*(D_iC)),0)</f>
        <v>0</v>
      </c>
      <c r="BB56" s="1" t="n">
        <f aca="false">IF(AO56&gt;0.5,MIN(F_CardPayM,AO56+AO56*(D_iC)),0)</f>
        <v>0</v>
      </c>
      <c r="BC56" s="1" t="n">
        <f aca="false">MAX(0,AP56)</f>
        <v>0</v>
      </c>
      <c r="BD56" s="1" t="n">
        <f aca="false">SUM(AQ56:BB56)</f>
        <v>0</v>
      </c>
      <c r="BE56" s="1" t="n">
        <f aca="false">'Plan cashflow'!O56</f>
        <v>0</v>
      </c>
      <c r="BF56" s="1" t="n">
        <f aca="false">IF(BE56&gt;0.5,BE56+BE56*(D_iL)-MIN(F_LoanPayM,BE56+BE56*(D_iL)),BE56)</f>
        <v>0</v>
      </c>
      <c r="BG56" s="1" t="n">
        <f aca="false">IF(BF56&gt;0.5,BF56+BF56*(D_iL)-MIN(F_LoanPayM,BF56+BF56*(D_iL)),BF56)</f>
        <v>0</v>
      </c>
      <c r="BH56" s="1" t="n">
        <f aca="false">IF(BG56&gt;0.5,BG56+BG56*(D_iL)-MIN(F_LoanPayM,BG56+BG56*(D_iL)),BG56)</f>
        <v>0</v>
      </c>
      <c r="BI56" s="1" t="n">
        <f aca="false">IF(BH56&gt;0.5,BH56+BH56*(D_iL)-MIN(F_LoanPayM,BH56+BH56*(D_iL)),BH56)</f>
        <v>0</v>
      </c>
      <c r="BJ56" s="1" t="n">
        <f aca="false">IF(BI56&gt;0.5,BI56+BI56*(D_iL)-MIN(F_LoanPayM,BI56+BI56*(D_iL)),BI56)</f>
        <v>0</v>
      </c>
      <c r="BK56" s="1" t="n">
        <f aca="false">IF(BJ56&gt;0.5,BJ56+BJ56*(D_iL)-MIN(F_LoanPayM,BJ56+BJ56*(D_iL)),BJ56)</f>
        <v>0</v>
      </c>
      <c r="BL56" s="1" t="n">
        <f aca="false">IF(BK56&gt;0.5,BK56+BK56*(D_iL)-MIN(F_LoanPayM,BK56+BK56*(D_iL)),BK56)</f>
        <v>0</v>
      </c>
      <c r="BM56" s="1" t="n">
        <f aca="false">IF(BL56&gt;0.5,BL56+BL56*(D_iL)-MIN(F_LoanPayM,BL56+BL56*(D_iL)),BL56)</f>
        <v>0</v>
      </c>
      <c r="BN56" s="1" t="n">
        <f aca="false">IF(BM56&gt;0.5,BM56+BM56*(D_iL)-MIN(F_LoanPayM,BM56+BM56*(D_iL)),BM56)</f>
        <v>0</v>
      </c>
      <c r="BO56" s="1" t="n">
        <f aca="false">IF(BN56&gt;0.5,BN56+BN56*(D_iL)-MIN(F_LoanPayM,BN56+BN56*(D_iL)),BN56)</f>
        <v>0</v>
      </c>
      <c r="BP56" s="1" t="n">
        <f aca="false">IF(BO56&gt;0.5,BO56+BO56*(D_iL)-MIN(F_LoanPayM,BO56+BO56*(D_iL)),BO56)</f>
        <v>0</v>
      </c>
      <c r="BQ56" s="1" t="n">
        <f aca="false">IF(BP56&gt;0.5,BP56+BP56*(D_iL)-MIN(F_LoanPayM,BP56+BP56*(D_iL)),BP56)</f>
        <v>0</v>
      </c>
      <c r="BR56" s="1" t="n">
        <f aca="false">IF(BE56&gt;0.5,MIN(F_LoanPayM,BE56+BE56*(D_iL)),0)</f>
        <v>0</v>
      </c>
      <c r="BS56" s="1" t="n">
        <f aca="false">IF(BF56&gt;0.5,MIN(F_LoanPayM,BF56+BF56*(D_iL)),0)</f>
        <v>0</v>
      </c>
      <c r="BT56" s="1" t="n">
        <f aca="false">IF(BG56&gt;0.5,MIN(F_LoanPayM,BG56+BG56*(D_iL)),0)</f>
        <v>0</v>
      </c>
      <c r="BU56" s="1" t="n">
        <f aca="false">IF(BH56&gt;0.5,MIN(F_LoanPayM,BH56+BH56*(D_iL)),0)</f>
        <v>0</v>
      </c>
      <c r="BV56" s="1" t="n">
        <f aca="false">IF(BI56&gt;0.5,MIN(F_LoanPayM,BI56+BI56*(D_iL)),0)</f>
        <v>0</v>
      </c>
      <c r="BW56" s="1" t="n">
        <f aca="false">IF(BJ56&gt;0.5,MIN(F_LoanPayM,BJ56+BJ56*(D_iL)),0)</f>
        <v>0</v>
      </c>
      <c r="BX56" s="1" t="n">
        <f aca="false">IF(BK56&gt;0.5,MIN(F_LoanPayM,BK56+BK56*(D_iL)),0)</f>
        <v>0</v>
      </c>
      <c r="BY56" s="1" t="n">
        <f aca="false">IF(BL56&gt;0.5,MIN(F_LoanPayM,BL56+BL56*(D_iL)),0)</f>
        <v>0</v>
      </c>
      <c r="BZ56" s="1" t="n">
        <f aca="false">IF(BM56&gt;0.5,MIN(F_LoanPayM,BM56+BM56*(D_iL)),0)</f>
        <v>0</v>
      </c>
      <c r="CA56" s="1" t="n">
        <f aca="false">IF(BN56&gt;0.5,MIN(F_LoanPayM,BN56+BN56*(D_iL)),0)</f>
        <v>0</v>
      </c>
      <c r="CB56" s="1" t="n">
        <f aca="false">IF(BO56&gt;0.5,MIN(F_LoanPayM,BO56+BO56*(D_iL)),0)</f>
        <v>0</v>
      </c>
      <c r="CC56" s="1" t="n">
        <f aca="false">IF(BP56&gt;0.5,MIN(F_LoanPayM,BP56+BP56*(D_iL)),0)</f>
        <v>0</v>
      </c>
      <c r="CD56" s="1" t="n">
        <f aca="false">MAX(0,BQ56)</f>
        <v>0</v>
      </c>
      <c r="CE56" s="1" t="n">
        <f aca="false">SUM(BR56:CC56)</f>
        <v>0</v>
      </c>
      <c r="CF56" s="1" t="n">
        <f aca="false">IF(CF55&gt;1,DE55,CF55)</f>
        <v>0</v>
      </c>
      <c r="CG56" s="1" t="n">
        <f aca="false">IF(CF56&gt;0.5,CF56+CF56*(F_MR/12)-MIN(F_MortPayM,CF56+CF56*(F_MR/12)),CF56)</f>
        <v>0</v>
      </c>
      <c r="CH56" s="1" t="n">
        <f aca="false">IF(CG56&gt;0.5,CG56+CG56*(F_MR/12)-MIN(F_MortPayM,CG56+CG56*(F_MR/12)),CG56)</f>
        <v>0</v>
      </c>
      <c r="CI56" s="1" t="n">
        <f aca="false">IF(CH56&gt;0.5,CH56+CH56*(F_MR/12)-MIN(F_MortPayM,CH56+CH56*(F_MR/12)),CH56)</f>
        <v>0</v>
      </c>
      <c r="CJ56" s="1" t="n">
        <f aca="false">IF(CI56&gt;0.5,CI56+CI56*(F_MR/12)-MIN(F_MortPayM,CI56+CI56*(F_MR/12)),CI56)</f>
        <v>0</v>
      </c>
      <c r="CK56" s="1" t="n">
        <f aca="false">IF(CJ56&gt;0.5,CJ56+CJ56*(F_MR/12)-MIN(F_MortPayM,CJ56+CJ56*(F_MR/12)),CJ56)</f>
        <v>0</v>
      </c>
      <c r="CL56" s="1" t="n">
        <f aca="false">IF(CK56&gt;0.5,CK56+CK56*(F_MR/12)-MIN(F_MortPayM,CK56+CK56*(F_MR/12)),CK56)</f>
        <v>0</v>
      </c>
      <c r="CM56" s="1" t="n">
        <f aca="false">IF(CL56&gt;0.5,CL56+CL56*(F_MR/12)-MIN(F_MortPayM,CL56+CL56*(F_MR/12)),CL56)</f>
        <v>0</v>
      </c>
      <c r="CN56" s="1" t="n">
        <f aca="false">IF(CM56&gt;0.5,CM56+CM56*(F_MR/12)-MIN(F_MortPayM,CM56+CM56*(F_MR/12)),CM56)</f>
        <v>0</v>
      </c>
      <c r="CO56" s="1" t="n">
        <f aca="false">IF(CN56&gt;0.5,CN56+CN56*(F_MR/12)-MIN(F_MortPayM,CN56+CN56*(F_MR/12)),CN56)</f>
        <v>0</v>
      </c>
      <c r="CP56" s="1" t="n">
        <f aca="false">IF(CO56&gt;0.5,CO56+CO56*(F_MR/12)-MIN(F_MortPayM,CO56+CO56*(F_MR/12)),CO56)</f>
        <v>0</v>
      </c>
      <c r="CQ56" s="1" t="n">
        <f aca="false">IF(CP56&gt;0.5,CP56+CP56*(F_MR/12)-MIN(F_MortPayM,CP56+CP56*(F_MR/12)),CP56)</f>
        <v>0</v>
      </c>
      <c r="CR56" s="1" t="n">
        <f aca="false">IF(CQ56&gt;0.5,CQ56+CQ56*(F_MR/12)-MIN(F_MortPayM,CQ56+CQ56*(F_MR/12)),CQ56)</f>
        <v>0</v>
      </c>
      <c r="CS56" s="1" t="n">
        <f aca="false">IF(CF56&gt;0.5,MIN(F_MortPayM,CF56+CF56*(F_MR/12)),0)</f>
        <v>0</v>
      </c>
      <c r="CT56" s="1" t="n">
        <f aca="false">IF(CG56&gt;0.5,MIN(F_MortPayM,CG56+CG56*(F_MR/12)),0)</f>
        <v>0</v>
      </c>
      <c r="CU56" s="1" t="n">
        <f aca="false">IF(CH56&gt;0.5,MIN(F_MortPayM,CH56+CH56*(F_MR/12)),0)</f>
        <v>0</v>
      </c>
      <c r="CV56" s="1" t="n">
        <f aca="false">IF(CI56&gt;0.5,MIN(F_MortPayM,CI56+CI56*(F_MR/12)),0)</f>
        <v>0</v>
      </c>
      <c r="CW56" s="1" t="n">
        <f aca="false">IF(CJ56&gt;0.5,MIN(F_MortPayM,CJ56+CJ56*(F_MR/12)),0)</f>
        <v>0</v>
      </c>
      <c r="CX56" s="1" t="n">
        <f aca="false">IF(CK56&gt;0.5,MIN(F_MortPayM,CK56+CK56*(F_MR/12)),0)</f>
        <v>0</v>
      </c>
      <c r="CY56" s="1" t="n">
        <f aca="false">IF(CL56&gt;0.5,MIN(F_MortPayM,CL56+CL56*(F_MR/12)),0)</f>
        <v>0</v>
      </c>
      <c r="CZ56" s="1" t="n">
        <f aca="false">IF(CM56&gt;0.5,MIN(F_MortPayM,CM56+CM56*(F_MR/12)),0)</f>
        <v>0</v>
      </c>
      <c r="DA56" s="1" t="n">
        <f aca="false">IF(CN56&gt;0.5,MIN(F_MortPayM,CN56+CN56*(F_MR/12)),0)</f>
        <v>0</v>
      </c>
      <c r="DB56" s="1" t="n">
        <f aca="false">IF(CO56&gt;0.5,MIN(F_MortPayM,CO56+CO56*(F_MR/12)),0)</f>
        <v>0</v>
      </c>
      <c r="DC56" s="1" t="n">
        <f aca="false">IF(CP56&gt;0.5,MIN(F_MortPayM,CP56+CP56*(F_MR/12)),0)</f>
        <v>0</v>
      </c>
      <c r="DD56" s="1" t="n">
        <f aca="false">IF(CQ56&gt;0.5,MIN(F_MortPayM,CQ56+CQ56*(F_MR/12)),0)</f>
        <v>0</v>
      </c>
      <c r="DE56" s="1" t="n">
        <f aca="false">MAX(0,CR56)</f>
        <v>0</v>
      </c>
      <c r="DF56" s="1" t="n">
        <f aca="false">SUM(CS56:DD56)</f>
        <v>0</v>
      </c>
      <c r="DG56" s="1" t="n">
        <f aca="false">MAX(0,CF56)</f>
        <v>0</v>
      </c>
    </row>
    <row r="57" customFormat="false" ht="15" hidden="false" customHeight="false" outlineLevel="0" collapsed="false">
      <c r="B57" s="1" t="n">
        <v>49</v>
      </c>
      <c r="C57" s="1" t="n">
        <f aca="false">'Plan cashflow'!I57</f>
        <v>0</v>
      </c>
      <c r="D57" s="1" t="n">
        <f aca="false">IF(C57&gt;0.5,C57+C57*(F_MR/12)-MIN(F_MortPayM,C57+C57*(F_MR/12)),C57)</f>
        <v>0</v>
      </c>
      <c r="E57" s="1" t="n">
        <f aca="false">IF(D57&gt;0.5,D57+D57*(F_MR/12)-MIN(F_MortPayM,D57+D57*(F_MR/12)),D57)</f>
        <v>0</v>
      </c>
      <c r="F57" s="1" t="n">
        <f aca="false">IF(E57&gt;0.5,E57+E57*(F_MR/12)-MIN(F_MortPayM,E57+E57*(F_MR/12)),E57)</f>
        <v>0</v>
      </c>
      <c r="G57" s="1" t="n">
        <f aca="false">IF(F57&gt;0.5,F57+F57*(F_MR/12)-MIN(F_MortPayM,F57+F57*(F_MR/12)),F57)</f>
        <v>0</v>
      </c>
      <c r="H57" s="1" t="n">
        <f aca="false">IF(G57&gt;0.5,G57+G57*(F_MR/12)-MIN(F_MortPayM,G57+G57*(F_MR/12)),G57)</f>
        <v>0</v>
      </c>
      <c r="I57" s="1" t="n">
        <f aca="false">IF(H57&gt;0.5,H57+H57*(F_MR/12)-MIN(F_MortPayM,H57+H57*(F_MR/12)),H57)</f>
        <v>0</v>
      </c>
      <c r="J57" s="1" t="n">
        <f aca="false">IF(I57&gt;0.5,I57+I57*(F_MR/12)-MIN(F_MortPayM,I57+I57*(F_MR/12)),I57)</f>
        <v>0</v>
      </c>
      <c r="K57" s="1" t="n">
        <f aca="false">IF(J57&gt;0.5,J57+J57*(F_MR/12)-MIN(F_MortPayM,J57+J57*(F_MR/12)),J57)</f>
        <v>0</v>
      </c>
      <c r="L57" s="1" t="n">
        <f aca="false">IF(K57&gt;0.5,K57+K57*(F_MR/12)-MIN(F_MortPayM,K57+K57*(F_MR/12)),K57)</f>
        <v>0</v>
      </c>
      <c r="M57" s="1" t="n">
        <f aca="false">IF(L57&gt;0.5,L57+L57*(F_MR/12)-MIN(F_MortPayM,L57+L57*(F_MR/12)),L57)</f>
        <v>0</v>
      </c>
      <c r="N57" s="1" t="n">
        <f aca="false">IF(M57&gt;0.5,M57+M57*(F_MR/12)-MIN(F_MortPayM,M57+M57*(F_MR/12)),M57)</f>
        <v>0</v>
      </c>
      <c r="O57" s="1" t="n">
        <f aca="false">IF(N57&gt;0.5,N57+N57*(F_MR/12)-MIN(F_MortPayM,N57+N57*(F_MR/12)),N57)</f>
        <v>0</v>
      </c>
      <c r="P57" s="1" t="n">
        <f aca="false">IF(C57&gt;0.5,MIN(F_MortPayM,C57+C57*(F_MR/12)),0)</f>
        <v>0</v>
      </c>
      <c r="Q57" s="1" t="n">
        <f aca="false">IF(D57&gt;0.5,MIN(F_MortPayM,D57+D57*(F_MR/12)),0)</f>
        <v>0</v>
      </c>
      <c r="R57" s="1" t="n">
        <f aca="false">IF(E57&gt;0.5,MIN(F_MortPayM,E57+E57*(F_MR/12)),0)</f>
        <v>0</v>
      </c>
      <c r="S57" s="1" t="n">
        <f aca="false">IF(F57&gt;0.5,MIN(F_MortPayM,F57+F57*(F_MR/12)),0)</f>
        <v>0</v>
      </c>
      <c r="T57" s="1" t="n">
        <f aca="false">IF(G57&gt;0.5,MIN(F_MortPayM,G57+G57*(F_MR/12)),0)</f>
        <v>0</v>
      </c>
      <c r="U57" s="1" t="n">
        <f aca="false">IF(H57&gt;0.5,MIN(F_MortPayM,H57+H57*(F_MR/12)),0)</f>
        <v>0</v>
      </c>
      <c r="V57" s="1" t="n">
        <f aca="false">IF(I57&gt;0.5,MIN(F_MortPayM,I57+I57*(F_MR/12)),0)</f>
        <v>0</v>
      </c>
      <c r="W57" s="1" t="n">
        <f aca="false">IF(J57&gt;0.5,MIN(F_MortPayM,J57+J57*(F_MR/12)),0)</f>
        <v>0</v>
      </c>
      <c r="X57" s="1" t="n">
        <f aca="false">IF(K57&gt;0.5,MIN(F_MortPayM,K57+K57*(F_MR/12)),0)</f>
        <v>0</v>
      </c>
      <c r="Y57" s="1" t="n">
        <f aca="false">IF(L57&gt;0.5,MIN(F_MortPayM,L57+L57*(F_MR/12)),0)</f>
        <v>0</v>
      </c>
      <c r="Z57" s="1" t="n">
        <f aca="false">IF(M57&gt;0.5,MIN(F_MortPayM,M57+M57*(F_MR/12)),0)</f>
        <v>0</v>
      </c>
      <c r="AA57" s="1" t="n">
        <f aca="false">IF(N57&gt;0.5,MIN(F_MortPayM,N57+N57*(F_MR/12)),0)</f>
        <v>0</v>
      </c>
      <c r="AB57" s="1" t="n">
        <f aca="false">MAX(0,O57)</f>
        <v>0</v>
      </c>
      <c r="AC57" s="1" t="n">
        <f aca="false">SUM(P57:AA57)</f>
        <v>0</v>
      </c>
      <c r="AD57" s="1" t="n">
        <f aca="false">'Plan cashflow'!L57</f>
        <v>0</v>
      </c>
      <c r="AE57" s="1" t="n">
        <f aca="false">IF(AD57&gt;0.5,AD57+AD57*(D_iC)-MIN(F_CardPayM,AD57+AD57*(D_iC)),AD57)</f>
        <v>0</v>
      </c>
      <c r="AF57" s="1" t="n">
        <f aca="false">IF(AE57&gt;0.5,AE57+AE57*(D_iC)-MIN(F_CardPayM,AE57+AE57*(D_iC)),AE57)</f>
        <v>0</v>
      </c>
      <c r="AG57" s="1" t="n">
        <f aca="false">IF(AF57&gt;0.5,AF57+AF57*(D_iC)-MIN(F_CardPayM,AF57+AF57*(D_iC)),AF57)</f>
        <v>0</v>
      </c>
      <c r="AH57" s="1" t="n">
        <f aca="false">IF(AG57&gt;0.5,AG57+AG57*(D_iC)-MIN(F_CardPayM,AG57+AG57*(D_iC)),AG57)</f>
        <v>0</v>
      </c>
      <c r="AI57" s="1" t="n">
        <f aca="false">IF(AH57&gt;0.5,AH57+AH57*(D_iC)-MIN(F_CardPayM,AH57+AH57*(D_iC)),AH57)</f>
        <v>0</v>
      </c>
      <c r="AJ57" s="1" t="n">
        <f aca="false">IF(AI57&gt;0.5,AI57+AI57*(D_iC)-MIN(F_CardPayM,AI57+AI57*(D_iC)),AI57)</f>
        <v>0</v>
      </c>
      <c r="AK57" s="1" t="n">
        <f aca="false">IF(AJ57&gt;0.5,AJ57+AJ57*(D_iC)-MIN(F_CardPayM,AJ57+AJ57*(D_iC)),AJ57)</f>
        <v>0</v>
      </c>
      <c r="AL57" s="1" t="n">
        <f aca="false">IF(AK57&gt;0.5,AK57+AK57*(D_iC)-MIN(F_CardPayM,AK57+AK57*(D_iC)),AK57)</f>
        <v>0</v>
      </c>
      <c r="AM57" s="1" t="n">
        <f aca="false">IF(AL57&gt;0.5,AL57+AL57*(D_iC)-MIN(F_CardPayM,AL57+AL57*(D_iC)),AL57)</f>
        <v>0</v>
      </c>
      <c r="AN57" s="1" t="n">
        <f aca="false">IF(AM57&gt;0.5,AM57+AM57*(D_iC)-MIN(F_CardPayM,AM57+AM57*(D_iC)),AM57)</f>
        <v>0</v>
      </c>
      <c r="AO57" s="1" t="n">
        <f aca="false">IF(AN57&gt;0.5,AN57+AN57*(D_iC)-MIN(F_CardPayM,AN57+AN57*(D_iC)),AN57)</f>
        <v>0</v>
      </c>
      <c r="AP57" s="1" t="n">
        <f aca="false">IF(AO57&gt;0.5,AO57+AO57*(D_iC)-MIN(F_CardPayM,AO57+AO57*(D_iC)),AO57)</f>
        <v>0</v>
      </c>
      <c r="AQ57" s="1" t="n">
        <f aca="false">IF(AD57&gt;0.5,MIN(F_CardPayM,AD57+AD57*(D_iC)),0)</f>
        <v>0</v>
      </c>
      <c r="AR57" s="1" t="n">
        <f aca="false">IF(AE57&gt;0.5,MIN(F_CardPayM,AE57+AE57*(D_iC)),0)</f>
        <v>0</v>
      </c>
      <c r="AS57" s="1" t="n">
        <f aca="false">IF(AF57&gt;0.5,MIN(F_CardPayM,AF57+AF57*(D_iC)),0)</f>
        <v>0</v>
      </c>
      <c r="AT57" s="1" t="n">
        <f aca="false">IF(AG57&gt;0.5,MIN(F_CardPayM,AG57+AG57*(D_iC)),0)</f>
        <v>0</v>
      </c>
      <c r="AU57" s="1" t="n">
        <f aca="false">IF(AH57&gt;0.5,MIN(F_CardPayM,AH57+AH57*(D_iC)),0)</f>
        <v>0</v>
      </c>
      <c r="AV57" s="1" t="n">
        <f aca="false">IF(AI57&gt;0.5,MIN(F_CardPayM,AI57+AI57*(D_iC)),0)</f>
        <v>0</v>
      </c>
      <c r="AW57" s="1" t="n">
        <f aca="false">IF(AJ57&gt;0.5,MIN(F_CardPayM,AJ57+AJ57*(D_iC)),0)</f>
        <v>0</v>
      </c>
      <c r="AX57" s="1" t="n">
        <f aca="false">IF(AK57&gt;0.5,MIN(F_CardPayM,AK57+AK57*(D_iC)),0)</f>
        <v>0</v>
      </c>
      <c r="AY57" s="1" t="n">
        <f aca="false">IF(AL57&gt;0.5,MIN(F_CardPayM,AL57+AL57*(D_iC)),0)</f>
        <v>0</v>
      </c>
      <c r="AZ57" s="1" t="n">
        <f aca="false">IF(AM57&gt;0.5,MIN(F_CardPayM,AM57+AM57*(D_iC)),0)</f>
        <v>0</v>
      </c>
      <c r="BA57" s="1" t="n">
        <f aca="false">IF(AN57&gt;0.5,MIN(F_CardPayM,AN57+AN57*(D_iC)),0)</f>
        <v>0</v>
      </c>
      <c r="BB57" s="1" t="n">
        <f aca="false">IF(AO57&gt;0.5,MIN(F_CardPayM,AO57+AO57*(D_iC)),0)</f>
        <v>0</v>
      </c>
      <c r="BC57" s="1" t="n">
        <f aca="false">MAX(0,AP57)</f>
        <v>0</v>
      </c>
      <c r="BD57" s="1" t="n">
        <f aca="false">SUM(AQ57:BB57)</f>
        <v>0</v>
      </c>
      <c r="BE57" s="1" t="n">
        <f aca="false">'Plan cashflow'!O57</f>
        <v>0</v>
      </c>
      <c r="BF57" s="1" t="n">
        <f aca="false">IF(BE57&gt;0.5,BE57+BE57*(D_iL)-MIN(F_LoanPayM,BE57+BE57*(D_iL)),BE57)</f>
        <v>0</v>
      </c>
      <c r="BG57" s="1" t="n">
        <f aca="false">IF(BF57&gt;0.5,BF57+BF57*(D_iL)-MIN(F_LoanPayM,BF57+BF57*(D_iL)),BF57)</f>
        <v>0</v>
      </c>
      <c r="BH57" s="1" t="n">
        <f aca="false">IF(BG57&gt;0.5,BG57+BG57*(D_iL)-MIN(F_LoanPayM,BG57+BG57*(D_iL)),BG57)</f>
        <v>0</v>
      </c>
      <c r="BI57" s="1" t="n">
        <f aca="false">IF(BH57&gt;0.5,BH57+BH57*(D_iL)-MIN(F_LoanPayM,BH57+BH57*(D_iL)),BH57)</f>
        <v>0</v>
      </c>
      <c r="BJ57" s="1" t="n">
        <f aca="false">IF(BI57&gt;0.5,BI57+BI57*(D_iL)-MIN(F_LoanPayM,BI57+BI57*(D_iL)),BI57)</f>
        <v>0</v>
      </c>
      <c r="BK57" s="1" t="n">
        <f aca="false">IF(BJ57&gt;0.5,BJ57+BJ57*(D_iL)-MIN(F_LoanPayM,BJ57+BJ57*(D_iL)),BJ57)</f>
        <v>0</v>
      </c>
      <c r="BL57" s="1" t="n">
        <f aca="false">IF(BK57&gt;0.5,BK57+BK57*(D_iL)-MIN(F_LoanPayM,BK57+BK57*(D_iL)),BK57)</f>
        <v>0</v>
      </c>
      <c r="BM57" s="1" t="n">
        <f aca="false">IF(BL57&gt;0.5,BL57+BL57*(D_iL)-MIN(F_LoanPayM,BL57+BL57*(D_iL)),BL57)</f>
        <v>0</v>
      </c>
      <c r="BN57" s="1" t="n">
        <f aca="false">IF(BM57&gt;0.5,BM57+BM57*(D_iL)-MIN(F_LoanPayM,BM57+BM57*(D_iL)),BM57)</f>
        <v>0</v>
      </c>
      <c r="BO57" s="1" t="n">
        <f aca="false">IF(BN57&gt;0.5,BN57+BN57*(D_iL)-MIN(F_LoanPayM,BN57+BN57*(D_iL)),BN57)</f>
        <v>0</v>
      </c>
      <c r="BP57" s="1" t="n">
        <f aca="false">IF(BO57&gt;0.5,BO57+BO57*(D_iL)-MIN(F_LoanPayM,BO57+BO57*(D_iL)),BO57)</f>
        <v>0</v>
      </c>
      <c r="BQ57" s="1" t="n">
        <f aca="false">IF(BP57&gt;0.5,BP57+BP57*(D_iL)-MIN(F_LoanPayM,BP57+BP57*(D_iL)),BP57)</f>
        <v>0</v>
      </c>
      <c r="BR57" s="1" t="n">
        <f aca="false">IF(BE57&gt;0.5,MIN(F_LoanPayM,BE57+BE57*(D_iL)),0)</f>
        <v>0</v>
      </c>
      <c r="BS57" s="1" t="n">
        <f aca="false">IF(BF57&gt;0.5,MIN(F_LoanPayM,BF57+BF57*(D_iL)),0)</f>
        <v>0</v>
      </c>
      <c r="BT57" s="1" t="n">
        <f aca="false">IF(BG57&gt;0.5,MIN(F_LoanPayM,BG57+BG57*(D_iL)),0)</f>
        <v>0</v>
      </c>
      <c r="BU57" s="1" t="n">
        <f aca="false">IF(BH57&gt;0.5,MIN(F_LoanPayM,BH57+BH57*(D_iL)),0)</f>
        <v>0</v>
      </c>
      <c r="BV57" s="1" t="n">
        <f aca="false">IF(BI57&gt;0.5,MIN(F_LoanPayM,BI57+BI57*(D_iL)),0)</f>
        <v>0</v>
      </c>
      <c r="BW57" s="1" t="n">
        <f aca="false">IF(BJ57&gt;0.5,MIN(F_LoanPayM,BJ57+BJ57*(D_iL)),0)</f>
        <v>0</v>
      </c>
      <c r="BX57" s="1" t="n">
        <f aca="false">IF(BK57&gt;0.5,MIN(F_LoanPayM,BK57+BK57*(D_iL)),0)</f>
        <v>0</v>
      </c>
      <c r="BY57" s="1" t="n">
        <f aca="false">IF(BL57&gt;0.5,MIN(F_LoanPayM,BL57+BL57*(D_iL)),0)</f>
        <v>0</v>
      </c>
      <c r="BZ57" s="1" t="n">
        <f aca="false">IF(BM57&gt;0.5,MIN(F_LoanPayM,BM57+BM57*(D_iL)),0)</f>
        <v>0</v>
      </c>
      <c r="CA57" s="1" t="n">
        <f aca="false">IF(BN57&gt;0.5,MIN(F_LoanPayM,BN57+BN57*(D_iL)),0)</f>
        <v>0</v>
      </c>
      <c r="CB57" s="1" t="n">
        <f aca="false">IF(BO57&gt;0.5,MIN(F_LoanPayM,BO57+BO57*(D_iL)),0)</f>
        <v>0</v>
      </c>
      <c r="CC57" s="1" t="n">
        <f aca="false">IF(BP57&gt;0.5,MIN(F_LoanPayM,BP57+BP57*(D_iL)),0)</f>
        <v>0</v>
      </c>
      <c r="CD57" s="1" t="n">
        <f aca="false">MAX(0,BQ57)</f>
        <v>0</v>
      </c>
      <c r="CE57" s="1" t="n">
        <f aca="false">SUM(BR57:CC57)</f>
        <v>0</v>
      </c>
      <c r="CF57" s="1" t="n">
        <f aca="false">IF(CF56&gt;1,DE56,CF56)</f>
        <v>0</v>
      </c>
      <c r="CG57" s="1" t="n">
        <f aca="false">IF(CF57&gt;0.5,CF57+CF57*(F_MR/12)-MIN(F_MortPayM,CF57+CF57*(F_MR/12)),CF57)</f>
        <v>0</v>
      </c>
      <c r="CH57" s="1" t="n">
        <f aca="false">IF(CG57&gt;0.5,CG57+CG57*(F_MR/12)-MIN(F_MortPayM,CG57+CG57*(F_MR/12)),CG57)</f>
        <v>0</v>
      </c>
      <c r="CI57" s="1" t="n">
        <f aca="false">IF(CH57&gt;0.5,CH57+CH57*(F_MR/12)-MIN(F_MortPayM,CH57+CH57*(F_MR/12)),CH57)</f>
        <v>0</v>
      </c>
      <c r="CJ57" s="1" t="n">
        <f aca="false">IF(CI57&gt;0.5,CI57+CI57*(F_MR/12)-MIN(F_MortPayM,CI57+CI57*(F_MR/12)),CI57)</f>
        <v>0</v>
      </c>
      <c r="CK57" s="1" t="n">
        <f aca="false">IF(CJ57&gt;0.5,CJ57+CJ57*(F_MR/12)-MIN(F_MortPayM,CJ57+CJ57*(F_MR/12)),CJ57)</f>
        <v>0</v>
      </c>
      <c r="CL57" s="1" t="n">
        <f aca="false">IF(CK57&gt;0.5,CK57+CK57*(F_MR/12)-MIN(F_MortPayM,CK57+CK57*(F_MR/12)),CK57)</f>
        <v>0</v>
      </c>
      <c r="CM57" s="1" t="n">
        <f aca="false">IF(CL57&gt;0.5,CL57+CL57*(F_MR/12)-MIN(F_MortPayM,CL57+CL57*(F_MR/12)),CL57)</f>
        <v>0</v>
      </c>
      <c r="CN57" s="1" t="n">
        <f aca="false">IF(CM57&gt;0.5,CM57+CM57*(F_MR/12)-MIN(F_MortPayM,CM57+CM57*(F_MR/12)),CM57)</f>
        <v>0</v>
      </c>
      <c r="CO57" s="1" t="n">
        <f aca="false">IF(CN57&gt;0.5,CN57+CN57*(F_MR/12)-MIN(F_MortPayM,CN57+CN57*(F_MR/12)),CN57)</f>
        <v>0</v>
      </c>
      <c r="CP57" s="1" t="n">
        <f aca="false">IF(CO57&gt;0.5,CO57+CO57*(F_MR/12)-MIN(F_MortPayM,CO57+CO57*(F_MR/12)),CO57)</f>
        <v>0</v>
      </c>
      <c r="CQ57" s="1" t="n">
        <f aca="false">IF(CP57&gt;0.5,CP57+CP57*(F_MR/12)-MIN(F_MortPayM,CP57+CP57*(F_MR/12)),CP57)</f>
        <v>0</v>
      </c>
      <c r="CR57" s="1" t="n">
        <f aca="false">IF(CQ57&gt;0.5,CQ57+CQ57*(F_MR/12)-MIN(F_MortPayM,CQ57+CQ57*(F_MR/12)),CQ57)</f>
        <v>0</v>
      </c>
      <c r="CS57" s="1" t="n">
        <f aca="false">IF(CF57&gt;0.5,MIN(F_MortPayM,CF57+CF57*(F_MR/12)),0)</f>
        <v>0</v>
      </c>
      <c r="CT57" s="1" t="n">
        <f aca="false">IF(CG57&gt;0.5,MIN(F_MortPayM,CG57+CG57*(F_MR/12)),0)</f>
        <v>0</v>
      </c>
      <c r="CU57" s="1" t="n">
        <f aca="false">IF(CH57&gt;0.5,MIN(F_MortPayM,CH57+CH57*(F_MR/12)),0)</f>
        <v>0</v>
      </c>
      <c r="CV57" s="1" t="n">
        <f aca="false">IF(CI57&gt;0.5,MIN(F_MortPayM,CI57+CI57*(F_MR/12)),0)</f>
        <v>0</v>
      </c>
      <c r="CW57" s="1" t="n">
        <f aca="false">IF(CJ57&gt;0.5,MIN(F_MortPayM,CJ57+CJ57*(F_MR/12)),0)</f>
        <v>0</v>
      </c>
      <c r="CX57" s="1" t="n">
        <f aca="false">IF(CK57&gt;0.5,MIN(F_MortPayM,CK57+CK57*(F_MR/12)),0)</f>
        <v>0</v>
      </c>
      <c r="CY57" s="1" t="n">
        <f aca="false">IF(CL57&gt;0.5,MIN(F_MortPayM,CL57+CL57*(F_MR/12)),0)</f>
        <v>0</v>
      </c>
      <c r="CZ57" s="1" t="n">
        <f aca="false">IF(CM57&gt;0.5,MIN(F_MortPayM,CM57+CM57*(F_MR/12)),0)</f>
        <v>0</v>
      </c>
      <c r="DA57" s="1" t="n">
        <f aca="false">IF(CN57&gt;0.5,MIN(F_MortPayM,CN57+CN57*(F_MR/12)),0)</f>
        <v>0</v>
      </c>
      <c r="DB57" s="1" t="n">
        <f aca="false">IF(CO57&gt;0.5,MIN(F_MortPayM,CO57+CO57*(F_MR/12)),0)</f>
        <v>0</v>
      </c>
      <c r="DC57" s="1" t="n">
        <f aca="false">IF(CP57&gt;0.5,MIN(F_MortPayM,CP57+CP57*(F_MR/12)),0)</f>
        <v>0</v>
      </c>
      <c r="DD57" s="1" t="n">
        <f aca="false">IF(CQ57&gt;0.5,MIN(F_MortPayM,CQ57+CQ57*(F_MR/12)),0)</f>
        <v>0</v>
      </c>
      <c r="DE57" s="1" t="n">
        <f aca="false">MAX(0,CR57)</f>
        <v>0</v>
      </c>
      <c r="DF57" s="1" t="n">
        <f aca="false">SUM(CS57:DD57)</f>
        <v>0</v>
      </c>
      <c r="DG57" s="1" t="n">
        <f aca="false">MAX(0,CF57)</f>
        <v>0</v>
      </c>
    </row>
    <row r="58" customFormat="false" ht="15" hidden="false" customHeight="false" outlineLevel="0" collapsed="false">
      <c r="B58" s="1" t="n">
        <v>50</v>
      </c>
      <c r="C58" s="1" t="n">
        <f aca="false">'Plan cashflow'!I58</f>
        <v>0</v>
      </c>
      <c r="D58" s="1" t="n">
        <f aca="false">IF(C58&gt;0.5,C58+C58*(F_MR/12)-MIN(F_MortPayM,C58+C58*(F_MR/12)),C58)</f>
        <v>0</v>
      </c>
      <c r="E58" s="1" t="n">
        <f aca="false">IF(D58&gt;0.5,D58+D58*(F_MR/12)-MIN(F_MortPayM,D58+D58*(F_MR/12)),D58)</f>
        <v>0</v>
      </c>
      <c r="F58" s="1" t="n">
        <f aca="false">IF(E58&gt;0.5,E58+E58*(F_MR/12)-MIN(F_MortPayM,E58+E58*(F_MR/12)),E58)</f>
        <v>0</v>
      </c>
      <c r="G58" s="1" t="n">
        <f aca="false">IF(F58&gt;0.5,F58+F58*(F_MR/12)-MIN(F_MortPayM,F58+F58*(F_MR/12)),F58)</f>
        <v>0</v>
      </c>
      <c r="H58" s="1" t="n">
        <f aca="false">IF(G58&gt;0.5,G58+G58*(F_MR/12)-MIN(F_MortPayM,G58+G58*(F_MR/12)),G58)</f>
        <v>0</v>
      </c>
      <c r="I58" s="1" t="n">
        <f aca="false">IF(H58&gt;0.5,H58+H58*(F_MR/12)-MIN(F_MortPayM,H58+H58*(F_MR/12)),H58)</f>
        <v>0</v>
      </c>
      <c r="J58" s="1" t="n">
        <f aca="false">IF(I58&gt;0.5,I58+I58*(F_MR/12)-MIN(F_MortPayM,I58+I58*(F_MR/12)),I58)</f>
        <v>0</v>
      </c>
      <c r="K58" s="1" t="n">
        <f aca="false">IF(J58&gt;0.5,J58+J58*(F_MR/12)-MIN(F_MortPayM,J58+J58*(F_MR/12)),J58)</f>
        <v>0</v>
      </c>
      <c r="L58" s="1" t="n">
        <f aca="false">IF(K58&gt;0.5,K58+K58*(F_MR/12)-MIN(F_MortPayM,K58+K58*(F_MR/12)),K58)</f>
        <v>0</v>
      </c>
      <c r="M58" s="1" t="n">
        <f aca="false">IF(L58&gt;0.5,L58+L58*(F_MR/12)-MIN(F_MortPayM,L58+L58*(F_MR/12)),L58)</f>
        <v>0</v>
      </c>
      <c r="N58" s="1" t="n">
        <f aca="false">IF(M58&gt;0.5,M58+M58*(F_MR/12)-MIN(F_MortPayM,M58+M58*(F_MR/12)),M58)</f>
        <v>0</v>
      </c>
      <c r="O58" s="1" t="n">
        <f aca="false">IF(N58&gt;0.5,N58+N58*(F_MR/12)-MIN(F_MortPayM,N58+N58*(F_MR/12)),N58)</f>
        <v>0</v>
      </c>
      <c r="P58" s="1" t="n">
        <f aca="false">IF(C58&gt;0.5,MIN(F_MortPayM,C58+C58*(F_MR/12)),0)</f>
        <v>0</v>
      </c>
      <c r="Q58" s="1" t="n">
        <f aca="false">IF(D58&gt;0.5,MIN(F_MortPayM,D58+D58*(F_MR/12)),0)</f>
        <v>0</v>
      </c>
      <c r="R58" s="1" t="n">
        <f aca="false">IF(E58&gt;0.5,MIN(F_MortPayM,E58+E58*(F_MR/12)),0)</f>
        <v>0</v>
      </c>
      <c r="S58" s="1" t="n">
        <f aca="false">IF(F58&gt;0.5,MIN(F_MortPayM,F58+F58*(F_MR/12)),0)</f>
        <v>0</v>
      </c>
      <c r="T58" s="1" t="n">
        <f aca="false">IF(G58&gt;0.5,MIN(F_MortPayM,G58+G58*(F_MR/12)),0)</f>
        <v>0</v>
      </c>
      <c r="U58" s="1" t="n">
        <f aca="false">IF(H58&gt;0.5,MIN(F_MortPayM,H58+H58*(F_MR/12)),0)</f>
        <v>0</v>
      </c>
      <c r="V58" s="1" t="n">
        <f aca="false">IF(I58&gt;0.5,MIN(F_MortPayM,I58+I58*(F_MR/12)),0)</f>
        <v>0</v>
      </c>
      <c r="W58" s="1" t="n">
        <f aca="false">IF(J58&gt;0.5,MIN(F_MortPayM,J58+J58*(F_MR/12)),0)</f>
        <v>0</v>
      </c>
      <c r="X58" s="1" t="n">
        <f aca="false">IF(K58&gt;0.5,MIN(F_MortPayM,K58+K58*(F_MR/12)),0)</f>
        <v>0</v>
      </c>
      <c r="Y58" s="1" t="n">
        <f aca="false">IF(L58&gt;0.5,MIN(F_MortPayM,L58+L58*(F_MR/12)),0)</f>
        <v>0</v>
      </c>
      <c r="Z58" s="1" t="n">
        <f aca="false">IF(M58&gt;0.5,MIN(F_MortPayM,M58+M58*(F_MR/12)),0)</f>
        <v>0</v>
      </c>
      <c r="AA58" s="1" t="n">
        <f aca="false">IF(N58&gt;0.5,MIN(F_MortPayM,N58+N58*(F_MR/12)),0)</f>
        <v>0</v>
      </c>
      <c r="AB58" s="1" t="n">
        <f aca="false">MAX(0,O58)</f>
        <v>0</v>
      </c>
      <c r="AC58" s="1" t="n">
        <f aca="false">SUM(P58:AA58)</f>
        <v>0</v>
      </c>
      <c r="AD58" s="1" t="n">
        <f aca="false">'Plan cashflow'!L58</f>
        <v>0</v>
      </c>
      <c r="AE58" s="1" t="n">
        <f aca="false">IF(AD58&gt;0.5,AD58+AD58*(D_iC)-MIN(F_CardPayM,AD58+AD58*(D_iC)),AD58)</f>
        <v>0</v>
      </c>
      <c r="AF58" s="1" t="n">
        <f aca="false">IF(AE58&gt;0.5,AE58+AE58*(D_iC)-MIN(F_CardPayM,AE58+AE58*(D_iC)),AE58)</f>
        <v>0</v>
      </c>
      <c r="AG58" s="1" t="n">
        <f aca="false">IF(AF58&gt;0.5,AF58+AF58*(D_iC)-MIN(F_CardPayM,AF58+AF58*(D_iC)),AF58)</f>
        <v>0</v>
      </c>
      <c r="AH58" s="1" t="n">
        <f aca="false">IF(AG58&gt;0.5,AG58+AG58*(D_iC)-MIN(F_CardPayM,AG58+AG58*(D_iC)),AG58)</f>
        <v>0</v>
      </c>
      <c r="AI58" s="1" t="n">
        <f aca="false">IF(AH58&gt;0.5,AH58+AH58*(D_iC)-MIN(F_CardPayM,AH58+AH58*(D_iC)),AH58)</f>
        <v>0</v>
      </c>
      <c r="AJ58" s="1" t="n">
        <f aca="false">IF(AI58&gt;0.5,AI58+AI58*(D_iC)-MIN(F_CardPayM,AI58+AI58*(D_iC)),AI58)</f>
        <v>0</v>
      </c>
      <c r="AK58" s="1" t="n">
        <f aca="false">IF(AJ58&gt;0.5,AJ58+AJ58*(D_iC)-MIN(F_CardPayM,AJ58+AJ58*(D_iC)),AJ58)</f>
        <v>0</v>
      </c>
      <c r="AL58" s="1" t="n">
        <f aca="false">IF(AK58&gt;0.5,AK58+AK58*(D_iC)-MIN(F_CardPayM,AK58+AK58*(D_iC)),AK58)</f>
        <v>0</v>
      </c>
      <c r="AM58" s="1" t="n">
        <f aca="false">IF(AL58&gt;0.5,AL58+AL58*(D_iC)-MIN(F_CardPayM,AL58+AL58*(D_iC)),AL58)</f>
        <v>0</v>
      </c>
      <c r="AN58" s="1" t="n">
        <f aca="false">IF(AM58&gt;0.5,AM58+AM58*(D_iC)-MIN(F_CardPayM,AM58+AM58*(D_iC)),AM58)</f>
        <v>0</v>
      </c>
      <c r="AO58" s="1" t="n">
        <f aca="false">IF(AN58&gt;0.5,AN58+AN58*(D_iC)-MIN(F_CardPayM,AN58+AN58*(D_iC)),AN58)</f>
        <v>0</v>
      </c>
      <c r="AP58" s="1" t="n">
        <f aca="false">IF(AO58&gt;0.5,AO58+AO58*(D_iC)-MIN(F_CardPayM,AO58+AO58*(D_iC)),AO58)</f>
        <v>0</v>
      </c>
      <c r="AQ58" s="1" t="n">
        <f aca="false">IF(AD58&gt;0.5,MIN(F_CardPayM,AD58+AD58*(D_iC)),0)</f>
        <v>0</v>
      </c>
      <c r="AR58" s="1" t="n">
        <f aca="false">IF(AE58&gt;0.5,MIN(F_CardPayM,AE58+AE58*(D_iC)),0)</f>
        <v>0</v>
      </c>
      <c r="AS58" s="1" t="n">
        <f aca="false">IF(AF58&gt;0.5,MIN(F_CardPayM,AF58+AF58*(D_iC)),0)</f>
        <v>0</v>
      </c>
      <c r="AT58" s="1" t="n">
        <f aca="false">IF(AG58&gt;0.5,MIN(F_CardPayM,AG58+AG58*(D_iC)),0)</f>
        <v>0</v>
      </c>
      <c r="AU58" s="1" t="n">
        <f aca="false">IF(AH58&gt;0.5,MIN(F_CardPayM,AH58+AH58*(D_iC)),0)</f>
        <v>0</v>
      </c>
      <c r="AV58" s="1" t="n">
        <f aca="false">IF(AI58&gt;0.5,MIN(F_CardPayM,AI58+AI58*(D_iC)),0)</f>
        <v>0</v>
      </c>
      <c r="AW58" s="1" t="n">
        <f aca="false">IF(AJ58&gt;0.5,MIN(F_CardPayM,AJ58+AJ58*(D_iC)),0)</f>
        <v>0</v>
      </c>
      <c r="AX58" s="1" t="n">
        <f aca="false">IF(AK58&gt;0.5,MIN(F_CardPayM,AK58+AK58*(D_iC)),0)</f>
        <v>0</v>
      </c>
      <c r="AY58" s="1" t="n">
        <f aca="false">IF(AL58&gt;0.5,MIN(F_CardPayM,AL58+AL58*(D_iC)),0)</f>
        <v>0</v>
      </c>
      <c r="AZ58" s="1" t="n">
        <f aca="false">IF(AM58&gt;0.5,MIN(F_CardPayM,AM58+AM58*(D_iC)),0)</f>
        <v>0</v>
      </c>
      <c r="BA58" s="1" t="n">
        <f aca="false">IF(AN58&gt;0.5,MIN(F_CardPayM,AN58+AN58*(D_iC)),0)</f>
        <v>0</v>
      </c>
      <c r="BB58" s="1" t="n">
        <f aca="false">IF(AO58&gt;0.5,MIN(F_CardPayM,AO58+AO58*(D_iC)),0)</f>
        <v>0</v>
      </c>
      <c r="BC58" s="1" t="n">
        <f aca="false">MAX(0,AP58)</f>
        <v>0</v>
      </c>
      <c r="BD58" s="1" t="n">
        <f aca="false">SUM(AQ58:BB58)</f>
        <v>0</v>
      </c>
      <c r="BE58" s="1" t="n">
        <f aca="false">'Plan cashflow'!O58</f>
        <v>0</v>
      </c>
      <c r="BF58" s="1" t="n">
        <f aca="false">IF(BE58&gt;0.5,BE58+BE58*(D_iL)-MIN(F_LoanPayM,BE58+BE58*(D_iL)),BE58)</f>
        <v>0</v>
      </c>
      <c r="BG58" s="1" t="n">
        <f aca="false">IF(BF58&gt;0.5,BF58+BF58*(D_iL)-MIN(F_LoanPayM,BF58+BF58*(D_iL)),BF58)</f>
        <v>0</v>
      </c>
      <c r="BH58" s="1" t="n">
        <f aca="false">IF(BG58&gt;0.5,BG58+BG58*(D_iL)-MIN(F_LoanPayM,BG58+BG58*(D_iL)),BG58)</f>
        <v>0</v>
      </c>
      <c r="BI58" s="1" t="n">
        <f aca="false">IF(BH58&gt;0.5,BH58+BH58*(D_iL)-MIN(F_LoanPayM,BH58+BH58*(D_iL)),BH58)</f>
        <v>0</v>
      </c>
      <c r="BJ58" s="1" t="n">
        <f aca="false">IF(BI58&gt;0.5,BI58+BI58*(D_iL)-MIN(F_LoanPayM,BI58+BI58*(D_iL)),BI58)</f>
        <v>0</v>
      </c>
      <c r="BK58" s="1" t="n">
        <f aca="false">IF(BJ58&gt;0.5,BJ58+BJ58*(D_iL)-MIN(F_LoanPayM,BJ58+BJ58*(D_iL)),BJ58)</f>
        <v>0</v>
      </c>
      <c r="BL58" s="1" t="n">
        <f aca="false">IF(BK58&gt;0.5,BK58+BK58*(D_iL)-MIN(F_LoanPayM,BK58+BK58*(D_iL)),BK58)</f>
        <v>0</v>
      </c>
      <c r="BM58" s="1" t="n">
        <f aca="false">IF(BL58&gt;0.5,BL58+BL58*(D_iL)-MIN(F_LoanPayM,BL58+BL58*(D_iL)),BL58)</f>
        <v>0</v>
      </c>
      <c r="BN58" s="1" t="n">
        <f aca="false">IF(BM58&gt;0.5,BM58+BM58*(D_iL)-MIN(F_LoanPayM,BM58+BM58*(D_iL)),BM58)</f>
        <v>0</v>
      </c>
      <c r="BO58" s="1" t="n">
        <f aca="false">IF(BN58&gt;0.5,BN58+BN58*(D_iL)-MIN(F_LoanPayM,BN58+BN58*(D_iL)),BN58)</f>
        <v>0</v>
      </c>
      <c r="BP58" s="1" t="n">
        <f aca="false">IF(BO58&gt;0.5,BO58+BO58*(D_iL)-MIN(F_LoanPayM,BO58+BO58*(D_iL)),BO58)</f>
        <v>0</v>
      </c>
      <c r="BQ58" s="1" t="n">
        <f aca="false">IF(BP58&gt;0.5,BP58+BP58*(D_iL)-MIN(F_LoanPayM,BP58+BP58*(D_iL)),BP58)</f>
        <v>0</v>
      </c>
      <c r="BR58" s="1" t="n">
        <f aca="false">IF(BE58&gt;0.5,MIN(F_LoanPayM,BE58+BE58*(D_iL)),0)</f>
        <v>0</v>
      </c>
      <c r="BS58" s="1" t="n">
        <f aca="false">IF(BF58&gt;0.5,MIN(F_LoanPayM,BF58+BF58*(D_iL)),0)</f>
        <v>0</v>
      </c>
      <c r="BT58" s="1" t="n">
        <f aca="false">IF(BG58&gt;0.5,MIN(F_LoanPayM,BG58+BG58*(D_iL)),0)</f>
        <v>0</v>
      </c>
      <c r="BU58" s="1" t="n">
        <f aca="false">IF(BH58&gt;0.5,MIN(F_LoanPayM,BH58+BH58*(D_iL)),0)</f>
        <v>0</v>
      </c>
      <c r="BV58" s="1" t="n">
        <f aca="false">IF(BI58&gt;0.5,MIN(F_LoanPayM,BI58+BI58*(D_iL)),0)</f>
        <v>0</v>
      </c>
      <c r="BW58" s="1" t="n">
        <f aca="false">IF(BJ58&gt;0.5,MIN(F_LoanPayM,BJ58+BJ58*(D_iL)),0)</f>
        <v>0</v>
      </c>
      <c r="BX58" s="1" t="n">
        <f aca="false">IF(BK58&gt;0.5,MIN(F_LoanPayM,BK58+BK58*(D_iL)),0)</f>
        <v>0</v>
      </c>
      <c r="BY58" s="1" t="n">
        <f aca="false">IF(BL58&gt;0.5,MIN(F_LoanPayM,BL58+BL58*(D_iL)),0)</f>
        <v>0</v>
      </c>
      <c r="BZ58" s="1" t="n">
        <f aca="false">IF(BM58&gt;0.5,MIN(F_LoanPayM,BM58+BM58*(D_iL)),0)</f>
        <v>0</v>
      </c>
      <c r="CA58" s="1" t="n">
        <f aca="false">IF(BN58&gt;0.5,MIN(F_LoanPayM,BN58+BN58*(D_iL)),0)</f>
        <v>0</v>
      </c>
      <c r="CB58" s="1" t="n">
        <f aca="false">IF(BO58&gt;0.5,MIN(F_LoanPayM,BO58+BO58*(D_iL)),0)</f>
        <v>0</v>
      </c>
      <c r="CC58" s="1" t="n">
        <f aca="false">IF(BP58&gt;0.5,MIN(F_LoanPayM,BP58+BP58*(D_iL)),0)</f>
        <v>0</v>
      </c>
      <c r="CD58" s="1" t="n">
        <f aca="false">MAX(0,BQ58)</f>
        <v>0</v>
      </c>
      <c r="CE58" s="1" t="n">
        <f aca="false">SUM(BR58:CC58)</f>
        <v>0</v>
      </c>
      <c r="CF58" s="1" t="n">
        <f aca="false">IF(CF57&gt;1,DE57,CF57)</f>
        <v>0</v>
      </c>
      <c r="CG58" s="1" t="n">
        <f aca="false">IF(CF58&gt;0.5,CF58+CF58*(F_MR/12)-MIN(F_MortPayM,CF58+CF58*(F_MR/12)),CF58)</f>
        <v>0</v>
      </c>
      <c r="CH58" s="1" t="n">
        <f aca="false">IF(CG58&gt;0.5,CG58+CG58*(F_MR/12)-MIN(F_MortPayM,CG58+CG58*(F_MR/12)),CG58)</f>
        <v>0</v>
      </c>
      <c r="CI58" s="1" t="n">
        <f aca="false">IF(CH58&gt;0.5,CH58+CH58*(F_MR/12)-MIN(F_MortPayM,CH58+CH58*(F_MR/12)),CH58)</f>
        <v>0</v>
      </c>
      <c r="CJ58" s="1" t="n">
        <f aca="false">IF(CI58&gt;0.5,CI58+CI58*(F_MR/12)-MIN(F_MortPayM,CI58+CI58*(F_MR/12)),CI58)</f>
        <v>0</v>
      </c>
      <c r="CK58" s="1" t="n">
        <f aca="false">IF(CJ58&gt;0.5,CJ58+CJ58*(F_MR/12)-MIN(F_MortPayM,CJ58+CJ58*(F_MR/12)),CJ58)</f>
        <v>0</v>
      </c>
      <c r="CL58" s="1" t="n">
        <f aca="false">IF(CK58&gt;0.5,CK58+CK58*(F_MR/12)-MIN(F_MortPayM,CK58+CK58*(F_MR/12)),CK58)</f>
        <v>0</v>
      </c>
      <c r="CM58" s="1" t="n">
        <f aca="false">IF(CL58&gt;0.5,CL58+CL58*(F_MR/12)-MIN(F_MortPayM,CL58+CL58*(F_MR/12)),CL58)</f>
        <v>0</v>
      </c>
      <c r="CN58" s="1" t="n">
        <f aca="false">IF(CM58&gt;0.5,CM58+CM58*(F_MR/12)-MIN(F_MortPayM,CM58+CM58*(F_MR/12)),CM58)</f>
        <v>0</v>
      </c>
      <c r="CO58" s="1" t="n">
        <f aca="false">IF(CN58&gt;0.5,CN58+CN58*(F_MR/12)-MIN(F_MortPayM,CN58+CN58*(F_MR/12)),CN58)</f>
        <v>0</v>
      </c>
      <c r="CP58" s="1" t="n">
        <f aca="false">IF(CO58&gt;0.5,CO58+CO58*(F_MR/12)-MIN(F_MortPayM,CO58+CO58*(F_MR/12)),CO58)</f>
        <v>0</v>
      </c>
      <c r="CQ58" s="1" t="n">
        <f aca="false">IF(CP58&gt;0.5,CP58+CP58*(F_MR/12)-MIN(F_MortPayM,CP58+CP58*(F_MR/12)),CP58)</f>
        <v>0</v>
      </c>
      <c r="CR58" s="1" t="n">
        <f aca="false">IF(CQ58&gt;0.5,CQ58+CQ58*(F_MR/12)-MIN(F_MortPayM,CQ58+CQ58*(F_MR/12)),CQ58)</f>
        <v>0</v>
      </c>
      <c r="CS58" s="1" t="n">
        <f aca="false">IF(CF58&gt;0.5,MIN(F_MortPayM,CF58+CF58*(F_MR/12)),0)</f>
        <v>0</v>
      </c>
      <c r="CT58" s="1" t="n">
        <f aca="false">IF(CG58&gt;0.5,MIN(F_MortPayM,CG58+CG58*(F_MR/12)),0)</f>
        <v>0</v>
      </c>
      <c r="CU58" s="1" t="n">
        <f aca="false">IF(CH58&gt;0.5,MIN(F_MortPayM,CH58+CH58*(F_MR/12)),0)</f>
        <v>0</v>
      </c>
      <c r="CV58" s="1" t="n">
        <f aca="false">IF(CI58&gt;0.5,MIN(F_MortPayM,CI58+CI58*(F_MR/12)),0)</f>
        <v>0</v>
      </c>
      <c r="CW58" s="1" t="n">
        <f aca="false">IF(CJ58&gt;0.5,MIN(F_MortPayM,CJ58+CJ58*(F_MR/12)),0)</f>
        <v>0</v>
      </c>
      <c r="CX58" s="1" t="n">
        <f aca="false">IF(CK58&gt;0.5,MIN(F_MortPayM,CK58+CK58*(F_MR/12)),0)</f>
        <v>0</v>
      </c>
      <c r="CY58" s="1" t="n">
        <f aca="false">IF(CL58&gt;0.5,MIN(F_MortPayM,CL58+CL58*(F_MR/12)),0)</f>
        <v>0</v>
      </c>
      <c r="CZ58" s="1" t="n">
        <f aca="false">IF(CM58&gt;0.5,MIN(F_MortPayM,CM58+CM58*(F_MR/12)),0)</f>
        <v>0</v>
      </c>
      <c r="DA58" s="1" t="n">
        <f aca="false">IF(CN58&gt;0.5,MIN(F_MortPayM,CN58+CN58*(F_MR/12)),0)</f>
        <v>0</v>
      </c>
      <c r="DB58" s="1" t="n">
        <f aca="false">IF(CO58&gt;0.5,MIN(F_MortPayM,CO58+CO58*(F_MR/12)),0)</f>
        <v>0</v>
      </c>
      <c r="DC58" s="1" t="n">
        <f aca="false">IF(CP58&gt;0.5,MIN(F_MortPayM,CP58+CP58*(F_MR/12)),0)</f>
        <v>0</v>
      </c>
      <c r="DD58" s="1" t="n">
        <f aca="false">IF(CQ58&gt;0.5,MIN(F_MortPayM,CQ58+CQ58*(F_MR/12)),0)</f>
        <v>0</v>
      </c>
      <c r="DE58" s="1" t="n">
        <f aca="false">MAX(0,CR58)</f>
        <v>0</v>
      </c>
      <c r="DF58" s="1" t="n">
        <f aca="false">SUM(CS58:DD58)</f>
        <v>0</v>
      </c>
      <c r="DG58" s="1" t="n">
        <f aca="false">MAX(0,CF58)</f>
        <v>0</v>
      </c>
    </row>
    <row r="59" customFormat="false" ht="15" hidden="false" customHeight="false" outlineLevel="0" collapsed="false">
      <c r="B59" s="1" t="n">
        <v>51</v>
      </c>
      <c r="C59" s="1" t="n">
        <f aca="false">'Plan cashflow'!I59</f>
        <v>0</v>
      </c>
      <c r="D59" s="1" t="n">
        <f aca="false">IF(C59&gt;0.5,C59+C59*(F_MR/12)-MIN(F_MortPayM,C59+C59*(F_MR/12)),C59)</f>
        <v>0</v>
      </c>
      <c r="E59" s="1" t="n">
        <f aca="false">IF(D59&gt;0.5,D59+D59*(F_MR/12)-MIN(F_MortPayM,D59+D59*(F_MR/12)),D59)</f>
        <v>0</v>
      </c>
      <c r="F59" s="1" t="n">
        <f aca="false">IF(E59&gt;0.5,E59+E59*(F_MR/12)-MIN(F_MortPayM,E59+E59*(F_MR/12)),E59)</f>
        <v>0</v>
      </c>
      <c r="G59" s="1" t="n">
        <f aca="false">IF(F59&gt;0.5,F59+F59*(F_MR/12)-MIN(F_MortPayM,F59+F59*(F_MR/12)),F59)</f>
        <v>0</v>
      </c>
      <c r="H59" s="1" t="n">
        <f aca="false">IF(G59&gt;0.5,G59+G59*(F_MR/12)-MIN(F_MortPayM,G59+G59*(F_MR/12)),G59)</f>
        <v>0</v>
      </c>
      <c r="I59" s="1" t="n">
        <f aca="false">IF(H59&gt;0.5,H59+H59*(F_MR/12)-MIN(F_MortPayM,H59+H59*(F_MR/12)),H59)</f>
        <v>0</v>
      </c>
      <c r="J59" s="1" t="n">
        <f aca="false">IF(I59&gt;0.5,I59+I59*(F_MR/12)-MIN(F_MortPayM,I59+I59*(F_MR/12)),I59)</f>
        <v>0</v>
      </c>
      <c r="K59" s="1" t="n">
        <f aca="false">IF(J59&gt;0.5,J59+J59*(F_MR/12)-MIN(F_MortPayM,J59+J59*(F_MR/12)),J59)</f>
        <v>0</v>
      </c>
      <c r="L59" s="1" t="n">
        <f aca="false">IF(K59&gt;0.5,K59+K59*(F_MR/12)-MIN(F_MortPayM,K59+K59*(F_MR/12)),K59)</f>
        <v>0</v>
      </c>
      <c r="M59" s="1" t="n">
        <f aca="false">IF(L59&gt;0.5,L59+L59*(F_MR/12)-MIN(F_MortPayM,L59+L59*(F_MR/12)),L59)</f>
        <v>0</v>
      </c>
      <c r="N59" s="1" t="n">
        <f aca="false">IF(M59&gt;0.5,M59+M59*(F_MR/12)-MIN(F_MortPayM,M59+M59*(F_MR/12)),M59)</f>
        <v>0</v>
      </c>
      <c r="O59" s="1" t="n">
        <f aca="false">IF(N59&gt;0.5,N59+N59*(F_MR/12)-MIN(F_MortPayM,N59+N59*(F_MR/12)),N59)</f>
        <v>0</v>
      </c>
      <c r="P59" s="1" t="n">
        <f aca="false">IF(C59&gt;0.5,MIN(F_MortPayM,C59+C59*(F_MR/12)),0)</f>
        <v>0</v>
      </c>
      <c r="Q59" s="1" t="n">
        <f aca="false">IF(D59&gt;0.5,MIN(F_MortPayM,D59+D59*(F_MR/12)),0)</f>
        <v>0</v>
      </c>
      <c r="R59" s="1" t="n">
        <f aca="false">IF(E59&gt;0.5,MIN(F_MortPayM,E59+E59*(F_MR/12)),0)</f>
        <v>0</v>
      </c>
      <c r="S59" s="1" t="n">
        <f aca="false">IF(F59&gt;0.5,MIN(F_MortPayM,F59+F59*(F_MR/12)),0)</f>
        <v>0</v>
      </c>
      <c r="T59" s="1" t="n">
        <f aca="false">IF(G59&gt;0.5,MIN(F_MortPayM,G59+G59*(F_MR/12)),0)</f>
        <v>0</v>
      </c>
      <c r="U59" s="1" t="n">
        <f aca="false">IF(H59&gt;0.5,MIN(F_MortPayM,H59+H59*(F_MR/12)),0)</f>
        <v>0</v>
      </c>
      <c r="V59" s="1" t="n">
        <f aca="false">IF(I59&gt;0.5,MIN(F_MortPayM,I59+I59*(F_MR/12)),0)</f>
        <v>0</v>
      </c>
      <c r="W59" s="1" t="n">
        <f aca="false">IF(J59&gt;0.5,MIN(F_MortPayM,J59+J59*(F_MR/12)),0)</f>
        <v>0</v>
      </c>
      <c r="X59" s="1" t="n">
        <f aca="false">IF(K59&gt;0.5,MIN(F_MortPayM,K59+K59*(F_MR/12)),0)</f>
        <v>0</v>
      </c>
      <c r="Y59" s="1" t="n">
        <f aca="false">IF(L59&gt;0.5,MIN(F_MortPayM,L59+L59*(F_MR/12)),0)</f>
        <v>0</v>
      </c>
      <c r="Z59" s="1" t="n">
        <f aca="false">IF(M59&gt;0.5,MIN(F_MortPayM,M59+M59*(F_MR/12)),0)</f>
        <v>0</v>
      </c>
      <c r="AA59" s="1" t="n">
        <f aca="false">IF(N59&gt;0.5,MIN(F_MortPayM,N59+N59*(F_MR/12)),0)</f>
        <v>0</v>
      </c>
      <c r="AB59" s="1" t="n">
        <f aca="false">MAX(0,O59)</f>
        <v>0</v>
      </c>
      <c r="AC59" s="1" t="n">
        <f aca="false">SUM(P59:AA59)</f>
        <v>0</v>
      </c>
      <c r="AD59" s="1" t="n">
        <f aca="false">'Plan cashflow'!L59</f>
        <v>0</v>
      </c>
      <c r="AE59" s="1" t="n">
        <f aca="false">IF(AD59&gt;0.5,AD59+AD59*(D_iC)-MIN(F_CardPayM,AD59+AD59*(D_iC)),AD59)</f>
        <v>0</v>
      </c>
      <c r="AF59" s="1" t="n">
        <f aca="false">IF(AE59&gt;0.5,AE59+AE59*(D_iC)-MIN(F_CardPayM,AE59+AE59*(D_iC)),AE59)</f>
        <v>0</v>
      </c>
      <c r="AG59" s="1" t="n">
        <f aca="false">IF(AF59&gt;0.5,AF59+AF59*(D_iC)-MIN(F_CardPayM,AF59+AF59*(D_iC)),AF59)</f>
        <v>0</v>
      </c>
      <c r="AH59" s="1" t="n">
        <f aca="false">IF(AG59&gt;0.5,AG59+AG59*(D_iC)-MIN(F_CardPayM,AG59+AG59*(D_iC)),AG59)</f>
        <v>0</v>
      </c>
      <c r="AI59" s="1" t="n">
        <f aca="false">IF(AH59&gt;0.5,AH59+AH59*(D_iC)-MIN(F_CardPayM,AH59+AH59*(D_iC)),AH59)</f>
        <v>0</v>
      </c>
      <c r="AJ59" s="1" t="n">
        <f aca="false">IF(AI59&gt;0.5,AI59+AI59*(D_iC)-MIN(F_CardPayM,AI59+AI59*(D_iC)),AI59)</f>
        <v>0</v>
      </c>
      <c r="AK59" s="1" t="n">
        <f aca="false">IF(AJ59&gt;0.5,AJ59+AJ59*(D_iC)-MIN(F_CardPayM,AJ59+AJ59*(D_iC)),AJ59)</f>
        <v>0</v>
      </c>
      <c r="AL59" s="1" t="n">
        <f aca="false">IF(AK59&gt;0.5,AK59+AK59*(D_iC)-MIN(F_CardPayM,AK59+AK59*(D_iC)),AK59)</f>
        <v>0</v>
      </c>
      <c r="AM59" s="1" t="n">
        <f aca="false">IF(AL59&gt;0.5,AL59+AL59*(D_iC)-MIN(F_CardPayM,AL59+AL59*(D_iC)),AL59)</f>
        <v>0</v>
      </c>
      <c r="AN59" s="1" t="n">
        <f aca="false">IF(AM59&gt;0.5,AM59+AM59*(D_iC)-MIN(F_CardPayM,AM59+AM59*(D_iC)),AM59)</f>
        <v>0</v>
      </c>
      <c r="AO59" s="1" t="n">
        <f aca="false">IF(AN59&gt;0.5,AN59+AN59*(D_iC)-MIN(F_CardPayM,AN59+AN59*(D_iC)),AN59)</f>
        <v>0</v>
      </c>
      <c r="AP59" s="1" t="n">
        <f aca="false">IF(AO59&gt;0.5,AO59+AO59*(D_iC)-MIN(F_CardPayM,AO59+AO59*(D_iC)),AO59)</f>
        <v>0</v>
      </c>
      <c r="AQ59" s="1" t="n">
        <f aca="false">IF(AD59&gt;0.5,MIN(F_CardPayM,AD59+AD59*(D_iC)),0)</f>
        <v>0</v>
      </c>
      <c r="AR59" s="1" t="n">
        <f aca="false">IF(AE59&gt;0.5,MIN(F_CardPayM,AE59+AE59*(D_iC)),0)</f>
        <v>0</v>
      </c>
      <c r="AS59" s="1" t="n">
        <f aca="false">IF(AF59&gt;0.5,MIN(F_CardPayM,AF59+AF59*(D_iC)),0)</f>
        <v>0</v>
      </c>
      <c r="AT59" s="1" t="n">
        <f aca="false">IF(AG59&gt;0.5,MIN(F_CardPayM,AG59+AG59*(D_iC)),0)</f>
        <v>0</v>
      </c>
      <c r="AU59" s="1" t="n">
        <f aca="false">IF(AH59&gt;0.5,MIN(F_CardPayM,AH59+AH59*(D_iC)),0)</f>
        <v>0</v>
      </c>
      <c r="AV59" s="1" t="n">
        <f aca="false">IF(AI59&gt;0.5,MIN(F_CardPayM,AI59+AI59*(D_iC)),0)</f>
        <v>0</v>
      </c>
      <c r="AW59" s="1" t="n">
        <f aca="false">IF(AJ59&gt;0.5,MIN(F_CardPayM,AJ59+AJ59*(D_iC)),0)</f>
        <v>0</v>
      </c>
      <c r="AX59" s="1" t="n">
        <f aca="false">IF(AK59&gt;0.5,MIN(F_CardPayM,AK59+AK59*(D_iC)),0)</f>
        <v>0</v>
      </c>
      <c r="AY59" s="1" t="n">
        <f aca="false">IF(AL59&gt;0.5,MIN(F_CardPayM,AL59+AL59*(D_iC)),0)</f>
        <v>0</v>
      </c>
      <c r="AZ59" s="1" t="n">
        <f aca="false">IF(AM59&gt;0.5,MIN(F_CardPayM,AM59+AM59*(D_iC)),0)</f>
        <v>0</v>
      </c>
      <c r="BA59" s="1" t="n">
        <f aca="false">IF(AN59&gt;0.5,MIN(F_CardPayM,AN59+AN59*(D_iC)),0)</f>
        <v>0</v>
      </c>
      <c r="BB59" s="1" t="n">
        <f aca="false">IF(AO59&gt;0.5,MIN(F_CardPayM,AO59+AO59*(D_iC)),0)</f>
        <v>0</v>
      </c>
      <c r="BC59" s="1" t="n">
        <f aca="false">MAX(0,AP59)</f>
        <v>0</v>
      </c>
      <c r="BD59" s="1" t="n">
        <f aca="false">SUM(AQ59:BB59)</f>
        <v>0</v>
      </c>
      <c r="BE59" s="1" t="n">
        <f aca="false">'Plan cashflow'!O59</f>
        <v>0</v>
      </c>
      <c r="BF59" s="1" t="n">
        <f aca="false">IF(BE59&gt;0.5,BE59+BE59*(D_iL)-MIN(F_LoanPayM,BE59+BE59*(D_iL)),BE59)</f>
        <v>0</v>
      </c>
      <c r="BG59" s="1" t="n">
        <f aca="false">IF(BF59&gt;0.5,BF59+BF59*(D_iL)-MIN(F_LoanPayM,BF59+BF59*(D_iL)),BF59)</f>
        <v>0</v>
      </c>
      <c r="BH59" s="1" t="n">
        <f aca="false">IF(BG59&gt;0.5,BG59+BG59*(D_iL)-MIN(F_LoanPayM,BG59+BG59*(D_iL)),BG59)</f>
        <v>0</v>
      </c>
      <c r="BI59" s="1" t="n">
        <f aca="false">IF(BH59&gt;0.5,BH59+BH59*(D_iL)-MIN(F_LoanPayM,BH59+BH59*(D_iL)),BH59)</f>
        <v>0</v>
      </c>
      <c r="BJ59" s="1" t="n">
        <f aca="false">IF(BI59&gt;0.5,BI59+BI59*(D_iL)-MIN(F_LoanPayM,BI59+BI59*(D_iL)),BI59)</f>
        <v>0</v>
      </c>
      <c r="BK59" s="1" t="n">
        <f aca="false">IF(BJ59&gt;0.5,BJ59+BJ59*(D_iL)-MIN(F_LoanPayM,BJ59+BJ59*(D_iL)),BJ59)</f>
        <v>0</v>
      </c>
      <c r="BL59" s="1" t="n">
        <f aca="false">IF(BK59&gt;0.5,BK59+BK59*(D_iL)-MIN(F_LoanPayM,BK59+BK59*(D_iL)),BK59)</f>
        <v>0</v>
      </c>
      <c r="BM59" s="1" t="n">
        <f aca="false">IF(BL59&gt;0.5,BL59+BL59*(D_iL)-MIN(F_LoanPayM,BL59+BL59*(D_iL)),BL59)</f>
        <v>0</v>
      </c>
      <c r="BN59" s="1" t="n">
        <f aca="false">IF(BM59&gt;0.5,BM59+BM59*(D_iL)-MIN(F_LoanPayM,BM59+BM59*(D_iL)),BM59)</f>
        <v>0</v>
      </c>
      <c r="BO59" s="1" t="n">
        <f aca="false">IF(BN59&gt;0.5,BN59+BN59*(D_iL)-MIN(F_LoanPayM,BN59+BN59*(D_iL)),BN59)</f>
        <v>0</v>
      </c>
      <c r="BP59" s="1" t="n">
        <f aca="false">IF(BO59&gt;0.5,BO59+BO59*(D_iL)-MIN(F_LoanPayM,BO59+BO59*(D_iL)),BO59)</f>
        <v>0</v>
      </c>
      <c r="BQ59" s="1" t="n">
        <f aca="false">IF(BP59&gt;0.5,BP59+BP59*(D_iL)-MIN(F_LoanPayM,BP59+BP59*(D_iL)),BP59)</f>
        <v>0</v>
      </c>
      <c r="BR59" s="1" t="n">
        <f aca="false">IF(BE59&gt;0.5,MIN(F_LoanPayM,BE59+BE59*(D_iL)),0)</f>
        <v>0</v>
      </c>
      <c r="BS59" s="1" t="n">
        <f aca="false">IF(BF59&gt;0.5,MIN(F_LoanPayM,BF59+BF59*(D_iL)),0)</f>
        <v>0</v>
      </c>
      <c r="BT59" s="1" t="n">
        <f aca="false">IF(BG59&gt;0.5,MIN(F_LoanPayM,BG59+BG59*(D_iL)),0)</f>
        <v>0</v>
      </c>
      <c r="BU59" s="1" t="n">
        <f aca="false">IF(BH59&gt;0.5,MIN(F_LoanPayM,BH59+BH59*(D_iL)),0)</f>
        <v>0</v>
      </c>
      <c r="BV59" s="1" t="n">
        <f aca="false">IF(BI59&gt;0.5,MIN(F_LoanPayM,BI59+BI59*(D_iL)),0)</f>
        <v>0</v>
      </c>
      <c r="BW59" s="1" t="n">
        <f aca="false">IF(BJ59&gt;0.5,MIN(F_LoanPayM,BJ59+BJ59*(D_iL)),0)</f>
        <v>0</v>
      </c>
      <c r="BX59" s="1" t="n">
        <f aca="false">IF(BK59&gt;0.5,MIN(F_LoanPayM,BK59+BK59*(D_iL)),0)</f>
        <v>0</v>
      </c>
      <c r="BY59" s="1" t="n">
        <f aca="false">IF(BL59&gt;0.5,MIN(F_LoanPayM,BL59+BL59*(D_iL)),0)</f>
        <v>0</v>
      </c>
      <c r="BZ59" s="1" t="n">
        <f aca="false">IF(BM59&gt;0.5,MIN(F_LoanPayM,BM59+BM59*(D_iL)),0)</f>
        <v>0</v>
      </c>
      <c r="CA59" s="1" t="n">
        <f aca="false">IF(BN59&gt;0.5,MIN(F_LoanPayM,BN59+BN59*(D_iL)),0)</f>
        <v>0</v>
      </c>
      <c r="CB59" s="1" t="n">
        <f aca="false">IF(BO59&gt;0.5,MIN(F_LoanPayM,BO59+BO59*(D_iL)),0)</f>
        <v>0</v>
      </c>
      <c r="CC59" s="1" t="n">
        <f aca="false">IF(BP59&gt;0.5,MIN(F_LoanPayM,BP59+BP59*(D_iL)),0)</f>
        <v>0</v>
      </c>
      <c r="CD59" s="1" t="n">
        <f aca="false">MAX(0,BQ59)</f>
        <v>0</v>
      </c>
      <c r="CE59" s="1" t="n">
        <f aca="false">SUM(BR59:CC59)</f>
        <v>0</v>
      </c>
      <c r="CF59" s="1" t="n">
        <f aca="false">IF(CF58&gt;1,DE58,CF58)</f>
        <v>0</v>
      </c>
      <c r="CG59" s="1" t="n">
        <f aca="false">IF(CF59&gt;0.5,CF59+CF59*(F_MR/12)-MIN(F_MortPayM,CF59+CF59*(F_MR/12)),CF59)</f>
        <v>0</v>
      </c>
      <c r="CH59" s="1" t="n">
        <f aca="false">IF(CG59&gt;0.5,CG59+CG59*(F_MR/12)-MIN(F_MortPayM,CG59+CG59*(F_MR/12)),CG59)</f>
        <v>0</v>
      </c>
      <c r="CI59" s="1" t="n">
        <f aca="false">IF(CH59&gt;0.5,CH59+CH59*(F_MR/12)-MIN(F_MortPayM,CH59+CH59*(F_MR/12)),CH59)</f>
        <v>0</v>
      </c>
      <c r="CJ59" s="1" t="n">
        <f aca="false">IF(CI59&gt;0.5,CI59+CI59*(F_MR/12)-MIN(F_MortPayM,CI59+CI59*(F_MR/12)),CI59)</f>
        <v>0</v>
      </c>
      <c r="CK59" s="1" t="n">
        <f aca="false">IF(CJ59&gt;0.5,CJ59+CJ59*(F_MR/12)-MIN(F_MortPayM,CJ59+CJ59*(F_MR/12)),CJ59)</f>
        <v>0</v>
      </c>
      <c r="CL59" s="1" t="n">
        <f aca="false">IF(CK59&gt;0.5,CK59+CK59*(F_MR/12)-MIN(F_MortPayM,CK59+CK59*(F_MR/12)),CK59)</f>
        <v>0</v>
      </c>
      <c r="CM59" s="1" t="n">
        <f aca="false">IF(CL59&gt;0.5,CL59+CL59*(F_MR/12)-MIN(F_MortPayM,CL59+CL59*(F_MR/12)),CL59)</f>
        <v>0</v>
      </c>
      <c r="CN59" s="1" t="n">
        <f aca="false">IF(CM59&gt;0.5,CM59+CM59*(F_MR/12)-MIN(F_MortPayM,CM59+CM59*(F_MR/12)),CM59)</f>
        <v>0</v>
      </c>
      <c r="CO59" s="1" t="n">
        <f aca="false">IF(CN59&gt;0.5,CN59+CN59*(F_MR/12)-MIN(F_MortPayM,CN59+CN59*(F_MR/12)),CN59)</f>
        <v>0</v>
      </c>
      <c r="CP59" s="1" t="n">
        <f aca="false">IF(CO59&gt;0.5,CO59+CO59*(F_MR/12)-MIN(F_MortPayM,CO59+CO59*(F_MR/12)),CO59)</f>
        <v>0</v>
      </c>
      <c r="CQ59" s="1" t="n">
        <f aca="false">IF(CP59&gt;0.5,CP59+CP59*(F_MR/12)-MIN(F_MortPayM,CP59+CP59*(F_MR/12)),CP59)</f>
        <v>0</v>
      </c>
      <c r="CR59" s="1" t="n">
        <f aca="false">IF(CQ59&gt;0.5,CQ59+CQ59*(F_MR/12)-MIN(F_MortPayM,CQ59+CQ59*(F_MR/12)),CQ59)</f>
        <v>0</v>
      </c>
      <c r="CS59" s="1" t="n">
        <f aca="false">IF(CF59&gt;0.5,MIN(F_MortPayM,CF59+CF59*(F_MR/12)),0)</f>
        <v>0</v>
      </c>
      <c r="CT59" s="1" t="n">
        <f aca="false">IF(CG59&gt;0.5,MIN(F_MortPayM,CG59+CG59*(F_MR/12)),0)</f>
        <v>0</v>
      </c>
      <c r="CU59" s="1" t="n">
        <f aca="false">IF(CH59&gt;0.5,MIN(F_MortPayM,CH59+CH59*(F_MR/12)),0)</f>
        <v>0</v>
      </c>
      <c r="CV59" s="1" t="n">
        <f aca="false">IF(CI59&gt;0.5,MIN(F_MortPayM,CI59+CI59*(F_MR/12)),0)</f>
        <v>0</v>
      </c>
      <c r="CW59" s="1" t="n">
        <f aca="false">IF(CJ59&gt;0.5,MIN(F_MortPayM,CJ59+CJ59*(F_MR/12)),0)</f>
        <v>0</v>
      </c>
      <c r="CX59" s="1" t="n">
        <f aca="false">IF(CK59&gt;0.5,MIN(F_MortPayM,CK59+CK59*(F_MR/12)),0)</f>
        <v>0</v>
      </c>
      <c r="CY59" s="1" t="n">
        <f aca="false">IF(CL59&gt;0.5,MIN(F_MortPayM,CL59+CL59*(F_MR/12)),0)</f>
        <v>0</v>
      </c>
      <c r="CZ59" s="1" t="n">
        <f aca="false">IF(CM59&gt;0.5,MIN(F_MortPayM,CM59+CM59*(F_MR/12)),0)</f>
        <v>0</v>
      </c>
      <c r="DA59" s="1" t="n">
        <f aca="false">IF(CN59&gt;0.5,MIN(F_MortPayM,CN59+CN59*(F_MR/12)),0)</f>
        <v>0</v>
      </c>
      <c r="DB59" s="1" t="n">
        <f aca="false">IF(CO59&gt;0.5,MIN(F_MortPayM,CO59+CO59*(F_MR/12)),0)</f>
        <v>0</v>
      </c>
      <c r="DC59" s="1" t="n">
        <f aca="false">IF(CP59&gt;0.5,MIN(F_MortPayM,CP59+CP59*(F_MR/12)),0)</f>
        <v>0</v>
      </c>
      <c r="DD59" s="1" t="n">
        <f aca="false">IF(CQ59&gt;0.5,MIN(F_MortPayM,CQ59+CQ59*(F_MR/12)),0)</f>
        <v>0</v>
      </c>
      <c r="DE59" s="1" t="n">
        <f aca="false">MAX(0,CR59)</f>
        <v>0</v>
      </c>
      <c r="DF59" s="1" t="n">
        <f aca="false">SUM(CS59:DD59)</f>
        <v>0</v>
      </c>
      <c r="DG59" s="1" t="n">
        <f aca="false">MAX(0,CF59)</f>
        <v>0</v>
      </c>
    </row>
    <row r="60" customFormat="false" ht="15" hidden="false" customHeight="false" outlineLevel="0" collapsed="false">
      <c r="B60" s="1" t="n">
        <v>52</v>
      </c>
      <c r="C60" s="1" t="n">
        <f aca="false">'Plan cashflow'!I60</f>
        <v>0</v>
      </c>
      <c r="D60" s="1" t="n">
        <f aca="false">IF(C60&gt;0.5,C60+C60*(F_MR/12)-MIN(F_MortPayM,C60+C60*(F_MR/12)),C60)</f>
        <v>0</v>
      </c>
      <c r="E60" s="1" t="n">
        <f aca="false">IF(D60&gt;0.5,D60+D60*(F_MR/12)-MIN(F_MortPayM,D60+D60*(F_MR/12)),D60)</f>
        <v>0</v>
      </c>
      <c r="F60" s="1" t="n">
        <f aca="false">IF(E60&gt;0.5,E60+E60*(F_MR/12)-MIN(F_MortPayM,E60+E60*(F_MR/12)),E60)</f>
        <v>0</v>
      </c>
      <c r="G60" s="1" t="n">
        <f aca="false">IF(F60&gt;0.5,F60+F60*(F_MR/12)-MIN(F_MortPayM,F60+F60*(F_MR/12)),F60)</f>
        <v>0</v>
      </c>
      <c r="H60" s="1" t="n">
        <f aca="false">IF(G60&gt;0.5,G60+G60*(F_MR/12)-MIN(F_MortPayM,G60+G60*(F_MR/12)),G60)</f>
        <v>0</v>
      </c>
      <c r="I60" s="1" t="n">
        <f aca="false">IF(H60&gt;0.5,H60+H60*(F_MR/12)-MIN(F_MortPayM,H60+H60*(F_MR/12)),H60)</f>
        <v>0</v>
      </c>
      <c r="J60" s="1" t="n">
        <f aca="false">IF(I60&gt;0.5,I60+I60*(F_MR/12)-MIN(F_MortPayM,I60+I60*(F_MR/12)),I60)</f>
        <v>0</v>
      </c>
      <c r="K60" s="1" t="n">
        <f aca="false">IF(J60&gt;0.5,J60+J60*(F_MR/12)-MIN(F_MortPayM,J60+J60*(F_MR/12)),J60)</f>
        <v>0</v>
      </c>
      <c r="L60" s="1" t="n">
        <f aca="false">IF(K60&gt;0.5,K60+K60*(F_MR/12)-MIN(F_MortPayM,K60+K60*(F_MR/12)),K60)</f>
        <v>0</v>
      </c>
      <c r="M60" s="1" t="n">
        <f aca="false">IF(L60&gt;0.5,L60+L60*(F_MR/12)-MIN(F_MortPayM,L60+L60*(F_MR/12)),L60)</f>
        <v>0</v>
      </c>
      <c r="N60" s="1" t="n">
        <f aca="false">IF(M60&gt;0.5,M60+M60*(F_MR/12)-MIN(F_MortPayM,M60+M60*(F_MR/12)),M60)</f>
        <v>0</v>
      </c>
      <c r="O60" s="1" t="n">
        <f aca="false">IF(N60&gt;0.5,N60+N60*(F_MR/12)-MIN(F_MortPayM,N60+N60*(F_MR/12)),N60)</f>
        <v>0</v>
      </c>
      <c r="P60" s="1" t="n">
        <f aca="false">IF(C60&gt;0.5,MIN(F_MortPayM,C60+C60*(F_MR/12)),0)</f>
        <v>0</v>
      </c>
      <c r="Q60" s="1" t="n">
        <f aca="false">IF(D60&gt;0.5,MIN(F_MortPayM,D60+D60*(F_MR/12)),0)</f>
        <v>0</v>
      </c>
      <c r="R60" s="1" t="n">
        <f aca="false">IF(E60&gt;0.5,MIN(F_MortPayM,E60+E60*(F_MR/12)),0)</f>
        <v>0</v>
      </c>
      <c r="S60" s="1" t="n">
        <f aca="false">IF(F60&gt;0.5,MIN(F_MortPayM,F60+F60*(F_MR/12)),0)</f>
        <v>0</v>
      </c>
      <c r="T60" s="1" t="n">
        <f aca="false">IF(G60&gt;0.5,MIN(F_MortPayM,G60+G60*(F_MR/12)),0)</f>
        <v>0</v>
      </c>
      <c r="U60" s="1" t="n">
        <f aca="false">IF(H60&gt;0.5,MIN(F_MortPayM,H60+H60*(F_MR/12)),0)</f>
        <v>0</v>
      </c>
      <c r="V60" s="1" t="n">
        <f aca="false">IF(I60&gt;0.5,MIN(F_MortPayM,I60+I60*(F_MR/12)),0)</f>
        <v>0</v>
      </c>
      <c r="W60" s="1" t="n">
        <f aca="false">IF(J60&gt;0.5,MIN(F_MortPayM,J60+J60*(F_MR/12)),0)</f>
        <v>0</v>
      </c>
      <c r="X60" s="1" t="n">
        <f aca="false">IF(K60&gt;0.5,MIN(F_MortPayM,K60+K60*(F_MR/12)),0)</f>
        <v>0</v>
      </c>
      <c r="Y60" s="1" t="n">
        <f aca="false">IF(L60&gt;0.5,MIN(F_MortPayM,L60+L60*(F_MR/12)),0)</f>
        <v>0</v>
      </c>
      <c r="Z60" s="1" t="n">
        <f aca="false">IF(M60&gt;0.5,MIN(F_MortPayM,M60+M60*(F_MR/12)),0)</f>
        <v>0</v>
      </c>
      <c r="AA60" s="1" t="n">
        <f aca="false">IF(N60&gt;0.5,MIN(F_MortPayM,N60+N60*(F_MR/12)),0)</f>
        <v>0</v>
      </c>
      <c r="AB60" s="1" t="n">
        <f aca="false">MAX(0,O60)</f>
        <v>0</v>
      </c>
      <c r="AC60" s="1" t="n">
        <f aca="false">SUM(P60:AA60)</f>
        <v>0</v>
      </c>
      <c r="AD60" s="1" t="n">
        <f aca="false">'Plan cashflow'!L60</f>
        <v>0</v>
      </c>
      <c r="AE60" s="1" t="n">
        <f aca="false">IF(AD60&gt;0.5,AD60+AD60*(D_iC)-MIN(F_CardPayM,AD60+AD60*(D_iC)),AD60)</f>
        <v>0</v>
      </c>
      <c r="AF60" s="1" t="n">
        <f aca="false">IF(AE60&gt;0.5,AE60+AE60*(D_iC)-MIN(F_CardPayM,AE60+AE60*(D_iC)),AE60)</f>
        <v>0</v>
      </c>
      <c r="AG60" s="1" t="n">
        <f aca="false">IF(AF60&gt;0.5,AF60+AF60*(D_iC)-MIN(F_CardPayM,AF60+AF60*(D_iC)),AF60)</f>
        <v>0</v>
      </c>
      <c r="AH60" s="1" t="n">
        <f aca="false">IF(AG60&gt;0.5,AG60+AG60*(D_iC)-MIN(F_CardPayM,AG60+AG60*(D_iC)),AG60)</f>
        <v>0</v>
      </c>
      <c r="AI60" s="1" t="n">
        <f aca="false">IF(AH60&gt;0.5,AH60+AH60*(D_iC)-MIN(F_CardPayM,AH60+AH60*(D_iC)),AH60)</f>
        <v>0</v>
      </c>
      <c r="AJ60" s="1" t="n">
        <f aca="false">IF(AI60&gt;0.5,AI60+AI60*(D_iC)-MIN(F_CardPayM,AI60+AI60*(D_iC)),AI60)</f>
        <v>0</v>
      </c>
      <c r="AK60" s="1" t="n">
        <f aca="false">IF(AJ60&gt;0.5,AJ60+AJ60*(D_iC)-MIN(F_CardPayM,AJ60+AJ60*(D_iC)),AJ60)</f>
        <v>0</v>
      </c>
      <c r="AL60" s="1" t="n">
        <f aca="false">IF(AK60&gt;0.5,AK60+AK60*(D_iC)-MIN(F_CardPayM,AK60+AK60*(D_iC)),AK60)</f>
        <v>0</v>
      </c>
      <c r="AM60" s="1" t="n">
        <f aca="false">IF(AL60&gt;0.5,AL60+AL60*(D_iC)-MIN(F_CardPayM,AL60+AL60*(D_iC)),AL60)</f>
        <v>0</v>
      </c>
      <c r="AN60" s="1" t="n">
        <f aca="false">IF(AM60&gt;0.5,AM60+AM60*(D_iC)-MIN(F_CardPayM,AM60+AM60*(D_iC)),AM60)</f>
        <v>0</v>
      </c>
      <c r="AO60" s="1" t="n">
        <f aca="false">IF(AN60&gt;0.5,AN60+AN60*(D_iC)-MIN(F_CardPayM,AN60+AN60*(D_iC)),AN60)</f>
        <v>0</v>
      </c>
      <c r="AP60" s="1" t="n">
        <f aca="false">IF(AO60&gt;0.5,AO60+AO60*(D_iC)-MIN(F_CardPayM,AO60+AO60*(D_iC)),AO60)</f>
        <v>0</v>
      </c>
      <c r="AQ60" s="1" t="n">
        <f aca="false">IF(AD60&gt;0.5,MIN(F_CardPayM,AD60+AD60*(D_iC)),0)</f>
        <v>0</v>
      </c>
      <c r="AR60" s="1" t="n">
        <f aca="false">IF(AE60&gt;0.5,MIN(F_CardPayM,AE60+AE60*(D_iC)),0)</f>
        <v>0</v>
      </c>
      <c r="AS60" s="1" t="n">
        <f aca="false">IF(AF60&gt;0.5,MIN(F_CardPayM,AF60+AF60*(D_iC)),0)</f>
        <v>0</v>
      </c>
      <c r="AT60" s="1" t="n">
        <f aca="false">IF(AG60&gt;0.5,MIN(F_CardPayM,AG60+AG60*(D_iC)),0)</f>
        <v>0</v>
      </c>
      <c r="AU60" s="1" t="n">
        <f aca="false">IF(AH60&gt;0.5,MIN(F_CardPayM,AH60+AH60*(D_iC)),0)</f>
        <v>0</v>
      </c>
      <c r="AV60" s="1" t="n">
        <f aca="false">IF(AI60&gt;0.5,MIN(F_CardPayM,AI60+AI60*(D_iC)),0)</f>
        <v>0</v>
      </c>
      <c r="AW60" s="1" t="n">
        <f aca="false">IF(AJ60&gt;0.5,MIN(F_CardPayM,AJ60+AJ60*(D_iC)),0)</f>
        <v>0</v>
      </c>
      <c r="AX60" s="1" t="n">
        <f aca="false">IF(AK60&gt;0.5,MIN(F_CardPayM,AK60+AK60*(D_iC)),0)</f>
        <v>0</v>
      </c>
      <c r="AY60" s="1" t="n">
        <f aca="false">IF(AL60&gt;0.5,MIN(F_CardPayM,AL60+AL60*(D_iC)),0)</f>
        <v>0</v>
      </c>
      <c r="AZ60" s="1" t="n">
        <f aca="false">IF(AM60&gt;0.5,MIN(F_CardPayM,AM60+AM60*(D_iC)),0)</f>
        <v>0</v>
      </c>
      <c r="BA60" s="1" t="n">
        <f aca="false">IF(AN60&gt;0.5,MIN(F_CardPayM,AN60+AN60*(D_iC)),0)</f>
        <v>0</v>
      </c>
      <c r="BB60" s="1" t="n">
        <f aca="false">IF(AO60&gt;0.5,MIN(F_CardPayM,AO60+AO60*(D_iC)),0)</f>
        <v>0</v>
      </c>
      <c r="BC60" s="1" t="n">
        <f aca="false">MAX(0,AP60)</f>
        <v>0</v>
      </c>
      <c r="BD60" s="1" t="n">
        <f aca="false">SUM(AQ60:BB60)</f>
        <v>0</v>
      </c>
      <c r="BE60" s="1" t="n">
        <f aca="false">'Plan cashflow'!O60</f>
        <v>0</v>
      </c>
      <c r="BF60" s="1" t="n">
        <f aca="false">IF(BE60&gt;0.5,BE60+BE60*(D_iL)-MIN(F_LoanPayM,BE60+BE60*(D_iL)),BE60)</f>
        <v>0</v>
      </c>
      <c r="BG60" s="1" t="n">
        <f aca="false">IF(BF60&gt;0.5,BF60+BF60*(D_iL)-MIN(F_LoanPayM,BF60+BF60*(D_iL)),BF60)</f>
        <v>0</v>
      </c>
      <c r="BH60" s="1" t="n">
        <f aca="false">IF(BG60&gt;0.5,BG60+BG60*(D_iL)-MIN(F_LoanPayM,BG60+BG60*(D_iL)),BG60)</f>
        <v>0</v>
      </c>
      <c r="BI60" s="1" t="n">
        <f aca="false">IF(BH60&gt;0.5,BH60+BH60*(D_iL)-MIN(F_LoanPayM,BH60+BH60*(D_iL)),BH60)</f>
        <v>0</v>
      </c>
      <c r="BJ60" s="1" t="n">
        <f aca="false">IF(BI60&gt;0.5,BI60+BI60*(D_iL)-MIN(F_LoanPayM,BI60+BI60*(D_iL)),BI60)</f>
        <v>0</v>
      </c>
      <c r="BK60" s="1" t="n">
        <f aca="false">IF(BJ60&gt;0.5,BJ60+BJ60*(D_iL)-MIN(F_LoanPayM,BJ60+BJ60*(D_iL)),BJ60)</f>
        <v>0</v>
      </c>
      <c r="BL60" s="1" t="n">
        <f aca="false">IF(BK60&gt;0.5,BK60+BK60*(D_iL)-MIN(F_LoanPayM,BK60+BK60*(D_iL)),BK60)</f>
        <v>0</v>
      </c>
      <c r="BM60" s="1" t="n">
        <f aca="false">IF(BL60&gt;0.5,BL60+BL60*(D_iL)-MIN(F_LoanPayM,BL60+BL60*(D_iL)),BL60)</f>
        <v>0</v>
      </c>
      <c r="BN60" s="1" t="n">
        <f aca="false">IF(BM60&gt;0.5,BM60+BM60*(D_iL)-MIN(F_LoanPayM,BM60+BM60*(D_iL)),BM60)</f>
        <v>0</v>
      </c>
      <c r="BO60" s="1" t="n">
        <f aca="false">IF(BN60&gt;0.5,BN60+BN60*(D_iL)-MIN(F_LoanPayM,BN60+BN60*(D_iL)),BN60)</f>
        <v>0</v>
      </c>
      <c r="BP60" s="1" t="n">
        <f aca="false">IF(BO60&gt;0.5,BO60+BO60*(D_iL)-MIN(F_LoanPayM,BO60+BO60*(D_iL)),BO60)</f>
        <v>0</v>
      </c>
      <c r="BQ60" s="1" t="n">
        <f aca="false">IF(BP60&gt;0.5,BP60+BP60*(D_iL)-MIN(F_LoanPayM,BP60+BP60*(D_iL)),BP60)</f>
        <v>0</v>
      </c>
      <c r="BR60" s="1" t="n">
        <f aca="false">IF(BE60&gt;0.5,MIN(F_LoanPayM,BE60+BE60*(D_iL)),0)</f>
        <v>0</v>
      </c>
      <c r="BS60" s="1" t="n">
        <f aca="false">IF(BF60&gt;0.5,MIN(F_LoanPayM,BF60+BF60*(D_iL)),0)</f>
        <v>0</v>
      </c>
      <c r="BT60" s="1" t="n">
        <f aca="false">IF(BG60&gt;0.5,MIN(F_LoanPayM,BG60+BG60*(D_iL)),0)</f>
        <v>0</v>
      </c>
      <c r="BU60" s="1" t="n">
        <f aca="false">IF(BH60&gt;0.5,MIN(F_LoanPayM,BH60+BH60*(D_iL)),0)</f>
        <v>0</v>
      </c>
      <c r="BV60" s="1" t="n">
        <f aca="false">IF(BI60&gt;0.5,MIN(F_LoanPayM,BI60+BI60*(D_iL)),0)</f>
        <v>0</v>
      </c>
      <c r="BW60" s="1" t="n">
        <f aca="false">IF(BJ60&gt;0.5,MIN(F_LoanPayM,BJ60+BJ60*(D_iL)),0)</f>
        <v>0</v>
      </c>
      <c r="BX60" s="1" t="n">
        <f aca="false">IF(BK60&gt;0.5,MIN(F_LoanPayM,BK60+BK60*(D_iL)),0)</f>
        <v>0</v>
      </c>
      <c r="BY60" s="1" t="n">
        <f aca="false">IF(BL60&gt;0.5,MIN(F_LoanPayM,BL60+BL60*(D_iL)),0)</f>
        <v>0</v>
      </c>
      <c r="BZ60" s="1" t="n">
        <f aca="false">IF(BM60&gt;0.5,MIN(F_LoanPayM,BM60+BM60*(D_iL)),0)</f>
        <v>0</v>
      </c>
      <c r="CA60" s="1" t="n">
        <f aca="false">IF(BN60&gt;0.5,MIN(F_LoanPayM,BN60+BN60*(D_iL)),0)</f>
        <v>0</v>
      </c>
      <c r="CB60" s="1" t="n">
        <f aca="false">IF(BO60&gt;0.5,MIN(F_LoanPayM,BO60+BO60*(D_iL)),0)</f>
        <v>0</v>
      </c>
      <c r="CC60" s="1" t="n">
        <f aca="false">IF(BP60&gt;0.5,MIN(F_LoanPayM,BP60+BP60*(D_iL)),0)</f>
        <v>0</v>
      </c>
      <c r="CD60" s="1" t="n">
        <f aca="false">MAX(0,BQ60)</f>
        <v>0</v>
      </c>
      <c r="CE60" s="1" t="n">
        <f aca="false">SUM(BR60:CC60)</f>
        <v>0</v>
      </c>
      <c r="CF60" s="1" t="n">
        <f aca="false">IF(CF59&gt;1,DE59,CF59)</f>
        <v>0</v>
      </c>
      <c r="CG60" s="1" t="n">
        <f aca="false">IF(CF60&gt;0.5,CF60+CF60*(F_MR/12)-MIN(F_MortPayM,CF60+CF60*(F_MR/12)),CF60)</f>
        <v>0</v>
      </c>
      <c r="CH60" s="1" t="n">
        <f aca="false">IF(CG60&gt;0.5,CG60+CG60*(F_MR/12)-MIN(F_MortPayM,CG60+CG60*(F_MR/12)),CG60)</f>
        <v>0</v>
      </c>
      <c r="CI60" s="1" t="n">
        <f aca="false">IF(CH60&gt;0.5,CH60+CH60*(F_MR/12)-MIN(F_MortPayM,CH60+CH60*(F_MR/12)),CH60)</f>
        <v>0</v>
      </c>
      <c r="CJ60" s="1" t="n">
        <f aca="false">IF(CI60&gt;0.5,CI60+CI60*(F_MR/12)-MIN(F_MortPayM,CI60+CI60*(F_MR/12)),CI60)</f>
        <v>0</v>
      </c>
      <c r="CK60" s="1" t="n">
        <f aca="false">IF(CJ60&gt;0.5,CJ60+CJ60*(F_MR/12)-MIN(F_MortPayM,CJ60+CJ60*(F_MR/12)),CJ60)</f>
        <v>0</v>
      </c>
      <c r="CL60" s="1" t="n">
        <f aca="false">IF(CK60&gt;0.5,CK60+CK60*(F_MR/12)-MIN(F_MortPayM,CK60+CK60*(F_MR/12)),CK60)</f>
        <v>0</v>
      </c>
      <c r="CM60" s="1" t="n">
        <f aca="false">IF(CL60&gt;0.5,CL60+CL60*(F_MR/12)-MIN(F_MortPayM,CL60+CL60*(F_MR/12)),CL60)</f>
        <v>0</v>
      </c>
      <c r="CN60" s="1" t="n">
        <f aca="false">IF(CM60&gt;0.5,CM60+CM60*(F_MR/12)-MIN(F_MortPayM,CM60+CM60*(F_MR/12)),CM60)</f>
        <v>0</v>
      </c>
      <c r="CO60" s="1" t="n">
        <f aca="false">IF(CN60&gt;0.5,CN60+CN60*(F_MR/12)-MIN(F_MortPayM,CN60+CN60*(F_MR/12)),CN60)</f>
        <v>0</v>
      </c>
      <c r="CP60" s="1" t="n">
        <f aca="false">IF(CO60&gt;0.5,CO60+CO60*(F_MR/12)-MIN(F_MortPayM,CO60+CO60*(F_MR/12)),CO60)</f>
        <v>0</v>
      </c>
      <c r="CQ60" s="1" t="n">
        <f aca="false">IF(CP60&gt;0.5,CP60+CP60*(F_MR/12)-MIN(F_MortPayM,CP60+CP60*(F_MR/12)),CP60)</f>
        <v>0</v>
      </c>
      <c r="CR60" s="1" t="n">
        <f aca="false">IF(CQ60&gt;0.5,CQ60+CQ60*(F_MR/12)-MIN(F_MortPayM,CQ60+CQ60*(F_MR/12)),CQ60)</f>
        <v>0</v>
      </c>
      <c r="CS60" s="1" t="n">
        <f aca="false">IF(CF60&gt;0.5,MIN(F_MortPayM,CF60+CF60*(F_MR/12)),0)</f>
        <v>0</v>
      </c>
      <c r="CT60" s="1" t="n">
        <f aca="false">IF(CG60&gt;0.5,MIN(F_MortPayM,CG60+CG60*(F_MR/12)),0)</f>
        <v>0</v>
      </c>
      <c r="CU60" s="1" t="n">
        <f aca="false">IF(CH60&gt;0.5,MIN(F_MortPayM,CH60+CH60*(F_MR/12)),0)</f>
        <v>0</v>
      </c>
      <c r="CV60" s="1" t="n">
        <f aca="false">IF(CI60&gt;0.5,MIN(F_MortPayM,CI60+CI60*(F_MR/12)),0)</f>
        <v>0</v>
      </c>
      <c r="CW60" s="1" t="n">
        <f aca="false">IF(CJ60&gt;0.5,MIN(F_MortPayM,CJ60+CJ60*(F_MR/12)),0)</f>
        <v>0</v>
      </c>
      <c r="CX60" s="1" t="n">
        <f aca="false">IF(CK60&gt;0.5,MIN(F_MortPayM,CK60+CK60*(F_MR/12)),0)</f>
        <v>0</v>
      </c>
      <c r="CY60" s="1" t="n">
        <f aca="false">IF(CL60&gt;0.5,MIN(F_MortPayM,CL60+CL60*(F_MR/12)),0)</f>
        <v>0</v>
      </c>
      <c r="CZ60" s="1" t="n">
        <f aca="false">IF(CM60&gt;0.5,MIN(F_MortPayM,CM60+CM60*(F_MR/12)),0)</f>
        <v>0</v>
      </c>
      <c r="DA60" s="1" t="n">
        <f aca="false">IF(CN60&gt;0.5,MIN(F_MortPayM,CN60+CN60*(F_MR/12)),0)</f>
        <v>0</v>
      </c>
      <c r="DB60" s="1" t="n">
        <f aca="false">IF(CO60&gt;0.5,MIN(F_MortPayM,CO60+CO60*(F_MR/12)),0)</f>
        <v>0</v>
      </c>
      <c r="DC60" s="1" t="n">
        <f aca="false">IF(CP60&gt;0.5,MIN(F_MortPayM,CP60+CP60*(F_MR/12)),0)</f>
        <v>0</v>
      </c>
      <c r="DD60" s="1" t="n">
        <f aca="false">IF(CQ60&gt;0.5,MIN(F_MortPayM,CQ60+CQ60*(F_MR/12)),0)</f>
        <v>0</v>
      </c>
      <c r="DE60" s="1" t="n">
        <f aca="false">MAX(0,CR60)</f>
        <v>0</v>
      </c>
      <c r="DF60" s="1" t="n">
        <f aca="false">SUM(CS60:DD60)</f>
        <v>0</v>
      </c>
      <c r="DG60" s="1" t="n">
        <f aca="false">MAX(0,CF60)</f>
        <v>0</v>
      </c>
    </row>
    <row r="61" customFormat="false" ht="15" hidden="false" customHeight="false" outlineLevel="0" collapsed="false">
      <c r="B61" s="1" t="n">
        <v>53</v>
      </c>
      <c r="C61" s="1" t="n">
        <f aca="false">'Plan cashflow'!I61</f>
        <v>0</v>
      </c>
      <c r="D61" s="1" t="n">
        <f aca="false">IF(C61&gt;0.5,C61+C61*(F_MR/12)-MIN(F_MortPayM,C61+C61*(F_MR/12)),C61)</f>
        <v>0</v>
      </c>
      <c r="E61" s="1" t="n">
        <f aca="false">IF(D61&gt;0.5,D61+D61*(F_MR/12)-MIN(F_MortPayM,D61+D61*(F_MR/12)),D61)</f>
        <v>0</v>
      </c>
      <c r="F61" s="1" t="n">
        <f aca="false">IF(E61&gt;0.5,E61+E61*(F_MR/12)-MIN(F_MortPayM,E61+E61*(F_MR/12)),E61)</f>
        <v>0</v>
      </c>
      <c r="G61" s="1" t="n">
        <f aca="false">IF(F61&gt;0.5,F61+F61*(F_MR/12)-MIN(F_MortPayM,F61+F61*(F_MR/12)),F61)</f>
        <v>0</v>
      </c>
      <c r="H61" s="1" t="n">
        <f aca="false">IF(G61&gt;0.5,G61+G61*(F_MR/12)-MIN(F_MortPayM,G61+G61*(F_MR/12)),G61)</f>
        <v>0</v>
      </c>
      <c r="I61" s="1" t="n">
        <f aca="false">IF(H61&gt;0.5,H61+H61*(F_MR/12)-MIN(F_MortPayM,H61+H61*(F_MR/12)),H61)</f>
        <v>0</v>
      </c>
      <c r="J61" s="1" t="n">
        <f aca="false">IF(I61&gt;0.5,I61+I61*(F_MR/12)-MIN(F_MortPayM,I61+I61*(F_MR/12)),I61)</f>
        <v>0</v>
      </c>
      <c r="K61" s="1" t="n">
        <f aca="false">IF(J61&gt;0.5,J61+J61*(F_MR/12)-MIN(F_MortPayM,J61+J61*(F_MR/12)),J61)</f>
        <v>0</v>
      </c>
      <c r="L61" s="1" t="n">
        <f aca="false">IF(K61&gt;0.5,K61+K61*(F_MR/12)-MIN(F_MortPayM,K61+K61*(F_MR/12)),K61)</f>
        <v>0</v>
      </c>
      <c r="M61" s="1" t="n">
        <f aca="false">IF(L61&gt;0.5,L61+L61*(F_MR/12)-MIN(F_MortPayM,L61+L61*(F_MR/12)),L61)</f>
        <v>0</v>
      </c>
      <c r="N61" s="1" t="n">
        <f aca="false">IF(M61&gt;0.5,M61+M61*(F_MR/12)-MIN(F_MortPayM,M61+M61*(F_MR/12)),M61)</f>
        <v>0</v>
      </c>
      <c r="O61" s="1" t="n">
        <f aca="false">IF(N61&gt;0.5,N61+N61*(F_MR/12)-MIN(F_MortPayM,N61+N61*(F_MR/12)),N61)</f>
        <v>0</v>
      </c>
      <c r="P61" s="1" t="n">
        <f aca="false">IF(C61&gt;0.5,MIN(F_MortPayM,C61+C61*(F_MR/12)),0)</f>
        <v>0</v>
      </c>
      <c r="Q61" s="1" t="n">
        <f aca="false">IF(D61&gt;0.5,MIN(F_MortPayM,D61+D61*(F_MR/12)),0)</f>
        <v>0</v>
      </c>
      <c r="R61" s="1" t="n">
        <f aca="false">IF(E61&gt;0.5,MIN(F_MortPayM,E61+E61*(F_MR/12)),0)</f>
        <v>0</v>
      </c>
      <c r="S61" s="1" t="n">
        <f aca="false">IF(F61&gt;0.5,MIN(F_MortPayM,F61+F61*(F_MR/12)),0)</f>
        <v>0</v>
      </c>
      <c r="T61" s="1" t="n">
        <f aca="false">IF(G61&gt;0.5,MIN(F_MortPayM,G61+G61*(F_MR/12)),0)</f>
        <v>0</v>
      </c>
      <c r="U61" s="1" t="n">
        <f aca="false">IF(H61&gt;0.5,MIN(F_MortPayM,H61+H61*(F_MR/12)),0)</f>
        <v>0</v>
      </c>
      <c r="V61" s="1" t="n">
        <f aca="false">IF(I61&gt;0.5,MIN(F_MortPayM,I61+I61*(F_MR/12)),0)</f>
        <v>0</v>
      </c>
      <c r="W61" s="1" t="n">
        <f aca="false">IF(J61&gt;0.5,MIN(F_MortPayM,J61+J61*(F_MR/12)),0)</f>
        <v>0</v>
      </c>
      <c r="X61" s="1" t="n">
        <f aca="false">IF(K61&gt;0.5,MIN(F_MortPayM,K61+K61*(F_MR/12)),0)</f>
        <v>0</v>
      </c>
      <c r="Y61" s="1" t="n">
        <f aca="false">IF(L61&gt;0.5,MIN(F_MortPayM,L61+L61*(F_MR/12)),0)</f>
        <v>0</v>
      </c>
      <c r="Z61" s="1" t="n">
        <f aca="false">IF(M61&gt;0.5,MIN(F_MortPayM,M61+M61*(F_MR/12)),0)</f>
        <v>0</v>
      </c>
      <c r="AA61" s="1" t="n">
        <f aca="false">IF(N61&gt;0.5,MIN(F_MortPayM,N61+N61*(F_MR/12)),0)</f>
        <v>0</v>
      </c>
      <c r="AB61" s="1" t="n">
        <f aca="false">MAX(0,O61)</f>
        <v>0</v>
      </c>
      <c r="AC61" s="1" t="n">
        <f aca="false">SUM(P61:AA61)</f>
        <v>0</v>
      </c>
      <c r="AD61" s="1" t="n">
        <f aca="false">'Plan cashflow'!L61</f>
        <v>0</v>
      </c>
      <c r="AE61" s="1" t="n">
        <f aca="false">IF(AD61&gt;0.5,AD61+AD61*(D_iC)-MIN(F_CardPayM,AD61+AD61*(D_iC)),AD61)</f>
        <v>0</v>
      </c>
      <c r="AF61" s="1" t="n">
        <f aca="false">IF(AE61&gt;0.5,AE61+AE61*(D_iC)-MIN(F_CardPayM,AE61+AE61*(D_iC)),AE61)</f>
        <v>0</v>
      </c>
      <c r="AG61" s="1" t="n">
        <f aca="false">IF(AF61&gt;0.5,AF61+AF61*(D_iC)-MIN(F_CardPayM,AF61+AF61*(D_iC)),AF61)</f>
        <v>0</v>
      </c>
      <c r="AH61" s="1" t="n">
        <f aca="false">IF(AG61&gt;0.5,AG61+AG61*(D_iC)-MIN(F_CardPayM,AG61+AG61*(D_iC)),AG61)</f>
        <v>0</v>
      </c>
      <c r="AI61" s="1" t="n">
        <f aca="false">IF(AH61&gt;0.5,AH61+AH61*(D_iC)-MIN(F_CardPayM,AH61+AH61*(D_iC)),AH61)</f>
        <v>0</v>
      </c>
      <c r="AJ61" s="1" t="n">
        <f aca="false">IF(AI61&gt;0.5,AI61+AI61*(D_iC)-MIN(F_CardPayM,AI61+AI61*(D_iC)),AI61)</f>
        <v>0</v>
      </c>
      <c r="AK61" s="1" t="n">
        <f aca="false">IF(AJ61&gt;0.5,AJ61+AJ61*(D_iC)-MIN(F_CardPayM,AJ61+AJ61*(D_iC)),AJ61)</f>
        <v>0</v>
      </c>
      <c r="AL61" s="1" t="n">
        <f aca="false">IF(AK61&gt;0.5,AK61+AK61*(D_iC)-MIN(F_CardPayM,AK61+AK61*(D_iC)),AK61)</f>
        <v>0</v>
      </c>
      <c r="AM61" s="1" t="n">
        <f aca="false">IF(AL61&gt;0.5,AL61+AL61*(D_iC)-MIN(F_CardPayM,AL61+AL61*(D_iC)),AL61)</f>
        <v>0</v>
      </c>
      <c r="AN61" s="1" t="n">
        <f aca="false">IF(AM61&gt;0.5,AM61+AM61*(D_iC)-MIN(F_CardPayM,AM61+AM61*(D_iC)),AM61)</f>
        <v>0</v>
      </c>
      <c r="AO61" s="1" t="n">
        <f aca="false">IF(AN61&gt;0.5,AN61+AN61*(D_iC)-MIN(F_CardPayM,AN61+AN61*(D_iC)),AN61)</f>
        <v>0</v>
      </c>
      <c r="AP61" s="1" t="n">
        <f aca="false">IF(AO61&gt;0.5,AO61+AO61*(D_iC)-MIN(F_CardPayM,AO61+AO61*(D_iC)),AO61)</f>
        <v>0</v>
      </c>
      <c r="AQ61" s="1" t="n">
        <f aca="false">IF(AD61&gt;0.5,MIN(F_CardPayM,AD61+AD61*(D_iC)),0)</f>
        <v>0</v>
      </c>
      <c r="AR61" s="1" t="n">
        <f aca="false">IF(AE61&gt;0.5,MIN(F_CardPayM,AE61+AE61*(D_iC)),0)</f>
        <v>0</v>
      </c>
      <c r="AS61" s="1" t="n">
        <f aca="false">IF(AF61&gt;0.5,MIN(F_CardPayM,AF61+AF61*(D_iC)),0)</f>
        <v>0</v>
      </c>
      <c r="AT61" s="1" t="n">
        <f aca="false">IF(AG61&gt;0.5,MIN(F_CardPayM,AG61+AG61*(D_iC)),0)</f>
        <v>0</v>
      </c>
      <c r="AU61" s="1" t="n">
        <f aca="false">IF(AH61&gt;0.5,MIN(F_CardPayM,AH61+AH61*(D_iC)),0)</f>
        <v>0</v>
      </c>
      <c r="AV61" s="1" t="n">
        <f aca="false">IF(AI61&gt;0.5,MIN(F_CardPayM,AI61+AI61*(D_iC)),0)</f>
        <v>0</v>
      </c>
      <c r="AW61" s="1" t="n">
        <f aca="false">IF(AJ61&gt;0.5,MIN(F_CardPayM,AJ61+AJ61*(D_iC)),0)</f>
        <v>0</v>
      </c>
      <c r="AX61" s="1" t="n">
        <f aca="false">IF(AK61&gt;0.5,MIN(F_CardPayM,AK61+AK61*(D_iC)),0)</f>
        <v>0</v>
      </c>
      <c r="AY61" s="1" t="n">
        <f aca="false">IF(AL61&gt;0.5,MIN(F_CardPayM,AL61+AL61*(D_iC)),0)</f>
        <v>0</v>
      </c>
      <c r="AZ61" s="1" t="n">
        <f aca="false">IF(AM61&gt;0.5,MIN(F_CardPayM,AM61+AM61*(D_iC)),0)</f>
        <v>0</v>
      </c>
      <c r="BA61" s="1" t="n">
        <f aca="false">IF(AN61&gt;0.5,MIN(F_CardPayM,AN61+AN61*(D_iC)),0)</f>
        <v>0</v>
      </c>
      <c r="BB61" s="1" t="n">
        <f aca="false">IF(AO61&gt;0.5,MIN(F_CardPayM,AO61+AO61*(D_iC)),0)</f>
        <v>0</v>
      </c>
      <c r="BC61" s="1" t="n">
        <f aca="false">MAX(0,AP61)</f>
        <v>0</v>
      </c>
      <c r="BD61" s="1" t="n">
        <f aca="false">SUM(AQ61:BB61)</f>
        <v>0</v>
      </c>
      <c r="BE61" s="1" t="n">
        <f aca="false">'Plan cashflow'!O61</f>
        <v>0</v>
      </c>
      <c r="BF61" s="1" t="n">
        <f aca="false">IF(BE61&gt;0.5,BE61+BE61*(D_iL)-MIN(F_LoanPayM,BE61+BE61*(D_iL)),BE61)</f>
        <v>0</v>
      </c>
      <c r="BG61" s="1" t="n">
        <f aca="false">IF(BF61&gt;0.5,BF61+BF61*(D_iL)-MIN(F_LoanPayM,BF61+BF61*(D_iL)),BF61)</f>
        <v>0</v>
      </c>
      <c r="BH61" s="1" t="n">
        <f aca="false">IF(BG61&gt;0.5,BG61+BG61*(D_iL)-MIN(F_LoanPayM,BG61+BG61*(D_iL)),BG61)</f>
        <v>0</v>
      </c>
      <c r="BI61" s="1" t="n">
        <f aca="false">IF(BH61&gt;0.5,BH61+BH61*(D_iL)-MIN(F_LoanPayM,BH61+BH61*(D_iL)),BH61)</f>
        <v>0</v>
      </c>
      <c r="BJ61" s="1" t="n">
        <f aca="false">IF(BI61&gt;0.5,BI61+BI61*(D_iL)-MIN(F_LoanPayM,BI61+BI61*(D_iL)),BI61)</f>
        <v>0</v>
      </c>
      <c r="BK61" s="1" t="n">
        <f aca="false">IF(BJ61&gt;0.5,BJ61+BJ61*(D_iL)-MIN(F_LoanPayM,BJ61+BJ61*(D_iL)),BJ61)</f>
        <v>0</v>
      </c>
      <c r="BL61" s="1" t="n">
        <f aca="false">IF(BK61&gt;0.5,BK61+BK61*(D_iL)-MIN(F_LoanPayM,BK61+BK61*(D_iL)),BK61)</f>
        <v>0</v>
      </c>
      <c r="BM61" s="1" t="n">
        <f aca="false">IF(BL61&gt;0.5,BL61+BL61*(D_iL)-MIN(F_LoanPayM,BL61+BL61*(D_iL)),BL61)</f>
        <v>0</v>
      </c>
      <c r="BN61" s="1" t="n">
        <f aca="false">IF(BM61&gt;0.5,BM61+BM61*(D_iL)-MIN(F_LoanPayM,BM61+BM61*(D_iL)),BM61)</f>
        <v>0</v>
      </c>
      <c r="BO61" s="1" t="n">
        <f aca="false">IF(BN61&gt;0.5,BN61+BN61*(D_iL)-MIN(F_LoanPayM,BN61+BN61*(D_iL)),BN61)</f>
        <v>0</v>
      </c>
      <c r="BP61" s="1" t="n">
        <f aca="false">IF(BO61&gt;0.5,BO61+BO61*(D_iL)-MIN(F_LoanPayM,BO61+BO61*(D_iL)),BO61)</f>
        <v>0</v>
      </c>
      <c r="BQ61" s="1" t="n">
        <f aca="false">IF(BP61&gt;0.5,BP61+BP61*(D_iL)-MIN(F_LoanPayM,BP61+BP61*(D_iL)),BP61)</f>
        <v>0</v>
      </c>
      <c r="BR61" s="1" t="n">
        <f aca="false">IF(BE61&gt;0.5,MIN(F_LoanPayM,BE61+BE61*(D_iL)),0)</f>
        <v>0</v>
      </c>
      <c r="BS61" s="1" t="n">
        <f aca="false">IF(BF61&gt;0.5,MIN(F_LoanPayM,BF61+BF61*(D_iL)),0)</f>
        <v>0</v>
      </c>
      <c r="BT61" s="1" t="n">
        <f aca="false">IF(BG61&gt;0.5,MIN(F_LoanPayM,BG61+BG61*(D_iL)),0)</f>
        <v>0</v>
      </c>
      <c r="BU61" s="1" t="n">
        <f aca="false">IF(BH61&gt;0.5,MIN(F_LoanPayM,BH61+BH61*(D_iL)),0)</f>
        <v>0</v>
      </c>
      <c r="BV61" s="1" t="n">
        <f aca="false">IF(BI61&gt;0.5,MIN(F_LoanPayM,BI61+BI61*(D_iL)),0)</f>
        <v>0</v>
      </c>
      <c r="BW61" s="1" t="n">
        <f aca="false">IF(BJ61&gt;0.5,MIN(F_LoanPayM,BJ61+BJ61*(D_iL)),0)</f>
        <v>0</v>
      </c>
      <c r="BX61" s="1" t="n">
        <f aca="false">IF(BK61&gt;0.5,MIN(F_LoanPayM,BK61+BK61*(D_iL)),0)</f>
        <v>0</v>
      </c>
      <c r="BY61" s="1" t="n">
        <f aca="false">IF(BL61&gt;0.5,MIN(F_LoanPayM,BL61+BL61*(D_iL)),0)</f>
        <v>0</v>
      </c>
      <c r="BZ61" s="1" t="n">
        <f aca="false">IF(BM61&gt;0.5,MIN(F_LoanPayM,BM61+BM61*(D_iL)),0)</f>
        <v>0</v>
      </c>
      <c r="CA61" s="1" t="n">
        <f aca="false">IF(BN61&gt;0.5,MIN(F_LoanPayM,BN61+BN61*(D_iL)),0)</f>
        <v>0</v>
      </c>
      <c r="CB61" s="1" t="n">
        <f aca="false">IF(BO61&gt;0.5,MIN(F_LoanPayM,BO61+BO61*(D_iL)),0)</f>
        <v>0</v>
      </c>
      <c r="CC61" s="1" t="n">
        <f aca="false">IF(BP61&gt;0.5,MIN(F_LoanPayM,BP61+BP61*(D_iL)),0)</f>
        <v>0</v>
      </c>
      <c r="CD61" s="1" t="n">
        <f aca="false">MAX(0,BQ61)</f>
        <v>0</v>
      </c>
      <c r="CE61" s="1" t="n">
        <f aca="false">SUM(BR61:CC61)</f>
        <v>0</v>
      </c>
      <c r="CF61" s="1" t="n">
        <f aca="false">IF(CF60&gt;1,DE60,CF60)</f>
        <v>0</v>
      </c>
      <c r="CG61" s="1" t="n">
        <f aca="false">IF(CF61&gt;0.5,CF61+CF61*(F_MR/12)-MIN(F_MortPayM,CF61+CF61*(F_MR/12)),CF61)</f>
        <v>0</v>
      </c>
      <c r="CH61" s="1" t="n">
        <f aca="false">IF(CG61&gt;0.5,CG61+CG61*(F_MR/12)-MIN(F_MortPayM,CG61+CG61*(F_MR/12)),CG61)</f>
        <v>0</v>
      </c>
      <c r="CI61" s="1" t="n">
        <f aca="false">IF(CH61&gt;0.5,CH61+CH61*(F_MR/12)-MIN(F_MortPayM,CH61+CH61*(F_MR/12)),CH61)</f>
        <v>0</v>
      </c>
      <c r="CJ61" s="1" t="n">
        <f aca="false">IF(CI61&gt;0.5,CI61+CI61*(F_MR/12)-MIN(F_MortPayM,CI61+CI61*(F_MR/12)),CI61)</f>
        <v>0</v>
      </c>
      <c r="CK61" s="1" t="n">
        <f aca="false">IF(CJ61&gt;0.5,CJ61+CJ61*(F_MR/12)-MIN(F_MortPayM,CJ61+CJ61*(F_MR/12)),CJ61)</f>
        <v>0</v>
      </c>
      <c r="CL61" s="1" t="n">
        <f aca="false">IF(CK61&gt;0.5,CK61+CK61*(F_MR/12)-MIN(F_MortPayM,CK61+CK61*(F_MR/12)),CK61)</f>
        <v>0</v>
      </c>
      <c r="CM61" s="1" t="n">
        <f aca="false">IF(CL61&gt;0.5,CL61+CL61*(F_MR/12)-MIN(F_MortPayM,CL61+CL61*(F_MR/12)),CL61)</f>
        <v>0</v>
      </c>
      <c r="CN61" s="1" t="n">
        <f aca="false">IF(CM61&gt;0.5,CM61+CM61*(F_MR/12)-MIN(F_MortPayM,CM61+CM61*(F_MR/12)),CM61)</f>
        <v>0</v>
      </c>
      <c r="CO61" s="1" t="n">
        <f aca="false">IF(CN61&gt;0.5,CN61+CN61*(F_MR/12)-MIN(F_MortPayM,CN61+CN61*(F_MR/12)),CN61)</f>
        <v>0</v>
      </c>
      <c r="CP61" s="1" t="n">
        <f aca="false">IF(CO61&gt;0.5,CO61+CO61*(F_MR/12)-MIN(F_MortPayM,CO61+CO61*(F_MR/12)),CO61)</f>
        <v>0</v>
      </c>
      <c r="CQ61" s="1" t="n">
        <f aca="false">IF(CP61&gt;0.5,CP61+CP61*(F_MR/12)-MIN(F_MortPayM,CP61+CP61*(F_MR/12)),CP61)</f>
        <v>0</v>
      </c>
      <c r="CR61" s="1" t="n">
        <f aca="false">IF(CQ61&gt;0.5,CQ61+CQ61*(F_MR/12)-MIN(F_MortPayM,CQ61+CQ61*(F_MR/12)),CQ61)</f>
        <v>0</v>
      </c>
      <c r="CS61" s="1" t="n">
        <f aca="false">IF(CF61&gt;0.5,MIN(F_MortPayM,CF61+CF61*(F_MR/12)),0)</f>
        <v>0</v>
      </c>
      <c r="CT61" s="1" t="n">
        <f aca="false">IF(CG61&gt;0.5,MIN(F_MortPayM,CG61+CG61*(F_MR/12)),0)</f>
        <v>0</v>
      </c>
      <c r="CU61" s="1" t="n">
        <f aca="false">IF(CH61&gt;0.5,MIN(F_MortPayM,CH61+CH61*(F_MR/12)),0)</f>
        <v>0</v>
      </c>
      <c r="CV61" s="1" t="n">
        <f aca="false">IF(CI61&gt;0.5,MIN(F_MortPayM,CI61+CI61*(F_MR/12)),0)</f>
        <v>0</v>
      </c>
      <c r="CW61" s="1" t="n">
        <f aca="false">IF(CJ61&gt;0.5,MIN(F_MortPayM,CJ61+CJ61*(F_MR/12)),0)</f>
        <v>0</v>
      </c>
      <c r="CX61" s="1" t="n">
        <f aca="false">IF(CK61&gt;0.5,MIN(F_MortPayM,CK61+CK61*(F_MR/12)),0)</f>
        <v>0</v>
      </c>
      <c r="CY61" s="1" t="n">
        <f aca="false">IF(CL61&gt;0.5,MIN(F_MortPayM,CL61+CL61*(F_MR/12)),0)</f>
        <v>0</v>
      </c>
      <c r="CZ61" s="1" t="n">
        <f aca="false">IF(CM61&gt;0.5,MIN(F_MortPayM,CM61+CM61*(F_MR/12)),0)</f>
        <v>0</v>
      </c>
      <c r="DA61" s="1" t="n">
        <f aca="false">IF(CN61&gt;0.5,MIN(F_MortPayM,CN61+CN61*(F_MR/12)),0)</f>
        <v>0</v>
      </c>
      <c r="DB61" s="1" t="n">
        <f aca="false">IF(CO61&gt;0.5,MIN(F_MortPayM,CO61+CO61*(F_MR/12)),0)</f>
        <v>0</v>
      </c>
      <c r="DC61" s="1" t="n">
        <f aca="false">IF(CP61&gt;0.5,MIN(F_MortPayM,CP61+CP61*(F_MR/12)),0)</f>
        <v>0</v>
      </c>
      <c r="DD61" s="1" t="n">
        <f aca="false">IF(CQ61&gt;0.5,MIN(F_MortPayM,CQ61+CQ61*(F_MR/12)),0)</f>
        <v>0</v>
      </c>
      <c r="DE61" s="1" t="n">
        <f aca="false">MAX(0,CR61)</f>
        <v>0</v>
      </c>
      <c r="DF61" s="1" t="n">
        <f aca="false">SUM(CS61:DD61)</f>
        <v>0</v>
      </c>
      <c r="DG61" s="1" t="n">
        <f aca="false">MAX(0,CF61)</f>
        <v>0</v>
      </c>
    </row>
    <row r="62" customFormat="false" ht="15" hidden="false" customHeight="false" outlineLevel="0" collapsed="false">
      <c r="B62" s="1" t="n">
        <v>54</v>
      </c>
      <c r="C62" s="1" t="n">
        <f aca="false">'Plan cashflow'!I62</f>
        <v>0</v>
      </c>
      <c r="D62" s="1" t="n">
        <f aca="false">IF(C62&gt;0.5,C62+C62*(F_MR/12)-MIN(F_MortPayM,C62+C62*(F_MR/12)),C62)</f>
        <v>0</v>
      </c>
      <c r="E62" s="1" t="n">
        <f aca="false">IF(D62&gt;0.5,D62+D62*(F_MR/12)-MIN(F_MortPayM,D62+D62*(F_MR/12)),D62)</f>
        <v>0</v>
      </c>
      <c r="F62" s="1" t="n">
        <f aca="false">IF(E62&gt;0.5,E62+E62*(F_MR/12)-MIN(F_MortPayM,E62+E62*(F_MR/12)),E62)</f>
        <v>0</v>
      </c>
      <c r="G62" s="1" t="n">
        <f aca="false">IF(F62&gt;0.5,F62+F62*(F_MR/12)-MIN(F_MortPayM,F62+F62*(F_MR/12)),F62)</f>
        <v>0</v>
      </c>
      <c r="H62" s="1" t="n">
        <f aca="false">IF(G62&gt;0.5,G62+G62*(F_MR/12)-MIN(F_MortPayM,G62+G62*(F_MR/12)),G62)</f>
        <v>0</v>
      </c>
      <c r="I62" s="1" t="n">
        <f aca="false">IF(H62&gt;0.5,H62+H62*(F_MR/12)-MIN(F_MortPayM,H62+H62*(F_MR/12)),H62)</f>
        <v>0</v>
      </c>
      <c r="J62" s="1" t="n">
        <f aca="false">IF(I62&gt;0.5,I62+I62*(F_MR/12)-MIN(F_MortPayM,I62+I62*(F_MR/12)),I62)</f>
        <v>0</v>
      </c>
      <c r="K62" s="1" t="n">
        <f aca="false">IF(J62&gt;0.5,J62+J62*(F_MR/12)-MIN(F_MortPayM,J62+J62*(F_MR/12)),J62)</f>
        <v>0</v>
      </c>
      <c r="L62" s="1" t="n">
        <f aca="false">IF(K62&gt;0.5,K62+K62*(F_MR/12)-MIN(F_MortPayM,K62+K62*(F_MR/12)),K62)</f>
        <v>0</v>
      </c>
      <c r="M62" s="1" t="n">
        <f aca="false">IF(L62&gt;0.5,L62+L62*(F_MR/12)-MIN(F_MortPayM,L62+L62*(F_MR/12)),L62)</f>
        <v>0</v>
      </c>
      <c r="N62" s="1" t="n">
        <f aca="false">IF(M62&gt;0.5,M62+M62*(F_MR/12)-MIN(F_MortPayM,M62+M62*(F_MR/12)),M62)</f>
        <v>0</v>
      </c>
      <c r="O62" s="1" t="n">
        <f aca="false">IF(N62&gt;0.5,N62+N62*(F_MR/12)-MIN(F_MortPayM,N62+N62*(F_MR/12)),N62)</f>
        <v>0</v>
      </c>
      <c r="P62" s="1" t="n">
        <f aca="false">IF(C62&gt;0.5,MIN(F_MortPayM,C62+C62*(F_MR/12)),0)</f>
        <v>0</v>
      </c>
      <c r="Q62" s="1" t="n">
        <f aca="false">IF(D62&gt;0.5,MIN(F_MortPayM,D62+D62*(F_MR/12)),0)</f>
        <v>0</v>
      </c>
      <c r="R62" s="1" t="n">
        <f aca="false">IF(E62&gt;0.5,MIN(F_MortPayM,E62+E62*(F_MR/12)),0)</f>
        <v>0</v>
      </c>
      <c r="S62" s="1" t="n">
        <f aca="false">IF(F62&gt;0.5,MIN(F_MortPayM,F62+F62*(F_MR/12)),0)</f>
        <v>0</v>
      </c>
      <c r="T62" s="1" t="n">
        <f aca="false">IF(G62&gt;0.5,MIN(F_MortPayM,G62+G62*(F_MR/12)),0)</f>
        <v>0</v>
      </c>
      <c r="U62" s="1" t="n">
        <f aca="false">IF(H62&gt;0.5,MIN(F_MortPayM,H62+H62*(F_MR/12)),0)</f>
        <v>0</v>
      </c>
      <c r="V62" s="1" t="n">
        <f aca="false">IF(I62&gt;0.5,MIN(F_MortPayM,I62+I62*(F_MR/12)),0)</f>
        <v>0</v>
      </c>
      <c r="W62" s="1" t="n">
        <f aca="false">IF(J62&gt;0.5,MIN(F_MortPayM,J62+J62*(F_MR/12)),0)</f>
        <v>0</v>
      </c>
      <c r="X62" s="1" t="n">
        <f aca="false">IF(K62&gt;0.5,MIN(F_MortPayM,K62+K62*(F_MR/12)),0)</f>
        <v>0</v>
      </c>
      <c r="Y62" s="1" t="n">
        <f aca="false">IF(L62&gt;0.5,MIN(F_MortPayM,L62+L62*(F_MR/12)),0)</f>
        <v>0</v>
      </c>
      <c r="Z62" s="1" t="n">
        <f aca="false">IF(M62&gt;0.5,MIN(F_MortPayM,M62+M62*(F_MR/12)),0)</f>
        <v>0</v>
      </c>
      <c r="AA62" s="1" t="n">
        <f aca="false">IF(N62&gt;0.5,MIN(F_MortPayM,N62+N62*(F_MR/12)),0)</f>
        <v>0</v>
      </c>
      <c r="AB62" s="1" t="n">
        <f aca="false">MAX(0,O62)</f>
        <v>0</v>
      </c>
      <c r="AC62" s="1" t="n">
        <f aca="false">SUM(P62:AA62)</f>
        <v>0</v>
      </c>
      <c r="AD62" s="1" t="n">
        <f aca="false">'Plan cashflow'!L62</f>
        <v>0</v>
      </c>
      <c r="AE62" s="1" t="n">
        <f aca="false">IF(AD62&gt;0.5,AD62+AD62*(D_iC)-MIN(F_CardPayM,AD62+AD62*(D_iC)),AD62)</f>
        <v>0</v>
      </c>
      <c r="AF62" s="1" t="n">
        <f aca="false">IF(AE62&gt;0.5,AE62+AE62*(D_iC)-MIN(F_CardPayM,AE62+AE62*(D_iC)),AE62)</f>
        <v>0</v>
      </c>
      <c r="AG62" s="1" t="n">
        <f aca="false">IF(AF62&gt;0.5,AF62+AF62*(D_iC)-MIN(F_CardPayM,AF62+AF62*(D_iC)),AF62)</f>
        <v>0</v>
      </c>
      <c r="AH62" s="1" t="n">
        <f aca="false">IF(AG62&gt;0.5,AG62+AG62*(D_iC)-MIN(F_CardPayM,AG62+AG62*(D_iC)),AG62)</f>
        <v>0</v>
      </c>
      <c r="AI62" s="1" t="n">
        <f aca="false">IF(AH62&gt;0.5,AH62+AH62*(D_iC)-MIN(F_CardPayM,AH62+AH62*(D_iC)),AH62)</f>
        <v>0</v>
      </c>
      <c r="AJ62" s="1" t="n">
        <f aca="false">IF(AI62&gt;0.5,AI62+AI62*(D_iC)-MIN(F_CardPayM,AI62+AI62*(D_iC)),AI62)</f>
        <v>0</v>
      </c>
      <c r="AK62" s="1" t="n">
        <f aca="false">IF(AJ62&gt;0.5,AJ62+AJ62*(D_iC)-MIN(F_CardPayM,AJ62+AJ62*(D_iC)),AJ62)</f>
        <v>0</v>
      </c>
      <c r="AL62" s="1" t="n">
        <f aca="false">IF(AK62&gt;0.5,AK62+AK62*(D_iC)-MIN(F_CardPayM,AK62+AK62*(D_iC)),AK62)</f>
        <v>0</v>
      </c>
      <c r="AM62" s="1" t="n">
        <f aca="false">IF(AL62&gt;0.5,AL62+AL62*(D_iC)-MIN(F_CardPayM,AL62+AL62*(D_iC)),AL62)</f>
        <v>0</v>
      </c>
      <c r="AN62" s="1" t="n">
        <f aca="false">IF(AM62&gt;0.5,AM62+AM62*(D_iC)-MIN(F_CardPayM,AM62+AM62*(D_iC)),AM62)</f>
        <v>0</v>
      </c>
      <c r="AO62" s="1" t="n">
        <f aca="false">IF(AN62&gt;0.5,AN62+AN62*(D_iC)-MIN(F_CardPayM,AN62+AN62*(D_iC)),AN62)</f>
        <v>0</v>
      </c>
      <c r="AP62" s="1" t="n">
        <f aca="false">IF(AO62&gt;0.5,AO62+AO62*(D_iC)-MIN(F_CardPayM,AO62+AO62*(D_iC)),AO62)</f>
        <v>0</v>
      </c>
      <c r="AQ62" s="1" t="n">
        <f aca="false">IF(AD62&gt;0.5,MIN(F_CardPayM,AD62+AD62*(D_iC)),0)</f>
        <v>0</v>
      </c>
      <c r="AR62" s="1" t="n">
        <f aca="false">IF(AE62&gt;0.5,MIN(F_CardPayM,AE62+AE62*(D_iC)),0)</f>
        <v>0</v>
      </c>
      <c r="AS62" s="1" t="n">
        <f aca="false">IF(AF62&gt;0.5,MIN(F_CardPayM,AF62+AF62*(D_iC)),0)</f>
        <v>0</v>
      </c>
      <c r="AT62" s="1" t="n">
        <f aca="false">IF(AG62&gt;0.5,MIN(F_CardPayM,AG62+AG62*(D_iC)),0)</f>
        <v>0</v>
      </c>
      <c r="AU62" s="1" t="n">
        <f aca="false">IF(AH62&gt;0.5,MIN(F_CardPayM,AH62+AH62*(D_iC)),0)</f>
        <v>0</v>
      </c>
      <c r="AV62" s="1" t="n">
        <f aca="false">IF(AI62&gt;0.5,MIN(F_CardPayM,AI62+AI62*(D_iC)),0)</f>
        <v>0</v>
      </c>
      <c r="AW62" s="1" t="n">
        <f aca="false">IF(AJ62&gt;0.5,MIN(F_CardPayM,AJ62+AJ62*(D_iC)),0)</f>
        <v>0</v>
      </c>
      <c r="AX62" s="1" t="n">
        <f aca="false">IF(AK62&gt;0.5,MIN(F_CardPayM,AK62+AK62*(D_iC)),0)</f>
        <v>0</v>
      </c>
      <c r="AY62" s="1" t="n">
        <f aca="false">IF(AL62&gt;0.5,MIN(F_CardPayM,AL62+AL62*(D_iC)),0)</f>
        <v>0</v>
      </c>
      <c r="AZ62" s="1" t="n">
        <f aca="false">IF(AM62&gt;0.5,MIN(F_CardPayM,AM62+AM62*(D_iC)),0)</f>
        <v>0</v>
      </c>
      <c r="BA62" s="1" t="n">
        <f aca="false">IF(AN62&gt;0.5,MIN(F_CardPayM,AN62+AN62*(D_iC)),0)</f>
        <v>0</v>
      </c>
      <c r="BB62" s="1" t="n">
        <f aca="false">IF(AO62&gt;0.5,MIN(F_CardPayM,AO62+AO62*(D_iC)),0)</f>
        <v>0</v>
      </c>
      <c r="BC62" s="1" t="n">
        <f aca="false">MAX(0,AP62)</f>
        <v>0</v>
      </c>
      <c r="BD62" s="1" t="n">
        <f aca="false">SUM(AQ62:BB62)</f>
        <v>0</v>
      </c>
      <c r="BE62" s="1" t="n">
        <f aca="false">'Plan cashflow'!O62</f>
        <v>0</v>
      </c>
      <c r="BF62" s="1" t="n">
        <f aca="false">IF(BE62&gt;0.5,BE62+BE62*(D_iL)-MIN(F_LoanPayM,BE62+BE62*(D_iL)),BE62)</f>
        <v>0</v>
      </c>
      <c r="BG62" s="1" t="n">
        <f aca="false">IF(BF62&gt;0.5,BF62+BF62*(D_iL)-MIN(F_LoanPayM,BF62+BF62*(D_iL)),BF62)</f>
        <v>0</v>
      </c>
      <c r="BH62" s="1" t="n">
        <f aca="false">IF(BG62&gt;0.5,BG62+BG62*(D_iL)-MIN(F_LoanPayM,BG62+BG62*(D_iL)),BG62)</f>
        <v>0</v>
      </c>
      <c r="BI62" s="1" t="n">
        <f aca="false">IF(BH62&gt;0.5,BH62+BH62*(D_iL)-MIN(F_LoanPayM,BH62+BH62*(D_iL)),BH62)</f>
        <v>0</v>
      </c>
      <c r="BJ62" s="1" t="n">
        <f aca="false">IF(BI62&gt;0.5,BI62+BI62*(D_iL)-MIN(F_LoanPayM,BI62+BI62*(D_iL)),BI62)</f>
        <v>0</v>
      </c>
      <c r="BK62" s="1" t="n">
        <f aca="false">IF(BJ62&gt;0.5,BJ62+BJ62*(D_iL)-MIN(F_LoanPayM,BJ62+BJ62*(D_iL)),BJ62)</f>
        <v>0</v>
      </c>
      <c r="BL62" s="1" t="n">
        <f aca="false">IF(BK62&gt;0.5,BK62+BK62*(D_iL)-MIN(F_LoanPayM,BK62+BK62*(D_iL)),BK62)</f>
        <v>0</v>
      </c>
      <c r="BM62" s="1" t="n">
        <f aca="false">IF(BL62&gt;0.5,BL62+BL62*(D_iL)-MIN(F_LoanPayM,BL62+BL62*(D_iL)),BL62)</f>
        <v>0</v>
      </c>
      <c r="BN62" s="1" t="n">
        <f aca="false">IF(BM62&gt;0.5,BM62+BM62*(D_iL)-MIN(F_LoanPayM,BM62+BM62*(D_iL)),BM62)</f>
        <v>0</v>
      </c>
      <c r="BO62" s="1" t="n">
        <f aca="false">IF(BN62&gt;0.5,BN62+BN62*(D_iL)-MIN(F_LoanPayM,BN62+BN62*(D_iL)),BN62)</f>
        <v>0</v>
      </c>
      <c r="BP62" s="1" t="n">
        <f aca="false">IF(BO62&gt;0.5,BO62+BO62*(D_iL)-MIN(F_LoanPayM,BO62+BO62*(D_iL)),BO62)</f>
        <v>0</v>
      </c>
      <c r="BQ62" s="1" t="n">
        <f aca="false">IF(BP62&gt;0.5,BP62+BP62*(D_iL)-MIN(F_LoanPayM,BP62+BP62*(D_iL)),BP62)</f>
        <v>0</v>
      </c>
      <c r="BR62" s="1" t="n">
        <f aca="false">IF(BE62&gt;0.5,MIN(F_LoanPayM,BE62+BE62*(D_iL)),0)</f>
        <v>0</v>
      </c>
      <c r="BS62" s="1" t="n">
        <f aca="false">IF(BF62&gt;0.5,MIN(F_LoanPayM,BF62+BF62*(D_iL)),0)</f>
        <v>0</v>
      </c>
      <c r="BT62" s="1" t="n">
        <f aca="false">IF(BG62&gt;0.5,MIN(F_LoanPayM,BG62+BG62*(D_iL)),0)</f>
        <v>0</v>
      </c>
      <c r="BU62" s="1" t="n">
        <f aca="false">IF(BH62&gt;0.5,MIN(F_LoanPayM,BH62+BH62*(D_iL)),0)</f>
        <v>0</v>
      </c>
      <c r="BV62" s="1" t="n">
        <f aca="false">IF(BI62&gt;0.5,MIN(F_LoanPayM,BI62+BI62*(D_iL)),0)</f>
        <v>0</v>
      </c>
      <c r="BW62" s="1" t="n">
        <f aca="false">IF(BJ62&gt;0.5,MIN(F_LoanPayM,BJ62+BJ62*(D_iL)),0)</f>
        <v>0</v>
      </c>
      <c r="BX62" s="1" t="n">
        <f aca="false">IF(BK62&gt;0.5,MIN(F_LoanPayM,BK62+BK62*(D_iL)),0)</f>
        <v>0</v>
      </c>
      <c r="BY62" s="1" t="n">
        <f aca="false">IF(BL62&gt;0.5,MIN(F_LoanPayM,BL62+BL62*(D_iL)),0)</f>
        <v>0</v>
      </c>
      <c r="BZ62" s="1" t="n">
        <f aca="false">IF(BM62&gt;0.5,MIN(F_LoanPayM,BM62+BM62*(D_iL)),0)</f>
        <v>0</v>
      </c>
      <c r="CA62" s="1" t="n">
        <f aca="false">IF(BN62&gt;0.5,MIN(F_LoanPayM,BN62+BN62*(D_iL)),0)</f>
        <v>0</v>
      </c>
      <c r="CB62" s="1" t="n">
        <f aca="false">IF(BO62&gt;0.5,MIN(F_LoanPayM,BO62+BO62*(D_iL)),0)</f>
        <v>0</v>
      </c>
      <c r="CC62" s="1" t="n">
        <f aca="false">IF(BP62&gt;0.5,MIN(F_LoanPayM,BP62+BP62*(D_iL)),0)</f>
        <v>0</v>
      </c>
      <c r="CD62" s="1" t="n">
        <f aca="false">MAX(0,BQ62)</f>
        <v>0</v>
      </c>
      <c r="CE62" s="1" t="n">
        <f aca="false">SUM(BR62:CC62)</f>
        <v>0</v>
      </c>
      <c r="CF62" s="1" t="n">
        <f aca="false">IF(CF61&gt;1,DE61,CF61)</f>
        <v>0</v>
      </c>
      <c r="CG62" s="1" t="n">
        <f aca="false">IF(CF62&gt;0.5,CF62+CF62*(F_MR/12)-MIN(F_MortPayM,CF62+CF62*(F_MR/12)),CF62)</f>
        <v>0</v>
      </c>
      <c r="CH62" s="1" t="n">
        <f aca="false">IF(CG62&gt;0.5,CG62+CG62*(F_MR/12)-MIN(F_MortPayM,CG62+CG62*(F_MR/12)),CG62)</f>
        <v>0</v>
      </c>
      <c r="CI62" s="1" t="n">
        <f aca="false">IF(CH62&gt;0.5,CH62+CH62*(F_MR/12)-MIN(F_MortPayM,CH62+CH62*(F_MR/12)),CH62)</f>
        <v>0</v>
      </c>
      <c r="CJ62" s="1" t="n">
        <f aca="false">IF(CI62&gt;0.5,CI62+CI62*(F_MR/12)-MIN(F_MortPayM,CI62+CI62*(F_MR/12)),CI62)</f>
        <v>0</v>
      </c>
      <c r="CK62" s="1" t="n">
        <f aca="false">IF(CJ62&gt;0.5,CJ62+CJ62*(F_MR/12)-MIN(F_MortPayM,CJ62+CJ62*(F_MR/12)),CJ62)</f>
        <v>0</v>
      </c>
      <c r="CL62" s="1" t="n">
        <f aca="false">IF(CK62&gt;0.5,CK62+CK62*(F_MR/12)-MIN(F_MortPayM,CK62+CK62*(F_MR/12)),CK62)</f>
        <v>0</v>
      </c>
      <c r="CM62" s="1" t="n">
        <f aca="false">IF(CL62&gt;0.5,CL62+CL62*(F_MR/12)-MIN(F_MortPayM,CL62+CL62*(F_MR/12)),CL62)</f>
        <v>0</v>
      </c>
      <c r="CN62" s="1" t="n">
        <f aca="false">IF(CM62&gt;0.5,CM62+CM62*(F_MR/12)-MIN(F_MortPayM,CM62+CM62*(F_MR/12)),CM62)</f>
        <v>0</v>
      </c>
      <c r="CO62" s="1" t="n">
        <f aca="false">IF(CN62&gt;0.5,CN62+CN62*(F_MR/12)-MIN(F_MortPayM,CN62+CN62*(F_MR/12)),CN62)</f>
        <v>0</v>
      </c>
      <c r="CP62" s="1" t="n">
        <f aca="false">IF(CO62&gt;0.5,CO62+CO62*(F_MR/12)-MIN(F_MortPayM,CO62+CO62*(F_MR/12)),CO62)</f>
        <v>0</v>
      </c>
      <c r="CQ62" s="1" t="n">
        <f aca="false">IF(CP62&gt;0.5,CP62+CP62*(F_MR/12)-MIN(F_MortPayM,CP62+CP62*(F_MR/12)),CP62)</f>
        <v>0</v>
      </c>
      <c r="CR62" s="1" t="n">
        <f aca="false">IF(CQ62&gt;0.5,CQ62+CQ62*(F_MR/12)-MIN(F_MortPayM,CQ62+CQ62*(F_MR/12)),CQ62)</f>
        <v>0</v>
      </c>
      <c r="CS62" s="1" t="n">
        <f aca="false">IF(CF62&gt;0.5,MIN(F_MortPayM,CF62+CF62*(F_MR/12)),0)</f>
        <v>0</v>
      </c>
      <c r="CT62" s="1" t="n">
        <f aca="false">IF(CG62&gt;0.5,MIN(F_MortPayM,CG62+CG62*(F_MR/12)),0)</f>
        <v>0</v>
      </c>
      <c r="CU62" s="1" t="n">
        <f aca="false">IF(CH62&gt;0.5,MIN(F_MortPayM,CH62+CH62*(F_MR/12)),0)</f>
        <v>0</v>
      </c>
      <c r="CV62" s="1" t="n">
        <f aca="false">IF(CI62&gt;0.5,MIN(F_MortPayM,CI62+CI62*(F_MR/12)),0)</f>
        <v>0</v>
      </c>
      <c r="CW62" s="1" t="n">
        <f aca="false">IF(CJ62&gt;0.5,MIN(F_MortPayM,CJ62+CJ62*(F_MR/12)),0)</f>
        <v>0</v>
      </c>
      <c r="CX62" s="1" t="n">
        <f aca="false">IF(CK62&gt;0.5,MIN(F_MortPayM,CK62+CK62*(F_MR/12)),0)</f>
        <v>0</v>
      </c>
      <c r="CY62" s="1" t="n">
        <f aca="false">IF(CL62&gt;0.5,MIN(F_MortPayM,CL62+CL62*(F_MR/12)),0)</f>
        <v>0</v>
      </c>
      <c r="CZ62" s="1" t="n">
        <f aca="false">IF(CM62&gt;0.5,MIN(F_MortPayM,CM62+CM62*(F_MR/12)),0)</f>
        <v>0</v>
      </c>
      <c r="DA62" s="1" t="n">
        <f aca="false">IF(CN62&gt;0.5,MIN(F_MortPayM,CN62+CN62*(F_MR/12)),0)</f>
        <v>0</v>
      </c>
      <c r="DB62" s="1" t="n">
        <f aca="false">IF(CO62&gt;0.5,MIN(F_MortPayM,CO62+CO62*(F_MR/12)),0)</f>
        <v>0</v>
      </c>
      <c r="DC62" s="1" t="n">
        <f aca="false">IF(CP62&gt;0.5,MIN(F_MortPayM,CP62+CP62*(F_MR/12)),0)</f>
        <v>0</v>
      </c>
      <c r="DD62" s="1" t="n">
        <f aca="false">IF(CQ62&gt;0.5,MIN(F_MortPayM,CQ62+CQ62*(F_MR/12)),0)</f>
        <v>0</v>
      </c>
      <c r="DE62" s="1" t="n">
        <f aca="false">MAX(0,CR62)</f>
        <v>0</v>
      </c>
      <c r="DF62" s="1" t="n">
        <f aca="false">SUM(CS62:DD62)</f>
        <v>0</v>
      </c>
      <c r="DG62" s="1" t="n">
        <f aca="false">MAX(0,CF62)</f>
        <v>0</v>
      </c>
    </row>
    <row r="63" customFormat="false" ht="15" hidden="false" customHeight="false" outlineLevel="0" collapsed="false">
      <c r="B63" s="1" t="n">
        <v>55</v>
      </c>
      <c r="C63" s="1" t="n">
        <f aca="false">'Plan cashflow'!I63</f>
        <v>0</v>
      </c>
      <c r="D63" s="1" t="n">
        <f aca="false">IF(C63&gt;0.5,C63+C63*(F_MR/12)-MIN(F_MortPayM,C63+C63*(F_MR/12)),C63)</f>
        <v>0</v>
      </c>
      <c r="E63" s="1" t="n">
        <f aca="false">IF(D63&gt;0.5,D63+D63*(F_MR/12)-MIN(F_MortPayM,D63+D63*(F_MR/12)),D63)</f>
        <v>0</v>
      </c>
      <c r="F63" s="1" t="n">
        <f aca="false">IF(E63&gt;0.5,E63+E63*(F_MR/12)-MIN(F_MortPayM,E63+E63*(F_MR/12)),E63)</f>
        <v>0</v>
      </c>
      <c r="G63" s="1" t="n">
        <f aca="false">IF(F63&gt;0.5,F63+F63*(F_MR/12)-MIN(F_MortPayM,F63+F63*(F_MR/12)),F63)</f>
        <v>0</v>
      </c>
      <c r="H63" s="1" t="n">
        <f aca="false">IF(G63&gt;0.5,G63+G63*(F_MR/12)-MIN(F_MortPayM,G63+G63*(F_MR/12)),G63)</f>
        <v>0</v>
      </c>
      <c r="I63" s="1" t="n">
        <f aca="false">IF(H63&gt;0.5,H63+H63*(F_MR/12)-MIN(F_MortPayM,H63+H63*(F_MR/12)),H63)</f>
        <v>0</v>
      </c>
      <c r="J63" s="1" t="n">
        <f aca="false">IF(I63&gt;0.5,I63+I63*(F_MR/12)-MIN(F_MortPayM,I63+I63*(F_MR/12)),I63)</f>
        <v>0</v>
      </c>
      <c r="K63" s="1" t="n">
        <f aca="false">IF(J63&gt;0.5,J63+J63*(F_MR/12)-MIN(F_MortPayM,J63+J63*(F_MR/12)),J63)</f>
        <v>0</v>
      </c>
      <c r="L63" s="1" t="n">
        <f aca="false">IF(K63&gt;0.5,K63+K63*(F_MR/12)-MIN(F_MortPayM,K63+K63*(F_MR/12)),K63)</f>
        <v>0</v>
      </c>
      <c r="M63" s="1" t="n">
        <f aca="false">IF(L63&gt;0.5,L63+L63*(F_MR/12)-MIN(F_MortPayM,L63+L63*(F_MR/12)),L63)</f>
        <v>0</v>
      </c>
      <c r="N63" s="1" t="n">
        <f aca="false">IF(M63&gt;0.5,M63+M63*(F_MR/12)-MIN(F_MortPayM,M63+M63*(F_MR/12)),M63)</f>
        <v>0</v>
      </c>
      <c r="O63" s="1" t="n">
        <f aca="false">IF(N63&gt;0.5,N63+N63*(F_MR/12)-MIN(F_MortPayM,N63+N63*(F_MR/12)),N63)</f>
        <v>0</v>
      </c>
      <c r="P63" s="1" t="n">
        <f aca="false">IF(C63&gt;0.5,MIN(F_MortPayM,C63+C63*(F_MR/12)),0)</f>
        <v>0</v>
      </c>
      <c r="Q63" s="1" t="n">
        <f aca="false">IF(D63&gt;0.5,MIN(F_MortPayM,D63+D63*(F_MR/12)),0)</f>
        <v>0</v>
      </c>
      <c r="R63" s="1" t="n">
        <f aca="false">IF(E63&gt;0.5,MIN(F_MortPayM,E63+E63*(F_MR/12)),0)</f>
        <v>0</v>
      </c>
      <c r="S63" s="1" t="n">
        <f aca="false">IF(F63&gt;0.5,MIN(F_MortPayM,F63+F63*(F_MR/12)),0)</f>
        <v>0</v>
      </c>
      <c r="T63" s="1" t="n">
        <f aca="false">IF(G63&gt;0.5,MIN(F_MortPayM,G63+G63*(F_MR/12)),0)</f>
        <v>0</v>
      </c>
      <c r="U63" s="1" t="n">
        <f aca="false">IF(H63&gt;0.5,MIN(F_MortPayM,H63+H63*(F_MR/12)),0)</f>
        <v>0</v>
      </c>
      <c r="V63" s="1" t="n">
        <f aca="false">IF(I63&gt;0.5,MIN(F_MortPayM,I63+I63*(F_MR/12)),0)</f>
        <v>0</v>
      </c>
      <c r="W63" s="1" t="n">
        <f aca="false">IF(J63&gt;0.5,MIN(F_MortPayM,J63+J63*(F_MR/12)),0)</f>
        <v>0</v>
      </c>
      <c r="X63" s="1" t="n">
        <f aca="false">IF(K63&gt;0.5,MIN(F_MortPayM,K63+K63*(F_MR/12)),0)</f>
        <v>0</v>
      </c>
      <c r="Y63" s="1" t="n">
        <f aca="false">IF(L63&gt;0.5,MIN(F_MortPayM,L63+L63*(F_MR/12)),0)</f>
        <v>0</v>
      </c>
      <c r="Z63" s="1" t="n">
        <f aca="false">IF(M63&gt;0.5,MIN(F_MortPayM,M63+M63*(F_MR/12)),0)</f>
        <v>0</v>
      </c>
      <c r="AA63" s="1" t="n">
        <f aca="false">IF(N63&gt;0.5,MIN(F_MortPayM,N63+N63*(F_MR/12)),0)</f>
        <v>0</v>
      </c>
      <c r="AB63" s="1" t="n">
        <f aca="false">MAX(0,O63)</f>
        <v>0</v>
      </c>
      <c r="AC63" s="1" t="n">
        <f aca="false">SUM(P63:AA63)</f>
        <v>0</v>
      </c>
      <c r="AD63" s="1" t="n">
        <f aca="false">'Plan cashflow'!L63</f>
        <v>0</v>
      </c>
      <c r="AE63" s="1" t="n">
        <f aca="false">IF(AD63&gt;0.5,AD63+AD63*(D_iC)-MIN(F_CardPayM,AD63+AD63*(D_iC)),AD63)</f>
        <v>0</v>
      </c>
      <c r="AF63" s="1" t="n">
        <f aca="false">IF(AE63&gt;0.5,AE63+AE63*(D_iC)-MIN(F_CardPayM,AE63+AE63*(D_iC)),AE63)</f>
        <v>0</v>
      </c>
      <c r="AG63" s="1" t="n">
        <f aca="false">IF(AF63&gt;0.5,AF63+AF63*(D_iC)-MIN(F_CardPayM,AF63+AF63*(D_iC)),AF63)</f>
        <v>0</v>
      </c>
      <c r="AH63" s="1" t="n">
        <f aca="false">IF(AG63&gt;0.5,AG63+AG63*(D_iC)-MIN(F_CardPayM,AG63+AG63*(D_iC)),AG63)</f>
        <v>0</v>
      </c>
      <c r="AI63" s="1" t="n">
        <f aca="false">IF(AH63&gt;0.5,AH63+AH63*(D_iC)-MIN(F_CardPayM,AH63+AH63*(D_iC)),AH63)</f>
        <v>0</v>
      </c>
      <c r="AJ63" s="1" t="n">
        <f aca="false">IF(AI63&gt;0.5,AI63+AI63*(D_iC)-MIN(F_CardPayM,AI63+AI63*(D_iC)),AI63)</f>
        <v>0</v>
      </c>
      <c r="AK63" s="1" t="n">
        <f aca="false">IF(AJ63&gt;0.5,AJ63+AJ63*(D_iC)-MIN(F_CardPayM,AJ63+AJ63*(D_iC)),AJ63)</f>
        <v>0</v>
      </c>
      <c r="AL63" s="1" t="n">
        <f aca="false">IF(AK63&gt;0.5,AK63+AK63*(D_iC)-MIN(F_CardPayM,AK63+AK63*(D_iC)),AK63)</f>
        <v>0</v>
      </c>
      <c r="AM63" s="1" t="n">
        <f aca="false">IF(AL63&gt;0.5,AL63+AL63*(D_iC)-MIN(F_CardPayM,AL63+AL63*(D_iC)),AL63)</f>
        <v>0</v>
      </c>
      <c r="AN63" s="1" t="n">
        <f aca="false">IF(AM63&gt;0.5,AM63+AM63*(D_iC)-MIN(F_CardPayM,AM63+AM63*(D_iC)),AM63)</f>
        <v>0</v>
      </c>
      <c r="AO63" s="1" t="n">
        <f aca="false">IF(AN63&gt;0.5,AN63+AN63*(D_iC)-MIN(F_CardPayM,AN63+AN63*(D_iC)),AN63)</f>
        <v>0</v>
      </c>
      <c r="AP63" s="1" t="n">
        <f aca="false">IF(AO63&gt;0.5,AO63+AO63*(D_iC)-MIN(F_CardPayM,AO63+AO63*(D_iC)),AO63)</f>
        <v>0</v>
      </c>
      <c r="AQ63" s="1" t="n">
        <f aca="false">IF(AD63&gt;0.5,MIN(F_CardPayM,AD63+AD63*(D_iC)),0)</f>
        <v>0</v>
      </c>
      <c r="AR63" s="1" t="n">
        <f aca="false">IF(AE63&gt;0.5,MIN(F_CardPayM,AE63+AE63*(D_iC)),0)</f>
        <v>0</v>
      </c>
      <c r="AS63" s="1" t="n">
        <f aca="false">IF(AF63&gt;0.5,MIN(F_CardPayM,AF63+AF63*(D_iC)),0)</f>
        <v>0</v>
      </c>
      <c r="AT63" s="1" t="n">
        <f aca="false">IF(AG63&gt;0.5,MIN(F_CardPayM,AG63+AG63*(D_iC)),0)</f>
        <v>0</v>
      </c>
      <c r="AU63" s="1" t="n">
        <f aca="false">IF(AH63&gt;0.5,MIN(F_CardPayM,AH63+AH63*(D_iC)),0)</f>
        <v>0</v>
      </c>
      <c r="AV63" s="1" t="n">
        <f aca="false">IF(AI63&gt;0.5,MIN(F_CardPayM,AI63+AI63*(D_iC)),0)</f>
        <v>0</v>
      </c>
      <c r="AW63" s="1" t="n">
        <f aca="false">IF(AJ63&gt;0.5,MIN(F_CardPayM,AJ63+AJ63*(D_iC)),0)</f>
        <v>0</v>
      </c>
      <c r="AX63" s="1" t="n">
        <f aca="false">IF(AK63&gt;0.5,MIN(F_CardPayM,AK63+AK63*(D_iC)),0)</f>
        <v>0</v>
      </c>
      <c r="AY63" s="1" t="n">
        <f aca="false">IF(AL63&gt;0.5,MIN(F_CardPayM,AL63+AL63*(D_iC)),0)</f>
        <v>0</v>
      </c>
      <c r="AZ63" s="1" t="n">
        <f aca="false">IF(AM63&gt;0.5,MIN(F_CardPayM,AM63+AM63*(D_iC)),0)</f>
        <v>0</v>
      </c>
      <c r="BA63" s="1" t="n">
        <f aca="false">IF(AN63&gt;0.5,MIN(F_CardPayM,AN63+AN63*(D_iC)),0)</f>
        <v>0</v>
      </c>
      <c r="BB63" s="1" t="n">
        <f aca="false">IF(AO63&gt;0.5,MIN(F_CardPayM,AO63+AO63*(D_iC)),0)</f>
        <v>0</v>
      </c>
      <c r="BC63" s="1" t="n">
        <f aca="false">MAX(0,AP63)</f>
        <v>0</v>
      </c>
      <c r="BD63" s="1" t="n">
        <f aca="false">SUM(AQ63:BB63)</f>
        <v>0</v>
      </c>
      <c r="BE63" s="1" t="n">
        <f aca="false">'Plan cashflow'!O63</f>
        <v>0</v>
      </c>
      <c r="BF63" s="1" t="n">
        <f aca="false">IF(BE63&gt;0.5,BE63+BE63*(D_iL)-MIN(F_LoanPayM,BE63+BE63*(D_iL)),BE63)</f>
        <v>0</v>
      </c>
      <c r="BG63" s="1" t="n">
        <f aca="false">IF(BF63&gt;0.5,BF63+BF63*(D_iL)-MIN(F_LoanPayM,BF63+BF63*(D_iL)),BF63)</f>
        <v>0</v>
      </c>
      <c r="BH63" s="1" t="n">
        <f aca="false">IF(BG63&gt;0.5,BG63+BG63*(D_iL)-MIN(F_LoanPayM,BG63+BG63*(D_iL)),BG63)</f>
        <v>0</v>
      </c>
      <c r="BI63" s="1" t="n">
        <f aca="false">IF(BH63&gt;0.5,BH63+BH63*(D_iL)-MIN(F_LoanPayM,BH63+BH63*(D_iL)),BH63)</f>
        <v>0</v>
      </c>
      <c r="BJ63" s="1" t="n">
        <f aca="false">IF(BI63&gt;0.5,BI63+BI63*(D_iL)-MIN(F_LoanPayM,BI63+BI63*(D_iL)),BI63)</f>
        <v>0</v>
      </c>
      <c r="BK63" s="1" t="n">
        <f aca="false">IF(BJ63&gt;0.5,BJ63+BJ63*(D_iL)-MIN(F_LoanPayM,BJ63+BJ63*(D_iL)),BJ63)</f>
        <v>0</v>
      </c>
      <c r="BL63" s="1" t="n">
        <f aca="false">IF(BK63&gt;0.5,BK63+BK63*(D_iL)-MIN(F_LoanPayM,BK63+BK63*(D_iL)),BK63)</f>
        <v>0</v>
      </c>
      <c r="BM63" s="1" t="n">
        <f aca="false">IF(BL63&gt;0.5,BL63+BL63*(D_iL)-MIN(F_LoanPayM,BL63+BL63*(D_iL)),BL63)</f>
        <v>0</v>
      </c>
      <c r="BN63" s="1" t="n">
        <f aca="false">IF(BM63&gt;0.5,BM63+BM63*(D_iL)-MIN(F_LoanPayM,BM63+BM63*(D_iL)),BM63)</f>
        <v>0</v>
      </c>
      <c r="BO63" s="1" t="n">
        <f aca="false">IF(BN63&gt;0.5,BN63+BN63*(D_iL)-MIN(F_LoanPayM,BN63+BN63*(D_iL)),BN63)</f>
        <v>0</v>
      </c>
      <c r="BP63" s="1" t="n">
        <f aca="false">IF(BO63&gt;0.5,BO63+BO63*(D_iL)-MIN(F_LoanPayM,BO63+BO63*(D_iL)),BO63)</f>
        <v>0</v>
      </c>
      <c r="BQ63" s="1" t="n">
        <f aca="false">IF(BP63&gt;0.5,BP63+BP63*(D_iL)-MIN(F_LoanPayM,BP63+BP63*(D_iL)),BP63)</f>
        <v>0</v>
      </c>
      <c r="BR63" s="1" t="n">
        <f aca="false">IF(BE63&gt;0.5,MIN(F_LoanPayM,BE63+BE63*(D_iL)),0)</f>
        <v>0</v>
      </c>
      <c r="BS63" s="1" t="n">
        <f aca="false">IF(BF63&gt;0.5,MIN(F_LoanPayM,BF63+BF63*(D_iL)),0)</f>
        <v>0</v>
      </c>
      <c r="BT63" s="1" t="n">
        <f aca="false">IF(BG63&gt;0.5,MIN(F_LoanPayM,BG63+BG63*(D_iL)),0)</f>
        <v>0</v>
      </c>
      <c r="BU63" s="1" t="n">
        <f aca="false">IF(BH63&gt;0.5,MIN(F_LoanPayM,BH63+BH63*(D_iL)),0)</f>
        <v>0</v>
      </c>
      <c r="BV63" s="1" t="n">
        <f aca="false">IF(BI63&gt;0.5,MIN(F_LoanPayM,BI63+BI63*(D_iL)),0)</f>
        <v>0</v>
      </c>
      <c r="BW63" s="1" t="n">
        <f aca="false">IF(BJ63&gt;0.5,MIN(F_LoanPayM,BJ63+BJ63*(D_iL)),0)</f>
        <v>0</v>
      </c>
      <c r="BX63" s="1" t="n">
        <f aca="false">IF(BK63&gt;0.5,MIN(F_LoanPayM,BK63+BK63*(D_iL)),0)</f>
        <v>0</v>
      </c>
      <c r="BY63" s="1" t="n">
        <f aca="false">IF(BL63&gt;0.5,MIN(F_LoanPayM,BL63+BL63*(D_iL)),0)</f>
        <v>0</v>
      </c>
      <c r="BZ63" s="1" t="n">
        <f aca="false">IF(BM63&gt;0.5,MIN(F_LoanPayM,BM63+BM63*(D_iL)),0)</f>
        <v>0</v>
      </c>
      <c r="CA63" s="1" t="n">
        <f aca="false">IF(BN63&gt;0.5,MIN(F_LoanPayM,BN63+BN63*(D_iL)),0)</f>
        <v>0</v>
      </c>
      <c r="CB63" s="1" t="n">
        <f aca="false">IF(BO63&gt;0.5,MIN(F_LoanPayM,BO63+BO63*(D_iL)),0)</f>
        <v>0</v>
      </c>
      <c r="CC63" s="1" t="n">
        <f aca="false">IF(BP63&gt;0.5,MIN(F_LoanPayM,BP63+BP63*(D_iL)),0)</f>
        <v>0</v>
      </c>
      <c r="CD63" s="1" t="n">
        <f aca="false">MAX(0,BQ63)</f>
        <v>0</v>
      </c>
      <c r="CE63" s="1" t="n">
        <f aca="false">SUM(BR63:CC63)</f>
        <v>0</v>
      </c>
      <c r="CF63" s="1" t="n">
        <f aca="false">IF(CF62&gt;1,DE62,CF62)</f>
        <v>0</v>
      </c>
      <c r="CG63" s="1" t="n">
        <f aca="false">IF(CF63&gt;0.5,CF63+CF63*(F_MR/12)-MIN(F_MortPayM,CF63+CF63*(F_MR/12)),CF63)</f>
        <v>0</v>
      </c>
      <c r="CH63" s="1" t="n">
        <f aca="false">IF(CG63&gt;0.5,CG63+CG63*(F_MR/12)-MIN(F_MortPayM,CG63+CG63*(F_MR/12)),CG63)</f>
        <v>0</v>
      </c>
      <c r="CI63" s="1" t="n">
        <f aca="false">IF(CH63&gt;0.5,CH63+CH63*(F_MR/12)-MIN(F_MortPayM,CH63+CH63*(F_MR/12)),CH63)</f>
        <v>0</v>
      </c>
      <c r="CJ63" s="1" t="n">
        <f aca="false">IF(CI63&gt;0.5,CI63+CI63*(F_MR/12)-MIN(F_MortPayM,CI63+CI63*(F_MR/12)),CI63)</f>
        <v>0</v>
      </c>
      <c r="CK63" s="1" t="n">
        <f aca="false">IF(CJ63&gt;0.5,CJ63+CJ63*(F_MR/12)-MIN(F_MortPayM,CJ63+CJ63*(F_MR/12)),CJ63)</f>
        <v>0</v>
      </c>
      <c r="CL63" s="1" t="n">
        <f aca="false">IF(CK63&gt;0.5,CK63+CK63*(F_MR/12)-MIN(F_MortPayM,CK63+CK63*(F_MR/12)),CK63)</f>
        <v>0</v>
      </c>
      <c r="CM63" s="1" t="n">
        <f aca="false">IF(CL63&gt;0.5,CL63+CL63*(F_MR/12)-MIN(F_MortPayM,CL63+CL63*(F_MR/12)),CL63)</f>
        <v>0</v>
      </c>
      <c r="CN63" s="1" t="n">
        <f aca="false">IF(CM63&gt;0.5,CM63+CM63*(F_MR/12)-MIN(F_MortPayM,CM63+CM63*(F_MR/12)),CM63)</f>
        <v>0</v>
      </c>
      <c r="CO63" s="1" t="n">
        <f aca="false">IF(CN63&gt;0.5,CN63+CN63*(F_MR/12)-MIN(F_MortPayM,CN63+CN63*(F_MR/12)),CN63)</f>
        <v>0</v>
      </c>
      <c r="CP63" s="1" t="n">
        <f aca="false">IF(CO63&gt;0.5,CO63+CO63*(F_MR/12)-MIN(F_MortPayM,CO63+CO63*(F_MR/12)),CO63)</f>
        <v>0</v>
      </c>
      <c r="CQ63" s="1" t="n">
        <f aca="false">IF(CP63&gt;0.5,CP63+CP63*(F_MR/12)-MIN(F_MortPayM,CP63+CP63*(F_MR/12)),CP63)</f>
        <v>0</v>
      </c>
      <c r="CR63" s="1" t="n">
        <f aca="false">IF(CQ63&gt;0.5,CQ63+CQ63*(F_MR/12)-MIN(F_MortPayM,CQ63+CQ63*(F_MR/12)),CQ63)</f>
        <v>0</v>
      </c>
      <c r="CS63" s="1" t="n">
        <f aca="false">IF(CF63&gt;0.5,MIN(F_MortPayM,CF63+CF63*(F_MR/12)),0)</f>
        <v>0</v>
      </c>
      <c r="CT63" s="1" t="n">
        <f aca="false">IF(CG63&gt;0.5,MIN(F_MortPayM,CG63+CG63*(F_MR/12)),0)</f>
        <v>0</v>
      </c>
      <c r="CU63" s="1" t="n">
        <f aca="false">IF(CH63&gt;0.5,MIN(F_MortPayM,CH63+CH63*(F_MR/12)),0)</f>
        <v>0</v>
      </c>
      <c r="CV63" s="1" t="n">
        <f aca="false">IF(CI63&gt;0.5,MIN(F_MortPayM,CI63+CI63*(F_MR/12)),0)</f>
        <v>0</v>
      </c>
      <c r="CW63" s="1" t="n">
        <f aca="false">IF(CJ63&gt;0.5,MIN(F_MortPayM,CJ63+CJ63*(F_MR/12)),0)</f>
        <v>0</v>
      </c>
      <c r="CX63" s="1" t="n">
        <f aca="false">IF(CK63&gt;0.5,MIN(F_MortPayM,CK63+CK63*(F_MR/12)),0)</f>
        <v>0</v>
      </c>
      <c r="CY63" s="1" t="n">
        <f aca="false">IF(CL63&gt;0.5,MIN(F_MortPayM,CL63+CL63*(F_MR/12)),0)</f>
        <v>0</v>
      </c>
      <c r="CZ63" s="1" t="n">
        <f aca="false">IF(CM63&gt;0.5,MIN(F_MortPayM,CM63+CM63*(F_MR/12)),0)</f>
        <v>0</v>
      </c>
      <c r="DA63" s="1" t="n">
        <f aca="false">IF(CN63&gt;0.5,MIN(F_MortPayM,CN63+CN63*(F_MR/12)),0)</f>
        <v>0</v>
      </c>
      <c r="DB63" s="1" t="n">
        <f aca="false">IF(CO63&gt;0.5,MIN(F_MortPayM,CO63+CO63*(F_MR/12)),0)</f>
        <v>0</v>
      </c>
      <c r="DC63" s="1" t="n">
        <f aca="false">IF(CP63&gt;0.5,MIN(F_MortPayM,CP63+CP63*(F_MR/12)),0)</f>
        <v>0</v>
      </c>
      <c r="DD63" s="1" t="n">
        <f aca="false">IF(CQ63&gt;0.5,MIN(F_MortPayM,CQ63+CQ63*(F_MR/12)),0)</f>
        <v>0</v>
      </c>
      <c r="DE63" s="1" t="n">
        <f aca="false">MAX(0,CR63)</f>
        <v>0</v>
      </c>
      <c r="DF63" s="1" t="n">
        <f aca="false">SUM(CS63:DD63)</f>
        <v>0</v>
      </c>
      <c r="DG63" s="1" t="n">
        <f aca="false">MAX(0,CF63)</f>
        <v>0</v>
      </c>
    </row>
    <row r="64" customFormat="false" ht="15" hidden="false" customHeight="false" outlineLevel="0" collapsed="false">
      <c r="B64" s="1" t="n">
        <v>56</v>
      </c>
      <c r="C64" s="1" t="n">
        <f aca="false">'Plan cashflow'!I64</f>
        <v>0</v>
      </c>
      <c r="D64" s="1" t="n">
        <f aca="false">IF(C64&gt;0.5,C64+C64*(F_MR/12)-MIN(F_MortPayM,C64+C64*(F_MR/12)),C64)</f>
        <v>0</v>
      </c>
      <c r="E64" s="1" t="n">
        <f aca="false">IF(D64&gt;0.5,D64+D64*(F_MR/12)-MIN(F_MortPayM,D64+D64*(F_MR/12)),D64)</f>
        <v>0</v>
      </c>
      <c r="F64" s="1" t="n">
        <f aca="false">IF(E64&gt;0.5,E64+E64*(F_MR/12)-MIN(F_MortPayM,E64+E64*(F_MR/12)),E64)</f>
        <v>0</v>
      </c>
      <c r="G64" s="1" t="n">
        <f aca="false">IF(F64&gt;0.5,F64+F64*(F_MR/12)-MIN(F_MortPayM,F64+F64*(F_MR/12)),F64)</f>
        <v>0</v>
      </c>
      <c r="H64" s="1" t="n">
        <f aca="false">IF(G64&gt;0.5,G64+G64*(F_MR/12)-MIN(F_MortPayM,G64+G64*(F_MR/12)),G64)</f>
        <v>0</v>
      </c>
      <c r="I64" s="1" t="n">
        <f aca="false">IF(H64&gt;0.5,H64+H64*(F_MR/12)-MIN(F_MortPayM,H64+H64*(F_MR/12)),H64)</f>
        <v>0</v>
      </c>
      <c r="J64" s="1" t="n">
        <f aca="false">IF(I64&gt;0.5,I64+I64*(F_MR/12)-MIN(F_MortPayM,I64+I64*(F_MR/12)),I64)</f>
        <v>0</v>
      </c>
      <c r="K64" s="1" t="n">
        <f aca="false">IF(J64&gt;0.5,J64+J64*(F_MR/12)-MIN(F_MortPayM,J64+J64*(F_MR/12)),J64)</f>
        <v>0</v>
      </c>
      <c r="L64" s="1" t="n">
        <f aca="false">IF(K64&gt;0.5,K64+K64*(F_MR/12)-MIN(F_MortPayM,K64+K64*(F_MR/12)),K64)</f>
        <v>0</v>
      </c>
      <c r="M64" s="1" t="n">
        <f aca="false">IF(L64&gt;0.5,L64+L64*(F_MR/12)-MIN(F_MortPayM,L64+L64*(F_MR/12)),L64)</f>
        <v>0</v>
      </c>
      <c r="N64" s="1" t="n">
        <f aca="false">IF(M64&gt;0.5,M64+M64*(F_MR/12)-MIN(F_MortPayM,M64+M64*(F_MR/12)),M64)</f>
        <v>0</v>
      </c>
      <c r="O64" s="1" t="n">
        <f aca="false">IF(N64&gt;0.5,N64+N64*(F_MR/12)-MIN(F_MortPayM,N64+N64*(F_MR/12)),N64)</f>
        <v>0</v>
      </c>
      <c r="P64" s="1" t="n">
        <f aca="false">IF(C64&gt;0.5,MIN(F_MortPayM,C64+C64*(F_MR/12)),0)</f>
        <v>0</v>
      </c>
      <c r="Q64" s="1" t="n">
        <f aca="false">IF(D64&gt;0.5,MIN(F_MortPayM,D64+D64*(F_MR/12)),0)</f>
        <v>0</v>
      </c>
      <c r="R64" s="1" t="n">
        <f aca="false">IF(E64&gt;0.5,MIN(F_MortPayM,E64+E64*(F_MR/12)),0)</f>
        <v>0</v>
      </c>
      <c r="S64" s="1" t="n">
        <f aca="false">IF(F64&gt;0.5,MIN(F_MortPayM,F64+F64*(F_MR/12)),0)</f>
        <v>0</v>
      </c>
      <c r="T64" s="1" t="n">
        <f aca="false">IF(G64&gt;0.5,MIN(F_MortPayM,G64+G64*(F_MR/12)),0)</f>
        <v>0</v>
      </c>
      <c r="U64" s="1" t="n">
        <f aca="false">IF(H64&gt;0.5,MIN(F_MortPayM,H64+H64*(F_MR/12)),0)</f>
        <v>0</v>
      </c>
      <c r="V64" s="1" t="n">
        <f aca="false">IF(I64&gt;0.5,MIN(F_MortPayM,I64+I64*(F_MR/12)),0)</f>
        <v>0</v>
      </c>
      <c r="W64" s="1" t="n">
        <f aca="false">IF(J64&gt;0.5,MIN(F_MortPayM,J64+J64*(F_MR/12)),0)</f>
        <v>0</v>
      </c>
      <c r="X64" s="1" t="n">
        <f aca="false">IF(K64&gt;0.5,MIN(F_MortPayM,K64+K64*(F_MR/12)),0)</f>
        <v>0</v>
      </c>
      <c r="Y64" s="1" t="n">
        <f aca="false">IF(L64&gt;0.5,MIN(F_MortPayM,L64+L64*(F_MR/12)),0)</f>
        <v>0</v>
      </c>
      <c r="Z64" s="1" t="n">
        <f aca="false">IF(M64&gt;0.5,MIN(F_MortPayM,M64+M64*(F_MR/12)),0)</f>
        <v>0</v>
      </c>
      <c r="AA64" s="1" t="n">
        <f aca="false">IF(N64&gt;0.5,MIN(F_MortPayM,N64+N64*(F_MR/12)),0)</f>
        <v>0</v>
      </c>
      <c r="AB64" s="1" t="n">
        <f aca="false">MAX(0,O64)</f>
        <v>0</v>
      </c>
      <c r="AC64" s="1" t="n">
        <f aca="false">SUM(P64:AA64)</f>
        <v>0</v>
      </c>
      <c r="AD64" s="1" t="n">
        <f aca="false">'Plan cashflow'!L64</f>
        <v>0</v>
      </c>
      <c r="AE64" s="1" t="n">
        <f aca="false">IF(AD64&gt;0.5,AD64+AD64*(D_iC)-MIN(F_CardPayM,AD64+AD64*(D_iC)),AD64)</f>
        <v>0</v>
      </c>
      <c r="AF64" s="1" t="n">
        <f aca="false">IF(AE64&gt;0.5,AE64+AE64*(D_iC)-MIN(F_CardPayM,AE64+AE64*(D_iC)),AE64)</f>
        <v>0</v>
      </c>
      <c r="AG64" s="1" t="n">
        <f aca="false">IF(AF64&gt;0.5,AF64+AF64*(D_iC)-MIN(F_CardPayM,AF64+AF64*(D_iC)),AF64)</f>
        <v>0</v>
      </c>
      <c r="AH64" s="1" t="n">
        <f aca="false">IF(AG64&gt;0.5,AG64+AG64*(D_iC)-MIN(F_CardPayM,AG64+AG64*(D_iC)),AG64)</f>
        <v>0</v>
      </c>
      <c r="AI64" s="1" t="n">
        <f aca="false">IF(AH64&gt;0.5,AH64+AH64*(D_iC)-MIN(F_CardPayM,AH64+AH64*(D_iC)),AH64)</f>
        <v>0</v>
      </c>
      <c r="AJ64" s="1" t="n">
        <f aca="false">IF(AI64&gt;0.5,AI64+AI64*(D_iC)-MIN(F_CardPayM,AI64+AI64*(D_iC)),AI64)</f>
        <v>0</v>
      </c>
      <c r="AK64" s="1" t="n">
        <f aca="false">IF(AJ64&gt;0.5,AJ64+AJ64*(D_iC)-MIN(F_CardPayM,AJ64+AJ64*(D_iC)),AJ64)</f>
        <v>0</v>
      </c>
      <c r="AL64" s="1" t="n">
        <f aca="false">IF(AK64&gt;0.5,AK64+AK64*(D_iC)-MIN(F_CardPayM,AK64+AK64*(D_iC)),AK64)</f>
        <v>0</v>
      </c>
      <c r="AM64" s="1" t="n">
        <f aca="false">IF(AL64&gt;0.5,AL64+AL64*(D_iC)-MIN(F_CardPayM,AL64+AL64*(D_iC)),AL64)</f>
        <v>0</v>
      </c>
      <c r="AN64" s="1" t="n">
        <f aca="false">IF(AM64&gt;0.5,AM64+AM64*(D_iC)-MIN(F_CardPayM,AM64+AM64*(D_iC)),AM64)</f>
        <v>0</v>
      </c>
      <c r="AO64" s="1" t="n">
        <f aca="false">IF(AN64&gt;0.5,AN64+AN64*(D_iC)-MIN(F_CardPayM,AN64+AN64*(D_iC)),AN64)</f>
        <v>0</v>
      </c>
      <c r="AP64" s="1" t="n">
        <f aca="false">IF(AO64&gt;0.5,AO64+AO64*(D_iC)-MIN(F_CardPayM,AO64+AO64*(D_iC)),AO64)</f>
        <v>0</v>
      </c>
      <c r="AQ64" s="1" t="n">
        <f aca="false">IF(AD64&gt;0.5,MIN(F_CardPayM,AD64+AD64*(D_iC)),0)</f>
        <v>0</v>
      </c>
      <c r="AR64" s="1" t="n">
        <f aca="false">IF(AE64&gt;0.5,MIN(F_CardPayM,AE64+AE64*(D_iC)),0)</f>
        <v>0</v>
      </c>
      <c r="AS64" s="1" t="n">
        <f aca="false">IF(AF64&gt;0.5,MIN(F_CardPayM,AF64+AF64*(D_iC)),0)</f>
        <v>0</v>
      </c>
      <c r="AT64" s="1" t="n">
        <f aca="false">IF(AG64&gt;0.5,MIN(F_CardPayM,AG64+AG64*(D_iC)),0)</f>
        <v>0</v>
      </c>
      <c r="AU64" s="1" t="n">
        <f aca="false">IF(AH64&gt;0.5,MIN(F_CardPayM,AH64+AH64*(D_iC)),0)</f>
        <v>0</v>
      </c>
      <c r="AV64" s="1" t="n">
        <f aca="false">IF(AI64&gt;0.5,MIN(F_CardPayM,AI64+AI64*(D_iC)),0)</f>
        <v>0</v>
      </c>
      <c r="AW64" s="1" t="n">
        <f aca="false">IF(AJ64&gt;0.5,MIN(F_CardPayM,AJ64+AJ64*(D_iC)),0)</f>
        <v>0</v>
      </c>
      <c r="AX64" s="1" t="n">
        <f aca="false">IF(AK64&gt;0.5,MIN(F_CardPayM,AK64+AK64*(D_iC)),0)</f>
        <v>0</v>
      </c>
      <c r="AY64" s="1" t="n">
        <f aca="false">IF(AL64&gt;0.5,MIN(F_CardPayM,AL64+AL64*(D_iC)),0)</f>
        <v>0</v>
      </c>
      <c r="AZ64" s="1" t="n">
        <f aca="false">IF(AM64&gt;0.5,MIN(F_CardPayM,AM64+AM64*(D_iC)),0)</f>
        <v>0</v>
      </c>
      <c r="BA64" s="1" t="n">
        <f aca="false">IF(AN64&gt;0.5,MIN(F_CardPayM,AN64+AN64*(D_iC)),0)</f>
        <v>0</v>
      </c>
      <c r="BB64" s="1" t="n">
        <f aca="false">IF(AO64&gt;0.5,MIN(F_CardPayM,AO64+AO64*(D_iC)),0)</f>
        <v>0</v>
      </c>
      <c r="BC64" s="1" t="n">
        <f aca="false">MAX(0,AP64)</f>
        <v>0</v>
      </c>
      <c r="BD64" s="1" t="n">
        <f aca="false">SUM(AQ64:BB64)</f>
        <v>0</v>
      </c>
      <c r="BE64" s="1" t="n">
        <f aca="false">'Plan cashflow'!O64</f>
        <v>0</v>
      </c>
      <c r="BF64" s="1" t="n">
        <f aca="false">IF(BE64&gt;0.5,BE64+BE64*(D_iL)-MIN(F_LoanPayM,BE64+BE64*(D_iL)),BE64)</f>
        <v>0</v>
      </c>
      <c r="BG64" s="1" t="n">
        <f aca="false">IF(BF64&gt;0.5,BF64+BF64*(D_iL)-MIN(F_LoanPayM,BF64+BF64*(D_iL)),BF64)</f>
        <v>0</v>
      </c>
      <c r="BH64" s="1" t="n">
        <f aca="false">IF(BG64&gt;0.5,BG64+BG64*(D_iL)-MIN(F_LoanPayM,BG64+BG64*(D_iL)),BG64)</f>
        <v>0</v>
      </c>
      <c r="BI64" s="1" t="n">
        <f aca="false">IF(BH64&gt;0.5,BH64+BH64*(D_iL)-MIN(F_LoanPayM,BH64+BH64*(D_iL)),BH64)</f>
        <v>0</v>
      </c>
      <c r="BJ64" s="1" t="n">
        <f aca="false">IF(BI64&gt;0.5,BI64+BI64*(D_iL)-MIN(F_LoanPayM,BI64+BI64*(D_iL)),BI64)</f>
        <v>0</v>
      </c>
      <c r="BK64" s="1" t="n">
        <f aca="false">IF(BJ64&gt;0.5,BJ64+BJ64*(D_iL)-MIN(F_LoanPayM,BJ64+BJ64*(D_iL)),BJ64)</f>
        <v>0</v>
      </c>
      <c r="BL64" s="1" t="n">
        <f aca="false">IF(BK64&gt;0.5,BK64+BK64*(D_iL)-MIN(F_LoanPayM,BK64+BK64*(D_iL)),BK64)</f>
        <v>0</v>
      </c>
      <c r="BM64" s="1" t="n">
        <f aca="false">IF(BL64&gt;0.5,BL64+BL64*(D_iL)-MIN(F_LoanPayM,BL64+BL64*(D_iL)),BL64)</f>
        <v>0</v>
      </c>
      <c r="BN64" s="1" t="n">
        <f aca="false">IF(BM64&gt;0.5,BM64+BM64*(D_iL)-MIN(F_LoanPayM,BM64+BM64*(D_iL)),BM64)</f>
        <v>0</v>
      </c>
      <c r="BO64" s="1" t="n">
        <f aca="false">IF(BN64&gt;0.5,BN64+BN64*(D_iL)-MIN(F_LoanPayM,BN64+BN64*(D_iL)),BN64)</f>
        <v>0</v>
      </c>
      <c r="BP64" s="1" t="n">
        <f aca="false">IF(BO64&gt;0.5,BO64+BO64*(D_iL)-MIN(F_LoanPayM,BO64+BO64*(D_iL)),BO64)</f>
        <v>0</v>
      </c>
      <c r="BQ64" s="1" t="n">
        <f aca="false">IF(BP64&gt;0.5,BP64+BP64*(D_iL)-MIN(F_LoanPayM,BP64+BP64*(D_iL)),BP64)</f>
        <v>0</v>
      </c>
      <c r="BR64" s="1" t="n">
        <f aca="false">IF(BE64&gt;0.5,MIN(F_LoanPayM,BE64+BE64*(D_iL)),0)</f>
        <v>0</v>
      </c>
      <c r="BS64" s="1" t="n">
        <f aca="false">IF(BF64&gt;0.5,MIN(F_LoanPayM,BF64+BF64*(D_iL)),0)</f>
        <v>0</v>
      </c>
      <c r="BT64" s="1" t="n">
        <f aca="false">IF(BG64&gt;0.5,MIN(F_LoanPayM,BG64+BG64*(D_iL)),0)</f>
        <v>0</v>
      </c>
      <c r="BU64" s="1" t="n">
        <f aca="false">IF(BH64&gt;0.5,MIN(F_LoanPayM,BH64+BH64*(D_iL)),0)</f>
        <v>0</v>
      </c>
      <c r="BV64" s="1" t="n">
        <f aca="false">IF(BI64&gt;0.5,MIN(F_LoanPayM,BI64+BI64*(D_iL)),0)</f>
        <v>0</v>
      </c>
      <c r="BW64" s="1" t="n">
        <f aca="false">IF(BJ64&gt;0.5,MIN(F_LoanPayM,BJ64+BJ64*(D_iL)),0)</f>
        <v>0</v>
      </c>
      <c r="BX64" s="1" t="n">
        <f aca="false">IF(BK64&gt;0.5,MIN(F_LoanPayM,BK64+BK64*(D_iL)),0)</f>
        <v>0</v>
      </c>
      <c r="BY64" s="1" t="n">
        <f aca="false">IF(BL64&gt;0.5,MIN(F_LoanPayM,BL64+BL64*(D_iL)),0)</f>
        <v>0</v>
      </c>
      <c r="BZ64" s="1" t="n">
        <f aca="false">IF(BM64&gt;0.5,MIN(F_LoanPayM,BM64+BM64*(D_iL)),0)</f>
        <v>0</v>
      </c>
      <c r="CA64" s="1" t="n">
        <f aca="false">IF(BN64&gt;0.5,MIN(F_LoanPayM,BN64+BN64*(D_iL)),0)</f>
        <v>0</v>
      </c>
      <c r="CB64" s="1" t="n">
        <f aca="false">IF(BO64&gt;0.5,MIN(F_LoanPayM,BO64+BO64*(D_iL)),0)</f>
        <v>0</v>
      </c>
      <c r="CC64" s="1" t="n">
        <f aca="false">IF(BP64&gt;0.5,MIN(F_LoanPayM,BP64+BP64*(D_iL)),0)</f>
        <v>0</v>
      </c>
      <c r="CD64" s="1" t="n">
        <f aca="false">MAX(0,BQ64)</f>
        <v>0</v>
      </c>
      <c r="CE64" s="1" t="n">
        <f aca="false">SUM(BR64:CC64)</f>
        <v>0</v>
      </c>
      <c r="CF64" s="1" t="n">
        <f aca="false">IF(CF63&gt;1,DE63,CF63)</f>
        <v>0</v>
      </c>
      <c r="CG64" s="1" t="n">
        <f aca="false">IF(CF64&gt;0.5,CF64+CF64*(F_MR/12)-MIN(F_MortPayM,CF64+CF64*(F_MR/12)),CF64)</f>
        <v>0</v>
      </c>
      <c r="CH64" s="1" t="n">
        <f aca="false">IF(CG64&gt;0.5,CG64+CG64*(F_MR/12)-MIN(F_MortPayM,CG64+CG64*(F_MR/12)),CG64)</f>
        <v>0</v>
      </c>
      <c r="CI64" s="1" t="n">
        <f aca="false">IF(CH64&gt;0.5,CH64+CH64*(F_MR/12)-MIN(F_MortPayM,CH64+CH64*(F_MR/12)),CH64)</f>
        <v>0</v>
      </c>
      <c r="CJ64" s="1" t="n">
        <f aca="false">IF(CI64&gt;0.5,CI64+CI64*(F_MR/12)-MIN(F_MortPayM,CI64+CI64*(F_MR/12)),CI64)</f>
        <v>0</v>
      </c>
      <c r="CK64" s="1" t="n">
        <f aca="false">IF(CJ64&gt;0.5,CJ64+CJ64*(F_MR/12)-MIN(F_MortPayM,CJ64+CJ64*(F_MR/12)),CJ64)</f>
        <v>0</v>
      </c>
      <c r="CL64" s="1" t="n">
        <f aca="false">IF(CK64&gt;0.5,CK64+CK64*(F_MR/12)-MIN(F_MortPayM,CK64+CK64*(F_MR/12)),CK64)</f>
        <v>0</v>
      </c>
      <c r="CM64" s="1" t="n">
        <f aca="false">IF(CL64&gt;0.5,CL64+CL64*(F_MR/12)-MIN(F_MortPayM,CL64+CL64*(F_MR/12)),CL64)</f>
        <v>0</v>
      </c>
      <c r="CN64" s="1" t="n">
        <f aca="false">IF(CM64&gt;0.5,CM64+CM64*(F_MR/12)-MIN(F_MortPayM,CM64+CM64*(F_MR/12)),CM64)</f>
        <v>0</v>
      </c>
      <c r="CO64" s="1" t="n">
        <f aca="false">IF(CN64&gt;0.5,CN64+CN64*(F_MR/12)-MIN(F_MortPayM,CN64+CN64*(F_MR/12)),CN64)</f>
        <v>0</v>
      </c>
      <c r="CP64" s="1" t="n">
        <f aca="false">IF(CO64&gt;0.5,CO64+CO64*(F_MR/12)-MIN(F_MortPayM,CO64+CO64*(F_MR/12)),CO64)</f>
        <v>0</v>
      </c>
      <c r="CQ64" s="1" t="n">
        <f aca="false">IF(CP64&gt;0.5,CP64+CP64*(F_MR/12)-MIN(F_MortPayM,CP64+CP64*(F_MR/12)),CP64)</f>
        <v>0</v>
      </c>
      <c r="CR64" s="1" t="n">
        <f aca="false">IF(CQ64&gt;0.5,CQ64+CQ64*(F_MR/12)-MIN(F_MortPayM,CQ64+CQ64*(F_MR/12)),CQ64)</f>
        <v>0</v>
      </c>
      <c r="CS64" s="1" t="n">
        <f aca="false">IF(CF64&gt;0.5,MIN(F_MortPayM,CF64+CF64*(F_MR/12)),0)</f>
        <v>0</v>
      </c>
      <c r="CT64" s="1" t="n">
        <f aca="false">IF(CG64&gt;0.5,MIN(F_MortPayM,CG64+CG64*(F_MR/12)),0)</f>
        <v>0</v>
      </c>
      <c r="CU64" s="1" t="n">
        <f aca="false">IF(CH64&gt;0.5,MIN(F_MortPayM,CH64+CH64*(F_MR/12)),0)</f>
        <v>0</v>
      </c>
      <c r="CV64" s="1" t="n">
        <f aca="false">IF(CI64&gt;0.5,MIN(F_MortPayM,CI64+CI64*(F_MR/12)),0)</f>
        <v>0</v>
      </c>
      <c r="CW64" s="1" t="n">
        <f aca="false">IF(CJ64&gt;0.5,MIN(F_MortPayM,CJ64+CJ64*(F_MR/12)),0)</f>
        <v>0</v>
      </c>
      <c r="CX64" s="1" t="n">
        <f aca="false">IF(CK64&gt;0.5,MIN(F_MortPayM,CK64+CK64*(F_MR/12)),0)</f>
        <v>0</v>
      </c>
      <c r="CY64" s="1" t="n">
        <f aca="false">IF(CL64&gt;0.5,MIN(F_MortPayM,CL64+CL64*(F_MR/12)),0)</f>
        <v>0</v>
      </c>
      <c r="CZ64" s="1" t="n">
        <f aca="false">IF(CM64&gt;0.5,MIN(F_MortPayM,CM64+CM64*(F_MR/12)),0)</f>
        <v>0</v>
      </c>
      <c r="DA64" s="1" t="n">
        <f aca="false">IF(CN64&gt;0.5,MIN(F_MortPayM,CN64+CN64*(F_MR/12)),0)</f>
        <v>0</v>
      </c>
      <c r="DB64" s="1" t="n">
        <f aca="false">IF(CO64&gt;0.5,MIN(F_MortPayM,CO64+CO64*(F_MR/12)),0)</f>
        <v>0</v>
      </c>
      <c r="DC64" s="1" t="n">
        <f aca="false">IF(CP64&gt;0.5,MIN(F_MortPayM,CP64+CP64*(F_MR/12)),0)</f>
        <v>0</v>
      </c>
      <c r="DD64" s="1" t="n">
        <f aca="false">IF(CQ64&gt;0.5,MIN(F_MortPayM,CQ64+CQ64*(F_MR/12)),0)</f>
        <v>0</v>
      </c>
      <c r="DE64" s="1" t="n">
        <f aca="false">MAX(0,CR64)</f>
        <v>0</v>
      </c>
      <c r="DF64" s="1" t="n">
        <f aca="false">SUM(CS64:DD64)</f>
        <v>0</v>
      </c>
      <c r="DG64" s="1" t="n">
        <f aca="false">MAX(0,CF64)</f>
        <v>0</v>
      </c>
    </row>
    <row r="65" customFormat="false" ht="15" hidden="false" customHeight="false" outlineLevel="0" collapsed="false">
      <c r="B65" s="1" t="n">
        <v>57</v>
      </c>
      <c r="C65" s="1" t="n">
        <f aca="false">'Plan cashflow'!I65</f>
        <v>0</v>
      </c>
      <c r="D65" s="1" t="n">
        <f aca="false">IF(C65&gt;0.5,C65+C65*(F_MR/12)-MIN(F_MortPayM,C65+C65*(F_MR/12)),C65)</f>
        <v>0</v>
      </c>
      <c r="E65" s="1" t="n">
        <f aca="false">IF(D65&gt;0.5,D65+D65*(F_MR/12)-MIN(F_MortPayM,D65+D65*(F_MR/12)),D65)</f>
        <v>0</v>
      </c>
      <c r="F65" s="1" t="n">
        <f aca="false">IF(E65&gt;0.5,E65+E65*(F_MR/12)-MIN(F_MortPayM,E65+E65*(F_MR/12)),E65)</f>
        <v>0</v>
      </c>
      <c r="G65" s="1" t="n">
        <f aca="false">IF(F65&gt;0.5,F65+F65*(F_MR/12)-MIN(F_MortPayM,F65+F65*(F_MR/12)),F65)</f>
        <v>0</v>
      </c>
      <c r="H65" s="1" t="n">
        <f aca="false">IF(G65&gt;0.5,G65+G65*(F_MR/12)-MIN(F_MortPayM,G65+G65*(F_MR/12)),G65)</f>
        <v>0</v>
      </c>
      <c r="I65" s="1" t="n">
        <f aca="false">IF(H65&gt;0.5,H65+H65*(F_MR/12)-MIN(F_MortPayM,H65+H65*(F_MR/12)),H65)</f>
        <v>0</v>
      </c>
      <c r="J65" s="1" t="n">
        <f aca="false">IF(I65&gt;0.5,I65+I65*(F_MR/12)-MIN(F_MortPayM,I65+I65*(F_MR/12)),I65)</f>
        <v>0</v>
      </c>
      <c r="K65" s="1" t="n">
        <f aca="false">IF(J65&gt;0.5,J65+J65*(F_MR/12)-MIN(F_MortPayM,J65+J65*(F_MR/12)),J65)</f>
        <v>0</v>
      </c>
      <c r="L65" s="1" t="n">
        <f aca="false">IF(K65&gt;0.5,K65+K65*(F_MR/12)-MIN(F_MortPayM,K65+K65*(F_MR/12)),K65)</f>
        <v>0</v>
      </c>
      <c r="M65" s="1" t="n">
        <f aca="false">IF(L65&gt;0.5,L65+L65*(F_MR/12)-MIN(F_MortPayM,L65+L65*(F_MR/12)),L65)</f>
        <v>0</v>
      </c>
      <c r="N65" s="1" t="n">
        <f aca="false">IF(M65&gt;0.5,M65+M65*(F_MR/12)-MIN(F_MortPayM,M65+M65*(F_MR/12)),M65)</f>
        <v>0</v>
      </c>
      <c r="O65" s="1" t="n">
        <f aca="false">IF(N65&gt;0.5,N65+N65*(F_MR/12)-MIN(F_MortPayM,N65+N65*(F_MR/12)),N65)</f>
        <v>0</v>
      </c>
      <c r="P65" s="1" t="n">
        <f aca="false">IF(C65&gt;0.5,MIN(F_MortPayM,C65+C65*(F_MR/12)),0)</f>
        <v>0</v>
      </c>
      <c r="Q65" s="1" t="n">
        <f aca="false">IF(D65&gt;0.5,MIN(F_MortPayM,D65+D65*(F_MR/12)),0)</f>
        <v>0</v>
      </c>
      <c r="R65" s="1" t="n">
        <f aca="false">IF(E65&gt;0.5,MIN(F_MortPayM,E65+E65*(F_MR/12)),0)</f>
        <v>0</v>
      </c>
      <c r="S65" s="1" t="n">
        <f aca="false">IF(F65&gt;0.5,MIN(F_MortPayM,F65+F65*(F_MR/12)),0)</f>
        <v>0</v>
      </c>
      <c r="T65" s="1" t="n">
        <f aca="false">IF(G65&gt;0.5,MIN(F_MortPayM,G65+G65*(F_MR/12)),0)</f>
        <v>0</v>
      </c>
      <c r="U65" s="1" t="n">
        <f aca="false">IF(H65&gt;0.5,MIN(F_MortPayM,H65+H65*(F_MR/12)),0)</f>
        <v>0</v>
      </c>
      <c r="V65" s="1" t="n">
        <f aca="false">IF(I65&gt;0.5,MIN(F_MortPayM,I65+I65*(F_MR/12)),0)</f>
        <v>0</v>
      </c>
      <c r="W65" s="1" t="n">
        <f aca="false">IF(J65&gt;0.5,MIN(F_MortPayM,J65+J65*(F_MR/12)),0)</f>
        <v>0</v>
      </c>
      <c r="X65" s="1" t="n">
        <f aca="false">IF(K65&gt;0.5,MIN(F_MortPayM,K65+K65*(F_MR/12)),0)</f>
        <v>0</v>
      </c>
      <c r="Y65" s="1" t="n">
        <f aca="false">IF(L65&gt;0.5,MIN(F_MortPayM,L65+L65*(F_MR/12)),0)</f>
        <v>0</v>
      </c>
      <c r="Z65" s="1" t="n">
        <f aca="false">IF(M65&gt;0.5,MIN(F_MortPayM,M65+M65*(F_MR/12)),0)</f>
        <v>0</v>
      </c>
      <c r="AA65" s="1" t="n">
        <f aca="false">IF(N65&gt;0.5,MIN(F_MortPayM,N65+N65*(F_MR/12)),0)</f>
        <v>0</v>
      </c>
      <c r="AB65" s="1" t="n">
        <f aca="false">MAX(0,O65)</f>
        <v>0</v>
      </c>
      <c r="AC65" s="1" t="n">
        <f aca="false">SUM(P65:AA65)</f>
        <v>0</v>
      </c>
      <c r="AD65" s="1" t="n">
        <f aca="false">'Plan cashflow'!L65</f>
        <v>0</v>
      </c>
      <c r="AE65" s="1" t="n">
        <f aca="false">IF(AD65&gt;0.5,AD65+AD65*(D_iC)-MIN(F_CardPayM,AD65+AD65*(D_iC)),AD65)</f>
        <v>0</v>
      </c>
      <c r="AF65" s="1" t="n">
        <f aca="false">IF(AE65&gt;0.5,AE65+AE65*(D_iC)-MIN(F_CardPayM,AE65+AE65*(D_iC)),AE65)</f>
        <v>0</v>
      </c>
      <c r="AG65" s="1" t="n">
        <f aca="false">IF(AF65&gt;0.5,AF65+AF65*(D_iC)-MIN(F_CardPayM,AF65+AF65*(D_iC)),AF65)</f>
        <v>0</v>
      </c>
      <c r="AH65" s="1" t="n">
        <f aca="false">IF(AG65&gt;0.5,AG65+AG65*(D_iC)-MIN(F_CardPayM,AG65+AG65*(D_iC)),AG65)</f>
        <v>0</v>
      </c>
      <c r="AI65" s="1" t="n">
        <f aca="false">IF(AH65&gt;0.5,AH65+AH65*(D_iC)-MIN(F_CardPayM,AH65+AH65*(D_iC)),AH65)</f>
        <v>0</v>
      </c>
      <c r="AJ65" s="1" t="n">
        <f aca="false">IF(AI65&gt;0.5,AI65+AI65*(D_iC)-MIN(F_CardPayM,AI65+AI65*(D_iC)),AI65)</f>
        <v>0</v>
      </c>
      <c r="AK65" s="1" t="n">
        <f aca="false">IF(AJ65&gt;0.5,AJ65+AJ65*(D_iC)-MIN(F_CardPayM,AJ65+AJ65*(D_iC)),AJ65)</f>
        <v>0</v>
      </c>
      <c r="AL65" s="1" t="n">
        <f aca="false">IF(AK65&gt;0.5,AK65+AK65*(D_iC)-MIN(F_CardPayM,AK65+AK65*(D_iC)),AK65)</f>
        <v>0</v>
      </c>
      <c r="AM65" s="1" t="n">
        <f aca="false">IF(AL65&gt;0.5,AL65+AL65*(D_iC)-MIN(F_CardPayM,AL65+AL65*(D_iC)),AL65)</f>
        <v>0</v>
      </c>
      <c r="AN65" s="1" t="n">
        <f aca="false">IF(AM65&gt;0.5,AM65+AM65*(D_iC)-MIN(F_CardPayM,AM65+AM65*(D_iC)),AM65)</f>
        <v>0</v>
      </c>
      <c r="AO65" s="1" t="n">
        <f aca="false">IF(AN65&gt;0.5,AN65+AN65*(D_iC)-MIN(F_CardPayM,AN65+AN65*(D_iC)),AN65)</f>
        <v>0</v>
      </c>
      <c r="AP65" s="1" t="n">
        <f aca="false">IF(AO65&gt;0.5,AO65+AO65*(D_iC)-MIN(F_CardPayM,AO65+AO65*(D_iC)),AO65)</f>
        <v>0</v>
      </c>
      <c r="AQ65" s="1" t="n">
        <f aca="false">IF(AD65&gt;0.5,MIN(F_CardPayM,AD65+AD65*(D_iC)),0)</f>
        <v>0</v>
      </c>
      <c r="AR65" s="1" t="n">
        <f aca="false">IF(AE65&gt;0.5,MIN(F_CardPayM,AE65+AE65*(D_iC)),0)</f>
        <v>0</v>
      </c>
      <c r="AS65" s="1" t="n">
        <f aca="false">IF(AF65&gt;0.5,MIN(F_CardPayM,AF65+AF65*(D_iC)),0)</f>
        <v>0</v>
      </c>
      <c r="AT65" s="1" t="n">
        <f aca="false">IF(AG65&gt;0.5,MIN(F_CardPayM,AG65+AG65*(D_iC)),0)</f>
        <v>0</v>
      </c>
      <c r="AU65" s="1" t="n">
        <f aca="false">IF(AH65&gt;0.5,MIN(F_CardPayM,AH65+AH65*(D_iC)),0)</f>
        <v>0</v>
      </c>
      <c r="AV65" s="1" t="n">
        <f aca="false">IF(AI65&gt;0.5,MIN(F_CardPayM,AI65+AI65*(D_iC)),0)</f>
        <v>0</v>
      </c>
      <c r="AW65" s="1" t="n">
        <f aca="false">IF(AJ65&gt;0.5,MIN(F_CardPayM,AJ65+AJ65*(D_iC)),0)</f>
        <v>0</v>
      </c>
      <c r="AX65" s="1" t="n">
        <f aca="false">IF(AK65&gt;0.5,MIN(F_CardPayM,AK65+AK65*(D_iC)),0)</f>
        <v>0</v>
      </c>
      <c r="AY65" s="1" t="n">
        <f aca="false">IF(AL65&gt;0.5,MIN(F_CardPayM,AL65+AL65*(D_iC)),0)</f>
        <v>0</v>
      </c>
      <c r="AZ65" s="1" t="n">
        <f aca="false">IF(AM65&gt;0.5,MIN(F_CardPayM,AM65+AM65*(D_iC)),0)</f>
        <v>0</v>
      </c>
      <c r="BA65" s="1" t="n">
        <f aca="false">IF(AN65&gt;0.5,MIN(F_CardPayM,AN65+AN65*(D_iC)),0)</f>
        <v>0</v>
      </c>
      <c r="BB65" s="1" t="n">
        <f aca="false">IF(AO65&gt;0.5,MIN(F_CardPayM,AO65+AO65*(D_iC)),0)</f>
        <v>0</v>
      </c>
      <c r="BC65" s="1" t="n">
        <f aca="false">MAX(0,AP65)</f>
        <v>0</v>
      </c>
      <c r="BD65" s="1" t="n">
        <f aca="false">SUM(AQ65:BB65)</f>
        <v>0</v>
      </c>
      <c r="BE65" s="1" t="n">
        <f aca="false">'Plan cashflow'!O65</f>
        <v>0</v>
      </c>
      <c r="BF65" s="1" t="n">
        <f aca="false">IF(BE65&gt;0.5,BE65+BE65*(D_iL)-MIN(F_LoanPayM,BE65+BE65*(D_iL)),BE65)</f>
        <v>0</v>
      </c>
      <c r="BG65" s="1" t="n">
        <f aca="false">IF(BF65&gt;0.5,BF65+BF65*(D_iL)-MIN(F_LoanPayM,BF65+BF65*(D_iL)),BF65)</f>
        <v>0</v>
      </c>
      <c r="BH65" s="1" t="n">
        <f aca="false">IF(BG65&gt;0.5,BG65+BG65*(D_iL)-MIN(F_LoanPayM,BG65+BG65*(D_iL)),BG65)</f>
        <v>0</v>
      </c>
      <c r="BI65" s="1" t="n">
        <f aca="false">IF(BH65&gt;0.5,BH65+BH65*(D_iL)-MIN(F_LoanPayM,BH65+BH65*(D_iL)),BH65)</f>
        <v>0</v>
      </c>
      <c r="BJ65" s="1" t="n">
        <f aca="false">IF(BI65&gt;0.5,BI65+BI65*(D_iL)-MIN(F_LoanPayM,BI65+BI65*(D_iL)),BI65)</f>
        <v>0</v>
      </c>
      <c r="BK65" s="1" t="n">
        <f aca="false">IF(BJ65&gt;0.5,BJ65+BJ65*(D_iL)-MIN(F_LoanPayM,BJ65+BJ65*(D_iL)),BJ65)</f>
        <v>0</v>
      </c>
      <c r="BL65" s="1" t="n">
        <f aca="false">IF(BK65&gt;0.5,BK65+BK65*(D_iL)-MIN(F_LoanPayM,BK65+BK65*(D_iL)),BK65)</f>
        <v>0</v>
      </c>
      <c r="BM65" s="1" t="n">
        <f aca="false">IF(BL65&gt;0.5,BL65+BL65*(D_iL)-MIN(F_LoanPayM,BL65+BL65*(D_iL)),BL65)</f>
        <v>0</v>
      </c>
      <c r="BN65" s="1" t="n">
        <f aca="false">IF(BM65&gt;0.5,BM65+BM65*(D_iL)-MIN(F_LoanPayM,BM65+BM65*(D_iL)),BM65)</f>
        <v>0</v>
      </c>
      <c r="BO65" s="1" t="n">
        <f aca="false">IF(BN65&gt;0.5,BN65+BN65*(D_iL)-MIN(F_LoanPayM,BN65+BN65*(D_iL)),BN65)</f>
        <v>0</v>
      </c>
      <c r="BP65" s="1" t="n">
        <f aca="false">IF(BO65&gt;0.5,BO65+BO65*(D_iL)-MIN(F_LoanPayM,BO65+BO65*(D_iL)),BO65)</f>
        <v>0</v>
      </c>
      <c r="BQ65" s="1" t="n">
        <f aca="false">IF(BP65&gt;0.5,BP65+BP65*(D_iL)-MIN(F_LoanPayM,BP65+BP65*(D_iL)),BP65)</f>
        <v>0</v>
      </c>
      <c r="BR65" s="1" t="n">
        <f aca="false">IF(BE65&gt;0.5,MIN(F_LoanPayM,BE65+BE65*(D_iL)),0)</f>
        <v>0</v>
      </c>
      <c r="BS65" s="1" t="n">
        <f aca="false">IF(BF65&gt;0.5,MIN(F_LoanPayM,BF65+BF65*(D_iL)),0)</f>
        <v>0</v>
      </c>
      <c r="BT65" s="1" t="n">
        <f aca="false">IF(BG65&gt;0.5,MIN(F_LoanPayM,BG65+BG65*(D_iL)),0)</f>
        <v>0</v>
      </c>
      <c r="BU65" s="1" t="n">
        <f aca="false">IF(BH65&gt;0.5,MIN(F_LoanPayM,BH65+BH65*(D_iL)),0)</f>
        <v>0</v>
      </c>
      <c r="BV65" s="1" t="n">
        <f aca="false">IF(BI65&gt;0.5,MIN(F_LoanPayM,BI65+BI65*(D_iL)),0)</f>
        <v>0</v>
      </c>
      <c r="BW65" s="1" t="n">
        <f aca="false">IF(BJ65&gt;0.5,MIN(F_LoanPayM,BJ65+BJ65*(D_iL)),0)</f>
        <v>0</v>
      </c>
      <c r="BX65" s="1" t="n">
        <f aca="false">IF(BK65&gt;0.5,MIN(F_LoanPayM,BK65+BK65*(D_iL)),0)</f>
        <v>0</v>
      </c>
      <c r="BY65" s="1" t="n">
        <f aca="false">IF(BL65&gt;0.5,MIN(F_LoanPayM,BL65+BL65*(D_iL)),0)</f>
        <v>0</v>
      </c>
      <c r="BZ65" s="1" t="n">
        <f aca="false">IF(BM65&gt;0.5,MIN(F_LoanPayM,BM65+BM65*(D_iL)),0)</f>
        <v>0</v>
      </c>
      <c r="CA65" s="1" t="n">
        <f aca="false">IF(BN65&gt;0.5,MIN(F_LoanPayM,BN65+BN65*(D_iL)),0)</f>
        <v>0</v>
      </c>
      <c r="CB65" s="1" t="n">
        <f aca="false">IF(BO65&gt;0.5,MIN(F_LoanPayM,BO65+BO65*(D_iL)),0)</f>
        <v>0</v>
      </c>
      <c r="CC65" s="1" t="n">
        <f aca="false">IF(BP65&gt;0.5,MIN(F_LoanPayM,BP65+BP65*(D_iL)),0)</f>
        <v>0</v>
      </c>
      <c r="CD65" s="1" t="n">
        <f aca="false">MAX(0,BQ65)</f>
        <v>0</v>
      </c>
      <c r="CE65" s="1" t="n">
        <f aca="false">SUM(BR65:CC65)</f>
        <v>0</v>
      </c>
      <c r="CF65" s="1" t="n">
        <f aca="false">IF(CF64&gt;1,DE64,CF64)</f>
        <v>0</v>
      </c>
      <c r="CG65" s="1" t="n">
        <f aca="false">IF(CF65&gt;0.5,CF65+CF65*(F_MR/12)-MIN(F_MortPayM,CF65+CF65*(F_MR/12)),CF65)</f>
        <v>0</v>
      </c>
      <c r="CH65" s="1" t="n">
        <f aca="false">IF(CG65&gt;0.5,CG65+CG65*(F_MR/12)-MIN(F_MortPayM,CG65+CG65*(F_MR/12)),CG65)</f>
        <v>0</v>
      </c>
      <c r="CI65" s="1" t="n">
        <f aca="false">IF(CH65&gt;0.5,CH65+CH65*(F_MR/12)-MIN(F_MortPayM,CH65+CH65*(F_MR/12)),CH65)</f>
        <v>0</v>
      </c>
      <c r="CJ65" s="1" t="n">
        <f aca="false">IF(CI65&gt;0.5,CI65+CI65*(F_MR/12)-MIN(F_MortPayM,CI65+CI65*(F_MR/12)),CI65)</f>
        <v>0</v>
      </c>
      <c r="CK65" s="1" t="n">
        <f aca="false">IF(CJ65&gt;0.5,CJ65+CJ65*(F_MR/12)-MIN(F_MortPayM,CJ65+CJ65*(F_MR/12)),CJ65)</f>
        <v>0</v>
      </c>
      <c r="CL65" s="1" t="n">
        <f aca="false">IF(CK65&gt;0.5,CK65+CK65*(F_MR/12)-MIN(F_MortPayM,CK65+CK65*(F_MR/12)),CK65)</f>
        <v>0</v>
      </c>
      <c r="CM65" s="1" t="n">
        <f aca="false">IF(CL65&gt;0.5,CL65+CL65*(F_MR/12)-MIN(F_MortPayM,CL65+CL65*(F_MR/12)),CL65)</f>
        <v>0</v>
      </c>
      <c r="CN65" s="1" t="n">
        <f aca="false">IF(CM65&gt;0.5,CM65+CM65*(F_MR/12)-MIN(F_MortPayM,CM65+CM65*(F_MR/12)),CM65)</f>
        <v>0</v>
      </c>
      <c r="CO65" s="1" t="n">
        <f aca="false">IF(CN65&gt;0.5,CN65+CN65*(F_MR/12)-MIN(F_MortPayM,CN65+CN65*(F_MR/12)),CN65)</f>
        <v>0</v>
      </c>
      <c r="CP65" s="1" t="n">
        <f aca="false">IF(CO65&gt;0.5,CO65+CO65*(F_MR/12)-MIN(F_MortPayM,CO65+CO65*(F_MR/12)),CO65)</f>
        <v>0</v>
      </c>
      <c r="CQ65" s="1" t="n">
        <f aca="false">IF(CP65&gt;0.5,CP65+CP65*(F_MR/12)-MIN(F_MortPayM,CP65+CP65*(F_MR/12)),CP65)</f>
        <v>0</v>
      </c>
      <c r="CR65" s="1" t="n">
        <f aca="false">IF(CQ65&gt;0.5,CQ65+CQ65*(F_MR/12)-MIN(F_MortPayM,CQ65+CQ65*(F_MR/12)),CQ65)</f>
        <v>0</v>
      </c>
      <c r="CS65" s="1" t="n">
        <f aca="false">IF(CF65&gt;0.5,MIN(F_MortPayM,CF65+CF65*(F_MR/12)),0)</f>
        <v>0</v>
      </c>
      <c r="CT65" s="1" t="n">
        <f aca="false">IF(CG65&gt;0.5,MIN(F_MortPayM,CG65+CG65*(F_MR/12)),0)</f>
        <v>0</v>
      </c>
      <c r="CU65" s="1" t="n">
        <f aca="false">IF(CH65&gt;0.5,MIN(F_MortPayM,CH65+CH65*(F_MR/12)),0)</f>
        <v>0</v>
      </c>
      <c r="CV65" s="1" t="n">
        <f aca="false">IF(CI65&gt;0.5,MIN(F_MortPayM,CI65+CI65*(F_MR/12)),0)</f>
        <v>0</v>
      </c>
      <c r="CW65" s="1" t="n">
        <f aca="false">IF(CJ65&gt;0.5,MIN(F_MortPayM,CJ65+CJ65*(F_MR/12)),0)</f>
        <v>0</v>
      </c>
      <c r="CX65" s="1" t="n">
        <f aca="false">IF(CK65&gt;0.5,MIN(F_MortPayM,CK65+CK65*(F_MR/12)),0)</f>
        <v>0</v>
      </c>
      <c r="CY65" s="1" t="n">
        <f aca="false">IF(CL65&gt;0.5,MIN(F_MortPayM,CL65+CL65*(F_MR/12)),0)</f>
        <v>0</v>
      </c>
      <c r="CZ65" s="1" t="n">
        <f aca="false">IF(CM65&gt;0.5,MIN(F_MortPayM,CM65+CM65*(F_MR/12)),0)</f>
        <v>0</v>
      </c>
      <c r="DA65" s="1" t="n">
        <f aca="false">IF(CN65&gt;0.5,MIN(F_MortPayM,CN65+CN65*(F_MR/12)),0)</f>
        <v>0</v>
      </c>
      <c r="DB65" s="1" t="n">
        <f aca="false">IF(CO65&gt;0.5,MIN(F_MortPayM,CO65+CO65*(F_MR/12)),0)</f>
        <v>0</v>
      </c>
      <c r="DC65" s="1" t="n">
        <f aca="false">IF(CP65&gt;0.5,MIN(F_MortPayM,CP65+CP65*(F_MR/12)),0)</f>
        <v>0</v>
      </c>
      <c r="DD65" s="1" t="n">
        <f aca="false">IF(CQ65&gt;0.5,MIN(F_MortPayM,CQ65+CQ65*(F_MR/12)),0)</f>
        <v>0</v>
      </c>
      <c r="DE65" s="1" t="n">
        <f aca="false">MAX(0,CR65)</f>
        <v>0</v>
      </c>
      <c r="DF65" s="1" t="n">
        <f aca="false">SUM(CS65:DD65)</f>
        <v>0</v>
      </c>
      <c r="DG65" s="1" t="n">
        <f aca="false">MAX(0,CF65)</f>
        <v>0</v>
      </c>
    </row>
    <row r="66" customFormat="false" ht="15" hidden="false" customHeight="false" outlineLevel="0" collapsed="false">
      <c r="B66" s="1" t="n">
        <v>58</v>
      </c>
      <c r="C66" s="1" t="n">
        <f aca="false">'Plan cashflow'!I66</f>
        <v>0</v>
      </c>
      <c r="D66" s="1" t="n">
        <f aca="false">IF(C66&gt;0.5,C66+C66*(F_MR/12)-MIN(F_MortPayM,C66+C66*(F_MR/12)),C66)</f>
        <v>0</v>
      </c>
      <c r="E66" s="1" t="n">
        <f aca="false">IF(D66&gt;0.5,D66+D66*(F_MR/12)-MIN(F_MortPayM,D66+D66*(F_MR/12)),D66)</f>
        <v>0</v>
      </c>
      <c r="F66" s="1" t="n">
        <f aca="false">IF(E66&gt;0.5,E66+E66*(F_MR/12)-MIN(F_MortPayM,E66+E66*(F_MR/12)),E66)</f>
        <v>0</v>
      </c>
      <c r="G66" s="1" t="n">
        <f aca="false">IF(F66&gt;0.5,F66+F66*(F_MR/12)-MIN(F_MortPayM,F66+F66*(F_MR/12)),F66)</f>
        <v>0</v>
      </c>
      <c r="H66" s="1" t="n">
        <f aca="false">IF(G66&gt;0.5,G66+G66*(F_MR/12)-MIN(F_MortPayM,G66+G66*(F_MR/12)),G66)</f>
        <v>0</v>
      </c>
      <c r="I66" s="1" t="n">
        <f aca="false">IF(H66&gt;0.5,H66+H66*(F_MR/12)-MIN(F_MortPayM,H66+H66*(F_MR/12)),H66)</f>
        <v>0</v>
      </c>
      <c r="J66" s="1" t="n">
        <f aca="false">IF(I66&gt;0.5,I66+I66*(F_MR/12)-MIN(F_MortPayM,I66+I66*(F_MR/12)),I66)</f>
        <v>0</v>
      </c>
      <c r="K66" s="1" t="n">
        <f aca="false">IF(J66&gt;0.5,J66+J66*(F_MR/12)-MIN(F_MortPayM,J66+J66*(F_MR/12)),J66)</f>
        <v>0</v>
      </c>
      <c r="L66" s="1" t="n">
        <f aca="false">IF(K66&gt;0.5,K66+K66*(F_MR/12)-MIN(F_MortPayM,K66+K66*(F_MR/12)),K66)</f>
        <v>0</v>
      </c>
      <c r="M66" s="1" t="n">
        <f aca="false">IF(L66&gt;0.5,L66+L66*(F_MR/12)-MIN(F_MortPayM,L66+L66*(F_MR/12)),L66)</f>
        <v>0</v>
      </c>
      <c r="N66" s="1" t="n">
        <f aca="false">IF(M66&gt;0.5,M66+M66*(F_MR/12)-MIN(F_MortPayM,M66+M66*(F_MR/12)),M66)</f>
        <v>0</v>
      </c>
      <c r="O66" s="1" t="n">
        <f aca="false">IF(N66&gt;0.5,N66+N66*(F_MR/12)-MIN(F_MortPayM,N66+N66*(F_MR/12)),N66)</f>
        <v>0</v>
      </c>
      <c r="P66" s="1" t="n">
        <f aca="false">IF(C66&gt;0.5,MIN(F_MortPayM,C66+C66*(F_MR/12)),0)</f>
        <v>0</v>
      </c>
      <c r="Q66" s="1" t="n">
        <f aca="false">IF(D66&gt;0.5,MIN(F_MortPayM,D66+D66*(F_MR/12)),0)</f>
        <v>0</v>
      </c>
      <c r="R66" s="1" t="n">
        <f aca="false">IF(E66&gt;0.5,MIN(F_MortPayM,E66+E66*(F_MR/12)),0)</f>
        <v>0</v>
      </c>
      <c r="S66" s="1" t="n">
        <f aca="false">IF(F66&gt;0.5,MIN(F_MortPayM,F66+F66*(F_MR/12)),0)</f>
        <v>0</v>
      </c>
      <c r="T66" s="1" t="n">
        <f aca="false">IF(G66&gt;0.5,MIN(F_MortPayM,G66+G66*(F_MR/12)),0)</f>
        <v>0</v>
      </c>
      <c r="U66" s="1" t="n">
        <f aca="false">IF(H66&gt;0.5,MIN(F_MortPayM,H66+H66*(F_MR/12)),0)</f>
        <v>0</v>
      </c>
      <c r="V66" s="1" t="n">
        <f aca="false">IF(I66&gt;0.5,MIN(F_MortPayM,I66+I66*(F_MR/12)),0)</f>
        <v>0</v>
      </c>
      <c r="W66" s="1" t="n">
        <f aca="false">IF(J66&gt;0.5,MIN(F_MortPayM,J66+J66*(F_MR/12)),0)</f>
        <v>0</v>
      </c>
      <c r="X66" s="1" t="n">
        <f aca="false">IF(K66&gt;0.5,MIN(F_MortPayM,K66+K66*(F_MR/12)),0)</f>
        <v>0</v>
      </c>
      <c r="Y66" s="1" t="n">
        <f aca="false">IF(L66&gt;0.5,MIN(F_MortPayM,L66+L66*(F_MR/12)),0)</f>
        <v>0</v>
      </c>
      <c r="Z66" s="1" t="n">
        <f aca="false">IF(M66&gt;0.5,MIN(F_MortPayM,M66+M66*(F_MR/12)),0)</f>
        <v>0</v>
      </c>
      <c r="AA66" s="1" t="n">
        <f aca="false">IF(N66&gt;0.5,MIN(F_MortPayM,N66+N66*(F_MR/12)),0)</f>
        <v>0</v>
      </c>
      <c r="AB66" s="1" t="n">
        <f aca="false">MAX(0,O66)</f>
        <v>0</v>
      </c>
      <c r="AC66" s="1" t="n">
        <f aca="false">SUM(P66:AA66)</f>
        <v>0</v>
      </c>
      <c r="AD66" s="1" t="n">
        <f aca="false">'Plan cashflow'!L66</f>
        <v>0</v>
      </c>
      <c r="AE66" s="1" t="n">
        <f aca="false">IF(AD66&gt;0.5,AD66+AD66*(D_iC)-MIN(F_CardPayM,AD66+AD66*(D_iC)),AD66)</f>
        <v>0</v>
      </c>
      <c r="AF66" s="1" t="n">
        <f aca="false">IF(AE66&gt;0.5,AE66+AE66*(D_iC)-MIN(F_CardPayM,AE66+AE66*(D_iC)),AE66)</f>
        <v>0</v>
      </c>
      <c r="AG66" s="1" t="n">
        <f aca="false">IF(AF66&gt;0.5,AF66+AF66*(D_iC)-MIN(F_CardPayM,AF66+AF66*(D_iC)),AF66)</f>
        <v>0</v>
      </c>
      <c r="AH66" s="1" t="n">
        <f aca="false">IF(AG66&gt;0.5,AG66+AG66*(D_iC)-MIN(F_CardPayM,AG66+AG66*(D_iC)),AG66)</f>
        <v>0</v>
      </c>
      <c r="AI66" s="1" t="n">
        <f aca="false">IF(AH66&gt;0.5,AH66+AH66*(D_iC)-MIN(F_CardPayM,AH66+AH66*(D_iC)),AH66)</f>
        <v>0</v>
      </c>
      <c r="AJ66" s="1" t="n">
        <f aca="false">IF(AI66&gt;0.5,AI66+AI66*(D_iC)-MIN(F_CardPayM,AI66+AI66*(D_iC)),AI66)</f>
        <v>0</v>
      </c>
      <c r="AK66" s="1" t="n">
        <f aca="false">IF(AJ66&gt;0.5,AJ66+AJ66*(D_iC)-MIN(F_CardPayM,AJ66+AJ66*(D_iC)),AJ66)</f>
        <v>0</v>
      </c>
      <c r="AL66" s="1" t="n">
        <f aca="false">IF(AK66&gt;0.5,AK66+AK66*(D_iC)-MIN(F_CardPayM,AK66+AK66*(D_iC)),AK66)</f>
        <v>0</v>
      </c>
      <c r="AM66" s="1" t="n">
        <f aca="false">IF(AL66&gt;0.5,AL66+AL66*(D_iC)-MIN(F_CardPayM,AL66+AL66*(D_iC)),AL66)</f>
        <v>0</v>
      </c>
      <c r="AN66" s="1" t="n">
        <f aca="false">IF(AM66&gt;0.5,AM66+AM66*(D_iC)-MIN(F_CardPayM,AM66+AM66*(D_iC)),AM66)</f>
        <v>0</v>
      </c>
      <c r="AO66" s="1" t="n">
        <f aca="false">IF(AN66&gt;0.5,AN66+AN66*(D_iC)-MIN(F_CardPayM,AN66+AN66*(D_iC)),AN66)</f>
        <v>0</v>
      </c>
      <c r="AP66" s="1" t="n">
        <f aca="false">IF(AO66&gt;0.5,AO66+AO66*(D_iC)-MIN(F_CardPayM,AO66+AO66*(D_iC)),AO66)</f>
        <v>0</v>
      </c>
      <c r="AQ66" s="1" t="n">
        <f aca="false">IF(AD66&gt;0.5,MIN(F_CardPayM,AD66+AD66*(D_iC)),0)</f>
        <v>0</v>
      </c>
      <c r="AR66" s="1" t="n">
        <f aca="false">IF(AE66&gt;0.5,MIN(F_CardPayM,AE66+AE66*(D_iC)),0)</f>
        <v>0</v>
      </c>
      <c r="AS66" s="1" t="n">
        <f aca="false">IF(AF66&gt;0.5,MIN(F_CardPayM,AF66+AF66*(D_iC)),0)</f>
        <v>0</v>
      </c>
      <c r="AT66" s="1" t="n">
        <f aca="false">IF(AG66&gt;0.5,MIN(F_CardPayM,AG66+AG66*(D_iC)),0)</f>
        <v>0</v>
      </c>
      <c r="AU66" s="1" t="n">
        <f aca="false">IF(AH66&gt;0.5,MIN(F_CardPayM,AH66+AH66*(D_iC)),0)</f>
        <v>0</v>
      </c>
      <c r="AV66" s="1" t="n">
        <f aca="false">IF(AI66&gt;0.5,MIN(F_CardPayM,AI66+AI66*(D_iC)),0)</f>
        <v>0</v>
      </c>
      <c r="AW66" s="1" t="n">
        <f aca="false">IF(AJ66&gt;0.5,MIN(F_CardPayM,AJ66+AJ66*(D_iC)),0)</f>
        <v>0</v>
      </c>
      <c r="AX66" s="1" t="n">
        <f aca="false">IF(AK66&gt;0.5,MIN(F_CardPayM,AK66+AK66*(D_iC)),0)</f>
        <v>0</v>
      </c>
      <c r="AY66" s="1" t="n">
        <f aca="false">IF(AL66&gt;0.5,MIN(F_CardPayM,AL66+AL66*(D_iC)),0)</f>
        <v>0</v>
      </c>
      <c r="AZ66" s="1" t="n">
        <f aca="false">IF(AM66&gt;0.5,MIN(F_CardPayM,AM66+AM66*(D_iC)),0)</f>
        <v>0</v>
      </c>
      <c r="BA66" s="1" t="n">
        <f aca="false">IF(AN66&gt;0.5,MIN(F_CardPayM,AN66+AN66*(D_iC)),0)</f>
        <v>0</v>
      </c>
      <c r="BB66" s="1" t="n">
        <f aca="false">IF(AO66&gt;0.5,MIN(F_CardPayM,AO66+AO66*(D_iC)),0)</f>
        <v>0</v>
      </c>
      <c r="BC66" s="1" t="n">
        <f aca="false">MAX(0,AP66)</f>
        <v>0</v>
      </c>
      <c r="BD66" s="1" t="n">
        <f aca="false">SUM(AQ66:BB66)</f>
        <v>0</v>
      </c>
      <c r="BE66" s="1" t="n">
        <f aca="false">'Plan cashflow'!O66</f>
        <v>0</v>
      </c>
      <c r="BF66" s="1" t="n">
        <f aca="false">IF(BE66&gt;0.5,BE66+BE66*(D_iL)-MIN(F_LoanPayM,BE66+BE66*(D_iL)),BE66)</f>
        <v>0</v>
      </c>
      <c r="BG66" s="1" t="n">
        <f aca="false">IF(BF66&gt;0.5,BF66+BF66*(D_iL)-MIN(F_LoanPayM,BF66+BF66*(D_iL)),BF66)</f>
        <v>0</v>
      </c>
      <c r="BH66" s="1" t="n">
        <f aca="false">IF(BG66&gt;0.5,BG66+BG66*(D_iL)-MIN(F_LoanPayM,BG66+BG66*(D_iL)),BG66)</f>
        <v>0</v>
      </c>
      <c r="BI66" s="1" t="n">
        <f aca="false">IF(BH66&gt;0.5,BH66+BH66*(D_iL)-MIN(F_LoanPayM,BH66+BH66*(D_iL)),BH66)</f>
        <v>0</v>
      </c>
      <c r="BJ66" s="1" t="n">
        <f aca="false">IF(BI66&gt;0.5,BI66+BI66*(D_iL)-MIN(F_LoanPayM,BI66+BI66*(D_iL)),BI66)</f>
        <v>0</v>
      </c>
      <c r="BK66" s="1" t="n">
        <f aca="false">IF(BJ66&gt;0.5,BJ66+BJ66*(D_iL)-MIN(F_LoanPayM,BJ66+BJ66*(D_iL)),BJ66)</f>
        <v>0</v>
      </c>
      <c r="BL66" s="1" t="n">
        <f aca="false">IF(BK66&gt;0.5,BK66+BK66*(D_iL)-MIN(F_LoanPayM,BK66+BK66*(D_iL)),BK66)</f>
        <v>0</v>
      </c>
      <c r="BM66" s="1" t="n">
        <f aca="false">IF(BL66&gt;0.5,BL66+BL66*(D_iL)-MIN(F_LoanPayM,BL66+BL66*(D_iL)),BL66)</f>
        <v>0</v>
      </c>
      <c r="BN66" s="1" t="n">
        <f aca="false">IF(BM66&gt;0.5,BM66+BM66*(D_iL)-MIN(F_LoanPayM,BM66+BM66*(D_iL)),BM66)</f>
        <v>0</v>
      </c>
      <c r="BO66" s="1" t="n">
        <f aca="false">IF(BN66&gt;0.5,BN66+BN66*(D_iL)-MIN(F_LoanPayM,BN66+BN66*(D_iL)),BN66)</f>
        <v>0</v>
      </c>
      <c r="BP66" s="1" t="n">
        <f aca="false">IF(BO66&gt;0.5,BO66+BO66*(D_iL)-MIN(F_LoanPayM,BO66+BO66*(D_iL)),BO66)</f>
        <v>0</v>
      </c>
      <c r="BQ66" s="1" t="n">
        <f aca="false">IF(BP66&gt;0.5,BP66+BP66*(D_iL)-MIN(F_LoanPayM,BP66+BP66*(D_iL)),BP66)</f>
        <v>0</v>
      </c>
      <c r="BR66" s="1" t="n">
        <f aca="false">IF(BE66&gt;0.5,MIN(F_LoanPayM,BE66+BE66*(D_iL)),0)</f>
        <v>0</v>
      </c>
      <c r="BS66" s="1" t="n">
        <f aca="false">IF(BF66&gt;0.5,MIN(F_LoanPayM,BF66+BF66*(D_iL)),0)</f>
        <v>0</v>
      </c>
      <c r="BT66" s="1" t="n">
        <f aca="false">IF(BG66&gt;0.5,MIN(F_LoanPayM,BG66+BG66*(D_iL)),0)</f>
        <v>0</v>
      </c>
      <c r="BU66" s="1" t="n">
        <f aca="false">IF(BH66&gt;0.5,MIN(F_LoanPayM,BH66+BH66*(D_iL)),0)</f>
        <v>0</v>
      </c>
      <c r="BV66" s="1" t="n">
        <f aca="false">IF(BI66&gt;0.5,MIN(F_LoanPayM,BI66+BI66*(D_iL)),0)</f>
        <v>0</v>
      </c>
      <c r="BW66" s="1" t="n">
        <f aca="false">IF(BJ66&gt;0.5,MIN(F_LoanPayM,BJ66+BJ66*(D_iL)),0)</f>
        <v>0</v>
      </c>
      <c r="BX66" s="1" t="n">
        <f aca="false">IF(BK66&gt;0.5,MIN(F_LoanPayM,BK66+BK66*(D_iL)),0)</f>
        <v>0</v>
      </c>
      <c r="BY66" s="1" t="n">
        <f aca="false">IF(BL66&gt;0.5,MIN(F_LoanPayM,BL66+BL66*(D_iL)),0)</f>
        <v>0</v>
      </c>
      <c r="BZ66" s="1" t="n">
        <f aca="false">IF(BM66&gt;0.5,MIN(F_LoanPayM,BM66+BM66*(D_iL)),0)</f>
        <v>0</v>
      </c>
      <c r="CA66" s="1" t="n">
        <f aca="false">IF(BN66&gt;0.5,MIN(F_LoanPayM,BN66+BN66*(D_iL)),0)</f>
        <v>0</v>
      </c>
      <c r="CB66" s="1" t="n">
        <f aca="false">IF(BO66&gt;0.5,MIN(F_LoanPayM,BO66+BO66*(D_iL)),0)</f>
        <v>0</v>
      </c>
      <c r="CC66" s="1" t="n">
        <f aca="false">IF(BP66&gt;0.5,MIN(F_LoanPayM,BP66+BP66*(D_iL)),0)</f>
        <v>0</v>
      </c>
      <c r="CD66" s="1" t="n">
        <f aca="false">MAX(0,BQ66)</f>
        <v>0</v>
      </c>
      <c r="CE66" s="1" t="n">
        <f aca="false">SUM(BR66:CC66)</f>
        <v>0</v>
      </c>
      <c r="CF66" s="1" t="n">
        <f aca="false">IF(CF65&gt;1,DE65,CF65)</f>
        <v>0</v>
      </c>
      <c r="CG66" s="1" t="n">
        <f aca="false">IF(CF66&gt;0.5,CF66+CF66*(F_MR/12)-MIN(F_MortPayM,CF66+CF66*(F_MR/12)),CF66)</f>
        <v>0</v>
      </c>
      <c r="CH66" s="1" t="n">
        <f aca="false">IF(CG66&gt;0.5,CG66+CG66*(F_MR/12)-MIN(F_MortPayM,CG66+CG66*(F_MR/12)),CG66)</f>
        <v>0</v>
      </c>
      <c r="CI66" s="1" t="n">
        <f aca="false">IF(CH66&gt;0.5,CH66+CH66*(F_MR/12)-MIN(F_MortPayM,CH66+CH66*(F_MR/12)),CH66)</f>
        <v>0</v>
      </c>
      <c r="CJ66" s="1" t="n">
        <f aca="false">IF(CI66&gt;0.5,CI66+CI66*(F_MR/12)-MIN(F_MortPayM,CI66+CI66*(F_MR/12)),CI66)</f>
        <v>0</v>
      </c>
      <c r="CK66" s="1" t="n">
        <f aca="false">IF(CJ66&gt;0.5,CJ66+CJ66*(F_MR/12)-MIN(F_MortPayM,CJ66+CJ66*(F_MR/12)),CJ66)</f>
        <v>0</v>
      </c>
      <c r="CL66" s="1" t="n">
        <f aca="false">IF(CK66&gt;0.5,CK66+CK66*(F_MR/12)-MIN(F_MortPayM,CK66+CK66*(F_MR/12)),CK66)</f>
        <v>0</v>
      </c>
      <c r="CM66" s="1" t="n">
        <f aca="false">IF(CL66&gt;0.5,CL66+CL66*(F_MR/12)-MIN(F_MortPayM,CL66+CL66*(F_MR/12)),CL66)</f>
        <v>0</v>
      </c>
      <c r="CN66" s="1" t="n">
        <f aca="false">IF(CM66&gt;0.5,CM66+CM66*(F_MR/12)-MIN(F_MortPayM,CM66+CM66*(F_MR/12)),CM66)</f>
        <v>0</v>
      </c>
      <c r="CO66" s="1" t="n">
        <f aca="false">IF(CN66&gt;0.5,CN66+CN66*(F_MR/12)-MIN(F_MortPayM,CN66+CN66*(F_MR/12)),CN66)</f>
        <v>0</v>
      </c>
      <c r="CP66" s="1" t="n">
        <f aca="false">IF(CO66&gt;0.5,CO66+CO66*(F_MR/12)-MIN(F_MortPayM,CO66+CO66*(F_MR/12)),CO66)</f>
        <v>0</v>
      </c>
      <c r="CQ66" s="1" t="n">
        <f aca="false">IF(CP66&gt;0.5,CP66+CP66*(F_MR/12)-MIN(F_MortPayM,CP66+CP66*(F_MR/12)),CP66)</f>
        <v>0</v>
      </c>
      <c r="CR66" s="1" t="n">
        <f aca="false">IF(CQ66&gt;0.5,CQ66+CQ66*(F_MR/12)-MIN(F_MortPayM,CQ66+CQ66*(F_MR/12)),CQ66)</f>
        <v>0</v>
      </c>
      <c r="CS66" s="1" t="n">
        <f aca="false">IF(CF66&gt;0.5,MIN(F_MortPayM,CF66+CF66*(F_MR/12)),0)</f>
        <v>0</v>
      </c>
      <c r="CT66" s="1" t="n">
        <f aca="false">IF(CG66&gt;0.5,MIN(F_MortPayM,CG66+CG66*(F_MR/12)),0)</f>
        <v>0</v>
      </c>
      <c r="CU66" s="1" t="n">
        <f aca="false">IF(CH66&gt;0.5,MIN(F_MortPayM,CH66+CH66*(F_MR/12)),0)</f>
        <v>0</v>
      </c>
      <c r="CV66" s="1" t="n">
        <f aca="false">IF(CI66&gt;0.5,MIN(F_MortPayM,CI66+CI66*(F_MR/12)),0)</f>
        <v>0</v>
      </c>
      <c r="CW66" s="1" t="n">
        <f aca="false">IF(CJ66&gt;0.5,MIN(F_MortPayM,CJ66+CJ66*(F_MR/12)),0)</f>
        <v>0</v>
      </c>
      <c r="CX66" s="1" t="n">
        <f aca="false">IF(CK66&gt;0.5,MIN(F_MortPayM,CK66+CK66*(F_MR/12)),0)</f>
        <v>0</v>
      </c>
      <c r="CY66" s="1" t="n">
        <f aca="false">IF(CL66&gt;0.5,MIN(F_MortPayM,CL66+CL66*(F_MR/12)),0)</f>
        <v>0</v>
      </c>
      <c r="CZ66" s="1" t="n">
        <f aca="false">IF(CM66&gt;0.5,MIN(F_MortPayM,CM66+CM66*(F_MR/12)),0)</f>
        <v>0</v>
      </c>
      <c r="DA66" s="1" t="n">
        <f aca="false">IF(CN66&gt;0.5,MIN(F_MortPayM,CN66+CN66*(F_MR/12)),0)</f>
        <v>0</v>
      </c>
      <c r="DB66" s="1" t="n">
        <f aca="false">IF(CO66&gt;0.5,MIN(F_MortPayM,CO66+CO66*(F_MR/12)),0)</f>
        <v>0</v>
      </c>
      <c r="DC66" s="1" t="n">
        <f aca="false">IF(CP66&gt;0.5,MIN(F_MortPayM,CP66+CP66*(F_MR/12)),0)</f>
        <v>0</v>
      </c>
      <c r="DD66" s="1" t="n">
        <f aca="false">IF(CQ66&gt;0.5,MIN(F_MortPayM,CQ66+CQ66*(F_MR/12)),0)</f>
        <v>0</v>
      </c>
      <c r="DE66" s="1" t="n">
        <f aca="false">MAX(0,CR66)</f>
        <v>0</v>
      </c>
      <c r="DF66" s="1" t="n">
        <f aca="false">SUM(CS66:DD66)</f>
        <v>0</v>
      </c>
      <c r="DG66" s="1" t="n">
        <f aca="false">MAX(0,CF66)</f>
        <v>0</v>
      </c>
    </row>
    <row r="67" customFormat="false" ht="15" hidden="false" customHeight="false" outlineLevel="0" collapsed="false">
      <c r="B67" s="1" t="n">
        <v>59</v>
      </c>
      <c r="C67" s="1" t="n">
        <f aca="false">'Plan cashflow'!I67</f>
        <v>0</v>
      </c>
      <c r="D67" s="1" t="n">
        <f aca="false">IF(C67&gt;0.5,C67+C67*(F_MR/12)-MIN(F_MortPayM,C67+C67*(F_MR/12)),C67)</f>
        <v>0</v>
      </c>
      <c r="E67" s="1" t="n">
        <f aca="false">IF(D67&gt;0.5,D67+D67*(F_MR/12)-MIN(F_MortPayM,D67+D67*(F_MR/12)),D67)</f>
        <v>0</v>
      </c>
      <c r="F67" s="1" t="n">
        <f aca="false">IF(E67&gt;0.5,E67+E67*(F_MR/12)-MIN(F_MortPayM,E67+E67*(F_MR/12)),E67)</f>
        <v>0</v>
      </c>
      <c r="G67" s="1" t="n">
        <f aca="false">IF(F67&gt;0.5,F67+F67*(F_MR/12)-MIN(F_MortPayM,F67+F67*(F_MR/12)),F67)</f>
        <v>0</v>
      </c>
      <c r="H67" s="1" t="n">
        <f aca="false">IF(G67&gt;0.5,G67+G67*(F_MR/12)-MIN(F_MortPayM,G67+G67*(F_MR/12)),G67)</f>
        <v>0</v>
      </c>
      <c r="I67" s="1" t="n">
        <f aca="false">IF(H67&gt;0.5,H67+H67*(F_MR/12)-MIN(F_MortPayM,H67+H67*(F_MR/12)),H67)</f>
        <v>0</v>
      </c>
      <c r="J67" s="1" t="n">
        <f aca="false">IF(I67&gt;0.5,I67+I67*(F_MR/12)-MIN(F_MortPayM,I67+I67*(F_MR/12)),I67)</f>
        <v>0</v>
      </c>
      <c r="K67" s="1" t="n">
        <f aca="false">IF(J67&gt;0.5,J67+J67*(F_MR/12)-MIN(F_MortPayM,J67+J67*(F_MR/12)),J67)</f>
        <v>0</v>
      </c>
      <c r="L67" s="1" t="n">
        <f aca="false">IF(K67&gt;0.5,K67+K67*(F_MR/12)-MIN(F_MortPayM,K67+K67*(F_MR/12)),K67)</f>
        <v>0</v>
      </c>
      <c r="M67" s="1" t="n">
        <f aca="false">IF(L67&gt;0.5,L67+L67*(F_MR/12)-MIN(F_MortPayM,L67+L67*(F_MR/12)),L67)</f>
        <v>0</v>
      </c>
      <c r="N67" s="1" t="n">
        <f aca="false">IF(M67&gt;0.5,M67+M67*(F_MR/12)-MIN(F_MortPayM,M67+M67*(F_MR/12)),M67)</f>
        <v>0</v>
      </c>
      <c r="O67" s="1" t="n">
        <f aca="false">IF(N67&gt;0.5,N67+N67*(F_MR/12)-MIN(F_MortPayM,N67+N67*(F_MR/12)),N67)</f>
        <v>0</v>
      </c>
      <c r="P67" s="1" t="n">
        <f aca="false">IF(C67&gt;0.5,MIN(F_MortPayM,C67+C67*(F_MR/12)),0)</f>
        <v>0</v>
      </c>
      <c r="Q67" s="1" t="n">
        <f aca="false">IF(D67&gt;0.5,MIN(F_MortPayM,D67+D67*(F_MR/12)),0)</f>
        <v>0</v>
      </c>
      <c r="R67" s="1" t="n">
        <f aca="false">IF(E67&gt;0.5,MIN(F_MortPayM,E67+E67*(F_MR/12)),0)</f>
        <v>0</v>
      </c>
      <c r="S67" s="1" t="n">
        <f aca="false">IF(F67&gt;0.5,MIN(F_MortPayM,F67+F67*(F_MR/12)),0)</f>
        <v>0</v>
      </c>
      <c r="T67" s="1" t="n">
        <f aca="false">IF(G67&gt;0.5,MIN(F_MortPayM,G67+G67*(F_MR/12)),0)</f>
        <v>0</v>
      </c>
      <c r="U67" s="1" t="n">
        <f aca="false">IF(H67&gt;0.5,MIN(F_MortPayM,H67+H67*(F_MR/12)),0)</f>
        <v>0</v>
      </c>
      <c r="V67" s="1" t="n">
        <f aca="false">IF(I67&gt;0.5,MIN(F_MortPayM,I67+I67*(F_MR/12)),0)</f>
        <v>0</v>
      </c>
      <c r="W67" s="1" t="n">
        <f aca="false">IF(J67&gt;0.5,MIN(F_MortPayM,J67+J67*(F_MR/12)),0)</f>
        <v>0</v>
      </c>
      <c r="X67" s="1" t="n">
        <f aca="false">IF(K67&gt;0.5,MIN(F_MortPayM,K67+K67*(F_MR/12)),0)</f>
        <v>0</v>
      </c>
      <c r="Y67" s="1" t="n">
        <f aca="false">IF(L67&gt;0.5,MIN(F_MortPayM,L67+L67*(F_MR/12)),0)</f>
        <v>0</v>
      </c>
      <c r="Z67" s="1" t="n">
        <f aca="false">IF(M67&gt;0.5,MIN(F_MortPayM,M67+M67*(F_MR/12)),0)</f>
        <v>0</v>
      </c>
      <c r="AA67" s="1" t="n">
        <f aca="false">IF(N67&gt;0.5,MIN(F_MortPayM,N67+N67*(F_MR/12)),0)</f>
        <v>0</v>
      </c>
      <c r="AB67" s="1" t="n">
        <f aca="false">MAX(0,O67)</f>
        <v>0</v>
      </c>
      <c r="AC67" s="1" t="n">
        <f aca="false">SUM(P67:AA67)</f>
        <v>0</v>
      </c>
      <c r="AD67" s="1" t="n">
        <f aca="false">'Plan cashflow'!L67</f>
        <v>0</v>
      </c>
      <c r="AE67" s="1" t="n">
        <f aca="false">IF(AD67&gt;0.5,AD67+AD67*(D_iC)-MIN(F_CardPayM,AD67+AD67*(D_iC)),AD67)</f>
        <v>0</v>
      </c>
      <c r="AF67" s="1" t="n">
        <f aca="false">IF(AE67&gt;0.5,AE67+AE67*(D_iC)-MIN(F_CardPayM,AE67+AE67*(D_iC)),AE67)</f>
        <v>0</v>
      </c>
      <c r="AG67" s="1" t="n">
        <f aca="false">IF(AF67&gt;0.5,AF67+AF67*(D_iC)-MIN(F_CardPayM,AF67+AF67*(D_iC)),AF67)</f>
        <v>0</v>
      </c>
      <c r="AH67" s="1" t="n">
        <f aca="false">IF(AG67&gt;0.5,AG67+AG67*(D_iC)-MIN(F_CardPayM,AG67+AG67*(D_iC)),AG67)</f>
        <v>0</v>
      </c>
      <c r="AI67" s="1" t="n">
        <f aca="false">IF(AH67&gt;0.5,AH67+AH67*(D_iC)-MIN(F_CardPayM,AH67+AH67*(D_iC)),AH67)</f>
        <v>0</v>
      </c>
      <c r="AJ67" s="1" t="n">
        <f aca="false">IF(AI67&gt;0.5,AI67+AI67*(D_iC)-MIN(F_CardPayM,AI67+AI67*(D_iC)),AI67)</f>
        <v>0</v>
      </c>
      <c r="AK67" s="1" t="n">
        <f aca="false">IF(AJ67&gt;0.5,AJ67+AJ67*(D_iC)-MIN(F_CardPayM,AJ67+AJ67*(D_iC)),AJ67)</f>
        <v>0</v>
      </c>
      <c r="AL67" s="1" t="n">
        <f aca="false">IF(AK67&gt;0.5,AK67+AK67*(D_iC)-MIN(F_CardPayM,AK67+AK67*(D_iC)),AK67)</f>
        <v>0</v>
      </c>
      <c r="AM67" s="1" t="n">
        <f aca="false">IF(AL67&gt;0.5,AL67+AL67*(D_iC)-MIN(F_CardPayM,AL67+AL67*(D_iC)),AL67)</f>
        <v>0</v>
      </c>
      <c r="AN67" s="1" t="n">
        <f aca="false">IF(AM67&gt;0.5,AM67+AM67*(D_iC)-MIN(F_CardPayM,AM67+AM67*(D_iC)),AM67)</f>
        <v>0</v>
      </c>
      <c r="AO67" s="1" t="n">
        <f aca="false">IF(AN67&gt;0.5,AN67+AN67*(D_iC)-MIN(F_CardPayM,AN67+AN67*(D_iC)),AN67)</f>
        <v>0</v>
      </c>
      <c r="AP67" s="1" t="n">
        <f aca="false">IF(AO67&gt;0.5,AO67+AO67*(D_iC)-MIN(F_CardPayM,AO67+AO67*(D_iC)),AO67)</f>
        <v>0</v>
      </c>
      <c r="AQ67" s="1" t="n">
        <f aca="false">IF(AD67&gt;0.5,MIN(F_CardPayM,AD67+AD67*(D_iC)),0)</f>
        <v>0</v>
      </c>
      <c r="AR67" s="1" t="n">
        <f aca="false">IF(AE67&gt;0.5,MIN(F_CardPayM,AE67+AE67*(D_iC)),0)</f>
        <v>0</v>
      </c>
      <c r="AS67" s="1" t="n">
        <f aca="false">IF(AF67&gt;0.5,MIN(F_CardPayM,AF67+AF67*(D_iC)),0)</f>
        <v>0</v>
      </c>
      <c r="AT67" s="1" t="n">
        <f aca="false">IF(AG67&gt;0.5,MIN(F_CardPayM,AG67+AG67*(D_iC)),0)</f>
        <v>0</v>
      </c>
      <c r="AU67" s="1" t="n">
        <f aca="false">IF(AH67&gt;0.5,MIN(F_CardPayM,AH67+AH67*(D_iC)),0)</f>
        <v>0</v>
      </c>
      <c r="AV67" s="1" t="n">
        <f aca="false">IF(AI67&gt;0.5,MIN(F_CardPayM,AI67+AI67*(D_iC)),0)</f>
        <v>0</v>
      </c>
      <c r="AW67" s="1" t="n">
        <f aca="false">IF(AJ67&gt;0.5,MIN(F_CardPayM,AJ67+AJ67*(D_iC)),0)</f>
        <v>0</v>
      </c>
      <c r="AX67" s="1" t="n">
        <f aca="false">IF(AK67&gt;0.5,MIN(F_CardPayM,AK67+AK67*(D_iC)),0)</f>
        <v>0</v>
      </c>
      <c r="AY67" s="1" t="n">
        <f aca="false">IF(AL67&gt;0.5,MIN(F_CardPayM,AL67+AL67*(D_iC)),0)</f>
        <v>0</v>
      </c>
      <c r="AZ67" s="1" t="n">
        <f aca="false">IF(AM67&gt;0.5,MIN(F_CardPayM,AM67+AM67*(D_iC)),0)</f>
        <v>0</v>
      </c>
      <c r="BA67" s="1" t="n">
        <f aca="false">IF(AN67&gt;0.5,MIN(F_CardPayM,AN67+AN67*(D_iC)),0)</f>
        <v>0</v>
      </c>
      <c r="BB67" s="1" t="n">
        <f aca="false">IF(AO67&gt;0.5,MIN(F_CardPayM,AO67+AO67*(D_iC)),0)</f>
        <v>0</v>
      </c>
      <c r="BC67" s="1" t="n">
        <f aca="false">MAX(0,AP67)</f>
        <v>0</v>
      </c>
      <c r="BD67" s="1" t="n">
        <f aca="false">SUM(AQ67:BB67)</f>
        <v>0</v>
      </c>
      <c r="BE67" s="1" t="n">
        <f aca="false">'Plan cashflow'!O67</f>
        <v>0</v>
      </c>
      <c r="BF67" s="1" t="n">
        <f aca="false">IF(BE67&gt;0.5,BE67+BE67*(D_iL)-MIN(F_LoanPayM,BE67+BE67*(D_iL)),BE67)</f>
        <v>0</v>
      </c>
      <c r="BG67" s="1" t="n">
        <f aca="false">IF(BF67&gt;0.5,BF67+BF67*(D_iL)-MIN(F_LoanPayM,BF67+BF67*(D_iL)),BF67)</f>
        <v>0</v>
      </c>
      <c r="BH67" s="1" t="n">
        <f aca="false">IF(BG67&gt;0.5,BG67+BG67*(D_iL)-MIN(F_LoanPayM,BG67+BG67*(D_iL)),BG67)</f>
        <v>0</v>
      </c>
      <c r="BI67" s="1" t="n">
        <f aca="false">IF(BH67&gt;0.5,BH67+BH67*(D_iL)-MIN(F_LoanPayM,BH67+BH67*(D_iL)),BH67)</f>
        <v>0</v>
      </c>
      <c r="BJ67" s="1" t="n">
        <f aca="false">IF(BI67&gt;0.5,BI67+BI67*(D_iL)-MIN(F_LoanPayM,BI67+BI67*(D_iL)),BI67)</f>
        <v>0</v>
      </c>
      <c r="BK67" s="1" t="n">
        <f aca="false">IF(BJ67&gt;0.5,BJ67+BJ67*(D_iL)-MIN(F_LoanPayM,BJ67+BJ67*(D_iL)),BJ67)</f>
        <v>0</v>
      </c>
      <c r="BL67" s="1" t="n">
        <f aca="false">IF(BK67&gt;0.5,BK67+BK67*(D_iL)-MIN(F_LoanPayM,BK67+BK67*(D_iL)),BK67)</f>
        <v>0</v>
      </c>
      <c r="BM67" s="1" t="n">
        <f aca="false">IF(BL67&gt;0.5,BL67+BL67*(D_iL)-MIN(F_LoanPayM,BL67+BL67*(D_iL)),BL67)</f>
        <v>0</v>
      </c>
      <c r="BN67" s="1" t="n">
        <f aca="false">IF(BM67&gt;0.5,BM67+BM67*(D_iL)-MIN(F_LoanPayM,BM67+BM67*(D_iL)),BM67)</f>
        <v>0</v>
      </c>
      <c r="BO67" s="1" t="n">
        <f aca="false">IF(BN67&gt;0.5,BN67+BN67*(D_iL)-MIN(F_LoanPayM,BN67+BN67*(D_iL)),BN67)</f>
        <v>0</v>
      </c>
      <c r="BP67" s="1" t="n">
        <f aca="false">IF(BO67&gt;0.5,BO67+BO67*(D_iL)-MIN(F_LoanPayM,BO67+BO67*(D_iL)),BO67)</f>
        <v>0</v>
      </c>
      <c r="BQ67" s="1" t="n">
        <f aca="false">IF(BP67&gt;0.5,BP67+BP67*(D_iL)-MIN(F_LoanPayM,BP67+BP67*(D_iL)),BP67)</f>
        <v>0</v>
      </c>
      <c r="BR67" s="1" t="n">
        <f aca="false">IF(BE67&gt;0.5,MIN(F_LoanPayM,BE67+BE67*(D_iL)),0)</f>
        <v>0</v>
      </c>
      <c r="BS67" s="1" t="n">
        <f aca="false">IF(BF67&gt;0.5,MIN(F_LoanPayM,BF67+BF67*(D_iL)),0)</f>
        <v>0</v>
      </c>
      <c r="BT67" s="1" t="n">
        <f aca="false">IF(BG67&gt;0.5,MIN(F_LoanPayM,BG67+BG67*(D_iL)),0)</f>
        <v>0</v>
      </c>
      <c r="BU67" s="1" t="n">
        <f aca="false">IF(BH67&gt;0.5,MIN(F_LoanPayM,BH67+BH67*(D_iL)),0)</f>
        <v>0</v>
      </c>
      <c r="BV67" s="1" t="n">
        <f aca="false">IF(BI67&gt;0.5,MIN(F_LoanPayM,BI67+BI67*(D_iL)),0)</f>
        <v>0</v>
      </c>
      <c r="BW67" s="1" t="n">
        <f aca="false">IF(BJ67&gt;0.5,MIN(F_LoanPayM,BJ67+BJ67*(D_iL)),0)</f>
        <v>0</v>
      </c>
      <c r="BX67" s="1" t="n">
        <f aca="false">IF(BK67&gt;0.5,MIN(F_LoanPayM,BK67+BK67*(D_iL)),0)</f>
        <v>0</v>
      </c>
      <c r="BY67" s="1" t="n">
        <f aca="false">IF(BL67&gt;0.5,MIN(F_LoanPayM,BL67+BL67*(D_iL)),0)</f>
        <v>0</v>
      </c>
      <c r="BZ67" s="1" t="n">
        <f aca="false">IF(BM67&gt;0.5,MIN(F_LoanPayM,BM67+BM67*(D_iL)),0)</f>
        <v>0</v>
      </c>
      <c r="CA67" s="1" t="n">
        <f aca="false">IF(BN67&gt;0.5,MIN(F_LoanPayM,BN67+BN67*(D_iL)),0)</f>
        <v>0</v>
      </c>
      <c r="CB67" s="1" t="n">
        <f aca="false">IF(BO67&gt;0.5,MIN(F_LoanPayM,BO67+BO67*(D_iL)),0)</f>
        <v>0</v>
      </c>
      <c r="CC67" s="1" t="n">
        <f aca="false">IF(BP67&gt;0.5,MIN(F_LoanPayM,BP67+BP67*(D_iL)),0)</f>
        <v>0</v>
      </c>
      <c r="CD67" s="1" t="n">
        <f aca="false">MAX(0,BQ67)</f>
        <v>0</v>
      </c>
      <c r="CE67" s="1" t="n">
        <f aca="false">SUM(BR67:CC67)</f>
        <v>0</v>
      </c>
      <c r="CF67" s="1" t="n">
        <f aca="false">IF(CF66&gt;1,DE66,CF66)</f>
        <v>0</v>
      </c>
      <c r="CG67" s="1" t="n">
        <f aca="false">IF(CF67&gt;0.5,CF67+CF67*(F_MR/12)-MIN(F_MortPayM,CF67+CF67*(F_MR/12)),CF67)</f>
        <v>0</v>
      </c>
      <c r="CH67" s="1" t="n">
        <f aca="false">IF(CG67&gt;0.5,CG67+CG67*(F_MR/12)-MIN(F_MortPayM,CG67+CG67*(F_MR/12)),CG67)</f>
        <v>0</v>
      </c>
      <c r="CI67" s="1" t="n">
        <f aca="false">IF(CH67&gt;0.5,CH67+CH67*(F_MR/12)-MIN(F_MortPayM,CH67+CH67*(F_MR/12)),CH67)</f>
        <v>0</v>
      </c>
      <c r="CJ67" s="1" t="n">
        <f aca="false">IF(CI67&gt;0.5,CI67+CI67*(F_MR/12)-MIN(F_MortPayM,CI67+CI67*(F_MR/12)),CI67)</f>
        <v>0</v>
      </c>
      <c r="CK67" s="1" t="n">
        <f aca="false">IF(CJ67&gt;0.5,CJ67+CJ67*(F_MR/12)-MIN(F_MortPayM,CJ67+CJ67*(F_MR/12)),CJ67)</f>
        <v>0</v>
      </c>
      <c r="CL67" s="1" t="n">
        <f aca="false">IF(CK67&gt;0.5,CK67+CK67*(F_MR/12)-MIN(F_MortPayM,CK67+CK67*(F_MR/12)),CK67)</f>
        <v>0</v>
      </c>
      <c r="CM67" s="1" t="n">
        <f aca="false">IF(CL67&gt;0.5,CL67+CL67*(F_MR/12)-MIN(F_MortPayM,CL67+CL67*(F_MR/12)),CL67)</f>
        <v>0</v>
      </c>
      <c r="CN67" s="1" t="n">
        <f aca="false">IF(CM67&gt;0.5,CM67+CM67*(F_MR/12)-MIN(F_MortPayM,CM67+CM67*(F_MR/12)),CM67)</f>
        <v>0</v>
      </c>
      <c r="CO67" s="1" t="n">
        <f aca="false">IF(CN67&gt;0.5,CN67+CN67*(F_MR/12)-MIN(F_MortPayM,CN67+CN67*(F_MR/12)),CN67)</f>
        <v>0</v>
      </c>
      <c r="CP67" s="1" t="n">
        <f aca="false">IF(CO67&gt;0.5,CO67+CO67*(F_MR/12)-MIN(F_MortPayM,CO67+CO67*(F_MR/12)),CO67)</f>
        <v>0</v>
      </c>
      <c r="CQ67" s="1" t="n">
        <f aca="false">IF(CP67&gt;0.5,CP67+CP67*(F_MR/12)-MIN(F_MortPayM,CP67+CP67*(F_MR/12)),CP67)</f>
        <v>0</v>
      </c>
      <c r="CR67" s="1" t="n">
        <f aca="false">IF(CQ67&gt;0.5,CQ67+CQ67*(F_MR/12)-MIN(F_MortPayM,CQ67+CQ67*(F_MR/12)),CQ67)</f>
        <v>0</v>
      </c>
      <c r="CS67" s="1" t="n">
        <f aca="false">IF(CF67&gt;0.5,MIN(F_MortPayM,CF67+CF67*(F_MR/12)),0)</f>
        <v>0</v>
      </c>
      <c r="CT67" s="1" t="n">
        <f aca="false">IF(CG67&gt;0.5,MIN(F_MortPayM,CG67+CG67*(F_MR/12)),0)</f>
        <v>0</v>
      </c>
      <c r="CU67" s="1" t="n">
        <f aca="false">IF(CH67&gt;0.5,MIN(F_MortPayM,CH67+CH67*(F_MR/12)),0)</f>
        <v>0</v>
      </c>
      <c r="CV67" s="1" t="n">
        <f aca="false">IF(CI67&gt;0.5,MIN(F_MortPayM,CI67+CI67*(F_MR/12)),0)</f>
        <v>0</v>
      </c>
      <c r="CW67" s="1" t="n">
        <f aca="false">IF(CJ67&gt;0.5,MIN(F_MortPayM,CJ67+CJ67*(F_MR/12)),0)</f>
        <v>0</v>
      </c>
      <c r="CX67" s="1" t="n">
        <f aca="false">IF(CK67&gt;0.5,MIN(F_MortPayM,CK67+CK67*(F_MR/12)),0)</f>
        <v>0</v>
      </c>
      <c r="CY67" s="1" t="n">
        <f aca="false">IF(CL67&gt;0.5,MIN(F_MortPayM,CL67+CL67*(F_MR/12)),0)</f>
        <v>0</v>
      </c>
      <c r="CZ67" s="1" t="n">
        <f aca="false">IF(CM67&gt;0.5,MIN(F_MortPayM,CM67+CM67*(F_MR/12)),0)</f>
        <v>0</v>
      </c>
      <c r="DA67" s="1" t="n">
        <f aca="false">IF(CN67&gt;0.5,MIN(F_MortPayM,CN67+CN67*(F_MR/12)),0)</f>
        <v>0</v>
      </c>
      <c r="DB67" s="1" t="n">
        <f aca="false">IF(CO67&gt;0.5,MIN(F_MortPayM,CO67+CO67*(F_MR/12)),0)</f>
        <v>0</v>
      </c>
      <c r="DC67" s="1" t="n">
        <f aca="false">IF(CP67&gt;0.5,MIN(F_MortPayM,CP67+CP67*(F_MR/12)),0)</f>
        <v>0</v>
      </c>
      <c r="DD67" s="1" t="n">
        <f aca="false">IF(CQ67&gt;0.5,MIN(F_MortPayM,CQ67+CQ67*(F_MR/12)),0)</f>
        <v>0</v>
      </c>
      <c r="DE67" s="1" t="n">
        <f aca="false">MAX(0,CR67)</f>
        <v>0</v>
      </c>
      <c r="DF67" s="1" t="n">
        <f aca="false">SUM(CS67:DD67)</f>
        <v>0</v>
      </c>
      <c r="DG67" s="1" t="n">
        <f aca="false">MAX(0,CF67)</f>
        <v>0</v>
      </c>
    </row>
    <row r="68" customFormat="false" ht="15" hidden="false" customHeight="false" outlineLevel="0" collapsed="false">
      <c r="B68" s="1" t="n">
        <v>60</v>
      </c>
      <c r="C68" s="1" t="n">
        <f aca="false">'Plan cashflow'!I68</f>
        <v>0</v>
      </c>
      <c r="D68" s="1" t="n">
        <f aca="false">IF(C68&gt;0.5,C68+C68*(F_MR/12)-MIN(F_MortPayM,C68+C68*(F_MR/12)),C68)</f>
        <v>0</v>
      </c>
      <c r="E68" s="1" t="n">
        <f aca="false">IF(D68&gt;0.5,D68+D68*(F_MR/12)-MIN(F_MortPayM,D68+D68*(F_MR/12)),D68)</f>
        <v>0</v>
      </c>
      <c r="F68" s="1" t="n">
        <f aca="false">IF(E68&gt;0.5,E68+E68*(F_MR/12)-MIN(F_MortPayM,E68+E68*(F_MR/12)),E68)</f>
        <v>0</v>
      </c>
      <c r="G68" s="1" t="n">
        <f aca="false">IF(F68&gt;0.5,F68+F68*(F_MR/12)-MIN(F_MortPayM,F68+F68*(F_MR/12)),F68)</f>
        <v>0</v>
      </c>
      <c r="H68" s="1" t="n">
        <f aca="false">IF(G68&gt;0.5,G68+G68*(F_MR/12)-MIN(F_MortPayM,G68+G68*(F_MR/12)),G68)</f>
        <v>0</v>
      </c>
      <c r="I68" s="1" t="n">
        <f aca="false">IF(H68&gt;0.5,H68+H68*(F_MR/12)-MIN(F_MortPayM,H68+H68*(F_MR/12)),H68)</f>
        <v>0</v>
      </c>
      <c r="J68" s="1" t="n">
        <f aca="false">IF(I68&gt;0.5,I68+I68*(F_MR/12)-MIN(F_MortPayM,I68+I68*(F_MR/12)),I68)</f>
        <v>0</v>
      </c>
      <c r="K68" s="1" t="n">
        <f aca="false">IF(J68&gt;0.5,J68+J68*(F_MR/12)-MIN(F_MortPayM,J68+J68*(F_MR/12)),J68)</f>
        <v>0</v>
      </c>
      <c r="L68" s="1" t="n">
        <f aca="false">IF(K68&gt;0.5,K68+K68*(F_MR/12)-MIN(F_MortPayM,K68+K68*(F_MR/12)),K68)</f>
        <v>0</v>
      </c>
      <c r="M68" s="1" t="n">
        <f aca="false">IF(L68&gt;0.5,L68+L68*(F_MR/12)-MIN(F_MortPayM,L68+L68*(F_MR/12)),L68)</f>
        <v>0</v>
      </c>
      <c r="N68" s="1" t="n">
        <f aca="false">IF(M68&gt;0.5,M68+M68*(F_MR/12)-MIN(F_MortPayM,M68+M68*(F_MR/12)),M68)</f>
        <v>0</v>
      </c>
      <c r="O68" s="1" t="n">
        <f aca="false">IF(N68&gt;0.5,N68+N68*(F_MR/12)-MIN(F_MortPayM,N68+N68*(F_MR/12)),N68)</f>
        <v>0</v>
      </c>
      <c r="P68" s="1" t="n">
        <f aca="false">IF(C68&gt;0.5,MIN(F_MortPayM,C68+C68*(F_MR/12)),0)</f>
        <v>0</v>
      </c>
      <c r="Q68" s="1" t="n">
        <f aca="false">IF(D68&gt;0.5,MIN(F_MortPayM,D68+D68*(F_MR/12)),0)</f>
        <v>0</v>
      </c>
      <c r="R68" s="1" t="n">
        <f aca="false">IF(E68&gt;0.5,MIN(F_MortPayM,E68+E68*(F_MR/12)),0)</f>
        <v>0</v>
      </c>
      <c r="S68" s="1" t="n">
        <f aca="false">IF(F68&gt;0.5,MIN(F_MortPayM,F68+F68*(F_MR/12)),0)</f>
        <v>0</v>
      </c>
      <c r="T68" s="1" t="n">
        <f aca="false">IF(G68&gt;0.5,MIN(F_MortPayM,G68+G68*(F_MR/12)),0)</f>
        <v>0</v>
      </c>
      <c r="U68" s="1" t="n">
        <f aca="false">IF(H68&gt;0.5,MIN(F_MortPayM,H68+H68*(F_MR/12)),0)</f>
        <v>0</v>
      </c>
      <c r="V68" s="1" t="n">
        <f aca="false">IF(I68&gt;0.5,MIN(F_MortPayM,I68+I68*(F_MR/12)),0)</f>
        <v>0</v>
      </c>
      <c r="W68" s="1" t="n">
        <f aca="false">IF(J68&gt;0.5,MIN(F_MortPayM,J68+J68*(F_MR/12)),0)</f>
        <v>0</v>
      </c>
      <c r="X68" s="1" t="n">
        <f aca="false">IF(K68&gt;0.5,MIN(F_MortPayM,K68+K68*(F_MR/12)),0)</f>
        <v>0</v>
      </c>
      <c r="Y68" s="1" t="n">
        <f aca="false">IF(L68&gt;0.5,MIN(F_MortPayM,L68+L68*(F_MR/12)),0)</f>
        <v>0</v>
      </c>
      <c r="Z68" s="1" t="n">
        <f aca="false">IF(M68&gt;0.5,MIN(F_MortPayM,M68+M68*(F_MR/12)),0)</f>
        <v>0</v>
      </c>
      <c r="AA68" s="1" t="n">
        <f aca="false">IF(N68&gt;0.5,MIN(F_MortPayM,N68+N68*(F_MR/12)),0)</f>
        <v>0</v>
      </c>
      <c r="AB68" s="1" t="n">
        <f aca="false">MAX(0,O68)</f>
        <v>0</v>
      </c>
      <c r="AC68" s="1" t="n">
        <f aca="false">SUM(P68:AA68)</f>
        <v>0</v>
      </c>
      <c r="AD68" s="1" t="n">
        <f aca="false">'Plan cashflow'!L68</f>
        <v>0</v>
      </c>
      <c r="AE68" s="1" t="n">
        <f aca="false">IF(AD68&gt;0.5,AD68+AD68*(D_iC)-MIN(F_CardPayM,AD68+AD68*(D_iC)),AD68)</f>
        <v>0</v>
      </c>
      <c r="AF68" s="1" t="n">
        <f aca="false">IF(AE68&gt;0.5,AE68+AE68*(D_iC)-MIN(F_CardPayM,AE68+AE68*(D_iC)),AE68)</f>
        <v>0</v>
      </c>
      <c r="AG68" s="1" t="n">
        <f aca="false">IF(AF68&gt;0.5,AF68+AF68*(D_iC)-MIN(F_CardPayM,AF68+AF68*(D_iC)),AF68)</f>
        <v>0</v>
      </c>
      <c r="AH68" s="1" t="n">
        <f aca="false">IF(AG68&gt;0.5,AG68+AG68*(D_iC)-MIN(F_CardPayM,AG68+AG68*(D_iC)),AG68)</f>
        <v>0</v>
      </c>
      <c r="AI68" s="1" t="n">
        <f aca="false">IF(AH68&gt;0.5,AH68+AH68*(D_iC)-MIN(F_CardPayM,AH68+AH68*(D_iC)),AH68)</f>
        <v>0</v>
      </c>
      <c r="AJ68" s="1" t="n">
        <f aca="false">IF(AI68&gt;0.5,AI68+AI68*(D_iC)-MIN(F_CardPayM,AI68+AI68*(D_iC)),AI68)</f>
        <v>0</v>
      </c>
      <c r="AK68" s="1" t="n">
        <f aca="false">IF(AJ68&gt;0.5,AJ68+AJ68*(D_iC)-MIN(F_CardPayM,AJ68+AJ68*(D_iC)),AJ68)</f>
        <v>0</v>
      </c>
      <c r="AL68" s="1" t="n">
        <f aca="false">IF(AK68&gt;0.5,AK68+AK68*(D_iC)-MIN(F_CardPayM,AK68+AK68*(D_iC)),AK68)</f>
        <v>0</v>
      </c>
      <c r="AM68" s="1" t="n">
        <f aca="false">IF(AL68&gt;0.5,AL68+AL68*(D_iC)-MIN(F_CardPayM,AL68+AL68*(D_iC)),AL68)</f>
        <v>0</v>
      </c>
      <c r="AN68" s="1" t="n">
        <f aca="false">IF(AM68&gt;0.5,AM68+AM68*(D_iC)-MIN(F_CardPayM,AM68+AM68*(D_iC)),AM68)</f>
        <v>0</v>
      </c>
      <c r="AO68" s="1" t="n">
        <f aca="false">IF(AN68&gt;0.5,AN68+AN68*(D_iC)-MIN(F_CardPayM,AN68+AN68*(D_iC)),AN68)</f>
        <v>0</v>
      </c>
      <c r="AP68" s="1" t="n">
        <f aca="false">IF(AO68&gt;0.5,AO68+AO68*(D_iC)-MIN(F_CardPayM,AO68+AO68*(D_iC)),AO68)</f>
        <v>0</v>
      </c>
      <c r="AQ68" s="1" t="n">
        <f aca="false">IF(AD68&gt;0.5,MIN(F_CardPayM,AD68+AD68*(D_iC)),0)</f>
        <v>0</v>
      </c>
      <c r="AR68" s="1" t="n">
        <f aca="false">IF(AE68&gt;0.5,MIN(F_CardPayM,AE68+AE68*(D_iC)),0)</f>
        <v>0</v>
      </c>
      <c r="AS68" s="1" t="n">
        <f aca="false">IF(AF68&gt;0.5,MIN(F_CardPayM,AF68+AF68*(D_iC)),0)</f>
        <v>0</v>
      </c>
      <c r="AT68" s="1" t="n">
        <f aca="false">IF(AG68&gt;0.5,MIN(F_CardPayM,AG68+AG68*(D_iC)),0)</f>
        <v>0</v>
      </c>
      <c r="AU68" s="1" t="n">
        <f aca="false">IF(AH68&gt;0.5,MIN(F_CardPayM,AH68+AH68*(D_iC)),0)</f>
        <v>0</v>
      </c>
      <c r="AV68" s="1" t="n">
        <f aca="false">IF(AI68&gt;0.5,MIN(F_CardPayM,AI68+AI68*(D_iC)),0)</f>
        <v>0</v>
      </c>
      <c r="AW68" s="1" t="n">
        <f aca="false">IF(AJ68&gt;0.5,MIN(F_CardPayM,AJ68+AJ68*(D_iC)),0)</f>
        <v>0</v>
      </c>
      <c r="AX68" s="1" t="n">
        <f aca="false">IF(AK68&gt;0.5,MIN(F_CardPayM,AK68+AK68*(D_iC)),0)</f>
        <v>0</v>
      </c>
      <c r="AY68" s="1" t="n">
        <f aca="false">IF(AL68&gt;0.5,MIN(F_CardPayM,AL68+AL68*(D_iC)),0)</f>
        <v>0</v>
      </c>
      <c r="AZ68" s="1" t="n">
        <f aca="false">IF(AM68&gt;0.5,MIN(F_CardPayM,AM68+AM68*(D_iC)),0)</f>
        <v>0</v>
      </c>
      <c r="BA68" s="1" t="n">
        <f aca="false">IF(AN68&gt;0.5,MIN(F_CardPayM,AN68+AN68*(D_iC)),0)</f>
        <v>0</v>
      </c>
      <c r="BB68" s="1" t="n">
        <f aca="false">IF(AO68&gt;0.5,MIN(F_CardPayM,AO68+AO68*(D_iC)),0)</f>
        <v>0</v>
      </c>
      <c r="BC68" s="1" t="n">
        <f aca="false">MAX(0,AP68)</f>
        <v>0</v>
      </c>
      <c r="BD68" s="1" t="n">
        <f aca="false">SUM(AQ68:BB68)</f>
        <v>0</v>
      </c>
      <c r="BE68" s="1" t="n">
        <f aca="false">'Plan cashflow'!O68</f>
        <v>0</v>
      </c>
      <c r="BF68" s="1" t="n">
        <f aca="false">IF(BE68&gt;0.5,BE68+BE68*(D_iL)-MIN(F_LoanPayM,BE68+BE68*(D_iL)),BE68)</f>
        <v>0</v>
      </c>
      <c r="BG68" s="1" t="n">
        <f aca="false">IF(BF68&gt;0.5,BF68+BF68*(D_iL)-MIN(F_LoanPayM,BF68+BF68*(D_iL)),BF68)</f>
        <v>0</v>
      </c>
      <c r="BH68" s="1" t="n">
        <f aca="false">IF(BG68&gt;0.5,BG68+BG68*(D_iL)-MIN(F_LoanPayM,BG68+BG68*(D_iL)),BG68)</f>
        <v>0</v>
      </c>
      <c r="BI68" s="1" t="n">
        <f aca="false">IF(BH68&gt;0.5,BH68+BH68*(D_iL)-MIN(F_LoanPayM,BH68+BH68*(D_iL)),BH68)</f>
        <v>0</v>
      </c>
      <c r="BJ68" s="1" t="n">
        <f aca="false">IF(BI68&gt;0.5,BI68+BI68*(D_iL)-MIN(F_LoanPayM,BI68+BI68*(D_iL)),BI68)</f>
        <v>0</v>
      </c>
      <c r="BK68" s="1" t="n">
        <f aca="false">IF(BJ68&gt;0.5,BJ68+BJ68*(D_iL)-MIN(F_LoanPayM,BJ68+BJ68*(D_iL)),BJ68)</f>
        <v>0</v>
      </c>
      <c r="BL68" s="1" t="n">
        <f aca="false">IF(BK68&gt;0.5,BK68+BK68*(D_iL)-MIN(F_LoanPayM,BK68+BK68*(D_iL)),BK68)</f>
        <v>0</v>
      </c>
      <c r="BM68" s="1" t="n">
        <f aca="false">IF(BL68&gt;0.5,BL68+BL68*(D_iL)-MIN(F_LoanPayM,BL68+BL68*(D_iL)),BL68)</f>
        <v>0</v>
      </c>
      <c r="BN68" s="1" t="n">
        <f aca="false">IF(BM68&gt;0.5,BM68+BM68*(D_iL)-MIN(F_LoanPayM,BM68+BM68*(D_iL)),BM68)</f>
        <v>0</v>
      </c>
      <c r="BO68" s="1" t="n">
        <f aca="false">IF(BN68&gt;0.5,BN68+BN68*(D_iL)-MIN(F_LoanPayM,BN68+BN68*(D_iL)),BN68)</f>
        <v>0</v>
      </c>
      <c r="BP68" s="1" t="n">
        <f aca="false">IF(BO68&gt;0.5,BO68+BO68*(D_iL)-MIN(F_LoanPayM,BO68+BO68*(D_iL)),BO68)</f>
        <v>0</v>
      </c>
      <c r="BQ68" s="1" t="n">
        <f aca="false">IF(BP68&gt;0.5,BP68+BP68*(D_iL)-MIN(F_LoanPayM,BP68+BP68*(D_iL)),BP68)</f>
        <v>0</v>
      </c>
      <c r="BR68" s="1" t="n">
        <f aca="false">IF(BE68&gt;0.5,MIN(F_LoanPayM,BE68+BE68*(D_iL)),0)</f>
        <v>0</v>
      </c>
      <c r="BS68" s="1" t="n">
        <f aca="false">IF(BF68&gt;0.5,MIN(F_LoanPayM,BF68+BF68*(D_iL)),0)</f>
        <v>0</v>
      </c>
      <c r="BT68" s="1" t="n">
        <f aca="false">IF(BG68&gt;0.5,MIN(F_LoanPayM,BG68+BG68*(D_iL)),0)</f>
        <v>0</v>
      </c>
      <c r="BU68" s="1" t="n">
        <f aca="false">IF(BH68&gt;0.5,MIN(F_LoanPayM,BH68+BH68*(D_iL)),0)</f>
        <v>0</v>
      </c>
      <c r="BV68" s="1" t="n">
        <f aca="false">IF(BI68&gt;0.5,MIN(F_LoanPayM,BI68+BI68*(D_iL)),0)</f>
        <v>0</v>
      </c>
      <c r="BW68" s="1" t="n">
        <f aca="false">IF(BJ68&gt;0.5,MIN(F_LoanPayM,BJ68+BJ68*(D_iL)),0)</f>
        <v>0</v>
      </c>
      <c r="BX68" s="1" t="n">
        <f aca="false">IF(BK68&gt;0.5,MIN(F_LoanPayM,BK68+BK68*(D_iL)),0)</f>
        <v>0</v>
      </c>
      <c r="BY68" s="1" t="n">
        <f aca="false">IF(BL68&gt;0.5,MIN(F_LoanPayM,BL68+BL68*(D_iL)),0)</f>
        <v>0</v>
      </c>
      <c r="BZ68" s="1" t="n">
        <f aca="false">IF(BM68&gt;0.5,MIN(F_LoanPayM,BM68+BM68*(D_iL)),0)</f>
        <v>0</v>
      </c>
      <c r="CA68" s="1" t="n">
        <f aca="false">IF(BN68&gt;0.5,MIN(F_LoanPayM,BN68+BN68*(D_iL)),0)</f>
        <v>0</v>
      </c>
      <c r="CB68" s="1" t="n">
        <f aca="false">IF(BO68&gt;0.5,MIN(F_LoanPayM,BO68+BO68*(D_iL)),0)</f>
        <v>0</v>
      </c>
      <c r="CC68" s="1" t="n">
        <f aca="false">IF(BP68&gt;0.5,MIN(F_LoanPayM,BP68+BP68*(D_iL)),0)</f>
        <v>0</v>
      </c>
      <c r="CD68" s="1" t="n">
        <f aca="false">MAX(0,BQ68)</f>
        <v>0</v>
      </c>
      <c r="CE68" s="1" t="n">
        <f aca="false">SUM(BR68:CC68)</f>
        <v>0</v>
      </c>
      <c r="CF68" s="1" t="n">
        <f aca="false">IF(CF67&gt;1,DE67,CF67)</f>
        <v>0</v>
      </c>
      <c r="CG68" s="1" t="n">
        <f aca="false">IF(CF68&gt;0.5,CF68+CF68*(F_MR/12)-MIN(F_MortPayM,CF68+CF68*(F_MR/12)),CF68)</f>
        <v>0</v>
      </c>
      <c r="CH68" s="1" t="n">
        <f aca="false">IF(CG68&gt;0.5,CG68+CG68*(F_MR/12)-MIN(F_MortPayM,CG68+CG68*(F_MR/12)),CG68)</f>
        <v>0</v>
      </c>
      <c r="CI68" s="1" t="n">
        <f aca="false">IF(CH68&gt;0.5,CH68+CH68*(F_MR/12)-MIN(F_MortPayM,CH68+CH68*(F_MR/12)),CH68)</f>
        <v>0</v>
      </c>
      <c r="CJ68" s="1" t="n">
        <f aca="false">IF(CI68&gt;0.5,CI68+CI68*(F_MR/12)-MIN(F_MortPayM,CI68+CI68*(F_MR/12)),CI68)</f>
        <v>0</v>
      </c>
      <c r="CK68" s="1" t="n">
        <f aca="false">IF(CJ68&gt;0.5,CJ68+CJ68*(F_MR/12)-MIN(F_MortPayM,CJ68+CJ68*(F_MR/12)),CJ68)</f>
        <v>0</v>
      </c>
      <c r="CL68" s="1" t="n">
        <f aca="false">IF(CK68&gt;0.5,CK68+CK68*(F_MR/12)-MIN(F_MortPayM,CK68+CK68*(F_MR/12)),CK68)</f>
        <v>0</v>
      </c>
      <c r="CM68" s="1" t="n">
        <f aca="false">IF(CL68&gt;0.5,CL68+CL68*(F_MR/12)-MIN(F_MortPayM,CL68+CL68*(F_MR/12)),CL68)</f>
        <v>0</v>
      </c>
      <c r="CN68" s="1" t="n">
        <f aca="false">IF(CM68&gt;0.5,CM68+CM68*(F_MR/12)-MIN(F_MortPayM,CM68+CM68*(F_MR/12)),CM68)</f>
        <v>0</v>
      </c>
      <c r="CO68" s="1" t="n">
        <f aca="false">IF(CN68&gt;0.5,CN68+CN68*(F_MR/12)-MIN(F_MortPayM,CN68+CN68*(F_MR/12)),CN68)</f>
        <v>0</v>
      </c>
      <c r="CP68" s="1" t="n">
        <f aca="false">IF(CO68&gt;0.5,CO68+CO68*(F_MR/12)-MIN(F_MortPayM,CO68+CO68*(F_MR/12)),CO68)</f>
        <v>0</v>
      </c>
      <c r="CQ68" s="1" t="n">
        <f aca="false">IF(CP68&gt;0.5,CP68+CP68*(F_MR/12)-MIN(F_MortPayM,CP68+CP68*(F_MR/12)),CP68)</f>
        <v>0</v>
      </c>
      <c r="CR68" s="1" t="n">
        <f aca="false">IF(CQ68&gt;0.5,CQ68+CQ68*(F_MR/12)-MIN(F_MortPayM,CQ68+CQ68*(F_MR/12)),CQ68)</f>
        <v>0</v>
      </c>
      <c r="CS68" s="1" t="n">
        <f aca="false">IF(CF68&gt;0.5,MIN(F_MortPayM,CF68+CF68*(F_MR/12)),0)</f>
        <v>0</v>
      </c>
      <c r="CT68" s="1" t="n">
        <f aca="false">IF(CG68&gt;0.5,MIN(F_MortPayM,CG68+CG68*(F_MR/12)),0)</f>
        <v>0</v>
      </c>
      <c r="CU68" s="1" t="n">
        <f aca="false">IF(CH68&gt;0.5,MIN(F_MortPayM,CH68+CH68*(F_MR/12)),0)</f>
        <v>0</v>
      </c>
      <c r="CV68" s="1" t="n">
        <f aca="false">IF(CI68&gt;0.5,MIN(F_MortPayM,CI68+CI68*(F_MR/12)),0)</f>
        <v>0</v>
      </c>
      <c r="CW68" s="1" t="n">
        <f aca="false">IF(CJ68&gt;0.5,MIN(F_MortPayM,CJ68+CJ68*(F_MR/12)),0)</f>
        <v>0</v>
      </c>
      <c r="CX68" s="1" t="n">
        <f aca="false">IF(CK68&gt;0.5,MIN(F_MortPayM,CK68+CK68*(F_MR/12)),0)</f>
        <v>0</v>
      </c>
      <c r="CY68" s="1" t="n">
        <f aca="false">IF(CL68&gt;0.5,MIN(F_MortPayM,CL68+CL68*(F_MR/12)),0)</f>
        <v>0</v>
      </c>
      <c r="CZ68" s="1" t="n">
        <f aca="false">IF(CM68&gt;0.5,MIN(F_MortPayM,CM68+CM68*(F_MR/12)),0)</f>
        <v>0</v>
      </c>
      <c r="DA68" s="1" t="n">
        <f aca="false">IF(CN68&gt;0.5,MIN(F_MortPayM,CN68+CN68*(F_MR/12)),0)</f>
        <v>0</v>
      </c>
      <c r="DB68" s="1" t="n">
        <f aca="false">IF(CO68&gt;0.5,MIN(F_MortPayM,CO68+CO68*(F_MR/12)),0)</f>
        <v>0</v>
      </c>
      <c r="DC68" s="1" t="n">
        <f aca="false">IF(CP68&gt;0.5,MIN(F_MortPayM,CP68+CP68*(F_MR/12)),0)</f>
        <v>0</v>
      </c>
      <c r="DD68" s="1" t="n">
        <f aca="false">IF(CQ68&gt;0.5,MIN(F_MortPayM,CQ68+CQ68*(F_MR/12)),0)</f>
        <v>0</v>
      </c>
      <c r="DE68" s="1" t="n">
        <f aca="false">MAX(0,CR68)</f>
        <v>0</v>
      </c>
      <c r="DF68" s="1" t="n">
        <f aca="false">SUM(CS68:DD68)</f>
        <v>0</v>
      </c>
      <c r="DG68" s="1" t="n">
        <f aca="false">MAX(0,CF68)</f>
        <v>0</v>
      </c>
    </row>
    <row r="69" customFormat="false" ht="15" hidden="false" customHeight="false" outlineLevel="0" collapsed="false">
      <c r="B69" s="1" t="n">
        <v>61</v>
      </c>
      <c r="C69" s="1" t="n">
        <f aca="false">'Plan cashflow'!I69</f>
        <v>0</v>
      </c>
      <c r="D69" s="1" t="n">
        <f aca="false">IF(C69&gt;0.5,C69+C69*(F_MR/12)-MIN(F_MortPayM,C69+C69*(F_MR/12)),C69)</f>
        <v>0</v>
      </c>
      <c r="E69" s="1" t="n">
        <f aca="false">IF(D69&gt;0.5,D69+D69*(F_MR/12)-MIN(F_MortPayM,D69+D69*(F_MR/12)),D69)</f>
        <v>0</v>
      </c>
      <c r="F69" s="1" t="n">
        <f aca="false">IF(E69&gt;0.5,E69+E69*(F_MR/12)-MIN(F_MortPayM,E69+E69*(F_MR/12)),E69)</f>
        <v>0</v>
      </c>
      <c r="G69" s="1" t="n">
        <f aca="false">IF(F69&gt;0.5,F69+F69*(F_MR/12)-MIN(F_MortPayM,F69+F69*(F_MR/12)),F69)</f>
        <v>0</v>
      </c>
      <c r="H69" s="1" t="n">
        <f aca="false">IF(G69&gt;0.5,G69+G69*(F_MR/12)-MIN(F_MortPayM,G69+G69*(F_MR/12)),G69)</f>
        <v>0</v>
      </c>
      <c r="I69" s="1" t="n">
        <f aca="false">IF(H69&gt;0.5,H69+H69*(F_MR/12)-MIN(F_MortPayM,H69+H69*(F_MR/12)),H69)</f>
        <v>0</v>
      </c>
      <c r="J69" s="1" t="n">
        <f aca="false">IF(I69&gt;0.5,I69+I69*(F_MR/12)-MIN(F_MortPayM,I69+I69*(F_MR/12)),I69)</f>
        <v>0</v>
      </c>
      <c r="K69" s="1" t="n">
        <f aca="false">IF(J69&gt;0.5,J69+J69*(F_MR/12)-MIN(F_MortPayM,J69+J69*(F_MR/12)),J69)</f>
        <v>0</v>
      </c>
      <c r="L69" s="1" t="n">
        <f aca="false">IF(K69&gt;0.5,K69+K69*(F_MR/12)-MIN(F_MortPayM,K69+K69*(F_MR/12)),K69)</f>
        <v>0</v>
      </c>
      <c r="M69" s="1" t="n">
        <f aca="false">IF(L69&gt;0.5,L69+L69*(F_MR/12)-MIN(F_MortPayM,L69+L69*(F_MR/12)),L69)</f>
        <v>0</v>
      </c>
      <c r="N69" s="1" t="n">
        <f aca="false">IF(M69&gt;0.5,M69+M69*(F_MR/12)-MIN(F_MortPayM,M69+M69*(F_MR/12)),M69)</f>
        <v>0</v>
      </c>
      <c r="O69" s="1" t="n">
        <f aca="false">IF(N69&gt;0.5,N69+N69*(F_MR/12)-MIN(F_MortPayM,N69+N69*(F_MR/12)),N69)</f>
        <v>0</v>
      </c>
      <c r="P69" s="1" t="n">
        <f aca="false">IF(C69&gt;0.5,MIN(F_MortPayM,C69+C69*(F_MR/12)),0)</f>
        <v>0</v>
      </c>
      <c r="Q69" s="1" t="n">
        <f aca="false">IF(D69&gt;0.5,MIN(F_MortPayM,D69+D69*(F_MR/12)),0)</f>
        <v>0</v>
      </c>
      <c r="R69" s="1" t="n">
        <f aca="false">IF(E69&gt;0.5,MIN(F_MortPayM,E69+E69*(F_MR/12)),0)</f>
        <v>0</v>
      </c>
      <c r="S69" s="1" t="n">
        <f aca="false">IF(F69&gt;0.5,MIN(F_MortPayM,F69+F69*(F_MR/12)),0)</f>
        <v>0</v>
      </c>
      <c r="T69" s="1" t="n">
        <f aca="false">IF(G69&gt;0.5,MIN(F_MortPayM,G69+G69*(F_MR/12)),0)</f>
        <v>0</v>
      </c>
      <c r="U69" s="1" t="n">
        <f aca="false">IF(H69&gt;0.5,MIN(F_MortPayM,H69+H69*(F_MR/12)),0)</f>
        <v>0</v>
      </c>
      <c r="V69" s="1" t="n">
        <f aca="false">IF(I69&gt;0.5,MIN(F_MortPayM,I69+I69*(F_MR/12)),0)</f>
        <v>0</v>
      </c>
      <c r="W69" s="1" t="n">
        <f aca="false">IF(J69&gt;0.5,MIN(F_MortPayM,J69+J69*(F_MR/12)),0)</f>
        <v>0</v>
      </c>
      <c r="X69" s="1" t="n">
        <f aca="false">IF(K69&gt;0.5,MIN(F_MortPayM,K69+K69*(F_MR/12)),0)</f>
        <v>0</v>
      </c>
      <c r="Y69" s="1" t="n">
        <f aca="false">IF(L69&gt;0.5,MIN(F_MortPayM,L69+L69*(F_MR/12)),0)</f>
        <v>0</v>
      </c>
      <c r="Z69" s="1" t="n">
        <f aca="false">IF(M69&gt;0.5,MIN(F_MortPayM,M69+M69*(F_MR/12)),0)</f>
        <v>0</v>
      </c>
      <c r="AA69" s="1" t="n">
        <f aca="false">IF(N69&gt;0.5,MIN(F_MortPayM,N69+N69*(F_MR/12)),0)</f>
        <v>0</v>
      </c>
      <c r="AB69" s="1" t="n">
        <f aca="false">MAX(0,O69)</f>
        <v>0</v>
      </c>
      <c r="AC69" s="1" t="n">
        <f aca="false">SUM(P69:AA69)</f>
        <v>0</v>
      </c>
      <c r="AD69" s="1" t="n">
        <f aca="false">'Plan cashflow'!L69</f>
        <v>0</v>
      </c>
      <c r="AE69" s="1" t="n">
        <f aca="false">IF(AD69&gt;0.5,AD69+AD69*(D_iC)-MIN(F_CardPayM,AD69+AD69*(D_iC)),AD69)</f>
        <v>0</v>
      </c>
      <c r="AF69" s="1" t="n">
        <f aca="false">IF(AE69&gt;0.5,AE69+AE69*(D_iC)-MIN(F_CardPayM,AE69+AE69*(D_iC)),AE69)</f>
        <v>0</v>
      </c>
      <c r="AG69" s="1" t="n">
        <f aca="false">IF(AF69&gt;0.5,AF69+AF69*(D_iC)-MIN(F_CardPayM,AF69+AF69*(D_iC)),AF69)</f>
        <v>0</v>
      </c>
      <c r="AH69" s="1" t="n">
        <f aca="false">IF(AG69&gt;0.5,AG69+AG69*(D_iC)-MIN(F_CardPayM,AG69+AG69*(D_iC)),AG69)</f>
        <v>0</v>
      </c>
      <c r="AI69" s="1" t="n">
        <f aca="false">IF(AH69&gt;0.5,AH69+AH69*(D_iC)-MIN(F_CardPayM,AH69+AH69*(D_iC)),AH69)</f>
        <v>0</v>
      </c>
      <c r="AJ69" s="1" t="n">
        <f aca="false">IF(AI69&gt;0.5,AI69+AI69*(D_iC)-MIN(F_CardPayM,AI69+AI69*(D_iC)),AI69)</f>
        <v>0</v>
      </c>
      <c r="AK69" s="1" t="n">
        <f aca="false">IF(AJ69&gt;0.5,AJ69+AJ69*(D_iC)-MIN(F_CardPayM,AJ69+AJ69*(D_iC)),AJ69)</f>
        <v>0</v>
      </c>
      <c r="AL69" s="1" t="n">
        <f aca="false">IF(AK69&gt;0.5,AK69+AK69*(D_iC)-MIN(F_CardPayM,AK69+AK69*(D_iC)),AK69)</f>
        <v>0</v>
      </c>
      <c r="AM69" s="1" t="n">
        <f aca="false">IF(AL69&gt;0.5,AL69+AL69*(D_iC)-MIN(F_CardPayM,AL69+AL69*(D_iC)),AL69)</f>
        <v>0</v>
      </c>
      <c r="AN69" s="1" t="n">
        <f aca="false">IF(AM69&gt;0.5,AM69+AM69*(D_iC)-MIN(F_CardPayM,AM69+AM69*(D_iC)),AM69)</f>
        <v>0</v>
      </c>
      <c r="AO69" s="1" t="n">
        <f aca="false">IF(AN69&gt;0.5,AN69+AN69*(D_iC)-MIN(F_CardPayM,AN69+AN69*(D_iC)),AN69)</f>
        <v>0</v>
      </c>
      <c r="AP69" s="1" t="n">
        <f aca="false">IF(AO69&gt;0.5,AO69+AO69*(D_iC)-MIN(F_CardPayM,AO69+AO69*(D_iC)),AO69)</f>
        <v>0</v>
      </c>
      <c r="AQ69" s="1" t="n">
        <f aca="false">IF(AD69&gt;0.5,MIN(F_CardPayM,AD69+AD69*(D_iC)),0)</f>
        <v>0</v>
      </c>
      <c r="AR69" s="1" t="n">
        <f aca="false">IF(AE69&gt;0.5,MIN(F_CardPayM,AE69+AE69*(D_iC)),0)</f>
        <v>0</v>
      </c>
      <c r="AS69" s="1" t="n">
        <f aca="false">IF(AF69&gt;0.5,MIN(F_CardPayM,AF69+AF69*(D_iC)),0)</f>
        <v>0</v>
      </c>
      <c r="AT69" s="1" t="n">
        <f aca="false">IF(AG69&gt;0.5,MIN(F_CardPayM,AG69+AG69*(D_iC)),0)</f>
        <v>0</v>
      </c>
      <c r="AU69" s="1" t="n">
        <f aca="false">IF(AH69&gt;0.5,MIN(F_CardPayM,AH69+AH69*(D_iC)),0)</f>
        <v>0</v>
      </c>
      <c r="AV69" s="1" t="n">
        <f aca="false">IF(AI69&gt;0.5,MIN(F_CardPayM,AI69+AI69*(D_iC)),0)</f>
        <v>0</v>
      </c>
      <c r="AW69" s="1" t="n">
        <f aca="false">IF(AJ69&gt;0.5,MIN(F_CardPayM,AJ69+AJ69*(D_iC)),0)</f>
        <v>0</v>
      </c>
      <c r="AX69" s="1" t="n">
        <f aca="false">IF(AK69&gt;0.5,MIN(F_CardPayM,AK69+AK69*(D_iC)),0)</f>
        <v>0</v>
      </c>
      <c r="AY69" s="1" t="n">
        <f aca="false">IF(AL69&gt;0.5,MIN(F_CardPayM,AL69+AL69*(D_iC)),0)</f>
        <v>0</v>
      </c>
      <c r="AZ69" s="1" t="n">
        <f aca="false">IF(AM69&gt;0.5,MIN(F_CardPayM,AM69+AM69*(D_iC)),0)</f>
        <v>0</v>
      </c>
      <c r="BA69" s="1" t="n">
        <f aca="false">IF(AN69&gt;0.5,MIN(F_CardPayM,AN69+AN69*(D_iC)),0)</f>
        <v>0</v>
      </c>
      <c r="BB69" s="1" t="n">
        <f aca="false">IF(AO69&gt;0.5,MIN(F_CardPayM,AO69+AO69*(D_iC)),0)</f>
        <v>0</v>
      </c>
      <c r="BC69" s="1" t="n">
        <f aca="false">MAX(0,AP69)</f>
        <v>0</v>
      </c>
      <c r="BD69" s="1" t="n">
        <f aca="false">SUM(AQ69:BB69)</f>
        <v>0</v>
      </c>
      <c r="BE69" s="1" t="n">
        <f aca="false">'Plan cashflow'!O69</f>
        <v>0</v>
      </c>
      <c r="BF69" s="1" t="n">
        <f aca="false">IF(BE69&gt;0.5,BE69+BE69*(D_iL)-MIN(F_LoanPayM,BE69+BE69*(D_iL)),BE69)</f>
        <v>0</v>
      </c>
      <c r="BG69" s="1" t="n">
        <f aca="false">IF(BF69&gt;0.5,BF69+BF69*(D_iL)-MIN(F_LoanPayM,BF69+BF69*(D_iL)),BF69)</f>
        <v>0</v>
      </c>
      <c r="BH69" s="1" t="n">
        <f aca="false">IF(BG69&gt;0.5,BG69+BG69*(D_iL)-MIN(F_LoanPayM,BG69+BG69*(D_iL)),BG69)</f>
        <v>0</v>
      </c>
      <c r="BI69" s="1" t="n">
        <f aca="false">IF(BH69&gt;0.5,BH69+BH69*(D_iL)-MIN(F_LoanPayM,BH69+BH69*(D_iL)),BH69)</f>
        <v>0</v>
      </c>
      <c r="BJ69" s="1" t="n">
        <f aca="false">IF(BI69&gt;0.5,BI69+BI69*(D_iL)-MIN(F_LoanPayM,BI69+BI69*(D_iL)),BI69)</f>
        <v>0</v>
      </c>
      <c r="BK69" s="1" t="n">
        <f aca="false">IF(BJ69&gt;0.5,BJ69+BJ69*(D_iL)-MIN(F_LoanPayM,BJ69+BJ69*(D_iL)),BJ69)</f>
        <v>0</v>
      </c>
      <c r="BL69" s="1" t="n">
        <f aca="false">IF(BK69&gt;0.5,BK69+BK69*(D_iL)-MIN(F_LoanPayM,BK69+BK69*(D_iL)),BK69)</f>
        <v>0</v>
      </c>
      <c r="BM69" s="1" t="n">
        <f aca="false">IF(BL69&gt;0.5,BL69+BL69*(D_iL)-MIN(F_LoanPayM,BL69+BL69*(D_iL)),BL69)</f>
        <v>0</v>
      </c>
      <c r="BN69" s="1" t="n">
        <f aca="false">IF(BM69&gt;0.5,BM69+BM69*(D_iL)-MIN(F_LoanPayM,BM69+BM69*(D_iL)),BM69)</f>
        <v>0</v>
      </c>
      <c r="BO69" s="1" t="n">
        <f aca="false">IF(BN69&gt;0.5,BN69+BN69*(D_iL)-MIN(F_LoanPayM,BN69+BN69*(D_iL)),BN69)</f>
        <v>0</v>
      </c>
      <c r="BP69" s="1" t="n">
        <f aca="false">IF(BO69&gt;0.5,BO69+BO69*(D_iL)-MIN(F_LoanPayM,BO69+BO69*(D_iL)),BO69)</f>
        <v>0</v>
      </c>
      <c r="BQ69" s="1" t="n">
        <f aca="false">IF(BP69&gt;0.5,BP69+BP69*(D_iL)-MIN(F_LoanPayM,BP69+BP69*(D_iL)),BP69)</f>
        <v>0</v>
      </c>
      <c r="BR69" s="1" t="n">
        <f aca="false">IF(BE69&gt;0.5,MIN(F_LoanPayM,BE69+BE69*(D_iL)),0)</f>
        <v>0</v>
      </c>
      <c r="BS69" s="1" t="n">
        <f aca="false">IF(BF69&gt;0.5,MIN(F_LoanPayM,BF69+BF69*(D_iL)),0)</f>
        <v>0</v>
      </c>
      <c r="BT69" s="1" t="n">
        <f aca="false">IF(BG69&gt;0.5,MIN(F_LoanPayM,BG69+BG69*(D_iL)),0)</f>
        <v>0</v>
      </c>
      <c r="BU69" s="1" t="n">
        <f aca="false">IF(BH69&gt;0.5,MIN(F_LoanPayM,BH69+BH69*(D_iL)),0)</f>
        <v>0</v>
      </c>
      <c r="BV69" s="1" t="n">
        <f aca="false">IF(BI69&gt;0.5,MIN(F_LoanPayM,BI69+BI69*(D_iL)),0)</f>
        <v>0</v>
      </c>
      <c r="BW69" s="1" t="n">
        <f aca="false">IF(BJ69&gt;0.5,MIN(F_LoanPayM,BJ69+BJ69*(D_iL)),0)</f>
        <v>0</v>
      </c>
      <c r="BX69" s="1" t="n">
        <f aca="false">IF(BK69&gt;0.5,MIN(F_LoanPayM,BK69+BK69*(D_iL)),0)</f>
        <v>0</v>
      </c>
      <c r="BY69" s="1" t="n">
        <f aca="false">IF(BL69&gt;0.5,MIN(F_LoanPayM,BL69+BL69*(D_iL)),0)</f>
        <v>0</v>
      </c>
      <c r="BZ69" s="1" t="n">
        <f aca="false">IF(BM69&gt;0.5,MIN(F_LoanPayM,BM69+BM69*(D_iL)),0)</f>
        <v>0</v>
      </c>
      <c r="CA69" s="1" t="n">
        <f aca="false">IF(BN69&gt;0.5,MIN(F_LoanPayM,BN69+BN69*(D_iL)),0)</f>
        <v>0</v>
      </c>
      <c r="CB69" s="1" t="n">
        <f aca="false">IF(BO69&gt;0.5,MIN(F_LoanPayM,BO69+BO69*(D_iL)),0)</f>
        <v>0</v>
      </c>
      <c r="CC69" s="1" t="n">
        <f aca="false">IF(BP69&gt;0.5,MIN(F_LoanPayM,BP69+BP69*(D_iL)),0)</f>
        <v>0</v>
      </c>
      <c r="CD69" s="1" t="n">
        <f aca="false">MAX(0,BQ69)</f>
        <v>0</v>
      </c>
      <c r="CE69" s="1" t="n">
        <f aca="false">SUM(BR69:CC69)</f>
        <v>0</v>
      </c>
      <c r="CF69" s="1" t="n">
        <f aca="false">IF(CF68&gt;1,DE68,CF68)</f>
        <v>0</v>
      </c>
      <c r="CG69" s="1" t="n">
        <f aca="false">IF(CF69&gt;0.5,CF69+CF69*(F_MR/12)-MIN(F_MortPayM,CF69+CF69*(F_MR/12)),CF69)</f>
        <v>0</v>
      </c>
      <c r="CH69" s="1" t="n">
        <f aca="false">IF(CG69&gt;0.5,CG69+CG69*(F_MR/12)-MIN(F_MortPayM,CG69+CG69*(F_MR/12)),CG69)</f>
        <v>0</v>
      </c>
      <c r="CI69" s="1" t="n">
        <f aca="false">IF(CH69&gt;0.5,CH69+CH69*(F_MR/12)-MIN(F_MortPayM,CH69+CH69*(F_MR/12)),CH69)</f>
        <v>0</v>
      </c>
      <c r="CJ69" s="1" t="n">
        <f aca="false">IF(CI69&gt;0.5,CI69+CI69*(F_MR/12)-MIN(F_MortPayM,CI69+CI69*(F_MR/12)),CI69)</f>
        <v>0</v>
      </c>
      <c r="CK69" s="1" t="n">
        <f aca="false">IF(CJ69&gt;0.5,CJ69+CJ69*(F_MR/12)-MIN(F_MortPayM,CJ69+CJ69*(F_MR/12)),CJ69)</f>
        <v>0</v>
      </c>
      <c r="CL69" s="1" t="n">
        <f aca="false">IF(CK69&gt;0.5,CK69+CK69*(F_MR/12)-MIN(F_MortPayM,CK69+CK69*(F_MR/12)),CK69)</f>
        <v>0</v>
      </c>
      <c r="CM69" s="1" t="n">
        <f aca="false">IF(CL69&gt;0.5,CL69+CL69*(F_MR/12)-MIN(F_MortPayM,CL69+CL69*(F_MR/12)),CL69)</f>
        <v>0</v>
      </c>
      <c r="CN69" s="1" t="n">
        <f aca="false">IF(CM69&gt;0.5,CM69+CM69*(F_MR/12)-MIN(F_MortPayM,CM69+CM69*(F_MR/12)),CM69)</f>
        <v>0</v>
      </c>
      <c r="CO69" s="1" t="n">
        <f aca="false">IF(CN69&gt;0.5,CN69+CN69*(F_MR/12)-MIN(F_MortPayM,CN69+CN69*(F_MR/12)),CN69)</f>
        <v>0</v>
      </c>
      <c r="CP69" s="1" t="n">
        <f aca="false">IF(CO69&gt;0.5,CO69+CO69*(F_MR/12)-MIN(F_MortPayM,CO69+CO69*(F_MR/12)),CO69)</f>
        <v>0</v>
      </c>
      <c r="CQ69" s="1" t="n">
        <f aca="false">IF(CP69&gt;0.5,CP69+CP69*(F_MR/12)-MIN(F_MortPayM,CP69+CP69*(F_MR/12)),CP69)</f>
        <v>0</v>
      </c>
      <c r="CR69" s="1" t="n">
        <f aca="false">IF(CQ69&gt;0.5,CQ69+CQ69*(F_MR/12)-MIN(F_MortPayM,CQ69+CQ69*(F_MR/12)),CQ69)</f>
        <v>0</v>
      </c>
      <c r="CS69" s="1" t="n">
        <f aca="false">IF(CF69&gt;0.5,MIN(F_MortPayM,CF69+CF69*(F_MR/12)),0)</f>
        <v>0</v>
      </c>
      <c r="CT69" s="1" t="n">
        <f aca="false">IF(CG69&gt;0.5,MIN(F_MortPayM,CG69+CG69*(F_MR/12)),0)</f>
        <v>0</v>
      </c>
      <c r="CU69" s="1" t="n">
        <f aca="false">IF(CH69&gt;0.5,MIN(F_MortPayM,CH69+CH69*(F_MR/12)),0)</f>
        <v>0</v>
      </c>
      <c r="CV69" s="1" t="n">
        <f aca="false">IF(CI69&gt;0.5,MIN(F_MortPayM,CI69+CI69*(F_MR/12)),0)</f>
        <v>0</v>
      </c>
      <c r="CW69" s="1" t="n">
        <f aca="false">IF(CJ69&gt;0.5,MIN(F_MortPayM,CJ69+CJ69*(F_MR/12)),0)</f>
        <v>0</v>
      </c>
      <c r="CX69" s="1" t="n">
        <f aca="false">IF(CK69&gt;0.5,MIN(F_MortPayM,CK69+CK69*(F_MR/12)),0)</f>
        <v>0</v>
      </c>
      <c r="CY69" s="1" t="n">
        <f aca="false">IF(CL69&gt;0.5,MIN(F_MortPayM,CL69+CL69*(F_MR/12)),0)</f>
        <v>0</v>
      </c>
      <c r="CZ69" s="1" t="n">
        <f aca="false">IF(CM69&gt;0.5,MIN(F_MortPayM,CM69+CM69*(F_MR/12)),0)</f>
        <v>0</v>
      </c>
      <c r="DA69" s="1" t="n">
        <f aca="false">IF(CN69&gt;0.5,MIN(F_MortPayM,CN69+CN69*(F_MR/12)),0)</f>
        <v>0</v>
      </c>
      <c r="DB69" s="1" t="n">
        <f aca="false">IF(CO69&gt;0.5,MIN(F_MortPayM,CO69+CO69*(F_MR/12)),0)</f>
        <v>0</v>
      </c>
      <c r="DC69" s="1" t="n">
        <f aca="false">IF(CP69&gt;0.5,MIN(F_MortPayM,CP69+CP69*(F_MR/12)),0)</f>
        <v>0</v>
      </c>
      <c r="DD69" s="1" t="n">
        <f aca="false">IF(CQ69&gt;0.5,MIN(F_MortPayM,CQ69+CQ69*(F_MR/12)),0)</f>
        <v>0</v>
      </c>
      <c r="DE69" s="1" t="n">
        <f aca="false">MAX(0,CR69)</f>
        <v>0</v>
      </c>
      <c r="DF69" s="1" t="n">
        <f aca="false">SUM(CS69:DD69)</f>
        <v>0</v>
      </c>
      <c r="DG69" s="1" t="n">
        <f aca="false">MAX(0,CF69)</f>
        <v>0</v>
      </c>
    </row>
    <row r="70" customFormat="false" ht="15" hidden="false" customHeight="false" outlineLevel="0" collapsed="false">
      <c r="B70" s="1" t="n">
        <v>62</v>
      </c>
      <c r="C70" s="1" t="n">
        <f aca="false">'Plan cashflow'!I70</f>
        <v>0</v>
      </c>
      <c r="D70" s="1" t="n">
        <f aca="false">IF(C70&gt;0.5,C70+C70*(F_MR/12)-MIN(F_MortPayM,C70+C70*(F_MR/12)),C70)</f>
        <v>0</v>
      </c>
      <c r="E70" s="1" t="n">
        <f aca="false">IF(D70&gt;0.5,D70+D70*(F_MR/12)-MIN(F_MortPayM,D70+D70*(F_MR/12)),D70)</f>
        <v>0</v>
      </c>
      <c r="F70" s="1" t="n">
        <f aca="false">IF(E70&gt;0.5,E70+E70*(F_MR/12)-MIN(F_MortPayM,E70+E70*(F_MR/12)),E70)</f>
        <v>0</v>
      </c>
      <c r="G70" s="1" t="n">
        <f aca="false">IF(F70&gt;0.5,F70+F70*(F_MR/12)-MIN(F_MortPayM,F70+F70*(F_MR/12)),F70)</f>
        <v>0</v>
      </c>
      <c r="H70" s="1" t="n">
        <f aca="false">IF(G70&gt;0.5,G70+G70*(F_MR/12)-MIN(F_MortPayM,G70+G70*(F_MR/12)),G70)</f>
        <v>0</v>
      </c>
      <c r="I70" s="1" t="n">
        <f aca="false">IF(H70&gt;0.5,H70+H70*(F_MR/12)-MIN(F_MortPayM,H70+H70*(F_MR/12)),H70)</f>
        <v>0</v>
      </c>
      <c r="J70" s="1" t="n">
        <f aca="false">IF(I70&gt;0.5,I70+I70*(F_MR/12)-MIN(F_MortPayM,I70+I70*(F_MR/12)),I70)</f>
        <v>0</v>
      </c>
      <c r="K70" s="1" t="n">
        <f aca="false">IF(J70&gt;0.5,J70+J70*(F_MR/12)-MIN(F_MortPayM,J70+J70*(F_MR/12)),J70)</f>
        <v>0</v>
      </c>
      <c r="L70" s="1" t="n">
        <f aca="false">IF(K70&gt;0.5,K70+K70*(F_MR/12)-MIN(F_MortPayM,K70+K70*(F_MR/12)),K70)</f>
        <v>0</v>
      </c>
      <c r="M70" s="1" t="n">
        <f aca="false">IF(L70&gt;0.5,L70+L70*(F_MR/12)-MIN(F_MortPayM,L70+L70*(F_MR/12)),L70)</f>
        <v>0</v>
      </c>
      <c r="N70" s="1" t="n">
        <f aca="false">IF(M70&gt;0.5,M70+M70*(F_MR/12)-MIN(F_MortPayM,M70+M70*(F_MR/12)),M70)</f>
        <v>0</v>
      </c>
      <c r="O70" s="1" t="n">
        <f aca="false">IF(N70&gt;0.5,N70+N70*(F_MR/12)-MIN(F_MortPayM,N70+N70*(F_MR/12)),N70)</f>
        <v>0</v>
      </c>
      <c r="P70" s="1" t="n">
        <f aca="false">IF(C70&gt;0.5,MIN(F_MortPayM,C70+C70*(F_MR/12)),0)</f>
        <v>0</v>
      </c>
      <c r="Q70" s="1" t="n">
        <f aca="false">IF(D70&gt;0.5,MIN(F_MortPayM,D70+D70*(F_MR/12)),0)</f>
        <v>0</v>
      </c>
      <c r="R70" s="1" t="n">
        <f aca="false">IF(E70&gt;0.5,MIN(F_MortPayM,E70+E70*(F_MR/12)),0)</f>
        <v>0</v>
      </c>
      <c r="S70" s="1" t="n">
        <f aca="false">IF(F70&gt;0.5,MIN(F_MortPayM,F70+F70*(F_MR/12)),0)</f>
        <v>0</v>
      </c>
      <c r="T70" s="1" t="n">
        <f aca="false">IF(G70&gt;0.5,MIN(F_MortPayM,G70+G70*(F_MR/12)),0)</f>
        <v>0</v>
      </c>
      <c r="U70" s="1" t="n">
        <f aca="false">IF(H70&gt;0.5,MIN(F_MortPayM,H70+H70*(F_MR/12)),0)</f>
        <v>0</v>
      </c>
      <c r="V70" s="1" t="n">
        <f aca="false">IF(I70&gt;0.5,MIN(F_MortPayM,I70+I70*(F_MR/12)),0)</f>
        <v>0</v>
      </c>
      <c r="W70" s="1" t="n">
        <f aca="false">IF(J70&gt;0.5,MIN(F_MortPayM,J70+J70*(F_MR/12)),0)</f>
        <v>0</v>
      </c>
      <c r="X70" s="1" t="n">
        <f aca="false">IF(K70&gt;0.5,MIN(F_MortPayM,K70+K70*(F_MR/12)),0)</f>
        <v>0</v>
      </c>
      <c r="Y70" s="1" t="n">
        <f aca="false">IF(L70&gt;0.5,MIN(F_MortPayM,L70+L70*(F_MR/12)),0)</f>
        <v>0</v>
      </c>
      <c r="Z70" s="1" t="n">
        <f aca="false">IF(M70&gt;0.5,MIN(F_MortPayM,M70+M70*(F_MR/12)),0)</f>
        <v>0</v>
      </c>
      <c r="AA70" s="1" t="n">
        <f aca="false">IF(N70&gt;0.5,MIN(F_MortPayM,N70+N70*(F_MR/12)),0)</f>
        <v>0</v>
      </c>
      <c r="AB70" s="1" t="n">
        <f aca="false">MAX(0,O70)</f>
        <v>0</v>
      </c>
      <c r="AC70" s="1" t="n">
        <f aca="false">SUM(P70:AA70)</f>
        <v>0</v>
      </c>
      <c r="AD70" s="1" t="n">
        <f aca="false">'Plan cashflow'!L70</f>
        <v>0</v>
      </c>
      <c r="AE70" s="1" t="n">
        <f aca="false">IF(AD70&gt;0.5,AD70+AD70*(D_iC)-MIN(F_CardPayM,AD70+AD70*(D_iC)),AD70)</f>
        <v>0</v>
      </c>
      <c r="AF70" s="1" t="n">
        <f aca="false">IF(AE70&gt;0.5,AE70+AE70*(D_iC)-MIN(F_CardPayM,AE70+AE70*(D_iC)),AE70)</f>
        <v>0</v>
      </c>
      <c r="AG70" s="1" t="n">
        <f aca="false">IF(AF70&gt;0.5,AF70+AF70*(D_iC)-MIN(F_CardPayM,AF70+AF70*(D_iC)),AF70)</f>
        <v>0</v>
      </c>
      <c r="AH70" s="1" t="n">
        <f aca="false">IF(AG70&gt;0.5,AG70+AG70*(D_iC)-MIN(F_CardPayM,AG70+AG70*(D_iC)),AG70)</f>
        <v>0</v>
      </c>
      <c r="AI70" s="1" t="n">
        <f aca="false">IF(AH70&gt;0.5,AH70+AH70*(D_iC)-MIN(F_CardPayM,AH70+AH70*(D_iC)),AH70)</f>
        <v>0</v>
      </c>
      <c r="AJ70" s="1" t="n">
        <f aca="false">IF(AI70&gt;0.5,AI70+AI70*(D_iC)-MIN(F_CardPayM,AI70+AI70*(D_iC)),AI70)</f>
        <v>0</v>
      </c>
      <c r="AK70" s="1" t="n">
        <f aca="false">IF(AJ70&gt;0.5,AJ70+AJ70*(D_iC)-MIN(F_CardPayM,AJ70+AJ70*(D_iC)),AJ70)</f>
        <v>0</v>
      </c>
      <c r="AL70" s="1" t="n">
        <f aca="false">IF(AK70&gt;0.5,AK70+AK70*(D_iC)-MIN(F_CardPayM,AK70+AK70*(D_iC)),AK70)</f>
        <v>0</v>
      </c>
      <c r="AM70" s="1" t="n">
        <f aca="false">IF(AL70&gt;0.5,AL70+AL70*(D_iC)-MIN(F_CardPayM,AL70+AL70*(D_iC)),AL70)</f>
        <v>0</v>
      </c>
      <c r="AN70" s="1" t="n">
        <f aca="false">IF(AM70&gt;0.5,AM70+AM70*(D_iC)-MIN(F_CardPayM,AM70+AM70*(D_iC)),AM70)</f>
        <v>0</v>
      </c>
      <c r="AO70" s="1" t="n">
        <f aca="false">IF(AN70&gt;0.5,AN70+AN70*(D_iC)-MIN(F_CardPayM,AN70+AN70*(D_iC)),AN70)</f>
        <v>0</v>
      </c>
      <c r="AP70" s="1" t="n">
        <f aca="false">IF(AO70&gt;0.5,AO70+AO70*(D_iC)-MIN(F_CardPayM,AO70+AO70*(D_iC)),AO70)</f>
        <v>0</v>
      </c>
      <c r="AQ70" s="1" t="n">
        <f aca="false">IF(AD70&gt;0.5,MIN(F_CardPayM,AD70+AD70*(D_iC)),0)</f>
        <v>0</v>
      </c>
      <c r="AR70" s="1" t="n">
        <f aca="false">IF(AE70&gt;0.5,MIN(F_CardPayM,AE70+AE70*(D_iC)),0)</f>
        <v>0</v>
      </c>
      <c r="AS70" s="1" t="n">
        <f aca="false">IF(AF70&gt;0.5,MIN(F_CardPayM,AF70+AF70*(D_iC)),0)</f>
        <v>0</v>
      </c>
      <c r="AT70" s="1" t="n">
        <f aca="false">IF(AG70&gt;0.5,MIN(F_CardPayM,AG70+AG70*(D_iC)),0)</f>
        <v>0</v>
      </c>
      <c r="AU70" s="1" t="n">
        <f aca="false">IF(AH70&gt;0.5,MIN(F_CardPayM,AH70+AH70*(D_iC)),0)</f>
        <v>0</v>
      </c>
      <c r="AV70" s="1" t="n">
        <f aca="false">IF(AI70&gt;0.5,MIN(F_CardPayM,AI70+AI70*(D_iC)),0)</f>
        <v>0</v>
      </c>
      <c r="AW70" s="1" t="n">
        <f aca="false">IF(AJ70&gt;0.5,MIN(F_CardPayM,AJ70+AJ70*(D_iC)),0)</f>
        <v>0</v>
      </c>
      <c r="AX70" s="1" t="n">
        <f aca="false">IF(AK70&gt;0.5,MIN(F_CardPayM,AK70+AK70*(D_iC)),0)</f>
        <v>0</v>
      </c>
      <c r="AY70" s="1" t="n">
        <f aca="false">IF(AL70&gt;0.5,MIN(F_CardPayM,AL70+AL70*(D_iC)),0)</f>
        <v>0</v>
      </c>
      <c r="AZ70" s="1" t="n">
        <f aca="false">IF(AM70&gt;0.5,MIN(F_CardPayM,AM70+AM70*(D_iC)),0)</f>
        <v>0</v>
      </c>
      <c r="BA70" s="1" t="n">
        <f aca="false">IF(AN70&gt;0.5,MIN(F_CardPayM,AN70+AN70*(D_iC)),0)</f>
        <v>0</v>
      </c>
      <c r="BB70" s="1" t="n">
        <f aca="false">IF(AO70&gt;0.5,MIN(F_CardPayM,AO70+AO70*(D_iC)),0)</f>
        <v>0</v>
      </c>
      <c r="BC70" s="1" t="n">
        <f aca="false">MAX(0,AP70)</f>
        <v>0</v>
      </c>
      <c r="BD70" s="1" t="n">
        <f aca="false">SUM(AQ70:BB70)</f>
        <v>0</v>
      </c>
      <c r="BE70" s="1" t="n">
        <f aca="false">'Plan cashflow'!O70</f>
        <v>0</v>
      </c>
      <c r="BF70" s="1" t="n">
        <f aca="false">IF(BE70&gt;0.5,BE70+BE70*(D_iL)-MIN(F_LoanPayM,BE70+BE70*(D_iL)),BE70)</f>
        <v>0</v>
      </c>
      <c r="BG70" s="1" t="n">
        <f aca="false">IF(BF70&gt;0.5,BF70+BF70*(D_iL)-MIN(F_LoanPayM,BF70+BF70*(D_iL)),BF70)</f>
        <v>0</v>
      </c>
      <c r="BH70" s="1" t="n">
        <f aca="false">IF(BG70&gt;0.5,BG70+BG70*(D_iL)-MIN(F_LoanPayM,BG70+BG70*(D_iL)),BG70)</f>
        <v>0</v>
      </c>
      <c r="BI70" s="1" t="n">
        <f aca="false">IF(BH70&gt;0.5,BH70+BH70*(D_iL)-MIN(F_LoanPayM,BH70+BH70*(D_iL)),BH70)</f>
        <v>0</v>
      </c>
      <c r="BJ70" s="1" t="n">
        <f aca="false">IF(BI70&gt;0.5,BI70+BI70*(D_iL)-MIN(F_LoanPayM,BI70+BI70*(D_iL)),BI70)</f>
        <v>0</v>
      </c>
      <c r="BK70" s="1" t="n">
        <f aca="false">IF(BJ70&gt;0.5,BJ70+BJ70*(D_iL)-MIN(F_LoanPayM,BJ70+BJ70*(D_iL)),BJ70)</f>
        <v>0</v>
      </c>
      <c r="BL70" s="1" t="n">
        <f aca="false">IF(BK70&gt;0.5,BK70+BK70*(D_iL)-MIN(F_LoanPayM,BK70+BK70*(D_iL)),BK70)</f>
        <v>0</v>
      </c>
      <c r="BM70" s="1" t="n">
        <f aca="false">IF(BL70&gt;0.5,BL70+BL70*(D_iL)-MIN(F_LoanPayM,BL70+BL70*(D_iL)),BL70)</f>
        <v>0</v>
      </c>
      <c r="BN70" s="1" t="n">
        <f aca="false">IF(BM70&gt;0.5,BM70+BM70*(D_iL)-MIN(F_LoanPayM,BM70+BM70*(D_iL)),BM70)</f>
        <v>0</v>
      </c>
      <c r="BO70" s="1" t="n">
        <f aca="false">IF(BN70&gt;0.5,BN70+BN70*(D_iL)-MIN(F_LoanPayM,BN70+BN70*(D_iL)),BN70)</f>
        <v>0</v>
      </c>
      <c r="BP70" s="1" t="n">
        <f aca="false">IF(BO70&gt;0.5,BO70+BO70*(D_iL)-MIN(F_LoanPayM,BO70+BO70*(D_iL)),BO70)</f>
        <v>0</v>
      </c>
      <c r="BQ70" s="1" t="n">
        <f aca="false">IF(BP70&gt;0.5,BP70+BP70*(D_iL)-MIN(F_LoanPayM,BP70+BP70*(D_iL)),BP70)</f>
        <v>0</v>
      </c>
      <c r="BR70" s="1" t="n">
        <f aca="false">IF(BE70&gt;0.5,MIN(F_LoanPayM,BE70+BE70*(D_iL)),0)</f>
        <v>0</v>
      </c>
      <c r="BS70" s="1" t="n">
        <f aca="false">IF(BF70&gt;0.5,MIN(F_LoanPayM,BF70+BF70*(D_iL)),0)</f>
        <v>0</v>
      </c>
      <c r="BT70" s="1" t="n">
        <f aca="false">IF(BG70&gt;0.5,MIN(F_LoanPayM,BG70+BG70*(D_iL)),0)</f>
        <v>0</v>
      </c>
      <c r="BU70" s="1" t="n">
        <f aca="false">IF(BH70&gt;0.5,MIN(F_LoanPayM,BH70+BH70*(D_iL)),0)</f>
        <v>0</v>
      </c>
      <c r="BV70" s="1" t="n">
        <f aca="false">IF(BI70&gt;0.5,MIN(F_LoanPayM,BI70+BI70*(D_iL)),0)</f>
        <v>0</v>
      </c>
      <c r="BW70" s="1" t="n">
        <f aca="false">IF(BJ70&gt;0.5,MIN(F_LoanPayM,BJ70+BJ70*(D_iL)),0)</f>
        <v>0</v>
      </c>
      <c r="BX70" s="1" t="n">
        <f aca="false">IF(BK70&gt;0.5,MIN(F_LoanPayM,BK70+BK70*(D_iL)),0)</f>
        <v>0</v>
      </c>
      <c r="BY70" s="1" t="n">
        <f aca="false">IF(BL70&gt;0.5,MIN(F_LoanPayM,BL70+BL70*(D_iL)),0)</f>
        <v>0</v>
      </c>
      <c r="BZ70" s="1" t="n">
        <f aca="false">IF(BM70&gt;0.5,MIN(F_LoanPayM,BM70+BM70*(D_iL)),0)</f>
        <v>0</v>
      </c>
      <c r="CA70" s="1" t="n">
        <f aca="false">IF(BN70&gt;0.5,MIN(F_LoanPayM,BN70+BN70*(D_iL)),0)</f>
        <v>0</v>
      </c>
      <c r="CB70" s="1" t="n">
        <f aca="false">IF(BO70&gt;0.5,MIN(F_LoanPayM,BO70+BO70*(D_iL)),0)</f>
        <v>0</v>
      </c>
      <c r="CC70" s="1" t="n">
        <f aca="false">IF(BP70&gt;0.5,MIN(F_LoanPayM,BP70+BP70*(D_iL)),0)</f>
        <v>0</v>
      </c>
      <c r="CD70" s="1" t="n">
        <f aca="false">MAX(0,BQ70)</f>
        <v>0</v>
      </c>
      <c r="CE70" s="1" t="n">
        <f aca="false">SUM(BR70:CC70)</f>
        <v>0</v>
      </c>
      <c r="CF70" s="1" t="n">
        <f aca="false">IF(CF69&gt;1,DE69,CF69)</f>
        <v>0</v>
      </c>
      <c r="CG70" s="1" t="n">
        <f aca="false">IF(CF70&gt;0.5,CF70+CF70*(F_MR/12)-MIN(F_MortPayM,CF70+CF70*(F_MR/12)),CF70)</f>
        <v>0</v>
      </c>
      <c r="CH70" s="1" t="n">
        <f aca="false">IF(CG70&gt;0.5,CG70+CG70*(F_MR/12)-MIN(F_MortPayM,CG70+CG70*(F_MR/12)),CG70)</f>
        <v>0</v>
      </c>
      <c r="CI70" s="1" t="n">
        <f aca="false">IF(CH70&gt;0.5,CH70+CH70*(F_MR/12)-MIN(F_MortPayM,CH70+CH70*(F_MR/12)),CH70)</f>
        <v>0</v>
      </c>
      <c r="CJ70" s="1" t="n">
        <f aca="false">IF(CI70&gt;0.5,CI70+CI70*(F_MR/12)-MIN(F_MortPayM,CI70+CI70*(F_MR/12)),CI70)</f>
        <v>0</v>
      </c>
      <c r="CK70" s="1" t="n">
        <f aca="false">IF(CJ70&gt;0.5,CJ70+CJ70*(F_MR/12)-MIN(F_MortPayM,CJ70+CJ70*(F_MR/12)),CJ70)</f>
        <v>0</v>
      </c>
      <c r="CL70" s="1" t="n">
        <f aca="false">IF(CK70&gt;0.5,CK70+CK70*(F_MR/12)-MIN(F_MortPayM,CK70+CK70*(F_MR/12)),CK70)</f>
        <v>0</v>
      </c>
      <c r="CM70" s="1" t="n">
        <f aca="false">IF(CL70&gt;0.5,CL70+CL70*(F_MR/12)-MIN(F_MortPayM,CL70+CL70*(F_MR/12)),CL70)</f>
        <v>0</v>
      </c>
      <c r="CN70" s="1" t="n">
        <f aca="false">IF(CM70&gt;0.5,CM70+CM70*(F_MR/12)-MIN(F_MortPayM,CM70+CM70*(F_MR/12)),CM70)</f>
        <v>0</v>
      </c>
      <c r="CO70" s="1" t="n">
        <f aca="false">IF(CN70&gt;0.5,CN70+CN70*(F_MR/12)-MIN(F_MortPayM,CN70+CN70*(F_MR/12)),CN70)</f>
        <v>0</v>
      </c>
      <c r="CP70" s="1" t="n">
        <f aca="false">IF(CO70&gt;0.5,CO70+CO70*(F_MR/12)-MIN(F_MortPayM,CO70+CO70*(F_MR/12)),CO70)</f>
        <v>0</v>
      </c>
      <c r="CQ70" s="1" t="n">
        <f aca="false">IF(CP70&gt;0.5,CP70+CP70*(F_MR/12)-MIN(F_MortPayM,CP70+CP70*(F_MR/12)),CP70)</f>
        <v>0</v>
      </c>
      <c r="CR70" s="1" t="n">
        <f aca="false">IF(CQ70&gt;0.5,CQ70+CQ70*(F_MR/12)-MIN(F_MortPayM,CQ70+CQ70*(F_MR/12)),CQ70)</f>
        <v>0</v>
      </c>
      <c r="CS70" s="1" t="n">
        <f aca="false">IF(CF70&gt;0.5,MIN(F_MortPayM,CF70+CF70*(F_MR/12)),0)</f>
        <v>0</v>
      </c>
      <c r="CT70" s="1" t="n">
        <f aca="false">IF(CG70&gt;0.5,MIN(F_MortPayM,CG70+CG70*(F_MR/12)),0)</f>
        <v>0</v>
      </c>
      <c r="CU70" s="1" t="n">
        <f aca="false">IF(CH70&gt;0.5,MIN(F_MortPayM,CH70+CH70*(F_MR/12)),0)</f>
        <v>0</v>
      </c>
      <c r="CV70" s="1" t="n">
        <f aca="false">IF(CI70&gt;0.5,MIN(F_MortPayM,CI70+CI70*(F_MR/12)),0)</f>
        <v>0</v>
      </c>
      <c r="CW70" s="1" t="n">
        <f aca="false">IF(CJ70&gt;0.5,MIN(F_MortPayM,CJ70+CJ70*(F_MR/12)),0)</f>
        <v>0</v>
      </c>
      <c r="CX70" s="1" t="n">
        <f aca="false">IF(CK70&gt;0.5,MIN(F_MortPayM,CK70+CK70*(F_MR/12)),0)</f>
        <v>0</v>
      </c>
      <c r="CY70" s="1" t="n">
        <f aca="false">IF(CL70&gt;0.5,MIN(F_MortPayM,CL70+CL70*(F_MR/12)),0)</f>
        <v>0</v>
      </c>
      <c r="CZ70" s="1" t="n">
        <f aca="false">IF(CM70&gt;0.5,MIN(F_MortPayM,CM70+CM70*(F_MR/12)),0)</f>
        <v>0</v>
      </c>
      <c r="DA70" s="1" t="n">
        <f aca="false">IF(CN70&gt;0.5,MIN(F_MortPayM,CN70+CN70*(F_MR/12)),0)</f>
        <v>0</v>
      </c>
      <c r="DB70" s="1" t="n">
        <f aca="false">IF(CO70&gt;0.5,MIN(F_MortPayM,CO70+CO70*(F_MR/12)),0)</f>
        <v>0</v>
      </c>
      <c r="DC70" s="1" t="n">
        <f aca="false">IF(CP70&gt;0.5,MIN(F_MortPayM,CP70+CP70*(F_MR/12)),0)</f>
        <v>0</v>
      </c>
      <c r="DD70" s="1" t="n">
        <f aca="false">IF(CQ70&gt;0.5,MIN(F_MortPayM,CQ70+CQ70*(F_MR/12)),0)</f>
        <v>0</v>
      </c>
      <c r="DE70" s="1" t="n">
        <f aca="false">MAX(0,CR70)</f>
        <v>0</v>
      </c>
      <c r="DF70" s="1" t="n">
        <f aca="false">SUM(CS70:DD70)</f>
        <v>0</v>
      </c>
      <c r="DG70" s="1" t="n">
        <f aca="false">MAX(0,CF70)</f>
        <v>0</v>
      </c>
    </row>
    <row r="71" customFormat="false" ht="15" hidden="false" customHeight="false" outlineLevel="0" collapsed="false">
      <c r="B71" s="1" t="n">
        <v>63</v>
      </c>
      <c r="C71" s="1" t="n">
        <f aca="false">'Plan cashflow'!I71</f>
        <v>0</v>
      </c>
      <c r="D71" s="1" t="n">
        <f aca="false">IF(C71&gt;0.5,C71+C71*(F_MR/12)-MIN(F_MortPayM,C71+C71*(F_MR/12)),C71)</f>
        <v>0</v>
      </c>
      <c r="E71" s="1" t="n">
        <f aca="false">IF(D71&gt;0.5,D71+D71*(F_MR/12)-MIN(F_MortPayM,D71+D71*(F_MR/12)),D71)</f>
        <v>0</v>
      </c>
      <c r="F71" s="1" t="n">
        <f aca="false">IF(E71&gt;0.5,E71+E71*(F_MR/12)-MIN(F_MortPayM,E71+E71*(F_MR/12)),E71)</f>
        <v>0</v>
      </c>
      <c r="G71" s="1" t="n">
        <f aca="false">IF(F71&gt;0.5,F71+F71*(F_MR/12)-MIN(F_MortPayM,F71+F71*(F_MR/12)),F71)</f>
        <v>0</v>
      </c>
      <c r="H71" s="1" t="n">
        <f aca="false">IF(G71&gt;0.5,G71+G71*(F_MR/12)-MIN(F_MortPayM,G71+G71*(F_MR/12)),G71)</f>
        <v>0</v>
      </c>
      <c r="I71" s="1" t="n">
        <f aca="false">IF(H71&gt;0.5,H71+H71*(F_MR/12)-MIN(F_MortPayM,H71+H71*(F_MR/12)),H71)</f>
        <v>0</v>
      </c>
      <c r="J71" s="1" t="n">
        <f aca="false">IF(I71&gt;0.5,I71+I71*(F_MR/12)-MIN(F_MortPayM,I71+I71*(F_MR/12)),I71)</f>
        <v>0</v>
      </c>
      <c r="K71" s="1" t="n">
        <f aca="false">IF(J71&gt;0.5,J71+J71*(F_MR/12)-MIN(F_MortPayM,J71+J71*(F_MR/12)),J71)</f>
        <v>0</v>
      </c>
      <c r="L71" s="1" t="n">
        <f aca="false">IF(K71&gt;0.5,K71+K71*(F_MR/12)-MIN(F_MortPayM,K71+K71*(F_MR/12)),K71)</f>
        <v>0</v>
      </c>
      <c r="M71" s="1" t="n">
        <f aca="false">IF(L71&gt;0.5,L71+L71*(F_MR/12)-MIN(F_MortPayM,L71+L71*(F_MR/12)),L71)</f>
        <v>0</v>
      </c>
      <c r="N71" s="1" t="n">
        <f aca="false">IF(M71&gt;0.5,M71+M71*(F_MR/12)-MIN(F_MortPayM,M71+M71*(F_MR/12)),M71)</f>
        <v>0</v>
      </c>
      <c r="O71" s="1" t="n">
        <f aca="false">IF(N71&gt;0.5,N71+N71*(F_MR/12)-MIN(F_MortPayM,N71+N71*(F_MR/12)),N71)</f>
        <v>0</v>
      </c>
      <c r="P71" s="1" t="n">
        <f aca="false">IF(C71&gt;0.5,MIN(F_MortPayM,C71+C71*(F_MR/12)),0)</f>
        <v>0</v>
      </c>
      <c r="Q71" s="1" t="n">
        <f aca="false">IF(D71&gt;0.5,MIN(F_MortPayM,D71+D71*(F_MR/12)),0)</f>
        <v>0</v>
      </c>
      <c r="R71" s="1" t="n">
        <f aca="false">IF(E71&gt;0.5,MIN(F_MortPayM,E71+E71*(F_MR/12)),0)</f>
        <v>0</v>
      </c>
      <c r="S71" s="1" t="n">
        <f aca="false">IF(F71&gt;0.5,MIN(F_MortPayM,F71+F71*(F_MR/12)),0)</f>
        <v>0</v>
      </c>
      <c r="T71" s="1" t="n">
        <f aca="false">IF(G71&gt;0.5,MIN(F_MortPayM,G71+G71*(F_MR/12)),0)</f>
        <v>0</v>
      </c>
      <c r="U71" s="1" t="n">
        <f aca="false">IF(H71&gt;0.5,MIN(F_MortPayM,H71+H71*(F_MR/12)),0)</f>
        <v>0</v>
      </c>
      <c r="V71" s="1" t="n">
        <f aca="false">IF(I71&gt;0.5,MIN(F_MortPayM,I71+I71*(F_MR/12)),0)</f>
        <v>0</v>
      </c>
      <c r="W71" s="1" t="n">
        <f aca="false">IF(J71&gt;0.5,MIN(F_MortPayM,J71+J71*(F_MR/12)),0)</f>
        <v>0</v>
      </c>
      <c r="X71" s="1" t="n">
        <f aca="false">IF(K71&gt;0.5,MIN(F_MortPayM,K71+K71*(F_MR/12)),0)</f>
        <v>0</v>
      </c>
      <c r="Y71" s="1" t="n">
        <f aca="false">IF(L71&gt;0.5,MIN(F_MortPayM,L71+L71*(F_MR/12)),0)</f>
        <v>0</v>
      </c>
      <c r="Z71" s="1" t="n">
        <f aca="false">IF(M71&gt;0.5,MIN(F_MortPayM,M71+M71*(F_MR/12)),0)</f>
        <v>0</v>
      </c>
      <c r="AA71" s="1" t="n">
        <f aca="false">IF(N71&gt;0.5,MIN(F_MortPayM,N71+N71*(F_MR/12)),0)</f>
        <v>0</v>
      </c>
      <c r="AB71" s="1" t="n">
        <f aca="false">MAX(0,O71)</f>
        <v>0</v>
      </c>
      <c r="AC71" s="1" t="n">
        <f aca="false">SUM(P71:AA71)</f>
        <v>0</v>
      </c>
      <c r="AD71" s="1" t="n">
        <f aca="false">'Plan cashflow'!L71</f>
        <v>0</v>
      </c>
      <c r="AE71" s="1" t="n">
        <f aca="false">IF(AD71&gt;0.5,AD71+AD71*(D_iC)-MIN(F_CardPayM,AD71+AD71*(D_iC)),AD71)</f>
        <v>0</v>
      </c>
      <c r="AF71" s="1" t="n">
        <f aca="false">IF(AE71&gt;0.5,AE71+AE71*(D_iC)-MIN(F_CardPayM,AE71+AE71*(D_iC)),AE71)</f>
        <v>0</v>
      </c>
      <c r="AG71" s="1" t="n">
        <f aca="false">IF(AF71&gt;0.5,AF71+AF71*(D_iC)-MIN(F_CardPayM,AF71+AF71*(D_iC)),AF71)</f>
        <v>0</v>
      </c>
      <c r="AH71" s="1" t="n">
        <f aca="false">IF(AG71&gt;0.5,AG71+AG71*(D_iC)-MIN(F_CardPayM,AG71+AG71*(D_iC)),AG71)</f>
        <v>0</v>
      </c>
      <c r="AI71" s="1" t="n">
        <f aca="false">IF(AH71&gt;0.5,AH71+AH71*(D_iC)-MIN(F_CardPayM,AH71+AH71*(D_iC)),AH71)</f>
        <v>0</v>
      </c>
      <c r="AJ71" s="1" t="n">
        <f aca="false">IF(AI71&gt;0.5,AI71+AI71*(D_iC)-MIN(F_CardPayM,AI71+AI71*(D_iC)),AI71)</f>
        <v>0</v>
      </c>
      <c r="AK71" s="1" t="n">
        <f aca="false">IF(AJ71&gt;0.5,AJ71+AJ71*(D_iC)-MIN(F_CardPayM,AJ71+AJ71*(D_iC)),AJ71)</f>
        <v>0</v>
      </c>
      <c r="AL71" s="1" t="n">
        <f aca="false">IF(AK71&gt;0.5,AK71+AK71*(D_iC)-MIN(F_CardPayM,AK71+AK71*(D_iC)),AK71)</f>
        <v>0</v>
      </c>
      <c r="AM71" s="1" t="n">
        <f aca="false">IF(AL71&gt;0.5,AL71+AL71*(D_iC)-MIN(F_CardPayM,AL71+AL71*(D_iC)),AL71)</f>
        <v>0</v>
      </c>
      <c r="AN71" s="1" t="n">
        <f aca="false">IF(AM71&gt;0.5,AM71+AM71*(D_iC)-MIN(F_CardPayM,AM71+AM71*(D_iC)),AM71)</f>
        <v>0</v>
      </c>
      <c r="AO71" s="1" t="n">
        <f aca="false">IF(AN71&gt;0.5,AN71+AN71*(D_iC)-MIN(F_CardPayM,AN71+AN71*(D_iC)),AN71)</f>
        <v>0</v>
      </c>
      <c r="AP71" s="1" t="n">
        <f aca="false">IF(AO71&gt;0.5,AO71+AO71*(D_iC)-MIN(F_CardPayM,AO71+AO71*(D_iC)),AO71)</f>
        <v>0</v>
      </c>
      <c r="AQ71" s="1" t="n">
        <f aca="false">IF(AD71&gt;0.5,MIN(F_CardPayM,AD71+AD71*(D_iC)),0)</f>
        <v>0</v>
      </c>
      <c r="AR71" s="1" t="n">
        <f aca="false">IF(AE71&gt;0.5,MIN(F_CardPayM,AE71+AE71*(D_iC)),0)</f>
        <v>0</v>
      </c>
      <c r="AS71" s="1" t="n">
        <f aca="false">IF(AF71&gt;0.5,MIN(F_CardPayM,AF71+AF71*(D_iC)),0)</f>
        <v>0</v>
      </c>
      <c r="AT71" s="1" t="n">
        <f aca="false">IF(AG71&gt;0.5,MIN(F_CardPayM,AG71+AG71*(D_iC)),0)</f>
        <v>0</v>
      </c>
      <c r="AU71" s="1" t="n">
        <f aca="false">IF(AH71&gt;0.5,MIN(F_CardPayM,AH71+AH71*(D_iC)),0)</f>
        <v>0</v>
      </c>
      <c r="AV71" s="1" t="n">
        <f aca="false">IF(AI71&gt;0.5,MIN(F_CardPayM,AI71+AI71*(D_iC)),0)</f>
        <v>0</v>
      </c>
      <c r="AW71" s="1" t="n">
        <f aca="false">IF(AJ71&gt;0.5,MIN(F_CardPayM,AJ71+AJ71*(D_iC)),0)</f>
        <v>0</v>
      </c>
      <c r="AX71" s="1" t="n">
        <f aca="false">IF(AK71&gt;0.5,MIN(F_CardPayM,AK71+AK71*(D_iC)),0)</f>
        <v>0</v>
      </c>
      <c r="AY71" s="1" t="n">
        <f aca="false">IF(AL71&gt;0.5,MIN(F_CardPayM,AL71+AL71*(D_iC)),0)</f>
        <v>0</v>
      </c>
      <c r="AZ71" s="1" t="n">
        <f aca="false">IF(AM71&gt;0.5,MIN(F_CardPayM,AM71+AM71*(D_iC)),0)</f>
        <v>0</v>
      </c>
      <c r="BA71" s="1" t="n">
        <f aca="false">IF(AN71&gt;0.5,MIN(F_CardPayM,AN71+AN71*(D_iC)),0)</f>
        <v>0</v>
      </c>
      <c r="BB71" s="1" t="n">
        <f aca="false">IF(AO71&gt;0.5,MIN(F_CardPayM,AO71+AO71*(D_iC)),0)</f>
        <v>0</v>
      </c>
      <c r="BC71" s="1" t="n">
        <f aca="false">MAX(0,AP71)</f>
        <v>0</v>
      </c>
      <c r="BD71" s="1" t="n">
        <f aca="false">SUM(AQ71:BB71)</f>
        <v>0</v>
      </c>
      <c r="BE71" s="1" t="n">
        <f aca="false">'Plan cashflow'!O71</f>
        <v>0</v>
      </c>
      <c r="BF71" s="1" t="n">
        <f aca="false">IF(BE71&gt;0.5,BE71+BE71*(D_iL)-MIN(F_LoanPayM,BE71+BE71*(D_iL)),BE71)</f>
        <v>0</v>
      </c>
      <c r="BG71" s="1" t="n">
        <f aca="false">IF(BF71&gt;0.5,BF71+BF71*(D_iL)-MIN(F_LoanPayM,BF71+BF71*(D_iL)),BF71)</f>
        <v>0</v>
      </c>
      <c r="BH71" s="1" t="n">
        <f aca="false">IF(BG71&gt;0.5,BG71+BG71*(D_iL)-MIN(F_LoanPayM,BG71+BG71*(D_iL)),BG71)</f>
        <v>0</v>
      </c>
      <c r="BI71" s="1" t="n">
        <f aca="false">IF(BH71&gt;0.5,BH71+BH71*(D_iL)-MIN(F_LoanPayM,BH71+BH71*(D_iL)),BH71)</f>
        <v>0</v>
      </c>
      <c r="BJ71" s="1" t="n">
        <f aca="false">IF(BI71&gt;0.5,BI71+BI71*(D_iL)-MIN(F_LoanPayM,BI71+BI71*(D_iL)),BI71)</f>
        <v>0</v>
      </c>
      <c r="BK71" s="1" t="n">
        <f aca="false">IF(BJ71&gt;0.5,BJ71+BJ71*(D_iL)-MIN(F_LoanPayM,BJ71+BJ71*(D_iL)),BJ71)</f>
        <v>0</v>
      </c>
      <c r="BL71" s="1" t="n">
        <f aca="false">IF(BK71&gt;0.5,BK71+BK71*(D_iL)-MIN(F_LoanPayM,BK71+BK71*(D_iL)),BK71)</f>
        <v>0</v>
      </c>
      <c r="BM71" s="1" t="n">
        <f aca="false">IF(BL71&gt;0.5,BL71+BL71*(D_iL)-MIN(F_LoanPayM,BL71+BL71*(D_iL)),BL71)</f>
        <v>0</v>
      </c>
      <c r="BN71" s="1" t="n">
        <f aca="false">IF(BM71&gt;0.5,BM71+BM71*(D_iL)-MIN(F_LoanPayM,BM71+BM71*(D_iL)),BM71)</f>
        <v>0</v>
      </c>
      <c r="BO71" s="1" t="n">
        <f aca="false">IF(BN71&gt;0.5,BN71+BN71*(D_iL)-MIN(F_LoanPayM,BN71+BN71*(D_iL)),BN71)</f>
        <v>0</v>
      </c>
      <c r="BP71" s="1" t="n">
        <f aca="false">IF(BO71&gt;0.5,BO71+BO71*(D_iL)-MIN(F_LoanPayM,BO71+BO71*(D_iL)),BO71)</f>
        <v>0</v>
      </c>
      <c r="BQ71" s="1" t="n">
        <f aca="false">IF(BP71&gt;0.5,BP71+BP71*(D_iL)-MIN(F_LoanPayM,BP71+BP71*(D_iL)),BP71)</f>
        <v>0</v>
      </c>
      <c r="BR71" s="1" t="n">
        <f aca="false">IF(BE71&gt;0.5,MIN(F_LoanPayM,BE71+BE71*(D_iL)),0)</f>
        <v>0</v>
      </c>
      <c r="BS71" s="1" t="n">
        <f aca="false">IF(BF71&gt;0.5,MIN(F_LoanPayM,BF71+BF71*(D_iL)),0)</f>
        <v>0</v>
      </c>
      <c r="BT71" s="1" t="n">
        <f aca="false">IF(BG71&gt;0.5,MIN(F_LoanPayM,BG71+BG71*(D_iL)),0)</f>
        <v>0</v>
      </c>
      <c r="BU71" s="1" t="n">
        <f aca="false">IF(BH71&gt;0.5,MIN(F_LoanPayM,BH71+BH71*(D_iL)),0)</f>
        <v>0</v>
      </c>
      <c r="BV71" s="1" t="n">
        <f aca="false">IF(BI71&gt;0.5,MIN(F_LoanPayM,BI71+BI71*(D_iL)),0)</f>
        <v>0</v>
      </c>
      <c r="BW71" s="1" t="n">
        <f aca="false">IF(BJ71&gt;0.5,MIN(F_LoanPayM,BJ71+BJ71*(D_iL)),0)</f>
        <v>0</v>
      </c>
      <c r="BX71" s="1" t="n">
        <f aca="false">IF(BK71&gt;0.5,MIN(F_LoanPayM,BK71+BK71*(D_iL)),0)</f>
        <v>0</v>
      </c>
      <c r="BY71" s="1" t="n">
        <f aca="false">IF(BL71&gt;0.5,MIN(F_LoanPayM,BL71+BL71*(D_iL)),0)</f>
        <v>0</v>
      </c>
      <c r="BZ71" s="1" t="n">
        <f aca="false">IF(BM71&gt;0.5,MIN(F_LoanPayM,BM71+BM71*(D_iL)),0)</f>
        <v>0</v>
      </c>
      <c r="CA71" s="1" t="n">
        <f aca="false">IF(BN71&gt;0.5,MIN(F_LoanPayM,BN71+BN71*(D_iL)),0)</f>
        <v>0</v>
      </c>
      <c r="CB71" s="1" t="n">
        <f aca="false">IF(BO71&gt;0.5,MIN(F_LoanPayM,BO71+BO71*(D_iL)),0)</f>
        <v>0</v>
      </c>
      <c r="CC71" s="1" t="n">
        <f aca="false">IF(BP71&gt;0.5,MIN(F_LoanPayM,BP71+BP71*(D_iL)),0)</f>
        <v>0</v>
      </c>
      <c r="CD71" s="1" t="n">
        <f aca="false">MAX(0,BQ71)</f>
        <v>0</v>
      </c>
      <c r="CE71" s="1" t="n">
        <f aca="false">SUM(BR71:CC71)</f>
        <v>0</v>
      </c>
      <c r="CF71" s="1" t="n">
        <f aca="false">IF(CF70&gt;1,DE70,CF70)</f>
        <v>0</v>
      </c>
      <c r="CG71" s="1" t="n">
        <f aca="false">IF(CF71&gt;0.5,CF71+CF71*(F_MR/12)-MIN(F_MortPayM,CF71+CF71*(F_MR/12)),CF71)</f>
        <v>0</v>
      </c>
      <c r="CH71" s="1" t="n">
        <f aca="false">IF(CG71&gt;0.5,CG71+CG71*(F_MR/12)-MIN(F_MortPayM,CG71+CG71*(F_MR/12)),CG71)</f>
        <v>0</v>
      </c>
      <c r="CI71" s="1" t="n">
        <f aca="false">IF(CH71&gt;0.5,CH71+CH71*(F_MR/12)-MIN(F_MortPayM,CH71+CH71*(F_MR/12)),CH71)</f>
        <v>0</v>
      </c>
      <c r="CJ71" s="1" t="n">
        <f aca="false">IF(CI71&gt;0.5,CI71+CI71*(F_MR/12)-MIN(F_MortPayM,CI71+CI71*(F_MR/12)),CI71)</f>
        <v>0</v>
      </c>
      <c r="CK71" s="1" t="n">
        <f aca="false">IF(CJ71&gt;0.5,CJ71+CJ71*(F_MR/12)-MIN(F_MortPayM,CJ71+CJ71*(F_MR/12)),CJ71)</f>
        <v>0</v>
      </c>
      <c r="CL71" s="1" t="n">
        <f aca="false">IF(CK71&gt;0.5,CK71+CK71*(F_MR/12)-MIN(F_MortPayM,CK71+CK71*(F_MR/12)),CK71)</f>
        <v>0</v>
      </c>
      <c r="CM71" s="1" t="n">
        <f aca="false">IF(CL71&gt;0.5,CL71+CL71*(F_MR/12)-MIN(F_MortPayM,CL71+CL71*(F_MR/12)),CL71)</f>
        <v>0</v>
      </c>
      <c r="CN71" s="1" t="n">
        <f aca="false">IF(CM71&gt;0.5,CM71+CM71*(F_MR/12)-MIN(F_MortPayM,CM71+CM71*(F_MR/12)),CM71)</f>
        <v>0</v>
      </c>
      <c r="CO71" s="1" t="n">
        <f aca="false">IF(CN71&gt;0.5,CN71+CN71*(F_MR/12)-MIN(F_MortPayM,CN71+CN71*(F_MR/12)),CN71)</f>
        <v>0</v>
      </c>
      <c r="CP71" s="1" t="n">
        <f aca="false">IF(CO71&gt;0.5,CO71+CO71*(F_MR/12)-MIN(F_MortPayM,CO71+CO71*(F_MR/12)),CO71)</f>
        <v>0</v>
      </c>
      <c r="CQ71" s="1" t="n">
        <f aca="false">IF(CP71&gt;0.5,CP71+CP71*(F_MR/12)-MIN(F_MortPayM,CP71+CP71*(F_MR/12)),CP71)</f>
        <v>0</v>
      </c>
      <c r="CR71" s="1" t="n">
        <f aca="false">IF(CQ71&gt;0.5,CQ71+CQ71*(F_MR/12)-MIN(F_MortPayM,CQ71+CQ71*(F_MR/12)),CQ71)</f>
        <v>0</v>
      </c>
      <c r="CS71" s="1" t="n">
        <f aca="false">IF(CF71&gt;0.5,MIN(F_MortPayM,CF71+CF71*(F_MR/12)),0)</f>
        <v>0</v>
      </c>
      <c r="CT71" s="1" t="n">
        <f aca="false">IF(CG71&gt;0.5,MIN(F_MortPayM,CG71+CG71*(F_MR/12)),0)</f>
        <v>0</v>
      </c>
      <c r="CU71" s="1" t="n">
        <f aca="false">IF(CH71&gt;0.5,MIN(F_MortPayM,CH71+CH71*(F_MR/12)),0)</f>
        <v>0</v>
      </c>
      <c r="CV71" s="1" t="n">
        <f aca="false">IF(CI71&gt;0.5,MIN(F_MortPayM,CI71+CI71*(F_MR/12)),0)</f>
        <v>0</v>
      </c>
      <c r="CW71" s="1" t="n">
        <f aca="false">IF(CJ71&gt;0.5,MIN(F_MortPayM,CJ71+CJ71*(F_MR/12)),0)</f>
        <v>0</v>
      </c>
      <c r="CX71" s="1" t="n">
        <f aca="false">IF(CK71&gt;0.5,MIN(F_MortPayM,CK71+CK71*(F_MR/12)),0)</f>
        <v>0</v>
      </c>
      <c r="CY71" s="1" t="n">
        <f aca="false">IF(CL71&gt;0.5,MIN(F_MortPayM,CL71+CL71*(F_MR/12)),0)</f>
        <v>0</v>
      </c>
      <c r="CZ71" s="1" t="n">
        <f aca="false">IF(CM71&gt;0.5,MIN(F_MortPayM,CM71+CM71*(F_MR/12)),0)</f>
        <v>0</v>
      </c>
      <c r="DA71" s="1" t="n">
        <f aca="false">IF(CN71&gt;0.5,MIN(F_MortPayM,CN71+CN71*(F_MR/12)),0)</f>
        <v>0</v>
      </c>
      <c r="DB71" s="1" t="n">
        <f aca="false">IF(CO71&gt;0.5,MIN(F_MortPayM,CO71+CO71*(F_MR/12)),0)</f>
        <v>0</v>
      </c>
      <c r="DC71" s="1" t="n">
        <f aca="false">IF(CP71&gt;0.5,MIN(F_MortPayM,CP71+CP71*(F_MR/12)),0)</f>
        <v>0</v>
      </c>
      <c r="DD71" s="1" t="n">
        <f aca="false">IF(CQ71&gt;0.5,MIN(F_MortPayM,CQ71+CQ71*(F_MR/12)),0)</f>
        <v>0</v>
      </c>
      <c r="DE71" s="1" t="n">
        <f aca="false">MAX(0,CR71)</f>
        <v>0</v>
      </c>
      <c r="DF71" s="1" t="n">
        <f aca="false">SUM(CS71:DD71)</f>
        <v>0</v>
      </c>
      <c r="DG71" s="1" t="n">
        <f aca="false">MAX(0,CF71)</f>
        <v>0</v>
      </c>
    </row>
    <row r="72" customFormat="false" ht="15" hidden="false" customHeight="false" outlineLevel="0" collapsed="false">
      <c r="B72" s="1" t="n">
        <v>64</v>
      </c>
      <c r="C72" s="1" t="n">
        <f aca="false">'Plan cashflow'!I72</f>
        <v>0</v>
      </c>
      <c r="D72" s="1" t="n">
        <f aca="false">IF(C72&gt;0.5,C72+C72*(F_MR/12)-MIN(F_MortPayM,C72+C72*(F_MR/12)),C72)</f>
        <v>0</v>
      </c>
      <c r="E72" s="1" t="n">
        <f aca="false">IF(D72&gt;0.5,D72+D72*(F_MR/12)-MIN(F_MortPayM,D72+D72*(F_MR/12)),D72)</f>
        <v>0</v>
      </c>
      <c r="F72" s="1" t="n">
        <f aca="false">IF(E72&gt;0.5,E72+E72*(F_MR/12)-MIN(F_MortPayM,E72+E72*(F_MR/12)),E72)</f>
        <v>0</v>
      </c>
      <c r="G72" s="1" t="n">
        <f aca="false">IF(F72&gt;0.5,F72+F72*(F_MR/12)-MIN(F_MortPayM,F72+F72*(F_MR/12)),F72)</f>
        <v>0</v>
      </c>
      <c r="H72" s="1" t="n">
        <f aca="false">IF(G72&gt;0.5,G72+G72*(F_MR/12)-MIN(F_MortPayM,G72+G72*(F_MR/12)),G72)</f>
        <v>0</v>
      </c>
      <c r="I72" s="1" t="n">
        <f aca="false">IF(H72&gt;0.5,H72+H72*(F_MR/12)-MIN(F_MortPayM,H72+H72*(F_MR/12)),H72)</f>
        <v>0</v>
      </c>
      <c r="J72" s="1" t="n">
        <f aca="false">IF(I72&gt;0.5,I72+I72*(F_MR/12)-MIN(F_MortPayM,I72+I72*(F_MR/12)),I72)</f>
        <v>0</v>
      </c>
      <c r="K72" s="1" t="n">
        <f aca="false">IF(J72&gt;0.5,J72+J72*(F_MR/12)-MIN(F_MortPayM,J72+J72*(F_MR/12)),J72)</f>
        <v>0</v>
      </c>
      <c r="L72" s="1" t="n">
        <f aca="false">IF(K72&gt;0.5,K72+K72*(F_MR/12)-MIN(F_MortPayM,K72+K72*(F_MR/12)),K72)</f>
        <v>0</v>
      </c>
      <c r="M72" s="1" t="n">
        <f aca="false">IF(L72&gt;0.5,L72+L72*(F_MR/12)-MIN(F_MortPayM,L72+L72*(F_MR/12)),L72)</f>
        <v>0</v>
      </c>
      <c r="N72" s="1" t="n">
        <f aca="false">IF(M72&gt;0.5,M72+M72*(F_MR/12)-MIN(F_MortPayM,M72+M72*(F_MR/12)),M72)</f>
        <v>0</v>
      </c>
      <c r="O72" s="1" t="n">
        <f aca="false">IF(N72&gt;0.5,N72+N72*(F_MR/12)-MIN(F_MortPayM,N72+N72*(F_MR/12)),N72)</f>
        <v>0</v>
      </c>
      <c r="P72" s="1" t="n">
        <f aca="false">IF(C72&gt;0.5,MIN(F_MortPayM,C72+C72*(F_MR/12)),0)</f>
        <v>0</v>
      </c>
      <c r="Q72" s="1" t="n">
        <f aca="false">IF(D72&gt;0.5,MIN(F_MortPayM,D72+D72*(F_MR/12)),0)</f>
        <v>0</v>
      </c>
      <c r="R72" s="1" t="n">
        <f aca="false">IF(E72&gt;0.5,MIN(F_MortPayM,E72+E72*(F_MR/12)),0)</f>
        <v>0</v>
      </c>
      <c r="S72" s="1" t="n">
        <f aca="false">IF(F72&gt;0.5,MIN(F_MortPayM,F72+F72*(F_MR/12)),0)</f>
        <v>0</v>
      </c>
      <c r="T72" s="1" t="n">
        <f aca="false">IF(G72&gt;0.5,MIN(F_MortPayM,G72+G72*(F_MR/12)),0)</f>
        <v>0</v>
      </c>
      <c r="U72" s="1" t="n">
        <f aca="false">IF(H72&gt;0.5,MIN(F_MortPayM,H72+H72*(F_MR/12)),0)</f>
        <v>0</v>
      </c>
      <c r="V72" s="1" t="n">
        <f aca="false">IF(I72&gt;0.5,MIN(F_MortPayM,I72+I72*(F_MR/12)),0)</f>
        <v>0</v>
      </c>
      <c r="W72" s="1" t="n">
        <f aca="false">IF(J72&gt;0.5,MIN(F_MortPayM,J72+J72*(F_MR/12)),0)</f>
        <v>0</v>
      </c>
      <c r="X72" s="1" t="n">
        <f aca="false">IF(K72&gt;0.5,MIN(F_MortPayM,K72+K72*(F_MR/12)),0)</f>
        <v>0</v>
      </c>
      <c r="Y72" s="1" t="n">
        <f aca="false">IF(L72&gt;0.5,MIN(F_MortPayM,L72+L72*(F_MR/12)),0)</f>
        <v>0</v>
      </c>
      <c r="Z72" s="1" t="n">
        <f aca="false">IF(M72&gt;0.5,MIN(F_MortPayM,M72+M72*(F_MR/12)),0)</f>
        <v>0</v>
      </c>
      <c r="AA72" s="1" t="n">
        <f aca="false">IF(N72&gt;0.5,MIN(F_MortPayM,N72+N72*(F_MR/12)),0)</f>
        <v>0</v>
      </c>
      <c r="AB72" s="1" t="n">
        <f aca="false">MAX(0,O72)</f>
        <v>0</v>
      </c>
      <c r="AC72" s="1" t="n">
        <f aca="false">SUM(P72:AA72)</f>
        <v>0</v>
      </c>
      <c r="AD72" s="1" t="n">
        <f aca="false">'Plan cashflow'!L72</f>
        <v>0</v>
      </c>
      <c r="AE72" s="1" t="n">
        <f aca="false">IF(AD72&gt;0.5,AD72+AD72*(D_iC)-MIN(F_CardPayM,AD72+AD72*(D_iC)),AD72)</f>
        <v>0</v>
      </c>
      <c r="AF72" s="1" t="n">
        <f aca="false">IF(AE72&gt;0.5,AE72+AE72*(D_iC)-MIN(F_CardPayM,AE72+AE72*(D_iC)),AE72)</f>
        <v>0</v>
      </c>
      <c r="AG72" s="1" t="n">
        <f aca="false">IF(AF72&gt;0.5,AF72+AF72*(D_iC)-MIN(F_CardPayM,AF72+AF72*(D_iC)),AF72)</f>
        <v>0</v>
      </c>
      <c r="AH72" s="1" t="n">
        <f aca="false">IF(AG72&gt;0.5,AG72+AG72*(D_iC)-MIN(F_CardPayM,AG72+AG72*(D_iC)),AG72)</f>
        <v>0</v>
      </c>
      <c r="AI72" s="1" t="n">
        <f aca="false">IF(AH72&gt;0.5,AH72+AH72*(D_iC)-MIN(F_CardPayM,AH72+AH72*(D_iC)),AH72)</f>
        <v>0</v>
      </c>
      <c r="AJ72" s="1" t="n">
        <f aca="false">IF(AI72&gt;0.5,AI72+AI72*(D_iC)-MIN(F_CardPayM,AI72+AI72*(D_iC)),AI72)</f>
        <v>0</v>
      </c>
      <c r="AK72" s="1" t="n">
        <f aca="false">IF(AJ72&gt;0.5,AJ72+AJ72*(D_iC)-MIN(F_CardPayM,AJ72+AJ72*(D_iC)),AJ72)</f>
        <v>0</v>
      </c>
      <c r="AL72" s="1" t="n">
        <f aca="false">IF(AK72&gt;0.5,AK72+AK72*(D_iC)-MIN(F_CardPayM,AK72+AK72*(D_iC)),AK72)</f>
        <v>0</v>
      </c>
      <c r="AM72" s="1" t="n">
        <f aca="false">IF(AL72&gt;0.5,AL72+AL72*(D_iC)-MIN(F_CardPayM,AL72+AL72*(D_iC)),AL72)</f>
        <v>0</v>
      </c>
      <c r="AN72" s="1" t="n">
        <f aca="false">IF(AM72&gt;0.5,AM72+AM72*(D_iC)-MIN(F_CardPayM,AM72+AM72*(D_iC)),AM72)</f>
        <v>0</v>
      </c>
      <c r="AO72" s="1" t="n">
        <f aca="false">IF(AN72&gt;0.5,AN72+AN72*(D_iC)-MIN(F_CardPayM,AN72+AN72*(D_iC)),AN72)</f>
        <v>0</v>
      </c>
      <c r="AP72" s="1" t="n">
        <f aca="false">IF(AO72&gt;0.5,AO72+AO72*(D_iC)-MIN(F_CardPayM,AO72+AO72*(D_iC)),AO72)</f>
        <v>0</v>
      </c>
      <c r="AQ72" s="1" t="n">
        <f aca="false">IF(AD72&gt;0.5,MIN(F_CardPayM,AD72+AD72*(D_iC)),0)</f>
        <v>0</v>
      </c>
      <c r="AR72" s="1" t="n">
        <f aca="false">IF(AE72&gt;0.5,MIN(F_CardPayM,AE72+AE72*(D_iC)),0)</f>
        <v>0</v>
      </c>
      <c r="AS72" s="1" t="n">
        <f aca="false">IF(AF72&gt;0.5,MIN(F_CardPayM,AF72+AF72*(D_iC)),0)</f>
        <v>0</v>
      </c>
      <c r="AT72" s="1" t="n">
        <f aca="false">IF(AG72&gt;0.5,MIN(F_CardPayM,AG72+AG72*(D_iC)),0)</f>
        <v>0</v>
      </c>
      <c r="AU72" s="1" t="n">
        <f aca="false">IF(AH72&gt;0.5,MIN(F_CardPayM,AH72+AH72*(D_iC)),0)</f>
        <v>0</v>
      </c>
      <c r="AV72" s="1" t="n">
        <f aca="false">IF(AI72&gt;0.5,MIN(F_CardPayM,AI72+AI72*(D_iC)),0)</f>
        <v>0</v>
      </c>
      <c r="AW72" s="1" t="n">
        <f aca="false">IF(AJ72&gt;0.5,MIN(F_CardPayM,AJ72+AJ72*(D_iC)),0)</f>
        <v>0</v>
      </c>
      <c r="AX72" s="1" t="n">
        <f aca="false">IF(AK72&gt;0.5,MIN(F_CardPayM,AK72+AK72*(D_iC)),0)</f>
        <v>0</v>
      </c>
      <c r="AY72" s="1" t="n">
        <f aca="false">IF(AL72&gt;0.5,MIN(F_CardPayM,AL72+AL72*(D_iC)),0)</f>
        <v>0</v>
      </c>
      <c r="AZ72" s="1" t="n">
        <f aca="false">IF(AM72&gt;0.5,MIN(F_CardPayM,AM72+AM72*(D_iC)),0)</f>
        <v>0</v>
      </c>
      <c r="BA72" s="1" t="n">
        <f aca="false">IF(AN72&gt;0.5,MIN(F_CardPayM,AN72+AN72*(D_iC)),0)</f>
        <v>0</v>
      </c>
      <c r="BB72" s="1" t="n">
        <f aca="false">IF(AO72&gt;0.5,MIN(F_CardPayM,AO72+AO72*(D_iC)),0)</f>
        <v>0</v>
      </c>
      <c r="BC72" s="1" t="n">
        <f aca="false">MAX(0,AP72)</f>
        <v>0</v>
      </c>
      <c r="BD72" s="1" t="n">
        <f aca="false">SUM(AQ72:BB72)</f>
        <v>0</v>
      </c>
      <c r="BE72" s="1" t="n">
        <f aca="false">'Plan cashflow'!O72</f>
        <v>0</v>
      </c>
      <c r="BF72" s="1" t="n">
        <f aca="false">IF(BE72&gt;0.5,BE72+BE72*(D_iL)-MIN(F_LoanPayM,BE72+BE72*(D_iL)),BE72)</f>
        <v>0</v>
      </c>
      <c r="BG72" s="1" t="n">
        <f aca="false">IF(BF72&gt;0.5,BF72+BF72*(D_iL)-MIN(F_LoanPayM,BF72+BF72*(D_iL)),BF72)</f>
        <v>0</v>
      </c>
      <c r="BH72" s="1" t="n">
        <f aca="false">IF(BG72&gt;0.5,BG72+BG72*(D_iL)-MIN(F_LoanPayM,BG72+BG72*(D_iL)),BG72)</f>
        <v>0</v>
      </c>
      <c r="BI72" s="1" t="n">
        <f aca="false">IF(BH72&gt;0.5,BH72+BH72*(D_iL)-MIN(F_LoanPayM,BH72+BH72*(D_iL)),BH72)</f>
        <v>0</v>
      </c>
      <c r="BJ72" s="1" t="n">
        <f aca="false">IF(BI72&gt;0.5,BI72+BI72*(D_iL)-MIN(F_LoanPayM,BI72+BI72*(D_iL)),BI72)</f>
        <v>0</v>
      </c>
      <c r="BK72" s="1" t="n">
        <f aca="false">IF(BJ72&gt;0.5,BJ72+BJ72*(D_iL)-MIN(F_LoanPayM,BJ72+BJ72*(D_iL)),BJ72)</f>
        <v>0</v>
      </c>
      <c r="BL72" s="1" t="n">
        <f aca="false">IF(BK72&gt;0.5,BK72+BK72*(D_iL)-MIN(F_LoanPayM,BK72+BK72*(D_iL)),BK72)</f>
        <v>0</v>
      </c>
      <c r="BM72" s="1" t="n">
        <f aca="false">IF(BL72&gt;0.5,BL72+BL72*(D_iL)-MIN(F_LoanPayM,BL72+BL72*(D_iL)),BL72)</f>
        <v>0</v>
      </c>
      <c r="BN72" s="1" t="n">
        <f aca="false">IF(BM72&gt;0.5,BM72+BM72*(D_iL)-MIN(F_LoanPayM,BM72+BM72*(D_iL)),BM72)</f>
        <v>0</v>
      </c>
      <c r="BO72" s="1" t="n">
        <f aca="false">IF(BN72&gt;0.5,BN72+BN72*(D_iL)-MIN(F_LoanPayM,BN72+BN72*(D_iL)),BN72)</f>
        <v>0</v>
      </c>
      <c r="BP72" s="1" t="n">
        <f aca="false">IF(BO72&gt;0.5,BO72+BO72*(D_iL)-MIN(F_LoanPayM,BO72+BO72*(D_iL)),BO72)</f>
        <v>0</v>
      </c>
      <c r="BQ72" s="1" t="n">
        <f aca="false">IF(BP72&gt;0.5,BP72+BP72*(D_iL)-MIN(F_LoanPayM,BP72+BP72*(D_iL)),BP72)</f>
        <v>0</v>
      </c>
      <c r="BR72" s="1" t="n">
        <f aca="false">IF(BE72&gt;0.5,MIN(F_LoanPayM,BE72+BE72*(D_iL)),0)</f>
        <v>0</v>
      </c>
      <c r="BS72" s="1" t="n">
        <f aca="false">IF(BF72&gt;0.5,MIN(F_LoanPayM,BF72+BF72*(D_iL)),0)</f>
        <v>0</v>
      </c>
      <c r="BT72" s="1" t="n">
        <f aca="false">IF(BG72&gt;0.5,MIN(F_LoanPayM,BG72+BG72*(D_iL)),0)</f>
        <v>0</v>
      </c>
      <c r="BU72" s="1" t="n">
        <f aca="false">IF(BH72&gt;0.5,MIN(F_LoanPayM,BH72+BH72*(D_iL)),0)</f>
        <v>0</v>
      </c>
      <c r="BV72" s="1" t="n">
        <f aca="false">IF(BI72&gt;0.5,MIN(F_LoanPayM,BI72+BI72*(D_iL)),0)</f>
        <v>0</v>
      </c>
      <c r="BW72" s="1" t="n">
        <f aca="false">IF(BJ72&gt;0.5,MIN(F_LoanPayM,BJ72+BJ72*(D_iL)),0)</f>
        <v>0</v>
      </c>
      <c r="BX72" s="1" t="n">
        <f aca="false">IF(BK72&gt;0.5,MIN(F_LoanPayM,BK72+BK72*(D_iL)),0)</f>
        <v>0</v>
      </c>
      <c r="BY72" s="1" t="n">
        <f aca="false">IF(BL72&gt;0.5,MIN(F_LoanPayM,BL72+BL72*(D_iL)),0)</f>
        <v>0</v>
      </c>
      <c r="BZ72" s="1" t="n">
        <f aca="false">IF(BM72&gt;0.5,MIN(F_LoanPayM,BM72+BM72*(D_iL)),0)</f>
        <v>0</v>
      </c>
      <c r="CA72" s="1" t="n">
        <f aca="false">IF(BN72&gt;0.5,MIN(F_LoanPayM,BN72+BN72*(D_iL)),0)</f>
        <v>0</v>
      </c>
      <c r="CB72" s="1" t="n">
        <f aca="false">IF(BO72&gt;0.5,MIN(F_LoanPayM,BO72+BO72*(D_iL)),0)</f>
        <v>0</v>
      </c>
      <c r="CC72" s="1" t="n">
        <f aca="false">IF(BP72&gt;0.5,MIN(F_LoanPayM,BP72+BP72*(D_iL)),0)</f>
        <v>0</v>
      </c>
      <c r="CD72" s="1" t="n">
        <f aca="false">MAX(0,BQ72)</f>
        <v>0</v>
      </c>
      <c r="CE72" s="1" t="n">
        <f aca="false">SUM(BR72:CC72)</f>
        <v>0</v>
      </c>
      <c r="CF72" s="1" t="n">
        <f aca="false">IF(CF71&gt;1,DE71,CF71)</f>
        <v>0</v>
      </c>
      <c r="CG72" s="1" t="n">
        <f aca="false">IF(CF72&gt;0.5,CF72+CF72*(F_MR/12)-MIN(F_MortPayM,CF72+CF72*(F_MR/12)),CF72)</f>
        <v>0</v>
      </c>
      <c r="CH72" s="1" t="n">
        <f aca="false">IF(CG72&gt;0.5,CG72+CG72*(F_MR/12)-MIN(F_MortPayM,CG72+CG72*(F_MR/12)),CG72)</f>
        <v>0</v>
      </c>
      <c r="CI72" s="1" t="n">
        <f aca="false">IF(CH72&gt;0.5,CH72+CH72*(F_MR/12)-MIN(F_MortPayM,CH72+CH72*(F_MR/12)),CH72)</f>
        <v>0</v>
      </c>
      <c r="CJ72" s="1" t="n">
        <f aca="false">IF(CI72&gt;0.5,CI72+CI72*(F_MR/12)-MIN(F_MortPayM,CI72+CI72*(F_MR/12)),CI72)</f>
        <v>0</v>
      </c>
      <c r="CK72" s="1" t="n">
        <f aca="false">IF(CJ72&gt;0.5,CJ72+CJ72*(F_MR/12)-MIN(F_MortPayM,CJ72+CJ72*(F_MR/12)),CJ72)</f>
        <v>0</v>
      </c>
      <c r="CL72" s="1" t="n">
        <f aca="false">IF(CK72&gt;0.5,CK72+CK72*(F_MR/12)-MIN(F_MortPayM,CK72+CK72*(F_MR/12)),CK72)</f>
        <v>0</v>
      </c>
      <c r="CM72" s="1" t="n">
        <f aca="false">IF(CL72&gt;0.5,CL72+CL72*(F_MR/12)-MIN(F_MortPayM,CL72+CL72*(F_MR/12)),CL72)</f>
        <v>0</v>
      </c>
      <c r="CN72" s="1" t="n">
        <f aca="false">IF(CM72&gt;0.5,CM72+CM72*(F_MR/12)-MIN(F_MortPayM,CM72+CM72*(F_MR/12)),CM72)</f>
        <v>0</v>
      </c>
      <c r="CO72" s="1" t="n">
        <f aca="false">IF(CN72&gt;0.5,CN72+CN72*(F_MR/12)-MIN(F_MortPayM,CN72+CN72*(F_MR/12)),CN72)</f>
        <v>0</v>
      </c>
      <c r="CP72" s="1" t="n">
        <f aca="false">IF(CO72&gt;0.5,CO72+CO72*(F_MR/12)-MIN(F_MortPayM,CO72+CO72*(F_MR/12)),CO72)</f>
        <v>0</v>
      </c>
      <c r="CQ72" s="1" t="n">
        <f aca="false">IF(CP72&gt;0.5,CP72+CP72*(F_MR/12)-MIN(F_MortPayM,CP72+CP72*(F_MR/12)),CP72)</f>
        <v>0</v>
      </c>
      <c r="CR72" s="1" t="n">
        <f aca="false">IF(CQ72&gt;0.5,CQ72+CQ72*(F_MR/12)-MIN(F_MortPayM,CQ72+CQ72*(F_MR/12)),CQ72)</f>
        <v>0</v>
      </c>
      <c r="CS72" s="1" t="n">
        <f aca="false">IF(CF72&gt;0.5,MIN(F_MortPayM,CF72+CF72*(F_MR/12)),0)</f>
        <v>0</v>
      </c>
      <c r="CT72" s="1" t="n">
        <f aca="false">IF(CG72&gt;0.5,MIN(F_MortPayM,CG72+CG72*(F_MR/12)),0)</f>
        <v>0</v>
      </c>
      <c r="CU72" s="1" t="n">
        <f aca="false">IF(CH72&gt;0.5,MIN(F_MortPayM,CH72+CH72*(F_MR/12)),0)</f>
        <v>0</v>
      </c>
      <c r="CV72" s="1" t="n">
        <f aca="false">IF(CI72&gt;0.5,MIN(F_MortPayM,CI72+CI72*(F_MR/12)),0)</f>
        <v>0</v>
      </c>
      <c r="CW72" s="1" t="n">
        <f aca="false">IF(CJ72&gt;0.5,MIN(F_MortPayM,CJ72+CJ72*(F_MR/12)),0)</f>
        <v>0</v>
      </c>
      <c r="CX72" s="1" t="n">
        <f aca="false">IF(CK72&gt;0.5,MIN(F_MortPayM,CK72+CK72*(F_MR/12)),0)</f>
        <v>0</v>
      </c>
      <c r="CY72" s="1" t="n">
        <f aca="false">IF(CL72&gt;0.5,MIN(F_MortPayM,CL72+CL72*(F_MR/12)),0)</f>
        <v>0</v>
      </c>
      <c r="CZ72" s="1" t="n">
        <f aca="false">IF(CM72&gt;0.5,MIN(F_MortPayM,CM72+CM72*(F_MR/12)),0)</f>
        <v>0</v>
      </c>
      <c r="DA72" s="1" t="n">
        <f aca="false">IF(CN72&gt;0.5,MIN(F_MortPayM,CN72+CN72*(F_MR/12)),0)</f>
        <v>0</v>
      </c>
      <c r="DB72" s="1" t="n">
        <f aca="false">IF(CO72&gt;0.5,MIN(F_MortPayM,CO72+CO72*(F_MR/12)),0)</f>
        <v>0</v>
      </c>
      <c r="DC72" s="1" t="n">
        <f aca="false">IF(CP72&gt;0.5,MIN(F_MortPayM,CP72+CP72*(F_MR/12)),0)</f>
        <v>0</v>
      </c>
      <c r="DD72" s="1" t="n">
        <f aca="false">IF(CQ72&gt;0.5,MIN(F_MortPayM,CQ72+CQ72*(F_MR/12)),0)</f>
        <v>0</v>
      </c>
      <c r="DE72" s="1" t="n">
        <f aca="false">MAX(0,CR72)</f>
        <v>0</v>
      </c>
      <c r="DF72" s="1" t="n">
        <f aca="false">SUM(CS72:DD72)</f>
        <v>0</v>
      </c>
      <c r="DG72" s="1" t="n">
        <f aca="false">MAX(0,CF72)</f>
        <v>0</v>
      </c>
    </row>
    <row r="73" customFormat="false" ht="15" hidden="false" customHeight="false" outlineLevel="0" collapsed="false">
      <c r="B73" s="1" t="n">
        <v>65</v>
      </c>
      <c r="C73" s="1" t="n">
        <f aca="false">'Plan cashflow'!I73</f>
        <v>0</v>
      </c>
      <c r="D73" s="1" t="n">
        <f aca="false">IF(C73&gt;0.5,C73+C73*(F_MR/12)-MIN(F_MortPayM,C73+C73*(F_MR/12)),C73)</f>
        <v>0</v>
      </c>
      <c r="E73" s="1" t="n">
        <f aca="false">IF(D73&gt;0.5,D73+D73*(F_MR/12)-MIN(F_MortPayM,D73+D73*(F_MR/12)),D73)</f>
        <v>0</v>
      </c>
      <c r="F73" s="1" t="n">
        <f aca="false">IF(E73&gt;0.5,E73+E73*(F_MR/12)-MIN(F_MortPayM,E73+E73*(F_MR/12)),E73)</f>
        <v>0</v>
      </c>
      <c r="G73" s="1" t="n">
        <f aca="false">IF(F73&gt;0.5,F73+F73*(F_MR/12)-MIN(F_MortPayM,F73+F73*(F_MR/12)),F73)</f>
        <v>0</v>
      </c>
      <c r="H73" s="1" t="n">
        <f aca="false">IF(G73&gt;0.5,G73+G73*(F_MR/12)-MIN(F_MortPayM,G73+G73*(F_MR/12)),G73)</f>
        <v>0</v>
      </c>
      <c r="I73" s="1" t="n">
        <f aca="false">IF(H73&gt;0.5,H73+H73*(F_MR/12)-MIN(F_MortPayM,H73+H73*(F_MR/12)),H73)</f>
        <v>0</v>
      </c>
      <c r="J73" s="1" t="n">
        <f aca="false">IF(I73&gt;0.5,I73+I73*(F_MR/12)-MIN(F_MortPayM,I73+I73*(F_MR/12)),I73)</f>
        <v>0</v>
      </c>
      <c r="K73" s="1" t="n">
        <f aca="false">IF(J73&gt;0.5,J73+J73*(F_MR/12)-MIN(F_MortPayM,J73+J73*(F_MR/12)),J73)</f>
        <v>0</v>
      </c>
      <c r="L73" s="1" t="n">
        <f aca="false">IF(K73&gt;0.5,K73+K73*(F_MR/12)-MIN(F_MortPayM,K73+K73*(F_MR/12)),K73)</f>
        <v>0</v>
      </c>
      <c r="M73" s="1" t="n">
        <f aca="false">IF(L73&gt;0.5,L73+L73*(F_MR/12)-MIN(F_MortPayM,L73+L73*(F_MR/12)),L73)</f>
        <v>0</v>
      </c>
      <c r="N73" s="1" t="n">
        <f aca="false">IF(M73&gt;0.5,M73+M73*(F_MR/12)-MIN(F_MortPayM,M73+M73*(F_MR/12)),M73)</f>
        <v>0</v>
      </c>
      <c r="O73" s="1" t="n">
        <f aca="false">IF(N73&gt;0.5,N73+N73*(F_MR/12)-MIN(F_MortPayM,N73+N73*(F_MR/12)),N73)</f>
        <v>0</v>
      </c>
      <c r="P73" s="1" t="n">
        <f aca="false">IF(C73&gt;0.5,MIN(F_MortPayM,C73+C73*(F_MR/12)),0)</f>
        <v>0</v>
      </c>
      <c r="Q73" s="1" t="n">
        <f aca="false">IF(D73&gt;0.5,MIN(F_MortPayM,D73+D73*(F_MR/12)),0)</f>
        <v>0</v>
      </c>
      <c r="R73" s="1" t="n">
        <f aca="false">IF(E73&gt;0.5,MIN(F_MortPayM,E73+E73*(F_MR/12)),0)</f>
        <v>0</v>
      </c>
      <c r="S73" s="1" t="n">
        <f aca="false">IF(F73&gt;0.5,MIN(F_MortPayM,F73+F73*(F_MR/12)),0)</f>
        <v>0</v>
      </c>
      <c r="T73" s="1" t="n">
        <f aca="false">IF(G73&gt;0.5,MIN(F_MortPayM,G73+G73*(F_MR/12)),0)</f>
        <v>0</v>
      </c>
      <c r="U73" s="1" t="n">
        <f aca="false">IF(H73&gt;0.5,MIN(F_MortPayM,H73+H73*(F_MR/12)),0)</f>
        <v>0</v>
      </c>
      <c r="V73" s="1" t="n">
        <f aca="false">IF(I73&gt;0.5,MIN(F_MortPayM,I73+I73*(F_MR/12)),0)</f>
        <v>0</v>
      </c>
      <c r="W73" s="1" t="n">
        <f aca="false">IF(J73&gt;0.5,MIN(F_MortPayM,J73+J73*(F_MR/12)),0)</f>
        <v>0</v>
      </c>
      <c r="X73" s="1" t="n">
        <f aca="false">IF(K73&gt;0.5,MIN(F_MortPayM,K73+K73*(F_MR/12)),0)</f>
        <v>0</v>
      </c>
      <c r="Y73" s="1" t="n">
        <f aca="false">IF(L73&gt;0.5,MIN(F_MortPayM,L73+L73*(F_MR/12)),0)</f>
        <v>0</v>
      </c>
      <c r="Z73" s="1" t="n">
        <f aca="false">IF(M73&gt;0.5,MIN(F_MortPayM,M73+M73*(F_MR/12)),0)</f>
        <v>0</v>
      </c>
      <c r="AA73" s="1" t="n">
        <f aca="false">IF(N73&gt;0.5,MIN(F_MortPayM,N73+N73*(F_MR/12)),0)</f>
        <v>0</v>
      </c>
      <c r="AB73" s="1" t="n">
        <f aca="false">MAX(0,O73)</f>
        <v>0</v>
      </c>
      <c r="AC73" s="1" t="n">
        <f aca="false">SUM(P73:AA73)</f>
        <v>0</v>
      </c>
      <c r="AD73" s="1" t="n">
        <f aca="false">'Plan cashflow'!L73</f>
        <v>0</v>
      </c>
      <c r="AE73" s="1" t="n">
        <f aca="false">IF(AD73&gt;0.5,AD73+AD73*(D_iC)-MIN(F_CardPayM,AD73+AD73*(D_iC)),AD73)</f>
        <v>0</v>
      </c>
      <c r="AF73" s="1" t="n">
        <f aca="false">IF(AE73&gt;0.5,AE73+AE73*(D_iC)-MIN(F_CardPayM,AE73+AE73*(D_iC)),AE73)</f>
        <v>0</v>
      </c>
      <c r="AG73" s="1" t="n">
        <f aca="false">IF(AF73&gt;0.5,AF73+AF73*(D_iC)-MIN(F_CardPayM,AF73+AF73*(D_iC)),AF73)</f>
        <v>0</v>
      </c>
      <c r="AH73" s="1" t="n">
        <f aca="false">IF(AG73&gt;0.5,AG73+AG73*(D_iC)-MIN(F_CardPayM,AG73+AG73*(D_iC)),AG73)</f>
        <v>0</v>
      </c>
      <c r="AI73" s="1" t="n">
        <f aca="false">IF(AH73&gt;0.5,AH73+AH73*(D_iC)-MIN(F_CardPayM,AH73+AH73*(D_iC)),AH73)</f>
        <v>0</v>
      </c>
      <c r="AJ73" s="1" t="n">
        <f aca="false">IF(AI73&gt;0.5,AI73+AI73*(D_iC)-MIN(F_CardPayM,AI73+AI73*(D_iC)),AI73)</f>
        <v>0</v>
      </c>
      <c r="AK73" s="1" t="n">
        <f aca="false">IF(AJ73&gt;0.5,AJ73+AJ73*(D_iC)-MIN(F_CardPayM,AJ73+AJ73*(D_iC)),AJ73)</f>
        <v>0</v>
      </c>
      <c r="AL73" s="1" t="n">
        <f aca="false">IF(AK73&gt;0.5,AK73+AK73*(D_iC)-MIN(F_CardPayM,AK73+AK73*(D_iC)),AK73)</f>
        <v>0</v>
      </c>
      <c r="AM73" s="1" t="n">
        <f aca="false">IF(AL73&gt;0.5,AL73+AL73*(D_iC)-MIN(F_CardPayM,AL73+AL73*(D_iC)),AL73)</f>
        <v>0</v>
      </c>
      <c r="AN73" s="1" t="n">
        <f aca="false">IF(AM73&gt;0.5,AM73+AM73*(D_iC)-MIN(F_CardPayM,AM73+AM73*(D_iC)),AM73)</f>
        <v>0</v>
      </c>
      <c r="AO73" s="1" t="n">
        <f aca="false">IF(AN73&gt;0.5,AN73+AN73*(D_iC)-MIN(F_CardPayM,AN73+AN73*(D_iC)),AN73)</f>
        <v>0</v>
      </c>
      <c r="AP73" s="1" t="n">
        <f aca="false">IF(AO73&gt;0.5,AO73+AO73*(D_iC)-MIN(F_CardPayM,AO73+AO73*(D_iC)),AO73)</f>
        <v>0</v>
      </c>
      <c r="AQ73" s="1" t="n">
        <f aca="false">IF(AD73&gt;0.5,MIN(F_CardPayM,AD73+AD73*(D_iC)),0)</f>
        <v>0</v>
      </c>
      <c r="AR73" s="1" t="n">
        <f aca="false">IF(AE73&gt;0.5,MIN(F_CardPayM,AE73+AE73*(D_iC)),0)</f>
        <v>0</v>
      </c>
      <c r="AS73" s="1" t="n">
        <f aca="false">IF(AF73&gt;0.5,MIN(F_CardPayM,AF73+AF73*(D_iC)),0)</f>
        <v>0</v>
      </c>
      <c r="AT73" s="1" t="n">
        <f aca="false">IF(AG73&gt;0.5,MIN(F_CardPayM,AG73+AG73*(D_iC)),0)</f>
        <v>0</v>
      </c>
      <c r="AU73" s="1" t="n">
        <f aca="false">IF(AH73&gt;0.5,MIN(F_CardPayM,AH73+AH73*(D_iC)),0)</f>
        <v>0</v>
      </c>
      <c r="AV73" s="1" t="n">
        <f aca="false">IF(AI73&gt;0.5,MIN(F_CardPayM,AI73+AI73*(D_iC)),0)</f>
        <v>0</v>
      </c>
      <c r="AW73" s="1" t="n">
        <f aca="false">IF(AJ73&gt;0.5,MIN(F_CardPayM,AJ73+AJ73*(D_iC)),0)</f>
        <v>0</v>
      </c>
      <c r="AX73" s="1" t="n">
        <f aca="false">IF(AK73&gt;0.5,MIN(F_CardPayM,AK73+AK73*(D_iC)),0)</f>
        <v>0</v>
      </c>
      <c r="AY73" s="1" t="n">
        <f aca="false">IF(AL73&gt;0.5,MIN(F_CardPayM,AL73+AL73*(D_iC)),0)</f>
        <v>0</v>
      </c>
      <c r="AZ73" s="1" t="n">
        <f aca="false">IF(AM73&gt;0.5,MIN(F_CardPayM,AM73+AM73*(D_iC)),0)</f>
        <v>0</v>
      </c>
      <c r="BA73" s="1" t="n">
        <f aca="false">IF(AN73&gt;0.5,MIN(F_CardPayM,AN73+AN73*(D_iC)),0)</f>
        <v>0</v>
      </c>
      <c r="BB73" s="1" t="n">
        <f aca="false">IF(AO73&gt;0.5,MIN(F_CardPayM,AO73+AO73*(D_iC)),0)</f>
        <v>0</v>
      </c>
      <c r="BC73" s="1" t="n">
        <f aca="false">MAX(0,AP73)</f>
        <v>0</v>
      </c>
      <c r="BD73" s="1" t="n">
        <f aca="false">SUM(AQ73:BB73)</f>
        <v>0</v>
      </c>
      <c r="BE73" s="1" t="n">
        <f aca="false">'Plan cashflow'!O73</f>
        <v>0</v>
      </c>
      <c r="BF73" s="1" t="n">
        <f aca="false">IF(BE73&gt;0.5,BE73+BE73*(D_iL)-MIN(F_LoanPayM,BE73+BE73*(D_iL)),BE73)</f>
        <v>0</v>
      </c>
      <c r="BG73" s="1" t="n">
        <f aca="false">IF(BF73&gt;0.5,BF73+BF73*(D_iL)-MIN(F_LoanPayM,BF73+BF73*(D_iL)),BF73)</f>
        <v>0</v>
      </c>
      <c r="BH73" s="1" t="n">
        <f aca="false">IF(BG73&gt;0.5,BG73+BG73*(D_iL)-MIN(F_LoanPayM,BG73+BG73*(D_iL)),BG73)</f>
        <v>0</v>
      </c>
      <c r="BI73" s="1" t="n">
        <f aca="false">IF(BH73&gt;0.5,BH73+BH73*(D_iL)-MIN(F_LoanPayM,BH73+BH73*(D_iL)),BH73)</f>
        <v>0</v>
      </c>
      <c r="BJ73" s="1" t="n">
        <f aca="false">IF(BI73&gt;0.5,BI73+BI73*(D_iL)-MIN(F_LoanPayM,BI73+BI73*(D_iL)),BI73)</f>
        <v>0</v>
      </c>
      <c r="BK73" s="1" t="n">
        <f aca="false">IF(BJ73&gt;0.5,BJ73+BJ73*(D_iL)-MIN(F_LoanPayM,BJ73+BJ73*(D_iL)),BJ73)</f>
        <v>0</v>
      </c>
      <c r="BL73" s="1" t="n">
        <f aca="false">IF(BK73&gt;0.5,BK73+BK73*(D_iL)-MIN(F_LoanPayM,BK73+BK73*(D_iL)),BK73)</f>
        <v>0</v>
      </c>
      <c r="BM73" s="1" t="n">
        <f aca="false">IF(BL73&gt;0.5,BL73+BL73*(D_iL)-MIN(F_LoanPayM,BL73+BL73*(D_iL)),BL73)</f>
        <v>0</v>
      </c>
      <c r="BN73" s="1" t="n">
        <f aca="false">IF(BM73&gt;0.5,BM73+BM73*(D_iL)-MIN(F_LoanPayM,BM73+BM73*(D_iL)),BM73)</f>
        <v>0</v>
      </c>
      <c r="BO73" s="1" t="n">
        <f aca="false">IF(BN73&gt;0.5,BN73+BN73*(D_iL)-MIN(F_LoanPayM,BN73+BN73*(D_iL)),BN73)</f>
        <v>0</v>
      </c>
      <c r="BP73" s="1" t="n">
        <f aca="false">IF(BO73&gt;0.5,BO73+BO73*(D_iL)-MIN(F_LoanPayM,BO73+BO73*(D_iL)),BO73)</f>
        <v>0</v>
      </c>
      <c r="BQ73" s="1" t="n">
        <f aca="false">IF(BP73&gt;0.5,BP73+BP73*(D_iL)-MIN(F_LoanPayM,BP73+BP73*(D_iL)),BP73)</f>
        <v>0</v>
      </c>
      <c r="BR73" s="1" t="n">
        <f aca="false">IF(BE73&gt;0.5,MIN(F_LoanPayM,BE73+BE73*(D_iL)),0)</f>
        <v>0</v>
      </c>
      <c r="BS73" s="1" t="n">
        <f aca="false">IF(BF73&gt;0.5,MIN(F_LoanPayM,BF73+BF73*(D_iL)),0)</f>
        <v>0</v>
      </c>
      <c r="BT73" s="1" t="n">
        <f aca="false">IF(BG73&gt;0.5,MIN(F_LoanPayM,BG73+BG73*(D_iL)),0)</f>
        <v>0</v>
      </c>
      <c r="BU73" s="1" t="n">
        <f aca="false">IF(BH73&gt;0.5,MIN(F_LoanPayM,BH73+BH73*(D_iL)),0)</f>
        <v>0</v>
      </c>
      <c r="BV73" s="1" t="n">
        <f aca="false">IF(BI73&gt;0.5,MIN(F_LoanPayM,BI73+BI73*(D_iL)),0)</f>
        <v>0</v>
      </c>
      <c r="BW73" s="1" t="n">
        <f aca="false">IF(BJ73&gt;0.5,MIN(F_LoanPayM,BJ73+BJ73*(D_iL)),0)</f>
        <v>0</v>
      </c>
      <c r="BX73" s="1" t="n">
        <f aca="false">IF(BK73&gt;0.5,MIN(F_LoanPayM,BK73+BK73*(D_iL)),0)</f>
        <v>0</v>
      </c>
      <c r="BY73" s="1" t="n">
        <f aca="false">IF(BL73&gt;0.5,MIN(F_LoanPayM,BL73+BL73*(D_iL)),0)</f>
        <v>0</v>
      </c>
      <c r="BZ73" s="1" t="n">
        <f aca="false">IF(BM73&gt;0.5,MIN(F_LoanPayM,BM73+BM73*(D_iL)),0)</f>
        <v>0</v>
      </c>
      <c r="CA73" s="1" t="n">
        <f aca="false">IF(BN73&gt;0.5,MIN(F_LoanPayM,BN73+BN73*(D_iL)),0)</f>
        <v>0</v>
      </c>
      <c r="CB73" s="1" t="n">
        <f aca="false">IF(BO73&gt;0.5,MIN(F_LoanPayM,BO73+BO73*(D_iL)),0)</f>
        <v>0</v>
      </c>
      <c r="CC73" s="1" t="n">
        <f aca="false">IF(BP73&gt;0.5,MIN(F_LoanPayM,BP73+BP73*(D_iL)),0)</f>
        <v>0</v>
      </c>
      <c r="CD73" s="1" t="n">
        <f aca="false">MAX(0,BQ73)</f>
        <v>0</v>
      </c>
      <c r="CE73" s="1" t="n">
        <f aca="false">SUM(BR73:CC73)</f>
        <v>0</v>
      </c>
      <c r="CF73" s="1" t="n">
        <f aca="false">IF(CF72&gt;1,DE72,CF72)</f>
        <v>0</v>
      </c>
      <c r="CG73" s="1" t="n">
        <f aca="false">IF(CF73&gt;0.5,CF73+CF73*(F_MR/12)-MIN(F_MortPayM,CF73+CF73*(F_MR/12)),CF73)</f>
        <v>0</v>
      </c>
      <c r="CH73" s="1" t="n">
        <f aca="false">IF(CG73&gt;0.5,CG73+CG73*(F_MR/12)-MIN(F_MortPayM,CG73+CG73*(F_MR/12)),CG73)</f>
        <v>0</v>
      </c>
      <c r="CI73" s="1" t="n">
        <f aca="false">IF(CH73&gt;0.5,CH73+CH73*(F_MR/12)-MIN(F_MortPayM,CH73+CH73*(F_MR/12)),CH73)</f>
        <v>0</v>
      </c>
      <c r="CJ73" s="1" t="n">
        <f aca="false">IF(CI73&gt;0.5,CI73+CI73*(F_MR/12)-MIN(F_MortPayM,CI73+CI73*(F_MR/12)),CI73)</f>
        <v>0</v>
      </c>
      <c r="CK73" s="1" t="n">
        <f aca="false">IF(CJ73&gt;0.5,CJ73+CJ73*(F_MR/12)-MIN(F_MortPayM,CJ73+CJ73*(F_MR/12)),CJ73)</f>
        <v>0</v>
      </c>
      <c r="CL73" s="1" t="n">
        <f aca="false">IF(CK73&gt;0.5,CK73+CK73*(F_MR/12)-MIN(F_MortPayM,CK73+CK73*(F_MR/12)),CK73)</f>
        <v>0</v>
      </c>
      <c r="CM73" s="1" t="n">
        <f aca="false">IF(CL73&gt;0.5,CL73+CL73*(F_MR/12)-MIN(F_MortPayM,CL73+CL73*(F_MR/12)),CL73)</f>
        <v>0</v>
      </c>
      <c r="CN73" s="1" t="n">
        <f aca="false">IF(CM73&gt;0.5,CM73+CM73*(F_MR/12)-MIN(F_MortPayM,CM73+CM73*(F_MR/12)),CM73)</f>
        <v>0</v>
      </c>
      <c r="CO73" s="1" t="n">
        <f aca="false">IF(CN73&gt;0.5,CN73+CN73*(F_MR/12)-MIN(F_MortPayM,CN73+CN73*(F_MR/12)),CN73)</f>
        <v>0</v>
      </c>
      <c r="CP73" s="1" t="n">
        <f aca="false">IF(CO73&gt;0.5,CO73+CO73*(F_MR/12)-MIN(F_MortPayM,CO73+CO73*(F_MR/12)),CO73)</f>
        <v>0</v>
      </c>
      <c r="CQ73" s="1" t="n">
        <f aca="false">IF(CP73&gt;0.5,CP73+CP73*(F_MR/12)-MIN(F_MortPayM,CP73+CP73*(F_MR/12)),CP73)</f>
        <v>0</v>
      </c>
      <c r="CR73" s="1" t="n">
        <f aca="false">IF(CQ73&gt;0.5,CQ73+CQ73*(F_MR/12)-MIN(F_MortPayM,CQ73+CQ73*(F_MR/12)),CQ73)</f>
        <v>0</v>
      </c>
      <c r="CS73" s="1" t="n">
        <f aca="false">IF(CF73&gt;0.5,MIN(F_MortPayM,CF73+CF73*(F_MR/12)),0)</f>
        <v>0</v>
      </c>
      <c r="CT73" s="1" t="n">
        <f aca="false">IF(CG73&gt;0.5,MIN(F_MortPayM,CG73+CG73*(F_MR/12)),0)</f>
        <v>0</v>
      </c>
      <c r="CU73" s="1" t="n">
        <f aca="false">IF(CH73&gt;0.5,MIN(F_MortPayM,CH73+CH73*(F_MR/12)),0)</f>
        <v>0</v>
      </c>
      <c r="CV73" s="1" t="n">
        <f aca="false">IF(CI73&gt;0.5,MIN(F_MortPayM,CI73+CI73*(F_MR/12)),0)</f>
        <v>0</v>
      </c>
      <c r="CW73" s="1" t="n">
        <f aca="false">IF(CJ73&gt;0.5,MIN(F_MortPayM,CJ73+CJ73*(F_MR/12)),0)</f>
        <v>0</v>
      </c>
      <c r="CX73" s="1" t="n">
        <f aca="false">IF(CK73&gt;0.5,MIN(F_MortPayM,CK73+CK73*(F_MR/12)),0)</f>
        <v>0</v>
      </c>
      <c r="CY73" s="1" t="n">
        <f aca="false">IF(CL73&gt;0.5,MIN(F_MortPayM,CL73+CL73*(F_MR/12)),0)</f>
        <v>0</v>
      </c>
      <c r="CZ73" s="1" t="n">
        <f aca="false">IF(CM73&gt;0.5,MIN(F_MortPayM,CM73+CM73*(F_MR/12)),0)</f>
        <v>0</v>
      </c>
      <c r="DA73" s="1" t="n">
        <f aca="false">IF(CN73&gt;0.5,MIN(F_MortPayM,CN73+CN73*(F_MR/12)),0)</f>
        <v>0</v>
      </c>
      <c r="DB73" s="1" t="n">
        <f aca="false">IF(CO73&gt;0.5,MIN(F_MortPayM,CO73+CO73*(F_MR/12)),0)</f>
        <v>0</v>
      </c>
      <c r="DC73" s="1" t="n">
        <f aca="false">IF(CP73&gt;0.5,MIN(F_MortPayM,CP73+CP73*(F_MR/12)),0)</f>
        <v>0</v>
      </c>
      <c r="DD73" s="1" t="n">
        <f aca="false">IF(CQ73&gt;0.5,MIN(F_MortPayM,CQ73+CQ73*(F_MR/12)),0)</f>
        <v>0</v>
      </c>
      <c r="DE73" s="1" t="n">
        <f aca="false">MAX(0,CR73)</f>
        <v>0</v>
      </c>
      <c r="DF73" s="1" t="n">
        <f aca="false">SUM(CS73:DD73)</f>
        <v>0</v>
      </c>
      <c r="DG73" s="1" t="n">
        <f aca="false">MAX(0,CF73)</f>
        <v>0</v>
      </c>
    </row>
    <row r="74" customFormat="false" ht="15" hidden="false" customHeight="false" outlineLevel="0" collapsed="false">
      <c r="B74" s="1" t="n">
        <v>66</v>
      </c>
      <c r="C74" s="1" t="n">
        <f aca="false">'Plan cashflow'!I74</f>
        <v>0</v>
      </c>
      <c r="D74" s="1" t="n">
        <f aca="false">IF(C74&gt;0.5,C74+C74*(F_MR/12)-MIN(F_MortPayM,C74+C74*(F_MR/12)),C74)</f>
        <v>0</v>
      </c>
      <c r="E74" s="1" t="n">
        <f aca="false">IF(D74&gt;0.5,D74+D74*(F_MR/12)-MIN(F_MortPayM,D74+D74*(F_MR/12)),D74)</f>
        <v>0</v>
      </c>
      <c r="F74" s="1" t="n">
        <f aca="false">IF(E74&gt;0.5,E74+E74*(F_MR/12)-MIN(F_MortPayM,E74+E74*(F_MR/12)),E74)</f>
        <v>0</v>
      </c>
      <c r="G74" s="1" t="n">
        <f aca="false">IF(F74&gt;0.5,F74+F74*(F_MR/12)-MIN(F_MortPayM,F74+F74*(F_MR/12)),F74)</f>
        <v>0</v>
      </c>
      <c r="H74" s="1" t="n">
        <f aca="false">IF(G74&gt;0.5,G74+G74*(F_MR/12)-MIN(F_MortPayM,G74+G74*(F_MR/12)),G74)</f>
        <v>0</v>
      </c>
      <c r="I74" s="1" t="n">
        <f aca="false">IF(H74&gt;0.5,H74+H74*(F_MR/12)-MIN(F_MortPayM,H74+H74*(F_MR/12)),H74)</f>
        <v>0</v>
      </c>
      <c r="J74" s="1" t="n">
        <f aca="false">IF(I74&gt;0.5,I74+I74*(F_MR/12)-MIN(F_MortPayM,I74+I74*(F_MR/12)),I74)</f>
        <v>0</v>
      </c>
      <c r="K74" s="1" t="n">
        <f aca="false">IF(J74&gt;0.5,J74+J74*(F_MR/12)-MIN(F_MortPayM,J74+J74*(F_MR/12)),J74)</f>
        <v>0</v>
      </c>
      <c r="L74" s="1" t="n">
        <f aca="false">IF(K74&gt;0.5,K74+K74*(F_MR/12)-MIN(F_MortPayM,K74+K74*(F_MR/12)),K74)</f>
        <v>0</v>
      </c>
      <c r="M74" s="1" t="n">
        <f aca="false">IF(L74&gt;0.5,L74+L74*(F_MR/12)-MIN(F_MortPayM,L74+L74*(F_MR/12)),L74)</f>
        <v>0</v>
      </c>
      <c r="N74" s="1" t="n">
        <f aca="false">IF(M74&gt;0.5,M74+M74*(F_MR/12)-MIN(F_MortPayM,M74+M74*(F_MR/12)),M74)</f>
        <v>0</v>
      </c>
      <c r="O74" s="1" t="n">
        <f aca="false">IF(N74&gt;0.5,N74+N74*(F_MR/12)-MIN(F_MortPayM,N74+N74*(F_MR/12)),N74)</f>
        <v>0</v>
      </c>
      <c r="P74" s="1" t="n">
        <f aca="false">IF(C74&gt;0.5,MIN(F_MortPayM,C74+C74*(F_MR/12)),0)</f>
        <v>0</v>
      </c>
      <c r="Q74" s="1" t="n">
        <f aca="false">IF(D74&gt;0.5,MIN(F_MortPayM,D74+D74*(F_MR/12)),0)</f>
        <v>0</v>
      </c>
      <c r="R74" s="1" t="n">
        <f aca="false">IF(E74&gt;0.5,MIN(F_MortPayM,E74+E74*(F_MR/12)),0)</f>
        <v>0</v>
      </c>
      <c r="S74" s="1" t="n">
        <f aca="false">IF(F74&gt;0.5,MIN(F_MortPayM,F74+F74*(F_MR/12)),0)</f>
        <v>0</v>
      </c>
      <c r="T74" s="1" t="n">
        <f aca="false">IF(G74&gt;0.5,MIN(F_MortPayM,G74+G74*(F_MR/12)),0)</f>
        <v>0</v>
      </c>
      <c r="U74" s="1" t="n">
        <f aca="false">IF(H74&gt;0.5,MIN(F_MortPayM,H74+H74*(F_MR/12)),0)</f>
        <v>0</v>
      </c>
      <c r="V74" s="1" t="n">
        <f aca="false">IF(I74&gt;0.5,MIN(F_MortPayM,I74+I74*(F_MR/12)),0)</f>
        <v>0</v>
      </c>
      <c r="W74" s="1" t="n">
        <f aca="false">IF(J74&gt;0.5,MIN(F_MortPayM,J74+J74*(F_MR/12)),0)</f>
        <v>0</v>
      </c>
      <c r="X74" s="1" t="n">
        <f aca="false">IF(K74&gt;0.5,MIN(F_MortPayM,K74+K74*(F_MR/12)),0)</f>
        <v>0</v>
      </c>
      <c r="Y74" s="1" t="n">
        <f aca="false">IF(L74&gt;0.5,MIN(F_MortPayM,L74+L74*(F_MR/12)),0)</f>
        <v>0</v>
      </c>
      <c r="Z74" s="1" t="n">
        <f aca="false">IF(M74&gt;0.5,MIN(F_MortPayM,M74+M74*(F_MR/12)),0)</f>
        <v>0</v>
      </c>
      <c r="AA74" s="1" t="n">
        <f aca="false">IF(N74&gt;0.5,MIN(F_MortPayM,N74+N74*(F_MR/12)),0)</f>
        <v>0</v>
      </c>
      <c r="AB74" s="1" t="n">
        <f aca="false">MAX(0,O74)</f>
        <v>0</v>
      </c>
      <c r="AC74" s="1" t="n">
        <f aca="false">SUM(P74:AA74)</f>
        <v>0</v>
      </c>
      <c r="AD74" s="1" t="n">
        <f aca="false">'Plan cashflow'!L74</f>
        <v>0</v>
      </c>
      <c r="AE74" s="1" t="n">
        <f aca="false">IF(AD74&gt;0.5,AD74+AD74*(D_iC)-MIN(F_CardPayM,AD74+AD74*(D_iC)),AD74)</f>
        <v>0</v>
      </c>
      <c r="AF74" s="1" t="n">
        <f aca="false">IF(AE74&gt;0.5,AE74+AE74*(D_iC)-MIN(F_CardPayM,AE74+AE74*(D_iC)),AE74)</f>
        <v>0</v>
      </c>
      <c r="AG74" s="1" t="n">
        <f aca="false">IF(AF74&gt;0.5,AF74+AF74*(D_iC)-MIN(F_CardPayM,AF74+AF74*(D_iC)),AF74)</f>
        <v>0</v>
      </c>
      <c r="AH74" s="1" t="n">
        <f aca="false">IF(AG74&gt;0.5,AG74+AG74*(D_iC)-MIN(F_CardPayM,AG74+AG74*(D_iC)),AG74)</f>
        <v>0</v>
      </c>
      <c r="AI74" s="1" t="n">
        <f aca="false">IF(AH74&gt;0.5,AH74+AH74*(D_iC)-MIN(F_CardPayM,AH74+AH74*(D_iC)),AH74)</f>
        <v>0</v>
      </c>
      <c r="AJ74" s="1" t="n">
        <f aca="false">IF(AI74&gt;0.5,AI74+AI74*(D_iC)-MIN(F_CardPayM,AI74+AI74*(D_iC)),AI74)</f>
        <v>0</v>
      </c>
      <c r="AK74" s="1" t="n">
        <f aca="false">IF(AJ74&gt;0.5,AJ74+AJ74*(D_iC)-MIN(F_CardPayM,AJ74+AJ74*(D_iC)),AJ74)</f>
        <v>0</v>
      </c>
      <c r="AL74" s="1" t="n">
        <f aca="false">IF(AK74&gt;0.5,AK74+AK74*(D_iC)-MIN(F_CardPayM,AK74+AK74*(D_iC)),AK74)</f>
        <v>0</v>
      </c>
      <c r="AM74" s="1" t="n">
        <f aca="false">IF(AL74&gt;0.5,AL74+AL74*(D_iC)-MIN(F_CardPayM,AL74+AL74*(D_iC)),AL74)</f>
        <v>0</v>
      </c>
      <c r="AN74" s="1" t="n">
        <f aca="false">IF(AM74&gt;0.5,AM74+AM74*(D_iC)-MIN(F_CardPayM,AM74+AM74*(D_iC)),AM74)</f>
        <v>0</v>
      </c>
      <c r="AO74" s="1" t="n">
        <f aca="false">IF(AN74&gt;0.5,AN74+AN74*(D_iC)-MIN(F_CardPayM,AN74+AN74*(D_iC)),AN74)</f>
        <v>0</v>
      </c>
      <c r="AP74" s="1" t="n">
        <f aca="false">IF(AO74&gt;0.5,AO74+AO74*(D_iC)-MIN(F_CardPayM,AO74+AO74*(D_iC)),AO74)</f>
        <v>0</v>
      </c>
      <c r="AQ74" s="1" t="n">
        <f aca="false">IF(AD74&gt;0.5,MIN(F_CardPayM,AD74+AD74*(D_iC)),0)</f>
        <v>0</v>
      </c>
      <c r="AR74" s="1" t="n">
        <f aca="false">IF(AE74&gt;0.5,MIN(F_CardPayM,AE74+AE74*(D_iC)),0)</f>
        <v>0</v>
      </c>
      <c r="AS74" s="1" t="n">
        <f aca="false">IF(AF74&gt;0.5,MIN(F_CardPayM,AF74+AF74*(D_iC)),0)</f>
        <v>0</v>
      </c>
      <c r="AT74" s="1" t="n">
        <f aca="false">IF(AG74&gt;0.5,MIN(F_CardPayM,AG74+AG74*(D_iC)),0)</f>
        <v>0</v>
      </c>
      <c r="AU74" s="1" t="n">
        <f aca="false">IF(AH74&gt;0.5,MIN(F_CardPayM,AH74+AH74*(D_iC)),0)</f>
        <v>0</v>
      </c>
      <c r="AV74" s="1" t="n">
        <f aca="false">IF(AI74&gt;0.5,MIN(F_CardPayM,AI74+AI74*(D_iC)),0)</f>
        <v>0</v>
      </c>
      <c r="AW74" s="1" t="n">
        <f aca="false">IF(AJ74&gt;0.5,MIN(F_CardPayM,AJ74+AJ74*(D_iC)),0)</f>
        <v>0</v>
      </c>
      <c r="AX74" s="1" t="n">
        <f aca="false">IF(AK74&gt;0.5,MIN(F_CardPayM,AK74+AK74*(D_iC)),0)</f>
        <v>0</v>
      </c>
      <c r="AY74" s="1" t="n">
        <f aca="false">IF(AL74&gt;0.5,MIN(F_CardPayM,AL74+AL74*(D_iC)),0)</f>
        <v>0</v>
      </c>
      <c r="AZ74" s="1" t="n">
        <f aca="false">IF(AM74&gt;0.5,MIN(F_CardPayM,AM74+AM74*(D_iC)),0)</f>
        <v>0</v>
      </c>
      <c r="BA74" s="1" t="n">
        <f aca="false">IF(AN74&gt;0.5,MIN(F_CardPayM,AN74+AN74*(D_iC)),0)</f>
        <v>0</v>
      </c>
      <c r="BB74" s="1" t="n">
        <f aca="false">IF(AO74&gt;0.5,MIN(F_CardPayM,AO74+AO74*(D_iC)),0)</f>
        <v>0</v>
      </c>
      <c r="BC74" s="1" t="n">
        <f aca="false">MAX(0,AP74)</f>
        <v>0</v>
      </c>
      <c r="BD74" s="1" t="n">
        <f aca="false">SUM(AQ74:BB74)</f>
        <v>0</v>
      </c>
      <c r="BE74" s="1" t="n">
        <f aca="false">'Plan cashflow'!O74</f>
        <v>0</v>
      </c>
      <c r="BF74" s="1" t="n">
        <f aca="false">IF(BE74&gt;0.5,BE74+BE74*(D_iL)-MIN(F_LoanPayM,BE74+BE74*(D_iL)),BE74)</f>
        <v>0</v>
      </c>
      <c r="BG74" s="1" t="n">
        <f aca="false">IF(BF74&gt;0.5,BF74+BF74*(D_iL)-MIN(F_LoanPayM,BF74+BF74*(D_iL)),BF74)</f>
        <v>0</v>
      </c>
      <c r="BH74" s="1" t="n">
        <f aca="false">IF(BG74&gt;0.5,BG74+BG74*(D_iL)-MIN(F_LoanPayM,BG74+BG74*(D_iL)),BG74)</f>
        <v>0</v>
      </c>
      <c r="BI74" s="1" t="n">
        <f aca="false">IF(BH74&gt;0.5,BH74+BH74*(D_iL)-MIN(F_LoanPayM,BH74+BH74*(D_iL)),BH74)</f>
        <v>0</v>
      </c>
      <c r="BJ74" s="1" t="n">
        <f aca="false">IF(BI74&gt;0.5,BI74+BI74*(D_iL)-MIN(F_LoanPayM,BI74+BI74*(D_iL)),BI74)</f>
        <v>0</v>
      </c>
      <c r="BK74" s="1" t="n">
        <f aca="false">IF(BJ74&gt;0.5,BJ74+BJ74*(D_iL)-MIN(F_LoanPayM,BJ74+BJ74*(D_iL)),BJ74)</f>
        <v>0</v>
      </c>
      <c r="BL74" s="1" t="n">
        <f aca="false">IF(BK74&gt;0.5,BK74+BK74*(D_iL)-MIN(F_LoanPayM,BK74+BK74*(D_iL)),BK74)</f>
        <v>0</v>
      </c>
      <c r="BM74" s="1" t="n">
        <f aca="false">IF(BL74&gt;0.5,BL74+BL74*(D_iL)-MIN(F_LoanPayM,BL74+BL74*(D_iL)),BL74)</f>
        <v>0</v>
      </c>
      <c r="BN74" s="1" t="n">
        <f aca="false">IF(BM74&gt;0.5,BM74+BM74*(D_iL)-MIN(F_LoanPayM,BM74+BM74*(D_iL)),BM74)</f>
        <v>0</v>
      </c>
      <c r="BO74" s="1" t="n">
        <f aca="false">IF(BN74&gt;0.5,BN74+BN74*(D_iL)-MIN(F_LoanPayM,BN74+BN74*(D_iL)),BN74)</f>
        <v>0</v>
      </c>
      <c r="BP74" s="1" t="n">
        <f aca="false">IF(BO74&gt;0.5,BO74+BO74*(D_iL)-MIN(F_LoanPayM,BO74+BO74*(D_iL)),BO74)</f>
        <v>0</v>
      </c>
      <c r="BQ74" s="1" t="n">
        <f aca="false">IF(BP74&gt;0.5,BP74+BP74*(D_iL)-MIN(F_LoanPayM,BP74+BP74*(D_iL)),BP74)</f>
        <v>0</v>
      </c>
      <c r="BR74" s="1" t="n">
        <f aca="false">IF(BE74&gt;0.5,MIN(F_LoanPayM,BE74+BE74*(D_iL)),0)</f>
        <v>0</v>
      </c>
      <c r="BS74" s="1" t="n">
        <f aca="false">IF(BF74&gt;0.5,MIN(F_LoanPayM,BF74+BF74*(D_iL)),0)</f>
        <v>0</v>
      </c>
      <c r="BT74" s="1" t="n">
        <f aca="false">IF(BG74&gt;0.5,MIN(F_LoanPayM,BG74+BG74*(D_iL)),0)</f>
        <v>0</v>
      </c>
      <c r="BU74" s="1" t="n">
        <f aca="false">IF(BH74&gt;0.5,MIN(F_LoanPayM,BH74+BH74*(D_iL)),0)</f>
        <v>0</v>
      </c>
      <c r="BV74" s="1" t="n">
        <f aca="false">IF(BI74&gt;0.5,MIN(F_LoanPayM,BI74+BI74*(D_iL)),0)</f>
        <v>0</v>
      </c>
      <c r="BW74" s="1" t="n">
        <f aca="false">IF(BJ74&gt;0.5,MIN(F_LoanPayM,BJ74+BJ74*(D_iL)),0)</f>
        <v>0</v>
      </c>
      <c r="BX74" s="1" t="n">
        <f aca="false">IF(BK74&gt;0.5,MIN(F_LoanPayM,BK74+BK74*(D_iL)),0)</f>
        <v>0</v>
      </c>
      <c r="BY74" s="1" t="n">
        <f aca="false">IF(BL74&gt;0.5,MIN(F_LoanPayM,BL74+BL74*(D_iL)),0)</f>
        <v>0</v>
      </c>
      <c r="BZ74" s="1" t="n">
        <f aca="false">IF(BM74&gt;0.5,MIN(F_LoanPayM,BM74+BM74*(D_iL)),0)</f>
        <v>0</v>
      </c>
      <c r="CA74" s="1" t="n">
        <f aca="false">IF(BN74&gt;0.5,MIN(F_LoanPayM,BN74+BN74*(D_iL)),0)</f>
        <v>0</v>
      </c>
      <c r="CB74" s="1" t="n">
        <f aca="false">IF(BO74&gt;0.5,MIN(F_LoanPayM,BO74+BO74*(D_iL)),0)</f>
        <v>0</v>
      </c>
      <c r="CC74" s="1" t="n">
        <f aca="false">IF(BP74&gt;0.5,MIN(F_LoanPayM,BP74+BP74*(D_iL)),0)</f>
        <v>0</v>
      </c>
      <c r="CD74" s="1" t="n">
        <f aca="false">MAX(0,BQ74)</f>
        <v>0</v>
      </c>
      <c r="CE74" s="1" t="n">
        <f aca="false">SUM(BR74:CC74)</f>
        <v>0</v>
      </c>
      <c r="CF74" s="1" t="n">
        <f aca="false">IF(CF73&gt;1,DE73,CF73)</f>
        <v>0</v>
      </c>
      <c r="CG74" s="1" t="n">
        <f aca="false">IF(CF74&gt;0.5,CF74+CF74*(F_MR/12)-MIN(F_MortPayM,CF74+CF74*(F_MR/12)),CF74)</f>
        <v>0</v>
      </c>
      <c r="CH74" s="1" t="n">
        <f aca="false">IF(CG74&gt;0.5,CG74+CG74*(F_MR/12)-MIN(F_MortPayM,CG74+CG74*(F_MR/12)),CG74)</f>
        <v>0</v>
      </c>
      <c r="CI74" s="1" t="n">
        <f aca="false">IF(CH74&gt;0.5,CH74+CH74*(F_MR/12)-MIN(F_MortPayM,CH74+CH74*(F_MR/12)),CH74)</f>
        <v>0</v>
      </c>
      <c r="CJ74" s="1" t="n">
        <f aca="false">IF(CI74&gt;0.5,CI74+CI74*(F_MR/12)-MIN(F_MortPayM,CI74+CI74*(F_MR/12)),CI74)</f>
        <v>0</v>
      </c>
      <c r="CK74" s="1" t="n">
        <f aca="false">IF(CJ74&gt;0.5,CJ74+CJ74*(F_MR/12)-MIN(F_MortPayM,CJ74+CJ74*(F_MR/12)),CJ74)</f>
        <v>0</v>
      </c>
      <c r="CL74" s="1" t="n">
        <f aca="false">IF(CK74&gt;0.5,CK74+CK74*(F_MR/12)-MIN(F_MortPayM,CK74+CK74*(F_MR/12)),CK74)</f>
        <v>0</v>
      </c>
      <c r="CM74" s="1" t="n">
        <f aca="false">IF(CL74&gt;0.5,CL74+CL74*(F_MR/12)-MIN(F_MortPayM,CL74+CL74*(F_MR/12)),CL74)</f>
        <v>0</v>
      </c>
      <c r="CN74" s="1" t="n">
        <f aca="false">IF(CM74&gt;0.5,CM74+CM74*(F_MR/12)-MIN(F_MortPayM,CM74+CM74*(F_MR/12)),CM74)</f>
        <v>0</v>
      </c>
      <c r="CO74" s="1" t="n">
        <f aca="false">IF(CN74&gt;0.5,CN74+CN74*(F_MR/12)-MIN(F_MortPayM,CN74+CN74*(F_MR/12)),CN74)</f>
        <v>0</v>
      </c>
      <c r="CP74" s="1" t="n">
        <f aca="false">IF(CO74&gt;0.5,CO74+CO74*(F_MR/12)-MIN(F_MortPayM,CO74+CO74*(F_MR/12)),CO74)</f>
        <v>0</v>
      </c>
      <c r="CQ74" s="1" t="n">
        <f aca="false">IF(CP74&gt;0.5,CP74+CP74*(F_MR/12)-MIN(F_MortPayM,CP74+CP74*(F_MR/12)),CP74)</f>
        <v>0</v>
      </c>
      <c r="CR74" s="1" t="n">
        <f aca="false">IF(CQ74&gt;0.5,CQ74+CQ74*(F_MR/12)-MIN(F_MortPayM,CQ74+CQ74*(F_MR/12)),CQ74)</f>
        <v>0</v>
      </c>
      <c r="CS74" s="1" t="n">
        <f aca="false">IF(CF74&gt;0.5,MIN(F_MortPayM,CF74+CF74*(F_MR/12)),0)</f>
        <v>0</v>
      </c>
      <c r="CT74" s="1" t="n">
        <f aca="false">IF(CG74&gt;0.5,MIN(F_MortPayM,CG74+CG74*(F_MR/12)),0)</f>
        <v>0</v>
      </c>
      <c r="CU74" s="1" t="n">
        <f aca="false">IF(CH74&gt;0.5,MIN(F_MortPayM,CH74+CH74*(F_MR/12)),0)</f>
        <v>0</v>
      </c>
      <c r="CV74" s="1" t="n">
        <f aca="false">IF(CI74&gt;0.5,MIN(F_MortPayM,CI74+CI74*(F_MR/12)),0)</f>
        <v>0</v>
      </c>
      <c r="CW74" s="1" t="n">
        <f aca="false">IF(CJ74&gt;0.5,MIN(F_MortPayM,CJ74+CJ74*(F_MR/12)),0)</f>
        <v>0</v>
      </c>
      <c r="CX74" s="1" t="n">
        <f aca="false">IF(CK74&gt;0.5,MIN(F_MortPayM,CK74+CK74*(F_MR/12)),0)</f>
        <v>0</v>
      </c>
      <c r="CY74" s="1" t="n">
        <f aca="false">IF(CL74&gt;0.5,MIN(F_MortPayM,CL74+CL74*(F_MR/12)),0)</f>
        <v>0</v>
      </c>
      <c r="CZ74" s="1" t="n">
        <f aca="false">IF(CM74&gt;0.5,MIN(F_MortPayM,CM74+CM74*(F_MR/12)),0)</f>
        <v>0</v>
      </c>
      <c r="DA74" s="1" t="n">
        <f aca="false">IF(CN74&gt;0.5,MIN(F_MortPayM,CN74+CN74*(F_MR/12)),0)</f>
        <v>0</v>
      </c>
      <c r="DB74" s="1" t="n">
        <f aca="false">IF(CO74&gt;0.5,MIN(F_MortPayM,CO74+CO74*(F_MR/12)),0)</f>
        <v>0</v>
      </c>
      <c r="DC74" s="1" t="n">
        <f aca="false">IF(CP74&gt;0.5,MIN(F_MortPayM,CP74+CP74*(F_MR/12)),0)</f>
        <v>0</v>
      </c>
      <c r="DD74" s="1" t="n">
        <f aca="false">IF(CQ74&gt;0.5,MIN(F_MortPayM,CQ74+CQ74*(F_MR/12)),0)</f>
        <v>0</v>
      </c>
      <c r="DE74" s="1" t="n">
        <f aca="false">MAX(0,CR74)</f>
        <v>0</v>
      </c>
      <c r="DF74" s="1" t="n">
        <f aca="false">SUM(CS74:DD74)</f>
        <v>0</v>
      </c>
      <c r="DG74" s="1" t="n">
        <f aca="false">MAX(0,CF74)</f>
        <v>0</v>
      </c>
    </row>
    <row r="75" customFormat="false" ht="15" hidden="false" customHeight="false" outlineLevel="0" collapsed="false">
      <c r="B75" s="1" t="n">
        <v>67</v>
      </c>
      <c r="C75" s="1" t="n">
        <f aca="false">'Plan cashflow'!I75</f>
        <v>0</v>
      </c>
      <c r="D75" s="1" t="n">
        <f aca="false">IF(C75&gt;0.5,C75+C75*(F_MR/12)-MIN(F_MortPayM,C75+C75*(F_MR/12)),C75)</f>
        <v>0</v>
      </c>
      <c r="E75" s="1" t="n">
        <f aca="false">IF(D75&gt;0.5,D75+D75*(F_MR/12)-MIN(F_MortPayM,D75+D75*(F_MR/12)),D75)</f>
        <v>0</v>
      </c>
      <c r="F75" s="1" t="n">
        <f aca="false">IF(E75&gt;0.5,E75+E75*(F_MR/12)-MIN(F_MortPayM,E75+E75*(F_MR/12)),E75)</f>
        <v>0</v>
      </c>
      <c r="G75" s="1" t="n">
        <f aca="false">IF(F75&gt;0.5,F75+F75*(F_MR/12)-MIN(F_MortPayM,F75+F75*(F_MR/12)),F75)</f>
        <v>0</v>
      </c>
      <c r="H75" s="1" t="n">
        <f aca="false">IF(G75&gt;0.5,G75+G75*(F_MR/12)-MIN(F_MortPayM,G75+G75*(F_MR/12)),G75)</f>
        <v>0</v>
      </c>
      <c r="I75" s="1" t="n">
        <f aca="false">IF(H75&gt;0.5,H75+H75*(F_MR/12)-MIN(F_MortPayM,H75+H75*(F_MR/12)),H75)</f>
        <v>0</v>
      </c>
      <c r="J75" s="1" t="n">
        <f aca="false">IF(I75&gt;0.5,I75+I75*(F_MR/12)-MIN(F_MortPayM,I75+I75*(F_MR/12)),I75)</f>
        <v>0</v>
      </c>
      <c r="K75" s="1" t="n">
        <f aca="false">IF(J75&gt;0.5,J75+J75*(F_MR/12)-MIN(F_MortPayM,J75+J75*(F_MR/12)),J75)</f>
        <v>0</v>
      </c>
      <c r="L75" s="1" t="n">
        <f aca="false">IF(K75&gt;0.5,K75+K75*(F_MR/12)-MIN(F_MortPayM,K75+K75*(F_MR/12)),K75)</f>
        <v>0</v>
      </c>
      <c r="M75" s="1" t="n">
        <f aca="false">IF(L75&gt;0.5,L75+L75*(F_MR/12)-MIN(F_MortPayM,L75+L75*(F_MR/12)),L75)</f>
        <v>0</v>
      </c>
      <c r="N75" s="1" t="n">
        <f aca="false">IF(M75&gt;0.5,M75+M75*(F_MR/12)-MIN(F_MortPayM,M75+M75*(F_MR/12)),M75)</f>
        <v>0</v>
      </c>
      <c r="O75" s="1" t="n">
        <f aca="false">IF(N75&gt;0.5,N75+N75*(F_MR/12)-MIN(F_MortPayM,N75+N75*(F_MR/12)),N75)</f>
        <v>0</v>
      </c>
      <c r="P75" s="1" t="n">
        <f aca="false">IF(C75&gt;0.5,MIN(F_MortPayM,C75+C75*(F_MR/12)),0)</f>
        <v>0</v>
      </c>
      <c r="Q75" s="1" t="n">
        <f aca="false">IF(D75&gt;0.5,MIN(F_MortPayM,D75+D75*(F_MR/12)),0)</f>
        <v>0</v>
      </c>
      <c r="R75" s="1" t="n">
        <f aca="false">IF(E75&gt;0.5,MIN(F_MortPayM,E75+E75*(F_MR/12)),0)</f>
        <v>0</v>
      </c>
      <c r="S75" s="1" t="n">
        <f aca="false">IF(F75&gt;0.5,MIN(F_MortPayM,F75+F75*(F_MR/12)),0)</f>
        <v>0</v>
      </c>
      <c r="T75" s="1" t="n">
        <f aca="false">IF(G75&gt;0.5,MIN(F_MortPayM,G75+G75*(F_MR/12)),0)</f>
        <v>0</v>
      </c>
      <c r="U75" s="1" t="n">
        <f aca="false">IF(H75&gt;0.5,MIN(F_MortPayM,H75+H75*(F_MR/12)),0)</f>
        <v>0</v>
      </c>
      <c r="V75" s="1" t="n">
        <f aca="false">IF(I75&gt;0.5,MIN(F_MortPayM,I75+I75*(F_MR/12)),0)</f>
        <v>0</v>
      </c>
      <c r="W75" s="1" t="n">
        <f aca="false">IF(J75&gt;0.5,MIN(F_MortPayM,J75+J75*(F_MR/12)),0)</f>
        <v>0</v>
      </c>
      <c r="X75" s="1" t="n">
        <f aca="false">IF(K75&gt;0.5,MIN(F_MortPayM,K75+K75*(F_MR/12)),0)</f>
        <v>0</v>
      </c>
      <c r="Y75" s="1" t="n">
        <f aca="false">IF(L75&gt;0.5,MIN(F_MortPayM,L75+L75*(F_MR/12)),0)</f>
        <v>0</v>
      </c>
      <c r="Z75" s="1" t="n">
        <f aca="false">IF(M75&gt;0.5,MIN(F_MortPayM,M75+M75*(F_MR/12)),0)</f>
        <v>0</v>
      </c>
      <c r="AA75" s="1" t="n">
        <f aca="false">IF(N75&gt;0.5,MIN(F_MortPayM,N75+N75*(F_MR/12)),0)</f>
        <v>0</v>
      </c>
      <c r="AB75" s="1" t="n">
        <f aca="false">MAX(0,O75)</f>
        <v>0</v>
      </c>
      <c r="AC75" s="1" t="n">
        <f aca="false">SUM(P75:AA75)</f>
        <v>0</v>
      </c>
      <c r="AD75" s="1" t="n">
        <f aca="false">'Plan cashflow'!L75</f>
        <v>0</v>
      </c>
      <c r="AE75" s="1" t="n">
        <f aca="false">IF(AD75&gt;0.5,AD75+AD75*(D_iC)-MIN(F_CardPayM,AD75+AD75*(D_iC)),AD75)</f>
        <v>0</v>
      </c>
      <c r="AF75" s="1" t="n">
        <f aca="false">IF(AE75&gt;0.5,AE75+AE75*(D_iC)-MIN(F_CardPayM,AE75+AE75*(D_iC)),AE75)</f>
        <v>0</v>
      </c>
      <c r="AG75" s="1" t="n">
        <f aca="false">IF(AF75&gt;0.5,AF75+AF75*(D_iC)-MIN(F_CardPayM,AF75+AF75*(D_iC)),AF75)</f>
        <v>0</v>
      </c>
      <c r="AH75" s="1" t="n">
        <f aca="false">IF(AG75&gt;0.5,AG75+AG75*(D_iC)-MIN(F_CardPayM,AG75+AG75*(D_iC)),AG75)</f>
        <v>0</v>
      </c>
      <c r="AI75" s="1" t="n">
        <f aca="false">IF(AH75&gt;0.5,AH75+AH75*(D_iC)-MIN(F_CardPayM,AH75+AH75*(D_iC)),AH75)</f>
        <v>0</v>
      </c>
      <c r="AJ75" s="1" t="n">
        <f aca="false">IF(AI75&gt;0.5,AI75+AI75*(D_iC)-MIN(F_CardPayM,AI75+AI75*(D_iC)),AI75)</f>
        <v>0</v>
      </c>
      <c r="AK75" s="1" t="n">
        <f aca="false">IF(AJ75&gt;0.5,AJ75+AJ75*(D_iC)-MIN(F_CardPayM,AJ75+AJ75*(D_iC)),AJ75)</f>
        <v>0</v>
      </c>
      <c r="AL75" s="1" t="n">
        <f aca="false">IF(AK75&gt;0.5,AK75+AK75*(D_iC)-MIN(F_CardPayM,AK75+AK75*(D_iC)),AK75)</f>
        <v>0</v>
      </c>
      <c r="AM75" s="1" t="n">
        <f aca="false">IF(AL75&gt;0.5,AL75+AL75*(D_iC)-MIN(F_CardPayM,AL75+AL75*(D_iC)),AL75)</f>
        <v>0</v>
      </c>
      <c r="AN75" s="1" t="n">
        <f aca="false">IF(AM75&gt;0.5,AM75+AM75*(D_iC)-MIN(F_CardPayM,AM75+AM75*(D_iC)),AM75)</f>
        <v>0</v>
      </c>
      <c r="AO75" s="1" t="n">
        <f aca="false">IF(AN75&gt;0.5,AN75+AN75*(D_iC)-MIN(F_CardPayM,AN75+AN75*(D_iC)),AN75)</f>
        <v>0</v>
      </c>
      <c r="AP75" s="1" t="n">
        <f aca="false">IF(AO75&gt;0.5,AO75+AO75*(D_iC)-MIN(F_CardPayM,AO75+AO75*(D_iC)),AO75)</f>
        <v>0</v>
      </c>
      <c r="AQ75" s="1" t="n">
        <f aca="false">IF(AD75&gt;0.5,MIN(F_CardPayM,AD75+AD75*(D_iC)),0)</f>
        <v>0</v>
      </c>
      <c r="AR75" s="1" t="n">
        <f aca="false">IF(AE75&gt;0.5,MIN(F_CardPayM,AE75+AE75*(D_iC)),0)</f>
        <v>0</v>
      </c>
      <c r="AS75" s="1" t="n">
        <f aca="false">IF(AF75&gt;0.5,MIN(F_CardPayM,AF75+AF75*(D_iC)),0)</f>
        <v>0</v>
      </c>
      <c r="AT75" s="1" t="n">
        <f aca="false">IF(AG75&gt;0.5,MIN(F_CardPayM,AG75+AG75*(D_iC)),0)</f>
        <v>0</v>
      </c>
      <c r="AU75" s="1" t="n">
        <f aca="false">IF(AH75&gt;0.5,MIN(F_CardPayM,AH75+AH75*(D_iC)),0)</f>
        <v>0</v>
      </c>
      <c r="AV75" s="1" t="n">
        <f aca="false">IF(AI75&gt;0.5,MIN(F_CardPayM,AI75+AI75*(D_iC)),0)</f>
        <v>0</v>
      </c>
      <c r="AW75" s="1" t="n">
        <f aca="false">IF(AJ75&gt;0.5,MIN(F_CardPayM,AJ75+AJ75*(D_iC)),0)</f>
        <v>0</v>
      </c>
      <c r="AX75" s="1" t="n">
        <f aca="false">IF(AK75&gt;0.5,MIN(F_CardPayM,AK75+AK75*(D_iC)),0)</f>
        <v>0</v>
      </c>
      <c r="AY75" s="1" t="n">
        <f aca="false">IF(AL75&gt;0.5,MIN(F_CardPayM,AL75+AL75*(D_iC)),0)</f>
        <v>0</v>
      </c>
      <c r="AZ75" s="1" t="n">
        <f aca="false">IF(AM75&gt;0.5,MIN(F_CardPayM,AM75+AM75*(D_iC)),0)</f>
        <v>0</v>
      </c>
      <c r="BA75" s="1" t="n">
        <f aca="false">IF(AN75&gt;0.5,MIN(F_CardPayM,AN75+AN75*(D_iC)),0)</f>
        <v>0</v>
      </c>
      <c r="BB75" s="1" t="n">
        <f aca="false">IF(AO75&gt;0.5,MIN(F_CardPayM,AO75+AO75*(D_iC)),0)</f>
        <v>0</v>
      </c>
      <c r="BC75" s="1" t="n">
        <f aca="false">MAX(0,AP75)</f>
        <v>0</v>
      </c>
      <c r="BD75" s="1" t="n">
        <f aca="false">SUM(AQ75:BB75)</f>
        <v>0</v>
      </c>
      <c r="BE75" s="1" t="n">
        <f aca="false">'Plan cashflow'!O75</f>
        <v>0</v>
      </c>
      <c r="BF75" s="1" t="n">
        <f aca="false">IF(BE75&gt;0.5,BE75+BE75*(D_iL)-MIN(F_LoanPayM,BE75+BE75*(D_iL)),BE75)</f>
        <v>0</v>
      </c>
      <c r="BG75" s="1" t="n">
        <f aca="false">IF(BF75&gt;0.5,BF75+BF75*(D_iL)-MIN(F_LoanPayM,BF75+BF75*(D_iL)),BF75)</f>
        <v>0</v>
      </c>
      <c r="BH75" s="1" t="n">
        <f aca="false">IF(BG75&gt;0.5,BG75+BG75*(D_iL)-MIN(F_LoanPayM,BG75+BG75*(D_iL)),BG75)</f>
        <v>0</v>
      </c>
      <c r="BI75" s="1" t="n">
        <f aca="false">IF(BH75&gt;0.5,BH75+BH75*(D_iL)-MIN(F_LoanPayM,BH75+BH75*(D_iL)),BH75)</f>
        <v>0</v>
      </c>
      <c r="BJ75" s="1" t="n">
        <f aca="false">IF(BI75&gt;0.5,BI75+BI75*(D_iL)-MIN(F_LoanPayM,BI75+BI75*(D_iL)),BI75)</f>
        <v>0</v>
      </c>
      <c r="BK75" s="1" t="n">
        <f aca="false">IF(BJ75&gt;0.5,BJ75+BJ75*(D_iL)-MIN(F_LoanPayM,BJ75+BJ75*(D_iL)),BJ75)</f>
        <v>0</v>
      </c>
      <c r="BL75" s="1" t="n">
        <f aca="false">IF(BK75&gt;0.5,BK75+BK75*(D_iL)-MIN(F_LoanPayM,BK75+BK75*(D_iL)),BK75)</f>
        <v>0</v>
      </c>
      <c r="BM75" s="1" t="n">
        <f aca="false">IF(BL75&gt;0.5,BL75+BL75*(D_iL)-MIN(F_LoanPayM,BL75+BL75*(D_iL)),BL75)</f>
        <v>0</v>
      </c>
      <c r="BN75" s="1" t="n">
        <f aca="false">IF(BM75&gt;0.5,BM75+BM75*(D_iL)-MIN(F_LoanPayM,BM75+BM75*(D_iL)),BM75)</f>
        <v>0</v>
      </c>
      <c r="BO75" s="1" t="n">
        <f aca="false">IF(BN75&gt;0.5,BN75+BN75*(D_iL)-MIN(F_LoanPayM,BN75+BN75*(D_iL)),BN75)</f>
        <v>0</v>
      </c>
      <c r="BP75" s="1" t="n">
        <f aca="false">IF(BO75&gt;0.5,BO75+BO75*(D_iL)-MIN(F_LoanPayM,BO75+BO75*(D_iL)),BO75)</f>
        <v>0</v>
      </c>
      <c r="BQ75" s="1" t="n">
        <f aca="false">IF(BP75&gt;0.5,BP75+BP75*(D_iL)-MIN(F_LoanPayM,BP75+BP75*(D_iL)),BP75)</f>
        <v>0</v>
      </c>
      <c r="BR75" s="1" t="n">
        <f aca="false">IF(BE75&gt;0.5,MIN(F_LoanPayM,BE75+BE75*(D_iL)),0)</f>
        <v>0</v>
      </c>
      <c r="BS75" s="1" t="n">
        <f aca="false">IF(BF75&gt;0.5,MIN(F_LoanPayM,BF75+BF75*(D_iL)),0)</f>
        <v>0</v>
      </c>
      <c r="BT75" s="1" t="n">
        <f aca="false">IF(BG75&gt;0.5,MIN(F_LoanPayM,BG75+BG75*(D_iL)),0)</f>
        <v>0</v>
      </c>
      <c r="BU75" s="1" t="n">
        <f aca="false">IF(BH75&gt;0.5,MIN(F_LoanPayM,BH75+BH75*(D_iL)),0)</f>
        <v>0</v>
      </c>
      <c r="BV75" s="1" t="n">
        <f aca="false">IF(BI75&gt;0.5,MIN(F_LoanPayM,BI75+BI75*(D_iL)),0)</f>
        <v>0</v>
      </c>
      <c r="BW75" s="1" t="n">
        <f aca="false">IF(BJ75&gt;0.5,MIN(F_LoanPayM,BJ75+BJ75*(D_iL)),0)</f>
        <v>0</v>
      </c>
      <c r="BX75" s="1" t="n">
        <f aca="false">IF(BK75&gt;0.5,MIN(F_LoanPayM,BK75+BK75*(D_iL)),0)</f>
        <v>0</v>
      </c>
      <c r="BY75" s="1" t="n">
        <f aca="false">IF(BL75&gt;0.5,MIN(F_LoanPayM,BL75+BL75*(D_iL)),0)</f>
        <v>0</v>
      </c>
      <c r="BZ75" s="1" t="n">
        <f aca="false">IF(BM75&gt;0.5,MIN(F_LoanPayM,BM75+BM75*(D_iL)),0)</f>
        <v>0</v>
      </c>
      <c r="CA75" s="1" t="n">
        <f aca="false">IF(BN75&gt;0.5,MIN(F_LoanPayM,BN75+BN75*(D_iL)),0)</f>
        <v>0</v>
      </c>
      <c r="CB75" s="1" t="n">
        <f aca="false">IF(BO75&gt;0.5,MIN(F_LoanPayM,BO75+BO75*(D_iL)),0)</f>
        <v>0</v>
      </c>
      <c r="CC75" s="1" t="n">
        <f aca="false">IF(BP75&gt;0.5,MIN(F_LoanPayM,BP75+BP75*(D_iL)),0)</f>
        <v>0</v>
      </c>
      <c r="CD75" s="1" t="n">
        <f aca="false">MAX(0,BQ75)</f>
        <v>0</v>
      </c>
      <c r="CE75" s="1" t="n">
        <f aca="false">SUM(BR75:CC75)</f>
        <v>0</v>
      </c>
      <c r="CF75" s="1" t="n">
        <f aca="false">IF(CF74&gt;1,DE74,CF74)</f>
        <v>0</v>
      </c>
      <c r="CG75" s="1" t="n">
        <f aca="false">IF(CF75&gt;0.5,CF75+CF75*(F_MR/12)-MIN(F_MortPayM,CF75+CF75*(F_MR/12)),CF75)</f>
        <v>0</v>
      </c>
      <c r="CH75" s="1" t="n">
        <f aca="false">IF(CG75&gt;0.5,CG75+CG75*(F_MR/12)-MIN(F_MortPayM,CG75+CG75*(F_MR/12)),CG75)</f>
        <v>0</v>
      </c>
      <c r="CI75" s="1" t="n">
        <f aca="false">IF(CH75&gt;0.5,CH75+CH75*(F_MR/12)-MIN(F_MortPayM,CH75+CH75*(F_MR/12)),CH75)</f>
        <v>0</v>
      </c>
      <c r="CJ75" s="1" t="n">
        <f aca="false">IF(CI75&gt;0.5,CI75+CI75*(F_MR/12)-MIN(F_MortPayM,CI75+CI75*(F_MR/12)),CI75)</f>
        <v>0</v>
      </c>
      <c r="CK75" s="1" t="n">
        <f aca="false">IF(CJ75&gt;0.5,CJ75+CJ75*(F_MR/12)-MIN(F_MortPayM,CJ75+CJ75*(F_MR/12)),CJ75)</f>
        <v>0</v>
      </c>
      <c r="CL75" s="1" t="n">
        <f aca="false">IF(CK75&gt;0.5,CK75+CK75*(F_MR/12)-MIN(F_MortPayM,CK75+CK75*(F_MR/12)),CK75)</f>
        <v>0</v>
      </c>
      <c r="CM75" s="1" t="n">
        <f aca="false">IF(CL75&gt;0.5,CL75+CL75*(F_MR/12)-MIN(F_MortPayM,CL75+CL75*(F_MR/12)),CL75)</f>
        <v>0</v>
      </c>
      <c r="CN75" s="1" t="n">
        <f aca="false">IF(CM75&gt;0.5,CM75+CM75*(F_MR/12)-MIN(F_MortPayM,CM75+CM75*(F_MR/12)),CM75)</f>
        <v>0</v>
      </c>
      <c r="CO75" s="1" t="n">
        <f aca="false">IF(CN75&gt;0.5,CN75+CN75*(F_MR/12)-MIN(F_MortPayM,CN75+CN75*(F_MR/12)),CN75)</f>
        <v>0</v>
      </c>
      <c r="CP75" s="1" t="n">
        <f aca="false">IF(CO75&gt;0.5,CO75+CO75*(F_MR/12)-MIN(F_MortPayM,CO75+CO75*(F_MR/12)),CO75)</f>
        <v>0</v>
      </c>
      <c r="CQ75" s="1" t="n">
        <f aca="false">IF(CP75&gt;0.5,CP75+CP75*(F_MR/12)-MIN(F_MortPayM,CP75+CP75*(F_MR/12)),CP75)</f>
        <v>0</v>
      </c>
      <c r="CR75" s="1" t="n">
        <f aca="false">IF(CQ75&gt;0.5,CQ75+CQ75*(F_MR/12)-MIN(F_MortPayM,CQ75+CQ75*(F_MR/12)),CQ75)</f>
        <v>0</v>
      </c>
      <c r="CS75" s="1" t="n">
        <f aca="false">IF(CF75&gt;0.5,MIN(F_MortPayM,CF75+CF75*(F_MR/12)),0)</f>
        <v>0</v>
      </c>
      <c r="CT75" s="1" t="n">
        <f aca="false">IF(CG75&gt;0.5,MIN(F_MortPayM,CG75+CG75*(F_MR/12)),0)</f>
        <v>0</v>
      </c>
      <c r="CU75" s="1" t="n">
        <f aca="false">IF(CH75&gt;0.5,MIN(F_MortPayM,CH75+CH75*(F_MR/12)),0)</f>
        <v>0</v>
      </c>
      <c r="CV75" s="1" t="n">
        <f aca="false">IF(CI75&gt;0.5,MIN(F_MortPayM,CI75+CI75*(F_MR/12)),0)</f>
        <v>0</v>
      </c>
      <c r="CW75" s="1" t="n">
        <f aca="false">IF(CJ75&gt;0.5,MIN(F_MortPayM,CJ75+CJ75*(F_MR/12)),0)</f>
        <v>0</v>
      </c>
      <c r="CX75" s="1" t="n">
        <f aca="false">IF(CK75&gt;0.5,MIN(F_MortPayM,CK75+CK75*(F_MR/12)),0)</f>
        <v>0</v>
      </c>
      <c r="CY75" s="1" t="n">
        <f aca="false">IF(CL75&gt;0.5,MIN(F_MortPayM,CL75+CL75*(F_MR/12)),0)</f>
        <v>0</v>
      </c>
      <c r="CZ75" s="1" t="n">
        <f aca="false">IF(CM75&gt;0.5,MIN(F_MortPayM,CM75+CM75*(F_MR/12)),0)</f>
        <v>0</v>
      </c>
      <c r="DA75" s="1" t="n">
        <f aca="false">IF(CN75&gt;0.5,MIN(F_MortPayM,CN75+CN75*(F_MR/12)),0)</f>
        <v>0</v>
      </c>
      <c r="DB75" s="1" t="n">
        <f aca="false">IF(CO75&gt;0.5,MIN(F_MortPayM,CO75+CO75*(F_MR/12)),0)</f>
        <v>0</v>
      </c>
      <c r="DC75" s="1" t="n">
        <f aca="false">IF(CP75&gt;0.5,MIN(F_MortPayM,CP75+CP75*(F_MR/12)),0)</f>
        <v>0</v>
      </c>
      <c r="DD75" s="1" t="n">
        <f aca="false">IF(CQ75&gt;0.5,MIN(F_MortPayM,CQ75+CQ75*(F_MR/12)),0)</f>
        <v>0</v>
      </c>
      <c r="DE75" s="1" t="n">
        <f aca="false">MAX(0,CR75)</f>
        <v>0</v>
      </c>
      <c r="DF75" s="1" t="n">
        <f aca="false">SUM(CS75:DD75)</f>
        <v>0</v>
      </c>
      <c r="DG75" s="1" t="n">
        <f aca="false">MAX(0,CF75)</f>
        <v>0</v>
      </c>
    </row>
    <row r="76" customFormat="false" ht="15" hidden="false" customHeight="false" outlineLevel="0" collapsed="false">
      <c r="B76" s="1" t="n">
        <v>68</v>
      </c>
      <c r="C76" s="1" t="n">
        <f aca="false">'Plan cashflow'!I76</f>
        <v>0</v>
      </c>
      <c r="D76" s="1" t="n">
        <f aca="false">IF(C76&gt;0.5,C76+C76*(F_MR/12)-MIN(F_MortPayM,C76+C76*(F_MR/12)),C76)</f>
        <v>0</v>
      </c>
      <c r="E76" s="1" t="n">
        <f aca="false">IF(D76&gt;0.5,D76+D76*(F_MR/12)-MIN(F_MortPayM,D76+D76*(F_MR/12)),D76)</f>
        <v>0</v>
      </c>
      <c r="F76" s="1" t="n">
        <f aca="false">IF(E76&gt;0.5,E76+E76*(F_MR/12)-MIN(F_MortPayM,E76+E76*(F_MR/12)),E76)</f>
        <v>0</v>
      </c>
      <c r="G76" s="1" t="n">
        <f aca="false">IF(F76&gt;0.5,F76+F76*(F_MR/12)-MIN(F_MortPayM,F76+F76*(F_MR/12)),F76)</f>
        <v>0</v>
      </c>
      <c r="H76" s="1" t="n">
        <f aca="false">IF(G76&gt;0.5,G76+G76*(F_MR/12)-MIN(F_MortPayM,G76+G76*(F_MR/12)),G76)</f>
        <v>0</v>
      </c>
      <c r="I76" s="1" t="n">
        <f aca="false">IF(H76&gt;0.5,H76+H76*(F_MR/12)-MIN(F_MortPayM,H76+H76*(F_MR/12)),H76)</f>
        <v>0</v>
      </c>
      <c r="J76" s="1" t="n">
        <f aca="false">IF(I76&gt;0.5,I76+I76*(F_MR/12)-MIN(F_MortPayM,I76+I76*(F_MR/12)),I76)</f>
        <v>0</v>
      </c>
      <c r="K76" s="1" t="n">
        <f aca="false">IF(J76&gt;0.5,J76+J76*(F_MR/12)-MIN(F_MortPayM,J76+J76*(F_MR/12)),J76)</f>
        <v>0</v>
      </c>
      <c r="L76" s="1" t="n">
        <f aca="false">IF(K76&gt;0.5,K76+K76*(F_MR/12)-MIN(F_MortPayM,K76+K76*(F_MR/12)),K76)</f>
        <v>0</v>
      </c>
      <c r="M76" s="1" t="n">
        <f aca="false">IF(L76&gt;0.5,L76+L76*(F_MR/12)-MIN(F_MortPayM,L76+L76*(F_MR/12)),L76)</f>
        <v>0</v>
      </c>
      <c r="N76" s="1" t="n">
        <f aca="false">IF(M76&gt;0.5,M76+M76*(F_MR/12)-MIN(F_MortPayM,M76+M76*(F_MR/12)),M76)</f>
        <v>0</v>
      </c>
      <c r="O76" s="1" t="n">
        <f aca="false">IF(N76&gt;0.5,N76+N76*(F_MR/12)-MIN(F_MortPayM,N76+N76*(F_MR/12)),N76)</f>
        <v>0</v>
      </c>
      <c r="P76" s="1" t="n">
        <f aca="false">IF(C76&gt;0.5,MIN(F_MortPayM,C76+C76*(F_MR/12)),0)</f>
        <v>0</v>
      </c>
      <c r="Q76" s="1" t="n">
        <f aca="false">IF(D76&gt;0.5,MIN(F_MortPayM,D76+D76*(F_MR/12)),0)</f>
        <v>0</v>
      </c>
      <c r="R76" s="1" t="n">
        <f aca="false">IF(E76&gt;0.5,MIN(F_MortPayM,E76+E76*(F_MR/12)),0)</f>
        <v>0</v>
      </c>
      <c r="S76" s="1" t="n">
        <f aca="false">IF(F76&gt;0.5,MIN(F_MortPayM,F76+F76*(F_MR/12)),0)</f>
        <v>0</v>
      </c>
      <c r="T76" s="1" t="n">
        <f aca="false">IF(G76&gt;0.5,MIN(F_MortPayM,G76+G76*(F_MR/12)),0)</f>
        <v>0</v>
      </c>
      <c r="U76" s="1" t="n">
        <f aca="false">IF(H76&gt;0.5,MIN(F_MortPayM,H76+H76*(F_MR/12)),0)</f>
        <v>0</v>
      </c>
      <c r="V76" s="1" t="n">
        <f aca="false">IF(I76&gt;0.5,MIN(F_MortPayM,I76+I76*(F_MR/12)),0)</f>
        <v>0</v>
      </c>
      <c r="W76" s="1" t="n">
        <f aca="false">IF(J76&gt;0.5,MIN(F_MortPayM,J76+J76*(F_MR/12)),0)</f>
        <v>0</v>
      </c>
      <c r="X76" s="1" t="n">
        <f aca="false">IF(K76&gt;0.5,MIN(F_MortPayM,K76+K76*(F_MR/12)),0)</f>
        <v>0</v>
      </c>
      <c r="Y76" s="1" t="n">
        <f aca="false">IF(L76&gt;0.5,MIN(F_MortPayM,L76+L76*(F_MR/12)),0)</f>
        <v>0</v>
      </c>
      <c r="Z76" s="1" t="n">
        <f aca="false">IF(M76&gt;0.5,MIN(F_MortPayM,M76+M76*(F_MR/12)),0)</f>
        <v>0</v>
      </c>
      <c r="AA76" s="1" t="n">
        <f aca="false">IF(N76&gt;0.5,MIN(F_MortPayM,N76+N76*(F_MR/12)),0)</f>
        <v>0</v>
      </c>
      <c r="AB76" s="1" t="n">
        <f aca="false">MAX(0,O76)</f>
        <v>0</v>
      </c>
      <c r="AC76" s="1" t="n">
        <f aca="false">SUM(P76:AA76)</f>
        <v>0</v>
      </c>
      <c r="AD76" s="1" t="n">
        <f aca="false">'Plan cashflow'!L76</f>
        <v>0</v>
      </c>
      <c r="AE76" s="1" t="n">
        <f aca="false">IF(AD76&gt;0.5,AD76+AD76*(D_iC)-MIN(F_CardPayM,AD76+AD76*(D_iC)),AD76)</f>
        <v>0</v>
      </c>
      <c r="AF76" s="1" t="n">
        <f aca="false">IF(AE76&gt;0.5,AE76+AE76*(D_iC)-MIN(F_CardPayM,AE76+AE76*(D_iC)),AE76)</f>
        <v>0</v>
      </c>
      <c r="AG76" s="1" t="n">
        <f aca="false">IF(AF76&gt;0.5,AF76+AF76*(D_iC)-MIN(F_CardPayM,AF76+AF76*(D_iC)),AF76)</f>
        <v>0</v>
      </c>
      <c r="AH76" s="1" t="n">
        <f aca="false">IF(AG76&gt;0.5,AG76+AG76*(D_iC)-MIN(F_CardPayM,AG76+AG76*(D_iC)),AG76)</f>
        <v>0</v>
      </c>
      <c r="AI76" s="1" t="n">
        <f aca="false">IF(AH76&gt;0.5,AH76+AH76*(D_iC)-MIN(F_CardPayM,AH76+AH76*(D_iC)),AH76)</f>
        <v>0</v>
      </c>
      <c r="AJ76" s="1" t="n">
        <f aca="false">IF(AI76&gt;0.5,AI76+AI76*(D_iC)-MIN(F_CardPayM,AI76+AI76*(D_iC)),AI76)</f>
        <v>0</v>
      </c>
      <c r="AK76" s="1" t="n">
        <f aca="false">IF(AJ76&gt;0.5,AJ76+AJ76*(D_iC)-MIN(F_CardPayM,AJ76+AJ76*(D_iC)),AJ76)</f>
        <v>0</v>
      </c>
      <c r="AL76" s="1" t="n">
        <f aca="false">IF(AK76&gt;0.5,AK76+AK76*(D_iC)-MIN(F_CardPayM,AK76+AK76*(D_iC)),AK76)</f>
        <v>0</v>
      </c>
      <c r="AM76" s="1" t="n">
        <f aca="false">IF(AL76&gt;0.5,AL76+AL76*(D_iC)-MIN(F_CardPayM,AL76+AL76*(D_iC)),AL76)</f>
        <v>0</v>
      </c>
      <c r="AN76" s="1" t="n">
        <f aca="false">IF(AM76&gt;0.5,AM76+AM76*(D_iC)-MIN(F_CardPayM,AM76+AM76*(D_iC)),AM76)</f>
        <v>0</v>
      </c>
      <c r="AO76" s="1" t="n">
        <f aca="false">IF(AN76&gt;0.5,AN76+AN76*(D_iC)-MIN(F_CardPayM,AN76+AN76*(D_iC)),AN76)</f>
        <v>0</v>
      </c>
      <c r="AP76" s="1" t="n">
        <f aca="false">IF(AO76&gt;0.5,AO76+AO76*(D_iC)-MIN(F_CardPayM,AO76+AO76*(D_iC)),AO76)</f>
        <v>0</v>
      </c>
      <c r="AQ76" s="1" t="n">
        <f aca="false">IF(AD76&gt;0.5,MIN(F_CardPayM,AD76+AD76*(D_iC)),0)</f>
        <v>0</v>
      </c>
      <c r="AR76" s="1" t="n">
        <f aca="false">IF(AE76&gt;0.5,MIN(F_CardPayM,AE76+AE76*(D_iC)),0)</f>
        <v>0</v>
      </c>
      <c r="AS76" s="1" t="n">
        <f aca="false">IF(AF76&gt;0.5,MIN(F_CardPayM,AF76+AF76*(D_iC)),0)</f>
        <v>0</v>
      </c>
      <c r="AT76" s="1" t="n">
        <f aca="false">IF(AG76&gt;0.5,MIN(F_CardPayM,AG76+AG76*(D_iC)),0)</f>
        <v>0</v>
      </c>
      <c r="AU76" s="1" t="n">
        <f aca="false">IF(AH76&gt;0.5,MIN(F_CardPayM,AH76+AH76*(D_iC)),0)</f>
        <v>0</v>
      </c>
      <c r="AV76" s="1" t="n">
        <f aca="false">IF(AI76&gt;0.5,MIN(F_CardPayM,AI76+AI76*(D_iC)),0)</f>
        <v>0</v>
      </c>
      <c r="AW76" s="1" t="n">
        <f aca="false">IF(AJ76&gt;0.5,MIN(F_CardPayM,AJ76+AJ76*(D_iC)),0)</f>
        <v>0</v>
      </c>
      <c r="AX76" s="1" t="n">
        <f aca="false">IF(AK76&gt;0.5,MIN(F_CardPayM,AK76+AK76*(D_iC)),0)</f>
        <v>0</v>
      </c>
      <c r="AY76" s="1" t="n">
        <f aca="false">IF(AL76&gt;0.5,MIN(F_CardPayM,AL76+AL76*(D_iC)),0)</f>
        <v>0</v>
      </c>
      <c r="AZ76" s="1" t="n">
        <f aca="false">IF(AM76&gt;0.5,MIN(F_CardPayM,AM76+AM76*(D_iC)),0)</f>
        <v>0</v>
      </c>
      <c r="BA76" s="1" t="n">
        <f aca="false">IF(AN76&gt;0.5,MIN(F_CardPayM,AN76+AN76*(D_iC)),0)</f>
        <v>0</v>
      </c>
      <c r="BB76" s="1" t="n">
        <f aca="false">IF(AO76&gt;0.5,MIN(F_CardPayM,AO76+AO76*(D_iC)),0)</f>
        <v>0</v>
      </c>
      <c r="BC76" s="1" t="n">
        <f aca="false">MAX(0,AP76)</f>
        <v>0</v>
      </c>
      <c r="BD76" s="1" t="n">
        <f aca="false">SUM(AQ76:BB76)</f>
        <v>0</v>
      </c>
      <c r="BE76" s="1" t="n">
        <f aca="false">'Plan cashflow'!O76</f>
        <v>0</v>
      </c>
      <c r="BF76" s="1" t="n">
        <f aca="false">IF(BE76&gt;0.5,BE76+BE76*(D_iL)-MIN(F_LoanPayM,BE76+BE76*(D_iL)),BE76)</f>
        <v>0</v>
      </c>
      <c r="BG76" s="1" t="n">
        <f aca="false">IF(BF76&gt;0.5,BF76+BF76*(D_iL)-MIN(F_LoanPayM,BF76+BF76*(D_iL)),BF76)</f>
        <v>0</v>
      </c>
      <c r="BH76" s="1" t="n">
        <f aca="false">IF(BG76&gt;0.5,BG76+BG76*(D_iL)-MIN(F_LoanPayM,BG76+BG76*(D_iL)),BG76)</f>
        <v>0</v>
      </c>
      <c r="BI76" s="1" t="n">
        <f aca="false">IF(BH76&gt;0.5,BH76+BH76*(D_iL)-MIN(F_LoanPayM,BH76+BH76*(D_iL)),BH76)</f>
        <v>0</v>
      </c>
      <c r="BJ76" s="1" t="n">
        <f aca="false">IF(BI76&gt;0.5,BI76+BI76*(D_iL)-MIN(F_LoanPayM,BI76+BI76*(D_iL)),BI76)</f>
        <v>0</v>
      </c>
      <c r="BK76" s="1" t="n">
        <f aca="false">IF(BJ76&gt;0.5,BJ76+BJ76*(D_iL)-MIN(F_LoanPayM,BJ76+BJ76*(D_iL)),BJ76)</f>
        <v>0</v>
      </c>
      <c r="BL76" s="1" t="n">
        <f aca="false">IF(BK76&gt;0.5,BK76+BK76*(D_iL)-MIN(F_LoanPayM,BK76+BK76*(D_iL)),BK76)</f>
        <v>0</v>
      </c>
      <c r="BM76" s="1" t="n">
        <f aca="false">IF(BL76&gt;0.5,BL76+BL76*(D_iL)-MIN(F_LoanPayM,BL76+BL76*(D_iL)),BL76)</f>
        <v>0</v>
      </c>
      <c r="BN76" s="1" t="n">
        <f aca="false">IF(BM76&gt;0.5,BM76+BM76*(D_iL)-MIN(F_LoanPayM,BM76+BM76*(D_iL)),BM76)</f>
        <v>0</v>
      </c>
      <c r="BO76" s="1" t="n">
        <f aca="false">IF(BN76&gt;0.5,BN76+BN76*(D_iL)-MIN(F_LoanPayM,BN76+BN76*(D_iL)),BN76)</f>
        <v>0</v>
      </c>
      <c r="BP76" s="1" t="n">
        <f aca="false">IF(BO76&gt;0.5,BO76+BO76*(D_iL)-MIN(F_LoanPayM,BO76+BO76*(D_iL)),BO76)</f>
        <v>0</v>
      </c>
      <c r="BQ76" s="1" t="n">
        <f aca="false">IF(BP76&gt;0.5,BP76+BP76*(D_iL)-MIN(F_LoanPayM,BP76+BP76*(D_iL)),BP76)</f>
        <v>0</v>
      </c>
      <c r="BR76" s="1" t="n">
        <f aca="false">IF(BE76&gt;0.5,MIN(F_LoanPayM,BE76+BE76*(D_iL)),0)</f>
        <v>0</v>
      </c>
      <c r="BS76" s="1" t="n">
        <f aca="false">IF(BF76&gt;0.5,MIN(F_LoanPayM,BF76+BF76*(D_iL)),0)</f>
        <v>0</v>
      </c>
      <c r="BT76" s="1" t="n">
        <f aca="false">IF(BG76&gt;0.5,MIN(F_LoanPayM,BG76+BG76*(D_iL)),0)</f>
        <v>0</v>
      </c>
      <c r="BU76" s="1" t="n">
        <f aca="false">IF(BH76&gt;0.5,MIN(F_LoanPayM,BH76+BH76*(D_iL)),0)</f>
        <v>0</v>
      </c>
      <c r="BV76" s="1" t="n">
        <f aca="false">IF(BI76&gt;0.5,MIN(F_LoanPayM,BI76+BI76*(D_iL)),0)</f>
        <v>0</v>
      </c>
      <c r="BW76" s="1" t="n">
        <f aca="false">IF(BJ76&gt;0.5,MIN(F_LoanPayM,BJ76+BJ76*(D_iL)),0)</f>
        <v>0</v>
      </c>
      <c r="BX76" s="1" t="n">
        <f aca="false">IF(BK76&gt;0.5,MIN(F_LoanPayM,BK76+BK76*(D_iL)),0)</f>
        <v>0</v>
      </c>
      <c r="BY76" s="1" t="n">
        <f aca="false">IF(BL76&gt;0.5,MIN(F_LoanPayM,BL76+BL76*(D_iL)),0)</f>
        <v>0</v>
      </c>
      <c r="BZ76" s="1" t="n">
        <f aca="false">IF(BM76&gt;0.5,MIN(F_LoanPayM,BM76+BM76*(D_iL)),0)</f>
        <v>0</v>
      </c>
      <c r="CA76" s="1" t="n">
        <f aca="false">IF(BN76&gt;0.5,MIN(F_LoanPayM,BN76+BN76*(D_iL)),0)</f>
        <v>0</v>
      </c>
      <c r="CB76" s="1" t="n">
        <f aca="false">IF(BO76&gt;0.5,MIN(F_LoanPayM,BO76+BO76*(D_iL)),0)</f>
        <v>0</v>
      </c>
      <c r="CC76" s="1" t="n">
        <f aca="false">IF(BP76&gt;0.5,MIN(F_LoanPayM,BP76+BP76*(D_iL)),0)</f>
        <v>0</v>
      </c>
      <c r="CD76" s="1" t="n">
        <f aca="false">MAX(0,BQ76)</f>
        <v>0</v>
      </c>
      <c r="CE76" s="1" t="n">
        <f aca="false">SUM(BR76:CC76)</f>
        <v>0</v>
      </c>
      <c r="CF76" s="1" t="n">
        <f aca="false">IF(CF75&gt;1,DE75,CF75)</f>
        <v>0</v>
      </c>
      <c r="CG76" s="1" t="n">
        <f aca="false">IF(CF76&gt;0.5,CF76+CF76*(F_MR/12)-MIN(F_MortPayM,CF76+CF76*(F_MR/12)),CF76)</f>
        <v>0</v>
      </c>
      <c r="CH76" s="1" t="n">
        <f aca="false">IF(CG76&gt;0.5,CG76+CG76*(F_MR/12)-MIN(F_MortPayM,CG76+CG76*(F_MR/12)),CG76)</f>
        <v>0</v>
      </c>
      <c r="CI76" s="1" t="n">
        <f aca="false">IF(CH76&gt;0.5,CH76+CH76*(F_MR/12)-MIN(F_MortPayM,CH76+CH76*(F_MR/12)),CH76)</f>
        <v>0</v>
      </c>
      <c r="CJ76" s="1" t="n">
        <f aca="false">IF(CI76&gt;0.5,CI76+CI76*(F_MR/12)-MIN(F_MortPayM,CI76+CI76*(F_MR/12)),CI76)</f>
        <v>0</v>
      </c>
      <c r="CK76" s="1" t="n">
        <f aca="false">IF(CJ76&gt;0.5,CJ76+CJ76*(F_MR/12)-MIN(F_MortPayM,CJ76+CJ76*(F_MR/12)),CJ76)</f>
        <v>0</v>
      </c>
      <c r="CL76" s="1" t="n">
        <f aca="false">IF(CK76&gt;0.5,CK76+CK76*(F_MR/12)-MIN(F_MortPayM,CK76+CK76*(F_MR/12)),CK76)</f>
        <v>0</v>
      </c>
      <c r="CM76" s="1" t="n">
        <f aca="false">IF(CL76&gt;0.5,CL76+CL76*(F_MR/12)-MIN(F_MortPayM,CL76+CL76*(F_MR/12)),CL76)</f>
        <v>0</v>
      </c>
      <c r="CN76" s="1" t="n">
        <f aca="false">IF(CM76&gt;0.5,CM76+CM76*(F_MR/12)-MIN(F_MortPayM,CM76+CM76*(F_MR/12)),CM76)</f>
        <v>0</v>
      </c>
      <c r="CO76" s="1" t="n">
        <f aca="false">IF(CN76&gt;0.5,CN76+CN76*(F_MR/12)-MIN(F_MortPayM,CN76+CN76*(F_MR/12)),CN76)</f>
        <v>0</v>
      </c>
      <c r="CP76" s="1" t="n">
        <f aca="false">IF(CO76&gt;0.5,CO76+CO76*(F_MR/12)-MIN(F_MortPayM,CO76+CO76*(F_MR/12)),CO76)</f>
        <v>0</v>
      </c>
      <c r="CQ76" s="1" t="n">
        <f aca="false">IF(CP76&gt;0.5,CP76+CP76*(F_MR/12)-MIN(F_MortPayM,CP76+CP76*(F_MR/12)),CP76)</f>
        <v>0</v>
      </c>
      <c r="CR76" s="1" t="n">
        <f aca="false">IF(CQ76&gt;0.5,CQ76+CQ76*(F_MR/12)-MIN(F_MortPayM,CQ76+CQ76*(F_MR/12)),CQ76)</f>
        <v>0</v>
      </c>
      <c r="CS76" s="1" t="n">
        <f aca="false">IF(CF76&gt;0.5,MIN(F_MortPayM,CF76+CF76*(F_MR/12)),0)</f>
        <v>0</v>
      </c>
      <c r="CT76" s="1" t="n">
        <f aca="false">IF(CG76&gt;0.5,MIN(F_MortPayM,CG76+CG76*(F_MR/12)),0)</f>
        <v>0</v>
      </c>
      <c r="CU76" s="1" t="n">
        <f aca="false">IF(CH76&gt;0.5,MIN(F_MortPayM,CH76+CH76*(F_MR/12)),0)</f>
        <v>0</v>
      </c>
      <c r="CV76" s="1" t="n">
        <f aca="false">IF(CI76&gt;0.5,MIN(F_MortPayM,CI76+CI76*(F_MR/12)),0)</f>
        <v>0</v>
      </c>
      <c r="CW76" s="1" t="n">
        <f aca="false">IF(CJ76&gt;0.5,MIN(F_MortPayM,CJ76+CJ76*(F_MR/12)),0)</f>
        <v>0</v>
      </c>
      <c r="CX76" s="1" t="n">
        <f aca="false">IF(CK76&gt;0.5,MIN(F_MortPayM,CK76+CK76*(F_MR/12)),0)</f>
        <v>0</v>
      </c>
      <c r="CY76" s="1" t="n">
        <f aca="false">IF(CL76&gt;0.5,MIN(F_MortPayM,CL76+CL76*(F_MR/12)),0)</f>
        <v>0</v>
      </c>
      <c r="CZ76" s="1" t="n">
        <f aca="false">IF(CM76&gt;0.5,MIN(F_MortPayM,CM76+CM76*(F_MR/12)),0)</f>
        <v>0</v>
      </c>
      <c r="DA76" s="1" t="n">
        <f aca="false">IF(CN76&gt;0.5,MIN(F_MortPayM,CN76+CN76*(F_MR/12)),0)</f>
        <v>0</v>
      </c>
      <c r="DB76" s="1" t="n">
        <f aca="false">IF(CO76&gt;0.5,MIN(F_MortPayM,CO76+CO76*(F_MR/12)),0)</f>
        <v>0</v>
      </c>
      <c r="DC76" s="1" t="n">
        <f aca="false">IF(CP76&gt;0.5,MIN(F_MortPayM,CP76+CP76*(F_MR/12)),0)</f>
        <v>0</v>
      </c>
      <c r="DD76" s="1" t="n">
        <f aca="false">IF(CQ76&gt;0.5,MIN(F_MortPayM,CQ76+CQ76*(F_MR/12)),0)</f>
        <v>0</v>
      </c>
      <c r="DE76" s="1" t="n">
        <f aca="false">MAX(0,CR76)</f>
        <v>0</v>
      </c>
      <c r="DF76" s="1" t="n">
        <f aca="false">SUM(CS76:DD76)</f>
        <v>0</v>
      </c>
      <c r="DG76" s="1" t="n">
        <f aca="false">MAX(0,CF76)</f>
        <v>0</v>
      </c>
    </row>
    <row r="77" customFormat="false" ht="15" hidden="false" customHeight="false" outlineLevel="0" collapsed="false">
      <c r="B77" s="1" t="n">
        <v>69</v>
      </c>
      <c r="C77" s="1" t="n">
        <f aca="false">'Plan cashflow'!I77</f>
        <v>0</v>
      </c>
      <c r="D77" s="1" t="n">
        <f aca="false">IF(C77&gt;0.5,C77+C77*(F_MR/12)-MIN(F_MortPayM,C77+C77*(F_MR/12)),C77)</f>
        <v>0</v>
      </c>
      <c r="E77" s="1" t="n">
        <f aca="false">IF(D77&gt;0.5,D77+D77*(F_MR/12)-MIN(F_MortPayM,D77+D77*(F_MR/12)),D77)</f>
        <v>0</v>
      </c>
      <c r="F77" s="1" t="n">
        <f aca="false">IF(E77&gt;0.5,E77+E77*(F_MR/12)-MIN(F_MortPayM,E77+E77*(F_MR/12)),E77)</f>
        <v>0</v>
      </c>
      <c r="G77" s="1" t="n">
        <f aca="false">IF(F77&gt;0.5,F77+F77*(F_MR/12)-MIN(F_MortPayM,F77+F77*(F_MR/12)),F77)</f>
        <v>0</v>
      </c>
      <c r="H77" s="1" t="n">
        <f aca="false">IF(G77&gt;0.5,G77+G77*(F_MR/12)-MIN(F_MortPayM,G77+G77*(F_MR/12)),G77)</f>
        <v>0</v>
      </c>
      <c r="I77" s="1" t="n">
        <f aca="false">IF(H77&gt;0.5,H77+H77*(F_MR/12)-MIN(F_MortPayM,H77+H77*(F_MR/12)),H77)</f>
        <v>0</v>
      </c>
      <c r="J77" s="1" t="n">
        <f aca="false">IF(I77&gt;0.5,I77+I77*(F_MR/12)-MIN(F_MortPayM,I77+I77*(F_MR/12)),I77)</f>
        <v>0</v>
      </c>
      <c r="K77" s="1" t="n">
        <f aca="false">IF(J77&gt;0.5,J77+J77*(F_MR/12)-MIN(F_MortPayM,J77+J77*(F_MR/12)),J77)</f>
        <v>0</v>
      </c>
      <c r="L77" s="1" t="n">
        <f aca="false">IF(K77&gt;0.5,K77+K77*(F_MR/12)-MIN(F_MortPayM,K77+K77*(F_MR/12)),K77)</f>
        <v>0</v>
      </c>
      <c r="M77" s="1" t="n">
        <f aca="false">IF(L77&gt;0.5,L77+L77*(F_MR/12)-MIN(F_MortPayM,L77+L77*(F_MR/12)),L77)</f>
        <v>0</v>
      </c>
      <c r="N77" s="1" t="n">
        <f aca="false">IF(M77&gt;0.5,M77+M77*(F_MR/12)-MIN(F_MortPayM,M77+M77*(F_MR/12)),M77)</f>
        <v>0</v>
      </c>
      <c r="O77" s="1" t="n">
        <f aca="false">IF(N77&gt;0.5,N77+N77*(F_MR/12)-MIN(F_MortPayM,N77+N77*(F_MR/12)),N77)</f>
        <v>0</v>
      </c>
      <c r="P77" s="1" t="n">
        <f aca="false">IF(C77&gt;0.5,MIN(F_MortPayM,C77+C77*(F_MR/12)),0)</f>
        <v>0</v>
      </c>
      <c r="Q77" s="1" t="n">
        <f aca="false">IF(D77&gt;0.5,MIN(F_MortPayM,D77+D77*(F_MR/12)),0)</f>
        <v>0</v>
      </c>
      <c r="R77" s="1" t="n">
        <f aca="false">IF(E77&gt;0.5,MIN(F_MortPayM,E77+E77*(F_MR/12)),0)</f>
        <v>0</v>
      </c>
      <c r="S77" s="1" t="n">
        <f aca="false">IF(F77&gt;0.5,MIN(F_MortPayM,F77+F77*(F_MR/12)),0)</f>
        <v>0</v>
      </c>
      <c r="T77" s="1" t="n">
        <f aca="false">IF(G77&gt;0.5,MIN(F_MortPayM,G77+G77*(F_MR/12)),0)</f>
        <v>0</v>
      </c>
      <c r="U77" s="1" t="n">
        <f aca="false">IF(H77&gt;0.5,MIN(F_MortPayM,H77+H77*(F_MR/12)),0)</f>
        <v>0</v>
      </c>
      <c r="V77" s="1" t="n">
        <f aca="false">IF(I77&gt;0.5,MIN(F_MortPayM,I77+I77*(F_MR/12)),0)</f>
        <v>0</v>
      </c>
      <c r="W77" s="1" t="n">
        <f aca="false">IF(J77&gt;0.5,MIN(F_MortPayM,J77+J77*(F_MR/12)),0)</f>
        <v>0</v>
      </c>
      <c r="X77" s="1" t="n">
        <f aca="false">IF(K77&gt;0.5,MIN(F_MortPayM,K77+K77*(F_MR/12)),0)</f>
        <v>0</v>
      </c>
      <c r="Y77" s="1" t="n">
        <f aca="false">IF(L77&gt;0.5,MIN(F_MortPayM,L77+L77*(F_MR/12)),0)</f>
        <v>0</v>
      </c>
      <c r="Z77" s="1" t="n">
        <f aca="false">IF(M77&gt;0.5,MIN(F_MortPayM,M77+M77*(F_MR/12)),0)</f>
        <v>0</v>
      </c>
      <c r="AA77" s="1" t="n">
        <f aca="false">IF(N77&gt;0.5,MIN(F_MortPayM,N77+N77*(F_MR/12)),0)</f>
        <v>0</v>
      </c>
      <c r="AB77" s="1" t="n">
        <f aca="false">MAX(0,O77)</f>
        <v>0</v>
      </c>
      <c r="AC77" s="1" t="n">
        <f aca="false">SUM(P77:AA77)</f>
        <v>0</v>
      </c>
      <c r="AD77" s="1" t="n">
        <f aca="false">'Plan cashflow'!L77</f>
        <v>0</v>
      </c>
      <c r="AE77" s="1" t="n">
        <f aca="false">IF(AD77&gt;0.5,AD77+AD77*(D_iC)-MIN(F_CardPayM,AD77+AD77*(D_iC)),AD77)</f>
        <v>0</v>
      </c>
      <c r="AF77" s="1" t="n">
        <f aca="false">IF(AE77&gt;0.5,AE77+AE77*(D_iC)-MIN(F_CardPayM,AE77+AE77*(D_iC)),AE77)</f>
        <v>0</v>
      </c>
      <c r="AG77" s="1" t="n">
        <f aca="false">IF(AF77&gt;0.5,AF77+AF77*(D_iC)-MIN(F_CardPayM,AF77+AF77*(D_iC)),AF77)</f>
        <v>0</v>
      </c>
      <c r="AH77" s="1" t="n">
        <f aca="false">IF(AG77&gt;0.5,AG77+AG77*(D_iC)-MIN(F_CardPayM,AG77+AG77*(D_iC)),AG77)</f>
        <v>0</v>
      </c>
      <c r="AI77" s="1" t="n">
        <f aca="false">IF(AH77&gt;0.5,AH77+AH77*(D_iC)-MIN(F_CardPayM,AH77+AH77*(D_iC)),AH77)</f>
        <v>0</v>
      </c>
      <c r="AJ77" s="1" t="n">
        <f aca="false">IF(AI77&gt;0.5,AI77+AI77*(D_iC)-MIN(F_CardPayM,AI77+AI77*(D_iC)),AI77)</f>
        <v>0</v>
      </c>
      <c r="AK77" s="1" t="n">
        <f aca="false">IF(AJ77&gt;0.5,AJ77+AJ77*(D_iC)-MIN(F_CardPayM,AJ77+AJ77*(D_iC)),AJ77)</f>
        <v>0</v>
      </c>
      <c r="AL77" s="1" t="n">
        <f aca="false">IF(AK77&gt;0.5,AK77+AK77*(D_iC)-MIN(F_CardPayM,AK77+AK77*(D_iC)),AK77)</f>
        <v>0</v>
      </c>
      <c r="AM77" s="1" t="n">
        <f aca="false">IF(AL77&gt;0.5,AL77+AL77*(D_iC)-MIN(F_CardPayM,AL77+AL77*(D_iC)),AL77)</f>
        <v>0</v>
      </c>
      <c r="AN77" s="1" t="n">
        <f aca="false">IF(AM77&gt;0.5,AM77+AM77*(D_iC)-MIN(F_CardPayM,AM77+AM77*(D_iC)),AM77)</f>
        <v>0</v>
      </c>
      <c r="AO77" s="1" t="n">
        <f aca="false">IF(AN77&gt;0.5,AN77+AN77*(D_iC)-MIN(F_CardPayM,AN77+AN77*(D_iC)),AN77)</f>
        <v>0</v>
      </c>
      <c r="AP77" s="1" t="n">
        <f aca="false">IF(AO77&gt;0.5,AO77+AO77*(D_iC)-MIN(F_CardPayM,AO77+AO77*(D_iC)),AO77)</f>
        <v>0</v>
      </c>
      <c r="AQ77" s="1" t="n">
        <f aca="false">IF(AD77&gt;0.5,MIN(F_CardPayM,AD77+AD77*(D_iC)),0)</f>
        <v>0</v>
      </c>
      <c r="AR77" s="1" t="n">
        <f aca="false">IF(AE77&gt;0.5,MIN(F_CardPayM,AE77+AE77*(D_iC)),0)</f>
        <v>0</v>
      </c>
      <c r="AS77" s="1" t="n">
        <f aca="false">IF(AF77&gt;0.5,MIN(F_CardPayM,AF77+AF77*(D_iC)),0)</f>
        <v>0</v>
      </c>
      <c r="AT77" s="1" t="n">
        <f aca="false">IF(AG77&gt;0.5,MIN(F_CardPayM,AG77+AG77*(D_iC)),0)</f>
        <v>0</v>
      </c>
      <c r="AU77" s="1" t="n">
        <f aca="false">IF(AH77&gt;0.5,MIN(F_CardPayM,AH77+AH77*(D_iC)),0)</f>
        <v>0</v>
      </c>
      <c r="AV77" s="1" t="n">
        <f aca="false">IF(AI77&gt;0.5,MIN(F_CardPayM,AI77+AI77*(D_iC)),0)</f>
        <v>0</v>
      </c>
      <c r="AW77" s="1" t="n">
        <f aca="false">IF(AJ77&gt;0.5,MIN(F_CardPayM,AJ77+AJ77*(D_iC)),0)</f>
        <v>0</v>
      </c>
      <c r="AX77" s="1" t="n">
        <f aca="false">IF(AK77&gt;0.5,MIN(F_CardPayM,AK77+AK77*(D_iC)),0)</f>
        <v>0</v>
      </c>
      <c r="AY77" s="1" t="n">
        <f aca="false">IF(AL77&gt;0.5,MIN(F_CardPayM,AL77+AL77*(D_iC)),0)</f>
        <v>0</v>
      </c>
      <c r="AZ77" s="1" t="n">
        <f aca="false">IF(AM77&gt;0.5,MIN(F_CardPayM,AM77+AM77*(D_iC)),0)</f>
        <v>0</v>
      </c>
      <c r="BA77" s="1" t="n">
        <f aca="false">IF(AN77&gt;0.5,MIN(F_CardPayM,AN77+AN77*(D_iC)),0)</f>
        <v>0</v>
      </c>
      <c r="BB77" s="1" t="n">
        <f aca="false">IF(AO77&gt;0.5,MIN(F_CardPayM,AO77+AO77*(D_iC)),0)</f>
        <v>0</v>
      </c>
      <c r="BC77" s="1" t="n">
        <f aca="false">MAX(0,AP77)</f>
        <v>0</v>
      </c>
      <c r="BD77" s="1" t="n">
        <f aca="false">SUM(AQ77:BB77)</f>
        <v>0</v>
      </c>
      <c r="BE77" s="1" t="n">
        <f aca="false">'Plan cashflow'!O77</f>
        <v>0</v>
      </c>
      <c r="BF77" s="1" t="n">
        <f aca="false">IF(BE77&gt;0.5,BE77+BE77*(D_iL)-MIN(F_LoanPayM,BE77+BE77*(D_iL)),BE77)</f>
        <v>0</v>
      </c>
      <c r="BG77" s="1" t="n">
        <f aca="false">IF(BF77&gt;0.5,BF77+BF77*(D_iL)-MIN(F_LoanPayM,BF77+BF77*(D_iL)),BF77)</f>
        <v>0</v>
      </c>
      <c r="BH77" s="1" t="n">
        <f aca="false">IF(BG77&gt;0.5,BG77+BG77*(D_iL)-MIN(F_LoanPayM,BG77+BG77*(D_iL)),BG77)</f>
        <v>0</v>
      </c>
      <c r="BI77" s="1" t="n">
        <f aca="false">IF(BH77&gt;0.5,BH77+BH77*(D_iL)-MIN(F_LoanPayM,BH77+BH77*(D_iL)),BH77)</f>
        <v>0</v>
      </c>
      <c r="BJ77" s="1" t="n">
        <f aca="false">IF(BI77&gt;0.5,BI77+BI77*(D_iL)-MIN(F_LoanPayM,BI77+BI77*(D_iL)),BI77)</f>
        <v>0</v>
      </c>
      <c r="BK77" s="1" t="n">
        <f aca="false">IF(BJ77&gt;0.5,BJ77+BJ77*(D_iL)-MIN(F_LoanPayM,BJ77+BJ77*(D_iL)),BJ77)</f>
        <v>0</v>
      </c>
      <c r="BL77" s="1" t="n">
        <f aca="false">IF(BK77&gt;0.5,BK77+BK77*(D_iL)-MIN(F_LoanPayM,BK77+BK77*(D_iL)),BK77)</f>
        <v>0</v>
      </c>
      <c r="BM77" s="1" t="n">
        <f aca="false">IF(BL77&gt;0.5,BL77+BL77*(D_iL)-MIN(F_LoanPayM,BL77+BL77*(D_iL)),BL77)</f>
        <v>0</v>
      </c>
      <c r="BN77" s="1" t="n">
        <f aca="false">IF(BM77&gt;0.5,BM77+BM77*(D_iL)-MIN(F_LoanPayM,BM77+BM77*(D_iL)),BM77)</f>
        <v>0</v>
      </c>
      <c r="BO77" s="1" t="n">
        <f aca="false">IF(BN77&gt;0.5,BN77+BN77*(D_iL)-MIN(F_LoanPayM,BN77+BN77*(D_iL)),BN77)</f>
        <v>0</v>
      </c>
      <c r="BP77" s="1" t="n">
        <f aca="false">IF(BO77&gt;0.5,BO77+BO77*(D_iL)-MIN(F_LoanPayM,BO77+BO77*(D_iL)),BO77)</f>
        <v>0</v>
      </c>
      <c r="BQ77" s="1" t="n">
        <f aca="false">IF(BP77&gt;0.5,BP77+BP77*(D_iL)-MIN(F_LoanPayM,BP77+BP77*(D_iL)),BP77)</f>
        <v>0</v>
      </c>
      <c r="BR77" s="1" t="n">
        <f aca="false">IF(BE77&gt;0.5,MIN(F_LoanPayM,BE77+BE77*(D_iL)),0)</f>
        <v>0</v>
      </c>
      <c r="BS77" s="1" t="n">
        <f aca="false">IF(BF77&gt;0.5,MIN(F_LoanPayM,BF77+BF77*(D_iL)),0)</f>
        <v>0</v>
      </c>
      <c r="BT77" s="1" t="n">
        <f aca="false">IF(BG77&gt;0.5,MIN(F_LoanPayM,BG77+BG77*(D_iL)),0)</f>
        <v>0</v>
      </c>
      <c r="BU77" s="1" t="n">
        <f aca="false">IF(BH77&gt;0.5,MIN(F_LoanPayM,BH77+BH77*(D_iL)),0)</f>
        <v>0</v>
      </c>
      <c r="BV77" s="1" t="n">
        <f aca="false">IF(BI77&gt;0.5,MIN(F_LoanPayM,BI77+BI77*(D_iL)),0)</f>
        <v>0</v>
      </c>
      <c r="BW77" s="1" t="n">
        <f aca="false">IF(BJ77&gt;0.5,MIN(F_LoanPayM,BJ77+BJ77*(D_iL)),0)</f>
        <v>0</v>
      </c>
      <c r="BX77" s="1" t="n">
        <f aca="false">IF(BK77&gt;0.5,MIN(F_LoanPayM,BK77+BK77*(D_iL)),0)</f>
        <v>0</v>
      </c>
      <c r="BY77" s="1" t="n">
        <f aca="false">IF(BL77&gt;0.5,MIN(F_LoanPayM,BL77+BL77*(D_iL)),0)</f>
        <v>0</v>
      </c>
      <c r="BZ77" s="1" t="n">
        <f aca="false">IF(BM77&gt;0.5,MIN(F_LoanPayM,BM77+BM77*(D_iL)),0)</f>
        <v>0</v>
      </c>
      <c r="CA77" s="1" t="n">
        <f aca="false">IF(BN77&gt;0.5,MIN(F_LoanPayM,BN77+BN77*(D_iL)),0)</f>
        <v>0</v>
      </c>
      <c r="CB77" s="1" t="n">
        <f aca="false">IF(BO77&gt;0.5,MIN(F_LoanPayM,BO77+BO77*(D_iL)),0)</f>
        <v>0</v>
      </c>
      <c r="CC77" s="1" t="n">
        <f aca="false">IF(BP77&gt;0.5,MIN(F_LoanPayM,BP77+BP77*(D_iL)),0)</f>
        <v>0</v>
      </c>
      <c r="CD77" s="1" t="n">
        <f aca="false">MAX(0,BQ77)</f>
        <v>0</v>
      </c>
      <c r="CE77" s="1" t="n">
        <f aca="false">SUM(BR77:CC77)</f>
        <v>0</v>
      </c>
      <c r="CF77" s="1" t="n">
        <f aca="false">IF(CF76&gt;1,DE76,CF76)</f>
        <v>0</v>
      </c>
      <c r="CG77" s="1" t="n">
        <f aca="false">IF(CF77&gt;0.5,CF77+CF77*(F_MR/12)-MIN(F_MortPayM,CF77+CF77*(F_MR/12)),CF77)</f>
        <v>0</v>
      </c>
      <c r="CH77" s="1" t="n">
        <f aca="false">IF(CG77&gt;0.5,CG77+CG77*(F_MR/12)-MIN(F_MortPayM,CG77+CG77*(F_MR/12)),CG77)</f>
        <v>0</v>
      </c>
      <c r="CI77" s="1" t="n">
        <f aca="false">IF(CH77&gt;0.5,CH77+CH77*(F_MR/12)-MIN(F_MortPayM,CH77+CH77*(F_MR/12)),CH77)</f>
        <v>0</v>
      </c>
      <c r="CJ77" s="1" t="n">
        <f aca="false">IF(CI77&gt;0.5,CI77+CI77*(F_MR/12)-MIN(F_MortPayM,CI77+CI77*(F_MR/12)),CI77)</f>
        <v>0</v>
      </c>
      <c r="CK77" s="1" t="n">
        <f aca="false">IF(CJ77&gt;0.5,CJ77+CJ77*(F_MR/12)-MIN(F_MortPayM,CJ77+CJ77*(F_MR/12)),CJ77)</f>
        <v>0</v>
      </c>
      <c r="CL77" s="1" t="n">
        <f aca="false">IF(CK77&gt;0.5,CK77+CK77*(F_MR/12)-MIN(F_MortPayM,CK77+CK77*(F_MR/12)),CK77)</f>
        <v>0</v>
      </c>
      <c r="CM77" s="1" t="n">
        <f aca="false">IF(CL77&gt;0.5,CL77+CL77*(F_MR/12)-MIN(F_MortPayM,CL77+CL77*(F_MR/12)),CL77)</f>
        <v>0</v>
      </c>
      <c r="CN77" s="1" t="n">
        <f aca="false">IF(CM77&gt;0.5,CM77+CM77*(F_MR/12)-MIN(F_MortPayM,CM77+CM77*(F_MR/12)),CM77)</f>
        <v>0</v>
      </c>
      <c r="CO77" s="1" t="n">
        <f aca="false">IF(CN77&gt;0.5,CN77+CN77*(F_MR/12)-MIN(F_MortPayM,CN77+CN77*(F_MR/12)),CN77)</f>
        <v>0</v>
      </c>
      <c r="CP77" s="1" t="n">
        <f aca="false">IF(CO77&gt;0.5,CO77+CO77*(F_MR/12)-MIN(F_MortPayM,CO77+CO77*(F_MR/12)),CO77)</f>
        <v>0</v>
      </c>
      <c r="CQ77" s="1" t="n">
        <f aca="false">IF(CP77&gt;0.5,CP77+CP77*(F_MR/12)-MIN(F_MortPayM,CP77+CP77*(F_MR/12)),CP77)</f>
        <v>0</v>
      </c>
      <c r="CR77" s="1" t="n">
        <f aca="false">IF(CQ77&gt;0.5,CQ77+CQ77*(F_MR/12)-MIN(F_MortPayM,CQ77+CQ77*(F_MR/12)),CQ77)</f>
        <v>0</v>
      </c>
      <c r="CS77" s="1" t="n">
        <f aca="false">IF(CF77&gt;0.5,MIN(F_MortPayM,CF77+CF77*(F_MR/12)),0)</f>
        <v>0</v>
      </c>
      <c r="CT77" s="1" t="n">
        <f aca="false">IF(CG77&gt;0.5,MIN(F_MortPayM,CG77+CG77*(F_MR/12)),0)</f>
        <v>0</v>
      </c>
      <c r="CU77" s="1" t="n">
        <f aca="false">IF(CH77&gt;0.5,MIN(F_MortPayM,CH77+CH77*(F_MR/12)),0)</f>
        <v>0</v>
      </c>
      <c r="CV77" s="1" t="n">
        <f aca="false">IF(CI77&gt;0.5,MIN(F_MortPayM,CI77+CI77*(F_MR/12)),0)</f>
        <v>0</v>
      </c>
      <c r="CW77" s="1" t="n">
        <f aca="false">IF(CJ77&gt;0.5,MIN(F_MortPayM,CJ77+CJ77*(F_MR/12)),0)</f>
        <v>0</v>
      </c>
      <c r="CX77" s="1" t="n">
        <f aca="false">IF(CK77&gt;0.5,MIN(F_MortPayM,CK77+CK77*(F_MR/12)),0)</f>
        <v>0</v>
      </c>
      <c r="CY77" s="1" t="n">
        <f aca="false">IF(CL77&gt;0.5,MIN(F_MortPayM,CL77+CL77*(F_MR/12)),0)</f>
        <v>0</v>
      </c>
      <c r="CZ77" s="1" t="n">
        <f aca="false">IF(CM77&gt;0.5,MIN(F_MortPayM,CM77+CM77*(F_MR/12)),0)</f>
        <v>0</v>
      </c>
      <c r="DA77" s="1" t="n">
        <f aca="false">IF(CN77&gt;0.5,MIN(F_MortPayM,CN77+CN77*(F_MR/12)),0)</f>
        <v>0</v>
      </c>
      <c r="DB77" s="1" t="n">
        <f aca="false">IF(CO77&gt;0.5,MIN(F_MortPayM,CO77+CO77*(F_MR/12)),0)</f>
        <v>0</v>
      </c>
      <c r="DC77" s="1" t="n">
        <f aca="false">IF(CP77&gt;0.5,MIN(F_MortPayM,CP77+CP77*(F_MR/12)),0)</f>
        <v>0</v>
      </c>
      <c r="DD77" s="1" t="n">
        <f aca="false">IF(CQ77&gt;0.5,MIN(F_MortPayM,CQ77+CQ77*(F_MR/12)),0)</f>
        <v>0</v>
      </c>
      <c r="DE77" s="1" t="n">
        <f aca="false">MAX(0,CR77)</f>
        <v>0</v>
      </c>
      <c r="DF77" s="1" t="n">
        <f aca="false">SUM(CS77:DD77)</f>
        <v>0</v>
      </c>
      <c r="DG77" s="1" t="n">
        <f aca="false">MAX(0,CF77)</f>
        <v>0</v>
      </c>
    </row>
    <row r="78" customFormat="false" ht="15" hidden="false" customHeight="false" outlineLevel="0" collapsed="false">
      <c r="B78" s="1" t="n">
        <v>70</v>
      </c>
      <c r="C78" s="1" t="n">
        <f aca="false">'Plan cashflow'!I78</f>
        <v>0</v>
      </c>
      <c r="D78" s="1" t="n">
        <f aca="false">IF(C78&gt;0.5,C78+C78*(F_MR/12)-MIN(F_MortPayM,C78+C78*(F_MR/12)),C78)</f>
        <v>0</v>
      </c>
      <c r="E78" s="1" t="n">
        <f aca="false">IF(D78&gt;0.5,D78+D78*(F_MR/12)-MIN(F_MortPayM,D78+D78*(F_MR/12)),D78)</f>
        <v>0</v>
      </c>
      <c r="F78" s="1" t="n">
        <f aca="false">IF(E78&gt;0.5,E78+E78*(F_MR/12)-MIN(F_MortPayM,E78+E78*(F_MR/12)),E78)</f>
        <v>0</v>
      </c>
      <c r="G78" s="1" t="n">
        <f aca="false">IF(F78&gt;0.5,F78+F78*(F_MR/12)-MIN(F_MortPayM,F78+F78*(F_MR/12)),F78)</f>
        <v>0</v>
      </c>
      <c r="H78" s="1" t="n">
        <f aca="false">IF(G78&gt;0.5,G78+G78*(F_MR/12)-MIN(F_MortPayM,G78+G78*(F_MR/12)),G78)</f>
        <v>0</v>
      </c>
      <c r="I78" s="1" t="n">
        <f aca="false">IF(H78&gt;0.5,H78+H78*(F_MR/12)-MIN(F_MortPayM,H78+H78*(F_MR/12)),H78)</f>
        <v>0</v>
      </c>
      <c r="J78" s="1" t="n">
        <f aca="false">IF(I78&gt;0.5,I78+I78*(F_MR/12)-MIN(F_MortPayM,I78+I78*(F_MR/12)),I78)</f>
        <v>0</v>
      </c>
      <c r="K78" s="1" t="n">
        <f aca="false">IF(J78&gt;0.5,J78+J78*(F_MR/12)-MIN(F_MortPayM,J78+J78*(F_MR/12)),J78)</f>
        <v>0</v>
      </c>
      <c r="L78" s="1" t="n">
        <f aca="false">IF(K78&gt;0.5,K78+K78*(F_MR/12)-MIN(F_MortPayM,K78+K78*(F_MR/12)),K78)</f>
        <v>0</v>
      </c>
      <c r="M78" s="1" t="n">
        <f aca="false">IF(L78&gt;0.5,L78+L78*(F_MR/12)-MIN(F_MortPayM,L78+L78*(F_MR/12)),L78)</f>
        <v>0</v>
      </c>
      <c r="N78" s="1" t="n">
        <f aca="false">IF(M78&gt;0.5,M78+M78*(F_MR/12)-MIN(F_MortPayM,M78+M78*(F_MR/12)),M78)</f>
        <v>0</v>
      </c>
      <c r="O78" s="1" t="n">
        <f aca="false">IF(N78&gt;0.5,N78+N78*(F_MR/12)-MIN(F_MortPayM,N78+N78*(F_MR/12)),N78)</f>
        <v>0</v>
      </c>
      <c r="P78" s="1" t="n">
        <f aca="false">IF(C78&gt;0.5,MIN(F_MortPayM,C78+C78*(F_MR/12)),0)</f>
        <v>0</v>
      </c>
      <c r="Q78" s="1" t="n">
        <f aca="false">IF(D78&gt;0.5,MIN(F_MortPayM,D78+D78*(F_MR/12)),0)</f>
        <v>0</v>
      </c>
      <c r="R78" s="1" t="n">
        <f aca="false">IF(E78&gt;0.5,MIN(F_MortPayM,E78+E78*(F_MR/12)),0)</f>
        <v>0</v>
      </c>
      <c r="S78" s="1" t="n">
        <f aca="false">IF(F78&gt;0.5,MIN(F_MortPayM,F78+F78*(F_MR/12)),0)</f>
        <v>0</v>
      </c>
      <c r="T78" s="1" t="n">
        <f aca="false">IF(G78&gt;0.5,MIN(F_MortPayM,G78+G78*(F_MR/12)),0)</f>
        <v>0</v>
      </c>
      <c r="U78" s="1" t="n">
        <f aca="false">IF(H78&gt;0.5,MIN(F_MortPayM,H78+H78*(F_MR/12)),0)</f>
        <v>0</v>
      </c>
      <c r="V78" s="1" t="n">
        <f aca="false">IF(I78&gt;0.5,MIN(F_MortPayM,I78+I78*(F_MR/12)),0)</f>
        <v>0</v>
      </c>
      <c r="W78" s="1" t="n">
        <f aca="false">IF(J78&gt;0.5,MIN(F_MortPayM,J78+J78*(F_MR/12)),0)</f>
        <v>0</v>
      </c>
      <c r="X78" s="1" t="n">
        <f aca="false">IF(K78&gt;0.5,MIN(F_MortPayM,K78+K78*(F_MR/12)),0)</f>
        <v>0</v>
      </c>
      <c r="Y78" s="1" t="n">
        <f aca="false">IF(L78&gt;0.5,MIN(F_MortPayM,L78+L78*(F_MR/12)),0)</f>
        <v>0</v>
      </c>
      <c r="Z78" s="1" t="n">
        <f aca="false">IF(M78&gt;0.5,MIN(F_MortPayM,M78+M78*(F_MR/12)),0)</f>
        <v>0</v>
      </c>
      <c r="AA78" s="1" t="n">
        <f aca="false">IF(N78&gt;0.5,MIN(F_MortPayM,N78+N78*(F_MR/12)),0)</f>
        <v>0</v>
      </c>
      <c r="AB78" s="1" t="n">
        <f aca="false">MAX(0,O78)</f>
        <v>0</v>
      </c>
      <c r="AC78" s="1" t="n">
        <f aca="false">SUM(P78:AA78)</f>
        <v>0</v>
      </c>
      <c r="AD78" s="1" t="n">
        <f aca="false">'Plan cashflow'!L78</f>
        <v>0</v>
      </c>
      <c r="AE78" s="1" t="n">
        <f aca="false">IF(AD78&gt;0.5,AD78+AD78*(D_iC)-MIN(F_CardPayM,AD78+AD78*(D_iC)),AD78)</f>
        <v>0</v>
      </c>
      <c r="AF78" s="1" t="n">
        <f aca="false">IF(AE78&gt;0.5,AE78+AE78*(D_iC)-MIN(F_CardPayM,AE78+AE78*(D_iC)),AE78)</f>
        <v>0</v>
      </c>
      <c r="AG78" s="1" t="n">
        <f aca="false">IF(AF78&gt;0.5,AF78+AF78*(D_iC)-MIN(F_CardPayM,AF78+AF78*(D_iC)),AF78)</f>
        <v>0</v>
      </c>
      <c r="AH78" s="1" t="n">
        <f aca="false">IF(AG78&gt;0.5,AG78+AG78*(D_iC)-MIN(F_CardPayM,AG78+AG78*(D_iC)),AG78)</f>
        <v>0</v>
      </c>
      <c r="AI78" s="1" t="n">
        <f aca="false">IF(AH78&gt;0.5,AH78+AH78*(D_iC)-MIN(F_CardPayM,AH78+AH78*(D_iC)),AH78)</f>
        <v>0</v>
      </c>
      <c r="AJ78" s="1" t="n">
        <f aca="false">IF(AI78&gt;0.5,AI78+AI78*(D_iC)-MIN(F_CardPayM,AI78+AI78*(D_iC)),AI78)</f>
        <v>0</v>
      </c>
      <c r="AK78" s="1" t="n">
        <f aca="false">IF(AJ78&gt;0.5,AJ78+AJ78*(D_iC)-MIN(F_CardPayM,AJ78+AJ78*(D_iC)),AJ78)</f>
        <v>0</v>
      </c>
      <c r="AL78" s="1" t="n">
        <f aca="false">IF(AK78&gt;0.5,AK78+AK78*(D_iC)-MIN(F_CardPayM,AK78+AK78*(D_iC)),AK78)</f>
        <v>0</v>
      </c>
      <c r="AM78" s="1" t="n">
        <f aca="false">IF(AL78&gt;0.5,AL78+AL78*(D_iC)-MIN(F_CardPayM,AL78+AL78*(D_iC)),AL78)</f>
        <v>0</v>
      </c>
      <c r="AN78" s="1" t="n">
        <f aca="false">IF(AM78&gt;0.5,AM78+AM78*(D_iC)-MIN(F_CardPayM,AM78+AM78*(D_iC)),AM78)</f>
        <v>0</v>
      </c>
      <c r="AO78" s="1" t="n">
        <f aca="false">IF(AN78&gt;0.5,AN78+AN78*(D_iC)-MIN(F_CardPayM,AN78+AN78*(D_iC)),AN78)</f>
        <v>0</v>
      </c>
      <c r="AP78" s="1" t="n">
        <f aca="false">IF(AO78&gt;0.5,AO78+AO78*(D_iC)-MIN(F_CardPayM,AO78+AO78*(D_iC)),AO78)</f>
        <v>0</v>
      </c>
      <c r="AQ78" s="1" t="n">
        <f aca="false">IF(AD78&gt;0.5,MIN(F_CardPayM,AD78+AD78*(D_iC)),0)</f>
        <v>0</v>
      </c>
      <c r="AR78" s="1" t="n">
        <f aca="false">IF(AE78&gt;0.5,MIN(F_CardPayM,AE78+AE78*(D_iC)),0)</f>
        <v>0</v>
      </c>
      <c r="AS78" s="1" t="n">
        <f aca="false">IF(AF78&gt;0.5,MIN(F_CardPayM,AF78+AF78*(D_iC)),0)</f>
        <v>0</v>
      </c>
      <c r="AT78" s="1" t="n">
        <f aca="false">IF(AG78&gt;0.5,MIN(F_CardPayM,AG78+AG78*(D_iC)),0)</f>
        <v>0</v>
      </c>
      <c r="AU78" s="1" t="n">
        <f aca="false">IF(AH78&gt;0.5,MIN(F_CardPayM,AH78+AH78*(D_iC)),0)</f>
        <v>0</v>
      </c>
      <c r="AV78" s="1" t="n">
        <f aca="false">IF(AI78&gt;0.5,MIN(F_CardPayM,AI78+AI78*(D_iC)),0)</f>
        <v>0</v>
      </c>
      <c r="AW78" s="1" t="n">
        <f aca="false">IF(AJ78&gt;0.5,MIN(F_CardPayM,AJ78+AJ78*(D_iC)),0)</f>
        <v>0</v>
      </c>
      <c r="AX78" s="1" t="n">
        <f aca="false">IF(AK78&gt;0.5,MIN(F_CardPayM,AK78+AK78*(D_iC)),0)</f>
        <v>0</v>
      </c>
      <c r="AY78" s="1" t="n">
        <f aca="false">IF(AL78&gt;0.5,MIN(F_CardPayM,AL78+AL78*(D_iC)),0)</f>
        <v>0</v>
      </c>
      <c r="AZ78" s="1" t="n">
        <f aca="false">IF(AM78&gt;0.5,MIN(F_CardPayM,AM78+AM78*(D_iC)),0)</f>
        <v>0</v>
      </c>
      <c r="BA78" s="1" t="n">
        <f aca="false">IF(AN78&gt;0.5,MIN(F_CardPayM,AN78+AN78*(D_iC)),0)</f>
        <v>0</v>
      </c>
      <c r="BB78" s="1" t="n">
        <f aca="false">IF(AO78&gt;0.5,MIN(F_CardPayM,AO78+AO78*(D_iC)),0)</f>
        <v>0</v>
      </c>
      <c r="BC78" s="1" t="n">
        <f aca="false">MAX(0,AP78)</f>
        <v>0</v>
      </c>
      <c r="BD78" s="1" t="n">
        <f aca="false">SUM(AQ78:BB78)</f>
        <v>0</v>
      </c>
      <c r="BE78" s="1" t="n">
        <f aca="false">'Plan cashflow'!O78</f>
        <v>0</v>
      </c>
      <c r="BF78" s="1" t="n">
        <f aca="false">IF(BE78&gt;0.5,BE78+BE78*(D_iL)-MIN(F_LoanPayM,BE78+BE78*(D_iL)),BE78)</f>
        <v>0</v>
      </c>
      <c r="BG78" s="1" t="n">
        <f aca="false">IF(BF78&gt;0.5,BF78+BF78*(D_iL)-MIN(F_LoanPayM,BF78+BF78*(D_iL)),BF78)</f>
        <v>0</v>
      </c>
      <c r="BH78" s="1" t="n">
        <f aca="false">IF(BG78&gt;0.5,BG78+BG78*(D_iL)-MIN(F_LoanPayM,BG78+BG78*(D_iL)),BG78)</f>
        <v>0</v>
      </c>
      <c r="BI78" s="1" t="n">
        <f aca="false">IF(BH78&gt;0.5,BH78+BH78*(D_iL)-MIN(F_LoanPayM,BH78+BH78*(D_iL)),BH78)</f>
        <v>0</v>
      </c>
      <c r="BJ78" s="1" t="n">
        <f aca="false">IF(BI78&gt;0.5,BI78+BI78*(D_iL)-MIN(F_LoanPayM,BI78+BI78*(D_iL)),BI78)</f>
        <v>0</v>
      </c>
      <c r="BK78" s="1" t="n">
        <f aca="false">IF(BJ78&gt;0.5,BJ78+BJ78*(D_iL)-MIN(F_LoanPayM,BJ78+BJ78*(D_iL)),BJ78)</f>
        <v>0</v>
      </c>
      <c r="BL78" s="1" t="n">
        <f aca="false">IF(BK78&gt;0.5,BK78+BK78*(D_iL)-MIN(F_LoanPayM,BK78+BK78*(D_iL)),BK78)</f>
        <v>0</v>
      </c>
      <c r="BM78" s="1" t="n">
        <f aca="false">IF(BL78&gt;0.5,BL78+BL78*(D_iL)-MIN(F_LoanPayM,BL78+BL78*(D_iL)),BL78)</f>
        <v>0</v>
      </c>
      <c r="BN78" s="1" t="n">
        <f aca="false">IF(BM78&gt;0.5,BM78+BM78*(D_iL)-MIN(F_LoanPayM,BM78+BM78*(D_iL)),BM78)</f>
        <v>0</v>
      </c>
      <c r="BO78" s="1" t="n">
        <f aca="false">IF(BN78&gt;0.5,BN78+BN78*(D_iL)-MIN(F_LoanPayM,BN78+BN78*(D_iL)),BN78)</f>
        <v>0</v>
      </c>
      <c r="BP78" s="1" t="n">
        <f aca="false">IF(BO78&gt;0.5,BO78+BO78*(D_iL)-MIN(F_LoanPayM,BO78+BO78*(D_iL)),BO78)</f>
        <v>0</v>
      </c>
      <c r="BQ78" s="1" t="n">
        <f aca="false">IF(BP78&gt;0.5,BP78+BP78*(D_iL)-MIN(F_LoanPayM,BP78+BP78*(D_iL)),BP78)</f>
        <v>0</v>
      </c>
      <c r="BR78" s="1" t="n">
        <f aca="false">IF(BE78&gt;0.5,MIN(F_LoanPayM,BE78+BE78*(D_iL)),0)</f>
        <v>0</v>
      </c>
      <c r="BS78" s="1" t="n">
        <f aca="false">IF(BF78&gt;0.5,MIN(F_LoanPayM,BF78+BF78*(D_iL)),0)</f>
        <v>0</v>
      </c>
      <c r="BT78" s="1" t="n">
        <f aca="false">IF(BG78&gt;0.5,MIN(F_LoanPayM,BG78+BG78*(D_iL)),0)</f>
        <v>0</v>
      </c>
      <c r="BU78" s="1" t="n">
        <f aca="false">IF(BH78&gt;0.5,MIN(F_LoanPayM,BH78+BH78*(D_iL)),0)</f>
        <v>0</v>
      </c>
      <c r="BV78" s="1" t="n">
        <f aca="false">IF(BI78&gt;0.5,MIN(F_LoanPayM,BI78+BI78*(D_iL)),0)</f>
        <v>0</v>
      </c>
      <c r="BW78" s="1" t="n">
        <f aca="false">IF(BJ78&gt;0.5,MIN(F_LoanPayM,BJ78+BJ78*(D_iL)),0)</f>
        <v>0</v>
      </c>
      <c r="BX78" s="1" t="n">
        <f aca="false">IF(BK78&gt;0.5,MIN(F_LoanPayM,BK78+BK78*(D_iL)),0)</f>
        <v>0</v>
      </c>
      <c r="BY78" s="1" t="n">
        <f aca="false">IF(BL78&gt;0.5,MIN(F_LoanPayM,BL78+BL78*(D_iL)),0)</f>
        <v>0</v>
      </c>
      <c r="BZ78" s="1" t="n">
        <f aca="false">IF(BM78&gt;0.5,MIN(F_LoanPayM,BM78+BM78*(D_iL)),0)</f>
        <v>0</v>
      </c>
      <c r="CA78" s="1" t="n">
        <f aca="false">IF(BN78&gt;0.5,MIN(F_LoanPayM,BN78+BN78*(D_iL)),0)</f>
        <v>0</v>
      </c>
      <c r="CB78" s="1" t="n">
        <f aca="false">IF(BO78&gt;0.5,MIN(F_LoanPayM,BO78+BO78*(D_iL)),0)</f>
        <v>0</v>
      </c>
      <c r="CC78" s="1" t="n">
        <f aca="false">IF(BP78&gt;0.5,MIN(F_LoanPayM,BP78+BP78*(D_iL)),0)</f>
        <v>0</v>
      </c>
      <c r="CD78" s="1" t="n">
        <f aca="false">MAX(0,BQ78)</f>
        <v>0</v>
      </c>
      <c r="CE78" s="1" t="n">
        <f aca="false">SUM(BR78:CC78)</f>
        <v>0</v>
      </c>
      <c r="CF78" s="1" t="n">
        <f aca="false">IF(CF77&gt;1,DE77,CF77)</f>
        <v>0</v>
      </c>
      <c r="CG78" s="1" t="n">
        <f aca="false">IF(CF78&gt;0.5,CF78+CF78*(F_MR/12)-MIN(F_MortPayM,CF78+CF78*(F_MR/12)),CF78)</f>
        <v>0</v>
      </c>
      <c r="CH78" s="1" t="n">
        <f aca="false">IF(CG78&gt;0.5,CG78+CG78*(F_MR/12)-MIN(F_MortPayM,CG78+CG78*(F_MR/12)),CG78)</f>
        <v>0</v>
      </c>
      <c r="CI78" s="1" t="n">
        <f aca="false">IF(CH78&gt;0.5,CH78+CH78*(F_MR/12)-MIN(F_MortPayM,CH78+CH78*(F_MR/12)),CH78)</f>
        <v>0</v>
      </c>
      <c r="CJ78" s="1" t="n">
        <f aca="false">IF(CI78&gt;0.5,CI78+CI78*(F_MR/12)-MIN(F_MortPayM,CI78+CI78*(F_MR/12)),CI78)</f>
        <v>0</v>
      </c>
      <c r="CK78" s="1" t="n">
        <f aca="false">IF(CJ78&gt;0.5,CJ78+CJ78*(F_MR/12)-MIN(F_MortPayM,CJ78+CJ78*(F_MR/12)),CJ78)</f>
        <v>0</v>
      </c>
      <c r="CL78" s="1" t="n">
        <f aca="false">IF(CK78&gt;0.5,CK78+CK78*(F_MR/12)-MIN(F_MortPayM,CK78+CK78*(F_MR/12)),CK78)</f>
        <v>0</v>
      </c>
      <c r="CM78" s="1" t="n">
        <f aca="false">IF(CL78&gt;0.5,CL78+CL78*(F_MR/12)-MIN(F_MortPayM,CL78+CL78*(F_MR/12)),CL78)</f>
        <v>0</v>
      </c>
      <c r="CN78" s="1" t="n">
        <f aca="false">IF(CM78&gt;0.5,CM78+CM78*(F_MR/12)-MIN(F_MortPayM,CM78+CM78*(F_MR/12)),CM78)</f>
        <v>0</v>
      </c>
      <c r="CO78" s="1" t="n">
        <f aca="false">IF(CN78&gt;0.5,CN78+CN78*(F_MR/12)-MIN(F_MortPayM,CN78+CN78*(F_MR/12)),CN78)</f>
        <v>0</v>
      </c>
      <c r="CP78" s="1" t="n">
        <f aca="false">IF(CO78&gt;0.5,CO78+CO78*(F_MR/12)-MIN(F_MortPayM,CO78+CO78*(F_MR/12)),CO78)</f>
        <v>0</v>
      </c>
      <c r="CQ78" s="1" t="n">
        <f aca="false">IF(CP78&gt;0.5,CP78+CP78*(F_MR/12)-MIN(F_MortPayM,CP78+CP78*(F_MR/12)),CP78)</f>
        <v>0</v>
      </c>
      <c r="CR78" s="1" t="n">
        <f aca="false">IF(CQ78&gt;0.5,CQ78+CQ78*(F_MR/12)-MIN(F_MortPayM,CQ78+CQ78*(F_MR/12)),CQ78)</f>
        <v>0</v>
      </c>
      <c r="CS78" s="1" t="n">
        <f aca="false">IF(CF78&gt;0.5,MIN(F_MortPayM,CF78+CF78*(F_MR/12)),0)</f>
        <v>0</v>
      </c>
      <c r="CT78" s="1" t="n">
        <f aca="false">IF(CG78&gt;0.5,MIN(F_MortPayM,CG78+CG78*(F_MR/12)),0)</f>
        <v>0</v>
      </c>
      <c r="CU78" s="1" t="n">
        <f aca="false">IF(CH78&gt;0.5,MIN(F_MortPayM,CH78+CH78*(F_MR/12)),0)</f>
        <v>0</v>
      </c>
      <c r="CV78" s="1" t="n">
        <f aca="false">IF(CI78&gt;0.5,MIN(F_MortPayM,CI78+CI78*(F_MR/12)),0)</f>
        <v>0</v>
      </c>
      <c r="CW78" s="1" t="n">
        <f aca="false">IF(CJ78&gt;0.5,MIN(F_MortPayM,CJ78+CJ78*(F_MR/12)),0)</f>
        <v>0</v>
      </c>
      <c r="CX78" s="1" t="n">
        <f aca="false">IF(CK78&gt;0.5,MIN(F_MortPayM,CK78+CK78*(F_MR/12)),0)</f>
        <v>0</v>
      </c>
      <c r="CY78" s="1" t="n">
        <f aca="false">IF(CL78&gt;0.5,MIN(F_MortPayM,CL78+CL78*(F_MR/12)),0)</f>
        <v>0</v>
      </c>
      <c r="CZ78" s="1" t="n">
        <f aca="false">IF(CM78&gt;0.5,MIN(F_MortPayM,CM78+CM78*(F_MR/12)),0)</f>
        <v>0</v>
      </c>
      <c r="DA78" s="1" t="n">
        <f aca="false">IF(CN78&gt;0.5,MIN(F_MortPayM,CN78+CN78*(F_MR/12)),0)</f>
        <v>0</v>
      </c>
      <c r="DB78" s="1" t="n">
        <f aca="false">IF(CO78&gt;0.5,MIN(F_MortPayM,CO78+CO78*(F_MR/12)),0)</f>
        <v>0</v>
      </c>
      <c r="DC78" s="1" t="n">
        <f aca="false">IF(CP78&gt;0.5,MIN(F_MortPayM,CP78+CP78*(F_MR/12)),0)</f>
        <v>0</v>
      </c>
      <c r="DD78" s="1" t="n">
        <f aca="false">IF(CQ78&gt;0.5,MIN(F_MortPayM,CQ78+CQ78*(F_MR/12)),0)</f>
        <v>0</v>
      </c>
      <c r="DE78" s="1" t="n">
        <f aca="false">MAX(0,CR78)</f>
        <v>0</v>
      </c>
      <c r="DF78" s="1" t="n">
        <f aca="false">SUM(CS78:DD78)</f>
        <v>0</v>
      </c>
      <c r="DG78" s="1" t="n">
        <f aca="false">MAX(0,CF78)</f>
        <v>0</v>
      </c>
    </row>
    <row r="79" customFormat="false" ht="15" hidden="false" customHeight="false" outlineLevel="0" collapsed="false">
      <c r="B79" s="1" t="n">
        <v>71</v>
      </c>
      <c r="C79" s="1" t="n">
        <f aca="false">'Plan cashflow'!I79</f>
        <v>0</v>
      </c>
      <c r="D79" s="1" t="n">
        <f aca="false">IF(C79&gt;0.5,C79+C79*(F_MR/12)-MIN(F_MortPayM,C79+C79*(F_MR/12)),C79)</f>
        <v>0</v>
      </c>
      <c r="E79" s="1" t="n">
        <f aca="false">IF(D79&gt;0.5,D79+D79*(F_MR/12)-MIN(F_MortPayM,D79+D79*(F_MR/12)),D79)</f>
        <v>0</v>
      </c>
      <c r="F79" s="1" t="n">
        <f aca="false">IF(E79&gt;0.5,E79+E79*(F_MR/12)-MIN(F_MortPayM,E79+E79*(F_MR/12)),E79)</f>
        <v>0</v>
      </c>
      <c r="G79" s="1" t="n">
        <f aca="false">IF(F79&gt;0.5,F79+F79*(F_MR/12)-MIN(F_MortPayM,F79+F79*(F_MR/12)),F79)</f>
        <v>0</v>
      </c>
      <c r="H79" s="1" t="n">
        <f aca="false">IF(G79&gt;0.5,G79+G79*(F_MR/12)-MIN(F_MortPayM,G79+G79*(F_MR/12)),G79)</f>
        <v>0</v>
      </c>
      <c r="I79" s="1" t="n">
        <f aca="false">IF(H79&gt;0.5,H79+H79*(F_MR/12)-MIN(F_MortPayM,H79+H79*(F_MR/12)),H79)</f>
        <v>0</v>
      </c>
      <c r="J79" s="1" t="n">
        <f aca="false">IF(I79&gt;0.5,I79+I79*(F_MR/12)-MIN(F_MortPayM,I79+I79*(F_MR/12)),I79)</f>
        <v>0</v>
      </c>
      <c r="K79" s="1" t="n">
        <f aca="false">IF(J79&gt;0.5,J79+J79*(F_MR/12)-MIN(F_MortPayM,J79+J79*(F_MR/12)),J79)</f>
        <v>0</v>
      </c>
      <c r="L79" s="1" t="n">
        <f aca="false">IF(K79&gt;0.5,K79+K79*(F_MR/12)-MIN(F_MortPayM,K79+K79*(F_MR/12)),K79)</f>
        <v>0</v>
      </c>
      <c r="M79" s="1" t="n">
        <f aca="false">IF(L79&gt;0.5,L79+L79*(F_MR/12)-MIN(F_MortPayM,L79+L79*(F_MR/12)),L79)</f>
        <v>0</v>
      </c>
      <c r="N79" s="1" t="n">
        <f aca="false">IF(M79&gt;0.5,M79+M79*(F_MR/12)-MIN(F_MortPayM,M79+M79*(F_MR/12)),M79)</f>
        <v>0</v>
      </c>
      <c r="O79" s="1" t="n">
        <f aca="false">IF(N79&gt;0.5,N79+N79*(F_MR/12)-MIN(F_MortPayM,N79+N79*(F_MR/12)),N79)</f>
        <v>0</v>
      </c>
      <c r="P79" s="1" t="n">
        <f aca="false">IF(C79&gt;0.5,MIN(F_MortPayM,C79+C79*(F_MR/12)),0)</f>
        <v>0</v>
      </c>
      <c r="Q79" s="1" t="n">
        <f aca="false">IF(D79&gt;0.5,MIN(F_MortPayM,D79+D79*(F_MR/12)),0)</f>
        <v>0</v>
      </c>
      <c r="R79" s="1" t="n">
        <f aca="false">IF(E79&gt;0.5,MIN(F_MortPayM,E79+E79*(F_MR/12)),0)</f>
        <v>0</v>
      </c>
      <c r="S79" s="1" t="n">
        <f aca="false">IF(F79&gt;0.5,MIN(F_MortPayM,F79+F79*(F_MR/12)),0)</f>
        <v>0</v>
      </c>
      <c r="T79" s="1" t="n">
        <f aca="false">IF(G79&gt;0.5,MIN(F_MortPayM,G79+G79*(F_MR/12)),0)</f>
        <v>0</v>
      </c>
      <c r="U79" s="1" t="n">
        <f aca="false">IF(H79&gt;0.5,MIN(F_MortPayM,H79+H79*(F_MR/12)),0)</f>
        <v>0</v>
      </c>
      <c r="V79" s="1" t="n">
        <f aca="false">IF(I79&gt;0.5,MIN(F_MortPayM,I79+I79*(F_MR/12)),0)</f>
        <v>0</v>
      </c>
      <c r="W79" s="1" t="n">
        <f aca="false">IF(J79&gt;0.5,MIN(F_MortPayM,J79+J79*(F_MR/12)),0)</f>
        <v>0</v>
      </c>
      <c r="X79" s="1" t="n">
        <f aca="false">IF(K79&gt;0.5,MIN(F_MortPayM,K79+K79*(F_MR/12)),0)</f>
        <v>0</v>
      </c>
      <c r="Y79" s="1" t="n">
        <f aca="false">IF(L79&gt;0.5,MIN(F_MortPayM,L79+L79*(F_MR/12)),0)</f>
        <v>0</v>
      </c>
      <c r="Z79" s="1" t="n">
        <f aca="false">IF(M79&gt;0.5,MIN(F_MortPayM,M79+M79*(F_MR/12)),0)</f>
        <v>0</v>
      </c>
      <c r="AA79" s="1" t="n">
        <f aca="false">IF(N79&gt;0.5,MIN(F_MortPayM,N79+N79*(F_MR/12)),0)</f>
        <v>0</v>
      </c>
      <c r="AB79" s="1" t="n">
        <f aca="false">MAX(0,O79)</f>
        <v>0</v>
      </c>
      <c r="AC79" s="1" t="n">
        <f aca="false">SUM(P79:AA79)</f>
        <v>0</v>
      </c>
      <c r="AD79" s="1" t="n">
        <f aca="false">'Plan cashflow'!L79</f>
        <v>0</v>
      </c>
      <c r="AE79" s="1" t="n">
        <f aca="false">IF(AD79&gt;0.5,AD79+AD79*(D_iC)-MIN(F_CardPayM,AD79+AD79*(D_iC)),AD79)</f>
        <v>0</v>
      </c>
      <c r="AF79" s="1" t="n">
        <f aca="false">IF(AE79&gt;0.5,AE79+AE79*(D_iC)-MIN(F_CardPayM,AE79+AE79*(D_iC)),AE79)</f>
        <v>0</v>
      </c>
      <c r="AG79" s="1" t="n">
        <f aca="false">IF(AF79&gt;0.5,AF79+AF79*(D_iC)-MIN(F_CardPayM,AF79+AF79*(D_iC)),AF79)</f>
        <v>0</v>
      </c>
      <c r="AH79" s="1" t="n">
        <f aca="false">IF(AG79&gt;0.5,AG79+AG79*(D_iC)-MIN(F_CardPayM,AG79+AG79*(D_iC)),AG79)</f>
        <v>0</v>
      </c>
      <c r="AI79" s="1" t="n">
        <f aca="false">IF(AH79&gt;0.5,AH79+AH79*(D_iC)-MIN(F_CardPayM,AH79+AH79*(D_iC)),AH79)</f>
        <v>0</v>
      </c>
      <c r="AJ79" s="1" t="n">
        <f aca="false">IF(AI79&gt;0.5,AI79+AI79*(D_iC)-MIN(F_CardPayM,AI79+AI79*(D_iC)),AI79)</f>
        <v>0</v>
      </c>
      <c r="AK79" s="1" t="n">
        <f aca="false">IF(AJ79&gt;0.5,AJ79+AJ79*(D_iC)-MIN(F_CardPayM,AJ79+AJ79*(D_iC)),AJ79)</f>
        <v>0</v>
      </c>
      <c r="AL79" s="1" t="n">
        <f aca="false">IF(AK79&gt;0.5,AK79+AK79*(D_iC)-MIN(F_CardPayM,AK79+AK79*(D_iC)),AK79)</f>
        <v>0</v>
      </c>
      <c r="AM79" s="1" t="n">
        <f aca="false">IF(AL79&gt;0.5,AL79+AL79*(D_iC)-MIN(F_CardPayM,AL79+AL79*(D_iC)),AL79)</f>
        <v>0</v>
      </c>
      <c r="AN79" s="1" t="n">
        <f aca="false">IF(AM79&gt;0.5,AM79+AM79*(D_iC)-MIN(F_CardPayM,AM79+AM79*(D_iC)),AM79)</f>
        <v>0</v>
      </c>
      <c r="AO79" s="1" t="n">
        <f aca="false">IF(AN79&gt;0.5,AN79+AN79*(D_iC)-MIN(F_CardPayM,AN79+AN79*(D_iC)),AN79)</f>
        <v>0</v>
      </c>
      <c r="AP79" s="1" t="n">
        <f aca="false">IF(AO79&gt;0.5,AO79+AO79*(D_iC)-MIN(F_CardPayM,AO79+AO79*(D_iC)),AO79)</f>
        <v>0</v>
      </c>
      <c r="AQ79" s="1" t="n">
        <f aca="false">IF(AD79&gt;0.5,MIN(F_CardPayM,AD79+AD79*(D_iC)),0)</f>
        <v>0</v>
      </c>
      <c r="AR79" s="1" t="n">
        <f aca="false">IF(AE79&gt;0.5,MIN(F_CardPayM,AE79+AE79*(D_iC)),0)</f>
        <v>0</v>
      </c>
      <c r="AS79" s="1" t="n">
        <f aca="false">IF(AF79&gt;0.5,MIN(F_CardPayM,AF79+AF79*(D_iC)),0)</f>
        <v>0</v>
      </c>
      <c r="AT79" s="1" t="n">
        <f aca="false">IF(AG79&gt;0.5,MIN(F_CardPayM,AG79+AG79*(D_iC)),0)</f>
        <v>0</v>
      </c>
      <c r="AU79" s="1" t="n">
        <f aca="false">IF(AH79&gt;0.5,MIN(F_CardPayM,AH79+AH79*(D_iC)),0)</f>
        <v>0</v>
      </c>
      <c r="AV79" s="1" t="n">
        <f aca="false">IF(AI79&gt;0.5,MIN(F_CardPayM,AI79+AI79*(D_iC)),0)</f>
        <v>0</v>
      </c>
      <c r="AW79" s="1" t="n">
        <f aca="false">IF(AJ79&gt;0.5,MIN(F_CardPayM,AJ79+AJ79*(D_iC)),0)</f>
        <v>0</v>
      </c>
      <c r="AX79" s="1" t="n">
        <f aca="false">IF(AK79&gt;0.5,MIN(F_CardPayM,AK79+AK79*(D_iC)),0)</f>
        <v>0</v>
      </c>
      <c r="AY79" s="1" t="n">
        <f aca="false">IF(AL79&gt;0.5,MIN(F_CardPayM,AL79+AL79*(D_iC)),0)</f>
        <v>0</v>
      </c>
      <c r="AZ79" s="1" t="n">
        <f aca="false">IF(AM79&gt;0.5,MIN(F_CardPayM,AM79+AM79*(D_iC)),0)</f>
        <v>0</v>
      </c>
      <c r="BA79" s="1" t="n">
        <f aca="false">IF(AN79&gt;0.5,MIN(F_CardPayM,AN79+AN79*(D_iC)),0)</f>
        <v>0</v>
      </c>
      <c r="BB79" s="1" t="n">
        <f aca="false">IF(AO79&gt;0.5,MIN(F_CardPayM,AO79+AO79*(D_iC)),0)</f>
        <v>0</v>
      </c>
      <c r="BC79" s="1" t="n">
        <f aca="false">MAX(0,AP79)</f>
        <v>0</v>
      </c>
      <c r="BD79" s="1" t="n">
        <f aca="false">SUM(AQ79:BB79)</f>
        <v>0</v>
      </c>
      <c r="BE79" s="1" t="n">
        <f aca="false">'Plan cashflow'!O79</f>
        <v>0</v>
      </c>
      <c r="BF79" s="1" t="n">
        <f aca="false">IF(BE79&gt;0.5,BE79+BE79*(D_iL)-MIN(F_LoanPayM,BE79+BE79*(D_iL)),BE79)</f>
        <v>0</v>
      </c>
      <c r="BG79" s="1" t="n">
        <f aca="false">IF(BF79&gt;0.5,BF79+BF79*(D_iL)-MIN(F_LoanPayM,BF79+BF79*(D_iL)),BF79)</f>
        <v>0</v>
      </c>
      <c r="BH79" s="1" t="n">
        <f aca="false">IF(BG79&gt;0.5,BG79+BG79*(D_iL)-MIN(F_LoanPayM,BG79+BG79*(D_iL)),BG79)</f>
        <v>0</v>
      </c>
      <c r="BI79" s="1" t="n">
        <f aca="false">IF(BH79&gt;0.5,BH79+BH79*(D_iL)-MIN(F_LoanPayM,BH79+BH79*(D_iL)),BH79)</f>
        <v>0</v>
      </c>
      <c r="BJ79" s="1" t="n">
        <f aca="false">IF(BI79&gt;0.5,BI79+BI79*(D_iL)-MIN(F_LoanPayM,BI79+BI79*(D_iL)),BI79)</f>
        <v>0</v>
      </c>
      <c r="BK79" s="1" t="n">
        <f aca="false">IF(BJ79&gt;0.5,BJ79+BJ79*(D_iL)-MIN(F_LoanPayM,BJ79+BJ79*(D_iL)),BJ79)</f>
        <v>0</v>
      </c>
      <c r="BL79" s="1" t="n">
        <f aca="false">IF(BK79&gt;0.5,BK79+BK79*(D_iL)-MIN(F_LoanPayM,BK79+BK79*(D_iL)),BK79)</f>
        <v>0</v>
      </c>
      <c r="BM79" s="1" t="n">
        <f aca="false">IF(BL79&gt;0.5,BL79+BL79*(D_iL)-MIN(F_LoanPayM,BL79+BL79*(D_iL)),BL79)</f>
        <v>0</v>
      </c>
      <c r="BN79" s="1" t="n">
        <f aca="false">IF(BM79&gt;0.5,BM79+BM79*(D_iL)-MIN(F_LoanPayM,BM79+BM79*(D_iL)),BM79)</f>
        <v>0</v>
      </c>
      <c r="BO79" s="1" t="n">
        <f aca="false">IF(BN79&gt;0.5,BN79+BN79*(D_iL)-MIN(F_LoanPayM,BN79+BN79*(D_iL)),BN79)</f>
        <v>0</v>
      </c>
      <c r="BP79" s="1" t="n">
        <f aca="false">IF(BO79&gt;0.5,BO79+BO79*(D_iL)-MIN(F_LoanPayM,BO79+BO79*(D_iL)),BO79)</f>
        <v>0</v>
      </c>
      <c r="BQ79" s="1" t="n">
        <f aca="false">IF(BP79&gt;0.5,BP79+BP79*(D_iL)-MIN(F_LoanPayM,BP79+BP79*(D_iL)),BP79)</f>
        <v>0</v>
      </c>
      <c r="BR79" s="1" t="n">
        <f aca="false">IF(BE79&gt;0.5,MIN(F_LoanPayM,BE79+BE79*(D_iL)),0)</f>
        <v>0</v>
      </c>
      <c r="BS79" s="1" t="n">
        <f aca="false">IF(BF79&gt;0.5,MIN(F_LoanPayM,BF79+BF79*(D_iL)),0)</f>
        <v>0</v>
      </c>
      <c r="BT79" s="1" t="n">
        <f aca="false">IF(BG79&gt;0.5,MIN(F_LoanPayM,BG79+BG79*(D_iL)),0)</f>
        <v>0</v>
      </c>
      <c r="BU79" s="1" t="n">
        <f aca="false">IF(BH79&gt;0.5,MIN(F_LoanPayM,BH79+BH79*(D_iL)),0)</f>
        <v>0</v>
      </c>
      <c r="BV79" s="1" t="n">
        <f aca="false">IF(BI79&gt;0.5,MIN(F_LoanPayM,BI79+BI79*(D_iL)),0)</f>
        <v>0</v>
      </c>
      <c r="BW79" s="1" t="n">
        <f aca="false">IF(BJ79&gt;0.5,MIN(F_LoanPayM,BJ79+BJ79*(D_iL)),0)</f>
        <v>0</v>
      </c>
      <c r="BX79" s="1" t="n">
        <f aca="false">IF(BK79&gt;0.5,MIN(F_LoanPayM,BK79+BK79*(D_iL)),0)</f>
        <v>0</v>
      </c>
      <c r="BY79" s="1" t="n">
        <f aca="false">IF(BL79&gt;0.5,MIN(F_LoanPayM,BL79+BL79*(D_iL)),0)</f>
        <v>0</v>
      </c>
      <c r="BZ79" s="1" t="n">
        <f aca="false">IF(BM79&gt;0.5,MIN(F_LoanPayM,BM79+BM79*(D_iL)),0)</f>
        <v>0</v>
      </c>
      <c r="CA79" s="1" t="n">
        <f aca="false">IF(BN79&gt;0.5,MIN(F_LoanPayM,BN79+BN79*(D_iL)),0)</f>
        <v>0</v>
      </c>
      <c r="CB79" s="1" t="n">
        <f aca="false">IF(BO79&gt;0.5,MIN(F_LoanPayM,BO79+BO79*(D_iL)),0)</f>
        <v>0</v>
      </c>
      <c r="CC79" s="1" t="n">
        <f aca="false">IF(BP79&gt;0.5,MIN(F_LoanPayM,BP79+BP79*(D_iL)),0)</f>
        <v>0</v>
      </c>
      <c r="CD79" s="1" t="n">
        <f aca="false">MAX(0,BQ79)</f>
        <v>0</v>
      </c>
      <c r="CE79" s="1" t="n">
        <f aca="false">SUM(BR79:CC79)</f>
        <v>0</v>
      </c>
      <c r="CF79" s="1" t="n">
        <f aca="false">IF(CF78&gt;1,DE78,CF78)</f>
        <v>0</v>
      </c>
      <c r="CG79" s="1" t="n">
        <f aca="false">IF(CF79&gt;0.5,CF79+CF79*(F_MR/12)-MIN(F_MortPayM,CF79+CF79*(F_MR/12)),CF79)</f>
        <v>0</v>
      </c>
      <c r="CH79" s="1" t="n">
        <f aca="false">IF(CG79&gt;0.5,CG79+CG79*(F_MR/12)-MIN(F_MortPayM,CG79+CG79*(F_MR/12)),CG79)</f>
        <v>0</v>
      </c>
      <c r="CI79" s="1" t="n">
        <f aca="false">IF(CH79&gt;0.5,CH79+CH79*(F_MR/12)-MIN(F_MortPayM,CH79+CH79*(F_MR/12)),CH79)</f>
        <v>0</v>
      </c>
      <c r="CJ79" s="1" t="n">
        <f aca="false">IF(CI79&gt;0.5,CI79+CI79*(F_MR/12)-MIN(F_MortPayM,CI79+CI79*(F_MR/12)),CI79)</f>
        <v>0</v>
      </c>
      <c r="CK79" s="1" t="n">
        <f aca="false">IF(CJ79&gt;0.5,CJ79+CJ79*(F_MR/12)-MIN(F_MortPayM,CJ79+CJ79*(F_MR/12)),CJ79)</f>
        <v>0</v>
      </c>
      <c r="CL79" s="1" t="n">
        <f aca="false">IF(CK79&gt;0.5,CK79+CK79*(F_MR/12)-MIN(F_MortPayM,CK79+CK79*(F_MR/12)),CK79)</f>
        <v>0</v>
      </c>
      <c r="CM79" s="1" t="n">
        <f aca="false">IF(CL79&gt;0.5,CL79+CL79*(F_MR/12)-MIN(F_MortPayM,CL79+CL79*(F_MR/12)),CL79)</f>
        <v>0</v>
      </c>
      <c r="CN79" s="1" t="n">
        <f aca="false">IF(CM79&gt;0.5,CM79+CM79*(F_MR/12)-MIN(F_MortPayM,CM79+CM79*(F_MR/12)),CM79)</f>
        <v>0</v>
      </c>
      <c r="CO79" s="1" t="n">
        <f aca="false">IF(CN79&gt;0.5,CN79+CN79*(F_MR/12)-MIN(F_MortPayM,CN79+CN79*(F_MR/12)),CN79)</f>
        <v>0</v>
      </c>
      <c r="CP79" s="1" t="n">
        <f aca="false">IF(CO79&gt;0.5,CO79+CO79*(F_MR/12)-MIN(F_MortPayM,CO79+CO79*(F_MR/12)),CO79)</f>
        <v>0</v>
      </c>
      <c r="CQ79" s="1" t="n">
        <f aca="false">IF(CP79&gt;0.5,CP79+CP79*(F_MR/12)-MIN(F_MortPayM,CP79+CP79*(F_MR/12)),CP79)</f>
        <v>0</v>
      </c>
      <c r="CR79" s="1" t="n">
        <f aca="false">IF(CQ79&gt;0.5,CQ79+CQ79*(F_MR/12)-MIN(F_MortPayM,CQ79+CQ79*(F_MR/12)),CQ79)</f>
        <v>0</v>
      </c>
      <c r="CS79" s="1" t="n">
        <f aca="false">IF(CF79&gt;0.5,MIN(F_MortPayM,CF79+CF79*(F_MR/12)),0)</f>
        <v>0</v>
      </c>
      <c r="CT79" s="1" t="n">
        <f aca="false">IF(CG79&gt;0.5,MIN(F_MortPayM,CG79+CG79*(F_MR/12)),0)</f>
        <v>0</v>
      </c>
      <c r="CU79" s="1" t="n">
        <f aca="false">IF(CH79&gt;0.5,MIN(F_MortPayM,CH79+CH79*(F_MR/12)),0)</f>
        <v>0</v>
      </c>
      <c r="CV79" s="1" t="n">
        <f aca="false">IF(CI79&gt;0.5,MIN(F_MortPayM,CI79+CI79*(F_MR/12)),0)</f>
        <v>0</v>
      </c>
      <c r="CW79" s="1" t="n">
        <f aca="false">IF(CJ79&gt;0.5,MIN(F_MortPayM,CJ79+CJ79*(F_MR/12)),0)</f>
        <v>0</v>
      </c>
      <c r="CX79" s="1" t="n">
        <f aca="false">IF(CK79&gt;0.5,MIN(F_MortPayM,CK79+CK79*(F_MR/12)),0)</f>
        <v>0</v>
      </c>
      <c r="CY79" s="1" t="n">
        <f aca="false">IF(CL79&gt;0.5,MIN(F_MortPayM,CL79+CL79*(F_MR/12)),0)</f>
        <v>0</v>
      </c>
      <c r="CZ79" s="1" t="n">
        <f aca="false">IF(CM79&gt;0.5,MIN(F_MortPayM,CM79+CM79*(F_MR/12)),0)</f>
        <v>0</v>
      </c>
      <c r="DA79" s="1" t="n">
        <f aca="false">IF(CN79&gt;0.5,MIN(F_MortPayM,CN79+CN79*(F_MR/12)),0)</f>
        <v>0</v>
      </c>
      <c r="DB79" s="1" t="n">
        <f aca="false">IF(CO79&gt;0.5,MIN(F_MortPayM,CO79+CO79*(F_MR/12)),0)</f>
        <v>0</v>
      </c>
      <c r="DC79" s="1" t="n">
        <f aca="false">IF(CP79&gt;0.5,MIN(F_MortPayM,CP79+CP79*(F_MR/12)),0)</f>
        <v>0</v>
      </c>
      <c r="DD79" s="1" t="n">
        <f aca="false">IF(CQ79&gt;0.5,MIN(F_MortPayM,CQ79+CQ79*(F_MR/12)),0)</f>
        <v>0</v>
      </c>
      <c r="DE79" s="1" t="n">
        <f aca="false">MAX(0,CR79)</f>
        <v>0</v>
      </c>
      <c r="DF79" s="1" t="n">
        <f aca="false">SUM(CS79:DD79)</f>
        <v>0</v>
      </c>
      <c r="DG79" s="1" t="n">
        <f aca="false">MAX(0,CF79)</f>
        <v>0</v>
      </c>
    </row>
    <row r="80" customFormat="false" ht="15" hidden="false" customHeight="false" outlineLevel="0" collapsed="false">
      <c r="B80" s="1" t="n">
        <v>72</v>
      </c>
      <c r="C80" s="1" t="n">
        <f aca="false">'Plan cashflow'!I80</f>
        <v>0</v>
      </c>
      <c r="D80" s="1" t="n">
        <f aca="false">IF(C80&gt;0.5,C80+C80*(F_MR/12)-MIN(F_MortPayM,C80+C80*(F_MR/12)),C80)</f>
        <v>0</v>
      </c>
      <c r="E80" s="1" t="n">
        <f aca="false">IF(D80&gt;0.5,D80+D80*(F_MR/12)-MIN(F_MortPayM,D80+D80*(F_MR/12)),D80)</f>
        <v>0</v>
      </c>
      <c r="F80" s="1" t="n">
        <f aca="false">IF(E80&gt;0.5,E80+E80*(F_MR/12)-MIN(F_MortPayM,E80+E80*(F_MR/12)),E80)</f>
        <v>0</v>
      </c>
      <c r="G80" s="1" t="n">
        <f aca="false">IF(F80&gt;0.5,F80+F80*(F_MR/12)-MIN(F_MortPayM,F80+F80*(F_MR/12)),F80)</f>
        <v>0</v>
      </c>
      <c r="H80" s="1" t="n">
        <f aca="false">IF(G80&gt;0.5,G80+G80*(F_MR/12)-MIN(F_MortPayM,G80+G80*(F_MR/12)),G80)</f>
        <v>0</v>
      </c>
      <c r="I80" s="1" t="n">
        <f aca="false">IF(H80&gt;0.5,H80+H80*(F_MR/12)-MIN(F_MortPayM,H80+H80*(F_MR/12)),H80)</f>
        <v>0</v>
      </c>
      <c r="J80" s="1" t="n">
        <f aca="false">IF(I80&gt;0.5,I80+I80*(F_MR/12)-MIN(F_MortPayM,I80+I80*(F_MR/12)),I80)</f>
        <v>0</v>
      </c>
      <c r="K80" s="1" t="n">
        <f aca="false">IF(J80&gt;0.5,J80+J80*(F_MR/12)-MIN(F_MortPayM,J80+J80*(F_MR/12)),J80)</f>
        <v>0</v>
      </c>
      <c r="L80" s="1" t="n">
        <f aca="false">IF(K80&gt;0.5,K80+K80*(F_MR/12)-MIN(F_MortPayM,K80+K80*(F_MR/12)),K80)</f>
        <v>0</v>
      </c>
      <c r="M80" s="1" t="n">
        <f aca="false">IF(L80&gt;0.5,L80+L80*(F_MR/12)-MIN(F_MortPayM,L80+L80*(F_MR/12)),L80)</f>
        <v>0</v>
      </c>
      <c r="N80" s="1" t="n">
        <f aca="false">IF(M80&gt;0.5,M80+M80*(F_MR/12)-MIN(F_MortPayM,M80+M80*(F_MR/12)),M80)</f>
        <v>0</v>
      </c>
      <c r="O80" s="1" t="n">
        <f aca="false">IF(N80&gt;0.5,N80+N80*(F_MR/12)-MIN(F_MortPayM,N80+N80*(F_MR/12)),N80)</f>
        <v>0</v>
      </c>
      <c r="P80" s="1" t="n">
        <f aca="false">IF(C80&gt;0.5,MIN(F_MortPayM,C80+C80*(F_MR/12)),0)</f>
        <v>0</v>
      </c>
      <c r="Q80" s="1" t="n">
        <f aca="false">IF(D80&gt;0.5,MIN(F_MortPayM,D80+D80*(F_MR/12)),0)</f>
        <v>0</v>
      </c>
      <c r="R80" s="1" t="n">
        <f aca="false">IF(E80&gt;0.5,MIN(F_MortPayM,E80+E80*(F_MR/12)),0)</f>
        <v>0</v>
      </c>
      <c r="S80" s="1" t="n">
        <f aca="false">IF(F80&gt;0.5,MIN(F_MortPayM,F80+F80*(F_MR/12)),0)</f>
        <v>0</v>
      </c>
      <c r="T80" s="1" t="n">
        <f aca="false">IF(G80&gt;0.5,MIN(F_MortPayM,G80+G80*(F_MR/12)),0)</f>
        <v>0</v>
      </c>
      <c r="U80" s="1" t="n">
        <f aca="false">IF(H80&gt;0.5,MIN(F_MortPayM,H80+H80*(F_MR/12)),0)</f>
        <v>0</v>
      </c>
      <c r="V80" s="1" t="n">
        <f aca="false">IF(I80&gt;0.5,MIN(F_MortPayM,I80+I80*(F_MR/12)),0)</f>
        <v>0</v>
      </c>
      <c r="W80" s="1" t="n">
        <f aca="false">IF(J80&gt;0.5,MIN(F_MortPayM,J80+J80*(F_MR/12)),0)</f>
        <v>0</v>
      </c>
      <c r="X80" s="1" t="n">
        <f aca="false">IF(K80&gt;0.5,MIN(F_MortPayM,K80+K80*(F_MR/12)),0)</f>
        <v>0</v>
      </c>
      <c r="Y80" s="1" t="n">
        <f aca="false">IF(L80&gt;0.5,MIN(F_MortPayM,L80+L80*(F_MR/12)),0)</f>
        <v>0</v>
      </c>
      <c r="Z80" s="1" t="n">
        <f aca="false">IF(M80&gt;0.5,MIN(F_MortPayM,M80+M80*(F_MR/12)),0)</f>
        <v>0</v>
      </c>
      <c r="AA80" s="1" t="n">
        <f aca="false">IF(N80&gt;0.5,MIN(F_MortPayM,N80+N80*(F_MR/12)),0)</f>
        <v>0</v>
      </c>
      <c r="AB80" s="1" t="n">
        <f aca="false">MAX(0,O80)</f>
        <v>0</v>
      </c>
      <c r="AC80" s="1" t="n">
        <f aca="false">SUM(P80:AA80)</f>
        <v>0</v>
      </c>
      <c r="AD80" s="1" t="n">
        <f aca="false">'Plan cashflow'!L80</f>
        <v>0</v>
      </c>
      <c r="AE80" s="1" t="n">
        <f aca="false">IF(AD80&gt;0.5,AD80+AD80*(D_iC)-MIN(F_CardPayM,AD80+AD80*(D_iC)),AD80)</f>
        <v>0</v>
      </c>
      <c r="AF80" s="1" t="n">
        <f aca="false">IF(AE80&gt;0.5,AE80+AE80*(D_iC)-MIN(F_CardPayM,AE80+AE80*(D_iC)),AE80)</f>
        <v>0</v>
      </c>
      <c r="AG80" s="1" t="n">
        <f aca="false">IF(AF80&gt;0.5,AF80+AF80*(D_iC)-MIN(F_CardPayM,AF80+AF80*(D_iC)),AF80)</f>
        <v>0</v>
      </c>
      <c r="AH80" s="1" t="n">
        <f aca="false">IF(AG80&gt;0.5,AG80+AG80*(D_iC)-MIN(F_CardPayM,AG80+AG80*(D_iC)),AG80)</f>
        <v>0</v>
      </c>
      <c r="AI80" s="1" t="n">
        <f aca="false">IF(AH80&gt;0.5,AH80+AH80*(D_iC)-MIN(F_CardPayM,AH80+AH80*(D_iC)),AH80)</f>
        <v>0</v>
      </c>
      <c r="AJ80" s="1" t="n">
        <f aca="false">IF(AI80&gt;0.5,AI80+AI80*(D_iC)-MIN(F_CardPayM,AI80+AI80*(D_iC)),AI80)</f>
        <v>0</v>
      </c>
      <c r="AK80" s="1" t="n">
        <f aca="false">IF(AJ80&gt;0.5,AJ80+AJ80*(D_iC)-MIN(F_CardPayM,AJ80+AJ80*(D_iC)),AJ80)</f>
        <v>0</v>
      </c>
      <c r="AL80" s="1" t="n">
        <f aca="false">IF(AK80&gt;0.5,AK80+AK80*(D_iC)-MIN(F_CardPayM,AK80+AK80*(D_iC)),AK80)</f>
        <v>0</v>
      </c>
      <c r="AM80" s="1" t="n">
        <f aca="false">IF(AL80&gt;0.5,AL80+AL80*(D_iC)-MIN(F_CardPayM,AL80+AL80*(D_iC)),AL80)</f>
        <v>0</v>
      </c>
      <c r="AN80" s="1" t="n">
        <f aca="false">IF(AM80&gt;0.5,AM80+AM80*(D_iC)-MIN(F_CardPayM,AM80+AM80*(D_iC)),AM80)</f>
        <v>0</v>
      </c>
      <c r="AO80" s="1" t="n">
        <f aca="false">IF(AN80&gt;0.5,AN80+AN80*(D_iC)-MIN(F_CardPayM,AN80+AN80*(D_iC)),AN80)</f>
        <v>0</v>
      </c>
      <c r="AP80" s="1" t="n">
        <f aca="false">IF(AO80&gt;0.5,AO80+AO80*(D_iC)-MIN(F_CardPayM,AO80+AO80*(D_iC)),AO80)</f>
        <v>0</v>
      </c>
      <c r="AQ80" s="1" t="n">
        <f aca="false">IF(AD80&gt;0.5,MIN(F_CardPayM,AD80+AD80*(D_iC)),0)</f>
        <v>0</v>
      </c>
      <c r="AR80" s="1" t="n">
        <f aca="false">IF(AE80&gt;0.5,MIN(F_CardPayM,AE80+AE80*(D_iC)),0)</f>
        <v>0</v>
      </c>
      <c r="AS80" s="1" t="n">
        <f aca="false">IF(AF80&gt;0.5,MIN(F_CardPayM,AF80+AF80*(D_iC)),0)</f>
        <v>0</v>
      </c>
      <c r="AT80" s="1" t="n">
        <f aca="false">IF(AG80&gt;0.5,MIN(F_CardPayM,AG80+AG80*(D_iC)),0)</f>
        <v>0</v>
      </c>
      <c r="AU80" s="1" t="n">
        <f aca="false">IF(AH80&gt;0.5,MIN(F_CardPayM,AH80+AH80*(D_iC)),0)</f>
        <v>0</v>
      </c>
      <c r="AV80" s="1" t="n">
        <f aca="false">IF(AI80&gt;0.5,MIN(F_CardPayM,AI80+AI80*(D_iC)),0)</f>
        <v>0</v>
      </c>
      <c r="AW80" s="1" t="n">
        <f aca="false">IF(AJ80&gt;0.5,MIN(F_CardPayM,AJ80+AJ80*(D_iC)),0)</f>
        <v>0</v>
      </c>
      <c r="AX80" s="1" t="n">
        <f aca="false">IF(AK80&gt;0.5,MIN(F_CardPayM,AK80+AK80*(D_iC)),0)</f>
        <v>0</v>
      </c>
      <c r="AY80" s="1" t="n">
        <f aca="false">IF(AL80&gt;0.5,MIN(F_CardPayM,AL80+AL80*(D_iC)),0)</f>
        <v>0</v>
      </c>
      <c r="AZ80" s="1" t="n">
        <f aca="false">IF(AM80&gt;0.5,MIN(F_CardPayM,AM80+AM80*(D_iC)),0)</f>
        <v>0</v>
      </c>
      <c r="BA80" s="1" t="n">
        <f aca="false">IF(AN80&gt;0.5,MIN(F_CardPayM,AN80+AN80*(D_iC)),0)</f>
        <v>0</v>
      </c>
      <c r="BB80" s="1" t="n">
        <f aca="false">IF(AO80&gt;0.5,MIN(F_CardPayM,AO80+AO80*(D_iC)),0)</f>
        <v>0</v>
      </c>
      <c r="BC80" s="1" t="n">
        <f aca="false">MAX(0,AP80)</f>
        <v>0</v>
      </c>
      <c r="BD80" s="1" t="n">
        <f aca="false">SUM(AQ80:BB80)</f>
        <v>0</v>
      </c>
      <c r="BE80" s="1" t="n">
        <f aca="false">'Plan cashflow'!O80</f>
        <v>0</v>
      </c>
      <c r="BF80" s="1" t="n">
        <f aca="false">IF(BE80&gt;0.5,BE80+BE80*(D_iL)-MIN(F_LoanPayM,BE80+BE80*(D_iL)),BE80)</f>
        <v>0</v>
      </c>
      <c r="BG80" s="1" t="n">
        <f aca="false">IF(BF80&gt;0.5,BF80+BF80*(D_iL)-MIN(F_LoanPayM,BF80+BF80*(D_iL)),BF80)</f>
        <v>0</v>
      </c>
      <c r="BH80" s="1" t="n">
        <f aca="false">IF(BG80&gt;0.5,BG80+BG80*(D_iL)-MIN(F_LoanPayM,BG80+BG80*(D_iL)),BG80)</f>
        <v>0</v>
      </c>
      <c r="BI80" s="1" t="n">
        <f aca="false">IF(BH80&gt;0.5,BH80+BH80*(D_iL)-MIN(F_LoanPayM,BH80+BH80*(D_iL)),BH80)</f>
        <v>0</v>
      </c>
      <c r="BJ80" s="1" t="n">
        <f aca="false">IF(BI80&gt;0.5,BI80+BI80*(D_iL)-MIN(F_LoanPayM,BI80+BI80*(D_iL)),BI80)</f>
        <v>0</v>
      </c>
      <c r="BK80" s="1" t="n">
        <f aca="false">IF(BJ80&gt;0.5,BJ80+BJ80*(D_iL)-MIN(F_LoanPayM,BJ80+BJ80*(D_iL)),BJ80)</f>
        <v>0</v>
      </c>
      <c r="BL80" s="1" t="n">
        <f aca="false">IF(BK80&gt;0.5,BK80+BK80*(D_iL)-MIN(F_LoanPayM,BK80+BK80*(D_iL)),BK80)</f>
        <v>0</v>
      </c>
      <c r="BM80" s="1" t="n">
        <f aca="false">IF(BL80&gt;0.5,BL80+BL80*(D_iL)-MIN(F_LoanPayM,BL80+BL80*(D_iL)),BL80)</f>
        <v>0</v>
      </c>
      <c r="BN80" s="1" t="n">
        <f aca="false">IF(BM80&gt;0.5,BM80+BM80*(D_iL)-MIN(F_LoanPayM,BM80+BM80*(D_iL)),BM80)</f>
        <v>0</v>
      </c>
      <c r="BO80" s="1" t="n">
        <f aca="false">IF(BN80&gt;0.5,BN80+BN80*(D_iL)-MIN(F_LoanPayM,BN80+BN80*(D_iL)),BN80)</f>
        <v>0</v>
      </c>
      <c r="BP80" s="1" t="n">
        <f aca="false">IF(BO80&gt;0.5,BO80+BO80*(D_iL)-MIN(F_LoanPayM,BO80+BO80*(D_iL)),BO80)</f>
        <v>0</v>
      </c>
      <c r="BQ80" s="1" t="n">
        <f aca="false">IF(BP80&gt;0.5,BP80+BP80*(D_iL)-MIN(F_LoanPayM,BP80+BP80*(D_iL)),BP80)</f>
        <v>0</v>
      </c>
      <c r="BR80" s="1" t="n">
        <f aca="false">IF(BE80&gt;0.5,MIN(F_LoanPayM,BE80+BE80*(D_iL)),0)</f>
        <v>0</v>
      </c>
      <c r="BS80" s="1" t="n">
        <f aca="false">IF(BF80&gt;0.5,MIN(F_LoanPayM,BF80+BF80*(D_iL)),0)</f>
        <v>0</v>
      </c>
      <c r="BT80" s="1" t="n">
        <f aca="false">IF(BG80&gt;0.5,MIN(F_LoanPayM,BG80+BG80*(D_iL)),0)</f>
        <v>0</v>
      </c>
      <c r="BU80" s="1" t="n">
        <f aca="false">IF(BH80&gt;0.5,MIN(F_LoanPayM,BH80+BH80*(D_iL)),0)</f>
        <v>0</v>
      </c>
      <c r="BV80" s="1" t="n">
        <f aca="false">IF(BI80&gt;0.5,MIN(F_LoanPayM,BI80+BI80*(D_iL)),0)</f>
        <v>0</v>
      </c>
      <c r="BW80" s="1" t="n">
        <f aca="false">IF(BJ80&gt;0.5,MIN(F_LoanPayM,BJ80+BJ80*(D_iL)),0)</f>
        <v>0</v>
      </c>
      <c r="BX80" s="1" t="n">
        <f aca="false">IF(BK80&gt;0.5,MIN(F_LoanPayM,BK80+BK80*(D_iL)),0)</f>
        <v>0</v>
      </c>
      <c r="BY80" s="1" t="n">
        <f aca="false">IF(BL80&gt;0.5,MIN(F_LoanPayM,BL80+BL80*(D_iL)),0)</f>
        <v>0</v>
      </c>
      <c r="BZ80" s="1" t="n">
        <f aca="false">IF(BM80&gt;0.5,MIN(F_LoanPayM,BM80+BM80*(D_iL)),0)</f>
        <v>0</v>
      </c>
      <c r="CA80" s="1" t="n">
        <f aca="false">IF(BN80&gt;0.5,MIN(F_LoanPayM,BN80+BN80*(D_iL)),0)</f>
        <v>0</v>
      </c>
      <c r="CB80" s="1" t="n">
        <f aca="false">IF(BO80&gt;0.5,MIN(F_LoanPayM,BO80+BO80*(D_iL)),0)</f>
        <v>0</v>
      </c>
      <c r="CC80" s="1" t="n">
        <f aca="false">IF(BP80&gt;0.5,MIN(F_LoanPayM,BP80+BP80*(D_iL)),0)</f>
        <v>0</v>
      </c>
      <c r="CD80" s="1" t="n">
        <f aca="false">MAX(0,BQ80)</f>
        <v>0</v>
      </c>
      <c r="CE80" s="1" t="n">
        <f aca="false">SUM(BR80:CC80)</f>
        <v>0</v>
      </c>
      <c r="CF80" s="1" t="n">
        <f aca="false">IF(CF79&gt;1,DE79,CF79)</f>
        <v>0</v>
      </c>
      <c r="CG80" s="1" t="n">
        <f aca="false">IF(CF80&gt;0.5,CF80+CF80*(F_MR/12)-MIN(F_MortPayM,CF80+CF80*(F_MR/12)),CF80)</f>
        <v>0</v>
      </c>
      <c r="CH80" s="1" t="n">
        <f aca="false">IF(CG80&gt;0.5,CG80+CG80*(F_MR/12)-MIN(F_MortPayM,CG80+CG80*(F_MR/12)),CG80)</f>
        <v>0</v>
      </c>
      <c r="CI80" s="1" t="n">
        <f aca="false">IF(CH80&gt;0.5,CH80+CH80*(F_MR/12)-MIN(F_MortPayM,CH80+CH80*(F_MR/12)),CH80)</f>
        <v>0</v>
      </c>
      <c r="CJ80" s="1" t="n">
        <f aca="false">IF(CI80&gt;0.5,CI80+CI80*(F_MR/12)-MIN(F_MortPayM,CI80+CI80*(F_MR/12)),CI80)</f>
        <v>0</v>
      </c>
      <c r="CK80" s="1" t="n">
        <f aca="false">IF(CJ80&gt;0.5,CJ80+CJ80*(F_MR/12)-MIN(F_MortPayM,CJ80+CJ80*(F_MR/12)),CJ80)</f>
        <v>0</v>
      </c>
      <c r="CL80" s="1" t="n">
        <f aca="false">IF(CK80&gt;0.5,CK80+CK80*(F_MR/12)-MIN(F_MortPayM,CK80+CK80*(F_MR/12)),CK80)</f>
        <v>0</v>
      </c>
      <c r="CM80" s="1" t="n">
        <f aca="false">IF(CL80&gt;0.5,CL80+CL80*(F_MR/12)-MIN(F_MortPayM,CL80+CL80*(F_MR/12)),CL80)</f>
        <v>0</v>
      </c>
      <c r="CN80" s="1" t="n">
        <f aca="false">IF(CM80&gt;0.5,CM80+CM80*(F_MR/12)-MIN(F_MortPayM,CM80+CM80*(F_MR/12)),CM80)</f>
        <v>0</v>
      </c>
      <c r="CO80" s="1" t="n">
        <f aca="false">IF(CN80&gt;0.5,CN80+CN80*(F_MR/12)-MIN(F_MortPayM,CN80+CN80*(F_MR/12)),CN80)</f>
        <v>0</v>
      </c>
      <c r="CP80" s="1" t="n">
        <f aca="false">IF(CO80&gt;0.5,CO80+CO80*(F_MR/12)-MIN(F_MortPayM,CO80+CO80*(F_MR/12)),CO80)</f>
        <v>0</v>
      </c>
      <c r="CQ80" s="1" t="n">
        <f aca="false">IF(CP80&gt;0.5,CP80+CP80*(F_MR/12)-MIN(F_MortPayM,CP80+CP80*(F_MR/12)),CP80)</f>
        <v>0</v>
      </c>
      <c r="CR80" s="1" t="n">
        <f aca="false">IF(CQ80&gt;0.5,CQ80+CQ80*(F_MR/12)-MIN(F_MortPayM,CQ80+CQ80*(F_MR/12)),CQ80)</f>
        <v>0</v>
      </c>
      <c r="CS80" s="1" t="n">
        <f aca="false">IF(CF80&gt;0.5,MIN(F_MortPayM,CF80+CF80*(F_MR/12)),0)</f>
        <v>0</v>
      </c>
      <c r="CT80" s="1" t="n">
        <f aca="false">IF(CG80&gt;0.5,MIN(F_MortPayM,CG80+CG80*(F_MR/12)),0)</f>
        <v>0</v>
      </c>
      <c r="CU80" s="1" t="n">
        <f aca="false">IF(CH80&gt;0.5,MIN(F_MortPayM,CH80+CH80*(F_MR/12)),0)</f>
        <v>0</v>
      </c>
      <c r="CV80" s="1" t="n">
        <f aca="false">IF(CI80&gt;0.5,MIN(F_MortPayM,CI80+CI80*(F_MR/12)),0)</f>
        <v>0</v>
      </c>
      <c r="CW80" s="1" t="n">
        <f aca="false">IF(CJ80&gt;0.5,MIN(F_MortPayM,CJ80+CJ80*(F_MR/12)),0)</f>
        <v>0</v>
      </c>
      <c r="CX80" s="1" t="n">
        <f aca="false">IF(CK80&gt;0.5,MIN(F_MortPayM,CK80+CK80*(F_MR/12)),0)</f>
        <v>0</v>
      </c>
      <c r="CY80" s="1" t="n">
        <f aca="false">IF(CL80&gt;0.5,MIN(F_MortPayM,CL80+CL80*(F_MR/12)),0)</f>
        <v>0</v>
      </c>
      <c r="CZ80" s="1" t="n">
        <f aca="false">IF(CM80&gt;0.5,MIN(F_MortPayM,CM80+CM80*(F_MR/12)),0)</f>
        <v>0</v>
      </c>
      <c r="DA80" s="1" t="n">
        <f aca="false">IF(CN80&gt;0.5,MIN(F_MortPayM,CN80+CN80*(F_MR/12)),0)</f>
        <v>0</v>
      </c>
      <c r="DB80" s="1" t="n">
        <f aca="false">IF(CO80&gt;0.5,MIN(F_MortPayM,CO80+CO80*(F_MR/12)),0)</f>
        <v>0</v>
      </c>
      <c r="DC80" s="1" t="n">
        <f aca="false">IF(CP80&gt;0.5,MIN(F_MortPayM,CP80+CP80*(F_MR/12)),0)</f>
        <v>0</v>
      </c>
      <c r="DD80" s="1" t="n">
        <f aca="false">IF(CQ80&gt;0.5,MIN(F_MortPayM,CQ80+CQ80*(F_MR/12)),0)</f>
        <v>0</v>
      </c>
      <c r="DE80" s="1" t="n">
        <f aca="false">MAX(0,CR80)</f>
        <v>0</v>
      </c>
      <c r="DF80" s="1" t="n">
        <f aca="false">SUM(CS80:DD80)</f>
        <v>0</v>
      </c>
      <c r="DG80" s="1" t="n">
        <f aca="false">MAX(0,CF80)</f>
        <v>0</v>
      </c>
    </row>
    <row r="81" customFormat="false" ht="15" hidden="false" customHeight="false" outlineLevel="0" collapsed="false">
      <c r="B81" s="1" t="n">
        <v>73</v>
      </c>
      <c r="C81" s="1" t="n">
        <f aca="false">'Plan cashflow'!I81</f>
        <v>0</v>
      </c>
      <c r="D81" s="1" t="n">
        <f aca="false">IF(C81&gt;0.5,C81+C81*(F_MR/12)-MIN(F_MortPayM,C81+C81*(F_MR/12)),C81)</f>
        <v>0</v>
      </c>
      <c r="E81" s="1" t="n">
        <f aca="false">IF(D81&gt;0.5,D81+D81*(F_MR/12)-MIN(F_MortPayM,D81+D81*(F_MR/12)),D81)</f>
        <v>0</v>
      </c>
      <c r="F81" s="1" t="n">
        <f aca="false">IF(E81&gt;0.5,E81+E81*(F_MR/12)-MIN(F_MortPayM,E81+E81*(F_MR/12)),E81)</f>
        <v>0</v>
      </c>
      <c r="G81" s="1" t="n">
        <f aca="false">IF(F81&gt;0.5,F81+F81*(F_MR/12)-MIN(F_MortPayM,F81+F81*(F_MR/12)),F81)</f>
        <v>0</v>
      </c>
      <c r="H81" s="1" t="n">
        <f aca="false">IF(G81&gt;0.5,G81+G81*(F_MR/12)-MIN(F_MortPayM,G81+G81*(F_MR/12)),G81)</f>
        <v>0</v>
      </c>
      <c r="I81" s="1" t="n">
        <f aca="false">IF(H81&gt;0.5,H81+H81*(F_MR/12)-MIN(F_MortPayM,H81+H81*(F_MR/12)),H81)</f>
        <v>0</v>
      </c>
      <c r="J81" s="1" t="n">
        <f aca="false">IF(I81&gt;0.5,I81+I81*(F_MR/12)-MIN(F_MortPayM,I81+I81*(F_MR/12)),I81)</f>
        <v>0</v>
      </c>
      <c r="K81" s="1" t="n">
        <f aca="false">IF(J81&gt;0.5,J81+J81*(F_MR/12)-MIN(F_MortPayM,J81+J81*(F_MR/12)),J81)</f>
        <v>0</v>
      </c>
      <c r="L81" s="1" t="n">
        <f aca="false">IF(K81&gt;0.5,K81+K81*(F_MR/12)-MIN(F_MortPayM,K81+K81*(F_MR/12)),K81)</f>
        <v>0</v>
      </c>
      <c r="M81" s="1" t="n">
        <f aca="false">IF(L81&gt;0.5,L81+L81*(F_MR/12)-MIN(F_MortPayM,L81+L81*(F_MR/12)),L81)</f>
        <v>0</v>
      </c>
      <c r="N81" s="1" t="n">
        <f aca="false">IF(M81&gt;0.5,M81+M81*(F_MR/12)-MIN(F_MortPayM,M81+M81*(F_MR/12)),M81)</f>
        <v>0</v>
      </c>
      <c r="O81" s="1" t="n">
        <f aca="false">IF(N81&gt;0.5,N81+N81*(F_MR/12)-MIN(F_MortPayM,N81+N81*(F_MR/12)),N81)</f>
        <v>0</v>
      </c>
      <c r="P81" s="1" t="n">
        <f aca="false">IF(C81&gt;0.5,MIN(F_MortPayM,C81+C81*(F_MR/12)),0)</f>
        <v>0</v>
      </c>
      <c r="Q81" s="1" t="n">
        <f aca="false">IF(D81&gt;0.5,MIN(F_MortPayM,D81+D81*(F_MR/12)),0)</f>
        <v>0</v>
      </c>
      <c r="R81" s="1" t="n">
        <f aca="false">IF(E81&gt;0.5,MIN(F_MortPayM,E81+E81*(F_MR/12)),0)</f>
        <v>0</v>
      </c>
      <c r="S81" s="1" t="n">
        <f aca="false">IF(F81&gt;0.5,MIN(F_MortPayM,F81+F81*(F_MR/12)),0)</f>
        <v>0</v>
      </c>
      <c r="T81" s="1" t="n">
        <f aca="false">IF(G81&gt;0.5,MIN(F_MortPayM,G81+G81*(F_MR/12)),0)</f>
        <v>0</v>
      </c>
      <c r="U81" s="1" t="n">
        <f aca="false">IF(H81&gt;0.5,MIN(F_MortPayM,H81+H81*(F_MR/12)),0)</f>
        <v>0</v>
      </c>
      <c r="V81" s="1" t="n">
        <f aca="false">IF(I81&gt;0.5,MIN(F_MortPayM,I81+I81*(F_MR/12)),0)</f>
        <v>0</v>
      </c>
      <c r="W81" s="1" t="n">
        <f aca="false">IF(J81&gt;0.5,MIN(F_MortPayM,J81+J81*(F_MR/12)),0)</f>
        <v>0</v>
      </c>
      <c r="X81" s="1" t="n">
        <f aca="false">IF(K81&gt;0.5,MIN(F_MortPayM,K81+K81*(F_MR/12)),0)</f>
        <v>0</v>
      </c>
      <c r="Y81" s="1" t="n">
        <f aca="false">IF(L81&gt;0.5,MIN(F_MortPayM,L81+L81*(F_MR/12)),0)</f>
        <v>0</v>
      </c>
      <c r="Z81" s="1" t="n">
        <f aca="false">IF(M81&gt;0.5,MIN(F_MortPayM,M81+M81*(F_MR/12)),0)</f>
        <v>0</v>
      </c>
      <c r="AA81" s="1" t="n">
        <f aca="false">IF(N81&gt;0.5,MIN(F_MortPayM,N81+N81*(F_MR/12)),0)</f>
        <v>0</v>
      </c>
      <c r="AB81" s="1" t="n">
        <f aca="false">MAX(0,O81)</f>
        <v>0</v>
      </c>
      <c r="AC81" s="1" t="n">
        <f aca="false">SUM(P81:AA81)</f>
        <v>0</v>
      </c>
      <c r="AD81" s="1" t="n">
        <f aca="false">'Plan cashflow'!L81</f>
        <v>0</v>
      </c>
      <c r="AE81" s="1" t="n">
        <f aca="false">IF(AD81&gt;0.5,AD81+AD81*(D_iC)-MIN(F_CardPayM,AD81+AD81*(D_iC)),AD81)</f>
        <v>0</v>
      </c>
      <c r="AF81" s="1" t="n">
        <f aca="false">IF(AE81&gt;0.5,AE81+AE81*(D_iC)-MIN(F_CardPayM,AE81+AE81*(D_iC)),AE81)</f>
        <v>0</v>
      </c>
      <c r="AG81" s="1" t="n">
        <f aca="false">IF(AF81&gt;0.5,AF81+AF81*(D_iC)-MIN(F_CardPayM,AF81+AF81*(D_iC)),AF81)</f>
        <v>0</v>
      </c>
      <c r="AH81" s="1" t="n">
        <f aca="false">IF(AG81&gt;0.5,AG81+AG81*(D_iC)-MIN(F_CardPayM,AG81+AG81*(D_iC)),AG81)</f>
        <v>0</v>
      </c>
      <c r="AI81" s="1" t="n">
        <f aca="false">IF(AH81&gt;0.5,AH81+AH81*(D_iC)-MIN(F_CardPayM,AH81+AH81*(D_iC)),AH81)</f>
        <v>0</v>
      </c>
      <c r="AJ81" s="1" t="n">
        <f aca="false">IF(AI81&gt;0.5,AI81+AI81*(D_iC)-MIN(F_CardPayM,AI81+AI81*(D_iC)),AI81)</f>
        <v>0</v>
      </c>
      <c r="AK81" s="1" t="n">
        <f aca="false">IF(AJ81&gt;0.5,AJ81+AJ81*(D_iC)-MIN(F_CardPayM,AJ81+AJ81*(D_iC)),AJ81)</f>
        <v>0</v>
      </c>
      <c r="AL81" s="1" t="n">
        <f aca="false">IF(AK81&gt;0.5,AK81+AK81*(D_iC)-MIN(F_CardPayM,AK81+AK81*(D_iC)),AK81)</f>
        <v>0</v>
      </c>
      <c r="AM81" s="1" t="n">
        <f aca="false">IF(AL81&gt;0.5,AL81+AL81*(D_iC)-MIN(F_CardPayM,AL81+AL81*(D_iC)),AL81)</f>
        <v>0</v>
      </c>
      <c r="AN81" s="1" t="n">
        <f aca="false">IF(AM81&gt;0.5,AM81+AM81*(D_iC)-MIN(F_CardPayM,AM81+AM81*(D_iC)),AM81)</f>
        <v>0</v>
      </c>
      <c r="AO81" s="1" t="n">
        <f aca="false">IF(AN81&gt;0.5,AN81+AN81*(D_iC)-MIN(F_CardPayM,AN81+AN81*(D_iC)),AN81)</f>
        <v>0</v>
      </c>
      <c r="AP81" s="1" t="n">
        <f aca="false">IF(AO81&gt;0.5,AO81+AO81*(D_iC)-MIN(F_CardPayM,AO81+AO81*(D_iC)),AO81)</f>
        <v>0</v>
      </c>
      <c r="AQ81" s="1" t="n">
        <f aca="false">IF(AD81&gt;0.5,MIN(F_CardPayM,AD81+AD81*(D_iC)),0)</f>
        <v>0</v>
      </c>
      <c r="AR81" s="1" t="n">
        <f aca="false">IF(AE81&gt;0.5,MIN(F_CardPayM,AE81+AE81*(D_iC)),0)</f>
        <v>0</v>
      </c>
      <c r="AS81" s="1" t="n">
        <f aca="false">IF(AF81&gt;0.5,MIN(F_CardPayM,AF81+AF81*(D_iC)),0)</f>
        <v>0</v>
      </c>
      <c r="AT81" s="1" t="n">
        <f aca="false">IF(AG81&gt;0.5,MIN(F_CardPayM,AG81+AG81*(D_iC)),0)</f>
        <v>0</v>
      </c>
      <c r="AU81" s="1" t="n">
        <f aca="false">IF(AH81&gt;0.5,MIN(F_CardPayM,AH81+AH81*(D_iC)),0)</f>
        <v>0</v>
      </c>
      <c r="AV81" s="1" t="n">
        <f aca="false">IF(AI81&gt;0.5,MIN(F_CardPayM,AI81+AI81*(D_iC)),0)</f>
        <v>0</v>
      </c>
      <c r="AW81" s="1" t="n">
        <f aca="false">IF(AJ81&gt;0.5,MIN(F_CardPayM,AJ81+AJ81*(D_iC)),0)</f>
        <v>0</v>
      </c>
      <c r="AX81" s="1" t="n">
        <f aca="false">IF(AK81&gt;0.5,MIN(F_CardPayM,AK81+AK81*(D_iC)),0)</f>
        <v>0</v>
      </c>
      <c r="AY81" s="1" t="n">
        <f aca="false">IF(AL81&gt;0.5,MIN(F_CardPayM,AL81+AL81*(D_iC)),0)</f>
        <v>0</v>
      </c>
      <c r="AZ81" s="1" t="n">
        <f aca="false">IF(AM81&gt;0.5,MIN(F_CardPayM,AM81+AM81*(D_iC)),0)</f>
        <v>0</v>
      </c>
      <c r="BA81" s="1" t="n">
        <f aca="false">IF(AN81&gt;0.5,MIN(F_CardPayM,AN81+AN81*(D_iC)),0)</f>
        <v>0</v>
      </c>
      <c r="BB81" s="1" t="n">
        <f aca="false">IF(AO81&gt;0.5,MIN(F_CardPayM,AO81+AO81*(D_iC)),0)</f>
        <v>0</v>
      </c>
      <c r="BC81" s="1" t="n">
        <f aca="false">MAX(0,AP81)</f>
        <v>0</v>
      </c>
      <c r="BD81" s="1" t="n">
        <f aca="false">SUM(AQ81:BB81)</f>
        <v>0</v>
      </c>
      <c r="BE81" s="1" t="n">
        <f aca="false">'Plan cashflow'!O81</f>
        <v>0</v>
      </c>
      <c r="BF81" s="1" t="n">
        <f aca="false">IF(BE81&gt;0.5,BE81+BE81*(D_iL)-MIN(F_LoanPayM,BE81+BE81*(D_iL)),BE81)</f>
        <v>0</v>
      </c>
      <c r="BG81" s="1" t="n">
        <f aca="false">IF(BF81&gt;0.5,BF81+BF81*(D_iL)-MIN(F_LoanPayM,BF81+BF81*(D_iL)),BF81)</f>
        <v>0</v>
      </c>
      <c r="BH81" s="1" t="n">
        <f aca="false">IF(BG81&gt;0.5,BG81+BG81*(D_iL)-MIN(F_LoanPayM,BG81+BG81*(D_iL)),BG81)</f>
        <v>0</v>
      </c>
      <c r="BI81" s="1" t="n">
        <f aca="false">IF(BH81&gt;0.5,BH81+BH81*(D_iL)-MIN(F_LoanPayM,BH81+BH81*(D_iL)),BH81)</f>
        <v>0</v>
      </c>
      <c r="BJ81" s="1" t="n">
        <f aca="false">IF(BI81&gt;0.5,BI81+BI81*(D_iL)-MIN(F_LoanPayM,BI81+BI81*(D_iL)),BI81)</f>
        <v>0</v>
      </c>
      <c r="BK81" s="1" t="n">
        <f aca="false">IF(BJ81&gt;0.5,BJ81+BJ81*(D_iL)-MIN(F_LoanPayM,BJ81+BJ81*(D_iL)),BJ81)</f>
        <v>0</v>
      </c>
      <c r="BL81" s="1" t="n">
        <f aca="false">IF(BK81&gt;0.5,BK81+BK81*(D_iL)-MIN(F_LoanPayM,BK81+BK81*(D_iL)),BK81)</f>
        <v>0</v>
      </c>
      <c r="BM81" s="1" t="n">
        <f aca="false">IF(BL81&gt;0.5,BL81+BL81*(D_iL)-MIN(F_LoanPayM,BL81+BL81*(D_iL)),BL81)</f>
        <v>0</v>
      </c>
      <c r="BN81" s="1" t="n">
        <f aca="false">IF(BM81&gt;0.5,BM81+BM81*(D_iL)-MIN(F_LoanPayM,BM81+BM81*(D_iL)),BM81)</f>
        <v>0</v>
      </c>
      <c r="BO81" s="1" t="n">
        <f aca="false">IF(BN81&gt;0.5,BN81+BN81*(D_iL)-MIN(F_LoanPayM,BN81+BN81*(D_iL)),BN81)</f>
        <v>0</v>
      </c>
      <c r="BP81" s="1" t="n">
        <f aca="false">IF(BO81&gt;0.5,BO81+BO81*(D_iL)-MIN(F_LoanPayM,BO81+BO81*(D_iL)),BO81)</f>
        <v>0</v>
      </c>
      <c r="BQ81" s="1" t="n">
        <f aca="false">IF(BP81&gt;0.5,BP81+BP81*(D_iL)-MIN(F_LoanPayM,BP81+BP81*(D_iL)),BP81)</f>
        <v>0</v>
      </c>
      <c r="BR81" s="1" t="n">
        <f aca="false">IF(BE81&gt;0.5,MIN(F_LoanPayM,BE81+BE81*(D_iL)),0)</f>
        <v>0</v>
      </c>
      <c r="BS81" s="1" t="n">
        <f aca="false">IF(BF81&gt;0.5,MIN(F_LoanPayM,BF81+BF81*(D_iL)),0)</f>
        <v>0</v>
      </c>
      <c r="BT81" s="1" t="n">
        <f aca="false">IF(BG81&gt;0.5,MIN(F_LoanPayM,BG81+BG81*(D_iL)),0)</f>
        <v>0</v>
      </c>
      <c r="BU81" s="1" t="n">
        <f aca="false">IF(BH81&gt;0.5,MIN(F_LoanPayM,BH81+BH81*(D_iL)),0)</f>
        <v>0</v>
      </c>
      <c r="BV81" s="1" t="n">
        <f aca="false">IF(BI81&gt;0.5,MIN(F_LoanPayM,BI81+BI81*(D_iL)),0)</f>
        <v>0</v>
      </c>
      <c r="BW81" s="1" t="n">
        <f aca="false">IF(BJ81&gt;0.5,MIN(F_LoanPayM,BJ81+BJ81*(D_iL)),0)</f>
        <v>0</v>
      </c>
      <c r="BX81" s="1" t="n">
        <f aca="false">IF(BK81&gt;0.5,MIN(F_LoanPayM,BK81+BK81*(D_iL)),0)</f>
        <v>0</v>
      </c>
      <c r="BY81" s="1" t="n">
        <f aca="false">IF(BL81&gt;0.5,MIN(F_LoanPayM,BL81+BL81*(D_iL)),0)</f>
        <v>0</v>
      </c>
      <c r="BZ81" s="1" t="n">
        <f aca="false">IF(BM81&gt;0.5,MIN(F_LoanPayM,BM81+BM81*(D_iL)),0)</f>
        <v>0</v>
      </c>
      <c r="CA81" s="1" t="n">
        <f aca="false">IF(BN81&gt;0.5,MIN(F_LoanPayM,BN81+BN81*(D_iL)),0)</f>
        <v>0</v>
      </c>
      <c r="CB81" s="1" t="n">
        <f aca="false">IF(BO81&gt;0.5,MIN(F_LoanPayM,BO81+BO81*(D_iL)),0)</f>
        <v>0</v>
      </c>
      <c r="CC81" s="1" t="n">
        <f aca="false">IF(BP81&gt;0.5,MIN(F_LoanPayM,BP81+BP81*(D_iL)),0)</f>
        <v>0</v>
      </c>
      <c r="CD81" s="1" t="n">
        <f aca="false">MAX(0,BQ81)</f>
        <v>0</v>
      </c>
      <c r="CE81" s="1" t="n">
        <f aca="false">SUM(BR81:CC81)</f>
        <v>0</v>
      </c>
      <c r="CF81" s="1" t="n">
        <f aca="false">IF(CF80&gt;1,DE80,CF80)</f>
        <v>0</v>
      </c>
      <c r="CG81" s="1" t="n">
        <f aca="false">IF(CF81&gt;0.5,CF81+CF81*(F_MR/12)-MIN(F_MortPayM,CF81+CF81*(F_MR/12)),CF81)</f>
        <v>0</v>
      </c>
      <c r="CH81" s="1" t="n">
        <f aca="false">IF(CG81&gt;0.5,CG81+CG81*(F_MR/12)-MIN(F_MortPayM,CG81+CG81*(F_MR/12)),CG81)</f>
        <v>0</v>
      </c>
      <c r="CI81" s="1" t="n">
        <f aca="false">IF(CH81&gt;0.5,CH81+CH81*(F_MR/12)-MIN(F_MortPayM,CH81+CH81*(F_MR/12)),CH81)</f>
        <v>0</v>
      </c>
      <c r="CJ81" s="1" t="n">
        <f aca="false">IF(CI81&gt;0.5,CI81+CI81*(F_MR/12)-MIN(F_MortPayM,CI81+CI81*(F_MR/12)),CI81)</f>
        <v>0</v>
      </c>
      <c r="CK81" s="1" t="n">
        <f aca="false">IF(CJ81&gt;0.5,CJ81+CJ81*(F_MR/12)-MIN(F_MortPayM,CJ81+CJ81*(F_MR/12)),CJ81)</f>
        <v>0</v>
      </c>
      <c r="CL81" s="1" t="n">
        <f aca="false">IF(CK81&gt;0.5,CK81+CK81*(F_MR/12)-MIN(F_MortPayM,CK81+CK81*(F_MR/12)),CK81)</f>
        <v>0</v>
      </c>
      <c r="CM81" s="1" t="n">
        <f aca="false">IF(CL81&gt;0.5,CL81+CL81*(F_MR/12)-MIN(F_MortPayM,CL81+CL81*(F_MR/12)),CL81)</f>
        <v>0</v>
      </c>
      <c r="CN81" s="1" t="n">
        <f aca="false">IF(CM81&gt;0.5,CM81+CM81*(F_MR/12)-MIN(F_MortPayM,CM81+CM81*(F_MR/12)),CM81)</f>
        <v>0</v>
      </c>
      <c r="CO81" s="1" t="n">
        <f aca="false">IF(CN81&gt;0.5,CN81+CN81*(F_MR/12)-MIN(F_MortPayM,CN81+CN81*(F_MR/12)),CN81)</f>
        <v>0</v>
      </c>
      <c r="CP81" s="1" t="n">
        <f aca="false">IF(CO81&gt;0.5,CO81+CO81*(F_MR/12)-MIN(F_MortPayM,CO81+CO81*(F_MR/12)),CO81)</f>
        <v>0</v>
      </c>
      <c r="CQ81" s="1" t="n">
        <f aca="false">IF(CP81&gt;0.5,CP81+CP81*(F_MR/12)-MIN(F_MortPayM,CP81+CP81*(F_MR/12)),CP81)</f>
        <v>0</v>
      </c>
      <c r="CR81" s="1" t="n">
        <f aca="false">IF(CQ81&gt;0.5,CQ81+CQ81*(F_MR/12)-MIN(F_MortPayM,CQ81+CQ81*(F_MR/12)),CQ81)</f>
        <v>0</v>
      </c>
      <c r="CS81" s="1" t="n">
        <f aca="false">IF(CF81&gt;0.5,MIN(F_MortPayM,CF81+CF81*(F_MR/12)),0)</f>
        <v>0</v>
      </c>
      <c r="CT81" s="1" t="n">
        <f aca="false">IF(CG81&gt;0.5,MIN(F_MortPayM,CG81+CG81*(F_MR/12)),0)</f>
        <v>0</v>
      </c>
      <c r="CU81" s="1" t="n">
        <f aca="false">IF(CH81&gt;0.5,MIN(F_MortPayM,CH81+CH81*(F_MR/12)),0)</f>
        <v>0</v>
      </c>
      <c r="CV81" s="1" t="n">
        <f aca="false">IF(CI81&gt;0.5,MIN(F_MortPayM,CI81+CI81*(F_MR/12)),0)</f>
        <v>0</v>
      </c>
      <c r="CW81" s="1" t="n">
        <f aca="false">IF(CJ81&gt;0.5,MIN(F_MortPayM,CJ81+CJ81*(F_MR/12)),0)</f>
        <v>0</v>
      </c>
      <c r="CX81" s="1" t="n">
        <f aca="false">IF(CK81&gt;0.5,MIN(F_MortPayM,CK81+CK81*(F_MR/12)),0)</f>
        <v>0</v>
      </c>
      <c r="CY81" s="1" t="n">
        <f aca="false">IF(CL81&gt;0.5,MIN(F_MortPayM,CL81+CL81*(F_MR/12)),0)</f>
        <v>0</v>
      </c>
      <c r="CZ81" s="1" t="n">
        <f aca="false">IF(CM81&gt;0.5,MIN(F_MortPayM,CM81+CM81*(F_MR/12)),0)</f>
        <v>0</v>
      </c>
      <c r="DA81" s="1" t="n">
        <f aca="false">IF(CN81&gt;0.5,MIN(F_MortPayM,CN81+CN81*(F_MR/12)),0)</f>
        <v>0</v>
      </c>
      <c r="DB81" s="1" t="n">
        <f aca="false">IF(CO81&gt;0.5,MIN(F_MortPayM,CO81+CO81*(F_MR/12)),0)</f>
        <v>0</v>
      </c>
      <c r="DC81" s="1" t="n">
        <f aca="false">IF(CP81&gt;0.5,MIN(F_MortPayM,CP81+CP81*(F_MR/12)),0)</f>
        <v>0</v>
      </c>
      <c r="DD81" s="1" t="n">
        <f aca="false">IF(CQ81&gt;0.5,MIN(F_MortPayM,CQ81+CQ81*(F_MR/12)),0)</f>
        <v>0</v>
      </c>
      <c r="DE81" s="1" t="n">
        <f aca="false">MAX(0,CR81)</f>
        <v>0</v>
      </c>
      <c r="DF81" s="1" t="n">
        <f aca="false">SUM(CS81:DD81)</f>
        <v>0</v>
      </c>
      <c r="DG81" s="1" t="n">
        <f aca="false">MAX(0,CF81)</f>
        <v>0</v>
      </c>
    </row>
    <row r="82" customFormat="false" ht="15" hidden="false" customHeight="false" outlineLevel="0" collapsed="false">
      <c r="B82" s="1" t="n">
        <v>74</v>
      </c>
      <c r="C82" s="1" t="n">
        <f aca="false">'Plan cashflow'!I82</f>
        <v>0</v>
      </c>
      <c r="D82" s="1" t="n">
        <f aca="false">IF(C82&gt;0.5,C82+C82*(F_MR/12)-MIN(F_MortPayM,C82+C82*(F_MR/12)),C82)</f>
        <v>0</v>
      </c>
      <c r="E82" s="1" t="n">
        <f aca="false">IF(D82&gt;0.5,D82+D82*(F_MR/12)-MIN(F_MortPayM,D82+D82*(F_MR/12)),D82)</f>
        <v>0</v>
      </c>
      <c r="F82" s="1" t="n">
        <f aca="false">IF(E82&gt;0.5,E82+E82*(F_MR/12)-MIN(F_MortPayM,E82+E82*(F_MR/12)),E82)</f>
        <v>0</v>
      </c>
      <c r="G82" s="1" t="n">
        <f aca="false">IF(F82&gt;0.5,F82+F82*(F_MR/12)-MIN(F_MortPayM,F82+F82*(F_MR/12)),F82)</f>
        <v>0</v>
      </c>
      <c r="H82" s="1" t="n">
        <f aca="false">IF(G82&gt;0.5,G82+G82*(F_MR/12)-MIN(F_MortPayM,G82+G82*(F_MR/12)),G82)</f>
        <v>0</v>
      </c>
      <c r="I82" s="1" t="n">
        <f aca="false">IF(H82&gt;0.5,H82+H82*(F_MR/12)-MIN(F_MortPayM,H82+H82*(F_MR/12)),H82)</f>
        <v>0</v>
      </c>
      <c r="J82" s="1" t="n">
        <f aca="false">IF(I82&gt;0.5,I82+I82*(F_MR/12)-MIN(F_MortPayM,I82+I82*(F_MR/12)),I82)</f>
        <v>0</v>
      </c>
      <c r="K82" s="1" t="n">
        <f aca="false">IF(J82&gt;0.5,J82+J82*(F_MR/12)-MIN(F_MortPayM,J82+J82*(F_MR/12)),J82)</f>
        <v>0</v>
      </c>
      <c r="L82" s="1" t="n">
        <f aca="false">IF(K82&gt;0.5,K82+K82*(F_MR/12)-MIN(F_MortPayM,K82+K82*(F_MR/12)),K82)</f>
        <v>0</v>
      </c>
      <c r="M82" s="1" t="n">
        <f aca="false">IF(L82&gt;0.5,L82+L82*(F_MR/12)-MIN(F_MortPayM,L82+L82*(F_MR/12)),L82)</f>
        <v>0</v>
      </c>
      <c r="N82" s="1" t="n">
        <f aca="false">IF(M82&gt;0.5,M82+M82*(F_MR/12)-MIN(F_MortPayM,M82+M82*(F_MR/12)),M82)</f>
        <v>0</v>
      </c>
      <c r="O82" s="1" t="n">
        <f aca="false">IF(N82&gt;0.5,N82+N82*(F_MR/12)-MIN(F_MortPayM,N82+N82*(F_MR/12)),N82)</f>
        <v>0</v>
      </c>
      <c r="P82" s="1" t="n">
        <f aca="false">IF(C82&gt;0.5,MIN(F_MortPayM,C82+C82*(F_MR/12)),0)</f>
        <v>0</v>
      </c>
      <c r="Q82" s="1" t="n">
        <f aca="false">IF(D82&gt;0.5,MIN(F_MortPayM,D82+D82*(F_MR/12)),0)</f>
        <v>0</v>
      </c>
      <c r="R82" s="1" t="n">
        <f aca="false">IF(E82&gt;0.5,MIN(F_MortPayM,E82+E82*(F_MR/12)),0)</f>
        <v>0</v>
      </c>
      <c r="S82" s="1" t="n">
        <f aca="false">IF(F82&gt;0.5,MIN(F_MortPayM,F82+F82*(F_MR/12)),0)</f>
        <v>0</v>
      </c>
      <c r="T82" s="1" t="n">
        <f aca="false">IF(G82&gt;0.5,MIN(F_MortPayM,G82+G82*(F_MR/12)),0)</f>
        <v>0</v>
      </c>
      <c r="U82" s="1" t="n">
        <f aca="false">IF(H82&gt;0.5,MIN(F_MortPayM,H82+H82*(F_MR/12)),0)</f>
        <v>0</v>
      </c>
      <c r="V82" s="1" t="n">
        <f aca="false">IF(I82&gt;0.5,MIN(F_MortPayM,I82+I82*(F_MR/12)),0)</f>
        <v>0</v>
      </c>
      <c r="W82" s="1" t="n">
        <f aca="false">IF(J82&gt;0.5,MIN(F_MortPayM,J82+J82*(F_MR/12)),0)</f>
        <v>0</v>
      </c>
      <c r="X82" s="1" t="n">
        <f aca="false">IF(K82&gt;0.5,MIN(F_MortPayM,K82+K82*(F_MR/12)),0)</f>
        <v>0</v>
      </c>
      <c r="Y82" s="1" t="n">
        <f aca="false">IF(L82&gt;0.5,MIN(F_MortPayM,L82+L82*(F_MR/12)),0)</f>
        <v>0</v>
      </c>
      <c r="Z82" s="1" t="n">
        <f aca="false">IF(M82&gt;0.5,MIN(F_MortPayM,M82+M82*(F_MR/12)),0)</f>
        <v>0</v>
      </c>
      <c r="AA82" s="1" t="n">
        <f aca="false">IF(N82&gt;0.5,MIN(F_MortPayM,N82+N82*(F_MR/12)),0)</f>
        <v>0</v>
      </c>
      <c r="AB82" s="1" t="n">
        <f aca="false">MAX(0,O82)</f>
        <v>0</v>
      </c>
      <c r="AC82" s="1" t="n">
        <f aca="false">SUM(P82:AA82)</f>
        <v>0</v>
      </c>
      <c r="AD82" s="1" t="n">
        <f aca="false">'Plan cashflow'!L82</f>
        <v>0</v>
      </c>
      <c r="AE82" s="1" t="n">
        <f aca="false">IF(AD82&gt;0.5,AD82+AD82*(D_iC)-MIN(F_CardPayM,AD82+AD82*(D_iC)),AD82)</f>
        <v>0</v>
      </c>
      <c r="AF82" s="1" t="n">
        <f aca="false">IF(AE82&gt;0.5,AE82+AE82*(D_iC)-MIN(F_CardPayM,AE82+AE82*(D_iC)),AE82)</f>
        <v>0</v>
      </c>
      <c r="AG82" s="1" t="n">
        <f aca="false">IF(AF82&gt;0.5,AF82+AF82*(D_iC)-MIN(F_CardPayM,AF82+AF82*(D_iC)),AF82)</f>
        <v>0</v>
      </c>
      <c r="AH82" s="1" t="n">
        <f aca="false">IF(AG82&gt;0.5,AG82+AG82*(D_iC)-MIN(F_CardPayM,AG82+AG82*(D_iC)),AG82)</f>
        <v>0</v>
      </c>
      <c r="AI82" s="1" t="n">
        <f aca="false">IF(AH82&gt;0.5,AH82+AH82*(D_iC)-MIN(F_CardPayM,AH82+AH82*(D_iC)),AH82)</f>
        <v>0</v>
      </c>
      <c r="AJ82" s="1" t="n">
        <f aca="false">IF(AI82&gt;0.5,AI82+AI82*(D_iC)-MIN(F_CardPayM,AI82+AI82*(D_iC)),AI82)</f>
        <v>0</v>
      </c>
      <c r="AK82" s="1" t="n">
        <f aca="false">IF(AJ82&gt;0.5,AJ82+AJ82*(D_iC)-MIN(F_CardPayM,AJ82+AJ82*(D_iC)),AJ82)</f>
        <v>0</v>
      </c>
      <c r="AL82" s="1" t="n">
        <f aca="false">IF(AK82&gt;0.5,AK82+AK82*(D_iC)-MIN(F_CardPayM,AK82+AK82*(D_iC)),AK82)</f>
        <v>0</v>
      </c>
      <c r="AM82" s="1" t="n">
        <f aca="false">IF(AL82&gt;0.5,AL82+AL82*(D_iC)-MIN(F_CardPayM,AL82+AL82*(D_iC)),AL82)</f>
        <v>0</v>
      </c>
      <c r="AN82" s="1" t="n">
        <f aca="false">IF(AM82&gt;0.5,AM82+AM82*(D_iC)-MIN(F_CardPayM,AM82+AM82*(D_iC)),AM82)</f>
        <v>0</v>
      </c>
      <c r="AO82" s="1" t="n">
        <f aca="false">IF(AN82&gt;0.5,AN82+AN82*(D_iC)-MIN(F_CardPayM,AN82+AN82*(D_iC)),AN82)</f>
        <v>0</v>
      </c>
      <c r="AP82" s="1" t="n">
        <f aca="false">IF(AO82&gt;0.5,AO82+AO82*(D_iC)-MIN(F_CardPayM,AO82+AO82*(D_iC)),AO82)</f>
        <v>0</v>
      </c>
      <c r="AQ82" s="1" t="n">
        <f aca="false">IF(AD82&gt;0.5,MIN(F_CardPayM,AD82+AD82*(D_iC)),0)</f>
        <v>0</v>
      </c>
      <c r="AR82" s="1" t="n">
        <f aca="false">IF(AE82&gt;0.5,MIN(F_CardPayM,AE82+AE82*(D_iC)),0)</f>
        <v>0</v>
      </c>
      <c r="AS82" s="1" t="n">
        <f aca="false">IF(AF82&gt;0.5,MIN(F_CardPayM,AF82+AF82*(D_iC)),0)</f>
        <v>0</v>
      </c>
      <c r="AT82" s="1" t="n">
        <f aca="false">IF(AG82&gt;0.5,MIN(F_CardPayM,AG82+AG82*(D_iC)),0)</f>
        <v>0</v>
      </c>
      <c r="AU82" s="1" t="n">
        <f aca="false">IF(AH82&gt;0.5,MIN(F_CardPayM,AH82+AH82*(D_iC)),0)</f>
        <v>0</v>
      </c>
      <c r="AV82" s="1" t="n">
        <f aca="false">IF(AI82&gt;0.5,MIN(F_CardPayM,AI82+AI82*(D_iC)),0)</f>
        <v>0</v>
      </c>
      <c r="AW82" s="1" t="n">
        <f aca="false">IF(AJ82&gt;0.5,MIN(F_CardPayM,AJ82+AJ82*(D_iC)),0)</f>
        <v>0</v>
      </c>
      <c r="AX82" s="1" t="n">
        <f aca="false">IF(AK82&gt;0.5,MIN(F_CardPayM,AK82+AK82*(D_iC)),0)</f>
        <v>0</v>
      </c>
      <c r="AY82" s="1" t="n">
        <f aca="false">IF(AL82&gt;0.5,MIN(F_CardPayM,AL82+AL82*(D_iC)),0)</f>
        <v>0</v>
      </c>
      <c r="AZ82" s="1" t="n">
        <f aca="false">IF(AM82&gt;0.5,MIN(F_CardPayM,AM82+AM82*(D_iC)),0)</f>
        <v>0</v>
      </c>
      <c r="BA82" s="1" t="n">
        <f aca="false">IF(AN82&gt;0.5,MIN(F_CardPayM,AN82+AN82*(D_iC)),0)</f>
        <v>0</v>
      </c>
      <c r="BB82" s="1" t="n">
        <f aca="false">IF(AO82&gt;0.5,MIN(F_CardPayM,AO82+AO82*(D_iC)),0)</f>
        <v>0</v>
      </c>
      <c r="BC82" s="1" t="n">
        <f aca="false">MAX(0,AP82)</f>
        <v>0</v>
      </c>
      <c r="BD82" s="1" t="n">
        <f aca="false">SUM(AQ82:BB82)</f>
        <v>0</v>
      </c>
      <c r="BE82" s="1" t="n">
        <f aca="false">'Plan cashflow'!O82</f>
        <v>0</v>
      </c>
      <c r="BF82" s="1" t="n">
        <f aca="false">IF(BE82&gt;0.5,BE82+BE82*(D_iL)-MIN(F_LoanPayM,BE82+BE82*(D_iL)),BE82)</f>
        <v>0</v>
      </c>
      <c r="BG82" s="1" t="n">
        <f aca="false">IF(BF82&gt;0.5,BF82+BF82*(D_iL)-MIN(F_LoanPayM,BF82+BF82*(D_iL)),BF82)</f>
        <v>0</v>
      </c>
      <c r="BH82" s="1" t="n">
        <f aca="false">IF(BG82&gt;0.5,BG82+BG82*(D_iL)-MIN(F_LoanPayM,BG82+BG82*(D_iL)),BG82)</f>
        <v>0</v>
      </c>
      <c r="BI82" s="1" t="n">
        <f aca="false">IF(BH82&gt;0.5,BH82+BH82*(D_iL)-MIN(F_LoanPayM,BH82+BH82*(D_iL)),BH82)</f>
        <v>0</v>
      </c>
      <c r="BJ82" s="1" t="n">
        <f aca="false">IF(BI82&gt;0.5,BI82+BI82*(D_iL)-MIN(F_LoanPayM,BI82+BI82*(D_iL)),BI82)</f>
        <v>0</v>
      </c>
      <c r="BK82" s="1" t="n">
        <f aca="false">IF(BJ82&gt;0.5,BJ82+BJ82*(D_iL)-MIN(F_LoanPayM,BJ82+BJ82*(D_iL)),BJ82)</f>
        <v>0</v>
      </c>
      <c r="BL82" s="1" t="n">
        <f aca="false">IF(BK82&gt;0.5,BK82+BK82*(D_iL)-MIN(F_LoanPayM,BK82+BK82*(D_iL)),BK82)</f>
        <v>0</v>
      </c>
      <c r="BM82" s="1" t="n">
        <f aca="false">IF(BL82&gt;0.5,BL82+BL82*(D_iL)-MIN(F_LoanPayM,BL82+BL82*(D_iL)),BL82)</f>
        <v>0</v>
      </c>
      <c r="BN82" s="1" t="n">
        <f aca="false">IF(BM82&gt;0.5,BM82+BM82*(D_iL)-MIN(F_LoanPayM,BM82+BM82*(D_iL)),BM82)</f>
        <v>0</v>
      </c>
      <c r="BO82" s="1" t="n">
        <f aca="false">IF(BN82&gt;0.5,BN82+BN82*(D_iL)-MIN(F_LoanPayM,BN82+BN82*(D_iL)),BN82)</f>
        <v>0</v>
      </c>
      <c r="BP82" s="1" t="n">
        <f aca="false">IF(BO82&gt;0.5,BO82+BO82*(D_iL)-MIN(F_LoanPayM,BO82+BO82*(D_iL)),BO82)</f>
        <v>0</v>
      </c>
      <c r="BQ82" s="1" t="n">
        <f aca="false">IF(BP82&gt;0.5,BP82+BP82*(D_iL)-MIN(F_LoanPayM,BP82+BP82*(D_iL)),BP82)</f>
        <v>0</v>
      </c>
      <c r="BR82" s="1" t="n">
        <f aca="false">IF(BE82&gt;0.5,MIN(F_LoanPayM,BE82+BE82*(D_iL)),0)</f>
        <v>0</v>
      </c>
      <c r="BS82" s="1" t="n">
        <f aca="false">IF(BF82&gt;0.5,MIN(F_LoanPayM,BF82+BF82*(D_iL)),0)</f>
        <v>0</v>
      </c>
      <c r="BT82" s="1" t="n">
        <f aca="false">IF(BG82&gt;0.5,MIN(F_LoanPayM,BG82+BG82*(D_iL)),0)</f>
        <v>0</v>
      </c>
      <c r="BU82" s="1" t="n">
        <f aca="false">IF(BH82&gt;0.5,MIN(F_LoanPayM,BH82+BH82*(D_iL)),0)</f>
        <v>0</v>
      </c>
      <c r="BV82" s="1" t="n">
        <f aca="false">IF(BI82&gt;0.5,MIN(F_LoanPayM,BI82+BI82*(D_iL)),0)</f>
        <v>0</v>
      </c>
      <c r="BW82" s="1" t="n">
        <f aca="false">IF(BJ82&gt;0.5,MIN(F_LoanPayM,BJ82+BJ82*(D_iL)),0)</f>
        <v>0</v>
      </c>
      <c r="BX82" s="1" t="n">
        <f aca="false">IF(BK82&gt;0.5,MIN(F_LoanPayM,BK82+BK82*(D_iL)),0)</f>
        <v>0</v>
      </c>
      <c r="BY82" s="1" t="n">
        <f aca="false">IF(BL82&gt;0.5,MIN(F_LoanPayM,BL82+BL82*(D_iL)),0)</f>
        <v>0</v>
      </c>
      <c r="BZ82" s="1" t="n">
        <f aca="false">IF(BM82&gt;0.5,MIN(F_LoanPayM,BM82+BM82*(D_iL)),0)</f>
        <v>0</v>
      </c>
      <c r="CA82" s="1" t="n">
        <f aca="false">IF(BN82&gt;0.5,MIN(F_LoanPayM,BN82+BN82*(D_iL)),0)</f>
        <v>0</v>
      </c>
      <c r="CB82" s="1" t="n">
        <f aca="false">IF(BO82&gt;0.5,MIN(F_LoanPayM,BO82+BO82*(D_iL)),0)</f>
        <v>0</v>
      </c>
      <c r="CC82" s="1" t="n">
        <f aca="false">IF(BP82&gt;0.5,MIN(F_LoanPayM,BP82+BP82*(D_iL)),0)</f>
        <v>0</v>
      </c>
      <c r="CD82" s="1" t="n">
        <f aca="false">MAX(0,BQ82)</f>
        <v>0</v>
      </c>
      <c r="CE82" s="1" t="n">
        <f aca="false">SUM(BR82:CC82)</f>
        <v>0</v>
      </c>
      <c r="CF82" s="1" t="n">
        <f aca="false">IF(CF81&gt;1,DE81,CF81)</f>
        <v>0</v>
      </c>
      <c r="CG82" s="1" t="n">
        <f aca="false">IF(CF82&gt;0.5,CF82+CF82*(F_MR/12)-MIN(F_MortPayM,CF82+CF82*(F_MR/12)),CF82)</f>
        <v>0</v>
      </c>
      <c r="CH82" s="1" t="n">
        <f aca="false">IF(CG82&gt;0.5,CG82+CG82*(F_MR/12)-MIN(F_MortPayM,CG82+CG82*(F_MR/12)),CG82)</f>
        <v>0</v>
      </c>
      <c r="CI82" s="1" t="n">
        <f aca="false">IF(CH82&gt;0.5,CH82+CH82*(F_MR/12)-MIN(F_MortPayM,CH82+CH82*(F_MR/12)),CH82)</f>
        <v>0</v>
      </c>
      <c r="CJ82" s="1" t="n">
        <f aca="false">IF(CI82&gt;0.5,CI82+CI82*(F_MR/12)-MIN(F_MortPayM,CI82+CI82*(F_MR/12)),CI82)</f>
        <v>0</v>
      </c>
      <c r="CK82" s="1" t="n">
        <f aca="false">IF(CJ82&gt;0.5,CJ82+CJ82*(F_MR/12)-MIN(F_MortPayM,CJ82+CJ82*(F_MR/12)),CJ82)</f>
        <v>0</v>
      </c>
      <c r="CL82" s="1" t="n">
        <f aca="false">IF(CK82&gt;0.5,CK82+CK82*(F_MR/12)-MIN(F_MortPayM,CK82+CK82*(F_MR/12)),CK82)</f>
        <v>0</v>
      </c>
      <c r="CM82" s="1" t="n">
        <f aca="false">IF(CL82&gt;0.5,CL82+CL82*(F_MR/12)-MIN(F_MortPayM,CL82+CL82*(F_MR/12)),CL82)</f>
        <v>0</v>
      </c>
      <c r="CN82" s="1" t="n">
        <f aca="false">IF(CM82&gt;0.5,CM82+CM82*(F_MR/12)-MIN(F_MortPayM,CM82+CM82*(F_MR/12)),CM82)</f>
        <v>0</v>
      </c>
      <c r="CO82" s="1" t="n">
        <f aca="false">IF(CN82&gt;0.5,CN82+CN82*(F_MR/12)-MIN(F_MortPayM,CN82+CN82*(F_MR/12)),CN82)</f>
        <v>0</v>
      </c>
      <c r="CP82" s="1" t="n">
        <f aca="false">IF(CO82&gt;0.5,CO82+CO82*(F_MR/12)-MIN(F_MortPayM,CO82+CO82*(F_MR/12)),CO82)</f>
        <v>0</v>
      </c>
      <c r="CQ82" s="1" t="n">
        <f aca="false">IF(CP82&gt;0.5,CP82+CP82*(F_MR/12)-MIN(F_MortPayM,CP82+CP82*(F_MR/12)),CP82)</f>
        <v>0</v>
      </c>
      <c r="CR82" s="1" t="n">
        <f aca="false">IF(CQ82&gt;0.5,CQ82+CQ82*(F_MR/12)-MIN(F_MortPayM,CQ82+CQ82*(F_MR/12)),CQ82)</f>
        <v>0</v>
      </c>
      <c r="CS82" s="1" t="n">
        <f aca="false">IF(CF82&gt;0.5,MIN(F_MortPayM,CF82+CF82*(F_MR/12)),0)</f>
        <v>0</v>
      </c>
      <c r="CT82" s="1" t="n">
        <f aca="false">IF(CG82&gt;0.5,MIN(F_MortPayM,CG82+CG82*(F_MR/12)),0)</f>
        <v>0</v>
      </c>
      <c r="CU82" s="1" t="n">
        <f aca="false">IF(CH82&gt;0.5,MIN(F_MortPayM,CH82+CH82*(F_MR/12)),0)</f>
        <v>0</v>
      </c>
      <c r="CV82" s="1" t="n">
        <f aca="false">IF(CI82&gt;0.5,MIN(F_MortPayM,CI82+CI82*(F_MR/12)),0)</f>
        <v>0</v>
      </c>
      <c r="CW82" s="1" t="n">
        <f aca="false">IF(CJ82&gt;0.5,MIN(F_MortPayM,CJ82+CJ82*(F_MR/12)),0)</f>
        <v>0</v>
      </c>
      <c r="CX82" s="1" t="n">
        <f aca="false">IF(CK82&gt;0.5,MIN(F_MortPayM,CK82+CK82*(F_MR/12)),0)</f>
        <v>0</v>
      </c>
      <c r="CY82" s="1" t="n">
        <f aca="false">IF(CL82&gt;0.5,MIN(F_MortPayM,CL82+CL82*(F_MR/12)),0)</f>
        <v>0</v>
      </c>
      <c r="CZ82" s="1" t="n">
        <f aca="false">IF(CM82&gt;0.5,MIN(F_MortPayM,CM82+CM82*(F_MR/12)),0)</f>
        <v>0</v>
      </c>
      <c r="DA82" s="1" t="n">
        <f aca="false">IF(CN82&gt;0.5,MIN(F_MortPayM,CN82+CN82*(F_MR/12)),0)</f>
        <v>0</v>
      </c>
      <c r="DB82" s="1" t="n">
        <f aca="false">IF(CO82&gt;0.5,MIN(F_MortPayM,CO82+CO82*(F_MR/12)),0)</f>
        <v>0</v>
      </c>
      <c r="DC82" s="1" t="n">
        <f aca="false">IF(CP82&gt;0.5,MIN(F_MortPayM,CP82+CP82*(F_MR/12)),0)</f>
        <v>0</v>
      </c>
      <c r="DD82" s="1" t="n">
        <f aca="false">IF(CQ82&gt;0.5,MIN(F_MortPayM,CQ82+CQ82*(F_MR/12)),0)</f>
        <v>0</v>
      </c>
      <c r="DE82" s="1" t="n">
        <f aca="false">MAX(0,CR82)</f>
        <v>0</v>
      </c>
      <c r="DF82" s="1" t="n">
        <f aca="false">SUM(CS82:DD82)</f>
        <v>0</v>
      </c>
      <c r="DG82" s="1" t="n">
        <f aca="false">MAX(0,CF82)</f>
        <v>0</v>
      </c>
    </row>
    <row r="83" customFormat="false" ht="15" hidden="false" customHeight="false" outlineLevel="0" collapsed="false">
      <c r="B83" s="1" t="n">
        <v>75</v>
      </c>
      <c r="C83" s="1" t="n">
        <f aca="false">'Plan cashflow'!I83</f>
        <v>0</v>
      </c>
      <c r="D83" s="1" t="n">
        <f aca="false">IF(C83&gt;0.5,C83+C83*(F_MR/12)-MIN(F_MortPayM,C83+C83*(F_MR/12)),C83)</f>
        <v>0</v>
      </c>
      <c r="E83" s="1" t="n">
        <f aca="false">IF(D83&gt;0.5,D83+D83*(F_MR/12)-MIN(F_MortPayM,D83+D83*(F_MR/12)),D83)</f>
        <v>0</v>
      </c>
      <c r="F83" s="1" t="n">
        <f aca="false">IF(E83&gt;0.5,E83+E83*(F_MR/12)-MIN(F_MortPayM,E83+E83*(F_MR/12)),E83)</f>
        <v>0</v>
      </c>
      <c r="G83" s="1" t="n">
        <f aca="false">IF(F83&gt;0.5,F83+F83*(F_MR/12)-MIN(F_MortPayM,F83+F83*(F_MR/12)),F83)</f>
        <v>0</v>
      </c>
      <c r="H83" s="1" t="n">
        <f aca="false">IF(G83&gt;0.5,G83+G83*(F_MR/12)-MIN(F_MortPayM,G83+G83*(F_MR/12)),G83)</f>
        <v>0</v>
      </c>
      <c r="I83" s="1" t="n">
        <f aca="false">IF(H83&gt;0.5,H83+H83*(F_MR/12)-MIN(F_MortPayM,H83+H83*(F_MR/12)),H83)</f>
        <v>0</v>
      </c>
      <c r="J83" s="1" t="n">
        <f aca="false">IF(I83&gt;0.5,I83+I83*(F_MR/12)-MIN(F_MortPayM,I83+I83*(F_MR/12)),I83)</f>
        <v>0</v>
      </c>
      <c r="K83" s="1" t="n">
        <f aca="false">IF(J83&gt;0.5,J83+J83*(F_MR/12)-MIN(F_MortPayM,J83+J83*(F_MR/12)),J83)</f>
        <v>0</v>
      </c>
      <c r="L83" s="1" t="n">
        <f aca="false">IF(K83&gt;0.5,K83+K83*(F_MR/12)-MIN(F_MortPayM,K83+K83*(F_MR/12)),K83)</f>
        <v>0</v>
      </c>
      <c r="M83" s="1" t="n">
        <f aca="false">IF(L83&gt;0.5,L83+L83*(F_MR/12)-MIN(F_MortPayM,L83+L83*(F_MR/12)),L83)</f>
        <v>0</v>
      </c>
      <c r="N83" s="1" t="n">
        <f aca="false">IF(M83&gt;0.5,M83+M83*(F_MR/12)-MIN(F_MortPayM,M83+M83*(F_MR/12)),M83)</f>
        <v>0</v>
      </c>
      <c r="O83" s="1" t="n">
        <f aca="false">IF(N83&gt;0.5,N83+N83*(F_MR/12)-MIN(F_MortPayM,N83+N83*(F_MR/12)),N83)</f>
        <v>0</v>
      </c>
      <c r="P83" s="1" t="n">
        <f aca="false">IF(C83&gt;0.5,MIN(F_MortPayM,C83+C83*(F_MR/12)),0)</f>
        <v>0</v>
      </c>
      <c r="Q83" s="1" t="n">
        <f aca="false">IF(D83&gt;0.5,MIN(F_MortPayM,D83+D83*(F_MR/12)),0)</f>
        <v>0</v>
      </c>
      <c r="R83" s="1" t="n">
        <f aca="false">IF(E83&gt;0.5,MIN(F_MortPayM,E83+E83*(F_MR/12)),0)</f>
        <v>0</v>
      </c>
      <c r="S83" s="1" t="n">
        <f aca="false">IF(F83&gt;0.5,MIN(F_MortPayM,F83+F83*(F_MR/12)),0)</f>
        <v>0</v>
      </c>
      <c r="T83" s="1" t="n">
        <f aca="false">IF(G83&gt;0.5,MIN(F_MortPayM,G83+G83*(F_MR/12)),0)</f>
        <v>0</v>
      </c>
      <c r="U83" s="1" t="n">
        <f aca="false">IF(H83&gt;0.5,MIN(F_MortPayM,H83+H83*(F_MR/12)),0)</f>
        <v>0</v>
      </c>
      <c r="V83" s="1" t="n">
        <f aca="false">IF(I83&gt;0.5,MIN(F_MortPayM,I83+I83*(F_MR/12)),0)</f>
        <v>0</v>
      </c>
      <c r="W83" s="1" t="n">
        <f aca="false">IF(J83&gt;0.5,MIN(F_MortPayM,J83+J83*(F_MR/12)),0)</f>
        <v>0</v>
      </c>
      <c r="X83" s="1" t="n">
        <f aca="false">IF(K83&gt;0.5,MIN(F_MortPayM,K83+K83*(F_MR/12)),0)</f>
        <v>0</v>
      </c>
      <c r="Y83" s="1" t="n">
        <f aca="false">IF(L83&gt;0.5,MIN(F_MortPayM,L83+L83*(F_MR/12)),0)</f>
        <v>0</v>
      </c>
      <c r="Z83" s="1" t="n">
        <f aca="false">IF(M83&gt;0.5,MIN(F_MortPayM,M83+M83*(F_MR/12)),0)</f>
        <v>0</v>
      </c>
      <c r="AA83" s="1" t="n">
        <f aca="false">IF(N83&gt;0.5,MIN(F_MortPayM,N83+N83*(F_MR/12)),0)</f>
        <v>0</v>
      </c>
      <c r="AB83" s="1" t="n">
        <f aca="false">MAX(0,O83)</f>
        <v>0</v>
      </c>
      <c r="AC83" s="1" t="n">
        <f aca="false">SUM(P83:AA83)</f>
        <v>0</v>
      </c>
      <c r="AD83" s="1" t="n">
        <f aca="false">'Plan cashflow'!L83</f>
        <v>0</v>
      </c>
      <c r="AE83" s="1" t="n">
        <f aca="false">IF(AD83&gt;0.5,AD83+AD83*(D_iC)-MIN(F_CardPayM,AD83+AD83*(D_iC)),AD83)</f>
        <v>0</v>
      </c>
      <c r="AF83" s="1" t="n">
        <f aca="false">IF(AE83&gt;0.5,AE83+AE83*(D_iC)-MIN(F_CardPayM,AE83+AE83*(D_iC)),AE83)</f>
        <v>0</v>
      </c>
      <c r="AG83" s="1" t="n">
        <f aca="false">IF(AF83&gt;0.5,AF83+AF83*(D_iC)-MIN(F_CardPayM,AF83+AF83*(D_iC)),AF83)</f>
        <v>0</v>
      </c>
      <c r="AH83" s="1" t="n">
        <f aca="false">IF(AG83&gt;0.5,AG83+AG83*(D_iC)-MIN(F_CardPayM,AG83+AG83*(D_iC)),AG83)</f>
        <v>0</v>
      </c>
      <c r="AI83" s="1" t="n">
        <f aca="false">IF(AH83&gt;0.5,AH83+AH83*(D_iC)-MIN(F_CardPayM,AH83+AH83*(D_iC)),AH83)</f>
        <v>0</v>
      </c>
      <c r="AJ83" s="1" t="n">
        <f aca="false">IF(AI83&gt;0.5,AI83+AI83*(D_iC)-MIN(F_CardPayM,AI83+AI83*(D_iC)),AI83)</f>
        <v>0</v>
      </c>
      <c r="AK83" s="1" t="n">
        <f aca="false">IF(AJ83&gt;0.5,AJ83+AJ83*(D_iC)-MIN(F_CardPayM,AJ83+AJ83*(D_iC)),AJ83)</f>
        <v>0</v>
      </c>
      <c r="AL83" s="1" t="n">
        <f aca="false">IF(AK83&gt;0.5,AK83+AK83*(D_iC)-MIN(F_CardPayM,AK83+AK83*(D_iC)),AK83)</f>
        <v>0</v>
      </c>
      <c r="AM83" s="1" t="n">
        <f aca="false">IF(AL83&gt;0.5,AL83+AL83*(D_iC)-MIN(F_CardPayM,AL83+AL83*(D_iC)),AL83)</f>
        <v>0</v>
      </c>
      <c r="AN83" s="1" t="n">
        <f aca="false">IF(AM83&gt;0.5,AM83+AM83*(D_iC)-MIN(F_CardPayM,AM83+AM83*(D_iC)),AM83)</f>
        <v>0</v>
      </c>
      <c r="AO83" s="1" t="n">
        <f aca="false">IF(AN83&gt;0.5,AN83+AN83*(D_iC)-MIN(F_CardPayM,AN83+AN83*(D_iC)),AN83)</f>
        <v>0</v>
      </c>
      <c r="AP83" s="1" t="n">
        <f aca="false">IF(AO83&gt;0.5,AO83+AO83*(D_iC)-MIN(F_CardPayM,AO83+AO83*(D_iC)),AO83)</f>
        <v>0</v>
      </c>
      <c r="AQ83" s="1" t="n">
        <f aca="false">IF(AD83&gt;0.5,MIN(F_CardPayM,AD83+AD83*(D_iC)),0)</f>
        <v>0</v>
      </c>
      <c r="AR83" s="1" t="n">
        <f aca="false">IF(AE83&gt;0.5,MIN(F_CardPayM,AE83+AE83*(D_iC)),0)</f>
        <v>0</v>
      </c>
      <c r="AS83" s="1" t="n">
        <f aca="false">IF(AF83&gt;0.5,MIN(F_CardPayM,AF83+AF83*(D_iC)),0)</f>
        <v>0</v>
      </c>
      <c r="AT83" s="1" t="n">
        <f aca="false">IF(AG83&gt;0.5,MIN(F_CardPayM,AG83+AG83*(D_iC)),0)</f>
        <v>0</v>
      </c>
      <c r="AU83" s="1" t="n">
        <f aca="false">IF(AH83&gt;0.5,MIN(F_CardPayM,AH83+AH83*(D_iC)),0)</f>
        <v>0</v>
      </c>
      <c r="AV83" s="1" t="n">
        <f aca="false">IF(AI83&gt;0.5,MIN(F_CardPayM,AI83+AI83*(D_iC)),0)</f>
        <v>0</v>
      </c>
      <c r="AW83" s="1" t="n">
        <f aca="false">IF(AJ83&gt;0.5,MIN(F_CardPayM,AJ83+AJ83*(D_iC)),0)</f>
        <v>0</v>
      </c>
      <c r="AX83" s="1" t="n">
        <f aca="false">IF(AK83&gt;0.5,MIN(F_CardPayM,AK83+AK83*(D_iC)),0)</f>
        <v>0</v>
      </c>
      <c r="AY83" s="1" t="n">
        <f aca="false">IF(AL83&gt;0.5,MIN(F_CardPayM,AL83+AL83*(D_iC)),0)</f>
        <v>0</v>
      </c>
      <c r="AZ83" s="1" t="n">
        <f aca="false">IF(AM83&gt;0.5,MIN(F_CardPayM,AM83+AM83*(D_iC)),0)</f>
        <v>0</v>
      </c>
      <c r="BA83" s="1" t="n">
        <f aca="false">IF(AN83&gt;0.5,MIN(F_CardPayM,AN83+AN83*(D_iC)),0)</f>
        <v>0</v>
      </c>
      <c r="BB83" s="1" t="n">
        <f aca="false">IF(AO83&gt;0.5,MIN(F_CardPayM,AO83+AO83*(D_iC)),0)</f>
        <v>0</v>
      </c>
      <c r="BC83" s="1" t="n">
        <f aca="false">MAX(0,AP83)</f>
        <v>0</v>
      </c>
      <c r="BD83" s="1" t="n">
        <f aca="false">SUM(AQ83:BB83)</f>
        <v>0</v>
      </c>
      <c r="BE83" s="1" t="n">
        <f aca="false">'Plan cashflow'!O83</f>
        <v>0</v>
      </c>
      <c r="BF83" s="1" t="n">
        <f aca="false">IF(BE83&gt;0.5,BE83+BE83*(D_iL)-MIN(F_LoanPayM,BE83+BE83*(D_iL)),BE83)</f>
        <v>0</v>
      </c>
      <c r="BG83" s="1" t="n">
        <f aca="false">IF(BF83&gt;0.5,BF83+BF83*(D_iL)-MIN(F_LoanPayM,BF83+BF83*(D_iL)),BF83)</f>
        <v>0</v>
      </c>
      <c r="BH83" s="1" t="n">
        <f aca="false">IF(BG83&gt;0.5,BG83+BG83*(D_iL)-MIN(F_LoanPayM,BG83+BG83*(D_iL)),BG83)</f>
        <v>0</v>
      </c>
      <c r="BI83" s="1" t="n">
        <f aca="false">IF(BH83&gt;0.5,BH83+BH83*(D_iL)-MIN(F_LoanPayM,BH83+BH83*(D_iL)),BH83)</f>
        <v>0</v>
      </c>
      <c r="BJ83" s="1" t="n">
        <f aca="false">IF(BI83&gt;0.5,BI83+BI83*(D_iL)-MIN(F_LoanPayM,BI83+BI83*(D_iL)),BI83)</f>
        <v>0</v>
      </c>
      <c r="BK83" s="1" t="n">
        <f aca="false">IF(BJ83&gt;0.5,BJ83+BJ83*(D_iL)-MIN(F_LoanPayM,BJ83+BJ83*(D_iL)),BJ83)</f>
        <v>0</v>
      </c>
      <c r="BL83" s="1" t="n">
        <f aca="false">IF(BK83&gt;0.5,BK83+BK83*(D_iL)-MIN(F_LoanPayM,BK83+BK83*(D_iL)),BK83)</f>
        <v>0</v>
      </c>
      <c r="BM83" s="1" t="n">
        <f aca="false">IF(BL83&gt;0.5,BL83+BL83*(D_iL)-MIN(F_LoanPayM,BL83+BL83*(D_iL)),BL83)</f>
        <v>0</v>
      </c>
      <c r="BN83" s="1" t="n">
        <f aca="false">IF(BM83&gt;0.5,BM83+BM83*(D_iL)-MIN(F_LoanPayM,BM83+BM83*(D_iL)),BM83)</f>
        <v>0</v>
      </c>
      <c r="BO83" s="1" t="n">
        <f aca="false">IF(BN83&gt;0.5,BN83+BN83*(D_iL)-MIN(F_LoanPayM,BN83+BN83*(D_iL)),BN83)</f>
        <v>0</v>
      </c>
      <c r="BP83" s="1" t="n">
        <f aca="false">IF(BO83&gt;0.5,BO83+BO83*(D_iL)-MIN(F_LoanPayM,BO83+BO83*(D_iL)),BO83)</f>
        <v>0</v>
      </c>
      <c r="BQ83" s="1" t="n">
        <f aca="false">IF(BP83&gt;0.5,BP83+BP83*(D_iL)-MIN(F_LoanPayM,BP83+BP83*(D_iL)),BP83)</f>
        <v>0</v>
      </c>
      <c r="BR83" s="1" t="n">
        <f aca="false">IF(BE83&gt;0.5,MIN(F_LoanPayM,BE83+BE83*(D_iL)),0)</f>
        <v>0</v>
      </c>
      <c r="BS83" s="1" t="n">
        <f aca="false">IF(BF83&gt;0.5,MIN(F_LoanPayM,BF83+BF83*(D_iL)),0)</f>
        <v>0</v>
      </c>
      <c r="BT83" s="1" t="n">
        <f aca="false">IF(BG83&gt;0.5,MIN(F_LoanPayM,BG83+BG83*(D_iL)),0)</f>
        <v>0</v>
      </c>
      <c r="BU83" s="1" t="n">
        <f aca="false">IF(BH83&gt;0.5,MIN(F_LoanPayM,BH83+BH83*(D_iL)),0)</f>
        <v>0</v>
      </c>
      <c r="BV83" s="1" t="n">
        <f aca="false">IF(BI83&gt;0.5,MIN(F_LoanPayM,BI83+BI83*(D_iL)),0)</f>
        <v>0</v>
      </c>
      <c r="BW83" s="1" t="n">
        <f aca="false">IF(BJ83&gt;0.5,MIN(F_LoanPayM,BJ83+BJ83*(D_iL)),0)</f>
        <v>0</v>
      </c>
      <c r="BX83" s="1" t="n">
        <f aca="false">IF(BK83&gt;0.5,MIN(F_LoanPayM,BK83+BK83*(D_iL)),0)</f>
        <v>0</v>
      </c>
      <c r="BY83" s="1" t="n">
        <f aca="false">IF(BL83&gt;0.5,MIN(F_LoanPayM,BL83+BL83*(D_iL)),0)</f>
        <v>0</v>
      </c>
      <c r="BZ83" s="1" t="n">
        <f aca="false">IF(BM83&gt;0.5,MIN(F_LoanPayM,BM83+BM83*(D_iL)),0)</f>
        <v>0</v>
      </c>
      <c r="CA83" s="1" t="n">
        <f aca="false">IF(BN83&gt;0.5,MIN(F_LoanPayM,BN83+BN83*(D_iL)),0)</f>
        <v>0</v>
      </c>
      <c r="CB83" s="1" t="n">
        <f aca="false">IF(BO83&gt;0.5,MIN(F_LoanPayM,BO83+BO83*(D_iL)),0)</f>
        <v>0</v>
      </c>
      <c r="CC83" s="1" t="n">
        <f aca="false">IF(BP83&gt;0.5,MIN(F_LoanPayM,BP83+BP83*(D_iL)),0)</f>
        <v>0</v>
      </c>
      <c r="CD83" s="1" t="n">
        <f aca="false">MAX(0,BQ83)</f>
        <v>0</v>
      </c>
      <c r="CE83" s="1" t="n">
        <f aca="false">SUM(BR83:CC83)</f>
        <v>0</v>
      </c>
      <c r="CF83" s="1" t="n">
        <f aca="false">IF(CF82&gt;1,DE82,CF82)</f>
        <v>0</v>
      </c>
      <c r="CG83" s="1" t="n">
        <f aca="false">IF(CF83&gt;0.5,CF83+CF83*(F_MR/12)-MIN(F_MortPayM,CF83+CF83*(F_MR/12)),CF83)</f>
        <v>0</v>
      </c>
      <c r="CH83" s="1" t="n">
        <f aca="false">IF(CG83&gt;0.5,CG83+CG83*(F_MR/12)-MIN(F_MortPayM,CG83+CG83*(F_MR/12)),CG83)</f>
        <v>0</v>
      </c>
      <c r="CI83" s="1" t="n">
        <f aca="false">IF(CH83&gt;0.5,CH83+CH83*(F_MR/12)-MIN(F_MortPayM,CH83+CH83*(F_MR/12)),CH83)</f>
        <v>0</v>
      </c>
      <c r="CJ83" s="1" t="n">
        <f aca="false">IF(CI83&gt;0.5,CI83+CI83*(F_MR/12)-MIN(F_MortPayM,CI83+CI83*(F_MR/12)),CI83)</f>
        <v>0</v>
      </c>
      <c r="CK83" s="1" t="n">
        <f aca="false">IF(CJ83&gt;0.5,CJ83+CJ83*(F_MR/12)-MIN(F_MortPayM,CJ83+CJ83*(F_MR/12)),CJ83)</f>
        <v>0</v>
      </c>
      <c r="CL83" s="1" t="n">
        <f aca="false">IF(CK83&gt;0.5,CK83+CK83*(F_MR/12)-MIN(F_MortPayM,CK83+CK83*(F_MR/12)),CK83)</f>
        <v>0</v>
      </c>
      <c r="CM83" s="1" t="n">
        <f aca="false">IF(CL83&gt;0.5,CL83+CL83*(F_MR/12)-MIN(F_MortPayM,CL83+CL83*(F_MR/12)),CL83)</f>
        <v>0</v>
      </c>
      <c r="CN83" s="1" t="n">
        <f aca="false">IF(CM83&gt;0.5,CM83+CM83*(F_MR/12)-MIN(F_MortPayM,CM83+CM83*(F_MR/12)),CM83)</f>
        <v>0</v>
      </c>
      <c r="CO83" s="1" t="n">
        <f aca="false">IF(CN83&gt;0.5,CN83+CN83*(F_MR/12)-MIN(F_MortPayM,CN83+CN83*(F_MR/12)),CN83)</f>
        <v>0</v>
      </c>
      <c r="CP83" s="1" t="n">
        <f aca="false">IF(CO83&gt;0.5,CO83+CO83*(F_MR/12)-MIN(F_MortPayM,CO83+CO83*(F_MR/12)),CO83)</f>
        <v>0</v>
      </c>
      <c r="CQ83" s="1" t="n">
        <f aca="false">IF(CP83&gt;0.5,CP83+CP83*(F_MR/12)-MIN(F_MortPayM,CP83+CP83*(F_MR/12)),CP83)</f>
        <v>0</v>
      </c>
      <c r="CR83" s="1" t="n">
        <f aca="false">IF(CQ83&gt;0.5,CQ83+CQ83*(F_MR/12)-MIN(F_MortPayM,CQ83+CQ83*(F_MR/12)),CQ83)</f>
        <v>0</v>
      </c>
      <c r="CS83" s="1" t="n">
        <f aca="false">IF(CF83&gt;0.5,MIN(F_MortPayM,CF83+CF83*(F_MR/12)),0)</f>
        <v>0</v>
      </c>
      <c r="CT83" s="1" t="n">
        <f aca="false">IF(CG83&gt;0.5,MIN(F_MortPayM,CG83+CG83*(F_MR/12)),0)</f>
        <v>0</v>
      </c>
      <c r="CU83" s="1" t="n">
        <f aca="false">IF(CH83&gt;0.5,MIN(F_MortPayM,CH83+CH83*(F_MR/12)),0)</f>
        <v>0</v>
      </c>
      <c r="CV83" s="1" t="n">
        <f aca="false">IF(CI83&gt;0.5,MIN(F_MortPayM,CI83+CI83*(F_MR/12)),0)</f>
        <v>0</v>
      </c>
      <c r="CW83" s="1" t="n">
        <f aca="false">IF(CJ83&gt;0.5,MIN(F_MortPayM,CJ83+CJ83*(F_MR/12)),0)</f>
        <v>0</v>
      </c>
      <c r="CX83" s="1" t="n">
        <f aca="false">IF(CK83&gt;0.5,MIN(F_MortPayM,CK83+CK83*(F_MR/12)),0)</f>
        <v>0</v>
      </c>
      <c r="CY83" s="1" t="n">
        <f aca="false">IF(CL83&gt;0.5,MIN(F_MortPayM,CL83+CL83*(F_MR/12)),0)</f>
        <v>0</v>
      </c>
      <c r="CZ83" s="1" t="n">
        <f aca="false">IF(CM83&gt;0.5,MIN(F_MortPayM,CM83+CM83*(F_MR/12)),0)</f>
        <v>0</v>
      </c>
      <c r="DA83" s="1" t="n">
        <f aca="false">IF(CN83&gt;0.5,MIN(F_MortPayM,CN83+CN83*(F_MR/12)),0)</f>
        <v>0</v>
      </c>
      <c r="DB83" s="1" t="n">
        <f aca="false">IF(CO83&gt;0.5,MIN(F_MortPayM,CO83+CO83*(F_MR/12)),0)</f>
        <v>0</v>
      </c>
      <c r="DC83" s="1" t="n">
        <f aca="false">IF(CP83&gt;0.5,MIN(F_MortPayM,CP83+CP83*(F_MR/12)),0)</f>
        <v>0</v>
      </c>
      <c r="DD83" s="1" t="n">
        <f aca="false">IF(CQ83&gt;0.5,MIN(F_MortPayM,CQ83+CQ83*(F_MR/12)),0)</f>
        <v>0</v>
      </c>
      <c r="DE83" s="1" t="n">
        <f aca="false">MAX(0,CR83)</f>
        <v>0</v>
      </c>
      <c r="DF83" s="1" t="n">
        <f aca="false">SUM(CS83:DD83)</f>
        <v>0</v>
      </c>
      <c r="DG83" s="1" t="n">
        <f aca="false">MAX(0,CF83)</f>
        <v>0</v>
      </c>
    </row>
    <row r="84" customFormat="false" ht="15" hidden="false" customHeight="false" outlineLevel="0" collapsed="false">
      <c r="B84" s="1" t="n">
        <v>76</v>
      </c>
      <c r="C84" s="1" t="n">
        <f aca="false">'Plan cashflow'!I84</f>
        <v>0</v>
      </c>
      <c r="D84" s="1" t="n">
        <f aca="false">IF(C84&gt;0.5,C84+C84*(F_MR/12)-MIN(F_MortPayM,C84+C84*(F_MR/12)),C84)</f>
        <v>0</v>
      </c>
      <c r="E84" s="1" t="n">
        <f aca="false">IF(D84&gt;0.5,D84+D84*(F_MR/12)-MIN(F_MortPayM,D84+D84*(F_MR/12)),D84)</f>
        <v>0</v>
      </c>
      <c r="F84" s="1" t="n">
        <f aca="false">IF(E84&gt;0.5,E84+E84*(F_MR/12)-MIN(F_MortPayM,E84+E84*(F_MR/12)),E84)</f>
        <v>0</v>
      </c>
      <c r="G84" s="1" t="n">
        <f aca="false">IF(F84&gt;0.5,F84+F84*(F_MR/12)-MIN(F_MortPayM,F84+F84*(F_MR/12)),F84)</f>
        <v>0</v>
      </c>
      <c r="H84" s="1" t="n">
        <f aca="false">IF(G84&gt;0.5,G84+G84*(F_MR/12)-MIN(F_MortPayM,G84+G84*(F_MR/12)),G84)</f>
        <v>0</v>
      </c>
      <c r="I84" s="1" t="n">
        <f aca="false">IF(H84&gt;0.5,H84+H84*(F_MR/12)-MIN(F_MortPayM,H84+H84*(F_MR/12)),H84)</f>
        <v>0</v>
      </c>
      <c r="J84" s="1" t="n">
        <f aca="false">IF(I84&gt;0.5,I84+I84*(F_MR/12)-MIN(F_MortPayM,I84+I84*(F_MR/12)),I84)</f>
        <v>0</v>
      </c>
      <c r="K84" s="1" t="n">
        <f aca="false">IF(J84&gt;0.5,J84+J84*(F_MR/12)-MIN(F_MortPayM,J84+J84*(F_MR/12)),J84)</f>
        <v>0</v>
      </c>
      <c r="L84" s="1" t="n">
        <f aca="false">IF(K84&gt;0.5,K84+K84*(F_MR/12)-MIN(F_MortPayM,K84+K84*(F_MR/12)),K84)</f>
        <v>0</v>
      </c>
      <c r="M84" s="1" t="n">
        <f aca="false">IF(L84&gt;0.5,L84+L84*(F_MR/12)-MIN(F_MortPayM,L84+L84*(F_MR/12)),L84)</f>
        <v>0</v>
      </c>
      <c r="N84" s="1" t="n">
        <f aca="false">IF(M84&gt;0.5,M84+M84*(F_MR/12)-MIN(F_MortPayM,M84+M84*(F_MR/12)),M84)</f>
        <v>0</v>
      </c>
      <c r="O84" s="1" t="n">
        <f aca="false">IF(N84&gt;0.5,N84+N84*(F_MR/12)-MIN(F_MortPayM,N84+N84*(F_MR/12)),N84)</f>
        <v>0</v>
      </c>
      <c r="P84" s="1" t="n">
        <f aca="false">IF(C84&gt;0.5,MIN(F_MortPayM,C84+C84*(F_MR/12)),0)</f>
        <v>0</v>
      </c>
      <c r="Q84" s="1" t="n">
        <f aca="false">IF(D84&gt;0.5,MIN(F_MortPayM,D84+D84*(F_MR/12)),0)</f>
        <v>0</v>
      </c>
      <c r="R84" s="1" t="n">
        <f aca="false">IF(E84&gt;0.5,MIN(F_MortPayM,E84+E84*(F_MR/12)),0)</f>
        <v>0</v>
      </c>
      <c r="S84" s="1" t="n">
        <f aca="false">IF(F84&gt;0.5,MIN(F_MortPayM,F84+F84*(F_MR/12)),0)</f>
        <v>0</v>
      </c>
      <c r="T84" s="1" t="n">
        <f aca="false">IF(G84&gt;0.5,MIN(F_MortPayM,G84+G84*(F_MR/12)),0)</f>
        <v>0</v>
      </c>
      <c r="U84" s="1" t="n">
        <f aca="false">IF(H84&gt;0.5,MIN(F_MortPayM,H84+H84*(F_MR/12)),0)</f>
        <v>0</v>
      </c>
      <c r="V84" s="1" t="n">
        <f aca="false">IF(I84&gt;0.5,MIN(F_MortPayM,I84+I84*(F_MR/12)),0)</f>
        <v>0</v>
      </c>
      <c r="W84" s="1" t="n">
        <f aca="false">IF(J84&gt;0.5,MIN(F_MortPayM,J84+J84*(F_MR/12)),0)</f>
        <v>0</v>
      </c>
      <c r="X84" s="1" t="n">
        <f aca="false">IF(K84&gt;0.5,MIN(F_MortPayM,K84+K84*(F_MR/12)),0)</f>
        <v>0</v>
      </c>
      <c r="Y84" s="1" t="n">
        <f aca="false">IF(L84&gt;0.5,MIN(F_MortPayM,L84+L84*(F_MR/12)),0)</f>
        <v>0</v>
      </c>
      <c r="Z84" s="1" t="n">
        <f aca="false">IF(M84&gt;0.5,MIN(F_MortPayM,M84+M84*(F_MR/12)),0)</f>
        <v>0</v>
      </c>
      <c r="AA84" s="1" t="n">
        <f aca="false">IF(N84&gt;0.5,MIN(F_MortPayM,N84+N84*(F_MR/12)),0)</f>
        <v>0</v>
      </c>
      <c r="AB84" s="1" t="n">
        <f aca="false">MAX(0,O84)</f>
        <v>0</v>
      </c>
      <c r="AC84" s="1" t="n">
        <f aca="false">SUM(P84:AA84)</f>
        <v>0</v>
      </c>
      <c r="AD84" s="1" t="n">
        <f aca="false">'Plan cashflow'!L84</f>
        <v>0</v>
      </c>
      <c r="AE84" s="1" t="n">
        <f aca="false">IF(AD84&gt;0.5,AD84+AD84*(D_iC)-MIN(F_CardPayM,AD84+AD84*(D_iC)),AD84)</f>
        <v>0</v>
      </c>
      <c r="AF84" s="1" t="n">
        <f aca="false">IF(AE84&gt;0.5,AE84+AE84*(D_iC)-MIN(F_CardPayM,AE84+AE84*(D_iC)),AE84)</f>
        <v>0</v>
      </c>
      <c r="AG84" s="1" t="n">
        <f aca="false">IF(AF84&gt;0.5,AF84+AF84*(D_iC)-MIN(F_CardPayM,AF84+AF84*(D_iC)),AF84)</f>
        <v>0</v>
      </c>
      <c r="AH84" s="1" t="n">
        <f aca="false">IF(AG84&gt;0.5,AG84+AG84*(D_iC)-MIN(F_CardPayM,AG84+AG84*(D_iC)),AG84)</f>
        <v>0</v>
      </c>
      <c r="AI84" s="1" t="n">
        <f aca="false">IF(AH84&gt;0.5,AH84+AH84*(D_iC)-MIN(F_CardPayM,AH84+AH84*(D_iC)),AH84)</f>
        <v>0</v>
      </c>
      <c r="AJ84" s="1" t="n">
        <f aca="false">IF(AI84&gt;0.5,AI84+AI84*(D_iC)-MIN(F_CardPayM,AI84+AI84*(D_iC)),AI84)</f>
        <v>0</v>
      </c>
      <c r="AK84" s="1" t="n">
        <f aca="false">IF(AJ84&gt;0.5,AJ84+AJ84*(D_iC)-MIN(F_CardPayM,AJ84+AJ84*(D_iC)),AJ84)</f>
        <v>0</v>
      </c>
      <c r="AL84" s="1" t="n">
        <f aca="false">IF(AK84&gt;0.5,AK84+AK84*(D_iC)-MIN(F_CardPayM,AK84+AK84*(D_iC)),AK84)</f>
        <v>0</v>
      </c>
      <c r="AM84" s="1" t="n">
        <f aca="false">IF(AL84&gt;0.5,AL84+AL84*(D_iC)-MIN(F_CardPayM,AL84+AL84*(D_iC)),AL84)</f>
        <v>0</v>
      </c>
      <c r="AN84" s="1" t="n">
        <f aca="false">IF(AM84&gt;0.5,AM84+AM84*(D_iC)-MIN(F_CardPayM,AM84+AM84*(D_iC)),AM84)</f>
        <v>0</v>
      </c>
      <c r="AO84" s="1" t="n">
        <f aca="false">IF(AN84&gt;0.5,AN84+AN84*(D_iC)-MIN(F_CardPayM,AN84+AN84*(D_iC)),AN84)</f>
        <v>0</v>
      </c>
      <c r="AP84" s="1" t="n">
        <f aca="false">IF(AO84&gt;0.5,AO84+AO84*(D_iC)-MIN(F_CardPayM,AO84+AO84*(D_iC)),AO84)</f>
        <v>0</v>
      </c>
      <c r="AQ84" s="1" t="n">
        <f aca="false">IF(AD84&gt;0.5,MIN(F_CardPayM,AD84+AD84*(D_iC)),0)</f>
        <v>0</v>
      </c>
      <c r="AR84" s="1" t="n">
        <f aca="false">IF(AE84&gt;0.5,MIN(F_CardPayM,AE84+AE84*(D_iC)),0)</f>
        <v>0</v>
      </c>
      <c r="AS84" s="1" t="n">
        <f aca="false">IF(AF84&gt;0.5,MIN(F_CardPayM,AF84+AF84*(D_iC)),0)</f>
        <v>0</v>
      </c>
      <c r="AT84" s="1" t="n">
        <f aca="false">IF(AG84&gt;0.5,MIN(F_CardPayM,AG84+AG84*(D_iC)),0)</f>
        <v>0</v>
      </c>
      <c r="AU84" s="1" t="n">
        <f aca="false">IF(AH84&gt;0.5,MIN(F_CardPayM,AH84+AH84*(D_iC)),0)</f>
        <v>0</v>
      </c>
      <c r="AV84" s="1" t="n">
        <f aca="false">IF(AI84&gt;0.5,MIN(F_CardPayM,AI84+AI84*(D_iC)),0)</f>
        <v>0</v>
      </c>
      <c r="AW84" s="1" t="n">
        <f aca="false">IF(AJ84&gt;0.5,MIN(F_CardPayM,AJ84+AJ84*(D_iC)),0)</f>
        <v>0</v>
      </c>
      <c r="AX84" s="1" t="n">
        <f aca="false">IF(AK84&gt;0.5,MIN(F_CardPayM,AK84+AK84*(D_iC)),0)</f>
        <v>0</v>
      </c>
      <c r="AY84" s="1" t="n">
        <f aca="false">IF(AL84&gt;0.5,MIN(F_CardPayM,AL84+AL84*(D_iC)),0)</f>
        <v>0</v>
      </c>
      <c r="AZ84" s="1" t="n">
        <f aca="false">IF(AM84&gt;0.5,MIN(F_CardPayM,AM84+AM84*(D_iC)),0)</f>
        <v>0</v>
      </c>
      <c r="BA84" s="1" t="n">
        <f aca="false">IF(AN84&gt;0.5,MIN(F_CardPayM,AN84+AN84*(D_iC)),0)</f>
        <v>0</v>
      </c>
      <c r="BB84" s="1" t="n">
        <f aca="false">IF(AO84&gt;0.5,MIN(F_CardPayM,AO84+AO84*(D_iC)),0)</f>
        <v>0</v>
      </c>
      <c r="BC84" s="1" t="n">
        <f aca="false">MAX(0,AP84)</f>
        <v>0</v>
      </c>
      <c r="BD84" s="1" t="n">
        <f aca="false">SUM(AQ84:BB84)</f>
        <v>0</v>
      </c>
      <c r="BE84" s="1" t="n">
        <f aca="false">'Plan cashflow'!O84</f>
        <v>0</v>
      </c>
      <c r="BF84" s="1" t="n">
        <f aca="false">IF(BE84&gt;0.5,BE84+BE84*(D_iL)-MIN(F_LoanPayM,BE84+BE84*(D_iL)),BE84)</f>
        <v>0</v>
      </c>
      <c r="BG84" s="1" t="n">
        <f aca="false">IF(BF84&gt;0.5,BF84+BF84*(D_iL)-MIN(F_LoanPayM,BF84+BF84*(D_iL)),BF84)</f>
        <v>0</v>
      </c>
      <c r="BH84" s="1" t="n">
        <f aca="false">IF(BG84&gt;0.5,BG84+BG84*(D_iL)-MIN(F_LoanPayM,BG84+BG84*(D_iL)),BG84)</f>
        <v>0</v>
      </c>
      <c r="BI84" s="1" t="n">
        <f aca="false">IF(BH84&gt;0.5,BH84+BH84*(D_iL)-MIN(F_LoanPayM,BH84+BH84*(D_iL)),BH84)</f>
        <v>0</v>
      </c>
      <c r="BJ84" s="1" t="n">
        <f aca="false">IF(BI84&gt;0.5,BI84+BI84*(D_iL)-MIN(F_LoanPayM,BI84+BI84*(D_iL)),BI84)</f>
        <v>0</v>
      </c>
      <c r="BK84" s="1" t="n">
        <f aca="false">IF(BJ84&gt;0.5,BJ84+BJ84*(D_iL)-MIN(F_LoanPayM,BJ84+BJ84*(D_iL)),BJ84)</f>
        <v>0</v>
      </c>
      <c r="BL84" s="1" t="n">
        <f aca="false">IF(BK84&gt;0.5,BK84+BK84*(D_iL)-MIN(F_LoanPayM,BK84+BK84*(D_iL)),BK84)</f>
        <v>0</v>
      </c>
      <c r="BM84" s="1" t="n">
        <f aca="false">IF(BL84&gt;0.5,BL84+BL84*(D_iL)-MIN(F_LoanPayM,BL84+BL84*(D_iL)),BL84)</f>
        <v>0</v>
      </c>
      <c r="BN84" s="1" t="n">
        <f aca="false">IF(BM84&gt;0.5,BM84+BM84*(D_iL)-MIN(F_LoanPayM,BM84+BM84*(D_iL)),BM84)</f>
        <v>0</v>
      </c>
      <c r="BO84" s="1" t="n">
        <f aca="false">IF(BN84&gt;0.5,BN84+BN84*(D_iL)-MIN(F_LoanPayM,BN84+BN84*(D_iL)),BN84)</f>
        <v>0</v>
      </c>
      <c r="BP84" s="1" t="n">
        <f aca="false">IF(BO84&gt;0.5,BO84+BO84*(D_iL)-MIN(F_LoanPayM,BO84+BO84*(D_iL)),BO84)</f>
        <v>0</v>
      </c>
      <c r="BQ84" s="1" t="n">
        <f aca="false">IF(BP84&gt;0.5,BP84+BP84*(D_iL)-MIN(F_LoanPayM,BP84+BP84*(D_iL)),BP84)</f>
        <v>0</v>
      </c>
      <c r="BR84" s="1" t="n">
        <f aca="false">IF(BE84&gt;0.5,MIN(F_LoanPayM,BE84+BE84*(D_iL)),0)</f>
        <v>0</v>
      </c>
      <c r="BS84" s="1" t="n">
        <f aca="false">IF(BF84&gt;0.5,MIN(F_LoanPayM,BF84+BF84*(D_iL)),0)</f>
        <v>0</v>
      </c>
      <c r="BT84" s="1" t="n">
        <f aca="false">IF(BG84&gt;0.5,MIN(F_LoanPayM,BG84+BG84*(D_iL)),0)</f>
        <v>0</v>
      </c>
      <c r="BU84" s="1" t="n">
        <f aca="false">IF(BH84&gt;0.5,MIN(F_LoanPayM,BH84+BH84*(D_iL)),0)</f>
        <v>0</v>
      </c>
      <c r="BV84" s="1" t="n">
        <f aca="false">IF(BI84&gt;0.5,MIN(F_LoanPayM,BI84+BI84*(D_iL)),0)</f>
        <v>0</v>
      </c>
      <c r="BW84" s="1" t="n">
        <f aca="false">IF(BJ84&gt;0.5,MIN(F_LoanPayM,BJ84+BJ84*(D_iL)),0)</f>
        <v>0</v>
      </c>
      <c r="BX84" s="1" t="n">
        <f aca="false">IF(BK84&gt;0.5,MIN(F_LoanPayM,BK84+BK84*(D_iL)),0)</f>
        <v>0</v>
      </c>
      <c r="BY84" s="1" t="n">
        <f aca="false">IF(BL84&gt;0.5,MIN(F_LoanPayM,BL84+BL84*(D_iL)),0)</f>
        <v>0</v>
      </c>
      <c r="BZ84" s="1" t="n">
        <f aca="false">IF(BM84&gt;0.5,MIN(F_LoanPayM,BM84+BM84*(D_iL)),0)</f>
        <v>0</v>
      </c>
      <c r="CA84" s="1" t="n">
        <f aca="false">IF(BN84&gt;0.5,MIN(F_LoanPayM,BN84+BN84*(D_iL)),0)</f>
        <v>0</v>
      </c>
      <c r="CB84" s="1" t="n">
        <f aca="false">IF(BO84&gt;0.5,MIN(F_LoanPayM,BO84+BO84*(D_iL)),0)</f>
        <v>0</v>
      </c>
      <c r="CC84" s="1" t="n">
        <f aca="false">IF(BP84&gt;0.5,MIN(F_LoanPayM,BP84+BP84*(D_iL)),0)</f>
        <v>0</v>
      </c>
      <c r="CD84" s="1" t="n">
        <f aca="false">MAX(0,BQ84)</f>
        <v>0</v>
      </c>
      <c r="CE84" s="1" t="n">
        <f aca="false">SUM(BR84:CC84)</f>
        <v>0</v>
      </c>
      <c r="CF84" s="1" t="n">
        <f aca="false">IF(CF83&gt;1,DE83,CF83)</f>
        <v>0</v>
      </c>
      <c r="CG84" s="1" t="n">
        <f aca="false">IF(CF84&gt;0.5,CF84+CF84*(F_MR/12)-MIN(F_MortPayM,CF84+CF84*(F_MR/12)),CF84)</f>
        <v>0</v>
      </c>
      <c r="CH84" s="1" t="n">
        <f aca="false">IF(CG84&gt;0.5,CG84+CG84*(F_MR/12)-MIN(F_MortPayM,CG84+CG84*(F_MR/12)),CG84)</f>
        <v>0</v>
      </c>
      <c r="CI84" s="1" t="n">
        <f aca="false">IF(CH84&gt;0.5,CH84+CH84*(F_MR/12)-MIN(F_MortPayM,CH84+CH84*(F_MR/12)),CH84)</f>
        <v>0</v>
      </c>
      <c r="CJ84" s="1" t="n">
        <f aca="false">IF(CI84&gt;0.5,CI84+CI84*(F_MR/12)-MIN(F_MortPayM,CI84+CI84*(F_MR/12)),CI84)</f>
        <v>0</v>
      </c>
      <c r="CK84" s="1" t="n">
        <f aca="false">IF(CJ84&gt;0.5,CJ84+CJ84*(F_MR/12)-MIN(F_MortPayM,CJ84+CJ84*(F_MR/12)),CJ84)</f>
        <v>0</v>
      </c>
      <c r="CL84" s="1" t="n">
        <f aca="false">IF(CK84&gt;0.5,CK84+CK84*(F_MR/12)-MIN(F_MortPayM,CK84+CK84*(F_MR/12)),CK84)</f>
        <v>0</v>
      </c>
      <c r="CM84" s="1" t="n">
        <f aca="false">IF(CL84&gt;0.5,CL84+CL84*(F_MR/12)-MIN(F_MortPayM,CL84+CL84*(F_MR/12)),CL84)</f>
        <v>0</v>
      </c>
      <c r="CN84" s="1" t="n">
        <f aca="false">IF(CM84&gt;0.5,CM84+CM84*(F_MR/12)-MIN(F_MortPayM,CM84+CM84*(F_MR/12)),CM84)</f>
        <v>0</v>
      </c>
      <c r="CO84" s="1" t="n">
        <f aca="false">IF(CN84&gt;0.5,CN84+CN84*(F_MR/12)-MIN(F_MortPayM,CN84+CN84*(F_MR/12)),CN84)</f>
        <v>0</v>
      </c>
      <c r="CP84" s="1" t="n">
        <f aca="false">IF(CO84&gt;0.5,CO84+CO84*(F_MR/12)-MIN(F_MortPayM,CO84+CO84*(F_MR/12)),CO84)</f>
        <v>0</v>
      </c>
      <c r="CQ84" s="1" t="n">
        <f aca="false">IF(CP84&gt;0.5,CP84+CP84*(F_MR/12)-MIN(F_MortPayM,CP84+CP84*(F_MR/12)),CP84)</f>
        <v>0</v>
      </c>
      <c r="CR84" s="1" t="n">
        <f aca="false">IF(CQ84&gt;0.5,CQ84+CQ84*(F_MR/12)-MIN(F_MortPayM,CQ84+CQ84*(F_MR/12)),CQ84)</f>
        <v>0</v>
      </c>
      <c r="CS84" s="1" t="n">
        <f aca="false">IF(CF84&gt;0.5,MIN(F_MortPayM,CF84+CF84*(F_MR/12)),0)</f>
        <v>0</v>
      </c>
      <c r="CT84" s="1" t="n">
        <f aca="false">IF(CG84&gt;0.5,MIN(F_MortPayM,CG84+CG84*(F_MR/12)),0)</f>
        <v>0</v>
      </c>
      <c r="CU84" s="1" t="n">
        <f aca="false">IF(CH84&gt;0.5,MIN(F_MortPayM,CH84+CH84*(F_MR/12)),0)</f>
        <v>0</v>
      </c>
      <c r="CV84" s="1" t="n">
        <f aca="false">IF(CI84&gt;0.5,MIN(F_MortPayM,CI84+CI84*(F_MR/12)),0)</f>
        <v>0</v>
      </c>
      <c r="CW84" s="1" t="n">
        <f aca="false">IF(CJ84&gt;0.5,MIN(F_MortPayM,CJ84+CJ84*(F_MR/12)),0)</f>
        <v>0</v>
      </c>
      <c r="CX84" s="1" t="n">
        <f aca="false">IF(CK84&gt;0.5,MIN(F_MortPayM,CK84+CK84*(F_MR/12)),0)</f>
        <v>0</v>
      </c>
      <c r="CY84" s="1" t="n">
        <f aca="false">IF(CL84&gt;0.5,MIN(F_MortPayM,CL84+CL84*(F_MR/12)),0)</f>
        <v>0</v>
      </c>
      <c r="CZ84" s="1" t="n">
        <f aca="false">IF(CM84&gt;0.5,MIN(F_MortPayM,CM84+CM84*(F_MR/12)),0)</f>
        <v>0</v>
      </c>
      <c r="DA84" s="1" t="n">
        <f aca="false">IF(CN84&gt;0.5,MIN(F_MortPayM,CN84+CN84*(F_MR/12)),0)</f>
        <v>0</v>
      </c>
      <c r="DB84" s="1" t="n">
        <f aca="false">IF(CO84&gt;0.5,MIN(F_MortPayM,CO84+CO84*(F_MR/12)),0)</f>
        <v>0</v>
      </c>
      <c r="DC84" s="1" t="n">
        <f aca="false">IF(CP84&gt;0.5,MIN(F_MortPayM,CP84+CP84*(F_MR/12)),0)</f>
        <v>0</v>
      </c>
      <c r="DD84" s="1" t="n">
        <f aca="false">IF(CQ84&gt;0.5,MIN(F_MortPayM,CQ84+CQ84*(F_MR/12)),0)</f>
        <v>0</v>
      </c>
      <c r="DE84" s="1" t="n">
        <f aca="false">MAX(0,CR84)</f>
        <v>0</v>
      </c>
      <c r="DF84" s="1" t="n">
        <f aca="false">SUM(CS84:DD84)</f>
        <v>0</v>
      </c>
      <c r="DG84" s="1" t="n">
        <f aca="false">MAX(0,CF84)</f>
        <v>0</v>
      </c>
    </row>
    <row r="85" customFormat="false" ht="15" hidden="false" customHeight="false" outlineLevel="0" collapsed="false">
      <c r="B85" s="1" t="n">
        <v>77</v>
      </c>
      <c r="C85" s="1" t="n">
        <f aca="false">'Plan cashflow'!I85</f>
        <v>0</v>
      </c>
      <c r="D85" s="1" t="n">
        <f aca="false">IF(C85&gt;0.5,C85+C85*(F_MR/12)-MIN(F_MortPayM,C85+C85*(F_MR/12)),C85)</f>
        <v>0</v>
      </c>
      <c r="E85" s="1" t="n">
        <f aca="false">IF(D85&gt;0.5,D85+D85*(F_MR/12)-MIN(F_MortPayM,D85+D85*(F_MR/12)),D85)</f>
        <v>0</v>
      </c>
      <c r="F85" s="1" t="n">
        <f aca="false">IF(E85&gt;0.5,E85+E85*(F_MR/12)-MIN(F_MortPayM,E85+E85*(F_MR/12)),E85)</f>
        <v>0</v>
      </c>
      <c r="G85" s="1" t="n">
        <f aca="false">IF(F85&gt;0.5,F85+F85*(F_MR/12)-MIN(F_MortPayM,F85+F85*(F_MR/12)),F85)</f>
        <v>0</v>
      </c>
      <c r="H85" s="1" t="n">
        <f aca="false">IF(G85&gt;0.5,G85+G85*(F_MR/12)-MIN(F_MortPayM,G85+G85*(F_MR/12)),G85)</f>
        <v>0</v>
      </c>
      <c r="I85" s="1" t="n">
        <f aca="false">IF(H85&gt;0.5,H85+H85*(F_MR/12)-MIN(F_MortPayM,H85+H85*(F_MR/12)),H85)</f>
        <v>0</v>
      </c>
      <c r="J85" s="1" t="n">
        <f aca="false">IF(I85&gt;0.5,I85+I85*(F_MR/12)-MIN(F_MortPayM,I85+I85*(F_MR/12)),I85)</f>
        <v>0</v>
      </c>
      <c r="K85" s="1" t="n">
        <f aca="false">IF(J85&gt;0.5,J85+J85*(F_MR/12)-MIN(F_MortPayM,J85+J85*(F_MR/12)),J85)</f>
        <v>0</v>
      </c>
      <c r="L85" s="1" t="n">
        <f aca="false">IF(K85&gt;0.5,K85+K85*(F_MR/12)-MIN(F_MortPayM,K85+K85*(F_MR/12)),K85)</f>
        <v>0</v>
      </c>
      <c r="M85" s="1" t="n">
        <f aca="false">IF(L85&gt;0.5,L85+L85*(F_MR/12)-MIN(F_MortPayM,L85+L85*(F_MR/12)),L85)</f>
        <v>0</v>
      </c>
      <c r="N85" s="1" t="n">
        <f aca="false">IF(M85&gt;0.5,M85+M85*(F_MR/12)-MIN(F_MortPayM,M85+M85*(F_MR/12)),M85)</f>
        <v>0</v>
      </c>
      <c r="O85" s="1" t="n">
        <f aca="false">IF(N85&gt;0.5,N85+N85*(F_MR/12)-MIN(F_MortPayM,N85+N85*(F_MR/12)),N85)</f>
        <v>0</v>
      </c>
      <c r="P85" s="1" t="n">
        <f aca="false">IF(C85&gt;0.5,MIN(F_MortPayM,C85+C85*(F_MR/12)),0)</f>
        <v>0</v>
      </c>
      <c r="Q85" s="1" t="n">
        <f aca="false">IF(D85&gt;0.5,MIN(F_MortPayM,D85+D85*(F_MR/12)),0)</f>
        <v>0</v>
      </c>
      <c r="R85" s="1" t="n">
        <f aca="false">IF(E85&gt;0.5,MIN(F_MortPayM,E85+E85*(F_MR/12)),0)</f>
        <v>0</v>
      </c>
      <c r="S85" s="1" t="n">
        <f aca="false">IF(F85&gt;0.5,MIN(F_MortPayM,F85+F85*(F_MR/12)),0)</f>
        <v>0</v>
      </c>
      <c r="T85" s="1" t="n">
        <f aca="false">IF(G85&gt;0.5,MIN(F_MortPayM,G85+G85*(F_MR/12)),0)</f>
        <v>0</v>
      </c>
      <c r="U85" s="1" t="n">
        <f aca="false">IF(H85&gt;0.5,MIN(F_MortPayM,H85+H85*(F_MR/12)),0)</f>
        <v>0</v>
      </c>
      <c r="V85" s="1" t="n">
        <f aca="false">IF(I85&gt;0.5,MIN(F_MortPayM,I85+I85*(F_MR/12)),0)</f>
        <v>0</v>
      </c>
      <c r="W85" s="1" t="n">
        <f aca="false">IF(J85&gt;0.5,MIN(F_MortPayM,J85+J85*(F_MR/12)),0)</f>
        <v>0</v>
      </c>
      <c r="X85" s="1" t="n">
        <f aca="false">IF(K85&gt;0.5,MIN(F_MortPayM,K85+K85*(F_MR/12)),0)</f>
        <v>0</v>
      </c>
      <c r="Y85" s="1" t="n">
        <f aca="false">IF(L85&gt;0.5,MIN(F_MortPayM,L85+L85*(F_MR/12)),0)</f>
        <v>0</v>
      </c>
      <c r="Z85" s="1" t="n">
        <f aca="false">IF(M85&gt;0.5,MIN(F_MortPayM,M85+M85*(F_MR/12)),0)</f>
        <v>0</v>
      </c>
      <c r="AA85" s="1" t="n">
        <f aca="false">IF(N85&gt;0.5,MIN(F_MortPayM,N85+N85*(F_MR/12)),0)</f>
        <v>0</v>
      </c>
      <c r="AB85" s="1" t="n">
        <f aca="false">MAX(0,O85)</f>
        <v>0</v>
      </c>
      <c r="AC85" s="1" t="n">
        <f aca="false">SUM(P85:AA85)</f>
        <v>0</v>
      </c>
      <c r="AD85" s="1" t="n">
        <f aca="false">'Plan cashflow'!L85</f>
        <v>0</v>
      </c>
      <c r="AE85" s="1" t="n">
        <f aca="false">IF(AD85&gt;0.5,AD85+AD85*(D_iC)-MIN(F_CardPayM,AD85+AD85*(D_iC)),AD85)</f>
        <v>0</v>
      </c>
      <c r="AF85" s="1" t="n">
        <f aca="false">IF(AE85&gt;0.5,AE85+AE85*(D_iC)-MIN(F_CardPayM,AE85+AE85*(D_iC)),AE85)</f>
        <v>0</v>
      </c>
      <c r="AG85" s="1" t="n">
        <f aca="false">IF(AF85&gt;0.5,AF85+AF85*(D_iC)-MIN(F_CardPayM,AF85+AF85*(D_iC)),AF85)</f>
        <v>0</v>
      </c>
      <c r="AH85" s="1" t="n">
        <f aca="false">IF(AG85&gt;0.5,AG85+AG85*(D_iC)-MIN(F_CardPayM,AG85+AG85*(D_iC)),AG85)</f>
        <v>0</v>
      </c>
      <c r="AI85" s="1" t="n">
        <f aca="false">IF(AH85&gt;0.5,AH85+AH85*(D_iC)-MIN(F_CardPayM,AH85+AH85*(D_iC)),AH85)</f>
        <v>0</v>
      </c>
      <c r="AJ85" s="1" t="n">
        <f aca="false">IF(AI85&gt;0.5,AI85+AI85*(D_iC)-MIN(F_CardPayM,AI85+AI85*(D_iC)),AI85)</f>
        <v>0</v>
      </c>
      <c r="AK85" s="1" t="n">
        <f aca="false">IF(AJ85&gt;0.5,AJ85+AJ85*(D_iC)-MIN(F_CardPayM,AJ85+AJ85*(D_iC)),AJ85)</f>
        <v>0</v>
      </c>
      <c r="AL85" s="1" t="n">
        <f aca="false">IF(AK85&gt;0.5,AK85+AK85*(D_iC)-MIN(F_CardPayM,AK85+AK85*(D_iC)),AK85)</f>
        <v>0</v>
      </c>
      <c r="AM85" s="1" t="n">
        <f aca="false">IF(AL85&gt;0.5,AL85+AL85*(D_iC)-MIN(F_CardPayM,AL85+AL85*(D_iC)),AL85)</f>
        <v>0</v>
      </c>
      <c r="AN85" s="1" t="n">
        <f aca="false">IF(AM85&gt;0.5,AM85+AM85*(D_iC)-MIN(F_CardPayM,AM85+AM85*(D_iC)),AM85)</f>
        <v>0</v>
      </c>
      <c r="AO85" s="1" t="n">
        <f aca="false">IF(AN85&gt;0.5,AN85+AN85*(D_iC)-MIN(F_CardPayM,AN85+AN85*(D_iC)),AN85)</f>
        <v>0</v>
      </c>
      <c r="AP85" s="1" t="n">
        <f aca="false">IF(AO85&gt;0.5,AO85+AO85*(D_iC)-MIN(F_CardPayM,AO85+AO85*(D_iC)),AO85)</f>
        <v>0</v>
      </c>
      <c r="AQ85" s="1" t="n">
        <f aca="false">IF(AD85&gt;0.5,MIN(F_CardPayM,AD85+AD85*(D_iC)),0)</f>
        <v>0</v>
      </c>
      <c r="AR85" s="1" t="n">
        <f aca="false">IF(AE85&gt;0.5,MIN(F_CardPayM,AE85+AE85*(D_iC)),0)</f>
        <v>0</v>
      </c>
      <c r="AS85" s="1" t="n">
        <f aca="false">IF(AF85&gt;0.5,MIN(F_CardPayM,AF85+AF85*(D_iC)),0)</f>
        <v>0</v>
      </c>
      <c r="AT85" s="1" t="n">
        <f aca="false">IF(AG85&gt;0.5,MIN(F_CardPayM,AG85+AG85*(D_iC)),0)</f>
        <v>0</v>
      </c>
      <c r="AU85" s="1" t="n">
        <f aca="false">IF(AH85&gt;0.5,MIN(F_CardPayM,AH85+AH85*(D_iC)),0)</f>
        <v>0</v>
      </c>
      <c r="AV85" s="1" t="n">
        <f aca="false">IF(AI85&gt;0.5,MIN(F_CardPayM,AI85+AI85*(D_iC)),0)</f>
        <v>0</v>
      </c>
      <c r="AW85" s="1" t="n">
        <f aca="false">IF(AJ85&gt;0.5,MIN(F_CardPayM,AJ85+AJ85*(D_iC)),0)</f>
        <v>0</v>
      </c>
      <c r="AX85" s="1" t="n">
        <f aca="false">IF(AK85&gt;0.5,MIN(F_CardPayM,AK85+AK85*(D_iC)),0)</f>
        <v>0</v>
      </c>
      <c r="AY85" s="1" t="n">
        <f aca="false">IF(AL85&gt;0.5,MIN(F_CardPayM,AL85+AL85*(D_iC)),0)</f>
        <v>0</v>
      </c>
      <c r="AZ85" s="1" t="n">
        <f aca="false">IF(AM85&gt;0.5,MIN(F_CardPayM,AM85+AM85*(D_iC)),0)</f>
        <v>0</v>
      </c>
      <c r="BA85" s="1" t="n">
        <f aca="false">IF(AN85&gt;0.5,MIN(F_CardPayM,AN85+AN85*(D_iC)),0)</f>
        <v>0</v>
      </c>
      <c r="BB85" s="1" t="n">
        <f aca="false">IF(AO85&gt;0.5,MIN(F_CardPayM,AO85+AO85*(D_iC)),0)</f>
        <v>0</v>
      </c>
      <c r="BC85" s="1" t="n">
        <f aca="false">MAX(0,AP85)</f>
        <v>0</v>
      </c>
      <c r="BD85" s="1" t="n">
        <f aca="false">SUM(AQ85:BB85)</f>
        <v>0</v>
      </c>
      <c r="BE85" s="1" t="n">
        <f aca="false">'Plan cashflow'!O85</f>
        <v>0</v>
      </c>
      <c r="BF85" s="1" t="n">
        <f aca="false">IF(BE85&gt;0.5,BE85+BE85*(D_iL)-MIN(F_LoanPayM,BE85+BE85*(D_iL)),BE85)</f>
        <v>0</v>
      </c>
      <c r="BG85" s="1" t="n">
        <f aca="false">IF(BF85&gt;0.5,BF85+BF85*(D_iL)-MIN(F_LoanPayM,BF85+BF85*(D_iL)),BF85)</f>
        <v>0</v>
      </c>
      <c r="BH85" s="1" t="n">
        <f aca="false">IF(BG85&gt;0.5,BG85+BG85*(D_iL)-MIN(F_LoanPayM,BG85+BG85*(D_iL)),BG85)</f>
        <v>0</v>
      </c>
      <c r="BI85" s="1" t="n">
        <f aca="false">IF(BH85&gt;0.5,BH85+BH85*(D_iL)-MIN(F_LoanPayM,BH85+BH85*(D_iL)),BH85)</f>
        <v>0</v>
      </c>
      <c r="BJ85" s="1" t="n">
        <f aca="false">IF(BI85&gt;0.5,BI85+BI85*(D_iL)-MIN(F_LoanPayM,BI85+BI85*(D_iL)),BI85)</f>
        <v>0</v>
      </c>
      <c r="BK85" s="1" t="n">
        <f aca="false">IF(BJ85&gt;0.5,BJ85+BJ85*(D_iL)-MIN(F_LoanPayM,BJ85+BJ85*(D_iL)),BJ85)</f>
        <v>0</v>
      </c>
      <c r="BL85" s="1" t="n">
        <f aca="false">IF(BK85&gt;0.5,BK85+BK85*(D_iL)-MIN(F_LoanPayM,BK85+BK85*(D_iL)),BK85)</f>
        <v>0</v>
      </c>
      <c r="BM85" s="1" t="n">
        <f aca="false">IF(BL85&gt;0.5,BL85+BL85*(D_iL)-MIN(F_LoanPayM,BL85+BL85*(D_iL)),BL85)</f>
        <v>0</v>
      </c>
      <c r="BN85" s="1" t="n">
        <f aca="false">IF(BM85&gt;0.5,BM85+BM85*(D_iL)-MIN(F_LoanPayM,BM85+BM85*(D_iL)),BM85)</f>
        <v>0</v>
      </c>
      <c r="BO85" s="1" t="n">
        <f aca="false">IF(BN85&gt;0.5,BN85+BN85*(D_iL)-MIN(F_LoanPayM,BN85+BN85*(D_iL)),BN85)</f>
        <v>0</v>
      </c>
      <c r="BP85" s="1" t="n">
        <f aca="false">IF(BO85&gt;0.5,BO85+BO85*(D_iL)-MIN(F_LoanPayM,BO85+BO85*(D_iL)),BO85)</f>
        <v>0</v>
      </c>
      <c r="BQ85" s="1" t="n">
        <f aca="false">IF(BP85&gt;0.5,BP85+BP85*(D_iL)-MIN(F_LoanPayM,BP85+BP85*(D_iL)),BP85)</f>
        <v>0</v>
      </c>
      <c r="BR85" s="1" t="n">
        <f aca="false">IF(BE85&gt;0.5,MIN(F_LoanPayM,BE85+BE85*(D_iL)),0)</f>
        <v>0</v>
      </c>
      <c r="BS85" s="1" t="n">
        <f aca="false">IF(BF85&gt;0.5,MIN(F_LoanPayM,BF85+BF85*(D_iL)),0)</f>
        <v>0</v>
      </c>
      <c r="BT85" s="1" t="n">
        <f aca="false">IF(BG85&gt;0.5,MIN(F_LoanPayM,BG85+BG85*(D_iL)),0)</f>
        <v>0</v>
      </c>
      <c r="BU85" s="1" t="n">
        <f aca="false">IF(BH85&gt;0.5,MIN(F_LoanPayM,BH85+BH85*(D_iL)),0)</f>
        <v>0</v>
      </c>
      <c r="BV85" s="1" t="n">
        <f aca="false">IF(BI85&gt;0.5,MIN(F_LoanPayM,BI85+BI85*(D_iL)),0)</f>
        <v>0</v>
      </c>
      <c r="BW85" s="1" t="n">
        <f aca="false">IF(BJ85&gt;0.5,MIN(F_LoanPayM,BJ85+BJ85*(D_iL)),0)</f>
        <v>0</v>
      </c>
      <c r="BX85" s="1" t="n">
        <f aca="false">IF(BK85&gt;0.5,MIN(F_LoanPayM,BK85+BK85*(D_iL)),0)</f>
        <v>0</v>
      </c>
      <c r="BY85" s="1" t="n">
        <f aca="false">IF(BL85&gt;0.5,MIN(F_LoanPayM,BL85+BL85*(D_iL)),0)</f>
        <v>0</v>
      </c>
      <c r="BZ85" s="1" t="n">
        <f aca="false">IF(BM85&gt;0.5,MIN(F_LoanPayM,BM85+BM85*(D_iL)),0)</f>
        <v>0</v>
      </c>
      <c r="CA85" s="1" t="n">
        <f aca="false">IF(BN85&gt;0.5,MIN(F_LoanPayM,BN85+BN85*(D_iL)),0)</f>
        <v>0</v>
      </c>
      <c r="CB85" s="1" t="n">
        <f aca="false">IF(BO85&gt;0.5,MIN(F_LoanPayM,BO85+BO85*(D_iL)),0)</f>
        <v>0</v>
      </c>
      <c r="CC85" s="1" t="n">
        <f aca="false">IF(BP85&gt;0.5,MIN(F_LoanPayM,BP85+BP85*(D_iL)),0)</f>
        <v>0</v>
      </c>
      <c r="CD85" s="1" t="n">
        <f aca="false">MAX(0,BQ85)</f>
        <v>0</v>
      </c>
      <c r="CE85" s="1" t="n">
        <f aca="false">SUM(BR85:CC85)</f>
        <v>0</v>
      </c>
      <c r="CF85" s="1" t="n">
        <f aca="false">IF(CF84&gt;1,DE84,CF84)</f>
        <v>0</v>
      </c>
      <c r="CG85" s="1" t="n">
        <f aca="false">IF(CF85&gt;0.5,CF85+CF85*(F_MR/12)-MIN(F_MortPayM,CF85+CF85*(F_MR/12)),CF85)</f>
        <v>0</v>
      </c>
      <c r="CH85" s="1" t="n">
        <f aca="false">IF(CG85&gt;0.5,CG85+CG85*(F_MR/12)-MIN(F_MortPayM,CG85+CG85*(F_MR/12)),CG85)</f>
        <v>0</v>
      </c>
      <c r="CI85" s="1" t="n">
        <f aca="false">IF(CH85&gt;0.5,CH85+CH85*(F_MR/12)-MIN(F_MortPayM,CH85+CH85*(F_MR/12)),CH85)</f>
        <v>0</v>
      </c>
      <c r="CJ85" s="1" t="n">
        <f aca="false">IF(CI85&gt;0.5,CI85+CI85*(F_MR/12)-MIN(F_MortPayM,CI85+CI85*(F_MR/12)),CI85)</f>
        <v>0</v>
      </c>
      <c r="CK85" s="1" t="n">
        <f aca="false">IF(CJ85&gt;0.5,CJ85+CJ85*(F_MR/12)-MIN(F_MortPayM,CJ85+CJ85*(F_MR/12)),CJ85)</f>
        <v>0</v>
      </c>
      <c r="CL85" s="1" t="n">
        <f aca="false">IF(CK85&gt;0.5,CK85+CK85*(F_MR/12)-MIN(F_MortPayM,CK85+CK85*(F_MR/12)),CK85)</f>
        <v>0</v>
      </c>
      <c r="CM85" s="1" t="n">
        <f aca="false">IF(CL85&gt;0.5,CL85+CL85*(F_MR/12)-MIN(F_MortPayM,CL85+CL85*(F_MR/12)),CL85)</f>
        <v>0</v>
      </c>
      <c r="CN85" s="1" t="n">
        <f aca="false">IF(CM85&gt;0.5,CM85+CM85*(F_MR/12)-MIN(F_MortPayM,CM85+CM85*(F_MR/12)),CM85)</f>
        <v>0</v>
      </c>
      <c r="CO85" s="1" t="n">
        <f aca="false">IF(CN85&gt;0.5,CN85+CN85*(F_MR/12)-MIN(F_MortPayM,CN85+CN85*(F_MR/12)),CN85)</f>
        <v>0</v>
      </c>
      <c r="CP85" s="1" t="n">
        <f aca="false">IF(CO85&gt;0.5,CO85+CO85*(F_MR/12)-MIN(F_MortPayM,CO85+CO85*(F_MR/12)),CO85)</f>
        <v>0</v>
      </c>
      <c r="CQ85" s="1" t="n">
        <f aca="false">IF(CP85&gt;0.5,CP85+CP85*(F_MR/12)-MIN(F_MortPayM,CP85+CP85*(F_MR/12)),CP85)</f>
        <v>0</v>
      </c>
      <c r="CR85" s="1" t="n">
        <f aca="false">IF(CQ85&gt;0.5,CQ85+CQ85*(F_MR/12)-MIN(F_MortPayM,CQ85+CQ85*(F_MR/12)),CQ85)</f>
        <v>0</v>
      </c>
      <c r="CS85" s="1" t="n">
        <f aca="false">IF(CF85&gt;0.5,MIN(F_MortPayM,CF85+CF85*(F_MR/12)),0)</f>
        <v>0</v>
      </c>
      <c r="CT85" s="1" t="n">
        <f aca="false">IF(CG85&gt;0.5,MIN(F_MortPayM,CG85+CG85*(F_MR/12)),0)</f>
        <v>0</v>
      </c>
      <c r="CU85" s="1" t="n">
        <f aca="false">IF(CH85&gt;0.5,MIN(F_MortPayM,CH85+CH85*(F_MR/12)),0)</f>
        <v>0</v>
      </c>
      <c r="CV85" s="1" t="n">
        <f aca="false">IF(CI85&gt;0.5,MIN(F_MortPayM,CI85+CI85*(F_MR/12)),0)</f>
        <v>0</v>
      </c>
      <c r="CW85" s="1" t="n">
        <f aca="false">IF(CJ85&gt;0.5,MIN(F_MortPayM,CJ85+CJ85*(F_MR/12)),0)</f>
        <v>0</v>
      </c>
      <c r="CX85" s="1" t="n">
        <f aca="false">IF(CK85&gt;0.5,MIN(F_MortPayM,CK85+CK85*(F_MR/12)),0)</f>
        <v>0</v>
      </c>
      <c r="CY85" s="1" t="n">
        <f aca="false">IF(CL85&gt;0.5,MIN(F_MortPayM,CL85+CL85*(F_MR/12)),0)</f>
        <v>0</v>
      </c>
      <c r="CZ85" s="1" t="n">
        <f aca="false">IF(CM85&gt;0.5,MIN(F_MortPayM,CM85+CM85*(F_MR/12)),0)</f>
        <v>0</v>
      </c>
      <c r="DA85" s="1" t="n">
        <f aca="false">IF(CN85&gt;0.5,MIN(F_MortPayM,CN85+CN85*(F_MR/12)),0)</f>
        <v>0</v>
      </c>
      <c r="DB85" s="1" t="n">
        <f aca="false">IF(CO85&gt;0.5,MIN(F_MortPayM,CO85+CO85*(F_MR/12)),0)</f>
        <v>0</v>
      </c>
      <c r="DC85" s="1" t="n">
        <f aca="false">IF(CP85&gt;0.5,MIN(F_MortPayM,CP85+CP85*(F_MR/12)),0)</f>
        <v>0</v>
      </c>
      <c r="DD85" s="1" t="n">
        <f aca="false">IF(CQ85&gt;0.5,MIN(F_MortPayM,CQ85+CQ85*(F_MR/12)),0)</f>
        <v>0</v>
      </c>
      <c r="DE85" s="1" t="n">
        <f aca="false">MAX(0,CR85)</f>
        <v>0</v>
      </c>
      <c r="DF85" s="1" t="n">
        <f aca="false">SUM(CS85:DD85)</f>
        <v>0</v>
      </c>
      <c r="DG85" s="1" t="n">
        <f aca="false">MAX(0,CF85)</f>
        <v>0</v>
      </c>
    </row>
    <row r="86" customFormat="false" ht="15" hidden="false" customHeight="false" outlineLevel="0" collapsed="false">
      <c r="B86" s="1" t="n">
        <v>78</v>
      </c>
      <c r="C86" s="1" t="n">
        <f aca="false">'Plan cashflow'!I86</f>
        <v>0</v>
      </c>
      <c r="D86" s="1" t="n">
        <f aca="false">IF(C86&gt;0.5,C86+C86*(F_MR/12)-MIN(F_MortPayM,C86+C86*(F_MR/12)),C86)</f>
        <v>0</v>
      </c>
      <c r="E86" s="1" t="n">
        <f aca="false">IF(D86&gt;0.5,D86+D86*(F_MR/12)-MIN(F_MortPayM,D86+D86*(F_MR/12)),D86)</f>
        <v>0</v>
      </c>
      <c r="F86" s="1" t="n">
        <f aca="false">IF(E86&gt;0.5,E86+E86*(F_MR/12)-MIN(F_MortPayM,E86+E86*(F_MR/12)),E86)</f>
        <v>0</v>
      </c>
      <c r="G86" s="1" t="n">
        <f aca="false">IF(F86&gt;0.5,F86+F86*(F_MR/12)-MIN(F_MortPayM,F86+F86*(F_MR/12)),F86)</f>
        <v>0</v>
      </c>
      <c r="H86" s="1" t="n">
        <f aca="false">IF(G86&gt;0.5,G86+G86*(F_MR/12)-MIN(F_MortPayM,G86+G86*(F_MR/12)),G86)</f>
        <v>0</v>
      </c>
      <c r="I86" s="1" t="n">
        <f aca="false">IF(H86&gt;0.5,H86+H86*(F_MR/12)-MIN(F_MortPayM,H86+H86*(F_MR/12)),H86)</f>
        <v>0</v>
      </c>
      <c r="J86" s="1" t="n">
        <f aca="false">IF(I86&gt;0.5,I86+I86*(F_MR/12)-MIN(F_MortPayM,I86+I86*(F_MR/12)),I86)</f>
        <v>0</v>
      </c>
      <c r="K86" s="1" t="n">
        <f aca="false">IF(J86&gt;0.5,J86+J86*(F_MR/12)-MIN(F_MortPayM,J86+J86*(F_MR/12)),J86)</f>
        <v>0</v>
      </c>
      <c r="L86" s="1" t="n">
        <f aca="false">IF(K86&gt;0.5,K86+K86*(F_MR/12)-MIN(F_MortPayM,K86+K86*(F_MR/12)),K86)</f>
        <v>0</v>
      </c>
      <c r="M86" s="1" t="n">
        <f aca="false">IF(L86&gt;0.5,L86+L86*(F_MR/12)-MIN(F_MortPayM,L86+L86*(F_MR/12)),L86)</f>
        <v>0</v>
      </c>
      <c r="N86" s="1" t="n">
        <f aca="false">IF(M86&gt;0.5,M86+M86*(F_MR/12)-MIN(F_MortPayM,M86+M86*(F_MR/12)),M86)</f>
        <v>0</v>
      </c>
      <c r="O86" s="1" t="n">
        <f aca="false">IF(N86&gt;0.5,N86+N86*(F_MR/12)-MIN(F_MortPayM,N86+N86*(F_MR/12)),N86)</f>
        <v>0</v>
      </c>
      <c r="P86" s="1" t="n">
        <f aca="false">IF(C86&gt;0.5,MIN(F_MortPayM,C86+C86*(F_MR/12)),0)</f>
        <v>0</v>
      </c>
      <c r="Q86" s="1" t="n">
        <f aca="false">IF(D86&gt;0.5,MIN(F_MortPayM,D86+D86*(F_MR/12)),0)</f>
        <v>0</v>
      </c>
      <c r="R86" s="1" t="n">
        <f aca="false">IF(E86&gt;0.5,MIN(F_MortPayM,E86+E86*(F_MR/12)),0)</f>
        <v>0</v>
      </c>
      <c r="S86" s="1" t="n">
        <f aca="false">IF(F86&gt;0.5,MIN(F_MortPayM,F86+F86*(F_MR/12)),0)</f>
        <v>0</v>
      </c>
      <c r="T86" s="1" t="n">
        <f aca="false">IF(G86&gt;0.5,MIN(F_MortPayM,G86+G86*(F_MR/12)),0)</f>
        <v>0</v>
      </c>
      <c r="U86" s="1" t="n">
        <f aca="false">IF(H86&gt;0.5,MIN(F_MortPayM,H86+H86*(F_MR/12)),0)</f>
        <v>0</v>
      </c>
      <c r="V86" s="1" t="n">
        <f aca="false">IF(I86&gt;0.5,MIN(F_MortPayM,I86+I86*(F_MR/12)),0)</f>
        <v>0</v>
      </c>
      <c r="W86" s="1" t="n">
        <f aca="false">IF(J86&gt;0.5,MIN(F_MortPayM,J86+J86*(F_MR/12)),0)</f>
        <v>0</v>
      </c>
      <c r="X86" s="1" t="n">
        <f aca="false">IF(K86&gt;0.5,MIN(F_MortPayM,K86+K86*(F_MR/12)),0)</f>
        <v>0</v>
      </c>
      <c r="Y86" s="1" t="n">
        <f aca="false">IF(L86&gt;0.5,MIN(F_MortPayM,L86+L86*(F_MR/12)),0)</f>
        <v>0</v>
      </c>
      <c r="Z86" s="1" t="n">
        <f aca="false">IF(M86&gt;0.5,MIN(F_MortPayM,M86+M86*(F_MR/12)),0)</f>
        <v>0</v>
      </c>
      <c r="AA86" s="1" t="n">
        <f aca="false">IF(N86&gt;0.5,MIN(F_MortPayM,N86+N86*(F_MR/12)),0)</f>
        <v>0</v>
      </c>
      <c r="AB86" s="1" t="n">
        <f aca="false">MAX(0,O86)</f>
        <v>0</v>
      </c>
      <c r="AC86" s="1" t="n">
        <f aca="false">SUM(P86:AA86)</f>
        <v>0</v>
      </c>
      <c r="AD86" s="1" t="n">
        <f aca="false">'Plan cashflow'!L86</f>
        <v>0</v>
      </c>
      <c r="AE86" s="1" t="n">
        <f aca="false">IF(AD86&gt;0.5,AD86+AD86*(D_iC)-MIN(F_CardPayM,AD86+AD86*(D_iC)),AD86)</f>
        <v>0</v>
      </c>
      <c r="AF86" s="1" t="n">
        <f aca="false">IF(AE86&gt;0.5,AE86+AE86*(D_iC)-MIN(F_CardPayM,AE86+AE86*(D_iC)),AE86)</f>
        <v>0</v>
      </c>
      <c r="AG86" s="1" t="n">
        <f aca="false">IF(AF86&gt;0.5,AF86+AF86*(D_iC)-MIN(F_CardPayM,AF86+AF86*(D_iC)),AF86)</f>
        <v>0</v>
      </c>
      <c r="AH86" s="1" t="n">
        <f aca="false">IF(AG86&gt;0.5,AG86+AG86*(D_iC)-MIN(F_CardPayM,AG86+AG86*(D_iC)),AG86)</f>
        <v>0</v>
      </c>
      <c r="AI86" s="1" t="n">
        <f aca="false">IF(AH86&gt;0.5,AH86+AH86*(D_iC)-MIN(F_CardPayM,AH86+AH86*(D_iC)),AH86)</f>
        <v>0</v>
      </c>
      <c r="AJ86" s="1" t="n">
        <f aca="false">IF(AI86&gt;0.5,AI86+AI86*(D_iC)-MIN(F_CardPayM,AI86+AI86*(D_iC)),AI86)</f>
        <v>0</v>
      </c>
      <c r="AK86" s="1" t="n">
        <f aca="false">IF(AJ86&gt;0.5,AJ86+AJ86*(D_iC)-MIN(F_CardPayM,AJ86+AJ86*(D_iC)),AJ86)</f>
        <v>0</v>
      </c>
      <c r="AL86" s="1" t="n">
        <f aca="false">IF(AK86&gt;0.5,AK86+AK86*(D_iC)-MIN(F_CardPayM,AK86+AK86*(D_iC)),AK86)</f>
        <v>0</v>
      </c>
      <c r="AM86" s="1" t="n">
        <f aca="false">IF(AL86&gt;0.5,AL86+AL86*(D_iC)-MIN(F_CardPayM,AL86+AL86*(D_iC)),AL86)</f>
        <v>0</v>
      </c>
      <c r="AN86" s="1" t="n">
        <f aca="false">IF(AM86&gt;0.5,AM86+AM86*(D_iC)-MIN(F_CardPayM,AM86+AM86*(D_iC)),AM86)</f>
        <v>0</v>
      </c>
      <c r="AO86" s="1" t="n">
        <f aca="false">IF(AN86&gt;0.5,AN86+AN86*(D_iC)-MIN(F_CardPayM,AN86+AN86*(D_iC)),AN86)</f>
        <v>0</v>
      </c>
      <c r="AP86" s="1" t="n">
        <f aca="false">IF(AO86&gt;0.5,AO86+AO86*(D_iC)-MIN(F_CardPayM,AO86+AO86*(D_iC)),AO86)</f>
        <v>0</v>
      </c>
      <c r="AQ86" s="1" t="n">
        <f aca="false">IF(AD86&gt;0.5,MIN(F_CardPayM,AD86+AD86*(D_iC)),0)</f>
        <v>0</v>
      </c>
      <c r="AR86" s="1" t="n">
        <f aca="false">IF(AE86&gt;0.5,MIN(F_CardPayM,AE86+AE86*(D_iC)),0)</f>
        <v>0</v>
      </c>
      <c r="AS86" s="1" t="n">
        <f aca="false">IF(AF86&gt;0.5,MIN(F_CardPayM,AF86+AF86*(D_iC)),0)</f>
        <v>0</v>
      </c>
      <c r="AT86" s="1" t="n">
        <f aca="false">IF(AG86&gt;0.5,MIN(F_CardPayM,AG86+AG86*(D_iC)),0)</f>
        <v>0</v>
      </c>
      <c r="AU86" s="1" t="n">
        <f aca="false">IF(AH86&gt;0.5,MIN(F_CardPayM,AH86+AH86*(D_iC)),0)</f>
        <v>0</v>
      </c>
      <c r="AV86" s="1" t="n">
        <f aca="false">IF(AI86&gt;0.5,MIN(F_CardPayM,AI86+AI86*(D_iC)),0)</f>
        <v>0</v>
      </c>
      <c r="AW86" s="1" t="n">
        <f aca="false">IF(AJ86&gt;0.5,MIN(F_CardPayM,AJ86+AJ86*(D_iC)),0)</f>
        <v>0</v>
      </c>
      <c r="AX86" s="1" t="n">
        <f aca="false">IF(AK86&gt;0.5,MIN(F_CardPayM,AK86+AK86*(D_iC)),0)</f>
        <v>0</v>
      </c>
      <c r="AY86" s="1" t="n">
        <f aca="false">IF(AL86&gt;0.5,MIN(F_CardPayM,AL86+AL86*(D_iC)),0)</f>
        <v>0</v>
      </c>
      <c r="AZ86" s="1" t="n">
        <f aca="false">IF(AM86&gt;0.5,MIN(F_CardPayM,AM86+AM86*(D_iC)),0)</f>
        <v>0</v>
      </c>
      <c r="BA86" s="1" t="n">
        <f aca="false">IF(AN86&gt;0.5,MIN(F_CardPayM,AN86+AN86*(D_iC)),0)</f>
        <v>0</v>
      </c>
      <c r="BB86" s="1" t="n">
        <f aca="false">IF(AO86&gt;0.5,MIN(F_CardPayM,AO86+AO86*(D_iC)),0)</f>
        <v>0</v>
      </c>
      <c r="BC86" s="1" t="n">
        <f aca="false">MAX(0,AP86)</f>
        <v>0</v>
      </c>
      <c r="BD86" s="1" t="n">
        <f aca="false">SUM(AQ86:BB86)</f>
        <v>0</v>
      </c>
      <c r="BE86" s="1" t="n">
        <f aca="false">'Plan cashflow'!O86</f>
        <v>0</v>
      </c>
      <c r="BF86" s="1" t="n">
        <f aca="false">IF(BE86&gt;0.5,BE86+BE86*(D_iL)-MIN(F_LoanPayM,BE86+BE86*(D_iL)),BE86)</f>
        <v>0</v>
      </c>
      <c r="BG86" s="1" t="n">
        <f aca="false">IF(BF86&gt;0.5,BF86+BF86*(D_iL)-MIN(F_LoanPayM,BF86+BF86*(D_iL)),BF86)</f>
        <v>0</v>
      </c>
      <c r="BH86" s="1" t="n">
        <f aca="false">IF(BG86&gt;0.5,BG86+BG86*(D_iL)-MIN(F_LoanPayM,BG86+BG86*(D_iL)),BG86)</f>
        <v>0</v>
      </c>
      <c r="BI86" s="1" t="n">
        <f aca="false">IF(BH86&gt;0.5,BH86+BH86*(D_iL)-MIN(F_LoanPayM,BH86+BH86*(D_iL)),BH86)</f>
        <v>0</v>
      </c>
      <c r="BJ86" s="1" t="n">
        <f aca="false">IF(BI86&gt;0.5,BI86+BI86*(D_iL)-MIN(F_LoanPayM,BI86+BI86*(D_iL)),BI86)</f>
        <v>0</v>
      </c>
      <c r="BK86" s="1" t="n">
        <f aca="false">IF(BJ86&gt;0.5,BJ86+BJ86*(D_iL)-MIN(F_LoanPayM,BJ86+BJ86*(D_iL)),BJ86)</f>
        <v>0</v>
      </c>
      <c r="BL86" s="1" t="n">
        <f aca="false">IF(BK86&gt;0.5,BK86+BK86*(D_iL)-MIN(F_LoanPayM,BK86+BK86*(D_iL)),BK86)</f>
        <v>0</v>
      </c>
      <c r="BM86" s="1" t="n">
        <f aca="false">IF(BL86&gt;0.5,BL86+BL86*(D_iL)-MIN(F_LoanPayM,BL86+BL86*(D_iL)),BL86)</f>
        <v>0</v>
      </c>
      <c r="BN86" s="1" t="n">
        <f aca="false">IF(BM86&gt;0.5,BM86+BM86*(D_iL)-MIN(F_LoanPayM,BM86+BM86*(D_iL)),BM86)</f>
        <v>0</v>
      </c>
      <c r="BO86" s="1" t="n">
        <f aca="false">IF(BN86&gt;0.5,BN86+BN86*(D_iL)-MIN(F_LoanPayM,BN86+BN86*(D_iL)),BN86)</f>
        <v>0</v>
      </c>
      <c r="BP86" s="1" t="n">
        <f aca="false">IF(BO86&gt;0.5,BO86+BO86*(D_iL)-MIN(F_LoanPayM,BO86+BO86*(D_iL)),BO86)</f>
        <v>0</v>
      </c>
      <c r="BQ86" s="1" t="n">
        <f aca="false">IF(BP86&gt;0.5,BP86+BP86*(D_iL)-MIN(F_LoanPayM,BP86+BP86*(D_iL)),BP86)</f>
        <v>0</v>
      </c>
      <c r="BR86" s="1" t="n">
        <f aca="false">IF(BE86&gt;0.5,MIN(F_LoanPayM,BE86+BE86*(D_iL)),0)</f>
        <v>0</v>
      </c>
      <c r="BS86" s="1" t="n">
        <f aca="false">IF(BF86&gt;0.5,MIN(F_LoanPayM,BF86+BF86*(D_iL)),0)</f>
        <v>0</v>
      </c>
      <c r="BT86" s="1" t="n">
        <f aca="false">IF(BG86&gt;0.5,MIN(F_LoanPayM,BG86+BG86*(D_iL)),0)</f>
        <v>0</v>
      </c>
      <c r="BU86" s="1" t="n">
        <f aca="false">IF(BH86&gt;0.5,MIN(F_LoanPayM,BH86+BH86*(D_iL)),0)</f>
        <v>0</v>
      </c>
      <c r="BV86" s="1" t="n">
        <f aca="false">IF(BI86&gt;0.5,MIN(F_LoanPayM,BI86+BI86*(D_iL)),0)</f>
        <v>0</v>
      </c>
      <c r="BW86" s="1" t="n">
        <f aca="false">IF(BJ86&gt;0.5,MIN(F_LoanPayM,BJ86+BJ86*(D_iL)),0)</f>
        <v>0</v>
      </c>
      <c r="BX86" s="1" t="n">
        <f aca="false">IF(BK86&gt;0.5,MIN(F_LoanPayM,BK86+BK86*(D_iL)),0)</f>
        <v>0</v>
      </c>
      <c r="BY86" s="1" t="n">
        <f aca="false">IF(BL86&gt;0.5,MIN(F_LoanPayM,BL86+BL86*(D_iL)),0)</f>
        <v>0</v>
      </c>
      <c r="BZ86" s="1" t="n">
        <f aca="false">IF(BM86&gt;0.5,MIN(F_LoanPayM,BM86+BM86*(D_iL)),0)</f>
        <v>0</v>
      </c>
      <c r="CA86" s="1" t="n">
        <f aca="false">IF(BN86&gt;0.5,MIN(F_LoanPayM,BN86+BN86*(D_iL)),0)</f>
        <v>0</v>
      </c>
      <c r="CB86" s="1" t="n">
        <f aca="false">IF(BO86&gt;0.5,MIN(F_LoanPayM,BO86+BO86*(D_iL)),0)</f>
        <v>0</v>
      </c>
      <c r="CC86" s="1" t="n">
        <f aca="false">IF(BP86&gt;0.5,MIN(F_LoanPayM,BP86+BP86*(D_iL)),0)</f>
        <v>0</v>
      </c>
      <c r="CD86" s="1" t="n">
        <f aca="false">MAX(0,BQ86)</f>
        <v>0</v>
      </c>
      <c r="CE86" s="1" t="n">
        <f aca="false">SUM(BR86:CC86)</f>
        <v>0</v>
      </c>
      <c r="CF86" s="1" t="n">
        <f aca="false">IF(CF85&gt;1,DE85,CF85)</f>
        <v>0</v>
      </c>
      <c r="CG86" s="1" t="n">
        <f aca="false">IF(CF86&gt;0.5,CF86+CF86*(F_MR/12)-MIN(F_MortPayM,CF86+CF86*(F_MR/12)),CF86)</f>
        <v>0</v>
      </c>
      <c r="CH86" s="1" t="n">
        <f aca="false">IF(CG86&gt;0.5,CG86+CG86*(F_MR/12)-MIN(F_MortPayM,CG86+CG86*(F_MR/12)),CG86)</f>
        <v>0</v>
      </c>
      <c r="CI86" s="1" t="n">
        <f aca="false">IF(CH86&gt;0.5,CH86+CH86*(F_MR/12)-MIN(F_MortPayM,CH86+CH86*(F_MR/12)),CH86)</f>
        <v>0</v>
      </c>
      <c r="CJ86" s="1" t="n">
        <f aca="false">IF(CI86&gt;0.5,CI86+CI86*(F_MR/12)-MIN(F_MortPayM,CI86+CI86*(F_MR/12)),CI86)</f>
        <v>0</v>
      </c>
      <c r="CK86" s="1" t="n">
        <f aca="false">IF(CJ86&gt;0.5,CJ86+CJ86*(F_MR/12)-MIN(F_MortPayM,CJ86+CJ86*(F_MR/12)),CJ86)</f>
        <v>0</v>
      </c>
      <c r="CL86" s="1" t="n">
        <f aca="false">IF(CK86&gt;0.5,CK86+CK86*(F_MR/12)-MIN(F_MortPayM,CK86+CK86*(F_MR/12)),CK86)</f>
        <v>0</v>
      </c>
      <c r="CM86" s="1" t="n">
        <f aca="false">IF(CL86&gt;0.5,CL86+CL86*(F_MR/12)-MIN(F_MortPayM,CL86+CL86*(F_MR/12)),CL86)</f>
        <v>0</v>
      </c>
      <c r="CN86" s="1" t="n">
        <f aca="false">IF(CM86&gt;0.5,CM86+CM86*(F_MR/12)-MIN(F_MortPayM,CM86+CM86*(F_MR/12)),CM86)</f>
        <v>0</v>
      </c>
      <c r="CO86" s="1" t="n">
        <f aca="false">IF(CN86&gt;0.5,CN86+CN86*(F_MR/12)-MIN(F_MortPayM,CN86+CN86*(F_MR/12)),CN86)</f>
        <v>0</v>
      </c>
      <c r="CP86" s="1" t="n">
        <f aca="false">IF(CO86&gt;0.5,CO86+CO86*(F_MR/12)-MIN(F_MortPayM,CO86+CO86*(F_MR/12)),CO86)</f>
        <v>0</v>
      </c>
      <c r="CQ86" s="1" t="n">
        <f aca="false">IF(CP86&gt;0.5,CP86+CP86*(F_MR/12)-MIN(F_MortPayM,CP86+CP86*(F_MR/12)),CP86)</f>
        <v>0</v>
      </c>
      <c r="CR86" s="1" t="n">
        <f aca="false">IF(CQ86&gt;0.5,CQ86+CQ86*(F_MR/12)-MIN(F_MortPayM,CQ86+CQ86*(F_MR/12)),CQ86)</f>
        <v>0</v>
      </c>
      <c r="CS86" s="1" t="n">
        <f aca="false">IF(CF86&gt;0.5,MIN(F_MortPayM,CF86+CF86*(F_MR/12)),0)</f>
        <v>0</v>
      </c>
      <c r="CT86" s="1" t="n">
        <f aca="false">IF(CG86&gt;0.5,MIN(F_MortPayM,CG86+CG86*(F_MR/12)),0)</f>
        <v>0</v>
      </c>
      <c r="CU86" s="1" t="n">
        <f aca="false">IF(CH86&gt;0.5,MIN(F_MortPayM,CH86+CH86*(F_MR/12)),0)</f>
        <v>0</v>
      </c>
      <c r="CV86" s="1" t="n">
        <f aca="false">IF(CI86&gt;0.5,MIN(F_MortPayM,CI86+CI86*(F_MR/12)),0)</f>
        <v>0</v>
      </c>
      <c r="CW86" s="1" t="n">
        <f aca="false">IF(CJ86&gt;0.5,MIN(F_MortPayM,CJ86+CJ86*(F_MR/12)),0)</f>
        <v>0</v>
      </c>
      <c r="CX86" s="1" t="n">
        <f aca="false">IF(CK86&gt;0.5,MIN(F_MortPayM,CK86+CK86*(F_MR/12)),0)</f>
        <v>0</v>
      </c>
      <c r="CY86" s="1" t="n">
        <f aca="false">IF(CL86&gt;0.5,MIN(F_MortPayM,CL86+CL86*(F_MR/12)),0)</f>
        <v>0</v>
      </c>
      <c r="CZ86" s="1" t="n">
        <f aca="false">IF(CM86&gt;0.5,MIN(F_MortPayM,CM86+CM86*(F_MR/12)),0)</f>
        <v>0</v>
      </c>
      <c r="DA86" s="1" t="n">
        <f aca="false">IF(CN86&gt;0.5,MIN(F_MortPayM,CN86+CN86*(F_MR/12)),0)</f>
        <v>0</v>
      </c>
      <c r="DB86" s="1" t="n">
        <f aca="false">IF(CO86&gt;0.5,MIN(F_MortPayM,CO86+CO86*(F_MR/12)),0)</f>
        <v>0</v>
      </c>
      <c r="DC86" s="1" t="n">
        <f aca="false">IF(CP86&gt;0.5,MIN(F_MortPayM,CP86+CP86*(F_MR/12)),0)</f>
        <v>0</v>
      </c>
      <c r="DD86" s="1" t="n">
        <f aca="false">IF(CQ86&gt;0.5,MIN(F_MortPayM,CQ86+CQ86*(F_MR/12)),0)</f>
        <v>0</v>
      </c>
      <c r="DE86" s="1" t="n">
        <f aca="false">MAX(0,CR86)</f>
        <v>0</v>
      </c>
      <c r="DF86" s="1" t="n">
        <f aca="false">SUM(CS86:DD86)</f>
        <v>0</v>
      </c>
      <c r="DG86" s="1" t="n">
        <f aca="false">MAX(0,CF86)</f>
        <v>0</v>
      </c>
    </row>
    <row r="87" customFormat="false" ht="15" hidden="false" customHeight="false" outlineLevel="0" collapsed="false">
      <c r="B87" s="1" t="n">
        <v>79</v>
      </c>
      <c r="C87" s="1" t="n">
        <f aca="false">'Plan cashflow'!I87</f>
        <v>0</v>
      </c>
      <c r="D87" s="1" t="n">
        <f aca="false">IF(C87&gt;0.5,C87+C87*(F_MR/12)-MIN(F_MortPayM,C87+C87*(F_MR/12)),C87)</f>
        <v>0</v>
      </c>
      <c r="E87" s="1" t="n">
        <f aca="false">IF(D87&gt;0.5,D87+D87*(F_MR/12)-MIN(F_MortPayM,D87+D87*(F_MR/12)),D87)</f>
        <v>0</v>
      </c>
      <c r="F87" s="1" t="n">
        <f aca="false">IF(E87&gt;0.5,E87+E87*(F_MR/12)-MIN(F_MortPayM,E87+E87*(F_MR/12)),E87)</f>
        <v>0</v>
      </c>
      <c r="G87" s="1" t="n">
        <f aca="false">IF(F87&gt;0.5,F87+F87*(F_MR/12)-MIN(F_MortPayM,F87+F87*(F_MR/12)),F87)</f>
        <v>0</v>
      </c>
      <c r="H87" s="1" t="n">
        <f aca="false">IF(G87&gt;0.5,G87+G87*(F_MR/12)-MIN(F_MortPayM,G87+G87*(F_MR/12)),G87)</f>
        <v>0</v>
      </c>
      <c r="I87" s="1" t="n">
        <f aca="false">IF(H87&gt;0.5,H87+H87*(F_MR/12)-MIN(F_MortPayM,H87+H87*(F_MR/12)),H87)</f>
        <v>0</v>
      </c>
      <c r="J87" s="1" t="n">
        <f aca="false">IF(I87&gt;0.5,I87+I87*(F_MR/12)-MIN(F_MortPayM,I87+I87*(F_MR/12)),I87)</f>
        <v>0</v>
      </c>
      <c r="K87" s="1" t="n">
        <f aca="false">IF(J87&gt;0.5,J87+J87*(F_MR/12)-MIN(F_MortPayM,J87+J87*(F_MR/12)),J87)</f>
        <v>0</v>
      </c>
      <c r="L87" s="1" t="n">
        <f aca="false">IF(K87&gt;0.5,K87+K87*(F_MR/12)-MIN(F_MortPayM,K87+K87*(F_MR/12)),K87)</f>
        <v>0</v>
      </c>
      <c r="M87" s="1" t="n">
        <f aca="false">IF(L87&gt;0.5,L87+L87*(F_MR/12)-MIN(F_MortPayM,L87+L87*(F_MR/12)),L87)</f>
        <v>0</v>
      </c>
      <c r="N87" s="1" t="n">
        <f aca="false">IF(M87&gt;0.5,M87+M87*(F_MR/12)-MIN(F_MortPayM,M87+M87*(F_MR/12)),M87)</f>
        <v>0</v>
      </c>
      <c r="O87" s="1" t="n">
        <f aca="false">IF(N87&gt;0.5,N87+N87*(F_MR/12)-MIN(F_MortPayM,N87+N87*(F_MR/12)),N87)</f>
        <v>0</v>
      </c>
      <c r="P87" s="1" t="n">
        <f aca="false">IF(C87&gt;0.5,MIN(F_MortPayM,C87+C87*(F_MR/12)),0)</f>
        <v>0</v>
      </c>
      <c r="Q87" s="1" t="n">
        <f aca="false">IF(D87&gt;0.5,MIN(F_MortPayM,D87+D87*(F_MR/12)),0)</f>
        <v>0</v>
      </c>
      <c r="R87" s="1" t="n">
        <f aca="false">IF(E87&gt;0.5,MIN(F_MortPayM,E87+E87*(F_MR/12)),0)</f>
        <v>0</v>
      </c>
      <c r="S87" s="1" t="n">
        <f aca="false">IF(F87&gt;0.5,MIN(F_MortPayM,F87+F87*(F_MR/12)),0)</f>
        <v>0</v>
      </c>
      <c r="T87" s="1" t="n">
        <f aca="false">IF(G87&gt;0.5,MIN(F_MortPayM,G87+G87*(F_MR/12)),0)</f>
        <v>0</v>
      </c>
      <c r="U87" s="1" t="n">
        <f aca="false">IF(H87&gt;0.5,MIN(F_MortPayM,H87+H87*(F_MR/12)),0)</f>
        <v>0</v>
      </c>
      <c r="V87" s="1" t="n">
        <f aca="false">IF(I87&gt;0.5,MIN(F_MortPayM,I87+I87*(F_MR/12)),0)</f>
        <v>0</v>
      </c>
      <c r="W87" s="1" t="n">
        <f aca="false">IF(J87&gt;0.5,MIN(F_MortPayM,J87+J87*(F_MR/12)),0)</f>
        <v>0</v>
      </c>
      <c r="X87" s="1" t="n">
        <f aca="false">IF(K87&gt;0.5,MIN(F_MortPayM,K87+K87*(F_MR/12)),0)</f>
        <v>0</v>
      </c>
      <c r="Y87" s="1" t="n">
        <f aca="false">IF(L87&gt;0.5,MIN(F_MortPayM,L87+L87*(F_MR/12)),0)</f>
        <v>0</v>
      </c>
      <c r="Z87" s="1" t="n">
        <f aca="false">IF(M87&gt;0.5,MIN(F_MortPayM,M87+M87*(F_MR/12)),0)</f>
        <v>0</v>
      </c>
      <c r="AA87" s="1" t="n">
        <f aca="false">IF(N87&gt;0.5,MIN(F_MortPayM,N87+N87*(F_MR/12)),0)</f>
        <v>0</v>
      </c>
      <c r="AB87" s="1" t="n">
        <f aca="false">MAX(0,O87)</f>
        <v>0</v>
      </c>
      <c r="AC87" s="1" t="n">
        <f aca="false">SUM(P87:AA87)</f>
        <v>0</v>
      </c>
      <c r="AD87" s="1" t="n">
        <f aca="false">'Plan cashflow'!L87</f>
        <v>0</v>
      </c>
      <c r="AE87" s="1" t="n">
        <f aca="false">IF(AD87&gt;0.5,AD87+AD87*(D_iC)-MIN(F_CardPayM,AD87+AD87*(D_iC)),AD87)</f>
        <v>0</v>
      </c>
      <c r="AF87" s="1" t="n">
        <f aca="false">IF(AE87&gt;0.5,AE87+AE87*(D_iC)-MIN(F_CardPayM,AE87+AE87*(D_iC)),AE87)</f>
        <v>0</v>
      </c>
      <c r="AG87" s="1" t="n">
        <f aca="false">IF(AF87&gt;0.5,AF87+AF87*(D_iC)-MIN(F_CardPayM,AF87+AF87*(D_iC)),AF87)</f>
        <v>0</v>
      </c>
      <c r="AH87" s="1" t="n">
        <f aca="false">IF(AG87&gt;0.5,AG87+AG87*(D_iC)-MIN(F_CardPayM,AG87+AG87*(D_iC)),AG87)</f>
        <v>0</v>
      </c>
      <c r="AI87" s="1" t="n">
        <f aca="false">IF(AH87&gt;0.5,AH87+AH87*(D_iC)-MIN(F_CardPayM,AH87+AH87*(D_iC)),AH87)</f>
        <v>0</v>
      </c>
      <c r="AJ87" s="1" t="n">
        <f aca="false">IF(AI87&gt;0.5,AI87+AI87*(D_iC)-MIN(F_CardPayM,AI87+AI87*(D_iC)),AI87)</f>
        <v>0</v>
      </c>
      <c r="AK87" s="1" t="n">
        <f aca="false">IF(AJ87&gt;0.5,AJ87+AJ87*(D_iC)-MIN(F_CardPayM,AJ87+AJ87*(D_iC)),AJ87)</f>
        <v>0</v>
      </c>
      <c r="AL87" s="1" t="n">
        <f aca="false">IF(AK87&gt;0.5,AK87+AK87*(D_iC)-MIN(F_CardPayM,AK87+AK87*(D_iC)),AK87)</f>
        <v>0</v>
      </c>
      <c r="AM87" s="1" t="n">
        <f aca="false">IF(AL87&gt;0.5,AL87+AL87*(D_iC)-MIN(F_CardPayM,AL87+AL87*(D_iC)),AL87)</f>
        <v>0</v>
      </c>
      <c r="AN87" s="1" t="n">
        <f aca="false">IF(AM87&gt;0.5,AM87+AM87*(D_iC)-MIN(F_CardPayM,AM87+AM87*(D_iC)),AM87)</f>
        <v>0</v>
      </c>
      <c r="AO87" s="1" t="n">
        <f aca="false">IF(AN87&gt;0.5,AN87+AN87*(D_iC)-MIN(F_CardPayM,AN87+AN87*(D_iC)),AN87)</f>
        <v>0</v>
      </c>
      <c r="AP87" s="1" t="n">
        <f aca="false">IF(AO87&gt;0.5,AO87+AO87*(D_iC)-MIN(F_CardPayM,AO87+AO87*(D_iC)),AO87)</f>
        <v>0</v>
      </c>
      <c r="AQ87" s="1" t="n">
        <f aca="false">IF(AD87&gt;0.5,MIN(F_CardPayM,AD87+AD87*(D_iC)),0)</f>
        <v>0</v>
      </c>
      <c r="AR87" s="1" t="n">
        <f aca="false">IF(AE87&gt;0.5,MIN(F_CardPayM,AE87+AE87*(D_iC)),0)</f>
        <v>0</v>
      </c>
      <c r="AS87" s="1" t="n">
        <f aca="false">IF(AF87&gt;0.5,MIN(F_CardPayM,AF87+AF87*(D_iC)),0)</f>
        <v>0</v>
      </c>
      <c r="AT87" s="1" t="n">
        <f aca="false">IF(AG87&gt;0.5,MIN(F_CardPayM,AG87+AG87*(D_iC)),0)</f>
        <v>0</v>
      </c>
      <c r="AU87" s="1" t="n">
        <f aca="false">IF(AH87&gt;0.5,MIN(F_CardPayM,AH87+AH87*(D_iC)),0)</f>
        <v>0</v>
      </c>
      <c r="AV87" s="1" t="n">
        <f aca="false">IF(AI87&gt;0.5,MIN(F_CardPayM,AI87+AI87*(D_iC)),0)</f>
        <v>0</v>
      </c>
      <c r="AW87" s="1" t="n">
        <f aca="false">IF(AJ87&gt;0.5,MIN(F_CardPayM,AJ87+AJ87*(D_iC)),0)</f>
        <v>0</v>
      </c>
      <c r="AX87" s="1" t="n">
        <f aca="false">IF(AK87&gt;0.5,MIN(F_CardPayM,AK87+AK87*(D_iC)),0)</f>
        <v>0</v>
      </c>
      <c r="AY87" s="1" t="n">
        <f aca="false">IF(AL87&gt;0.5,MIN(F_CardPayM,AL87+AL87*(D_iC)),0)</f>
        <v>0</v>
      </c>
      <c r="AZ87" s="1" t="n">
        <f aca="false">IF(AM87&gt;0.5,MIN(F_CardPayM,AM87+AM87*(D_iC)),0)</f>
        <v>0</v>
      </c>
      <c r="BA87" s="1" t="n">
        <f aca="false">IF(AN87&gt;0.5,MIN(F_CardPayM,AN87+AN87*(D_iC)),0)</f>
        <v>0</v>
      </c>
      <c r="BB87" s="1" t="n">
        <f aca="false">IF(AO87&gt;0.5,MIN(F_CardPayM,AO87+AO87*(D_iC)),0)</f>
        <v>0</v>
      </c>
      <c r="BC87" s="1" t="n">
        <f aca="false">MAX(0,AP87)</f>
        <v>0</v>
      </c>
      <c r="BD87" s="1" t="n">
        <f aca="false">SUM(AQ87:BB87)</f>
        <v>0</v>
      </c>
      <c r="BE87" s="1" t="n">
        <f aca="false">'Plan cashflow'!O87</f>
        <v>0</v>
      </c>
      <c r="BF87" s="1" t="n">
        <f aca="false">IF(BE87&gt;0.5,BE87+BE87*(D_iL)-MIN(F_LoanPayM,BE87+BE87*(D_iL)),BE87)</f>
        <v>0</v>
      </c>
      <c r="BG87" s="1" t="n">
        <f aca="false">IF(BF87&gt;0.5,BF87+BF87*(D_iL)-MIN(F_LoanPayM,BF87+BF87*(D_iL)),BF87)</f>
        <v>0</v>
      </c>
      <c r="BH87" s="1" t="n">
        <f aca="false">IF(BG87&gt;0.5,BG87+BG87*(D_iL)-MIN(F_LoanPayM,BG87+BG87*(D_iL)),BG87)</f>
        <v>0</v>
      </c>
      <c r="BI87" s="1" t="n">
        <f aca="false">IF(BH87&gt;0.5,BH87+BH87*(D_iL)-MIN(F_LoanPayM,BH87+BH87*(D_iL)),BH87)</f>
        <v>0</v>
      </c>
      <c r="BJ87" s="1" t="n">
        <f aca="false">IF(BI87&gt;0.5,BI87+BI87*(D_iL)-MIN(F_LoanPayM,BI87+BI87*(D_iL)),BI87)</f>
        <v>0</v>
      </c>
      <c r="BK87" s="1" t="n">
        <f aca="false">IF(BJ87&gt;0.5,BJ87+BJ87*(D_iL)-MIN(F_LoanPayM,BJ87+BJ87*(D_iL)),BJ87)</f>
        <v>0</v>
      </c>
      <c r="BL87" s="1" t="n">
        <f aca="false">IF(BK87&gt;0.5,BK87+BK87*(D_iL)-MIN(F_LoanPayM,BK87+BK87*(D_iL)),BK87)</f>
        <v>0</v>
      </c>
      <c r="BM87" s="1" t="n">
        <f aca="false">IF(BL87&gt;0.5,BL87+BL87*(D_iL)-MIN(F_LoanPayM,BL87+BL87*(D_iL)),BL87)</f>
        <v>0</v>
      </c>
      <c r="BN87" s="1" t="n">
        <f aca="false">IF(BM87&gt;0.5,BM87+BM87*(D_iL)-MIN(F_LoanPayM,BM87+BM87*(D_iL)),BM87)</f>
        <v>0</v>
      </c>
      <c r="BO87" s="1" t="n">
        <f aca="false">IF(BN87&gt;0.5,BN87+BN87*(D_iL)-MIN(F_LoanPayM,BN87+BN87*(D_iL)),BN87)</f>
        <v>0</v>
      </c>
      <c r="BP87" s="1" t="n">
        <f aca="false">IF(BO87&gt;0.5,BO87+BO87*(D_iL)-MIN(F_LoanPayM,BO87+BO87*(D_iL)),BO87)</f>
        <v>0</v>
      </c>
      <c r="BQ87" s="1" t="n">
        <f aca="false">IF(BP87&gt;0.5,BP87+BP87*(D_iL)-MIN(F_LoanPayM,BP87+BP87*(D_iL)),BP87)</f>
        <v>0</v>
      </c>
      <c r="BR87" s="1" t="n">
        <f aca="false">IF(BE87&gt;0.5,MIN(F_LoanPayM,BE87+BE87*(D_iL)),0)</f>
        <v>0</v>
      </c>
      <c r="BS87" s="1" t="n">
        <f aca="false">IF(BF87&gt;0.5,MIN(F_LoanPayM,BF87+BF87*(D_iL)),0)</f>
        <v>0</v>
      </c>
      <c r="BT87" s="1" t="n">
        <f aca="false">IF(BG87&gt;0.5,MIN(F_LoanPayM,BG87+BG87*(D_iL)),0)</f>
        <v>0</v>
      </c>
      <c r="BU87" s="1" t="n">
        <f aca="false">IF(BH87&gt;0.5,MIN(F_LoanPayM,BH87+BH87*(D_iL)),0)</f>
        <v>0</v>
      </c>
      <c r="BV87" s="1" t="n">
        <f aca="false">IF(BI87&gt;0.5,MIN(F_LoanPayM,BI87+BI87*(D_iL)),0)</f>
        <v>0</v>
      </c>
      <c r="BW87" s="1" t="n">
        <f aca="false">IF(BJ87&gt;0.5,MIN(F_LoanPayM,BJ87+BJ87*(D_iL)),0)</f>
        <v>0</v>
      </c>
      <c r="BX87" s="1" t="n">
        <f aca="false">IF(BK87&gt;0.5,MIN(F_LoanPayM,BK87+BK87*(D_iL)),0)</f>
        <v>0</v>
      </c>
      <c r="BY87" s="1" t="n">
        <f aca="false">IF(BL87&gt;0.5,MIN(F_LoanPayM,BL87+BL87*(D_iL)),0)</f>
        <v>0</v>
      </c>
      <c r="BZ87" s="1" t="n">
        <f aca="false">IF(BM87&gt;0.5,MIN(F_LoanPayM,BM87+BM87*(D_iL)),0)</f>
        <v>0</v>
      </c>
      <c r="CA87" s="1" t="n">
        <f aca="false">IF(BN87&gt;0.5,MIN(F_LoanPayM,BN87+BN87*(D_iL)),0)</f>
        <v>0</v>
      </c>
      <c r="CB87" s="1" t="n">
        <f aca="false">IF(BO87&gt;0.5,MIN(F_LoanPayM,BO87+BO87*(D_iL)),0)</f>
        <v>0</v>
      </c>
      <c r="CC87" s="1" t="n">
        <f aca="false">IF(BP87&gt;0.5,MIN(F_LoanPayM,BP87+BP87*(D_iL)),0)</f>
        <v>0</v>
      </c>
      <c r="CD87" s="1" t="n">
        <f aca="false">MAX(0,BQ87)</f>
        <v>0</v>
      </c>
      <c r="CE87" s="1" t="n">
        <f aca="false">SUM(BR87:CC87)</f>
        <v>0</v>
      </c>
      <c r="CF87" s="1" t="n">
        <f aca="false">IF(CF86&gt;1,DE86,CF86)</f>
        <v>0</v>
      </c>
      <c r="CG87" s="1" t="n">
        <f aca="false">IF(CF87&gt;0.5,CF87+CF87*(F_MR/12)-MIN(F_MortPayM,CF87+CF87*(F_MR/12)),CF87)</f>
        <v>0</v>
      </c>
      <c r="CH87" s="1" t="n">
        <f aca="false">IF(CG87&gt;0.5,CG87+CG87*(F_MR/12)-MIN(F_MortPayM,CG87+CG87*(F_MR/12)),CG87)</f>
        <v>0</v>
      </c>
      <c r="CI87" s="1" t="n">
        <f aca="false">IF(CH87&gt;0.5,CH87+CH87*(F_MR/12)-MIN(F_MortPayM,CH87+CH87*(F_MR/12)),CH87)</f>
        <v>0</v>
      </c>
      <c r="CJ87" s="1" t="n">
        <f aca="false">IF(CI87&gt;0.5,CI87+CI87*(F_MR/12)-MIN(F_MortPayM,CI87+CI87*(F_MR/12)),CI87)</f>
        <v>0</v>
      </c>
      <c r="CK87" s="1" t="n">
        <f aca="false">IF(CJ87&gt;0.5,CJ87+CJ87*(F_MR/12)-MIN(F_MortPayM,CJ87+CJ87*(F_MR/12)),CJ87)</f>
        <v>0</v>
      </c>
      <c r="CL87" s="1" t="n">
        <f aca="false">IF(CK87&gt;0.5,CK87+CK87*(F_MR/12)-MIN(F_MortPayM,CK87+CK87*(F_MR/12)),CK87)</f>
        <v>0</v>
      </c>
      <c r="CM87" s="1" t="n">
        <f aca="false">IF(CL87&gt;0.5,CL87+CL87*(F_MR/12)-MIN(F_MortPayM,CL87+CL87*(F_MR/12)),CL87)</f>
        <v>0</v>
      </c>
      <c r="CN87" s="1" t="n">
        <f aca="false">IF(CM87&gt;0.5,CM87+CM87*(F_MR/12)-MIN(F_MortPayM,CM87+CM87*(F_MR/12)),CM87)</f>
        <v>0</v>
      </c>
      <c r="CO87" s="1" t="n">
        <f aca="false">IF(CN87&gt;0.5,CN87+CN87*(F_MR/12)-MIN(F_MortPayM,CN87+CN87*(F_MR/12)),CN87)</f>
        <v>0</v>
      </c>
      <c r="CP87" s="1" t="n">
        <f aca="false">IF(CO87&gt;0.5,CO87+CO87*(F_MR/12)-MIN(F_MortPayM,CO87+CO87*(F_MR/12)),CO87)</f>
        <v>0</v>
      </c>
      <c r="CQ87" s="1" t="n">
        <f aca="false">IF(CP87&gt;0.5,CP87+CP87*(F_MR/12)-MIN(F_MortPayM,CP87+CP87*(F_MR/12)),CP87)</f>
        <v>0</v>
      </c>
      <c r="CR87" s="1" t="n">
        <f aca="false">IF(CQ87&gt;0.5,CQ87+CQ87*(F_MR/12)-MIN(F_MortPayM,CQ87+CQ87*(F_MR/12)),CQ87)</f>
        <v>0</v>
      </c>
      <c r="CS87" s="1" t="n">
        <f aca="false">IF(CF87&gt;0.5,MIN(F_MortPayM,CF87+CF87*(F_MR/12)),0)</f>
        <v>0</v>
      </c>
      <c r="CT87" s="1" t="n">
        <f aca="false">IF(CG87&gt;0.5,MIN(F_MortPayM,CG87+CG87*(F_MR/12)),0)</f>
        <v>0</v>
      </c>
      <c r="CU87" s="1" t="n">
        <f aca="false">IF(CH87&gt;0.5,MIN(F_MortPayM,CH87+CH87*(F_MR/12)),0)</f>
        <v>0</v>
      </c>
      <c r="CV87" s="1" t="n">
        <f aca="false">IF(CI87&gt;0.5,MIN(F_MortPayM,CI87+CI87*(F_MR/12)),0)</f>
        <v>0</v>
      </c>
      <c r="CW87" s="1" t="n">
        <f aca="false">IF(CJ87&gt;0.5,MIN(F_MortPayM,CJ87+CJ87*(F_MR/12)),0)</f>
        <v>0</v>
      </c>
      <c r="CX87" s="1" t="n">
        <f aca="false">IF(CK87&gt;0.5,MIN(F_MortPayM,CK87+CK87*(F_MR/12)),0)</f>
        <v>0</v>
      </c>
      <c r="CY87" s="1" t="n">
        <f aca="false">IF(CL87&gt;0.5,MIN(F_MortPayM,CL87+CL87*(F_MR/12)),0)</f>
        <v>0</v>
      </c>
      <c r="CZ87" s="1" t="n">
        <f aca="false">IF(CM87&gt;0.5,MIN(F_MortPayM,CM87+CM87*(F_MR/12)),0)</f>
        <v>0</v>
      </c>
      <c r="DA87" s="1" t="n">
        <f aca="false">IF(CN87&gt;0.5,MIN(F_MortPayM,CN87+CN87*(F_MR/12)),0)</f>
        <v>0</v>
      </c>
      <c r="DB87" s="1" t="n">
        <f aca="false">IF(CO87&gt;0.5,MIN(F_MortPayM,CO87+CO87*(F_MR/12)),0)</f>
        <v>0</v>
      </c>
      <c r="DC87" s="1" t="n">
        <f aca="false">IF(CP87&gt;0.5,MIN(F_MortPayM,CP87+CP87*(F_MR/12)),0)</f>
        <v>0</v>
      </c>
      <c r="DD87" s="1" t="n">
        <f aca="false">IF(CQ87&gt;0.5,MIN(F_MortPayM,CQ87+CQ87*(F_MR/12)),0)</f>
        <v>0</v>
      </c>
      <c r="DE87" s="1" t="n">
        <f aca="false">MAX(0,CR87)</f>
        <v>0</v>
      </c>
      <c r="DF87" s="1" t="n">
        <f aca="false">SUM(CS87:DD87)</f>
        <v>0</v>
      </c>
      <c r="DG87" s="1" t="n">
        <f aca="false">MAX(0,CF87)</f>
        <v>0</v>
      </c>
    </row>
    <row r="88" customFormat="false" ht="15" hidden="false" customHeight="false" outlineLevel="0" collapsed="false">
      <c r="B88" s="1" t="n">
        <v>80</v>
      </c>
      <c r="C88" s="1" t="n">
        <f aca="false">'Plan cashflow'!I88</f>
        <v>0</v>
      </c>
      <c r="D88" s="1" t="n">
        <f aca="false">IF(C88&gt;0.5,C88+C88*(F_MR/12)-MIN(F_MortPayM,C88+C88*(F_MR/12)),C88)</f>
        <v>0</v>
      </c>
      <c r="E88" s="1" t="n">
        <f aca="false">IF(D88&gt;0.5,D88+D88*(F_MR/12)-MIN(F_MortPayM,D88+D88*(F_MR/12)),D88)</f>
        <v>0</v>
      </c>
      <c r="F88" s="1" t="n">
        <f aca="false">IF(E88&gt;0.5,E88+E88*(F_MR/12)-MIN(F_MortPayM,E88+E88*(F_MR/12)),E88)</f>
        <v>0</v>
      </c>
      <c r="G88" s="1" t="n">
        <f aca="false">IF(F88&gt;0.5,F88+F88*(F_MR/12)-MIN(F_MortPayM,F88+F88*(F_MR/12)),F88)</f>
        <v>0</v>
      </c>
      <c r="H88" s="1" t="n">
        <f aca="false">IF(G88&gt;0.5,G88+G88*(F_MR/12)-MIN(F_MortPayM,G88+G88*(F_MR/12)),G88)</f>
        <v>0</v>
      </c>
      <c r="I88" s="1" t="n">
        <f aca="false">IF(H88&gt;0.5,H88+H88*(F_MR/12)-MIN(F_MortPayM,H88+H88*(F_MR/12)),H88)</f>
        <v>0</v>
      </c>
      <c r="J88" s="1" t="n">
        <f aca="false">IF(I88&gt;0.5,I88+I88*(F_MR/12)-MIN(F_MortPayM,I88+I88*(F_MR/12)),I88)</f>
        <v>0</v>
      </c>
      <c r="K88" s="1" t="n">
        <f aca="false">IF(J88&gt;0.5,J88+J88*(F_MR/12)-MIN(F_MortPayM,J88+J88*(F_MR/12)),J88)</f>
        <v>0</v>
      </c>
      <c r="L88" s="1" t="n">
        <f aca="false">IF(K88&gt;0.5,K88+K88*(F_MR/12)-MIN(F_MortPayM,K88+K88*(F_MR/12)),K88)</f>
        <v>0</v>
      </c>
      <c r="M88" s="1" t="n">
        <f aca="false">IF(L88&gt;0.5,L88+L88*(F_MR/12)-MIN(F_MortPayM,L88+L88*(F_MR/12)),L88)</f>
        <v>0</v>
      </c>
      <c r="N88" s="1" t="n">
        <f aca="false">IF(M88&gt;0.5,M88+M88*(F_MR/12)-MIN(F_MortPayM,M88+M88*(F_MR/12)),M88)</f>
        <v>0</v>
      </c>
      <c r="O88" s="1" t="n">
        <f aca="false">IF(N88&gt;0.5,N88+N88*(F_MR/12)-MIN(F_MortPayM,N88+N88*(F_MR/12)),N88)</f>
        <v>0</v>
      </c>
      <c r="P88" s="1" t="n">
        <f aca="false">IF(C88&gt;0.5,MIN(F_MortPayM,C88+C88*(F_MR/12)),0)</f>
        <v>0</v>
      </c>
      <c r="Q88" s="1" t="n">
        <f aca="false">IF(D88&gt;0.5,MIN(F_MortPayM,D88+D88*(F_MR/12)),0)</f>
        <v>0</v>
      </c>
      <c r="R88" s="1" t="n">
        <f aca="false">IF(E88&gt;0.5,MIN(F_MortPayM,E88+E88*(F_MR/12)),0)</f>
        <v>0</v>
      </c>
      <c r="S88" s="1" t="n">
        <f aca="false">IF(F88&gt;0.5,MIN(F_MortPayM,F88+F88*(F_MR/12)),0)</f>
        <v>0</v>
      </c>
      <c r="T88" s="1" t="n">
        <f aca="false">IF(G88&gt;0.5,MIN(F_MortPayM,G88+G88*(F_MR/12)),0)</f>
        <v>0</v>
      </c>
      <c r="U88" s="1" t="n">
        <f aca="false">IF(H88&gt;0.5,MIN(F_MortPayM,H88+H88*(F_MR/12)),0)</f>
        <v>0</v>
      </c>
      <c r="V88" s="1" t="n">
        <f aca="false">IF(I88&gt;0.5,MIN(F_MortPayM,I88+I88*(F_MR/12)),0)</f>
        <v>0</v>
      </c>
      <c r="W88" s="1" t="n">
        <f aca="false">IF(J88&gt;0.5,MIN(F_MortPayM,J88+J88*(F_MR/12)),0)</f>
        <v>0</v>
      </c>
      <c r="X88" s="1" t="n">
        <f aca="false">IF(K88&gt;0.5,MIN(F_MortPayM,K88+K88*(F_MR/12)),0)</f>
        <v>0</v>
      </c>
      <c r="Y88" s="1" t="n">
        <f aca="false">IF(L88&gt;0.5,MIN(F_MortPayM,L88+L88*(F_MR/12)),0)</f>
        <v>0</v>
      </c>
      <c r="Z88" s="1" t="n">
        <f aca="false">IF(M88&gt;0.5,MIN(F_MortPayM,M88+M88*(F_MR/12)),0)</f>
        <v>0</v>
      </c>
      <c r="AA88" s="1" t="n">
        <f aca="false">IF(N88&gt;0.5,MIN(F_MortPayM,N88+N88*(F_MR/12)),0)</f>
        <v>0</v>
      </c>
      <c r="AB88" s="1" t="n">
        <f aca="false">MAX(0,O88)</f>
        <v>0</v>
      </c>
      <c r="AC88" s="1" t="n">
        <f aca="false">SUM(P88:AA88)</f>
        <v>0</v>
      </c>
      <c r="AD88" s="1" t="n">
        <f aca="false">'Plan cashflow'!L88</f>
        <v>0</v>
      </c>
      <c r="AE88" s="1" t="n">
        <f aca="false">IF(AD88&gt;0.5,AD88+AD88*(D_iC)-MIN(F_CardPayM,AD88+AD88*(D_iC)),AD88)</f>
        <v>0</v>
      </c>
      <c r="AF88" s="1" t="n">
        <f aca="false">IF(AE88&gt;0.5,AE88+AE88*(D_iC)-MIN(F_CardPayM,AE88+AE88*(D_iC)),AE88)</f>
        <v>0</v>
      </c>
      <c r="AG88" s="1" t="n">
        <f aca="false">IF(AF88&gt;0.5,AF88+AF88*(D_iC)-MIN(F_CardPayM,AF88+AF88*(D_iC)),AF88)</f>
        <v>0</v>
      </c>
      <c r="AH88" s="1" t="n">
        <f aca="false">IF(AG88&gt;0.5,AG88+AG88*(D_iC)-MIN(F_CardPayM,AG88+AG88*(D_iC)),AG88)</f>
        <v>0</v>
      </c>
      <c r="AI88" s="1" t="n">
        <f aca="false">IF(AH88&gt;0.5,AH88+AH88*(D_iC)-MIN(F_CardPayM,AH88+AH88*(D_iC)),AH88)</f>
        <v>0</v>
      </c>
      <c r="AJ88" s="1" t="n">
        <f aca="false">IF(AI88&gt;0.5,AI88+AI88*(D_iC)-MIN(F_CardPayM,AI88+AI88*(D_iC)),AI88)</f>
        <v>0</v>
      </c>
      <c r="AK88" s="1" t="n">
        <f aca="false">IF(AJ88&gt;0.5,AJ88+AJ88*(D_iC)-MIN(F_CardPayM,AJ88+AJ88*(D_iC)),AJ88)</f>
        <v>0</v>
      </c>
      <c r="AL88" s="1" t="n">
        <f aca="false">IF(AK88&gt;0.5,AK88+AK88*(D_iC)-MIN(F_CardPayM,AK88+AK88*(D_iC)),AK88)</f>
        <v>0</v>
      </c>
      <c r="AM88" s="1" t="n">
        <f aca="false">IF(AL88&gt;0.5,AL88+AL88*(D_iC)-MIN(F_CardPayM,AL88+AL88*(D_iC)),AL88)</f>
        <v>0</v>
      </c>
      <c r="AN88" s="1" t="n">
        <f aca="false">IF(AM88&gt;0.5,AM88+AM88*(D_iC)-MIN(F_CardPayM,AM88+AM88*(D_iC)),AM88)</f>
        <v>0</v>
      </c>
      <c r="AO88" s="1" t="n">
        <f aca="false">IF(AN88&gt;0.5,AN88+AN88*(D_iC)-MIN(F_CardPayM,AN88+AN88*(D_iC)),AN88)</f>
        <v>0</v>
      </c>
      <c r="AP88" s="1" t="n">
        <f aca="false">IF(AO88&gt;0.5,AO88+AO88*(D_iC)-MIN(F_CardPayM,AO88+AO88*(D_iC)),AO88)</f>
        <v>0</v>
      </c>
      <c r="AQ88" s="1" t="n">
        <f aca="false">IF(AD88&gt;0.5,MIN(F_CardPayM,AD88+AD88*(D_iC)),0)</f>
        <v>0</v>
      </c>
      <c r="AR88" s="1" t="n">
        <f aca="false">IF(AE88&gt;0.5,MIN(F_CardPayM,AE88+AE88*(D_iC)),0)</f>
        <v>0</v>
      </c>
      <c r="AS88" s="1" t="n">
        <f aca="false">IF(AF88&gt;0.5,MIN(F_CardPayM,AF88+AF88*(D_iC)),0)</f>
        <v>0</v>
      </c>
      <c r="AT88" s="1" t="n">
        <f aca="false">IF(AG88&gt;0.5,MIN(F_CardPayM,AG88+AG88*(D_iC)),0)</f>
        <v>0</v>
      </c>
      <c r="AU88" s="1" t="n">
        <f aca="false">IF(AH88&gt;0.5,MIN(F_CardPayM,AH88+AH88*(D_iC)),0)</f>
        <v>0</v>
      </c>
      <c r="AV88" s="1" t="n">
        <f aca="false">IF(AI88&gt;0.5,MIN(F_CardPayM,AI88+AI88*(D_iC)),0)</f>
        <v>0</v>
      </c>
      <c r="AW88" s="1" t="n">
        <f aca="false">IF(AJ88&gt;0.5,MIN(F_CardPayM,AJ88+AJ88*(D_iC)),0)</f>
        <v>0</v>
      </c>
      <c r="AX88" s="1" t="n">
        <f aca="false">IF(AK88&gt;0.5,MIN(F_CardPayM,AK88+AK88*(D_iC)),0)</f>
        <v>0</v>
      </c>
      <c r="AY88" s="1" t="n">
        <f aca="false">IF(AL88&gt;0.5,MIN(F_CardPayM,AL88+AL88*(D_iC)),0)</f>
        <v>0</v>
      </c>
      <c r="AZ88" s="1" t="n">
        <f aca="false">IF(AM88&gt;0.5,MIN(F_CardPayM,AM88+AM88*(D_iC)),0)</f>
        <v>0</v>
      </c>
      <c r="BA88" s="1" t="n">
        <f aca="false">IF(AN88&gt;0.5,MIN(F_CardPayM,AN88+AN88*(D_iC)),0)</f>
        <v>0</v>
      </c>
      <c r="BB88" s="1" t="n">
        <f aca="false">IF(AO88&gt;0.5,MIN(F_CardPayM,AO88+AO88*(D_iC)),0)</f>
        <v>0</v>
      </c>
      <c r="BC88" s="1" t="n">
        <f aca="false">MAX(0,AP88)</f>
        <v>0</v>
      </c>
      <c r="BD88" s="1" t="n">
        <f aca="false">SUM(AQ88:BB88)</f>
        <v>0</v>
      </c>
      <c r="BE88" s="1" t="n">
        <f aca="false">'Plan cashflow'!O88</f>
        <v>0</v>
      </c>
      <c r="BF88" s="1" t="n">
        <f aca="false">IF(BE88&gt;0.5,BE88+BE88*(D_iL)-MIN(F_LoanPayM,BE88+BE88*(D_iL)),BE88)</f>
        <v>0</v>
      </c>
      <c r="BG88" s="1" t="n">
        <f aca="false">IF(BF88&gt;0.5,BF88+BF88*(D_iL)-MIN(F_LoanPayM,BF88+BF88*(D_iL)),BF88)</f>
        <v>0</v>
      </c>
      <c r="BH88" s="1" t="n">
        <f aca="false">IF(BG88&gt;0.5,BG88+BG88*(D_iL)-MIN(F_LoanPayM,BG88+BG88*(D_iL)),BG88)</f>
        <v>0</v>
      </c>
      <c r="BI88" s="1" t="n">
        <f aca="false">IF(BH88&gt;0.5,BH88+BH88*(D_iL)-MIN(F_LoanPayM,BH88+BH88*(D_iL)),BH88)</f>
        <v>0</v>
      </c>
      <c r="BJ88" s="1" t="n">
        <f aca="false">IF(BI88&gt;0.5,BI88+BI88*(D_iL)-MIN(F_LoanPayM,BI88+BI88*(D_iL)),BI88)</f>
        <v>0</v>
      </c>
      <c r="BK88" s="1" t="n">
        <f aca="false">IF(BJ88&gt;0.5,BJ88+BJ88*(D_iL)-MIN(F_LoanPayM,BJ88+BJ88*(D_iL)),BJ88)</f>
        <v>0</v>
      </c>
      <c r="BL88" s="1" t="n">
        <f aca="false">IF(BK88&gt;0.5,BK88+BK88*(D_iL)-MIN(F_LoanPayM,BK88+BK88*(D_iL)),BK88)</f>
        <v>0</v>
      </c>
      <c r="BM88" s="1" t="n">
        <f aca="false">IF(BL88&gt;0.5,BL88+BL88*(D_iL)-MIN(F_LoanPayM,BL88+BL88*(D_iL)),BL88)</f>
        <v>0</v>
      </c>
      <c r="BN88" s="1" t="n">
        <f aca="false">IF(BM88&gt;0.5,BM88+BM88*(D_iL)-MIN(F_LoanPayM,BM88+BM88*(D_iL)),BM88)</f>
        <v>0</v>
      </c>
      <c r="BO88" s="1" t="n">
        <f aca="false">IF(BN88&gt;0.5,BN88+BN88*(D_iL)-MIN(F_LoanPayM,BN88+BN88*(D_iL)),BN88)</f>
        <v>0</v>
      </c>
      <c r="BP88" s="1" t="n">
        <f aca="false">IF(BO88&gt;0.5,BO88+BO88*(D_iL)-MIN(F_LoanPayM,BO88+BO88*(D_iL)),BO88)</f>
        <v>0</v>
      </c>
      <c r="BQ88" s="1" t="n">
        <f aca="false">IF(BP88&gt;0.5,BP88+BP88*(D_iL)-MIN(F_LoanPayM,BP88+BP88*(D_iL)),BP88)</f>
        <v>0</v>
      </c>
      <c r="BR88" s="1" t="n">
        <f aca="false">IF(BE88&gt;0.5,MIN(F_LoanPayM,BE88+BE88*(D_iL)),0)</f>
        <v>0</v>
      </c>
      <c r="BS88" s="1" t="n">
        <f aca="false">IF(BF88&gt;0.5,MIN(F_LoanPayM,BF88+BF88*(D_iL)),0)</f>
        <v>0</v>
      </c>
      <c r="BT88" s="1" t="n">
        <f aca="false">IF(BG88&gt;0.5,MIN(F_LoanPayM,BG88+BG88*(D_iL)),0)</f>
        <v>0</v>
      </c>
      <c r="BU88" s="1" t="n">
        <f aca="false">IF(BH88&gt;0.5,MIN(F_LoanPayM,BH88+BH88*(D_iL)),0)</f>
        <v>0</v>
      </c>
      <c r="BV88" s="1" t="n">
        <f aca="false">IF(BI88&gt;0.5,MIN(F_LoanPayM,BI88+BI88*(D_iL)),0)</f>
        <v>0</v>
      </c>
      <c r="BW88" s="1" t="n">
        <f aca="false">IF(BJ88&gt;0.5,MIN(F_LoanPayM,BJ88+BJ88*(D_iL)),0)</f>
        <v>0</v>
      </c>
      <c r="BX88" s="1" t="n">
        <f aca="false">IF(BK88&gt;0.5,MIN(F_LoanPayM,BK88+BK88*(D_iL)),0)</f>
        <v>0</v>
      </c>
      <c r="BY88" s="1" t="n">
        <f aca="false">IF(BL88&gt;0.5,MIN(F_LoanPayM,BL88+BL88*(D_iL)),0)</f>
        <v>0</v>
      </c>
      <c r="BZ88" s="1" t="n">
        <f aca="false">IF(BM88&gt;0.5,MIN(F_LoanPayM,BM88+BM88*(D_iL)),0)</f>
        <v>0</v>
      </c>
      <c r="CA88" s="1" t="n">
        <f aca="false">IF(BN88&gt;0.5,MIN(F_LoanPayM,BN88+BN88*(D_iL)),0)</f>
        <v>0</v>
      </c>
      <c r="CB88" s="1" t="n">
        <f aca="false">IF(BO88&gt;0.5,MIN(F_LoanPayM,BO88+BO88*(D_iL)),0)</f>
        <v>0</v>
      </c>
      <c r="CC88" s="1" t="n">
        <f aca="false">IF(BP88&gt;0.5,MIN(F_LoanPayM,BP88+BP88*(D_iL)),0)</f>
        <v>0</v>
      </c>
      <c r="CD88" s="1" t="n">
        <f aca="false">MAX(0,BQ88)</f>
        <v>0</v>
      </c>
      <c r="CE88" s="1" t="n">
        <f aca="false">SUM(BR88:CC88)</f>
        <v>0</v>
      </c>
      <c r="CF88" s="1" t="n">
        <f aca="false">IF(CF87&gt;1,DE87,CF87)</f>
        <v>0</v>
      </c>
      <c r="CG88" s="1" t="n">
        <f aca="false">IF(CF88&gt;0.5,CF88+CF88*(F_MR/12)-MIN(F_MortPayM,CF88+CF88*(F_MR/12)),CF88)</f>
        <v>0</v>
      </c>
      <c r="CH88" s="1" t="n">
        <f aca="false">IF(CG88&gt;0.5,CG88+CG88*(F_MR/12)-MIN(F_MortPayM,CG88+CG88*(F_MR/12)),CG88)</f>
        <v>0</v>
      </c>
      <c r="CI88" s="1" t="n">
        <f aca="false">IF(CH88&gt;0.5,CH88+CH88*(F_MR/12)-MIN(F_MortPayM,CH88+CH88*(F_MR/12)),CH88)</f>
        <v>0</v>
      </c>
      <c r="CJ88" s="1" t="n">
        <f aca="false">IF(CI88&gt;0.5,CI88+CI88*(F_MR/12)-MIN(F_MortPayM,CI88+CI88*(F_MR/12)),CI88)</f>
        <v>0</v>
      </c>
      <c r="CK88" s="1" t="n">
        <f aca="false">IF(CJ88&gt;0.5,CJ88+CJ88*(F_MR/12)-MIN(F_MortPayM,CJ88+CJ88*(F_MR/12)),CJ88)</f>
        <v>0</v>
      </c>
      <c r="CL88" s="1" t="n">
        <f aca="false">IF(CK88&gt;0.5,CK88+CK88*(F_MR/12)-MIN(F_MortPayM,CK88+CK88*(F_MR/12)),CK88)</f>
        <v>0</v>
      </c>
      <c r="CM88" s="1" t="n">
        <f aca="false">IF(CL88&gt;0.5,CL88+CL88*(F_MR/12)-MIN(F_MortPayM,CL88+CL88*(F_MR/12)),CL88)</f>
        <v>0</v>
      </c>
      <c r="CN88" s="1" t="n">
        <f aca="false">IF(CM88&gt;0.5,CM88+CM88*(F_MR/12)-MIN(F_MortPayM,CM88+CM88*(F_MR/12)),CM88)</f>
        <v>0</v>
      </c>
      <c r="CO88" s="1" t="n">
        <f aca="false">IF(CN88&gt;0.5,CN88+CN88*(F_MR/12)-MIN(F_MortPayM,CN88+CN88*(F_MR/12)),CN88)</f>
        <v>0</v>
      </c>
      <c r="CP88" s="1" t="n">
        <f aca="false">IF(CO88&gt;0.5,CO88+CO88*(F_MR/12)-MIN(F_MortPayM,CO88+CO88*(F_MR/12)),CO88)</f>
        <v>0</v>
      </c>
      <c r="CQ88" s="1" t="n">
        <f aca="false">IF(CP88&gt;0.5,CP88+CP88*(F_MR/12)-MIN(F_MortPayM,CP88+CP88*(F_MR/12)),CP88)</f>
        <v>0</v>
      </c>
      <c r="CR88" s="1" t="n">
        <f aca="false">IF(CQ88&gt;0.5,CQ88+CQ88*(F_MR/12)-MIN(F_MortPayM,CQ88+CQ88*(F_MR/12)),CQ88)</f>
        <v>0</v>
      </c>
      <c r="CS88" s="1" t="n">
        <f aca="false">IF(CF88&gt;0.5,MIN(F_MortPayM,CF88+CF88*(F_MR/12)),0)</f>
        <v>0</v>
      </c>
      <c r="CT88" s="1" t="n">
        <f aca="false">IF(CG88&gt;0.5,MIN(F_MortPayM,CG88+CG88*(F_MR/12)),0)</f>
        <v>0</v>
      </c>
      <c r="CU88" s="1" t="n">
        <f aca="false">IF(CH88&gt;0.5,MIN(F_MortPayM,CH88+CH88*(F_MR/12)),0)</f>
        <v>0</v>
      </c>
      <c r="CV88" s="1" t="n">
        <f aca="false">IF(CI88&gt;0.5,MIN(F_MortPayM,CI88+CI88*(F_MR/12)),0)</f>
        <v>0</v>
      </c>
      <c r="CW88" s="1" t="n">
        <f aca="false">IF(CJ88&gt;0.5,MIN(F_MortPayM,CJ88+CJ88*(F_MR/12)),0)</f>
        <v>0</v>
      </c>
      <c r="CX88" s="1" t="n">
        <f aca="false">IF(CK88&gt;0.5,MIN(F_MortPayM,CK88+CK88*(F_MR/12)),0)</f>
        <v>0</v>
      </c>
      <c r="CY88" s="1" t="n">
        <f aca="false">IF(CL88&gt;0.5,MIN(F_MortPayM,CL88+CL88*(F_MR/12)),0)</f>
        <v>0</v>
      </c>
      <c r="CZ88" s="1" t="n">
        <f aca="false">IF(CM88&gt;0.5,MIN(F_MortPayM,CM88+CM88*(F_MR/12)),0)</f>
        <v>0</v>
      </c>
      <c r="DA88" s="1" t="n">
        <f aca="false">IF(CN88&gt;0.5,MIN(F_MortPayM,CN88+CN88*(F_MR/12)),0)</f>
        <v>0</v>
      </c>
      <c r="DB88" s="1" t="n">
        <f aca="false">IF(CO88&gt;0.5,MIN(F_MortPayM,CO88+CO88*(F_MR/12)),0)</f>
        <v>0</v>
      </c>
      <c r="DC88" s="1" t="n">
        <f aca="false">IF(CP88&gt;0.5,MIN(F_MortPayM,CP88+CP88*(F_MR/12)),0)</f>
        <v>0</v>
      </c>
      <c r="DD88" s="1" t="n">
        <f aca="false">IF(CQ88&gt;0.5,MIN(F_MortPayM,CQ88+CQ88*(F_MR/12)),0)</f>
        <v>0</v>
      </c>
      <c r="DE88" s="1" t="n">
        <f aca="false">MAX(0,CR88)</f>
        <v>0</v>
      </c>
      <c r="DF88" s="1" t="n">
        <f aca="false">SUM(CS88:DD88)</f>
        <v>0</v>
      </c>
      <c r="DG88" s="1" t="n">
        <f aca="false">MAX(0,CF88)</f>
        <v>0</v>
      </c>
    </row>
    <row r="89" customFormat="false" ht="15" hidden="false" customHeight="false" outlineLevel="0" collapsed="false">
      <c r="B89" s="1" t="n">
        <v>81</v>
      </c>
      <c r="C89" s="1" t="n">
        <f aca="false">'Plan cashflow'!I89</f>
        <v>0</v>
      </c>
      <c r="D89" s="1" t="n">
        <f aca="false">IF(C89&gt;0.5,C89+C89*(F_MR/12)-MIN(F_MortPayM,C89+C89*(F_MR/12)),C89)</f>
        <v>0</v>
      </c>
      <c r="E89" s="1" t="n">
        <f aca="false">IF(D89&gt;0.5,D89+D89*(F_MR/12)-MIN(F_MortPayM,D89+D89*(F_MR/12)),D89)</f>
        <v>0</v>
      </c>
      <c r="F89" s="1" t="n">
        <f aca="false">IF(E89&gt;0.5,E89+E89*(F_MR/12)-MIN(F_MortPayM,E89+E89*(F_MR/12)),E89)</f>
        <v>0</v>
      </c>
      <c r="G89" s="1" t="n">
        <f aca="false">IF(F89&gt;0.5,F89+F89*(F_MR/12)-MIN(F_MortPayM,F89+F89*(F_MR/12)),F89)</f>
        <v>0</v>
      </c>
      <c r="H89" s="1" t="n">
        <f aca="false">IF(G89&gt;0.5,G89+G89*(F_MR/12)-MIN(F_MortPayM,G89+G89*(F_MR/12)),G89)</f>
        <v>0</v>
      </c>
      <c r="I89" s="1" t="n">
        <f aca="false">IF(H89&gt;0.5,H89+H89*(F_MR/12)-MIN(F_MortPayM,H89+H89*(F_MR/12)),H89)</f>
        <v>0</v>
      </c>
      <c r="J89" s="1" t="n">
        <f aca="false">IF(I89&gt;0.5,I89+I89*(F_MR/12)-MIN(F_MortPayM,I89+I89*(F_MR/12)),I89)</f>
        <v>0</v>
      </c>
      <c r="K89" s="1" t="n">
        <f aca="false">IF(J89&gt;0.5,J89+J89*(F_MR/12)-MIN(F_MortPayM,J89+J89*(F_MR/12)),J89)</f>
        <v>0</v>
      </c>
      <c r="L89" s="1" t="n">
        <f aca="false">IF(K89&gt;0.5,K89+K89*(F_MR/12)-MIN(F_MortPayM,K89+K89*(F_MR/12)),K89)</f>
        <v>0</v>
      </c>
      <c r="M89" s="1" t="n">
        <f aca="false">IF(L89&gt;0.5,L89+L89*(F_MR/12)-MIN(F_MortPayM,L89+L89*(F_MR/12)),L89)</f>
        <v>0</v>
      </c>
      <c r="N89" s="1" t="n">
        <f aca="false">IF(M89&gt;0.5,M89+M89*(F_MR/12)-MIN(F_MortPayM,M89+M89*(F_MR/12)),M89)</f>
        <v>0</v>
      </c>
      <c r="O89" s="1" t="n">
        <f aca="false">IF(N89&gt;0.5,N89+N89*(F_MR/12)-MIN(F_MortPayM,N89+N89*(F_MR/12)),N89)</f>
        <v>0</v>
      </c>
      <c r="P89" s="1" t="n">
        <f aca="false">IF(C89&gt;0.5,MIN(F_MortPayM,C89+C89*(F_MR/12)),0)</f>
        <v>0</v>
      </c>
      <c r="Q89" s="1" t="n">
        <f aca="false">IF(D89&gt;0.5,MIN(F_MortPayM,D89+D89*(F_MR/12)),0)</f>
        <v>0</v>
      </c>
      <c r="R89" s="1" t="n">
        <f aca="false">IF(E89&gt;0.5,MIN(F_MortPayM,E89+E89*(F_MR/12)),0)</f>
        <v>0</v>
      </c>
      <c r="S89" s="1" t="n">
        <f aca="false">IF(F89&gt;0.5,MIN(F_MortPayM,F89+F89*(F_MR/12)),0)</f>
        <v>0</v>
      </c>
      <c r="T89" s="1" t="n">
        <f aca="false">IF(G89&gt;0.5,MIN(F_MortPayM,G89+G89*(F_MR/12)),0)</f>
        <v>0</v>
      </c>
      <c r="U89" s="1" t="n">
        <f aca="false">IF(H89&gt;0.5,MIN(F_MortPayM,H89+H89*(F_MR/12)),0)</f>
        <v>0</v>
      </c>
      <c r="V89" s="1" t="n">
        <f aca="false">IF(I89&gt;0.5,MIN(F_MortPayM,I89+I89*(F_MR/12)),0)</f>
        <v>0</v>
      </c>
      <c r="W89" s="1" t="n">
        <f aca="false">IF(J89&gt;0.5,MIN(F_MortPayM,J89+J89*(F_MR/12)),0)</f>
        <v>0</v>
      </c>
      <c r="X89" s="1" t="n">
        <f aca="false">IF(K89&gt;0.5,MIN(F_MortPayM,K89+K89*(F_MR/12)),0)</f>
        <v>0</v>
      </c>
      <c r="Y89" s="1" t="n">
        <f aca="false">IF(L89&gt;0.5,MIN(F_MortPayM,L89+L89*(F_MR/12)),0)</f>
        <v>0</v>
      </c>
      <c r="Z89" s="1" t="n">
        <f aca="false">IF(M89&gt;0.5,MIN(F_MortPayM,M89+M89*(F_MR/12)),0)</f>
        <v>0</v>
      </c>
      <c r="AA89" s="1" t="n">
        <f aca="false">IF(N89&gt;0.5,MIN(F_MortPayM,N89+N89*(F_MR/12)),0)</f>
        <v>0</v>
      </c>
      <c r="AB89" s="1" t="n">
        <f aca="false">MAX(0,O89)</f>
        <v>0</v>
      </c>
      <c r="AC89" s="1" t="n">
        <f aca="false">SUM(P89:AA89)</f>
        <v>0</v>
      </c>
      <c r="AD89" s="1" t="n">
        <f aca="false">'Plan cashflow'!L89</f>
        <v>0</v>
      </c>
      <c r="AE89" s="1" t="n">
        <f aca="false">IF(AD89&gt;0.5,AD89+AD89*(D_iC)-MIN(F_CardPayM,AD89+AD89*(D_iC)),AD89)</f>
        <v>0</v>
      </c>
      <c r="AF89" s="1" t="n">
        <f aca="false">IF(AE89&gt;0.5,AE89+AE89*(D_iC)-MIN(F_CardPayM,AE89+AE89*(D_iC)),AE89)</f>
        <v>0</v>
      </c>
      <c r="AG89" s="1" t="n">
        <f aca="false">IF(AF89&gt;0.5,AF89+AF89*(D_iC)-MIN(F_CardPayM,AF89+AF89*(D_iC)),AF89)</f>
        <v>0</v>
      </c>
      <c r="AH89" s="1" t="n">
        <f aca="false">IF(AG89&gt;0.5,AG89+AG89*(D_iC)-MIN(F_CardPayM,AG89+AG89*(D_iC)),AG89)</f>
        <v>0</v>
      </c>
      <c r="AI89" s="1" t="n">
        <f aca="false">IF(AH89&gt;0.5,AH89+AH89*(D_iC)-MIN(F_CardPayM,AH89+AH89*(D_iC)),AH89)</f>
        <v>0</v>
      </c>
      <c r="AJ89" s="1" t="n">
        <f aca="false">IF(AI89&gt;0.5,AI89+AI89*(D_iC)-MIN(F_CardPayM,AI89+AI89*(D_iC)),AI89)</f>
        <v>0</v>
      </c>
      <c r="AK89" s="1" t="n">
        <f aca="false">IF(AJ89&gt;0.5,AJ89+AJ89*(D_iC)-MIN(F_CardPayM,AJ89+AJ89*(D_iC)),AJ89)</f>
        <v>0</v>
      </c>
      <c r="AL89" s="1" t="n">
        <f aca="false">IF(AK89&gt;0.5,AK89+AK89*(D_iC)-MIN(F_CardPayM,AK89+AK89*(D_iC)),AK89)</f>
        <v>0</v>
      </c>
      <c r="AM89" s="1" t="n">
        <f aca="false">IF(AL89&gt;0.5,AL89+AL89*(D_iC)-MIN(F_CardPayM,AL89+AL89*(D_iC)),AL89)</f>
        <v>0</v>
      </c>
      <c r="AN89" s="1" t="n">
        <f aca="false">IF(AM89&gt;0.5,AM89+AM89*(D_iC)-MIN(F_CardPayM,AM89+AM89*(D_iC)),AM89)</f>
        <v>0</v>
      </c>
      <c r="AO89" s="1" t="n">
        <f aca="false">IF(AN89&gt;0.5,AN89+AN89*(D_iC)-MIN(F_CardPayM,AN89+AN89*(D_iC)),AN89)</f>
        <v>0</v>
      </c>
      <c r="AP89" s="1" t="n">
        <f aca="false">IF(AO89&gt;0.5,AO89+AO89*(D_iC)-MIN(F_CardPayM,AO89+AO89*(D_iC)),AO89)</f>
        <v>0</v>
      </c>
      <c r="AQ89" s="1" t="n">
        <f aca="false">IF(AD89&gt;0.5,MIN(F_CardPayM,AD89+AD89*(D_iC)),0)</f>
        <v>0</v>
      </c>
      <c r="AR89" s="1" t="n">
        <f aca="false">IF(AE89&gt;0.5,MIN(F_CardPayM,AE89+AE89*(D_iC)),0)</f>
        <v>0</v>
      </c>
      <c r="AS89" s="1" t="n">
        <f aca="false">IF(AF89&gt;0.5,MIN(F_CardPayM,AF89+AF89*(D_iC)),0)</f>
        <v>0</v>
      </c>
      <c r="AT89" s="1" t="n">
        <f aca="false">IF(AG89&gt;0.5,MIN(F_CardPayM,AG89+AG89*(D_iC)),0)</f>
        <v>0</v>
      </c>
      <c r="AU89" s="1" t="n">
        <f aca="false">IF(AH89&gt;0.5,MIN(F_CardPayM,AH89+AH89*(D_iC)),0)</f>
        <v>0</v>
      </c>
      <c r="AV89" s="1" t="n">
        <f aca="false">IF(AI89&gt;0.5,MIN(F_CardPayM,AI89+AI89*(D_iC)),0)</f>
        <v>0</v>
      </c>
      <c r="AW89" s="1" t="n">
        <f aca="false">IF(AJ89&gt;0.5,MIN(F_CardPayM,AJ89+AJ89*(D_iC)),0)</f>
        <v>0</v>
      </c>
      <c r="AX89" s="1" t="n">
        <f aca="false">IF(AK89&gt;0.5,MIN(F_CardPayM,AK89+AK89*(D_iC)),0)</f>
        <v>0</v>
      </c>
      <c r="AY89" s="1" t="n">
        <f aca="false">IF(AL89&gt;0.5,MIN(F_CardPayM,AL89+AL89*(D_iC)),0)</f>
        <v>0</v>
      </c>
      <c r="AZ89" s="1" t="n">
        <f aca="false">IF(AM89&gt;0.5,MIN(F_CardPayM,AM89+AM89*(D_iC)),0)</f>
        <v>0</v>
      </c>
      <c r="BA89" s="1" t="n">
        <f aca="false">IF(AN89&gt;0.5,MIN(F_CardPayM,AN89+AN89*(D_iC)),0)</f>
        <v>0</v>
      </c>
      <c r="BB89" s="1" t="n">
        <f aca="false">IF(AO89&gt;0.5,MIN(F_CardPayM,AO89+AO89*(D_iC)),0)</f>
        <v>0</v>
      </c>
      <c r="BC89" s="1" t="n">
        <f aca="false">MAX(0,AP89)</f>
        <v>0</v>
      </c>
      <c r="BD89" s="1" t="n">
        <f aca="false">SUM(AQ89:BB89)</f>
        <v>0</v>
      </c>
      <c r="BE89" s="1" t="n">
        <f aca="false">'Plan cashflow'!O89</f>
        <v>0</v>
      </c>
      <c r="BF89" s="1" t="n">
        <f aca="false">IF(BE89&gt;0.5,BE89+BE89*(D_iL)-MIN(F_LoanPayM,BE89+BE89*(D_iL)),BE89)</f>
        <v>0</v>
      </c>
      <c r="BG89" s="1" t="n">
        <f aca="false">IF(BF89&gt;0.5,BF89+BF89*(D_iL)-MIN(F_LoanPayM,BF89+BF89*(D_iL)),BF89)</f>
        <v>0</v>
      </c>
      <c r="BH89" s="1" t="n">
        <f aca="false">IF(BG89&gt;0.5,BG89+BG89*(D_iL)-MIN(F_LoanPayM,BG89+BG89*(D_iL)),BG89)</f>
        <v>0</v>
      </c>
      <c r="BI89" s="1" t="n">
        <f aca="false">IF(BH89&gt;0.5,BH89+BH89*(D_iL)-MIN(F_LoanPayM,BH89+BH89*(D_iL)),BH89)</f>
        <v>0</v>
      </c>
      <c r="BJ89" s="1" t="n">
        <f aca="false">IF(BI89&gt;0.5,BI89+BI89*(D_iL)-MIN(F_LoanPayM,BI89+BI89*(D_iL)),BI89)</f>
        <v>0</v>
      </c>
      <c r="BK89" s="1" t="n">
        <f aca="false">IF(BJ89&gt;0.5,BJ89+BJ89*(D_iL)-MIN(F_LoanPayM,BJ89+BJ89*(D_iL)),BJ89)</f>
        <v>0</v>
      </c>
      <c r="BL89" s="1" t="n">
        <f aca="false">IF(BK89&gt;0.5,BK89+BK89*(D_iL)-MIN(F_LoanPayM,BK89+BK89*(D_iL)),BK89)</f>
        <v>0</v>
      </c>
      <c r="BM89" s="1" t="n">
        <f aca="false">IF(BL89&gt;0.5,BL89+BL89*(D_iL)-MIN(F_LoanPayM,BL89+BL89*(D_iL)),BL89)</f>
        <v>0</v>
      </c>
      <c r="BN89" s="1" t="n">
        <f aca="false">IF(BM89&gt;0.5,BM89+BM89*(D_iL)-MIN(F_LoanPayM,BM89+BM89*(D_iL)),BM89)</f>
        <v>0</v>
      </c>
      <c r="BO89" s="1" t="n">
        <f aca="false">IF(BN89&gt;0.5,BN89+BN89*(D_iL)-MIN(F_LoanPayM,BN89+BN89*(D_iL)),BN89)</f>
        <v>0</v>
      </c>
      <c r="BP89" s="1" t="n">
        <f aca="false">IF(BO89&gt;0.5,BO89+BO89*(D_iL)-MIN(F_LoanPayM,BO89+BO89*(D_iL)),BO89)</f>
        <v>0</v>
      </c>
      <c r="BQ89" s="1" t="n">
        <f aca="false">IF(BP89&gt;0.5,BP89+BP89*(D_iL)-MIN(F_LoanPayM,BP89+BP89*(D_iL)),BP89)</f>
        <v>0</v>
      </c>
      <c r="BR89" s="1" t="n">
        <f aca="false">IF(BE89&gt;0.5,MIN(F_LoanPayM,BE89+BE89*(D_iL)),0)</f>
        <v>0</v>
      </c>
      <c r="BS89" s="1" t="n">
        <f aca="false">IF(BF89&gt;0.5,MIN(F_LoanPayM,BF89+BF89*(D_iL)),0)</f>
        <v>0</v>
      </c>
      <c r="BT89" s="1" t="n">
        <f aca="false">IF(BG89&gt;0.5,MIN(F_LoanPayM,BG89+BG89*(D_iL)),0)</f>
        <v>0</v>
      </c>
      <c r="BU89" s="1" t="n">
        <f aca="false">IF(BH89&gt;0.5,MIN(F_LoanPayM,BH89+BH89*(D_iL)),0)</f>
        <v>0</v>
      </c>
      <c r="BV89" s="1" t="n">
        <f aca="false">IF(BI89&gt;0.5,MIN(F_LoanPayM,BI89+BI89*(D_iL)),0)</f>
        <v>0</v>
      </c>
      <c r="BW89" s="1" t="n">
        <f aca="false">IF(BJ89&gt;0.5,MIN(F_LoanPayM,BJ89+BJ89*(D_iL)),0)</f>
        <v>0</v>
      </c>
      <c r="BX89" s="1" t="n">
        <f aca="false">IF(BK89&gt;0.5,MIN(F_LoanPayM,BK89+BK89*(D_iL)),0)</f>
        <v>0</v>
      </c>
      <c r="BY89" s="1" t="n">
        <f aca="false">IF(BL89&gt;0.5,MIN(F_LoanPayM,BL89+BL89*(D_iL)),0)</f>
        <v>0</v>
      </c>
      <c r="BZ89" s="1" t="n">
        <f aca="false">IF(BM89&gt;0.5,MIN(F_LoanPayM,BM89+BM89*(D_iL)),0)</f>
        <v>0</v>
      </c>
      <c r="CA89" s="1" t="n">
        <f aca="false">IF(BN89&gt;0.5,MIN(F_LoanPayM,BN89+BN89*(D_iL)),0)</f>
        <v>0</v>
      </c>
      <c r="CB89" s="1" t="n">
        <f aca="false">IF(BO89&gt;0.5,MIN(F_LoanPayM,BO89+BO89*(D_iL)),0)</f>
        <v>0</v>
      </c>
      <c r="CC89" s="1" t="n">
        <f aca="false">IF(BP89&gt;0.5,MIN(F_LoanPayM,BP89+BP89*(D_iL)),0)</f>
        <v>0</v>
      </c>
      <c r="CD89" s="1" t="n">
        <f aca="false">MAX(0,BQ89)</f>
        <v>0</v>
      </c>
      <c r="CE89" s="1" t="n">
        <f aca="false">SUM(BR89:CC89)</f>
        <v>0</v>
      </c>
      <c r="CF89" s="1" t="n">
        <f aca="false">IF(CF88&gt;1,DE88,CF88)</f>
        <v>0</v>
      </c>
      <c r="CG89" s="1" t="n">
        <f aca="false">IF(CF89&gt;0.5,CF89+CF89*(F_MR/12)-MIN(F_MortPayM,CF89+CF89*(F_MR/12)),CF89)</f>
        <v>0</v>
      </c>
      <c r="CH89" s="1" t="n">
        <f aca="false">IF(CG89&gt;0.5,CG89+CG89*(F_MR/12)-MIN(F_MortPayM,CG89+CG89*(F_MR/12)),CG89)</f>
        <v>0</v>
      </c>
      <c r="CI89" s="1" t="n">
        <f aca="false">IF(CH89&gt;0.5,CH89+CH89*(F_MR/12)-MIN(F_MortPayM,CH89+CH89*(F_MR/12)),CH89)</f>
        <v>0</v>
      </c>
      <c r="CJ89" s="1" t="n">
        <f aca="false">IF(CI89&gt;0.5,CI89+CI89*(F_MR/12)-MIN(F_MortPayM,CI89+CI89*(F_MR/12)),CI89)</f>
        <v>0</v>
      </c>
      <c r="CK89" s="1" t="n">
        <f aca="false">IF(CJ89&gt;0.5,CJ89+CJ89*(F_MR/12)-MIN(F_MortPayM,CJ89+CJ89*(F_MR/12)),CJ89)</f>
        <v>0</v>
      </c>
      <c r="CL89" s="1" t="n">
        <f aca="false">IF(CK89&gt;0.5,CK89+CK89*(F_MR/12)-MIN(F_MortPayM,CK89+CK89*(F_MR/12)),CK89)</f>
        <v>0</v>
      </c>
      <c r="CM89" s="1" t="n">
        <f aca="false">IF(CL89&gt;0.5,CL89+CL89*(F_MR/12)-MIN(F_MortPayM,CL89+CL89*(F_MR/12)),CL89)</f>
        <v>0</v>
      </c>
      <c r="CN89" s="1" t="n">
        <f aca="false">IF(CM89&gt;0.5,CM89+CM89*(F_MR/12)-MIN(F_MortPayM,CM89+CM89*(F_MR/12)),CM89)</f>
        <v>0</v>
      </c>
      <c r="CO89" s="1" t="n">
        <f aca="false">IF(CN89&gt;0.5,CN89+CN89*(F_MR/12)-MIN(F_MortPayM,CN89+CN89*(F_MR/12)),CN89)</f>
        <v>0</v>
      </c>
      <c r="CP89" s="1" t="n">
        <f aca="false">IF(CO89&gt;0.5,CO89+CO89*(F_MR/12)-MIN(F_MortPayM,CO89+CO89*(F_MR/12)),CO89)</f>
        <v>0</v>
      </c>
      <c r="CQ89" s="1" t="n">
        <f aca="false">IF(CP89&gt;0.5,CP89+CP89*(F_MR/12)-MIN(F_MortPayM,CP89+CP89*(F_MR/12)),CP89)</f>
        <v>0</v>
      </c>
      <c r="CR89" s="1" t="n">
        <f aca="false">IF(CQ89&gt;0.5,CQ89+CQ89*(F_MR/12)-MIN(F_MortPayM,CQ89+CQ89*(F_MR/12)),CQ89)</f>
        <v>0</v>
      </c>
      <c r="CS89" s="1" t="n">
        <f aca="false">IF(CF89&gt;0.5,MIN(F_MortPayM,CF89+CF89*(F_MR/12)),0)</f>
        <v>0</v>
      </c>
      <c r="CT89" s="1" t="n">
        <f aca="false">IF(CG89&gt;0.5,MIN(F_MortPayM,CG89+CG89*(F_MR/12)),0)</f>
        <v>0</v>
      </c>
      <c r="CU89" s="1" t="n">
        <f aca="false">IF(CH89&gt;0.5,MIN(F_MortPayM,CH89+CH89*(F_MR/12)),0)</f>
        <v>0</v>
      </c>
      <c r="CV89" s="1" t="n">
        <f aca="false">IF(CI89&gt;0.5,MIN(F_MortPayM,CI89+CI89*(F_MR/12)),0)</f>
        <v>0</v>
      </c>
      <c r="CW89" s="1" t="n">
        <f aca="false">IF(CJ89&gt;0.5,MIN(F_MortPayM,CJ89+CJ89*(F_MR/12)),0)</f>
        <v>0</v>
      </c>
      <c r="CX89" s="1" t="n">
        <f aca="false">IF(CK89&gt;0.5,MIN(F_MortPayM,CK89+CK89*(F_MR/12)),0)</f>
        <v>0</v>
      </c>
      <c r="CY89" s="1" t="n">
        <f aca="false">IF(CL89&gt;0.5,MIN(F_MortPayM,CL89+CL89*(F_MR/12)),0)</f>
        <v>0</v>
      </c>
      <c r="CZ89" s="1" t="n">
        <f aca="false">IF(CM89&gt;0.5,MIN(F_MortPayM,CM89+CM89*(F_MR/12)),0)</f>
        <v>0</v>
      </c>
      <c r="DA89" s="1" t="n">
        <f aca="false">IF(CN89&gt;0.5,MIN(F_MortPayM,CN89+CN89*(F_MR/12)),0)</f>
        <v>0</v>
      </c>
      <c r="DB89" s="1" t="n">
        <f aca="false">IF(CO89&gt;0.5,MIN(F_MortPayM,CO89+CO89*(F_MR/12)),0)</f>
        <v>0</v>
      </c>
      <c r="DC89" s="1" t="n">
        <f aca="false">IF(CP89&gt;0.5,MIN(F_MortPayM,CP89+CP89*(F_MR/12)),0)</f>
        <v>0</v>
      </c>
      <c r="DD89" s="1" t="n">
        <f aca="false">IF(CQ89&gt;0.5,MIN(F_MortPayM,CQ89+CQ89*(F_MR/12)),0)</f>
        <v>0</v>
      </c>
      <c r="DE89" s="1" t="n">
        <f aca="false">MAX(0,CR89)</f>
        <v>0</v>
      </c>
      <c r="DF89" s="1" t="n">
        <f aca="false">SUM(CS89:DD89)</f>
        <v>0</v>
      </c>
      <c r="DG89" s="1" t="n">
        <f aca="false">MAX(0,CF89)</f>
        <v>0</v>
      </c>
    </row>
    <row r="90" customFormat="false" ht="15" hidden="false" customHeight="false" outlineLevel="0" collapsed="false">
      <c r="B90" s="1" t="n">
        <v>82</v>
      </c>
      <c r="C90" s="1" t="n">
        <f aca="false">'Plan cashflow'!I90</f>
        <v>0</v>
      </c>
      <c r="D90" s="1" t="n">
        <f aca="false">IF(C90&gt;0.5,C90+C90*(F_MR/12)-MIN(F_MortPayM,C90+C90*(F_MR/12)),C90)</f>
        <v>0</v>
      </c>
      <c r="E90" s="1" t="n">
        <f aca="false">IF(D90&gt;0.5,D90+D90*(F_MR/12)-MIN(F_MortPayM,D90+D90*(F_MR/12)),D90)</f>
        <v>0</v>
      </c>
      <c r="F90" s="1" t="n">
        <f aca="false">IF(E90&gt;0.5,E90+E90*(F_MR/12)-MIN(F_MortPayM,E90+E90*(F_MR/12)),E90)</f>
        <v>0</v>
      </c>
      <c r="G90" s="1" t="n">
        <f aca="false">IF(F90&gt;0.5,F90+F90*(F_MR/12)-MIN(F_MortPayM,F90+F90*(F_MR/12)),F90)</f>
        <v>0</v>
      </c>
      <c r="H90" s="1" t="n">
        <f aca="false">IF(G90&gt;0.5,G90+G90*(F_MR/12)-MIN(F_MortPayM,G90+G90*(F_MR/12)),G90)</f>
        <v>0</v>
      </c>
      <c r="I90" s="1" t="n">
        <f aca="false">IF(H90&gt;0.5,H90+H90*(F_MR/12)-MIN(F_MortPayM,H90+H90*(F_MR/12)),H90)</f>
        <v>0</v>
      </c>
      <c r="J90" s="1" t="n">
        <f aca="false">IF(I90&gt;0.5,I90+I90*(F_MR/12)-MIN(F_MortPayM,I90+I90*(F_MR/12)),I90)</f>
        <v>0</v>
      </c>
      <c r="K90" s="1" t="n">
        <f aca="false">IF(J90&gt;0.5,J90+J90*(F_MR/12)-MIN(F_MortPayM,J90+J90*(F_MR/12)),J90)</f>
        <v>0</v>
      </c>
      <c r="L90" s="1" t="n">
        <f aca="false">IF(K90&gt;0.5,K90+K90*(F_MR/12)-MIN(F_MortPayM,K90+K90*(F_MR/12)),K90)</f>
        <v>0</v>
      </c>
      <c r="M90" s="1" t="n">
        <f aca="false">IF(L90&gt;0.5,L90+L90*(F_MR/12)-MIN(F_MortPayM,L90+L90*(F_MR/12)),L90)</f>
        <v>0</v>
      </c>
      <c r="N90" s="1" t="n">
        <f aca="false">IF(M90&gt;0.5,M90+M90*(F_MR/12)-MIN(F_MortPayM,M90+M90*(F_MR/12)),M90)</f>
        <v>0</v>
      </c>
      <c r="O90" s="1" t="n">
        <f aca="false">IF(N90&gt;0.5,N90+N90*(F_MR/12)-MIN(F_MortPayM,N90+N90*(F_MR/12)),N90)</f>
        <v>0</v>
      </c>
      <c r="P90" s="1" t="n">
        <f aca="false">IF(C90&gt;0.5,MIN(F_MortPayM,C90+C90*(F_MR/12)),0)</f>
        <v>0</v>
      </c>
      <c r="Q90" s="1" t="n">
        <f aca="false">IF(D90&gt;0.5,MIN(F_MortPayM,D90+D90*(F_MR/12)),0)</f>
        <v>0</v>
      </c>
      <c r="R90" s="1" t="n">
        <f aca="false">IF(E90&gt;0.5,MIN(F_MortPayM,E90+E90*(F_MR/12)),0)</f>
        <v>0</v>
      </c>
      <c r="S90" s="1" t="n">
        <f aca="false">IF(F90&gt;0.5,MIN(F_MortPayM,F90+F90*(F_MR/12)),0)</f>
        <v>0</v>
      </c>
      <c r="T90" s="1" t="n">
        <f aca="false">IF(G90&gt;0.5,MIN(F_MortPayM,G90+G90*(F_MR/12)),0)</f>
        <v>0</v>
      </c>
      <c r="U90" s="1" t="n">
        <f aca="false">IF(H90&gt;0.5,MIN(F_MortPayM,H90+H90*(F_MR/12)),0)</f>
        <v>0</v>
      </c>
      <c r="V90" s="1" t="n">
        <f aca="false">IF(I90&gt;0.5,MIN(F_MortPayM,I90+I90*(F_MR/12)),0)</f>
        <v>0</v>
      </c>
      <c r="W90" s="1" t="n">
        <f aca="false">IF(J90&gt;0.5,MIN(F_MortPayM,J90+J90*(F_MR/12)),0)</f>
        <v>0</v>
      </c>
      <c r="X90" s="1" t="n">
        <f aca="false">IF(K90&gt;0.5,MIN(F_MortPayM,K90+K90*(F_MR/12)),0)</f>
        <v>0</v>
      </c>
      <c r="Y90" s="1" t="n">
        <f aca="false">IF(L90&gt;0.5,MIN(F_MortPayM,L90+L90*(F_MR/12)),0)</f>
        <v>0</v>
      </c>
      <c r="Z90" s="1" t="n">
        <f aca="false">IF(M90&gt;0.5,MIN(F_MortPayM,M90+M90*(F_MR/12)),0)</f>
        <v>0</v>
      </c>
      <c r="AA90" s="1" t="n">
        <f aca="false">IF(N90&gt;0.5,MIN(F_MortPayM,N90+N90*(F_MR/12)),0)</f>
        <v>0</v>
      </c>
      <c r="AB90" s="1" t="n">
        <f aca="false">MAX(0,O90)</f>
        <v>0</v>
      </c>
      <c r="AC90" s="1" t="n">
        <f aca="false">SUM(P90:AA90)</f>
        <v>0</v>
      </c>
      <c r="AD90" s="1" t="n">
        <f aca="false">'Plan cashflow'!L90</f>
        <v>0</v>
      </c>
      <c r="AE90" s="1" t="n">
        <f aca="false">IF(AD90&gt;0.5,AD90+AD90*(D_iC)-MIN(F_CardPayM,AD90+AD90*(D_iC)),AD90)</f>
        <v>0</v>
      </c>
      <c r="AF90" s="1" t="n">
        <f aca="false">IF(AE90&gt;0.5,AE90+AE90*(D_iC)-MIN(F_CardPayM,AE90+AE90*(D_iC)),AE90)</f>
        <v>0</v>
      </c>
      <c r="AG90" s="1" t="n">
        <f aca="false">IF(AF90&gt;0.5,AF90+AF90*(D_iC)-MIN(F_CardPayM,AF90+AF90*(D_iC)),AF90)</f>
        <v>0</v>
      </c>
      <c r="AH90" s="1" t="n">
        <f aca="false">IF(AG90&gt;0.5,AG90+AG90*(D_iC)-MIN(F_CardPayM,AG90+AG90*(D_iC)),AG90)</f>
        <v>0</v>
      </c>
      <c r="AI90" s="1" t="n">
        <f aca="false">IF(AH90&gt;0.5,AH90+AH90*(D_iC)-MIN(F_CardPayM,AH90+AH90*(D_iC)),AH90)</f>
        <v>0</v>
      </c>
      <c r="AJ90" s="1" t="n">
        <f aca="false">IF(AI90&gt;0.5,AI90+AI90*(D_iC)-MIN(F_CardPayM,AI90+AI90*(D_iC)),AI90)</f>
        <v>0</v>
      </c>
      <c r="AK90" s="1" t="n">
        <f aca="false">IF(AJ90&gt;0.5,AJ90+AJ90*(D_iC)-MIN(F_CardPayM,AJ90+AJ90*(D_iC)),AJ90)</f>
        <v>0</v>
      </c>
      <c r="AL90" s="1" t="n">
        <f aca="false">IF(AK90&gt;0.5,AK90+AK90*(D_iC)-MIN(F_CardPayM,AK90+AK90*(D_iC)),AK90)</f>
        <v>0</v>
      </c>
      <c r="AM90" s="1" t="n">
        <f aca="false">IF(AL90&gt;0.5,AL90+AL90*(D_iC)-MIN(F_CardPayM,AL90+AL90*(D_iC)),AL90)</f>
        <v>0</v>
      </c>
      <c r="AN90" s="1" t="n">
        <f aca="false">IF(AM90&gt;0.5,AM90+AM90*(D_iC)-MIN(F_CardPayM,AM90+AM90*(D_iC)),AM90)</f>
        <v>0</v>
      </c>
      <c r="AO90" s="1" t="n">
        <f aca="false">IF(AN90&gt;0.5,AN90+AN90*(D_iC)-MIN(F_CardPayM,AN90+AN90*(D_iC)),AN90)</f>
        <v>0</v>
      </c>
      <c r="AP90" s="1" t="n">
        <f aca="false">IF(AO90&gt;0.5,AO90+AO90*(D_iC)-MIN(F_CardPayM,AO90+AO90*(D_iC)),AO90)</f>
        <v>0</v>
      </c>
      <c r="AQ90" s="1" t="n">
        <f aca="false">IF(AD90&gt;0.5,MIN(F_CardPayM,AD90+AD90*(D_iC)),0)</f>
        <v>0</v>
      </c>
      <c r="AR90" s="1" t="n">
        <f aca="false">IF(AE90&gt;0.5,MIN(F_CardPayM,AE90+AE90*(D_iC)),0)</f>
        <v>0</v>
      </c>
      <c r="AS90" s="1" t="n">
        <f aca="false">IF(AF90&gt;0.5,MIN(F_CardPayM,AF90+AF90*(D_iC)),0)</f>
        <v>0</v>
      </c>
      <c r="AT90" s="1" t="n">
        <f aca="false">IF(AG90&gt;0.5,MIN(F_CardPayM,AG90+AG90*(D_iC)),0)</f>
        <v>0</v>
      </c>
      <c r="AU90" s="1" t="n">
        <f aca="false">IF(AH90&gt;0.5,MIN(F_CardPayM,AH90+AH90*(D_iC)),0)</f>
        <v>0</v>
      </c>
      <c r="AV90" s="1" t="n">
        <f aca="false">IF(AI90&gt;0.5,MIN(F_CardPayM,AI90+AI90*(D_iC)),0)</f>
        <v>0</v>
      </c>
      <c r="AW90" s="1" t="n">
        <f aca="false">IF(AJ90&gt;0.5,MIN(F_CardPayM,AJ90+AJ90*(D_iC)),0)</f>
        <v>0</v>
      </c>
      <c r="AX90" s="1" t="n">
        <f aca="false">IF(AK90&gt;0.5,MIN(F_CardPayM,AK90+AK90*(D_iC)),0)</f>
        <v>0</v>
      </c>
      <c r="AY90" s="1" t="n">
        <f aca="false">IF(AL90&gt;0.5,MIN(F_CardPayM,AL90+AL90*(D_iC)),0)</f>
        <v>0</v>
      </c>
      <c r="AZ90" s="1" t="n">
        <f aca="false">IF(AM90&gt;0.5,MIN(F_CardPayM,AM90+AM90*(D_iC)),0)</f>
        <v>0</v>
      </c>
      <c r="BA90" s="1" t="n">
        <f aca="false">IF(AN90&gt;0.5,MIN(F_CardPayM,AN90+AN90*(D_iC)),0)</f>
        <v>0</v>
      </c>
      <c r="BB90" s="1" t="n">
        <f aca="false">IF(AO90&gt;0.5,MIN(F_CardPayM,AO90+AO90*(D_iC)),0)</f>
        <v>0</v>
      </c>
      <c r="BC90" s="1" t="n">
        <f aca="false">MAX(0,AP90)</f>
        <v>0</v>
      </c>
      <c r="BD90" s="1" t="n">
        <f aca="false">SUM(AQ90:BB90)</f>
        <v>0</v>
      </c>
      <c r="BE90" s="1" t="n">
        <f aca="false">'Plan cashflow'!O90</f>
        <v>0</v>
      </c>
      <c r="BF90" s="1" t="n">
        <f aca="false">IF(BE90&gt;0.5,BE90+BE90*(D_iL)-MIN(F_LoanPayM,BE90+BE90*(D_iL)),BE90)</f>
        <v>0</v>
      </c>
      <c r="BG90" s="1" t="n">
        <f aca="false">IF(BF90&gt;0.5,BF90+BF90*(D_iL)-MIN(F_LoanPayM,BF90+BF90*(D_iL)),BF90)</f>
        <v>0</v>
      </c>
      <c r="BH90" s="1" t="n">
        <f aca="false">IF(BG90&gt;0.5,BG90+BG90*(D_iL)-MIN(F_LoanPayM,BG90+BG90*(D_iL)),BG90)</f>
        <v>0</v>
      </c>
      <c r="BI90" s="1" t="n">
        <f aca="false">IF(BH90&gt;0.5,BH90+BH90*(D_iL)-MIN(F_LoanPayM,BH90+BH90*(D_iL)),BH90)</f>
        <v>0</v>
      </c>
      <c r="BJ90" s="1" t="n">
        <f aca="false">IF(BI90&gt;0.5,BI90+BI90*(D_iL)-MIN(F_LoanPayM,BI90+BI90*(D_iL)),BI90)</f>
        <v>0</v>
      </c>
      <c r="BK90" s="1" t="n">
        <f aca="false">IF(BJ90&gt;0.5,BJ90+BJ90*(D_iL)-MIN(F_LoanPayM,BJ90+BJ90*(D_iL)),BJ90)</f>
        <v>0</v>
      </c>
      <c r="BL90" s="1" t="n">
        <f aca="false">IF(BK90&gt;0.5,BK90+BK90*(D_iL)-MIN(F_LoanPayM,BK90+BK90*(D_iL)),BK90)</f>
        <v>0</v>
      </c>
      <c r="BM90" s="1" t="n">
        <f aca="false">IF(BL90&gt;0.5,BL90+BL90*(D_iL)-MIN(F_LoanPayM,BL90+BL90*(D_iL)),BL90)</f>
        <v>0</v>
      </c>
      <c r="BN90" s="1" t="n">
        <f aca="false">IF(BM90&gt;0.5,BM90+BM90*(D_iL)-MIN(F_LoanPayM,BM90+BM90*(D_iL)),BM90)</f>
        <v>0</v>
      </c>
      <c r="BO90" s="1" t="n">
        <f aca="false">IF(BN90&gt;0.5,BN90+BN90*(D_iL)-MIN(F_LoanPayM,BN90+BN90*(D_iL)),BN90)</f>
        <v>0</v>
      </c>
      <c r="BP90" s="1" t="n">
        <f aca="false">IF(BO90&gt;0.5,BO90+BO90*(D_iL)-MIN(F_LoanPayM,BO90+BO90*(D_iL)),BO90)</f>
        <v>0</v>
      </c>
      <c r="BQ90" s="1" t="n">
        <f aca="false">IF(BP90&gt;0.5,BP90+BP90*(D_iL)-MIN(F_LoanPayM,BP90+BP90*(D_iL)),BP90)</f>
        <v>0</v>
      </c>
      <c r="BR90" s="1" t="n">
        <f aca="false">IF(BE90&gt;0.5,MIN(F_LoanPayM,BE90+BE90*(D_iL)),0)</f>
        <v>0</v>
      </c>
      <c r="BS90" s="1" t="n">
        <f aca="false">IF(BF90&gt;0.5,MIN(F_LoanPayM,BF90+BF90*(D_iL)),0)</f>
        <v>0</v>
      </c>
      <c r="BT90" s="1" t="n">
        <f aca="false">IF(BG90&gt;0.5,MIN(F_LoanPayM,BG90+BG90*(D_iL)),0)</f>
        <v>0</v>
      </c>
      <c r="BU90" s="1" t="n">
        <f aca="false">IF(BH90&gt;0.5,MIN(F_LoanPayM,BH90+BH90*(D_iL)),0)</f>
        <v>0</v>
      </c>
      <c r="BV90" s="1" t="n">
        <f aca="false">IF(BI90&gt;0.5,MIN(F_LoanPayM,BI90+BI90*(D_iL)),0)</f>
        <v>0</v>
      </c>
      <c r="BW90" s="1" t="n">
        <f aca="false">IF(BJ90&gt;0.5,MIN(F_LoanPayM,BJ90+BJ90*(D_iL)),0)</f>
        <v>0</v>
      </c>
      <c r="BX90" s="1" t="n">
        <f aca="false">IF(BK90&gt;0.5,MIN(F_LoanPayM,BK90+BK90*(D_iL)),0)</f>
        <v>0</v>
      </c>
      <c r="BY90" s="1" t="n">
        <f aca="false">IF(BL90&gt;0.5,MIN(F_LoanPayM,BL90+BL90*(D_iL)),0)</f>
        <v>0</v>
      </c>
      <c r="BZ90" s="1" t="n">
        <f aca="false">IF(BM90&gt;0.5,MIN(F_LoanPayM,BM90+BM90*(D_iL)),0)</f>
        <v>0</v>
      </c>
      <c r="CA90" s="1" t="n">
        <f aca="false">IF(BN90&gt;0.5,MIN(F_LoanPayM,BN90+BN90*(D_iL)),0)</f>
        <v>0</v>
      </c>
      <c r="CB90" s="1" t="n">
        <f aca="false">IF(BO90&gt;0.5,MIN(F_LoanPayM,BO90+BO90*(D_iL)),0)</f>
        <v>0</v>
      </c>
      <c r="CC90" s="1" t="n">
        <f aca="false">IF(BP90&gt;0.5,MIN(F_LoanPayM,BP90+BP90*(D_iL)),0)</f>
        <v>0</v>
      </c>
      <c r="CD90" s="1" t="n">
        <f aca="false">MAX(0,BQ90)</f>
        <v>0</v>
      </c>
      <c r="CE90" s="1" t="n">
        <f aca="false">SUM(BR90:CC90)</f>
        <v>0</v>
      </c>
      <c r="CF90" s="1" t="n">
        <f aca="false">IF(CF89&gt;1,DE89,CF89)</f>
        <v>0</v>
      </c>
      <c r="CG90" s="1" t="n">
        <f aca="false">IF(CF90&gt;0.5,CF90+CF90*(F_MR/12)-MIN(F_MortPayM,CF90+CF90*(F_MR/12)),CF90)</f>
        <v>0</v>
      </c>
      <c r="CH90" s="1" t="n">
        <f aca="false">IF(CG90&gt;0.5,CG90+CG90*(F_MR/12)-MIN(F_MortPayM,CG90+CG90*(F_MR/12)),CG90)</f>
        <v>0</v>
      </c>
      <c r="CI90" s="1" t="n">
        <f aca="false">IF(CH90&gt;0.5,CH90+CH90*(F_MR/12)-MIN(F_MortPayM,CH90+CH90*(F_MR/12)),CH90)</f>
        <v>0</v>
      </c>
      <c r="CJ90" s="1" t="n">
        <f aca="false">IF(CI90&gt;0.5,CI90+CI90*(F_MR/12)-MIN(F_MortPayM,CI90+CI90*(F_MR/12)),CI90)</f>
        <v>0</v>
      </c>
      <c r="CK90" s="1" t="n">
        <f aca="false">IF(CJ90&gt;0.5,CJ90+CJ90*(F_MR/12)-MIN(F_MortPayM,CJ90+CJ90*(F_MR/12)),CJ90)</f>
        <v>0</v>
      </c>
      <c r="CL90" s="1" t="n">
        <f aca="false">IF(CK90&gt;0.5,CK90+CK90*(F_MR/12)-MIN(F_MortPayM,CK90+CK90*(F_MR/12)),CK90)</f>
        <v>0</v>
      </c>
      <c r="CM90" s="1" t="n">
        <f aca="false">IF(CL90&gt;0.5,CL90+CL90*(F_MR/12)-MIN(F_MortPayM,CL90+CL90*(F_MR/12)),CL90)</f>
        <v>0</v>
      </c>
      <c r="CN90" s="1" t="n">
        <f aca="false">IF(CM90&gt;0.5,CM90+CM90*(F_MR/12)-MIN(F_MortPayM,CM90+CM90*(F_MR/12)),CM90)</f>
        <v>0</v>
      </c>
      <c r="CO90" s="1" t="n">
        <f aca="false">IF(CN90&gt;0.5,CN90+CN90*(F_MR/12)-MIN(F_MortPayM,CN90+CN90*(F_MR/12)),CN90)</f>
        <v>0</v>
      </c>
      <c r="CP90" s="1" t="n">
        <f aca="false">IF(CO90&gt;0.5,CO90+CO90*(F_MR/12)-MIN(F_MortPayM,CO90+CO90*(F_MR/12)),CO90)</f>
        <v>0</v>
      </c>
      <c r="CQ90" s="1" t="n">
        <f aca="false">IF(CP90&gt;0.5,CP90+CP90*(F_MR/12)-MIN(F_MortPayM,CP90+CP90*(F_MR/12)),CP90)</f>
        <v>0</v>
      </c>
      <c r="CR90" s="1" t="n">
        <f aca="false">IF(CQ90&gt;0.5,CQ90+CQ90*(F_MR/12)-MIN(F_MortPayM,CQ90+CQ90*(F_MR/12)),CQ90)</f>
        <v>0</v>
      </c>
      <c r="CS90" s="1" t="n">
        <f aca="false">IF(CF90&gt;0.5,MIN(F_MortPayM,CF90+CF90*(F_MR/12)),0)</f>
        <v>0</v>
      </c>
      <c r="CT90" s="1" t="n">
        <f aca="false">IF(CG90&gt;0.5,MIN(F_MortPayM,CG90+CG90*(F_MR/12)),0)</f>
        <v>0</v>
      </c>
      <c r="CU90" s="1" t="n">
        <f aca="false">IF(CH90&gt;0.5,MIN(F_MortPayM,CH90+CH90*(F_MR/12)),0)</f>
        <v>0</v>
      </c>
      <c r="CV90" s="1" t="n">
        <f aca="false">IF(CI90&gt;0.5,MIN(F_MortPayM,CI90+CI90*(F_MR/12)),0)</f>
        <v>0</v>
      </c>
      <c r="CW90" s="1" t="n">
        <f aca="false">IF(CJ90&gt;0.5,MIN(F_MortPayM,CJ90+CJ90*(F_MR/12)),0)</f>
        <v>0</v>
      </c>
      <c r="CX90" s="1" t="n">
        <f aca="false">IF(CK90&gt;0.5,MIN(F_MortPayM,CK90+CK90*(F_MR/12)),0)</f>
        <v>0</v>
      </c>
      <c r="CY90" s="1" t="n">
        <f aca="false">IF(CL90&gt;0.5,MIN(F_MortPayM,CL90+CL90*(F_MR/12)),0)</f>
        <v>0</v>
      </c>
      <c r="CZ90" s="1" t="n">
        <f aca="false">IF(CM90&gt;0.5,MIN(F_MortPayM,CM90+CM90*(F_MR/12)),0)</f>
        <v>0</v>
      </c>
      <c r="DA90" s="1" t="n">
        <f aca="false">IF(CN90&gt;0.5,MIN(F_MortPayM,CN90+CN90*(F_MR/12)),0)</f>
        <v>0</v>
      </c>
      <c r="DB90" s="1" t="n">
        <f aca="false">IF(CO90&gt;0.5,MIN(F_MortPayM,CO90+CO90*(F_MR/12)),0)</f>
        <v>0</v>
      </c>
      <c r="DC90" s="1" t="n">
        <f aca="false">IF(CP90&gt;0.5,MIN(F_MortPayM,CP90+CP90*(F_MR/12)),0)</f>
        <v>0</v>
      </c>
      <c r="DD90" s="1" t="n">
        <f aca="false">IF(CQ90&gt;0.5,MIN(F_MortPayM,CQ90+CQ90*(F_MR/12)),0)</f>
        <v>0</v>
      </c>
      <c r="DE90" s="1" t="n">
        <f aca="false">MAX(0,CR90)</f>
        <v>0</v>
      </c>
      <c r="DF90" s="1" t="n">
        <f aca="false">SUM(CS90:DD90)</f>
        <v>0</v>
      </c>
      <c r="DG90" s="1" t="n">
        <f aca="false">MAX(0,CF90)</f>
        <v>0</v>
      </c>
    </row>
    <row r="91" customFormat="false" ht="15" hidden="false" customHeight="false" outlineLevel="0" collapsed="false">
      <c r="B91" s="1" t="n">
        <v>83</v>
      </c>
      <c r="C91" s="1" t="n">
        <f aca="false">'Plan cashflow'!I91</f>
        <v>0</v>
      </c>
      <c r="D91" s="1" t="n">
        <f aca="false">IF(C91&gt;0.5,C91+C91*(F_MR/12)-MIN(F_MortPayM,C91+C91*(F_MR/12)),C91)</f>
        <v>0</v>
      </c>
      <c r="E91" s="1" t="n">
        <f aca="false">IF(D91&gt;0.5,D91+D91*(F_MR/12)-MIN(F_MortPayM,D91+D91*(F_MR/12)),D91)</f>
        <v>0</v>
      </c>
      <c r="F91" s="1" t="n">
        <f aca="false">IF(E91&gt;0.5,E91+E91*(F_MR/12)-MIN(F_MortPayM,E91+E91*(F_MR/12)),E91)</f>
        <v>0</v>
      </c>
      <c r="G91" s="1" t="n">
        <f aca="false">IF(F91&gt;0.5,F91+F91*(F_MR/12)-MIN(F_MortPayM,F91+F91*(F_MR/12)),F91)</f>
        <v>0</v>
      </c>
      <c r="H91" s="1" t="n">
        <f aca="false">IF(G91&gt;0.5,G91+G91*(F_MR/12)-MIN(F_MortPayM,G91+G91*(F_MR/12)),G91)</f>
        <v>0</v>
      </c>
      <c r="I91" s="1" t="n">
        <f aca="false">IF(H91&gt;0.5,H91+H91*(F_MR/12)-MIN(F_MortPayM,H91+H91*(F_MR/12)),H91)</f>
        <v>0</v>
      </c>
      <c r="J91" s="1" t="n">
        <f aca="false">IF(I91&gt;0.5,I91+I91*(F_MR/12)-MIN(F_MortPayM,I91+I91*(F_MR/12)),I91)</f>
        <v>0</v>
      </c>
      <c r="K91" s="1" t="n">
        <f aca="false">IF(J91&gt;0.5,J91+J91*(F_MR/12)-MIN(F_MortPayM,J91+J91*(F_MR/12)),J91)</f>
        <v>0</v>
      </c>
      <c r="L91" s="1" t="n">
        <f aca="false">IF(K91&gt;0.5,K91+K91*(F_MR/12)-MIN(F_MortPayM,K91+K91*(F_MR/12)),K91)</f>
        <v>0</v>
      </c>
      <c r="M91" s="1" t="n">
        <f aca="false">IF(L91&gt;0.5,L91+L91*(F_MR/12)-MIN(F_MortPayM,L91+L91*(F_MR/12)),L91)</f>
        <v>0</v>
      </c>
      <c r="N91" s="1" t="n">
        <f aca="false">IF(M91&gt;0.5,M91+M91*(F_MR/12)-MIN(F_MortPayM,M91+M91*(F_MR/12)),M91)</f>
        <v>0</v>
      </c>
      <c r="O91" s="1" t="n">
        <f aca="false">IF(N91&gt;0.5,N91+N91*(F_MR/12)-MIN(F_MortPayM,N91+N91*(F_MR/12)),N91)</f>
        <v>0</v>
      </c>
      <c r="P91" s="1" t="n">
        <f aca="false">IF(C91&gt;0.5,MIN(F_MortPayM,C91+C91*(F_MR/12)),0)</f>
        <v>0</v>
      </c>
      <c r="Q91" s="1" t="n">
        <f aca="false">IF(D91&gt;0.5,MIN(F_MortPayM,D91+D91*(F_MR/12)),0)</f>
        <v>0</v>
      </c>
      <c r="R91" s="1" t="n">
        <f aca="false">IF(E91&gt;0.5,MIN(F_MortPayM,E91+E91*(F_MR/12)),0)</f>
        <v>0</v>
      </c>
      <c r="S91" s="1" t="n">
        <f aca="false">IF(F91&gt;0.5,MIN(F_MortPayM,F91+F91*(F_MR/12)),0)</f>
        <v>0</v>
      </c>
      <c r="T91" s="1" t="n">
        <f aca="false">IF(G91&gt;0.5,MIN(F_MortPayM,G91+G91*(F_MR/12)),0)</f>
        <v>0</v>
      </c>
      <c r="U91" s="1" t="n">
        <f aca="false">IF(H91&gt;0.5,MIN(F_MortPayM,H91+H91*(F_MR/12)),0)</f>
        <v>0</v>
      </c>
      <c r="V91" s="1" t="n">
        <f aca="false">IF(I91&gt;0.5,MIN(F_MortPayM,I91+I91*(F_MR/12)),0)</f>
        <v>0</v>
      </c>
      <c r="W91" s="1" t="n">
        <f aca="false">IF(J91&gt;0.5,MIN(F_MortPayM,J91+J91*(F_MR/12)),0)</f>
        <v>0</v>
      </c>
      <c r="X91" s="1" t="n">
        <f aca="false">IF(K91&gt;0.5,MIN(F_MortPayM,K91+K91*(F_MR/12)),0)</f>
        <v>0</v>
      </c>
      <c r="Y91" s="1" t="n">
        <f aca="false">IF(L91&gt;0.5,MIN(F_MortPayM,L91+L91*(F_MR/12)),0)</f>
        <v>0</v>
      </c>
      <c r="Z91" s="1" t="n">
        <f aca="false">IF(M91&gt;0.5,MIN(F_MortPayM,M91+M91*(F_MR/12)),0)</f>
        <v>0</v>
      </c>
      <c r="AA91" s="1" t="n">
        <f aca="false">IF(N91&gt;0.5,MIN(F_MortPayM,N91+N91*(F_MR/12)),0)</f>
        <v>0</v>
      </c>
      <c r="AB91" s="1" t="n">
        <f aca="false">MAX(0,O91)</f>
        <v>0</v>
      </c>
      <c r="AC91" s="1" t="n">
        <f aca="false">SUM(P91:AA91)</f>
        <v>0</v>
      </c>
      <c r="AD91" s="1" t="n">
        <f aca="false">'Plan cashflow'!L91</f>
        <v>0</v>
      </c>
      <c r="AE91" s="1" t="n">
        <f aca="false">IF(AD91&gt;0.5,AD91+AD91*(D_iC)-MIN(F_CardPayM,AD91+AD91*(D_iC)),AD91)</f>
        <v>0</v>
      </c>
      <c r="AF91" s="1" t="n">
        <f aca="false">IF(AE91&gt;0.5,AE91+AE91*(D_iC)-MIN(F_CardPayM,AE91+AE91*(D_iC)),AE91)</f>
        <v>0</v>
      </c>
      <c r="AG91" s="1" t="n">
        <f aca="false">IF(AF91&gt;0.5,AF91+AF91*(D_iC)-MIN(F_CardPayM,AF91+AF91*(D_iC)),AF91)</f>
        <v>0</v>
      </c>
      <c r="AH91" s="1" t="n">
        <f aca="false">IF(AG91&gt;0.5,AG91+AG91*(D_iC)-MIN(F_CardPayM,AG91+AG91*(D_iC)),AG91)</f>
        <v>0</v>
      </c>
      <c r="AI91" s="1" t="n">
        <f aca="false">IF(AH91&gt;0.5,AH91+AH91*(D_iC)-MIN(F_CardPayM,AH91+AH91*(D_iC)),AH91)</f>
        <v>0</v>
      </c>
      <c r="AJ91" s="1" t="n">
        <f aca="false">IF(AI91&gt;0.5,AI91+AI91*(D_iC)-MIN(F_CardPayM,AI91+AI91*(D_iC)),AI91)</f>
        <v>0</v>
      </c>
      <c r="AK91" s="1" t="n">
        <f aca="false">IF(AJ91&gt;0.5,AJ91+AJ91*(D_iC)-MIN(F_CardPayM,AJ91+AJ91*(D_iC)),AJ91)</f>
        <v>0</v>
      </c>
      <c r="AL91" s="1" t="n">
        <f aca="false">IF(AK91&gt;0.5,AK91+AK91*(D_iC)-MIN(F_CardPayM,AK91+AK91*(D_iC)),AK91)</f>
        <v>0</v>
      </c>
      <c r="AM91" s="1" t="n">
        <f aca="false">IF(AL91&gt;0.5,AL91+AL91*(D_iC)-MIN(F_CardPayM,AL91+AL91*(D_iC)),AL91)</f>
        <v>0</v>
      </c>
      <c r="AN91" s="1" t="n">
        <f aca="false">IF(AM91&gt;0.5,AM91+AM91*(D_iC)-MIN(F_CardPayM,AM91+AM91*(D_iC)),AM91)</f>
        <v>0</v>
      </c>
      <c r="AO91" s="1" t="n">
        <f aca="false">IF(AN91&gt;0.5,AN91+AN91*(D_iC)-MIN(F_CardPayM,AN91+AN91*(D_iC)),AN91)</f>
        <v>0</v>
      </c>
      <c r="AP91" s="1" t="n">
        <f aca="false">IF(AO91&gt;0.5,AO91+AO91*(D_iC)-MIN(F_CardPayM,AO91+AO91*(D_iC)),AO91)</f>
        <v>0</v>
      </c>
      <c r="AQ91" s="1" t="n">
        <f aca="false">IF(AD91&gt;0.5,MIN(F_CardPayM,AD91+AD91*(D_iC)),0)</f>
        <v>0</v>
      </c>
      <c r="AR91" s="1" t="n">
        <f aca="false">IF(AE91&gt;0.5,MIN(F_CardPayM,AE91+AE91*(D_iC)),0)</f>
        <v>0</v>
      </c>
      <c r="AS91" s="1" t="n">
        <f aca="false">IF(AF91&gt;0.5,MIN(F_CardPayM,AF91+AF91*(D_iC)),0)</f>
        <v>0</v>
      </c>
      <c r="AT91" s="1" t="n">
        <f aca="false">IF(AG91&gt;0.5,MIN(F_CardPayM,AG91+AG91*(D_iC)),0)</f>
        <v>0</v>
      </c>
      <c r="AU91" s="1" t="n">
        <f aca="false">IF(AH91&gt;0.5,MIN(F_CardPayM,AH91+AH91*(D_iC)),0)</f>
        <v>0</v>
      </c>
      <c r="AV91" s="1" t="n">
        <f aca="false">IF(AI91&gt;0.5,MIN(F_CardPayM,AI91+AI91*(D_iC)),0)</f>
        <v>0</v>
      </c>
      <c r="AW91" s="1" t="n">
        <f aca="false">IF(AJ91&gt;0.5,MIN(F_CardPayM,AJ91+AJ91*(D_iC)),0)</f>
        <v>0</v>
      </c>
      <c r="AX91" s="1" t="n">
        <f aca="false">IF(AK91&gt;0.5,MIN(F_CardPayM,AK91+AK91*(D_iC)),0)</f>
        <v>0</v>
      </c>
      <c r="AY91" s="1" t="n">
        <f aca="false">IF(AL91&gt;0.5,MIN(F_CardPayM,AL91+AL91*(D_iC)),0)</f>
        <v>0</v>
      </c>
      <c r="AZ91" s="1" t="n">
        <f aca="false">IF(AM91&gt;0.5,MIN(F_CardPayM,AM91+AM91*(D_iC)),0)</f>
        <v>0</v>
      </c>
      <c r="BA91" s="1" t="n">
        <f aca="false">IF(AN91&gt;0.5,MIN(F_CardPayM,AN91+AN91*(D_iC)),0)</f>
        <v>0</v>
      </c>
      <c r="BB91" s="1" t="n">
        <f aca="false">IF(AO91&gt;0.5,MIN(F_CardPayM,AO91+AO91*(D_iC)),0)</f>
        <v>0</v>
      </c>
      <c r="BC91" s="1" t="n">
        <f aca="false">MAX(0,AP91)</f>
        <v>0</v>
      </c>
      <c r="BD91" s="1" t="n">
        <f aca="false">SUM(AQ91:BB91)</f>
        <v>0</v>
      </c>
      <c r="BE91" s="1" t="n">
        <f aca="false">'Plan cashflow'!O91</f>
        <v>0</v>
      </c>
      <c r="BF91" s="1" t="n">
        <f aca="false">IF(BE91&gt;0.5,BE91+BE91*(D_iL)-MIN(F_LoanPayM,BE91+BE91*(D_iL)),BE91)</f>
        <v>0</v>
      </c>
      <c r="BG91" s="1" t="n">
        <f aca="false">IF(BF91&gt;0.5,BF91+BF91*(D_iL)-MIN(F_LoanPayM,BF91+BF91*(D_iL)),BF91)</f>
        <v>0</v>
      </c>
      <c r="BH91" s="1" t="n">
        <f aca="false">IF(BG91&gt;0.5,BG91+BG91*(D_iL)-MIN(F_LoanPayM,BG91+BG91*(D_iL)),BG91)</f>
        <v>0</v>
      </c>
      <c r="BI91" s="1" t="n">
        <f aca="false">IF(BH91&gt;0.5,BH91+BH91*(D_iL)-MIN(F_LoanPayM,BH91+BH91*(D_iL)),BH91)</f>
        <v>0</v>
      </c>
      <c r="BJ91" s="1" t="n">
        <f aca="false">IF(BI91&gt;0.5,BI91+BI91*(D_iL)-MIN(F_LoanPayM,BI91+BI91*(D_iL)),BI91)</f>
        <v>0</v>
      </c>
      <c r="BK91" s="1" t="n">
        <f aca="false">IF(BJ91&gt;0.5,BJ91+BJ91*(D_iL)-MIN(F_LoanPayM,BJ91+BJ91*(D_iL)),BJ91)</f>
        <v>0</v>
      </c>
      <c r="BL91" s="1" t="n">
        <f aca="false">IF(BK91&gt;0.5,BK91+BK91*(D_iL)-MIN(F_LoanPayM,BK91+BK91*(D_iL)),BK91)</f>
        <v>0</v>
      </c>
      <c r="BM91" s="1" t="n">
        <f aca="false">IF(BL91&gt;0.5,BL91+BL91*(D_iL)-MIN(F_LoanPayM,BL91+BL91*(D_iL)),BL91)</f>
        <v>0</v>
      </c>
      <c r="BN91" s="1" t="n">
        <f aca="false">IF(BM91&gt;0.5,BM91+BM91*(D_iL)-MIN(F_LoanPayM,BM91+BM91*(D_iL)),BM91)</f>
        <v>0</v>
      </c>
      <c r="BO91" s="1" t="n">
        <f aca="false">IF(BN91&gt;0.5,BN91+BN91*(D_iL)-MIN(F_LoanPayM,BN91+BN91*(D_iL)),BN91)</f>
        <v>0</v>
      </c>
      <c r="BP91" s="1" t="n">
        <f aca="false">IF(BO91&gt;0.5,BO91+BO91*(D_iL)-MIN(F_LoanPayM,BO91+BO91*(D_iL)),BO91)</f>
        <v>0</v>
      </c>
      <c r="BQ91" s="1" t="n">
        <f aca="false">IF(BP91&gt;0.5,BP91+BP91*(D_iL)-MIN(F_LoanPayM,BP91+BP91*(D_iL)),BP91)</f>
        <v>0</v>
      </c>
      <c r="BR91" s="1" t="n">
        <f aca="false">IF(BE91&gt;0.5,MIN(F_LoanPayM,BE91+BE91*(D_iL)),0)</f>
        <v>0</v>
      </c>
      <c r="BS91" s="1" t="n">
        <f aca="false">IF(BF91&gt;0.5,MIN(F_LoanPayM,BF91+BF91*(D_iL)),0)</f>
        <v>0</v>
      </c>
      <c r="BT91" s="1" t="n">
        <f aca="false">IF(BG91&gt;0.5,MIN(F_LoanPayM,BG91+BG91*(D_iL)),0)</f>
        <v>0</v>
      </c>
      <c r="BU91" s="1" t="n">
        <f aca="false">IF(BH91&gt;0.5,MIN(F_LoanPayM,BH91+BH91*(D_iL)),0)</f>
        <v>0</v>
      </c>
      <c r="BV91" s="1" t="n">
        <f aca="false">IF(BI91&gt;0.5,MIN(F_LoanPayM,BI91+BI91*(D_iL)),0)</f>
        <v>0</v>
      </c>
      <c r="BW91" s="1" t="n">
        <f aca="false">IF(BJ91&gt;0.5,MIN(F_LoanPayM,BJ91+BJ91*(D_iL)),0)</f>
        <v>0</v>
      </c>
      <c r="BX91" s="1" t="n">
        <f aca="false">IF(BK91&gt;0.5,MIN(F_LoanPayM,BK91+BK91*(D_iL)),0)</f>
        <v>0</v>
      </c>
      <c r="BY91" s="1" t="n">
        <f aca="false">IF(BL91&gt;0.5,MIN(F_LoanPayM,BL91+BL91*(D_iL)),0)</f>
        <v>0</v>
      </c>
      <c r="BZ91" s="1" t="n">
        <f aca="false">IF(BM91&gt;0.5,MIN(F_LoanPayM,BM91+BM91*(D_iL)),0)</f>
        <v>0</v>
      </c>
      <c r="CA91" s="1" t="n">
        <f aca="false">IF(BN91&gt;0.5,MIN(F_LoanPayM,BN91+BN91*(D_iL)),0)</f>
        <v>0</v>
      </c>
      <c r="CB91" s="1" t="n">
        <f aca="false">IF(BO91&gt;0.5,MIN(F_LoanPayM,BO91+BO91*(D_iL)),0)</f>
        <v>0</v>
      </c>
      <c r="CC91" s="1" t="n">
        <f aca="false">IF(BP91&gt;0.5,MIN(F_LoanPayM,BP91+BP91*(D_iL)),0)</f>
        <v>0</v>
      </c>
      <c r="CD91" s="1" t="n">
        <f aca="false">MAX(0,BQ91)</f>
        <v>0</v>
      </c>
      <c r="CE91" s="1" t="n">
        <f aca="false">SUM(BR91:CC91)</f>
        <v>0</v>
      </c>
      <c r="CF91" s="1" t="n">
        <f aca="false">IF(CF90&gt;1,DE90,CF90)</f>
        <v>0</v>
      </c>
      <c r="CG91" s="1" t="n">
        <f aca="false">IF(CF91&gt;0.5,CF91+CF91*(F_MR/12)-MIN(F_MortPayM,CF91+CF91*(F_MR/12)),CF91)</f>
        <v>0</v>
      </c>
      <c r="CH91" s="1" t="n">
        <f aca="false">IF(CG91&gt;0.5,CG91+CG91*(F_MR/12)-MIN(F_MortPayM,CG91+CG91*(F_MR/12)),CG91)</f>
        <v>0</v>
      </c>
      <c r="CI91" s="1" t="n">
        <f aca="false">IF(CH91&gt;0.5,CH91+CH91*(F_MR/12)-MIN(F_MortPayM,CH91+CH91*(F_MR/12)),CH91)</f>
        <v>0</v>
      </c>
      <c r="CJ91" s="1" t="n">
        <f aca="false">IF(CI91&gt;0.5,CI91+CI91*(F_MR/12)-MIN(F_MortPayM,CI91+CI91*(F_MR/12)),CI91)</f>
        <v>0</v>
      </c>
      <c r="CK91" s="1" t="n">
        <f aca="false">IF(CJ91&gt;0.5,CJ91+CJ91*(F_MR/12)-MIN(F_MortPayM,CJ91+CJ91*(F_MR/12)),CJ91)</f>
        <v>0</v>
      </c>
      <c r="CL91" s="1" t="n">
        <f aca="false">IF(CK91&gt;0.5,CK91+CK91*(F_MR/12)-MIN(F_MortPayM,CK91+CK91*(F_MR/12)),CK91)</f>
        <v>0</v>
      </c>
      <c r="CM91" s="1" t="n">
        <f aca="false">IF(CL91&gt;0.5,CL91+CL91*(F_MR/12)-MIN(F_MortPayM,CL91+CL91*(F_MR/12)),CL91)</f>
        <v>0</v>
      </c>
      <c r="CN91" s="1" t="n">
        <f aca="false">IF(CM91&gt;0.5,CM91+CM91*(F_MR/12)-MIN(F_MortPayM,CM91+CM91*(F_MR/12)),CM91)</f>
        <v>0</v>
      </c>
      <c r="CO91" s="1" t="n">
        <f aca="false">IF(CN91&gt;0.5,CN91+CN91*(F_MR/12)-MIN(F_MortPayM,CN91+CN91*(F_MR/12)),CN91)</f>
        <v>0</v>
      </c>
      <c r="CP91" s="1" t="n">
        <f aca="false">IF(CO91&gt;0.5,CO91+CO91*(F_MR/12)-MIN(F_MortPayM,CO91+CO91*(F_MR/12)),CO91)</f>
        <v>0</v>
      </c>
      <c r="CQ91" s="1" t="n">
        <f aca="false">IF(CP91&gt;0.5,CP91+CP91*(F_MR/12)-MIN(F_MortPayM,CP91+CP91*(F_MR/12)),CP91)</f>
        <v>0</v>
      </c>
      <c r="CR91" s="1" t="n">
        <f aca="false">IF(CQ91&gt;0.5,CQ91+CQ91*(F_MR/12)-MIN(F_MortPayM,CQ91+CQ91*(F_MR/12)),CQ91)</f>
        <v>0</v>
      </c>
      <c r="CS91" s="1" t="n">
        <f aca="false">IF(CF91&gt;0.5,MIN(F_MortPayM,CF91+CF91*(F_MR/12)),0)</f>
        <v>0</v>
      </c>
      <c r="CT91" s="1" t="n">
        <f aca="false">IF(CG91&gt;0.5,MIN(F_MortPayM,CG91+CG91*(F_MR/12)),0)</f>
        <v>0</v>
      </c>
      <c r="CU91" s="1" t="n">
        <f aca="false">IF(CH91&gt;0.5,MIN(F_MortPayM,CH91+CH91*(F_MR/12)),0)</f>
        <v>0</v>
      </c>
      <c r="CV91" s="1" t="n">
        <f aca="false">IF(CI91&gt;0.5,MIN(F_MortPayM,CI91+CI91*(F_MR/12)),0)</f>
        <v>0</v>
      </c>
      <c r="CW91" s="1" t="n">
        <f aca="false">IF(CJ91&gt;0.5,MIN(F_MortPayM,CJ91+CJ91*(F_MR/12)),0)</f>
        <v>0</v>
      </c>
      <c r="CX91" s="1" t="n">
        <f aca="false">IF(CK91&gt;0.5,MIN(F_MortPayM,CK91+CK91*(F_MR/12)),0)</f>
        <v>0</v>
      </c>
      <c r="CY91" s="1" t="n">
        <f aca="false">IF(CL91&gt;0.5,MIN(F_MortPayM,CL91+CL91*(F_MR/12)),0)</f>
        <v>0</v>
      </c>
      <c r="CZ91" s="1" t="n">
        <f aca="false">IF(CM91&gt;0.5,MIN(F_MortPayM,CM91+CM91*(F_MR/12)),0)</f>
        <v>0</v>
      </c>
      <c r="DA91" s="1" t="n">
        <f aca="false">IF(CN91&gt;0.5,MIN(F_MortPayM,CN91+CN91*(F_MR/12)),0)</f>
        <v>0</v>
      </c>
      <c r="DB91" s="1" t="n">
        <f aca="false">IF(CO91&gt;0.5,MIN(F_MortPayM,CO91+CO91*(F_MR/12)),0)</f>
        <v>0</v>
      </c>
      <c r="DC91" s="1" t="n">
        <f aca="false">IF(CP91&gt;0.5,MIN(F_MortPayM,CP91+CP91*(F_MR/12)),0)</f>
        <v>0</v>
      </c>
      <c r="DD91" s="1" t="n">
        <f aca="false">IF(CQ91&gt;0.5,MIN(F_MortPayM,CQ91+CQ91*(F_MR/12)),0)</f>
        <v>0</v>
      </c>
      <c r="DE91" s="1" t="n">
        <f aca="false">MAX(0,CR91)</f>
        <v>0</v>
      </c>
      <c r="DF91" s="1" t="n">
        <f aca="false">SUM(CS91:DD91)</f>
        <v>0</v>
      </c>
      <c r="DG91" s="1" t="n">
        <f aca="false">MAX(0,CF91)</f>
        <v>0</v>
      </c>
    </row>
    <row r="92" customFormat="false" ht="15" hidden="false" customHeight="false" outlineLevel="0" collapsed="false">
      <c r="B92" s="1" t="n">
        <v>84</v>
      </c>
      <c r="C92" s="1" t="n">
        <f aca="false">'Plan cashflow'!I92</f>
        <v>0</v>
      </c>
      <c r="D92" s="1" t="n">
        <f aca="false">IF(C92&gt;0.5,C92+C92*(F_MR/12)-MIN(F_MortPayM,C92+C92*(F_MR/12)),C92)</f>
        <v>0</v>
      </c>
      <c r="E92" s="1" t="n">
        <f aca="false">IF(D92&gt;0.5,D92+D92*(F_MR/12)-MIN(F_MortPayM,D92+D92*(F_MR/12)),D92)</f>
        <v>0</v>
      </c>
      <c r="F92" s="1" t="n">
        <f aca="false">IF(E92&gt;0.5,E92+E92*(F_MR/12)-MIN(F_MortPayM,E92+E92*(F_MR/12)),E92)</f>
        <v>0</v>
      </c>
      <c r="G92" s="1" t="n">
        <f aca="false">IF(F92&gt;0.5,F92+F92*(F_MR/12)-MIN(F_MortPayM,F92+F92*(F_MR/12)),F92)</f>
        <v>0</v>
      </c>
      <c r="H92" s="1" t="n">
        <f aca="false">IF(G92&gt;0.5,G92+G92*(F_MR/12)-MIN(F_MortPayM,G92+G92*(F_MR/12)),G92)</f>
        <v>0</v>
      </c>
      <c r="I92" s="1" t="n">
        <f aca="false">IF(H92&gt;0.5,H92+H92*(F_MR/12)-MIN(F_MortPayM,H92+H92*(F_MR/12)),H92)</f>
        <v>0</v>
      </c>
      <c r="J92" s="1" t="n">
        <f aca="false">IF(I92&gt;0.5,I92+I92*(F_MR/12)-MIN(F_MortPayM,I92+I92*(F_MR/12)),I92)</f>
        <v>0</v>
      </c>
      <c r="K92" s="1" t="n">
        <f aca="false">IF(J92&gt;0.5,J92+J92*(F_MR/12)-MIN(F_MortPayM,J92+J92*(F_MR/12)),J92)</f>
        <v>0</v>
      </c>
      <c r="L92" s="1" t="n">
        <f aca="false">IF(K92&gt;0.5,K92+K92*(F_MR/12)-MIN(F_MortPayM,K92+K92*(F_MR/12)),K92)</f>
        <v>0</v>
      </c>
      <c r="M92" s="1" t="n">
        <f aca="false">IF(L92&gt;0.5,L92+L92*(F_MR/12)-MIN(F_MortPayM,L92+L92*(F_MR/12)),L92)</f>
        <v>0</v>
      </c>
      <c r="N92" s="1" t="n">
        <f aca="false">IF(M92&gt;0.5,M92+M92*(F_MR/12)-MIN(F_MortPayM,M92+M92*(F_MR/12)),M92)</f>
        <v>0</v>
      </c>
      <c r="O92" s="1" t="n">
        <f aca="false">IF(N92&gt;0.5,N92+N92*(F_MR/12)-MIN(F_MortPayM,N92+N92*(F_MR/12)),N92)</f>
        <v>0</v>
      </c>
      <c r="P92" s="1" t="n">
        <f aca="false">IF(C92&gt;0.5,MIN(F_MortPayM,C92+C92*(F_MR/12)),0)</f>
        <v>0</v>
      </c>
      <c r="Q92" s="1" t="n">
        <f aca="false">IF(D92&gt;0.5,MIN(F_MortPayM,D92+D92*(F_MR/12)),0)</f>
        <v>0</v>
      </c>
      <c r="R92" s="1" t="n">
        <f aca="false">IF(E92&gt;0.5,MIN(F_MortPayM,E92+E92*(F_MR/12)),0)</f>
        <v>0</v>
      </c>
      <c r="S92" s="1" t="n">
        <f aca="false">IF(F92&gt;0.5,MIN(F_MortPayM,F92+F92*(F_MR/12)),0)</f>
        <v>0</v>
      </c>
      <c r="T92" s="1" t="n">
        <f aca="false">IF(G92&gt;0.5,MIN(F_MortPayM,G92+G92*(F_MR/12)),0)</f>
        <v>0</v>
      </c>
      <c r="U92" s="1" t="n">
        <f aca="false">IF(H92&gt;0.5,MIN(F_MortPayM,H92+H92*(F_MR/12)),0)</f>
        <v>0</v>
      </c>
      <c r="V92" s="1" t="n">
        <f aca="false">IF(I92&gt;0.5,MIN(F_MortPayM,I92+I92*(F_MR/12)),0)</f>
        <v>0</v>
      </c>
      <c r="W92" s="1" t="n">
        <f aca="false">IF(J92&gt;0.5,MIN(F_MortPayM,J92+J92*(F_MR/12)),0)</f>
        <v>0</v>
      </c>
      <c r="X92" s="1" t="n">
        <f aca="false">IF(K92&gt;0.5,MIN(F_MortPayM,K92+K92*(F_MR/12)),0)</f>
        <v>0</v>
      </c>
      <c r="Y92" s="1" t="n">
        <f aca="false">IF(L92&gt;0.5,MIN(F_MortPayM,L92+L92*(F_MR/12)),0)</f>
        <v>0</v>
      </c>
      <c r="Z92" s="1" t="n">
        <f aca="false">IF(M92&gt;0.5,MIN(F_MortPayM,M92+M92*(F_MR/12)),0)</f>
        <v>0</v>
      </c>
      <c r="AA92" s="1" t="n">
        <f aca="false">IF(N92&gt;0.5,MIN(F_MortPayM,N92+N92*(F_MR/12)),0)</f>
        <v>0</v>
      </c>
      <c r="AB92" s="1" t="n">
        <f aca="false">MAX(0,O92)</f>
        <v>0</v>
      </c>
      <c r="AC92" s="1" t="n">
        <f aca="false">SUM(P92:AA92)</f>
        <v>0</v>
      </c>
      <c r="AD92" s="1" t="n">
        <f aca="false">'Plan cashflow'!L92</f>
        <v>0</v>
      </c>
      <c r="AE92" s="1" t="n">
        <f aca="false">IF(AD92&gt;0.5,AD92+AD92*(D_iC)-MIN(F_CardPayM,AD92+AD92*(D_iC)),AD92)</f>
        <v>0</v>
      </c>
      <c r="AF92" s="1" t="n">
        <f aca="false">IF(AE92&gt;0.5,AE92+AE92*(D_iC)-MIN(F_CardPayM,AE92+AE92*(D_iC)),AE92)</f>
        <v>0</v>
      </c>
      <c r="AG92" s="1" t="n">
        <f aca="false">IF(AF92&gt;0.5,AF92+AF92*(D_iC)-MIN(F_CardPayM,AF92+AF92*(D_iC)),AF92)</f>
        <v>0</v>
      </c>
      <c r="AH92" s="1" t="n">
        <f aca="false">IF(AG92&gt;0.5,AG92+AG92*(D_iC)-MIN(F_CardPayM,AG92+AG92*(D_iC)),AG92)</f>
        <v>0</v>
      </c>
      <c r="AI92" s="1" t="n">
        <f aca="false">IF(AH92&gt;0.5,AH92+AH92*(D_iC)-MIN(F_CardPayM,AH92+AH92*(D_iC)),AH92)</f>
        <v>0</v>
      </c>
      <c r="AJ92" s="1" t="n">
        <f aca="false">IF(AI92&gt;0.5,AI92+AI92*(D_iC)-MIN(F_CardPayM,AI92+AI92*(D_iC)),AI92)</f>
        <v>0</v>
      </c>
      <c r="AK92" s="1" t="n">
        <f aca="false">IF(AJ92&gt;0.5,AJ92+AJ92*(D_iC)-MIN(F_CardPayM,AJ92+AJ92*(D_iC)),AJ92)</f>
        <v>0</v>
      </c>
      <c r="AL92" s="1" t="n">
        <f aca="false">IF(AK92&gt;0.5,AK92+AK92*(D_iC)-MIN(F_CardPayM,AK92+AK92*(D_iC)),AK92)</f>
        <v>0</v>
      </c>
      <c r="AM92" s="1" t="n">
        <f aca="false">IF(AL92&gt;0.5,AL92+AL92*(D_iC)-MIN(F_CardPayM,AL92+AL92*(D_iC)),AL92)</f>
        <v>0</v>
      </c>
      <c r="AN92" s="1" t="n">
        <f aca="false">IF(AM92&gt;0.5,AM92+AM92*(D_iC)-MIN(F_CardPayM,AM92+AM92*(D_iC)),AM92)</f>
        <v>0</v>
      </c>
      <c r="AO92" s="1" t="n">
        <f aca="false">IF(AN92&gt;0.5,AN92+AN92*(D_iC)-MIN(F_CardPayM,AN92+AN92*(D_iC)),AN92)</f>
        <v>0</v>
      </c>
      <c r="AP92" s="1" t="n">
        <f aca="false">IF(AO92&gt;0.5,AO92+AO92*(D_iC)-MIN(F_CardPayM,AO92+AO92*(D_iC)),AO92)</f>
        <v>0</v>
      </c>
      <c r="AQ92" s="1" t="n">
        <f aca="false">IF(AD92&gt;0.5,MIN(F_CardPayM,AD92+AD92*(D_iC)),0)</f>
        <v>0</v>
      </c>
      <c r="AR92" s="1" t="n">
        <f aca="false">IF(AE92&gt;0.5,MIN(F_CardPayM,AE92+AE92*(D_iC)),0)</f>
        <v>0</v>
      </c>
      <c r="AS92" s="1" t="n">
        <f aca="false">IF(AF92&gt;0.5,MIN(F_CardPayM,AF92+AF92*(D_iC)),0)</f>
        <v>0</v>
      </c>
      <c r="AT92" s="1" t="n">
        <f aca="false">IF(AG92&gt;0.5,MIN(F_CardPayM,AG92+AG92*(D_iC)),0)</f>
        <v>0</v>
      </c>
      <c r="AU92" s="1" t="n">
        <f aca="false">IF(AH92&gt;0.5,MIN(F_CardPayM,AH92+AH92*(D_iC)),0)</f>
        <v>0</v>
      </c>
      <c r="AV92" s="1" t="n">
        <f aca="false">IF(AI92&gt;0.5,MIN(F_CardPayM,AI92+AI92*(D_iC)),0)</f>
        <v>0</v>
      </c>
      <c r="AW92" s="1" t="n">
        <f aca="false">IF(AJ92&gt;0.5,MIN(F_CardPayM,AJ92+AJ92*(D_iC)),0)</f>
        <v>0</v>
      </c>
      <c r="AX92" s="1" t="n">
        <f aca="false">IF(AK92&gt;0.5,MIN(F_CardPayM,AK92+AK92*(D_iC)),0)</f>
        <v>0</v>
      </c>
      <c r="AY92" s="1" t="n">
        <f aca="false">IF(AL92&gt;0.5,MIN(F_CardPayM,AL92+AL92*(D_iC)),0)</f>
        <v>0</v>
      </c>
      <c r="AZ92" s="1" t="n">
        <f aca="false">IF(AM92&gt;0.5,MIN(F_CardPayM,AM92+AM92*(D_iC)),0)</f>
        <v>0</v>
      </c>
      <c r="BA92" s="1" t="n">
        <f aca="false">IF(AN92&gt;0.5,MIN(F_CardPayM,AN92+AN92*(D_iC)),0)</f>
        <v>0</v>
      </c>
      <c r="BB92" s="1" t="n">
        <f aca="false">IF(AO92&gt;0.5,MIN(F_CardPayM,AO92+AO92*(D_iC)),0)</f>
        <v>0</v>
      </c>
      <c r="BC92" s="1" t="n">
        <f aca="false">MAX(0,AP92)</f>
        <v>0</v>
      </c>
      <c r="BD92" s="1" t="n">
        <f aca="false">SUM(AQ92:BB92)</f>
        <v>0</v>
      </c>
      <c r="BE92" s="1" t="n">
        <f aca="false">'Plan cashflow'!O92</f>
        <v>0</v>
      </c>
      <c r="BF92" s="1" t="n">
        <f aca="false">IF(BE92&gt;0.5,BE92+BE92*(D_iL)-MIN(F_LoanPayM,BE92+BE92*(D_iL)),BE92)</f>
        <v>0</v>
      </c>
      <c r="BG92" s="1" t="n">
        <f aca="false">IF(BF92&gt;0.5,BF92+BF92*(D_iL)-MIN(F_LoanPayM,BF92+BF92*(D_iL)),BF92)</f>
        <v>0</v>
      </c>
      <c r="BH92" s="1" t="n">
        <f aca="false">IF(BG92&gt;0.5,BG92+BG92*(D_iL)-MIN(F_LoanPayM,BG92+BG92*(D_iL)),BG92)</f>
        <v>0</v>
      </c>
      <c r="BI92" s="1" t="n">
        <f aca="false">IF(BH92&gt;0.5,BH92+BH92*(D_iL)-MIN(F_LoanPayM,BH92+BH92*(D_iL)),BH92)</f>
        <v>0</v>
      </c>
      <c r="BJ92" s="1" t="n">
        <f aca="false">IF(BI92&gt;0.5,BI92+BI92*(D_iL)-MIN(F_LoanPayM,BI92+BI92*(D_iL)),BI92)</f>
        <v>0</v>
      </c>
      <c r="BK92" s="1" t="n">
        <f aca="false">IF(BJ92&gt;0.5,BJ92+BJ92*(D_iL)-MIN(F_LoanPayM,BJ92+BJ92*(D_iL)),BJ92)</f>
        <v>0</v>
      </c>
      <c r="BL92" s="1" t="n">
        <f aca="false">IF(BK92&gt;0.5,BK92+BK92*(D_iL)-MIN(F_LoanPayM,BK92+BK92*(D_iL)),BK92)</f>
        <v>0</v>
      </c>
      <c r="BM92" s="1" t="n">
        <f aca="false">IF(BL92&gt;0.5,BL92+BL92*(D_iL)-MIN(F_LoanPayM,BL92+BL92*(D_iL)),BL92)</f>
        <v>0</v>
      </c>
      <c r="BN92" s="1" t="n">
        <f aca="false">IF(BM92&gt;0.5,BM92+BM92*(D_iL)-MIN(F_LoanPayM,BM92+BM92*(D_iL)),BM92)</f>
        <v>0</v>
      </c>
      <c r="BO92" s="1" t="n">
        <f aca="false">IF(BN92&gt;0.5,BN92+BN92*(D_iL)-MIN(F_LoanPayM,BN92+BN92*(D_iL)),BN92)</f>
        <v>0</v>
      </c>
      <c r="BP92" s="1" t="n">
        <f aca="false">IF(BO92&gt;0.5,BO92+BO92*(D_iL)-MIN(F_LoanPayM,BO92+BO92*(D_iL)),BO92)</f>
        <v>0</v>
      </c>
      <c r="BQ92" s="1" t="n">
        <f aca="false">IF(BP92&gt;0.5,BP92+BP92*(D_iL)-MIN(F_LoanPayM,BP92+BP92*(D_iL)),BP92)</f>
        <v>0</v>
      </c>
      <c r="BR92" s="1" t="n">
        <f aca="false">IF(BE92&gt;0.5,MIN(F_LoanPayM,BE92+BE92*(D_iL)),0)</f>
        <v>0</v>
      </c>
      <c r="BS92" s="1" t="n">
        <f aca="false">IF(BF92&gt;0.5,MIN(F_LoanPayM,BF92+BF92*(D_iL)),0)</f>
        <v>0</v>
      </c>
      <c r="BT92" s="1" t="n">
        <f aca="false">IF(BG92&gt;0.5,MIN(F_LoanPayM,BG92+BG92*(D_iL)),0)</f>
        <v>0</v>
      </c>
      <c r="BU92" s="1" t="n">
        <f aca="false">IF(BH92&gt;0.5,MIN(F_LoanPayM,BH92+BH92*(D_iL)),0)</f>
        <v>0</v>
      </c>
      <c r="BV92" s="1" t="n">
        <f aca="false">IF(BI92&gt;0.5,MIN(F_LoanPayM,BI92+BI92*(D_iL)),0)</f>
        <v>0</v>
      </c>
      <c r="BW92" s="1" t="n">
        <f aca="false">IF(BJ92&gt;0.5,MIN(F_LoanPayM,BJ92+BJ92*(D_iL)),0)</f>
        <v>0</v>
      </c>
      <c r="BX92" s="1" t="n">
        <f aca="false">IF(BK92&gt;0.5,MIN(F_LoanPayM,BK92+BK92*(D_iL)),0)</f>
        <v>0</v>
      </c>
      <c r="BY92" s="1" t="n">
        <f aca="false">IF(BL92&gt;0.5,MIN(F_LoanPayM,BL92+BL92*(D_iL)),0)</f>
        <v>0</v>
      </c>
      <c r="BZ92" s="1" t="n">
        <f aca="false">IF(BM92&gt;0.5,MIN(F_LoanPayM,BM92+BM92*(D_iL)),0)</f>
        <v>0</v>
      </c>
      <c r="CA92" s="1" t="n">
        <f aca="false">IF(BN92&gt;0.5,MIN(F_LoanPayM,BN92+BN92*(D_iL)),0)</f>
        <v>0</v>
      </c>
      <c r="CB92" s="1" t="n">
        <f aca="false">IF(BO92&gt;0.5,MIN(F_LoanPayM,BO92+BO92*(D_iL)),0)</f>
        <v>0</v>
      </c>
      <c r="CC92" s="1" t="n">
        <f aca="false">IF(BP92&gt;0.5,MIN(F_LoanPayM,BP92+BP92*(D_iL)),0)</f>
        <v>0</v>
      </c>
      <c r="CD92" s="1" t="n">
        <f aca="false">MAX(0,BQ92)</f>
        <v>0</v>
      </c>
      <c r="CE92" s="1" t="n">
        <f aca="false">SUM(BR92:CC92)</f>
        <v>0</v>
      </c>
      <c r="CF92" s="1" t="n">
        <f aca="false">IF(CF91&gt;1,DE91,CF91)</f>
        <v>0</v>
      </c>
      <c r="CG92" s="1" t="n">
        <f aca="false">IF(CF92&gt;0.5,CF92+CF92*(F_MR/12)-MIN(F_MortPayM,CF92+CF92*(F_MR/12)),CF92)</f>
        <v>0</v>
      </c>
      <c r="CH92" s="1" t="n">
        <f aca="false">IF(CG92&gt;0.5,CG92+CG92*(F_MR/12)-MIN(F_MortPayM,CG92+CG92*(F_MR/12)),CG92)</f>
        <v>0</v>
      </c>
      <c r="CI92" s="1" t="n">
        <f aca="false">IF(CH92&gt;0.5,CH92+CH92*(F_MR/12)-MIN(F_MortPayM,CH92+CH92*(F_MR/12)),CH92)</f>
        <v>0</v>
      </c>
      <c r="CJ92" s="1" t="n">
        <f aca="false">IF(CI92&gt;0.5,CI92+CI92*(F_MR/12)-MIN(F_MortPayM,CI92+CI92*(F_MR/12)),CI92)</f>
        <v>0</v>
      </c>
      <c r="CK92" s="1" t="n">
        <f aca="false">IF(CJ92&gt;0.5,CJ92+CJ92*(F_MR/12)-MIN(F_MortPayM,CJ92+CJ92*(F_MR/12)),CJ92)</f>
        <v>0</v>
      </c>
      <c r="CL92" s="1" t="n">
        <f aca="false">IF(CK92&gt;0.5,CK92+CK92*(F_MR/12)-MIN(F_MortPayM,CK92+CK92*(F_MR/12)),CK92)</f>
        <v>0</v>
      </c>
      <c r="CM92" s="1" t="n">
        <f aca="false">IF(CL92&gt;0.5,CL92+CL92*(F_MR/12)-MIN(F_MortPayM,CL92+CL92*(F_MR/12)),CL92)</f>
        <v>0</v>
      </c>
      <c r="CN92" s="1" t="n">
        <f aca="false">IF(CM92&gt;0.5,CM92+CM92*(F_MR/12)-MIN(F_MortPayM,CM92+CM92*(F_MR/12)),CM92)</f>
        <v>0</v>
      </c>
      <c r="CO92" s="1" t="n">
        <f aca="false">IF(CN92&gt;0.5,CN92+CN92*(F_MR/12)-MIN(F_MortPayM,CN92+CN92*(F_MR/12)),CN92)</f>
        <v>0</v>
      </c>
      <c r="CP92" s="1" t="n">
        <f aca="false">IF(CO92&gt;0.5,CO92+CO92*(F_MR/12)-MIN(F_MortPayM,CO92+CO92*(F_MR/12)),CO92)</f>
        <v>0</v>
      </c>
      <c r="CQ92" s="1" t="n">
        <f aca="false">IF(CP92&gt;0.5,CP92+CP92*(F_MR/12)-MIN(F_MortPayM,CP92+CP92*(F_MR/12)),CP92)</f>
        <v>0</v>
      </c>
      <c r="CR92" s="1" t="n">
        <f aca="false">IF(CQ92&gt;0.5,CQ92+CQ92*(F_MR/12)-MIN(F_MortPayM,CQ92+CQ92*(F_MR/12)),CQ92)</f>
        <v>0</v>
      </c>
      <c r="CS92" s="1" t="n">
        <f aca="false">IF(CF92&gt;0.5,MIN(F_MortPayM,CF92+CF92*(F_MR/12)),0)</f>
        <v>0</v>
      </c>
      <c r="CT92" s="1" t="n">
        <f aca="false">IF(CG92&gt;0.5,MIN(F_MortPayM,CG92+CG92*(F_MR/12)),0)</f>
        <v>0</v>
      </c>
      <c r="CU92" s="1" t="n">
        <f aca="false">IF(CH92&gt;0.5,MIN(F_MortPayM,CH92+CH92*(F_MR/12)),0)</f>
        <v>0</v>
      </c>
      <c r="CV92" s="1" t="n">
        <f aca="false">IF(CI92&gt;0.5,MIN(F_MortPayM,CI92+CI92*(F_MR/12)),0)</f>
        <v>0</v>
      </c>
      <c r="CW92" s="1" t="n">
        <f aca="false">IF(CJ92&gt;0.5,MIN(F_MortPayM,CJ92+CJ92*(F_MR/12)),0)</f>
        <v>0</v>
      </c>
      <c r="CX92" s="1" t="n">
        <f aca="false">IF(CK92&gt;0.5,MIN(F_MortPayM,CK92+CK92*(F_MR/12)),0)</f>
        <v>0</v>
      </c>
      <c r="CY92" s="1" t="n">
        <f aca="false">IF(CL92&gt;0.5,MIN(F_MortPayM,CL92+CL92*(F_MR/12)),0)</f>
        <v>0</v>
      </c>
      <c r="CZ92" s="1" t="n">
        <f aca="false">IF(CM92&gt;0.5,MIN(F_MortPayM,CM92+CM92*(F_MR/12)),0)</f>
        <v>0</v>
      </c>
      <c r="DA92" s="1" t="n">
        <f aca="false">IF(CN92&gt;0.5,MIN(F_MortPayM,CN92+CN92*(F_MR/12)),0)</f>
        <v>0</v>
      </c>
      <c r="DB92" s="1" t="n">
        <f aca="false">IF(CO92&gt;0.5,MIN(F_MortPayM,CO92+CO92*(F_MR/12)),0)</f>
        <v>0</v>
      </c>
      <c r="DC92" s="1" t="n">
        <f aca="false">IF(CP92&gt;0.5,MIN(F_MortPayM,CP92+CP92*(F_MR/12)),0)</f>
        <v>0</v>
      </c>
      <c r="DD92" s="1" t="n">
        <f aca="false">IF(CQ92&gt;0.5,MIN(F_MortPayM,CQ92+CQ92*(F_MR/12)),0)</f>
        <v>0</v>
      </c>
      <c r="DE92" s="1" t="n">
        <f aca="false">MAX(0,CR92)</f>
        <v>0</v>
      </c>
      <c r="DF92" s="1" t="n">
        <f aca="false">SUM(CS92:DD92)</f>
        <v>0</v>
      </c>
      <c r="DG92" s="1" t="n">
        <f aca="false">MAX(0,CF92)</f>
        <v>0</v>
      </c>
    </row>
    <row r="93" customFormat="false" ht="15" hidden="false" customHeight="false" outlineLevel="0" collapsed="false">
      <c r="B93" s="1" t="n">
        <v>85</v>
      </c>
      <c r="C93" s="1" t="n">
        <f aca="false">'Plan cashflow'!I93</f>
        <v>0</v>
      </c>
      <c r="D93" s="1" t="n">
        <f aca="false">IF(C93&gt;0.5,C93+C93*(F_MR/12)-MIN(F_MortPayM,C93+C93*(F_MR/12)),C93)</f>
        <v>0</v>
      </c>
      <c r="E93" s="1" t="n">
        <f aca="false">IF(D93&gt;0.5,D93+D93*(F_MR/12)-MIN(F_MortPayM,D93+D93*(F_MR/12)),D93)</f>
        <v>0</v>
      </c>
      <c r="F93" s="1" t="n">
        <f aca="false">IF(E93&gt;0.5,E93+E93*(F_MR/12)-MIN(F_MortPayM,E93+E93*(F_MR/12)),E93)</f>
        <v>0</v>
      </c>
      <c r="G93" s="1" t="n">
        <f aca="false">IF(F93&gt;0.5,F93+F93*(F_MR/12)-MIN(F_MortPayM,F93+F93*(F_MR/12)),F93)</f>
        <v>0</v>
      </c>
      <c r="H93" s="1" t="n">
        <f aca="false">IF(G93&gt;0.5,G93+G93*(F_MR/12)-MIN(F_MortPayM,G93+G93*(F_MR/12)),G93)</f>
        <v>0</v>
      </c>
      <c r="I93" s="1" t="n">
        <f aca="false">IF(H93&gt;0.5,H93+H93*(F_MR/12)-MIN(F_MortPayM,H93+H93*(F_MR/12)),H93)</f>
        <v>0</v>
      </c>
      <c r="J93" s="1" t="n">
        <f aca="false">IF(I93&gt;0.5,I93+I93*(F_MR/12)-MIN(F_MortPayM,I93+I93*(F_MR/12)),I93)</f>
        <v>0</v>
      </c>
      <c r="K93" s="1" t="n">
        <f aca="false">IF(J93&gt;0.5,J93+J93*(F_MR/12)-MIN(F_MortPayM,J93+J93*(F_MR/12)),J93)</f>
        <v>0</v>
      </c>
      <c r="L93" s="1" t="n">
        <f aca="false">IF(K93&gt;0.5,K93+K93*(F_MR/12)-MIN(F_MortPayM,K93+K93*(F_MR/12)),K93)</f>
        <v>0</v>
      </c>
      <c r="M93" s="1" t="n">
        <f aca="false">IF(L93&gt;0.5,L93+L93*(F_MR/12)-MIN(F_MortPayM,L93+L93*(F_MR/12)),L93)</f>
        <v>0</v>
      </c>
      <c r="N93" s="1" t="n">
        <f aca="false">IF(M93&gt;0.5,M93+M93*(F_MR/12)-MIN(F_MortPayM,M93+M93*(F_MR/12)),M93)</f>
        <v>0</v>
      </c>
      <c r="O93" s="1" t="n">
        <f aca="false">IF(N93&gt;0.5,N93+N93*(F_MR/12)-MIN(F_MortPayM,N93+N93*(F_MR/12)),N93)</f>
        <v>0</v>
      </c>
      <c r="P93" s="1" t="n">
        <f aca="false">IF(C93&gt;0.5,MIN(F_MortPayM,C93+C93*(F_MR/12)),0)</f>
        <v>0</v>
      </c>
      <c r="Q93" s="1" t="n">
        <f aca="false">IF(D93&gt;0.5,MIN(F_MortPayM,D93+D93*(F_MR/12)),0)</f>
        <v>0</v>
      </c>
      <c r="R93" s="1" t="n">
        <f aca="false">IF(E93&gt;0.5,MIN(F_MortPayM,E93+E93*(F_MR/12)),0)</f>
        <v>0</v>
      </c>
      <c r="S93" s="1" t="n">
        <f aca="false">IF(F93&gt;0.5,MIN(F_MortPayM,F93+F93*(F_MR/12)),0)</f>
        <v>0</v>
      </c>
      <c r="T93" s="1" t="n">
        <f aca="false">IF(G93&gt;0.5,MIN(F_MortPayM,G93+G93*(F_MR/12)),0)</f>
        <v>0</v>
      </c>
      <c r="U93" s="1" t="n">
        <f aca="false">IF(H93&gt;0.5,MIN(F_MortPayM,H93+H93*(F_MR/12)),0)</f>
        <v>0</v>
      </c>
      <c r="V93" s="1" t="n">
        <f aca="false">IF(I93&gt;0.5,MIN(F_MortPayM,I93+I93*(F_MR/12)),0)</f>
        <v>0</v>
      </c>
      <c r="W93" s="1" t="n">
        <f aca="false">IF(J93&gt;0.5,MIN(F_MortPayM,J93+J93*(F_MR/12)),0)</f>
        <v>0</v>
      </c>
      <c r="X93" s="1" t="n">
        <f aca="false">IF(K93&gt;0.5,MIN(F_MortPayM,K93+K93*(F_MR/12)),0)</f>
        <v>0</v>
      </c>
      <c r="Y93" s="1" t="n">
        <f aca="false">IF(L93&gt;0.5,MIN(F_MortPayM,L93+L93*(F_MR/12)),0)</f>
        <v>0</v>
      </c>
      <c r="Z93" s="1" t="n">
        <f aca="false">IF(M93&gt;0.5,MIN(F_MortPayM,M93+M93*(F_MR/12)),0)</f>
        <v>0</v>
      </c>
      <c r="AA93" s="1" t="n">
        <f aca="false">IF(N93&gt;0.5,MIN(F_MortPayM,N93+N93*(F_MR/12)),0)</f>
        <v>0</v>
      </c>
      <c r="AB93" s="1" t="n">
        <f aca="false">MAX(0,O93)</f>
        <v>0</v>
      </c>
      <c r="AC93" s="1" t="n">
        <f aca="false">SUM(P93:AA93)</f>
        <v>0</v>
      </c>
      <c r="AD93" s="1" t="n">
        <f aca="false">'Plan cashflow'!L93</f>
        <v>0</v>
      </c>
      <c r="AE93" s="1" t="n">
        <f aca="false">IF(AD93&gt;0.5,AD93+AD93*(D_iC)-MIN(F_CardPayM,AD93+AD93*(D_iC)),AD93)</f>
        <v>0</v>
      </c>
      <c r="AF93" s="1" t="n">
        <f aca="false">IF(AE93&gt;0.5,AE93+AE93*(D_iC)-MIN(F_CardPayM,AE93+AE93*(D_iC)),AE93)</f>
        <v>0</v>
      </c>
      <c r="AG93" s="1" t="n">
        <f aca="false">IF(AF93&gt;0.5,AF93+AF93*(D_iC)-MIN(F_CardPayM,AF93+AF93*(D_iC)),AF93)</f>
        <v>0</v>
      </c>
      <c r="AH93" s="1" t="n">
        <f aca="false">IF(AG93&gt;0.5,AG93+AG93*(D_iC)-MIN(F_CardPayM,AG93+AG93*(D_iC)),AG93)</f>
        <v>0</v>
      </c>
      <c r="AI93" s="1" t="n">
        <f aca="false">IF(AH93&gt;0.5,AH93+AH93*(D_iC)-MIN(F_CardPayM,AH93+AH93*(D_iC)),AH93)</f>
        <v>0</v>
      </c>
      <c r="AJ93" s="1" t="n">
        <f aca="false">IF(AI93&gt;0.5,AI93+AI93*(D_iC)-MIN(F_CardPayM,AI93+AI93*(D_iC)),AI93)</f>
        <v>0</v>
      </c>
      <c r="AK93" s="1" t="n">
        <f aca="false">IF(AJ93&gt;0.5,AJ93+AJ93*(D_iC)-MIN(F_CardPayM,AJ93+AJ93*(D_iC)),AJ93)</f>
        <v>0</v>
      </c>
      <c r="AL93" s="1" t="n">
        <f aca="false">IF(AK93&gt;0.5,AK93+AK93*(D_iC)-MIN(F_CardPayM,AK93+AK93*(D_iC)),AK93)</f>
        <v>0</v>
      </c>
      <c r="AM93" s="1" t="n">
        <f aca="false">IF(AL93&gt;0.5,AL93+AL93*(D_iC)-MIN(F_CardPayM,AL93+AL93*(D_iC)),AL93)</f>
        <v>0</v>
      </c>
      <c r="AN93" s="1" t="n">
        <f aca="false">IF(AM93&gt;0.5,AM93+AM93*(D_iC)-MIN(F_CardPayM,AM93+AM93*(D_iC)),AM93)</f>
        <v>0</v>
      </c>
      <c r="AO93" s="1" t="n">
        <f aca="false">IF(AN93&gt;0.5,AN93+AN93*(D_iC)-MIN(F_CardPayM,AN93+AN93*(D_iC)),AN93)</f>
        <v>0</v>
      </c>
      <c r="AP93" s="1" t="n">
        <f aca="false">IF(AO93&gt;0.5,AO93+AO93*(D_iC)-MIN(F_CardPayM,AO93+AO93*(D_iC)),AO93)</f>
        <v>0</v>
      </c>
      <c r="AQ93" s="1" t="n">
        <f aca="false">IF(AD93&gt;0.5,MIN(F_CardPayM,AD93+AD93*(D_iC)),0)</f>
        <v>0</v>
      </c>
      <c r="AR93" s="1" t="n">
        <f aca="false">IF(AE93&gt;0.5,MIN(F_CardPayM,AE93+AE93*(D_iC)),0)</f>
        <v>0</v>
      </c>
      <c r="AS93" s="1" t="n">
        <f aca="false">IF(AF93&gt;0.5,MIN(F_CardPayM,AF93+AF93*(D_iC)),0)</f>
        <v>0</v>
      </c>
      <c r="AT93" s="1" t="n">
        <f aca="false">IF(AG93&gt;0.5,MIN(F_CardPayM,AG93+AG93*(D_iC)),0)</f>
        <v>0</v>
      </c>
      <c r="AU93" s="1" t="n">
        <f aca="false">IF(AH93&gt;0.5,MIN(F_CardPayM,AH93+AH93*(D_iC)),0)</f>
        <v>0</v>
      </c>
      <c r="AV93" s="1" t="n">
        <f aca="false">IF(AI93&gt;0.5,MIN(F_CardPayM,AI93+AI93*(D_iC)),0)</f>
        <v>0</v>
      </c>
      <c r="AW93" s="1" t="n">
        <f aca="false">IF(AJ93&gt;0.5,MIN(F_CardPayM,AJ93+AJ93*(D_iC)),0)</f>
        <v>0</v>
      </c>
      <c r="AX93" s="1" t="n">
        <f aca="false">IF(AK93&gt;0.5,MIN(F_CardPayM,AK93+AK93*(D_iC)),0)</f>
        <v>0</v>
      </c>
      <c r="AY93" s="1" t="n">
        <f aca="false">IF(AL93&gt;0.5,MIN(F_CardPayM,AL93+AL93*(D_iC)),0)</f>
        <v>0</v>
      </c>
      <c r="AZ93" s="1" t="n">
        <f aca="false">IF(AM93&gt;0.5,MIN(F_CardPayM,AM93+AM93*(D_iC)),0)</f>
        <v>0</v>
      </c>
      <c r="BA93" s="1" t="n">
        <f aca="false">IF(AN93&gt;0.5,MIN(F_CardPayM,AN93+AN93*(D_iC)),0)</f>
        <v>0</v>
      </c>
      <c r="BB93" s="1" t="n">
        <f aca="false">IF(AO93&gt;0.5,MIN(F_CardPayM,AO93+AO93*(D_iC)),0)</f>
        <v>0</v>
      </c>
      <c r="BC93" s="1" t="n">
        <f aca="false">MAX(0,AP93)</f>
        <v>0</v>
      </c>
      <c r="BD93" s="1" t="n">
        <f aca="false">SUM(AQ93:BB93)</f>
        <v>0</v>
      </c>
      <c r="BE93" s="1" t="n">
        <f aca="false">'Plan cashflow'!O93</f>
        <v>0</v>
      </c>
      <c r="BF93" s="1" t="n">
        <f aca="false">IF(BE93&gt;0.5,BE93+BE93*(D_iL)-MIN(F_LoanPayM,BE93+BE93*(D_iL)),BE93)</f>
        <v>0</v>
      </c>
      <c r="BG93" s="1" t="n">
        <f aca="false">IF(BF93&gt;0.5,BF93+BF93*(D_iL)-MIN(F_LoanPayM,BF93+BF93*(D_iL)),BF93)</f>
        <v>0</v>
      </c>
      <c r="BH93" s="1" t="n">
        <f aca="false">IF(BG93&gt;0.5,BG93+BG93*(D_iL)-MIN(F_LoanPayM,BG93+BG93*(D_iL)),BG93)</f>
        <v>0</v>
      </c>
      <c r="BI93" s="1" t="n">
        <f aca="false">IF(BH93&gt;0.5,BH93+BH93*(D_iL)-MIN(F_LoanPayM,BH93+BH93*(D_iL)),BH93)</f>
        <v>0</v>
      </c>
      <c r="BJ93" s="1" t="n">
        <f aca="false">IF(BI93&gt;0.5,BI93+BI93*(D_iL)-MIN(F_LoanPayM,BI93+BI93*(D_iL)),BI93)</f>
        <v>0</v>
      </c>
      <c r="BK93" s="1" t="n">
        <f aca="false">IF(BJ93&gt;0.5,BJ93+BJ93*(D_iL)-MIN(F_LoanPayM,BJ93+BJ93*(D_iL)),BJ93)</f>
        <v>0</v>
      </c>
      <c r="BL93" s="1" t="n">
        <f aca="false">IF(BK93&gt;0.5,BK93+BK93*(D_iL)-MIN(F_LoanPayM,BK93+BK93*(D_iL)),BK93)</f>
        <v>0</v>
      </c>
      <c r="BM93" s="1" t="n">
        <f aca="false">IF(BL93&gt;0.5,BL93+BL93*(D_iL)-MIN(F_LoanPayM,BL93+BL93*(D_iL)),BL93)</f>
        <v>0</v>
      </c>
      <c r="BN93" s="1" t="n">
        <f aca="false">IF(BM93&gt;0.5,BM93+BM93*(D_iL)-MIN(F_LoanPayM,BM93+BM93*(D_iL)),BM93)</f>
        <v>0</v>
      </c>
      <c r="BO93" s="1" t="n">
        <f aca="false">IF(BN93&gt;0.5,BN93+BN93*(D_iL)-MIN(F_LoanPayM,BN93+BN93*(D_iL)),BN93)</f>
        <v>0</v>
      </c>
      <c r="BP93" s="1" t="n">
        <f aca="false">IF(BO93&gt;0.5,BO93+BO93*(D_iL)-MIN(F_LoanPayM,BO93+BO93*(D_iL)),BO93)</f>
        <v>0</v>
      </c>
      <c r="BQ93" s="1" t="n">
        <f aca="false">IF(BP93&gt;0.5,BP93+BP93*(D_iL)-MIN(F_LoanPayM,BP93+BP93*(D_iL)),BP93)</f>
        <v>0</v>
      </c>
      <c r="BR93" s="1" t="n">
        <f aca="false">IF(BE93&gt;0.5,MIN(F_LoanPayM,BE93+BE93*(D_iL)),0)</f>
        <v>0</v>
      </c>
      <c r="BS93" s="1" t="n">
        <f aca="false">IF(BF93&gt;0.5,MIN(F_LoanPayM,BF93+BF93*(D_iL)),0)</f>
        <v>0</v>
      </c>
      <c r="BT93" s="1" t="n">
        <f aca="false">IF(BG93&gt;0.5,MIN(F_LoanPayM,BG93+BG93*(D_iL)),0)</f>
        <v>0</v>
      </c>
      <c r="BU93" s="1" t="n">
        <f aca="false">IF(BH93&gt;0.5,MIN(F_LoanPayM,BH93+BH93*(D_iL)),0)</f>
        <v>0</v>
      </c>
      <c r="BV93" s="1" t="n">
        <f aca="false">IF(BI93&gt;0.5,MIN(F_LoanPayM,BI93+BI93*(D_iL)),0)</f>
        <v>0</v>
      </c>
      <c r="BW93" s="1" t="n">
        <f aca="false">IF(BJ93&gt;0.5,MIN(F_LoanPayM,BJ93+BJ93*(D_iL)),0)</f>
        <v>0</v>
      </c>
      <c r="BX93" s="1" t="n">
        <f aca="false">IF(BK93&gt;0.5,MIN(F_LoanPayM,BK93+BK93*(D_iL)),0)</f>
        <v>0</v>
      </c>
      <c r="BY93" s="1" t="n">
        <f aca="false">IF(BL93&gt;0.5,MIN(F_LoanPayM,BL93+BL93*(D_iL)),0)</f>
        <v>0</v>
      </c>
      <c r="BZ93" s="1" t="n">
        <f aca="false">IF(BM93&gt;0.5,MIN(F_LoanPayM,BM93+BM93*(D_iL)),0)</f>
        <v>0</v>
      </c>
      <c r="CA93" s="1" t="n">
        <f aca="false">IF(BN93&gt;0.5,MIN(F_LoanPayM,BN93+BN93*(D_iL)),0)</f>
        <v>0</v>
      </c>
      <c r="CB93" s="1" t="n">
        <f aca="false">IF(BO93&gt;0.5,MIN(F_LoanPayM,BO93+BO93*(D_iL)),0)</f>
        <v>0</v>
      </c>
      <c r="CC93" s="1" t="n">
        <f aca="false">IF(BP93&gt;0.5,MIN(F_LoanPayM,BP93+BP93*(D_iL)),0)</f>
        <v>0</v>
      </c>
      <c r="CD93" s="1" t="n">
        <f aca="false">MAX(0,BQ93)</f>
        <v>0</v>
      </c>
      <c r="CE93" s="1" t="n">
        <f aca="false">SUM(BR93:CC93)</f>
        <v>0</v>
      </c>
      <c r="CF93" s="1" t="n">
        <f aca="false">IF(CF92&gt;1,DE92,CF92)</f>
        <v>0</v>
      </c>
      <c r="CG93" s="1" t="n">
        <f aca="false">IF(CF93&gt;0.5,CF93+CF93*(F_MR/12)-MIN(F_MortPayM,CF93+CF93*(F_MR/12)),CF93)</f>
        <v>0</v>
      </c>
      <c r="CH93" s="1" t="n">
        <f aca="false">IF(CG93&gt;0.5,CG93+CG93*(F_MR/12)-MIN(F_MortPayM,CG93+CG93*(F_MR/12)),CG93)</f>
        <v>0</v>
      </c>
      <c r="CI93" s="1" t="n">
        <f aca="false">IF(CH93&gt;0.5,CH93+CH93*(F_MR/12)-MIN(F_MortPayM,CH93+CH93*(F_MR/12)),CH93)</f>
        <v>0</v>
      </c>
      <c r="CJ93" s="1" t="n">
        <f aca="false">IF(CI93&gt;0.5,CI93+CI93*(F_MR/12)-MIN(F_MortPayM,CI93+CI93*(F_MR/12)),CI93)</f>
        <v>0</v>
      </c>
      <c r="CK93" s="1" t="n">
        <f aca="false">IF(CJ93&gt;0.5,CJ93+CJ93*(F_MR/12)-MIN(F_MortPayM,CJ93+CJ93*(F_MR/12)),CJ93)</f>
        <v>0</v>
      </c>
      <c r="CL93" s="1" t="n">
        <f aca="false">IF(CK93&gt;0.5,CK93+CK93*(F_MR/12)-MIN(F_MortPayM,CK93+CK93*(F_MR/12)),CK93)</f>
        <v>0</v>
      </c>
      <c r="CM93" s="1" t="n">
        <f aca="false">IF(CL93&gt;0.5,CL93+CL93*(F_MR/12)-MIN(F_MortPayM,CL93+CL93*(F_MR/12)),CL93)</f>
        <v>0</v>
      </c>
      <c r="CN93" s="1" t="n">
        <f aca="false">IF(CM93&gt;0.5,CM93+CM93*(F_MR/12)-MIN(F_MortPayM,CM93+CM93*(F_MR/12)),CM93)</f>
        <v>0</v>
      </c>
      <c r="CO93" s="1" t="n">
        <f aca="false">IF(CN93&gt;0.5,CN93+CN93*(F_MR/12)-MIN(F_MortPayM,CN93+CN93*(F_MR/12)),CN93)</f>
        <v>0</v>
      </c>
      <c r="CP93" s="1" t="n">
        <f aca="false">IF(CO93&gt;0.5,CO93+CO93*(F_MR/12)-MIN(F_MortPayM,CO93+CO93*(F_MR/12)),CO93)</f>
        <v>0</v>
      </c>
      <c r="CQ93" s="1" t="n">
        <f aca="false">IF(CP93&gt;0.5,CP93+CP93*(F_MR/12)-MIN(F_MortPayM,CP93+CP93*(F_MR/12)),CP93)</f>
        <v>0</v>
      </c>
      <c r="CR93" s="1" t="n">
        <f aca="false">IF(CQ93&gt;0.5,CQ93+CQ93*(F_MR/12)-MIN(F_MortPayM,CQ93+CQ93*(F_MR/12)),CQ93)</f>
        <v>0</v>
      </c>
      <c r="CS93" s="1" t="n">
        <f aca="false">IF(CF93&gt;0.5,MIN(F_MortPayM,CF93+CF93*(F_MR/12)),0)</f>
        <v>0</v>
      </c>
      <c r="CT93" s="1" t="n">
        <f aca="false">IF(CG93&gt;0.5,MIN(F_MortPayM,CG93+CG93*(F_MR/12)),0)</f>
        <v>0</v>
      </c>
      <c r="CU93" s="1" t="n">
        <f aca="false">IF(CH93&gt;0.5,MIN(F_MortPayM,CH93+CH93*(F_MR/12)),0)</f>
        <v>0</v>
      </c>
      <c r="CV93" s="1" t="n">
        <f aca="false">IF(CI93&gt;0.5,MIN(F_MortPayM,CI93+CI93*(F_MR/12)),0)</f>
        <v>0</v>
      </c>
      <c r="CW93" s="1" t="n">
        <f aca="false">IF(CJ93&gt;0.5,MIN(F_MortPayM,CJ93+CJ93*(F_MR/12)),0)</f>
        <v>0</v>
      </c>
      <c r="CX93" s="1" t="n">
        <f aca="false">IF(CK93&gt;0.5,MIN(F_MortPayM,CK93+CK93*(F_MR/12)),0)</f>
        <v>0</v>
      </c>
      <c r="CY93" s="1" t="n">
        <f aca="false">IF(CL93&gt;0.5,MIN(F_MortPayM,CL93+CL93*(F_MR/12)),0)</f>
        <v>0</v>
      </c>
      <c r="CZ93" s="1" t="n">
        <f aca="false">IF(CM93&gt;0.5,MIN(F_MortPayM,CM93+CM93*(F_MR/12)),0)</f>
        <v>0</v>
      </c>
      <c r="DA93" s="1" t="n">
        <f aca="false">IF(CN93&gt;0.5,MIN(F_MortPayM,CN93+CN93*(F_MR/12)),0)</f>
        <v>0</v>
      </c>
      <c r="DB93" s="1" t="n">
        <f aca="false">IF(CO93&gt;0.5,MIN(F_MortPayM,CO93+CO93*(F_MR/12)),0)</f>
        <v>0</v>
      </c>
      <c r="DC93" s="1" t="n">
        <f aca="false">IF(CP93&gt;0.5,MIN(F_MortPayM,CP93+CP93*(F_MR/12)),0)</f>
        <v>0</v>
      </c>
      <c r="DD93" s="1" t="n">
        <f aca="false">IF(CQ93&gt;0.5,MIN(F_MortPayM,CQ93+CQ93*(F_MR/12)),0)</f>
        <v>0</v>
      </c>
      <c r="DE93" s="1" t="n">
        <f aca="false">MAX(0,CR93)</f>
        <v>0</v>
      </c>
      <c r="DF93" s="1" t="n">
        <f aca="false">SUM(CS93:DD93)</f>
        <v>0</v>
      </c>
      <c r="DG93" s="1" t="n">
        <f aca="false">MAX(0,CF93)</f>
        <v>0</v>
      </c>
    </row>
    <row r="94" customFormat="false" ht="15" hidden="false" customHeight="false" outlineLevel="0" collapsed="false">
      <c r="B94" s="1" t="n">
        <v>86</v>
      </c>
      <c r="C94" s="1" t="n">
        <f aca="false">'Plan cashflow'!I94</f>
        <v>0</v>
      </c>
      <c r="D94" s="1" t="n">
        <f aca="false">IF(C94&gt;0.5,C94+C94*(F_MR/12)-MIN(F_MortPayM,C94+C94*(F_MR/12)),C94)</f>
        <v>0</v>
      </c>
      <c r="E94" s="1" t="n">
        <f aca="false">IF(D94&gt;0.5,D94+D94*(F_MR/12)-MIN(F_MortPayM,D94+D94*(F_MR/12)),D94)</f>
        <v>0</v>
      </c>
      <c r="F94" s="1" t="n">
        <f aca="false">IF(E94&gt;0.5,E94+E94*(F_MR/12)-MIN(F_MortPayM,E94+E94*(F_MR/12)),E94)</f>
        <v>0</v>
      </c>
      <c r="G94" s="1" t="n">
        <f aca="false">IF(F94&gt;0.5,F94+F94*(F_MR/12)-MIN(F_MortPayM,F94+F94*(F_MR/12)),F94)</f>
        <v>0</v>
      </c>
      <c r="H94" s="1" t="n">
        <f aca="false">IF(G94&gt;0.5,G94+G94*(F_MR/12)-MIN(F_MortPayM,G94+G94*(F_MR/12)),G94)</f>
        <v>0</v>
      </c>
      <c r="I94" s="1" t="n">
        <f aca="false">IF(H94&gt;0.5,H94+H94*(F_MR/12)-MIN(F_MortPayM,H94+H94*(F_MR/12)),H94)</f>
        <v>0</v>
      </c>
      <c r="J94" s="1" t="n">
        <f aca="false">IF(I94&gt;0.5,I94+I94*(F_MR/12)-MIN(F_MortPayM,I94+I94*(F_MR/12)),I94)</f>
        <v>0</v>
      </c>
      <c r="K94" s="1" t="n">
        <f aca="false">IF(J94&gt;0.5,J94+J94*(F_MR/12)-MIN(F_MortPayM,J94+J94*(F_MR/12)),J94)</f>
        <v>0</v>
      </c>
      <c r="L94" s="1" t="n">
        <f aca="false">IF(K94&gt;0.5,K94+K94*(F_MR/12)-MIN(F_MortPayM,K94+K94*(F_MR/12)),K94)</f>
        <v>0</v>
      </c>
      <c r="M94" s="1" t="n">
        <f aca="false">IF(L94&gt;0.5,L94+L94*(F_MR/12)-MIN(F_MortPayM,L94+L94*(F_MR/12)),L94)</f>
        <v>0</v>
      </c>
      <c r="N94" s="1" t="n">
        <f aca="false">IF(M94&gt;0.5,M94+M94*(F_MR/12)-MIN(F_MortPayM,M94+M94*(F_MR/12)),M94)</f>
        <v>0</v>
      </c>
      <c r="O94" s="1" t="n">
        <f aca="false">IF(N94&gt;0.5,N94+N94*(F_MR/12)-MIN(F_MortPayM,N94+N94*(F_MR/12)),N94)</f>
        <v>0</v>
      </c>
      <c r="P94" s="1" t="n">
        <f aca="false">IF(C94&gt;0.5,MIN(F_MortPayM,C94+C94*(F_MR/12)),0)</f>
        <v>0</v>
      </c>
      <c r="Q94" s="1" t="n">
        <f aca="false">IF(D94&gt;0.5,MIN(F_MortPayM,D94+D94*(F_MR/12)),0)</f>
        <v>0</v>
      </c>
      <c r="R94" s="1" t="n">
        <f aca="false">IF(E94&gt;0.5,MIN(F_MortPayM,E94+E94*(F_MR/12)),0)</f>
        <v>0</v>
      </c>
      <c r="S94" s="1" t="n">
        <f aca="false">IF(F94&gt;0.5,MIN(F_MortPayM,F94+F94*(F_MR/12)),0)</f>
        <v>0</v>
      </c>
      <c r="T94" s="1" t="n">
        <f aca="false">IF(G94&gt;0.5,MIN(F_MortPayM,G94+G94*(F_MR/12)),0)</f>
        <v>0</v>
      </c>
      <c r="U94" s="1" t="n">
        <f aca="false">IF(H94&gt;0.5,MIN(F_MortPayM,H94+H94*(F_MR/12)),0)</f>
        <v>0</v>
      </c>
      <c r="V94" s="1" t="n">
        <f aca="false">IF(I94&gt;0.5,MIN(F_MortPayM,I94+I94*(F_MR/12)),0)</f>
        <v>0</v>
      </c>
      <c r="W94" s="1" t="n">
        <f aca="false">IF(J94&gt;0.5,MIN(F_MortPayM,J94+J94*(F_MR/12)),0)</f>
        <v>0</v>
      </c>
      <c r="X94" s="1" t="n">
        <f aca="false">IF(K94&gt;0.5,MIN(F_MortPayM,K94+K94*(F_MR/12)),0)</f>
        <v>0</v>
      </c>
      <c r="Y94" s="1" t="n">
        <f aca="false">IF(L94&gt;0.5,MIN(F_MortPayM,L94+L94*(F_MR/12)),0)</f>
        <v>0</v>
      </c>
      <c r="Z94" s="1" t="n">
        <f aca="false">IF(M94&gt;0.5,MIN(F_MortPayM,M94+M94*(F_MR/12)),0)</f>
        <v>0</v>
      </c>
      <c r="AA94" s="1" t="n">
        <f aca="false">IF(N94&gt;0.5,MIN(F_MortPayM,N94+N94*(F_MR/12)),0)</f>
        <v>0</v>
      </c>
      <c r="AB94" s="1" t="n">
        <f aca="false">MAX(0,O94)</f>
        <v>0</v>
      </c>
      <c r="AC94" s="1" t="n">
        <f aca="false">SUM(P94:AA94)</f>
        <v>0</v>
      </c>
      <c r="AD94" s="1" t="n">
        <f aca="false">'Plan cashflow'!L94</f>
        <v>0</v>
      </c>
      <c r="AE94" s="1" t="n">
        <f aca="false">IF(AD94&gt;0.5,AD94+AD94*(D_iC)-MIN(F_CardPayM,AD94+AD94*(D_iC)),AD94)</f>
        <v>0</v>
      </c>
      <c r="AF94" s="1" t="n">
        <f aca="false">IF(AE94&gt;0.5,AE94+AE94*(D_iC)-MIN(F_CardPayM,AE94+AE94*(D_iC)),AE94)</f>
        <v>0</v>
      </c>
      <c r="AG94" s="1" t="n">
        <f aca="false">IF(AF94&gt;0.5,AF94+AF94*(D_iC)-MIN(F_CardPayM,AF94+AF94*(D_iC)),AF94)</f>
        <v>0</v>
      </c>
      <c r="AH94" s="1" t="n">
        <f aca="false">IF(AG94&gt;0.5,AG94+AG94*(D_iC)-MIN(F_CardPayM,AG94+AG94*(D_iC)),AG94)</f>
        <v>0</v>
      </c>
      <c r="AI94" s="1" t="n">
        <f aca="false">IF(AH94&gt;0.5,AH94+AH94*(D_iC)-MIN(F_CardPayM,AH94+AH94*(D_iC)),AH94)</f>
        <v>0</v>
      </c>
      <c r="AJ94" s="1" t="n">
        <f aca="false">IF(AI94&gt;0.5,AI94+AI94*(D_iC)-MIN(F_CardPayM,AI94+AI94*(D_iC)),AI94)</f>
        <v>0</v>
      </c>
      <c r="AK94" s="1" t="n">
        <f aca="false">IF(AJ94&gt;0.5,AJ94+AJ94*(D_iC)-MIN(F_CardPayM,AJ94+AJ94*(D_iC)),AJ94)</f>
        <v>0</v>
      </c>
      <c r="AL94" s="1" t="n">
        <f aca="false">IF(AK94&gt;0.5,AK94+AK94*(D_iC)-MIN(F_CardPayM,AK94+AK94*(D_iC)),AK94)</f>
        <v>0</v>
      </c>
      <c r="AM94" s="1" t="n">
        <f aca="false">IF(AL94&gt;0.5,AL94+AL94*(D_iC)-MIN(F_CardPayM,AL94+AL94*(D_iC)),AL94)</f>
        <v>0</v>
      </c>
      <c r="AN94" s="1" t="n">
        <f aca="false">IF(AM94&gt;0.5,AM94+AM94*(D_iC)-MIN(F_CardPayM,AM94+AM94*(D_iC)),AM94)</f>
        <v>0</v>
      </c>
      <c r="AO94" s="1" t="n">
        <f aca="false">IF(AN94&gt;0.5,AN94+AN94*(D_iC)-MIN(F_CardPayM,AN94+AN94*(D_iC)),AN94)</f>
        <v>0</v>
      </c>
      <c r="AP94" s="1" t="n">
        <f aca="false">IF(AO94&gt;0.5,AO94+AO94*(D_iC)-MIN(F_CardPayM,AO94+AO94*(D_iC)),AO94)</f>
        <v>0</v>
      </c>
      <c r="AQ94" s="1" t="n">
        <f aca="false">IF(AD94&gt;0.5,MIN(F_CardPayM,AD94+AD94*(D_iC)),0)</f>
        <v>0</v>
      </c>
      <c r="AR94" s="1" t="n">
        <f aca="false">IF(AE94&gt;0.5,MIN(F_CardPayM,AE94+AE94*(D_iC)),0)</f>
        <v>0</v>
      </c>
      <c r="AS94" s="1" t="n">
        <f aca="false">IF(AF94&gt;0.5,MIN(F_CardPayM,AF94+AF94*(D_iC)),0)</f>
        <v>0</v>
      </c>
      <c r="AT94" s="1" t="n">
        <f aca="false">IF(AG94&gt;0.5,MIN(F_CardPayM,AG94+AG94*(D_iC)),0)</f>
        <v>0</v>
      </c>
      <c r="AU94" s="1" t="n">
        <f aca="false">IF(AH94&gt;0.5,MIN(F_CardPayM,AH94+AH94*(D_iC)),0)</f>
        <v>0</v>
      </c>
      <c r="AV94" s="1" t="n">
        <f aca="false">IF(AI94&gt;0.5,MIN(F_CardPayM,AI94+AI94*(D_iC)),0)</f>
        <v>0</v>
      </c>
      <c r="AW94" s="1" t="n">
        <f aca="false">IF(AJ94&gt;0.5,MIN(F_CardPayM,AJ94+AJ94*(D_iC)),0)</f>
        <v>0</v>
      </c>
      <c r="AX94" s="1" t="n">
        <f aca="false">IF(AK94&gt;0.5,MIN(F_CardPayM,AK94+AK94*(D_iC)),0)</f>
        <v>0</v>
      </c>
      <c r="AY94" s="1" t="n">
        <f aca="false">IF(AL94&gt;0.5,MIN(F_CardPayM,AL94+AL94*(D_iC)),0)</f>
        <v>0</v>
      </c>
      <c r="AZ94" s="1" t="n">
        <f aca="false">IF(AM94&gt;0.5,MIN(F_CardPayM,AM94+AM94*(D_iC)),0)</f>
        <v>0</v>
      </c>
      <c r="BA94" s="1" t="n">
        <f aca="false">IF(AN94&gt;0.5,MIN(F_CardPayM,AN94+AN94*(D_iC)),0)</f>
        <v>0</v>
      </c>
      <c r="BB94" s="1" t="n">
        <f aca="false">IF(AO94&gt;0.5,MIN(F_CardPayM,AO94+AO94*(D_iC)),0)</f>
        <v>0</v>
      </c>
      <c r="BC94" s="1" t="n">
        <f aca="false">MAX(0,AP94)</f>
        <v>0</v>
      </c>
      <c r="BD94" s="1" t="n">
        <f aca="false">SUM(AQ94:BB94)</f>
        <v>0</v>
      </c>
      <c r="BE94" s="1" t="n">
        <f aca="false">'Plan cashflow'!O94</f>
        <v>0</v>
      </c>
      <c r="BF94" s="1" t="n">
        <f aca="false">IF(BE94&gt;0.5,BE94+BE94*(D_iL)-MIN(F_LoanPayM,BE94+BE94*(D_iL)),BE94)</f>
        <v>0</v>
      </c>
      <c r="BG94" s="1" t="n">
        <f aca="false">IF(BF94&gt;0.5,BF94+BF94*(D_iL)-MIN(F_LoanPayM,BF94+BF94*(D_iL)),BF94)</f>
        <v>0</v>
      </c>
      <c r="BH94" s="1" t="n">
        <f aca="false">IF(BG94&gt;0.5,BG94+BG94*(D_iL)-MIN(F_LoanPayM,BG94+BG94*(D_iL)),BG94)</f>
        <v>0</v>
      </c>
      <c r="BI94" s="1" t="n">
        <f aca="false">IF(BH94&gt;0.5,BH94+BH94*(D_iL)-MIN(F_LoanPayM,BH94+BH94*(D_iL)),BH94)</f>
        <v>0</v>
      </c>
      <c r="BJ94" s="1" t="n">
        <f aca="false">IF(BI94&gt;0.5,BI94+BI94*(D_iL)-MIN(F_LoanPayM,BI94+BI94*(D_iL)),BI94)</f>
        <v>0</v>
      </c>
      <c r="BK94" s="1" t="n">
        <f aca="false">IF(BJ94&gt;0.5,BJ94+BJ94*(D_iL)-MIN(F_LoanPayM,BJ94+BJ94*(D_iL)),BJ94)</f>
        <v>0</v>
      </c>
      <c r="BL94" s="1" t="n">
        <f aca="false">IF(BK94&gt;0.5,BK94+BK94*(D_iL)-MIN(F_LoanPayM,BK94+BK94*(D_iL)),BK94)</f>
        <v>0</v>
      </c>
      <c r="BM94" s="1" t="n">
        <f aca="false">IF(BL94&gt;0.5,BL94+BL94*(D_iL)-MIN(F_LoanPayM,BL94+BL94*(D_iL)),BL94)</f>
        <v>0</v>
      </c>
      <c r="BN94" s="1" t="n">
        <f aca="false">IF(BM94&gt;0.5,BM94+BM94*(D_iL)-MIN(F_LoanPayM,BM94+BM94*(D_iL)),BM94)</f>
        <v>0</v>
      </c>
      <c r="BO94" s="1" t="n">
        <f aca="false">IF(BN94&gt;0.5,BN94+BN94*(D_iL)-MIN(F_LoanPayM,BN94+BN94*(D_iL)),BN94)</f>
        <v>0</v>
      </c>
      <c r="BP94" s="1" t="n">
        <f aca="false">IF(BO94&gt;0.5,BO94+BO94*(D_iL)-MIN(F_LoanPayM,BO94+BO94*(D_iL)),BO94)</f>
        <v>0</v>
      </c>
      <c r="BQ94" s="1" t="n">
        <f aca="false">IF(BP94&gt;0.5,BP94+BP94*(D_iL)-MIN(F_LoanPayM,BP94+BP94*(D_iL)),BP94)</f>
        <v>0</v>
      </c>
      <c r="BR94" s="1" t="n">
        <f aca="false">IF(BE94&gt;0.5,MIN(F_LoanPayM,BE94+BE94*(D_iL)),0)</f>
        <v>0</v>
      </c>
      <c r="BS94" s="1" t="n">
        <f aca="false">IF(BF94&gt;0.5,MIN(F_LoanPayM,BF94+BF94*(D_iL)),0)</f>
        <v>0</v>
      </c>
      <c r="BT94" s="1" t="n">
        <f aca="false">IF(BG94&gt;0.5,MIN(F_LoanPayM,BG94+BG94*(D_iL)),0)</f>
        <v>0</v>
      </c>
      <c r="BU94" s="1" t="n">
        <f aca="false">IF(BH94&gt;0.5,MIN(F_LoanPayM,BH94+BH94*(D_iL)),0)</f>
        <v>0</v>
      </c>
      <c r="BV94" s="1" t="n">
        <f aca="false">IF(BI94&gt;0.5,MIN(F_LoanPayM,BI94+BI94*(D_iL)),0)</f>
        <v>0</v>
      </c>
      <c r="BW94" s="1" t="n">
        <f aca="false">IF(BJ94&gt;0.5,MIN(F_LoanPayM,BJ94+BJ94*(D_iL)),0)</f>
        <v>0</v>
      </c>
      <c r="BX94" s="1" t="n">
        <f aca="false">IF(BK94&gt;0.5,MIN(F_LoanPayM,BK94+BK94*(D_iL)),0)</f>
        <v>0</v>
      </c>
      <c r="BY94" s="1" t="n">
        <f aca="false">IF(BL94&gt;0.5,MIN(F_LoanPayM,BL94+BL94*(D_iL)),0)</f>
        <v>0</v>
      </c>
      <c r="BZ94" s="1" t="n">
        <f aca="false">IF(BM94&gt;0.5,MIN(F_LoanPayM,BM94+BM94*(D_iL)),0)</f>
        <v>0</v>
      </c>
      <c r="CA94" s="1" t="n">
        <f aca="false">IF(BN94&gt;0.5,MIN(F_LoanPayM,BN94+BN94*(D_iL)),0)</f>
        <v>0</v>
      </c>
      <c r="CB94" s="1" t="n">
        <f aca="false">IF(BO94&gt;0.5,MIN(F_LoanPayM,BO94+BO94*(D_iL)),0)</f>
        <v>0</v>
      </c>
      <c r="CC94" s="1" t="n">
        <f aca="false">IF(BP94&gt;0.5,MIN(F_LoanPayM,BP94+BP94*(D_iL)),0)</f>
        <v>0</v>
      </c>
      <c r="CD94" s="1" t="n">
        <f aca="false">MAX(0,BQ94)</f>
        <v>0</v>
      </c>
      <c r="CE94" s="1" t="n">
        <f aca="false">SUM(BR94:CC94)</f>
        <v>0</v>
      </c>
      <c r="CF94" s="1" t="n">
        <f aca="false">IF(CF93&gt;1,DE93,CF93)</f>
        <v>0</v>
      </c>
      <c r="CG94" s="1" t="n">
        <f aca="false">IF(CF94&gt;0.5,CF94+CF94*(F_MR/12)-MIN(F_MortPayM,CF94+CF94*(F_MR/12)),CF94)</f>
        <v>0</v>
      </c>
      <c r="CH94" s="1" t="n">
        <f aca="false">IF(CG94&gt;0.5,CG94+CG94*(F_MR/12)-MIN(F_MortPayM,CG94+CG94*(F_MR/12)),CG94)</f>
        <v>0</v>
      </c>
      <c r="CI94" s="1" t="n">
        <f aca="false">IF(CH94&gt;0.5,CH94+CH94*(F_MR/12)-MIN(F_MortPayM,CH94+CH94*(F_MR/12)),CH94)</f>
        <v>0</v>
      </c>
      <c r="CJ94" s="1" t="n">
        <f aca="false">IF(CI94&gt;0.5,CI94+CI94*(F_MR/12)-MIN(F_MortPayM,CI94+CI94*(F_MR/12)),CI94)</f>
        <v>0</v>
      </c>
      <c r="CK94" s="1" t="n">
        <f aca="false">IF(CJ94&gt;0.5,CJ94+CJ94*(F_MR/12)-MIN(F_MortPayM,CJ94+CJ94*(F_MR/12)),CJ94)</f>
        <v>0</v>
      </c>
      <c r="CL94" s="1" t="n">
        <f aca="false">IF(CK94&gt;0.5,CK94+CK94*(F_MR/12)-MIN(F_MortPayM,CK94+CK94*(F_MR/12)),CK94)</f>
        <v>0</v>
      </c>
      <c r="CM94" s="1" t="n">
        <f aca="false">IF(CL94&gt;0.5,CL94+CL94*(F_MR/12)-MIN(F_MortPayM,CL94+CL94*(F_MR/12)),CL94)</f>
        <v>0</v>
      </c>
      <c r="CN94" s="1" t="n">
        <f aca="false">IF(CM94&gt;0.5,CM94+CM94*(F_MR/12)-MIN(F_MortPayM,CM94+CM94*(F_MR/12)),CM94)</f>
        <v>0</v>
      </c>
      <c r="CO94" s="1" t="n">
        <f aca="false">IF(CN94&gt;0.5,CN94+CN94*(F_MR/12)-MIN(F_MortPayM,CN94+CN94*(F_MR/12)),CN94)</f>
        <v>0</v>
      </c>
      <c r="CP94" s="1" t="n">
        <f aca="false">IF(CO94&gt;0.5,CO94+CO94*(F_MR/12)-MIN(F_MortPayM,CO94+CO94*(F_MR/12)),CO94)</f>
        <v>0</v>
      </c>
      <c r="CQ94" s="1" t="n">
        <f aca="false">IF(CP94&gt;0.5,CP94+CP94*(F_MR/12)-MIN(F_MortPayM,CP94+CP94*(F_MR/12)),CP94)</f>
        <v>0</v>
      </c>
      <c r="CR94" s="1" t="n">
        <f aca="false">IF(CQ94&gt;0.5,CQ94+CQ94*(F_MR/12)-MIN(F_MortPayM,CQ94+CQ94*(F_MR/12)),CQ94)</f>
        <v>0</v>
      </c>
      <c r="CS94" s="1" t="n">
        <f aca="false">IF(CF94&gt;0.5,MIN(F_MortPayM,CF94+CF94*(F_MR/12)),0)</f>
        <v>0</v>
      </c>
      <c r="CT94" s="1" t="n">
        <f aca="false">IF(CG94&gt;0.5,MIN(F_MortPayM,CG94+CG94*(F_MR/12)),0)</f>
        <v>0</v>
      </c>
      <c r="CU94" s="1" t="n">
        <f aca="false">IF(CH94&gt;0.5,MIN(F_MortPayM,CH94+CH94*(F_MR/12)),0)</f>
        <v>0</v>
      </c>
      <c r="CV94" s="1" t="n">
        <f aca="false">IF(CI94&gt;0.5,MIN(F_MortPayM,CI94+CI94*(F_MR/12)),0)</f>
        <v>0</v>
      </c>
      <c r="CW94" s="1" t="n">
        <f aca="false">IF(CJ94&gt;0.5,MIN(F_MortPayM,CJ94+CJ94*(F_MR/12)),0)</f>
        <v>0</v>
      </c>
      <c r="CX94" s="1" t="n">
        <f aca="false">IF(CK94&gt;0.5,MIN(F_MortPayM,CK94+CK94*(F_MR/12)),0)</f>
        <v>0</v>
      </c>
      <c r="CY94" s="1" t="n">
        <f aca="false">IF(CL94&gt;0.5,MIN(F_MortPayM,CL94+CL94*(F_MR/12)),0)</f>
        <v>0</v>
      </c>
      <c r="CZ94" s="1" t="n">
        <f aca="false">IF(CM94&gt;0.5,MIN(F_MortPayM,CM94+CM94*(F_MR/12)),0)</f>
        <v>0</v>
      </c>
      <c r="DA94" s="1" t="n">
        <f aca="false">IF(CN94&gt;0.5,MIN(F_MortPayM,CN94+CN94*(F_MR/12)),0)</f>
        <v>0</v>
      </c>
      <c r="DB94" s="1" t="n">
        <f aca="false">IF(CO94&gt;0.5,MIN(F_MortPayM,CO94+CO94*(F_MR/12)),0)</f>
        <v>0</v>
      </c>
      <c r="DC94" s="1" t="n">
        <f aca="false">IF(CP94&gt;0.5,MIN(F_MortPayM,CP94+CP94*(F_MR/12)),0)</f>
        <v>0</v>
      </c>
      <c r="DD94" s="1" t="n">
        <f aca="false">IF(CQ94&gt;0.5,MIN(F_MortPayM,CQ94+CQ94*(F_MR/12)),0)</f>
        <v>0</v>
      </c>
      <c r="DE94" s="1" t="n">
        <f aca="false">MAX(0,CR94)</f>
        <v>0</v>
      </c>
      <c r="DF94" s="1" t="n">
        <f aca="false">SUM(CS94:DD94)</f>
        <v>0</v>
      </c>
      <c r="DG94" s="1" t="n">
        <f aca="false">MAX(0,CF94)</f>
        <v>0</v>
      </c>
    </row>
    <row r="95" customFormat="false" ht="15" hidden="false" customHeight="false" outlineLevel="0" collapsed="false">
      <c r="B95" s="1" t="n">
        <v>87</v>
      </c>
      <c r="C95" s="1" t="n">
        <f aca="false">'Plan cashflow'!I95</f>
        <v>0</v>
      </c>
      <c r="D95" s="1" t="n">
        <f aca="false">IF(C95&gt;0.5,C95+C95*(F_MR/12)-MIN(F_MortPayM,C95+C95*(F_MR/12)),C95)</f>
        <v>0</v>
      </c>
      <c r="E95" s="1" t="n">
        <f aca="false">IF(D95&gt;0.5,D95+D95*(F_MR/12)-MIN(F_MortPayM,D95+D95*(F_MR/12)),D95)</f>
        <v>0</v>
      </c>
      <c r="F95" s="1" t="n">
        <f aca="false">IF(E95&gt;0.5,E95+E95*(F_MR/12)-MIN(F_MortPayM,E95+E95*(F_MR/12)),E95)</f>
        <v>0</v>
      </c>
      <c r="G95" s="1" t="n">
        <f aca="false">IF(F95&gt;0.5,F95+F95*(F_MR/12)-MIN(F_MortPayM,F95+F95*(F_MR/12)),F95)</f>
        <v>0</v>
      </c>
      <c r="H95" s="1" t="n">
        <f aca="false">IF(G95&gt;0.5,G95+G95*(F_MR/12)-MIN(F_MortPayM,G95+G95*(F_MR/12)),G95)</f>
        <v>0</v>
      </c>
      <c r="I95" s="1" t="n">
        <f aca="false">IF(H95&gt;0.5,H95+H95*(F_MR/12)-MIN(F_MortPayM,H95+H95*(F_MR/12)),H95)</f>
        <v>0</v>
      </c>
      <c r="J95" s="1" t="n">
        <f aca="false">IF(I95&gt;0.5,I95+I95*(F_MR/12)-MIN(F_MortPayM,I95+I95*(F_MR/12)),I95)</f>
        <v>0</v>
      </c>
      <c r="K95" s="1" t="n">
        <f aca="false">IF(J95&gt;0.5,J95+J95*(F_MR/12)-MIN(F_MortPayM,J95+J95*(F_MR/12)),J95)</f>
        <v>0</v>
      </c>
      <c r="L95" s="1" t="n">
        <f aca="false">IF(K95&gt;0.5,K95+K95*(F_MR/12)-MIN(F_MortPayM,K95+K95*(F_MR/12)),K95)</f>
        <v>0</v>
      </c>
      <c r="M95" s="1" t="n">
        <f aca="false">IF(L95&gt;0.5,L95+L95*(F_MR/12)-MIN(F_MortPayM,L95+L95*(F_MR/12)),L95)</f>
        <v>0</v>
      </c>
      <c r="N95" s="1" t="n">
        <f aca="false">IF(M95&gt;0.5,M95+M95*(F_MR/12)-MIN(F_MortPayM,M95+M95*(F_MR/12)),M95)</f>
        <v>0</v>
      </c>
      <c r="O95" s="1" t="n">
        <f aca="false">IF(N95&gt;0.5,N95+N95*(F_MR/12)-MIN(F_MortPayM,N95+N95*(F_MR/12)),N95)</f>
        <v>0</v>
      </c>
      <c r="P95" s="1" t="n">
        <f aca="false">IF(C95&gt;0.5,MIN(F_MortPayM,C95+C95*(F_MR/12)),0)</f>
        <v>0</v>
      </c>
      <c r="Q95" s="1" t="n">
        <f aca="false">IF(D95&gt;0.5,MIN(F_MortPayM,D95+D95*(F_MR/12)),0)</f>
        <v>0</v>
      </c>
      <c r="R95" s="1" t="n">
        <f aca="false">IF(E95&gt;0.5,MIN(F_MortPayM,E95+E95*(F_MR/12)),0)</f>
        <v>0</v>
      </c>
      <c r="S95" s="1" t="n">
        <f aca="false">IF(F95&gt;0.5,MIN(F_MortPayM,F95+F95*(F_MR/12)),0)</f>
        <v>0</v>
      </c>
      <c r="T95" s="1" t="n">
        <f aca="false">IF(G95&gt;0.5,MIN(F_MortPayM,G95+G95*(F_MR/12)),0)</f>
        <v>0</v>
      </c>
      <c r="U95" s="1" t="n">
        <f aca="false">IF(H95&gt;0.5,MIN(F_MortPayM,H95+H95*(F_MR/12)),0)</f>
        <v>0</v>
      </c>
      <c r="V95" s="1" t="n">
        <f aca="false">IF(I95&gt;0.5,MIN(F_MortPayM,I95+I95*(F_MR/12)),0)</f>
        <v>0</v>
      </c>
      <c r="W95" s="1" t="n">
        <f aca="false">IF(J95&gt;0.5,MIN(F_MortPayM,J95+J95*(F_MR/12)),0)</f>
        <v>0</v>
      </c>
      <c r="X95" s="1" t="n">
        <f aca="false">IF(K95&gt;0.5,MIN(F_MortPayM,K95+K95*(F_MR/12)),0)</f>
        <v>0</v>
      </c>
      <c r="Y95" s="1" t="n">
        <f aca="false">IF(L95&gt;0.5,MIN(F_MortPayM,L95+L95*(F_MR/12)),0)</f>
        <v>0</v>
      </c>
      <c r="Z95" s="1" t="n">
        <f aca="false">IF(M95&gt;0.5,MIN(F_MortPayM,M95+M95*(F_MR/12)),0)</f>
        <v>0</v>
      </c>
      <c r="AA95" s="1" t="n">
        <f aca="false">IF(N95&gt;0.5,MIN(F_MortPayM,N95+N95*(F_MR/12)),0)</f>
        <v>0</v>
      </c>
      <c r="AB95" s="1" t="n">
        <f aca="false">MAX(0,O95)</f>
        <v>0</v>
      </c>
      <c r="AC95" s="1" t="n">
        <f aca="false">SUM(P95:AA95)</f>
        <v>0</v>
      </c>
      <c r="AD95" s="1" t="n">
        <f aca="false">'Plan cashflow'!L95</f>
        <v>0</v>
      </c>
      <c r="AE95" s="1" t="n">
        <f aca="false">IF(AD95&gt;0.5,AD95+AD95*(D_iC)-MIN(F_CardPayM,AD95+AD95*(D_iC)),AD95)</f>
        <v>0</v>
      </c>
      <c r="AF95" s="1" t="n">
        <f aca="false">IF(AE95&gt;0.5,AE95+AE95*(D_iC)-MIN(F_CardPayM,AE95+AE95*(D_iC)),AE95)</f>
        <v>0</v>
      </c>
      <c r="AG95" s="1" t="n">
        <f aca="false">IF(AF95&gt;0.5,AF95+AF95*(D_iC)-MIN(F_CardPayM,AF95+AF95*(D_iC)),AF95)</f>
        <v>0</v>
      </c>
      <c r="AH95" s="1" t="n">
        <f aca="false">IF(AG95&gt;0.5,AG95+AG95*(D_iC)-MIN(F_CardPayM,AG95+AG95*(D_iC)),AG95)</f>
        <v>0</v>
      </c>
      <c r="AI95" s="1" t="n">
        <f aca="false">IF(AH95&gt;0.5,AH95+AH95*(D_iC)-MIN(F_CardPayM,AH95+AH95*(D_iC)),AH95)</f>
        <v>0</v>
      </c>
      <c r="AJ95" s="1" t="n">
        <f aca="false">IF(AI95&gt;0.5,AI95+AI95*(D_iC)-MIN(F_CardPayM,AI95+AI95*(D_iC)),AI95)</f>
        <v>0</v>
      </c>
      <c r="AK95" s="1" t="n">
        <f aca="false">IF(AJ95&gt;0.5,AJ95+AJ95*(D_iC)-MIN(F_CardPayM,AJ95+AJ95*(D_iC)),AJ95)</f>
        <v>0</v>
      </c>
      <c r="AL95" s="1" t="n">
        <f aca="false">IF(AK95&gt;0.5,AK95+AK95*(D_iC)-MIN(F_CardPayM,AK95+AK95*(D_iC)),AK95)</f>
        <v>0</v>
      </c>
      <c r="AM95" s="1" t="n">
        <f aca="false">IF(AL95&gt;0.5,AL95+AL95*(D_iC)-MIN(F_CardPayM,AL95+AL95*(D_iC)),AL95)</f>
        <v>0</v>
      </c>
      <c r="AN95" s="1" t="n">
        <f aca="false">IF(AM95&gt;0.5,AM95+AM95*(D_iC)-MIN(F_CardPayM,AM95+AM95*(D_iC)),AM95)</f>
        <v>0</v>
      </c>
      <c r="AO95" s="1" t="n">
        <f aca="false">IF(AN95&gt;0.5,AN95+AN95*(D_iC)-MIN(F_CardPayM,AN95+AN95*(D_iC)),AN95)</f>
        <v>0</v>
      </c>
      <c r="AP95" s="1" t="n">
        <f aca="false">IF(AO95&gt;0.5,AO95+AO95*(D_iC)-MIN(F_CardPayM,AO95+AO95*(D_iC)),AO95)</f>
        <v>0</v>
      </c>
      <c r="AQ95" s="1" t="n">
        <f aca="false">IF(AD95&gt;0.5,MIN(F_CardPayM,AD95+AD95*(D_iC)),0)</f>
        <v>0</v>
      </c>
      <c r="AR95" s="1" t="n">
        <f aca="false">IF(AE95&gt;0.5,MIN(F_CardPayM,AE95+AE95*(D_iC)),0)</f>
        <v>0</v>
      </c>
      <c r="AS95" s="1" t="n">
        <f aca="false">IF(AF95&gt;0.5,MIN(F_CardPayM,AF95+AF95*(D_iC)),0)</f>
        <v>0</v>
      </c>
      <c r="AT95" s="1" t="n">
        <f aca="false">IF(AG95&gt;0.5,MIN(F_CardPayM,AG95+AG95*(D_iC)),0)</f>
        <v>0</v>
      </c>
      <c r="AU95" s="1" t="n">
        <f aca="false">IF(AH95&gt;0.5,MIN(F_CardPayM,AH95+AH95*(D_iC)),0)</f>
        <v>0</v>
      </c>
      <c r="AV95" s="1" t="n">
        <f aca="false">IF(AI95&gt;0.5,MIN(F_CardPayM,AI95+AI95*(D_iC)),0)</f>
        <v>0</v>
      </c>
      <c r="AW95" s="1" t="n">
        <f aca="false">IF(AJ95&gt;0.5,MIN(F_CardPayM,AJ95+AJ95*(D_iC)),0)</f>
        <v>0</v>
      </c>
      <c r="AX95" s="1" t="n">
        <f aca="false">IF(AK95&gt;0.5,MIN(F_CardPayM,AK95+AK95*(D_iC)),0)</f>
        <v>0</v>
      </c>
      <c r="AY95" s="1" t="n">
        <f aca="false">IF(AL95&gt;0.5,MIN(F_CardPayM,AL95+AL95*(D_iC)),0)</f>
        <v>0</v>
      </c>
      <c r="AZ95" s="1" t="n">
        <f aca="false">IF(AM95&gt;0.5,MIN(F_CardPayM,AM95+AM95*(D_iC)),0)</f>
        <v>0</v>
      </c>
      <c r="BA95" s="1" t="n">
        <f aca="false">IF(AN95&gt;0.5,MIN(F_CardPayM,AN95+AN95*(D_iC)),0)</f>
        <v>0</v>
      </c>
      <c r="BB95" s="1" t="n">
        <f aca="false">IF(AO95&gt;0.5,MIN(F_CardPayM,AO95+AO95*(D_iC)),0)</f>
        <v>0</v>
      </c>
      <c r="BC95" s="1" t="n">
        <f aca="false">MAX(0,AP95)</f>
        <v>0</v>
      </c>
      <c r="BD95" s="1" t="n">
        <f aca="false">SUM(AQ95:BB95)</f>
        <v>0</v>
      </c>
      <c r="BE95" s="1" t="n">
        <f aca="false">'Plan cashflow'!O95</f>
        <v>0</v>
      </c>
      <c r="BF95" s="1" t="n">
        <f aca="false">IF(BE95&gt;0.5,BE95+BE95*(D_iL)-MIN(F_LoanPayM,BE95+BE95*(D_iL)),BE95)</f>
        <v>0</v>
      </c>
      <c r="BG95" s="1" t="n">
        <f aca="false">IF(BF95&gt;0.5,BF95+BF95*(D_iL)-MIN(F_LoanPayM,BF95+BF95*(D_iL)),BF95)</f>
        <v>0</v>
      </c>
      <c r="BH95" s="1" t="n">
        <f aca="false">IF(BG95&gt;0.5,BG95+BG95*(D_iL)-MIN(F_LoanPayM,BG95+BG95*(D_iL)),BG95)</f>
        <v>0</v>
      </c>
      <c r="BI95" s="1" t="n">
        <f aca="false">IF(BH95&gt;0.5,BH95+BH95*(D_iL)-MIN(F_LoanPayM,BH95+BH95*(D_iL)),BH95)</f>
        <v>0</v>
      </c>
      <c r="BJ95" s="1" t="n">
        <f aca="false">IF(BI95&gt;0.5,BI95+BI95*(D_iL)-MIN(F_LoanPayM,BI95+BI95*(D_iL)),BI95)</f>
        <v>0</v>
      </c>
      <c r="BK95" s="1" t="n">
        <f aca="false">IF(BJ95&gt;0.5,BJ95+BJ95*(D_iL)-MIN(F_LoanPayM,BJ95+BJ95*(D_iL)),BJ95)</f>
        <v>0</v>
      </c>
      <c r="BL95" s="1" t="n">
        <f aca="false">IF(BK95&gt;0.5,BK95+BK95*(D_iL)-MIN(F_LoanPayM,BK95+BK95*(D_iL)),BK95)</f>
        <v>0</v>
      </c>
      <c r="BM95" s="1" t="n">
        <f aca="false">IF(BL95&gt;0.5,BL95+BL95*(D_iL)-MIN(F_LoanPayM,BL95+BL95*(D_iL)),BL95)</f>
        <v>0</v>
      </c>
      <c r="BN95" s="1" t="n">
        <f aca="false">IF(BM95&gt;0.5,BM95+BM95*(D_iL)-MIN(F_LoanPayM,BM95+BM95*(D_iL)),BM95)</f>
        <v>0</v>
      </c>
      <c r="BO95" s="1" t="n">
        <f aca="false">IF(BN95&gt;0.5,BN95+BN95*(D_iL)-MIN(F_LoanPayM,BN95+BN95*(D_iL)),BN95)</f>
        <v>0</v>
      </c>
      <c r="BP95" s="1" t="n">
        <f aca="false">IF(BO95&gt;0.5,BO95+BO95*(D_iL)-MIN(F_LoanPayM,BO95+BO95*(D_iL)),BO95)</f>
        <v>0</v>
      </c>
      <c r="BQ95" s="1" t="n">
        <f aca="false">IF(BP95&gt;0.5,BP95+BP95*(D_iL)-MIN(F_LoanPayM,BP95+BP95*(D_iL)),BP95)</f>
        <v>0</v>
      </c>
      <c r="BR95" s="1" t="n">
        <f aca="false">IF(BE95&gt;0.5,MIN(F_LoanPayM,BE95+BE95*(D_iL)),0)</f>
        <v>0</v>
      </c>
      <c r="BS95" s="1" t="n">
        <f aca="false">IF(BF95&gt;0.5,MIN(F_LoanPayM,BF95+BF95*(D_iL)),0)</f>
        <v>0</v>
      </c>
      <c r="BT95" s="1" t="n">
        <f aca="false">IF(BG95&gt;0.5,MIN(F_LoanPayM,BG95+BG95*(D_iL)),0)</f>
        <v>0</v>
      </c>
      <c r="BU95" s="1" t="n">
        <f aca="false">IF(BH95&gt;0.5,MIN(F_LoanPayM,BH95+BH95*(D_iL)),0)</f>
        <v>0</v>
      </c>
      <c r="BV95" s="1" t="n">
        <f aca="false">IF(BI95&gt;0.5,MIN(F_LoanPayM,BI95+BI95*(D_iL)),0)</f>
        <v>0</v>
      </c>
      <c r="BW95" s="1" t="n">
        <f aca="false">IF(BJ95&gt;0.5,MIN(F_LoanPayM,BJ95+BJ95*(D_iL)),0)</f>
        <v>0</v>
      </c>
      <c r="BX95" s="1" t="n">
        <f aca="false">IF(BK95&gt;0.5,MIN(F_LoanPayM,BK95+BK95*(D_iL)),0)</f>
        <v>0</v>
      </c>
      <c r="BY95" s="1" t="n">
        <f aca="false">IF(BL95&gt;0.5,MIN(F_LoanPayM,BL95+BL95*(D_iL)),0)</f>
        <v>0</v>
      </c>
      <c r="BZ95" s="1" t="n">
        <f aca="false">IF(BM95&gt;0.5,MIN(F_LoanPayM,BM95+BM95*(D_iL)),0)</f>
        <v>0</v>
      </c>
      <c r="CA95" s="1" t="n">
        <f aca="false">IF(BN95&gt;0.5,MIN(F_LoanPayM,BN95+BN95*(D_iL)),0)</f>
        <v>0</v>
      </c>
      <c r="CB95" s="1" t="n">
        <f aca="false">IF(BO95&gt;0.5,MIN(F_LoanPayM,BO95+BO95*(D_iL)),0)</f>
        <v>0</v>
      </c>
      <c r="CC95" s="1" t="n">
        <f aca="false">IF(BP95&gt;0.5,MIN(F_LoanPayM,BP95+BP95*(D_iL)),0)</f>
        <v>0</v>
      </c>
      <c r="CD95" s="1" t="n">
        <f aca="false">MAX(0,BQ95)</f>
        <v>0</v>
      </c>
      <c r="CE95" s="1" t="n">
        <f aca="false">SUM(BR95:CC95)</f>
        <v>0</v>
      </c>
      <c r="CF95" s="1" t="n">
        <f aca="false">IF(CF94&gt;1,DE94,CF94)</f>
        <v>0</v>
      </c>
      <c r="CG95" s="1" t="n">
        <f aca="false">IF(CF95&gt;0.5,CF95+CF95*(F_MR/12)-MIN(F_MortPayM,CF95+CF95*(F_MR/12)),CF95)</f>
        <v>0</v>
      </c>
      <c r="CH95" s="1" t="n">
        <f aca="false">IF(CG95&gt;0.5,CG95+CG95*(F_MR/12)-MIN(F_MortPayM,CG95+CG95*(F_MR/12)),CG95)</f>
        <v>0</v>
      </c>
      <c r="CI95" s="1" t="n">
        <f aca="false">IF(CH95&gt;0.5,CH95+CH95*(F_MR/12)-MIN(F_MortPayM,CH95+CH95*(F_MR/12)),CH95)</f>
        <v>0</v>
      </c>
      <c r="CJ95" s="1" t="n">
        <f aca="false">IF(CI95&gt;0.5,CI95+CI95*(F_MR/12)-MIN(F_MortPayM,CI95+CI95*(F_MR/12)),CI95)</f>
        <v>0</v>
      </c>
      <c r="CK95" s="1" t="n">
        <f aca="false">IF(CJ95&gt;0.5,CJ95+CJ95*(F_MR/12)-MIN(F_MortPayM,CJ95+CJ95*(F_MR/12)),CJ95)</f>
        <v>0</v>
      </c>
      <c r="CL95" s="1" t="n">
        <f aca="false">IF(CK95&gt;0.5,CK95+CK95*(F_MR/12)-MIN(F_MortPayM,CK95+CK95*(F_MR/12)),CK95)</f>
        <v>0</v>
      </c>
      <c r="CM95" s="1" t="n">
        <f aca="false">IF(CL95&gt;0.5,CL95+CL95*(F_MR/12)-MIN(F_MortPayM,CL95+CL95*(F_MR/12)),CL95)</f>
        <v>0</v>
      </c>
      <c r="CN95" s="1" t="n">
        <f aca="false">IF(CM95&gt;0.5,CM95+CM95*(F_MR/12)-MIN(F_MortPayM,CM95+CM95*(F_MR/12)),CM95)</f>
        <v>0</v>
      </c>
      <c r="CO95" s="1" t="n">
        <f aca="false">IF(CN95&gt;0.5,CN95+CN95*(F_MR/12)-MIN(F_MortPayM,CN95+CN95*(F_MR/12)),CN95)</f>
        <v>0</v>
      </c>
      <c r="CP95" s="1" t="n">
        <f aca="false">IF(CO95&gt;0.5,CO95+CO95*(F_MR/12)-MIN(F_MortPayM,CO95+CO95*(F_MR/12)),CO95)</f>
        <v>0</v>
      </c>
      <c r="CQ95" s="1" t="n">
        <f aca="false">IF(CP95&gt;0.5,CP95+CP95*(F_MR/12)-MIN(F_MortPayM,CP95+CP95*(F_MR/12)),CP95)</f>
        <v>0</v>
      </c>
      <c r="CR95" s="1" t="n">
        <f aca="false">IF(CQ95&gt;0.5,CQ95+CQ95*(F_MR/12)-MIN(F_MortPayM,CQ95+CQ95*(F_MR/12)),CQ95)</f>
        <v>0</v>
      </c>
      <c r="CS95" s="1" t="n">
        <f aca="false">IF(CF95&gt;0.5,MIN(F_MortPayM,CF95+CF95*(F_MR/12)),0)</f>
        <v>0</v>
      </c>
      <c r="CT95" s="1" t="n">
        <f aca="false">IF(CG95&gt;0.5,MIN(F_MortPayM,CG95+CG95*(F_MR/12)),0)</f>
        <v>0</v>
      </c>
      <c r="CU95" s="1" t="n">
        <f aca="false">IF(CH95&gt;0.5,MIN(F_MortPayM,CH95+CH95*(F_MR/12)),0)</f>
        <v>0</v>
      </c>
      <c r="CV95" s="1" t="n">
        <f aca="false">IF(CI95&gt;0.5,MIN(F_MortPayM,CI95+CI95*(F_MR/12)),0)</f>
        <v>0</v>
      </c>
      <c r="CW95" s="1" t="n">
        <f aca="false">IF(CJ95&gt;0.5,MIN(F_MortPayM,CJ95+CJ95*(F_MR/12)),0)</f>
        <v>0</v>
      </c>
      <c r="CX95" s="1" t="n">
        <f aca="false">IF(CK95&gt;0.5,MIN(F_MortPayM,CK95+CK95*(F_MR/12)),0)</f>
        <v>0</v>
      </c>
      <c r="CY95" s="1" t="n">
        <f aca="false">IF(CL95&gt;0.5,MIN(F_MortPayM,CL95+CL95*(F_MR/12)),0)</f>
        <v>0</v>
      </c>
      <c r="CZ95" s="1" t="n">
        <f aca="false">IF(CM95&gt;0.5,MIN(F_MortPayM,CM95+CM95*(F_MR/12)),0)</f>
        <v>0</v>
      </c>
      <c r="DA95" s="1" t="n">
        <f aca="false">IF(CN95&gt;0.5,MIN(F_MortPayM,CN95+CN95*(F_MR/12)),0)</f>
        <v>0</v>
      </c>
      <c r="DB95" s="1" t="n">
        <f aca="false">IF(CO95&gt;0.5,MIN(F_MortPayM,CO95+CO95*(F_MR/12)),0)</f>
        <v>0</v>
      </c>
      <c r="DC95" s="1" t="n">
        <f aca="false">IF(CP95&gt;0.5,MIN(F_MortPayM,CP95+CP95*(F_MR/12)),0)</f>
        <v>0</v>
      </c>
      <c r="DD95" s="1" t="n">
        <f aca="false">IF(CQ95&gt;0.5,MIN(F_MortPayM,CQ95+CQ95*(F_MR/12)),0)</f>
        <v>0</v>
      </c>
      <c r="DE95" s="1" t="n">
        <f aca="false">MAX(0,CR95)</f>
        <v>0</v>
      </c>
      <c r="DF95" s="1" t="n">
        <f aca="false">SUM(CS95:DD95)</f>
        <v>0</v>
      </c>
      <c r="DG95" s="1" t="n">
        <f aca="false">MAX(0,CF95)</f>
        <v>0</v>
      </c>
    </row>
    <row r="96" customFormat="false" ht="15" hidden="false" customHeight="false" outlineLevel="0" collapsed="false">
      <c r="B96" s="1" t="n">
        <v>88</v>
      </c>
      <c r="C96" s="1" t="n">
        <f aca="false">'Plan cashflow'!I96</f>
        <v>0</v>
      </c>
      <c r="D96" s="1" t="n">
        <f aca="false">IF(C96&gt;0.5,C96+C96*(F_MR/12)-MIN(F_MortPayM,C96+C96*(F_MR/12)),C96)</f>
        <v>0</v>
      </c>
      <c r="E96" s="1" t="n">
        <f aca="false">IF(D96&gt;0.5,D96+D96*(F_MR/12)-MIN(F_MortPayM,D96+D96*(F_MR/12)),D96)</f>
        <v>0</v>
      </c>
      <c r="F96" s="1" t="n">
        <f aca="false">IF(E96&gt;0.5,E96+E96*(F_MR/12)-MIN(F_MortPayM,E96+E96*(F_MR/12)),E96)</f>
        <v>0</v>
      </c>
      <c r="G96" s="1" t="n">
        <f aca="false">IF(F96&gt;0.5,F96+F96*(F_MR/12)-MIN(F_MortPayM,F96+F96*(F_MR/12)),F96)</f>
        <v>0</v>
      </c>
      <c r="H96" s="1" t="n">
        <f aca="false">IF(G96&gt;0.5,G96+G96*(F_MR/12)-MIN(F_MortPayM,G96+G96*(F_MR/12)),G96)</f>
        <v>0</v>
      </c>
      <c r="I96" s="1" t="n">
        <f aca="false">IF(H96&gt;0.5,H96+H96*(F_MR/12)-MIN(F_MortPayM,H96+H96*(F_MR/12)),H96)</f>
        <v>0</v>
      </c>
      <c r="J96" s="1" t="n">
        <f aca="false">IF(I96&gt;0.5,I96+I96*(F_MR/12)-MIN(F_MortPayM,I96+I96*(F_MR/12)),I96)</f>
        <v>0</v>
      </c>
      <c r="K96" s="1" t="n">
        <f aca="false">IF(J96&gt;0.5,J96+J96*(F_MR/12)-MIN(F_MortPayM,J96+J96*(F_MR/12)),J96)</f>
        <v>0</v>
      </c>
      <c r="L96" s="1" t="n">
        <f aca="false">IF(K96&gt;0.5,K96+K96*(F_MR/12)-MIN(F_MortPayM,K96+K96*(F_MR/12)),K96)</f>
        <v>0</v>
      </c>
      <c r="M96" s="1" t="n">
        <f aca="false">IF(L96&gt;0.5,L96+L96*(F_MR/12)-MIN(F_MortPayM,L96+L96*(F_MR/12)),L96)</f>
        <v>0</v>
      </c>
      <c r="N96" s="1" t="n">
        <f aca="false">IF(M96&gt;0.5,M96+M96*(F_MR/12)-MIN(F_MortPayM,M96+M96*(F_MR/12)),M96)</f>
        <v>0</v>
      </c>
      <c r="O96" s="1" t="n">
        <f aca="false">IF(N96&gt;0.5,N96+N96*(F_MR/12)-MIN(F_MortPayM,N96+N96*(F_MR/12)),N96)</f>
        <v>0</v>
      </c>
      <c r="P96" s="1" t="n">
        <f aca="false">IF(C96&gt;0.5,MIN(F_MortPayM,C96+C96*(F_MR/12)),0)</f>
        <v>0</v>
      </c>
      <c r="Q96" s="1" t="n">
        <f aca="false">IF(D96&gt;0.5,MIN(F_MortPayM,D96+D96*(F_MR/12)),0)</f>
        <v>0</v>
      </c>
      <c r="R96" s="1" t="n">
        <f aca="false">IF(E96&gt;0.5,MIN(F_MortPayM,E96+E96*(F_MR/12)),0)</f>
        <v>0</v>
      </c>
      <c r="S96" s="1" t="n">
        <f aca="false">IF(F96&gt;0.5,MIN(F_MortPayM,F96+F96*(F_MR/12)),0)</f>
        <v>0</v>
      </c>
      <c r="T96" s="1" t="n">
        <f aca="false">IF(G96&gt;0.5,MIN(F_MortPayM,G96+G96*(F_MR/12)),0)</f>
        <v>0</v>
      </c>
      <c r="U96" s="1" t="n">
        <f aca="false">IF(H96&gt;0.5,MIN(F_MortPayM,H96+H96*(F_MR/12)),0)</f>
        <v>0</v>
      </c>
      <c r="V96" s="1" t="n">
        <f aca="false">IF(I96&gt;0.5,MIN(F_MortPayM,I96+I96*(F_MR/12)),0)</f>
        <v>0</v>
      </c>
      <c r="W96" s="1" t="n">
        <f aca="false">IF(J96&gt;0.5,MIN(F_MortPayM,J96+J96*(F_MR/12)),0)</f>
        <v>0</v>
      </c>
      <c r="X96" s="1" t="n">
        <f aca="false">IF(K96&gt;0.5,MIN(F_MortPayM,K96+K96*(F_MR/12)),0)</f>
        <v>0</v>
      </c>
      <c r="Y96" s="1" t="n">
        <f aca="false">IF(L96&gt;0.5,MIN(F_MortPayM,L96+L96*(F_MR/12)),0)</f>
        <v>0</v>
      </c>
      <c r="Z96" s="1" t="n">
        <f aca="false">IF(M96&gt;0.5,MIN(F_MortPayM,M96+M96*(F_MR/12)),0)</f>
        <v>0</v>
      </c>
      <c r="AA96" s="1" t="n">
        <f aca="false">IF(N96&gt;0.5,MIN(F_MortPayM,N96+N96*(F_MR/12)),0)</f>
        <v>0</v>
      </c>
      <c r="AB96" s="1" t="n">
        <f aca="false">MAX(0,O96)</f>
        <v>0</v>
      </c>
      <c r="AC96" s="1" t="n">
        <f aca="false">SUM(P96:AA96)</f>
        <v>0</v>
      </c>
      <c r="AD96" s="1" t="n">
        <f aca="false">'Plan cashflow'!L96</f>
        <v>0</v>
      </c>
      <c r="AE96" s="1" t="n">
        <f aca="false">IF(AD96&gt;0.5,AD96+AD96*(D_iC)-MIN(F_CardPayM,AD96+AD96*(D_iC)),AD96)</f>
        <v>0</v>
      </c>
      <c r="AF96" s="1" t="n">
        <f aca="false">IF(AE96&gt;0.5,AE96+AE96*(D_iC)-MIN(F_CardPayM,AE96+AE96*(D_iC)),AE96)</f>
        <v>0</v>
      </c>
      <c r="AG96" s="1" t="n">
        <f aca="false">IF(AF96&gt;0.5,AF96+AF96*(D_iC)-MIN(F_CardPayM,AF96+AF96*(D_iC)),AF96)</f>
        <v>0</v>
      </c>
      <c r="AH96" s="1" t="n">
        <f aca="false">IF(AG96&gt;0.5,AG96+AG96*(D_iC)-MIN(F_CardPayM,AG96+AG96*(D_iC)),AG96)</f>
        <v>0</v>
      </c>
      <c r="AI96" s="1" t="n">
        <f aca="false">IF(AH96&gt;0.5,AH96+AH96*(D_iC)-MIN(F_CardPayM,AH96+AH96*(D_iC)),AH96)</f>
        <v>0</v>
      </c>
      <c r="AJ96" s="1" t="n">
        <f aca="false">IF(AI96&gt;0.5,AI96+AI96*(D_iC)-MIN(F_CardPayM,AI96+AI96*(D_iC)),AI96)</f>
        <v>0</v>
      </c>
      <c r="AK96" s="1" t="n">
        <f aca="false">IF(AJ96&gt;0.5,AJ96+AJ96*(D_iC)-MIN(F_CardPayM,AJ96+AJ96*(D_iC)),AJ96)</f>
        <v>0</v>
      </c>
      <c r="AL96" s="1" t="n">
        <f aca="false">IF(AK96&gt;0.5,AK96+AK96*(D_iC)-MIN(F_CardPayM,AK96+AK96*(D_iC)),AK96)</f>
        <v>0</v>
      </c>
      <c r="AM96" s="1" t="n">
        <f aca="false">IF(AL96&gt;0.5,AL96+AL96*(D_iC)-MIN(F_CardPayM,AL96+AL96*(D_iC)),AL96)</f>
        <v>0</v>
      </c>
      <c r="AN96" s="1" t="n">
        <f aca="false">IF(AM96&gt;0.5,AM96+AM96*(D_iC)-MIN(F_CardPayM,AM96+AM96*(D_iC)),AM96)</f>
        <v>0</v>
      </c>
      <c r="AO96" s="1" t="n">
        <f aca="false">IF(AN96&gt;0.5,AN96+AN96*(D_iC)-MIN(F_CardPayM,AN96+AN96*(D_iC)),AN96)</f>
        <v>0</v>
      </c>
      <c r="AP96" s="1" t="n">
        <f aca="false">IF(AO96&gt;0.5,AO96+AO96*(D_iC)-MIN(F_CardPayM,AO96+AO96*(D_iC)),AO96)</f>
        <v>0</v>
      </c>
      <c r="AQ96" s="1" t="n">
        <f aca="false">IF(AD96&gt;0.5,MIN(F_CardPayM,AD96+AD96*(D_iC)),0)</f>
        <v>0</v>
      </c>
      <c r="AR96" s="1" t="n">
        <f aca="false">IF(AE96&gt;0.5,MIN(F_CardPayM,AE96+AE96*(D_iC)),0)</f>
        <v>0</v>
      </c>
      <c r="AS96" s="1" t="n">
        <f aca="false">IF(AF96&gt;0.5,MIN(F_CardPayM,AF96+AF96*(D_iC)),0)</f>
        <v>0</v>
      </c>
      <c r="AT96" s="1" t="n">
        <f aca="false">IF(AG96&gt;0.5,MIN(F_CardPayM,AG96+AG96*(D_iC)),0)</f>
        <v>0</v>
      </c>
      <c r="AU96" s="1" t="n">
        <f aca="false">IF(AH96&gt;0.5,MIN(F_CardPayM,AH96+AH96*(D_iC)),0)</f>
        <v>0</v>
      </c>
      <c r="AV96" s="1" t="n">
        <f aca="false">IF(AI96&gt;0.5,MIN(F_CardPayM,AI96+AI96*(D_iC)),0)</f>
        <v>0</v>
      </c>
      <c r="AW96" s="1" t="n">
        <f aca="false">IF(AJ96&gt;0.5,MIN(F_CardPayM,AJ96+AJ96*(D_iC)),0)</f>
        <v>0</v>
      </c>
      <c r="AX96" s="1" t="n">
        <f aca="false">IF(AK96&gt;0.5,MIN(F_CardPayM,AK96+AK96*(D_iC)),0)</f>
        <v>0</v>
      </c>
      <c r="AY96" s="1" t="n">
        <f aca="false">IF(AL96&gt;0.5,MIN(F_CardPayM,AL96+AL96*(D_iC)),0)</f>
        <v>0</v>
      </c>
      <c r="AZ96" s="1" t="n">
        <f aca="false">IF(AM96&gt;0.5,MIN(F_CardPayM,AM96+AM96*(D_iC)),0)</f>
        <v>0</v>
      </c>
      <c r="BA96" s="1" t="n">
        <f aca="false">IF(AN96&gt;0.5,MIN(F_CardPayM,AN96+AN96*(D_iC)),0)</f>
        <v>0</v>
      </c>
      <c r="BB96" s="1" t="n">
        <f aca="false">IF(AO96&gt;0.5,MIN(F_CardPayM,AO96+AO96*(D_iC)),0)</f>
        <v>0</v>
      </c>
      <c r="BC96" s="1" t="n">
        <f aca="false">MAX(0,AP96)</f>
        <v>0</v>
      </c>
      <c r="BD96" s="1" t="n">
        <f aca="false">SUM(AQ96:BB96)</f>
        <v>0</v>
      </c>
      <c r="BE96" s="1" t="n">
        <f aca="false">'Plan cashflow'!O96</f>
        <v>0</v>
      </c>
      <c r="BF96" s="1" t="n">
        <f aca="false">IF(BE96&gt;0.5,BE96+BE96*(D_iL)-MIN(F_LoanPayM,BE96+BE96*(D_iL)),BE96)</f>
        <v>0</v>
      </c>
      <c r="BG96" s="1" t="n">
        <f aca="false">IF(BF96&gt;0.5,BF96+BF96*(D_iL)-MIN(F_LoanPayM,BF96+BF96*(D_iL)),BF96)</f>
        <v>0</v>
      </c>
      <c r="BH96" s="1" t="n">
        <f aca="false">IF(BG96&gt;0.5,BG96+BG96*(D_iL)-MIN(F_LoanPayM,BG96+BG96*(D_iL)),BG96)</f>
        <v>0</v>
      </c>
      <c r="BI96" s="1" t="n">
        <f aca="false">IF(BH96&gt;0.5,BH96+BH96*(D_iL)-MIN(F_LoanPayM,BH96+BH96*(D_iL)),BH96)</f>
        <v>0</v>
      </c>
      <c r="BJ96" s="1" t="n">
        <f aca="false">IF(BI96&gt;0.5,BI96+BI96*(D_iL)-MIN(F_LoanPayM,BI96+BI96*(D_iL)),BI96)</f>
        <v>0</v>
      </c>
      <c r="BK96" s="1" t="n">
        <f aca="false">IF(BJ96&gt;0.5,BJ96+BJ96*(D_iL)-MIN(F_LoanPayM,BJ96+BJ96*(D_iL)),BJ96)</f>
        <v>0</v>
      </c>
      <c r="BL96" s="1" t="n">
        <f aca="false">IF(BK96&gt;0.5,BK96+BK96*(D_iL)-MIN(F_LoanPayM,BK96+BK96*(D_iL)),BK96)</f>
        <v>0</v>
      </c>
      <c r="BM96" s="1" t="n">
        <f aca="false">IF(BL96&gt;0.5,BL96+BL96*(D_iL)-MIN(F_LoanPayM,BL96+BL96*(D_iL)),BL96)</f>
        <v>0</v>
      </c>
      <c r="BN96" s="1" t="n">
        <f aca="false">IF(BM96&gt;0.5,BM96+BM96*(D_iL)-MIN(F_LoanPayM,BM96+BM96*(D_iL)),BM96)</f>
        <v>0</v>
      </c>
      <c r="BO96" s="1" t="n">
        <f aca="false">IF(BN96&gt;0.5,BN96+BN96*(D_iL)-MIN(F_LoanPayM,BN96+BN96*(D_iL)),BN96)</f>
        <v>0</v>
      </c>
      <c r="BP96" s="1" t="n">
        <f aca="false">IF(BO96&gt;0.5,BO96+BO96*(D_iL)-MIN(F_LoanPayM,BO96+BO96*(D_iL)),BO96)</f>
        <v>0</v>
      </c>
      <c r="BQ96" s="1" t="n">
        <f aca="false">IF(BP96&gt;0.5,BP96+BP96*(D_iL)-MIN(F_LoanPayM,BP96+BP96*(D_iL)),BP96)</f>
        <v>0</v>
      </c>
      <c r="BR96" s="1" t="n">
        <f aca="false">IF(BE96&gt;0.5,MIN(F_LoanPayM,BE96+BE96*(D_iL)),0)</f>
        <v>0</v>
      </c>
      <c r="BS96" s="1" t="n">
        <f aca="false">IF(BF96&gt;0.5,MIN(F_LoanPayM,BF96+BF96*(D_iL)),0)</f>
        <v>0</v>
      </c>
      <c r="BT96" s="1" t="n">
        <f aca="false">IF(BG96&gt;0.5,MIN(F_LoanPayM,BG96+BG96*(D_iL)),0)</f>
        <v>0</v>
      </c>
      <c r="BU96" s="1" t="n">
        <f aca="false">IF(BH96&gt;0.5,MIN(F_LoanPayM,BH96+BH96*(D_iL)),0)</f>
        <v>0</v>
      </c>
      <c r="BV96" s="1" t="n">
        <f aca="false">IF(BI96&gt;0.5,MIN(F_LoanPayM,BI96+BI96*(D_iL)),0)</f>
        <v>0</v>
      </c>
      <c r="BW96" s="1" t="n">
        <f aca="false">IF(BJ96&gt;0.5,MIN(F_LoanPayM,BJ96+BJ96*(D_iL)),0)</f>
        <v>0</v>
      </c>
      <c r="BX96" s="1" t="n">
        <f aca="false">IF(BK96&gt;0.5,MIN(F_LoanPayM,BK96+BK96*(D_iL)),0)</f>
        <v>0</v>
      </c>
      <c r="BY96" s="1" t="n">
        <f aca="false">IF(BL96&gt;0.5,MIN(F_LoanPayM,BL96+BL96*(D_iL)),0)</f>
        <v>0</v>
      </c>
      <c r="BZ96" s="1" t="n">
        <f aca="false">IF(BM96&gt;0.5,MIN(F_LoanPayM,BM96+BM96*(D_iL)),0)</f>
        <v>0</v>
      </c>
      <c r="CA96" s="1" t="n">
        <f aca="false">IF(BN96&gt;0.5,MIN(F_LoanPayM,BN96+BN96*(D_iL)),0)</f>
        <v>0</v>
      </c>
      <c r="CB96" s="1" t="n">
        <f aca="false">IF(BO96&gt;0.5,MIN(F_LoanPayM,BO96+BO96*(D_iL)),0)</f>
        <v>0</v>
      </c>
      <c r="CC96" s="1" t="n">
        <f aca="false">IF(BP96&gt;0.5,MIN(F_LoanPayM,BP96+BP96*(D_iL)),0)</f>
        <v>0</v>
      </c>
      <c r="CD96" s="1" t="n">
        <f aca="false">MAX(0,BQ96)</f>
        <v>0</v>
      </c>
      <c r="CE96" s="1" t="n">
        <f aca="false">SUM(BR96:CC96)</f>
        <v>0</v>
      </c>
      <c r="CF96" s="1" t="n">
        <f aca="false">IF(CF95&gt;1,DE95,CF95)</f>
        <v>0</v>
      </c>
      <c r="CG96" s="1" t="n">
        <f aca="false">IF(CF96&gt;0.5,CF96+CF96*(F_MR/12)-MIN(F_MortPayM,CF96+CF96*(F_MR/12)),CF96)</f>
        <v>0</v>
      </c>
      <c r="CH96" s="1" t="n">
        <f aca="false">IF(CG96&gt;0.5,CG96+CG96*(F_MR/12)-MIN(F_MortPayM,CG96+CG96*(F_MR/12)),CG96)</f>
        <v>0</v>
      </c>
      <c r="CI96" s="1" t="n">
        <f aca="false">IF(CH96&gt;0.5,CH96+CH96*(F_MR/12)-MIN(F_MortPayM,CH96+CH96*(F_MR/12)),CH96)</f>
        <v>0</v>
      </c>
      <c r="CJ96" s="1" t="n">
        <f aca="false">IF(CI96&gt;0.5,CI96+CI96*(F_MR/12)-MIN(F_MortPayM,CI96+CI96*(F_MR/12)),CI96)</f>
        <v>0</v>
      </c>
      <c r="CK96" s="1" t="n">
        <f aca="false">IF(CJ96&gt;0.5,CJ96+CJ96*(F_MR/12)-MIN(F_MortPayM,CJ96+CJ96*(F_MR/12)),CJ96)</f>
        <v>0</v>
      </c>
      <c r="CL96" s="1" t="n">
        <f aca="false">IF(CK96&gt;0.5,CK96+CK96*(F_MR/12)-MIN(F_MortPayM,CK96+CK96*(F_MR/12)),CK96)</f>
        <v>0</v>
      </c>
      <c r="CM96" s="1" t="n">
        <f aca="false">IF(CL96&gt;0.5,CL96+CL96*(F_MR/12)-MIN(F_MortPayM,CL96+CL96*(F_MR/12)),CL96)</f>
        <v>0</v>
      </c>
      <c r="CN96" s="1" t="n">
        <f aca="false">IF(CM96&gt;0.5,CM96+CM96*(F_MR/12)-MIN(F_MortPayM,CM96+CM96*(F_MR/12)),CM96)</f>
        <v>0</v>
      </c>
      <c r="CO96" s="1" t="n">
        <f aca="false">IF(CN96&gt;0.5,CN96+CN96*(F_MR/12)-MIN(F_MortPayM,CN96+CN96*(F_MR/12)),CN96)</f>
        <v>0</v>
      </c>
      <c r="CP96" s="1" t="n">
        <f aca="false">IF(CO96&gt;0.5,CO96+CO96*(F_MR/12)-MIN(F_MortPayM,CO96+CO96*(F_MR/12)),CO96)</f>
        <v>0</v>
      </c>
      <c r="CQ96" s="1" t="n">
        <f aca="false">IF(CP96&gt;0.5,CP96+CP96*(F_MR/12)-MIN(F_MortPayM,CP96+CP96*(F_MR/12)),CP96)</f>
        <v>0</v>
      </c>
      <c r="CR96" s="1" t="n">
        <f aca="false">IF(CQ96&gt;0.5,CQ96+CQ96*(F_MR/12)-MIN(F_MortPayM,CQ96+CQ96*(F_MR/12)),CQ96)</f>
        <v>0</v>
      </c>
      <c r="CS96" s="1" t="n">
        <f aca="false">IF(CF96&gt;0.5,MIN(F_MortPayM,CF96+CF96*(F_MR/12)),0)</f>
        <v>0</v>
      </c>
      <c r="CT96" s="1" t="n">
        <f aca="false">IF(CG96&gt;0.5,MIN(F_MortPayM,CG96+CG96*(F_MR/12)),0)</f>
        <v>0</v>
      </c>
      <c r="CU96" s="1" t="n">
        <f aca="false">IF(CH96&gt;0.5,MIN(F_MortPayM,CH96+CH96*(F_MR/12)),0)</f>
        <v>0</v>
      </c>
      <c r="CV96" s="1" t="n">
        <f aca="false">IF(CI96&gt;0.5,MIN(F_MortPayM,CI96+CI96*(F_MR/12)),0)</f>
        <v>0</v>
      </c>
      <c r="CW96" s="1" t="n">
        <f aca="false">IF(CJ96&gt;0.5,MIN(F_MortPayM,CJ96+CJ96*(F_MR/12)),0)</f>
        <v>0</v>
      </c>
      <c r="CX96" s="1" t="n">
        <f aca="false">IF(CK96&gt;0.5,MIN(F_MortPayM,CK96+CK96*(F_MR/12)),0)</f>
        <v>0</v>
      </c>
      <c r="CY96" s="1" t="n">
        <f aca="false">IF(CL96&gt;0.5,MIN(F_MortPayM,CL96+CL96*(F_MR/12)),0)</f>
        <v>0</v>
      </c>
      <c r="CZ96" s="1" t="n">
        <f aca="false">IF(CM96&gt;0.5,MIN(F_MortPayM,CM96+CM96*(F_MR/12)),0)</f>
        <v>0</v>
      </c>
      <c r="DA96" s="1" t="n">
        <f aca="false">IF(CN96&gt;0.5,MIN(F_MortPayM,CN96+CN96*(F_MR/12)),0)</f>
        <v>0</v>
      </c>
      <c r="DB96" s="1" t="n">
        <f aca="false">IF(CO96&gt;0.5,MIN(F_MortPayM,CO96+CO96*(F_MR/12)),0)</f>
        <v>0</v>
      </c>
      <c r="DC96" s="1" t="n">
        <f aca="false">IF(CP96&gt;0.5,MIN(F_MortPayM,CP96+CP96*(F_MR/12)),0)</f>
        <v>0</v>
      </c>
      <c r="DD96" s="1" t="n">
        <f aca="false">IF(CQ96&gt;0.5,MIN(F_MortPayM,CQ96+CQ96*(F_MR/12)),0)</f>
        <v>0</v>
      </c>
      <c r="DE96" s="1" t="n">
        <f aca="false">MAX(0,CR96)</f>
        <v>0</v>
      </c>
      <c r="DF96" s="1" t="n">
        <f aca="false">SUM(CS96:DD96)</f>
        <v>0</v>
      </c>
      <c r="DG96" s="1" t="n">
        <f aca="false">MAX(0,CF96)</f>
        <v>0</v>
      </c>
    </row>
    <row r="97" customFormat="false" ht="15" hidden="false" customHeight="false" outlineLevel="0" collapsed="false">
      <c r="B97" s="1" t="n">
        <v>89</v>
      </c>
      <c r="C97" s="1" t="n">
        <f aca="false">'Plan cashflow'!I97</f>
        <v>0</v>
      </c>
      <c r="D97" s="1" t="n">
        <f aca="false">IF(C97&gt;0.5,C97+C97*(F_MR/12)-MIN(F_MortPayM,C97+C97*(F_MR/12)),C97)</f>
        <v>0</v>
      </c>
      <c r="E97" s="1" t="n">
        <f aca="false">IF(D97&gt;0.5,D97+D97*(F_MR/12)-MIN(F_MortPayM,D97+D97*(F_MR/12)),D97)</f>
        <v>0</v>
      </c>
      <c r="F97" s="1" t="n">
        <f aca="false">IF(E97&gt;0.5,E97+E97*(F_MR/12)-MIN(F_MortPayM,E97+E97*(F_MR/12)),E97)</f>
        <v>0</v>
      </c>
      <c r="G97" s="1" t="n">
        <f aca="false">IF(F97&gt;0.5,F97+F97*(F_MR/12)-MIN(F_MortPayM,F97+F97*(F_MR/12)),F97)</f>
        <v>0</v>
      </c>
      <c r="H97" s="1" t="n">
        <f aca="false">IF(G97&gt;0.5,G97+G97*(F_MR/12)-MIN(F_MortPayM,G97+G97*(F_MR/12)),G97)</f>
        <v>0</v>
      </c>
      <c r="I97" s="1" t="n">
        <f aca="false">IF(H97&gt;0.5,H97+H97*(F_MR/12)-MIN(F_MortPayM,H97+H97*(F_MR/12)),H97)</f>
        <v>0</v>
      </c>
      <c r="J97" s="1" t="n">
        <f aca="false">IF(I97&gt;0.5,I97+I97*(F_MR/12)-MIN(F_MortPayM,I97+I97*(F_MR/12)),I97)</f>
        <v>0</v>
      </c>
      <c r="K97" s="1" t="n">
        <f aca="false">IF(J97&gt;0.5,J97+J97*(F_MR/12)-MIN(F_MortPayM,J97+J97*(F_MR/12)),J97)</f>
        <v>0</v>
      </c>
      <c r="L97" s="1" t="n">
        <f aca="false">IF(K97&gt;0.5,K97+K97*(F_MR/12)-MIN(F_MortPayM,K97+K97*(F_MR/12)),K97)</f>
        <v>0</v>
      </c>
      <c r="M97" s="1" t="n">
        <f aca="false">IF(L97&gt;0.5,L97+L97*(F_MR/12)-MIN(F_MortPayM,L97+L97*(F_MR/12)),L97)</f>
        <v>0</v>
      </c>
      <c r="N97" s="1" t="n">
        <f aca="false">IF(M97&gt;0.5,M97+M97*(F_MR/12)-MIN(F_MortPayM,M97+M97*(F_MR/12)),M97)</f>
        <v>0</v>
      </c>
      <c r="O97" s="1" t="n">
        <f aca="false">IF(N97&gt;0.5,N97+N97*(F_MR/12)-MIN(F_MortPayM,N97+N97*(F_MR/12)),N97)</f>
        <v>0</v>
      </c>
      <c r="P97" s="1" t="n">
        <f aca="false">IF(C97&gt;0.5,MIN(F_MortPayM,C97+C97*(F_MR/12)),0)</f>
        <v>0</v>
      </c>
      <c r="Q97" s="1" t="n">
        <f aca="false">IF(D97&gt;0.5,MIN(F_MortPayM,D97+D97*(F_MR/12)),0)</f>
        <v>0</v>
      </c>
      <c r="R97" s="1" t="n">
        <f aca="false">IF(E97&gt;0.5,MIN(F_MortPayM,E97+E97*(F_MR/12)),0)</f>
        <v>0</v>
      </c>
      <c r="S97" s="1" t="n">
        <f aca="false">IF(F97&gt;0.5,MIN(F_MortPayM,F97+F97*(F_MR/12)),0)</f>
        <v>0</v>
      </c>
      <c r="T97" s="1" t="n">
        <f aca="false">IF(G97&gt;0.5,MIN(F_MortPayM,G97+G97*(F_MR/12)),0)</f>
        <v>0</v>
      </c>
      <c r="U97" s="1" t="n">
        <f aca="false">IF(H97&gt;0.5,MIN(F_MortPayM,H97+H97*(F_MR/12)),0)</f>
        <v>0</v>
      </c>
      <c r="V97" s="1" t="n">
        <f aca="false">IF(I97&gt;0.5,MIN(F_MortPayM,I97+I97*(F_MR/12)),0)</f>
        <v>0</v>
      </c>
      <c r="W97" s="1" t="n">
        <f aca="false">IF(J97&gt;0.5,MIN(F_MortPayM,J97+J97*(F_MR/12)),0)</f>
        <v>0</v>
      </c>
      <c r="X97" s="1" t="n">
        <f aca="false">IF(K97&gt;0.5,MIN(F_MortPayM,K97+K97*(F_MR/12)),0)</f>
        <v>0</v>
      </c>
      <c r="Y97" s="1" t="n">
        <f aca="false">IF(L97&gt;0.5,MIN(F_MortPayM,L97+L97*(F_MR/12)),0)</f>
        <v>0</v>
      </c>
      <c r="Z97" s="1" t="n">
        <f aca="false">IF(M97&gt;0.5,MIN(F_MortPayM,M97+M97*(F_MR/12)),0)</f>
        <v>0</v>
      </c>
      <c r="AA97" s="1" t="n">
        <f aca="false">IF(N97&gt;0.5,MIN(F_MortPayM,N97+N97*(F_MR/12)),0)</f>
        <v>0</v>
      </c>
      <c r="AB97" s="1" t="n">
        <f aca="false">MAX(0,O97)</f>
        <v>0</v>
      </c>
      <c r="AC97" s="1" t="n">
        <f aca="false">SUM(P97:AA97)</f>
        <v>0</v>
      </c>
      <c r="AD97" s="1" t="n">
        <f aca="false">'Plan cashflow'!L97</f>
        <v>0</v>
      </c>
      <c r="AE97" s="1" t="n">
        <f aca="false">IF(AD97&gt;0.5,AD97+AD97*(D_iC)-MIN(F_CardPayM,AD97+AD97*(D_iC)),AD97)</f>
        <v>0</v>
      </c>
      <c r="AF97" s="1" t="n">
        <f aca="false">IF(AE97&gt;0.5,AE97+AE97*(D_iC)-MIN(F_CardPayM,AE97+AE97*(D_iC)),AE97)</f>
        <v>0</v>
      </c>
      <c r="AG97" s="1" t="n">
        <f aca="false">IF(AF97&gt;0.5,AF97+AF97*(D_iC)-MIN(F_CardPayM,AF97+AF97*(D_iC)),AF97)</f>
        <v>0</v>
      </c>
      <c r="AH97" s="1" t="n">
        <f aca="false">IF(AG97&gt;0.5,AG97+AG97*(D_iC)-MIN(F_CardPayM,AG97+AG97*(D_iC)),AG97)</f>
        <v>0</v>
      </c>
      <c r="AI97" s="1" t="n">
        <f aca="false">IF(AH97&gt;0.5,AH97+AH97*(D_iC)-MIN(F_CardPayM,AH97+AH97*(D_iC)),AH97)</f>
        <v>0</v>
      </c>
      <c r="AJ97" s="1" t="n">
        <f aca="false">IF(AI97&gt;0.5,AI97+AI97*(D_iC)-MIN(F_CardPayM,AI97+AI97*(D_iC)),AI97)</f>
        <v>0</v>
      </c>
      <c r="AK97" s="1" t="n">
        <f aca="false">IF(AJ97&gt;0.5,AJ97+AJ97*(D_iC)-MIN(F_CardPayM,AJ97+AJ97*(D_iC)),AJ97)</f>
        <v>0</v>
      </c>
      <c r="AL97" s="1" t="n">
        <f aca="false">IF(AK97&gt;0.5,AK97+AK97*(D_iC)-MIN(F_CardPayM,AK97+AK97*(D_iC)),AK97)</f>
        <v>0</v>
      </c>
      <c r="AM97" s="1" t="n">
        <f aca="false">IF(AL97&gt;0.5,AL97+AL97*(D_iC)-MIN(F_CardPayM,AL97+AL97*(D_iC)),AL97)</f>
        <v>0</v>
      </c>
      <c r="AN97" s="1" t="n">
        <f aca="false">IF(AM97&gt;0.5,AM97+AM97*(D_iC)-MIN(F_CardPayM,AM97+AM97*(D_iC)),AM97)</f>
        <v>0</v>
      </c>
      <c r="AO97" s="1" t="n">
        <f aca="false">IF(AN97&gt;0.5,AN97+AN97*(D_iC)-MIN(F_CardPayM,AN97+AN97*(D_iC)),AN97)</f>
        <v>0</v>
      </c>
      <c r="AP97" s="1" t="n">
        <f aca="false">IF(AO97&gt;0.5,AO97+AO97*(D_iC)-MIN(F_CardPayM,AO97+AO97*(D_iC)),AO97)</f>
        <v>0</v>
      </c>
      <c r="AQ97" s="1" t="n">
        <f aca="false">IF(AD97&gt;0.5,MIN(F_CardPayM,AD97+AD97*(D_iC)),0)</f>
        <v>0</v>
      </c>
      <c r="AR97" s="1" t="n">
        <f aca="false">IF(AE97&gt;0.5,MIN(F_CardPayM,AE97+AE97*(D_iC)),0)</f>
        <v>0</v>
      </c>
      <c r="AS97" s="1" t="n">
        <f aca="false">IF(AF97&gt;0.5,MIN(F_CardPayM,AF97+AF97*(D_iC)),0)</f>
        <v>0</v>
      </c>
      <c r="AT97" s="1" t="n">
        <f aca="false">IF(AG97&gt;0.5,MIN(F_CardPayM,AG97+AG97*(D_iC)),0)</f>
        <v>0</v>
      </c>
      <c r="AU97" s="1" t="n">
        <f aca="false">IF(AH97&gt;0.5,MIN(F_CardPayM,AH97+AH97*(D_iC)),0)</f>
        <v>0</v>
      </c>
      <c r="AV97" s="1" t="n">
        <f aca="false">IF(AI97&gt;0.5,MIN(F_CardPayM,AI97+AI97*(D_iC)),0)</f>
        <v>0</v>
      </c>
      <c r="AW97" s="1" t="n">
        <f aca="false">IF(AJ97&gt;0.5,MIN(F_CardPayM,AJ97+AJ97*(D_iC)),0)</f>
        <v>0</v>
      </c>
      <c r="AX97" s="1" t="n">
        <f aca="false">IF(AK97&gt;0.5,MIN(F_CardPayM,AK97+AK97*(D_iC)),0)</f>
        <v>0</v>
      </c>
      <c r="AY97" s="1" t="n">
        <f aca="false">IF(AL97&gt;0.5,MIN(F_CardPayM,AL97+AL97*(D_iC)),0)</f>
        <v>0</v>
      </c>
      <c r="AZ97" s="1" t="n">
        <f aca="false">IF(AM97&gt;0.5,MIN(F_CardPayM,AM97+AM97*(D_iC)),0)</f>
        <v>0</v>
      </c>
      <c r="BA97" s="1" t="n">
        <f aca="false">IF(AN97&gt;0.5,MIN(F_CardPayM,AN97+AN97*(D_iC)),0)</f>
        <v>0</v>
      </c>
      <c r="BB97" s="1" t="n">
        <f aca="false">IF(AO97&gt;0.5,MIN(F_CardPayM,AO97+AO97*(D_iC)),0)</f>
        <v>0</v>
      </c>
      <c r="BC97" s="1" t="n">
        <f aca="false">MAX(0,AP97)</f>
        <v>0</v>
      </c>
      <c r="BD97" s="1" t="n">
        <f aca="false">SUM(AQ97:BB97)</f>
        <v>0</v>
      </c>
      <c r="BE97" s="1" t="n">
        <f aca="false">'Plan cashflow'!O97</f>
        <v>0</v>
      </c>
      <c r="BF97" s="1" t="n">
        <f aca="false">IF(BE97&gt;0.5,BE97+BE97*(D_iL)-MIN(F_LoanPayM,BE97+BE97*(D_iL)),BE97)</f>
        <v>0</v>
      </c>
      <c r="BG97" s="1" t="n">
        <f aca="false">IF(BF97&gt;0.5,BF97+BF97*(D_iL)-MIN(F_LoanPayM,BF97+BF97*(D_iL)),BF97)</f>
        <v>0</v>
      </c>
      <c r="BH97" s="1" t="n">
        <f aca="false">IF(BG97&gt;0.5,BG97+BG97*(D_iL)-MIN(F_LoanPayM,BG97+BG97*(D_iL)),BG97)</f>
        <v>0</v>
      </c>
      <c r="BI97" s="1" t="n">
        <f aca="false">IF(BH97&gt;0.5,BH97+BH97*(D_iL)-MIN(F_LoanPayM,BH97+BH97*(D_iL)),BH97)</f>
        <v>0</v>
      </c>
      <c r="BJ97" s="1" t="n">
        <f aca="false">IF(BI97&gt;0.5,BI97+BI97*(D_iL)-MIN(F_LoanPayM,BI97+BI97*(D_iL)),BI97)</f>
        <v>0</v>
      </c>
      <c r="BK97" s="1" t="n">
        <f aca="false">IF(BJ97&gt;0.5,BJ97+BJ97*(D_iL)-MIN(F_LoanPayM,BJ97+BJ97*(D_iL)),BJ97)</f>
        <v>0</v>
      </c>
      <c r="BL97" s="1" t="n">
        <f aca="false">IF(BK97&gt;0.5,BK97+BK97*(D_iL)-MIN(F_LoanPayM,BK97+BK97*(D_iL)),BK97)</f>
        <v>0</v>
      </c>
      <c r="BM97" s="1" t="n">
        <f aca="false">IF(BL97&gt;0.5,BL97+BL97*(D_iL)-MIN(F_LoanPayM,BL97+BL97*(D_iL)),BL97)</f>
        <v>0</v>
      </c>
      <c r="BN97" s="1" t="n">
        <f aca="false">IF(BM97&gt;0.5,BM97+BM97*(D_iL)-MIN(F_LoanPayM,BM97+BM97*(D_iL)),BM97)</f>
        <v>0</v>
      </c>
      <c r="BO97" s="1" t="n">
        <f aca="false">IF(BN97&gt;0.5,BN97+BN97*(D_iL)-MIN(F_LoanPayM,BN97+BN97*(D_iL)),BN97)</f>
        <v>0</v>
      </c>
      <c r="BP97" s="1" t="n">
        <f aca="false">IF(BO97&gt;0.5,BO97+BO97*(D_iL)-MIN(F_LoanPayM,BO97+BO97*(D_iL)),BO97)</f>
        <v>0</v>
      </c>
      <c r="BQ97" s="1" t="n">
        <f aca="false">IF(BP97&gt;0.5,BP97+BP97*(D_iL)-MIN(F_LoanPayM,BP97+BP97*(D_iL)),BP97)</f>
        <v>0</v>
      </c>
      <c r="BR97" s="1" t="n">
        <f aca="false">IF(BE97&gt;0.5,MIN(F_LoanPayM,BE97+BE97*(D_iL)),0)</f>
        <v>0</v>
      </c>
      <c r="BS97" s="1" t="n">
        <f aca="false">IF(BF97&gt;0.5,MIN(F_LoanPayM,BF97+BF97*(D_iL)),0)</f>
        <v>0</v>
      </c>
      <c r="BT97" s="1" t="n">
        <f aca="false">IF(BG97&gt;0.5,MIN(F_LoanPayM,BG97+BG97*(D_iL)),0)</f>
        <v>0</v>
      </c>
      <c r="BU97" s="1" t="n">
        <f aca="false">IF(BH97&gt;0.5,MIN(F_LoanPayM,BH97+BH97*(D_iL)),0)</f>
        <v>0</v>
      </c>
      <c r="BV97" s="1" t="n">
        <f aca="false">IF(BI97&gt;0.5,MIN(F_LoanPayM,BI97+BI97*(D_iL)),0)</f>
        <v>0</v>
      </c>
      <c r="BW97" s="1" t="n">
        <f aca="false">IF(BJ97&gt;0.5,MIN(F_LoanPayM,BJ97+BJ97*(D_iL)),0)</f>
        <v>0</v>
      </c>
      <c r="BX97" s="1" t="n">
        <f aca="false">IF(BK97&gt;0.5,MIN(F_LoanPayM,BK97+BK97*(D_iL)),0)</f>
        <v>0</v>
      </c>
      <c r="BY97" s="1" t="n">
        <f aca="false">IF(BL97&gt;0.5,MIN(F_LoanPayM,BL97+BL97*(D_iL)),0)</f>
        <v>0</v>
      </c>
      <c r="BZ97" s="1" t="n">
        <f aca="false">IF(BM97&gt;0.5,MIN(F_LoanPayM,BM97+BM97*(D_iL)),0)</f>
        <v>0</v>
      </c>
      <c r="CA97" s="1" t="n">
        <f aca="false">IF(BN97&gt;0.5,MIN(F_LoanPayM,BN97+BN97*(D_iL)),0)</f>
        <v>0</v>
      </c>
      <c r="CB97" s="1" t="n">
        <f aca="false">IF(BO97&gt;0.5,MIN(F_LoanPayM,BO97+BO97*(D_iL)),0)</f>
        <v>0</v>
      </c>
      <c r="CC97" s="1" t="n">
        <f aca="false">IF(BP97&gt;0.5,MIN(F_LoanPayM,BP97+BP97*(D_iL)),0)</f>
        <v>0</v>
      </c>
      <c r="CD97" s="1" t="n">
        <f aca="false">MAX(0,BQ97)</f>
        <v>0</v>
      </c>
      <c r="CE97" s="1" t="n">
        <f aca="false">SUM(BR97:CC97)</f>
        <v>0</v>
      </c>
      <c r="CF97" s="1" t="n">
        <f aca="false">IF(CF96&gt;1,DE96,CF96)</f>
        <v>0</v>
      </c>
      <c r="CG97" s="1" t="n">
        <f aca="false">IF(CF97&gt;0.5,CF97+CF97*(F_MR/12)-MIN(F_MortPayM,CF97+CF97*(F_MR/12)),CF97)</f>
        <v>0</v>
      </c>
      <c r="CH97" s="1" t="n">
        <f aca="false">IF(CG97&gt;0.5,CG97+CG97*(F_MR/12)-MIN(F_MortPayM,CG97+CG97*(F_MR/12)),CG97)</f>
        <v>0</v>
      </c>
      <c r="CI97" s="1" t="n">
        <f aca="false">IF(CH97&gt;0.5,CH97+CH97*(F_MR/12)-MIN(F_MortPayM,CH97+CH97*(F_MR/12)),CH97)</f>
        <v>0</v>
      </c>
      <c r="CJ97" s="1" t="n">
        <f aca="false">IF(CI97&gt;0.5,CI97+CI97*(F_MR/12)-MIN(F_MortPayM,CI97+CI97*(F_MR/12)),CI97)</f>
        <v>0</v>
      </c>
      <c r="CK97" s="1" t="n">
        <f aca="false">IF(CJ97&gt;0.5,CJ97+CJ97*(F_MR/12)-MIN(F_MortPayM,CJ97+CJ97*(F_MR/12)),CJ97)</f>
        <v>0</v>
      </c>
      <c r="CL97" s="1" t="n">
        <f aca="false">IF(CK97&gt;0.5,CK97+CK97*(F_MR/12)-MIN(F_MortPayM,CK97+CK97*(F_MR/12)),CK97)</f>
        <v>0</v>
      </c>
      <c r="CM97" s="1" t="n">
        <f aca="false">IF(CL97&gt;0.5,CL97+CL97*(F_MR/12)-MIN(F_MortPayM,CL97+CL97*(F_MR/12)),CL97)</f>
        <v>0</v>
      </c>
      <c r="CN97" s="1" t="n">
        <f aca="false">IF(CM97&gt;0.5,CM97+CM97*(F_MR/12)-MIN(F_MortPayM,CM97+CM97*(F_MR/12)),CM97)</f>
        <v>0</v>
      </c>
      <c r="CO97" s="1" t="n">
        <f aca="false">IF(CN97&gt;0.5,CN97+CN97*(F_MR/12)-MIN(F_MortPayM,CN97+CN97*(F_MR/12)),CN97)</f>
        <v>0</v>
      </c>
      <c r="CP97" s="1" t="n">
        <f aca="false">IF(CO97&gt;0.5,CO97+CO97*(F_MR/12)-MIN(F_MortPayM,CO97+CO97*(F_MR/12)),CO97)</f>
        <v>0</v>
      </c>
      <c r="CQ97" s="1" t="n">
        <f aca="false">IF(CP97&gt;0.5,CP97+CP97*(F_MR/12)-MIN(F_MortPayM,CP97+CP97*(F_MR/12)),CP97)</f>
        <v>0</v>
      </c>
      <c r="CR97" s="1" t="n">
        <f aca="false">IF(CQ97&gt;0.5,CQ97+CQ97*(F_MR/12)-MIN(F_MortPayM,CQ97+CQ97*(F_MR/12)),CQ97)</f>
        <v>0</v>
      </c>
      <c r="CS97" s="1" t="n">
        <f aca="false">IF(CF97&gt;0.5,MIN(F_MortPayM,CF97+CF97*(F_MR/12)),0)</f>
        <v>0</v>
      </c>
      <c r="CT97" s="1" t="n">
        <f aca="false">IF(CG97&gt;0.5,MIN(F_MortPayM,CG97+CG97*(F_MR/12)),0)</f>
        <v>0</v>
      </c>
      <c r="CU97" s="1" t="n">
        <f aca="false">IF(CH97&gt;0.5,MIN(F_MortPayM,CH97+CH97*(F_MR/12)),0)</f>
        <v>0</v>
      </c>
      <c r="CV97" s="1" t="n">
        <f aca="false">IF(CI97&gt;0.5,MIN(F_MortPayM,CI97+CI97*(F_MR/12)),0)</f>
        <v>0</v>
      </c>
      <c r="CW97" s="1" t="n">
        <f aca="false">IF(CJ97&gt;0.5,MIN(F_MortPayM,CJ97+CJ97*(F_MR/12)),0)</f>
        <v>0</v>
      </c>
      <c r="CX97" s="1" t="n">
        <f aca="false">IF(CK97&gt;0.5,MIN(F_MortPayM,CK97+CK97*(F_MR/12)),0)</f>
        <v>0</v>
      </c>
      <c r="CY97" s="1" t="n">
        <f aca="false">IF(CL97&gt;0.5,MIN(F_MortPayM,CL97+CL97*(F_MR/12)),0)</f>
        <v>0</v>
      </c>
      <c r="CZ97" s="1" t="n">
        <f aca="false">IF(CM97&gt;0.5,MIN(F_MortPayM,CM97+CM97*(F_MR/12)),0)</f>
        <v>0</v>
      </c>
      <c r="DA97" s="1" t="n">
        <f aca="false">IF(CN97&gt;0.5,MIN(F_MortPayM,CN97+CN97*(F_MR/12)),0)</f>
        <v>0</v>
      </c>
      <c r="DB97" s="1" t="n">
        <f aca="false">IF(CO97&gt;0.5,MIN(F_MortPayM,CO97+CO97*(F_MR/12)),0)</f>
        <v>0</v>
      </c>
      <c r="DC97" s="1" t="n">
        <f aca="false">IF(CP97&gt;0.5,MIN(F_MortPayM,CP97+CP97*(F_MR/12)),0)</f>
        <v>0</v>
      </c>
      <c r="DD97" s="1" t="n">
        <f aca="false">IF(CQ97&gt;0.5,MIN(F_MortPayM,CQ97+CQ97*(F_MR/12)),0)</f>
        <v>0</v>
      </c>
      <c r="DE97" s="1" t="n">
        <f aca="false">MAX(0,CR97)</f>
        <v>0</v>
      </c>
      <c r="DF97" s="1" t="n">
        <f aca="false">SUM(CS97:DD97)</f>
        <v>0</v>
      </c>
      <c r="DG97" s="1" t="n">
        <f aca="false">MAX(0,CF97)</f>
        <v>0</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C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44"/>
    <col collapsed="false" customWidth="true" hidden="false" outlineLevel="0" max="3" min="3" style="1" width="120"/>
  </cols>
  <sheetData>
    <row r="1" customFormat="false" ht="17.35" hidden="false" customHeight="false" outlineLevel="0" collapsed="false">
      <c r="B1" s="89" t="s">
        <v>2702</v>
      </c>
    </row>
    <row r="3" customFormat="false" ht="105" hidden="false" customHeight="true" outlineLevel="0" collapsed="false">
      <c r="B3" s="108" t="s">
        <v>2703</v>
      </c>
      <c r="C3" s="112" t="s">
        <v>2704</v>
      </c>
    </row>
    <row r="4" customFormat="false" ht="135" hidden="false" customHeight="true" outlineLevel="0" collapsed="false">
      <c r="B4" s="108" t="s">
        <v>2705</v>
      </c>
      <c r="C4" s="112" t="s">
        <v>2706</v>
      </c>
    </row>
    <row r="5" customFormat="false" ht="45" hidden="false" customHeight="true" outlineLevel="0" collapsed="false">
      <c r="B5" s="108" t="s">
        <v>2707</v>
      </c>
      <c r="C5" s="112" t="s">
        <v>2708</v>
      </c>
    </row>
    <row r="6" customFormat="false" ht="120" hidden="false" customHeight="true" outlineLevel="0" collapsed="false">
      <c r="B6" s="108" t="s">
        <v>2709</v>
      </c>
      <c r="C6" s="112" t="s">
        <v>2710</v>
      </c>
    </row>
    <row r="7" customFormat="false" ht="105" hidden="false" customHeight="true" outlineLevel="0" collapsed="false">
      <c r="B7" s="108" t="s">
        <v>2711</v>
      </c>
      <c r="C7" s="112" t="s">
        <v>2712</v>
      </c>
    </row>
    <row r="8" customFormat="false" ht="75" hidden="false" customHeight="true" outlineLevel="0" collapsed="false">
      <c r="B8" s="108" t="s">
        <v>2713</v>
      </c>
      <c r="C8" s="112" t="s">
        <v>2714</v>
      </c>
    </row>
    <row r="9" customFormat="false" ht="90" hidden="false" customHeight="true" outlineLevel="0" collapsed="false">
      <c r="B9" s="108" t="s">
        <v>2715</v>
      </c>
      <c r="C9" s="112" t="s">
        <v>2716</v>
      </c>
    </row>
    <row r="10" customFormat="false" ht="45" hidden="false" customHeight="true" outlineLevel="0" collapsed="false">
      <c r="B10" s="108" t="s">
        <v>2717</v>
      </c>
      <c r="C10" s="112" t="s">
        <v>2718</v>
      </c>
    </row>
    <row r="11" customFormat="false" ht="90" hidden="false" customHeight="true" outlineLevel="0" collapsed="false">
      <c r="B11" s="108" t="s">
        <v>2719</v>
      </c>
      <c r="C11" s="112" t="s">
        <v>2720</v>
      </c>
    </row>
    <row r="13" customFormat="false" ht="15" hidden="false" customHeight="false" outlineLevel="0" collapsed="false">
      <c r="B13" s="108" t="s">
        <v>2721</v>
      </c>
    </row>
    <row r="14" customFormat="false" ht="15" hidden="false" customHeight="false" outlineLevel="0" collapsed="false">
      <c r="B14" s="91" t="s">
        <v>2722</v>
      </c>
      <c r="C14" s="91" t="s">
        <v>2723</v>
      </c>
    </row>
    <row r="15" customFormat="false" ht="15" hidden="false" customHeight="false" outlineLevel="0" collapsed="false">
      <c r="B15" s="1" t="s">
        <v>2724</v>
      </c>
      <c r="C15" s="1" t="s">
        <v>2725</v>
      </c>
    </row>
    <row r="16" customFormat="false" ht="15" hidden="false" customHeight="false" outlineLevel="0" collapsed="false">
      <c r="B16" s="1" t="s">
        <v>2726</v>
      </c>
      <c r="C16" s="1" t="s">
        <v>2727</v>
      </c>
    </row>
    <row r="17" customFormat="false" ht="15" hidden="false" customHeight="false" outlineLevel="0" collapsed="false">
      <c r="B17" s="1" t="s">
        <v>2728</v>
      </c>
      <c r="C17" s="1" t="s">
        <v>2729</v>
      </c>
    </row>
    <row r="18" customFormat="false" ht="15" hidden="false" customHeight="false" outlineLevel="0" collapsed="false">
      <c r="B18" s="1" t="s">
        <v>2730</v>
      </c>
      <c r="C18" s="1" t="s">
        <v>2731</v>
      </c>
    </row>
    <row r="19" customFormat="false" ht="15" hidden="false" customHeight="false" outlineLevel="0" collapsed="false">
      <c r="B19" s="1" t="s">
        <v>2732</v>
      </c>
      <c r="C19" s="1" t="s">
        <v>2733</v>
      </c>
    </row>
    <row r="20" customFormat="false" ht="15" hidden="false" customHeight="false" outlineLevel="0" collapsed="false">
      <c r="B20" s="1" t="s">
        <v>2734</v>
      </c>
      <c r="C20" s="1" t="s">
        <v>2735</v>
      </c>
    </row>
    <row r="21" customFormat="false" ht="15" hidden="false" customHeight="false" outlineLevel="0" collapsed="false">
      <c r="B21" s="1" t="s">
        <v>2736</v>
      </c>
      <c r="C21" s="1" t="s">
        <v>2737</v>
      </c>
    </row>
    <row r="22" customFormat="false" ht="15" hidden="false" customHeight="false" outlineLevel="0" collapsed="false">
      <c r="B22" s="1" t="s">
        <v>2738</v>
      </c>
      <c r="C22" s="1" t="s">
        <v>2739</v>
      </c>
    </row>
    <row r="23" customFormat="false" ht="15" hidden="false" customHeight="false" outlineLevel="0" collapsed="false">
      <c r="B23" s="1" t="s">
        <v>2740</v>
      </c>
      <c r="C23" s="1" t="s">
        <v>2741</v>
      </c>
    </row>
    <row r="24" customFormat="false" ht="15" hidden="false" customHeight="false" outlineLevel="0" collapsed="false">
      <c r="B24" s="1" t="s">
        <v>2742</v>
      </c>
      <c r="C24" s="1" t="s">
        <v>2743</v>
      </c>
    </row>
    <row r="25" customFormat="false" ht="15" hidden="false" customHeight="false" outlineLevel="0" collapsed="false">
      <c r="B25" s="1" t="s">
        <v>2744</v>
      </c>
      <c r="C25" s="1" t="s">
        <v>2745</v>
      </c>
    </row>
    <row r="26" customFormat="false" ht="15" hidden="false" customHeight="false" outlineLevel="0" collapsed="false">
      <c r="B26" s="1" t="s">
        <v>2746</v>
      </c>
      <c r="C26" s="1" t="s">
        <v>2747</v>
      </c>
    </row>
    <row r="27" customFormat="false" ht="15" hidden="false" customHeight="false" outlineLevel="0" collapsed="false">
      <c r="B27" s="1" t="s">
        <v>2748</v>
      </c>
      <c r="C27" s="1" t="s">
        <v>2749</v>
      </c>
    </row>
    <row r="28" customFormat="false" ht="15" hidden="false" customHeight="false" outlineLevel="0" collapsed="false">
      <c r="B28" s="1" t="s">
        <v>2750</v>
      </c>
      <c r="C28" s="1" t="s">
        <v>2751</v>
      </c>
    </row>
    <row r="29" customFormat="false" ht="15" hidden="false" customHeight="false" outlineLevel="0" collapsed="false">
      <c r="B29" s="1" t="s">
        <v>2752</v>
      </c>
      <c r="C29" s="1" t="s">
        <v>2753</v>
      </c>
    </row>
    <row r="30" customFormat="false" ht="15" hidden="false" customHeight="false" outlineLevel="0" collapsed="false">
      <c r="B30" s="1" t="s">
        <v>2754</v>
      </c>
      <c r="C30" s="1" t="s">
        <v>2755</v>
      </c>
    </row>
    <row r="31" customFormat="false" ht="15" hidden="false" customHeight="false" outlineLevel="0" collapsed="false">
      <c r="B31" s="1" t="s">
        <v>2756</v>
      </c>
      <c r="C31" s="1" t="s">
        <v>2757</v>
      </c>
    </row>
    <row r="32" customFormat="false" ht="15" hidden="false" customHeight="false" outlineLevel="0" collapsed="false">
      <c r="B32" s="1" t="s">
        <v>2758</v>
      </c>
      <c r="C32" s="1" t="s">
        <v>2759</v>
      </c>
    </row>
    <row r="33" customFormat="false" ht="15" hidden="false" customHeight="false" outlineLevel="0" collapsed="false">
      <c r="B33" s="1" t="s">
        <v>2760</v>
      </c>
      <c r="C33" s="1" t="s">
        <v>2761</v>
      </c>
    </row>
    <row r="34" customFormat="false" ht="15" hidden="false" customHeight="false" outlineLevel="0" collapsed="false">
      <c r="B34" s="1" t="s">
        <v>2762</v>
      </c>
      <c r="C34" s="1" t="s">
        <v>2763</v>
      </c>
    </row>
    <row r="35" customFormat="false" ht="15" hidden="false" customHeight="false" outlineLevel="0" collapsed="false">
      <c r="B35" s="1" t="s">
        <v>2764</v>
      </c>
      <c r="C35" s="1" t="s">
        <v>2765</v>
      </c>
    </row>
    <row r="36" customFormat="false" ht="15" hidden="false" customHeight="false" outlineLevel="0" collapsed="false">
      <c r="B36" s="1" t="s">
        <v>2766</v>
      </c>
      <c r="C36" s="1" t="s">
        <v>2767</v>
      </c>
    </row>
    <row r="37" customFormat="false" ht="15" hidden="false" customHeight="false" outlineLevel="0" collapsed="false">
      <c r="B37" s="1" t="s">
        <v>2768</v>
      </c>
      <c r="C37" s="1" t="s">
        <v>2769</v>
      </c>
    </row>
    <row r="38" customFormat="false" ht="15" hidden="false" customHeight="false" outlineLevel="0" collapsed="false">
      <c r="B38" s="1" t="s">
        <v>2770</v>
      </c>
      <c r="C38" s="1" t="s">
        <v>2771</v>
      </c>
    </row>
    <row r="39" customFormat="false" ht="15" hidden="false" customHeight="false" outlineLevel="0" collapsed="false">
      <c r="B39" s="1" t="s">
        <v>2772</v>
      </c>
      <c r="C39" s="1" t="s">
        <v>2773</v>
      </c>
    </row>
    <row r="40" customFormat="false" ht="15" hidden="false" customHeight="false" outlineLevel="0" collapsed="false">
      <c r="B40" s="1" t="s">
        <v>2774</v>
      </c>
      <c r="C40" s="1" t="s">
        <v>2775</v>
      </c>
    </row>
    <row r="41" customFormat="false" ht="15" hidden="false" customHeight="false" outlineLevel="0" collapsed="false">
      <c r="B41" s="1" t="s">
        <v>2776</v>
      </c>
      <c r="C41" s="1" t="s">
        <v>2777</v>
      </c>
    </row>
    <row r="42" customFormat="false" ht="15" hidden="false" customHeight="false" outlineLevel="0" collapsed="false">
      <c r="B42" s="1" t="s">
        <v>2778</v>
      </c>
      <c r="C42" s="1" t="s">
        <v>2779</v>
      </c>
    </row>
    <row r="43" customFormat="false" ht="15" hidden="false" customHeight="false" outlineLevel="0" collapsed="false">
      <c r="B43" s="1" t="s">
        <v>2780</v>
      </c>
      <c r="C43" s="1" t="s">
        <v>2781</v>
      </c>
    </row>
    <row r="44" customFormat="false" ht="15" hidden="false" customHeight="false" outlineLevel="0" collapsed="false">
      <c r="B44" s="1" t="s">
        <v>2782</v>
      </c>
      <c r="C44" s="1" t="s">
        <v>2783</v>
      </c>
    </row>
    <row r="45" customFormat="false" ht="15" hidden="false" customHeight="false" outlineLevel="0" collapsed="false">
      <c r="B45" s="1" t="s">
        <v>2784</v>
      </c>
      <c r="C45" s="1" t="s">
        <v>2785</v>
      </c>
    </row>
    <row r="46" customFormat="false" ht="15" hidden="false" customHeight="false" outlineLevel="0" collapsed="false">
      <c r="B46" s="1" t="s">
        <v>2786</v>
      </c>
      <c r="C46" s="1" t="s">
        <v>2787</v>
      </c>
    </row>
    <row r="47" customFormat="false" ht="15" hidden="false" customHeight="false" outlineLevel="0" collapsed="false">
      <c r="B47" s="1" t="s">
        <v>2788</v>
      </c>
      <c r="C47" s="1" t="s">
        <v>2789</v>
      </c>
    </row>
    <row r="48" customFormat="false" ht="15" hidden="false" customHeight="false" outlineLevel="0" collapsed="false">
      <c r="B48" s="1" t="s">
        <v>2790</v>
      </c>
      <c r="C48" s="1" t="s">
        <v>2791</v>
      </c>
    </row>
    <row r="49" customFormat="false" ht="15" hidden="false" customHeight="false" outlineLevel="0" collapsed="false">
      <c r="B49" s="1" t="s">
        <v>2792</v>
      </c>
      <c r="C49" s="1" t="s">
        <v>2793</v>
      </c>
    </row>
    <row r="50" customFormat="false" ht="15" hidden="false" customHeight="false" outlineLevel="0" collapsed="false">
      <c r="B50" s="1" t="s">
        <v>2794</v>
      </c>
      <c r="C50" s="1" t="s">
        <v>2795</v>
      </c>
    </row>
    <row r="51" customFormat="false" ht="15" hidden="false" customHeight="false" outlineLevel="0" collapsed="false">
      <c r="B51" s="1" t="s">
        <v>2796</v>
      </c>
      <c r="C51" s="1" t="s">
        <v>2797</v>
      </c>
    </row>
    <row r="52" customFormat="false" ht="15" hidden="false" customHeight="false" outlineLevel="0" collapsed="false">
      <c r="B52" s="1" t="s">
        <v>2798</v>
      </c>
      <c r="C52" s="1" t="s">
        <v>2799</v>
      </c>
    </row>
    <row r="53" customFormat="false" ht="15" hidden="false" customHeight="false" outlineLevel="0" collapsed="false">
      <c r="B53" s="1" t="s">
        <v>2800</v>
      </c>
      <c r="C53" s="1" t="s">
        <v>2801</v>
      </c>
    </row>
    <row r="54" customFormat="false" ht="15" hidden="false" customHeight="false" outlineLevel="0" collapsed="false">
      <c r="B54" s="1" t="s">
        <v>2802</v>
      </c>
      <c r="C54" s="1" t="s">
        <v>2803</v>
      </c>
    </row>
    <row r="55" customFormat="false" ht="15" hidden="false" customHeight="false" outlineLevel="0" collapsed="false">
      <c r="B55" s="1" t="s">
        <v>2804</v>
      </c>
      <c r="C55" s="1" t="s">
        <v>2805</v>
      </c>
    </row>
    <row r="56" customFormat="false" ht="15" hidden="false" customHeight="false" outlineLevel="0" collapsed="false">
      <c r="B56" s="1" t="s">
        <v>2806</v>
      </c>
      <c r="C56" s="1" t="s">
        <v>2807</v>
      </c>
    </row>
    <row r="57" customFormat="false" ht="15" hidden="false" customHeight="false" outlineLevel="0" collapsed="false">
      <c r="B57" s="1" t="s">
        <v>2808</v>
      </c>
      <c r="C57" s="1" t="s">
        <v>2809</v>
      </c>
    </row>
    <row r="58" customFormat="false" ht="15" hidden="false" customHeight="false" outlineLevel="0" collapsed="false">
      <c r="B58" s="1" t="s">
        <v>2810</v>
      </c>
      <c r="C58" s="1" t="s">
        <v>2811</v>
      </c>
    </row>
    <row r="59" customFormat="false" ht="15" hidden="false" customHeight="false" outlineLevel="0" collapsed="false">
      <c r="B59" s="1" t="s">
        <v>2812</v>
      </c>
      <c r="C59" s="1" t="s">
        <v>2813</v>
      </c>
    </row>
    <row r="60" customFormat="false" ht="15" hidden="false" customHeight="false" outlineLevel="0" collapsed="false">
      <c r="B60" s="1" t="s">
        <v>2814</v>
      </c>
      <c r="C60" s="1" t="s">
        <v>2815</v>
      </c>
    </row>
    <row r="61" customFormat="false" ht="15" hidden="false" customHeight="false" outlineLevel="0" collapsed="false">
      <c r="B61" s="1" t="s">
        <v>2816</v>
      </c>
      <c r="C61" s="1" t="s">
        <v>2817</v>
      </c>
    </row>
    <row r="62" customFormat="false" ht="15" hidden="false" customHeight="false" outlineLevel="0" collapsed="false">
      <c r="B62" s="1" t="s">
        <v>2818</v>
      </c>
      <c r="C62" s="1" t="s">
        <v>2819</v>
      </c>
    </row>
    <row r="63" customFormat="false" ht="15" hidden="false" customHeight="false" outlineLevel="0" collapsed="false">
      <c r="B63" s="1" t="s">
        <v>2820</v>
      </c>
      <c r="C63" s="1" t="s">
        <v>2821</v>
      </c>
    </row>
    <row r="64" customFormat="false" ht="15" hidden="false" customHeight="false" outlineLevel="0" collapsed="false">
      <c r="B64" s="1" t="s">
        <v>2822</v>
      </c>
      <c r="C64" s="1" t="s">
        <v>2823</v>
      </c>
    </row>
    <row r="65" customFormat="false" ht="15" hidden="false" customHeight="false" outlineLevel="0" collapsed="false">
      <c r="B65" s="1" t="s">
        <v>2824</v>
      </c>
      <c r="C65" s="1" t="s">
        <v>2825</v>
      </c>
    </row>
    <row r="66" customFormat="false" ht="15" hidden="false" customHeight="false" outlineLevel="0" collapsed="false">
      <c r="B66" s="1" t="s">
        <v>2826</v>
      </c>
      <c r="C66" s="1" t="s">
        <v>2827</v>
      </c>
    </row>
    <row r="67" customFormat="false" ht="15" hidden="false" customHeight="false" outlineLevel="0" collapsed="false">
      <c r="B67" s="1" t="s">
        <v>2828</v>
      </c>
      <c r="C67" s="1" t="s">
        <v>2829</v>
      </c>
    </row>
    <row r="68" customFormat="false" ht="15" hidden="false" customHeight="false" outlineLevel="0" collapsed="false">
      <c r="B68" s="1" t="s">
        <v>2830</v>
      </c>
      <c r="C68" s="1" t="s">
        <v>2831</v>
      </c>
    </row>
    <row r="69" customFormat="false" ht="15" hidden="false" customHeight="false" outlineLevel="0" collapsed="false">
      <c r="B69" s="1" t="s">
        <v>2832</v>
      </c>
      <c r="C69" s="1" t="s">
        <v>2833</v>
      </c>
    </row>
    <row r="70" customFormat="false" ht="15" hidden="false" customHeight="false" outlineLevel="0" collapsed="false">
      <c r="B70" s="1" t="s">
        <v>2834</v>
      </c>
      <c r="C70" s="1" t="s">
        <v>2835</v>
      </c>
    </row>
    <row r="71" customFormat="false" ht="15" hidden="false" customHeight="false" outlineLevel="0" collapsed="false">
      <c r="B71" s="1" t="s">
        <v>2836</v>
      </c>
      <c r="C71" s="1" t="s">
        <v>2837</v>
      </c>
    </row>
    <row r="72" customFormat="false" ht="15" hidden="false" customHeight="false" outlineLevel="0" collapsed="false">
      <c r="B72" s="1" t="s">
        <v>2838</v>
      </c>
      <c r="C72" s="1" t="s">
        <v>2839</v>
      </c>
    </row>
    <row r="73" customFormat="false" ht="15" hidden="false" customHeight="false" outlineLevel="0" collapsed="false">
      <c r="B73" s="1" t="s">
        <v>2840</v>
      </c>
      <c r="C73" s="1" t="s">
        <v>2841</v>
      </c>
    </row>
    <row r="74" customFormat="false" ht="15" hidden="false" customHeight="false" outlineLevel="0" collapsed="false">
      <c r="B74" s="1" t="s">
        <v>2842</v>
      </c>
      <c r="C74" s="1" t="s">
        <v>2843</v>
      </c>
    </row>
    <row r="75" customFormat="false" ht="15" hidden="false" customHeight="false" outlineLevel="0" collapsed="false">
      <c r="B75" s="1" t="s">
        <v>2844</v>
      </c>
      <c r="C75" s="1" t="s">
        <v>2845</v>
      </c>
    </row>
    <row r="76" customFormat="false" ht="15" hidden="false" customHeight="false" outlineLevel="0" collapsed="false">
      <c r="B76" s="1" t="s">
        <v>2846</v>
      </c>
      <c r="C76" s="1" t="s">
        <v>2847</v>
      </c>
    </row>
    <row r="77" customFormat="false" ht="15" hidden="false" customHeight="false" outlineLevel="0" collapsed="false">
      <c r="B77" s="1" t="s">
        <v>2848</v>
      </c>
      <c r="C77" s="1" t="s">
        <v>2849</v>
      </c>
    </row>
    <row r="78" customFormat="false" ht="15" hidden="false" customHeight="false" outlineLevel="0" collapsed="false">
      <c r="B78" s="1" t="s">
        <v>2850</v>
      </c>
      <c r="C78" s="1" t="s">
        <v>2851</v>
      </c>
    </row>
    <row r="79" customFormat="false" ht="15" hidden="false" customHeight="false" outlineLevel="0" collapsed="false">
      <c r="B79" s="1" t="s">
        <v>2852</v>
      </c>
      <c r="C79" s="1" t="s">
        <v>2853</v>
      </c>
    </row>
    <row r="80" customFormat="false" ht="15" hidden="false" customHeight="false" outlineLevel="0" collapsed="false">
      <c r="B80" s="1" t="s">
        <v>2854</v>
      </c>
      <c r="C80" s="1" t="s">
        <v>2855</v>
      </c>
    </row>
    <row r="81" customFormat="false" ht="15" hidden="false" customHeight="false" outlineLevel="0" collapsed="false">
      <c r="B81" s="1" t="s">
        <v>2856</v>
      </c>
      <c r="C81" s="1" t="s">
        <v>2857</v>
      </c>
    </row>
    <row r="82" customFormat="false" ht="15" hidden="false" customHeight="false" outlineLevel="0" collapsed="false">
      <c r="B82" s="1" t="s">
        <v>2858</v>
      </c>
      <c r="C82" s="1" t="s">
        <v>2859</v>
      </c>
    </row>
    <row r="83" customFormat="false" ht="15" hidden="false" customHeight="false" outlineLevel="0" collapsed="false">
      <c r="B83" s="1" t="s">
        <v>2860</v>
      </c>
      <c r="C83" s="1" t="s">
        <v>2861</v>
      </c>
    </row>
    <row r="84" customFormat="false" ht="15" hidden="false" customHeight="false" outlineLevel="0" collapsed="false">
      <c r="B84" s="1" t="s">
        <v>2862</v>
      </c>
      <c r="C84" s="1" t="s">
        <v>2863</v>
      </c>
    </row>
    <row r="85" customFormat="false" ht="15" hidden="false" customHeight="false" outlineLevel="0" collapsed="false">
      <c r="B85" s="1" t="s">
        <v>2864</v>
      </c>
      <c r="C85" s="1" t="s">
        <v>2865</v>
      </c>
    </row>
    <row r="86" customFormat="false" ht="15" hidden="false" customHeight="false" outlineLevel="0" collapsed="false">
      <c r="B86" s="1" t="s">
        <v>2866</v>
      </c>
      <c r="C86" s="1" t="s">
        <v>2867</v>
      </c>
    </row>
    <row r="87" customFormat="false" ht="15" hidden="false" customHeight="false" outlineLevel="0" collapsed="false">
      <c r="B87" s="1" t="s">
        <v>2868</v>
      </c>
      <c r="C87" s="1" t="s">
        <v>2869</v>
      </c>
    </row>
    <row r="88" customFormat="false" ht="15" hidden="false" customHeight="false" outlineLevel="0" collapsed="false">
      <c r="B88" s="1" t="s">
        <v>2870</v>
      </c>
      <c r="C88" s="1" t="s">
        <v>2871</v>
      </c>
    </row>
    <row r="89" customFormat="false" ht="15" hidden="false" customHeight="false" outlineLevel="0" collapsed="false">
      <c r="B89" s="1" t="s">
        <v>2872</v>
      </c>
      <c r="C89" s="1" t="s">
        <v>2873</v>
      </c>
    </row>
    <row r="90" customFormat="false" ht="15" hidden="false" customHeight="false" outlineLevel="0" collapsed="false">
      <c r="B90" s="1" t="s">
        <v>2874</v>
      </c>
      <c r="C90" s="1" t="s">
        <v>2875</v>
      </c>
    </row>
    <row r="91" customFormat="false" ht="15" hidden="false" customHeight="false" outlineLevel="0" collapsed="false">
      <c r="B91" s="1" t="s">
        <v>2876</v>
      </c>
      <c r="C91" s="1" t="s">
        <v>2877</v>
      </c>
    </row>
    <row r="92" customFormat="false" ht="15" hidden="false" customHeight="false" outlineLevel="0" collapsed="false">
      <c r="B92" s="1" t="s">
        <v>2878</v>
      </c>
      <c r="C92" s="1" t="s">
        <v>2879</v>
      </c>
    </row>
    <row r="93" customFormat="false" ht="15" hidden="false" customHeight="false" outlineLevel="0" collapsed="false">
      <c r="B93" s="1" t="s">
        <v>2880</v>
      </c>
      <c r="C93" s="1" t="s">
        <v>2881</v>
      </c>
    </row>
    <row r="94" customFormat="false" ht="15" hidden="false" customHeight="false" outlineLevel="0" collapsed="false">
      <c r="B94" s="1" t="s">
        <v>2882</v>
      </c>
      <c r="C94" s="1" t="s">
        <v>2883</v>
      </c>
    </row>
    <row r="95" customFormat="false" ht="15" hidden="false" customHeight="false" outlineLevel="0" collapsed="false">
      <c r="B95" s="1" t="s">
        <v>2884</v>
      </c>
      <c r="C95" s="1" t="s">
        <v>2885</v>
      </c>
    </row>
    <row r="96" customFormat="false" ht="15" hidden="false" customHeight="false" outlineLevel="0" collapsed="false">
      <c r="B96" s="1" t="s">
        <v>2886</v>
      </c>
      <c r="C96" s="1" t="s">
        <v>2887</v>
      </c>
    </row>
    <row r="97" customFormat="false" ht="15" hidden="false" customHeight="false" outlineLevel="0" collapsed="false">
      <c r="B97" s="1" t="s">
        <v>2888</v>
      </c>
      <c r="C97" s="1" t="s">
        <v>2889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H1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
    <col collapsed="false" customWidth="true" hidden="false" outlineLevel="0" max="3" min="3" style="1" width="26"/>
    <col collapsed="false" customWidth="true" hidden="false" outlineLevel="0" max="4" min="4" style="1" width="44"/>
    <col collapsed="false" customWidth="true" hidden="false" outlineLevel="0" max="5" min="5" style="1" width="30"/>
    <col collapsed="false" customWidth="true" hidden="false" outlineLevel="0" max="6" min="6" style="1" width="62"/>
    <col collapsed="false" customWidth="true" hidden="false" outlineLevel="0" max="7" min="7" style="1" width="52"/>
    <col collapsed="false" customWidth="true" hidden="false" outlineLevel="0" max="8" min="8" style="1" width="36"/>
  </cols>
  <sheetData>
    <row r="1" customFormat="false" ht="17.35" hidden="false" customHeight="false" outlineLevel="0" collapsed="false">
      <c r="B1" s="89" t="s">
        <v>2890</v>
      </c>
    </row>
    <row r="2" customFormat="false" ht="48" hidden="false" customHeight="true" outlineLevel="0" collapsed="false">
      <c r="B2" s="90" t="s">
        <v>2891</v>
      </c>
      <c r="C2" s="90"/>
      <c r="D2" s="90"/>
      <c r="E2" s="90"/>
      <c r="F2" s="90"/>
      <c r="G2" s="90"/>
      <c r="H2" s="90"/>
    </row>
    <row r="4" customFormat="false" ht="15" hidden="false" customHeight="false" outlineLevel="0" collapsed="false">
      <c r="B4" s="91" t="s">
        <v>30</v>
      </c>
      <c r="C4" s="91" t="s">
        <v>2892</v>
      </c>
      <c r="D4" s="91" t="s">
        <v>2893</v>
      </c>
      <c r="E4" s="91" t="s">
        <v>2894</v>
      </c>
      <c r="F4" s="91" t="s">
        <v>2895</v>
      </c>
      <c r="G4" s="91" t="s">
        <v>2896</v>
      </c>
      <c r="H4" s="91" t="s">
        <v>100</v>
      </c>
    </row>
    <row r="5" customFormat="false" ht="28.35" hidden="false" customHeight="false" outlineLevel="0" collapsed="false">
      <c r="B5" s="112" t="n">
        <v>1</v>
      </c>
      <c r="C5" s="112" t="s">
        <v>2897</v>
      </c>
      <c r="D5" s="112" t="s">
        <v>2898</v>
      </c>
      <c r="E5" s="112" t="s">
        <v>2899</v>
      </c>
      <c r="F5" s="112" t="s">
        <v>2900</v>
      </c>
      <c r="G5" s="112" t="s">
        <v>2901</v>
      </c>
      <c r="H5" s="113" t="s">
        <v>2902</v>
      </c>
    </row>
    <row r="6" customFormat="false" ht="15" hidden="false" customHeight="false" outlineLevel="0" collapsed="false">
      <c r="B6" s="112" t="n">
        <v>2</v>
      </c>
      <c r="C6" s="112" t="s">
        <v>2897</v>
      </c>
      <c r="D6" s="112" t="s">
        <v>2903</v>
      </c>
      <c r="E6" s="112" t="s">
        <v>2899</v>
      </c>
      <c r="F6" s="112" t="s">
        <v>2904</v>
      </c>
      <c r="G6" s="112" t="s">
        <v>2905</v>
      </c>
      <c r="H6" s="113" t="s">
        <v>2902</v>
      </c>
    </row>
    <row r="7" customFormat="false" ht="15" hidden="false" customHeight="false" outlineLevel="0" collapsed="false">
      <c r="B7" s="112" t="n">
        <v>3</v>
      </c>
      <c r="C7" s="112" t="s">
        <v>2906</v>
      </c>
      <c r="D7" s="112" t="s">
        <v>2907</v>
      </c>
      <c r="E7" s="112" t="s">
        <v>2908</v>
      </c>
      <c r="F7" s="112" t="s">
        <v>2909</v>
      </c>
      <c r="G7" s="112" t="s">
        <v>2905</v>
      </c>
      <c r="H7" s="113" t="s">
        <v>2902</v>
      </c>
    </row>
    <row r="8" customFormat="false" ht="55.2" hidden="false" customHeight="false" outlineLevel="0" collapsed="false">
      <c r="B8" s="112" t="n">
        <v>4</v>
      </c>
      <c r="C8" s="112" t="s">
        <v>2897</v>
      </c>
      <c r="D8" s="112" t="s">
        <v>2910</v>
      </c>
      <c r="E8" s="112" t="s">
        <v>2911</v>
      </c>
      <c r="F8" s="112" t="s">
        <v>2912</v>
      </c>
      <c r="G8" s="112" t="s">
        <v>2913</v>
      </c>
      <c r="H8" s="114" t="s">
        <v>2914</v>
      </c>
    </row>
    <row r="9" customFormat="false" ht="15" hidden="false" customHeight="false" outlineLevel="0" collapsed="false">
      <c r="B9" s="112" t="n">
        <v>5</v>
      </c>
      <c r="C9" s="112" t="s">
        <v>2897</v>
      </c>
      <c r="D9" s="112" t="s">
        <v>2915</v>
      </c>
      <c r="E9" s="112" t="s">
        <v>2899</v>
      </c>
      <c r="F9" s="112" t="s">
        <v>2916</v>
      </c>
      <c r="G9" s="112" t="s">
        <v>2917</v>
      </c>
      <c r="H9" s="113" t="s">
        <v>2902</v>
      </c>
    </row>
    <row r="10" customFormat="false" ht="41.75" hidden="false" customHeight="false" outlineLevel="0" collapsed="false">
      <c r="B10" s="112" t="n">
        <v>6</v>
      </c>
      <c r="C10" s="112" t="s">
        <v>2897</v>
      </c>
      <c r="D10" s="112" t="s">
        <v>2918</v>
      </c>
      <c r="E10" s="112" t="s">
        <v>2919</v>
      </c>
      <c r="F10" s="112" t="s">
        <v>2920</v>
      </c>
      <c r="G10" s="112" t="s">
        <v>2921</v>
      </c>
      <c r="H10" s="115" t="s">
        <v>2922</v>
      </c>
    </row>
    <row r="11" customFormat="false" ht="41.75" hidden="false" customHeight="false" outlineLevel="0" collapsed="false">
      <c r="B11" s="112" t="n">
        <v>7</v>
      </c>
      <c r="C11" s="112" t="s">
        <v>2923</v>
      </c>
      <c r="D11" s="112" t="s">
        <v>2924</v>
      </c>
      <c r="E11" s="112" t="s">
        <v>2925</v>
      </c>
      <c r="F11" s="112" t="s">
        <v>2926</v>
      </c>
      <c r="G11" s="112" t="s">
        <v>2927</v>
      </c>
      <c r="H11" s="113" t="s">
        <v>2928</v>
      </c>
    </row>
    <row r="12" customFormat="false" ht="28.35" hidden="false" customHeight="false" outlineLevel="0" collapsed="false">
      <c r="B12" s="112" t="n">
        <v>8</v>
      </c>
      <c r="C12" s="112" t="s">
        <v>2923</v>
      </c>
      <c r="D12" s="112" t="s">
        <v>2929</v>
      </c>
      <c r="E12" s="112" t="s">
        <v>2925</v>
      </c>
      <c r="F12" s="112" t="s">
        <v>2930</v>
      </c>
      <c r="G12" s="112" t="s">
        <v>2931</v>
      </c>
      <c r="H12" s="113" t="s">
        <v>2902</v>
      </c>
    </row>
    <row r="13" customFormat="false" ht="28.35" hidden="false" customHeight="false" outlineLevel="0" collapsed="false">
      <c r="B13" s="112" t="n">
        <v>9</v>
      </c>
      <c r="C13" s="112" t="s">
        <v>2923</v>
      </c>
      <c r="D13" s="112" t="s">
        <v>2932</v>
      </c>
      <c r="E13" s="112" t="s">
        <v>2925</v>
      </c>
      <c r="F13" s="112" t="s">
        <v>2933</v>
      </c>
      <c r="G13" s="112" t="s">
        <v>2934</v>
      </c>
      <c r="H13" s="113" t="s">
        <v>2902</v>
      </c>
    </row>
    <row r="14" customFormat="false" ht="15" hidden="false" customHeight="false" outlineLevel="0" collapsed="false">
      <c r="B14" s="112" t="n">
        <v>10</v>
      </c>
      <c r="C14" s="112" t="s">
        <v>2897</v>
      </c>
      <c r="D14" s="112" t="s">
        <v>2935</v>
      </c>
      <c r="E14" s="112" t="s">
        <v>2936</v>
      </c>
      <c r="F14" s="112" t="s">
        <v>2937</v>
      </c>
      <c r="G14" s="112" t="s">
        <v>2938</v>
      </c>
      <c r="H14" s="113" t="s">
        <v>2902</v>
      </c>
    </row>
    <row r="15" customFormat="false" ht="28.35" hidden="false" customHeight="false" outlineLevel="0" collapsed="false">
      <c r="B15" s="112" t="n">
        <v>11</v>
      </c>
      <c r="C15" s="112" t="s">
        <v>2897</v>
      </c>
      <c r="D15" s="112" t="s">
        <v>2939</v>
      </c>
      <c r="E15" s="112" t="s">
        <v>2940</v>
      </c>
      <c r="F15" s="112" t="s">
        <v>2941</v>
      </c>
      <c r="G15" s="112" t="s">
        <v>2913</v>
      </c>
      <c r="H15" s="114" t="s">
        <v>2942</v>
      </c>
    </row>
    <row r="16" customFormat="false" ht="41.75" hidden="false" customHeight="false" outlineLevel="0" collapsed="false">
      <c r="B16" s="112" t="n">
        <v>12</v>
      </c>
      <c r="C16" s="112" t="s">
        <v>2943</v>
      </c>
      <c r="D16" s="112" t="s">
        <v>2944</v>
      </c>
      <c r="E16" s="112" t="s">
        <v>2945</v>
      </c>
      <c r="F16" s="112" t="s">
        <v>2946</v>
      </c>
      <c r="G16" s="112" t="s">
        <v>2947</v>
      </c>
      <c r="H16" s="113" t="s">
        <v>2902</v>
      </c>
    </row>
    <row r="17" customFormat="false" ht="15" hidden="false" customHeight="false" outlineLevel="0" collapsed="false">
      <c r="B17" s="112" t="n">
        <v>13</v>
      </c>
      <c r="C17" s="112" t="s">
        <v>2948</v>
      </c>
      <c r="D17" s="112" t="s">
        <v>2949</v>
      </c>
      <c r="E17" s="112" t="s">
        <v>2950</v>
      </c>
      <c r="F17" s="112" t="s">
        <v>2951</v>
      </c>
      <c r="G17" s="112" t="s">
        <v>2952</v>
      </c>
      <c r="H17" s="113" t="s">
        <v>2902</v>
      </c>
    </row>
    <row r="18" customFormat="false" ht="28.35" hidden="false" customHeight="false" outlineLevel="0" collapsed="false">
      <c r="B18" s="112" t="n">
        <v>14</v>
      </c>
      <c r="C18" s="112" t="s">
        <v>2948</v>
      </c>
      <c r="D18" s="112" t="s">
        <v>2953</v>
      </c>
      <c r="E18" s="112" t="s">
        <v>2954</v>
      </c>
      <c r="F18" s="112" t="s">
        <v>2955</v>
      </c>
      <c r="G18" s="112" t="s">
        <v>2956</v>
      </c>
      <c r="H18" s="113" t="s">
        <v>2902</v>
      </c>
    </row>
    <row r="19" customFormat="false" ht="28.35" hidden="false" customHeight="false" outlineLevel="0" collapsed="false">
      <c r="B19" s="112" t="n">
        <v>15</v>
      </c>
      <c r="C19" s="112" t="s">
        <v>2957</v>
      </c>
      <c r="D19" s="112" t="s">
        <v>2958</v>
      </c>
      <c r="E19" s="112" t="s">
        <v>2959</v>
      </c>
      <c r="F19" s="112" t="s">
        <v>2960</v>
      </c>
      <c r="G19" s="112" t="s">
        <v>2961</v>
      </c>
      <c r="H19" s="113" t="s">
        <v>2962</v>
      </c>
    </row>
    <row r="20" customFormat="false" ht="41.75" hidden="false" customHeight="false" outlineLevel="0" collapsed="false">
      <c r="B20" s="112" t="n">
        <v>16</v>
      </c>
      <c r="C20" s="112" t="s">
        <v>2963</v>
      </c>
      <c r="D20" s="112" t="s">
        <v>2964</v>
      </c>
      <c r="E20" s="112" t="s">
        <v>2965</v>
      </c>
      <c r="F20" s="112" t="s">
        <v>2966</v>
      </c>
      <c r="G20" s="112" t="s">
        <v>2967</v>
      </c>
      <c r="H20" s="113" t="s">
        <v>2902</v>
      </c>
    </row>
    <row r="21" customFormat="false" ht="28.35" hidden="false" customHeight="false" outlineLevel="0" collapsed="false">
      <c r="B21" s="112" t="n">
        <v>17</v>
      </c>
      <c r="C21" s="112" t="s">
        <v>2963</v>
      </c>
      <c r="D21" s="112" t="s">
        <v>2968</v>
      </c>
      <c r="E21" s="112" t="s">
        <v>2969</v>
      </c>
      <c r="F21" s="112" t="s">
        <v>2970</v>
      </c>
      <c r="G21" s="112" t="s">
        <v>2971</v>
      </c>
      <c r="H21" s="113" t="s">
        <v>2902</v>
      </c>
    </row>
    <row r="22" customFormat="false" ht="28.35" hidden="false" customHeight="false" outlineLevel="0" collapsed="false">
      <c r="B22" s="112" t="n">
        <v>18</v>
      </c>
      <c r="C22" s="112" t="s">
        <v>2972</v>
      </c>
      <c r="D22" s="112" t="s">
        <v>2973</v>
      </c>
      <c r="E22" s="112" t="s">
        <v>2974</v>
      </c>
      <c r="F22" s="112" t="s">
        <v>2975</v>
      </c>
      <c r="G22" s="112" t="s">
        <v>2976</v>
      </c>
      <c r="H22" s="113" t="s">
        <v>2902</v>
      </c>
    </row>
    <row r="23" customFormat="false" ht="28.35" hidden="false" customHeight="false" outlineLevel="0" collapsed="false">
      <c r="B23" s="112" t="n">
        <v>19</v>
      </c>
      <c r="C23" s="112" t="s">
        <v>2972</v>
      </c>
      <c r="D23" s="112" t="s">
        <v>2977</v>
      </c>
      <c r="E23" s="112" t="s">
        <v>2974</v>
      </c>
      <c r="F23" s="112" t="s">
        <v>2978</v>
      </c>
      <c r="G23" s="112" t="s">
        <v>2979</v>
      </c>
      <c r="H23" s="113" t="s">
        <v>2902</v>
      </c>
    </row>
    <row r="24" customFormat="false" ht="28.35" hidden="false" customHeight="false" outlineLevel="0" collapsed="false">
      <c r="B24" s="112" t="n">
        <v>20</v>
      </c>
      <c r="C24" s="112" t="s">
        <v>2980</v>
      </c>
      <c r="D24" s="112" t="s">
        <v>2981</v>
      </c>
      <c r="E24" s="112" t="s">
        <v>2982</v>
      </c>
      <c r="F24" s="112" t="s">
        <v>2983</v>
      </c>
      <c r="G24" s="112" t="s">
        <v>2984</v>
      </c>
      <c r="H24" s="113" t="s">
        <v>2902</v>
      </c>
    </row>
    <row r="25" customFormat="false" ht="28.35" hidden="false" customHeight="false" outlineLevel="0" collapsed="false">
      <c r="B25" s="112" t="n">
        <v>21</v>
      </c>
      <c r="C25" s="112" t="s">
        <v>2980</v>
      </c>
      <c r="D25" s="112" t="s">
        <v>2985</v>
      </c>
      <c r="E25" s="112" t="s">
        <v>2986</v>
      </c>
      <c r="F25" s="112" t="s">
        <v>2987</v>
      </c>
      <c r="G25" s="112" t="s">
        <v>2988</v>
      </c>
      <c r="H25" s="113" t="s">
        <v>2902</v>
      </c>
    </row>
    <row r="26" customFormat="false" ht="55.2" hidden="false" customHeight="false" outlineLevel="0" collapsed="false">
      <c r="B26" s="112" t="n">
        <v>22</v>
      </c>
      <c r="C26" s="112" t="s">
        <v>2980</v>
      </c>
      <c r="D26" s="112" t="s">
        <v>2989</v>
      </c>
      <c r="E26" s="112" t="s">
        <v>2990</v>
      </c>
      <c r="F26" s="112" t="s">
        <v>2991</v>
      </c>
      <c r="G26" s="112" t="s">
        <v>2913</v>
      </c>
      <c r="H26" s="114" t="s">
        <v>2992</v>
      </c>
    </row>
    <row r="27" customFormat="false" ht="41.75" hidden="false" customHeight="false" outlineLevel="0" collapsed="false">
      <c r="B27" s="112" t="n">
        <v>23</v>
      </c>
      <c r="C27" s="112" t="s">
        <v>2980</v>
      </c>
      <c r="D27" s="112" t="s">
        <v>2993</v>
      </c>
      <c r="E27" s="112" t="s">
        <v>2994</v>
      </c>
      <c r="F27" s="112" t="s">
        <v>2995</v>
      </c>
      <c r="G27" s="112" t="s">
        <v>2996</v>
      </c>
      <c r="H27" s="115" t="s">
        <v>2997</v>
      </c>
    </row>
    <row r="28" customFormat="false" ht="28.35" hidden="false" customHeight="false" outlineLevel="0" collapsed="false">
      <c r="B28" s="112" t="n">
        <v>24</v>
      </c>
      <c r="C28" s="112" t="s">
        <v>2998</v>
      </c>
      <c r="D28" s="112" t="s">
        <v>2999</v>
      </c>
      <c r="E28" s="112" t="s">
        <v>2986</v>
      </c>
      <c r="F28" s="112" t="s">
        <v>3000</v>
      </c>
      <c r="G28" s="112" t="s">
        <v>3001</v>
      </c>
      <c r="H28" s="113" t="s">
        <v>2902</v>
      </c>
    </row>
    <row r="29" customFormat="false" ht="28.35" hidden="false" customHeight="false" outlineLevel="0" collapsed="false">
      <c r="B29" s="112" t="n">
        <v>25</v>
      </c>
      <c r="C29" s="112" t="s">
        <v>2948</v>
      </c>
      <c r="D29" s="112" t="s">
        <v>3002</v>
      </c>
      <c r="E29" s="112" t="s">
        <v>3003</v>
      </c>
      <c r="F29" s="112" t="s">
        <v>3004</v>
      </c>
      <c r="G29" s="112" t="s">
        <v>3005</v>
      </c>
      <c r="H29" s="113" t="s">
        <v>2902</v>
      </c>
    </row>
    <row r="30" customFormat="false" ht="41.75" hidden="false" customHeight="false" outlineLevel="0" collapsed="false">
      <c r="B30" s="112" t="n">
        <v>26</v>
      </c>
      <c r="C30" s="112" t="s">
        <v>2948</v>
      </c>
      <c r="D30" s="112" t="s">
        <v>3006</v>
      </c>
      <c r="E30" s="112" t="s">
        <v>2986</v>
      </c>
      <c r="F30" s="112" t="s">
        <v>3007</v>
      </c>
      <c r="G30" s="112" t="s">
        <v>3008</v>
      </c>
      <c r="H30" s="113" t="s">
        <v>2902</v>
      </c>
    </row>
    <row r="31" customFormat="false" ht="28.35" hidden="false" customHeight="false" outlineLevel="0" collapsed="false">
      <c r="B31" s="112" t="n">
        <v>27</v>
      </c>
      <c r="C31" s="112" t="s">
        <v>2948</v>
      </c>
      <c r="D31" s="112" t="s">
        <v>3009</v>
      </c>
      <c r="E31" s="112" t="s">
        <v>3010</v>
      </c>
      <c r="F31" s="112" t="s">
        <v>3011</v>
      </c>
      <c r="G31" s="112" t="s">
        <v>2707</v>
      </c>
      <c r="H31" s="113" t="s">
        <v>2902</v>
      </c>
    </row>
    <row r="32" customFormat="false" ht="41.75" hidden="false" customHeight="false" outlineLevel="0" collapsed="false">
      <c r="B32" s="112" t="n">
        <v>28</v>
      </c>
      <c r="C32" s="112" t="s">
        <v>2948</v>
      </c>
      <c r="D32" s="112" t="s">
        <v>3012</v>
      </c>
      <c r="E32" s="112" t="s">
        <v>2986</v>
      </c>
      <c r="F32" s="112" t="s">
        <v>3013</v>
      </c>
      <c r="G32" s="112" t="s">
        <v>3014</v>
      </c>
      <c r="H32" s="113" t="s">
        <v>2902</v>
      </c>
    </row>
    <row r="33" customFormat="false" ht="28.35" hidden="false" customHeight="false" outlineLevel="0" collapsed="false">
      <c r="B33" s="112" t="n">
        <v>29</v>
      </c>
      <c r="C33" s="112" t="s">
        <v>3015</v>
      </c>
      <c r="D33" s="112" t="s">
        <v>3016</v>
      </c>
      <c r="E33" s="112" t="s">
        <v>2986</v>
      </c>
      <c r="F33" s="112" t="s">
        <v>3017</v>
      </c>
      <c r="G33" s="112" t="s">
        <v>3018</v>
      </c>
      <c r="H33" s="113" t="s">
        <v>3019</v>
      </c>
    </row>
    <row r="34" customFormat="false" ht="28.35" hidden="false" customHeight="false" outlineLevel="0" collapsed="false">
      <c r="B34" s="112" t="n">
        <v>30</v>
      </c>
      <c r="C34" s="112" t="s">
        <v>3015</v>
      </c>
      <c r="D34" s="112" t="s">
        <v>3020</v>
      </c>
      <c r="E34" s="112" t="s">
        <v>3021</v>
      </c>
      <c r="F34" s="112" t="s">
        <v>3022</v>
      </c>
      <c r="G34" s="112" t="s">
        <v>3023</v>
      </c>
      <c r="H34" s="113" t="s">
        <v>3024</v>
      </c>
    </row>
    <row r="35" customFormat="false" ht="15" hidden="false" customHeight="false" outlineLevel="0" collapsed="false">
      <c r="B35" s="112" t="n">
        <v>31</v>
      </c>
      <c r="C35" s="112" t="s">
        <v>3015</v>
      </c>
      <c r="D35" s="112" t="s">
        <v>3025</v>
      </c>
      <c r="E35" s="112" t="s">
        <v>2986</v>
      </c>
      <c r="F35" s="112" t="s">
        <v>3026</v>
      </c>
      <c r="G35" s="112" t="s">
        <v>3027</v>
      </c>
      <c r="H35" s="113" t="s">
        <v>2902</v>
      </c>
    </row>
    <row r="36" customFormat="false" ht="41.75" hidden="false" customHeight="false" outlineLevel="0" collapsed="false">
      <c r="B36" s="112" t="n">
        <v>32</v>
      </c>
      <c r="C36" s="112" t="s">
        <v>3015</v>
      </c>
      <c r="D36" s="112" t="s">
        <v>3028</v>
      </c>
      <c r="E36" s="112" t="s">
        <v>3029</v>
      </c>
      <c r="F36" s="112" t="s">
        <v>3030</v>
      </c>
      <c r="G36" s="112" t="s">
        <v>3031</v>
      </c>
      <c r="H36" s="113" t="s">
        <v>3032</v>
      </c>
    </row>
    <row r="37" customFormat="false" ht="28.35" hidden="false" customHeight="false" outlineLevel="0" collapsed="false">
      <c r="B37" s="112" t="n">
        <v>33</v>
      </c>
      <c r="C37" s="112" t="s">
        <v>3015</v>
      </c>
      <c r="D37" s="112" t="s">
        <v>3033</v>
      </c>
      <c r="E37" s="112" t="s">
        <v>2986</v>
      </c>
      <c r="F37" s="112" t="s">
        <v>3034</v>
      </c>
      <c r="G37" s="112" t="s">
        <v>3035</v>
      </c>
      <c r="H37" s="113" t="s">
        <v>2902</v>
      </c>
    </row>
    <row r="38" customFormat="false" ht="15" hidden="false" customHeight="false" outlineLevel="0" collapsed="false">
      <c r="B38" s="112" t="n">
        <v>34</v>
      </c>
      <c r="C38" s="112" t="s">
        <v>3015</v>
      </c>
      <c r="D38" s="112" t="s">
        <v>3036</v>
      </c>
      <c r="E38" s="112" t="s">
        <v>3029</v>
      </c>
      <c r="F38" s="112" t="s">
        <v>3037</v>
      </c>
      <c r="G38" s="112" t="s">
        <v>3038</v>
      </c>
      <c r="H38" s="113" t="s">
        <v>2902</v>
      </c>
    </row>
    <row r="39" customFormat="false" ht="28.35" hidden="false" customHeight="false" outlineLevel="0" collapsed="false">
      <c r="B39" s="112" t="n">
        <v>35</v>
      </c>
      <c r="C39" s="112" t="s">
        <v>3039</v>
      </c>
      <c r="D39" s="112" t="s">
        <v>3040</v>
      </c>
      <c r="E39" s="112" t="s">
        <v>3041</v>
      </c>
      <c r="F39" s="112" t="s">
        <v>3042</v>
      </c>
      <c r="G39" s="112" t="s">
        <v>3043</v>
      </c>
      <c r="H39" s="113" t="s">
        <v>2902</v>
      </c>
    </row>
    <row r="40" customFormat="false" ht="28.35" hidden="false" customHeight="false" outlineLevel="0" collapsed="false">
      <c r="B40" s="112" t="n">
        <v>36</v>
      </c>
      <c r="C40" s="112" t="s">
        <v>3044</v>
      </c>
      <c r="D40" s="112" t="s">
        <v>3045</v>
      </c>
      <c r="E40" s="112" t="s">
        <v>3046</v>
      </c>
      <c r="F40" s="112" t="s">
        <v>3047</v>
      </c>
      <c r="G40" s="112" t="s">
        <v>3048</v>
      </c>
      <c r="H40" s="113" t="s">
        <v>2902</v>
      </c>
    </row>
    <row r="41" customFormat="false" ht="28.35" hidden="false" customHeight="false" outlineLevel="0" collapsed="false">
      <c r="B41" s="112" t="n">
        <v>37</v>
      </c>
      <c r="C41" s="112" t="s">
        <v>3049</v>
      </c>
      <c r="D41" s="112" t="s">
        <v>3050</v>
      </c>
      <c r="E41" s="112" t="s">
        <v>3051</v>
      </c>
      <c r="F41" s="112" t="s">
        <v>3052</v>
      </c>
      <c r="G41" s="112" t="s">
        <v>3053</v>
      </c>
      <c r="H41" s="113" t="s">
        <v>2902</v>
      </c>
    </row>
    <row r="42" customFormat="false" ht="28.35" hidden="false" customHeight="false" outlineLevel="0" collapsed="false">
      <c r="B42" s="112" t="n">
        <v>38</v>
      </c>
      <c r="C42" s="112" t="s">
        <v>3054</v>
      </c>
      <c r="D42" s="112" t="s">
        <v>3055</v>
      </c>
      <c r="E42" s="112" t="s">
        <v>3056</v>
      </c>
      <c r="F42" s="112" t="s">
        <v>3057</v>
      </c>
      <c r="G42" s="112" t="s">
        <v>3058</v>
      </c>
      <c r="H42" s="113" t="s">
        <v>2902</v>
      </c>
    </row>
    <row r="43" customFormat="false" ht="28.35" hidden="false" customHeight="false" outlineLevel="0" collapsed="false">
      <c r="B43" s="112" t="n">
        <v>39</v>
      </c>
      <c r="C43" s="112" t="s">
        <v>3054</v>
      </c>
      <c r="D43" s="112" t="s">
        <v>3059</v>
      </c>
      <c r="E43" s="112" t="s">
        <v>3060</v>
      </c>
      <c r="F43" s="112" t="s">
        <v>3061</v>
      </c>
      <c r="G43" s="112" t="s">
        <v>3062</v>
      </c>
      <c r="H43" s="115" t="s">
        <v>3063</v>
      </c>
    </row>
    <row r="44" customFormat="false" ht="15" hidden="false" customHeight="false" outlineLevel="0" collapsed="false">
      <c r="B44" s="112" t="n">
        <v>40</v>
      </c>
      <c r="C44" s="112" t="s">
        <v>3015</v>
      </c>
      <c r="D44" s="112" t="s">
        <v>3064</v>
      </c>
      <c r="E44" s="112" t="s">
        <v>3065</v>
      </c>
      <c r="F44" s="112" t="s">
        <v>3066</v>
      </c>
      <c r="G44" s="112" t="s">
        <v>3067</v>
      </c>
      <c r="H44" s="113" t="s">
        <v>2902</v>
      </c>
    </row>
    <row r="45" customFormat="false" ht="15" hidden="false" customHeight="false" outlineLevel="0" collapsed="false">
      <c r="B45" s="112" t="n">
        <v>41</v>
      </c>
      <c r="C45" s="112" t="s">
        <v>3068</v>
      </c>
      <c r="D45" s="112" t="s">
        <v>3069</v>
      </c>
      <c r="E45" s="112" t="s">
        <v>3070</v>
      </c>
      <c r="F45" s="112" t="s">
        <v>3071</v>
      </c>
      <c r="G45" s="112" t="s">
        <v>3072</v>
      </c>
      <c r="H45" s="113" t="s">
        <v>2902</v>
      </c>
    </row>
    <row r="46" customFormat="false" ht="28.35" hidden="false" customHeight="false" outlineLevel="0" collapsed="false">
      <c r="B46" s="112" t="n">
        <v>42</v>
      </c>
      <c r="C46" s="112" t="s">
        <v>3068</v>
      </c>
      <c r="D46" s="112" t="s">
        <v>3073</v>
      </c>
      <c r="E46" s="112" t="s">
        <v>3070</v>
      </c>
      <c r="F46" s="112" t="s">
        <v>3074</v>
      </c>
      <c r="G46" s="112" t="s">
        <v>3075</v>
      </c>
      <c r="H46" s="113" t="s">
        <v>2902</v>
      </c>
    </row>
    <row r="47" customFormat="false" ht="41.75" hidden="false" customHeight="false" outlineLevel="0" collapsed="false">
      <c r="B47" s="112" t="n">
        <v>43</v>
      </c>
      <c r="C47" s="112" t="s">
        <v>3068</v>
      </c>
      <c r="D47" s="112" t="s">
        <v>3076</v>
      </c>
      <c r="E47" s="112" t="s">
        <v>3070</v>
      </c>
      <c r="F47" s="112" t="s">
        <v>3077</v>
      </c>
      <c r="G47" s="112" t="s">
        <v>3078</v>
      </c>
      <c r="H47" s="113" t="s">
        <v>3079</v>
      </c>
    </row>
    <row r="48" customFormat="false" ht="15" hidden="false" customHeight="false" outlineLevel="0" collapsed="false">
      <c r="B48" s="112" t="n">
        <v>44</v>
      </c>
      <c r="C48" s="112" t="s">
        <v>3068</v>
      </c>
      <c r="D48" s="112" t="s">
        <v>3080</v>
      </c>
      <c r="E48" s="112" t="s">
        <v>3070</v>
      </c>
      <c r="F48" s="112" t="s">
        <v>3081</v>
      </c>
      <c r="G48" s="112" t="s">
        <v>3082</v>
      </c>
      <c r="H48" s="113" t="s">
        <v>2902</v>
      </c>
    </row>
    <row r="49" customFormat="false" ht="28.35" hidden="false" customHeight="false" outlineLevel="0" collapsed="false">
      <c r="B49" s="112" t="n">
        <v>45</v>
      </c>
      <c r="C49" s="112" t="s">
        <v>3068</v>
      </c>
      <c r="D49" s="112" t="s">
        <v>3083</v>
      </c>
      <c r="E49" s="112" t="s">
        <v>2990</v>
      </c>
      <c r="F49" s="112" t="s">
        <v>3084</v>
      </c>
      <c r="G49" s="112" t="s">
        <v>3085</v>
      </c>
      <c r="H49" s="115" t="s">
        <v>3086</v>
      </c>
    </row>
    <row r="50" customFormat="false" ht="41.75" hidden="false" customHeight="false" outlineLevel="0" collapsed="false">
      <c r="B50" s="112" t="n">
        <v>46</v>
      </c>
      <c r="C50" s="112" t="s">
        <v>3068</v>
      </c>
      <c r="D50" s="112" t="s">
        <v>3087</v>
      </c>
      <c r="E50" s="112" t="s">
        <v>3088</v>
      </c>
      <c r="F50" s="112" t="s">
        <v>3089</v>
      </c>
      <c r="G50" s="112" t="s">
        <v>2961</v>
      </c>
      <c r="H50" s="115" t="s">
        <v>3090</v>
      </c>
    </row>
    <row r="51" customFormat="false" ht="28.35" hidden="false" customHeight="false" outlineLevel="0" collapsed="false">
      <c r="B51" s="112" t="n">
        <v>47</v>
      </c>
      <c r="C51" s="112" t="s">
        <v>3068</v>
      </c>
      <c r="D51" s="112" t="s">
        <v>3091</v>
      </c>
      <c r="E51" s="112" t="s">
        <v>3092</v>
      </c>
      <c r="F51" s="112" t="s">
        <v>3093</v>
      </c>
      <c r="G51" s="112" t="s">
        <v>3094</v>
      </c>
      <c r="H51" s="113" t="s">
        <v>2902</v>
      </c>
    </row>
    <row r="52" customFormat="false" ht="28.35" hidden="false" customHeight="false" outlineLevel="0" collapsed="false">
      <c r="B52" s="112" t="n">
        <v>48</v>
      </c>
      <c r="C52" s="112" t="s">
        <v>3068</v>
      </c>
      <c r="D52" s="112" t="s">
        <v>3095</v>
      </c>
      <c r="E52" s="112" t="s">
        <v>3096</v>
      </c>
      <c r="F52" s="112" t="s">
        <v>3097</v>
      </c>
      <c r="G52" s="112" t="s">
        <v>3098</v>
      </c>
      <c r="H52" s="115" t="s">
        <v>3099</v>
      </c>
    </row>
    <row r="53" customFormat="false" ht="28.35" hidden="false" customHeight="false" outlineLevel="0" collapsed="false">
      <c r="B53" s="112" t="n">
        <v>49</v>
      </c>
      <c r="C53" s="112" t="s">
        <v>3100</v>
      </c>
      <c r="D53" s="112" t="s">
        <v>3101</v>
      </c>
      <c r="E53" s="112" t="s">
        <v>3102</v>
      </c>
      <c r="F53" s="112" t="s">
        <v>3103</v>
      </c>
      <c r="G53" s="112" t="s">
        <v>3104</v>
      </c>
      <c r="H53" s="113" t="s">
        <v>2902</v>
      </c>
    </row>
    <row r="54" customFormat="false" ht="28.35" hidden="false" customHeight="false" outlineLevel="0" collapsed="false">
      <c r="B54" s="112" t="n">
        <v>50</v>
      </c>
      <c r="C54" s="112" t="s">
        <v>3100</v>
      </c>
      <c r="D54" s="112" t="s">
        <v>3105</v>
      </c>
      <c r="E54" s="112" t="s">
        <v>3106</v>
      </c>
      <c r="F54" s="112" t="s">
        <v>3107</v>
      </c>
      <c r="G54" s="112" t="s">
        <v>3108</v>
      </c>
      <c r="H54" s="113" t="s">
        <v>2902</v>
      </c>
    </row>
    <row r="55" customFormat="false" ht="15" hidden="false" customHeight="false" outlineLevel="0" collapsed="false">
      <c r="B55" s="112" t="n">
        <v>51</v>
      </c>
      <c r="C55" s="112" t="s">
        <v>3109</v>
      </c>
      <c r="D55" s="112" t="s">
        <v>3110</v>
      </c>
      <c r="E55" s="112" t="s">
        <v>3111</v>
      </c>
      <c r="F55" s="112" t="s">
        <v>3112</v>
      </c>
      <c r="G55" s="112" t="s">
        <v>3113</v>
      </c>
      <c r="H55" s="113" t="s">
        <v>2902</v>
      </c>
    </row>
    <row r="56" customFormat="false" ht="28.35" hidden="false" customHeight="false" outlineLevel="0" collapsed="false">
      <c r="B56" s="112" t="n">
        <v>52</v>
      </c>
      <c r="C56" s="112" t="s">
        <v>3109</v>
      </c>
      <c r="D56" s="112" t="s">
        <v>3114</v>
      </c>
      <c r="E56" s="112" t="s">
        <v>3092</v>
      </c>
      <c r="F56" s="112" t="s">
        <v>3115</v>
      </c>
      <c r="G56" s="112" t="s">
        <v>3116</v>
      </c>
      <c r="H56" s="113" t="s">
        <v>2902</v>
      </c>
    </row>
    <row r="57" customFormat="false" ht="28.35" hidden="false" customHeight="false" outlineLevel="0" collapsed="false">
      <c r="B57" s="112" t="n">
        <v>53</v>
      </c>
      <c r="C57" s="112" t="s">
        <v>3109</v>
      </c>
      <c r="D57" s="112" t="s">
        <v>3117</v>
      </c>
      <c r="E57" s="112" t="s">
        <v>3118</v>
      </c>
      <c r="F57" s="112" t="s">
        <v>3119</v>
      </c>
      <c r="G57" s="112" t="s">
        <v>3120</v>
      </c>
      <c r="H57" s="113" t="s">
        <v>2902</v>
      </c>
    </row>
    <row r="58" customFormat="false" ht="15" hidden="false" customHeight="false" outlineLevel="0" collapsed="false">
      <c r="B58" s="112" t="n">
        <v>54</v>
      </c>
      <c r="C58" s="112" t="s">
        <v>3109</v>
      </c>
      <c r="D58" s="112" t="s">
        <v>3121</v>
      </c>
      <c r="E58" s="112" t="s">
        <v>3092</v>
      </c>
      <c r="F58" s="112" t="s">
        <v>3122</v>
      </c>
      <c r="G58" s="112" t="s">
        <v>3123</v>
      </c>
      <c r="H58" s="113" t="s">
        <v>2902</v>
      </c>
    </row>
    <row r="59" customFormat="false" ht="28.35" hidden="false" customHeight="false" outlineLevel="0" collapsed="false">
      <c r="B59" s="112" t="n">
        <v>55</v>
      </c>
      <c r="C59" s="112" t="s">
        <v>2957</v>
      </c>
      <c r="D59" s="112" t="s">
        <v>3124</v>
      </c>
      <c r="E59" s="112" t="s">
        <v>3125</v>
      </c>
      <c r="F59" s="112" t="s">
        <v>3126</v>
      </c>
      <c r="G59" s="112" t="s">
        <v>3127</v>
      </c>
      <c r="H59" s="113" t="s">
        <v>2902</v>
      </c>
    </row>
    <row r="60" customFormat="false" ht="28.35" hidden="false" customHeight="false" outlineLevel="0" collapsed="false">
      <c r="B60" s="112" t="n">
        <v>56</v>
      </c>
      <c r="C60" s="112" t="s">
        <v>2963</v>
      </c>
      <c r="D60" s="112" t="s">
        <v>3128</v>
      </c>
      <c r="E60" s="112" t="s">
        <v>3129</v>
      </c>
      <c r="F60" s="112" t="s">
        <v>3130</v>
      </c>
      <c r="G60" s="112" t="s">
        <v>3131</v>
      </c>
      <c r="H60" s="113" t="s">
        <v>2902</v>
      </c>
    </row>
    <row r="61" customFormat="false" ht="15" hidden="false" customHeight="false" outlineLevel="0" collapsed="false">
      <c r="B61" s="112" t="n">
        <v>57</v>
      </c>
      <c r="C61" s="112" t="s">
        <v>3132</v>
      </c>
      <c r="D61" s="112" t="s">
        <v>3133</v>
      </c>
      <c r="E61" s="112" t="s">
        <v>3134</v>
      </c>
      <c r="F61" s="112" t="s">
        <v>3135</v>
      </c>
      <c r="G61" s="112" t="s">
        <v>3136</v>
      </c>
      <c r="H61" s="113" t="s">
        <v>2902</v>
      </c>
    </row>
    <row r="62" customFormat="false" ht="15" hidden="false" customHeight="false" outlineLevel="0" collapsed="false">
      <c r="B62" s="112" t="n">
        <v>58</v>
      </c>
      <c r="C62" s="112" t="s">
        <v>3137</v>
      </c>
      <c r="D62" s="112" t="s">
        <v>3138</v>
      </c>
      <c r="E62" s="112" t="s">
        <v>3139</v>
      </c>
      <c r="F62" s="112" t="s">
        <v>3140</v>
      </c>
      <c r="G62" s="112" t="s">
        <v>3141</v>
      </c>
      <c r="H62" s="113" t="s">
        <v>2902</v>
      </c>
    </row>
    <row r="63" customFormat="false" ht="28.35" hidden="false" customHeight="false" outlineLevel="0" collapsed="false">
      <c r="B63" s="112" t="n">
        <v>59</v>
      </c>
      <c r="C63" s="112" t="s">
        <v>3137</v>
      </c>
      <c r="D63" s="112" t="s">
        <v>3142</v>
      </c>
      <c r="E63" s="112" t="s">
        <v>3143</v>
      </c>
      <c r="F63" s="112" t="s">
        <v>3144</v>
      </c>
      <c r="G63" s="112" t="s">
        <v>2913</v>
      </c>
      <c r="H63" s="114" t="s">
        <v>3145</v>
      </c>
    </row>
    <row r="64" customFormat="false" ht="28.35" hidden="false" customHeight="false" outlineLevel="0" collapsed="false">
      <c r="B64" s="112" t="n">
        <v>60</v>
      </c>
      <c r="C64" s="112" t="s">
        <v>3137</v>
      </c>
      <c r="D64" s="112" t="s">
        <v>3146</v>
      </c>
      <c r="E64" s="112" t="s">
        <v>3147</v>
      </c>
      <c r="F64" s="112" t="s">
        <v>3148</v>
      </c>
      <c r="G64" s="112" t="s">
        <v>2913</v>
      </c>
      <c r="H64" s="114" t="s">
        <v>3149</v>
      </c>
    </row>
    <row r="65" customFormat="false" ht="15" hidden="false" customHeight="false" outlineLevel="0" collapsed="false">
      <c r="B65" s="112" t="n">
        <v>61</v>
      </c>
      <c r="C65" s="112" t="s">
        <v>3150</v>
      </c>
      <c r="D65" s="112" t="s">
        <v>3151</v>
      </c>
      <c r="E65" s="112" t="s">
        <v>3152</v>
      </c>
      <c r="F65" s="112" t="s">
        <v>3153</v>
      </c>
      <c r="G65" s="112" t="s">
        <v>2913</v>
      </c>
      <c r="H65" s="114" t="s">
        <v>3154</v>
      </c>
    </row>
    <row r="66" customFormat="false" ht="15" hidden="false" customHeight="false" outlineLevel="0" collapsed="false">
      <c r="B66" s="112" t="n">
        <v>62</v>
      </c>
      <c r="C66" s="112" t="s">
        <v>3155</v>
      </c>
      <c r="D66" s="112" t="s">
        <v>3156</v>
      </c>
      <c r="E66" s="112" t="s">
        <v>2936</v>
      </c>
      <c r="F66" s="112" t="s">
        <v>3157</v>
      </c>
      <c r="G66" s="112" t="s">
        <v>2938</v>
      </c>
      <c r="H66" s="113" t="s">
        <v>2902</v>
      </c>
    </row>
    <row r="67" customFormat="false" ht="28.35" hidden="false" customHeight="false" outlineLevel="0" collapsed="false">
      <c r="B67" s="112" t="n">
        <v>63</v>
      </c>
      <c r="C67" s="112" t="s">
        <v>3155</v>
      </c>
      <c r="D67" s="112" t="s">
        <v>3158</v>
      </c>
      <c r="E67" s="112" t="s">
        <v>3159</v>
      </c>
      <c r="F67" s="112" t="s">
        <v>3160</v>
      </c>
      <c r="G67" s="112" t="s">
        <v>2913</v>
      </c>
      <c r="H67" s="114" t="s">
        <v>3161</v>
      </c>
    </row>
    <row r="68" customFormat="false" ht="41.75" hidden="false" customHeight="false" outlineLevel="0" collapsed="false">
      <c r="B68" s="112" t="n">
        <v>64</v>
      </c>
      <c r="C68" s="112" t="s">
        <v>3162</v>
      </c>
      <c r="D68" s="112" t="s">
        <v>3163</v>
      </c>
      <c r="E68" s="112" t="s">
        <v>3164</v>
      </c>
      <c r="F68" s="112" t="s">
        <v>3165</v>
      </c>
      <c r="G68" s="112" t="s">
        <v>3166</v>
      </c>
      <c r="H68" s="114" t="s">
        <v>3167</v>
      </c>
    </row>
    <row r="69" customFormat="false" ht="28.35" hidden="false" customHeight="false" outlineLevel="0" collapsed="false">
      <c r="B69" s="112" t="n">
        <v>65</v>
      </c>
      <c r="C69" s="112" t="s">
        <v>3162</v>
      </c>
      <c r="D69" s="112" t="s">
        <v>3168</v>
      </c>
      <c r="E69" s="112" t="s">
        <v>3169</v>
      </c>
      <c r="F69" s="112" t="s">
        <v>3170</v>
      </c>
      <c r="G69" s="112" t="s">
        <v>3171</v>
      </c>
      <c r="H69" s="114" t="s">
        <v>3172</v>
      </c>
    </row>
    <row r="70" customFormat="false" ht="28.35" hidden="false" customHeight="false" outlineLevel="0" collapsed="false">
      <c r="B70" s="112" t="n">
        <v>66</v>
      </c>
      <c r="C70" s="112" t="s">
        <v>3173</v>
      </c>
      <c r="D70" s="112" t="s">
        <v>3174</v>
      </c>
      <c r="E70" s="112" t="s">
        <v>3175</v>
      </c>
      <c r="F70" s="112" t="s">
        <v>3176</v>
      </c>
      <c r="G70" s="112" t="s">
        <v>3177</v>
      </c>
      <c r="H70" s="113" t="s">
        <v>3178</v>
      </c>
    </row>
    <row r="71" customFormat="false" ht="28.35" hidden="false" customHeight="false" outlineLevel="0" collapsed="false">
      <c r="B71" s="112" t="n">
        <v>67</v>
      </c>
      <c r="C71" s="112" t="s">
        <v>3179</v>
      </c>
      <c r="D71" s="112" t="s">
        <v>3180</v>
      </c>
      <c r="E71" s="112" t="s">
        <v>3181</v>
      </c>
      <c r="F71" s="112" t="s">
        <v>3182</v>
      </c>
      <c r="G71" s="112" t="s">
        <v>3183</v>
      </c>
      <c r="H71" s="113" t="s">
        <v>3178</v>
      </c>
    </row>
    <row r="72" customFormat="false" ht="28.35" hidden="false" customHeight="false" outlineLevel="0" collapsed="false">
      <c r="B72" s="112" t="n">
        <v>68</v>
      </c>
      <c r="C72" s="112" t="s">
        <v>3184</v>
      </c>
      <c r="D72" s="112" t="s">
        <v>3185</v>
      </c>
      <c r="E72" s="112" t="s">
        <v>3186</v>
      </c>
      <c r="F72" s="112" t="s">
        <v>3187</v>
      </c>
      <c r="G72" s="112" t="s">
        <v>3188</v>
      </c>
      <c r="H72" s="113" t="s">
        <v>3178</v>
      </c>
    </row>
    <row r="73" customFormat="false" ht="28.35" hidden="false" customHeight="false" outlineLevel="0" collapsed="false">
      <c r="B73" s="112" t="n">
        <v>69</v>
      </c>
      <c r="C73" s="112" t="s">
        <v>3189</v>
      </c>
      <c r="D73" s="112" t="s">
        <v>3190</v>
      </c>
      <c r="E73" s="112" t="s">
        <v>3191</v>
      </c>
      <c r="F73" s="112" t="s">
        <v>3192</v>
      </c>
      <c r="G73" s="112" t="s">
        <v>3193</v>
      </c>
      <c r="H73" s="113" t="s">
        <v>3178</v>
      </c>
    </row>
    <row r="74" customFormat="false" ht="28.35" hidden="false" customHeight="false" outlineLevel="0" collapsed="false">
      <c r="B74" s="112" t="n">
        <v>70</v>
      </c>
      <c r="C74" s="112" t="s">
        <v>3194</v>
      </c>
      <c r="D74" s="112" t="s">
        <v>3195</v>
      </c>
      <c r="E74" s="112" t="s">
        <v>3196</v>
      </c>
      <c r="F74" s="112" t="s">
        <v>3197</v>
      </c>
      <c r="G74" s="112" t="s">
        <v>3198</v>
      </c>
      <c r="H74" s="113" t="s">
        <v>3178</v>
      </c>
    </row>
    <row r="75" customFormat="false" ht="28.35" hidden="false" customHeight="false" outlineLevel="0" collapsed="false">
      <c r="B75" s="112" t="n">
        <v>71</v>
      </c>
      <c r="C75" s="112" t="s">
        <v>3199</v>
      </c>
      <c r="D75" s="112" t="s">
        <v>3200</v>
      </c>
      <c r="E75" s="112" t="s">
        <v>3201</v>
      </c>
      <c r="F75" s="112" t="s">
        <v>3202</v>
      </c>
      <c r="G75" s="112" t="s">
        <v>3203</v>
      </c>
      <c r="H75" s="113" t="s">
        <v>3178</v>
      </c>
    </row>
    <row r="76" customFormat="false" ht="28.35" hidden="false" customHeight="false" outlineLevel="0" collapsed="false">
      <c r="B76" s="112" t="n">
        <v>72</v>
      </c>
      <c r="C76" s="112" t="s">
        <v>3204</v>
      </c>
      <c r="D76" s="112" t="s">
        <v>3205</v>
      </c>
      <c r="E76" s="112" t="s">
        <v>3206</v>
      </c>
      <c r="F76" s="112" t="s">
        <v>3207</v>
      </c>
      <c r="G76" s="112" t="s">
        <v>3208</v>
      </c>
      <c r="H76" s="113" t="s">
        <v>3178</v>
      </c>
    </row>
    <row r="77" customFormat="false" ht="28.35" hidden="false" customHeight="false" outlineLevel="0" collapsed="false">
      <c r="B77" s="112" t="n">
        <v>73</v>
      </c>
      <c r="C77" s="112" t="s">
        <v>3209</v>
      </c>
      <c r="D77" s="112" t="s">
        <v>3210</v>
      </c>
      <c r="E77" s="112" t="s">
        <v>3211</v>
      </c>
      <c r="F77" s="112" t="s">
        <v>3212</v>
      </c>
      <c r="G77" s="112" t="s">
        <v>3213</v>
      </c>
      <c r="H77" s="113" t="s">
        <v>3178</v>
      </c>
    </row>
    <row r="78" customFormat="false" ht="28.35" hidden="false" customHeight="false" outlineLevel="0" collapsed="false">
      <c r="B78" s="112" t="n">
        <v>74</v>
      </c>
      <c r="C78" s="112" t="s">
        <v>3214</v>
      </c>
      <c r="D78" s="112" t="s">
        <v>3215</v>
      </c>
      <c r="E78" s="112" t="s">
        <v>3216</v>
      </c>
      <c r="F78" s="112" t="s">
        <v>3217</v>
      </c>
      <c r="G78" s="112" t="s">
        <v>3218</v>
      </c>
      <c r="H78" s="113" t="s">
        <v>3178</v>
      </c>
    </row>
    <row r="79" customFormat="false" ht="28.35" hidden="false" customHeight="false" outlineLevel="0" collapsed="false">
      <c r="B79" s="112" t="n">
        <v>75</v>
      </c>
      <c r="C79" s="112" t="s">
        <v>3219</v>
      </c>
      <c r="D79" s="112" t="s">
        <v>3220</v>
      </c>
      <c r="E79" s="112" t="s">
        <v>3221</v>
      </c>
      <c r="F79" s="112" t="s">
        <v>3222</v>
      </c>
      <c r="G79" s="112" t="s">
        <v>3223</v>
      </c>
      <c r="H79" s="113" t="s">
        <v>3178</v>
      </c>
    </row>
    <row r="80" customFormat="false" ht="28.35" hidden="false" customHeight="false" outlineLevel="0" collapsed="false">
      <c r="B80" s="112" t="n">
        <v>76</v>
      </c>
      <c r="C80" s="112" t="s">
        <v>3224</v>
      </c>
      <c r="D80" s="112" t="s">
        <v>3225</v>
      </c>
      <c r="E80" s="112" t="s">
        <v>3226</v>
      </c>
      <c r="F80" s="112" t="s">
        <v>3227</v>
      </c>
      <c r="G80" s="112" t="s">
        <v>3228</v>
      </c>
      <c r="H80" s="113" t="s">
        <v>3178</v>
      </c>
    </row>
    <row r="81" customFormat="false" ht="28.35" hidden="false" customHeight="false" outlineLevel="0" collapsed="false">
      <c r="B81" s="112" t="n">
        <v>77</v>
      </c>
      <c r="C81" s="112" t="s">
        <v>3229</v>
      </c>
      <c r="D81" s="112" t="s">
        <v>3230</v>
      </c>
      <c r="E81" s="112" t="s">
        <v>3231</v>
      </c>
      <c r="F81" s="112" t="s">
        <v>3232</v>
      </c>
      <c r="G81" s="112" t="s">
        <v>3233</v>
      </c>
      <c r="H81" s="113" t="s">
        <v>3178</v>
      </c>
    </row>
    <row r="82" customFormat="false" ht="28.35" hidden="false" customHeight="false" outlineLevel="0" collapsed="false">
      <c r="B82" s="112" t="n">
        <v>78</v>
      </c>
      <c r="C82" s="112" t="s">
        <v>3234</v>
      </c>
      <c r="D82" s="112" t="s">
        <v>3235</v>
      </c>
      <c r="E82" s="112" t="s">
        <v>3236</v>
      </c>
      <c r="F82" s="112" t="s">
        <v>3237</v>
      </c>
      <c r="G82" s="112" t="s">
        <v>3238</v>
      </c>
      <c r="H82" s="113" t="s">
        <v>3178</v>
      </c>
    </row>
    <row r="83" customFormat="false" ht="28.35" hidden="false" customHeight="false" outlineLevel="0" collapsed="false">
      <c r="B83" s="112" t="n">
        <v>79</v>
      </c>
      <c r="C83" s="112" t="s">
        <v>3239</v>
      </c>
      <c r="D83" s="112" t="s">
        <v>3240</v>
      </c>
      <c r="E83" s="112" t="s">
        <v>3241</v>
      </c>
      <c r="F83" s="112" t="s">
        <v>3242</v>
      </c>
      <c r="G83" s="112" t="s">
        <v>3243</v>
      </c>
      <c r="H83" s="113" t="s">
        <v>3178</v>
      </c>
    </row>
    <row r="84" customFormat="false" ht="28.35" hidden="false" customHeight="false" outlineLevel="0" collapsed="false">
      <c r="B84" s="112" t="n">
        <v>80</v>
      </c>
      <c r="C84" s="112" t="s">
        <v>3244</v>
      </c>
      <c r="D84" s="112" t="s">
        <v>3245</v>
      </c>
      <c r="E84" s="112" t="s">
        <v>3246</v>
      </c>
      <c r="F84" s="112" t="s">
        <v>3247</v>
      </c>
      <c r="G84" s="112" t="s">
        <v>3248</v>
      </c>
      <c r="H84" s="113" t="s">
        <v>3178</v>
      </c>
    </row>
    <row r="85" customFormat="false" ht="28.35" hidden="false" customHeight="false" outlineLevel="0" collapsed="false">
      <c r="B85" s="112" t="n">
        <v>81</v>
      </c>
      <c r="C85" s="112" t="s">
        <v>3249</v>
      </c>
      <c r="D85" s="112" t="s">
        <v>3250</v>
      </c>
      <c r="E85" s="112" t="s">
        <v>3251</v>
      </c>
      <c r="F85" s="112" t="s">
        <v>3252</v>
      </c>
      <c r="G85" s="112" t="s">
        <v>3253</v>
      </c>
      <c r="H85" s="113" t="s">
        <v>3178</v>
      </c>
    </row>
    <row r="86" customFormat="false" ht="28.35" hidden="false" customHeight="false" outlineLevel="0" collapsed="false">
      <c r="B86" s="112" t="n">
        <v>82</v>
      </c>
      <c r="C86" s="112" t="s">
        <v>3254</v>
      </c>
      <c r="D86" s="112" t="s">
        <v>3255</v>
      </c>
      <c r="E86" s="112" t="s">
        <v>3256</v>
      </c>
      <c r="F86" s="112" t="s">
        <v>3257</v>
      </c>
      <c r="G86" s="112" t="s">
        <v>3258</v>
      </c>
      <c r="H86" s="113" t="s">
        <v>3178</v>
      </c>
    </row>
    <row r="87" customFormat="false" ht="28.35" hidden="false" customHeight="false" outlineLevel="0" collapsed="false">
      <c r="B87" s="112" t="n">
        <v>83</v>
      </c>
      <c r="C87" s="112" t="s">
        <v>3259</v>
      </c>
      <c r="D87" s="112" t="s">
        <v>3260</v>
      </c>
      <c r="E87" s="112" t="s">
        <v>3261</v>
      </c>
      <c r="F87" s="112" t="s">
        <v>3262</v>
      </c>
      <c r="G87" s="112" t="s">
        <v>3263</v>
      </c>
      <c r="H87" s="113" t="s">
        <v>3178</v>
      </c>
    </row>
    <row r="88" customFormat="false" ht="28.35" hidden="false" customHeight="false" outlineLevel="0" collapsed="false">
      <c r="B88" s="112" t="n">
        <v>84</v>
      </c>
      <c r="C88" s="112" t="s">
        <v>3264</v>
      </c>
      <c r="D88" s="112" t="s">
        <v>3265</v>
      </c>
      <c r="E88" s="112" t="s">
        <v>3266</v>
      </c>
      <c r="F88" s="112" t="s">
        <v>3267</v>
      </c>
      <c r="G88" s="112" t="s">
        <v>3268</v>
      </c>
      <c r="H88" s="113" t="s">
        <v>3178</v>
      </c>
    </row>
    <row r="89" customFormat="false" ht="28.35" hidden="false" customHeight="false" outlineLevel="0" collapsed="false">
      <c r="B89" s="112" t="n">
        <v>85</v>
      </c>
      <c r="C89" s="112" t="s">
        <v>3269</v>
      </c>
      <c r="D89" s="112" t="s">
        <v>3270</v>
      </c>
      <c r="E89" s="112" t="s">
        <v>3271</v>
      </c>
      <c r="F89" s="112" t="s">
        <v>3272</v>
      </c>
      <c r="G89" s="112" t="s">
        <v>3273</v>
      </c>
      <c r="H89" s="113" t="s">
        <v>3178</v>
      </c>
    </row>
    <row r="90" customFormat="false" ht="28.35" hidden="false" customHeight="false" outlineLevel="0" collapsed="false">
      <c r="B90" s="112" t="n">
        <v>86</v>
      </c>
      <c r="C90" s="112" t="s">
        <v>3274</v>
      </c>
      <c r="D90" s="112" t="s">
        <v>3275</v>
      </c>
      <c r="E90" s="112" t="s">
        <v>3276</v>
      </c>
      <c r="F90" s="112" t="s">
        <v>3277</v>
      </c>
      <c r="G90" s="112" t="s">
        <v>3278</v>
      </c>
      <c r="H90" s="113" t="s">
        <v>3178</v>
      </c>
    </row>
    <row r="91" customFormat="false" ht="28.35" hidden="false" customHeight="false" outlineLevel="0" collapsed="false">
      <c r="B91" s="112" t="n">
        <v>87</v>
      </c>
      <c r="C91" s="112" t="s">
        <v>3279</v>
      </c>
      <c r="D91" s="112" t="s">
        <v>3280</v>
      </c>
      <c r="E91" s="112" t="s">
        <v>3281</v>
      </c>
      <c r="F91" s="112" t="s">
        <v>3282</v>
      </c>
      <c r="G91" s="112" t="s">
        <v>3283</v>
      </c>
      <c r="H91" s="113" t="s">
        <v>3178</v>
      </c>
    </row>
    <row r="92" customFormat="false" ht="28.35" hidden="false" customHeight="false" outlineLevel="0" collapsed="false">
      <c r="B92" s="112" t="n">
        <v>88</v>
      </c>
      <c r="C92" s="112" t="s">
        <v>3284</v>
      </c>
      <c r="D92" s="112" t="s">
        <v>3285</v>
      </c>
      <c r="E92" s="112" t="s">
        <v>3286</v>
      </c>
      <c r="F92" s="112" t="s">
        <v>3287</v>
      </c>
      <c r="G92" s="112" t="s">
        <v>3288</v>
      </c>
      <c r="H92" s="113" t="s">
        <v>3178</v>
      </c>
    </row>
    <row r="93" customFormat="false" ht="28.35" hidden="false" customHeight="false" outlineLevel="0" collapsed="false">
      <c r="B93" s="112" t="n">
        <v>89</v>
      </c>
      <c r="C93" s="112" t="s">
        <v>3289</v>
      </c>
      <c r="D93" s="112" t="s">
        <v>3290</v>
      </c>
      <c r="E93" s="112" t="s">
        <v>3291</v>
      </c>
      <c r="F93" s="112" t="s">
        <v>3292</v>
      </c>
      <c r="G93" s="112" t="s">
        <v>3293</v>
      </c>
      <c r="H93" s="113" t="s">
        <v>3178</v>
      </c>
    </row>
    <row r="94" customFormat="false" ht="28.35" hidden="false" customHeight="false" outlineLevel="0" collapsed="false">
      <c r="B94" s="112" t="n">
        <v>90</v>
      </c>
      <c r="C94" s="112" t="s">
        <v>3294</v>
      </c>
      <c r="D94" s="112" t="s">
        <v>3295</v>
      </c>
      <c r="E94" s="112" t="s">
        <v>3296</v>
      </c>
      <c r="F94" s="112" t="s">
        <v>3297</v>
      </c>
      <c r="G94" s="112" t="s">
        <v>3298</v>
      </c>
      <c r="H94" s="113" t="s">
        <v>3178</v>
      </c>
    </row>
    <row r="95" customFormat="false" ht="28.35" hidden="false" customHeight="false" outlineLevel="0" collapsed="false">
      <c r="B95" s="112" t="n">
        <v>91</v>
      </c>
      <c r="C95" s="112" t="s">
        <v>3299</v>
      </c>
      <c r="D95" s="112" t="s">
        <v>3300</v>
      </c>
      <c r="E95" s="112" t="s">
        <v>3301</v>
      </c>
      <c r="F95" s="112" t="s">
        <v>3302</v>
      </c>
      <c r="G95" s="112" t="s">
        <v>3303</v>
      </c>
      <c r="H95" s="113" t="s">
        <v>3178</v>
      </c>
    </row>
    <row r="96" customFormat="false" ht="28.35" hidden="false" customHeight="false" outlineLevel="0" collapsed="false">
      <c r="B96" s="112" t="n">
        <v>92</v>
      </c>
      <c r="C96" s="112" t="s">
        <v>3304</v>
      </c>
      <c r="D96" s="112" t="s">
        <v>3305</v>
      </c>
      <c r="E96" s="112" t="s">
        <v>3306</v>
      </c>
      <c r="F96" s="112" t="s">
        <v>3307</v>
      </c>
      <c r="G96" s="112" t="s">
        <v>3308</v>
      </c>
      <c r="H96" s="113" t="s">
        <v>3178</v>
      </c>
    </row>
    <row r="97" customFormat="false" ht="28.35" hidden="false" customHeight="false" outlineLevel="0" collapsed="false">
      <c r="B97" s="112" t="n">
        <v>93</v>
      </c>
      <c r="C97" s="112" t="s">
        <v>3309</v>
      </c>
      <c r="D97" s="112" t="s">
        <v>3310</v>
      </c>
      <c r="E97" s="112" t="s">
        <v>3311</v>
      </c>
      <c r="F97" s="112" t="s">
        <v>3312</v>
      </c>
      <c r="G97" s="112" t="s">
        <v>3313</v>
      </c>
      <c r="H97" s="113" t="s">
        <v>3178</v>
      </c>
    </row>
    <row r="99" customFormat="false" ht="15" hidden="false" customHeight="false" outlineLevel="0" collapsed="false">
      <c r="B99" s="108" t="s">
        <v>3314</v>
      </c>
    </row>
    <row r="100" customFormat="false" ht="15" hidden="false" customHeight="false" outlineLevel="0" collapsed="false">
      <c r="C100" s="1" t="s">
        <v>3315</v>
      </c>
      <c r="D100" s="1" t="n">
        <f aca="false">COUNTA(C5:C97)</f>
        <v>93</v>
      </c>
    </row>
    <row r="101" customFormat="false" ht="15" hidden="false" customHeight="false" outlineLevel="0" collapsed="false">
      <c r="C101" s="1" t="s">
        <v>2902</v>
      </c>
      <c r="D101" s="1" t="n">
        <f aca="false">COUNTIF(H5:H97,"Matched in test*")-COUNTIF(H5:H97,"Matched in test when*")</f>
        <v>78</v>
      </c>
    </row>
    <row r="102" customFormat="false" ht="15" hidden="false" customHeight="false" outlineLevel="0" collapsed="false">
      <c r="C102" s="1" t="s">
        <v>3316</v>
      </c>
      <c r="D102" s="1" t="n">
        <f aca="false">COUNTIF(H5:H97,"Matched in test when*")+COUNTIF(H5:H97,"Figures*")+COUNTIF(H5:H97,"Values*")+COUNTIF(H5:H97,"Partly*")</f>
        <v>6</v>
      </c>
    </row>
    <row r="103" customFormat="false" ht="15" hidden="false" customHeight="false" outlineLevel="0" collapsed="false">
      <c r="C103" s="1" t="s">
        <v>3317</v>
      </c>
      <c r="D103" s="1" t="n">
        <f aca="false">D100-D101-D102</f>
        <v>9</v>
      </c>
    </row>
  </sheetData>
  <autoFilter ref="B4:H97"/>
  <mergeCells count="1">
    <mergeCell ref="B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R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44"/>
    <col collapsed="false" customWidth="true" hidden="false" outlineLevel="0" max="3" min="3" style="1" width="18"/>
    <col collapsed="false" customWidth="true" hidden="false" outlineLevel="0" max="4" min="4" style="1" width="20"/>
    <col collapsed="false" customWidth="true" hidden="false" outlineLevel="0" max="5" min="5" style="1" width="90"/>
    <col collapsed="false" customWidth="true" hidden="false" outlineLevel="0" max="7" min="6" style="1" width="18"/>
    <col collapsed="false" customWidth="true" hidden="false" outlineLevel="0" max="18" min="8" style="1" width="13"/>
  </cols>
  <sheetData>
    <row r="1" customFormat="false" ht="19.5" hidden="false" customHeight="true" outlineLevel="0" collapsed="false">
      <c r="B1" s="23" t="s">
        <v>3318</v>
      </c>
    </row>
    <row r="2" customFormat="false" ht="15" hidden="false" customHeight="true" outlineLevel="0" collapsed="false">
      <c r="B2" s="116" t="s">
        <v>3319</v>
      </c>
    </row>
    <row r="4" customFormat="false" ht="15" hidden="false" customHeight="true" outlineLevel="0" collapsed="false">
      <c r="B4" s="15" t="s">
        <v>219</v>
      </c>
      <c r="C4" s="16"/>
      <c r="D4" s="16"/>
      <c r="E4" s="16"/>
      <c r="F4" s="27" t="s">
        <v>3320</v>
      </c>
      <c r="G4" s="27" t="s">
        <v>3321</v>
      </c>
    </row>
    <row r="5" customFormat="false" ht="15" hidden="false" customHeight="true" outlineLevel="0" collapsed="false">
      <c r="B5" s="9" t="s">
        <v>3322</v>
      </c>
      <c r="C5" s="34"/>
      <c r="E5" s="3" t="s">
        <v>3323</v>
      </c>
      <c r="F5" s="35" t="s">
        <v>3324</v>
      </c>
      <c r="G5" s="36" t="str">
        <f aca="false">IF(ISBLANK(C5),IF(Fill_Example="Yes",F5,""),C5)</f>
        <v/>
      </c>
    </row>
    <row r="6" customFormat="false" ht="15" hidden="false" customHeight="true" outlineLevel="0" collapsed="false">
      <c r="B6" s="9" t="s">
        <v>3325</v>
      </c>
      <c r="C6" s="29"/>
      <c r="E6" s="3" t="s">
        <v>3326</v>
      </c>
      <c r="F6" s="32" t="n">
        <v>60000</v>
      </c>
      <c r="G6" s="33" t="str">
        <f aca="false">IF(ISBLANK(C6),IF(Fill_Example="Yes",F6,""),C6)</f>
        <v/>
      </c>
    </row>
    <row r="7" customFormat="false" ht="15" hidden="false" customHeight="true" outlineLevel="0" collapsed="false">
      <c r="B7" s="9" t="s">
        <v>3327</v>
      </c>
      <c r="C7" s="29"/>
      <c r="E7" s="3" t="s">
        <v>3328</v>
      </c>
      <c r="F7" s="32" t="n">
        <v>0</v>
      </c>
      <c r="G7" s="33" t="n">
        <f aca="false">IF(ISBLANK(C7),F7,C7)</f>
        <v>0</v>
      </c>
    </row>
    <row r="8" customFormat="false" ht="15" hidden="false" customHeight="true" outlineLevel="0" collapsed="false">
      <c r="B8" s="9" t="s">
        <v>3329</v>
      </c>
      <c r="C8" s="34"/>
      <c r="E8" s="3" t="s">
        <v>3330</v>
      </c>
      <c r="F8" s="35" t="s">
        <v>3</v>
      </c>
      <c r="G8" s="36" t="str">
        <f aca="false">IF(ISBLANK(C8),IF(Fill_Example="Yes",F8,""),C8)</f>
        <v/>
      </c>
    </row>
    <row r="9" customFormat="false" ht="15" hidden="false" customHeight="true" outlineLevel="0" collapsed="false">
      <c r="B9" s="9" t="s">
        <v>3331</v>
      </c>
      <c r="C9" s="34"/>
      <c r="E9" s="3" t="s">
        <v>3332</v>
      </c>
      <c r="F9" s="35" t="s">
        <v>3</v>
      </c>
      <c r="G9" s="36" t="str">
        <f aca="false">IF(ISBLANK(C9),IF(Fill_Example="Yes",F9,""),C9)</f>
        <v/>
      </c>
    </row>
    <row r="10" customFormat="false" ht="15" hidden="false" customHeight="true" outlineLevel="0" collapsed="false">
      <c r="B10" s="9" t="s">
        <v>3333</v>
      </c>
      <c r="C10" s="34"/>
      <c r="E10" s="3" t="s">
        <v>3334</v>
      </c>
      <c r="F10" s="35" t="s">
        <v>3335</v>
      </c>
      <c r="G10" s="36" t="str">
        <f aca="false">IF(ISBLANK(C10),F10,C10)</f>
        <v>From 1 Oct 2026</v>
      </c>
    </row>
    <row r="12" customFormat="false" ht="15" hidden="false" customHeight="true" outlineLevel="0" collapsed="false">
      <c r="B12" s="15" t="s">
        <v>3336</v>
      </c>
      <c r="C12" s="16"/>
      <c r="D12" s="16"/>
      <c r="E12" s="16"/>
    </row>
    <row r="13" customFormat="false" ht="15" hidden="false" customHeight="true" outlineLevel="0" collapsed="false">
      <c r="B13" s="9" t="s">
        <v>3337</v>
      </c>
      <c r="C13" s="117" t="n">
        <f aca="false">IF(TE_PRSI_Basis="Calendar 2026 blend",PRSI_Rate_2026_Blend,PRSI_Rate)</f>
        <v>0.0435</v>
      </c>
      <c r="E13" s="118" t="s">
        <v>3338</v>
      </c>
    </row>
    <row r="14" customFormat="false" ht="15" hidden="false" customHeight="true" outlineLevel="0" collapsed="false">
      <c r="B14" s="9" t="s">
        <v>3339</v>
      </c>
      <c r="C14" s="119" t="str">
        <f aca="false">IF(TE_Need&lt;&gt;"",TE_Need,IF(TE_Status="Married two earners",TE_Gross_2,0))</f>
        <v>Choose your tax status to see this</v>
      </c>
      <c r="E14" s="118" t="s">
        <v>3340</v>
      </c>
    </row>
    <row r="15" customFormat="false" ht="30" hidden="false" customHeight="true" outlineLevel="0" collapsed="false">
      <c r="B15" s="9" t="s">
        <v>3341</v>
      </c>
      <c r="C15" s="119" t="str">
        <f aca="false">IF(TE_Need&lt;&gt;"",TE_Need,IF(TE_Status="Single",Band_Single,IF(TE_Status="Single parent",Band_Single_Parent,IF(TE_Status="Married one earner",Band_Married,Band_Married+MIN(MIN(TE_Gross_1,TE_Gross_2),Band_Second_Earner_Max)))))</f>
        <v>Choose your tax status to see this</v>
      </c>
      <c r="E15" s="118" t="s">
        <v>3342</v>
      </c>
    </row>
    <row r="16" customFormat="false" ht="15" hidden="false" customHeight="true" outlineLevel="0" collapsed="false">
      <c r="B16" s="9" t="s">
        <v>3343</v>
      </c>
      <c r="C16" s="119" t="str">
        <f aca="false">IF(TE_Need&lt;&gt;"",TE_Need,TE_Gross_1+TE_Earner_2)</f>
        <v>Choose your tax status to see this</v>
      </c>
      <c r="E16" s="118" t="s">
        <v>3344</v>
      </c>
    </row>
    <row r="17" customFormat="false" ht="15" hidden="false" customHeight="true" outlineLevel="0" collapsed="false">
      <c r="B17" s="9" t="s">
        <v>3345</v>
      </c>
      <c r="C17" s="120" t="str">
        <f aca="false">IF(TE_Need&lt;&gt;"",TE_Need,Rate_Standard*MIN(TE_Taxable,TE_Band)+Rate_Higher*MAX(0,TE_Taxable-TE_Band))</f>
        <v>Choose your tax status to see this</v>
      </c>
      <c r="E17" s="118" t="s">
        <v>3346</v>
      </c>
    </row>
    <row r="18" customFormat="false" ht="30" hidden="false" customHeight="true" outlineLevel="0" collapsed="false">
      <c r="B18" s="9" t="s">
        <v>3347</v>
      </c>
      <c r="C18" s="120" t="str">
        <f aca="false">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f>
        <v>Choose your tax status to see this</v>
      </c>
      <c r="E18" s="118" t="s">
        <v>3348</v>
      </c>
    </row>
    <row r="19" customFormat="false" ht="15" hidden="false" customHeight="true" outlineLevel="0" collapsed="false">
      <c r="B19" s="12" t="s">
        <v>3349</v>
      </c>
      <c r="C19" s="121" t="str">
        <f aca="false">IF(TE_Need&lt;&gt;"",TE_Need,MAX(0,TE_Tax_Before_Credits-TE_Credits))</f>
        <v>Choose your tax status to see this</v>
      </c>
      <c r="E19" s="118" t="s">
        <v>3350</v>
      </c>
    </row>
    <row r="20" customFormat="false" ht="30" hidden="false" customHeight="true" outlineLevel="0" collapsed="false">
      <c r="B20" s="12" t="s">
        <v>3351</v>
      </c>
      <c r="C20" s="121" t="str">
        <f aca="false">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f>
        <v>Choose your tax status to see this</v>
      </c>
      <c r="E20" s="118" t="s">
        <v>3352</v>
      </c>
    </row>
    <row r="21" customFormat="false" ht="30" hidden="false" customHeight="true" outlineLevel="0" collapsed="false">
      <c r="B21" s="12" t="s">
        <v>3353</v>
      </c>
      <c r="C21" s="121" t="str">
        <f aca="false">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f>
        <v>Choose your tax status to see this</v>
      </c>
      <c r="E21" s="118" t="s">
        <v>3354</v>
      </c>
    </row>
    <row r="22" customFormat="false" ht="15" hidden="false" customHeight="true" outlineLevel="0" collapsed="false">
      <c r="B22" s="12" t="s">
        <v>3355</v>
      </c>
      <c r="C22" s="121" t="str">
        <f aca="false">IF(TE_Need&lt;&gt;"",TE_Need,TE_Taxable-TE_Income_Tax-TE_USC-TE_PRSI)</f>
        <v>Choose your tax status to see this</v>
      </c>
      <c r="E22" s="118" t="s">
        <v>3356</v>
      </c>
    </row>
    <row r="23" customFormat="false" ht="15" hidden="false" customHeight="true" outlineLevel="0" collapsed="false">
      <c r="B23" s="12" t="s">
        <v>3357</v>
      </c>
      <c r="C23" s="121" t="str">
        <f aca="false">IF(TE_Need&lt;&gt;"",TE_Need,TE_Take_Home/12)</f>
        <v>Choose your tax status to see this</v>
      </c>
      <c r="E23" s="118" t="s">
        <v>3358</v>
      </c>
    </row>
    <row r="24" customFormat="false" ht="15" hidden="false" customHeight="true" outlineLevel="0" collapsed="false">
      <c r="B24" s="12" t="s">
        <v>3359</v>
      </c>
      <c r="C24" s="122" t="str">
        <f aca="false">IF(TE_Need&lt;&gt;"",TE_Need,IF(TE_Taxable&gt;TE_Band,Rate_Higher,Rate_Standard))</f>
        <v>Choose your tax status to see this</v>
      </c>
      <c r="E24" s="118" t="s">
        <v>3360</v>
      </c>
    </row>
    <row r="25" customFormat="false" ht="15" hidden="false" customHeight="true" outlineLevel="0" collapsed="false">
      <c r="B25" s="55" t="s">
        <v>3361</v>
      </c>
      <c r="C25" s="55" t="str">
        <f aca="false">IF(TE_Status="","Choose your tax status to see this",IF(TE_Gross_1="","Choose your gross yearly pay to see this",IF(TE_Rent_Credit="","Choose your answer on the Rent Tax Credit to see this",IF(TE_Home_Carer="","Choose your answer on the Home Carer Tax Credit to see this",""))))</f>
        <v>Choose your tax status to see this</v>
      </c>
    </row>
    <row r="27" customFormat="false" ht="15" hidden="false" customHeight="true" outlineLevel="0" collapsed="false">
      <c r="B27" s="15" t="s">
        <v>278</v>
      </c>
      <c r="C27" s="16"/>
      <c r="D27" s="16"/>
      <c r="E27" s="16"/>
    </row>
    <row r="28" customFormat="false" ht="15" hidden="false" customHeight="true" outlineLevel="0" collapsed="false">
      <c r="B28" s="123" t="s">
        <v>3362</v>
      </c>
      <c r="C28" s="123"/>
      <c r="D28" s="123"/>
      <c r="E28" s="123"/>
    </row>
    <row r="29" customFormat="false" ht="15" hidden="false" customHeight="true" outlineLevel="0" collapsed="false">
      <c r="B29" s="123" t="s">
        <v>3363</v>
      </c>
      <c r="C29" s="123"/>
      <c r="D29" s="123"/>
      <c r="E29" s="123"/>
    </row>
    <row r="30" customFormat="false" ht="15" hidden="false" customHeight="true" outlineLevel="0" collapsed="false">
      <c r="B30" s="123" t="s">
        <v>3364</v>
      </c>
      <c r="C30" s="123"/>
      <c r="D30" s="123"/>
      <c r="E30" s="123"/>
    </row>
    <row r="31" customFormat="false" ht="15" hidden="false" customHeight="true" outlineLevel="0" collapsed="false">
      <c r="B31" s="123" t="s">
        <v>3365</v>
      </c>
      <c r="C31" s="123"/>
      <c r="D31" s="123"/>
      <c r="E31" s="123"/>
    </row>
    <row r="33" customFormat="false" ht="15" hidden="false" customHeight="true" outlineLevel="0" collapsed="false">
      <c r="B33" s="15" t="s">
        <v>3366</v>
      </c>
      <c r="C33" s="16"/>
      <c r="D33" s="16"/>
      <c r="E33" s="16"/>
      <c r="F33" s="16"/>
      <c r="G33" s="16"/>
      <c r="H33" s="16"/>
      <c r="I33" s="16"/>
      <c r="J33" s="16"/>
      <c r="K33" s="16"/>
      <c r="L33" s="16"/>
      <c r="M33" s="16"/>
      <c r="N33" s="16"/>
      <c r="O33" s="16"/>
      <c r="P33" s="16"/>
      <c r="Q33" s="16"/>
      <c r="R33" s="16"/>
    </row>
    <row r="34" customFormat="false" ht="30" hidden="false" customHeight="true" outlineLevel="0" collapsed="false">
      <c r="B34" s="124" t="s">
        <v>3367</v>
      </c>
      <c r="C34" s="124" t="s">
        <v>3368</v>
      </c>
      <c r="D34" s="124" t="s">
        <v>100</v>
      </c>
      <c r="E34" s="124" t="s">
        <v>3369</v>
      </c>
      <c r="F34" s="124" t="s">
        <v>3349</v>
      </c>
      <c r="G34" s="124" t="s">
        <v>3370</v>
      </c>
      <c r="H34" s="124" t="s">
        <v>3371</v>
      </c>
      <c r="I34" s="124" t="s">
        <v>3372</v>
      </c>
      <c r="J34" s="124" t="s">
        <v>3373</v>
      </c>
      <c r="K34" s="124" t="s">
        <v>3374</v>
      </c>
      <c r="L34" s="124" t="s">
        <v>3375</v>
      </c>
      <c r="M34" s="124" t="s">
        <v>3376</v>
      </c>
      <c r="N34" s="124" t="s">
        <v>3377</v>
      </c>
      <c r="O34" s="124" t="s">
        <v>3378</v>
      </c>
      <c r="P34" s="124" t="s">
        <v>3379</v>
      </c>
      <c r="Q34" s="124" t="s">
        <v>246</v>
      </c>
      <c r="R34" s="124"/>
    </row>
    <row r="35" customFormat="false" ht="15" hidden="false" customHeight="true" outlineLevel="0" collapsed="false">
      <c r="B35" s="14" t="s">
        <v>3380</v>
      </c>
      <c r="C35" s="83" t="n">
        <v>25000</v>
      </c>
      <c r="D35" s="14" t="s">
        <v>3324</v>
      </c>
      <c r="E35" s="14" t="s">
        <v>3381</v>
      </c>
      <c r="F35" s="125" t="n">
        <f aca="false">MAX(0,Rate_Standard*MIN(C35,IF(D35="Single",Band_Single,IF(D35="Single parent",Band_Single_Parent,IF(D35="Married one earner",Band_Married,Band_Married+MIN(MIN(C35,0),Band_Second_Earner_Max)))))+Rate_Higher*MAX(0,C35-IF(D35="Single",Band_Single,IF(D35="Single parent",Band_Single_Parent,IF(D35="Married one earner",Band_Married,Band_Married+MIN(MIN(C35,0),Band_Second_Earner_Max)))))-(IF(OR(D35="Single",D35="Single parent"),Credit_Personal_Single,Credit_Personal_Married)+IF(D35="Single parent",Credit_SPCCC,0)+MIN(Credit_PAYE,Credit_PAYE_Cap_Pct*C35)+IF(0&gt;0,MIN(Credit_PAYE,Credit_PAYE_Cap_Pct*0),0)+IF("No"="Yes",IF(LEFT(D35,7)="Married",Credit_Rent_Joint,Credit_Rent_Single),0)+IF(AND("No"="Yes",D35="Married one earner"),Credit_Home_Carer,0)))</f>
        <v>1000</v>
      </c>
      <c r="G35" s="125" t="n">
        <f aca="false">IF(C35&lt;=USC_Exempt,0,USC_Rate_1*MIN(C35,USC_Band_1)+USC_Rate_2*MAX(0,MIN(C35,USC_Band_2)-USC_Band_1)+USC_Rate_3*MAX(0,MIN(C35,USC_Band_3)-USC_Band_2)+USC_Rate_4*MAX(0,C35-USC_Band_3))</f>
        <v>319.82</v>
      </c>
      <c r="H35" s="125" t="n">
        <f aca="false">IF(C35/Weeks_Per_Year&lt;=PRSI_Free_Week,0,MAX(0,C35/Weeks_Per_Year*PRSI_Rate-IF(C35/Weeks_Per_Year&lt;=PRSI_Credit_Top,MAX(0,PRSI_Credit_Max-(C35/Weeks_Per_Year-(PRSI_Free_Week+0.01))/PRSI_Credit_Taper),0))*Weeks_Per_Year)</f>
        <v>1087.5</v>
      </c>
      <c r="I35" s="125" t="n">
        <f aca="false">IF(C35/Weeks_Per_Year&lt;=PRSI_Free_Week,0,MAX(0,C35/Weeks_Per_Year*PRSI_Rate_2026_Blend-IF(C35/Weeks_Per_Year&lt;=PRSI_Credit_Top,MAX(0,PRSI_Credit_Max-(C35/Weeks_Per_Year-(PRSI_Free_Week+0.01))/PRSI_Credit_Taper),0))*Weeks_Per_Year)</f>
        <v>1059.375</v>
      </c>
      <c r="J35" s="125" t="n">
        <f aca="false">C35-F35-G35-H35</f>
        <v>22592.68</v>
      </c>
      <c r="K35" s="125" t="n">
        <f aca="false">C35-F35-G35-I35</f>
        <v>22620.805</v>
      </c>
      <c r="L35" s="125" t="n">
        <v>1000</v>
      </c>
      <c r="M35" s="125" t="n">
        <v>319.82</v>
      </c>
      <c r="N35" s="125" t="n">
        <v>22592.68</v>
      </c>
      <c r="O35" s="125" t="n">
        <v>22620.81</v>
      </c>
      <c r="P35" s="125" t="n">
        <f aca="false">MAX(ABS(ROUND(F35,2)-L35),ABS(ROUND(G35,2)-M35),ABS(ROUND(J35,2)-N35),ABS(ROUND(K35,2)-O35))</f>
        <v>0</v>
      </c>
      <c r="Q35" s="20" t="str">
        <f aca="false">IF(P35&lt;0.005,"PASS","FAIL")</f>
        <v>PASS</v>
      </c>
    </row>
    <row r="36" customFormat="false" ht="15" hidden="false" customHeight="true" outlineLevel="0" collapsed="false">
      <c r="B36" s="14" t="s">
        <v>3382</v>
      </c>
      <c r="C36" s="83" t="n">
        <v>25000</v>
      </c>
      <c r="D36" s="14" t="s">
        <v>3383</v>
      </c>
      <c r="E36" s="14" t="s">
        <v>3381</v>
      </c>
      <c r="F36" s="125" t="n">
        <f aca="false">MAX(0,Rate_Standard*MIN(C36,IF(D36="Single",Band_Single,IF(D36="Single parent",Band_Single_Parent,IF(D36="Married one earner",Band_Married,Band_Married+MIN(MIN(C36,0),Band_Second_Earner_Max)))))+Rate_Higher*MAX(0,C36-IF(D36="Single",Band_Single,IF(D36="Single parent",Band_Single_Parent,IF(D36="Married one earner",Band_Married,Band_Married+MIN(MIN(C36,0),Band_Second_Earner_Max)))))-(IF(OR(D36="Single",D36="Single parent"),Credit_Personal_Single,Credit_Personal_Married)+IF(D36="Single parent",Credit_SPCCC,0)+MIN(Credit_PAYE,Credit_PAYE_Cap_Pct*C36)+IF(0&gt;0,MIN(Credit_PAYE,Credit_PAYE_Cap_Pct*0),0)+IF("No"="Yes",IF(LEFT(D36,7)="Married",Credit_Rent_Joint,Credit_Rent_Single),0)+IF(AND("No"="Yes",D36="Married one earner"),Credit_Home_Carer,0)))</f>
        <v>0</v>
      </c>
      <c r="G36" s="125" t="n">
        <f aca="false">IF(C36&lt;=USC_Exempt,0,USC_Rate_1*MIN(C36,USC_Band_1)+USC_Rate_2*MAX(0,MIN(C36,USC_Band_2)-USC_Band_1)+USC_Rate_3*MAX(0,MIN(C36,USC_Band_3)-USC_Band_2)+USC_Rate_4*MAX(0,C36-USC_Band_3))</f>
        <v>319.82</v>
      </c>
      <c r="H36" s="125" t="n">
        <f aca="false">IF(C36/Weeks_Per_Year&lt;=PRSI_Free_Week,0,MAX(0,C36/Weeks_Per_Year*PRSI_Rate-IF(C36/Weeks_Per_Year&lt;=PRSI_Credit_Top,MAX(0,PRSI_Credit_Max-(C36/Weeks_Per_Year-(PRSI_Free_Week+0.01))/PRSI_Credit_Taper),0))*Weeks_Per_Year)</f>
        <v>1087.5</v>
      </c>
      <c r="I36" s="125" t="n">
        <f aca="false">IF(C36/Weeks_Per_Year&lt;=PRSI_Free_Week,0,MAX(0,C36/Weeks_Per_Year*PRSI_Rate_2026_Blend-IF(C36/Weeks_Per_Year&lt;=PRSI_Credit_Top,MAX(0,PRSI_Credit_Max-(C36/Weeks_Per_Year-(PRSI_Free_Week+0.01))/PRSI_Credit_Taper),0))*Weeks_Per_Year)</f>
        <v>1059.375</v>
      </c>
      <c r="J36" s="125" t="n">
        <f aca="false">C36-F36-G36-H36</f>
        <v>23592.68</v>
      </c>
      <c r="K36" s="125" t="n">
        <f aca="false">C36-F36-G36-I36</f>
        <v>23620.805</v>
      </c>
      <c r="L36" s="125" t="n">
        <v>0</v>
      </c>
      <c r="M36" s="125" t="n">
        <v>319.82</v>
      </c>
      <c r="N36" s="125" t="n">
        <v>23592.68</v>
      </c>
      <c r="O36" s="125" t="n">
        <v>23620.81</v>
      </c>
      <c r="P36" s="125" t="n">
        <f aca="false">MAX(ABS(ROUND(F36,2)-L36),ABS(ROUND(G36,2)-M36),ABS(ROUND(J36,2)-N36),ABS(ROUND(K36,2)-O36))</f>
        <v>0</v>
      </c>
      <c r="Q36" s="20" t="str">
        <f aca="false">IF(P36&lt;0.005,"PASS","FAIL")</f>
        <v>PASS</v>
      </c>
    </row>
    <row r="37" customFormat="false" ht="15" hidden="false" customHeight="true" outlineLevel="0" collapsed="false">
      <c r="B37" s="14" t="s">
        <v>3384</v>
      </c>
      <c r="C37" s="83" t="n">
        <v>45000</v>
      </c>
      <c r="D37" s="14" t="s">
        <v>3324</v>
      </c>
      <c r="E37" s="14" t="s">
        <v>3381</v>
      </c>
      <c r="F37" s="125" t="n">
        <f aca="false">MAX(0,Rate_Standard*MIN(C37,IF(D37="Single",Band_Single,IF(D37="Single parent",Band_Single_Parent,IF(D37="Married one earner",Band_Married,Band_Married+MIN(MIN(C37,0),Band_Second_Earner_Max)))))+Rate_Higher*MAX(0,C37-IF(D37="Single",Band_Single,IF(D37="Single parent",Band_Single_Parent,IF(D37="Married one earner",Band_Married,Band_Married+MIN(MIN(C37,0),Band_Second_Earner_Max)))))-(IF(OR(D37="Single",D37="Single parent"),Credit_Personal_Single,Credit_Personal_Married)+IF(D37="Single parent",Credit_SPCCC,0)+MIN(Credit_PAYE,Credit_PAYE_Cap_Pct*C37)+IF(0&gt;0,MIN(Credit_PAYE,Credit_PAYE_Cap_Pct*0),0)+IF("No"="Yes",IF(LEFT(D37,7)="Married",Credit_Rent_Joint,Credit_Rent_Single),0)+IF(AND("No"="Yes",D37="Married one earner"),Credit_Home_Carer,0)))</f>
        <v>5200</v>
      </c>
      <c r="G37" s="125" t="n">
        <f aca="false">IF(C37&lt;=USC_Exempt,0,USC_Rate_1*MIN(C37,USC_Band_1)+USC_Rate_2*MAX(0,MIN(C37,USC_Band_2)-USC_Band_1)+USC_Rate_3*MAX(0,MIN(C37,USC_Band_3)-USC_Band_2)+USC_Rate_4*MAX(0,C37-USC_Band_3))</f>
        <v>882.82</v>
      </c>
      <c r="H37" s="125" t="n">
        <f aca="false">IF(C37/Weeks_Per_Year&lt;=PRSI_Free_Week,0,MAX(0,C37/Weeks_Per_Year*PRSI_Rate-IF(C37/Weeks_Per_Year&lt;=PRSI_Credit_Top,MAX(0,PRSI_Credit_Max-(C37/Weeks_Per_Year-(PRSI_Free_Week+0.01))/PRSI_Credit_Taper),0))*Weeks_Per_Year)</f>
        <v>1957.5</v>
      </c>
      <c r="I37" s="125" t="n">
        <f aca="false">IF(C37/Weeks_Per_Year&lt;=PRSI_Free_Week,0,MAX(0,C37/Weeks_Per_Year*PRSI_Rate_2026_Blend-IF(C37/Weeks_Per_Year&lt;=PRSI_Credit_Top,MAX(0,PRSI_Credit_Max-(C37/Weeks_Per_Year-(PRSI_Free_Week+0.01))/PRSI_Credit_Taper),0))*Weeks_Per_Year)</f>
        <v>1906.875</v>
      </c>
      <c r="J37" s="125" t="n">
        <f aca="false">C37-F37-G37-H37</f>
        <v>36959.68</v>
      </c>
      <c r="K37" s="125" t="n">
        <f aca="false">C37-F37-G37-I37</f>
        <v>37010.305</v>
      </c>
      <c r="L37" s="125" t="n">
        <v>5200</v>
      </c>
      <c r="M37" s="125" t="n">
        <v>882.82</v>
      </c>
      <c r="N37" s="125" t="n">
        <v>36959.68</v>
      </c>
      <c r="O37" s="125" t="n">
        <v>37010.31</v>
      </c>
      <c r="P37" s="125" t="n">
        <f aca="false">MAX(ABS(ROUND(F37,2)-L37),ABS(ROUND(G37,2)-M37),ABS(ROUND(J37,2)-N37),ABS(ROUND(K37,2)-O37))</f>
        <v>0</v>
      </c>
      <c r="Q37" s="20" t="str">
        <f aca="false">IF(P37&lt;0.005,"PASS","FAIL")</f>
        <v>PASS</v>
      </c>
    </row>
    <row r="38" customFormat="false" ht="15" hidden="false" customHeight="true" outlineLevel="0" collapsed="false">
      <c r="B38" s="14" t="s">
        <v>3385</v>
      </c>
      <c r="C38" s="83" t="n">
        <v>45000</v>
      </c>
      <c r="D38" s="14" t="s">
        <v>3383</v>
      </c>
      <c r="E38" s="14" t="s">
        <v>3381</v>
      </c>
      <c r="F38" s="125" t="n">
        <f aca="false">MAX(0,Rate_Standard*MIN(C38,IF(D38="Single",Band_Single,IF(D38="Single parent",Band_Single_Parent,IF(D38="Married one earner",Band_Married,Band_Married+MIN(MIN(C38,0),Band_Second_Earner_Max)))))+Rate_Higher*MAX(0,C38-IF(D38="Single",Band_Single,IF(D38="Single parent",Band_Single_Parent,IF(D38="Married one earner",Band_Married,Band_Married+MIN(MIN(C38,0),Band_Second_Earner_Max)))))-(IF(OR(D38="Single",D38="Single parent"),Credit_Personal_Single,Credit_Personal_Married)+IF(D38="Single parent",Credit_SPCCC,0)+MIN(Credit_PAYE,Credit_PAYE_Cap_Pct*C38)+IF(0&gt;0,MIN(Credit_PAYE,Credit_PAYE_Cap_Pct*0),0)+IF("No"="Yes",IF(LEFT(D38,7)="Married",Credit_Rent_Joint,Credit_Rent_Single),0)+IF(AND("No"="Yes",D38="Married one earner"),Credit_Home_Carer,0)))</f>
        <v>3000</v>
      </c>
      <c r="G38" s="125" t="n">
        <f aca="false">IF(C38&lt;=USC_Exempt,0,USC_Rate_1*MIN(C38,USC_Band_1)+USC_Rate_2*MAX(0,MIN(C38,USC_Band_2)-USC_Band_1)+USC_Rate_3*MAX(0,MIN(C38,USC_Band_3)-USC_Band_2)+USC_Rate_4*MAX(0,C38-USC_Band_3))</f>
        <v>882.82</v>
      </c>
      <c r="H38" s="125" t="n">
        <f aca="false">IF(C38/Weeks_Per_Year&lt;=PRSI_Free_Week,0,MAX(0,C38/Weeks_Per_Year*PRSI_Rate-IF(C38/Weeks_Per_Year&lt;=PRSI_Credit_Top,MAX(0,PRSI_Credit_Max-(C38/Weeks_Per_Year-(PRSI_Free_Week+0.01))/PRSI_Credit_Taper),0))*Weeks_Per_Year)</f>
        <v>1957.5</v>
      </c>
      <c r="I38" s="125" t="n">
        <f aca="false">IF(C38/Weeks_Per_Year&lt;=PRSI_Free_Week,0,MAX(0,C38/Weeks_Per_Year*PRSI_Rate_2026_Blend-IF(C38/Weeks_Per_Year&lt;=PRSI_Credit_Top,MAX(0,PRSI_Credit_Max-(C38/Weeks_Per_Year-(PRSI_Free_Week+0.01))/PRSI_Credit_Taper),0))*Weeks_Per_Year)</f>
        <v>1906.875</v>
      </c>
      <c r="J38" s="125" t="n">
        <f aca="false">C38-F38-G38-H38</f>
        <v>39159.68</v>
      </c>
      <c r="K38" s="125" t="n">
        <f aca="false">C38-F38-G38-I38</f>
        <v>39210.305</v>
      </c>
      <c r="L38" s="125" t="n">
        <v>3000</v>
      </c>
      <c r="M38" s="125" t="n">
        <v>882.82</v>
      </c>
      <c r="N38" s="125" t="n">
        <v>39159.68</v>
      </c>
      <c r="O38" s="125" t="n">
        <v>39210.31</v>
      </c>
      <c r="P38" s="125" t="n">
        <f aca="false">MAX(ABS(ROUND(F38,2)-L38),ABS(ROUND(G38,2)-M38),ABS(ROUND(J38,2)-N38),ABS(ROUND(K38,2)-O38))</f>
        <v>0</v>
      </c>
      <c r="Q38" s="20" t="str">
        <f aca="false">IF(P38&lt;0.005,"PASS","FAIL")</f>
        <v>PASS</v>
      </c>
    </row>
    <row r="39" customFormat="false" ht="15" hidden="false" customHeight="true" outlineLevel="0" collapsed="false">
      <c r="B39" s="14" t="s">
        <v>3386</v>
      </c>
      <c r="C39" s="83" t="n">
        <v>80000</v>
      </c>
      <c r="D39" s="14" t="s">
        <v>3324</v>
      </c>
      <c r="E39" s="14" t="s">
        <v>3381</v>
      </c>
      <c r="F39" s="125" t="n">
        <f aca="false">MAX(0,Rate_Standard*MIN(C39,IF(D39="Single",Band_Single,IF(D39="Single parent",Band_Single_Parent,IF(D39="Married one earner",Band_Married,Band_Married+MIN(MIN(C39,0),Band_Second_Earner_Max)))))+Rate_Higher*MAX(0,C39-IF(D39="Single",Band_Single,IF(D39="Single parent",Band_Single_Parent,IF(D39="Married one earner",Band_Married,Band_Married+MIN(MIN(C39,0),Band_Second_Earner_Max)))))-(IF(OR(D39="Single",D39="Single parent"),Credit_Personal_Single,Credit_Personal_Married)+IF(D39="Single parent",Credit_SPCCC,0)+MIN(Credit_PAYE,Credit_PAYE_Cap_Pct*C39)+IF(0&gt;0,MIN(Credit_PAYE,Credit_PAYE_Cap_Pct*0),0)+IF("No"="Yes",IF(LEFT(D39,7)="Married",Credit_Rent_Joint,Credit_Rent_Single),0)+IF(AND("No"="Yes",D39="Married one earner"),Credit_Home_Carer,0)))</f>
        <v>19200</v>
      </c>
      <c r="G39" s="125" t="n">
        <f aca="false">IF(C39&lt;=USC_Exempt,0,USC_Rate_1*MIN(C39,USC_Band_1)+USC_Rate_2*MAX(0,MIN(C39,USC_Band_2)-USC_Band_1)+USC_Rate_3*MAX(0,MIN(C39,USC_Band_3)-USC_Band_2)+USC_Rate_4*MAX(0,C39-USC_Band_3))</f>
        <v>2430.62</v>
      </c>
      <c r="H39" s="125" t="n">
        <f aca="false">IF(C39/Weeks_Per_Year&lt;=PRSI_Free_Week,0,MAX(0,C39/Weeks_Per_Year*PRSI_Rate-IF(C39/Weeks_Per_Year&lt;=PRSI_Credit_Top,MAX(0,PRSI_Credit_Max-(C39/Weeks_Per_Year-(PRSI_Free_Week+0.01))/PRSI_Credit_Taper),0))*Weeks_Per_Year)</f>
        <v>3480</v>
      </c>
      <c r="I39" s="125" t="n">
        <f aca="false">IF(C39/Weeks_Per_Year&lt;=PRSI_Free_Week,0,MAX(0,C39/Weeks_Per_Year*PRSI_Rate_2026_Blend-IF(C39/Weeks_Per_Year&lt;=PRSI_Credit_Top,MAX(0,PRSI_Credit_Max-(C39/Weeks_Per_Year-(PRSI_Free_Week+0.01))/PRSI_Credit_Taper),0))*Weeks_Per_Year)</f>
        <v>3390</v>
      </c>
      <c r="J39" s="125" t="n">
        <f aca="false">C39-F39-G39-H39</f>
        <v>54889.38</v>
      </c>
      <c r="K39" s="125" t="n">
        <f aca="false">C39-F39-G39-I39</f>
        <v>54979.38</v>
      </c>
      <c r="L39" s="125" t="n">
        <v>19200</v>
      </c>
      <c r="M39" s="125" t="n">
        <v>2430.62</v>
      </c>
      <c r="N39" s="125" t="n">
        <v>54889.38</v>
      </c>
      <c r="O39" s="125" t="n">
        <v>54979.38</v>
      </c>
      <c r="P39" s="125" t="n">
        <f aca="false">MAX(ABS(ROUND(F39,2)-L39),ABS(ROUND(G39,2)-M39),ABS(ROUND(J39,2)-N39),ABS(ROUND(K39,2)-O39))</f>
        <v>0</v>
      </c>
      <c r="Q39" s="20" t="str">
        <f aca="false">IF(P39&lt;0.005,"PASS","FAIL")</f>
        <v>PASS</v>
      </c>
    </row>
    <row r="40" customFormat="false" ht="15" hidden="false" customHeight="true" outlineLevel="0" collapsed="false">
      <c r="B40" s="14" t="s">
        <v>3387</v>
      </c>
      <c r="C40" s="83" t="n">
        <v>80000</v>
      </c>
      <c r="D40" s="14" t="s">
        <v>3383</v>
      </c>
      <c r="E40" s="14" t="s">
        <v>3381</v>
      </c>
      <c r="F40" s="125" t="n">
        <f aca="false">MAX(0,Rate_Standard*MIN(C40,IF(D40="Single",Band_Single,IF(D40="Single parent",Band_Single_Parent,IF(D40="Married one earner",Band_Married,Band_Married+MIN(MIN(C40,0),Band_Second_Earner_Max)))))+Rate_Higher*MAX(0,C40-IF(D40="Single",Band_Single,IF(D40="Single parent",Band_Single_Parent,IF(D40="Married one earner",Band_Married,Band_Married+MIN(MIN(C40,0),Band_Second_Earner_Max)))))-(IF(OR(D40="Single",D40="Single parent"),Credit_Personal_Single,Credit_Personal_Married)+IF(D40="Single parent",Credit_SPCCC,0)+MIN(Credit_PAYE,Credit_PAYE_Cap_Pct*C40)+IF(0&gt;0,MIN(Credit_PAYE,Credit_PAYE_Cap_Pct*0),0)+IF("No"="Yes",IF(LEFT(D40,7)="Married",Credit_Rent_Joint,Credit_Rent_Single),0)+IF(AND("No"="Yes",D40="Married one earner"),Credit_Home_Carer,0)))</f>
        <v>15400</v>
      </c>
      <c r="G40" s="125" t="n">
        <f aca="false">IF(C40&lt;=USC_Exempt,0,USC_Rate_1*MIN(C40,USC_Band_1)+USC_Rate_2*MAX(0,MIN(C40,USC_Band_2)-USC_Band_1)+USC_Rate_3*MAX(0,MIN(C40,USC_Band_3)-USC_Band_2)+USC_Rate_4*MAX(0,C40-USC_Band_3))</f>
        <v>2430.62</v>
      </c>
      <c r="H40" s="125" t="n">
        <f aca="false">IF(C40/Weeks_Per_Year&lt;=PRSI_Free_Week,0,MAX(0,C40/Weeks_Per_Year*PRSI_Rate-IF(C40/Weeks_Per_Year&lt;=PRSI_Credit_Top,MAX(0,PRSI_Credit_Max-(C40/Weeks_Per_Year-(PRSI_Free_Week+0.01))/PRSI_Credit_Taper),0))*Weeks_Per_Year)</f>
        <v>3480</v>
      </c>
      <c r="I40" s="125" t="n">
        <f aca="false">IF(C40/Weeks_Per_Year&lt;=PRSI_Free_Week,0,MAX(0,C40/Weeks_Per_Year*PRSI_Rate_2026_Blend-IF(C40/Weeks_Per_Year&lt;=PRSI_Credit_Top,MAX(0,PRSI_Credit_Max-(C40/Weeks_Per_Year-(PRSI_Free_Week+0.01))/PRSI_Credit_Taper),0))*Weeks_Per_Year)</f>
        <v>3390</v>
      </c>
      <c r="J40" s="125" t="n">
        <f aca="false">C40-F40-G40-H40</f>
        <v>58689.38</v>
      </c>
      <c r="K40" s="125" t="n">
        <f aca="false">C40-F40-G40-I40</f>
        <v>58779.38</v>
      </c>
      <c r="L40" s="125" t="n">
        <v>15400</v>
      </c>
      <c r="M40" s="125" t="n">
        <v>2430.62</v>
      </c>
      <c r="N40" s="125" t="n">
        <v>58689.38</v>
      </c>
      <c r="O40" s="125" t="n">
        <v>58779.38</v>
      </c>
      <c r="P40" s="125" t="n">
        <f aca="false">MAX(ABS(ROUND(F40,2)-L40),ABS(ROUND(G40,2)-M40),ABS(ROUND(J40,2)-N40),ABS(ROUND(K40,2)-O40))</f>
        <v>0</v>
      </c>
      <c r="Q40" s="20" t="str">
        <f aca="false">IF(P40&lt;0.005,"PASS","FAIL")</f>
        <v>PASS</v>
      </c>
    </row>
    <row r="41" customFormat="false" ht="15" hidden="false" customHeight="true" outlineLevel="0" collapsed="false">
      <c r="B41" s="14" t="s">
        <v>3388</v>
      </c>
      <c r="C41" s="83" t="n">
        <v>150000</v>
      </c>
      <c r="D41" s="14" t="s">
        <v>3324</v>
      </c>
      <c r="E41" s="14" t="s">
        <v>3381</v>
      </c>
      <c r="F41" s="125" t="n">
        <f aca="false">MAX(0,Rate_Standard*MIN(C41,IF(D41="Single",Band_Single,IF(D41="Single parent",Band_Single_Parent,IF(D41="Married one earner",Band_Married,Band_Married+MIN(MIN(C41,0),Band_Second_Earner_Max)))))+Rate_Higher*MAX(0,C41-IF(D41="Single",Band_Single,IF(D41="Single parent",Band_Single_Parent,IF(D41="Married one earner",Band_Married,Band_Married+MIN(MIN(C41,0),Band_Second_Earner_Max)))))-(IF(OR(D41="Single",D41="Single parent"),Credit_Personal_Single,Credit_Personal_Married)+IF(D41="Single parent",Credit_SPCCC,0)+MIN(Credit_PAYE,Credit_PAYE_Cap_Pct*C41)+IF(0&gt;0,MIN(Credit_PAYE,Credit_PAYE_Cap_Pct*0),0)+IF("No"="Yes",IF(LEFT(D41,7)="Married",Credit_Rent_Joint,Credit_Rent_Single),0)+IF(AND("No"="Yes",D41="Married one earner"),Credit_Home_Carer,0)))</f>
        <v>47200</v>
      </c>
      <c r="G41" s="125" t="n">
        <f aca="false">IF(C41&lt;=USC_Exempt,0,USC_Rate_1*MIN(C41,USC_Band_1)+USC_Rate_2*MAX(0,MIN(C41,USC_Band_2)-USC_Band_1)+USC_Rate_3*MAX(0,MIN(C41,USC_Band_3)-USC_Band_2)+USC_Rate_4*MAX(0,C41-USC_Band_3))</f>
        <v>8030.62</v>
      </c>
      <c r="H41" s="125" t="n">
        <f aca="false">IF(C41/Weeks_Per_Year&lt;=PRSI_Free_Week,0,MAX(0,C41/Weeks_Per_Year*PRSI_Rate-IF(C41/Weeks_Per_Year&lt;=PRSI_Credit_Top,MAX(0,PRSI_Credit_Max-(C41/Weeks_Per_Year-(PRSI_Free_Week+0.01))/PRSI_Credit_Taper),0))*Weeks_Per_Year)</f>
        <v>6525</v>
      </c>
      <c r="I41" s="125" t="n">
        <f aca="false">IF(C41/Weeks_Per_Year&lt;=PRSI_Free_Week,0,MAX(0,C41/Weeks_Per_Year*PRSI_Rate_2026_Blend-IF(C41/Weeks_Per_Year&lt;=PRSI_Credit_Top,MAX(0,PRSI_Credit_Max-(C41/Weeks_Per_Year-(PRSI_Free_Week+0.01))/PRSI_Credit_Taper),0))*Weeks_Per_Year)</f>
        <v>6356.25</v>
      </c>
      <c r="J41" s="125" t="n">
        <f aca="false">C41-F41-G41-H41</f>
        <v>88244.38</v>
      </c>
      <c r="K41" s="125" t="n">
        <f aca="false">C41-F41-G41-I41</f>
        <v>88413.13</v>
      </c>
      <c r="L41" s="125" t="n">
        <v>47200</v>
      </c>
      <c r="M41" s="125" t="n">
        <v>8030.62</v>
      </c>
      <c r="N41" s="125" t="n">
        <v>88244.38</v>
      </c>
      <c r="O41" s="125" t="n">
        <v>88413.13</v>
      </c>
      <c r="P41" s="125" t="n">
        <f aca="false">MAX(ABS(ROUND(F41,2)-L41),ABS(ROUND(G41,2)-M41),ABS(ROUND(J41,2)-N41),ABS(ROUND(K41,2)-O41))</f>
        <v>0</v>
      </c>
      <c r="Q41" s="20" t="str">
        <f aca="false">IF(P41&lt;0.005,"PASS","FAIL")</f>
        <v>PASS</v>
      </c>
    </row>
    <row r="42" customFormat="false" ht="15" hidden="false" customHeight="true" outlineLevel="0" collapsed="false">
      <c r="B42" s="14" t="s">
        <v>3389</v>
      </c>
      <c r="C42" s="83" t="n">
        <v>150000</v>
      </c>
      <c r="D42" s="14" t="s">
        <v>3383</v>
      </c>
      <c r="E42" s="14" t="s">
        <v>3381</v>
      </c>
      <c r="F42" s="125" t="n">
        <f aca="false">MAX(0,Rate_Standard*MIN(C42,IF(D42="Single",Band_Single,IF(D42="Single parent",Band_Single_Parent,IF(D42="Married one earner",Band_Married,Band_Married+MIN(MIN(C42,0),Band_Second_Earner_Max)))))+Rate_Higher*MAX(0,C42-IF(D42="Single",Band_Single,IF(D42="Single parent",Band_Single_Parent,IF(D42="Married one earner",Band_Married,Band_Married+MIN(MIN(C42,0),Band_Second_Earner_Max)))))-(IF(OR(D42="Single",D42="Single parent"),Credit_Personal_Single,Credit_Personal_Married)+IF(D42="Single parent",Credit_SPCCC,0)+MIN(Credit_PAYE,Credit_PAYE_Cap_Pct*C42)+IF(0&gt;0,MIN(Credit_PAYE,Credit_PAYE_Cap_Pct*0),0)+IF("No"="Yes",IF(LEFT(D42,7)="Married",Credit_Rent_Joint,Credit_Rent_Single),0)+IF(AND("No"="Yes",D42="Married one earner"),Credit_Home_Carer,0)))</f>
        <v>43400</v>
      </c>
      <c r="G42" s="125" t="n">
        <f aca="false">IF(C42&lt;=USC_Exempt,0,USC_Rate_1*MIN(C42,USC_Band_1)+USC_Rate_2*MAX(0,MIN(C42,USC_Band_2)-USC_Band_1)+USC_Rate_3*MAX(0,MIN(C42,USC_Band_3)-USC_Band_2)+USC_Rate_4*MAX(0,C42-USC_Band_3))</f>
        <v>8030.62</v>
      </c>
      <c r="H42" s="125" t="n">
        <f aca="false">IF(C42/Weeks_Per_Year&lt;=PRSI_Free_Week,0,MAX(0,C42/Weeks_Per_Year*PRSI_Rate-IF(C42/Weeks_Per_Year&lt;=PRSI_Credit_Top,MAX(0,PRSI_Credit_Max-(C42/Weeks_Per_Year-(PRSI_Free_Week+0.01))/PRSI_Credit_Taper),0))*Weeks_Per_Year)</f>
        <v>6525</v>
      </c>
      <c r="I42" s="125" t="n">
        <f aca="false">IF(C42/Weeks_Per_Year&lt;=PRSI_Free_Week,0,MAX(0,C42/Weeks_Per_Year*PRSI_Rate_2026_Blend-IF(C42/Weeks_Per_Year&lt;=PRSI_Credit_Top,MAX(0,PRSI_Credit_Max-(C42/Weeks_Per_Year-(PRSI_Free_Week+0.01))/PRSI_Credit_Taper),0))*Weeks_Per_Year)</f>
        <v>6356.25</v>
      </c>
      <c r="J42" s="125" t="n">
        <f aca="false">C42-F42-G42-H42</f>
        <v>92044.38</v>
      </c>
      <c r="K42" s="125" t="n">
        <f aca="false">C42-F42-G42-I42</f>
        <v>92213.13</v>
      </c>
      <c r="L42" s="125" t="n">
        <v>43400</v>
      </c>
      <c r="M42" s="125" t="n">
        <v>8030.62</v>
      </c>
      <c r="N42" s="125" t="n">
        <v>92044.38</v>
      </c>
      <c r="O42" s="125" t="n">
        <v>92213.13</v>
      </c>
      <c r="P42" s="125" t="n">
        <f aca="false">MAX(ABS(ROUND(F42,2)-L42),ABS(ROUND(G42,2)-M42),ABS(ROUND(J42,2)-N42),ABS(ROUND(K42,2)-O42))</f>
        <v>0</v>
      </c>
      <c r="Q42" s="20" t="str">
        <f aca="false">IF(P42&lt;0.005,"PASS","FAIL")</f>
        <v>PASS</v>
      </c>
    </row>
    <row r="43" customFormat="false" ht="15" hidden="false" customHeight="true" outlineLevel="0" collapsed="false">
      <c r="B43" s="14" t="s">
        <v>3390</v>
      </c>
      <c r="C43" s="83" t="n">
        <v>60000</v>
      </c>
      <c r="D43" s="14" t="s">
        <v>3391</v>
      </c>
      <c r="E43" s="14" t="s">
        <v>3392</v>
      </c>
      <c r="F43" s="125" t="n">
        <f aca="false">MAX(0,Rate_Standard*MIN(C43+R43,IF(D43="Single",Band_Single,IF(D43="Single parent",Band_Single_Parent,IF(D43="Married one earner",Band_Married,Band_Married+MIN(MIN(C43,R43),Band_Second_Earner_Max)))))+Rate_Higher*MAX(0,C43+R43-IF(D43="Single",Band_Single,IF(D43="Single parent",Band_Single_Parent,IF(D43="Married one earner",Band_Married,Band_Married+MIN(MIN(C43,R43),Band_Second_Earner_Max)))))-(IF(OR(D43="Single",D43="Single parent"),Credit_Personal_Single,Credit_Personal_Married)+IF(D43="Single parent",Credit_SPCCC,0)+MIN(Credit_PAYE,Credit_PAYE_Cap_Pct*C43)+IF(R43&gt;0,MIN(Credit_PAYE,Credit_PAYE_Cap_Pct*R43),0)+IF("No"="Yes",IF(LEFT(D43,7)="Married",Credit_Rent_Joint,Credit_Rent_Single),0)+IF(AND("No"="Yes",D43="Married one earner"),Credit_Home_Carer,0)))</f>
        <v>11400</v>
      </c>
      <c r="G43" s="14"/>
      <c r="H43" s="14"/>
      <c r="I43" s="14"/>
      <c r="J43" s="14"/>
      <c r="K43" s="14"/>
      <c r="L43" s="125" t="n">
        <v>11400</v>
      </c>
      <c r="M43" s="14"/>
      <c r="N43" s="14"/>
      <c r="O43" s="14"/>
      <c r="P43" s="125" t="n">
        <f aca="false">ABS(ROUND(F43,2)-L43)</f>
        <v>0</v>
      </c>
      <c r="Q43" s="20" t="str">
        <f aca="false">IF(P43&lt;0.005,"PASS","FAIL")</f>
        <v>PASS</v>
      </c>
      <c r="R43" s="83" t="n">
        <v>30000</v>
      </c>
    </row>
    <row r="44" customFormat="false" ht="15" hidden="false" customHeight="true" outlineLevel="0" collapsed="false">
      <c r="B44" s="14" t="s">
        <v>3393</v>
      </c>
      <c r="C44" s="83" t="n">
        <v>80000</v>
      </c>
      <c r="D44" s="14" t="s">
        <v>3391</v>
      </c>
      <c r="E44" s="14" t="s">
        <v>3394</v>
      </c>
      <c r="F44" s="125" t="n">
        <f aca="false">MAX(0,Rate_Standard*MIN(C44+R44,IF(D44="Single",Band_Single,IF(D44="Single parent",Band_Single_Parent,IF(D44="Married one earner",Band_Married,Band_Married+MIN(MIN(C44,R44),Band_Second_Earner_Max)))))+Rate_Higher*MAX(0,C44+R44-IF(D44="Single",Band_Single,IF(D44="Single parent",Band_Single_Parent,IF(D44="Married one earner",Band_Married,Band_Married+MIN(MIN(C44,R44),Band_Second_Earner_Max)))))-(IF(OR(D44="Single",D44="Single parent"),Credit_Personal_Single,Credit_Personal_Married)+IF(D44="Single parent",Credit_SPCCC,0)+MIN(Credit_PAYE,Credit_PAYE_Cap_Pct*C44)+IF(R44&gt;0,MIN(Credit_PAYE,Credit_PAYE_Cap_Pct*R44),0)+IF("No"="Yes",IF(LEFT(D44,7)="Married",Credit_Rent_Joint,Credit_Rent_Single),0)+IF(AND("No"="Yes",D44="Married one earner"),Credit_Home_Carer,0)))</f>
        <v>26400</v>
      </c>
      <c r="G44" s="14"/>
      <c r="H44" s="14"/>
      <c r="I44" s="14"/>
      <c r="J44" s="14"/>
      <c r="K44" s="14"/>
      <c r="L44" s="125" t="n">
        <v>26400</v>
      </c>
      <c r="M44" s="14"/>
      <c r="N44" s="14"/>
      <c r="O44" s="14"/>
      <c r="P44" s="125" t="n">
        <f aca="false">ABS(ROUND(F44,2)-L44)</f>
        <v>0</v>
      </c>
      <c r="Q44" s="20" t="str">
        <f aca="false">IF(P44&lt;0.005,"PASS","FAIL")</f>
        <v>PASS</v>
      </c>
      <c r="R44" s="83" t="n">
        <v>50000</v>
      </c>
    </row>
    <row r="45" customFormat="false" ht="15" hidden="false" customHeight="true" outlineLevel="0" collapsed="false">
      <c r="B45" s="14" t="s">
        <v>3395</v>
      </c>
      <c r="C45" s="83" t="n">
        <v>45000</v>
      </c>
      <c r="D45" s="14" t="s">
        <v>3391</v>
      </c>
      <c r="E45" s="14" t="s">
        <v>3396</v>
      </c>
      <c r="F45" s="125" t="n">
        <f aca="false">MAX(0,Rate_Standard*MIN(C45+R45,IF(D45="Single",Band_Single,IF(D45="Single parent",Band_Single_Parent,IF(D45="Married one earner",Band_Married,Band_Married+MIN(MIN(C45,R45),Band_Second_Earner_Max)))))+Rate_Higher*MAX(0,C45+R45-IF(D45="Single",Band_Single,IF(D45="Single parent",Band_Single_Parent,IF(D45="Married one earner",Band_Married,Band_Married+MIN(MIN(C45,R45),Band_Second_Earner_Max)))))-(IF(OR(D45="Single",D45="Single parent"),Credit_Personal_Single,Credit_Personal_Married)+IF(D45="Single parent",Credit_SPCCC,0)+MIN(Credit_PAYE,Credit_PAYE_Cap_Pct*C45)+IF(R45&gt;0,MIN(Credit_PAYE,Credit_PAYE_Cap_Pct*R45),0)+IF("No"="Yes",IF(LEFT(D45,7)="Married",Credit_Rent_Joint,Credit_Rent_Single),0)+IF(AND("No"="Yes",D45="Married one earner"),Credit_Home_Carer,0)))</f>
        <v>10400</v>
      </c>
      <c r="G45" s="14"/>
      <c r="H45" s="14"/>
      <c r="I45" s="14"/>
      <c r="J45" s="14"/>
      <c r="K45" s="14"/>
      <c r="L45" s="125" t="n">
        <v>10400</v>
      </c>
      <c r="M45" s="14"/>
      <c r="N45" s="14"/>
      <c r="O45" s="14"/>
      <c r="P45" s="125" t="n">
        <f aca="false">ABS(ROUND(F45,2)-L45)</f>
        <v>0</v>
      </c>
      <c r="Q45" s="20" t="str">
        <f aca="false">IF(P45&lt;0.005,"PASS","FAIL")</f>
        <v>PASS</v>
      </c>
      <c r="R45" s="83" t="n">
        <v>45000</v>
      </c>
    </row>
    <row r="46" customFormat="false" ht="15" hidden="false" customHeight="true" outlineLevel="0" collapsed="false">
      <c r="B46" s="12" t="s">
        <v>3397</v>
      </c>
      <c r="Q46" s="126" t="str">
        <f aca="false">IF(COUNTIF(Q35:Q45,"PASS")=11,"ALL PASS","CHECK")</f>
        <v>ALL PASS</v>
      </c>
    </row>
  </sheetData>
  <mergeCells count="4">
    <mergeCell ref="B28:E28"/>
    <mergeCell ref="B29:E29"/>
    <mergeCell ref="B30:E30"/>
    <mergeCell ref="B31:E31"/>
  </mergeCells>
  <dataValidations count="6">
    <dataValidation allowBlank="true" errorStyle="stop" operator="between" prompt="Type 3 · your figure. Single, Single parent (main carer of a child, no partner), Married one earner, Married two earners (also civil partners)." promptTitle="Tax status" showDropDown="false" showErrorMessage="true" showInputMessage="true" sqref="C5" type="list">
      <formula1>"Single,Single parent,Married one earner,Married two earners"</formula1>
      <formula2>0</formula2>
    </dataValidation>
    <dataValidation allowBlank="true" errorStyle="stop" operator="between" prompt="Type 3 · your figure. Gross pay before tax, € a year." promptTitle="Your gross yearly pay" showDropDown="false" showErrorMessage="true" showInputMessage="true" sqref="C6" type="decimal">
      <formula1>0</formula1>
      <formula2>5000000</formula2>
    </dataValidation>
    <dataValidation allowBlank="true" errorStyle="stop" operator="between" prompt="Type 3 · optional: leave blank for none. Used only when the status is Married two earners." promptTitle="Partner's gross yearly pay (marr" showDropDown="false" showErrorMessage="true" showInputMessage="true" sqref="C7" type="decimal">
      <formula1>0</formula1>
      <formula2>5000000</formula2>
    </dataValidation>
    <dataValidation allowBlank="true" errorStyle="stop" operator="between" prompt="Type 3 · your figure. Rent Tax Credit €1,000 single / €2,000 jointly assessed, to end-2028." promptTitle="Do you pay rent on your home, no" showDropDown="false" showErrorMessage="true" showInputMessage="true" sqref="C8" type="list">
      <formula1>"Yes,No"</formula1>
      <formula2>0</formula2>
    </dataValidation>
    <dataValidation allowBlank="true" errorStyle="stop" operator="between" prompt="Type 3 · your figure. €1,950 (verify the 2026 rate and carer-income limit)." promptTitle="Home Carer Tax Credit applies? (" showDropDown="false" showErrorMessage="true" showInputMessage="true" sqref="C9" type="list">
      <formula1>"Yes,No"</formula1>
      <formula2>0</formula2>
    </dataValidation>
    <dataValidation allowBlank="true" errorStyle="stop" operator="between" prompt="Type 3 · optional: leave blank for none. From 1 Oct 2026 = 4.35%. Calendar 2026 blend = 4.2375% (9 months at 4.2%, 3 at 4.35%)." promptTitle="PRSI rate basis" showDropDown="false" showErrorMessage="true" showInputMessage="true" sqref="C10" type="list">
      <formula1>"From 1 Oct 2026,Calendar 2026 blend"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34"/>
    <col collapsed="false" customWidth="true" hidden="false" outlineLevel="0" max="3" min="3" style="1" width="30"/>
    <col collapsed="false" customWidth="true" hidden="false" outlineLevel="0" max="4" min="4" style="1" width="60"/>
    <col collapsed="false" customWidth="true" hidden="false" outlineLevel="0" max="5" min="5" style="1" width="34"/>
    <col collapsed="false" customWidth="true" hidden="false" outlineLevel="0" max="6" min="6" style="1" width="54"/>
    <col collapsed="false" customWidth="true" hidden="false" outlineLevel="0" max="7" min="7" style="1" width="12"/>
  </cols>
  <sheetData>
    <row r="1" customFormat="false" ht="19.5" hidden="false" customHeight="true" outlineLevel="0" collapsed="false">
      <c r="B1" s="23" t="s">
        <v>3398</v>
      </c>
    </row>
    <row r="3" customFormat="false" ht="15" hidden="false" customHeight="true" outlineLevel="0" collapsed="false">
      <c r="B3" s="8" t="s">
        <v>3399</v>
      </c>
      <c r="C3" s="8"/>
      <c r="D3" s="8"/>
      <c r="E3" s="8"/>
      <c r="F3" s="8"/>
    </row>
    <row r="4" customFormat="false" ht="15" hidden="false" customHeight="true" outlineLevel="0" collapsed="false">
      <c r="B4" s="8" t="s">
        <v>3400</v>
      </c>
      <c r="C4" s="8"/>
      <c r="D4" s="8"/>
      <c r="E4" s="8"/>
      <c r="F4" s="8"/>
    </row>
    <row r="5" customFormat="false" ht="15" hidden="false" customHeight="true" outlineLevel="0" collapsed="false">
      <c r="B5" s="8" t="s">
        <v>3401</v>
      </c>
      <c r="C5" s="8"/>
      <c r="D5" s="8"/>
      <c r="E5" s="8"/>
      <c r="F5" s="8"/>
    </row>
    <row r="6" customFormat="false" ht="15" hidden="false" customHeight="true" outlineLevel="0" collapsed="false">
      <c r="B6" s="8" t="s">
        <v>3402</v>
      </c>
      <c r="C6" s="8"/>
      <c r="D6" s="8"/>
      <c r="E6" s="8"/>
      <c r="F6" s="8"/>
    </row>
    <row r="7" customFormat="false" ht="15" hidden="false" customHeight="true" outlineLevel="0" collapsed="false">
      <c r="B7" s="8" t="s">
        <v>3403</v>
      </c>
      <c r="C7" s="8"/>
      <c r="D7" s="8"/>
      <c r="E7" s="8"/>
      <c r="F7" s="8"/>
    </row>
    <row r="8" customFormat="false" ht="15" hidden="false" customHeight="true" outlineLevel="0" collapsed="false">
      <c r="B8" s="8" t="s">
        <v>3404</v>
      </c>
      <c r="C8" s="8"/>
      <c r="D8" s="8"/>
      <c r="E8" s="8"/>
      <c r="F8" s="8"/>
    </row>
    <row r="10" customFormat="false" ht="23.25" hidden="false" customHeight="true" outlineLevel="0" collapsed="false">
      <c r="B10" s="127" t="s">
        <v>3405</v>
      </c>
      <c r="C10" s="127" t="s">
        <v>3406</v>
      </c>
      <c r="D10" s="127" t="s">
        <v>3407</v>
      </c>
      <c r="E10" s="127" t="s">
        <v>3408</v>
      </c>
      <c r="F10" s="127" t="s">
        <v>3409</v>
      </c>
      <c r="G10" s="127" t="s">
        <v>3410</v>
      </c>
    </row>
    <row r="11" customFormat="false" ht="36" hidden="false" customHeight="true" outlineLevel="0" collapsed="false">
      <c r="B11" s="128" t="s">
        <v>3411</v>
      </c>
      <c r="C11" s="129" t="s">
        <v>714</v>
      </c>
      <c r="D11" s="129" t="s">
        <v>3412</v>
      </c>
      <c r="E11" s="129" t="s">
        <v>3413</v>
      </c>
      <c r="F11" s="129" t="s">
        <v>3414</v>
      </c>
      <c r="G11" s="129" t="s">
        <v>3415</v>
      </c>
    </row>
    <row r="12" customFormat="false" ht="36" hidden="false" customHeight="true" outlineLevel="0" collapsed="false">
      <c r="B12" s="128"/>
      <c r="C12" s="129" t="s">
        <v>3416</v>
      </c>
      <c r="D12" s="129" t="s">
        <v>3417</v>
      </c>
      <c r="E12" s="129" t="s">
        <v>3418</v>
      </c>
      <c r="F12" s="129" t="s">
        <v>3419</v>
      </c>
      <c r="G12" s="129" t="s">
        <v>3415</v>
      </c>
    </row>
    <row r="13" customFormat="false" ht="24" hidden="false" customHeight="true" outlineLevel="0" collapsed="false">
      <c r="B13" s="128"/>
      <c r="C13" s="129" t="s">
        <v>3420</v>
      </c>
      <c r="D13" s="129" t="s">
        <v>3421</v>
      </c>
      <c r="E13" s="129" t="s">
        <v>3422</v>
      </c>
      <c r="F13" s="129" t="s">
        <v>3423</v>
      </c>
      <c r="G13" s="129" t="s">
        <v>3415</v>
      </c>
    </row>
    <row r="14" customFormat="false" ht="24" hidden="false" customHeight="true" outlineLevel="0" collapsed="false">
      <c r="B14" s="128"/>
      <c r="C14" s="129" t="s">
        <v>718</v>
      </c>
      <c r="D14" s="129" t="s">
        <v>3424</v>
      </c>
      <c r="E14" s="129" t="s">
        <v>3425</v>
      </c>
      <c r="F14" s="129" t="s">
        <v>3426</v>
      </c>
      <c r="G14" s="129" t="s">
        <v>3415</v>
      </c>
    </row>
    <row r="15" customFormat="false" ht="60" hidden="false" customHeight="true" outlineLevel="0" collapsed="false">
      <c r="B15" s="128"/>
      <c r="C15" s="129" t="s">
        <v>758</v>
      </c>
      <c r="D15" s="129" t="s">
        <v>3427</v>
      </c>
      <c r="E15" s="129" t="s">
        <v>3422</v>
      </c>
      <c r="F15" s="129" t="s">
        <v>3428</v>
      </c>
      <c r="G15" s="129" t="s">
        <v>3415</v>
      </c>
    </row>
    <row r="16" customFormat="false" ht="36" hidden="false" customHeight="true" outlineLevel="0" collapsed="false">
      <c r="B16" s="128"/>
      <c r="C16" s="129" t="s">
        <v>3429</v>
      </c>
      <c r="D16" s="129" t="s">
        <v>3430</v>
      </c>
      <c r="E16" s="129" t="s">
        <v>3431</v>
      </c>
      <c r="F16" s="129" t="s">
        <v>3432</v>
      </c>
      <c r="G16" s="129" t="s">
        <v>3415</v>
      </c>
    </row>
    <row r="17" customFormat="false" ht="24" hidden="false" customHeight="true" outlineLevel="0" collapsed="false">
      <c r="B17" s="128"/>
      <c r="C17" s="129" t="s">
        <v>3433</v>
      </c>
      <c r="D17" s="129" t="s">
        <v>3434</v>
      </c>
      <c r="E17" s="129" t="s">
        <v>3435</v>
      </c>
      <c r="F17" s="129" t="s">
        <v>3436</v>
      </c>
      <c r="G17" s="129" t="s">
        <v>3415</v>
      </c>
    </row>
    <row r="18" customFormat="false" ht="24" hidden="false" customHeight="true" outlineLevel="0" collapsed="false">
      <c r="B18" s="128"/>
      <c r="C18" s="129" t="s">
        <v>3437</v>
      </c>
      <c r="D18" s="129" t="s">
        <v>3438</v>
      </c>
      <c r="E18" s="129" t="s">
        <v>3439</v>
      </c>
      <c r="F18" s="129" t="s">
        <v>3440</v>
      </c>
      <c r="G18" s="129" t="s">
        <v>3415</v>
      </c>
    </row>
    <row r="19" customFormat="false" ht="24" hidden="false" customHeight="true" outlineLevel="0" collapsed="false">
      <c r="B19" s="128"/>
      <c r="C19" s="129" t="s">
        <v>320</v>
      </c>
      <c r="D19" s="129" t="s">
        <v>3441</v>
      </c>
      <c r="E19" s="129" t="s">
        <v>3442</v>
      </c>
      <c r="F19" s="129" t="s">
        <v>3443</v>
      </c>
      <c r="G19" s="129" t="s">
        <v>3415</v>
      </c>
    </row>
    <row r="20" customFormat="false" ht="36" hidden="false" customHeight="true" outlineLevel="0" collapsed="false">
      <c r="B20" s="128" t="s">
        <v>3444</v>
      </c>
      <c r="C20" s="129" t="s">
        <v>3445</v>
      </c>
      <c r="D20" s="129" t="s">
        <v>3446</v>
      </c>
      <c r="E20" s="129" t="s">
        <v>3447</v>
      </c>
      <c r="F20" s="129" t="s">
        <v>3447</v>
      </c>
      <c r="G20" s="129" t="s">
        <v>3415</v>
      </c>
    </row>
    <row r="21" customFormat="false" ht="24" hidden="false" customHeight="true" outlineLevel="0" collapsed="false">
      <c r="B21" s="128" t="s">
        <v>3448</v>
      </c>
      <c r="C21" s="129" t="s">
        <v>3449</v>
      </c>
      <c r="D21" s="129" t="s">
        <v>3450</v>
      </c>
      <c r="E21" s="129" t="s">
        <v>3451</v>
      </c>
      <c r="F21" s="129" t="s">
        <v>3452</v>
      </c>
      <c r="G21" s="129" t="s">
        <v>3415</v>
      </c>
    </row>
    <row r="22" customFormat="false" ht="24" hidden="false" customHeight="true" outlineLevel="0" collapsed="false">
      <c r="B22" s="128"/>
      <c r="C22" s="129" t="s">
        <v>718</v>
      </c>
      <c r="D22" s="129" t="s">
        <v>3447</v>
      </c>
      <c r="E22" s="129" t="s">
        <v>3453</v>
      </c>
      <c r="F22" s="129" t="s">
        <v>3454</v>
      </c>
      <c r="G22" s="129" t="s">
        <v>3415</v>
      </c>
    </row>
    <row r="23" customFormat="false" ht="36" hidden="false" customHeight="true" outlineLevel="0" collapsed="false">
      <c r="B23" s="128" t="s">
        <v>3455</v>
      </c>
      <c r="C23" s="129" t="s">
        <v>3456</v>
      </c>
      <c r="D23" s="129" t="s">
        <v>3457</v>
      </c>
      <c r="E23" s="129" t="s">
        <v>3458</v>
      </c>
      <c r="F23" s="129" t="s">
        <v>3459</v>
      </c>
      <c r="G23" s="129" t="s">
        <v>3415</v>
      </c>
    </row>
    <row r="24" customFormat="false" ht="24" hidden="false" customHeight="true" outlineLevel="0" collapsed="false">
      <c r="B24" s="128"/>
      <c r="C24" s="129" t="s">
        <v>320</v>
      </c>
      <c r="D24" s="129" t="s">
        <v>3460</v>
      </c>
      <c r="E24" s="129" t="s">
        <v>321</v>
      </c>
      <c r="F24" s="129" t="s">
        <v>3461</v>
      </c>
      <c r="G24" s="129" t="s">
        <v>3415</v>
      </c>
    </row>
    <row r="25" customFormat="false" ht="24" hidden="false" customHeight="true" outlineLevel="0" collapsed="false">
      <c r="B25" s="128" t="s">
        <v>3462</v>
      </c>
      <c r="C25" s="129" t="s">
        <v>311</v>
      </c>
      <c r="D25" s="129" t="s">
        <v>3463</v>
      </c>
      <c r="E25" s="129" t="s">
        <v>3464</v>
      </c>
      <c r="F25" s="129" t="s">
        <v>3465</v>
      </c>
      <c r="G25" s="129" t="s">
        <v>3415</v>
      </c>
    </row>
    <row r="26" customFormat="false" ht="24" hidden="false" customHeight="true" outlineLevel="0" collapsed="false">
      <c r="B26" s="128"/>
      <c r="C26" s="129" t="s">
        <v>314</v>
      </c>
      <c r="D26" s="129" t="s">
        <v>3466</v>
      </c>
      <c r="E26" s="129" t="s">
        <v>3467</v>
      </c>
      <c r="F26" s="129" t="s">
        <v>3468</v>
      </c>
      <c r="G26" s="129" t="s">
        <v>3415</v>
      </c>
    </row>
    <row r="27" customFormat="false" ht="24" hidden="false" customHeight="true" outlineLevel="0" collapsed="false">
      <c r="B27" s="128"/>
      <c r="C27" s="129" t="s">
        <v>3469</v>
      </c>
      <c r="D27" s="129" t="s">
        <v>3470</v>
      </c>
      <c r="E27" s="129" t="s">
        <v>3471</v>
      </c>
      <c r="F27" s="129" t="s">
        <v>3472</v>
      </c>
      <c r="G27" s="129" t="s">
        <v>3415</v>
      </c>
    </row>
    <row r="28" customFormat="false" ht="24" hidden="false" customHeight="true" outlineLevel="0" collapsed="false">
      <c r="B28" s="128"/>
      <c r="C28" s="129" t="s">
        <v>316</v>
      </c>
      <c r="D28" s="129" t="s">
        <v>3473</v>
      </c>
      <c r="E28" s="129" t="s">
        <v>3474</v>
      </c>
      <c r="F28" s="129" t="s">
        <v>3475</v>
      </c>
      <c r="G28" s="129" t="s">
        <v>3415</v>
      </c>
    </row>
    <row r="29" customFormat="false" ht="24" hidden="false" customHeight="true" outlineLevel="0" collapsed="false">
      <c r="B29" s="128"/>
      <c r="C29" s="129" t="s">
        <v>318</v>
      </c>
      <c r="D29" s="129" t="s">
        <v>3476</v>
      </c>
      <c r="E29" s="129" t="s">
        <v>3422</v>
      </c>
      <c r="F29" s="129" t="s">
        <v>3477</v>
      </c>
      <c r="G29" s="129" t="s">
        <v>3415</v>
      </c>
    </row>
    <row r="30" customFormat="false" ht="24" hidden="false" customHeight="true" outlineLevel="0" collapsed="false">
      <c r="B30" s="128"/>
      <c r="C30" s="129" t="s">
        <v>320</v>
      </c>
      <c r="D30" s="129" t="s">
        <v>3478</v>
      </c>
      <c r="E30" s="129" t="s">
        <v>3479</v>
      </c>
      <c r="F30" s="129" t="s">
        <v>3461</v>
      </c>
      <c r="G30" s="129" t="s">
        <v>3415</v>
      </c>
    </row>
    <row r="31" customFormat="false" ht="24" hidden="false" customHeight="true" outlineLevel="0" collapsed="false">
      <c r="B31" s="128" t="s">
        <v>3480</v>
      </c>
      <c r="C31" s="129" t="s">
        <v>3481</v>
      </c>
      <c r="D31" s="129" t="s">
        <v>3482</v>
      </c>
      <c r="E31" s="129" t="s">
        <v>3483</v>
      </c>
      <c r="F31" s="129" t="s">
        <v>3484</v>
      </c>
      <c r="G31" s="129" t="s">
        <v>3415</v>
      </c>
    </row>
    <row r="32" customFormat="false" ht="24" hidden="false" customHeight="true" outlineLevel="0" collapsed="false">
      <c r="B32" s="128" t="s">
        <v>3485</v>
      </c>
      <c r="C32" s="129" t="s">
        <v>637</v>
      </c>
      <c r="D32" s="129" t="s">
        <v>3486</v>
      </c>
      <c r="E32" s="129" t="s">
        <v>3422</v>
      </c>
      <c r="F32" s="129" t="s">
        <v>3487</v>
      </c>
      <c r="G32" s="129" t="s">
        <v>3415</v>
      </c>
    </row>
    <row r="33" customFormat="false" ht="24" hidden="false" customHeight="true" outlineLevel="0" collapsed="false">
      <c r="B33" s="128"/>
      <c r="C33" s="129" t="s">
        <v>968</v>
      </c>
      <c r="D33" s="129" t="s">
        <v>3488</v>
      </c>
      <c r="E33" s="129" t="s">
        <v>3422</v>
      </c>
      <c r="F33" s="129" t="s">
        <v>3489</v>
      </c>
      <c r="G33" s="129" t="s">
        <v>3415</v>
      </c>
    </row>
    <row r="34" customFormat="false" ht="24" hidden="false" customHeight="true" outlineLevel="0" collapsed="false">
      <c r="B34" s="128"/>
      <c r="C34" s="129" t="s">
        <v>3437</v>
      </c>
      <c r="D34" s="129" t="s">
        <v>3490</v>
      </c>
      <c r="E34" s="129" t="s">
        <v>3491</v>
      </c>
      <c r="F34" s="129" t="s">
        <v>3492</v>
      </c>
      <c r="G34" s="129" t="s">
        <v>3415</v>
      </c>
    </row>
    <row r="35" customFormat="false" ht="24" hidden="false" customHeight="true" outlineLevel="0" collapsed="false">
      <c r="B35" s="128"/>
      <c r="C35" s="129" t="s">
        <v>3493</v>
      </c>
      <c r="D35" s="129" t="s">
        <v>3494</v>
      </c>
      <c r="E35" s="129" t="s">
        <v>3495</v>
      </c>
      <c r="F35" s="129" t="s">
        <v>3496</v>
      </c>
      <c r="G35" s="129" t="s">
        <v>3415</v>
      </c>
    </row>
    <row r="36" customFormat="false" ht="24" hidden="false" customHeight="true" outlineLevel="0" collapsed="false">
      <c r="B36" s="128"/>
      <c r="C36" s="129" t="s">
        <v>320</v>
      </c>
      <c r="D36" s="129" t="s">
        <v>3497</v>
      </c>
      <c r="E36" s="129" t="s">
        <v>321</v>
      </c>
      <c r="F36" s="129" t="s">
        <v>3461</v>
      </c>
      <c r="G36" s="129" t="s">
        <v>3415</v>
      </c>
    </row>
    <row r="37" customFormat="false" ht="24" hidden="false" customHeight="true" outlineLevel="0" collapsed="false">
      <c r="B37" s="128" t="s">
        <v>3498</v>
      </c>
      <c r="C37" s="129" t="s">
        <v>3499</v>
      </c>
      <c r="D37" s="129" t="s">
        <v>3500</v>
      </c>
      <c r="E37" s="129" t="s">
        <v>3422</v>
      </c>
      <c r="F37" s="129" t="s">
        <v>3501</v>
      </c>
      <c r="G37" s="129" t="s">
        <v>3415</v>
      </c>
    </row>
    <row r="38" customFormat="false" ht="24" hidden="false" customHeight="true" outlineLevel="0" collapsed="false">
      <c r="B38" s="128"/>
      <c r="C38" s="129" t="s">
        <v>3502</v>
      </c>
      <c r="D38" s="129" t="s">
        <v>3503</v>
      </c>
      <c r="E38" s="129" t="s">
        <v>3504</v>
      </c>
      <c r="F38" s="129" t="s">
        <v>3505</v>
      </c>
      <c r="G38" s="129" t="s">
        <v>3415</v>
      </c>
    </row>
    <row r="39" customFormat="false" ht="24" hidden="false" customHeight="true" outlineLevel="0" collapsed="false">
      <c r="B39" s="128" t="s">
        <v>3506</v>
      </c>
      <c r="C39" s="129" t="s">
        <v>3507</v>
      </c>
      <c r="D39" s="129" t="s">
        <v>3508</v>
      </c>
      <c r="E39" s="129" t="s">
        <v>3509</v>
      </c>
      <c r="F39" s="129" t="s">
        <v>3510</v>
      </c>
      <c r="G39" s="129" t="s">
        <v>3415</v>
      </c>
    </row>
    <row r="40" customFormat="false" ht="24" hidden="false" customHeight="true" outlineLevel="0" collapsed="false">
      <c r="B40" s="128"/>
      <c r="C40" s="129" t="s">
        <v>3511</v>
      </c>
      <c r="D40" s="129" t="s">
        <v>3512</v>
      </c>
      <c r="E40" s="129" t="s">
        <v>225</v>
      </c>
      <c r="F40" s="129" t="s">
        <v>3513</v>
      </c>
      <c r="G40" s="129" t="s">
        <v>3415</v>
      </c>
    </row>
    <row r="41" customFormat="false" ht="24" hidden="false" customHeight="true" outlineLevel="0" collapsed="false">
      <c r="B41" s="128"/>
      <c r="C41" s="129" t="s">
        <v>3514</v>
      </c>
      <c r="D41" s="129" t="s">
        <v>3515</v>
      </c>
      <c r="E41" s="129" t="s">
        <v>225</v>
      </c>
      <c r="F41" s="129" t="s">
        <v>3516</v>
      </c>
      <c r="G41" s="129" t="s">
        <v>3415</v>
      </c>
    </row>
    <row r="42" customFormat="false" ht="24" hidden="false" customHeight="true" outlineLevel="0" collapsed="false">
      <c r="B42" s="128"/>
      <c r="C42" s="129" t="s">
        <v>3517</v>
      </c>
      <c r="D42" s="129" t="s">
        <v>3518</v>
      </c>
      <c r="E42" s="129" t="s">
        <v>3519</v>
      </c>
      <c r="F42" s="129" t="s">
        <v>3461</v>
      </c>
      <c r="G42" s="129" t="s">
        <v>3415</v>
      </c>
    </row>
    <row r="43" customFormat="false" ht="24" hidden="false" customHeight="true" outlineLevel="0" collapsed="false">
      <c r="B43" s="128" t="s">
        <v>3520</v>
      </c>
      <c r="C43" s="129" t="s">
        <v>3521</v>
      </c>
      <c r="D43" s="129" t="s">
        <v>3522</v>
      </c>
      <c r="E43" s="129" t="s">
        <v>3422</v>
      </c>
      <c r="F43" s="129" t="s">
        <v>3510</v>
      </c>
      <c r="G43" s="129" t="s">
        <v>3415</v>
      </c>
    </row>
    <row r="44" customFormat="false" ht="24" hidden="false" customHeight="true" outlineLevel="0" collapsed="false">
      <c r="B44" s="128"/>
      <c r="C44" s="129" t="s">
        <v>3523</v>
      </c>
      <c r="D44" s="129" t="s">
        <v>3524</v>
      </c>
      <c r="E44" s="129" t="s">
        <v>3422</v>
      </c>
      <c r="F44" s="129" t="s">
        <v>3525</v>
      </c>
      <c r="G44" s="129" t="s">
        <v>3415</v>
      </c>
    </row>
    <row r="45" customFormat="false" ht="24" hidden="false" customHeight="true" outlineLevel="0" collapsed="false">
      <c r="B45" s="128"/>
      <c r="C45" s="129" t="s">
        <v>3526</v>
      </c>
      <c r="D45" s="129" t="s">
        <v>3527</v>
      </c>
      <c r="E45" s="129" t="s">
        <v>225</v>
      </c>
      <c r="F45" s="129" t="s">
        <v>3528</v>
      </c>
      <c r="G45" s="129" t="s">
        <v>3415</v>
      </c>
    </row>
    <row r="46" customFormat="false" ht="24" hidden="false" customHeight="true" outlineLevel="0" collapsed="false">
      <c r="B46" s="128"/>
      <c r="C46" s="129" t="s">
        <v>3529</v>
      </c>
      <c r="D46" s="129" t="s">
        <v>3530</v>
      </c>
      <c r="E46" s="129" t="s">
        <v>3531</v>
      </c>
      <c r="F46" s="129" t="s">
        <v>3461</v>
      </c>
      <c r="G46" s="129" t="s">
        <v>3415</v>
      </c>
    </row>
    <row r="47" customFormat="false" ht="24" hidden="false" customHeight="true" outlineLevel="0" collapsed="false">
      <c r="B47" s="128" t="s">
        <v>3532</v>
      </c>
      <c r="C47" s="129" t="s">
        <v>1248</v>
      </c>
      <c r="D47" s="129" t="s">
        <v>3533</v>
      </c>
      <c r="E47" s="129" t="s">
        <v>3422</v>
      </c>
      <c r="F47" s="129" t="s">
        <v>3534</v>
      </c>
      <c r="G47" s="129" t="s">
        <v>3415</v>
      </c>
    </row>
    <row r="48" customFormat="false" ht="24" hidden="false" customHeight="true" outlineLevel="0" collapsed="false">
      <c r="B48" s="128"/>
      <c r="C48" s="129" t="s">
        <v>3535</v>
      </c>
      <c r="D48" s="129" t="s">
        <v>3536</v>
      </c>
      <c r="E48" s="129" t="s">
        <v>3537</v>
      </c>
      <c r="F48" s="129" t="s">
        <v>3538</v>
      </c>
      <c r="G48" s="129" t="s">
        <v>3415</v>
      </c>
    </row>
    <row r="49" customFormat="false" ht="24" hidden="false" customHeight="true" outlineLevel="0" collapsed="false">
      <c r="B49" s="128"/>
      <c r="C49" s="129" t="s">
        <v>3539</v>
      </c>
      <c r="D49" s="129" t="s">
        <v>3540</v>
      </c>
      <c r="E49" s="129" t="s">
        <v>3422</v>
      </c>
      <c r="F49" s="129" t="s">
        <v>3541</v>
      </c>
      <c r="G49" s="129" t="s">
        <v>3415</v>
      </c>
    </row>
    <row r="50" customFormat="false" ht="24" hidden="false" customHeight="true" outlineLevel="0" collapsed="false">
      <c r="B50" s="128" t="s">
        <v>3542</v>
      </c>
      <c r="C50" s="129" t="s">
        <v>1248</v>
      </c>
      <c r="D50" s="129" t="s">
        <v>3543</v>
      </c>
      <c r="E50" s="129" t="s">
        <v>3422</v>
      </c>
      <c r="F50" s="129" t="s">
        <v>3544</v>
      </c>
      <c r="G50" s="129" t="s">
        <v>3415</v>
      </c>
    </row>
    <row r="51" customFormat="false" ht="24" hidden="false" customHeight="true" outlineLevel="0" collapsed="false">
      <c r="B51" s="128"/>
      <c r="C51" s="129" t="s">
        <v>3545</v>
      </c>
      <c r="D51" s="129" t="s">
        <v>3546</v>
      </c>
      <c r="E51" s="129" t="s">
        <v>3547</v>
      </c>
      <c r="F51" s="129" t="s">
        <v>3548</v>
      </c>
      <c r="G51" s="129" t="s">
        <v>3415</v>
      </c>
    </row>
    <row r="52" customFormat="false" ht="24" hidden="false" customHeight="true" outlineLevel="0" collapsed="false">
      <c r="B52" s="128"/>
      <c r="C52" s="129" t="s">
        <v>3549</v>
      </c>
      <c r="D52" s="129" t="s">
        <v>3550</v>
      </c>
      <c r="E52" s="129" t="s">
        <v>3551</v>
      </c>
      <c r="F52" s="129" t="s">
        <v>3552</v>
      </c>
      <c r="G52" s="129" t="s">
        <v>3415</v>
      </c>
    </row>
    <row r="54" customFormat="false" ht="15" hidden="false" customHeight="true" outlineLevel="0" collapsed="false">
      <c r="B54" s="130" t="s">
        <v>3553</v>
      </c>
    </row>
    <row r="55" customFormat="false" ht="15" hidden="false" customHeight="true" outlineLevel="0" collapsed="false">
      <c r="B55" s="14" t="s">
        <v>3554</v>
      </c>
      <c r="D55" s="131" t="s">
        <v>3555</v>
      </c>
    </row>
    <row r="56" customFormat="false" ht="15" hidden="false" customHeight="true" outlineLevel="0" collapsed="false">
      <c r="B56" s="14" t="s">
        <v>3556</v>
      </c>
      <c r="D56" s="131" t="s">
        <v>3557</v>
      </c>
    </row>
    <row r="57" customFormat="false" ht="15" hidden="false" customHeight="true" outlineLevel="0" collapsed="false">
      <c r="B57" s="14" t="s">
        <v>3558</v>
      </c>
      <c r="D57" s="131" t="s">
        <v>3559</v>
      </c>
    </row>
    <row r="58" customFormat="false" ht="15" hidden="false" customHeight="true" outlineLevel="0" collapsed="false">
      <c r="B58" s="14" t="s">
        <v>3560</v>
      </c>
      <c r="D58" s="131" t="s">
        <v>3561</v>
      </c>
    </row>
    <row r="59" customFormat="false" ht="15" hidden="false" customHeight="true" outlineLevel="0" collapsed="false">
      <c r="B59" s="14" t="s">
        <v>3562</v>
      </c>
      <c r="D59" s="131" t="s">
        <v>3563</v>
      </c>
    </row>
    <row r="60" customFormat="false" ht="15" hidden="false" customHeight="true" outlineLevel="0" collapsed="false">
      <c r="B60" s="14" t="s">
        <v>3564</v>
      </c>
      <c r="D60" s="132" t="s">
        <v>3565</v>
      </c>
    </row>
  </sheetData>
  <mergeCells count="6">
    <mergeCell ref="B3:F3"/>
    <mergeCell ref="B4:F4"/>
    <mergeCell ref="B5:F5"/>
    <mergeCell ref="B6:F6"/>
    <mergeCell ref="B7:F7"/>
    <mergeCell ref="B8:F8"/>
  </mergeCells>
  <hyperlinks>
    <hyperlink ref="D55" r:id="rId1" display="https://pensionsauthority.ie/scheme-members-and-prsa-contributors/understanding-pensions/your_right_to_information/statement_of_reasonable_projection/"/>
    <hyperlink ref="D56" r:id="rId2" display="https://pensionsauthority.ie/news_press/news_archive/updated-pension-benefit-statement-projection-assumptions/"/>
    <hyperlink ref="D57" r:id="rId3" display="https://www.centralbank.ie/code"/>
    <hyperlink ref="D58" r:id="rId4" display="https://www.revenue.ie/en/corporate/press-office/press-releases/2019/pr-200619-employees-new-facility-view-current-pay-and-tax-details-through-revenue-myaccount.aspx"/>
    <hyperlink ref="D59" r:id="rId5" display="https://www.gov.ie/en/publication/0fbf7-request-a-contribution-statemen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B1:I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70"/>
    <col collapsed="false" customWidth="true" hidden="false" outlineLevel="0" max="3" min="3" style="1" width="22"/>
    <col collapsed="false" customWidth="true" hidden="false" outlineLevel="0" max="4" min="4" style="1" width="18"/>
    <col collapsed="false" customWidth="true" hidden="false" outlineLevel="0" max="5" min="5" style="1" width="24"/>
    <col collapsed="false" customWidth="true" hidden="false" outlineLevel="0" max="6" min="6" style="1" width="26"/>
    <col collapsed="false" customWidth="true" hidden="false" outlineLevel="0" max="7" min="7" style="1" width="22"/>
  </cols>
  <sheetData>
    <row r="1" customFormat="false" ht="17.25" hidden="false" customHeight="true" outlineLevel="0" collapsed="false">
      <c r="B1" s="89" t="s">
        <v>3566</v>
      </c>
    </row>
    <row r="2" customFormat="false" ht="48" hidden="false" customHeight="true" outlineLevel="0" collapsed="false">
      <c r="B2" s="90" t="s">
        <v>3567</v>
      </c>
      <c r="C2" s="90"/>
      <c r="D2" s="90"/>
      <c r="E2" s="90"/>
      <c r="F2" s="90"/>
      <c r="G2" s="90"/>
    </row>
    <row r="4" customFormat="false" ht="15" hidden="false" customHeight="true" outlineLevel="0" collapsed="false">
      <c r="B4" s="108" t="s">
        <v>3568</v>
      </c>
    </row>
    <row r="5" customFormat="false" ht="15" hidden="false" customHeight="true" outlineLevel="0" collapsed="false">
      <c r="B5" s="133" t="s">
        <v>3569</v>
      </c>
      <c r="C5" s="133" t="s">
        <v>3570</v>
      </c>
      <c r="D5" s="133" t="s">
        <v>3571</v>
      </c>
      <c r="E5" s="133" t="s">
        <v>3572</v>
      </c>
      <c r="F5" s="133" t="s">
        <v>3573</v>
      </c>
    </row>
    <row r="6" customFormat="false" ht="15" hidden="false" customHeight="true" outlineLevel="0" collapsed="false">
      <c r="B6" s="1" t="s">
        <v>3574</v>
      </c>
      <c r="C6" s="92"/>
      <c r="D6" s="134"/>
      <c r="E6" s="134"/>
      <c r="F6" s="135"/>
    </row>
    <row r="7" customFormat="false" ht="15" hidden="false" customHeight="true" outlineLevel="0" collapsed="false">
      <c r="B7" s="1" t="s">
        <v>3575</v>
      </c>
      <c r="C7" s="92"/>
      <c r="D7" s="134"/>
      <c r="E7" s="134"/>
      <c r="F7" s="135"/>
    </row>
    <row r="8" customFormat="false" ht="15" hidden="false" customHeight="true" outlineLevel="0" collapsed="false">
      <c r="B8" s="1" t="s">
        <v>3576</v>
      </c>
      <c r="C8" s="92"/>
      <c r="D8" s="134"/>
      <c r="E8" s="134"/>
      <c r="F8" s="135"/>
    </row>
    <row r="9" customFormat="false" ht="15" hidden="false" customHeight="true" outlineLevel="0" collapsed="false">
      <c r="B9" s="1" t="s">
        <v>3577</v>
      </c>
      <c r="C9" s="92"/>
      <c r="D9" s="134"/>
      <c r="E9" s="134"/>
      <c r="F9" s="135"/>
    </row>
    <row r="10" customFormat="false" ht="15" hidden="false" customHeight="true" outlineLevel="0" collapsed="false">
      <c r="B10" s="1" t="s">
        <v>3578</v>
      </c>
      <c r="C10" s="92"/>
      <c r="D10" s="134"/>
      <c r="E10" s="134"/>
      <c r="F10" s="135"/>
    </row>
    <row r="11" customFormat="false" ht="15" hidden="false" customHeight="true" outlineLevel="0" collapsed="false">
      <c r="B11" s="1" t="s">
        <v>3579</v>
      </c>
      <c r="C11" s="92"/>
      <c r="D11" s="134"/>
      <c r="E11" s="134"/>
      <c r="F11" s="135"/>
    </row>
    <row r="12" customFormat="false" ht="15" hidden="false" customHeight="true" outlineLevel="0" collapsed="false">
      <c r="B12" s="1" t="s">
        <v>3580</v>
      </c>
      <c r="C12" s="92"/>
      <c r="D12" s="134"/>
      <c r="E12" s="134"/>
      <c r="F12" s="135"/>
    </row>
    <row r="13" customFormat="false" ht="15" hidden="false" customHeight="true" outlineLevel="0" collapsed="false">
      <c r="B13" s="1" t="s">
        <v>3581</v>
      </c>
      <c r="C13" s="92"/>
      <c r="D13" s="134"/>
      <c r="E13" s="134"/>
      <c r="F13" s="135"/>
    </row>
    <row r="15" customFormat="false" ht="15" hidden="false" customHeight="true" outlineLevel="0" collapsed="false">
      <c r="B15" s="108" t="s">
        <v>3582</v>
      </c>
      <c r="D15" s="136" t="n">
        <f aca="false">SUM(D6:D13)</f>
        <v>0</v>
      </c>
    </row>
    <row r="16" customFormat="false" ht="15" hidden="false" customHeight="true" outlineLevel="0" collapsed="false">
      <c r="B16" s="1" t="s">
        <v>3583</v>
      </c>
      <c r="D16" s="136" t="n">
        <f aca="false">SUM(E6:E13)</f>
        <v>0</v>
      </c>
    </row>
    <row r="17" customFormat="false" ht="15" hidden="false" customHeight="true" outlineLevel="0" collapsed="false">
      <c r="B17" s="1" t="s">
        <v>3584</v>
      </c>
      <c r="D17" s="137" t="str">
        <f aca="false">IF(COUNT(F6:F13)=0,"",SUMPRODUCT(F6:F13,(D6:D13&gt;0)*D6:D13+(1-(D6:D13&gt;0)))/SUMPRODUCT((F6:F13&lt;&gt;"")*((D6:D13&gt;0)*D6:D13+(1-(D6:D13&gt;0)))))</f>
        <v/>
      </c>
    </row>
    <row r="19" customFormat="false" ht="15" hidden="false" customHeight="true" outlineLevel="0" collapsed="false">
      <c r="B19" s="108" t="s">
        <v>3585</v>
      </c>
    </row>
    <row r="20" customFormat="false" ht="15" hidden="false" customHeight="true" outlineLevel="0" collapsed="false">
      <c r="B20" s="133" t="s">
        <v>3586</v>
      </c>
      <c r="C20" s="133" t="s">
        <v>3570</v>
      </c>
      <c r="D20" s="133" t="s">
        <v>3571</v>
      </c>
      <c r="E20" s="133" t="s">
        <v>3572</v>
      </c>
      <c r="F20" s="133" t="s">
        <v>3573</v>
      </c>
    </row>
    <row r="21" customFormat="false" ht="15" hidden="false" customHeight="true" outlineLevel="0" collapsed="false">
      <c r="B21" s="1" t="s">
        <v>3587</v>
      </c>
      <c r="C21" s="92"/>
      <c r="D21" s="134"/>
      <c r="E21" s="134"/>
      <c r="F21" s="135"/>
    </row>
    <row r="22" customFormat="false" ht="15" hidden="false" customHeight="true" outlineLevel="0" collapsed="false">
      <c r="B22" s="1" t="s">
        <v>3588</v>
      </c>
      <c r="C22" s="92"/>
      <c r="D22" s="134"/>
      <c r="E22" s="134"/>
      <c r="F22" s="135"/>
    </row>
    <row r="23" customFormat="false" ht="15" hidden="false" customHeight="true" outlineLevel="0" collapsed="false">
      <c r="B23" s="1" t="s">
        <v>3589</v>
      </c>
      <c r="C23" s="92"/>
      <c r="D23" s="134"/>
      <c r="E23" s="134"/>
      <c r="F23" s="135"/>
    </row>
    <row r="24" customFormat="false" ht="15" hidden="false" customHeight="true" outlineLevel="0" collapsed="false">
      <c r="B24" s="1" t="s">
        <v>3590</v>
      </c>
      <c r="C24" s="92"/>
      <c r="D24" s="134"/>
      <c r="E24" s="134"/>
      <c r="F24" s="135"/>
    </row>
    <row r="25" customFormat="false" ht="15" hidden="false" customHeight="true" outlineLevel="0" collapsed="false">
      <c r="B25" s="1" t="s">
        <v>3591</v>
      </c>
      <c r="C25" s="92"/>
      <c r="D25" s="134"/>
      <c r="E25" s="134"/>
      <c r="F25" s="135"/>
    </row>
    <row r="26" customFormat="false" ht="15" hidden="false" customHeight="true" outlineLevel="0" collapsed="false">
      <c r="B26" s="1" t="s">
        <v>3592</v>
      </c>
      <c r="C26" s="92"/>
      <c r="D26" s="134"/>
      <c r="E26" s="134"/>
      <c r="F26" s="135"/>
    </row>
    <row r="27" customFormat="false" ht="15" hidden="false" customHeight="true" outlineLevel="0" collapsed="false">
      <c r="B27" s="1" t="s">
        <v>3593</v>
      </c>
      <c r="C27" s="92"/>
      <c r="D27" s="134"/>
      <c r="E27" s="134"/>
      <c r="F27" s="135"/>
    </row>
    <row r="28" customFormat="false" ht="15" hidden="false" customHeight="true" outlineLevel="0" collapsed="false">
      <c r="B28" s="1" t="s">
        <v>3594</v>
      </c>
      <c r="C28" s="92"/>
      <c r="D28" s="134"/>
      <c r="E28" s="134"/>
      <c r="F28" s="135"/>
    </row>
    <row r="30" customFormat="false" ht="15" hidden="false" customHeight="true" outlineLevel="0" collapsed="false">
      <c r="B30" s="1" t="s">
        <v>3595</v>
      </c>
      <c r="D30" s="136" t="n">
        <f aca="false">SUM(D21:D28)</f>
        <v>0</v>
      </c>
    </row>
    <row r="31" customFormat="false" ht="15" hidden="false" customHeight="true" outlineLevel="0" collapsed="false">
      <c r="B31" s="1" t="s">
        <v>3596</v>
      </c>
      <c r="D31" s="136" t="n">
        <f aca="false">SUM(E21:E28)</f>
        <v>0</v>
      </c>
    </row>
    <row r="32" customFormat="false" ht="15" hidden="false" customHeight="true" outlineLevel="0" collapsed="false">
      <c r="B32" s="1" t="s">
        <v>3597</v>
      </c>
      <c r="D32" s="136" t="n">
        <f aca="false">Cards_Owed_Total+Loans_Owed_Total</f>
        <v>0</v>
      </c>
    </row>
    <row r="33" customFormat="false" ht="15" hidden="false" customHeight="true" outlineLevel="0" collapsed="false">
      <c r="B33" s="1" t="s">
        <v>3598</v>
      </c>
      <c r="D33" s="136" t="n">
        <f aca="false">Cards_Pay_Total+Loans_Pay_Total</f>
        <v>0</v>
      </c>
    </row>
    <row r="34" customFormat="false" ht="15" hidden="false" customHeight="false" outlineLevel="0" collapsed="false">
      <c r="B34" s="1" t="s">
        <v>3599</v>
      </c>
      <c r="D34" s="137" t="str">
        <f aca="false">IF(COUNT(F21:F28)=0,"",SUMPRODUCT(F21:F28,(D21:D28&gt;0)*D21:D28+(1-(D21:D28&gt;0)))/SUMPRODUCT((F21:F28&lt;&gt;"")*((D21:D28&gt;0)*D21:D28+(1-(D21:D28&gt;0)))))</f>
        <v/>
      </c>
    </row>
    <row r="35" customFormat="false" ht="15" hidden="false" customHeight="true" outlineLevel="0" collapsed="false">
      <c r="B35" s="108" t="s">
        <v>1174</v>
      </c>
    </row>
    <row r="36" customFormat="false" ht="27.75" hidden="false" customHeight="true" outlineLevel="0" collapsed="false">
      <c r="B36" s="133" t="s">
        <v>3600</v>
      </c>
      <c r="C36" s="133" t="s">
        <v>3601</v>
      </c>
      <c r="D36" s="133" t="s">
        <v>3602</v>
      </c>
      <c r="E36" s="133" t="s">
        <v>3603</v>
      </c>
      <c r="F36" s="133" t="s">
        <v>3604</v>
      </c>
      <c r="G36" s="133" t="s">
        <v>3605</v>
      </c>
    </row>
    <row r="37" customFormat="false" ht="15" hidden="false" customHeight="true" outlineLevel="0" collapsed="false">
      <c r="B37" s="1" t="s">
        <v>3606</v>
      </c>
      <c r="C37" s="92"/>
      <c r="D37" s="134"/>
      <c r="E37" s="134"/>
      <c r="F37" s="134"/>
      <c r="G37" s="138" t="str">
        <f aca="false">IF(E37="","",IF(E37&gt;0,IF(F37&lt;&gt;"",MIN(F37,E37),E37*AS_OwnShare),0))</f>
        <v/>
      </c>
    </row>
    <row r="38" customFormat="false" ht="15" hidden="false" customHeight="true" outlineLevel="0" collapsed="false">
      <c r="B38" s="1" t="s">
        <v>3607</v>
      </c>
      <c r="C38" s="92"/>
      <c r="D38" s="134"/>
      <c r="E38" s="134"/>
      <c r="F38" s="134"/>
      <c r="G38" s="138" t="str">
        <f aca="false">IF(E38="","",IF(E38&gt;0,IF(F38&lt;&gt;"",MIN(F38,E38),E38*AS_OwnShare),0))</f>
        <v/>
      </c>
    </row>
    <row r="39" customFormat="false" ht="15" hidden="false" customHeight="true" outlineLevel="0" collapsed="false">
      <c r="B39" s="1" t="s">
        <v>3608</v>
      </c>
      <c r="C39" s="92"/>
      <c r="D39" s="134"/>
      <c r="E39" s="134"/>
      <c r="F39" s="134"/>
      <c r="G39" s="138" t="str">
        <f aca="false">IF(E39="","",IF(E39&gt;0,IF(F39&lt;&gt;"",MIN(F39,E39),E39*AS_OwnShare),0))</f>
        <v/>
      </c>
    </row>
    <row r="40" customFormat="false" ht="15" hidden="false" customHeight="true" outlineLevel="0" collapsed="false">
      <c r="B40" s="1" t="s">
        <v>3609</v>
      </c>
      <c r="C40" s="92"/>
      <c r="D40" s="134"/>
      <c r="E40" s="134"/>
      <c r="F40" s="134"/>
      <c r="G40" s="138" t="str">
        <f aca="false">IF(E40="","",IF(E40&gt;0,IF(F40&lt;&gt;"",MIN(F40,E40),E40*AS_OwnShare),0))</f>
        <v/>
      </c>
    </row>
    <row r="41" customFormat="false" ht="15" hidden="false" customHeight="true" outlineLevel="0" collapsed="false">
      <c r="B41" s="1" t="s">
        <v>3610</v>
      </c>
      <c r="C41" s="92"/>
      <c r="D41" s="134"/>
      <c r="E41" s="134"/>
      <c r="F41" s="134"/>
      <c r="G41" s="138" t="str">
        <f aca="false">IF(E41="","",IF(E41&gt;0,IF(F41&lt;&gt;"",MIN(F41,E41),E41*AS_OwnShare),0))</f>
        <v/>
      </c>
    </row>
    <row r="42" customFormat="false" ht="15" hidden="false" customHeight="true" outlineLevel="0" collapsed="false">
      <c r="B42" s="1" t="s">
        <v>3611</v>
      </c>
      <c r="C42" s="92"/>
      <c r="D42" s="134"/>
      <c r="E42" s="134"/>
      <c r="F42" s="134"/>
      <c r="G42" s="138" t="str">
        <f aca="false">IF(E42="","",IF(E42&gt;0,IF(F42&lt;&gt;"",MIN(F42,E42),E42*AS_OwnShare),0))</f>
        <v/>
      </c>
    </row>
    <row r="43" customFormat="false" ht="15" hidden="false" customHeight="true" outlineLevel="0" collapsed="false">
      <c r="B43" s="1" t="s">
        <v>3612</v>
      </c>
      <c r="C43" s="92"/>
      <c r="D43" s="134"/>
      <c r="E43" s="134"/>
      <c r="F43" s="134"/>
      <c r="G43" s="138" t="str">
        <f aca="false">IF(E43="","",IF(E43&gt;0,IF(F43&lt;&gt;"",MIN(F43,E43),E43*AS_OwnShare),0))</f>
        <v/>
      </c>
    </row>
    <row r="44" customFormat="false" ht="15" hidden="false" customHeight="true" outlineLevel="0" collapsed="false">
      <c r="B44" s="1" t="s">
        <v>3613</v>
      </c>
      <c r="C44" s="92"/>
      <c r="D44" s="134"/>
      <c r="E44" s="134"/>
      <c r="F44" s="134"/>
      <c r="G44" s="138" t="str">
        <f aca="false">IF(E44="","",IF(E44&gt;0,IF(F44&lt;&gt;"",MIN(F44,E44),E44*AS_OwnShare),0))</f>
        <v/>
      </c>
    </row>
    <row r="46" customFormat="false" ht="15" hidden="false" customHeight="true" outlineLevel="0" collapsed="false">
      <c r="B46" s="1" t="s">
        <v>3614</v>
      </c>
      <c r="D46" s="136" t="n">
        <f aca="false">SUM(D37:D44)</f>
        <v>0</v>
      </c>
    </row>
    <row r="47" customFormat="false" ht="15" hidden="false" customHeight="true" outlineLevel="0" collapsed="false">
      <c r="B47" s="1" t="s">
        <v>3615</v>
      </c>
      <c r="D47" s="136" t="n">
        <f aca="false">SUM(E37:E44)</f>
        <v>0</v>
      </c>
    </row>
    <row r="48" customFormat="false" ht="15" hidden="false" customHeight="true" outlineLevel="0" collapsed="false">
      <c r="B48" s="1" t="s">
        <v>3616</v>
      </c>
      <c r="D48" s="136" t="n">
        <f aca="false">SUM(G37:G44)</f>
        <v>0</v>
      </c>
    </row>
    <row r="49" customFormat="false" ht="15" hidden="false" customHeight="false" outlineLevel="0" collapsed="false">
      <c r="B49" s="1" t="s">
        <v>3617</v>
      </c>
      <c r="D49" s="93" t="n">
        <f aca="false">IF(AND(SUMPRODUCT((E37:E44&gt;0)*ISNUMBER(F37:F44))&gt;0,OR(SUMPRODUCT(--(E37:E44&gt;0))=SUMPRODUCT((E37:E44&gt;0)*ISNUMBER(F37:F44)),Has_a_ownShare=1)),1,0)</f>
        <v>0</v>
      </c>
    </row>
    <row r="50" customFormat="false" ht="15" hidden="false" customHeight="true" outlineLevel="0" collapsed="false">
      <c r="B50" s="108" t="s">
        <v>3618</v>
      </c>
    </row>
    <row r="51" customFormat="false" ht="15" hidden="false" customHeight="true" outlineLevel="0" collapsed="false">
      <c r="B51" s="91" t="s">
        <v>3619</v>
      </c>
      <c r="C51" s="91" t="s">
        <v>3620</v>
      </c>
      <c r="D51" s="91" t="s">
        <v>3621</v>
      </c>
    </row>
    <row r="52" customFormat="false" ht="15" hidden="false" customHeight="true" outlineLevel="0" collapsed="false">
      <c r="B52" s="1" t="s">
        <v>3622</v>
      </c>
      <c r="C52" s="134"/>
      <c r="D52" s="92"/>
    </row>
    <row r="53" customFormat="false" ht="15" hidden="false" customHeight="true" outlineLevel="0" collapsed="false">
      <c r="B53" s="1" t="s">
        <v>3623</v>
      </c>
      <c r="C53" s="134"/>
      <c r="D53" s="92"/>
    </row>
    <row r="54" customFormat="false" ht="15" hidden="false" customHeight="true" outlineLevel="0" collapsed="false">
      <c r="B54" s="1" t="s">
        <v>3624</v>
      </c>
      <c r="C54" s="134"/>
      <c r="D54" s="92"/>
    </row>
    <row r="55" customFormat="false" ht="15" hidden="false" customHeight="true" outlineLevel="0" collapsed="false">
      <c r="B55" s="1" t="s">
        <v>3625</v>
      </c>
      <c r="C55" s="134"/>
      <c r="D55" s="92"/>
    </row>
    <row r="56" customFormat="false" ht="15" hidden="false" customHeight="true" outlineLevel="0" collapsed="false">
      <c r="B56" s="1" t="s">
        <v>3626</v>
      </c>
      <c r="D56" s="136" t="n">
        <f aca="false">SUM(C52:C55)</f>
        <v>0</v>
      </c>
    </row>
    <row r="57" customFormat="false" ht="15" hidden="false" customHeight="true" outlineLevel="0" collapsed="false">
      <c r="B57" s="91" t="s">
        <v>3619</v>
      </c>
      <c r="C57" s="91" t="s">
        <v>3627</v>
      </c>
      <c r="D57" s="91" t="s">
        <v>3628</v>
      </c>
    </row>
    <row r="58" customFormat="false" ht="15" hidden="false" customHeight="true" outlineLevel="0" collapsed="false">
      <c r="B58" s="1" t="s">
        <v>3629</v>
      </c>
      <c r="C58" s="134"/>
      <c r="D58" s="92"/>
    </row>
    <row r="59" customFormat="false" ht="15" hidden="false" customHeight="true" outlineLevel="0" collapsed="false">
      <c r="B59" s="1" t="s">
        <v>3630</v>
      </c>
      <c r="C59" s="134"/>
      <c r="D59" s="92"/>
    </row>
    <row r="60" customFormat="false" ht="15" hidden="false" customHeight="true" outlineLevel="0" collapsed="false">
      <c r="B60" s="1" t="s">
        <v>3631</v>
      </c>
      <c r="C60" s="134"/>
      <c r="D60" s="92"/>
    </row>
    <row r="61" customFormat="false" ht="15" hidden="false" customHeight="true" outlineLevel="0" collapsed="false">
      <c r="B61" s="1" t="s">
        <v>3632</v>
      </c>
      <c r="C61" s="134"/>
      <c r="D61" s="92"/>
    </row>
    <row r="62" customFormat="false" ht="15" hidden="false" customHeight="true" outlineLevel="0" collapsed="false">
      <c r="B62" s="1" t="s">
        <v>3633</v>
      </c>
      <c r="D62" s="136" t="n">
        <f aca="false">SUMPRODUCT((C58:C61&lt;&gt;"")*C58:C61)+IF(N('C21 Life cover'!$G$11)&gt;0,SUMPRODUCT((C58:C61="")*D58:D61)*N('C21 Life cover'!$G$11),0)</f>
        <v>0</v>
      </c>
    </row>
    <row r="63" customFormat="false" ht="15" hidden="false" customHeight="true" outlineLevel="0" collapsed="false">
      <c r="B63" s="1" t="s">
        <v>3634</v>
      </c>
      <c r="D63" s="136" t="n">
        <f aca="false">Cover_Life_Total+Cover_Work_Total</f>
        <v>0</v>
      </c>
    </row>
    <row r="64" customFormat="false" ht="15" hidden="false" customHeight="true" outlineLevel="0" collapsed="false">
      <c r="B64" s="91" t="s">
        <v>3619</v>
      </c>
      <c r="C64" s="91" t="s">
        <v>3635</v>
      </c>
      <c r="D64" s="91" t="s">
        <v>3621</v>
      </c>
    </row>
    <row r="65" customFormat="false" ht="15" hidden="false" customHeight="true" outlineLevel="0" collapsed="false">
      <c r="B65" s="1" t="s">
        <v>3636</v>
      </c>
      <c r="C65" s="134"/>
      <c r="D65" s="92"/>
    </row>
    <row r="66" customFormat="false" ht="15" hidden="false" customHeight="true" outlineLevel="0" collapsed="false">
      <c r="B66" s="1" t="s">
        <v>3637</v>
      </c>
      <c r="C66" s="134"/>
      <c r="D66" s="92"/>
    </row>
    <row r="67" customFormat="false" ht="15" hidden="false" customHeight="true" outlineLevel="0" collapsed="false">
      <c r="B67" s="1" t="s">
        <v>3638</v>
      </c>
      <c r="C67" s="134"/>
      <c r="D67" s="92"/>
    </row>
    <row r="68" customFormat="false" ht="15" hidden="false" customHeight="true" outlineLevel="0" collapsed="false">
      <c r="B68" s="1" t="s">
        <v>3639</v>
      </c>
      <c r="C68" s="134"/>
      <c r="D68" s="92"/>
    </row>
    <row r="69" customFormat="false" ht="15" hidden="false" customHeight="true" outlineLevel="0" collapsed="false">
      <c r="B69" s="1" t="s">
        <v>3640</v>
      </c>
      <c r="D69" s="136" t="n">
        <f aca="false">SUM(C65:C68)</f>
        <v>0</v>
      </c>
    </row>
    <row r="70" customFormat="false" ht="15" hidden="false" customHeight="true" outlineLevel="0" collapsed="false">
      <c r="B70" s="91" t="s">
        <v>3619</v>
      </c>
      <c r="C70" s="91" t="s">
        <v>3620</v>
      </c>
      <c r="D70" s="91" t="s">
        <v>3621</v>
      </c>
    </row>
    <row r="71" customFormat="false" ht="15" hidden="false" customHeight="true" outlineLevel="0" collapsed="false">
      <c r="B71" s="1" t="s">
        <v>3641</v>
      </c>
      <c r="C71" s="134"/>
      <c r="D71" s="92"/>
    </row>
    <row r="72" customFormat="false" ht="15" hidden="false" customHeight="true" outlineLevel="0" collapsed="false">
      <c r="B72" s="1" t="s">
        <v>3642</v>
      </c>
      <c r="C72" s="134"/>
      <c r="D72" s="92"/>
    </row>
    <row r="73" customFormat="false" ht="15" hidden="false" customHeight="true" outlineLevel="0" collapsed="false">
      <c r="B73" s="1" t="s">
        <v>3643</v>
      </c>
      <c r="C73" s="134"/>
      <c r="D73" s="92"/>
    </row>
    <row r="74" customFormat="false" ht="15" hidden="false" customHeight="true" outlineLevel="0" collapsed="false">
      <c r="B74" s="1" t="s">
        <v>3644</v>
      </c>
      <c r="C74" s="134"/>
      <c r="D74" s="92"/>
    </row>
    <row r="75" customFormat="false" ht="15" hidden="false" customHeight="true" outlineLevel="0" collapsed="false">
      <c r="B75" s="1" t="s">
        <v>3645</v>
      </c>
      <c r="D75" s="136" t="n">
        <f aca="false">SUM(C71:C74)</f>
        <v>0</v>
      </c>
    </row>
    <row r="76" customFormat="false" ht="15" hidden="false" customHeight="true" outlineLevel="0" collapsed="false">
      <c r="B76" s="91" t="s">
        <v>2963</v>
      </c>
      <c r="C76" s="91" t="s">
        <v>3646</v>
      </c>
    </row>
    <row r="77" customFormat="false" ht="15" hidden="false" customHeight="true" outlineLevel="0" collapsed="false">
      <c r="B77" s="1" t="s">
        <v>3647</v>
      </c>
      <c r="C77" s="134"/>
    </row>
    <row r="78" customFormat="false" ht="15" hidden="false" customHeight="true" outlineLevel="0" collapsed="false">
      <c r="B78" s="1" t="s">
        <v>3648</v>
      </c>
      <c r="C78" s="134"/>
    </row>
    <row r="79" customFormat="false" ht="15" hidden="false" customHeight="true" outlineLevel="0" collapsed="false">
      <c r="B79" s="1" t="s">
        <v>3649</v>
      </c>
      <c r="C79" s="134"/>
    </row>
    <row r="80" customFormat="false" ht="15" hidden="false" customHeight="true" outlineLevel="0" collapsed="false">
      <c r="B80" s="1" t="s">
        <v>3650</v>
      </c>
      <c r="C80" s="134"/>
    </row>
    <row r="81" customFormat="false" ht="15" hidden="false" customHeight="true" outlineLevel="0" collapsed="false">
      <c r="B81" s="1" t="s">
        <v>3651</v>
      </c>
      <c r="D81" s="136" t="n">
        <f aca="false">SUM(C77:C80)</f>
        <v>0</v>
      </c>
    </row>
    <row r="84" customFormat="false" ht="15" hidden="false" customHeight="false" outlineLevel="0" collapsed="false">
      <c r="B84" s="108" t="s">
        <v>3652</v>
      </c>
    </row>
    <row r="85" customFormat="false" ht="55.2" hidden="false" customHeight="false" outlineLevel="0" collapsed="false">
      <c r="B85" s="133" t="s">
        <v>531</v>
      </c>
      <c r="C85" s="133" t="s">
        <v>3570</v>
      </c>
      <c r="D85" s="133" t="s">
        <v>3653</v>
      </c>
      <c r="E85" s="133" t="s">
        <v>3572</v>
      </c>
      <c r="F85" s="133" t="s">
        <v>418</v>
      </c>
      <c r="G85" s="133" t="s">
        <v>3654</v>
      </c>
      <c r="H85" s="133" t="s">
        <v>3655</v>
      </c>
      <c r="I85" s="133" t="s">
        <v>3656</v>
      </c>
    </row>
    <row r="86" customFormat="false" ht="15" hidden="false" customHeight="false" outlineLevel="0" collapsed="false">
      <c r="B86" s="1" t="s">
        <v>3657</v>
      </c>
      <c r="C86" s="92"/>
      <c r="D86" s="134"/>
      <c r="E86" s="134"/>
      <c r="F86" s="92"/>
      <c r="G86" s="92"/>
      <c r="H86" s="105" t="n">
        <f aca="false">IF(N(G86)&gt;0,G86,AS_MortRate)</f>
        <v>0.0375</v>
      </c>
      <c r="I86" s="138" t="n">
        <f aca="false">IF(N(D86)&gt;0,IF(N(E86)&gt;0,E86,IF(N(F86)&gt;0,IF(H86/12&lt;&gt;0,D86*(H86/12)/(1-(1+H86/12)^-MAX(1,ROUND(F86*12,0))),D86/MAX(1,ROUND(F86*12,0))),0)),0)</f>
        <v>0</v>
      </c>
    </row>
    <row r="87" customFormat="false" ht="15" hidden="false" customHeight="false" outlineLevel="0" collapsed="false">
      <c r="B87" s="1" t="s">
        <v>3658</v>
      </c>
      <c r="C87" s="92"/>
      <c r="D87" s="134"/>
      <c r="E87" s="134"/>
      <c r="F87" s="92"/>
      <c r="G87" s="92"/>
      <c r="H87" s="105" t="n">
        <f aca="false">IF(N(G87)&gt;0,G87,AS_MortRate)</f>
        <v>0.0375</v>
      </c>
      <c r="I87" s="138" t="n">
        <f aca="false">IF(N(D87)&gt;0,IF(N(E87)&gt;0,E87,IF(N(F87)&gt;0,IF(H87/12&lt;&gt;0,D87*(H87/12)/(1-(1+H87/12)^-MAX(1,ROUND(F87*12,0))),D87/MAX(1,ROUND(F87*12,0))),0)),0)</f>
        <v>0</v>
      </c>
    </row>
    <row r="88" customFormat="false" ht="15" hidden="false" customHeight="false" outlineLevel="0" collapsed="false">
      <c r="B88" s="1" t="s">
        <v>3659</v>
      </c>
      <c r="C88" s="92"/>
      <c r="D88" s="134"/>
      <c r="E88" s="134"/>
      <c r="F88" s="92"/>
      <c r="G88" s="92"/>
      <c r="H88" s="105" t="n">
        <f aca="false">IF(N(G88)&gt;0,G88,AS_MortRate)</f>
        <v>0.0375</v>
      </c>
      <c r="I88" s="138" t="n">
        <f aca="false">IF(N(D88)&gt;0,IF(N(E88)&gt;0,E88,IF(N(F88)&gt;0,IF(H88/12&lt;&gt;0,D88*(H88/12)/(1-(1+H88/12)^-MAX(1,ROUND(F88*12,0))),D88/MAX(1,ROUND(F88*12,0))),0)),0)</f>
        <v>0</v>
      </c>
    </row>
    <row r="89" customFormat="false" ht="15" hidden="false" customHeight="false" outlineLevel="0" collapsed="false">
      <c r="B89" s="1" t="s">
        <v>3660</v>
      </c>
      <c r="C89" s="92"/>
      <c r="D89" s="134"/>
      <c r="E89" s="134"/>
      <c r="F89" s="92"/>
      <c r="G89" s="92"/>
      <c r="H89" s="105" t="n">
        <f aca="false">IF(N(G89)&gt;0,G89,AS_MortRate)</f>
        <v>0.0375</v>
      </c>
      <c r="I89" s="138" t="n">
        <f aca="false">IF(N(D89)&gt;0,IF(N(E89)&gt;0,E89,IF(N(F89)&gt;0,IF(H89/12&lt;&gt;0,D89*(H89/12)/(1-(1+H89/12)^-MAX(1,ROUND(F89*12,0))),D89/MAX(1,ROUND(F89*12,0))),0)),0)</f>
        <v>0</v>
      </c>
    </row>
    <row r="90" customFormat="false" ht="15" hidden="false" customHeight="false" outlineLevel="0" collapsed="false">
      <c r="B90" s="1" t="s">
        <v>3661</v>
      </c>
      <c r="D90" s="93" t="n">
        <f aca="false">SUMIF(D86:D89,"&gt;0")</f>
        <v>0</v>
      </c>
    </row>
    <row r="91" customFormat="false" ht="15" hidden="false" customHeight="false" outlineLevel="0" collapsed="false">
      <c r="B91" s="1" t="s">
        <v>3662</v>
      </c>
      <c r="D91" s="93" t="n">
        <f aca="false">SUM(I86:I89)</f>
        <v>0</v>
      </c>
    </row>
    <row r="92" customFormat="false" ht="15" hidden="false" customHeight="false" outlineLevel="0" collapsed="false">
      <c r="B92" s="1" t="s">
        <v>3663</v>
      </c>
      <c r="D92" s="139" t="n">
        <f aca="false">IF(D90&gt;0,SUMPRODUCT((D86:D89&gt;0)*D86:D89*H86:H89)/D90,0)</f>
        <v>0</v>
      </c>
    </row>
    <row r="93" customFormat="false" ht="15" hidden="false" customHeight="false" outlineLevel="0" collapsed="false">
      <c r="B93" s="1" t="s">
        <v>3664</v>
      </c>
      <c r="D93" s="93" t="n">
        <f aca="false">IF(SUMPRODUCT((N(+D86:D89)&gt;0)*(N(+E86:E89)&lt;=0)*(N(+F86:F89)&lt;=0))&gt;0,1,0)</f>
        <v>0</v>
      </c>
    </row>
    <row r="94" customFormat="false" ht="15" hidden="false" customHeight="false" outlineLevel="0" collapsed="false">
      <c r="B94" s="1" t="s">
        <v>3665</v>
      </c>
      <c r="D94" s="93" t="n">
        <f aca="false">IF(SUMPRODUCT((N(+D86:D89)&gt;0)*(N(+G86:G89)&lt;=0))&gt;0,1,0)</f>
        <v>0</v>
      </c>
    </row>
  </sheetData>
  <mergeCells count="1">
    <mergeCell ref="B2:G2"/>
  </mergeCells>
  <dataValidations count="1">
    <dataValidation allowBlank="true" error="Enter a number of 0 or more (or leave blank)." errorStyle="stop" operator="greaterThanOrEqual" showDropDown="false" showErrorMessage="true" showInputMessage="false" sqref="D6:F13 D21:F28 D37:F44 C52:D55 C58:D61 C65:D68 C71:D74 C77:C80"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6000"/>
    <pageSetUpPr fitToPage="false"/>
  </sheetPr>
  <dimension ref="B1:M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2"/>
    <col collapsed="false" customWidth="true" hidden="false" outlineLevel="0" max="3" min="3" style="1" width="14"/>
    <col collapsed="false" customWidth="true" hidden="false" outlineLevel="0" max="5" min="4" style="1" width="10"/>
    <col collapsed="false" customWidth="true" hidden="false" outlineLevel="0" max="6" min="6" style="1" width="12"/>
    <col collapsed="false" customWidth="true" hidden="false" outlineLevel="0" max="7" min="7" style="1" width="50"/>
    <col collapsed="false" customWidth="true" hidden="false" outlineLevel="0" max="8" min="8" style="1" width="48"/>
    <col collapsed="false" customWidth="true" hidden="false" outlineLevel="0" max="9" min="9" style="1" width="16"/>
    <col collapsed="false" customWidth="true" hidden="false" outlineLevel="0" max="10" min="10" style="1" width="50"/>
    <col collapsed="false" customWidth="true" hidden="false" outlineLevel="0" max="11" min="11" style="1" width="24"/>
    <col collapsed="false" customWidth="true" hidden="false" outlineLevel="0" max="12" min="12" style="1" width="34"/>
    <col collapsed="false" customWidth="true" hidden="false" outlineLevel="0" max="13" min="13" style="1" width="26"/>
  </cols>
  <sheetData>
    <row r="1" customFormat="false" ht="17.25" hidden="false" customHeight="true" outlineLevel="0" collapsed="false">
      <c r="B1" s="89" t="s">
        <v>3666</v>
      </c>
    </row>
    <row r="2" customFormat="false" ht="75" hidden="false" customHeight="true" outlineLevel="0" collapsed="false">
      <c r="B2" s="90" t="s">
        <v>3667</v>
      </c>
      <c r="C2" s="90"/>
      <c r="D2" s="90"/>
      <c r="E2" s="90"/>
      <c r="F2" s="90"/>
      <c r="G2" s="90"/>
      <c r="H2" s="90"/>
      <c r="I2" s="90"/>
      <c r="J2" s="90"/>
      <c r="K2" s="90"/>
    </row>
    <row r="3" customFormat="false" ht="15" hidden="false" customHeight="false" outlineLevel="0" collapsed="false">
      <c r="B3" s="22" t="s">
        <v>3668</v>
      </c>
    </row>
    <row r="4" customFormat="false" ht="15" hidden="false" customHeight="true" outlineLevel="0" collapsed="false">
      <c r="B4" s="108" t="s">
        <v>3669</v>
      </c>
      <c r="C4" s="92"/>
    </row>
    <row r="6" customFormat="false" ht="81.75" hidden="false" customHeight="true" outlineLevel="0" collapsed="false">
      <c r="B6" s="96" t="s">
        <v>3670</v>
      </c>
      <c r="C6" s="96" t="s">
        <v>3671</v>
      </c>
      <c r="D6" s="96" t="s">
        <v>3672</v>
      </c>
      <c r="E6" s="96" t="s">
        <v>3673</v>
      </c>
      <c r="F6" s="96" t="s">
        <v>3674</v>
      </c>
      <c r="G6" s="96" t="s">
        <v>3675</v>
      </c>
      <c r="H6" s="96" t="s">
        <v>3676</v>
      </c>
      <c r="I6" s="96" t="s">
        <v>3677</v>
      </c>
      <c r="J6" s="96" t="s">
        <v>3678</v>
      </c>
      <c r="K6" s="96" t="s">
        <v>3679</v>
      </c>
      <c r="L6" s="91" t="s">
        <v>3680</v>
      </c>
      <c r="M6" s="91" t="s">
        <v>3681</v>
      </c>
    </row>
    <row r="7" customFormat="false" ht="15" hidden="false" customHeight="true" outlineLevel="0" collapsed="false">
      <c r="B7" s="140" t="s">
        <v>3682</v>
      </c>
    </row>
    <row r="8" customFormat="false" ht="15" hidden="false" customHeight="true" outlineLevel="0" collapsed="false">
      <c r="B8" s="1" t="s">
        <v>3683</v>
      </c>
      <c r="C8" s="135" t="n">
        <v>0.02</v>
      </c>
      <c r="G8" s="92" t="s">
        <v>3684</v>
      </c>
      <c r="H8" s="22" t="s">
        <v>3685</v>
      </c>
      <c r="I8" s="22" t="s">
        <v>3686</v>
      </c>
      <c r="J8" s="22"/>
      <c r="K8" s="22" t="s">
        <v>3687</v>
      </c>
    </row>
    <row r="9" customFormat="false" ht="15" hidden="false" customHeight="true" outlineLevel="0" collapsed="false">
      <c r="B9" s="1" t="s">
        <v>3688</v>
      </c>
      <c r="C9" s="135" t="n">
        <v>0.03</v>
      </c>
      <c r="F9" s="135" t="n">
        <v>0.025</v>
      </c>
      <c r="G9" s="92" t="s">
        <v>3689</v>
      </c>
      <c r="H9" s="22" t="s">
        <v>3690</v>
      </c>
      <c r="I9" s="22" t="s">
        <v>3691</v>
      </c>
      <c r="J9" s="22" t="s">
        <v>3692</v>
      </c>
      <c r="K9" s="22" t="s">
        <v>3687</v>
      </c>
    </row>
    <row r="10" customFormat="false" ht="15" hidden="false" customHeight="true" outlineLevel="0" collapsed="false">
      <c r="B10" s="1" t="s">
        <v>3693</v>
      </c>
      <c r="C10" s="135" t="n">
        <v>0.01</v>
      </c>
      <c r="F10" s="135" t="n">
        <v>0.007</v>
      </c>
      <c r="G10" s="92" t="s">
        <v>3694</v>
      </c>
      <c r="H10" s="22" t="s">
        <v>3695</v>
      </c>
      <c r="I10" s="22" t="s">
        <v>3696</v>
      </c>
      <c r="J10" s="22"/>
      <c r="K10" s="22" t="s">
        <v>3687</v>
      </c>
    </row>
    <row r="11" customFormat="false" ht="15" hidden="false" customHeight="true" outlineLevel="0" collapsed="false">
      <c r="B11" s="1" t="s">
        <v>3697</v>
      </c>
      <c r="C11" s="141" t="n">
        <f aca="false">ROUND(((1+Set_invGross-IF(ISNUMBER(Suggest_Fund_Charges),Suggest_Fund_Charges,0.01))^Deemed_Disposal_Years-Exit_Tax*((1+Set_invGross-IF(ISNUMBER(Suggest_Fund_Charges),Suggest_Fund_Charges,0.01))^Deemed_Disposal_Years-1))^(1/Deemed_Disposal_Years)-1,3)</f>
        <v>0.026</v>
      </c>
      <c r="F11" s="141" t="n">
        <f aca="false">ROUND(((1+Set_invGross-0.01-IF(ISNUMBER(Suggest_Fund_Charges),Suggest_Fund_Charges,0.01))^Deemed_Disposal_Years-Exit_Tax*((1+Set_invGross-0.01-IF(ISNUMBER(Suggest_Fund_Charges),Suggest_Fund_Charges,0.01))^Deemed_Disposal_Years-1))^(1/Deemed_Disposal_Years)-1,3)</f>
        <v>0.019</v>
      </c>
      <c r="G11" s="92" t="str">
        <f aca="false">"a planning assumption, not a prediction: "&amp;ROUND(Set_invGross*1000,0)/10&amp;"% before fees and tax, less about "&amp;ROUND(IF(ISNUMBER(Suggest_Fund_Charges),Suggest_Fund_Charges,0.01)*1000,0)/10&amp;"% charges, less "&amp;ROUND(Exit_Tax*100,0)&amp;"% exit tax taken every "&amp;Deemed_Disposal_Years&amp;" years"</f>
        <v>a planning assumption, not a prediction: 5% before fees and tax, less about 1% charges, less 38% exit tax taken every 8 years</v>
      </c>
      <c r="H11" s="22" t="s">
        <v>3698</v>
      </c>
      <c r="I11" s="22" t="s">
        <v>3691</v>
      </c>
      <c r="J11" s="22" t="s">
        <v>3699</v>
      </c>
      <c r="K11" s="22" t="s">
        <v>3687</v>
      </c>
    </row>
    <row r="12" customFormat="false" ht="15" hidden="false" customHeight="true" outlineLevel="0" collapsed="false">
      <c r="B12" s="1" t="s">
        <v>3700</v>
      </c>
      <c r="C12" s="135" t="n">
        <v>0.05</v>
      </c>
      <c r="G12" s="92" t="s">
        <v>3701</v>
      </c>
      <c r="H12" s="22" t="s">
        <v>3702</v>
      </c>
      <c r="I12" s="22" t="s">
        <v>3691</v>
      </c>
      <c r="J12" s="22" t="s">
        <v>3703</v>
      </c>
      <c r="K12" s="22" t="s">
        <v>3687</v>
      </c>
    </row>
    <row r="13" customFormat="false" ht="15" hidden="false" customHeight="true" outlineLevel="0" collapsed="false">
      <c r="B13" s="1" t="s">
        <v>3704</v>
      </c>
      <c r="C13" s="135" t="n">
        <v>0.045</v>
      </c>
      <c r="F13" s="135" t="n">
        <v>0.04</v>
      </c>
      <c r="G13" s="92" t="s">
        <v>3705</v>
      </c>
      <c r="H13" s="22" t="s">
        <v>3706</v>
      </c>
      <c r="I13" s="22" t="s">
        <v>3691</v>
      </c>
      <c r="J13" s="22" t="s">
        <v>3707</v>
      </c>
      <c r="K13" s="22" t="s">
        <v>3687</v>
      </c>
    </row>
    <row r="14" customFormat="false" ht="15" hidden="false" customHeight="true" outlineLevel="0" collapsed="false">
      <c r="B14" s="1" t="s">
        <v>3708</v>
      </c>
      <c r="C14" s="135" t="n">
        <v>0.0315</v>
      </c>
      <c r="F14" s="135" t="n">
        <v>0.028</v>
      </c>
      <c r="G14" s="92" t="s">
        <v>3709</v>
      </c>
      <c r="H14" s="22" t="s">
        <v>3706</v>
      </c>
      <c r="I14" s="22" t="s">
        <v>3691</v>
      </c>
      <c r="J14" s="22" t="s">
        <v>3710</v>
      </c>
      <c r="K14" s="22" t="s">
        <v>3687</v>
      </c>
    </row>
    <row r="15" customFormat="false" ht="15" hidden="false" customHeight="true" outlineLevel="0" collapsed="false">
      <c r="B15" s="140" t="s">
        <v>2897</v>
      </c>
    </row>
    <row r="16" customFormat="false" ht="15" hidden="false" customHeight="true" outlineLevel="0" collapsed="false">
      <c r="B16" s="1" t="s">
        <v>3711</v>
      </c>
      <c r="C16" s="135" t="n">
        <v>0.03</v>
      </c>
      <c r="G16" s="92" t="s">
        <v>3712</v>
      </c>
      <c r="H16" s="22" t="s">
        <v>3713</v>
      </c>
      <c r="I16" s="22" t="s">
        <v>3691</v>
      </c>
      <c r="J16" s="22" t="s">
        <v>3714</v>
      </c>
      <c r="K16" s="22" t="s">
        <v>3715</v>
      </c>
    </row>
    <row r="17" customFormat="false" ht="15" hidden="false" customHeight="true" outlineLevel="0" collapsed="false">
      <c r="B17" s="1" t="s">
        <v>3716</v>
      </c>
      <c r="C17" s="135" t="n">
        <v>0.02</v>
      </c>
      <c r="G17" s="92" t="s">
        <v>3717</v>
      </c>
      <c r="H17" s="22" t="s">
        <v>3718</v>
      </c>
      <c r="I17" s="22" t="s">
        <v>3691</v>
      </c>
      <c r="J17" s="22" t="s">
        <v>3719</v>
      </c>
      <c r="K17" s="22" t="s">
        <v>3715</v>
      </c>
    </row>
    <row r="18" customFormat="false" ht="15" hidden="false" customHeight="true" outlineLevel="0" collapsed="false">
      <c r="B18" s="1" t="s">
        <v>3720</v>
      </c>
      <c r="C18" s="135" t="n">
        <v>0.01</v>
      </c>
      <c r="G18" s="92" t="s">
        <v>3721</v>
      </c>
      <c r="H18" s="22" t="s">
        <v>3722</v>
      </c>
      <c r="I18" s="22" t="s">
        <v>3691</v>
      </c>
      <c r="J18" s="22"/>
      <c r="K18" s="22" t="s">
        <v>3715</v>
      </c>
    </row>
    <row r="19" customFormat="false" ht="15" hidden="false" customHeight="true" outlineLevel="0" collapsed="false">
      <c r="B19" s="140" t="s">
        <v>3723</v>
      </c>
    </row>
    <row r="20" customFormat="false" ht="15" hidden="false" customHeight="true" outlineLevel="0" collapsed="false">
      <c r="B20" s="1" t="s">
        <v>3724</v>
      </c>
      <c r="C20" s="135" t="n">
        <v>0.5</v>
      </c>
      <c r="G20" s="92" t="s">
        <v>3725</v>
      </c>
      <c r="H20" s="22" t="s">
        <v>3726</v>
      </c>
      <c r="I20" s="22" t="s">
        <v>3691</v>
      </c>
      <c r="J20" s="22" t="s">
        <v>3727</v>
      </c>
      <c r="K20" s="22" t="s">
        <v>3728</v>
      </c>
    </row>
    <row r="21" customFormat="false" ht="15" hidden="false" customHeight="true" outlineLevel="0" collapsed="false">
      <c r="B21" s="1" t="s">
        <v>3729</v>
      </c>
      <c r="C21" s="92" t="n">
        <v>25</v>
      </c>
      <c r="G21" s="92" t="s">
        <v>3730</v>
      </c>
      <c r="H21" s="22" t="s">
        <v>3731</v>
      </c>
      <c r="I21" s="22" t="s">
        <v>3691</v>
      </c>
      <c r="J21" s="22" t="s">
        <v>3732</v>
      </c>
      <c r="K21" s="22" t="s">
        <v>3733</v>
      </c>
    </row>
    <row r="22" customFormat="false" ht="15" hidden="false" customHeight="true" outlineLevel="0" collapsed="false">
      <c r="B22" s="1" t="s">
        <v>3734</v>
      </c>
      <c r="C22" s="135" t="n">
        <v>0.8</v>
      </c>
      <c r="G22" s="92" t="s">
        <v>3735</v>
      </c>
      <c r="H22" s="22" t="s">
        <v>3736</v>
      </c>
      <c r="I22" s="22" t="s">
        <v>3691</v>
      </c>
      <c r="J22" s="22"/>
      <c r="K22" s="22" t="s">
        <v>3728</v>
      </c>
    </row>
    <row r="23" customFormat="false" ht="15" hidden="false" customHeight="true" outlineLevel="0" collapsed="false">
      <c r="B23" s="1" t="s">
        <v>3737</v>
      </c>
      <c r="C23" s="135" t="n">
        <v>0.25</v>
      </c>
      <c r="G23" s="92" t="s">
        <v>3738</v>
      </c>
      <c r="H23" s="22" t="s">
        <v>3739</v>
      </c>
      <c r="I23" s="22" t="s">
        <v>3740</v>
      </c>
      <c r="J23" s="22"/>
      <c r="K23" s="22" t="s">
        <v>3728</v>
      </c>
    </row>
    <row r="24" customFormat="false" ht="15" hidden="false" customHeight="true" outlineLevel="0" collapsed="false">
      <c r="B24" s="140" t="s">
        <v>3741</v>
      </c>
    </row>
    <row r="25" customFormat="false" ht="15" hidden="false" customHeight="true" outlineLevel="0" collapsed="false">
      <c r="B25" s="1" t="s">
        <v>3742</v>
      </c>
      <c r="C25" s="92" t="n">
        <v>6</v>
      </c>
      <c r="G25" s="92" t="s">
        <v>3743</v>
      </c>
      <c r="H25" s="22" t="s">
        <v>3744</v>
      </c>
      <c r="I25" s="22" t="s">
        <v>3691</v>
      </c>
      <c r="J25" s="22" t="s">
        <v>3745</v>
      </c>
      <c r="K25" s="22" t="s">
        <v>3746</v>
      </c>
    </row>
    <row r="26" customFormat="false" ht="15" hidden="false" customHeight="true" outlineLevel="0" collapsed="false">
      <c r="B26" s="1" t="s">
        <v>3747</v>
      </c>
      <c r="C26" s="92" t="n">
        <v>3</v>
      </c>
      <c r="G26" s="92" t="s">
        <v>3748</v>
      </c>
      <c r="H26" s="22" t="s">
        <v>3749</v>
      </c>
      <c r="I26" s="22" t="s">
        <v>3691</v>
      </c>
      <c r="J26" s="22"/>
      <c r="K26" s="22" t="s">
        <v>3746</v>
      </c>
    </row>
    <row r="27" customFormat="false" ht="15" hidden="false" customHeight="true" outlineLevel="0" collapsed="false">
      <c r="B27" s="1" t="s">
        <v>3750</v>
      </c>
      <c r="C27" s="92" t="n">
        <v>5</v>
      </c>
      <c r="G27" s="92" t="s">
        <v>3751</v>
      </c>
      <c r="H27" s="22" t="s">
        <v>3752</v>
      </c>
      <c r="I27" s="22" t="s">
        <v>3691</v>
      </c>
      <c r="J27" s="22" t="s">
        <v>3753</v>
      </c>
      <c r="K27" s="22" t="s">
        <v>3754</v>
      </c>
    </row>
    <row r="28" customFormat="false" ht="15" hidden="false" customHeight="true" outlineLevel="0" collapsed="false">
      <c r="B28" s="1" t="s">
        <v>3755</v>
      </c>
      <c r="C28" s="135" t="n">
        <v>0.4</v>
      </c>
      <c r="G28" s="92" t="s">
        <v>3756</v>
      </c>
      <c r="H28" s="22" t="s">
        <v>3757</v>
      </c>
      <c r="I28" s="22" t="s">
        <v>3691</v>
      </c>
      <c r="J28" s="22"/>
      <c r="K28" s="22" t="s">
        <v>3758</v>
      </c>
    </row>
    <row r="29" customFormat="false" ht="15" hidden="false" customHeight="true" outlineLevel="0" collapsed="false">
      <c r="B29" s="1" t="s">
        <v>3759</v>
      </c>
      <c r="C29" s="135" t="n">
        <v>0.5</v>
      </c>
      <c r="G29" s="92" t="s">
        <v>3760</v>
      </c>
      <c r="H29" s="22" t="s">
        <v>3761</v>
      </c>
      <c r="I29" s="22" t="s">
        <v>3691</v>
      </c>
      <c r="J29" s="22" t="s">
        <v>3762</v>
      </c>
      <c r="K29" s="22" t="s">
        <v>3758</v>
      </c>
    </row>
    <row r="30" customFormat="false" ht="15" hidden="false" customHeight="true" outlineLevel="0" collapsed="false">
      <c r="B30" s="1" t="s">
        <v>3763</v>
      </c>
      <c r="C30" s="134" t="n">
        <v>300</v>
      </c>
      <c r="G30" s="92" t="s">
        <v>3764</v>
      </c>
      <c r="H30" s="22" t="s">
        <v>3761</v>
      </c>
      <c r="I30" s="22" t="s">
        <v>3691</v>
      </c>
      <c r="J30" s="22" t="s">
        <v>3765</v>
      </c>
      <c r="K30" s="22" t="s">
        <v>3766</v>
      </c>
    </row>
    <row r="31" customFormat="false" ht="15" hidden="false" customHeight="true" outlineLevel="0" collapsed="false">
      <c r="B31" s="140" t="s">
        <v>80</v>
      </c>
    </row>
    <row r="32" customFormat="false" ht="15" hidden="false" customHeight="true" outlineLevel="0" collapsed="false">
      <c r="B32" s="1" t="s">
        <v>3767</v>
      </c>
      <c r="C32" s="135" t="n">
        <v>0.6</v>
      </c>
      <c r="G32" s="92" t="s">
        <v>3768</v>
      </c>
      <c r="H32" s="22" t="s">
        <v>3769</v>
      </c>
      <c r="I32" s="22" t="s">
        <v>3691</v>
      </c>
      <c r="J32" s="22"/>
      <c r="K32" s="22" t="s">
        <v>3770</v>
      </c>
    </row>
    <row r="33" customFormat="false" ht="15" hidden="false" customHeight="true" outlineLevel="0" collapsed="false">
      <c r="B33" s="1" t="s">
        <v>3771</v>
      </c>
      <c r="C33" s="92" t="n">
        <v>15</v>
      </c>
      <c r="G33" s="92" t="s">
        <v>3772</v>
      </c>
      <c r="H33" s="22" t="s">
        <v>3769</v>
      </c>
      <c r="I33" s="22" t="s">
        <v>3691</v>
      </c>
      <c r="J33" s="22"/>
      <c r="K33" s="22" t="s">
        <v>3773</v>
      </c>
    </row>
    <row r="34" customFormat="false" ht="15" hidden="false" customHeight="true" outlineLevel="0" collapsed="false">
      <c r="B34" s="140" t="s">
        <v>3774</v>
      </c>
    </row>
    <row r="35" customFormat="false" ht="15" hidden="false" customHeight="true" outlineLevel="0" collapsed="false">
      <c r="B35" s="1" t="s">
        <v>3775</v>
      </c>
      <c r="C35" s="142" t="n">
        <v>0.02</v>
      </c>
      <c r="D35" s="142" t="n">
        <v>0.04</v>
      </c>
      <c r="E35" s="142" t="n">
        <v>0.06</v>
      </c>
      <c r="G35" s="92" t="s">
        <v>3776</v>
      </c>
      <c r="H35" s="22" t="s">
        <v>3777</v>
      </c>
      <c r="I35" s="22" t="s">
        <v>3691</v>
      </c>
      <c r="J35" s="22" t="s">
        <v>3778</v>
      </c>
      <c r="K35" s="22" t="s">
        <v>3779</v>
      </c>
    </row>
    <row r="36" customFormat="false" ht="15" hidden="false" customHeight="true" outlineLevel="0" collapsed="false">
      <c r="B36" s="1" t="s">
        <v>3780</v>
      </c>
      <c r="C36" s="142" t="n">
        <v>0.05</v>
      </c>
      <c r="D36" s="142" t="n">
        <v>0.1</v>
      </c>
      <c r="E36" s="142" t="n">
        <v>0.16</v>
      </c>
      <c r="G36" s="92" t="s">
        <v>3776</v>
      </c>
      <c r="H36" s="22" t="s">
        <v>3777</v>
      </c>
      <c r="I36" s="22" t="s">
        <v>3691</v>
      </c>
      <c r="J36" s="22" t="s">
        <v>3781</v>
      </c>
      <c r="K36" s="22" t="s">
        <v>3779</v>
      </c>
    </row>
    <row r="37" customFormat="false" ht="15" hidden="false" customHeight="true" outlineLevel="0" collapsed="false">
      <c r="B37" s="1" t="s">
        <v>3782</v>
      </c>
      <c r="C37" s="142" t="n">
        <v>0.5</v>
      </c>
      <c r="D37" s="142" t="n">
        <v>0.3</v>
      </c>
      <c r="E37" s="142" t="n">
        <v>0.2</v>
      </c>
      <c r="G37" s="92" t="s">
        <v>3783</v>
      </c>
      <c r="H37" s="22" t="s">
        <v>3784</v>
      </c>
      <c r="I37" s="22" t="s">
        <v>3691</v>
      </c>
      <c r="J37" s="22"/>
      <c r="K37" s="22" t="s">
        <v>3779</v>
      </c>
    </row>
    <row r="38" customFormat="false" ht="15" hidden="false" customHeight="true" outlineLevel="0" collapsed="false">
      <c r="B38" s="140" t="s">
        <v>3785</v>
      </c>
    </row>
    <row r="39" customFormat="false" ht="15" hidden="false" customHeight="true" outlineLevel="0" collapsed="false">
      <c r="B39" s="1" t="s">
        <v>3786</v>
      </c>
      <c r="C39" s="92" t="s">
        <v>3787</v>
      </c>
      <c r="G39" s="92" t="s">
        <v>3788</v>
      </c>
      <c r="H39" s="22" t="s">
        <v>3789</v>
      </c>
      <c r="I39" s="22" t="s">
        <v>3691</v>
      </c>
      <c r="J39" s="22" t="s">
        <v>3790</v>
      </c>
      <c r="K39" s="22" t="s">
        <v>3791</v>
      </c>
    </row>
    <row r="40" customFormat="false" ht="15" hidden="false" customHeight="true" outlineLevel="0" collapsed="false">
      <c r="B40" s="1" t="s">
        <v>3792</v>
      </c>
      <c r="C40" s="92" t="s">
        <v>3787</v>
      </c>
      <c r="G40" s="92" t="s">
        <v>3793</v>
      </c>
      <c r="H40" s="22" t="s">
        <v>3794</v>
      </c>
      <c r="I40" s="22" t="s">
        <v>3691</v>
      </c>
      <c r="J40" s="22" t="s">
        <v>3795</v>
      </c>
      <c r="K40" s="22" t="s">
        <v>3791</v>
      </c>
    </row>
    <row r="41" customFormat="false" ht="15" hidden="false" customHeight="true" outlineLevel="0" collapsed="false">
      <c r="B41" s="1" t="s">
        <v>3796</v>
      </c>
      <c r="C41" s="92" t="s">
        <v>3797</v>
      </c>
      <c r="G41" s="92" t="s">
        <v>3798</v>
      </c>
      <c r="H41" s="22" t="s">
        <v>3799</v>
      </c>
      <c r="I41" s="22" t="s">
        <v>3691</v>
      </c>
      <c r="J41" s="22"/>
      <c r="K41" s="22" t="s">
        <v>3791</v>
      </c>
    </row>
    <row r="42" customFormat="false" ht="15" hidden="false" customHeight="true" outlineLevel="0" collapsed="false">
      <c r="B42" s="1" t="s">
        <v>3800</v>
      </c>
      <c r="C42" s="92" t="s">
        <v>1852</v>
      </c>
      <c r="G42" s="92" t="s">
        <v>3801</v>
      </c>
      <c r="H42" s="22" t="s">
        <v>3802</v>
      </c>
      <c r="I42" s="22" t="s">
        <v>3691</v>
      </c>
      <c r="J42" s="22"/>
      <c r="K42" s="22" t="s">
        <v>3791</v>
      </c>
    </row>
    <row r="43" customFormat="false" ht="15" hidden="false" customHeight="true" outlineLevel="0" collapsed="false">
      <c r="B43" s="1" t="s">
        <v>3803</v>
      </c>
      <c r="C43" s="92" t="n">
        <v>5</v>
      </c>
      <c r="G43" s="92" t="s">
        <v>3804</v>
      </c>
      <c r="H43" s="22" t="s">
        <v>3805</v>
      </c>
      <c r="I43" s="22" t="s">
        <v>3691</v>
      </c>
      <c r="J43" s="22"/>
      <c r="K43" s="22" t="s">
        <v>3806</v>
      </c>
    </row>
    <row r="44" customFormat="false" ht="15" hidden="false" customHeight="true" outlineLevel="0" collapsed="false">
      <c r="B44" s="1" t="s">
        <v>3807</v>
      </c>
      <c r="C44" s="92" t="n">
        <v>2</v>
      </c>
      <c r="G44" s="92" t="s">
        <v>3808</v>
      </c>
      <c r="H44" s="22" t="s">
        <v>3809</v>
      </c>
      <c r="I44" s="22" t="s">
        <v>3691</v>
      </c>
      <c r="J44" s="22"/>
      <c r="K44" s="22" t="s">
        <v>3810</v>
      </c>
    </row>
    <row r="45" customFormat="false" ht="15" hidden="false" customHeight="true" outlineLevel="0" collapsed="false">
      <c r="B45" s="140" t="s">
        <v>3811</v>
      </c>
    </row>
    <row r="46" customFormat="false" ht="15" hidden="false" customHeight="true" outlineLevel="0" collapsed="false">
      <c r="B46" s="1" t="s">
        <v>3812</v>
      </c>
      <c r="C46" s="135" t="n">
        <v>0.0348</v>
      </c>
      <c r="D46" s="135"/>
      <c r="G46" s="92" t="s">
        <v>3813</v>
      </c>
      <c r="H46" s="22" t="s">
        <v>3814</v>
      </c>
      <c r="I46" s="22" t="s">
        <v>3815</v>
      </c>
      <c r="J46" s="22" t="s">
        <v>3816</v>
      </c>
      <c r="K46" s="22" t="s">
        <v>3817</v>
      </c>
      <c r="L46" s="22" t="str">
        <f aca="false">IF(D46&lt;&gt;"","Suggested by "&amp;IF(Partner_Name="","your provider",Partner_Name),G46)</f>
        <v>Central Bank of Ireland: average rate on new mortgages, Jul 2026</v>
      </c>
      <c r="M46" s="94" t="n">
        <f aca="false">IF(D46&lt;&gt;"",D46,IF(C46&lt;&gt;"",C46,""))</f>
        <v>0.0348</v>
      </c>
    </row>
    <row r="47" customFormat="false" ht="15" hidden="false" customHeight="true" outlineLevel="0" collapsed="false">
      <c r="B47" s="1" t="s">
        <v>3818</v>
      </c>
      <c r="C47" s="135" t="n">
        <v>0.0672</v>
      </c>
      <c r="D47" s="135"/>
      <c r="G47" s="92" t="s">
        <v>3819</v>
      </c>
      <c r="H47" s="22" t="s">
        <v>3814</v>
      </c>
      <c r="I47" s="22" t="s">
        <v>3815</v>
      </c>
      <c r="J47" s="22" t="s">
        <v>3820</v>
      </c>
      <c r="K47" s="22" t="s">
        <v>3817</v>
      </c>
      <c r="L47" s="22" t="str">
        <f aca="false">IF(D47&lt;&gt;"","Suggested by "&amp;IF(Partner_Name="","your provider",Partner_Name),G47)</f>
        <v>Central Bank of Ireland: average rate on new consumer loans, Jul 2026</v>
      </c>
      <c r="M47" s="94" t="n">
        <f aca="false">IF(D47&lt;&gt;"",D47,IF(C47&lt;&gt;"",C47,""))</f>
        <v>0.0672</v>
      </c>
    </row>
    <row r="48" customFormat="false" ht="15" hidden="false" customHeight="true" outlineLevel="0" collapsed="false">
      <c r="B48" s="1" t="s">
        <v>3821</v>
      </c>
      <c r="C48" s="135"/>
      <c r="D48" s="135"/>
      <c r="G48" s="92" t="s">
        <v>3822</v>
      </c>
      <c r="H48" s="22" t="s">
        <v>3814</v>
      </c>
      <c r="I48" s="22" t="s">
        <v>3823</v>
      </c>
      <c r="J48" s="22" t="s">
        <v>3824</v>
      </c>
      <c r="K48" s="22" t="s">
        <v>3817</v>
      </c>
      <c r="L48" s="22" t="str">
        <f aca="false">IF(D48&lt;&gt;"","Suggested by "&amp;IF(Partner_Name="","your provider",Partner_Name),G48)</f>
        <v>No published average</v>
      </c>
      <c r="M48" s="94" t="str">
        <f aca="false">IF(D48&lt;&gt;"",D48,IF(C48&lt;&gt;"",C48,""))</f>
        <v/>
      </c>
    </row>
    <row r="49" customFormat="false" ht="15" hidden="false" customHeight="true" outlineLevel="0" collapsed="false">
      <c r="B49" s="1" t="s">
        <v>3825</v>
      </c>
      <c r="C49" s="135" t="n">
        <v>0.0192</v>
      </c>
      <c r="D49" s="135"/>
      <c r="G49" s="92" t="s">
        <v>3826</v>
      </c>
      <c r="H49" s="22" t="s">
        <v>3814</v>
      </c>
      <c r="I49" s="22" t="s">
        <v>3815</v>
      </c>
      <c r="J49" s="22" t="s">
        <v>3827</v>
      </c>
      <c r="K49" s="22" t="s">
        <v>3817</v>
      </c>
      <c r="L49" s="22" t="str">
        <f aca="false">IF(D49&lt;&gt;"","Suggested by "&amp;IF(Partner_Name="","your provider",Partner_Name),G49)</f>
        <v>Central Bank of Ireland: average rate on new fixed-term household deposits, Jul 2026</v>
      </c>
      <c r="M49" s="94" t="n">
        <f aca="false">IF(D49&lt;&gt;"",D49,IF(C49&lt;&gt;"",C49,""))</f>
        <v>0.0192</v>
      </c>
    </row>
    <row r="50" customFormat="false" ht="15" hidden="false" customHeight="true" outlineLevel="0" collapsed="false">
      <c r="B50" s="1" t="s">
        <v>3828</v>
      </c>
      <c r="C50" s="134"/>
      <c r="D50" s="134"/>
      <c r="G50" s="92" t="s">
        <v>3829</v>
      </c>
      <c r="H50" s="22" t="s">
        <v>3829</v>
      </c>
      <c r="I50" s="22" t="s">
        <v>3823</v>
      </c>
      <c r="J50" s="22"/>
      <c r="K50" s="22" t="s">
        <v>3830</v>
      </c>
      <c r="L50" s="22" t="str">
        <f aca="false">IF(D50&lt;&gt;"","Suggested by "&amp;IF(Partner_Name="","your provider",Partner_Name),G50)</f>
        <v>No published figure</v>
      </c>
      <c r="M50" s="95" t="str">
        <f aca="false">IF(D50&lt;&gt;"",D50,IF(C50&lt;&gt;"",C50,""))</f>
        <v/>
      </c>
    </row>
    <row r="51" customFormat="false" ht="15" hidden="false" customHeight="true" outlineLevel="0" collapsed="false">
      <c r="B51" s="1" t="s">
        <v>3831</v>
      </c>
      <c r="C51" s="135" t="n">
        <v>0.01</v>
      </c>
      <c r="D51" s="135"/>
      <c r="G51" s="92" t="s">
        <v>3832</v>
      </c>
      <c r="H51" s="22" t="s">
        <v>3833</v>
      </c>
      <c r="I51" s="22" t="s">
        <v>3691</v>
      </c>
      <c r="J51" s="22" t="s">
        <v>3834</v>
      </c>
      <c r="K51" s="22" t="s">
        <v>3817</v>
      </c>
      <c r="L51" s="22" t="str">
        <f aca="false">IF(D51&lt;&gt;"","Suggested by "&amp;IF(Partner_Name="","your provider",Partner_Name),G51)</f>
        <v>Pensions Authority pension calculator assumption</v>
      </c>
      <c r="M51" s="94" t="n">
        <f aca="false">IF(D51&lt;&gt;"",D51,IF(C51&lt;&gt;"",C51,""))</f>
        <v>0.01</v>
      </c>
    </row>
    <row r="52" customFormat="false" ht="15" hidden="false" customHeight="true" outlineLevel="0" collapsed="false">
      <c r="B52" s="140" t="s">
        <v>3835</v>
      </c>
    </row>
    <row r="53" customFormat="false" ht="15" hidden="false" customHeight="true" outlineLevel="0" collapsed="false">
      <c r="B53" s="1" t="s">
        <v>3836</v>
      </c>
      <c r="C53" s="92" t="n">
        <v>83</v>
      </c>
      <c r="G53" s="92" t="s">
        <v>3837</v>
      </c>
      <c r="H53" s="22" t="s">
        <v>3838</v>
      </c>
      <c r="I53" s="22" t="s">
        <v>3839</v>
      </c>
      <c r="J53" s="22"/>
      <c r="K53" s="22" t="s">
        <v>3840</v>
      </c>
    </row>
    <row r="54" customFormat="false" ht="15" hidden="false" customHeight="true" outlineLevel="0" collapsed="false">
      <c r="B54" s="1" t="s">
        <v>3841</v>
      </c>
      <c r="C54" s="92" t="n">
        <v>86</v>
      </c>
      <c r="G54" s="92" t="s">
        <v>3837</v>
      </c>
      <c r="H54" s="22" t="s">
        <v>3838</v>
      </c>
      <c r="I54" s="22" t="s">
        <v>3842</v>
      </c>
      <c r="J54" s="22"/>
      <c r="K54" s="22" t="s">
        <v>3840</v>
      </c>
    </row>
    <row r="55" customFormat="false" ht="15" hidden="false" customHeight="true" outlineLevel="0" collapsed="false">
      <c r="B55" s="140" t="s">
        <v>3843</v>
      </c>
    </row>
    <row r="56" customFormat="false" ht="15" hidden="false" customHeight="true" outlineLevel="0" collapsed="false">
      <c r="B56" s="1" t="s">
        <v>3844</v>
      </c>
      <c r="C56" s="109" t="n">
        <v>0.039</v>
      </c>
      <c r="G56" s="1" t="s">
        <v>3845</v>
      </c>
    </row>
    <row r="57" customFormat="false" ht="15" hidden="false" customHeight="true" outlineLevel="0" collapsed="false">
      <c r="B57" s="1" t="s">
        <v>3846</v>
      </c>
      <c r="C57" s="143" t="n">
        <v>0.23</v>
      </c>
      <c r="G57" s="1" t="s">
        <v>3847</v>
      </c>
      <c r="H57" s="1" t="s">
        <v>3848</v>
      </c>
      <c r="I57" s="1" t="s">
        <v>3849</v>
      </c>
    </row>
  </sheetData>
  <mergeCells count="1">
    <mergeCell ref="B2:K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6"/>
    <col collapsed="false" customWidth="true" hidden="false" outlineLevel="0" max="3" min="3" style="1" width="14"/>
    <col collapsed="false" customWidth="true" hidden="false" outlineLevel="0" max="4" min="4" style="1" width="26"/>
    <col collapsed="false" customWidth="true" hidden="false" outlineLevel="0" max="5" min="5" style="1" width="64"/>
    <col collapsed="false" customWidth="true" hidden="false" outlineLevel="0" max="6" min="6" style="1" width="16"/>
    <col collapsed="false" customWidth="true" hidden="false" outlineLevel="0" max="7" min="7" style="1" width="26"/>
    <col collapsed="false" customWidth="true" hidden="false" outlineLevel="0" max="8" min="8" style="1" width="8"/>
  </cols>
  <sheetData>
    <row r="1" customFormat="false" ht="19.5" hidden="false" customHeight="true" outlineLevel="0" collapsed="false">
      <c r="B1" s="23" t="s">
        <v>3850</v>
      </c>
    </row>
    <row r="2" customFormat="false" ht="15" hidden="false" customHeight="true" outlineLevel="0" collapsed="false">
      <c r="B2" s="144" t="s">
        <v>3851</v>
      </c>
    </row>
    <row r="3" customFormat="false" ht="39.75" hidden="false" customHeight="true" outlineLevel="0" collapsed="false">
      <c r="B3" s="145" t="s">
        <v>3852</v>
      </c>
      <c r="C3" s="145"/>
      <c r="D3" s="145"/>
      <c r="E3" s="145"/>
      <c r="F3" s="145"/>
      <c r="G3" s="145"/>
    </row>
    <row r="4" customFormat="false" ht="15" hidden="false" customHeight="false" outlineLevel="0" collapsed="false">
      <c r="B4" s="22" t="s">
        <v>3853</v>
      </c>
    </row>
    <row r="5" customFormat="false" ht="15" hidden="false" customHeight="true" outlineLevel="0" collapsed="false">
      <c r="B5" s="15" t="s">
        <v>3854</v>
      </c>
      <c r="C5" s="16"/>
      <c r="D5" s="16"/>
      <c r="E5" s="16"/>
      <c r="F5" s="16"/>
      <c r="G5" s="16"/>
      <c r="H5" s="16"/>
    </row>
    <row r="6" customFormat="false" ht="15" hidden="false" customHeight="true" outlineLevel="0" collapsed="false">
      <c r="B6" s="18" t="s">
        <v>3855</v>
      </c>
      <c r="C6" s="18" t="s">
        <v>1490</v>
      </c>
      <c r="D6" s="18" t="s">
        <v>3856</v>
      </c>
      <c r="E6" s="18" t="s">
        <v>3857</v>
      </c>
      <c r="F6" s="18" t="s">
        <v>3858</v>
      </c>
      <c r="G6" s="18" t="s">
        <v>3859</v>
      </c>
      <c r="H6" s="18" t="s">
        <v>3860</v>
      </c>
    </row>
    <row r="7" customFormat="false" ht="39.75" hidden="false" customHeight="true" outlineLevel="0" collapsed="false">
      <c r="B7" s="17" t="s">
        <v>3861</v>
      </c>
      <c r="C7" s="17"/>
      <c r="D7" s="17"/>
      <c r="E7" s="146" t="s">
        <v>3862</v>
      </c>
    </row>
    <row r="8" customFormat="false" ht="15" hidden="false" customHeight="true" outlineLevel="0" collapsed="false">
      <c r="B8" s="15" t="s">
        <v>3863</v>
      </c>
      <c r="C8" s="16"/>
      <c r="D8" s="16"/>
      <c r="E8" s="16"/>
      <c r="F8" s="16"/>
      <c r="G8" s="16"/>
      <c r="H8" s="16"/>
    </row>
    <row r="9" customFormat="false" ht="15" hidden="false" customHeight="true" outlineLevel="0" collapsed="false">
      <c r="B9" s="18" t="s">
        <v>3855</v>
      </c>
      <c r="C9" s="18" t="s">
        <v>1490</v>
      </c>
      <c r="D9" s="18" t="s">
        <v>3856</v>
      </c>
      <c r="E9" s="18" t="s">
        <v>3857</v>
      </c>
      <c r="F9" s="18" t="s">
        <v>3858</v>
      </c>
      <c r="G9" s="18" t="s">
        <v>3859</v>
      </c>
      <c r="H9" s="18" t="s">
        <v>3860</v>
      </c>
    </row>
    <row r="10" customFormat="false" ht="24" hidden="false" customHeight="true" outlineLevel="0" collapsed="false">
      <c r="B10" s="9" t="s">
        <v>3864</v>
      </c>
      <c r="C10" s="147" t="n">
        <v>44000</v>
      </c>
      <c r="D10" s="19" t="s">
        <v>3865</v>
      </c>
      <c r="E10" s="146" t="s">
        <v>3866</v>
      </c>
      <c r="F10" s="19" t="s">
        <v>3867</v>
      </c>
      <c r="G10" s="148" t="s">
        <v>3868</v>
      </c>
      <c r="H10" s="146" t="s">
        <v>3869</v>
      </c>
    </row>
    <row r="11" customFormat="false" ht="24" hidden="false" customHeight="true" outlineLevel="0" collapsed="false">
      <c r="B11" s="9" t="s">
        <v>3870</v>
      </c>
      <c r="C11" s="147" t="n">
        <v>48000</v>
      </c>
      <c r="D11" s="19" t="s">
        <v>3871</v>
      </c>
      <c r="E11" s="146" t="s">
        <v>3872</v>
      </c>
      <c r="F11" s="19" t="s">
        <v>3867</v>
      </c>
      <c r="G11" s="148" t="s">
        <v>3873</v>
      </c>
      <c r="H11" s="146" t="s">
        <v>3874</v>
      </c>
    </row>
    <row r="12" customFormat="false" ht="24" hidden="false" customHeight="true" outlineLevel="0" collapsed="false">
      <c r="B12" s="9" t="s">
        <v>3875</v>
      </c>
      <c r="C12" s="147" t="n">
        <v>53000</v>
      </c>
      <c r="D12" s="19" t="s">
        <v>3871</v>
      </c>
      <c r="E12" s="146" t="s">
        <v>3866</v>
      </c>
      <c r="F12" s="19" t="s">
        <v>3867</v>
      </c>
      <c r="G12" s="148" t="s">
        <v>3868</v>
      </c>
      <c r="H12" s="146" t="s">
        <v>3876</v>
      </c>
    </row>
    <row r="13" customFormat="false" ht="24" hidden="false" customHeight="true" outlineLevel="0" collapsed="false">
      <c r="B13" s="9" t="s">
        <v>3877</v>
      </c>
      <c r="C13" s="147" t="n">
        <v>35000</v>
      </c>
      <c r="D13" s="19" t="s">
        <v>3871</v>
      </c>
      <c r="E13" s="146" t="s">
        <v>3866</v>
      </c>
      <c r="F13" s="19" t="s">
        <v>3867</v>
      </c>
      <c r="G13" s="148" t="s">
        <v>3868</v>
      </c>
      <c r="H13" s="146" t="s">
        <v>3878</v>
      </c>
    </row>
    <row r="14" customFormat="false" ht="24" hidden="false" customHeight="true" outlineLevel="0" collapsed="false">
      <c r="B14" s="9" t="s">
        <v>3879</v>
      </c>
      <c r="C14" s="149" t="n">
        <v>0.2</v>
      </c>
      <c r="D14" s="19" t="s">
        <v>3871</v>
      </c>
      <c r="E14" s="146" t="s">
        <v>3866</v>
      </c>
      <c r="F14" s="19" t="s">
        <v>3691</v>
      </c>
      <c r="G14" s="148" t="s">
        <v>3868</v>
      </c>
      <c r="H14" s="146" t="s">
        <v>3880</v>
      </c>
    </row>
    <row r="15" customFormat="false" ht="24" hidden="false" customHeight="true" outlineLevel="0" collapsed="false">
      <c r="B15" s="9" t="s">
        <v>3881</v>
      </c>
      <c r="C15" s="149" t="n">
        <v>0.4</v>
      </c>
      <c r="D15" s="19" t="s">
        <v>3882</v>
      </c>
      <c r="E15" s="146" t="s">
        <v>3866</v>
      </c>
      <c r="F15" s="19" t="s">
        <v>3691</v>
      </c>
      <c r="G15" s="148" t="s">
        <v>3868</v>
      </c>
      <c r="H15" s="146" t="s">
        <v>3880</v>
      </c>
    </row>
    <row r="16" customFormat="false" ht="24" hidden="false" customHeight="true" outlineLevel="0" collapsed="false">
      <c r="B16" s="9" t="s">
        <v>3883</v>
      </c>
      <c r="C16" s="147" t="n">
        <v>2000</v>
      </c>
      <c r="D16" s="19" t="s">
        <v>3871</v>
      </c>
      <c r="E16" s="146" t="s">
        <v>3866</v>
      </c>
      <c r="F16" s="19" t="s">
        <v>3691</v>
      </c>
      <c r="G16" s="148" t="s">
        <v>3868</v>
      </c>
      <c r="H16" s="146" t="s">
        <v>3884</v>
      </c>
    </row>
    <row r="17" customFormat="false" ht="24" hidden="false" customHeight="true" outlineLevel="0" collapsed="false">
      <c r="B17" s="9" t="s">
        <v>3885</v>
      </c>
      <c r="C17" s="147" t="n">
        <v>4000</v>
      </c>
      <c r="D17" s="19" t="s">
        <v>3871</v>
      </c>
      <c r="E17" s="146" t="s">
        <v>3866</v>
      </c>
      <c r="F17" s="19" t="s">
        <v>3691</v>
      </c>
      <c r="G17" s="148" t="s">
        <v>3868</v>
      </c>
      <c r="H17" s="146" t="s">
        <v>3884</v>
      </c>
    </row>
    <row r="18" customFormat="false" ht="24" hidden="false" customHeight="true" outlineLevel="0" collapsed="false">
      <c r="B18" s="9" t="s">
        <v>3886</v>
      </c>
      <c r="C18" s="147" t="n">
        <v>2000</v>
      </c>
      <c r="D18" s="19" t="s">
        <v>3871</v>
      </c>
      <c r="E18" s="146" t="s">
        <v>3887</v>
      </c>
      <c r="F18" s="19" t="s">
        <v>3691</v>
      </c>
      <c r="G18" s="148" t="s">
        <v>3868</v>
      </c>
      <c r="H18" s="146" t="s">
        <v>3888</v>
      </c>
    </row>
    <row r="19" customFormat="false" ht="24" hidden="false" customHeight="true" outlineLevel="0" collapsed="false">
      <c r="B19" s="9" t="s">
        <v>3889</v>
      </c>
      <c r="C19" s="149" t="n">
        <v>0.2</v>
      </c>
      <c r="D19" s="19" t="s">
        <v>3871</v>
      </c>
      <c r="E19" s="146" t="s">
        <v>3890</v>
      </c>
      <c r="F19" s="19" t="s">
        <v>3691</v>
      </c>
      <c r="G19" s="148" t="s">
        <v>3868</v>
      </c>
      <c r="H19" s="146" t="s">
        <v>3888</v>
      </c>
    </row>
    <row r="20" customFormat="false" ht="24" hidden="false" customHeight="true" outlineLevel="0" collapsed="false">
      <c r="B20" s="9" t="s">
        <v>3891</v>
      </c>
      <c r="C20" s="147" t="n">
        <v>1900</v>
      </c>
      <c r="D20" s="19" t="s">
        <v>3871</v>
      </c>
      <c r="E20" s="146" t="s">
        <v>3872</v>
      </c>
      <c r="F20" s="19" t="s">
        <v>3867</v>
      </c>
      <c r="G20" s="148" t="s">
        <v>3873</v>
      </c>
      <c r="H20" s="146" t="s">
        <v>3874</v>
      </c>
    </row>
    <row r="21" customFormat="false" ht="24" hidden="false" customHeight="true" outlineLevel="0" collapsed="false">
      <c r="B21" s="9" t="s">
        <v>3892</v>
      </c>
      <c r="C21" s="147" t="n">
        <v>1000</v>
      </c>
      <c r="D21" s="19" t="s">
        <v>3871</v>
      </c>
      <c r="E21" s="146" t="s">
        <v>3872</v>
      </c>
      <c r="F21" s="19" t="s">
        <v>3893</v>
      </c>
      <c r="G21" s="148" t="s">
        <v>3873</v>
      </c>
      <c r="H21" s="146" t="s">
        <v>3894</v>
      </c>
    </row>
    <row r="22" customFormat="false" ht="24" hidden="false" customHeight="true" outlineLevel="0" collapsed="false">
      <c r="B22" s="9" t="s">
        <v>3895</v>
      </c>
      <c r="C22" s="147" t="n">
        <v>2000</v>
      </c>
      <c r="D22" s="19" t="s">
        <v>3871</v>
      </c>
      <c r="E22" s="146" t="s">
        <v>3872</v>
      </c>
      <c r="F22" s="19" t="s">
        <v>3893</v>
      </c>
      <c r="G22" s="148" t="s">
        <v>3873</v>
      </c>
      <c r="H22" s="146" t="s">
        <v>3894</v>
      </c>
    </row>
    <row r="23" customFormat="false" ht="24" hidden="false" customHeight="true" outlineLevel="0" collapsed="false">
      <c r="B23" s="9" t="s">
        <v>3896</v>
      </c>
      <c r="C23" s="147" t="n">
        <v>1950</v>
      </c>
      <c r="D23" s="19" t="s">
        <v>3871</v>
      </c>
      <c r="E23" s="146" t="s">
        <v>3872</v>
      </c>
      <c r="F23" s="19" t="s">
        <v>3691</v>
      </c>
      <c r="G23" s="148" t="s">
        <v>3897</v>
      </c>
      <c r="H23" s="146" t="s">
        <v>3898</v>
      </c>
    </row>
    <row r="24" customFormat="false" ht="15" hidden="false" customHeight="true" outlineLevel="0" collapsed="false">
      <c r="B24" s="15" t="s">
        <v>3899</v>
      </c>
      <c r="C24" s="16"/>
      <c r="D24" s="16"/>
      <c r="E24" s="16"/>
      <c r="F24" s="16"/>
      <c r="G24" s="16"/>
      <c r="H24" s="16"/>
    </row>
    <row r="25" customFormat="false" ht="15" hidden="false" customHeight="true" outlineLevel="0" collapsed="false">
      <c r="B25" s="18" t="s">
        <v>3855</v>
      </c>
      <c r="C25" s="18" t="s">
        <v>1490</v>
      </c>
      <c r="D25" s="18" t="s">
        <v>3856</v>
      </c>
      <c r="E25" s="18" t="s">
        <v>3857</v>
      </c>
      <c r="F25" s="18" t="s">
        <v>3858</v>
      </c>
      <c r="G25" s="18" t="s">
        <v>3859</v>
      </c>
      <c r="H25" s="18" t="s">
        <v>3860</v>
      </c>
    </row>
    <row r="26" customFormat="false" ht="24" hidden="false" customHeight="true" outlineLevel="0" collapsed="false">
      <c r="B26" s="9" t="s">
        <v>3900</v>
      </c>
      <c r="C26" s="147" t="n">
        <v>13000</v>
      </c>
      <c r="D26" s="19" t="s">
        <v>3871</v>
      </c>
      <c r="E26" s="146" t="s">
        <v>3866</v>
      </c>
      <c r="F26" s="19" t="s">
        <v>3691</v>
      </c>
      <c r="G26" s="148" t="s">
        <v>3868</v>
      </c>
      <c r="H26" s="146" t="s">
        <v>3901</v>
      </c>
    </row>
    <row r="27" customFormat="false" ht="24" hidden="false" customHeight="true" outlineLevel="0" collapsed="false">
      <c r="B27" s="9" t="s">
        <v>3902</v>
      </c>
      <c r="C27" s="147" t="n">
        <v>12012</v>
      </c>
      <c r="D27" s="19" t="s">
        <v>3871</v>
      </c>
      <c r="E27" s="146" t="s">
        <v>3866</v>
      </c>
      <c r="F27" s="19" t="s">
        <v>3867</v>
      </c>
      <c r="G27" s="148" t="s">
        <v>3868</v>
      </c>
      <c r="H27" s="146" t="s">
        <v>3903</v>
      </c>
    </row>
    <row r="28" customFormat="false" ht="24" hidden="false" customHeight="true" outlineLevel="0" collapsed="false">
      <c r="B28" s="9" t="s">
        <v>3904</v>
      </c>
      <c r="C28" s="147" t="n">
        <v>28700</v>
      </c>
      <c r="D28" s="19" t="s">
        <v>3871</v>
      </c>
      <c r="E28" s="146" t="s">
        <v>3866</v>
      </c>
      <c r="F28" s="19" t="s">
        <v>3867</v>
      </c>
      <c r="G28" s="148" t="s">
        <v>3868</v>
      </c>
      <c r="H28" s="146" t="s">
        <v>3903</v>
      </c>
    </row>
    <row r="29" customFormat="false" ht="24" hidden="false" customHeight="true" outlineLevel="0" collapsed="false">
      <c r="B29" s="9" t="s">
        <v>3905</v>
      </c>
      <c r="C29" s="147" t="n">
        <v>70044</v>
      </c>
      <c r="D29" s="19" t="s">
        <v>3871</v>
      </c>
      <c r="E29" s="146" t="s">
        <v>3866</v>
      </c>
      <c r="F29" s="19" t="s">
        <v>3867</v>
      </c>
      <c r="G29" s="148" t="s">
        <v>3868</v>
      </c>
      <c r="H29" s="146" t="s">
        <v>3903</v>
      </c>
    </row>
    <row r="30" customFormat="false" ht="24" hidden="false" customHeight="true" outlineLevel="0" collapsed="false">
      <c r="B30" s="9" t="s">
        <v>3906</v>
      </c>
      <c r="C30" s="150" t="n">
        <v>0.005</v>
      </c>
      <c r="D30" s="19" t="s">
        <v>3871</v>
      </c>
      <c r="E30" s="146" t="s">
        <v>3866</v>
      </c>
      <c r="F30" s="19" t="s">
        <v>3691</v>
      </c>
      <c r="G30" s="148" t="s">
        <v>3868</v>
      </c>
      <c r="H30" s="146" t="s">
        <v>3903</v>
      </c>
    </row>
    <row r="31" customFormat="false" ht="24" hidden="false" customHeight="true" outlineLevel="0" collapsed="false">
      <c r="B31" s="9" t="s">
        <v>3907</v>
      </c>
      <c r="C31" s="150" t="n">
        <v>0.02</v>
      </c>
      <c r="D31" s="19" t="s">
        <v>3871</v>
      </c>
      <c r="E31" s="146" t="s">
        <v>3866</v>
      </c>
      <c r="F31" s="19" t="s">
        <v>3691</v>
      </c>
      <c r="G31" s="148" t="s">
        <v>3868</v>
      </c>
      <c r="H31" s="146" t="s">
        <v>3903</v>
      </c>
    </row>
    <row r="32" customFormat="false" ht="24" hidden="false" customHeight="true" outlineLevel="0" collapsed="false">
      <c r="B32" s="9" t="s">
        <v>3908</v>
      </c>
      <c r="C32" s="150" t="n">
        <v>0.03</v>
      </c>
      <c r="D32" s="19" t="s">
        <v>3871</v>
      </c>
      <c r="E32" s="146" t="s">
        <v>3866</v>
      </c>
      <c r="F32" s="19" t="s">
        <v>3691</v>
      </c>
      <c r="G32" s="148" t="s">
        <v>3868</v>
      </c>
      <c r="H32" s="146" t="s">
        <v>3903</v>
      </c>
    </row>
    <row r="33" customFormat="false" ht="24" hidden="false" customHeight="true" outlineLevel="0" collapsed="false">
      <c r="B33" s="9" t="s">
        <v>3909</v>
      </c>
      <c r="C33" s="150" t="n">
        <v>0.08</v>
      </c>
      <c r="D33" s="19" t="s">
        <v>3871</v>
      </c>
      <c r="E33" s="146" t="s">
        <v>3866</v>
      </c>
      <c r="F33" s="19" t="s">
        <v>3691</v>
      </c>
      <c r="G33" s="148" t="s">
        <v>3868</v>
      </c>
      <c r="H33" s="146" t="s">
        <v>3903</v>
      </c>
    </row>
    <row r="34" customFormat="false" ht="39.75" hidden="false" customHeight="true" outlineLevel="0" collapsed="false">
      <c r="B34" s="17" t="s">
        <v>3910</v>
      </c>
      <c r="C34" s="17"/>
      <c r="D34" s="17"/>
      <c r="E34" s="146" t="s">
        <v>3866</v>
      </c>
    </row>
    <row r="35" customFormat="false" ht="15" hidden="false" customHeight="true" outlineLevel="0" collapsed="false">
      <c r="B35" s="15" t="s">
        <v>3911</v>
      </c>
      <c r="C35" s="16"/>
      <c r="D35" s="16"/>
      <c r="E35" s="16"/>
      <c r="F35" s="16"/>
      <c r="G35" s="16"/>
      <c r="H35" s="16"/>
    </row>
    <row r="36" customFormat="false" ht="15" hidden="false" customHeight="true" outlineLevel="0" collapsed="false">
      <c r="B36" s="18" t="s">
        <v>3855</v>
      </c>
      <c r="C36" s="18" t="s">
        <v>1490</v>
      </c>
      <c r="D36" s="18" t="s">
        <v>3856</v>
      </c>
      <c r="E36" s="18" t="s">
        <v>3857</v>
      </c>
      <c r="F36" s="18" t="s">
        <v>3858</v>
      </c>
      <c r="G36" s="18" t="s">
        <v>3859</v>
      </c>
      <c r="H36" s="18" t="s">
        <v>3860</v>
      </c>
    </row>
    <row r="37" customFormat="false" ht="24" hidden="false" customHeight="true" outlineLevel="0" collapsed="false">
      <c r="B37" s="9" t="s">
        <v>3912</v>
      </c>
      <c r="C37" s="151" t="n">
        <v>0.0435</v>
      </c>
      <c r="D37" s="19" t="s">
        <v>3871</v>
      </c>
      <c r="E37" s="146" t="s">
        <v>3913</v>
      </c>
      <c r="F37" s="19" t="s">
        <v>3914</v>
      </c>
      <c r="G37" s="148" t="s">
        <v>3868</v>
      </c>
      <c r="H37" s="146" t="s">
        <v>3915</v>
      </c>
    </row>
    <row r="38" customFormat="false" ht="24" hidden="false" customHeight="true" outlineLevel="0" collapsed="false">
      <c r="B38" s="9" t="s">
        <v>3916</v>
      </c>
      <c r="C38" s="152" t="n">
        <v>0.042375</v>
      </c>
      <c r="D38" s="19" t="s">
        <v>3917</v>
      </c>
      <c r="E38" s="146" t="s">
        <v>3913</v>
      </c>
      <c r="F38" s="19" t="s">
        <v>3691</v>
      </c>
      <c r="G38" s="148" t="s">
        <v>3868</v>
      </c>
      <c r="H38" s="146" t="s">
        <v>3918</v>
      </c>
    </row>
    <row r="39" customFormat="false" ht="24" hidden="false" customHeight="true" outlineLevel="0" collapsed="false">
      <c r="B39" s="9" t="s">
        <v>3919</v>
      </c>
      <c r="C39" s="147" t="n">
        <v>352</v>
      </c>
      <c r="D39" s="19" t="s">
        <v>3871</v>
      </c>
      <c r="E39" s="146" t="s">
        <v>3920</v>
      </c>
      <c r="F39" s="19" t="s">
        <v>3691</v>
      </c>
      <c r="G39" s="148" t="s">
        <v>3868</v>
      </c>
      <c r="H39" s="146" t="s">
        <v>3921</v>
      </c>
    </row>
    <row r="40" customFormat="false" ht="24" hidden="false" customHeight="true" outlineLevel="0" collapsed="false">
      <c r="B40" s="9" t="s">
        <v>3922</v>
      </c>
      <c r="C40" s="147" t="n">
        <v>12</v>
      </c>
      <c r="D40" s="19" t="s">
        <v>3871</v>
      </c>
      <c r="E40" s="146" t="s">
        <v>3890</v>
      </c>
      <c r="F40" s="19" t="s">
        <v>3691</v>
      </c>
      <c r="G40" s="148" t="s">
        <v>3868</v>
      </c>
      <c r="H40" s="146" t="s">
        <v>3921</v>
      </c>
    </row>
    <row r="41" customFormat="false" ht="24" hidden="false" customHeight="true" outlineLevel="0" collapsed="false">
      <c r="B41" s="9" t="s">
        <v>3923</v>
      </c>
      <c r="C41" s="147" t="n">
        <v>424</v>
      </c>
      <c r="D41" s="19" t="s">
        <v>3871</v>
      </c>
      <c r="E41" s="146" t="s">
        <v>3890</v>
      </c>
      <c r="F41" s="19" t="s">
        <v>3691</v>
      </c>
      <c r="G41" s="148" t="s">
        <v>3868</v>
      </c>
      <c r="H41" s="146" t="s">
        <v>3921</v>
      </c>
    </row>
    <row r="42" customFormat="false" ht="24" hidden="false" customHeight="true" outlineLevel="0" collapsed="false">
      <c r="B42" s="9" t="s">
        <v>3924</v>
      </c>
      <c r="C42" s="153" t="n">
        <v>6</v>
      </c>
      <c r="D42" s="19" t="s">
        <v>3871</v>
      </c>
      <c r="E42" s="146" t="s">
        <v>3890</v>
      </c>
      <c r="F42" s="19" t="s">
        <v>3691</v>
      </c>
      <c r="G42" s="148" t="s">
        <v>3868</v>
      </c>
      <c r="H42" s="146" t="s">
        <v>3921</v>
      </c>
    </row>
    <row r="43" customFormat="false" ht="39.75" hidden="false" customHeight="true" outlineLevel="0" collapsed="false">
      <c r="B43" s="17" t="s">
        <v>3925</v>
      </c>
      <c r="C43" s="17"/>
      <c r="D43" s="17"/>
      <c r="E43" s="146" t="s">
        <v>3926</v>
      </c>
    </row>
    <row r="44" customFormat="false" ht="15" hidden="false" customHeight="true" outlineLevel="0" collapsed="false">
      <c r="B44" s="15" t="s">
        <v>3927</v>
      </c>
      <c r="C44" s="16"/>
      <c r="D44" s="16"/>
      <c r="E44" s="16"/>
      <c r="F44" s="16"/>
      <c r="G44" s="16"/>
      <c r="H44" s="16"/>
    </row>
    <row r="45" customFormat="false" ht="15" hidden="false" customHeight="true" outlineLevel="0" collapsed="false">
      <c r="B45" s="18" t="s">
        <v>3855</v>
      </c>
      <c r="C45" s="18" t="s">
        <v>1490</v>
      </c>
      <c r="D45" s="18" t="s">
        <v>3856</v>
      </c>
      <c r="E45" s="18" t="s">
        <v>3857</v>
      </c>
      <c r="F45" s="18" t="s">
        <v>3858</v>
      </c>
      <c r="G45" s="18" t="s">
        <v>3859</v>
      </c>
      <c r="H45" s="18" t="s">
        <v>3860</v>
      </c>
    </row>
    <row r="46" customFormat="false" ht="15" hidden="false" customHeight="true" outlineLevel="0" collapsed="false">
      <c r="B46" s="9" t="s">
        <v>3928</v>
      </c>
      <c r="C46" s="154" t="n">
        <v>0</v>
      </c>
      <c r="D46" s="149" t="n">
        <v>0.15</v>
      </c>
      <c r="E46" s="155" t="s">
        <v>3929</v>
      </c>
      <c r="F46" s="14" t="s">
        <v>3930</v>
      </c>
      <c r="G46" s="156" t="s">
        <v>3873</v>
      </c>
      <c r="H46" s="155" t="s">
        <v>3931</v>
      </c>
    </row>
    <row r="47" customFormat="false" ht="15" hidden="false" customHeight="true" outlineLevel="0" collapsed="false">
      <c r="B47" s="9" t="s">
        <v>3932</v>
      </c>
      <c r="C47" s="154" t="n">
        <v>30</v>
      </c>
      <c r="D47" s="149" t="n">
        <v>0.2</v>
      </c>
      <c r="E47" s="155" t="s">
        <v>3929</v>
      </c>
      <c r="F47" s="14" t="s">
        <v>3930</v>
      </c>
      <c r="G47" s="156" t="s">
        <v>3873</v>
      </c>
      <c r="H47" s="155" t="s">
        <v>3931</v>
      </c>
    </row>
    <row r="48" customFormat="false" ht="15" hidden="false" customHeight="true" outlineLevel="0" collapsed="false">
      <c r="B48" s="9" t="s">
        <v>3933</v>
      </c>
      <c r="C48" s="154" t="n">
        <v>40</v>
      </c>
      <c r="D48" s="149" t="n">
        <v>0.25</v>
      </c>
      <c r="E48" s="155" t="s">
        <v>3929</v>
      </c>
      <c r="F48" s="14" t="s">
        <v>3930</v>
      </c>
      <c r="G48" s="156" t="s">
        <v>3873</v>
      </c>
      <c r="H48" s="155" t="s">
        <v>3931</v>
      </c>
    </row>
    <row r="49" customFormat="false" ht="15" hidden="false" customHeight="true" outlineLevel="0" collapsed="false">
      <c r="B49" s="9" t="s">
        <v>3934</v>
      </c>
      <c r="C49" s="154" t="n">
        <v>50</v>
      </c>
      <c r="D49" s="149" t="n">
        <v>0.3</v>
      </c>
      <c r="E49" s="155" t="s">
        <v>3929</v>
      </c>
      <c r="F49" s="14" t="s">
        <v>3930</v>
      </c>
      <c r="G49" s="156" t="s">
        <v>3873</v>
      </c>
      <c r="H49" s="155" t="s">
        <v>3931</v>
      </c>
    </row>
    <row r="50" customFormat="false" ht="15" hidden="false" customHeight="true" outlineLevel="0" collapsed="false">
      <c r="B50" s="9" t="s">
        <v>3935</v>
      </c>
      <c r="C50" s="154" t="n">
        <v>55</v>
      </c>
      <c r="D50" s="149" t="n">
        <v>0.35</v>
      </c>
      <c r="E50" s="155" t="s">
        <v>3929</v>
      </c>
      <c r="F50" s="14" t="s">
        <v>3930</v>
      </c>
      <c r="G50" s="156" t="s">
        <v>3873</v>
      </c>
      <c r="H50" s="155" t="s">
        <v>3931</v>
      </c>
    </row>
    <row r="51" customFormat="false" ht="15" hidden="false" customHeight="true" outlineLevel="0" collapsed="false">
      <c r="B51" s="9" t="s">
        <v>3936</v>
      </c>
      <c r="C51" s="154" t="n">
        <v>60</v>
      </c>
      <c r="D51" s="149" t="n">
        <v>0.4</v>
      </c>
      <c r="E51" s="155" t="s">
        <v>3929</v>
      </c>
      <c r="F51" s="14" t="s">
        <v>3930</v>
      </c>
      <c r="G51" s="156" t="s">
        <v>3873</v>
      </c>
      <c r="H51" s="155" t="s">
        <v>3931</v>
      </c>
    </row>
    <row r="52" customFormat="false" ht="24" hidden="false" customHeight="true" outlineLevel="0" collapsed="false">
      <c r="B52" s="9" t="s">
        <v>3937</v>
      </c>
      <c r="C52" s="147" t="n">
        <v>115000</v>
      </c>
      <c r="D52" s="19" t="s">
        <v>139</v>
      </c>
      <c r="E52" s="146" t="s">
        <v>3929</v>
      </c>
      <c r="F52" s="19" t="s">
        <v>3930</v>
      </c>
      <c r="G52" s="148" t="s">
        <v>3873</v>
      </c>
      <c r="H52" s="146" t="s">
        <v>3938</v>
      </c>
    </row>
    <row r="53" customFormat="false" ht="24" hidden="false" customHeight="true" outlineLevel="0" collapsed="false">
      <c r="B53" s="9" t="s">
        <v>3939</v>
      </c>
      <c r="C53" s="149" t="n">
        <v>0.25</v>
      </c>
      <c r="D53" s="19" t="s">
        <v>59</v>
      </c>
      <c r="E53" s="146" t="s">
        <v>3940</v>
      </c>
      <c r="F53" s="19" t="s">
        <v>3941</v>
      </c>
      <c r="G53" s="148" t="s">
        <v>3873</v>
      </c>
      <c r="H53" s="146" t="s">
        <v>3942</v>
      </c>
    </row>
    <row r="54" customFormat="false" ht="24" hidden="false" customHeight="true" outlineLevel="0" collapsed="false">
      <c r="B54" s="9" t="s">
        <v>3943</v>
      </c>
      <c r="C54" s="147" t="n">
        <v>200000</v>
      </c>
      <c r="D54" s="19" t="s">
        <v>59</v>
      </c>
      <c r="E54" s="146" t="s">
        <v>3940</v>
      </c>
      <c r="F54" s="19" t="s">
        <v>3941</v>
      </c>
      <c r="G54" s="148" t="s">
        <v>3873</v>
      </c>
      <c r="H54" s="146" t="s">
        <v>3942</v>
      </c>
    </row>
    <row r="55" customFormat="false" ht="24" hidden="false" customHeight="true" outlineLevel="0" collapsed="false">
      <c r="B55" s="9" t="s">
        <v>3944</v>
      </c>
      <c r="C55" s="147" t="n">
        <v>500000</v>
      </c>
      <c r="D55" s="19" t="s">
        <v>59</v>
      </c>
      <c r="E55" s="146" t="s">
        <v>3940</v>
      </c>
      <c r="F55" s="19" t="s">
        <v>3941</v>
      </c>
      <c r="G55" s="148" t="s">
        <v>3873</v>
      </c>
      <c r="H55" s="146" t="s">
        <v>3942</v>
      </c>
    </row>
    <row r="56" customFormat="false" ht="24" hidden="false" customHeight="true" outlineLevel="0" collapsed="false">
      <c r="B56" s="9" t="s">
        <v>3945</v>
      </c>
      <c r="C56" s="149" t="n">
        <v>0.2</v>
      </c>
      <c r="D56" s="19" t="s">
        <v>59</v>
      </c>
      <c r="E56" s="146" t="s">
        <v>3940</v>
      </c>
      <c r="F56" s="19" t="s">
        <v>3941</v>
      </c>
      <c r="G56" s="148" t="s">
        <v>3873</v>
      </c>
      <c r="H56" s="146" t="s">
        <v>3942</v>
      </c>
    </row>
    <row r="57" customFormat="false" ht="24" hidden="false" customHeight="true" outlineLevel="0" collapsed="false">
      <c r="B57" s="9" t="s">
        <v>3946</v>
      </c>
      <c r="C57" s="147" t="n">
        <v>2200000</v>
      </c>
      <c r="D57" s="19" t="s">
        <v>3947</v>
      </c>
      <c r="E57" s="146" t="s">
        <v>3940</v>
      </c>
      <c r="F57" s="19" t="s">
        <v>3867</v>
      </c>
      <c r="G57" s="148" t="s">
        <v>3873</v>
      </c>
      <c r="H57" s="146" t="s">
        <v>3948</v>
      </c>
    </row>
    <row r="58" customFormat="false" ht="24" hidden="false" customHeight="true" outlineLevel="0" collapsed="false">
      <c r="B58" s="9" t="s">
        <v>3949</v>
      </c>
      <c r="C58" s="149" t="n">
        <v>0.4</v>
      </c>
      <c r="D58" s="19" t="s">
        <v>3947</v>
      </c>
      <c r="E58" s="146" t="s">
        <v>3940</v>
      </c>
      <c r="F58" s="19" t="s">
        <v>3950</v>
      </c>
      <c r="G58" s="148" t="s">
        <v>3873</v>
      </c>
      <c r="H58" s="146" t="s">
        <v>3948</v>
      </c>
    </row>
    <row r="59" customFormat="false" ht="24" hidden="false" customHeight="true" outlineLevel="0" collapsed="false">
      <c r="B59" s="9" t="s">
        <v>3951</v>
      </c>
      <c r="C59" s="153" t="n">
        <v>60</v>
      </c>
      <c r="D59" s="19" t="s">
        <v>3947</v>
      </c>
      <c r="E59" s="146" t="s">
        <v>3952</v>
      </c>
      <c r="F59" s="19" t="s">
        <v>3950</v>
      </c>
      <c r="G59" s="148" t="s">
        <v>3953</v>
      </c>
      <c r="H59" s="146" t="s">
        <v>3954</v>
      </c>
    </row>
    <row r="60" customFormat="false" ht="39.75" hidden="false" customHeight="true" outlineLevel="0" collapsed="false">
      <c r="B60" s="17" t="s">
        <v>3955</v>
      </c>
      <c r="C60" s="17"/>
      <c r="D60" s="17"/>
      <c r="E60" s="146" t="s">
        <v>3956</v>
      </c>
    </row>
    <row r="61" customFormat="false" ht="15" hidden="false" customHeight="true" outlineLevel="0" collapsed="false">
      <c r="B61" s="15" t="s">
        <v>3957</v>
      </c>
      <c r="C61" s="16"/>
      <c r="D61" s="16"/>
      <c r="E61" s="16"/>
      <c r="F61" s="16"/>
      <c r="G61" s="16"/>
      <c r="H61" s="16"/>
    </row>
    <row r="62" customFormat="false" ht="15" hidden="false" customHeight="true" outlineLevel="0" collapsed="false">
      <c r="B62" s="18" t="s">
        <v>3855</v>
      </c>
      <c r="C62" s="18" t="s">
        <v>1490</v>
      </c>
      <c r="D62" s="18" t="s">
        <v>3856</v>
      </c>
      <c r="E62" s="18" t="s">
        <v>3857</v>
      </c>
      <c r="F62" s="18" t="s">
        <v>3858</v>
      </c>
      <c r="G62" s="18" t="s">
        <v>3859</v>
      </c>
      <c r="H62" s="18" t="s">
        <v>3860</v>
      </c>
    </row>
    <row r="63" customFormat="false" ht="24" hidden="false" customHeight="true" outlineLevel="0" collapsed="false">
      <c r="B63" s="9" t="s">
        <v>3958</v>
      </c>
      <c r="C63" s="157" t="n">
        <v>299.3</v>
      </c>
      <c r="D63" s="19" t="s">
        <v>3959</v>
      </c>
      <c r="E63" s="146" t="s">
        <v>3960</v>
      </c>
      <c r="F63" s="19" t="s">
        <v>3867</v>
      </c>
      <c r="G63" s="148" t="s">
        <v>3868</v>
      </c>
      <c r="H63" s="146" t="s">
        <v>3961</v>
      </c>
    </row>
    <row r="64" customFormat="false" ht="24" hidden="false" customHeight="true" outlineLevel="0" collapsed="false">
      <c r="B64" s="9" t="s">
        <v>3962</v>
      </c>
      <c r="C64" s="157" t="n">
        <f aca="false">State_Pension_Week*Weeks_Per_Year</f>
        <v>15563.6</v>
      </c>
      <c r="D64" s="19" t="s">
        <v>3963</v>
      </c>
      <c r="E64" s="146" t="s">
        <v>3960</v>
      </c>
      <c r="F64" s="19" t="s">
        <v>3867</v>
      </c>
      <c r="G64" s="148" t="s">
        <v>3868</v>
      </c>
      <c r="H64" s="146" t="s">
        <v>3961</v>
      </c>
    </row>
    <row r="65" customFormat="false" ht="24" hidden="false" customHeight="true" outlineLevel="0" collapsed="false">
      <c r="B65" s="9" t="s">
        <v>3964</v>
      </c>
      <c r="C65" s="153" t="n">
        <v>66</v>
      </c>
      <c r="D65" s="19" t="s">
        <v>3965</v>
      </c>
      <c r="E65" s="146" t="s">
        <v>3966</v>
      </c>
      <c r="F65" s="19" t="s">
        <v>3950</v>
      </c>
      <c r="G65" s="148" t="s">
        <v>3868</v>
      </c>
      <c r="H65" s="146" t="s">
        <v>3967</v>
      </c>
    </row>
    <row r="66" customFormat="false" ht="24" hidden="false" customHeight="true" outlineLevel="0" collapsed="false">
      <c r="B66" s="9" t="s">
        <v>3968</v>
      </c>
      <c r="C66" s="157" t="n">
        <v>259.5</v>
      </c>
      <c r="D66" s="19" t="s">
        <v>78</v>
      </c>
      <c r="E66" s="146" t="s">
        <v>3969</v>
      </c>
      <c r="F66" s="19" t="s">
        <v>3867</v>
      </c>
      <c r="G66" s="148" t="s">
        <v>3873</v>
      </c>
      <c r="H66" s="146" t="s">
        <v>3970</v>
      </c>
    </row>
    <row r="67" customFormat="false" ht="24" hidden="false" customHeight="true" outlineLevel="0" collapsed="false">
      <c r="B67" s="9" t="s">
        <v>3971</v>
      </c>
      <c r="C67" s="157" t="n">
        <v>299.3</v>
      </c>
      <c r="D67" s="19" t="s">
        <v>3972</v>
      </c>
      <c r="E67" s="146" t="s">
        <v>3890</v>
      </c>
      <c r="F67" s="19" t="s">
        <v>3867</v>
      </c>
      <c r="G67" s="148" t="s">
        <v>3873</v>
      </c>
      <c r="H67" s="146" t="s">
        <v>3970</v>
      </c>
    </row>
    <row r="68" customFormat="false" ht="24" hidden="false" customHeight="true" outlineLevel="0" collapsed="false">
      <c r="B68" s="9" t="s">
        <v>3973</v>
      </c>
      <c r="C68" s="157" t="n">
        <v>254</v>
      </c>
      <c r="D68" s="19" t="s">
        <v>81</v>
      </c>
      <c r="E68" s="146" t="s">
        <v>3974</v>
      </c>
      <c r="F68" s="19" t="s">
        <v>3867</v>
      </c>
      <c r="G68" s="148" t="s">
        <v>3873</v>
      </c>
      <c r="H68" s="146" t="s">
        <v>3975</v>
      </c>
    </row>
    <row r="69" customFormat="false" ht="24" hidden="false" customHeight="true" outlineLevel="0" collapsed="false">
      <c r="B69" s="9" t="s">
        <v>3976</v>
      </c>
      <c r="C69" s="149" t="n">
        <v>0.75</v>
      </c>
      <c r="D69" s="19" t="s">
        <v>81</v>
      </c>
      <c r="E69" s="146" t="s">
        <v>3977</v>
      </c>
      <c r="F69" s="19" t="s">
        <v>3978</v>
      </c>
      <c r="G69" s="148" t="s">
        <v>3979</v>
      </c>
      <c r="H69" s="146" t="s">
        <v>3980</v>
      </c>
    </row>
    <row r="70" customFormat="false" ht="24" hidden="false" customHeight="true" outlineLevel="0" collapsed="false">
      <c r="B70" s="9" t="s">
        <v>3981</v>
      </c>
      <c r="C70" s="153" t="n">
        <v>52</v>
      </c>
      <c r="D70" s="19" t="s">
        <v>3982</v>
      </c>
      <c r="E70" s="146" t="s">
        <v>3983</v>
      </c>
      <c r="F70" s="19" t="s">
        <v>3823</v>
      </c>
      <c r="G70" s="146" t="s">
        <v>3</v>
      </c>
      <c r="H70" s="146" t="s">
        <v>3823</v>
      </c>
    </row>
    <row r="71" customFormat="false" ht="15" hidden="false" customHeight="true" outlineLevel="0" collapsed="false">
      <c r="B71" s="15" t="s">
        <v>3984</v>
      </c>
      <c r="C71" s="16"/>
      <c r="D71" s="16"/>
      <c r="E71" s="16"/>
      <c r="F71" s="16"/>
      <c r="G71" s="16"/>
      <c r="H71" s="16"/>
    </row>
    <row r="72" customFormat="false" ht="15" hidden="false" customHeight="true" outlineLevel="0" collapsed="false">
      <c r="B72" s="18" t="s">
        <v>3855</v>
      </c>
      <c r="C72" s="18" t="s">
        <v>1490</v>
      </c>
      <c r="D72" s="18" t="s">
        <v>3856</v>
      </c>
      <c r="E72" s="18" t="s">
        <v>3857</v>
      </c>
      <c r="F72" s="18" t="s">
        <v>3858</v>
      </c>
      <c r="G72" s="18" t="s">
        <v>3859</v>
      </c>
      <c r="H72" s="18" t="s">
        <v>3860</v>
      </c>
    </row>
    <row r="73" customFormat="false" ht="24" hidden="false" customHeight="true" outlineLevel="0" collapsed="false">
      <c r="B73" s="9" t="s">
        <v>3985</v>
      </c>
      <c r="C73" s="149" t="n">
        <v>0.33</v>
      </c>
      <c r="D73" s="19" t="s">
        <v>3986</v>
      </c>
      <c r="E73" s="146" t="s">
        <v>3987</v>
      </c>
      <c r="F73" s="19" t="s">
        <v>3691</v>
      </c>
      <c r="G73" s="148" t="s">
        <v>3873</v>
      </c>
      <c r="H73" s="146" t="s">
        <v>3988</v>
      </c>
    </row>
    <row r="74" customFormat="false" ht="24" hidden="false" customHeight="true" outlineLevel="0" collapsed="false">
      <c r="B74" s="9" t="s">
        <v>3989</v>
      </c>
      <c r="C74" s="149" t="n">
        <v>0.38</v>
      </c>
      <c r="D74" s="19" t="s">
        <v>3986</v>
      </c>
      <c r="E74" s="146" t="s">
        <v>3990</v>
      </c>
      <c r="F74" s="19" t="s">
        <v>3867</v>
      </c>
      <c r="G74" s="148" t="s">
        <v>3868</v>
      </c>
      <c r="H74" s="146" t="s">
        <v>3991</v>
      </c>
    </row>
    <row r="75" customFormat="false" ht="24" hidden="false" customHeight="true" outlineLevel="0" collapsed="false">
      <c r="B75" s="9" t="s">
        <v>3992</v>
      </c>
      <c r="C75" s="153" t="n">
        <v>8</v>
      </c>
      <c r="D75" s="19" t="s">
        <v>3993</v>
      </c>
      <c r="E75" s="146" t="s">
        <v>3994</v>
      </c>
      <c r="F75" s="19" t="s">
        <v>3691</v>
      </c>
      <c r="G75" s="148" t="s">
        <v>3873</v>
      </c>
      <c r="H75" s="146" t="s">
        <v>3995</v>
      </c>
    </row>
    <row r="76" customFormat="false" ht="24" hidden="false" customHeight="true" outlineLevel="0" collapsed="false">
      <c r="B76" s="9" t="s">
        <v>3996</v>
      </c>
      <c r="C76" s="149" t="n">
        <v>0.01</v>
      </c>
      <c r="D76" s="19" t="s">
        <v>3997</v>
      </c>
      <c r="E76" s="146" t="s">
        <v>3998</v>
      </c>
      <c r="F76" s="19" t="s">
        <v>3691</v>
      </c>
      <c r="G76" s="148" t="s">
        <v>3868</v>
      </c>
      <c r="H76" s="146" t="s">
        <v>3999</v>
      </c>
    </row>
    <row r="77" customFormat="false" ht="15" hidden="false" customHeight="true" outlineLevel="0" collapsed="false">
      <c r="B77" s="15" t="s">
        <v>4000</v>
      </c>
      <c r="C77" s="16"/>
      <c r="D77" s="16"/>
      <c r="E77" s="16"/>
      <c r="F77" s="16"/>
      <c r="G77" s="16"/>
      <c r="H77" s="16"/>
    </row>
    <row r="78" customFormat="false" ht="15" hidden="false" customHeight="true" outlineLevel="0" collapsed="false">
      <c r="B78" s="18" t="s">
        <v>3855</v>
      </c>
      <c r="C78" s="18" t="s">
        <v>1490</v>
      </c>
      <c r="D78" s="18" t="s">
        <v>3856</v>
      </c>
      <c r="E78" s="18" t="s">
        <v>3857</v>
      </c>
      <c r="F78" s="18" t="s">
        <v>3858</v>
      </c>
      <c r="G78" s="18" t="s">
        <v>3859</v>
      </c>
      <c r="H78" s="18" t="s">
        <v>3860</v>
      </c>
    </row>
    <row r="79" customFormat="false" ht="24" hidden="false" customHeight="true" outlineLevel="0" collapsed="false">
      <c r="B79" s="9" t="s">
        <v>4001</v>
      </c>
      <c r="C79" s="158" t="n">
        <v>4</v>
      </c>
      <c r="D79" s="19" t="s">
        <v>34</v>
      </c>
      <c r="E79" s="146" t="s">
        <v>4002</v>
      </c>
      <c r="F79" s="19" t="s">
        <v>4003</v>
      </c>
      <c r="G79" s="148" t="s">
        <v>3868</v>
      </c>
      <c r="H79" s="146" t="s">
        <v>4004</v>
      </c>
    </row>
    <row r="80" customFormat="false" ht="24" hidden="false" customHeight="true" outlineLevel="0" collapsed="false">
      <c r="B80" s="9" t="s">
        <v>4005</v>
      </c>
      <c r="C80" s="158" t="n">
        <v>3.5</v>
      </c>
      <c r="D80" s="19" t="s">
        <v>34</v>
      </c>
      <c r="E80" s="146" t="s">
        <v>4002</v>
      </c>
      <c r="F80" s="19" t="s">
        <v>4003</v>
      </c>
      <c r="G80" s="148" t="s">
        <v>3868</v>
      </c>
      <c r="H80" s="146" t="s">
        <v>4004</v>
      </c>
    </row>
    <row r="81" customFormat="false" ht="24" hidden="false" customHeight="true" outlineLevel="0" collapsed="false">
      <c r="B81" s="9" t="s">
        <v>4006</v>
      </c>
      <c r="C81" s="149" t="n">
        <v>0.9</v>
      </c>
      <c r="D81" s="19" t="s">
        <v>4007</v>
      </c>
      <c r="E81" s="146" t="s">
        <v>4002</v>
      </c>
      <c r="F81" s="19" t="s">
        <v>4003</v>
      </c>
      <c r="G81" s="148" t="s">
        <v>3868</v>
      </c>
      <c r="H81" s="146" t="s">
        <v>4008</v>
      </c>
    </row>
    <row r="82" customFormat="false" ht="24" hidden="false" customHeight="true" outlineLevel="0" collapsed="false">
      <c r="B82" s="9" t="s">
        <v>4009</v>
      </c>
      <c r="C82" s="149" t="n">
        <f aca="false">1-LTV_Max</f>
        <v>0.1</v>
      </c>
      <c r="D82" s="19" t="s">
        <v>4010</v>
      </c>
      <c r="E82" s="146" t="s">
        <v>4011</v>
      </c>
      <c r="F82" s="19" t="s">
        <v>4003</v>
      </c>
      <c r="G82" s="148" t="s">
        <v>3868</v>
      </c>
      <c r="H82" s="146" t="s">
        <v>4012</v>
      </c>
    </row>
    <row r="83" customFormat="false" ht="39.75" hidden="false" customHeight="true" outlineLevel="0" collapsed="false">
      <c r="B83" s="17" t="s">
        <v>4013</v>
      </c>
      <c r="C83" s="17"/>
      <c r="D83" s="17"/>
      <c r="E83" s="146" t="s">
        <v>4014</v>
      </c>
    </row>
    <row r="84" customFormat="false" ht="24" hidden="false" customHeight="true" outlineLevel="0" collapsed="false">
      <c r="B84" s="9" t="s">
        <v>4015</v>
      </c>
      <c r="C84" s="149" t="n">
        <v>0.01</v>
      </c>
      <c r="D84" s="19" t="s">
        <v>4016</v>
      </c>
      <c r="E84" s="146" t="s">
        <v>4017</v>
      </c>
      <c r="F84" s="19" t="s">
        <v>4018</v>
      </c>
      <c r="G84" s="148" t="s">
        <v>3873</v>
      </c>
      <c r="H84" s="146" t="s">
        <v>4019</v>
      </c>
    </row>
    <row r="85" customFormat="false" ht="24" hidden="false" customHeight="true" outlineLevel="0" collapsed="false">
      <c r="B85" s="9" t="s">
        <v>4020</v>
      </c>
      <c r="C85" s="147" t="n">
        <v>1000000</v>
      </c>
      <c r="D85" s="19" t="s">
        <v>4016</v>
      </c>
      <c r="E85" s="146" t="s">
        <v>4017</v>
      </c>
      <c r="F85" s="19" t="s">
        <v>4018</v>
      </c>
      <c r="G85" s="148" t="s">
        <v>3873</v>
      </c>
      <c r="H85" s="146" t="s">
        <v>4019</v>
      </c>
    </row>
    <row r="86" customFormat="false" ht="24" hidden="false" customHeight="true" outlineLevel="0" collapsed="false">
      <c r="B86" s="9" t="s">
        <v>4021</v>
      </c>
      <c r="C86" s="149" t="n">
        <v>0.02</v>
      </c>
      <c r="D86" s="19" t="s">
        <v>4016</v>
      </c>
      <c r="E86" s="146" t="s">
        <v>4017</v>
      </c>
      <c r="F86" s="19" t="s">
        <v>4018</v>
      </c>
      <c r="G86" s="148" t="s">
        <v>3873</v>
      </c>
      <c r="H86" s="146" t="s">
        <v>4019</v>
      </c>
    </row>
    <row r="87" customFormat="false" ht="24" hidden="false" customHeight="true" outlineLevel="0" collapsed="false">
      <c r="B87" s="9" t="s">
        <v>4022</v>
      </c>
      <c r="C87" s="147" t="n">
        <v>1500000</v>
      </c>
      <c r="D87" s="19" t="s">
        <v>4016</v>
      </c>
      <c r="E87" s="146" t="s">
        <v>4017</v>
      </c>
      <c r="F87" s="19" t="s">
        <v>4018</v>
      </c>
      <c r="G87" s="148" t="s">
        <v>3873</v>
      </c>
      <c r="H87" s="146" t="s">
        <v>4019</v>
      </c>
    </row>
    <row r="88" customFormat="false" ht="24" hidden="false" customHeight="true" outlineLevel="0" collapsed="false">
      <c r="B88" s="9" t="s">
        <v>4023</v>
      </c>
      <c r="C88" s="149" t="n">
        <v>0.06</v>
      </c>
      <c r="D88" s="19" t="s">
        <v>4016</v>
      </c>
      <c r="E88" s="146" t="s">
        <v>4017</v>
      </c>
      <c r="F88" s="19" t="s">
        <v>4018</v>
      </c>
      <c r="G88" s="148" t="s">
        <v>3873</v>
      </c>
      <c r="H88" s="146" t="s">
        <v>4019</v>
      </c>
    </row>
    <row r="89" customFormat="false" ht="39.75" hidden="false" customHeight="true" outlineLevel="0" collapsed="false">
      <c r="B89" s="17" t="s">
        <v>4024</v>
      </c>
      <c r="C89" s="17"/>
      <c r="D89" s="17"/>
      <c r="E89" s="146" t="s">
        <v>4025</v>
      </c>
    </row>
    <row r="90" customFormat="false" ht="15" hidden="false" customHeight="true" outlineLevel="0" collapsed="false">
      <c r="B90" s="15" t="s">
        <v>4026</v>
      </c>
      <c r="C90" s="16"/>
      <c r="D90" s="16"/>
      <c r="E90" s="16"/>
      <c r="F90" s="16"/>
      <c r="G90" s="16"/>
      <c r="H90" s="16"/>
    </row>
    <row r="91" customFormat="false" ht="15" hidden="false" customHeight="true" outlineLevel="0" collapsed="false">
      <c r="B91" s="18" t="s">
        <v>3855</v>
      </c>
      <c r="C91" s="18" t="s">
        <v>1490</v>
      </c>
      <c r="D91" s="18" t="s">
        <v>3856</v>
      </c>
      <c r="E91" s="18" t="s">
        <v>3857</v>
      </c>
      <c r="F91" s="18" t="s">
        <v>3858</v>
      </c>
      <c r="G91" s="18" t="s">
        <v>3859</v>
      </c>
      <c r="H91" s="18" t="s">
        <v>3860</v>
      </c>
    </row>
    <row r="92" customFormat="false" ht="24" hidden="false" customHeight="true" outlineLevel="0" collapsed="false">
      <c r="B92" s="9" t="s">
        <v>4027</v>
      </c>
      <c r="C92" s="149" t="n">
        <v>0.7</v>
      </c>
      <c r="D92" s="19" t="s">
        <v>76</v>
      </c>
      <c r="E92" s="146" t="s">
        <v>4028</v>
      </c>
      <c r="F92" s="19" t="s">
        <v>3823</v>
      </c>
      <c r="G92" s="146" t="s">
        <v>3</v>
      </c>
      <c r="H92" s="146" t="s">
        <v>3823</v>
      </c>
    </row>
    <row r="93" customFormat="false" ht="24" hidden="false" customHeight="true" outlineLevel="0" collapsed="false">
      <c r="B93" s="9" t="s">
        <v>4029</v>
      </c>
      <c r="C93" s="149" t="n">
        <v>0.4</v>
      </c>
      <c r="D93" s="19" t="s">
        <v>76</v>
      </c>
      <c r="E93" s="146" t="s">
        <v>4030</v>
      </c>
      <c r="F93" s="19" t="s">
        <v>3823</v>
      </c>
      <c r="G93" s="146" t="s">
        <v>3</v>
      </c>
      <c r="H93" s="146" t="s">
        <v>3823</v>
      </c>
    </row>
    <row r="94" customFormat="false" ht="24" hidden="false" customHeight="true" outlineLevel="0" collapsed="false">
      <c r="B94" s="9" t="s">
        <v>4031</v>
      </c>
      <c r="C94" s="153" t="n">
        <v>365</v>
      </c>
      <c r="D94" s="19" t="s">
        <v>4032</v>
      </c>
      <c r="E94" s="146" t="s">
        <v>4033</v>
      </c>
      <c r="F94" s="19" t="s">
        <v>3823</v>
      </c>
      <c r="G94" s="146" t="s">
        <v>3</v>
      </c>
      <c r="H94" s="146" t="s">
        <v>3823</v>
      </c>
    </row>
    <row r="95" customFormat="false" ht="24" hidden="false" customHeight="true" outlineLevel="0" collapsed="false">
      <c r="B95" s="9" t="s">
        <v>4034</v>
      </c>
      <c r="C95" s="149" t="n">
        <v>0.8</v>
      </c>
      <c r="D95" s="19" t="s">
        <v>4035</v>
      </c>
      <c r="E95" s="146" t="s">
        <v>4033</v>
      </c>
      <c r="F95" s="19" t="s">
        <v>3823</v>
      </c>
      <c r="G95" s="146" t="s">
        <v>3</v>
      </c>
      <c r="H95" s="146" t="s">
        <v>3823</v>
      </c>
    </row>
    <row r="96" customFormat="false" ht="15" hidden="false" customHeight="true" outlineLevel="0" collapsed="false">
      <c r="B96" s="15" t="s">
        <v>4036</v>
      </c>
      <c r="C96" s="16"/>
      <c r="D96" s="16"/>
      <c r="E96" s="16"/>
      <c r="F96" s="16"/>
      <c r="G96" s="16"/>
      <c r="H96" s="16"/>
    </row>
    <row r="97" customFormat="false" ht="15" hidden="false" customHeight="true" outlineLevel="0" collapsed="false">
      <c r="B97" s="18" t="s">
        <v>3855</v>
      </c>
      <c r="C97" s="18" t="s">
        <v>1490</v>
      </c>
      <c r="D97" s="18" t="s">
        <v>3856</v>
      </c>
      <c r="E97" s="18" t="s">
        <v>3857</v>
      </c>
      <c r="F97" s="18" t="s">
        <v>3858</v>
      </c>
      <c r="G97" s="18" t="s">
        <v>3859</v>
      </c>
      <c r="H97" s="18" t="s">
        <v>3860</v>
      </c>
    </row>
    <row r="98" customFormat="false" ht="24" hidden="false" customHeight="true" outlineLevel="0" collapsed="false">
      <c r="B98" s="9" t="s">
        <v>4037</v>
      </c>
      <c r="C98" s="153" t="n">
        <v>1200</v>
      </c>
      <c r="D98" s="19" t="s">
        <v>4038</v>
      </c>
      <c r="E98" s="146" t="s">
        <v>4039</v>
      </c>
      <c r="F98" s="19" t="s">
        <v>3823</v>
      </c>
      <c r="G98" s="146" t="s">
        <v>3</v>
      </c>
      <c r="H98" s="146" t="s">
        <v>3823</v>
      </c>
    </row>
    <row r="99" customFormat="false" ht="24" hidden="false" customHeight="true" outlineLevel="0" collapsed="false">
      <c r="B99" s="9" t="s">
        <v>4040</v>
      </c>
      <c r="C99" s="153" t="n">
        <v>60</v>
      </c>
      <c r="D99" s="19" t="s">
        <v>151</v>
      </c>
      <c r="E99" s="146" t="s">
        <v>4039</v>
      </c>
      <c r="F99" s="19" t="s">
        <v>3823</v>
      </c>
      <c r="G99" s="146" t="s">
        <v>3</v>
      </c>
      <c r="H99" s="146" t="s">
        <v>3823</v>
      </c>
    </row>
    <row r="100" customFormat="false" ht="24" hidden="false" customHeight="true" outlineLevel="0" collapsed="false">
      <c r="B100" s="9" t="s">
        <v>4041</v>
      </c>
      <c r="C100" s="153" t="n">
        <v>5</v>
      </c>
      <c r="D100" s="19" t="s">
        <v>83</v>
      </c>
      <c r="E100" s="146" t="s">
        <v>4039</v>
      </c>
      <c r="F100" s="19" t="s">
        <v>3823</v>
      </c>
      <c r="G100" s="146" t="s">
        <v>3</v>
      </c>
      <c r="H100" s="146" t="s">
        <v>3823</v>
      </c>
    </row>
    <row r="101" customFormat="false" ht="24" hidden="false" customHeight="true" outlineLevel="0" collapsed="false">
      <c r="B101" s="9" t="s">
        <v>4042</v>
      </c>
      <c r="C101" s="153" t="n">
        <v>10</v>
      </c>
      <c r="D101" s="19" t="s">
        <v>83</v>
      </c>
      <c r="E101" s="146" t="s">
        <v>4039</v>
      </c>
      <c r="F101" s="19" t="s">
        <v>3823</v>
      </c>
      <c r="G101" s="146" t="s">
        <v>3</v>
      </c>
      <c r="H101" s="146" t="s">
        <v>3823</v>
      </c>
    </row>
    <row r="102" customFormat="false" ht="24" hidden="false" customHeight="true" outlineLevel="0" collapsed="false">
      <c r="B102" s="9" t="s">
        <v>4043</v>
      </c>
      <c r="C102" s="153" t="n">
        <v>15</v>
      </c>
      <c r="D102" s="19" t="s">
        <v>83</v>
      </c>
      <c r="E102" s="146" t="s">
        <v>4039</v>
      </c>
      <c r="F102" s="19" t="s">
        <v>3823</v>
      </c>
      <c r="G102" s="146" t="s">
        <v>3</v>
      </c>
      <c r="H102" s="146" t="s">
        <v>3823</v>
      </c>
    </row>
    <row r="103" customFormat="false" ht="24" hidden="false" customHeight="true" outlineLevel="0" collapsed="false">
      <c r="B103" s="9" t="s">
        <v>4044</v>
      </c>
      <c r="C103" s="159" t="n">
        <v>1.645</v>
      </c>
      <c r="D103" s="19" t="s">
        <v>76</v>
      </c>
      <c r="E103" s="146" t="s">
        <v>4045</v>
      </c>
      <c r="F103" s="19" t="s">
        <v>3823</v>
      </c>
      <c r="G103" s="146" t="s">
        <v>3</v>
      </c>
      <c r="H103" s="146" t="s">
        <v>4046</v>
      </c>
    </row>
    <row r="104" customFormat="false" ht="15" hidden="false" customHeight="true" outlineLevel="0" collapsed="false">
      <c r="B104" s="9" t="s">
        <v>4047</v>
      </c>
      <c r="C104" s="154" t="s">
        <v>2491</v>
      </c>
      <c r="D104" s="14" t="s">
        <v>76</v>
      </c>
      <c r="E104" s="155" t="s">
        <v>4048</v>
      </c>
      <c r="G104" s="55" t="s">
        <v>3</v>
      </c>
    </row>
    <row r="105" customFormat="false" ht="15" hidden="false" customHeight="true" outlineLevel="0" collapsed="false">
      <c r="B105" s="9" t="s">
        <v>4049</v>
      </c>
      <c r="C105" s="154" t="s">
        <v>2493</v>
      </c>
      <c r="D105" s="14" t="s">
        <v>76</v>
      </c>
      <c r="E105" s="155" t="s">
        <v>4048</v>
      </c>
      <c r="G105" s="55" t="s">
        <v>3</v>
      </c>
    </row>
    <row r="106" customFormat="false" ht="15" hidden="false" customHeight="true" outlineLevel="0" collapsed="false">
      <c r="B106" s="9" t="s">
        <v>4050</v>
      </c>
      <c r="C106" s="154" t="s">
        <v>4051</v>
      </c>
      <c r="D106" s="14" t="s">
        <v>76</v>
      </c>
      <c r="E106" s="155" t="s">
        <v>4048</v>
      </c>
      <c r="G106" s="55" t="s">
        <v>3</v>
      </c>
    </row>
    <row r="108" customFormat="false" ht="15" hidden="false" customHeight="true" outlineLevel="0" collapsed="false">
      <c r="B108" s="15" t="s">
        <v>96</v>
      </c>
      <c r="C108" s="16"/>
      <c r="D108" s="16"/>
      <c r="E108" s="16"/>
      <c r="F108" s="16"/>
      <c r="G108" s="16"/>
      <c r="H108" s="16"/>
    </row>
    <row r="109" customFormat="false" ht="42" hidden="false" customHeight="true" outlineLevel="0" collapsed="false">
      <c r="B109" s="17" t="s">
        <v>97</v>
      </c>
      <c r="C109" s="17"/>
      <c r="D109" s="17"/>
      <c r="E109" s="17"/>
      <c r="F109" s="17"/>
      <c r="G109" s="17"/>
    </row>
    <row r="110" customFormat="false" ht="15" hidden="false" customHeight="true" outlineLevel="0" collapsed="false">
      <c r="B110" s="18" t="s">
        <v>98</v>
      </c>
      <c r="D110" s="18" t="s">
        <v>99</v>
      </c>
      <c r="E110" s="18" t="s">
        <v>100</v>
      </c>
    </row>
    <row r="111" customFormat="false" ht="25.5" hidden="false" customHeight="true" outlineLevel="0" collapsed="false">
      <c r="B111" s="19" t="s">
        <v>101</v>
      </c>
      <c r="D111" s="19" t="s">
        <v>102</v>
      </c>
      <c r="E111" s="19" t="s">
        <v>103</v>
      </c>
    </row>
    <row r="112" customFormat="false" ht="25.5" hidden="false" customHeight="true" outlineLevel="0" collapsed="false">
      <c r="B112" s="19" t="s">
        <v>104</v>
      </c>
      <c r="D112" s="19" t="s">
        <v>105</v>
      </c>
      <c r="E112" s="19" t="s">
        <v>103</v>
      </c>
    </row>
    <row r="113" customFormat="false" ht="25.5" hidden="false" customHeight="true" outlineLevel="0" collapsed="false">
      <c r="B113" s="19" t="s">
        <v>106</v>
      </c>
      <c r="D113" s="19" t="s">
        <v>107</v>
      </c>
      <c r="E113" s="19" t="s">
        <v>103</v>
      </c>
    </row>
    <row r="114" customFormat="false" ht="25.5" hidden="false" customHeight="true" outlineLevel="0" collapsed="false">
      <c r="B114" s="19" t="s">
        <v>108</v>
      </c>
      <c r="D114" s="19" t="s">
        <v>109</v>
      </c>
      <c r="E114" s="19" t="s">
        <v>103</v>
      </c>
    </row>
    <row r="115" customFormat="false" ht="25.5" hidden="false" customHeight="true" outlineLevel="0" collapsed="false">
      <c r="B115" s="19" t="s">
        <v>110</v>
      </c>
      <c r="D115" s="19" t="s">
        <v>111</v>
      </c>
      <c r="E115" s="19" t="s">
        <v>103</v>
      </c>
    </row>
    <row r="116" customFormat="false" ht="25.5" hidden="false" customHeight="true" outlineLevel="0" collapsed="false">
      <c r="B116" s="19" t="s">
        <v>112</v>
      </c>
      <c r="D116" s="19" t="s">
        <v>113</v>
      </c>
      <c r="E116" s="19" t="s">
        <v>103</v>
      </c>
    </row>
    <row r="117" customFormat="false" ht="25.5" hidden="false" customHeight="true" outlineLevel="0" collapsed="false">
      <c r="B117" s="19" t="s">
        <v>114</v>
      </c>
      <c r="D117" s="19" t="s">
        <v>115</v>
      </c>
      <c r="E117" s="19" t="s">
        <v>103</v>
      </c>
    </row>
    <row r="118" customFormat="false" ht="25.5" hidden="false" customHeight="true" outlineLevel="0" collapsed="false">
      <c r="B118" s="19" t="s">
        <v>116</v>
      </c>
      <c r="D118" s="19" t="s">
        <v>117</v>
      </c>
      <c r="E118" s="19" t="s">
        <v>103</v>
      </c>
    </row>
    <row r="119" customFormat="false" ht="25.5" hidden="false" customHeight="true" outlineLevel="0" collapsed="false">
      <c r="B119" s="19" t="s">
        <v>118</v>
      </c>
      <c r="D119" s="19" t="s">
        <v>119</v>
      </c>
      <c r="E119" s="19" t="s">
        <v>103</v>
      </c>
    </row>
    <row r="120" customFormat="false" ht="25.5" hidden="false" customHeight="true" outlineLevel="0" collapsed="false">
      <c r="B120" s="19" t="s">
        <v>120</v>
      </c>
      <c r="D120" s="19" t="s">
        <v>121</v>
      </c>
      <c r="E120" s="19" t="s">
        <v>103</v>
      </c>
    </row>
    <row r="121" customFormat="false" ht="25.5" hidden="false" customHeight="true" outlineLevel="0" collapsed="false">
      <c r="B121" s="19" t="s">
        <v>122</v>
      </c>
      <c r="D121" s="19" t="s">
        <v>123</v>
      </c>
      <c r="E121" s="19" t="s">
        <v>124</v>
      </c>
    </row>
    <row r="123" customFormat="false" ht="15" hidden="false" customHeight="true" outlineLevel="0" collapsed="false">
      <c r="B123" s="15" t="s">
        <v>4052</v>
      </c>
    </row>
    <row r="124" customFormat="false" ht="81.75" hidden="false" customHeight="true" outlineLevel="0" collapsed="false">
      <c r="B124" s="112"/>
    </row>
    <row r="125" customFormat="false" ht="15" hidden="false" customHeight="true" outlineLevel="0" collapsed="false">
      <c r="C125" s="160"/>
    </row>
    <row r="126" customFormat="false" ht="15" hidden="false" customHeight="true" outlineLevel="0" collapsed="false">
      <c r="B126" s="18"/>
      <c r="C126" s="18"/>
      <c r="D126" s="18"/>
      <c r="E126" s="18"/>
      <c r="F126" s="18"/>
      <c r="G126" s="18"/>
      <c r="H126" s="18"/>
    </row>
    <row r="127" customFormat="false" ht="15" hidden="false" customHeight="true" outlineLevel="0" collapsed="false">
      <c r="C127" s="161"/>
    </row>
    <row r="128" customFormat="false" ht="15" hidden="false" customHeight="true" outlineLevel="0" collapsed="false">
      <c r="C128" s="161"/>
    </row>
    <row r="129" customFormat="false" ht="15" hidden="false" customHeight="true" outlineLevel="0" collapsed="false">
      <c r="C129" s="161"/>
    </row>
    <row r="130" customFormat="false" ht="15" hidden="false" customHeight="true" outlineLevel="0" collapsed="false">
      <c r="C130" s="161"/>
    </row>
    <row r="131" customFormat="false" ht="15" hidden="false" customHeight="true" outlineLevel="0" collapsed="false">
      <c r="C131" s="162"/>
    </row>
    <row r="132" customFormat="false" ht="15" hidden="false" customHeight="true" outlineLevel="0" collapsed="false">
      <c r="C132" s="161"/>
    </row>
    <row r="133" customFormat="false" ht="15" hidden="false" customHeight="true" outlineLevel="0" collapsed="false">
      <c r="C133" s="143"/>
    </row>
  </sheetData>
  <mergeCells count="8">
    <mergeCell ref="B3:G3"/>
    <mergeCell ref="B7:D7"/>
    <mergeCell ref="B34:D34"/>
    <mergeCell ref="B43:D43"/>
    <mergeCell ref="B60:D60"/>
    <mergeCell ref="B83:D83"/>
    <mergeCell ref="B89:D89"/>
    <mergeCell ref="B109:G10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2026-10-02T13:35:00Z</dcterms:created>
  <dc:creator>openpyxl</dc:creator>
  <dc:description/>
  <dc:language>en-US</dc:language>
  <cp:lastModifiedBy/>
  <dcterms:modified xsi:type="dcterms:W3CDTF">2026-10-08T11:20:47Z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