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23.xml" ContentType="application/vnd.openxmlformats-officedocument.spreadsheetml.comments+xml"/>
  <Override PartName="/xl/comments22.xml" ContentType="application/vnd.openxmlformats-officedocument.spreadsheetml.comments+xml"/>
  <Override PartName="/xl/styles.xml" ContentType="application/vnd.openxmlformats-officedocument.spreadsheetml.styles+xml"/>
  <Override PartName="/xl/comments11.xml" ContentType="application/vnd.openxmlformats-officedocument.spreadsheetml.comments+xml"/>
  <Override PartName="/xl/comments10.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6.xml" ContentType="application/vnd.openxmlformats-officedocument.spreadsheetml.comments+xml"/>
  <Override PartName="/xl/comments16.xml" ContentType="application/vnd.openxmlformats-officedocument.spreadsheetml.comments+xml"/>
  <Override PartName="/xl/comments26.xml" ContentType="application/vnd.openxmlformats-officedocument.spreadsheetml.comments+xml"/>
  <Override PartName="/xl/comments15.xml" ContentType="application/vnd.openxmlformats-officedocument.spreadsheetml.comments+xml"/>
  <Override PartName="/xl/comments5.xml" ContentType="application/vnd.openxmlformats-officedocument.spreadsheetml.comments+xml"/>
  <Override PartName="/xl/comments27.xml" ContentType="application/vnd.openxmlformats-officedocument.spreadsheetml.comments+xml"/>
  <Override PartName="/xl/comments4.xml" ContentType="application/vnd.openxmlformats-officedocument.spreadsheetml.comments+xml"/>
  <Override PartName="/xl/comments14.xml" ContentType="application/vnd.openxmlformats-officedocument.spreadsheetml.comments+xml"/>
  <Override PartName="/xl/comments28.xml" ContentType="application/vnd.openxmlformats-officedocument.spreadsheetml.comments+xml"/>
  <Override PartName="/xl/comments30.xml" ContentType="application/vnd.openxmlformats-officedocument.spreadsheetml.comments+xml"/>
  <Override PartName="/xl/comments29.xml" ContentType="application/vnd.openxmlformats-officedocument.spreadsheetml.comments+xml"/>
  <Override PartName="/xl/drawings/vmlDrawing13.vml" ContentType="application/vnd.openxmlformats-officedocument.vmlDrawing"/>
  <Override PartName="/xl/drawings/vmlDrawing12.vml" ContentType="application/vnd.openxmlformats-officedocument.vmlDrawing"/>
  <Override PartName="/xl/drawings/vmlDrawing11.vml" ContentType="application/vnd.openxmlformats-officedocument.vmlDrawing"/>
  <Override PartName="/xl/drawings/vmlDrawing10.vml" ContentType="application/vnd.openxmlformats-officedocument.vmlDrawing"/>
  <Override PartName="/xl/drawings/vmlDrawing9.vml" ContentType="application/vnd.openxmlformats-officedocument.vmlDrawing"/>
  <Override PartName="/xl/drawings/vmlDrawing8.vml" ContentType="application/vnd.openxmlformats-officedocument.vmlDrawing"/>
  <Override PartName="/xl/drawings/vmlDrawing7.vml" ContentType="application/vnd.openxmlformats-officedocument.vmlDrawing"/>
  <Override PartName="/xl/drawings/vmlDrawing6.vml" ContentType="application/vnd.openxmlformats-officedocument.vmlDrawing"/>
  <Override PartName="/xl/drawings/vmlDrawing5.vml" ContentType="application/vnd.openxmlformats-officedocument.vmlDrawing"/>
  <Override PartName="/xl/drawings/vmlDrawing4.vml" ContentType="application/vnd.openxmlformats-officedocument.vmlDrawing"/>
  <Override PartName="/xl/drawings/vmlDrawing3.vml" ContentType="application/vnd.openxmlformats-officedocument.vmlDrawing"/>
  <Override PartName="/xl/drawings/vmlDrawing2.vml" ContentType="application/vnd.openxmlformats-officedocument.vmlDrawing"/>
  <Override PartName="/xl/drawings/vmlDrawing1.vml" ContentType="application/vnd.openxmlformats-officedocument.vmlDrawing"/>
  <Override PartName="/xl/drawings/vmlDrawing14.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vmlDrawing29.vml" ContentType="application/vnd.openxmlformats-officedocument.vmlDrawing"/>
  <Override PartName="/xl/drawings/vmlDrawing17.vml" ContentType="application/vnd.openxmlformats-officedocument.vmlDrawing"/>
  <Override PartName="/xl/drawings/vmlDrawing28.vml" ContentType="application/vnd.openxmlformats-officedocument.vmlDrawing"/>
  <Override PartName="/xl/drawings/vmlDrawing27.vml" ContentType="application/vnd.openxmlformats-officedocument.vmlDrawing"/>
  <Override PartName="/xl/drawings/vmlDrawing26.vml" ContentType="application/vnd.openxmlformats-officedocument.vmlDrawing"/>
  <Override PartName="/xl/drawings/vmlDrawing25.vml" ContentType="application/vnd.openxmlformats-officedocument.vmlDrawing"/>
  <Override PartName="/xl/drawings/vmlDrawing24.vml" ContentType="application/vnd.openxmlformats-officedocument.vmlDrawing"/>
  <Override PartName="/xl/drawings/vmlDrawing23.vml" ContentType="application/vnd.openxmlformats-officedocument.vmlDrawing"/>
  <Override PartName="/xl/drawings/vmlDrawing22.vml" ContentType="application/vnd.openxmlformats-officedocument.vmlDrawing"/>
  <Override PartName="/xl/drawings/vmlDrawing21.vml" ContentType="application/vnd.openxmlformats-officedocument.vmlDrawing"/>
  <Override PartName="/xl/drawings/vmlDrawing19.vml" ContentType="application/vnd.openxmlformats-officedocument.vmlDrawing"/>
  <Override PartName="/xl/drawings/vmlDrawing20.vml" ContentType="application/vnd.openxmlformats-officedocument.vmlDrawing"/>
  <Override PartName="/xl/drawings/vmlDrawing18.vml" ContentType="application/vnd.openxmlformats-officedocument.vmlDrawing"/>
  <Override PartName="/xl/comments24.xml" ContentType="application/vnd.openxmlformats-officedocument.spreadsheetml.comments+xml"/>
  <Override PartName="/xl/_rels/workbook.xml.rels" ContentType="application/vnd.openxmlformats-package.relationships+xml"/>
  <Override PartName="/xl/comments2.xml" ContentType="application/vnd.openxmlformats-officedocument.spreadsheetml.comments+xml"/>
  <Override PartName="/xl/comments12.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worksheets/_rels/sheet27.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31.xml.rels" ContentType="application/vnd.openxmlformats-package.relationships+xml"/>
  <Override PartName="/xl/worksheets/_rels/sheet29.xml.rels" ContentType="application/vnd.openxmlformats-package.relationships+xml"/>
  <Override PartName="/xl/worksheets/_rels/sheet9.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28.xml.rels" ContentType="application/vnd.openxmlformats-package.relationships+xml"/>
  <Override PartName="/xl/worksheets/_rels/sheet30.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11.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2.xml.rels" ContentType="application/vnd.openxmlformats-package.relationships+xml"/>
  <Override PartName="/xl/worksheets/_rels/sheet17.xml.rels" ContentType="application/vnd.openxmlformats-package.relationships+xml"/>
  <Override PartName="/xl/worksheets/_rels/sheet3.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4.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22.xml.rels" ContentType="application/vnd.openxmlformats-package.relationships+xml"/>
  <Override PartName="/xl/worksheets/_rels/sheet23.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_rels/sheet26.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omments9.xml" ContentType="application/vnd.openxmlformats-officedocument.spreadsheetml.comments+xml"/>
  <Override PartName="/xl/comments19.xml" ContentType="application/vnd.openxmlformats-officedocument.spreadsheetml.comments+xml"/>
  <Override PartName="/xl/comments21.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01 Borrowing" sheetId="2" state="visible" r:id="rId4"/>
    <sheet name="C02 Mortgage repayment" sheetId="3" state="visible" r:id="rId5"/>
    <sheet name="C03 Deposit" sheetId="4" state="visible" r:id="rId6"/>
    <sheet name="C04 Mortgage overpayment" sheetId="5" state="visible" r:id="rId7"/>
    <sheet name="C05 Interest rate impact" sheetId="6" state="visible" r:id="rId8"/>
    <sheet name="C06 Term comparison" sheetId="7" state="visible" r:id="rId9"/>
    <sheet name="C07 Rent vs buy" sheetId="8" state="visible" r:id="rId10"/>
    <sheet name="C08 Goal planner" sheetId="9" state="visible" r:id="rId11"/>
    <sheet name="C09 Compound growth" sheetId="10" state="visible" r:id="rId12"/>
    <sheet name="C10 Lump sum growth" sheetId="11" state="visible" r:id="rId13"/>
    <sheet name="C11 Emergency fund" sheetId="12" state="visible" r:id="rId14"/>
    <sheet name="C12 Retirement projection" sheetId="13" state="visible" r:id="rId15"/>
    <sheet name="C13 Contribution impact" sheetId="14" state="visible" r:id="rId16"/>
    <sheet name="C14 AVC impact" sheetId="15" state="visible" r:id="rId17"/>
    <sheet name="C15 Will my money last" sheetId="16" state="visible" r:id="rId18"/>
    <sheet name="C16 Drawdown scenarios" sheetId="17" state="visible" r:id="rId19"/>
    <sheet name="C17 Inflation adjusted return" sheetId="18" state="visible" r:id="rId20"/>
    <sheet name="C18 Regular investing" sheetId="19" state="visible" r:id="rId21"/>
    <sheet name="C19 Fees impact" sheetId="20" state="visible" r:id="rId22"/>
    <sheet name="C20 Risk and return" sheetId="21" state="visible" r:id="rId23"/>
    <sheet name="C21 Life cover" sheetId="22" state="visible" r:id="rId24"/>
    <sheet name="C22 Income protection gap" sheetId="23" state="visible" r:id="rId25"/>
    <sheet name="C23 Mortgage protection" sheetId="24" state="visible" r:id="rId26"/>
    <sheet name="C24 Net worth" sheetId="25" state="visible" r:id="rId27"/>
    <sheet name="C25 Monthly surplus" sheetId="26" state="visible" r:id="rId28"/>
    <sheet name="C26 Budget 50 30 20" sheetId="27" state="visible" r:id="rId29"/>
    <sheet name="C27 Debt repayment" sheetId="28" state="visible" r:id="rId30"/>
    <sheet name="C28 Loan repayment" sheetId="29" state="visible" r:id="rId31"/>
    <sheet name="Tax engine" sheetId="30" state="visible" r:id="rId32"/>
    <sheet name="Document reader spec" sheetId="31" state="visible" r:id="rId33"/>
    <sheet name="Assumptions" sheetId="32" state="visible" r:id="rId34"/>
  </sheets>
  <definedNames>
    <definedName function="false" hidden="false" name="Band_Married" vbProcedure="false">Assumptions!$C$12</definedName>
    <definedName function="false" hidden="false" name="Band_Second_Earner_Max" vbProcedure="false">Assumptions!$C$13</definedName>
    <definedName function="false" hidden="false" name="Band_Single" vbProcedure="false">Assumptions!$C$10</definedName>
    <definedName function="false" hidden="false" name="Band_Single_Parent" vbProcedure="false">Assumptions!$C$11</definedName>
    <definedName function="false" hidden="false" name="Cap_Months" vbProcedure="false">Assumptions!$C$98</definedName>
    <definedName function="false" hidden="false" name="Cap_Years" vbProcedure="false">Assumptions!$C$99</definedName>
    <definedName function="false" hidden="false" name="Credit_Home_Carer" vbProcedure="false">Assumptions!$C$23</definedName>
    <definedName function="false" hidden="false" name="Credit_PAYE" vbProcedure="false">Assumptions!$C$18</definedName>
    <definedName function="false" hidden="false" name="Credit_PAYE_Cap_Pct" vbProcedure="false">Assumptions!$C$19</definedName>
    <definedName function="false" hidden="false" name="Credit_Personal_Married" vbProcedure="false">Assumptions!$C$17</definedName>
    <definedName function="false" hidden="false" name="Credit_Personal_Single" vbProcedure="false">Assumptions!$C$16</definedName>
    <definedName function="false" hidden="false" name="Credit_Rent_Joint" vbProcedure="false">Assumptions!$C$22</definedName>
    <definedName function="false" hidden="false" name="Credit_Rent_Single" vbProcedure="false">Assumptions!$C$21</definedName>
    <definedName function="false" hidden="false" name="Credit_SPCCC" vbProcedure="false">Assumptions!$C$20</definedName>
    <definedName function="false" hidden="false" name="Deemed_Disposal_Years" vbProcedure="false">Assumptions!$C$75</definedName>
    <definedName function="false" hidden="false" name="DIRT" vbProcedure="false">Assumptions!$C$73</definedName>
    <definedName function="false" hidden="false" name="Exit_Tax" vbProcedure="false">Assumptions!$C$74</definedName>
    <definedName function="false" hidden="false" name="Fill_Example" vbProcedure="false">README!$C$3</definedName>
    <definedName function="false" hidden="false" name="Illness_Benefit_Week" vbProcedure="false">Assumptions!$C$68</definedName>
    <definedName function="false" hidden="false" name="IP_Max_Pct" vbProcedure="false">Assumptions!$C$69</definedName>
    <definedName function="false" hidden="false" name="Life_Levy" vbProcedure="false">Assumptions!$C$76</definedName>
    <definedName function="false" hidden="false" name="LTI_FTB" vbProcedure="false">Assumptions!$C$79</definedName>
    <definedName function="false" hidden="false" name="LTI_SSB" vbProcedure="false">Assumptions!$C$80</definedName>
    <definedName function="false" hidden="false" name="LTV_Max" vbProcedure="false">Assumptions!$C$81</definedName>
    <definedName function="false" hidden="false" name="Lump_Sum_Cap" vbProcedure="false">Assumptions!$C$55</definedName>
    <definedName function="false" hidden="false" name="Lump_Sum_Max_Pct" vbProcedure="false">Assumptions!$C$53</definedName>
    <definedName function="false" hidden="false" name="Lump_Sum_Rate" vbProcedure="false">Assumptions!$C$56</definedName>
    <definedName function="false" hidden="false" name="Lump_Sum_Tax_Free" vbProcedure="false">Assumptions!$C$54</definedName>
    <definedName function="false" hidden="false" name="Min_Deposit_Pct" vbProcedure="false">Assumptions!$C$82</definedName>
    <definedName function="false" hidden="false" name="MP_Year_1" vbProcedure="false">Assumptions!$C$100</definedName>
    <definedName function="false" hidden="false" name="MP_Year_2" vbProcedure="false">Assumptions!$C$101</definedName>
    <definedName function="false" hidden="false" name="MP_Year_3" vbProcedure="false">Assumptions!$C$102</definedName>
    <definedName function="false" hidden="false" name="One_In_20_Z" vbProcedure="false">Assumptions!$C$103</definedName>
    <definedName function="false" hidden="false" name="Pension_Earliest_Age" vbProcedure="false">Assumptions!$C$59</definedName>
    <definedName function="false" hidden="false" name="PRSI_Credit_Max" vbProcedure="false">Assumptions!$C$40</definedName>
    <definedName function="false" hidden="false" name="PRSI_Credit_Taper" vbProcedure="false">Assumptions!$C$42</definedName>
    <definedName function="false" hidden="false" name="PRSI_Credit_Top" vbProcedure="false">Assumptions!$C$41</definedName>
    <definedName function="false" hidden="false" name="PRSI_Free_Week" vbProcedure="false">Assumptions!$C$39</definedName>
    <definedName function="false" hidden="false" name="PRSI_Rate" vbProcedure="false">Assumptions!$C$37</definedName>
    <definedName function="false" hidden="false" name="PRSI_Rate_2026_Blend" vbProcedure="false">Assumptions!$C$38</definedName>
    <definedName function="false" hidden="false" name="Rate_Higher" vbProcedure="false">Assumptions!$C$15</definedName>
    <definedName function="false" hidden="false" name="Rate_Standard" vbProcedure="false">Assumptions!$C$14</definedName>
    <definedName function="false" hidden="false" name="Reader_Confidence_Min" vbProcedure="false">Assumptions!$C$95</definedName>
    <definedName function="false" hidden="false" name="Relief_Age_From" vbProcedure="false">Assumptions!$C$46:$C$51</definedName>
    <definedName function="false" hidden="false" name="Relief_Age_Pct" vbProcedure="false">Assumptions!$D$46:$D$51</definedName>
    <definedName function="false" hidden="false" name="Relief_Earnings_Cap" vbProcedure="false">Assumptions!$C$52</definedName>
    <definedName function="false" hidden="false" name="Risk_Names" vbProcedure="false">Assumptions!$C$104:$C$106</definedName>
    <definedName function="false" hidden="false" name="SD_Band_1" vbProcedure="false">Assumptions!$C$85</definedName>
    <definedName function="false" hidden="false" name="SD_Band_2" vbProcedure="false">Assumptions!$C$87</definedName>
    <definedName function="false" hidden="false" name="SD_Rate_1" vbProcedure="false">Assumptions!$C$84</definedName>
    <definedName function="false" hidden="false" name="SD_Rate_2" vbProcedure="false">Assumptions!$C$86</definedName>
    <definedName function="false" hidden="false" name="SD_Rate_3" vbProcedure="false">Assumptions!$C$88</definedName>
    <definedName function="false" hidden="false" name="SFT_2026" vbProcedure="false">Assumptions!$C$57</definedName>
    <definedName function="false" hidden="false" name="SFT_Tax" vbProcedure="false">Assumptions!$C$58</definedName>
    <definedName function="false" hidden="false" name="Shares_For_Balanced" vbProcedure="false">Assumptions!$C$93</definedName>
    <definedName function="false" hidden="false" name="Shares_For_Growth" vbProcedure="false">Assumptions!$C$92</definedName>
    <definedName function="false" hidden="false" name="Statement_Max_Age_Days" vbProcedure="false">Assumptions!$C$94</definedName>
    <definedName function="false" hidden="false" name="State_Pension_Age" vbProcedure="false">Assumptions!$C$65</definedName>
    <definedName function="false" hidden="false" name="State_Pension_Week" vbProcedure="false">Assumptions!$C$63</definedName>
    <definedName function="false" hidden="false" name="State_Pension_Year" vbProcedure="false">Assumptions!$C$64</definedName>
    <definedName function="false" hidden="false" name="Survivor_Pension_Week" vbProcedure="false">Assumptions!$C$66</definedName>
    <definedName function="false" hidden="false" name="Survivor_Pension_Week_66" vbProcedure="false">Assumptions!$C$67</definedName>
    <definedName function="false" hidden="false" name="TE_Band" vbProcedure="false">'Tax engine'!$C$15</definedName>
    <definedName function="false" hidden="false" name="TE_Checks" vbProcedure="false">'Tax engine'!$Q$46</definedName>
    <definedName function="false" hidden="false" name="TE_Credits" vbProcedure="false">'Tax engine'!$C$18</definedName>
    <definedName function="false" hidden="false" name="TE_Earner_2" vbProcedure="false">'Tax engine'!$C$14</definedName>
    <definedName function="false" hidden="false" name="TE_Gross_1" vbProcedure="false">'Tax engine'!$G$6</definedName>
    <definedName function="false" hidden="false" name="TE_Gross_1_Entry" vbProcedure="false">'Tax engine'!$C$6</definedName>
    <definedName function="false" hidden="false" name="TE_Gross_2" vbProcedure="false">'Tax engine'!$G$7</definedName>
    <definedName function="false" hidden="false" name="TE_Gross_2_Entry" vbProcedure="false">'Tax engine'!$C$7</definedName>
    <definedName function="false" hidden="false" name="TE_Home_Carer" vbProcedure="false">'Tax engine'!$G$9</definedName>
    <definedName function="false" hidden="false" name="TE_Home_Carer_Entry" vbProcedure="false">'Tax engine'!$C$9</definedName>
    <definedName function="false" hidden="false" name="TE_Income_Tax" vbProcedure="false">'Tax engine'!$C$19</definedName>
    <definedName function="false" hidden="false" name="TE_Marginal_Rate" vbProcedure="false">'Tax engine'!$C$24</definedName>
    <definedName function="false" hidden="false" name="TE_Need" vbProcedure="false">'Tax engine'!$C$25</definedName>
    <definedName function="false" hidden="false" name="TE_PRSI" vbProcedure="false">'Tax engine'!$C$21</definedName>
    <definedName function="false" hidden="false" name="TE_PRSI_Basis" vbProcedure="false">'Tax engine'!$G$10</definedName>
    <definedName function="false" hidden="false" name="TE_PRSI_Basis_Entry" vbProcedure="false">'Tax engine'!$C$10</definedName>
    <definedName function="false" hidden="false" name="TE_PRSI_Rate_Used" vbProcedure="false">'Tax engine'!$C$13</definedName>
    <definedName function="false" hidden="false" name="TE_Rent_Credit" vbProcedure="false">'Tax engine'!$G$8</definedName>
    <definedName function="false" hidden="false" name="TE_Rent_Credit_Entry" vbProcedure="false">'Tax engine'!$C$8</definedName>
    <definedName function="false" hidden="false" name="TE_Status" vbProcedure="false">'Tax engine'!$G$5</definedName>
    <definedName function="false" hidden="false" name="TE_Status_Entry" vbProcedure="false">'Tax engine'!$C$5</definedName>
    <definedName function="false" hidden="false" name="TE_Take_Home" vbProcedure="false">'Tax engine'!$C$22</definedName>
    <definedName function="false" hidden="false" name="TE_Take_Home_Month" vbProcedure="false">'Tax engine'!$C$23</definedName>
    <definedName function="false" hidden="false" name="TE_Taxable" vbProcedure="false">'Tax engine'!$C$16</definedName>
    <definedName function="false" hidden="false" name="TE_Tax_Before_Credits" vbProcedure="false">'Tax engine'!$C$17</definedName>
    <definedName function="false" hidden="false" name="TE_USC" vbProcedure="false">'Tax engine'!$C$20</definedName>
    <definedName function="false" hidden="false" name="USC_Band_1" vbProcedure="false">Assumptions!$C$27</definedName>
    <definedName function="false" hidden="false" name="USC_Band_2" vbProcedure="false">Assumptions!$C$28</definedName>
    <definedName function="false" hidden="false" name="USC_Band_3" vbProcedure="false">Assumptions!$C$29</definedName>
    <definedName function="false" hidden="false" name="USC_Exempt" vbProcedure="false">Assumptions!$C$26</definedName>
    <definedName function="false" hidden="false" name="USC_Rate_1" vbProcedure="false">Assumptions!$C$30</definedName>
    <definedName function="false" hidden="false" name="USC_Rate_2" vbProcedure="false">Assumptions!$C$31</definedName>
    <definedName function="false" hidden="false" name="USC_Rate_3" vbProcedure="false">Assumptions!$C$32</definedName>
    <definedName function="false" hidden="false" name="USC_Rate_4" vbProcedure="false">Assumptions!$C$33</definedName>
    <definedName function="false" hidden="false" name="Weeks_Per_Year" vbProcedure="false">Assumptions!$C$70</definedName>
    <definedName function="false" hidden="false" localSheetId="1" name="Borrow_By_Income" vbProcedure="false">'C01 Borrowing'!$C$21</definedName>
    <definedName function="false" hidden="false" localSheetId="1" name="Buying_Fees" vbProcedure="false">'C01 Borrowing'!$G$12</definedName>
    <definedName function="false" hidden="false" localSheetId="1" name="Buying_Fees_Entry" vbProcedure="false">'C01 Borrowing'!$C$12</definedName>
    <definedName function="false" hidden="false" localSheetId="1" name="Cash_At_Band_1" vbProcedure="false">'C01 Borrowing'!$C$25</definedName>
    <definedName function="false" hidden="false" localSheetId="1" name="Cash_At_Band_2" vbProcedure="false">'C01 Borrowing'!$C$26</definedName>
    <definedName function="false" hidden="false" localSheetId="1" name="Cash_For_Price" vbProcedure="false">'C01 Borrowing'!$C$24</definedName>
    <definedName function="false" hidden="false" localSheetId="1" name="Deposit" vbProcedure="false">'C01 Borrowing'!$G$8</definedName>
    <definedName function="false" hidden="false" localSheetId="1" name="Deposit_Entry" vbProcedure="false">'C01 Borrowing'!$C$8</definedName>
    <definedName function="false" hidden="false" localSheetId="1" name="Extra_Deposit" vbProcedure="false">'C01 Borrowing'!$G$14</definedName>
    <definedName function="false" hidden="false" localSheetId="1" name="Extra_Deposit_Entry" vbProcedure="false">'C01 Borrowing'!$C$14</definedName>
    <definedName function="false" hidden="false" localSheetId="1" name="First_Time_Buyer" vbProcedure="false">'C01 Borrowing'!$G$9</definedName>
    <definedName function="false" hidden="false" localSheetId="1" name="First_Time_Buyer_Entry" vbProcedure="false">'C01 Borrowing'!$C$9</definedName>
    <definedName function="false" hidden="false" localSheetId="1" name="Home_Goal_Years" vbProcedure="false">'C01 Borrowing'!$G$13</definedName>
    <definedName function="false" hidden="false" localSheetId="1" name="Home_Goal_Years_Entry" vbProcedure="false">'C01 Borrowing'!$C$13</definedName>
    <definedName function="false" hidden="false" localSheetId="1" name="Home_Price" vbProcedure="false">'C01 Borrowing'!$C$17</definedName>
    <definedName function="false" hidden="false" localSheetId="1" name="Income" vbProcedure="false">'C01 Borrowing'!$G$6</definedName>
    <definedName function="false" hidden="false" localSheetId="1" name="Income_Cash" vbProcedure="false">'C01 Borrowing'!$C$28</definedName>
    <definedName function="false" hidden="false" localSheetId="1" name="Income_Entry" vbProcedure="false">'C01 Borrowing'!$C$6</definedName>
    <definedName function="false" hidden="false" localSheetId="1" name="Income_Multiple" vbProcedure="false">'C01 Borrowing'!$C$22</definedName>
    <definedName function="false" hidden="false" localSheetId="1" name="Interest_Rate" vbProcedure="false">'C01 Borrowing'!$G$10</definedName>
    <definedName function="false" hidden="false" localSheetId="1" name="Interest_Rate_Entry" vbProcedure="false">'C01 Borrowing'!$C$10</definedName>
    <definedName function="false" hidden="false" localSheetId="1" name="Limit_Set_By" vbProcedure="false">'C01 Borrowing'!$C$30</definedName>
    <definedName function="false" hidden="false" localSheetId="1" name="Max_Loan" vbProcedure="false">'C01 Borrowing'!$C$18</definedName>
    <definedName function="false" hidden="false" localSheetId="1" name="Monthly_Repayment" vbProcedure="false">'C01 Borrowing'!$C$19</definedName>
    <definedName function="false" hidden="false" localSheetId="1" name="Need_1" vbProcedure="false">'C01 Borrowing'!$C$49</definedName>
    <definedName function="false" hidden="false" localSheetId="1" name="Need_2" vbProcedure="false">'C01 Borrowing'!$C$50</definedName>
    <definedName function="false" hidden="false" localSheetId="1" name="Need_3" vbProcedure="false">'C01 Borrowing'!$C$51</definedName>
    <definedName function="false" hidden="false" localSheetId="1" name="Need_4" vbProcedure="false">'C01 Borrowing'!$C$52</definedName>
    <definedName function="false" hidden="false" localSheetId="1" name="Need_5" vbProcedure="false">'C01 Borrowing'!$C$53</definedName>
    <definedName function="false" hidden="false" localSheetId="1" name="Need_6" vbProcedure="false">'C01 Borrowing'!$C$54</definedName>
    <definedName function="false" hidden="false" localSheetId="1" name="Need_7" vbProcedure="false">'C01 Borrowing'!$C$55</definedName>
    <definedName function="false" hidden="false" localSheetId="1" name="Partner_Income" vbProcedure="false">'C01 Borrowing'!$G$7</definedName>
    <definedName function="false" hidden="false" localSheetId="1" name="Partner_Income_Entry" vbProcedure="false">'C01 Borrowing'!$C$7</definedName>
    <definedName function="false" hidden="false" localSheetId="1" name="Plan_Goal_Amount" vbProcedure="false">'C01 Borrowing'!$C$44</definedName>
    <definedName function="false" hidden="false" localSheetId="1" name="Plan_Goal_Kind" vbProcedure="false">'C01 Borrowing'!$C$43</definedName>
    <definedName function="false" hidden="false" localSheetId="1" name="Plan_Goal_Saved" vbProcedure="false">'C01 Borrowing'!$C$45</definedName>
    <definedName function="false" hidden="false" localSheetId="1" name="Plan_Goal_Years" vbProcedure="false">'C01 Borrowing'!$C$46</definedName>
    <definedName function="false" hidden="false" localSheetId="1" name="Price_By_Deposit" vbProcedure="false">'C01 Borrowing'!$C$27</definedName>
    <definedName function="false" hidden="false" localSheetId="1" name="Price_By_Income" vbProcedure="false">'C01 Borrowing'!$C$29</definedName>
    <definedName function="false" hidden="false" localSheetId="1" name="Stamp_Duty" vbProcedure="false">'C01 Borrowing'!$C$20</definedName>
    <definedName function="false" hidden="false" localSheetId="1" name="Term_Years" vbProcedure="false">'C01 Borrowing'!$G$11</definedName>
    <definedName function="false" hidden="false" localSheetId="1" name="Term_Years_Entry" vbProcedure="false">'C01 Borrowing'!$C$11</definedName>
    <definedName function="false" hidden="false" localSheetId="1" name="Total_Deposit" vbProcedure="false">'C01 Borrowing'!$C$23</definedName>
    <definedName function="false" hidden="false" localSheetId="2" name="Actual_Repayment" vbProcedure="false">'C02 Mortgage repayment'!$G$17</definedName>
    <definedName function="false" hidden="false" localSheetId="2" name="Actual_Repayment_Entry" vbProcedure="false">'C02 Mortgage repayment'!$C$17</definedName>
    <definedName function="false" hidden="false" localSheetId="2" name="Change_Per_Year" vbProcedure="false">'C02 Mortgage repayment'!$C$38</definedName>
    <definedName function="false" hidden="false" localSheetId="2" name="Final_Payment" vbProcedure="false">'C02 Mortgage repayment'!$C$35</definedName>
    <definedName function="false" hidden="false" localSheetId="2" name="Formula_Repayment" vbProcedure="false">'C02 Mortgage repayment'!$C$34</definedName>
    <definedName function="false" hidden="false" localSheetId="2" name="Home_Goal_Years" vbProcedure="false">'C02 Mortgage repayment'!$G$18</definedName>
    <definedName function="false" hidden="false" localSheetId="2" name="Home_Goal_Years_Entry" vbProcedure="false">'C02 Mortgage repayment'!$C$18</definedName>
    <definedName function="false" hidden="false" localSheetId="2" name="Interest_Rate" vbProcedure="false">'C02 Mortgage repayment'!$G$15</definedName>
    <definedName function="false" hidden="false" localSheetId="2" name="Interest_Rate_Entry" vbProcedure="false">'C02 Mortgage repayment'!$C$15</definedName>
    <definedName function="false" hidden="false" localSheetId="2" name="Loan_Amount" vbProcedure="false">'C02 Mortgage repayment'!$G$14</definedName>
    <definedName function="false" hidden="false" localSheetId="2" name="Loan_Amount_Entry" vbProcedure="false">'C02 Mortgage repayment'!$C$14</definedName>
    <definedName function="false" hidden="false" localSheetId="2" name="Monthly_Rate" vbProcedure="false">'C02 Mortgage repayment'!$C$33</definedName>
    <definedName function="false" hidden="false" localSheetId="2" name="Monthly_Repayment" vbProcedure="false">'C02 Mortgage repayment'!$C$29</definedName>
    <definedName function="false" hidden="false" localSheetId="2" name="Months_To_Pay" vbProcedure="false">'C02 Mortgage repayment'!$C$30</definedName>
    <definedName function="false" hidden="false" localSheetId="2" name="Need_1" vbProcedure="false">'C02 Mortgage repayment'!$C$57</definedName>
    <definedName function="false" hidden="false" localSheetId="2" name="Need_2" vbProcedure="false">'C02 Mortgage repayment'!$C$58</definedName>
    <definedName function="false" hidden="false" localSheetId="2" name="Need_3" vbProcedure="false">'C02 Mortgage repayment'!$C$59</definedName>
    <definedName function="false" hidden="false" localSheetId="2" name="Need_4" vbProcedure="false">'C02 Mortgage repayment'!$C$60</definedName>
    <definedName function="false" hidden="false" localSheetId="2" name="Need_5" vbProcedure="false">'C02 Mortgage repayment'!$C$61</definedName>
    <definedName function="false" hidden="false" localSheetId="2" name="New_Rate" vbProcedure="false">'C02 Mortgage repayment'!$C$36</definedName>
    <definedName function="false" hidden="false" localSheetId="2" name="Plan_Goal_Amount" vbProcedure="false">'C02 Mortgage repayment'!$C$52</definedName>
    <definedName function="false" hidden="false" localSheetId="2" name="Plan_Goal_Kind" vbProcedure="false">'C02 Mortgage repayment'!$C$51</definedName>
    <definedName function="false" hidden="false" localSheetId="2" name="Plan_Goal_Years" vbProcedure="false">'C02 Mortgage repayment'!$C$53</definedName>
    <definedName function="false" hidden="false" localSheetId="2" name="Rate_Change" vbProcedure="false">'C02 Mortgage repayment'!$G$19</definedName>
    <definedName function="false" hidden="false" localSheetId="2" name="Rate_Change_Entry" vbProcedure="false">'C02 Mortgage repayment'!$C$19</definedName>
    <definedName function="false" hidden="false" localSheetId="2" name="Repayment_If_Changed" vbProcedure="false">'C02 Mortgage repayment'!$C$37</definedName>
    <definedName function="false" hidden="false" localSheetId="2" name="Statement_Check" vbProcedure="false">'C02 Mortgage repayment'!$C$26</definedName>
    <definedName function="false" hidden="false" localSheetId="2" name="Stmt_Balance" vbProcedure="false">'C02 Mortgage repayment'!$C$7</definedName>
    <definedName function="false" hidden="false" localSheetId="2" name="Stmt_Rate" vbProcedure="false">'C02 Mortgage repayment'!$C$8</definedName>
    <definedName function="false" hidden="false" localSheetId="2" name="Stmt_Repayment" vbProcedure="false">'C02 Mortgage repayment'!$C$10</definedName>
    <definedName function="false" hidden="false" localSheetId="2" name="Stmt_Statement_Date" vbProcedure="false">'C02 Mortgage repayment'!$C$11</definedName>
    <definedName function="false" hidden="false" localSheetId="2" name="Stmt_Term" vbProcedure="false">'C02 Mortgage repayment'!$C$9</definedName>
    <definedName function="false" hidden="false" localSheetId="2" name="Term_Years" vbProcedure="false">'C02 Mortgage repayment'!$G$16</definedName>
    <definedName function="false" hidden="false" localSheetId="2" name="Term_Years_Entry" vbProcedure="false">'C02 Mortgage repayment'!$C$16</definedName>
    <definedName function="false" hidden="false" localSheetId="2" name="Total_Interest" vbProcedure="false">'C02 Mortgage repayment'!$C$31</definedName>
    <definedName function="false" hidden="false" localSheetId="2" name="Total_Repaid" vbProcedure="false">'C02 Mortgage repayment'!$C$32</definedName>
    <definedName function="false" hidden="false" localSheetId="2" name="Used_Actual_Repayment" vbProcedure="false">'C02 Mortgage repayment'!$C$25</definedName>
    <definedName function="false" hidden="false" localSheetId="2" name="Used_Interest_Rate" vbProcedure="false">'C02 Mortgage repayment'!$C$23</definedName>
    <definedName function="false" hidden="false" localSheetId="2" name="Used_Loan_Amount" vbProcedure="false">'C02 Mortgage repayment'!$C$22</definedName>
    <definedName function="false" hidden="false" localSheetId="2" name="Used_Term_Years" vbProcedure="false">'C02 Mortgage repayment'!$C$24</definedName>
    <definedName function="false" hidden="false" localSheetId="3" name="Buying_Fees" vbProcedure="false">'C03 Deposit'!$G$8</definedName>
    <definedName function="false" hidden="false" localSheetId="3" name="Buying_Fees_Entry" vbProcedure="false">'C03 Deposit'!$C$8</definedName>
    <definedName function="false" hidden="false" localSheetId="3" name="Deposit_Needed" vbProcedure="false">'C03 Deposit'!$C$17</definedName>
    <definedName function="false" hidden="false" localSheetId="3" name="Deposit_Pct" vbProcedure="false">'C03 Deposit'!$G$7</definedName>
    <definedName function="false" hidden="false" localSheetId="3" name="Deposit_Pct_Entry" vbProcedure="false">'C03 Deposit'!$C$7</definedName>
    <definedName function="false" hidden="false" localSheetId="3" name="Extra_Saving" vbProcedure="false">'C03 Deposit'!$G$11</definedName>
    <definedName function="false" hidden="false" localSheetId="3" name="Extra_Saving_Entry" vbProcedure="false">'C03 Deposit'!$C$11</definedName>
    <definedName function="false" hidden="false" localSheetId="3" name="Home_Price" vbProcedure="false">'C03 Deposit'!$G$6</definedName>
    <definedName function="false" hidden="false" localSheetId="3" name="Home_Price_Entry" vbProcedure="false">'C03 Deposit'!$C$6</definedName>
    <definedName function="false" hidden="false" localSheetId="3" name="Monthly_Saving" vbProcedure="false">'C03 Deposit'!$G$10</definedName>
    <definedName function="false" hidden="false" localSheetId="3" name="Monthly_Saving_Entry" vbProcedure="false">'C03 Deposit'!$C$10</definedName>
    <definedName function="false" hidden="false" localSheetId="3" name="Months_To_Deposit" vbProcedure="false">'C03 Deposit'!$C$14</definedName>
    <definedName function="false" hidden="false" localSheetId="3" name="Need_1" vbProcedure="false">'C03 Deposit'!$C$35</definedName>
    <definedName function="false" hidden="false" localSheetId="3" name="Need_2" vbProcedure="false">'C03 Deposit'!$C$36</definedName>
    <definedName function="false" hidden="false" localSheetId="3" name="Need_3" vbProcedure="false">'C03 Deposit'!$C$37</definedName>
    <definedName function="false" hidden="false" localSheetId="3" name="Need_4" vbProcedure="false">'C03 Deposit'!$C$38</definedName>
    <definedName function="false" hidden="false" localSheetId="3" name="Need_5" vbProcedure="false">'C03 Deposit'!$C$39</definedName>
    <definedName function="false" hidden="false" localSheetId="3" name="Need_6" vbProcedure="false">'C03 Deposit'!$C$40</definedName>
    <definedName function="false" hidden="false" localSheetId="3" name="Plan_Goal_Amount" vbProcedure="false">'C03 Deposit'!$C$30</definedName>
    <definedName function="false" hidden="false" localSheetId="3" name="Plan_Goal_Kind" vbProcedure="false">'C03 Deposit'!$C$29</definedName>
    <definedName function="false" hidden="false" localSheetId="3" name="Plan_Goal_Saved" vbProcedure="false">'C03 Deposit'!$C$31</definedName>
    <definedName function="false" hidden="false" localSheetId="3" name="Plan_Goal_Years" vbProcedure="false">'C03 Deposit'!$C$32</definedName>
    <definedName function="false" hidden="false" localSheetId="3" name="Saved" vbProcedure="false">'C03 Deposit'!$G$9</definedName>
    <definedName function="false" hidden="false" localSheetId="3" name="Saved_Entry" vbProcedure="false">'C03 Deposit'!$C$9</definedName>
    <definedName function="false" hidden="false" localSheetId="3" name="Stamp_Duty" vbProcedure="false">'C03 Deposit'!$C$18</definedName>
    <definedName function="false" hidden="false" localSheetId="3" name="Still_To_Save" vbProcedure="false">'C03 Deposit'!$C$16</definedName>
    <definedName function="false" hidden="false" localSheetId="3" name="Total_Needed" vbProcedure="false">'C03 Deposit'!$C$15</definedName>
    <definedName function="false" hidden="false" localSheetId="4" name="Actual_Repayment" vbProcedure="false">'C04 Mortgage overpayment'!$G$18</definedName>
    <definedName function="false" hidden="false" localSheetId="4" name="Actual_Repayment_Entry" vbProcedure="false">'C04 Mortgage overpayment'!$C$18</definedName>
    <definedName function="false" hidden="false" localSheetId="4" name="Extra_Payment" vbProcedure="false">'C04 Mortgage overpayment'!$G$17</definedName>
    <definedName function="false" hidden="false" localSheetId="4" name="Extra_Payment_Entry" vbProcedure="false">'C04 Mortgage overpayment'!$C$17</definedName>
    <definedName function="false" hidden="false" localSheetId="4" name="Interest_Now" vbProcedure="false">'C04 Mortgage overpayment'!$C$37</definedName>
    <definedName function="false" hidden="false" localSheetId="4" name="Interest_Rate" vbProcedure="false">'C04 Mortgage overpayment'!$G$15</definedName>
    <definedName function="false" hidden="false" localSheetId="4" name="Interest_Rate_Entry" vbProcedure="false">'C04 Mortgage overpayment'!$C$15</definedName>
    <definedName function="false" hidden="false" localSheetId="4" name="Interest_Saved" vbProcedure="false">'C04 Mortgage overpayment'!$C$29</definedName>
    <definedName function="false" hidden="false" localSheetId="4" name="Interest_With_Extra" vbProcedure="false">'C04 Mortgage overpayment'!$C$38</definedName>
    <definedName function="false" hidden="false" localSheetId="4" name="Last_Payment_Now" vbProcedure="false">'C04 Mortgage overpayment'!$C$35</definedName>
    <definedName function="false" hidden="false" localSheetId="4" name="Last_Payment_With_Extra" vbProcedure="false">'C04 Mortgage overpayment'!$C$36</definedName>
    <definedName function="false" hidden="false" localSheetId="4" name="Monthly_Rate" vbProcedure="false">'C04 Mortgage overpayment'!$C$32</definedName>
    <definedName function="false" hidden="false" localSheetId="4" name="Months_Now" vbProcedure="false">'C04 Mortgage overpayment'!$C$30</definedName>
    <definedName function="false" hidden="false" localSheetId="4" name="Months_Sooner" vbProcedure="false">'C04 Mortgage overpayment'!$C$28</definedName>
    <definedName function="false" hidden="false" localSheetId="4" name="Months_With_Extra" vbProcedure="false">'C04 Mortgage overpayment'!$C$31</definedName>
    <definedName function="false" hidden="false" localSheetId="4" name="Mortgage_Balance" vbProcedure="false">'C04 Mortgage overpayment'!$G$14</definedName>
    <definedName function="false" hidden="false" localSheetId="4" name="Mortgage_Balance_Entry" vbProcedure="false">'C04 Mortgage overpayment'!$C$14</definedName>
    <definedName function="false" hidden="false" localSheetId="4" name="Need_1" vbProcedure="false">'C04 Mortgage overpayment'!$C$56</definedName>
    <definedName function="false" hidden="false" localSheetId="4" name="Need_2" vbProcedure="false">'C04 Mortgage overpayment'!$C$57</definedName>
    <definedName function="false" hidden="false" localSheetId="4" name="Need_3" vbProcedure="false">'C04 Mortgage overpayment'!$C$58</definedName>
    <definedName function="false" hidden="false" localSheetId="4" name="Plan_Goal_Kind" vbProcedure="false">'C04 Mortgage overpayment'!$C$51</definedName>
    <definedName function="false" hidden="false" localSheetId="4" name="Plan_Goal_Years" vbProcedure="false">'C04 Mortgage overpayment'!$C$52</definedName>
    <definedName function="false" hidden="false" localSheetId="4" name="Repayment_Now" vbProcedure="false">'C04 Mortgage overpayment'!$C$33</definedName>
    <definedName function="false" hidden="false" localSheetId="4" name="Repayment_With_Extra" vbProcedure="false">'C04 Mortgage overpayment'!$C$34</definedName>
    <definedName function="false" hidden="false" localSheetId="4" name="Statement_Check" vbProcedure="false">'C04 Mortgage overpayment'!$C$25</definedName>
    <definedName function="false" hidden="false" localSheetId="4" name="Stmt_Balance" vbProcedure="false">'C04 Mortgage overpayment'!$C$7</definedName>
    <definedName function="false" hidden="false" localSheetId="4" name="Stmt_Rate" vbProcedure="false">'C04 Mortgage overpayment'!$C$8</definedName>
    <definedName function="false" hidden="false" localSheetId="4" name="Stmt_Repayment" vbProcedure="false">'C04 Mortgage overpayment'!$C$10</definedName>
    <definedName function="false" hidden="false" localSheetId="4" name="Stmt_Statement_Date" vbProcedure="false">'C04 Mortgage overpayment'!$C$11</definedName>
    <definedName function="false" hidden="false" localSheetId="4" name="Stmt_Term" vbProcedure="false">'C04 Mortgage overpayment'!$C$9</definedName>
    <definedName function="false" hidden="false" localSheetId="4" name="Used_Actual_Repayment" vbProcedure="false">'C04 Mortgage overpayment'!$C$24</definedName>
    <definedName function="false" hidden="false" localSheetId="4" name="Used_Interest_Rate" vbProcedure="false">'C04 Mortgage overpayment'!$C$22</definedName>
    <definedName function="false" hidden="false" localSheetId="4" name="Used_Mortgage_Balance" vbProcedure="false">'C04 Mortgage overpayment'!$C$21</definedName>
    <definedName function="false" hidden="false" localSheetId="4" name="Used_Years_Left" vbProcedure="false">'C04 Mortgage overpayment'!$C$23</definedName>
    <definedName function="false" hidden="false" localSheetId="4" name="Years_Left" vbProcedure="false">'C04 Mortgage overpayment'!$G$16</definedName>
    <definedName function="false" hidden="false" localSheetId="4" name="Years_Left_Entry" vbProcedure="false">'C04 Mortgage overpayment'!$C$16</definedName>
    <definedName function="false" hidden="false" localSheetId="5" name="Actual_Repayment" vbProcedure="false">'C05 Interest rate impact'!$G$18</definedName>
    <definedName function="false" hidden="false" localSheetId="5" name="Actual_Repayment_Entry" vbProcedure="false">'C05 Interest rate impact'!$C$18</definedName>
    <definedName function="false" hidden="false" localSheetId="5" name="Current_Rate" vbProcedure="false">'C05 Interest rate impact'!$G$15</definedName>
    <definedName function="false" hidden="false" localSheetId="5" name="Current_Rate_Entry" vbProcedure="false">'C05 Interest rate impact'!$C$15</definedName>
    <definedName function="false" hidden="false" localSheetId="5" name="Formula_Now" vbProcedure="false">'C05 Interest rate impact'!$C$32</definedName>
    <definedName function="false" hidden="false" localSheetId="5" name="Monthly_Change" vbProcedure="false">'C05 Interest rate impact'!$C$28</definedName>
    <definedName function="false" hidden="false" localSheetId="5" name="Mortgage_Balance" vbProcedure="false">'C05 Interest rate impact'!$G$14</definedName>
    <definedName function="false" hidden="false" localSheetId="5" name="Mortgage_Balance_Entry" vbProcedure="false">'C05 Interest rate impact'!$C$14</definedName>
    <definedName function="false" hidden="false" localSheetId="5" name="Need_1" vbProcedure="false">'C05 Interest rate impact'!$C$46</definedName>
    <definedName function="false" hidden="false" localSheetId="5" name="Need_2" vbProcedure="false">'C05 Interest rate impact'!$C$47</definedName>
    <definedName function="false" hidden="false" localSheetId="5" name="Need_3" vbProcedure="false">'C05 Interest rate impact'!$C$48</definedName>
    <definedName function="false" hidden="false" localSheetId="5" name="Need_4" vbProcedure="false">'C05 Interest rate impact'!$C$49</definedName>
    <definedName function="false" hidden="false" localSheetId="5" name="New_Rate" vbProcedure="false">'C05 Interest rate impact'!$C$33</definedName>
    <definedName function="false" hidden="false" localSheetId="5" name="Plan_Goal_Kind" vbProcedure="false">'C05 Interest rate impact'!$C$43</definedName>
    <definedName function="false" hidden="false" localSheetId="5" name="Rate_Change" vbProcedure="false">'C05 Interest rate impact'!$G$17</definedName>
    <definedName function="false" hidden="false" localSheetId="5" name="Rate_Change_Entry" vbProcedure="false">'C05 Interest rate impact'!$C$17</definedName>
    <definedName function="false" hidden="false" localSheetId="5" name="Repayment_After" vbProcedure="false">'C05 Interest rate impact'!$C$30</definedName>
    <definedName function="false" hidden="false" localSheetId="5" name="Repayment_Now" vbProcedure="false">'C05 Interest rate impact'!$C$29</definedName>
    <definedName function="false" hidden="false" localSheetId="5" name="Statement_Check" vbProcedure="false">'C05 Interest rate impact'!$C$25</definedName>
    <definedName function="false" hidden="false" localSheetId="5" name="Stmt_Balance" vbProcedure="false">'C05 Interest rate impact'!$C$7</definedName>
    <definedName function="false" hidden="false" localSheetId="5" name="Stmt_Rate" vbProcedure="false">'C05 Interest rate impact'!$C$8</definedName>
    <definedName function="false" hidden="false" localSheetId="5" name="Stmt_Repayment" vbProcedure="false">'C05 Interest rate impact'!$C$10</definedName>
    <definedName function="false" hidden="false" localSheetId="5" name="Stmt_Statement_Date" vbProcedure="false">'C05 Interest rate impact'!$C$11</definedName>
    <definedName function="false" hidden="false" localSheetId="5" name="Stmt_Term" vbProcedure="false">'C05 Interest rate impact'!$C$9</definedName>
    <definedName function="false" hidden="false" localSheetId="5" name="Used_Actual_Repayment" vbProcedure="false">'C05 Interest rate impact'!$C$24</definedName>
    <definedName function="false" hidden="false" localSheetId="5" name="Used_Current_Rate" vbProcedure="false">'C05 Interest rate impact'!$C$22</definedName>
    <definedName function="false" hidden="false" localSheetId="5" name="Used_Mortgage_Balance" vbProcedure="false">'C05 Interest rate impact'!$C$21</definedName>
    <definedName function="false" hidden="false" localSheetId="5" name="Used_Years_Left" vbProcedure="false">'C05 Interest rate impact'!$C$23</definedName>
    <definedName function="false" hidden="false" localSheetId="5" name="Yearly_Change" vbProcedure="false">'C05 Interest rate impact'!$C$31</definedName>
    <definedName function="false" hidden="false" localSheetId="5" name="Years_Left" vbProcedure="false">'C05 Interest rate impact'!$G$16</definedName>
    <definedName function="false" hidden="false" localSheetId="5" name="Years_Left_Entry" vbProcedure="false">'C05 Interest rate impact'!$C$16</definedName>
    <definedName function="false" hidden="false" localSheetId="6" name="Interest_A" vbProcedure="false">'C06 Term comparison'!$C$28</definedName>
    <definedName function="false" hidden="false" localSheetId="6" name="Interest_B" vbProcedure="false">'C06 Term comparison'!$C$29</definedName>
    <definedName function="false" hidden="false" localSheetId="6" name="Interest_Difference" vbProcedure="false">'C06 Term comparison'!$C$25</definedName>
    <definedName function="false" hidden="false" localSheetId="6" name="Interest_Rate" vbProcedure="false">'C06 Term comparison'!$G$14</definedName>
    <definedName function="false" hidden="false" localSheetId="6" name="Interest_Rate_Entry" vbProcedure="false">'C06 Term comparison'!$C$14</definedName>
    <definedName function="false" hidden="false" localSheetId="6" name="Loan_Amount" vbProcedure="false">'C06 Term comparison'!$G$13</definedName>
    <definedName function="false" hidden="false" localSheetId="6" name="Loan_Amount_Entry" vbProcedure="false">'C06 Term comparison'!$C$13</definedName>
    <definedName function="false" hidden="false" localSheetId="6" name="Monthly_A" vbProcedure="false">'C06 Term comparison'!$C$26</definedName>
    <definedName function="false" hidden="false" localSheetId="6" name="Monthly_B" vbProcedure="false">'C06 Term comparison'!$C$27</definedName>
    <definedName function="false" hidden="false" localSheetId="6" name="Need_1" vbProcedure="false">'C06 Term comparison'!$C$42</definedName>
    <definedName function="false" hidden="false" localSheetId="6" name="Need_2" vbProcedure="false">'C06 Term comparison'!$C$43</definedName>
    <definedName function="false" hidden="false" localSheetId="6" name="Need_3" vbProcedure="false">'C06 Term comparison'!$C$44</definedName>
    <definedName function="false" hidden="false" localSheetId="6" name="Plan_Goal_Kind" vbProcedure="false">'C06 Term comparison'!$C$39</definedName>
    <definedName function="false" hidden="false" localSheetId="6" name="Statement_Check" vbProcedure="false">'C06 Term comparison'!$C$22</definedName>
    <definedName function="false" hidden="false" localSheetId="6" name="Stmt_Balance" vbProcedure="false">'C06 Term comparison'!$C$7</definedName>
    <definedName function="false" hidden="false" localSheetId="6" name="Stmt_Rate" vbProcedure="false">'C06 Term comparison'!$C$8</definedName>
    <definedName function="false" hidden="false" localSheetId="6" name="Stmt_Statement_Date" vbProcedure="false">'C06 Term comparison'!$C$10</definedName>
    <definedName function="false" hidden="false" localSheetId="6" name="Stmt_Term" vbProcedure="false">'C06 Term comparison'!$C$9</definedName>
    <definedName function="false" hidden="false" localSheetId="6" name="Term_A" vbProcedure="false">'C06 Term comparison'!$G$15</definedName>
    <definedName function="false" hidden="false" localSheetId="6" name="Term_A_Entry" vbProcedure="false">'C06 Term comparison'!$C$15</definedName>
    <definedName function="false" hidden="false" localSheetId="6" name="Term_B" vbProcedure="false">'C06 Term comparison'!$G$16</definedName>
    <definedName function="false" hidden="false" localSheetId="6" name="Term_B_Entry" vbProcedure="false">'C06 Term comparison'!$C$16</definedName>
    <definedName function="false" hidden="false" localSheetId="6" name="Used_Interest_Rate" vbProcedure="false">'C06 Term comparison'!$C$20</definedName>
    <definedName function="false" hidden="false" localSheetId="6" name="Used_Loan_Amount" vbProcedure="false">'C06 Term comparison'!$C$19</definedName>
    <definedName function="false" hidden="false" localSheetId="6" name="Used_Term_A" vbProcedure="false">'C06 Term comparison'!$C$21</definedName>
    <definedName function="false" hidden="false" localSheetId="7" name="Balance_After" vbProcedure="false">'C07 Rent vs buy'!$C$26</definedName>
    <definedName function="false" hidden="false" localSheetId="7" name="Buying_Costs" vbProcedure="false">'C07 Rent vs buy'!$C$22</definedName>
    <definedName function="false" hidden="false" localSheetId="7" name="Buying_Fees" vbProcedure="false">'C07 Rent vs buy'!$G$15</definedName>
    <definedName function="false" hidden="false" localSheetId="7" name="Buying_Fees_Entry" vbProcedure="false">'C07 Rent vs buy'!$C$15</definedName>
    <definedName function="false" hidden="false" localSheetId="7" name="Deposit" vbProcedure="false">'C07 Rent vs buy'!$G$8</definedName>
    <definedName function="false" hidden="false" localSheetId="7" name="Deposit_Entry" vbProcedure="false">'C07 Rent vs buy'!$C$8</definedName>
    <definedName function="false" hidden="false" localSheetId="7" name="Home_Equity" vbProcedure="false">'C07 Rent vs buy'!$C$20</definedName>
    <definedName function="false" hidden="false" localSheetId="7" name="Home_Goal_Years" vbProcedure="false">'C07 Rent vs buy'!$G$17</definedName>
    <definedName function="false" hidden="false" localSheetId="7" name="Home_Goal_Years_Entry" vbProcedure="false">'C07 Rent vs buy'!$C$17</definedName>
    <definedName function="false" hidden="false" localSheetId="7" name="Home_Price" vbProcedure="false">'C07 Rent vs buy'!$G$7</definedName>
    <definedName function="false" hidden="false" localSheetId="7" name="Home_Price_Entry" vbProcedure="false">'C07 Rent vs buy'!$C$7</definedName>
    <definedName function="false" hidden="false" localSheetId="7" name="Home_Value" vbProcedure="false">'C07 Rent vs buy'!$C$23</definedName>
    <definedName function="false" hidden="false" localSheetId="7" name="House_Growth" vbProcedure="false">'C07 Rent vs buy'!$G$12</definedName>
    <definedName function="false" hidden="false" localSheetId="7" name="House_Growth_Entry" vbProcedure="false">'C07 Rent vs buy'!$C$12</definedName>
    <definedName function="false" hidden="false" localSheetId="7" name="Interest_Paid" vbProcedure="false">'C07 Rent vs buy'!$C$27</definedName>
    <definedName function="false" hidden="false" localSheetId="7" name="Loan" vbProcedure="false">'C07 Rent vs buy'!$C$24</definedName>
    <definedName function="false" hidden="false" localSheetId="7" name="Monthly_Rent" vbProcedure="false">'C07 Rent vs buy'!$G$6</definedName>
    <definedName function="false" hidden="false" localSheetId="7" name="Monthly_Rent_Entry" vbProcedure="false">'C07 Rent vs buy'!$C$6</definedName>
    <definedName function="false" hidden="false" localSheetId="7" name="Monthly_Repayment" vbProcedure="false">'C07 Rent vs buy'!$C$25</definedName>
    <definedName function="false" hidden="false" localSheetId="7" name="Mortgage_Rate" vbProcedure="false">'C07 Rent vs buy'!$G$9</definedName>
    <definedName function="false" hidden="false" localSheetId="7" name="Mortgage_Rate_Entry" vbProcedure="false">'C07 Rent vs buy'!$C$9</definedName>
    <definedName function="false" hidden="false" localSheetId="7" name="Need_1" vbProcedure="false">'C07 Rent vs buy'!$C$46</definedName>
    <definedName function="false" hidden="false" localSheetId="7" name="Need_10" vbProcedure="false">'C07 Rent vs buy'!$C$55</definedName>
    <definedName function="false" hidden="false" localSheetId="7" name="Need_11" vbProcedure="false">'C07 Rent vs buy'!$C$56</definedName>
    <definedName function="false" hidden="false" localSheetId="7" name="Need_12" vbProcedure="false">'C07 Rent vs buy'!$C$57</definedName>
    <definedName function="false" hidden="false" localSheetId="7" name="Need_2" vbProcedure="false">'C07 Rent vs buy'!$C$47</definedName>
    <definedName function="false" hidden="false" localSheetId="7" name="Need_3" vbProcedure="false">'C07 Rent vs buy'!$C$48</definedName>
    <definedName function="false" hidden="false" localSheetId="7" name="Need_4" vbProcedure="false">'C07 Rent vs buy'!$C$49</definedName>
    <definedName function="false" hidden="false" localSheetId="7" name="Need_5" vbProcedure="false">'C07 Rent vs buy'!$C$50</definedName>
    <definedName function="false" hidden="false" localSheetId="7" name="Need_6" vbProcedure="false">'C07 Rent vs buy'!$C$51</definedName>
    <definedName function="false" hidden="false" localSheetId="7" name="Need_7" vbProcedure="false">'C07 Rent vs buy'!$C$52</definedName>
    <definedName function="false" hidden="false" localSheetId="7" name="Need_8" vbProcedure="false">'C07 Rent vs buy'!$C$53</definedName>
    <definedName function="false" hidden="false" localSheetId="7" name="Need_9" vbProcedure="false">'C07 Rent vs buy'!$C$54</definedName>
    <definedName function="false" hidden="false" localSheetId="7" name="Opportunity_Cost" vbProcedure="false">'C07 Rent vs buy'!$C$30</definedName>
    <definedName function="false" hidden="false" localSheetId="7" name="Opp_Rate" vbProcedure="false">'C07 Rent vs buy'!$G$16</definedName>
    <definedName function="false" hidden="false" localSheetId="7" name="Opp_Rate_Entry" vbProcedure="false">'C07 Rent vs buy'!$C$16</definedName>
    <definedName function="false" hidden="false" localSheetId="7" name="Plan_Goal_Amount" vbProcedure="false">'C07 Rent vs buy'!$C$42</definedName>
    <definedName function="false" hidden="false" localSheetId="7" name="Plan_Goal_Kind" vbProcedure="false">'C07 Rent vs buy'!$C$41</definedName>
    <definedName function="false" hidden="false" localSheetId="7" name="Plan_Goal_Years" vbProcedure="false">'C07 Rent vs buy'!$C$43</definedName>
    <definedName function="false" hidden="false" localSheetId="7" name="RentBuy_Term" vbProcedure="false">'C07 Rent vs buy'!$G$10</definedName>
    <definedName function="false" hidden="false" localSheetId="7" name="RentBuy_Term_Entry" vbProcedure="false">'C07 Rent vs buy'!$C$10</definedName>
    <definedName function="false" hidden="false" localSheetId="7" name="Rent_Growth" vbProcedure="false">'C07 Rent vs buy'!$G$13</definedName>
    <definedName function="false" hidden="false" localSheetId="7" name="Rent_Growth_Entry" vbProcedure="false">'C07 Rent vs buy'!$C$13</definedName>
    <definedName function="false" hidden="false" localSheetId="7" name="Rent_Paid" vbProcedure="false">'C07 Rent vs buy'!$C$21</definedName>
    <definedName function="false" hidden="false" localSheetId="7" name="Stamp_Duty" vbProcedure="false">'C07 Rent vs buy'!$C$29</definedName>
    <definedName function="false" hidden="false" localSheetId="7" name="Upkeep" vbProcedure="false">'C07 Rent vs buy'!$C$28</definedName>
    <definedName function="false" hidden="false" localSheetId="7" name="Upkeep_Rate" vbProcedure="false">'C07 Rent vs buy'!$G$14</definedName>
    <definedName function="false" hidden="false" localSheetId="7" name="Upkeep_Rate_Entry" vbProcedure="false">'C07 Rent vs buy'!$C$14</definedName>
    <definedName function="false" hidden="false" localSheetId="7" name="Years" vbProcedure="false">'C07 Rent vs buy'!$G$11</definedName>
    <definedName function="false" hidden="false" localSheetId="7" name="Years_Entry" vbProcedure="false">'C07 Rent vs buy'!$C$11</definedName>
    <definedName function="false" hidden="false" localSheetId="8" name="Future_Cost" vbProcedure="false">'C08 Goal planner'!$C$17</definedName>
    <definedName function="false" hidden="false" localSheetId="8" name="Goal_Amount" vbProcedure="false">'C08 Goal planner'!$G$10</definedName>
    <definedName function="false" hidden="false" localSheetId="8" name="Goal_Amount_Entry" vbProcedure="false">'C08 Goal planner'!$C$10</definedName>
    <definedName function="false" hidden="false" localSheetId="8" name="Growth_Rate" vbProcedure="false">'C08 Goal planner'!$G$13</definedName>
    <definedName function="false" hidden="false" localSheetId="8" name="Growth_Rate_Entry" vbProcedure="false">'C08 Goal planner'!$C$13</definedName>
    <definedName function="false" hidden="false" localSheetId="8" name="Inflation_Choice" vbProcedure="false">'C08 Goal planner'!$G$6</definedName>
    <definedName function="false" hidden="false" localSheetId="8" name="Inflation_Choice_Entry" vbProcedure="false">'C08 Goal planner'!$C$6</definedName>
    <definedName function="false" hidden="false" localSheetId="8" name="Monthly_Growth" vbProcedure="false">'C08 Goal planner'!$C$20</definedName>
    <definedName function="false" hidden="false" localSheetId="8" name="Monthly_Saving" vbProcedure="false">'C08 Goal planner'!$C$16</definedName>
    <definedName function="false" hidden="false" localSheetId="8" name="Need_1" vbProcedure="false">'C08 Goal planner'!$C$39</definedName>
    <definedName function="false" hidden="false" localSheetId="8" name="Need_2" vbProcedure="false">'C08 Goal planner'!$C$40</definedName>
    <definedName function="false" hidden="false" localSheetId="8" name="Need_3" vbProcedure="false">'C08 Goal planner'!$C$41</definedName>
    <definedName function="false" hidden="false" localSheetId="8" name="Need_4" vbProcedure="false">'C08 Goal planner'!$C$42</definedName>
    <definedName function="false" hidden="false" localSheetId="8" name="Need_5" vbProcedure="false">'C08 Goal planner'!$C$43</definedName>
    <definedName function="false" hidden="false" localSheetId="8" name="Need_6" vbProcedure="false">'C08 Goal planner'!$C$44</definedName>
    <definedName function="false" hidden="false" localSheetId="8" name="Need_7" vbProcedure="false">'C08 Goal planner'!$C$45</definedName>
    <definedName function="false" hidden="false" localSheetId="8" name="Plan_Goal_Amount" vbProcedure="false">'C08 Goal planner'!$C$33</definedName>
    <definedName function="false" hidden="false" localSheetId="8" name="Plan_Goal_Kind" vbProcedure="false">'C08 Goal planner'!$C$32</definedName>
    <definedName function="false" hidden="false" localSheetId="8" name="Plan_Goal_Saved" vbProcedure="false">'C08 Goal planner'!$C$34</definedName>
    <definedName function="false" hidden="false" localSheetId="8" name="Plan_Goal_Years" vbProcedure="false">'C08 Goal planner'!$C$35</definedName>
    <definedName function="false" hidden="false" localSheetId="8" name="Plan_Inflation" vbProcedure="false">'C08 Goal planner'!$C$36</definedName>
    <definedName function="false" hidden="false" localSheetId="8" name="Saved" vbProcedure="false">'C08 Goal planner'!$G$12</definedName>
    <definedName function="false" hidden="false" localSheetId="8" name="Saved_Entry" vbProcedure="false">'C08 Goal planner'!$C$12</definedName>
    <definedName function="false" hidden="false" localSheetId="8" name="Saved_Grows_To" vbProcedure="false">'C08 Goal planner'!$C$18</definedName>
    <definedName function="false" hidden="false" localSheetId="8" name="Still_Needed" vbProcedure="false">'C08 Goal planner'!$C$19</definedName>
    <definedName function="false" hidden="false" localSheetId="8" name="Years" vbProcedure="false">'C08 Goal planner'!$G$11</definedName>
    <definedName function="false" hidden="false" localSheetId="8" name="Years_Entry" vbProcedure="false">'C08 Goal planner'!$C$11</definedName>
    <definedName function="false" hidden="false" localSheetId="9" name="Grows_To" vbProcedure="false">'C09 Compound growth'!$C$16</definedName>
    <definedName function="false" hidden="false" localSheetId="9" name="Growth_Earned" vbProcedure="false">'C09 Compound growth'!$C$19</definedName>
    <definedName function="false" hidden="false" localSheetId="9" name="Growth_Rate" vbProcedure="false">'C09 Compound growth'!$G$12</definedName>
    <definedName function="false" hidden="false" localSheetId="9" name="Growth_Rate_Entry" vbProcedure="false">'C09 Compound growth'!$C$12</definedName>
    <definedName function="false" hidden="false" localSheetId="9" name="Inflation_Choice" vbProcedure="false">'C09 Compound growth'!$G$6</definedName>
    <definedName function="false" hidden="false" localSheetId="9" name="Inflation_Choice_Entry" vbProcedure="false">'C09 Compound growth'!$C$6</definedName>
    <definedName function="false" hidden="false" localSheetId="9" name="Monthly_Addition" vbProcedure="false">'C09 Compound growth'!$G$11</definedName>
    <definedName function="false" hidden="false" localSheetId="9" name="Monthly_Addition_Entry" vbProcedure="false">'C09 Compound growth'!$C$11</definedName>
    <definedName function="false" hidden="false" localSheetId="9" name="Monthly_Growth" vbProcedure="false">'C09 Compound growth'!$C$20</definedName>
    <definedName function="false" hidden="false" localSheetId="9" name="Need_1" vbProcedure="false">'C09 Compound growth'!$C$38</definedName>
    <definedName function="false" hidden="false" localSheetId="9" name="Need_2" vbProcedure="false">'C09 Compound growth'!$C$39</definedName>
    <definedName function="false" hidden="false" localSheetId="9" name="Need_3" vbProcedure="false">'C09 Compound growth'!$C$40</definedName>
    <definedName function="false" hidden="false" localSheetId="9" name="Need_4" vbProcedure="false">'C09 Compound growth'!$C$41</definedName>
    <definedName function="false" hidden="false" localSheetId="9" name="Need_5" vbProcedure="false">'C09 Compound growth'!$C$42</definedName>
    <definedName function="false" hidden="false" localSheetId="9" name="Paid_In" vbProcedure="false">'C09 Compound growth'!$C$18</definedName>
    <definedName function="false" hidden="false" localSheetId="9" name="Plan_Goal_Amount" vbProcedure="false">'C09 Compound growth'!$C$32</definedName>
    <definedName function="false" hidden="false" localSheetId="9" name="Plan_Goal_Kind" vbProcedure="false">'C09 Compound growth'!$C$31</definedName>
    <definedName function="false" hidden="false" localSheetId="9" name="Plan_Goal_Years" vbProcedure="false">'C09 Compound growth'!$C$33</definedName>
    <definedName function="false" hidden="false" localSheetId="9" name="Plan_Inflation" vbProcedure="false">'C09 Compound growth'!$C$34</definedName>
    <definedName function="false" hidden="false" localSheetId="9" name="Starting_Amount" vbProcedure="false">'C09 Compound growth'!$G$10</definedName>
    <definedName function="false" hidden="false" localSheetId="9" name="Starting_Amount_Entry" vbProcedure="false">'C09 Compound growth'!$C$10</definedName>
    <definedName function="false" hidden="false" localSheetId="9" name="Value_Today" vbProcedure="false">'C09 Compound growth'!$C$17</definedName>
    <definedName function="false" hidden="false" localSheetId="9" name="Years" vbProcedure="false">'C09 Compound growth'!$G$13</definedName>
    <definedName function="false" hidden="false" localSheetId="9" name="Years_Entry" vbProcedure="false">'C09 Compound growth'!$C$13</definedName>
    <definedName function="false" hidden="false" localSheetId="10" name="Adjust_For_Inflation" vbProcedure="false">'C10 Lump sum growth'!$G$21</definedName>
    <definedName function="false" hidden="false" localSheetId="10" name="Adjust_For_Inflation_Entry" vbProcedure="false">'C10 Lump sum growth'!$C$21</definedName>
    <definedName function="false" hidden="false" localSheetId="10" name="Amount" vbProcedure="false">'C10 Lump sum growth'!$G$16</definedName>
    <definedName function="false" hidden="false" localSheetId="10" name="Amount_Entry" vbProcedure="false">'C10 Lump sum growth'!$C$16</definedName>
    <definedName function="false" hidden="false" localSheetId="10" name="Cost_Of_Waiting" vbProcedure="false">'C10 Lump sum growth'!$C$34</definedName>
    <definedName function="false" hidden="false" localSheetId="10" name="Fees_Cost" vbProcedure="false">'C10 Lump sum growth'!$C$35</definedName>
    <definedName function="false" hidden="false" localSheetId="10" name="Grows_To" vbProcedure="false">'C10 Lump sum growth'!$C$31</definedName>
    <definedName function="false" hidden="false" localSheetId="10" name="Growth_After_Fees" vbProcedure="false">'C10 Lump sum growth'!$C$36</definedName>
    <definedName function="false" hidden="false" localSheetId="10" name="Growth_Rate" vbProcedure="false">'C10 Lump sum growth'!$G$17</definedName>
    <definedName function="false" hidden="false" localSheetId="10" name="Growth_Rate_Entry" vbProcedure="false">'C10 Lump sum growth'!$C$17</definedName>
    <definedName function="false" hidden="false" localSheetId="10" name="Headline" vbProcedure="false">'C10 Lump sum growth'!$C$30</definedName>
    <definedName function="false" hidden="false" localSheetId="10" name="Inflation_Choice" vbProcedure="false">'C10 Lump sum growth'!$G$6</definedName>
    <definedName function="false" hidden="false" localSheetId="10" name="Inflation_Choice_Entry" vbProcedure="false">'C10 Lump sum growth'!$C$6</definedName>
    <definedName function="false" hidden="false" localSheetId="10" name="Need_1" vbProcedure="false">'C10 Lump sum growth'!$C$56</definedName>
    <definedName function="false" hidden="false" localSheetId="10" name="Need_2" vbProcedure="false">'C10 Lump sum growth'!$C$57</definedName>
    <definedName function="false" hidden="false" localSheetId="10" name="Need_3" vbProcedure="false">'C10 Lump sum growth'!$C$58</definedName>
    <definedName function="false" hidden="false" localSheetId="10" name="Need_4" vbProcedure="false">'C10 Lump sum growth'!$C$59</definedName>
    <definedName function="false" hidden="false" localSheetId="10" name="Need_5" vbProcedure="false">'C10 Lump sum growth'!$C$60</definedName>
    <definedName function="false" hidden="false" localSheetId="10" name="Need_6" vbProcedure="false">'C10 Lump sum growth'!$C$61</definedName>
    <definedName function="false" hidden="false" localSheetId="10" name="Plan_Goal_Amount" vbProcedure="false">'C10 Lump sum growth'!$C$50</definedName>
    <definedName function="false" hidden="false" localSheetId="10" name="Plan_Goal_Kind" vbProcedure="false">'C10 Lump sum growth'!$C$49</definedName>
    <definedName function="false" hidden="false" localSheetId="10" name="Plan_Goal_Years" vbProcedure="false">'C10 Lump sum growth'!$C$51</definedName>
    <definedName function="false" hidden="false" localSheetId="10" name="Plan_Inflation" vbProcedure="false">'C10 Lump sum growth'!$C$52</definedName>
    <definedName function="false" hidden="false" localSheetId="10" name="Real_Return" vbProcedure="false">'C10 Lump sum growth'!$C$37</definedName>
    <definedName function="false" hidden="false" localSheetId="10" name="Statement_Check" vbProcedure="false">'C10 Lump sum growth'!$C$27</definedName>
    <definedName function="false" hidden="false" localSheetId="10" name="Statement_Uploaded" vbProcedure="false">'C10 Lump sum growth'!$C$24</definedName>
    <definedName function="false" hidden="false" localSheetId="10" name="Stmt_Charges" vbProcedure="false">'C10 Lump sum growth'!$C$12</definedName>
    <definedName function="false" hidden="false" localSheetId="10" name="Stmt_Statement_Date" vbProcedure="false">'C10 Lump sum growth'!$C$13</definedName>
    <definedName function="false" hidden="false" localSheetId="10" name="Stmt_Total_Value" vbProcedure="false">'C10 Lump sum growth'!$C$11</definedName>
    <definedName function="false" hidden="false" localSheetId="10" name="Used_Amount" vbProcedure="false">'C10 Lump sum growth'!$C$25</definedName>
    <definedName function="false" hidden="false" localSheetId="10" name="Used_Yearly_Fees" vbProcedure="false">'C10 Lump sum growth'!$C$26</definedName>
    <definedName function="false" hidden="false" localSheetId="10" name="Value_Start_Later" vbProcedure="false">'C10 Lump sum growth'!$C$33</definedName>
    <definedName function="false" hidden="false" localSheetId="10" name="Value_Today" vbProcedure="false">'C10 Lump sum growth'!$C$32</definedName>
    <definedName function="false" hidden="false" localSheetId="10" name="Wait_Years" vbProcedure="false">'C10 Lump sum growth'!$G$20</definedName>
    <definedName function="false" hidden="false" localSheetId="10" name="Wait_Years_Entry" vbProcedure="false">'C10 Lump sum growth'!$C$20</definedName>
    <definedName function="false" hidden="false" localSheetId="10" name="Yearly_Fees" vbProcedure="false">'C10 Lump sum growth'!$G$19</definedName>
    <definedName function="false" hidden="false" localSheetId="10" name="Yearly_Fees_Entry" vbProcedure="false">'C10 Lump sum growth'!$C$19</definedName>
    <definedName function="false" hidden="false" localSheetId="10" name="Years" vbProcedure="false">'C10 Lump sum growth'!$G$18</definedName>
    <definedName function="false" hidden="false" localSheetId="10" name="Years_Entry" vbProcedure="false">'C10 Lump sum growth'!$C$18</definedName>
    <definedName function="false" hidden="false" localSheetId="11" name="Essential_Spending" vbProcedure="false">'C11 Emergency fund'!$G$6</definedName>
    <definedName function="false" hidden="false" localSheetId="11" name="Essential_Spending_Entry" vbProcedure="false">'C11 Emergency fund'!$C$6</definedName>
    <definedName function="false" hidden="false" localSheetId="11" name="Months_Covered" vbProcedure="false">'C11 Emergency fund'!$C$12</definedName>
    <definedName function="false" hidden="false" localSheetId="11" name="Months_Wanted" vbProcedure="false">'C11 Emergency fund'!$G$7</definedName>
    <definedName function="false" hidden="false" localSheetId="11" name="Months_Wanted_Entry" vbProcedure="false">'C11 Emergency fund'!$C$7</definedName>
    <definedName function="false" hidden="false" localSheetId="11" name="Need_1" vbProcedure="false">'C11 Emergency fund'!$C$28</definedName>
    <definedName function="false" hidden="false" localSheetId="11" name="Need_2" vbProcedure="false">'C11 Emergency fund'!$C$29</definedName>
    <definedName function="false" hidden="false" localSheetId="11" name="Need_3" vbProcedure="false">'C11 Emergency fund'!$C$30</definedName>
    <definedName function="false" hidden="false" localSheetId="11" name="Need_4" vbProcedure="false">'C11 Emergency fund'!$C$31</definedName>
    <definedName function="false" hidden="false" localSheetId="11" name="Need_5" vbProcedure="false">'C11 Emergency fund'!$C$32</definedName>
    <definedName function="false" hidden="false" localSheetId="11" name="Plan_Goal_Amount" vbProcedure="false">'C11 Emergency fund'!$C$23</definedName>
    <definedName function="false" hidden="false" localSheetId="11" name="Plan_Goal_Kind" vbProcedure="false">'C11 Emergency fund'!$C$22</definedName>
    <definedName function="false" hidden="false" localSheetId="11" name="Plan_Goal_Saved" vbProcedure="false">'C11 Emergency fund'!$C$24</definedName>
    <definedName function="false" hidden="false" localSheetId="11" name="Plan_Goal_Years" vbProcedure="false">'C11 Emergency fund'!$C$25</definedName>
    <definedName function="false" hidden="false" localSheetId="11" name="Safety_Goal_Years" vbProcedure="false">'C11 Emergency fund'!$G$8</definedName>
    <definedName function="false" hidden="false" localSheetId="11" name="Safety_Goal_Years_Entry" vbProcedure="false">'C11 Emergency fund'!$C$8</definedName>
    <definedName function="false" hidden="false" localSheetId="11" name="Savings" vbProcedure="false">'C11 Emergency fund'!$G$9</definedName>
    <definedName function="false" hidden="false" localSheetId="11" name="Savings_Entry" vbProcedure="false">'C11 Emergency fund'!$C$9</definedName>
    <definedName function="false" hidden="false" localSheetId="11" name="Still_To_Build" vbProcedure="false">'C11 Emergency fund'!$C$14</definedName>
    <definedName function="false" hidden="false" localSheetId="11" name="Target" vbProcedure="false">'C11 Emergency fund'!$C$13</definedName>
    <definedName function="false" hidden="false" localSheetId="12" name="Age" vbProcedure="false">'C12 Retirement projection'!$G$21</definedName>
    <definedName function="false" hidden="false" localSheetId="12" name="Age_Entry" vbProcedure="false">'C12 Retirement projection'!$C$21</definedName>
    <definedName function="false" hidden="false" localSheetId="12" name="Bridge_Years" vbProcedure="false">'C12 Retirement projection'!$C$49</definedName>
    <definedName function="false" hidden="false" localSheetId="12" name="Calculated_Fund" vbProcedure="false">'C12 Retirement projection'!$C$47</definedName>
    <definedName function="false" hidden="false" localSheetId="12" name="Contribution" vbProcedure="false">'C12 Retirement projection'!$C$56</definedName>
    <definedName function="false" hidden="false" localSheetId="12" name="Contributions_Grow_To" vbProcedure="false">'C12 Retirement projection'!$C$57</definedName>
    <definedName function="false" hidden="false" localSheetId="12" name="Desired_Income" vbProcedure="false">'C12 Retirement projection'!$G$25</definedName>
    <definedName function="false" hidden="false" localSheetId="12" name="Desired_Income_Entry" vbProcedure="false">'C12 Retirement projection'!$C$25</definedName>
    <definedName function="false" hidden="false" localSheetId="12" name="Early_Warning" vbProcedure="false">'C12 Retirement projection'!$C$53</definedName>
    <definedName function="false" hidden="false" localSheetId="12" name="Fund_Today" vbProcedure="false">'C12 Retirement projection'!$C$46</definedName>
    <definedName function="false" hidden="false" localSheetId="12" name="Gap_Today" vbProcedure="false">'C12 Retirement projection'!$C$44</definedName>
    <definedName function="false" hidden="false" localSheetId="12" name="Growth_Rate" vbProcedure="false">'C12 Retirement projection'!$G$27</definedName>
    <definedName function="false" hidden="false" localSheetId="12" name="Growth_Rate_Entry" vbProcedure="false">'C12 Retirement projection'!$C$27</definedName>
    <definedName function="false" hidden="false" localSheetId="12" name="Inflation_Choice" vbProcedure="false">'C12 Retirement projection'!$G$6</definedName>
    <definedName function="false" hidden="false" localSheetId="12" name="Inflation_Choice_Entry" vbProcedure="false">'C12 Retirement projection'!$C$6</definedName>
    <definedName function="false" hidden="false" localSheetId="12" name="Lump_Sum" vbProcedure="false">'C12 Retirement projection'!$C$50</definedName>
    <definedName function="false" hidden="false" localSheetId="12" name="Lump_Sum_Net" vbProcedure="false">'C12 Retirement projection'!$C$52</definedName>
    <definedName function="false" hidden="false" localSheetId="12" name="Lump_Sum_Pct" vbProcedure="false">'C12 Retirement projection'!$G$31</definedName>
    <definedName function="false" hidden="false" localSheetId="12" name="Lump_Sum_Pct_Entry" vbProcedure="false">'C12 Retirement projection'!$C$31</definedName>
    <definedName function="false" hidden="false" localSheetId="12" name="Lump_Sum_Tax" vbProcedure="false">'C12 Retirement projection'!$C$51</definedName>
    <definedName function="false" hidden="false" localSheetId="12" name="Monthly_Contribution" vbProcedure="false">'C12 Retirement projection'!$G$24</definedName>
    <definedName function="false" hidden="false" localSheetId="12" name="Monthly_Contribution_Entry" vbProcedure="false">'C12 Retirement projection'!$C$24</definedName>
    <definedName function="false" hidden="false" localSheetId="12" name="Need_1" vbProcedure="false">'C12 Retirement projection'!$C$77</definedName>
    <definedName function="false" hidden="false" localSheetId="12" name="Need_2" vbProcedure="false">'C12 Retirement projection'!$C$78</definedName>
    <definedName function="false" hidden="false" localSheetId="12" name="Need_3" vbProcedure="false">'C12 Retirement projection'!$C$79</definedName>
    <definedName function="false" hidden="false" localSheetId="12" name="Need_4" vbProcedure="false">'C12 Retirement projection'!$C$80</definedName>
    <definedName function="false" hidden="false" localSheetId="12" name="Need_5" vbProcedure="false">'C12 Retirement projection'!$C$81</definedName>
    <definedName function="false" hidden="false" localSheetId="12" name="Need_6" vbProcedure="false">'C12 Retirement projection'!$C$82</definedName>
    <definedName function="false" hidden="false" localSheetId="12" name="Need_7" vbProcedure="false">'C12 Retirement projection'!$C$83</definedName>
    <definedName function="false" hidden="false" localSheetId="12" name="Need_8" vbProcedure="false">'C12 Retirement projection'!$C$84</definedName>
    <definedName function="false" hidden="false" localSheetId="12" name="Need_9" vbProcedure="false">'C12 Retirement projection'!$C$85</definedName>
    <definedName function="false" hidden="false" localSheetId="12" name="Other_Income" vbProcedure="false">'C12 Retirement projection'!$G$26</definedName>
    <definedName function="false" hidden="false" localSheetId="12" name="Other_Income_Entry" vbProcedure="false">'C12 Retirement projection'!$C$26</definedName>
    <definedName function="false" hidden="false" localSheetId="12" name="Pension_Today" vbProcedure="false">'C12 Retirement projection'!$G$23</definedName>
    <definedName function="false" hidden="false" localSheetId="12" name="Pension_Today_Entry" vbProcedure="false">'C12 Retirement projection'!$C$23</definedName>
    <definedName function="false" hidden="false" localSheetId="12" name="Plan_Goal_Age" vbProcedure="false">'C12 Retirement projection'!$C$72</definedName>
    <definedName function="false" hidden="false" localSheetId="12" name="Plan_Goal_Income" vbProcedure="false">'C12 Retirement projection'!$C$71</definedName>
    <definedName function="false" hidden="false" localSheetId="12" name="Plan_Goal_Kind" vbProcedure="false">'C12 Retirement projection'!$C$70</definedName>
    <definedName function="false" hidden="false" localSheetId="12" name="Plan_Inflation" vbProcedure="false">'C12 Retirement projection'!$C$73</definedName>
    <definedName function="false" hidden="false" localSheetId="12" name="Projected_Fund" vbProcedure="false">'C12 Retirement projection'!$C$45</definedName>
    <definedName function="false" hidden="false" localSheetId="12" name="Retirement_Age" vbProcedure="false">'C12 Retirement projection'!$G$22</definedName>
    <definedName function="false" hidden="false" localSheetId="12" name="Retirement_Age_Entry" vbProcedure="false">'C12 Retirement projection'!$C$22</definedName>
    <definedName function="false" hidden="false" localSheetId="12" name="Retire_Later" vbProcedure="false">'C12 Retirement projection'!$G$32</definedName>
    <definedName function="false" hidden="false" localSheetId="12" name="Retire_Later_Entry" vbProcedure="false">'C12 Retirement projection'!$C$32</definedName>
    <definedName function="false" hidden="false" localSheetId="12" name="Retire_Multiple" vbProcedure="false">'C12 Retirement projection'!$G$29</definedName>
    <definedName function="false" hidden="false" localSheetId="12" name="Retire_Multiple_Entry" vbProcedure="false">'C12 Retirement projection'!$C$29</definedName>
    <definedName function="false" hidden="false" localSheetId="12" name="Save_More" vbProcedure="false">'C12 Retirement projection'!$G$33</definedName>
    <definedName function="false" hidden="false" localSheetId="12" name="Save_More_Entry" vbProcedure="false">'C12 Retirement projection'!$C$33</definedName>
    <definedName function="false" hidden="false" localSheetId="12" name="SFT_Warning" vbProcedure="false">'C12 Retirement projection'!$C$54</definedName>
    <definedName function="false" hidden="false" localSheetId="12" name="Spend_Less" vbProcedure="false">'C12 Retirement projection'!$G$34</definedName>
    <definedName function="false" hidden="false" localSheetId="12" name="Spend_Less_Entry" vbProcedure="false">'C12 Retirement projection'!$C$34</definedName>
    <definedName function="false" hidden="false" localSheetId="12" name="Statement_Check" vbProcedure="false">'C12 Retirement projection'!$C$41</definedName>
    <definedName function="false" hidden="false" localSheetId="12" name="Stmt_Charges" vbProcedure="false">'C12 Retirement projection'!$C$17</definedName>
    <definedName function="false" hidden="false" localSheetId="12" name="Stmt_Employer_Monthly" vbProcedure="false">'C12 Retirement projection'!$C$13</definedName>
    <definedName function="false" hidden="false" localSheetId="12" name="Stmt_Fund_Value" vbProcedure="false">'C12 Retirement projection'!$C$11</definedName>
    <definedName function="false" hidden="false" localSheetId="12" name="Stmt_NRA" vbProcedure="false">'C12 Retirement projection'!$C$14</definedName>
    <definedName function="false" hidden="false" localSheetId="12" name="Stmt_Projected_Fund" vbProcedure="false">'C12 Retirement projection'!$C$15</definedName>
    <definedName function="false" hidden="false" localSheetId="12" name="Stmt_Projection_Today" vbProcedure="false">'C12 Retirement projection'!$C$16</definedName>
    <definedName function="false" hidden="false" localSheetId="12" name="Stmt_Statement_Date" vbProcedure="false">'C12 Retirement projection'!$C$18</definedName>
    <definedName function="false" hidden="false" localSheetId="12" name="Stmt_You_Monthly" vbProcedure="false">'C12 Retirement projection'!$C$12</definedName>
    <definedName function="false" hidden="false" localSheetId="12" name="Target_Today" vbProcedure="false">'C12 Retirement projection'!$C$48</definedName>
    <definedName function="false" hidden="false" localSheetId="12" name="Typical_Pension_Charges" vbProcedure="false">'C12 Retirement projection'!$G$30</definedName>
    <definedName function="false" hidden="false" localSheetId="12" name="Typical_Pension_Charges_Entry" vbProcedure="false">'C12 Retirement projection'!$C$30</definedName>
    <definedName function="false" hidden="false" localSheetId="12" name="Used_Growth_Rate" vbProcedure="false">'C12 Retirement projection'!$C$39</definedName>
    <definedName function="false" hidden="false" localSheetId="12" name="Used_Monthly_Contribution" vbProcedure="false">'C12 Retirement projection'!$C$38</definedName>
    <definedName function="false" hidden="false" localSheetId="12" name="Used_Pension_Today" vbProcedure="false">'C12 Retirement projection'!$C$37</definedName>
    <definedName function="false" hidden="false" localSheetId="12" name="Use_Statement_Projection" vbProcedure="false">'C12 Retirement projection'!$C$40</definedName>
    <definedName function="false" hidden="false" localSheetId="12" name="Wage" vbProcedure="false">'C12 Retirement projection'!$G$28</definedName>
    <definedName function="false" hidden="false" localSheetId="12" name="Wage_Entry" vbProcedure="false">'C12 Retirement projection'!$C$28</definedName>
    <definedName function="false" hidden="false" localSheetId="12" name="Years_To_Retirement" vbProcedure="false">'C12 Retirement projection'!$C$55</definedName>
    <definedName function="false" hidden="false" localSheetId="13" name="Age" vbProcedure="false">'C13 Contribution impact'!$G$21</definedName>
    <definedName function="false" hidden="false" localSheetId="13" name="Age_Entry" vbProcedure="false">'C13 Contribution impact'!$C$21</definedName>
    <definedName function="false" hidden="false" localSheetId="13" name="Existing_Pension_Year" vbProcedure="false">'C13 Contribution impact'!$G$22</definedName>
    <definedName function="false" hidden="false" localSheetId="13" name="Existing_Pension_Year_Entry" vbProcedure="false">'C13 Contribution impact'!$C$22</definedName>
    <definedName function="false" hidden="false" localSheetId="13" name="Extra_Per_Month" vbProcedure="false">'C13 Contribution impact'!$C$31</definedName>
    <definedName function="false" hidden="false" localSheetId="13" name="Grows_To" vbProcedure="false">'C13 Contribution impact'!$C$29</definedName>
    <definedName function="false" hidden="false" localSheetId="13" name="Growth_Rate" vbProcedure="false">'C13 Contribution impact'!$G$18</definedName>
    <definedName function="false" hidden="false" localSheetId="13" name="Growth_Rate_Entry" vbProcedure="false">'C13 Contribution impact'!$C$18</definedName>
    <definedName function="false" hidden="false" localSheetId="13" name="Increase_Pct" vbProcedure="false">'C13 Contribution impact'!$G$16</definedName>
    <definedName function="false" hidden="false" localSheetId="13" name="Increase_Pct_Entry" vbProcedure="false">'C13 Contribution impact'!$C$16</definedName>
    <definedName function="false" hidden="false" localSheetId="13" name="Inflation_Choice" vbProcedure="false">'C13 Contribution impact'!$G$6</definedName>
    <definedName function="false" hidden="false" localSheetId="13" name="Inflation_Choice_Entry" vbProcedure="false">'C13 Contribution impact'!$C$6</definedName>
    <definedName function="false" hidden="false" localSheetId="13" name="Need_1" vbProcedure="false">'C13 Contribution impact'!$C$51</definedName>
    <definedName function="false" hidden="false" localSheetId="13" name="Need_2" vbProcedure="false">'C13 Contribution impact'!$C$52</definedName>
    <definedName function="false" hidden="false" localSheetId="13" name="Need_3" vbProcedure="false">'C13 Contribution impact'!$C$53</definedName>
    <definedName function="false" hidden="false" localSheetId="13" name="Need_4" vbProcedure="false">'C13 Contribution impact'!$C$54</definedName>
    <definedName function="false" hidden="false" localSheetId="13" name="Need_5" vbProcedure="false">'C13 Contribution impact'!$C$55</definedName>
    <definedName function="false" hidden="false" localSheetId="13" name="Need_6" vbProcedure="false">'C13 Contribution impact'!$C$56</definedName>
    <definedName function="false" hidden="false" localSheetId="13" name="Net_Cost_Per_Month" vbProcedure="false">'C13 Contribution impact'!$C$32</definedName>
    <definedName function="false" hidden="false" localSheetId="13" name="Plan_Goal_Contribution" vbProcedure="false">'C13 Contribution impact'!$C$47</definedName>
    <definedName function="false" hidden="false" localSheetId="13" name="Plan_Goal_Kind" vbProcedure="false">'C13 Contribution impact'!$C$46</definedName>
    <definedName function="false" hidden="false" localSheetId="13" name="Relief_Limit_Year" vbProcedure="false">'C13 Contribution impact'!$C$33</definedName>
    <definedName function="false" hidden="false" localSheetId="13" name="Relief_Per_Month" vbProcedure="false">'C13 Contribution impact'!$C$36</definedName>
    <definedName function="false" hidden="false" localSheetId="13" name="Relief_Room_Year" vbProcedure="false">'C13 Contribution impact'!$C$34</definedName>
    <definedName function="false" hidden="false" localSheetId="13" name="Relieved_Year" vbProcedure="false">'C13 Contribution impact'!$C$35</definedName>
    <definedName function="false" hidden="false" localSheetId="13" name="Salary" vbProcedure="false">'C13 Contribution impact'!$G$15</definedName>
    <definedName function="false" hidden="false" localSheetId="13" name="Salary_Entry" vbProcedure="false">'C13 Contribution impact'!$C$15</definedName>
    <definedName function="false" hidden="false" localSheetId="13" name="Statement_Check" vbProcedure="false">'C13 Contribution impact'!$C$26</definedName>
    <definedName function="false" hidden="false" localSheetId="13" name="Stmt_Charges" vbProcedure="false">'C13 Contribution impact'!$C$11</definedName>
    <definedName function="false" hidden="false" localSheetId="13" name="Stmt_Statement_Date" vbProcedure="false">'C13 Contribution impact'!$C$12</definedName>
    <definedName function="false" hidden="false" localSheetId="13" name="Tax_Rate" vbProcedure="false">'C13 Contribution impact'!$G$20</definedName>
    <definedName function="false" hidden="false" localSheetId="13" name="Tax_Rate_Entry" vbProcedure="false">'C13 Contribution impact'!$C$20</definedName>
    <definedName function="false" hidden="false" localSheetId="13" name="Typical_Pension_Charges" vbProcedure="false">'C13 Contribution impact'!$G$19</definedName>
    <definedName function="false" hidden="false" localSheetId="13" name="Typical_Pension_Charges_Entry" vbProcedure="false">'C13 Contribution impact'!$C$19</definedName>
    <definedName function="false" hidden="false" localSheetId="13" name="Used_Growth_Rate" vbProcedure="false">'C13 Contribution impact'!$C$25</definedName>
    <definedName function="false" hidden="false" localSheetId="13" name="Value_Today" vbProcedure="false">'C13 Contribution impact'!$C$30</definedName>
    <definedName function="false" hidden="false" localSheetId="13" name="Years" vbProcedure="false">'C13 Contribution impact'!$G$17</definedName>
    <definedName function="false" hidden="false" localSheetId="13" name="Years_Entry" vbProcedure="false">'C13 Contribution impact'!$C$17</definedName>
    <definedName function="false" hidden="false" localSheetId="14" name="Age" vbProcedure="false">'C14 AVC impact'!$G$21</definedName>
    <definedName function="false" hidden="false" localSheetId="14" name="Age_Entry" vbProcedure="false">'C14 AVC impact'!$C$21</definedName>
    <definedName function="false" hidden="false" localSheetId="14" name="AVC_Per_Month" vbProcedure="false">'C14 AVC impact'!$G$15</definedName>
    <definedName function="false" hidden="false" localSheetId="14" name="AVC_Per_Month_Entry" vbProcedure="false">'C14 AVC impact'!$C$15</definedName>
    <definedName function="false" hidden="false" localSheetId="14" name="Existing_Pension_Year" vbProcedure="false">'C14 AVC impact'!$G$22</definedName>
    <definedName function="false" hidden="false" localSheetId="14" name="Existing_Pension_Year_Entry" vbProcedure="false">'C14 AVC impact'!$C$22</definedName>
    <definedName function="false" hidden="false" localSheetId="14" name="Grows_To" vbProcedure="false">'C14 AVC impact'!$C$29</definedName>
    <definedName function="false" hidden="false" localSheetId="14" name="Growth_Rate" vbProcedure="false">'C14 AVC impact'!$G$18</definedName>
    <definedName function="false" hidden="false" localSheetId="14" name="Growth_Rate_Entry" vbProcedure="false">'C14 AVC impact'!$C$18</definedName>
    <definedName function="false" hidden="false" localSheetId="14" name="Inflation_Choice" vbProcedure="false">'C14 AVC impact'!$G$6</definedName>
    <definedName function="false" hidden="false" localSheetId="14" name="Inflation_Choice_Entry" vbProcedure="false">'C14 AVC impact'!$C$6</definedName>
    <definedName function="false" hidden="false" localSheetId="14" name="Need_1" vbProcedure="false">'C14 AVC impact'!$C$50</definedName>
    <definedName function="false" hidden="false" localSheetId="14" name="Need_2" vbProcedure="false">'C14 AVC impact'!$C$51</definedName>
    <definedName function="false" hidden="false" localSheetId="14" name="Need_3" vbProcedure="false">'C14 AVC impact'!$C$52</definedName>
    <definedName function="false" hidden="false" localSheetId="14" name="Need_4" vbProcedure="false">'C14 AVC impact'!$C$53</definedName>
    <definedName function="false" hidden="false" localSheetId="14" name="Need_5" vbProcedure="false">'C14 AVC impact'!$C$54</definedName>
    <definedName function="false" hidden="false" localSheetId="14" name="Need_6" vbProcedure="false">'C14 AVC impact'!$C$55</definedName>
    <definedName function="false" hidden="false" localSheetId="14" name="Need_7" vbProcedure="false">'C14 AVC impact'!$C$56</definedName>
    <definedName function="false" hidden="false" localSheetId="14" name="Need_8" vbProcedure="false">'C14 AVC impact'!$C$57</definedName>
    <definedName function="false" hidden="false" localSheetId="14" name="Net_Cost" vbProcedure="false">'C14 AVC impact'!$C$32</definedName>
    <definedName function="false" hidden="false" localSheetId="14" name="Net_Cost_Per_Month" vbProcedure="false">'C14 AVC impact'!$C$33</definedName>
    <definedName function="false" hidden="false" localSheetId="14" name="Paid_In" vbProcedure="false">'C14 AVC impact'!$C$31</definedName>
    <definedName function="false" hidden="false" localSheetId="14" name="Plan_Goal_Contribution" vbProcedure="false">'C14 AVC impact'!$C$47</definedName>
    <definedName function="false" hidden="false" localSheetId="14" name="Plan_Goal_Kind" vbProcedure="false">'C14 AVC impact'!$C$46</definedName>
    <definedName function="false" hidden="false" localSheetId="14" name="Relief_Limit_Year" vbProcedure="false">'C14 AVC impact'!$C$34</definedName>
    <definedName function="false" hidden="false" localSheetId="14" name="Relief_Per_Month" vbProcedure="false">'C14 AVC impact'!$C$37</definedName>
    <definedName function="false" hidden="false" localSheetId="14" name="Relief_Room_Year" vbProcedure="false">'C14 AVC impact'!$C$35</definedName>
    <definedName function="false" hidden="false" localSheetId="14" name="Relieved_Year" vbProcedure="false">'C14 AVC impact'!$C$36</definedName>
    <definedName function="false" hidden="false" localSheetId="14" name="Salary" vbProcedure="false">'C14 AVC impact'!$G$16</definedName>
    <definedName function="false" hidden="false" localSheetId="14" name="Salary_Entry" vbProcedure="false">'C14 AVC impact'!$C$16</definedName>
    <definedName function="false" hidden="false" localSheetId="14" name="Statement_Check" vbProcedure="false">'C14 AVC impact'!$C$26</definedName>
    <definedName function="false" hidden="false" localSheetId="14" name="Stmt_Charges" vbProcedure="false">'C14 AVC impact'!$C$11</definedName>
    <definedName function="false" hidden="false" localSheetId="14" name="Stmt_Statement_Date" vbProcedure="false">'C14 AVC impact'!$C$12</definedName>
    <definedName function="false" hidden="false" localSheetId="14" name="Tax_Rate" vbProcedure="false">'C14 AVC impact'!$G$20</definedName>
    <definedName function="false" hidden="false" localSheetId="14" name="Tax_Rate_Entry" vbProcedure="false">'C14 AVC impact'!$C$20</definedName>
    <definedName function="false" hidden="false" localSheetId="14" name="Typical_Pension_Charges" vbProcedure="false">'C14 AVC impact'!$G$19</definedName>
    <definedName function="false" hidden="false" localSheetId="14" name="Typical_Pension_Charges_Entry" vbProcedure="false">'C14 AVC impact'!$C$19</definedName>
    <definedName function="false" hidden="false" localSheetId="14" name="Used_Growth_Rate" vbProcedure="false">'C14 AVC impact'!$C$25</definedName>
    <definedName function="false" hidden="false" localSheetId="14" name="Value_Today" vbProcedure="false">'C14 AVC impact'!$C$30</definedName>
    <definedName function="false" hidden="false" localSheetId="14" name="Years" vbProcedure="false">'C14 AVC impact'!$G$17</definedName>
    <definedName function="false" hidden="false" localSheetId="14" name="Years_Entry" vbProcedure="false">'C14 AVC impact'!$C$17</definedName>
    <definedName function="false" hidden="false" localSheetId="15" name="Age_At_Start" vbProcedure="false">'C15 Will my money last'!$G$20</definedName>
    <definedName function="false" hidden="false" localSheetId="15" name="Age_At_Start_Entry" vbProcedure="false">'C15 Will my money last'!$C$20</definedName>
    <definedName function="false" hidden="false" localSheetId="15" name="Growth_Rate" vbProcedure="false">'C15 Will my money last'!$G$18</definedName>
    <definedName function="false" hidden="false" localSheetId="15" name="Growth_Rate_Entry" vbProcedure="false">'C15 Will my money last'!$C$18</definedName>
    <definedName function="false" hidden="false" localSheetId="15" name="Inflation_Choice" vbProcedure="false">'C15 Will my money last'!$G$6</definedName>
    <definedName function="false" hidden="false" localSheetId="15" name="Inflation_Choice_Entry" vbProcedure="false">'C15 Will my money last'!$C$6</definedName>
    <definedName function="false" hidden="false" localSheetId="15" name="Lasts_To_Age" vbProcedure="false">'C15 Will my money last'!$C$29</definedName>
    <definedName function="false" hidden="false" localSheetId="15" name="Need_1" vbProcedure="false">'C15 Will my money last'!$C$107</definedName>
    <definedName function="false" hidden="false" localSheetId="15" name="Need_2" vbProcedure="false">'C15 Will my money last'!$C$108</definedName>
    <definedName function="false" hidden="false" localSheetId="15" name="Need_3" vbProcedure="false">'C15 Will my money last'!$C$109</definedName>
    <definedName function="false" hidden="false" localSheetId="15" name="Plan_Goal_Kind" vbProcedure="false">'C15 Will my money last'!$C$104</definedName>
    <definedName function="false" hidden="false" localSheetId="15" name="Plan_To_Age" vbProcedure="false">'C15 Will my money last'!$G$21</definedName>
    <definedName function="false" hidden="false" localSheetId="15" name="Plan_To_Age_Entry" vbProcedure="false">'C15 Will my money last'!$C$21</definedName>
    <definedName function="false" hidden="false" localSheetId="15" name="Retirement_Savings" vbProcedure="false">'C15 Will my money last'!$G$16</definedName>
    <definedName function="false" hidden="false" localSheetId="15" name="Retirement_Savings_Entry" vbProcedure="false">'C15 Will my money last'!$C$16</definedName>
    <definedName function="false" hidden="false" localSheetId="15" name="Statement_Check" vbProcedure="false">'C15 Will my money last'!$C$25</definedName>
    <definedName function="false" hidden="false" localSheetId="15" name="Stmt_Fund_Value" vbProcedure="false">'C15 Will my money last'!$C$12</definedName>
    <definedName function="false" hidden="false" localSheetId="15" name="Stmt_Projected_Fund" vbProcedure="false">'C15 Will my money last'!$C$11</definedName>
    <definedName function="false" hidden="false" localSheetId="15" name="Stmt_Statement_Date" vbProcedure="false">'C15 Will my money last'!$C$13</definedName>
    <definedName function="false" hidden="false" localSheetId="15" name="Used_Retirement_Savings" vbProcedure="false">'C15 Will my money last'!$C$24</definedName>
    <definedName function="false" hidden="false" localSheetId="15" name="Withdrawal_Rate" vbProcedure="false">'C15 Will my money last'!$C$30</definedName>
    <definedName function="false" hidden="false" localSheetId="15" name="Withdrawal_Timing" vbProcedure="false">'C15 Will my money last'!$G$19</definedName>
    <definedName function="false" hidden="false" localSheetId="15" name="Withdrawal_Timing_Entry" vbProcedure="false">'C15 Will my money last'!$C$19</definedName>
    <definedName function="false" hidden="false" localSheetId="15" name="W_end" vbProcedure="false">'C15 Will my money last'!$F$33:$F$92</definedName>
    <definedName function="false" hidden="false" localSheetId="15" name="W_paid" vbProcedure="false">'C15 Will my money last'!$E$33:$E$92</definedName>
    <definedName function="false" hidden="false" localSheetId="15" name="W_start" vbProcedure="false">'C15 Will my money last'!$D$33:$D$92</definedName>
    <definedName function="false" hidden="false" localSheetId="15" name="W_w" vbProcedure="false">'C15 Will my money last'!$C$33:$C$92</definedName>
    <definedName function="false" hidden="false" localSheetId="15" name="W_year" vbProcedure="false">'C15 Will my money last'!$B$33:$B$92</definedName>
    <definedName function="false" hidden="false" localSheetId="15" name="Yearly_Withdrawal" vbProcedure="false">'C15 Will my money last'!$G$17</definedName>
    <definedName function="false" hidden="false" localSheetId="15" name="Yearly_Withdrawal_Entry" vbProcedure="false">'C15 Will my money last'!$C$17</definedName>
    <definedName function="false" hidden="false" localSheetId="15" name="Years_Lasting" vbProcedure="false">'C15 Will my money last'!$C$28</definedName>
    <definedName function="false" hidden="false" localSheetId="16" name="DD_Balanced" vbProcedure="false">'C16 Drawdown scenarios'!$G$19</definedName>
    <definedName function="false" hidden="false" localSheetId="16" name="DD_Balanced_Entry" vbProcedure="false">'C16 Drawdown scenarios'!$C$19</definedName>
    <definedName function="false" hidden="false" localSheetId="16" name="DD_Cautious" vbProcedure="false">'C16 Drawdown scenarios'!$G$18</definedName>
    <definedName function="false" hidden="false" localSheetId="16" name="DD_Cautious_Entry" vbProcedure="false">'C16 Drawdown scenarios'!$C$18</definedName>
    <definedName function="false" hidden="false" localSheetId="16" name="DD_Growth" vbProcedure="false">'C16 Drawdown scenarios'!$G$20</definedName>
    <definedName function="false" hidden="false" localSheetId="16" name="DD_Growth_Entry" vbProcedure="false">'C16 Drawdown scenarios'!$C$20</definedName>
    <definedName function="false" hidden="false" localSheetId="16" name="Inflation_Choice" vbProcedure="false">'C16 Drawdown scenarios'!$G$6</definedName>
    <definedName function="false" hidden="false" localSheetId="16" name="Inflation_Choice_Entry" vbProcedure="false">'C16 Drawdown scenarios'!$C$6</definedName>
    <definedName function="false" hidden="false" localSheetId="16" name="Need_1" vbProcedure="false">'C16 Drawdown scenarios'!$C$106</definedName>
    <definedName function="false" hidden="false" localSheetId="16" name="Plan_Goal_Kind" vbProcedure="false">'C16 Drawdown scenarios'!$C$103</definedName>
    <definedName function="false" hidden="false" localSheetId="16" name="Retirement_Savings" vbProcedure="false">'C16 Drawdown scenarios'!$G$16</definedName>
    <definedName function="false" hidden="false" localSheetId="16" name="Retirement_Savings_Entry" vbProcedure="false">'C16 Drawdown scenarios'!$C$16</definedName>
    <definedName function="false" hidden="false" localSheetId="16" name="Statement_Check" vbProcedure="false">'C16 Drawdown scenarios'!$C$25</definedName>
    <definedName function="false" hidden="false" localSheetId="16" name="Stmt_Fund_Value" vbProcedure="false">'C16 Drawdown scenarios'!$C$12</definedName>
    <definedName function="false" hidden="false" localSheetId="16" name="Stmt_Projected_Fund" vbProcedure="false">'C16 Drawdown scenarios'!$C$11</definedName>
    <definedName function="false" hidden="false" localSheetId="16" name="Stmt_Statement_Date" vbProcedure="false">'C16 Drawdown scenarios'!$C$13</definedName>
    <definedName function="false" hidden="false" localSheetId="16" name="Used_Retirement_Savings" vbProcedure="false">'C16 Drawdown scenarios'!$C$24</definedName>
    <definedName function="false" hidden="false" localSheetId="16" name="Withdrawal_Timing" vbProcedure="false">'C16 Drawdown scenarios'!$G$21</definedName>
    <definedName function="false" hidden="false" localSheetId="16" name="Withdrawal_Timing_Entry" vbProcedure="false">'C16 Drawdown scenarios'!$C$21</definedName>
    <definedName function="false" hidden="false" localSheetId="16" name="W_b_paid" vbProcedure="false">'C16 Drawdown scenarios'!$G$33:$G$92</definedName>
    <definedName function="false" hidden="false" localSheetId="16" name="W_b_start" vbProcedure="false">'C16 Drawdown scenarios'!$F$33:$F$92</definedName>
    <definedName function="false" hidden="false" localSheetId="16" name="W_c_paid" vbProcedure="false">'C16 Drawdown scenarios'!$E$33:$E$92</definedName>
    <definedName function="false" hidden="false" localSheetId="16" name="W_c_start" vbProcedure="false">'C16 Drawdown scenarios'!$D$33:$D$92</definedName>
    <definedName function="false" hidden="false" localSheetId="16" name="W_g_paid" vbProcedure="false">'C16 Drawdown scenarios'!$I$33:$I$92</definedName>
    <definedName function="false" hidden="false" localSheetId="16" name="W_g_start" vbProcedure="false">'C16 Drawdown scenarios'!$H$33:$H$92</definedName>
    <definedName function="false" hidden="false" localSheetId="16" name="W_w" vbProcedure="false">'C16 Drawdown scenarios'!$C$33:$C$92</definedName>
    <definedName function="false" hidden="false" localSheetId="16" name="W_year" vbProcedure="false">'C16 Drawdown scenarios'!$B$33:$B$92</definedName>
    <definedName function="false" hidden="false" localSheetId="16" name="Yearly_Withdrawal" vbProcedure="false">'C16 Drawdown scenarios'!$G$17</definedName>
    <definedName function="false" hidden="false" localSheetId="16" name="Yearly_Withdrawal_Entry" vbProcedure="false">'C16 Drawdown scenarios'!$C$17</definedName>
    <definedName function="false" hidden="false" localSheetId="16" name="Years_Balanced" vbProcedure="false">'C16 Drawdown scenarios'!$C$28</definedName>
    <definedName function="false" hidden="false" localSheetId="16" name="Years_Cautious" vbProcedure="false">'C16 Drawdown scenarios'!$C$29</definedName>
    <definedName function="false" hidden="false" localSheetId="16" name="Years_Growth" vbProcedure="false">'C16 Drawdown scenarios'!$C$30</definedName>
    <definedName function="false" hidden="false" localSheetId="17" name="Amount" vbProcedure="false">'C17 Inflation adjusted return'!$G$15</definedName>
    <definedName function="false" hidden="false" localSheetId="17" name="Amount_Entry" vbProcedure="false">'C17 Inflation adjusted return'!$C$15</definedName>
    <definedName function="false" hidden="false" localSheetId="17" name="Future_Value" vbProcedure="false">'C17 Inflation adjusted return'!$C$25</definedName>
    <definedName function="false" hidden="false" localSheetId="17" name="Inflation_Choice" vbProcedure="false">'C17 Inflation adjusted return'!$G$6</definedName>
    <definedName function="false" hidden="false" localSheetId="17" name="Inflation_Choice_Entry" vbProcedure="false">'C17 Inflation adjusted return'!$C$6</definedName>
    <definedName function="false" hidden="false" localSheetId="17" name="Need_1" vbProcedure="false">'C17 Inflation adjusted return'!$C$39</definedName>
    <definedName function="false" hidden="false" localSheetId="17" name="Need_2" vbProcedure="false">'C17 Inflation adjusted return'!$C$40</definedName>
    <definedName function="false" hidden="false" localSheetId="17" name="Need_3" vbProcedure="false">'C17 Inflation adjusted return'!$C$41</definedName>
    <definedName function="false" hidden="false" localSheetId="17" name="Nominal_Return" vbProcedure="false">'C17 Inflation adjusted return'!$G$16</definedName>
    <definedName function="false" hidden="false" localSheetId="17" name="Nominal_Return_Entry" vbProcedure="false">'C17 Inflation adjusted return'!$C$16</definedName>
    <definedName function="false" hidden="false" localSheetId="17" name="Plan_Goal_Kind" vbProcedure="false">'C17 Inflation adjusted return'!$C$36</definedName>
    <definedName function="false" hidden="false" localSheetId="17" name="Real_Return" vbProcedure="false">'C17 Inflation adjusted return'!$C$26</definedName>
    <definedName function="false" hidden="false" localSheetId="17" name="Statement_Check" vbProcedure="false">'C17 Inflation adjusted return'!$C$21</definedName>
    <definedName function="false" hidden="false" localSheetId="17" name="Stmt_Statement_Date" vbProcedure="false">'C17 Inflation adjusted return'!$C$12</definedName>
    <definedName function="false" hidden="false" localSheetId="17" name="Stmt_Total_Value" vbProcedure="false">'C17 Inflation adjusted return'!$C$11</definedName>
    <definedName function="false" hidden="false" localSheetId="17" name="Used_Amount" vbProcedure="false">'C17 Inflation adjusted return'!$C$20</definedName>
    <definedName function="false" hidden="false" localSheetId="17" name="Value_Today" vbProcedure="false">'C17 Inflation adjusted return'!$C$24</definedName>
    <definedName function="false" hidden="false" localSheetId="17" name="Years" vbProcedure="false">'C17 Inflation adjusted return'!$G$17</definedName>
    <definedName function="false" hidden="false" localSheetId="17" name="Years_Entry" vbProcedure="false">'C17 Inflation adjusted return'!$C$17</definedName>
    <definedName function="false" hidden="false" localSheetId="18" name="Adjust_For_Inflation" vbProcedure="false">'C18 Regular investing'!$G$20</definedName>
    <definedName function="false" hidden="false" localSheetId="18" name="Adjust_For_Inflation_Entry" vbProcedure="false">'C18 Regular investing'!$C$20</definedName>
    <definedName function="false" hidden="false" localSheetId="18" name="Fees_Cost" vbProcedure="false">'C18 Regular investing'!$C$32</definedName>
    <definedName function="false" hidden="false" localSheetId="18" name="Growth_After_Fees" vbProcedure="false">'C18 Regular investing'!$C$35</definedName>
    <definedName function="false" hidden="false" localSheetId="18" name="Growth_Rate" vbProcedure="false">'C18 Regular investing'!$G$18</definedName>
    <definedName function="false" hidden="false" localSheetId="18" name="Growth_Rate_Entry" vbProcedure="false">'C18 Regular investing'!$C$18</definedName>
    <definedName function="false" hidden="false" localSheetId="18" name="Headline" vbProcedure="false">'C18 Regular investing'!$C$29</definedName>
    <definedName function="false" hidden="false" localSheetId="18" name="Inflation_Choice" vbProcedure="false">'C18 Regular investing'!$G$6</definedName>
    <definedName function="false" hidden="false" localSheetId="18" name="Inflation_Choice_Entry" vbProcedure="false">'C18 Regular investing'!$C$6</definedName>
    <definedName function="false" hidden="false" localSheetId="18" name="Monthly_Amount" vbProcedure="false">'C18 Regular investing'!$G$16</definedName>
    <definedName function="false" hidden="false" localSheetId="18" name="Monthly_Amount_Entry" vbProcedure="false">'C18 Regular investing'!$C$16</definedName>
    <definedName function="false" hidden="false" localSheetId="18" name="Need_1" vbProcedure="false">'C18 Regular investing'!$C$53</definedName>
    <definedName function="false" hidden="false" localSheetId="18" name="Need_2" vbProcedure="false">'C18 Regular investing'!$C$54</definedName>
    <definedName function="false" hidden="false" localSheetId="18" name="Need_3" vbProcedure="false">'C18 Regular investing'!$C$55</definedName>
    <definedName function="false" hidden="false" localSheetId="18" name="Need_4" vbProcedure="false">'C18 Regular investing'!$C$56</definedName>
    <definedName function="false" hidden="false" localSheetId="18" name="Need_5" vbProcedure="false">'C18 Regular investing'!$C$57</definedName>
    <definedName function="false" hidden="false" localSheetId="18" name="Need_6" vbProcedure="false">'C18 Regular investing'!$C$58</definedName>
    <definedName function="false" hidden="false" localSheetId="18" name="Need_7" vbProcedure="false">'C18 Regular investing'!$C$59</definedName>
    <definedName function="false" hidden="false" localSheetId="18" name="Paid_In" vbProcedure="false">'C18 Regular investing'!$C$33</definedName>
    <definedName function="false" hidden="false" localSheetId="18" name="Plan_Goal_Amount" vbProcedure="false">'C18 Regular investing'!$C$47</definedName>
    <definedName function="false" hidden="false" localSheetId="18" name="Plan_Goal_Kind" vbProcedure="false">'C18 Regular investing'!$C$46</definedName>
    <definedName function="false" hidden="false" localSheetId="18" name="Plan_Goal_Years" vbProcedure="false">'C18 Regular investing'!$C$48</definedName>
    <definedName function="false" hidden="false" localSheetId="18" name="Plan_Inflation" vbProcedure="false">'C18 Regular investing'!$C$49</definedName>
    <definedName function="false" hidden="false" localSheetId="18" name="Real_Return" vbProcedure="false">'C18 Regular investing'!$C$36</definedName>
    <definedName function="false" hidden="false" localSheetId="18" name="Statement_Check" vbProcedure="false">'C18 Regular investing'!$C$26</definedName>
    <definedName function="false" hidden="false" localSheetId="18" name="Statement_Uploaded" vbProcedure="false">'C18 Regular investing'!$C$23</definedName>
    <definedName function="false" hidden="false" localSheetId="18" name="Stmt_Charges" vbProcedure="false">'C18 Regular investing'!$C$12</definedName>
    <definedName function="false" hidden="false" localSheetId="18" name="Stmt_Monthly_Invested" vbProcedure="false">'C18 Regular investing'!$C$11</definedName>
    <definedName function="false" hidden="false" localSheetId="18" name="Stmt_Statement_Date" vbProcedure="false">'C18 Regular investing'!$C$13</definedName>
    <definedName function="false" hidden="false" localSheetId="18" name="Used_Monthly_Amount" vbProcedure="false">'C18 Regular investing'!$C$24</definedName>
    <definedName function="false" hidden="false" localSheetId="18" name="Used_Yearly_Fees" vbProcedure="false">'C18 Regular investing'!$C$25</definedName>
    <definedName function="false" hidden="false" localSheetId="18" name="Value_After_Fees" vbProcedure="false">'C18 Regular investing'!$C$30</definedName>
    <definedName function="false" hidden="false" localSheetId="18" name="Value_Before_Fees" vbProcedure="false">'C18 Regular investing'!$C$31</definedName>
    <definedName function="false" hidden="false" localSheetId="18" name="Value_Today" vbProcedure="false">'C18 Regular investing'!$C$34</definedName>
    <definedName function="false" hidden="false" localSheetId="18" name="Yearly_Fees" vbProcedure="false">'C18 Regular investing'!$G$19</definedName>
    <definedName function="false" hidden="false" localSheetId="18" name="Yearly_Fees_Entry" vbProcedure="false">'C18 Regular investing'!$C$19</definedName>
    <definedName function="false" hidden="false" localSheetId="18" name="Years" vbProcedure="false">'C18 Regular investing'!$G$17</definedName>
    <definedName function="false" hidden="false" localSheetId="18" name="Years_Entry" vbProcedure="false">'C18 Regular investing'!$C$17</definedName>
    <definedName function="false" hidden="false" localSheetId="19" name="Amount_Invested" vbProcedure="false">'C19 Fees impact'!$G$12</definedName>
    <definedName function="false" hidden="false" localSheetId="19" name="Amount_Invested_Entry" vbProcedure="false">'C19 Fees impact'!$C$12</definedName>
    <definedName function="false" hidden="false" localSheetId="19" name="Difference" vbProcedure="false">'C19 Fees impact'!$C$25</definedName>
    <definedName function="false" hidden="false" localSheetId="19" name="Fee_A" vbProcedure="false">'C19 Fees impact'!$G$15</definedName>
    <definedName function="false" hidden="false" localSheetId="19" name="Fee_A_Entry" vbProcedure="false">'C19 Fees impact'!$C$15</definedName>
    <definedName function="false" hidden="false" localSheetId="19" name="Fee_B" vbProcedure="false">'C19 Fees impact'!$G$16</definedName>
    <definedName function="false" hidden="false" localSheetId="19" name="Fee_B_Entry" vbProcedure="false">'C19 Fees impact'!$C$16</definedName>
    <definedName function="false" hidden="false" localSheetId="19" name="Fee_Gap" vbProcedure="false">'C19 Fees impact'!$C$28</definedName>
    <definedName function="false" hidden="false" localSheetId="19" name="Growth_Rate" vbProcedure="false">'C19 Fees impact'!$G$14</definedName>
    <definedName function="false" hidden="false" localSheetId="19" name="Growth_Rate_Entry" vbProcedure="false">'C19 Fees impact'!$C$14</definedName>
    <definedName function="false" hidden="false" localSheetId="19" name="Need_1" vbProcedure="false">'C19 Fees impact'!$C$39</definedName>
    <definedName function="false" hidden="false" localSheetId="19" name="Need_2" vbProcedure="false">'C19 Fees impact'!$C$40</definedName>
    <definedName function="false" hidden="false" localSheetId="19" name="Need_3" vbProcedure="false">'C19 Fees impact'!$C$41</definedName>
    <definedName function="false" hidden="false" localSheetId="19" name="Need_4" vbProcedure="false">'C19 Fees impact'!$C$42</definedName>
    <definedName function="false" hidden="false" localSheetId="19" name="Plan_Goal_Kind" vbProcedure="false">'C19 Fees impact'!$C$36</definedName>
    <definedName function="false" hidden="false" localSheetId="19" name="Statement_Check" vbProcedure="false">'C19 Fees impact'!$C$22</definedName>
    <definedName function="false" hidden="false" localSheetId="19" name="Statement_Uploaded" vbProcedure="false">'C19 Fees impact'!$C$19</definedName>
    <definedName function="false" hidden="false" localSheetId="19" name="Stmt_Charges" vbProcedure="false">'C19 Fees impact'!$C$8</definedName>
    <definedName function="false" hidden="false" localSheetId="19" name="Stmt_Statement_Date" vbProcedure="false">'C19 Fees impact'!$C$9</definedName>
    <definedName function="false" hidden="false" localSheetId="19" name="Stmt_Total_Value" vbProcedure="false">'C19 Fees impact'!$C$7</definedName>
    <definedName function="false" hidden="false" localSheetId="19" name="Used_Amount_Invested" vbProcedure="false">'C19 Fees impact'!$C$20</definedName>
    <definedName function="false" hidden="false" localSheetId="19" name="Used_Fee_A" vbProcedure="false">'C19 Fees impact'!$C$21</definedName>
    <definedName function="false" hidden="false" localSheetId="19" name="Value_With_Fee_A" vbProcedure="false">'C19 Fees impact'!$C$26</definedName>
    <definedName function="false" hidden="false" localSheetId="19" name="Value_With_Fee_B" vbProcedure="false">'C19 Fees impact'!$C$27</definedName>
    <definedName function="false" hidden="false" localSheetId="19" name="Years" vbProcedure="false">'C19 Fees impact'!$G$13</definedName>
    <definedName function="false" hidden="false" localSheetId="19" name="Years_Entry" vbProcedure="false">'C19 Fees impact'!$C$13</definedName>
    <definedName function="false" hidden="false" localSheetId="20" name="Amount" vbProcedure="false">'C20 Risk and return'!$G$12</definedName>
    <definedName function="false" hidden="false" localSheetId="20" name="Amount_Entry" vbProcedure="false">'C20 Risk and return'!$C$12</definedName>
    <definedName function="false" hidden="false" localSheetId="20" name="Difficult_Year_Fall" vbProcedure="false">'C20 Risk and return'!$C$31</definedName>
    <definedName function="false" hidden="false" localSheetId="20" name="Middle" vbProcedure="false">'C20 Risk and return'!$C$28</definedName>
    <definedName function="false" hidden="false" localSheetId="20" name="Middle_Growth" vbProcedure="false">'C20 Risk and return'!$C$33</definedName>
    <definedName function="false" hidden="false" localSheetId="20" name="Mu_Balanced" vbProcedure="false">'C20 Risk and return'!$G$16</definedName>
    <definedName function="false" hidden="false" localSheetId="20" name="Mu_Balanced_Entry" vbProcedure="false">'C20 Risk and return'!$C$16</definedName>
    <definedName function="false" hidden="false" localSheetId="20" name="Mu_Cautious" vbProcedure="false">'C20 Risk and return'!$G$15</definedName>
    <definedName function="false" hidden="false" localSheetId="20" name="Mu_Cautious_Entry" vbProcedure="false">'C20 Risk and return'!$C$15</definedName>
    <definedName function="false" hidden="false" localSheetId="20" name="Mu_Growth" vbProcedure="false">'C20 Risk and return'!$G$17</definedName>
    <definedName function="false" hidden="false" localSheetId="20" name="Mu_Growth_Entry" vbProcedure="false">'C20 Risk and return'!$C$17</definedName>
    <definedName function="false" hidden="false" localSheetId="20" name="Need_1" vbProcedure="false">'C20 Risk and return'!$C$48</definedName>
    <definedName function="false" hidden="false" localSheetId="20" name="Need_2" vbProcedure="false">'C20 Risk and return'!$C$49</definedName>
    <definedName function="false" hidden="false" localSheetId="20" name="Need_3" vbProcedure="false">'C20 Risk and return'!$C$50</definedName>
    <definedName function="false" hidden="false" localSheetId="20" name="Need_4" vbProcedure="false">'C20 Risk and return'!$C$51</definedName>
    <definedName function="false" hidden="false" localSheetId="20" name="Need_5" vbProcedure="false">'C20 Risk and return'!$C$52</definedName>
    <definedName function="false" hidden="false" localSheetId="20" name="Need_6" vbProcedure="false">'C20 Risk and return'!$C$53</definedName>
    <definedName function="false" hidden="false" localSheetId="20" name="Need_7" vbProcedure="false">'C20 Risk and return'!$C$54</definedName>
    <definedName function="false" hidden="false" localSheetId="20" name="Plan_Goal_Kind" vbProcedure="false">'C20 Risk and return'!$C$45</definedName>
    <definedName function="false" hidden="false" localSheetId="20" name="Spread" vbProcedure="false">'C20 Risk and return'!$C$35</definedName>
    <definedName function="false" hidden="false" localSheetId="20" name="Statement_Check" vbProcedure="false">'C20 Risk and return'!$C$25</definedName>
    <definedName function="false" hidden="false" localSheetId="20" name="Stmt_Shares_Pct" vbProcedure="false">'C20 Risk and return'!$C$8</definedName>
    <definedName function="false" hidden="false" localSheetId="20" name="Stmt_Statement_Date" vbProcedure="false">'C20 Risk and return'!$C$9</definedName>
    <definedName function="false" hidden="false" localSheetId="20" name="Stmt_Total_Value" vbProcedure="false">'C20 Risk and return'!$C$7</definedName>
    <definedName function="false" hidden="false" localSheetId="20" name="Stronger" vbProcedure="false">'C20 Risk and return'!$C$30</definedName>
    <definedName function="false" hidden="false" localSheetId="20" name="Style" vbProcedure="false">'C20 Risk and return'!$G$14</definedName>
    <definedName function="false" hidden="false" localSheetId="20" name="Style_Entry" vbProcedure="false">'C20 Risk and return'!$C$14</definedName>
    <definedName function="false" hidden="false" localSheetId="20" name="Style_Name" vbProcedure="false">'C20 Risk and return'!$C$32</definedName>
    <definedName function="false" hidden="false" localSheetId="20" name="Used_Amount" vbProcedure="false">'C20 Risk and return'!$C$23</definedName>
    <definedName function="false" hidden="false" localSheetId="20" name="Used_Style" vbProcedure="false">'C20 Risk and return'!$C$24</definedName>
    <definedName function="false" hidden="false" localSheetId="20" name="Volatility" vbProcedure="false">'C20 Risk and return'!$C$34</definedName>
    <definedName function="false" hidden="false" localSheetId="20" name="Vol_Balanced" vbProcedure="false">'C20 Risk and return'!$G$19</definedName>
    <definedName function="false" hidden="false" localSheetId="20" name="Vol_Balanced_Entry" vbProcedure="false">'C20 Risk and return'!$C$19</definedName>
    <definedName function="false" hidden="false" localSheetId="20" name="Vol_Cautious" vbProcedure="false">'C20 Risk and return'!$G$18</definedName>
    <definedName function="false" hidden="false" localSheetId="20" name="Vol_Cautious_Entry" vbProcedure="false">'C20 Risk and return'!$C$18</definedName>
    <definedName function="false" hidden="false" localSheetId="20" name="Vol_Growth" vbProcedure="false">'C20 Risk and return'!$G$20</definedName>
    <definedName function="false" hidden="false" localSheetId="20" name="Vol_Growth_Entry" vbProcedure="false">'C20 Risk and return'!$C$20</definedName>
    <definedName function="false" hidden="false" localSheetId="20" name="Weaker" vbProcedure="false">'C20 Risk and return'!$C$29</definedName>
    <definedName function="false" hidden="false" localSheetId="20" name="Years" vbProcedure="false">'C20 Risk and return'!$G$13</definedName>
    <definedName function="false" hidden="false" localSheetId="20" name="Years_Entry" vbProcedure="false">'C20 Risk and return'!$C$13</definedName>
    <definedName function="false" hidden="false" localSheetId="21" name="Already_Have" vbProcedure="false">'C21 Life cover'!$C$29</definedName>
    <definedName function="false" hidden="false" localSheetId="21" name="Cover_Gap" vbProcedure="false">'C21 Life cover'!$C$26</definedName>
    <definedName function="false" hidden="false" localSheetId="21" name="Debts_To_Clear" vbProcedure="false">'C21 Life cover'!$C$28</definedName>
    <definedName function="false" hidden="false" localSheetId="21" name="Existing_Cover" vbProcedure="false">'C21 Life cover'!$G$18</definedName>
    <definedName function="false" hidden="false" localSheetId="21" name="Existing_Cover_Entry" vbProcedure="false">'C21 Life cover'!$C$18</definedName>
    <definedName function="false" hidden="false" localSheetId="21" name="Income_Need" vbProcedure="false">'C21 Life cover'!$C$27</definedName>
    <definedName function="false" hidden="false" localSheetId="21" name="Income_Replacement" vbProcedure="false">'C21 Life cover'!$C$30</definedName>
    <definedName function="false" hidden="false" localSheetId="21" name="Life_Replace" vbProcedure="false">'C21 Life cover'!$G$13</definedName>
    <definedName function="false" hidden="false" localSheetId="21" name="Life_Replace_Entry" vbProcedure="false">'C21 Life cover'!$C$13</definedName>
    <definedName function="false" hidden="false" localSheetId="21" name="Mortgage_Balance" vbProcedure="false">'C21 Life cover'!$G$14</definedName>
    <definedName function="false" hidden="false" localSheetId="21" name="Mortgage_Balance_Entry" vbProcedure="false">'C21 Life cover'!$C$14</definedName>
    <definedName function="false" hidden="false" localSheetId="21" name="Mortgage_Protected" vbProcedure="false">'C21 Life cover'!$G$15</definedName>
    <definedName function="false" hidden="false" localSheetId="21" name="Mortgage_Protected_Entry" vbProcedure="false">'C21 Life cover'!$C$15</definedName>
    <definedName function="false" hidden="false" localSheetId="21" name="Need_1" vbProcedure="false">'C21 Life cover'!$C$46</definedName>
    <definedName function="false" hidden="false" localSheetId="21" name="Need_2" vbProcedure="false">'C21 Life cover'!$C$47</definedName>
    <definedName function="false" hidden="false" localSheetId="21" name="Need_3" vbProcedure="false">'C21 Life cover'!$C$48</definedName>
    <definedName function="false" hidden="false" localSheetId="21" name="Need_4" vbProcedure="false">'C21 Life cover'!$C$49</definedName>
    <definedName function="false" hidden="false" localSheetId="21" name="Need_5" vbProcedure="false">'C21 Life cover'!$C$50</definedName>
    <definedName function="false" hidden="false" localSheetId="21" name="Other_Debts" vbProcedure="false">'C21 Life cover'!$G$16</definedName>
    <definedName function="false" hidden="false" localSheetId="21" name="Other_Debts_Entry" vbProcedure="false">'C21 Life cover'!$C$16</definedName>
    <definedName function="false" hidden="false" localSheetId="21" name="Plan_Goal_Kind" vbProcedure="false">'C21 Life cover'!$C$41</definedName>
    <definedName function="false" hidden="false" localSheetId="21" name="Plan_Goal_Need" vbProcedure="false">'C21 Life cover'!$C$42</definedName>
    <definedName function="false" hidden="false" localSheetId="21" name="Savings" vbProcedure="false">'C21 Life cover'!$G$17</definedName>
    <definedName function="false" hidden="false" localSheetId="21" name="Savings_Entry" vbProcedure="false">'C21 Life cover'!$C$17</definedName>
    <definedName function="false" hidden="false" localSheetId="21" name="Statement_Check" vbProcedure="false">'C21 Life cover'!$C$23</definedName>
    <definedName function="false" hidden="false" localSheetId="21" name="Stmt_Balance" vbProcedure="false">'C21 Life cover'!$C$7</definedName>
    <definedName function="false" hidden="false" localSheetId="21" name="Stmt_Statement_Date" vbProcedure="false">'C21 Life cover'!$C$8</definedName>
    <definedName function="false" hidden="false" localSheetId="21" name="Survivor_Pension" vbProcedure="false">'C21 Life cover'!$G$19</definedName>
    <definedName function="false" hidden="false" localSheetId="21" name="Survivor_Pension_Entry" vbProcedure="false">'C21 Life cover'!$C$19</definedName>
    <definedName function="false" hidden="false" localSheetId="21" name="Used_Mortgage_Balance" vbProcedure="false">'C21 Life cover'!$C$22</definedName>
    <definedName function="false" hidden="false" localSheetId="21" name="Yearly_Income" vbProcedure="false">'C21 Life cover'!$G$11</definedName>
    <definedName function="false" hidden="false" localSheetId="21" name="Yearly_Income_Entry" vbProcedure="false">'C21 Life cover'!$C$11</definedName>
    <definedName function="false" hidden="false" localSheetId="21" name="Years_Support" vbProcedure="false">'C21 Life cover'!$G$12</definedName>
    <definedName function="false" hidden="false" localSheetId="21" name="Years_Support_Entry" vbProcedure="false">'C21 Life cover'!$C$12</definedName>
    <definedName function="false" hidden="false" localSheetId="22" name="Essential_Spending" vbProcedure="false">'C22 Income protection gap'!$G$6</definedName>
    <definedName function="false" hidden="false" localSheetId="22" name="Essential_Spending_Entry" vbProcedure="false">'C22 Income protection gap'!$C$6</definedName>
    <definedName function="false" hidden="false" localSheetId="22" name="Gross_Income" vbProcedure="false">'C22 Income protection gap'!$G$9</definedName>
    <definedName function="false" hidden="false" localSheetId="22" name="Gross_Income_Entry" vbProcedure="false">'C22 Income protection gap'!$C$9</definedName>
    <definedName function="false" hidden="false" localSheetId="22" name="Illness_Benefit" vbProcedure="false">'C22 Income protection gap'!$G$10</definedName>
    <definedName function="false" hidden="false" localSheetId="22" name="Illness_Benefit_Entry" vbProcedure="false">'C22 Income protection gap'!$C$10</definedName>
    <definedName function="false" hidden="false" localSheetId="22" name="Illness_Benefit_Month" vbProcedure="false">'C22 Income protection gap'!$C$16</definedName>
    <definedName function="false" hidden="false" localSheetId="22" name="IP_Max" vbProcedure="false">'C22 Income protection gap'!$C$18</definedName>
    <definedName function="false" hidden="false" localSheetId="22" name="IP_Needed" vbProcedure="false">'C22 Income protection gap'!$C$15</definedName>
    <definedName function="false" hidden="false" localSheetId="22" name="Monthly_Gap" vbProcedure="false">'C22 Income protection gap'!$C$14</definedName>
    <definedName function="false" hidden="false" localSheetId="22" name="Months_Coping" vbProcedure="false">'C22 Income protection gap'!$C$13</definedName>
    <definedName function="false" hidden="false" localSheetId="22" name="Need_1" vbProcedure="false">'C22 Income protection gap'!$C$33</definedName>
    <definedName function="false" hidden="false" localSheetId="22" name="Need_2" vbProcedure="false">'C22 Income protection gap'!$C$34</definedName>
    <definedName function="false" hidden="false" localSheetId="22" name="Need_3" vbProcedure="false">'C22 Income protection gap'!$C$35</definedName>
    <definedName function="false" hidden="false" localSheetId="22" name="Need_4" vbProcedure="false">'C22 Income protection gap'!$C$36</definedName>
    <definedName function="false" hidden="false" localSheetId="22" name="Need_5" vbProcedure="false">'C22 Income protection gap'!$C$37</definedName>
    <definedName function="false" hidden="false" localSheetId="22" name="Need_6" vbProcedure="false">'C22 Income protection gap'!$C$38</definedName>
    <definedName function="false" hidden="false" localSheetId="22" name="Plan_Goal_Kind" vbProcedure="false">'C22 Income protection gap'!$C$29</definedName>
    <definedName function="false" hidden="false" localSheetId="22" name="Plan_Goal_Need" vbProcedure="false">'C22 Income protection gap'!$C$30</definedName>
    <definedName function="false" hidden="false" localSheetId="22" name="Savings" vbProcedure="false">'C22 Income protection gap'!$G$8</definedName>
    <definedName function="false" hidden="false" localSheetId="22" name="Savings_Entry" vbProcedure="false">'C22 Income protection gap'!$C$8</definedName>
    <definedName function="false" hidden="false" localSheetId="22" name="Savings_Months" vbProcedure="false">'C22 Income protection gap'!$C$17</definedName>
    <definedName function="false" hidden="false" localSheetId="22" name="Sick_Pay_Months" vbProcedure="false">'C22 Income protection gap'!$G$7</definedName>
    <definedName function="false" hidden="false" localSheetId="22" name="Sick_Pay_Months_Entry" vbProcedure="false">'C22 Income protection gap'!$C$7</definedName>
    <definedName function="false" hidden="false" localSheetId="23" name="Actual_Repayment" vbProcedure="false">'C23 Mortgage protection'!$G$17</definedName>
    <definedName function="false" hidden="false" localSheetId="23" name="Actual_Repayment_Entry" vbProcedure="false">'C23 Mortgage protection'!$C$17</definedName>
    <definedName function="false" hidden="false" localSheetId="23" name="Balance_Year_1" vbProcedure="false">'C23 Mortgage protection'!$C$29</definedName>
    <definedName function="false" hidden="false" localSheetId="23" name="Balance_Year_2" vbProcedure="false">'C23 Mortgage protection'!$C$30</definedName>
    <definedName function="false" hidden="false" localSheetId="23" name="Balance_Year_3" vbProcedure="false">'C23 Mortgage protection'!$C$31</definedName>
    <definedName function="false" hidden="false" localSheetId="23" name="Cover_Today" vbProcedure="false">'C23 Mortgage protection'!$C$27</definedName>
    <definedName function="false" hidden="false" localSheetId="23" name="Interest_Rate" vbProcedure="false">'C23 Mortgage protection'!$G$15</definedName>
    <definedName function="false" hidden="false" localSheetId="23" name="Interest_Rate_Entry" vbProcedure="false">'C23 Mortgage protection'!$C$15</definedName>
    <definedName function="false" hidden="false" localSheetId="23" name="Monthly_Rate" vbProcedure="false">'C23 Mortgage protection'!$C$32</definedName>
    <definedName function="false" hidden="false" localSheetId="23" name="Mortgage_Balance" vbProcedure="false">'C23 Mortgage protection'!$G$14</definedName>
    <definedName function="false" hidden="false" localSheetId="23" name="Mortgage_Balance_Entry" vbProcedure="false">'C23 Mortgage protection'!$C$14</definedName>
    <definedName function="false" hidden="false" localSheetId="23" name="Need_1" vbProcedure="false">'C23 Mortgage protection'!$C$44</definedName>
    <definedName function="false" hidden="false" localSheetId="23" name="Need_2" vbProcedure="false">'C23 Mortgage protection'!$C$45</definedName>
    <definedName function="false" hidden="false" localSheetId="23" name="Need_3" vbProcedure="false">'C23 Mortgage protection'!$C$46</definedName>
    <definedName function="false" hidden="false" localSheetId="23" name="Plan_Goal_Kind" vbProcedure="false">'C23 Mortgage protection'!$C$41</definedName>
    <definedName function="false" hidden="false" localSheetId="23" name="Repayment" vbProcedure="false">'C23 Mortgage protection'!$C$33</definedName>
    <definedName function="false" hidden="false" localSheetId="23" name="Statement_Check" vbProcedure="false">'C23 Mortgage protection'!$C$24</definedName>
    <definedName function="false" hidden="false" localSheetId="23" name="Stmt_Balance" vbProcedure="false">'C23 Mortgage protection'!$C$7</definedName>
    <definedName function="false" hidden="false" localSheetId="23" name="Stmt_Rate" vbProcedure="false">'C23 Mortgage protection'!$C$8</definedName>
    <definedName function="false" hidden="false" localSheetId="23" name="Stmt_Repayment" vbProcedure="false">'C23 Mortgage protection'!$C$10</definedName>
    <definedName function="false" hidden="false" localSheetId="23" name="Stmt_Statement_Date" vbProcedure="false">'C23 Mortgage protection'!$C$11</definedName>
    <definedName function="false" hidden="false" localSheetId="23" name="Stmt_Term" vbProcedure="false">'C23 Mortgage protection'!$C$9</definedName>
    <definedName function="false" hidden="false" localSheetId="23" name="Used_Actual_Repayment" vbProcedure="false">'C23 Mortgage protection'!$C$23</definedName>
    <definedName function="false" hidden="false" localSheetId="23" name="Used_Interest_Rate" vbProcedure="false">'C23 Mortgage protection'!$C$21</definedName>
    <definedName function="false" hidden="false" localSheetId="23" name="Used_Mortgage_Balance" vbProcedure="false">'C23 Mortgage protection'!$C$20</definedName>
    <definedName function="false" hidden="false" localSheetId="23" name="Used_Years_Left" vbProcedure="false">'C23 Mortgage protection'!$C$22</definedName>
    <definedName function="false" hidden="false" localSheetId="23" name="Warning" vbProcedure="false">'C23 Mortgage protection'!$C$28</definedName>
    <definedName function="false" hidden="false" localSheetId="23" name="Years_Left" vbProcedure="false">'C23 Mortgage protection'!$G$16</definedName>
    <definedName function="false" hidden="false" localSheetId="23" name="Years_Left_Entry" vbProcedure="false">'C23 Mortgage protection'!$C$16</definedName>
    <definedName function="false" hidden="false" localSheetId="24" name="Investments" vbProcedure="false">'C24 Net worth'!$G$14</definedName>
    <definedName function="false" hidden="false" localSheetId="24" name="Investments_Entry" vbProcedure="false">'C24 Net worth'!$C$14</definedName>
    <definedName function="false" hidden="false" localSheetId="24" name="Mortgage" vbProcedure="false">'C24 Net worth'!$G$17</definedName>
    <definedName function="false" hidden="false" localSheetId="24" name="Mortgage_Entry" vbProcedure="false">'C24 Net worth'!$C$17</definedName>
    <definedName function="false" hidden="false" localSheetId="24" name="Need_1" vbProcedure="false">'C24 Net worth'!$C$40</definedName>
    <definedName function="false" hidden="false" localSheetId="24" name="Need_2" vbProcedure="false">'C24 Net worth'!$C$41</definedName>
    <definedName function="false" hidden="false" localSheetId="24" name="Need_3" vbProcedure="false">'C24 Net worth'!$C$42</definedName>
    <definedName function="false" hidden="false" localSheetId="24" name="Net_Worth" vbProcedure="false">'C24 Net worth'!$C$27</definedName>
    <definedName function="false" hidden="false" localSheetId="24" name="Other_Loans" vbProcedure="false">'C24 Net worth'!$G$18</definedName>
    <definedName function="false" hidden="false" localSheetId="24" name="Other_Loans_Entry" vbProcedure="false">'C24 Net worth'!$C$18</definedName>
    <definedName function="false" hidden="false" localSheetId="24" name="Pensions" vbProcedure="false">'C24 Net worth'!$G$15</definedName>
    <definedName function="false" hidden="false" localSheetId="24" name="Pensions_Entry" vbProcedure="false">'C24 Net worth'!$C$15</definedName>
    <definedName function="false" hidden="false" localSheetId="24" name="Plan_Goal_Kind" vbProcedure="false">'C24 Net worth'!$C$37</definedName>
    <definedName function="false" hidden="false" localSheetId="24" name="Property" vbProcedure="false">'C24 Net worth'!$G$16</definedName>
    <definedName function="false" hidden="false" localSheetId="24" name="Property_Entry" vbProcedure="false">'C24 Net worth'!$C$16</definedName>
    <definedName function="false" hidden="false" localSheetId="24" name="Savings" vbProcedure="false">'C24 Net worth'!$G$13</definedName>
    <definedName function="false" hidden="false" localSheetId="24" name="Savings_Entry" vbProcedure="false">'C24 Net worth'!$C$13</definedName>
    <definedName function="false" hidden="false" localSheetId="24" name="Stmt_Investment_Value" vbProcedure="false">'C24 Net worth'!$C$10</definedName>
    <definedName function="false" hidden="false" localSheetId="24" name="Stmt_Mortgage_Balance" vbProcedure="false">'C24 Net worth'!$C$7</definedName>
    <definedName function="false" hidden="false" localSheetId="24" name="Stmt_Pension_Value" vbProcedure="false">'C24 Net worth'!$C$9</definedName>
    <definedName function="false" hidden="false" localSheetId="24" name="Stmt_Property_Value" vbProcedure="false">'C24 Net worth'!$C$8</definedName>
    <definedName function="false" hidden="false" localSheetId="24" name="Used_Investments" vbProcedure="false">'C24 Net worth'!$C$24</definedName>
    <definedName function="false" hidden="false" localSheetId="24" name="Used_Mortgage" vbProcedure="false">'C24 Net worth'!$C$21</definedName>
    <definedName function="false" hidden="false" localSheetId="24" name="Used_Pensions" vbProcedure="false">'C24 Net worth'!$C$23</definedName>
    <definedName function="false" hidden="false" localSheetId="24" name="Used_Property" vbProcedure="false">'C24 Net worth'!$C$22</definedName>
    <definedName function="false" hidden="false" localSheetId="24" name="You_Owe" vbProcedure="false">'C24 Net worth'!$C$29</definedName>
    <definedName function="false" hidden="false" localSheetId="24" name="You_Own" vbProcedure="false">'C24 Net worth'!$C$28</definedName>
    <definedName function="false" hidden="false" localSheetId="25" name="Debt_Repayments" vbProcedure="false">'C25 Monthly surplus'!$G$9</definedName>
    <definedName function="false" hidden="false" localSheetId="25" name="Debt_Repayments_Entry" vbProcedure="false">'C25 Monthly surplus'!$C$9</definedName>
    <definedName function="false" hidden="false" localSheetId="25" name="Essentials" vbProcedure="false">'C25 Monthly surplus'!$G$7</definedName>
    <definedName function="false" hidden="false" localSheetId="25" name="Essentials_Entry" vbProcedure="false">'C25 Monthly surplus'!$C$7</definedName>
    <definedName function="false" hidden="false" localSheetId="25" name="Going_Out" vbProcedure="false">'C25 Monthly surplus'!$C$16</definedName>
    <definedName function="false" hidden="false" localSheetId="25" name="Lifestyle" vbProcedure="false">'C25 Monthly surplus'!$G$8</definedName>
    <definedName function="false" hidden="false" localSheetId="25" name="Lifestyle_Entry" vbProcedure="false">'C25 Monthly surplus'!$C$8</definedName>
    <definedName function="false" hidden="false" localSheetId="25" name="Need_1" vbProcedure="false">'C25 Monthly surplus'!$C$29</definedName>
    <definedName function="false" hidden="false" localSheetId="25" name="Need_2" vbProcedure="false">'C25 Monthly surplus'!$C$30</definedName>
    <definedName function="false" hidden="false" localSheetId="25" name="Plan_Goal_Amount" vbProcedure="false">'C25 Monthly surplus'!$C$25</definedName>
    <definedName function="false" hidden="false" localSheetId="25" name="Plan_Goal_Kind" vbProcedure="false">'C25 Monthly surplus'!$C$24</definedName>
    <definedName function="false" hidden="false" localSheetId="25" name="Plan_Goal_Years" vbProcedure="false">'C25 Monthly surplus'!$C$26</definedName>
    <definedName function="false" hidden="false" localSheetId="25" name="Surplus" vbProcedure="false">'C25 Monthly surplus'!$C$15</definedName>
    <definedName function="false" hidden="false" localSheetId="25" name="Take_Home" vbProcedure="false">'C25 Monthly surplus'!$G$6</definedName>
    <definedName function="false" hidden="false" localSheetId="25" name="Take_Home_Entry" vbProcedure="false">'C25 Monthly surplus'!$C$6</definedName>
    <definedName function="false" hidden="false" localSheetId="25" name="Used_Take_Home" vbProcedure="false">'C25 Monthly surplus'!$C$12</definedName>
    <definedName function="false" hidden="false" localSheetId="26" name="Budget_Needs" vbProcedure="false">'C26 Budget 50 30 20'!$G$7</definedName>
    <definedName function="false" hidden="false" localSheetId="26" name="Budget_Needs_Entry" vbProcedure="false">'C26 Budget 50 30 20'!$C$7</definedName>
    <definedName function="false" hidden="false" localSheetId="26" name="Budget_Save" vbProcedure="false">'C26 Budget 50 30 20'!$G$9</definedName>
    <definedName function="false" hidden="false" localSheetId="26" name="Budget_Save_Entry" vbProcedure="false">'C26 Budget 50 30 20'!$C$9</definedName>
    <definedName function="false" hidden="false" localSheetId="26" name="Budget_Wants" vbProcedure="false">'C26 Budget 50 30 20'!$G$8</definedName>
    <definedName function="false" hidden="false" localSheetId="26" name="Budget_Wants_Entry" vbProcedure="false">'C26 Budget 50 30 20'!$C$8</definedName>
    <definedName function="false" hidden="false" localSheetId="26" name="Needs" vbProcedure="false">'C26 Budget 50 30 20'!$C$17</definedName>
    <definedName function="false" hidden="false" localSheetId="26" name="Need_1" vbProcedure="false">'C26 Budget 50 30 20'!$C$29</definedName>
    <definedName function="false" hidden="false" localSheetId="26" name="Need_2" vbProcedure="false">'C26 Budget 50 30 20'!$C$30</definedName>
    <definedName function="false" hidden="false" localSheetId="26" name="Need_3" vbProcedure="false">'C26 Budget 50 30 20'!$C$31</definedName>
    <definedName function="false" hidden="false" localSheetId="26" name="Need_4" vbProcedure="false">'C26 Budget 50 30 20'!$C$32</definedName>
    <definedName function="false" hidden="false" localSheetId="26" name="Plan_Goal_Kind" vbProcedure="false">'C26 Budget 50 30 20'!$C$26</definedName>
    <definedName function="false" hidden="false" localSheetId="26" name="Save" vbProcedure="false">'C26 Budget 50 30 20'!$C$16</definedName>
    <definedName function="false" hidden="false" localSheetId="26" name="Split_Check" vbProcedure="false">'C26 Budget 50 30 20'!$C$15</definedName>
    <definedName function="false" hidden="false" localSheetId="26" name="Take_Home" vbProcedure="false">'C26 Budget 50 30 20'!$G$6</definedName>
    <definedName function="false" hidden="false" localSheetId="26" name="Take_Home_Entry" vbProcedure="false">'C26 Budget 50 30 20'!$C$6</definedName>
    <definedName function="false" hidden="false" localSheetId="26" name="Used_Take_Home" vbProcedure="false">'C26 Budget 50 30 20'!$C$12</definedName>
    <definedName function="false" hidden="false" localSheetId="26" name="Wants" vbProcedure="false">'C26 Budget 50 30 20'!$C$18</definedName>
    <definedName function="false" hidden="false" localSheetId="27" name="APR" vbProcedure="false">'C27 Debt repayment'!$G$7</definedName>
    <definedName function="false" hidden="false" localSheetId="27" name="APR_Entry" vbProcedure="false">'C27 Debt repayment'!$C$7</definedName>
    <definedName function="false" hidden="false" localSheetId="27" name="Balance" vbProcedure="false">'C27 Debt repayment'!$G$6</definedName>
    <definedName function="false" hidden="false" localSheetId="27" name="Balance_Entry" vbProcedure="false">'C27 Debt repayment'!$C$6</definedName>
    <definedName function="false" hidden="false" localSheetId="27" name="Extra_Payment" vbProcedure="false">'C27 Debt repayment'!$G$9</definedName>
    <definedName function="false" hidden="false" localSheetId="27" name="Extra_Payment_Entry" vbProcedure="false">'C27 Debt repayment'!$C$9</definedName>
    <definedName function="false" hidden="false" localSheetId="27" name="Final_Payment" vbProcedure="false">'C27 Debt repayment'!$C$16</definedName>
    <definedName function="false" hidden="false" localSheetId="27" name="Monthly_Payment" vbProcedure="false">'C27 Debt repayment'!$G$8</definedName>
    <definedName function="false" hidden="false" localSheetId="27" name="Monthly_Payment_Entry" vbProcedure="false">'C27 Debt repayment'!$C$8</definedName>
    <definedName function="false" hidden="false" localSheetId="27" name="Monthly_Rate" vbProcedure="false">'C27 Debt repayment'!$C$14</definedName>
    <definedName function="false" hidden="false" localSheetId="27" name="Months_To_Clear" vbProcedure="false">'C27 Debt repayment'!$C$12</definedName>
    <definedName function="false" hidden="false" localSheetId="27" name="Need_1" vbProcedure="false">'C27 Debt repayment'!$C$32</definedName>
    <definedName function="false" hidden="false" localSheetId="27" name="Need_2" vbProcedure="false">'C27 Debt repayment'!$C$33</definedName>
    <definedName function="false" hidden="false" localSheetId="27" name="Need_3" vbProcedure="false">'C27 Debt repayment'!$C$34</definedName>
    <definedName function="false" hidden="false" localSheetId="27" name="Payment" vbProcedure="false">'C27 Debt repayment'!$C$15</definedName>
    <definedName function="false" hidden="false" localSheetId="27" name="Plan_Goal_Kind" vbProcedure="false">'C27 Debt repayment'!$C$28</definedName>
    <definedName function="false" hidden="false" localSheetId="27" name="Total_Interest" vbProcedure="false">'C27 Debt repayment'!$C$13</definedName>
    <definedName function="false" hidden="false" localSheetId="28" name="APR" vbProcedure="false">'C28 Loan repayment'!$G$7</definedName>
    <definedName function="false" hidden="false" localSheetId="28" name="APR_Entry" vbProcedure="false">'C28 Loan repayment'!$C$7</definedName>
    <definedName function="false" hidden="false" localSheetId="28" name="Loan_Amount" vbProcedure="false">'C28 Loan repayment'!$G$6</definedName>
    <definedName function="false" hidden="false" localSheetId="28" name="Loan_Amount_Entry" vbProcedure="false">'C28 Loan repayment'!$C$6</definedName>
    <definedName function="false" hidden="false" localSheetId="28" name="Monthly_Rate" vbProcedure="false">'C28 Loan repayment'!$C$14</definedName>
    <definedName function="false" hidden="false" localSheetId="28" name="Monthly_Repayment" vbProcedure="false">'C28 Loan repayment'!$C$11</definedName>
    <definedName function="false" hidden="false" localSheetId="28" name="Need_1" vbProcedure="false">'C28 Loan repayment'!$C$26</definedName>
    <definedName function="false" hidden="false" localSheetId="28" name="Need_2" vbProcedure="false">'C28 Loan repayment'!$C$27</definedName>
    <definedName function="false" hidden="false" localSheetId="28" name="Plan_Goal_Kind" vbProcedure="false">'C28 Loan repayment'!$C$23</definedName>
    <definedName function="false" hidden="false" localSheetId="28" name="Total_Interest" vbProcedure="false">'C28 Loan repayment'!$C$12</definedName>
    <definedName function="false" hidden="false" localSheetId="28" name="Total_Repaid" vbProcedure="false">'C28 Loan repayment'!$C$13</definedName>
    <definedName function="false" hidden="false" localSheetId="28" name="Years" vbProcedure="false">'C28 Loan repayment'!$G$8</definedName>
    <definedName function="false" hidden="false" localSheetId="28" name="Years_Entry" vbProcedure="false">'C28 Loan repayment'!$C$8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income. Example only: €60,000.</t>
        </r>
      </text>
    </comment>
    <comment ref="C7" authorId="0">
      <text>
        <r>
          <rPr>
            <sz val="10"/>
            <rFont val="Arial"/>
            <family val="2"/>
          </rPr>
          <t xml:space="preserve">Your own figure. In the app it is pre-filled from Your finances: partner's income. Example only: €0.</t>
        </r>
      </text>
    </comment>
    <comment ref="C8" authorId="0">
      <text>
        <r>
          <rPr>
            <sz val="10"/>
            <rFont val="Arial"/>
            <family val="2"/>
          </rPr>
          <t xml:space="preserve">Your own figure. In the app it is pre-filled from Plan: home goal's amount saved. Example only: €25,000.</t>
        </r>
      </text>
    </comment>
    <comment ref="C9" authorId="0">
      <text>
        <r>
          <rPr>
            <sz val="10"/>
            <rFont val="Arial"/>
            <family val="2"/>
          </rPr>
          <t xml:space="preserve">Your own figure. In the app it is pre-filled from Your finances: home status (owner = No). Example only: Yes.</t>
        </r>
      </text>
    </comment>
    <comment ref="C10" authorId="0">
      <text>
        <r>
          <rPr>
            <sz val="10"/>
            <rFont val="Arial"/>
            <family val="2"/>
          </rPr>
          <t xml:space="preserve">Usually between 3.5% and 4.5% a year for new Irish mortgages (Central Bank retail interest rates: new mortgages averaged 3.49% in June 2026). Enter your own figure. Example only: 3.75%.</t>
        </r>
      </text>
    </comment>
    <comment ref="C11" authorId="0">
      <text>
        <r>
          <rPr>
            <sz val="10"/>
            <rFont val="Arial"/>
            <family val="2"/>
          </rPr>
          <t xml:space="preserve">Your own figure. Example only: 30.</t>
        </r>
      </text>
    </comment>
    <comment ref="C12" authorId="0">
      <text>
        <r>
          <rPr>
            <sz val="10"/>
            <rFont val="Arial"/>
            <family val="2"/>
          </rPr>
          <t xml:space="preserve">Usually between €2,500 and €3,500 for legal and survey fees (stamp duty is added for you). Enter your own figure. Example only: €3,000.</t>
        </r>
      </text>
    </comment>
    <comment ref="C13" authorId="0">
      <text>
        <r>
          <rPr>
            <sz val="10"/>
            <rFont val="Arial"/>
            <family val="2"/>
          </rPr>
          <t xml:space="preserve">Your own figure. Example only: 3.</t>
        </r>
      </text>
    </comment>
    <comment ref="C14" authorId="0">
      <text>
        <r>
          <rPr>
            <sz val="10"/>
            <rFont val="Arial"/>
            <family val="2"/>
          </rPr>
          <t xml:space="preserve">Optional: leave blank for none. Example only: €0.</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mortgage statement: balance. Example only: €300,000.</t>
        </r>
      </text>
    </comment>
    <comment ref="C15" authorId="0">
      <text>
        <r>
          <rPr>
            <sz val="10"/>
            <rFont val="Arial"/>
            <family val="2"/>
          </rPr>
          <t xml:space="preserve">Usually between 3.5% and 4.5% a year for new Irish mortgages (Central Bank retail interest rates: new mortgages averaged 3.49% in June 2026). In the app it is pre-filled from Your finances / mortgage statement: rate. Enter your own figure. Example only: 3.75%.</t>
        </r>
      </text>
    </comment>
    <comment ref="C16" authorId="0">
      <text>
        <r>
          <rPr>
            <sz val="10"/>
            <rFont val="Arial"/>
            <family val="2"/>
          </rPr>
          <t xml:space="preserve">Your own figure. In the app it is pre-filled from Years left (25 if not given). Example only: 30.</t>
        </r>
      </text>
    </comment>
    <comment ref="C17" authorId="0">
      <text>
        <r>
          <rPr>
            <sz val="10"/>
            <rFont val="Arial"/>
            <family val="2"/>
          </rPr>
          <t xml:space="preserve">Optional: leave blank for none. Example only: €0.</t>
        </r>
      </text>
    </comment>
    <comment ref="C18" authorId="0">
      <text>
        <r>
          <rPr>
            <sz val="10"/>
            <rFont val="Arial"/>
            <family val="2"/>
          </rPr>
          <t xml:space="preserve">Your own figure. Example only: 3.</t>
        </r>
      </text>
    </comment>
    <comment ref="C19" authorId="0">
      <text>
        <r>
          <rPr>
            <sz val="10"/>
            <rFont val="Arial"/>
            <family val="2"/>
          </rPr>
          <t xml:space="preserve">Optional: leave blank for none. Example only: 0%.</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€350,000.</t>
        </r>
      </text>
    </comment>
    <comment ref="C7" authorId="0">
      <text>
        <r>
          <rPr>
            <sz val="10"/>
            <rFont val="Arial"/>
            <family val="2"/>
          </rPr>
          <t xml:space="preserve">Your own figure. Example only: 10%.</t>
        </r>
      </text>
    </comment>
    <comment ref="C8" authorId="0">
      <text>
        <r>
          <rPr>
            <sz val="10"/>
            <rFont val="Arial"/>
            <family val="2"/>
          </rPr>
          <t xml:space="preserve">Usually between €2,500 and €3,500 for legal and survey fees (stamp duty is added for you). Enter your own figure. Example only: €3,000.</t>
        </r>
      </text>
    </comment>
    <comment ref="C9" authorId="0">
      <text>
        <r>
          <rPr>
            <sz val="10"/>
            <rFont val="Arial"/>
            <family val="2"/>
          </rPr>
          <t xml:space="preserve">Your own figure. In the app it is pre-filled from Plan: home goal's amount saved. Example only: €12,000.</t>
        </r>
      </text>
    </comment>
    <comment ref="C10" authorId="0">
      <text>
        <r>
          <rPr>
            <sz val="10"/>
            <rFont val="Arial"/>
            <family val="2"/>
          </rPr>
          <t xml:space="preserve">Your own figure. Example only: €800.</t>
        </r>
      </text>
    </comment>
    <comment ref="C11" authorId="0">
      <text>
        <r>
          <rPr>
            <sz val="10"/>
            <rFont val="Arial"/>
            <family val="2"/>
          </rPr>
          <t xml:space="preserve">Optional: leave blank for none. Example only: €0.</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Usually between 3.5% and 4.5% a year for new Irish mortgages (Central Bank retail interest rates: new mortgages averaged 3.49% in June 2026). In the app it is pre-filled from Your finances / statement: rate. Enter your own figure. Example only: 3.75%.</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€200.</t>
        </r>
      </text>
    </comment>
    <comment ref="C18" authorId="0">
      <text>
        <r>
          <rPr>
            <sz val="10"/>
            <rFont val="Arial"/>
            <family val="2"/>
          </rPr>
          <t xml:space="preserve">Optional: leave blank for none. Example only: €0.</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€300,000.</t>
        </r>
      </text>
    </comment>
    <comment ref="C15" authorId="0">
      <text>
        <r>
          <rPr>
            <sz val="10"/>
            <rFont val="Arial"/>
            <family val="2"/>
          </rPr>
          <t xml:space="preserve">Usually between 3.5% and 4.5% a year for new Irish mortgages (Central Bank retail interest rates: new mortgages averaged 3.49% in June 2026). In the app it is pre-filled from Your finances / statement: rate. Enter your own figure. Example only: 3.75%.</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1%.</t>
        </r>
      </text>
    </comment>
    <comment ref="C18" authorId="0">
      <text>
        <r>
          <rPr>
            <sz val="10"/>
            <rFont val="Arial"/>
            <family val="2"/>
          </rPr>
          <t xml:space="preserve">Optional: leave blank for none. Example only: €0.</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The statement: "Statement date" / "Statement period to" / "Valuation date" / "As at". Blank = not on the statement / no statement.</t>
        </r>
      </text>
    </comment>
    <comment ref="C13" authorId="0">
      <text>
        <r>
          <rPr>
            <sz val="10"/>
            <rFont val="Arial"/>
            <family val="2"/>
          </rPr>
          <t xml:space="preserve">Your own figure. In the app it is pre-filled from Your finances / statement: balance. Example only: €300,000.</t>
        </r>
      </text>
    </comment>
    <comment ref="C14" authorId="0">
      <text>
        <r>
          <rPr>
            <sz val="10"/>
            <rFont val="Arial"/>
            <family val="2"/>
          </rPr>
          <t xml:space="preserve">Usually between 3.5% and 4.5% a year for new Irish mortgages (Central Bank retail interest rates: new mortgages averaged 3.49% in June 2026). In the app it is pre-filled from Your finances / statement: rate. Enter your own figure. Example only: 3.75%.</t>
        </r>
      </text>
    </comment>
    <comment ref="C15" authorId="0">
      <text>
        <r>
          <rPr>
            <sz val="10"/>
            <rFont val="Arial"/>
            <family val="2"/>
          </rPr>
          <t xml:space="preserve">Your own figure. In the app it is pre-filled from Years left (25 if not given). Example only: 25.</t>
        </r>
      </text>
    </comment>
    <comment ref="C16" authorId="0">
      <text>
        <r>
          <rPr>
            <sz val="10"/>
            <rFont val="Arial"/>
            <family val="2"/>
          </rPr>
          <t xml:space="preserve">Your own figure. Example only: 35.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€1,800.</t>
        </r>
      </text>
    </comment>
    <comment ref="C7" authorId="0">
      <text>
        <r>
          <rPr>
            <sz val="10"/>
            <rFont val="Arial"/>
            <family val="2"/>
          </rPr>
          <t xml:space="preserve">Your own figure. Example only: €350,000.</t>
        </r>
      </text>
    </comment>
    <comment ref="C8" authorId="0">
      <text>
        <r>
          <rPr>
            <sz val="10"/>
            <rFont val="Arial"/>
            <family val="2"/>
          </rPr>
          <t xml:space="preserve">Your own figure. Example only: €35,000.</t>
        </r>
      </text>
    </comment>
    <comment ref="C9" authorId="0">
      <text>
        <r>
          <rPr>
            <sz val="10"/>
            <rFont val="Arial"/>
            <family val="2"/>
          </rPr>
          <t xml:space="preserve">Usually between 3.5% and 4.5% a year for new Irish mortgages (Central Bank retail interest rates: new mortgages averaged 3.49% in June 2026). Enter your own figure. Example only: 3.75%.</t>
        </r>
      </text>
    </comment>
    <comment ref="C10" authorId="0">
      <text>
        <r>
          <rPr>
            <sz val="10"/>
            <rFont val="Arial"/>
            <family val="2"/>
          </rPr>
          <t xml:space="preserve">Your own figure. Example only: 30.</t>
        </r>
      </text>
    </comment>
    <comment ref="C11" authorId="0">
      <text>
        <r>
          <rPr>
            <sz val="10"/>
            <rFont val="Arial"/>
            <family val="2"/>
          </rPr>
          <t xml:space="preserve">Your own figure. Example only: 10.</t>
        </r>
      </text>
    </comment>
    <comment ref="C12" authorId="0">
      <text>
        <r>
          <rPr>
            <sz val="10"/>
            <rFont val="Arial"/>
            <family val="2"/>
          </rPr>
          <t xml:space="preserve">Generally the standard is 2% a year, in line with long-run inflation (house prices can fall as well as rise). Choose what you want to use. Example only: 2%.</t>
        </r>
      </text>
    </comment>
    <comment ref="C13" authorId="0">
      <text>
        <r>
          <rPr>
            <sz val="10"/>
            <rFont val="Arial"/>
            <family val="2"/>
          </rPr>
          <t xml:space="preserve">Generally the standard is 3% a year (Irish rents have risen faster than prices in recent years). Choose what you want to use. Example only: 3%.</t>
        </r>
      </text>
    </comment>
    <comment ref="C14" authorId="0">
      <text>
        <r>
          <rPr>
            <sz val="10"/>
            <rFont val="Arial"/>
            <family val="2"/>
          </rPr>
          <t xml:space="preserve">Generally the standard is 1% of the home's value a year for repairs, insurance and maintenance. Choose what you want to use. Example only: 1%.</t>
        </r>
      </text>
    </comment>
    <comment ref="C15" authorId="0">
      <text>
        <r>
          <rPr>
            <sz val="10"/>
            <rFont val="Arial"/>
            <family val="2"/>
          </rPr>
          <t xml:space="preserve">Usually between €2,500 and €3,500 for legal and survey fees (stamp duty is added for you). Enter your own figure. Example only: €3,000.</t>
        </r>
      </text>
    </comment>
    <comment ref="C16" authorId="0">
      <text>
        <r>
          <rPr>
            <sz val="10"/>
            <rFont val="Arial"/>
            <family val="2"/>
          </rPr>
          <t xml:space="preserve">Usually between about 1.3% and 1.5% a year after 33% DIRT (fixed-term deposits paid about 2%–2.3% before tax in mid-2026). Enter your own figure. Example only: 1%.</t>
        </r>
      </text>
    </comment>
    <comment ref="C17" authorId="0">
      <text>
        <r>
          <rPr>
            <sz val="10"/>
            <rFont val="Arial"/>
            <family val="2"/>
          </rPr>
          <t xml:space="preserve">Your own figure. Example only: 3.</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€15,000.</t>
        </r>
      </text>
    </comment>
    <comment ref="C11" authorId="0">
      <text>
        <r>
          <rPr>
            <sz val="10"/>
            <rFont val="Arial"/>
            <family val="2"/>
          </rPr>
          <t xml:space="preserve">Your own figure. Example only: 3.</t>
        </r>
      </text>
    </comment>
    <comment ref="C12" authorId="0">
      <text>
        <r>
          <rPr>
            <sz val="10"/>
            <rFont val="Arial"/>
            <family val="2"/>
          </rPr>
          <t xml:space="preserve">Your own figure. Example only: €2,000.</t>
        </r>
      </text>
    </comment>
    <comment ref="C13" authorId="0">
      <text>
        <r>
          <rPr>
            <sz val="10"/>
            <rFont val="Arial"/>
            <family val="2"/>
          </rPr>
          <t xml:space="preserve">Generally the standard is 1% a year after DIRT for cash savings (Irish fixed-term deposits about 2% before tax in mid-2026). Choose what you want to use. Example only: 1%.</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€5,000.</t>
        </r>
      </text>
    </comment>
    <comment ref="C11" authorId="0">
      <text>
        <r>
          <rPr>
            <sz val="10"/>
            <rFont val="Arial"/>
            <family val="2"/>
          </rPr>
          <t xml:space="preserve">Your own figure. Example only: €200.</t>
        </r>
      </text>
    </comment>
    <comment ref="C12" authorId="0">
      <text>
        <r>
          <rPr>
            <sz val="10"/>
            <rFont val="Arial"/>
            <family val="2"/>
          </rPr>
          <t xml:space="preserve">Generally the standard is 5% a year before charges and tax for a mixed fund (long-run 5%–6% a year; Irish rules audit B3). Choose what you want to use. Example only: 5%.</t>
        </r>
      </text>
    </comment>
    <comment ref="C13" authorId="0">
      <text>
        <r>
          <rPr>
            <sz val="10"/>
            <rFont val="Arial"/>
            <family val="2"/>
          </rPr>
          <t xml:space="preserve">Your own figure. Example only: 20.</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Your finances / statement: investments. Example only: €10,000.</t>
        </r>
      </text>
    </comment>
    <comment ref="C17" authorId="0">
      <text>
        <r>
          <rPr>
            <sz val="10"/>
            <rFont val="Arial"/>
            <family val="2"/>
          </rPr>
          <t xml:space="preserve">Generally the standard is 5% a year before charges and tax for a mixed fund (long-run 5%–6% a year; Irish rules audit B3). Choose what you want to use. Example only: 5%.</t>
        </r>
      </text>
    </comment>
    <comment ref="C18" authorId="0">
      <text>
        <r>
          <rPr>
            <sz val="10"/>
            <rFont val="Arial"/>
            <family val="2"/>
          </rPr>
          <t xml:space="preserve">Your own figure. Example only: 15.</t>
        </r>
      </text>
    </comment>
    <comment ref="C19" authorId="0">
      <text>
        <r>
          <rPr>
            <sz val="10"/>
            <rFont val="Arial"/>
            <family val="2"/>
          </rPr>
          <t xml:space="preserve">Usually between 0.5% and 1.5% a year for fund charges (provider charges; your statement shows yours). Enter your own figure. Example only: 0%.</t>
        </r>
      </text>
    </comment>
    <comment ref="C20" authorId="0">
      <text>
        <r>
          <rPr>
            <sz val="10"/>
            <rFont val="Arial"/>
            <family val="2"/>
          </rPr>
          <t xml:space="preserve">Generally the standard is 5 years (an illustration of the cost of waiting). Choose what you want to use. Example only: 5.</t>
        </r>
      </text>
    </comment>
    <comment ref="C21" authorId="0">
      <text>
        <r>
          <rPr>
            <sz val="10"/>
            <rFont val="Arial"/>
            <family val="2"/>
          </rPr>
          <t xml:space="preserve">Optional: leave blank for none. Example only: No.</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Generally the standard is 6 months of essential spending (3 if you have two secure incomes). Choose what you want to use. Example only: 6.</t>
        </r>
      </text>
    </comment>
    <comment ref="C8" authorId="0">
      <text>
        <r>
          <rPr>
            <sz val="10"/>
            <rFont val="Arial"/>
            <family val="2"/>
          </rPr>
          <t xml:space="preserve">Your own figure. Example only: 2.</t>
        </r>
      </text>
    </comment>
    <comment ref="C9" authorId="0">
      <text>
        <r>
          <rPr>
            <sz val="10"/>
            <rFont val="Arial"/>
            <family val="2"/>
          </rPr>
          <t xml:space="preserve">Your own figure. In the app it is pre-filled from Your finances: cash. Example only: €6,250.</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"Current fund value" / "Value of your fund" / "Transfer value" / "Total fund value". Blank = not on the statement / no statement.</t>
        </r>
      </text>
    </comment>
    <comment ref="C12" authorId="0">
      <text>
        <r>
          <rPr>
            <sz val="10"/>
            <rFont val="Arial"/>
            <family val="2"/>
          </rPr>
          <t xml:space="preserve">Filled by the document reader from: Pension statement: "Your contributions" / "Member contributions" / "Employee contributions" (convert yearly to monthly). Blank = not on the statement / no statement.</t>
        </r>
      </text>
    </comment>
    <comment ref="C13" authorId="0">
      <text>
        <r>
          <rPr>
            <sz val="10"/>
            <rFont val="Arial"/>
            <family val="2"/>
          </rPr>
          <t xml:space="preserve">Filled by the document reader from: Pension statement: "Employer contributions" / "Company contributions". Blank = not on the statement / no statement.</t>
        </r>
      </text>
    </comment>
    <comment ref="C14" authorId="0">
      <text>
        <r>
          <rPr>
            <sz val="10"/>
            <rFont val="Arial"/>
            <family val="2"/>
          </rPr>
          <t xml:space="preserve">Filled by the document reader from: Pension statement: "Normal retirement age" / "Normal retirement date" (convert the date to an age). Blank = not on the statement / no statement.</t>
        </r>
      </text>
    </comment>
    <comment ref="C15"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6" authorId="0">
      <text>
        <r>
          <rPr>
            <sz val="10"/>
            <rFont val="Arial"/>
            <family val="2"/>
          </rPr>
          <t xml:space="preserve">Filled by the document reader from: Pension statement / SRP: wording near the projection such as "in today's terms" / "in today's money" / "adjusted for inflation" (Yes) or "in money terms at retirement" (No). Blank = not on the statement / no statement.</t>
        </r>
      </text>
    </comment>
    <comment ref="C17" authorId="0">
      <text>
        <r>
          <rPr>
            <sz val="10"/>
            <rFont val="Arial"/>
            <family val="2"/>
          </rPr>
          <t xml:space="preserve">Filled by the document reader from: Pension statement: "Annual management charge" / "Total annual charges" / "Fund charges". Blank = not on the statement / no statement.</t>
        </r>
      </text>
    </comment>
    <comment ref="C18" authorId="0">
      <text>
        <r>
          <rPr>
            <sz val="10"/>
            <rFont val="Arial"/>
            <family val="2"/>
          </rPr>
          <t xml:space="preserve">Filled by the document reader from: The statement: "Statement date" / "Statement period to" / "Valuation date" / "As at". Blank = not on the statement / no statement.</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You can usually draw a pension from 60 (some schemes from 50); State Pension is paid from 66. Choose your own: there is no default. Example only: 65.</t>
        </r>
      </text>
    </comment>
    <comment ref="C23" authorId="0">
      <text>
        <r>
          <rPr>
            <sz val="10"/>
            <rFont val="Arial"/>
            <family val="2"/>
          </rPr>
          <t xml:space="preserve">Your own figure. In the app it is pre-filled from Your finances / pension statement. Example only: €60,000.</t>
        </r>
      </text>
    </comment>
    <comment ref="C24" authorId="0">
      <text>
        <r>
          <rPr>
            <sz val="10"/>
            <rFont val="Arial"/>
            <family val="2"/>
          </rPr>
          <t xml:space="preserve">Your own figure. In the app it is pre-filled from Your finances / pension statement. Example only: €500.</t>
        </r>
      </text>
    </comment>
    <comment ref="C25" authorId="0">
      <text>
        <r>
          <rPr>
            <sz val="10"/>
            <rFont val="Arial"/>
            <family val="2"/>
          </rPr>
          <t xml:space="preserve">Your own figure. In the app it is pre-filled from Plan: retirement goal income. Example only: €40,000.</t>
        </r>
      </text>
    </comment>
    <comment ref="C26" authorId="0">
      <text>
        <r>
          <rPr>
            <sz val="10"/>
            <rFont val="Arial"/>
            <family val="2"/>
          </rPr>
          <t xml:space="preserve">Usually between €0 and €15,564 a year: the full State Pension is €299.30 a week (DSP 2026), partial rates are lower and depend on your PRSI record. In the app it is pre-filled from State Pension €15,563.60 × your entitlement (full 1, partly 0.6, not sure 0.8). Enter your own figure. Example only: €15,564.</t>
        </r>
      </text>
    </comment>
    <comment ref="C27" authorId="0">
      <text>
        <r>
          <rPr>
            <sz val="10"/>
            <rFont val="Arial"/>
            <family val="2"/>
          </rPr>
          <t xml:space="preserve">Generally the standard is 4.5% a year after charges while you work (LifeMap Standard set; Cautious 4%). Choose what you want to use. Example only: 4.5%.</t>
        </r>
      </text>
    </comment>
    <comment ref="C28" authorId="0">
      <text>
        <r>
          <rPr>
            <sz val="10"/>
            <rFont val="Arial"/>
            <family val="2"/>
          </rPr>
          <t xml:space="preserve">Generally the standard is 3% a year (Irish pay has grown about 3%–4% a year recently; LifeMap Standard set). Choose what you want to use. Example only: 3%.</t>
        </r>
      </text>
    </comment>
    <comment ref="C29" authorId="0">
      <text>
        <r>
          <rPr>
            <sz val="10"/>
            <rFont val="Arial"/>
            <family val="2"/>
          </rPr>
          <t xml:space="preserve">Generally the standard is 25 times the yearly income you need (about 4% a year). Choose what you want to use. Example only: 25.</t>
        </r>
      </text>
    </comment>
    <comment ref="C30" authorId="0">
      <text>
        <r>
          <rPr>
            <sz val="10"/>
            <rFont val="Arial"/>
            <family val="2"/>
          </rPr>
          <t xml:space="preserve">Usually between 0.5% and 1.5% a year for pension charges (your statement shows yours). Enter your own figure. Example only: 1%.</t>
        </r>
      </text>
    </comment>
    <comment ref="C31" authorId="0">
      <text>
        <r>
          <rPr>
            <sz val="10"/>
            <rFont val="Arial"/>
            <family val="2"/>
          </rPr>
          <t xml:space="preserve">Generally the standard is 25% of the fund, the most allowed (first €200,000 tax-free, next €300,000 at 20%). Choose what you want to use. Example only: 25%.</t>
        </r>
      </text>
    </comment>
    <comment ref="C32" authorId="0">
      <text>
        <r>
          <rPr>
            <sz val="10"/>
            <rFont val="Arial"/>
            <family val="2"/>
          </rPr>
          <t xml:space="preserve">Optional: leave blank for none. Example only: 0.</t>
        </r>
      </text>
    </comment>
    <comment ref="C33" authorId="0">
      <text>
        <r>
          <rPr>
            <sz val="10"/>
            <rFont val="Arial"/>
            <family val="2"/>
          </rPr>
          <t xml:space="preserve">Optional: leave blank for none. Example only: €0.</t>
        </r>
      </text>
    </comment>
    <comment ref="C34" authorId="0">
      <text>
        <r>
          <rPr>
            <sz val="10"/>
            <rFont val="Arial"/>
            <family val="2"/>
          </rPr>
          <t xml:space="preserve">Optional: leave blank for none. Example only: €0.</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income. Example only: €60,000.</t>
        </r>
      </text>
    </comment>
    <comment ref="C16" authorId="0">
      <text>
        <r>
          <rPr>
            <sz val="10"/>
            <rFont val="Arial"/>
            <family val="2"/>
          </rPr>
          <t xml:space="preserve">Your own figure. Example only: 2%.</t>
        </r>
      </text>
    </comment>
    <comment ref="C17" authorId="0">
      <text>
        <r>
          <rPr>
            <sz val="10"/>
            <rFont val="Arial"/>
            <family val="2"/>
          </rPr>
          <t xml:space="preserve">Your own figure. In the app it is pre-filled from Plan: retirement age − age. Example only: 25.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Usually between 0.5% and 1.5% a year for pension charges (your statement shows yours). Enter your own figure. Example only: 1%.</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Example only: €200.</t>
        </r>
      </text>
    </comment>
    <comment ref="C16" authorId="0">
      <text>
        <r>
          <rPr>
            <sz val="10"/>
            <rFont val="Arial"/>
            <family val="2"/>
          </rPr>
          <t xml:space="preserve">Your own figure. In the app it is pre-filled from Your finances: income. Example only: €60,000.</t>
        </r>
      </text>
    </comment>
    <comment ref="C17" authorId="0">
      <text>
        <r>
          <rPr>
            <sz val="10"/>
            <rFont val="Arial"/>
            <family val="2"/>
          </rPr>
          <t xml:space="preserve">Your own figure. In the app it is pre-filled from Plan: retirement age − age. Example only: 15.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Usually between 0.5% and 1.5% a year for pension charges (your statement shows yours). Enter your own figure. Example only: 1%.</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€24,000.</t>
        </r>
      </text>
    </comment>
    <comment ref="C18" authorId="0">
      <text>
        <r>
          <rPr>
            <sz val="10"/>
            <rFont val="Arial"/>
            <family val="2"/>
          </rPr>
          <t xml:space="preserve">Generally the standard is 3.15% a year after charges once retired (LifeMap Standard set; Cautious 2.8%). Choose what you want to use. Example only: 3.15%.</t>
        </r>
      </text>
    </comment>
    <comment ref="C19" authorId="0">
      <text>
        <r>
          <rPr>
            <sz val="10"/>
            <rFont val="Arial"/>
            <family val="2"/>
          </rPr>
          <t xml:space="preserve">Generally the standard is the start of the year (the prudent choice). Choose what you want to use. Example only: Start of year.</t>
        </r>
      </text>
    </comment>
    <comment ref="C20" authorId="0">
      <text>
        <r>
          <rPr>
            <sz val="10"/>
            <rFont val="Arial"/>
            <family val="2"/>
          </rPr>
          <t xml:space="preserve">You can usually draw a pension from 60 (some schemes from 50); State Pension is paid from 66. Choose your own: there is no default. Example only: 66.</t>
        </r>
      </text>
    </comment>
    <comment ref="C21" authorId="0">
      <text>
        <r>
          <rPr>
            <sz val="10"/>
            <rFont val="Arial"/>
            <family val="2"/>
          </rPr>
          <t xml:space="preserve">At 65, average life expectancy in Ireland is about 83 for men and 86 for women (CSO); many people plan to 90–95. Choose your own: there is no default. Example only: 90.</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€20,000.</t>
        </r>
      </text>
    </comment>
    <comment ref="C18" authorId="0">
      <text>
        <r>
          <rPr>
            <sz val="10"/>
            <rFont val="Arial"/>
            <family val="2"/>
          </rPr>
          <t xml:space="preserve">Generally the standard is 2% a year for a cautious mix (illustration). Choose what you want to use. Example only: 2%.</t>
        </r>
      </text>
    </comment>
    <comment ref="C19" authorId="0">
      <text>
        <r>
          <rPr>
            <sz val="10"/>
            <rFont val="Arial"/>
            <family val="2"/>
          </rPr>
          <t xml:space="preserve">Generally the standard is 4% a year for a balanced mix (illustration). Choose what you want to use. Example only: 4%.</t>
        </r>
      </text>
    </comment>
    <comment ref="C20" authorId="0">
      <text>
        <r>
          <rPr>
            <sz val="10"/>
            <rFont val="Arial"/>
            <family val="2"/>
          </rPr>
          <t xml:space="preserve">Generally the standard is 6% a year for a growth mix (illustration). Choose what you want to use. Example only: 6%.</t>
        </r>
      </text>
    </comment>
    <comment ref="C21" authorId="0">
      <text>
        <r>
          <rPr>
            <sz val="10"/>
            <rFont val="Arial"/>
            <family val="2"/>
          </rPr>
          <t xml:space="preserve">Generally the standard is the start of the year (the prudent choice). Choose what you want to use. Example only: Start of year.</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 statement: investments. Example only: €20,000.</t>
        </r>
      </text>
    </comment>
    <comment ref="C16" authorId="0">
      <text>
        <r>
          <rPr>
            <sz val="10"/>
            <rFont val="Arial"/>
            <family val="2"/>
          </rPr>
          <t xml:space="preserve">Generally the standard is 5% a year before charges and tax for a mixed fund (long-run 5%–6% a year; Irish rules audit B3). Choose what you want to use. Example only: 5%.</t>
        </r>
      </text>
    </comment>
    <comment ref="C17" authorId="0">
      <text>
        <r>
          <rPr>
            <sz val="10"/>
            <rFont val="Arial"/>
            <family val="2"/>
          </rPr>
          <t xml:space="preserve">Your own figure. Example only: 15.</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"Regular contribution" / "Monthly premium" / "Monthly investment".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Example only: €300.</t>
        </r>
      </text>
    </comment>
    <comment ref="C17" authorId="0">
      <text>
        <r>
          <rPr>
            <sz val="10"/>
            <rFont val="Arial"/>
            <family val="2"/>
          </rPr>
          <t xml:space="preserve">Your own figure. Example only: 15.</t>
        </r>
      </text>
    </comment>
    <comment ref="C18" authorId="0">
      <text>
        <r>
          <rPr>
            <sz val="10"/>
            <rFont val="Arial"/>
            <family val="2"/>
          </rPr>
          <t xml:space="preserve">Generally the standard is 5% a year before charges and tax for a mixed fund (long-run 5%–6% a year; Irish rules audit B3). Choose what you want to use. Example only: 5%.</t>
        </r>
      </text>
    </comment>
    <comment ref="C19" authorId="0">
      <text>
        <r>
          <rPr>
            <sz val="10"/>
            <rFont val="Arial"/>
            <family val="2"/>
          </rPr>
          <t xml:space="preserve">Usually between 0.5% and 1.5% a year for fund charges (provider charges; your statement shows yours). Enter your own figure. Example only: 1%.</t>
        </r>
      </text>
    </comment>
    <comment ref="C20" authorId="0">
      <text>
        <r>
          <rPr>
            <sz val="10"/>
            <rFont val="Arial"/>
            <family val="2"/>
          </rPr>
          <t xml:space="preserve">Optional: leave blank for none. Example only: No.</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€50,000.</t>
        </r>
      </text>
    </comment>
    <comment ref="C13" authorId="0">
      <text>
        <r>
          <rPr>
            <sz val="10"/>
            <rFont val="Arial"/>
            <family val="2"/>
          </rPr>
          <t xml:space="preserve">Your own figure. Example only: 20.</t>
        </r>
      </text>
    </comment>
    <comment ref="C14" authorId="0">
      <text>
        <r>
          <rPr>
            <sz val="10"/>
            <rFont val="Arial"/>
            <family val="2"/>
          </rPr>
          <t xml:space="preserve">Generally the standard is 5% a year before charges and tax for a mixed fund (long-run 5%–6% a year; Irish rules audit B3). Choose what you want to use. Example only: 5%.</t>
        </r>
      </text>
    </comment>
    <comment ref="C15" authorId="0">
      <text>
        <r>
          <rPr>
            <sz val="10"/>
            <rFont val="Arial"/>
            <family val="2"/>
          </rPr>
          <t xml:space="preserve">Usually between 0.5% and 1.5% a year for fund charges (provider charges; your statement shows yours). Enter your own figure. Example only: 0.5%.</t>
        </r>
      </text>
    </comment>
    <comment ref="C16" authorId="0">
      <text>
        <r>
          <rPr>
            <sz val="10"/>
            <rFont val="Arial"/>
            <family val="2"/>
          </rPr>
          <t xml:space="preserve">Usually between 0.5% and 1.5% a year for fund charges (provider charges; your statement shows yours). Enter your own figure. Example only: 1.5%.</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"Asset allocation" — "Equities" / "Shares".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€20,000.</t>
        </r>
      </text>
    </comment>
    <comment ref="C13" authorId="0">
      <text>
        <r>
          <rPr>
            <sz val="10"/>
            <rFont val="Arial"/>
            <family val="2"/>
          </rPr>
          <t xml:space="preserve">Your own figure. Example only: 10.</t>
        </r>
      </text>
    </comment>
    <comment ref="C14" authorId="0">
      <text>
        <r>
          <rPr>
            <sz val="10"/>
            <rFont val="Arial"/>
            <family val="2"/>
          </rPr>
          <t xml:space="preserve">Generally the standard is 2 Balanced (an adviser checks your attitude to risk). Choose what you want to use. Example only: 2.</t>
        </r>
      </text>
    </comment>
    <comment ref="C15" authorId="0">
      <text>
        <r>
          <rPr>
            <sz val="10"/>
            <rFont val="Arial"/>
            <family val="2"/>
          </rPr>
          <t xml:space="preserve">Generally the standard is 2% a year for Cautious (illustration). Choose what you want to use. Example only: 2%.</t>
        </r>
      </text>
    </comment>
    <comment ref="C16" authorId="0">
      <text>
        <r>
          <rPr>
            <sz val="10"/>
            <rFont val="Arial"/>
            <family val="2"/>
          </rPr>
          <t xml:space="preserve">Generally the standard is 4% a year for Balanced (illustration). Choose what you want to use. Example only: 4%.</t>
        </r>
      </text>
    </comment>
    <comment ref="C17" authorId="0">
      <text>
        <r>
          <rPr>
            <sz val="10"/>
            <rFont val="Arial"/>
            <family val="2"/>
          </rPr>
          <t xml:space="preserve">Generally the standard is 6% a year for Growth (illustration). Choose what you want to use. Example only: 6%.</t>
        </r>
      </text>
    </comment>
    <comment ref="C18" authorId="0">
      <text>
        <r>
          <rPr>
            <sz val="10"/>
            <rFont val="Arial"/>
            <family val="2"/>
          </rPr>
          <t xml:space="preserve">Generally the standard is 5% a year for Cautious (illustration). Choose what you want to use. Example only: 5%.</t>
        </r>
      </text>
    </comment>
    <comment ref="C19" authorId="0">
      <text>
        <r>
          <rPr>
            <sz val="10"/>
            <rFont val="Arial"/>
            <family val="2"/>
          </rPr>
          <t xml:space="preserve">Generally the standard is 10% a year for Balanced (illustration). Choose what you want to use. Example only: 10%.</t>
        </r>
      </text>
    </comment>
    <comment ref="C20" authorId="0">
      <text>
        <r>
          <rPr>
            <sz val="10"/>
            <rFont val="Arial"/>
            <family val="2"/>
          </rPr>
          <t xml:space="preserve">Generally the standard is 16% a year for Growth (illustration). Choose what you want to use. Example only: 16%.</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The statement: "Statement date" / "Statement period to" / "Valuation date" / "As at". Blank = not on the statement / no statement.</t>
        </r>
      </text>
    </comment>
    <comment ref="C11" authorId="0">
      <text>
        <r>
          <rPr>
            <sz val="10"/>
            <rFont val="Arial"/>
            <family val="2"/>
          </rPr>
          <t xml:space="preserve">Your own figure. In the app it is pre-filled from Your finances: income. Example only: €60,000.</t>
        </r>
      </text>
    </comment>
    <comment ref="C12" authorId="0">
      <text>
        <r>
          <rPr>
            <sz val="10"/>
            <rFont val="Arial"/>
            <family val="2"/>
          </rPr>
          <t xml:space="preserve">Generally the standard is until your youngest child is 23. Choose what you want to use. Example only: 15.</t>
        </r>
      </text>
    </comment>
    <comment ref="C13" authorId="0">
      <text>
        <r>
          <rPr>
            <sz val="10"/>
            <rFont val="Arial"/>
            <family val="2"/>
          </rPr>
          <t xml:space="preserve">Generally the standard is 60% of your income (families usually need less than full pay). Choose what you want to use. Example only: 60%.</t>
        </r>
      </text>
    </comment>
    <comment ref="C14" authorId="0">
      <text>
        <r>
          <rPr>
            <sz val="10"/>
            <rFont val="Arial"/>
            <family val="2"/>
          </rPr>
          <t xml:space="preserve">Your own figure. In the app it is pre-filled from Your finances: mortgage balance. Example only: €250,000.</t>
        </r>
      </text>
    </comment>
    <comment ref="C15" authorId="0">
      <text>
        <r>
          <rPr>
            <sz val="10"/>
            <rFont val="Arial"/>
            <family val="2"/>
          </rPr>
          <t xml:space="preserve">Your own figure. Example only: Yes.</t>
        </r>
      </text>
    </comment>
    <comment ref="C16" authorId="0">
      <text>
        <r>
          <rPr>
            <sz val="10"/>
            <rFont val="Arial"/>
            <family val="2"/>
          </rPr>
          <t xml:space="preserve">Your own figure. In the app it is pre-filled from Your finances: debts. Example only: €10,000.</t>
        </r>
      </text>
    </comment>
    <comment ref="C17" authorId="0">
      <text>
        <r>
          <rPr>
            <sz val="10"/>
            <rFont val="Arial"/>
            <family val="2"/>
          </rPr>
          <t xml:space="preserve">Your own figure. In the app it is pre-filled from Your finances: cash + investments. Example only: €20,000.</t>
        </r>
      </text>
    </comment>
    <comment ref="C18" authorId="0">
      <text>
        <r>
          <rPr>
            <sz val="10"/>
            <rFont val="Arial"/>
            <family val="2"/>
          </rPr>
          <t xml:space="preserve">Your own figure. Example only: €100,000.</t>
        </r>
      </text>
    </comment>
    <comment ref="C19" authorId="0">
      <text>
        <r>
          <rPr>
            <sz val="10"/>
            <rFont val="Arial"/>
            <family val="2"/>
          </rPr>
          <t xml:space="preserve">Usually between €0 and €299.30 a week: €259.50 under 66, €299.30 at 66+ (DSP 2026; depends on PRSI; cohabitants can qualify for the Bereaved Partner's Pension). Enter your own figure. Example only: €259.50.</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Your own figure. Example only: 3.</t>
        </r>
      </text>
    </comment>
    <comment ref="C8" authorId="0">
      <text>
        <r>
          <rPr>
            <sz val="10"/>
            <rFont val="Arial"/>
            <family val="2"/>
          </rPr>
          <t xml:space="preserve">Your own figure. In the app it is pre-filled from Your finances: cash. Example only: €8,000.</t>
        </r>
      </text>
    </comment>
    <comment ref="C9" authorId="0">
      <text>
        <r>
          <rPr>
            <sz val="10"/>
            <rFont val="Arial"/>
            <family val="2"/>
          </rPr>
          <t xml:space="preserve">Your own figure. In the app it is pre-filled from Your finances: income. Example only: €60,000.</t>
        </r>
      </text>
    </comment>
    <comment ref="C10" authorId="0">
      <text>
        <r>
          <rPr>
            <sz val="10"/>
            <rFont val="Arial"/>
            <family val="2"/>
          </rPr>
          <t xml:space="preserve">Usually between €0 and €254 a week (DSP 2026 maximum; lower if you earned under €300 a week; needs enough PRSI). Enter your own figure. Example only: €254.</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figure. In the app it is pre-filled from Your finances / statement: rate. Example only: 3.75%.</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In the app it is pre-filled from Your finances / statement: stated repayment. Example only: €0.</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Property valuation / mortgage statement: "Valuation" / "Market value" / "Property value". Blank = not on the statement / no statement.</t>
        </r>
      </text>
    </comment>
    <comment ref="C9" authorId="0">
      <text>
        <r>
          <rPr>
            <sz val="10"/>
            <rFont val="Arial"/>
            <family val="2"/>
          </rPr>
          <t xml:space="preserve">Filled by the document reader from: Pension statement: "Current fund value" / "Value of your fund" / "Transfer value" / "Total fund value". Blank = not on the statement / no statement.</t>
        </r>
      </text>
    </comment>
    <comment ref="C10" authorId="0">
      <text>
        <r>
          <rPr>
            <sz val="10"/>
            <rFont val="Arial"/>
            <family val="2"/>
          </rPr>
          <t xml:space="preserve">Filled by the document reader from: Investment statement: "Total value" / "Portfolio value" / "Valuation" / "Market value" / "Policy value". Blank = not on the statement / no statement.</t>
        </r>
      </text>
    </comment>
    <comment ref="C13" authorId="0">
      <text>
        <r>
          <rPr>
            <sz val="10"/>
            <rFont val="Arial"/>
            <family val="2"/>
          </rPr>
          <t xml:space="preserve">Your own figure. In the app it is pre-filled from Your finances: cash. Example only: €15,000.</t>
        </r>
      </text>
    </comment>
    <comment ref="C14" authorId="0">
      <text>
        <r>
          <rPr>
            <sz val="10"/>
            <rFont val="Arial"/>
            <family val="2"/>
          </rPr>
          <t xml:space="preserve">Your own figure. In the app it is pre-filled from Your finances: investments. Example only: €10,000.</t>
        </r>
      </text>
    </comment>
    <comment ref="C15" authorId="0">
      <text>
        <r>
          <rPr>
            <sz val="10"/>
            <rFont val="Arial"/>
            <family val="2"/>
          </rPr>
          <t xml:space="preserve">Your own figure. In the app it is pre-filled from Your finances: pension. Example only: €60,000.</t>
        </r>
      </text>
    </comment>
    <comment ref="C16" authorId="0">
      <text>
        <r>
          <rPr>
            <sz val="10"/>
            <rFont val="Arial"/>
            <family val="2"/>
          </rPr>
          <t xml:space="preserve">Your own figure. In the app it is pre-filled from Your finances: home + other property. Example only: €350,000.</t>
        </r>
      </text>
    </comment>
    <comment ref="C17" authorId="0">
      <text>
        <r>
          <rPr>
            <sz val="10"/>
            <rFont val="Arial"/>
            <family val="2"/>
          </rPr>
          <t xml:space="preserve">Your own figure. In the app it is pre-filled from Your finances: mortgage balance. Example only: €250,000.</t>
        </r>
      </text>
    </comment>
    <comment ref="C18" authorId="0">
      <text>
        <r>
          <rPr>
            <sz val="10"/>
            <rFont val="Arial"/>
            <family val="2"/>
          </rPr>
          <t xml:space="preserve">Your own figure. In the app it is pre-filled from Your finances: debts. Example only: €8,000.</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Your own figure. In the app it is pre-filled from Your finances: costs + one-offs ÷ 12 + mortgage. Example only: €2,000.</t>
        </r>
      </text>
    </comment>
    <comment ref="C8" authorId="0">
      <text>
        <r>
          <rPr>
            <sz val="10"/>
            <rFont val="Arial"/>
            <family val="2"/>
          </rPr>
          <t xml:space="preserve">Your own figure. Example only: €800.</t>
        </r>
      </text>
    </comment>
    <comment ref="C9" authorId="0">
      <text>
        <r>
          <rPr>
            <sz val="10"/>
            <rFont val="Arial"/>
            <family val="2"/>
          </rPr>
          <t xml:space="preserve">Your own figure. In the app it is pre-filled from Your finances: debt repayments. Example only: €200.</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Generally the standard is 50% for needs (the 50/30/20 rule of thumb). Choose what you want to use. Example only: 50%.</t>
        </r>
      </text>
    </comment>
    <comment ref="C8" authorId="0">
      <text>
        <r>
          <rPr>
            <sz val="10"/>
            <rFont val="Arial"/>
            <family val="2"/>
          </rPr>
          <t xml:space="preserve">Generally the standard is 30% for wants (the 50/30/20 rule of thumb). Choose what you want to use. Example only: 30%.</t>
        </r>
      </text>
    </comment>
    <comment ref="C9" authorId="0">
      <text>
        <r>
          <rPr>
            <sz val="10"/>
            <rFont val="Arial"/>
            <family val="2"/>
          </rPr>
          <t xml:space="preserve">Generally the standard is 20% for savings and debt (the 50/30/20 rule of thumb). Choose what you want to use. Example only: 20%.</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the debt that takes longest to clear. Example only: €5,000.</t>
        </r>
      </text>
    </comment>
    <comment ref="C7" authorId="0">
      <text>
        <r>
          <rPr>
            <sz val="10"/>
            <rFont val="Arial"/>
            <family val="2"/>
          </rPr>
          <t xml:space="preserve">Usually between 13% and 23% APR for Irish credit cards (Central Bank review, 2026); your statement shows yours. In the app it is pre-filled from Your finances: that debt's rate (else 20% card / 8% loan). Enter your own figure. Example only: 20%.</t>
        </r>
      </text>
    </comment>
    <comment ref="C8" authorId="0">
      <text>
        <r>
          <rPr>
            <sz val="10"/>
            <rFont val="Arial"/>
            <family val="2"/>
          </rPr>
          <t xml:space="preserve">Your own figure. In the app it is pre-filled from Your finances: that debt's repayment. Example only: €250.</t>
        </r>
      </text>
    </comment>
    <comment ref="C9" authorId="0">
      <text>
        <r>
          <rPr>
            <sz val="10"/>
            <rFont val="Arial"/>
            <family val="2"/>
          </rPr>
          <t xml:space="preserve">Optional: leave blank for none. Example only: €0.</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€15,000.</t>
        </r>
      </text>
    </comment>
    <comment ref="C7" authorId="0">
      <text>
        <r>
          <rPr>
            <sz val="10"/>
            <rFont val="Arial"/>
            <family val="2"/>
          </rPr>
          <t xml:space="preserve">Usually between 6% and 10% APR for personal loans (Central Bank: new lending averaged 7.48%, June 2026); credit unions often charge less. Enter your own figure. Example only: 8%.</t>
        </r>
      </text>
    </comment>
    <comment ref="C8" authorId="0">
      <text>
        <r>
          <rPr>
            <sz val="10"/>
            <rFont val="Arial"/>
            <family val="2"/>
          </rPr>
          <t xml:space="preserve">Your own figure. Example only: 5.</t>
        </r>
      </text>
    </comment>
  </commentList>
</comments>
</file>

<file path=xl/comments30.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Type 3 · your figure. Single, Single parent (main carer of a child, no partner), Married one earner, Married two earners (also civil partners). Example only: Single</t>
        </r>
      </text>
    </comment>
    <comment ref="C6" authorId="0">
      <text>
        <r>
          <rPr>
            <sz val="10"/>
            <rFont val="Arial"/>
            <family val="2"/>
          </rPr>
          <t xml:space="preserve">Type 3 · your figure. Gross pay before tax, € a year. Example only: €60,000</t>
        </r>
      </text>
    </comment>
    <comment ref="C7" authorId="0">
      <text>
        <r>
          <rPr>
            <sz val="10"/>
            <rFont val="Arial"/>
            <family val="2"/>
          </rPr>
          <t xml:space="preserve">Type 3 · optional: leave blank for none. Used only when the status is Married two earners. Example only: €0</t>
        </r>
      </text>
    </comment>
    <comment ref="C8" authorId="0">
      <text>
        <r>
          <rPr>
            <sz val="10"/>
            <rFont val="Arial"/>
            <family val="2"/>
          </rPr>
          <t xml:space="preserve">Type 3 · your figure. Rent Tax Credit €1,000 single / €2,000 jointly assessed, to end-2028. Example only: No</t>
        </r>
      </text>
    </comment>
    <comment ref="C9" authorId="0">
      <text>
        <r>
          <rPr>
            <sz val="10"/>
            <rFont val="Arial"/>
            <family val="2"/>
          </rPr>
          <t xml:space="preserve">Type 3 · your figure. €1,950 (verify the 2026 rate and carer-income limit). Example only: No</t>
        </r>
      </text>
    </comment>
    <comment ref="C10" authorId="0">
      <text>
        <r>
          <rPr>
            <sz val="10"/>
            <rFont val="Arial"/>
            <family val="2"/>
          </rPr>
          <t xml:space="preserve">Type 3 · optional: leave blank for none. From 1 Oct 2026 = 4.35%. Calendar 2026 blend = 4.2375% (9 months at 4.2%, 3 at 4.35%). Example only: From 1 Oct 2026</t>
        </r>
      </text>
    </comment>
  </commentList>
</comments>
</file>

<file path=xl/sharedStrings.xml><?xml version="1.0" encoding="utf-8"?>
<sst xmlns="http://schemas.openxmlformats.org/spreadsheetml/2006/main" count="3605" uniqueCount="1735">
  <si>
    <t xml:space="preserve">LifeMap calculators</t>
  </si>
  <si>
    <t xml:space="preserve">Version 2.3 · 2 Oct 2026 · built from LifeGoals-Customer-Journey-Prototype.html (CALCS), corrected per the independent accuracy audit</t>
  </si>
  <si>
    <t xml:space="preserve">Fill example values? (Yes/No)</t>
  </si>
  <si>
    <t xml:space="preserve">No</t>
  </si>
  <si>
    <t xml:space="preserve">Example only: Yes fills every blank input with its grey figure, so testers see numbers. Default No (blank template).</t>
  </si>
  <si>
    <t xml:space="preserve">How to use</t>
  </si>
  <si>
    <t xml:space="preserve">• Open a calculator from the list below. Fill the yellow cells (blue text): everything else updates on its own.</t>
  </si>
  <si>
    <t xml:space="preserve">• Every number is one of three types (journey spec §14). Type 1, set by Government (tax, USC, PRSI, relief %, lump-sum bands, DIRT, exit tax, Central Bank limits, full State Pension and benefit rates): on the Assumptions sheet, not an input. Type 2, varies within a known range (mortgage rate, card APR, fund charges, the State Pension you will get …): a yellow input with "Usually between X and Y (source)". Type 3, personal (inflation, growth, pay rises, emergency months, drawdown timing, retirement multiple, and your own figures): a yellow input left BLANK with "Generally the standard is X (source). Choose what you want to use." Retirement age and plan-until age are blank with guidance only, never a standard.</t>
  </si>
  <si>
    <t xml:space="preserve">• Blank inputs stay blank: results that need them show "Choose your … to see this". Switch "Fill example values?" (above) to Yes to fill every blank input with its grey "Example only" figure (the standard, or the sample customer's figure).</t>
  </si>
  <si>
    <t xml:space="preserve">• Each input cell shows its unit and allowed range when you click it, and refuses values outside it. The default is in the cell note and at the far right.</t>
  </si>
  <si>
    <t xml:space="preserve">• Inputs marked "Suggested · change if you like" are judgement choices (growth, fees, pay rises, emergency months, retirement multiple, rates …). They are pre-filled with the audit's suggestion and the guidance shows when you click the cell.</t>
  </si>
  <si>
    <t xml:space="preserve">• Facts and law (tax bands, State rates, Central Bank rules, stamp duty, lump-sum bands …) are on the Assumptions sheet, the Irish rules register (Irish rules 2026 · checked 2 Oct 2026). Take-home pay is worked out on the Tax engine sheet, which C25 and C26 use.</t>
  </si>
  <si>
    <t xml:space="preserve">• Results are in the green box, each with its formula written out beside it. Formulas use names (e.g. =Amount*(1+Inflation)^Years) so they read like the maths.</t>
  </si>
  <si>
    <t xml:space="preserve">• Inflation is the client's own choice: the yellow "Inflation you expect" cell on each calculator that uses it starts blank. While it is blank, results that need it say "Choose your inflation rate to see this"; 0% is a real choice (no adjustment for prices).</t>
  </si>
  <si>
    <t xml:space="preserve">• Statements: grey-blue cells under "FROM YOUR STATEMENT" are filled by the document reader. The FIGURE USED box applies the rule statement figure if present, else your typed figure, and says which was used. See the "Document reader spec" sheet.</t>
  </si>
  <si>
    <t xml:space="preserve">• The workbook recalculates automatically, including when it is opened.</t>
  </si>
  <si>
    <t xml:space="preserve">Colour legend</t>
  </si>
  <si>
    <t xml:space="preserve">• Yellow fill, blue text = an input you type.</t>
  </si>
  <si>
    <t xml:space="preserve">• Grey-blue fill, blue text = a figure the document reader fills from a statement (blank when there is none).</t>
  </si>
  <si>
    <t xml:space="preserve">• Green box, bold = a result.</t>
  </si>
  <si>
    <t xml:space="preserve">• Grey box = a working figure behind a result.</t>
  </si>
  <si>
    <t xml:space="preserve">• Grey text = defaults, ranges and notes.</t>
  </si>
  <si>
    <t xml:space="preserve">• Orange = a warning message shown to the customer.</t>
  </si>
  <si>
    <t xml:space="preserve">Numbering</t>
  </si>
  <si>
    <t xml:space="preserve">• C01–C28 in the order of the prototype's CALCS array; the same numbers are used in the UI/UX spec.</t>
  </si>
  <si>
    <t xml:space="preserve">Out of scope</t>
  </si>
  <si>
    <t xml:space="preserve">• The main plan cashflow / goal-funding engine (project()) is documented separately.</t>
  </si>
  <si>
    <t xml:space="preserve">Calculators</t>
  </si>
  <si>
    <t xml:space="preserve">No.</t>
  </si>
  <si>
    <t xml:space="preserve">Calculator (click to open)</t>
  </si>
  <si>
    <t xml:space="preserve">Question it answers</t>
  </si>
  <si>
    <t xml:space="preserve">Category</t>
  </si>
  <si>
    <t xml:space="preserve">C01</t>
  </si>
  <si>
    <t xml:space="preserve">What home price could be within reach?</t>
  </si>
  <si>
    <t xml:space="preserve">Home &amp; Mortgage</t>
  </si>
  <si>
    <t xml:space="preserve">C02</t>
  </si>
  <si>
    <t xml:space="preserve">What would my monthly repayment be?</t>
  </si>
  <si>
    <t xml:space="preserve">C03</t>
  </si>
  <si>
    <t xml:space="preserve">How long until I have my deposit?</t>
  </si>
  <si>
    <t xml:space="preserve">C04</t>
  </si>
  <si>
    <t xml:space="preserve">What if I paid a little extra each month?</t>
  </si>
  <si>
    <t xml:space="preserve">C05</t>
  </si>
  <si>
    <t xml:space="preserve">What if my mortgage rate changed?</t>
  </si>
  <si>
    <t xml:space="preserve">C06</t>
  </si>
  <si>
    <t xml:space="preserve">Shorter or longer term: what is the trade-off?</t>
  </si>
  <si>
    <t xml:space="preserve">C07</t>
  </si>
  <si>
    <t xml:space="preserve">How do renting and buying compare over time?</t>
  </si>
  <si>
    <t xml:space="preserve">C08</t>
  </si>
  <si>
    <t xml:space="preserve">How much a month to reach my goal?</t>
  </si>
  <si>
    <t xml:space="preserve">Savings &amp; Goals</t>
  </si>
  <si>
    <t xml:space="preserve">C09</t>
  </si>
  <si>
    <t xml:space="preserve">What could regular saving grow into?</t>
  </si>
  <si>
    <t xml:space="preserve">C10</t>
  </si>
  <si>
    <t xml:space="preserve">What could a one-off amount become?</t>
  </si>
  <si>
    <t xml:space="preserve">Investments</t>
  </si>
  <si>
    <t xml:space="preserve">C11</t>
  </si>
  <si>
    <t xml:space="preserve">How strong is my financial cushion?</t>
  </si>
  <si>
    <t xml:space="preserve">C12</t>
  </si>
  <si>
    <t xml:space="preserve">Could your current path fund the retirement you want?</t>
  </si>
  <si>
    <t xml:space="preserve">Pensions &amp; Retirement</t>
  </si>
  <si>
    <t xml:space="preserve">C13</t>
  </si>
  <si>
    <t xml:space="preserve">What difference would a small increase make?</t>
  </si>
  <si>
    <t xml:space="preserve">C14</t>
  </si>
  <si>
    <t xml:space="preserve">What could extra voluntary contributions add?</t>
  </si>
  <si>
    <t xml:space="preserve">C15</t>
  </si>
  <si>
    <t xml:space="preserve">How long could my retirement savings last?</t>
  </si>
  <si>
    <t xml:space="preserve">C16</t>
  </si>
  <si>
    <t xml:space="preserve">How do different growth rates change things?</t>
  </si>
  <si>
    <t xml:space="preserve">C17</t>
  </si>
  <si>
    <t xml:space="preserve">What is my money really worth in future?</t>
  </si>
  <si>
    <t xml:space="preserve">C18</t>
  </si>
  <si>
    <t xml:space="preserve">What could investing monthly build?</t>
  </si>
  <si>
    <t xml:space="preserve">C19</t>
  </si>
  <si>
    <t xml:space="preserve">How much do fees really cost over time?</t>
  </si>
  <si>
    <t xml:space="preserve">C20</t>
  </si>
  <si>
    <t xml:space="preserve">What range of outcomes might each style have?</t>
  </si>
  <si>
    <t xml:space="preserve">C21</t>
  </si>
  <si>
    <t xml:space="preserve">How much cover might my family need?</t>
  </si>
  <si>
    <t xml:space="preserve">Protection</t>
  </si>
  <si>
    <t xml:space="preserve">C22</t>
  </si>
  <si>
    <t xml:space="preserve">How long could I cope if I couldn't work?</t>
  </si>
  <si>
    <t xml:space="preserve">C23</t>
  </si>
  <si>
    <t xml:space="preserve">What cover would clear my mortgage?</t>
  </si>
  <si>
    <t xml:space="preserve">C24</t>
  </si>
  <si>
    <t xml:space="preserve">What am I worth, all in?</t>
  </si>
  <si>
    <t xml:space="preserve">Everyday Money</t>
  </si>
  <si>
    <t xml:space="preserve">C25</t>
  </si>
  <si>
    <t xml:space="preserve">What is left at the end of the month?</t>
  </si>
  <si>
    <t xml:space="preserve">C26</t>
  </si>
  <si>
    <t xml:space="preserve">A simple way to split your pay</t>
  </si>
  <si>
    <t xml:space="preserve">C27</t>
  </si>
  <si>
    <t xml:space="preserve">How fast can I clear my debt?</t>
  </si>
  <si>
    <t xml:space="preserve">C28</t>
  </si>
  <si>
    <t xml:space="preserve">What would a loan cost me?</t>
  </si>
  <si>
    <t xml:space="preserve">BUDGET 2027 WATCH (update after 6 Oct 2026; nothing changed in advance)</t>
  </si>
  <si>
    <t xml:space="preserve">Budget 2027 is due on Tuesday 6 October 2026 (Summer Economic Statement, 22 July 2026; €8.5bn package). Nothing below has been changed in advance. Update each constant on 6–7 Oct 2026 with its effective date, then re-run the Tax engine checks. Sources: https://kpmg.com/ie/en/insights/tax/budget-2027.html · https://www.irishpolitics.ie/budget/ (verify on gov.ie on the day).</t>
  </si>
  <si>
    <t xml:space="preserve">Constant (2026 value)</t>
  </si>
  <si>
    <t xml:space="preserve">Name(s) to update</t>
  </si>
  <si>
    <t xml:space="preserve">Watch for</t>
  </si>
  <si>
    <t xml:space="preserve">Income-tax bands (€44,000 / €48,000 / €53,000; €35,000 second-earner uplift)</t>
  </si>
  <si>
    <t xml:space="preserve">Band_Single, Band_Single_Parent, Band_Married, Band_Second_Earner_Max</t>
  </si>
  <si>
    <t xml:space="preserve">about +€2,000?</t>
  </si>
  <si>
    <t xml:space="preserve">Personal and PAYE credits (€2,000 + €2,000; €4,000 married)</t>
  </si>
  <si>
    <t xml:space="preserve">Credit_Personal_Single, Credit_Personal_Married, Credit_PAYE</t>
  </si>
  <si>
    <t xml:space="preserve">change?</t>
  </si>
  <si>
    <t xml:space="preserve">Rent, Home Carer and SPCCC credits (€1,000 / €1,950 / €1,900)</t>
  </si>
  <si>
    <t xml:space="preserve">Credit_Rent_Single, Credit_Rent_Joint, Credit_Home_Carer, Credit_SPCCC</t>
  </si>
  <si>
    <t xml:space="preserve">USC bands (€12,012 / €28,700 / €70,044) and exemption €13,000</t>
  </si>
  <si>
    <t xml:space="preserve">USC_Band_1–3, USC_Exempt</t>
  </si>
  <si>
    <t xml:space="preserve">2% band ceiling rise (minimum wage)</t>
  </si>
  <si>
    <t xml:space="preserve">PRSI path (4.35% now; 4.5% from 1 Oct 2027; 4.7% from 1 Oct 2028)</t>
  </si>
  <si>
    <t xml:space="preserve">PRSI_Rate, PRSI credit</t>
  </si>
  <si>
    <t xml:space="preserve">confirm; any PRSI-credit change</t>
  </si>
  <si>
    <t xml:space="preserve">State Pension €299.30 a week (€15,563.60)</t>
  </si>
  <si>
    <t xml:space="preserve">State_Pension_Week</t>
  </si>
  <si>
    <t xml:space="preserve">+€10 a week? (€309.30)</t>
  </si>
  <si>
    <t xml:space="preserve">Illness Benefit €254; survivor's pension €259.50 (&lt;66) / €299.30 (66+)</t>
  </si>
  <si>
    <t xml:space="preserve">Illness_Benefit_Week, Survivor_Pension_Week, Survivor_Pension_Week_66</t>
  </si>
  <si>
    <t xml:space="preserve">+€10 a week?</t>
  </si>
  <si>
    <t xml:space="preserve">Exit tax 38%, deemed disposal 8 years, DIRT 33%</t>
  </si>
  <si>
    <t xml:space="preserve">Exit_Tax, Deemed_Disposal_Years, DIRT</t>
  </si>
  <si>
    <t xml:space="preserve">funds review: further exit-tax cut / deemed-disposal change?</t>
  </si>
  <si>
    <t xml:space="preserve">Pension relief bands, €115,000 cap, lump-sum bands, SFT (€2.4m in 2027)</t>
  </si>
  <si>
    <t xml:space="preserve">Relief_Age_From/Relief_Age_Pct, Relief_Earnings_Cap, Lump_Sum_*</t>
  </si>
  <si>
    <t xml:space="preserve">Stamp duty 1% / 2% / 6%; Help to Buy €30,000; CBI 4× / 3.5× / 90%</t>
  </si>
  <si>
    <t xml:space="preserve">SD_*, LTI_FTB, LTI_SSB, LTV_Max</t>
  </si>
  <si>
    <t xml:space="preserve">Inflation "Ireland now" 3.9% (CSO HICP flash Sep 2026)</t>
  </si>
  <si>
    <t xml:space="preserve">Guidance text on each inflation input and on this sheet</t>
  </si>
  <si>
    <t xml:space="preserve">next CSO flash: end of Oct 2026</t>
  </si>
  <si>
    <t xml:space="preserve">Audit fixes applied</t>
  </si>
  <si>
    <t xml:space="preserve">Where</t>
  </si>
  <si>
    <t xml:space="preserve">Audit class</t>
  </si>
  <si>
    <t xml:space="preserve">Item</t>
  </si>
  <si>
    <t xml:space="preserve">Must</t>
  </si>
  <si>
    <t xml:space="preserve">Gap is like-for-like: target (today's money) − fund ÷ (1 + inflation)^years.</t>
  </si>
  <si>
    <t xml:space="preserve">Hand-off updates the existing retirement goal (income, age) instead of a 25× lump-sum spend.</t>
  </si>
  <si>
    <t xml:space="preserve">Hand-off is the deposit (loan × 10% ÷ 90%), not the mortgage amount.</t>
  </si>
  <si>
    <t xml:space="preserve">Hand-off is a mortgage-free (mfree) goal, not today's balance as a spend; none if it never clears.</t>
  </si>
  <si>
    <t xml:space="preserve">No "Infinity yrs" and no negative interest saved: "Not at this repayment" / "—".</t>
  </si>
  <si>
    <t xml:space="preserve">C04, C27</t>
  </si>
  <si>
    <t xml:space="preserve">Exact months by NPER (no 1,200-month loop cap); over 1,200 months shows "Over 100 years" / "Payment too low…".</t>
  </si>
  <si>
    <t xml:space="preserve">C09, C10</t>
  </si>
  <si>
    <t xml:space="preserve">Hand-off always in today's money (value ÷ (1 + inflation)^years), kind pot.</t>
  </si>
  <si>
    <t xml:space="preserve">C13, C14</t>
  </si>
  <si>
    <t xml:space="preserve">No spend goal: raise the plan's pension contribution instead.</t>
  </si>
  <si>
    <t xml:space="preserve">Hand-off in today's money, kind pot (was nominal, inflated twice).</t>
  </si>
  <si>
    <t xml:space="preserve">Style is a 1/2/3 list (no decimals, no €NaN).</t>
  </si>
  <si>
    <t xml:space="preserve">No spend goal: a protection need for the adviser.</t>
  </si>
  <si>
    <t xml:space="preserve">No goal (the plan already repays the debt); no goal when it never clears.</t>
  </si>
  <si>
    <t xml:space="preserve">C02, C05</t>
  </si>
  <si>
    <t xml:space="preserve">Should</t>
  </si>
  <si>
    <t xml:space="preserve">What-if rate floored at 0%.</t>
  </si>
  <si>
    <t xml:space="preserve">Deposit validated between 10% of the price and the price; mortgage never negative.</t>
  </si>
  <si>
    <t xml:space="preserve">C11, C22, C25</t>
  </si>
  <si>
    <t xml:space="preserve">Hand-off kinds corrected (safety pot; protection need; savings pot).</t>
  </si>
  <si>
    <t xml:space="preserve">C15, C16</t>
  </si>
  <si>
    <t xml:space="preserve">Withdrawals taken at the start of each year.</t>
  </si>
  <si>
    <t xml:space="preserve">Mortgage protection Yes/No (default Yes) and State survivor's pension (default €259.50 a week).</t>
  </si>
  <si>
    <t xml:space="preserve">Illness Benefit (€254 a week) netted off; income protection capped at 75% of income less Illness Benefit.</t>
  </si>
  <si>
    <t xml:space="preserve">Warning when the repayment does not cover the interest; no rising balances shown.</t>
  </si>
  <si>
    <t xml:space="preserve">C27, C28</t>
  </si>
  <si>
    <t xml:space="preserve">APR treated as an effective annual rate: monthly = (1 + APR)^(1/12) − 1.</t>
  </si>
  <si>
    <t xml:space="preserve">C08–C10, C17, C18</t>
  </si>
  <si>
    <t xml:space="preserve">"Before tax: DIRT 33% / exit tax 38%" note.</t>
  </si>
  <si>
    <t xml:space="preserve">Nice</t>
  </si>
  <si>
    <t xml:space="preserve">First-time buyer is Yes/No.</t>
  </si>
  <si>
    <t xml:space="preserve">C03, C15, C16 etc.</t>
  </si>
  <si>
    <t xml:space="preserve">Singular forms ("1 month", "1 year"); "You have your deposit".</t>
  </si>
  <si>
    <t xml:space="preserve">"No change" when the time saved is 0.</t>
  </si>
  <si>
    <t xml:space="preserve">"Both terms are the same" for equal terms.</t>
  </si>
  <si>
    <t xml:space="preserve">C08, C03</t>
  </si>
  <si>
    <t xml:space="preserve">Hand-off passes "already saved".</t>
  </si>
  <si>
    <t xml:space="preserve">Tax rate restricted to 20% or 40%.</t>
  </si>
  <si>
    <t xml:space="preserve">"60+ years" in every row at the end of the table.</t>
  </si>
  <si>
    <t xml:space="preserve">€0 surplus reads "Nothing left over this month".</t>
  </si>
  <si>
    <t xml:space="preserve">Assumptions</t>
  </si>
  <si>
    <t xml:space="preserve">Constants added for the fixes (DIRT, exit tax, Illness Benefit, survivor's pension); inflation reference refreshed (3.4% Aug 2026).</t>
  </si>
  <si>
    <t xml:space="preserve">Not applied (for Pooja to decide)</t>
  </si>
  <si>
    <t xml:space="preserve">All calculators</t>
  </si>
  <si>
    <t xml:space="preserve">Journey spec §14</t>
  </si>
  <si>
    <t xml:space="preserve">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</si>
  <si>
    <t xml:space="preserve">C11, C15, C22, C13</t>
  </si>
  <si>
    <t xml:space="preserve">UI/UX Appendix B</t>
  </si>
  <si>
    <t xml:space="preserve">Singular "1 month"; C15 at the 60-year cap reads "Beyond [plan-until age] (your plan-until age)", as the prototype (not "age 126"); C13/C14 show the relief room left after what you already pay in.</t>
  </si>
  <si>
    <t xml:space="preserve">Remove the placeholder "[confirm current Central Bank rules]" from the customer line (prototype copy; the workbook uses the audit's replacement wording).</t>
  </si>
  <si>
    <t xml:space="preserve">C01, C03</t>
  </si>
  <si>
    <t xml:space="preserve">Help to Buy as an optional deposit input (rules audit #62).</t>
  </si>
  <si>
    <t xml:space="preserve">Use "−" (not "-") in the rate text (prototype copy).</t>
  </si>
  <si>
    <t xml:space="preserve">House prices rising while saving (stamp duty and fees are now included).</t>
  </si>
  <si>
    <t xml:space="preserve">Local Property Tax and insurance in the cost of owning (rules audit #63).</t>
  </si>
  <si>
    <t xml:space="preserve">C08–C10, C18</t>
  </si>
  <si>
    <t xml:space="preserve">An after-tax result row (DIRT 33% / exit tax 38% with deemed disposal). Only the "before tax" note is applied.</t>
  </si>
  <si>
    <t xml:space="preserve">Hide "start later" when the term is no longer than the wait.</t>
  </si>
  <si>
    <t xml:space="preserve">Tip copy: "Often 3 to 6 months" instead of "Ideal: 6 months" (prototype copy).</t>
  </si>
  <si>
    <t xml:space="preserve">Gross up the desired income for tax (a "before tax" note is applied instead).</t>
  </si>
  <si>
    <t xml:space="preserve">Contributions rising with pay (as C12): €70,503, not €54,572, at defaults.</t>
  </si>
  <si>
    <t xml:space="preserve">ARF imputed distribution hint (4% from 61, 5% from 71, 6% over €2m).</t>
  </si>
  <si>
    <t xml:space="preserve">Treat the growth rates as median (geometric) returns.</t>
  </si>
  <si>
    <t xml:space="preserve">Discount the income need; funeral costs and CAT; a survivor's-age switch (the guidance gives the 66+ rate).</t>
  </si>
  <si>
    <t xml:space="preserve">Explain statutory sick pay (5 days) vs the employer's scheme (a short note is in How it works).</t>
  </si>
  <si>
    <t xml:space="preserve">Note joint-life / dual-life cover and the insurer's assumed reduction rate.</t>
  </si>
  <si>
    <t xml:space="preserve">C25, C26</t>
  </si>
  <si>
    <t xml:space="preserve">Round the take-home pre-fill to whole euros (prototype).</t>
  </si>
  <si>
    <t xml:space="preserve">Plan engine (HTML)</t>
  </si>
  <si>
    <t xml:space="preserve">Rules audit P1–P3</t>
  </si>
  <si>
    <t xml:space="preserve">Married pension relief and joint assessment in retirement (#29, #12, #61), PRSI and State Pension at 66+ (#22, #23), PRSI on ARF draws (#24), Class S (#25), PRSI path by year (#19), auto-enrolment (#38), partner State Pension (#42), untaxed other income (#73), age-80 supplement (#41), ARF 6% (#35): these are in the plan engine, which the Financial Planner is fixing in the prototype; not part of these calculators.</t>
  </si>
  <si>
    <t xml:space="preserve">Copy</t>
  </si>
  <si>
    <t xml:space="preserve">Fix the "29 calculators" note (there are 28).</t>
  </si>
  <si>
    <t xml:space="preserve">C01 · How much could I borrow?</t>
  </si>
  <si>
    <t xml:space="preserve">Category: Home &amp; Mortgage · prototype id: borrow</t>
  </si>
  <si>
    <t xml:space="preserve">Question it answers: What home price could be within reach?</t>
  </si>
  <si>
    <t xml:space="preserve">Applies the Central Bank limits (4× or 3.5× income, 90% loan-to-value) to show the most you could borrow and the home price that gives, after stamp duty and fees.</t>
  </si>
  <si>
    <t xml:space="preserve">INPUTS</t>
  </si>
  <si>
    <t xml:space="preserve">Your figure</t>
  </si>
  <si>
    <t xml:space="preserve">Unit</t>
  </si>
  <si>
    <t xml:space="preserve">Allowed</t>
  </si>
  <si>
    <t xml:space="preserve">Your gross yearly income</t>
  </si>
  <si>
    <t xml:space="preserve">€</t>
  </si>
  <si>
    <t xml:space="preserve">Type 3 · your figure · Your own figure. In the app it is pre-filled from Your finances: income. Allowed: €15,000 to €2,500,000 · steps of €1,000</t>
  </si>
  <si>
    <t xml:space="preserve">Partner's gross yearly income</t>
  </si>
  <si>
    <t xml:space="preserve">Type 3 · your figure · Your own figure. In the app it is pre-filled from Your finances: partner's income. Allowed: €0 to €2,500,000 · steps of €1,000</t>
  </si>
  <si>
    <t xml:space="preserve">Deposit saved</t>
  </si>
  <si>
    <t xml:space="preserve">Type 3 · your figure · Your own figure. In the app it is pre-filled from Plan: home goal's amount saved. Allowed: €0 to €2,000,000 · steps of €1,000</t>
  </si>
  <si>
    <t xml:space="preserve">First-time buyer?</t>
  </si>
  <si>
    <t xml:space="preserve">Yes / No</t>
  </si>
  <si>
    <t xml:space="preserve">Type 3 · your figure · Your own figure. In the app it is pre-filled from Your finances: home status (owner = No). Allowed: Yes or No</t>
  </si>
  <si>
    <t xml:space="preserve">Yes</t>
  </si>
  <si>
    <t xml:space="preserve">Mortgage interest rate</t>
  </si>
  <si>
    <t xml:space="preserve">%</t>
  </si>
  <si>
    <t xml:space="preserve">Type 2 · range · Usually between 3.5% and 4.5% a year for new Irish mortgages (Central Bank retail interest rates: new mortgages averaged 3.49% in June 2026). Enter your own figure. Allowed: 1% to 8% · steps of 0.05%</t>
  </si>
  <si>
    <t xml:space="preserve">Mortgage term</t>
  </si>
  <si>
    <t xml:space="preserve">years</t>
  </si>
  <si>
    <t xml:space="preserve">Type 3 · your figure · Your own figure. Allowed: 10 to 35 · steps of 1</t>
  </si>
  <si>
    <t xml:space="preserve">Legal and other buying fees</t>
  </si>
  <si>
    <t xml:space="preserve">Type 2 · range · Usually between €2,500 and €3,500 for legal and survey fees (stamp duty is added for you). Enter your own figure. Allowed: €0 to €10,000 · steps of €100</t>
  </si>
  <si>
    <t xml:space="preserve">Years until you buy (for the plan)</t>
  </si>
  <si>
    <t xml:space="preserve">Type 3 · your figure · Your own figure. Allowed: 1 to 30 · steps of 1</t>
  </si>
  <si>
    <t xml:space="preserve">What if: save extra towards the deposit</t>
  </si>
  <si>
    <t xml:space="preserve">Type 3 · optional · Optional: leave blank for none. Allowed: €0 to €500,000 · steps of €1,000</t>
  </si>
  <si>
    <t xml:space="preserve">RESULTS</t>
  </si>
  <si>
    <t xml:space="preserve">Result</t>
  </si>
  <si>
    <t xml:space="preserve">Shown as</t>
  </si>
  <si>
    <t xml:space="preserve">Formula</t>
  </si>
  <si>
    <t xml:space="preserve">Homes up to about</t>
  </si>
  <si>
    <t xml:space="preserve">ƒx  =MIN(Price_By_Deposit,Price_By_Income)</t>
  </si>
  <si>
    <t xml:space="preserve">Most you could borrow</t>
  </si>
  <si>
    <t xml:space="preserve">ƒx  =MIN(Borrow_By_Income,LTV_Max*Home_Price)</t>
  </si>
  <si>
    <t xml:space="preserve">Monthly repayment (illustrative)</t>
  </si>
  <si>
    <t xml:space="preserve">ƒx  =PMT(Interest_Rate/12,Term_Years*12,-Max_Loan)</t>
  </si>
  <si>
    <t xml:space="preserve">Stamp duty on that price (paid from your deposit)</t>
  </si>
  <si>
    <t xml:space="preserve">ƒx  =SD_Rate_1*MIN(Home_Price,SD_Band_1)+SD_Rate_2*MAX(0,MIN(Home_Price,SD_Band_2)-SD_Band_1)+SD_Rate_3*MAX(0,Home_Price-SD_Band_2)</t>
  </si>
  <si>
    <t xml:space="preserve">Borrowing allowed by income</t>
  </si>
  <si>
    <t xml:space="preserve">ƒx  =(Income+Partner_Income)*Income_Multiple</t>
  </si>
  <si>
    <t xml:space="preserve">Income multiple used</t>
  </si>
  <si>
    <t xml:space="preserve">× income</t>
  </si>
  <si>
    <t xml:space="preserve">ƒx  =IF(First_Time_Buyer="Yes",LTI_FTB,LTI_SSB)</t>
  </si>
  <si>
    <t xml:space="preserve">Your deposit (incl. what-if extra)</t>
  </si>
  <si>
    <t xml:space="preserve">ƒx  =Deposit+Extra_Deposit</t>
  </si>
  <si>
    <t xml:space="preserve">Deposit left for the price after fees</t>
  </si>
  <si>
    <t xml:space="preserve">ƒx  =MAX(0,Total_Deposit-Buying_Fees)</t>
  </si>
  <si>
    <t xml:space="preserve">Deposit + stamp duty needed for a €1m home</t>
  </si>
  <si>
    <t xml:space="preserve">ƒx  =(1-LTV_Max+SD_Rate_1)*SD_Band_1</t>
  </si>
  <si>
    <t xml:space="preserve">Deposit + stamp duty needed for a €1.5m home</t>
  </si>
  <si>
    <t xml:space="preserve">ƒx  =Cash_At_Band_1+(1-LTV_Max+SD_Rate_2)*(SD_Band_2-SD_Band_1)</t>
  </si>
  <si>
    <t xml:space="preserve">Price your deposit allows (10% deposit + stamp duty)</t>
  </si>
  <si>
    <t xml:space="preserve">ƒx  =IF(Cash_For_Price&lt;=Cash_At_Band_1,Cash_For_Price/(1-LTV_Max+SD_Rate_1),IF(Cash_For_Price&lt;=Cash_At_Band_2,SD_Band_1+(Cash_For_Price-Cash_At_Band_1)/(1-LTV_Max+SD_Rate_2),SD_Band_2+(Cash_For_Price-Cash_At_Band_2)/(1-LTV_Max+SD_Rate_3)))</t>
  </si>
  <si>
    <t xml:space="preserve">Income limit + deposit left after fees</t>
  </si>
  <si>
    <t xml:space="preserve">ƒx  =Borrow_By_Income+Cash_For_Price</t>
  </si>
  <si>
    <t xml:space="preserve">Price your income allows (loan + deposit, after stamp duty)</t>
  </si>
  <si>
    <t xml:space="preserve">ƒx  =IF(Income_Cash&lt;=(1+SD_Rate_1)*SD_Band_1,Income_Cash/(1+SD_Rate_1),IF(Income_Cash&lt;=(1+SD_Rate_1)*SD_Band_1+(1+SD_Rate_2)*(SD_Band_2-SD_Band_1),SD_Band_1+(Income_Cash-(1+SD_Rate_1)*SD_Band_1)/(1+SD_Rate_2),SD_Band_2+(Income_Cash-(1+SD_Rate_1)*SD_Band_1-(1+SD_Rate_2)*(SD_Band_2-SD_Band_1))/(1+SD_Rate_3)))</t>
  </si>
  <si>
    <t xml:space="preserve">What sets the limit</t>
  </si>
  <si>
    <t xml:space="preserve">ƒx  =IF(Price_By_Deposit&lt;Price_By_Income,"Your deposit","Your income")</t>
  </si>
  <si>
    <t xml:space="preserve">HOW IT WORKS</t>
  </si>
  <si>
    <t xml:space="preserve">• Income limit = combined gross income × 4 (first-time buyer) or × 3.5 (everyone else). The loan can also be at most 90% of the price.</t>
  </si>
  <si>
    <t xml:space="preserve">• Your deposit must pay 10% of the price, the stamp duty (1% up to €1m, 2% on €1m–€1.5m, 6% above) and the buying fees. So the price is the lower of: what the deposit allows (10% + stamp duty) and what income + deposit allow (price + stamp duty). Both are solved exactly, band by band.</t>
  </si>
  <si>
    <t xml:space="preserve">• Repayment = standard annuity PMT at rate ÷ 12 over the term.</t>
  </si>
  <si>
    <t xml:space="preserve">Edge rules and validation:</t>
  </si>
  <si>
    <t xml:space="preserve">• First-time buyer is a Yes/No choice.</t>
  </si>
  <si>
    <t xml:space="preserve">• When both limits are equal the text says the income sets the limit.</t>
  </si>
  <si>
    <t xml:space="preserve">• Lenders can lend above these limits for a small share of loans each year, so some buyers get an exception. Your lender decides.</t>
  </si>
  <si>
    <t xml:space="preserve">• At 0% interest Excel's PMT/NPER/FV give amount ÷ months, so no special case is needed in Excel; in code use payment = amount / months.</t>
  </si>
  <si>
    <t xml:space="preserve">ADD TO MY PLAN (what this calculator sends to the plan)</t>
  </si>
  <si>
    <t xml:space="preserve">Goal</t>
  </si>
  <si>
    <t xml:space="preserve">ƒx  ="Buy a home (deposit goal)"</t>
  </si>
  <si>
    <t xml:space="preserve">Amount (today's money): 10% deposit + stamp duty + fees</t>
  </si>
  <si>
    <t xml:space="preserve">ƒx  =ROUND(Home_Price*Min_Deposit_Pct+Stamp_Duty+Buying_Fees,0)</t>
  </si>
  <si>
    <t xml:space="preserve">Already saved</t>
  </si>
  <si>
    <t xml:space="preserve">ƒx  =Total_Deposit</t>
  </si>
  <si>
    <t xml:space="preserve">In (years)</t>
  </si>
  <si>
    <t xml:space="preserve">ƒx  =Home_Goal_Years</t>
  </si>
  <si>
    <t xml:space="preserve">CHOICES STILL NEEDED (helper rows: blank = all inputs a result needs are filled)</t>
  </si>
  <si>
    <t xml:space="preserve">Needs: buying fees, deposit saved, first-time buyer answer, gross yearly income, partner's gross yearly income</t>
  </si>
  <si>
    <t xml:space="preserve">Needs: buying fees, deposit saved, first-time buyer answer, gross yearly income, interest rate, partner's gross yearly income, mortgage term</t>
  </si>
  <si>
    <t xml:space="preserve">Needs: first-time buyer answer, gross yearly income, partner's gross yearly income</t>
  </si>
  <si>
    <t xml:space="preserve">Needs: first-time buyer answer</t>
  </si>
  <si>
    <t xml:space="preserve">Needs: deposit saved</t>
  </si>
  <si>
    <t xml:space="preserve">Needs: buying fees, deposit saved</t>
  </si>
  <si>
    <t xml:space="preserve">Needs: years until you buy</t>
  </si>
  <si>
    <t xml:space="preserve">C02 · Monthly mortgage repayment</t>
  </si>
  <si>
    <t xml:space="preserve">Category: Home &amp; Mortgage · prototype id: repayment</t>
  </si>
  <si>
    <t xml:space="preserve">Question it answers: What would my monthly repayment be?</t>
  </si>
  <si>
    <t xml:space="preserve">Works out the monthly repayment, how long until the mortgage is paid off and the total interest; and what a rate change would do.</t>
  </si>
  <si>
    <t xml:space="preserve">FROM YOUR STATEMENT (filled automatically by the document reader)</t>
  </si>
  <si>
    <t xml:space="preserve">Document: Mortgage statement (annual statement of account) or offer letter. Blank = no statement uploaded, or the figure is not on it. Grey-blue cells are filled by the reader (you can type here to test).</t>
  </si>
  <si>
    <t xml:space="preserve">Outstanding balance</t>
  </si>
  <si>
    <t xml:space="preserve">Allowed: €0 to €10,000,000</t>
  </si>
  <si>
    <t xml:space="preserve">Reader field: see note</t>
  </si>
  <si>
    <t xml:space="preserve">Interest rate</t>
  </si>
  <si>
    <t xml:space="preserve">Allowed: 0% to 15%</t>
  </si>
  <si>
    <t xml:space="preserve">Term remaining</t>
  </si>
  <si>
    <t xml:space="preserve">Allowed: 0 to 40</t>
  </si>
  <si>
    <t xml:space="preserve">Monthly repayment</t>
  </si>
  <si>
    <t xml:space="preserve">Allowed: €0 to €100,000</t>
  </si>
  <si>
    <t xml:space="preserve">Statement date</t>
  </si>
  <si>
    <t xml:space="preserve">date</t>
  </si>
  <si>
    <t xml:space="preserve">Allowed: a date (dd/mm/yyyy)</t>
  </si>
  <si>
    <t xml:space="preserve">OR TYPE IT YOURSELF</t>
  </si>
  <si>
    <t xml:space="preserve">Mortgage amount</t>
  </si>
  <si>
    <t xml:space="preserve">Type 3 · your figure · Your own figure. In the app it is pre-filled from Your finances / mortgage statement: balance. Allowed: €50,000 to €10,000,000 · steps of €1,000</t>
  </si>
  <si>
    <t xml:space="preserve">Type 2 · range · Usually between 3.5% and 4.5% a year for new Irish mortgages (Central Bank retail interest rates: new mortgages averaged 3.49% in June 2026). In the app it is pre-filled from Your finances / mortgage statement: rate. Enter your own figure. Allowed: 1% to 8% · steps of 0.05%</t>
  </si>
  <si>
    <t xml:space="preserve">Term</t>
  </si>
  <si>
    <t xml:space="preserve">Type 3 · your figure · Your own figure. In the app it is pre-filled from Years left (25 if not given). Allowed: 5 to 35 · steps of 1</t>
  </si>
  <si>
    <t xml:space="preserve">Your actual monthly repayment (optional, 0 = work it out)</t>
  </si>
  <si>
    <t xml:space="preserve">Type 3 · optional · Optional: leave blank for none. Allowed: €0 to €100,000 · steps of €1</t>
  </si>
  <si>
    <t xml:space="preserve">What if: rates change by</t>
  </si>
  <si>
    <t xml:space="preserve">Type 3 · optional · Optional: leave blank for none. Allowed: -2% to 3% · steps of 0.25%</t>
  </si>
  <si>
    <t xml:space="preserve">FIGURE USED (statement figure if present, else your figure)</t>
  </si>
  <si>
    <t xml:space="preserve">ƒx  =IF(ISBLANK(Stmt_Balance),Loan_Amount,Stmt_Balance)</t>
  </si>
  <si>
    <t xml:space="preserve">ƒx  =IF(ISBLANK(Stmt_Rate),Interest_Rate,Stmt_Rate)</t>
  </si>
  <si>
    <t xml:space="preserve">ƒx  =IF(ISBLANK(Stmt_Term),Term_Years,Stmt_Term)</t>
  </si>
  <si>
    <t xml:space="preserve">Actual monthly repayment (0 = work it out)</t>
  </si>
  <si>
    <t xml:space="preserve">ƒx  =IF(ISBLANK(Stmt_Repayment),Actual_Repayment,Stmt_Repayment)</t>
  </si>
  <si>
    <t xml:space="preserve">Statement date check</t>
  </si>
  <si>
    <t xml:space="preserve">ƒx  =IF(ISBLANK(Stmt_Statement_Date),"",IF(TODAY()-Stmt_Statement_Date&gt;Statement_Max_Age_Days,"Needs a look: statement is more than 12 months old","Up to date"))</t>
  </si>
  <si>
    <t xml:space="preserve">ƒx  =IF(Used_Actual_Repayment&gt;0,Used_Actual_Repayment,Formula_Repayment)</t>
  </si>
  <si>
    <t xml:space="preserve">Mortgage free in (months)</t>
  </si>
  <si>
    <t xml:space="preserve">ƒx  =IF(Monthly_Repayment&lt;=Used_Loan_Amount*Monthly_Rate,"Never",ROUNDUP(ROUND(NPER(Monthly_Rate,-Monthly_Repayment,Used_Loan_Amount),6),0))</t>
  </si>
  <si>
    <t xml:space="preserve">Total interest</t>
  </si>
  <si>
    <t xml:space="preserve">ƒx  =IF(Months_To_Pay="Never","—",Monthly_Repayment*(Months_To_Pay-1)+Final_Payment-Used_Loan_Amount)</t>
  </si>
  <si>
    <t xml:space="preserve">Total repaid</t>
  </si>
  <si>
    <t xml:space="preserve">ƒx  =IF(Months_To_Pay="Never","—",Used_Loan_Amount+Total_Interest)</t>
  </si>
  <si>
    <t xml:space="preserve">Monthly interest rate</t>
  </si>
  <si>
    <t xml:space="preserve">ƒx  =Used_Interest_Rate/12</t>
  </si>
  <si>
    <t xml:space="preserve">Repayment by formula (standard annuity)</t>
  </si>
  <si>
    <t xml:space="preserve">ƒx  =PMT(Monthly_Rate,Used_Term_Years*12,-Used_Loan_Amount)</t>
  </si>
  <si>
    <t xml:space="preserve">Last (part) payment</t>
  </si>
  <si>
    <t xml:space="preserve">ƒx  =IF(Months_To_Pay="Never","—",-FV(Monthly_Rate,Months_To_Pay-1,-Monthly_Repayment,Used_Loan_Amount)*(1+Monthly_Rate))      (balance left before the last month, plus that month's interest)</t>
  </si>
  <si>
    <t xml:space="preserve">What if: new rate (never below 0%)</t>
  </si>
  <si>
    <t xml:space="preserve">ƒx  =MAX(0,Used_Interest_Rate+Rate_Change)</t>
  </si>
  <si>
    <t xml:space="preserve">What if: monthly repayment</t>
  </si>
  <si>
    <t xml:space="preserve">ƒx  =Monthly_Repayment+PMT(New_Rate/12,Used_Term_Years*12,-Used_Loan_Amount)-Formula_Repayment</t>
  </si>
  <si>
    <t xml:space="preserve">What if: change over a year</t>
  </si>
  <si>
    <t xml:space="preserve">ƒx  =(Repayment_If_Changed-Monthly_Repayment)*12</t>
  </si>
  <si>
    <t xml:space="preserve">• Repayment = PMT(rate ÷ 12, years × 12, −amount), the standard repayment-mortgage formula; your stated repayment replaces it if you give one.</t>
  </si>
  <si>
    <t xml:space="preserve">• Months to pay off = NPER(rate ÷ 12, −repayment, amount), rounded up. Total interest = all full payments + the last part payment − the amount (exact, as a lender's schedule).</t>
  </si>
  <si>
    <t xml:space="preserve">• What if: the stated repayment moves by the same amount as the formula repayment would: repayment + PMT(new rate) − PMT(current rate). The new rate is floored at 0%.</t>
  </si>
  <si>
    <t xml:space="preserve">• If the payment is at or below the first month's interest the balance never falls: show "Never at this repayment" and leave total interest blank ("—").</t>
  </si>
  <si>
    <t xml:space="preserve">• More than 1,200 months (100 years) is shown as "Over 100 years"; the exact month count is still calculated (no loop cap).</t>
  </si>
  <si>
    <t xml:space="preserve">• NPER is rounded to 6 decimals before rounding up, so a repayment that exactly fits the term ends on the term (floating-point noise would otherwise add a month).</t>
  </si>
  <si>
    <t xml:space="preserve">Amount (today's money): the deposit for this loan</t>
  </si>
  <si>
    <t xml:space="preserve">ƒx  =ROUND(Used_Loan_Amount*(1-LTV_Max)/LTV_Max,0)</t>
  </si>
  <si>
    <t xml:space="preserve">Audit fix: the mortgage amount itself is borrowing, not a savings goal, so only the deposit (loan ÷ 9 at 90% LTV) is sent.</t>
  </si>
  <si>
    <t xml:space="preserve">Needs: Used_Actual_Repayment, Used_Interest_Rate, Used_Loan_Amount, Used_Term_Years</t>
  </si>
  <si>
    <t xml:space="preserve">Needs: Used_Interest_Rate</t>
  </si>
  <si>
    <t xml:space="preserve">Needs: Used_Interest_Rate, Used_Loan_Amount, Used_Term_Years</t>
  </si>
  <si>
    <t xml:space="preserve">Needs: Used_Loan_Amount</t>
  </si>
  <si>
    <t xml:space="preserve">C03 · Deposit calculator</t>
  </si>
  <si>
    <t xml:space="preserve">Category: Home &amp; Mortgage · prototype id: deposit</t>
  </si>
  <si>
    <t xml:space="preserve">Question it answers: How long until I have my deposit?</t>
  </si>
  <si>
    <t xml:space="preserve">Works out the deposit, stamp duty and fees you need and how many months of saving it takes.</t>
  </si>
  <si>
    <t xml:space="preserve">Home price</t>
  </si>
  <si>
    <t xml:space="preserve">Type 3 · your figure · Your own figure. Allowed: €100,000 to €10,000,000 · steps of €5,000</t>
  </si>
  <si>
    <t xml:space="preserve">Deposit needed</t>
  </si>
  <si>
    <t xml:space="preserve">Type 3 · your figure · Your own figure. Allowed: 10% to 30% · steps of 1% · the Central Bank minimum is 10% (90% LTV)</t>
  </si>
  <si>
    <t xml:space="preserve">Saved so far</t>
  </si>
  <si>
    <t xml:space="preserve">Type 3 · your figure · Your own figure. In the app it is pre-filled from Plan: home goal's amount saved. Allowed: €0 to €2,000,000 · steps of €500</t>
  </si>
  <si>
    <t xml:space="preserve">Monthly saving</t>
  </si>
  <si>
    <t xml:space="preserve">Type 3 · your figure · Your own figure. Allowed: €50 to €50,000 · steps of €50</t>
  </si>
  <si>
    <t xml:space="preserve">What if: save extra each month</t>
  </si>
  <si>
    <t xml:space="preserve">Type 3 · optional · Optional: leave blank for none. Allowed: €0 to €15,000 · steps of €50</t>
  </si>
  <si>
    <t xml:space="preserve">Time to your deposit (months)</t>
  </si>
  <si>
    <t xml:space="preserve">ƒx  =IF(Still_To_Save=0,0,ROUNDUP(Still_To_Save/(Monthly_Saving+Extra_Saving),0))</t>
  </si>
  <si>
    <t xml:space="preserve">Total you need (deposit + stamp duty + fees)</t>
  </si>
  <si>
    <t xml:space="preserve">ƒx  =Deposit_Needed+Stamp_Duty+Buying_Fees</t>
  </si>
  <si>
    <t xml:space="preserve">Still to save</t>
  </si>
  <si>
    <t xml:space="preserve">ƒx  =MAX(0,Total_Needed-Saved)</t>
  </si>
  <si>
    <t xml:space="preserve">Deposit</t>
  </si>
  <si>
    <t xml:space="preserve">ƒx  =Home_Price*Deposit_Pct</t>
  </si>
  <si>
    <t xml:space="preserve">Stamp duty</t>
  </si>
  <si>
    <t xml:space="preserve">• Deposit = price × deposit %. Stamp duty = 1% up to €1m, 2% on €1m–€1.5m, 6% above. Total = deposit + stamp duty + fees.</t>
  </si>
  <si>
    <t xml:space="preserve">• Months = still to save ÷ monthly saving (incl. the what-if extra), rounded up. No interest and no house-price growth are assumed.</t>
  </si>
  <si>
    <t xml:space="preserve">• Deposit % starts at 10%, the Central Bank minimum (90% loan-to-value).</t>
  </si>
  <si>
    <t xml:space="preserve">• Nothing left to save shows "You have your deposit".</t>
  </si>
  <si>
    <t xml:space="preserve">• Monthly saving must be at least €50, so there is no divide by zero.</t>
  </si>
  <si>
    <t xml:space="preserve">ƒx  ="Home deposit"</t>
  </si>
  <si>
    <t xml:space="preserve">Amount (today's money): deposit + stamp duty + fees</t>
  </si>
  <si>
    <t xml:space="preserve">ƒx  =ROUND(Total_Needed,0)</t>
  </si>
  <si>
    <t xml:space="preserve">ƒx  =Saved</t>
  </si>
  <si>
    <t xml:space="preserve">ƒx  =MAX(1,ROUNDUP(Months_To_Deposit/12,0))</t>
  </si>
  <si>
    <t xml:space="preserve">Needs: buying fees, deposit %, home price, monthly saving, saved so far</t>
  </si>
  <si>
    <t xml:space="preserve">Needs: buying fees, deposit %, home price</t>
  </si>
  <si>
    <t xml:space="preserve">Needs: buying fees, deposit %, home price, saved so far</t>
  </si>
  <si>
    <t xml:space="preserve">Needs: deposit %, home price</t>
  </si>
  <si>
    <t xml:space="preserve">Needs: home price</t>
  </si>
  <si>
    <t xml:space="preserve">Needs: saved so far</t>
  </si>
  <si>
    <t xml:space="preserve">C04 · Mortgage overpayment</t>
  </si>
  <si>
    <t xml:space="preserve">Category: Home &amp; Mortgage · prototype id: overpay</t>
  </si>
  <si>
    <t xml:space="preserve">Question it answers: What if I paid a little extra each month?</t>
  </si>
  <si>
    <t xml:space="preserve">Compares paying off the mortgage at your repayment with paying a little extra each month: time and interest saved.</t>
  </si>
  <si>
    <t xml:space="preserve">Mortgage balance</t>
  </si>
  <si>
    <t xml:space="preserve">Type 3 · your figure · Your own figure. In the app it is pre-filled from Your finances / statement: balance. Allowed: €20,000 to €10,000,000 · steps of €1,000</t>
  </si>
  <si>
    <t xml:space="preserve">Type 2 · range · Usually between 3.5% and 4.5% a year for new Irish mortgages (Central Bank retail interest rates: new mortgages averaged 3.49% in June 2026). In the app it is pre-filled from Your finances / statement: rate. Enter your own figure. Allowed: 1% to 8% · steps of 0.05%</t>
  </si>
  <si>
    <t xml:space="preserve">Years left</t>
  </si>
  <si>
    <t xml:space="preserve">Type 3 · your figure · Your own figure. In the app it is pre-filled from Years left (25 if not given). Allowed: 3 to 35 · steps of 1</t>
  </si>
  <si>
    <t xml:space="preserve">Extra each month</t>
  </si>
  <si>
    <t xml:space="preserve">Type 3 · your figure · Your own figure. Allowed: €0 to €20,000 · steps of €25</t>
  </si>
  <si>
    <t xml:space="preserve">ƒx  =IF(ISBLANK(Stmt_Balance),Mortgage_Balance,Stmt_Balance)</t>
  </si>
  <si>
    <t xml:space="preserve">ƒx  =IF(ISBLANK(Stmt_Term),Years_Left,Stmt_Term)</t>
  </si>
  <si>
    <t xml:space="preserve">Mortgage free sooner by (months)</t>
  </si>
  <si>
    <t xml:space="preserve">ƒx  =IF(OR(Months_Now="Never",Months_With_Extra="Never"),"—",Months_Now-Months_With_Extra)</t>
  </si>
  <si>
    <t xml:space="preserve">Interest saved</t>
  </si>
  <si>
    <t xml:space="preserve">ƒx  =IF(OR(Months_Now="Never",Months_With_Extra="Never"),"—",Interest_Now-Interest_With_Extra)</t>
  </si>
  <si>
    <t xml:space="preserve">Mortgage free now in (months)</t>
  </si>
  <si>
    <t xml:space="preserve">ƒx  =IF(Repayment_Now&lt;=Used_Mortgage_Balance*Monthly_Rate,"Never",ROUNDUP(ROUND(NPER(Monthly_Rate,-Repayment_Now,Used_Mortgage_Balance),6),0))</t>
  </si>
  <si>
    <t xml:space="preserve">With the extra (months)</t>
  </si>
  <si>
    <t xml:space="preserve">ƒx  =IF(Repayment_With_Extra&lt;=Used_Mortgage_Balance*Monthly_Rate,"Never",ROUNDUP(ROUND(NPER(Monthly_Rate,-Repayment_With_Extra,Used_Mortgage_Balance),6),0))</t>
  </si>
  <si>
    <t xml:space="preserve">Repayment now</t>
  </si>
  <si>
    <t xml:space="preserve">ƒx  =IF(Used_Actual_Repayment&gt;0,Used_Actual_Repayment,PMT(Monthly_Rate,Used_Years_Left*12,-Used_Mortgage_Balance))</t>
  </si>
  <si>
    <t xml:space="preserve">Repayment with the extra</t>
  </si>
  <si>
    <t xml:space="preserve">ƒx  =Repayment_Now+Extra_Payment</t>
  </si>
  <si>
    <t xml:space="preserve">Last (part) payment now</t>
  </si>
  <si>
    <t xml:space="preserve">ƒx  =IF(Months_Now="Never","—",-FV(Monthly_Rate,Months_Now-1,-Repayment_Now,Used_Mortgage_Balance)*(1+Monthly_Rate))</t>
  </si>
  <si>
    <t xml:space="preserve">Last (part) payment with the extra</t>
  </si>
  <si>
    <t xml:space="preserve">ƒx  =IF(Months_With_Extra="Never","—",-FV(Monthly_Rate,Months_With_Extra-1,-Repayment_With_Extra,Used_Mortgage_Balance)*(1+Monthly_Rate))</t>
  </si>
  <si>
    <t xml:space="preserve">Total interest now</t>
  </si>
  <si>
    <t xml:space="preserve">ƒx  =IF(Months_Now="Never","—",Repayment_Now*(Months_Now-1)+Last_Payment_Now-Used_Mortgage_Balance)</t>
  </si>
  <si>
    <t xml:space="preserve">Total interest with the extra</t>
  </si>
  <si>
    <t xml:space="preserve">ƒx  =IF(Months_With_Extra="Never","—",Repayment_With_Extra*(Months_With_Extra-1)+Last_Payment_With_Extra-Used_Mortgage_Balance)</t>
  </si>
  <si>
    <t xml:space="preserve">• Months to pay off = NPER(rate ÷ 12, −repayment, balance), rounded up, worked out twice: at your repayment and at repayment + extra.</t>
  </si>
  <si>
    <t xml:space="preserve">• Total interest = full payments + last part payment − balance. Interest saved = interest now − interest with the extra. Sooner by = the difference in months.</t>
  </si>
  <si>
    <t xml:space="preserve">• If your repayment never clears the mortgage: "Not at this repayment", and "—" for sooner by and interest saved (no negative saving).</t>
  </si>
  <si>
    <t xml:space="preserve">• If even the extra does not clear it: "—" for "With the extra" and no goal is sent.</t>
  </si>
  <si>
    <t xml:space="preserve">• A difference of 0 months reads "No change".</t>
  </si>
  <si>
    <t xml:space="preserve">ƒx  =IF(Months_With_Extra="Never","No goal","Mortgage free (plan kind mfree, priced from your mortgage; no cash amount)")</t>
  </si>
  <si>
    <t xml:space="preserve">ƒx  =IF(Months_With_Extra="Never","—",ROUNDUP(Months_With_Extra/12,0))</t>
  </si>
  <si>
    <t xml:space="preserve">Audit fix: the old goal sent today's balance as a cash spend at the payoff year (a double count). The plan should also raise its mortgage repayment by the extra.</t>
  </si>
  <si>
    <t xml:space="preserve">Needs: extra each month, Used_Actual_Repayment, Used_Interest_Rate, Used_Mortgage_Balance, Used_Years_Left</t>
  </si>
  <si>
    <t xml:space="preserve">Needs: Used_Actual_Repayment, Used_Interest_Rate, Used_Mortgage_Balance, Used_Years_Left</t>
  </si>
  <si>
    <t xml:space="preserve">C05 · Interest-rate impact</t>
  </si>
  <si>
    <t xml:space="preserve">Category: Home &amp; Mortgage · prototype id: ratechange</t>
  </si>
  <si>
    <t xml:space="preserve">Question it answers: What if my mortgage rate changed?</t>
  </si>
  <si>
    <t xml:space="preserve">Shows how much your monthly repayment changes if your mortgage rate goes up or down.</t>
  </si>
  <si>
    <t xml:space="preserve">Type 3 · your figure · Your own figure. In the app it is pre-filled from Your finances / statement: balance. Allowed: €50,000 to €10,000,000 · steps of €1,000</t>
  </si>
  <si>
    <t xml:space="preserve">Current rate</t>
  </si>
  <si>
    <t xml:space="preserve">Rate change</t>
  </si>
  <si>
    <t xml:space="preserve">Type 3 · your figure · Your own figure. Allowed: -2% to 3% · steps of 0.25%</t>
  </si>
  <si>
    <t xml:space="preserve">ƒx  =IF(ISBLANK(Stmt_Rate),Current_Rate,Stmt_Rate)</t>
  </si>
  <si>
    <t xml:space="preserve">Monthly change</t>
  </si>
  <si>
    <t xml:space="preserve">ƒx  =Repayment_After-Repayment_Now</t>
  </si>
  <si>
    <t xml:space="preserve">ƒx  =IF(Used_Actual_Repayment&gt;0,Used_Actual_Repayment,Formula_Now)</t>
  </si>
  <si>
    <t xml:space="preserve">Repayment after the change</t>
  </si>
  <si>
    <t xml:space="preserve">ƒx  =Repayment_Now+PMT(New_Rate/12,Used_Years_Left*12,-Used_Mortgage_Balance)-Formula_Now</t>
  </si>
  <si>
    <t xml:space="preserve">Change over a year</t>
  </si>
  <si>
    <t xml:space="preserve">ƒx  =Monthly_Change*12</t>
  </si>
  <si>
    <t xml:space="preserve">Repayment now by formula</t>
  </si>
  <si>
    <t xml:space="preserve">ƒx  =PMT(Used_Current_Rate/12,Used_Years_Left*12,-Used_Mortgage_Balance)</t>
  </si>
  <si>
    <t xml:space="preserve">New rate (never below 0%)</t>
  </si>
  <si>
    <t xml:space="preserve">ƒx  =MAX(0,Used_Current_Rate+Rate_Change)</t>
  </si>
  <si>
    <t xml:space="preserve">• Repayment = PMT(rate ÷ 12, years left × 12, −balance) at the current and the new rate.</t>
  </si>
  <si>
    <t xml:space="preserve">• The change is the difference between the two; a stated repayment moves by the same amount.</t>
  </si>
  <si>
    <t xml:space="preserve">• The new rate is floored at 0% (Irish mortgages have not had negative rates).</t>
  </si>
  <si>
    <t xml:space="preserve">ƒx  ="No goal"</t>
  </si>
  <si>
    <t xml:space="preserve">Needs: rate change, Used_Actual_Repayment, Used_Current_Rate, Used_Mortgage_Balance, Used_Years_Left</t>
  </si>
  <si>
    <t xml:space="preserve">Needs: Used_Actual_Repayment, Used_Current_Rate, Used_Mortgage_Balance, Used_Years_Left</t>
  </si>
  <si>
    <t xml:space="preserve">Needs: Used_Current_Rate, Used_Mortgage_Balance, Used_Years_Left</t>
  </si>
  <si>
    <t xml:space="preserve">Needs: rate change, Used_Current_Rate</t>
  </si>
  <si>
    <t xml:space="preserve">C06 · Mortgage term comparison</t>
  </si>
  <si>
    <t xml:space="preserve">Category: Home &amp; Mortgage · prototype id: term</t>
  </si>
  <si>
    <t xml:space="preserve">Question it answers: Shorter or longer term: what is the trade-off?</t>
  </si>
  <si>
    <t xml:space="preserve">Compares two mortgage terms: the monthly repayment and the total interest of each.</t>
  </si>
  <si>
    <t xml:space="preserve">Term A</t>
  </si>
  <si>
    <t xml:space="preserve">Term B</t>
  </si>
  <si>
    <t xml:space="preserve">Type 3 · your figure · Your own figure. Allowed: 5 to 35 · steps of 1</t>
  </si>
  <si>
    <t xml:space="preserve">ƒx  =IF(ISBLANK(Stmt_Term),Term_A,Stmt_Term)</t>
  </si>
  <si>
    <t xml:space="preserve">Interest difference</t>
  </si>
  <si>
    <t xml:space="preserve">ƒx  =ABS(Interest_B-Interest_A)</t>
  </si>
  <si>
    <t xml:space="preserve">Term A: monthly repayment</t>
  </si>
  <si>
    <t xml:space="preserve">ƒx  =PMT(Used_Interest_Rate/12,Used_Term_A*12,-Used_Loan_Amount)</t>
  </si>
  <si>
    <t xml:space="preserve">Term B: monthly repayment</t>
  </si>
  <si>
    <t xml:space="preserve">ƒx  =PMT(Used_Interest_Rate/12,Term_B*12,-Used_Loan_Amount)</t>
  </si>
  <si>
    <t xml:space="preserve">Term A: total interest</t>
  </si>
  <si>
    <t xml:space="preserve">ƒx  =Monthly_A*Used_Term_A*12-Used_Loan_Amount</t>
  </si>
  <si>
    <t xml:space="preserve">Term B: total interest</t>
  </si>
  <si>
    <t xml:space="preserve">ƒx  =Monthly_B*Term_B*12-Used_Loan_Amount</t>
  </si>
  <si>
    <t xml:space="preserve">• Monthly = PMT(rate ÷ 12, term × 12, −amount) for each term.</t>
  </si>
  <si>
    <t xml:space="preserve">• Total interest = monthly × months − amount.</t>
  </si>
  <si>
    <t xml:space="preserve">• Equal terms show "Both terms are the same."</t>
  </si>
  <si>
    <t xml:space="preserve">Needs: term B, Used_Interest_Rate, Used_Loan_Amount, Used_Term_A</t>
  </si>
  <si>
    <t xml:space="preserve">Needs: Used_Interest_Rate, Used_Loan_Amount, Used_Term_A</t>
  </si>
  <si>
    <t xml:space="preserve">Needs: term B, Used_Interest_Rate, Used_Loan_Amount</t>
  </si>
  <si>
    <t xml:space="preserve">C07 · Rent vs buy</t>
  </si>
  <si>
    <t xml:space="preserve">Category: Home &amp; Mortgage · prototype id: rentbuy</t>
  </si>
  <si>
    <t xml:space="preserve">Question it answers: How do renting and buying compare over time?</t>
  </si>
  <si>
    <t xml:space="preserve">Compares rent paid with the costs of buying that do not build equity (interest, upkeep, stamp duty, fees and what the deposit could have earned), and the equity you would build.</t>
  </si>
  <si>
    <t xml:space="preserve">Monthly rent</t>
  </si>
  <si>
    <t xml:space="preserve">Type 3 · your figure · Your own figure. Allowed: €500 to €50,000 · steps of €50</t>
  </si>
  <si>
    <t xml:space="preserve">Type 3 · your figure · Your own figure. Allowed: at least 10% of the price and no more than the price</t>
  </si>
  <si>
    <t xml:space="preserve">Mortgage rate</t>
  </si>
  <si>
    <t xml:space="preserve">Years to compare</t>
  </si>
  <si>
    <t xml:space="preserve">House prices rise a year</t>
  </si>
  <si>
    <t xml:space="preserve">Type 3 · your choice · Generally the standard is 2% a year, in line with long-run inflation (house prices can fall as well as rise). Choose what you want to use. Allowed: 0% to 6% · steps of 0.5%</t>
  </si>
  <si>
    <t xml:space="preserve">Rent rises a year</t>
  </si>
  <si>
    <t xml:space="preserve">Type 3 · your choice · Generally the standard is 3% a year (Irish rents have risen faster than prices in recent years). Choose what you want to use. Allowed: 0% to 8% · steps of 0.5%</t>
  </si>
  <si>
    <t xml:space="preserve">Upkeep a year, % of the home's value</t>
  </si>
  <si>
    <t xml:space="preserve">Type 3 · your choice · Generally the standard is 1% of the home's value a year for repairs, insurance and maintenance. Choose what you want to use. Allowed: 0% to 3% · steps of 0.1%</t>
  </si>
  <si>
    <t xml:space="preserve">What the deposit could earn a year (after tax)</t>
  </si>
  <si>
    <t xml:space="preserve">Type 2 · range · Usually between about 1.3% and 1.5% a year after 33% DIRT (fixed-term deposits paid about 2%–2.3% before tax in mid-2026). Enter your own figure. Allowed: 0% to 6% · steps of 0.5%</t>
  </si>
  <si>
    <t xml:space="preserve">Home equity after the years</t>
  </si>
  <si>
    <t xml:space="preserve">ƒx  =Home_Value-Balance_After</t>
  </si>
  <si>
    <t xml:space="preserve">Rent paid (rising each year)</t>
  </si>
  <si>
    <t xml:space="preserve">ƒx  =IF(Rent_Growth=0,Monthly_Rent*12*Years,Monthly_Rent*12*((1+Rent_Growth)^Years-1)/Rent_Growth)</t>
  </si>
  <si>
    <t xml:space="preserve">Buying costs that don't build equity</t>
  </si>
  <si>
    <t xml:space="preserve">ƒx  =Interest_Paid+Upkeep+Stamp_Duty+Buying_Fees+Opportunity_Cost</t>
  </si>
  <si>
    <t xml:space="preserve">Home value</t>
  </si>
  <si>
    <t xml:space="preserve">ƒx  =Home_Price*(1+House_Growth)^Years</t>
  </si>
  <si>
    <t xml:space="preserve">Mortgage</t>
  </si>
  <si>
    <t xml:space="preserve">ƒx  =MAX(0,Home_Price-Deposit)</t>
  </si>
  <si>
    <t xml:space="preserve">ƒx  =PMT(Mortgage_Rate/12,RentBuy_Term*12,-Loan)</t>
  </si>
  <si>
    <t xml:space="preserve">Mortgage left after the years</t>
  </si>
  <si>
    <t xml:space="preserve">ƒx  =MAX(0,-FV(Mortgage_Rate/12,MIN(Years,RentBuy_Term)*12,-Monthly_Repayment,Loan))</t>
  </si>
  <si>
    <t xml:space="preserve">Interest paid over the years</t>
  </si>
  <si>
    <t xml:space="preserve">ƒx  =Monthly_Repayment*MIN(Years,RentBuy_Term)*12-(Loan-Balance_After)</t>
  </si>
  <si>
    <t xml:space="preserve">Upkeep (on the home's value each year)</t>
  </si>
  <si>
    <t xml:space="preserve">ƒx  =IF(House_Growth=0,Home_Price*Upkeep_Rate*Years,Home_Price*Upkeep_Rate*((1+House_Growth)^Years-1)/House_Growth)</t>
  </si>
  <si>
    <t xml:space="preserve">What the deposit could have earned</t>
  </si>
  <si>
    <t xml:space="preserve">ƒx  =Deposit*((1+Opp_Rate)^Years-1)</t>
  </si>
  <si>
    <t xml:space="preserve">• Mortgage = price − deposit: repayment = PMT(rate ÷ 12, term × 12, −mortgage). Balance after the years = −FV(rate ÷ 12, months, −repayment, mortgage). Interest = repayments − capital repaid.</t>
  </si>
  <si>
    <t xml:space="preserve">• Rent rises each year: rent paid = monthly rent × 12 × ((1 + rise)^years − 1) ÷ rise. Upkeep is a % of the home's value each year, which rises with house prices.</t>
  </si>
  <si>
    <t xml:space="preserve">• Buying costs that don't build equity = interest + upkeep + stamp duty + fees + what the deposit could have earned. Home value = price × (1 + growth)^years; equity = value − balance.</t>
  </si>
  <si>
    <t xml:space="preserve">• The deposit must be between 10% of the price (Central Bank LTV) and the price itself; the mortgage is never negative.</t>
  </si>
  <si>
    <t xml:space="preserve">• Comparing for longer than the term: the balance is 0 after the term and no further interest is paid. Local Property Tax and insurance are not included.</t>
  </si>
  <si>
    <t xml:space="preserve">ƒx  =ROUND(Deposit+Stamp_Duty+Buying_Fees,0)</t>
  </si>
  <si>
    <t xml:space="preserve">Needs: deposit, home price, house price growth, mortgage rate, mortgage term, years to compare</t>
  </si>
  <si>
    <t xml:space="preserve">Needs: monthly rent, rent rise, years to compare</t>
  </si>
  <si>
    <t xml:space="preserve">Needs: buying fees, deposit, home price, house price growth, mortgage rate, deposit earnings rate, mortgage term, upkeep rate, years to compare</t>
  </si>
  <si>
    <t xml:space="preserve">Needs: home price, house price growth, years to compare</t>
  </si>
  <si>
    <t xml:space="preserve">Needs: deposit, home price</t>
  </si>
  <si>
    <t xml:space="preserve">Needs: deposit, home price, mortgage rate, mortgage term</t>
  </si>
  <si>
    <t xml:space="preserve">Needs: deposit, home price, mortgage rate, mortgage term, years to compare</t>
  </si>
  <si>
    <t xml:space="preserve">Needs: home price, house price growth, upkeep rate, years to compare</t>
  </si>
  <si>
    <t xml:space="preserve">Needs: deposit, deposit earnings rate, years to compare</t>
  </si>
  <si>
    <t xml:space="preserve">Needs: buying fees, deposit, home price</t>
  </si>
  <si>
    <t xml:space="preserve">C08 · Goal planner</t>
  </si>
  <si>
    <t xml:space="preserve">Category: Savings &amp; Goals · prototype id: goalplanner</t>
  </si>
  <si>
    <t xml:space="preserve">Question it answers: How much a month to reach my goal?</t>
  </si>
  <si>
    <t xml:space="preserve">Works out how much to save each month to reach a goal, allowing for prices rising and growth on your savings.</t>
  </si>
  <si>
    <t xml:space="preserve">YOUR INFLATION CHOICE</t>
  </si>
  <si>
    <t xml:space="preserve">Inflation you expect (your choice)</t>
  </si>
  <si>
    <t xml:space="preserve">Type 3 · your choice · Generally the standard is 2% a year (ECB target); Ireland's prices are rising 3.9% now (CSO HICP flash, Sep 2026). Choose what you want to use. Allowed: 0% to 10% · steps of 0.25%</t>
  </si>
  <si>
    <t xml:space="preserve">Everyone sees this differently. Ireland's prices are rising 3.9% now (CSO HICP flash, Sep 2026), mostly because of energy. Over decades, 2%–2.5% is the usual planning range (ECB target 2%). Enter 0% if you don't want to adjust for prices.</t>
  </si>
  <si>
    <t xml:space="preserve">Goal amount (today's prices)</t>
  </si>
  <si>
    <t xml:space="preserve">Type 3 · your figure · Your own figure. Allowed: €500 to €5,000,000 · steps of €500</t>
  </si>
  <si>
    <t xml:space="preserve">Years until the goal</t>
  </si>
  <si>
    <t xml:space="preserve">Type 3 · your figure · Your own figure. Allowed: €0 to €2,000,000 · steps of €500</t>
  </si>
  <si>
    <t xml:space="preserve">Growth / interest a year (after tax)</t>
  </si>
  <si>
    <t xml:space="preserve">Type 3 · your choice · Generally the standard is 1% a year after DIRT for cash savings (Irish fixed-term deposits about 2% before tax in mid-2026). Choose what you want to use. Allowed: 0% to 7% · steps of 0.5%</t>
  </si>
  <si>
    <t xml:space="preserve">Monthly amount to save</t>
  </si>
  <si>
    <t xml:space="preserve">ƒx  =IF(Inflation_Choice="","Choose your inflation rate to see this",PMT(Monthly_Growth,Years*12,0,-Still_Needed))</t>
  </si>
  <si>
    <t xml:space="preserve">Goal will cost about (in the goal year)</t>
  </si>
  <si>
    <t xml:space="preserve">ƒx  =IF(Inflation_Choice="","Choose your inflation rate to see this",Goal_Amount*(1+Inflation_Choice)^Years)</t>
  </si>
  <si>
    <t xml:space="preserve">Your savings grow to</t>
  </si>
  <si>
    <t xml:space="preserve">ƒx  =Saved*(1+Growth_Rate)^Years</t>
  </si>
  <si>
    <t xml:space="preserve">Still needed at the goal year</t>
  </si>
  <si>
    <t xml:space="preserve">ƒx  =IF(Inflation_Choice="","Choose your inflation rate to see this",MAX(0,Future_Cost-Saved_Grows_To))</t>
  </si>
  <si>
    <t xml:space="preserve">Monthly growth rate</t>
  </si>
  <si>
    <t xml:space="preserve">ƒx  =(1+Growth_Rate)^(1/12)-1</t>
  </si>
  <si>
    <t xml:space="preserve">• Future cost = goal × (1 + inflation)^years. Savings already put aside grow at the growth rate.</t>
  </si>
  <si>
    <t xml:space="preserve">• Monthly saving = PMT(monthly growth, months, 0, −still needed): the level end-of-month saving that grows to what is still needed.</t>
  </si>
  <si>
    <t xml:space="preserve">• Monthly growth = (1 + yearly growth)^(1/12) − 1, the monthly rate equal to the yearly rate.</t>
  </si>
  <si>
    <t xml:space="preserve">• If savings already cover the goal the monthly amount is €0.</t>
  </si>
  <si>
    <t xml:space="preserve">• Inflation is always applied (Assumptions). With 0% growth PMT gives still needed ÷ months.</t>
  </si>
  <si>
    <t xml:space="preserve">ƒx  ="My goal (spend goal)"</t>
  </si>
  <si>
    <t xml:space="preserve">Amount (today's prices)</t>
  </si>
  <si>
    <t xml:space="preserve">ƒx  =Goal_Amount</t>
  </si>
  <si>
    <t xml:space="preserve">ƒx  =Years</t>
  </si>
  <si>
    <t xml:space="preserve">Inflation for the plan (your choice)</t>
  </si>
  <si>
    <t xml:space="preserve">ƒx  =IF(Inflation_Choice="","Choose an inflation rate first",Inflation_Choice)</t>
  </si>
  <si>
    <t xml:space="preserve">Needs: goal amount, growth rate, inflation rate, already saved, years until the goal</t>
  </si>
  <si>
    <t xml:space="preserve">Needs: goal amount, inflation rate, years until the goal</t>
  </si>
  <si>
    <t xml:space="preserve">Needs: growth rate, already saved, years until the goal</t>
  </si>
  <si>
    <t xml:space="preserve">Needs: growth rate</t>
  </si>
  <si>
    <t xml:space="preserve">Needs: goal amount</t>
  </si>
  <si>
    <t xml:space="preserve">Needs: already saved</t>
  </si>
  <si>
    <t xml:space="preserve">Needs: years until the goal</t>
  </si>
  <si>
    <t xml:space="preserve">C09 · Compound growth</t>
  </si>
  <si>
    <t xml:space="preserve">Category: Savings &amp; Goals · prototype id: compound</t>
  </si>
  <si>
    <t xml:space="preserve">Question it answers: What could regular saving grow into?</t>
  </si>
  <si>
    <t xml:space="preserve">Shows what a starting amount plus regular monthly saving could grow to, and what that is worth in today's money.</t>
  </si>
  <si>
    <t xml:space="preserve">Starting amount</t>
  </si>
  <si>
    <t xml:space="preserve">Monthly addition</t>
  </si>
  <si>
    <t xml:space="preserve">Type 3 · your figure · Your own figure. Allowed: €0 to €30,000 · steps of €25</t>
  </si>
  <si>
    <t xml:space="preserve">Growth rate a year</t>
  </si>
  <si>
    <t xml:space="preserve">Type 3 · your choice · Generally the standard is 5% a year before charges and tax for a mixed fund (long-run 5%–6% a year; Irish rules audit B3). Choose what you want to use. Allowed: 0% to 8% · steps of 0.5%</t>
  </si>
  <si>
    <t xml:space="preserve">Years</t>
  </si>
  <si>
    <t xml:space="preserve">Type 3 · your figure · Your own figure. Allowed: 1 to 40 · steps of 1</t>
  </si>
  <si>
    <t xml:space="preserve">Could grow to</t>
  </si>
  <si>
    <t xml:space="preserve">ƒx  =FV(Monthly_Growth,Years*12,-Monthly_Addition,-Starting_Amount)</t>
  </si>
  <si>
    <t xml:space="preserve">Worth in today's money</t>
  </si>
  <si>
    <t xml:space="preserve">ƒx  =IF(Inflation_Choice="","Choose your inflation rate to see this",Grows_To/(1+Inflation_Choice)^Years)</t>
  </si>
  <si>
    <t xml:space="preserve">Paid in</t>
  </si>
  <si>
    <t xml:space="preserve">ƒx  =Starting_Amount+Monthly_Addition*12*Years</t>
  </si>
  <si>
    <t xml:space="preserve">Illustrative growth</t>
  </si>
  <si>
    <t xml:space="preserve">ƒx  =Grows_To-Paid_In</t>
  </si>
  <si>
    <t xml:space="preserve">• Value = FV(monthly growth, months, −monthly addition, −starting amount): the starting amount compounds and each addition is made at the end of the month.</t>
  </si>
  <si>
    <t xml:space="preserve">• Today's money = value ÷ (1 + inflation)^years.</t>
  </si>
  <si>
    <t xml:space="preserve">• 0% growth gives starting amount + additions.</t>
  </si>
  <si>
    <t xml:space="preserve">• Results are before tax and are not guaranteed.</t>
  </si>
  <si>
    <t xml:space="preserve">ƒx  ="Grow my wealth (plan kind pot)"</t>
  </si>
  <si>
    <t xml:space="preserve">Amount (today's money)</t>
  </si>
  <si>
    <t xml:space="preserve">ƒx  =IF(Inflation_Choice="","Choose an inflation rate first",ROUND(Value_Today,0))</t>
  </si>
  <si>
    <t xml:space="preserve">Audit fix: the amount is always in today's money (the plan adds inflation itself).</t>
  </si>
  <si>
    <t xml:space="preserve">Needs: growth rate, monthly addition, starting amount, years</t>
  </si>
  <si>
    <t xml:space="preserve">Needs: growth rate, inflation rate, monthly addition, starting amount, years</t>
  </si>
  <si>
    <t xml:space="preserve">Needs: monthly addition, starting amount, years</t>
  </si>
  <si>
    <t xml:space="preserve">Needs: years</t>
  </si>
  <si>
    <t xml:space="preserve">C10 · Lump-sum growth</t>
  </si>
  <si>
    <t xml:space="preserve">Category: Investments · prototype id: lumpsum</t>
  </si>
  <si>
    <t xml:space="preserve">Question it answers: What could a one-off amount become?</t>
  </si>
  <si>
    <t xml:space="preserve">Shows what a one-off amount could become after fees, the cost of waiting 5 years, and the value in today's money.</t>
  </si>
  <si>
    <t xml:space="preserve">Document: Investment / fund statement. Blank = no statement uploaded, or the figure is not on it. Grey-blue cells are filled by the reader (you can type here to test).</t>
  </si>
  <si>
    <t xml:space="preserve">Total value</t>
  </si>
  <si>
    <t xml:space="preserve">Allowed: €0 to €100,000,000</t>
  </si>
  <si>
    <t xml:space="preserve">Annual charges % (if shown)</t>
  </si>
  <si>
    <t xml:space="preserve">Allowed: 0% to 5%</t>
  </si>
  <si>
    <t xml:space="preserve">Amount</t>
  </si>
  <si>
    <t xml:space="preserve">Type 3 · your figure · Your own figure. In the app it is pre-filled from Your finances / statement: investments. Allowed: €500 to €5,000,000 · steps of €100</t>
  </si>
  <si>
    <t xml:space="preserve">Growth rate a year (before fees)</t>
  </si>
  <si>
    <t xml:space="preserve">Yearly fees</t>
  </si>
  <si>
    <t xml:space="preserve">Type 2 · range · Usually between 0.5% and 1.5% a year for fund charges (provider charges; your statement shows yours). Enter your own figure. Allowed: 0% to 3% · steps of 0.05%</t>
  </si>
  <si>
    <t xml:space="preserve">Years you might wait before investing</t>
  </si>
  <si>
    <t xml:space="preserve">Type 3 · your choice · Generally the standard is 5 years (an illustration of the cost of waiting). Choose what you want to use. Allowed: 1 to 10 · steps of 1</t>
  </si>
  <si>
    <t xml:space="preserve">Show in today's money?</t>
  </si>
  <si>
    <t xml:space="preserve">Type 3 · optional · Optional: leave blank for none. Allowed: Yes or No</t>
  </si>
  <si>
    <t xml:space="preserve">Statement uploaded?</t>
  </si>
  <si>
    <t xml:space="preserve">ƒx  =IF(COUNTA(Stmt_Total_Value,Stmt_Charges,Stmt_Statement_Date)&gt;0,"Yes","No")</t>
  </si>
  <si>
    <t xml:space="preserve">ƒx  =IF(ISBLANK(Stmt_Total_Value),Amount,Stmt_Total_Value)</t>
  </si>
  <si>
    <t xml:space="preserve">ƒx  =IF(NOT(ISBLANK(Stmt_Charges)),Stmt_Charges,IF(Statement_Uploaded="Yes",0,Yearly_Fees))</t>
  </si>
  <si>
    <t xml:space="preserve">Could grow to (today's money if you chose Yes)</t>
  </si>
  <si>
    <t xml:space="preserve">ƒx  =IF(Adjust_For_Inflation="Yes",Value_Today,Grows_To)</t>
  </si>
  <si>
    <t xml:space="preserve">If you start today (after fees)</t>
  </si>
  <si>
    <t xml:space="preserve">ƒx  =Used_Amount*(1+Growth_After_Fees)^Years</t>
  </si>
  <si>
    <t xml:space="preserve">If you start after waiting</t>
  </si>
  <si>
    <t xml:space="preserve">ƒx  =Used_Amount*(1+Growth_After_Fees)^MAX(0,Years-Wait_Years)</t>
  </si>
  <si>
    <t xml:space="preserve">Cost of waiting</t>
  </si>
  <si>
    <t xml:space="preserve">ƒx  =IF(Adjust_For_Inflation="Yes",IF(Inflation_Choice="","Choose your inflation rate to see this",(Grows_To-Value_Start_Later)/(1+Inflation_Choice)^Years),Grows_To-Value_Start_Later)</t>
  </si>
  <si>
    <t xml:space="preserve">Fees cost</t>
  </si>
  <si>
    <t xml:space="preserve">ƒx  =Used_Amount*(1+Growth_Rate)^Years-Grows_To</t>
  </si>
  <si>
    <t xml:space="preserve">Growth after fees a year</t>
  </si>
  <si>
    <t xml:space="preserve">ƒx  =(1+Growth_Rate)*(1-Used_Yearly_Fees)-1</t>
  </si>
  <si>
    <t xml:space="preserve">Real return a year (after fees and inflation)</t>
  </si>
  <si>
    <t xml:space="preserve">ƒx  =IF(Inflation_Choice="","Choose your inflation rate to see this",(1+Growth_After_Fees)/(1+Inflation_Choice)-1)</t>
  </si>
  <si>
    <t xml:space="preserve">• Growth after fees = (1 + growth) × (1 − fees) − 1 (fees taken from the fund each year).</t>
  </si>
  <si>
    <t xml:space="preserve">• Value = amount × (1 + growth after fees)^years. Starting in 5 years means 5 fewer years of growth to the same end date.</t>
  </si>
  <si>
    <t xml:space="preserve">• Today's money = value ÷ (1 + inflation)^years; real return = (1 + growth after fees) ÷ (1 + inflation) − 1 (exact, not growth − inflation).</t>
  </si>
  <si>
    <t xml:space="preserve">• With 5 years or fewer, "start in 5 years" equals the amount itself.</t>
  </si>
  <si>
    <t xml:space="preserve">• Results are before tax.</t>
  </si>
  <si>
    <t xml:space="preserve">Always in today's money, whatever the 'Show in today's money' choice.</t>
  </si>
  <si>
    <t xml:space="preserve">Needs: growth rate, Used_Amount, Used_Yearly_Fees, years</t>
  </si>
  <si>
    <t xml:space="preserve">Needs: growth rate, inflation rate, Used_Amount, Used_Yearly_Fees, years</t>
  </si>
  <si>
    <t xml:space="preserve">Needs: growth rate, Used_Amount, Used_Yearly_Fees, years of waiting, years</t>
  </si>
  <si>
    <t xml:space="preserve">Needs: growth rate, Used_Yearly_Fees</t>
  </si>
  <si>
    <t xml:space="preserve">Needs: growth rate, inflation rate, Used_Yearly_Fees</t>
  </si>
  <si>
    <t xml:space="preserve">C11 · Emergency fund</t>
  </si>
  <si>
    <t xml:space="preserve">Category: Savings &amp; Goals · prototype id: emergency</t>
  </si>
  <si>
    <t xml:space="preserve">Question it answers: How strong is my financial cushion?</t>
  </si>
  <si>
    <t xml:space="preserve">Shows how many months of essential spending your easy-access savings cover, against your target.</t>
  </si>
  <si>
    <t xml:space="preserve">Essential monthly spending</t>
  </si>
  <si>
    <t xml:space="preserve">Type 3 · your figure · Your own figure. In the app it is pre-filled from Your finances: costs + mortgage + debt repayments. Allowed: €500 to €100,000 · steps of €100</t>
  </si>
  <si>
    <t xml:space="preserve">Safety net: months of essential spending</t>
  </si>
  <si>
    <t xml:space="preserve">months</t>
  </si>
  <si>
    <t xml:space="preserve">Type 3 · your choice · Generally the standard is 6 months of essential spending (3 if you have two secure incomes). Choose what you want to use. Allowed: 3 to 12 · steps of 1</t>
  </si>
  <si>
    <t xml:space="preserve">Build the safety net within (years, for the plan)</t>
  </si>
  <si>
    <t xml:space="preserve">Type 3 · your figure · Your own figure. Allowed: 1 to 10 · steps of 1</t>
  </si>
  <si>
    <t xml:space="preserve">Easy-access savings</t>
  </si>
  <si>
    <t xml:space="preserve">Type 3 · your figure · Your own figure. In the app it is pre-filled from Your finances: cash. Allowed: €0 to €1,000,000 · steps of €250</t>
  </si>
  <si>
    <t xml:space="preserve">You currently have (months)</t>
  </si>
  <si>
    <t xml:space="preserve">ƒx  =Savings/Essential_Spending</t>
  </si>
  <si>
    <t xml:space="preserve">Target cushion</t>
  </si>
  <si>
    <t xml:space="preserve">ƒx  =Essential_Spending*Months_Wanted</t>
  </si>
  <si>
    <t xml:space="preserve">Still to build</t>
  </si>
  <si>
    <t xml:space="preserve">ƒx  =MAX(0,Target-Savings)</t>
  </si>
  <si>
    <t xml:space="preserve">• Months covered = savings ÷ essential monthly spending. Target = spending × months wanted. Still to build = target − savings (never below 0).</t>
  </si>
  <si>
    <t xml:space="preserve">• Spending must be at least €500, so there is no divide by zero.</t>
  </si>
  <si>
    <t xml:space="preserve">ƒx  =IF(Still_To_Build&gt;0,"Safety net (plan kind safety: a reserve, not a spend)","No goal (cushion already in place)")</t>
  </si>
  <si>
    <t xml:space="preserve">ƒx  =IF(Still_To_Build&gt;0,ROUND(Target,0),"—")</t>
  </si>
  <si>
    <t xml:space="preserve">ƒx  =Savings</t>
  </si>
  <si>
    <t xml:space="preserve">ƒx  =Safety_Goal_Years</t>
  </si>
  <si>
    <t xml:space="preserve">Needs: essential monthly spending, easy-access savings</t>
  </si>
  <si>
    <t xml:space="preserve">Needs: essential monthly spending, emergency months</t>
  </si>
  <si>
    <t xml:space="preserve">Needs: essential monthly spending, emergency months, easy-access savings</t>
  </si>
  <si>
    <t xml:space="preserve">Needs: easy-access savings</t>
  </si>
  <si>
    <t xml:space="preserve">Needs: years to build the safety net</t>
  </si>
  <si>
    <t xml:space="preserve">C12 · Retirement projection</t>
  </si>
  <si>
    <t xml:space="preserve">Category: Pensions &amp; Retirement · prototype id: retirement</t>
  </si>
  <si>
    <t xml:space="preserve">Question it answers: Could your current path fund the retirement you want?</t>
  </si>
  <si>
    <t xml:space="preserve">Projects your pension fund at retirement and compares it, in today's money, with the fund you would need for the income you want.</t>
  </si>
  <si>
    <t xml:space="preserve">Document: Pension benefit statement / Statement of Reasonable Projection / PRSA statement. Blank = no statement uploaded, or the figure is not on it. Grey-blue cells are filled by the reader (you can type here to test).</t>
  </si>
  <si>
    <t xml:space="preserve">Fund value today</t>
  </si>
  <si>
    <t xml:space="preserve">Allowed: €0 to €50,000,000</t>
  </si>
  <si>
    <t xml:space="preserve">Your monthly contribution</t>
  </si>
  <si>
    <t xml:space="preserve">Employer monthly contribution</t>
  </si>
  <si>
    <t xml:space="preserve">Normal retirement age</t>
  </si>
  <si>
    <t xml:space="preserve">age</t>
  </si>
  <si>
    <t xml:space="preserve">Allowed: 50 to 75</t>
  </si>
  <si>
    <t xml:space="preserve">Projected fund at retirement (if shown)</t>
  </si>
  <si>
    <t xml:space="preserve">Projection is in today's money? (if shown)</t>
  </si>
  <si>
    <t xml:space="preserve">Allowed: Yes or No</t>
  </si>
  <si>
    <t xml:space="preserve">Your age</t>
  </si>
  <si>
    <t xml:space="preserve">Type 3 · your figure · Your own figure. In the app it is pre-filled from About you: age. Allowed: 20 to 70 · steps of 1</t>
  </si>
  <si>
    <t xml:space="preserve">Target retirement age</t>
  </si>
  <si>
    <t xml:space="preserve">Type 3 · your choice (no standard) · You can usually draw a pension from 60 (some schemes from 50); State Pension is paid from 66. Choose your own: there is no default. Allowed: 50 to 75 · steps of 1</t>
  </si>
  <si>
    <t xml:space="preserve">Pension value today</t>
  </si>
  <si>
    <t xml:space="preserve">Type 3 · your figure · Your own figure. In the app it is pre-filled from Your finances / pension statement. Allowed: €0 to €15,000,000 · steps of €1,000</t>
  </si>
  <si>
    <t xml:space="preserve">Monthly contributions (you + employer)</t>
  </si>
  <si>
    <t xml:space="preserve">Type 3 · your figure · Your own figure. In the app it is pre-filled from Your finances / pension statement. Allowed: €0 to €50,000 · steps of €10</t>
  </si>
  <si>
    <t xml:space="preserve">Desired yearly income in retirement (today's money)</t>
  </si>
  <si>
    <t xml:space="preserve">Type 3 · your figure · Your own figure. In the app it is pre-filled from Plan: retirement goal income. Allowed: €10,000 to €1,500,000 · steps of €1,000</t>
  </si>
  <si>
    <t xml:space="preserve">Other yearly income from 66, e.g. State Pension (today's money)</t>
  </si>
  <si>
    <t xml:space="preserve">Type 2 · range · Usually between €0 and €15,564 a year: the full State Pension is €299.30 a week (DSP 2026), partial rates are lower and depend on your PRSI record. In the app it is pre-filled from State Pension €15,563.60 × your entitlement (full 1, partly 0.6, not sure 0.8). Enter your own figure. Allowed: €0 to €500,000 · steps of €500</t>
  </si>
  <si>
    <t xml:space="preserve">Pension growth after charges a year</t>
  </si>
  <si>
    <t xml:space="preserve">Type 3 · your choice · Generally the standard is 4.5% a year after charges while you work (LifeMap Standard set; Cautious 4%). Choose what you want to use. Allowed: 1% to 7% · steps of 0.25%</t>
  </si>
  <si>
    <t xml:space="preserve">Pay rises a year (contributions rise with pay)</t>
  </si>
  <si>
    <t xml:space="preserve">Type 3 · your choice · Generally the standard is 3% a year (Irish pay has grown about 3%–4% a year recently; LifeMap Standard set). Choose what you want to use. Allowed: 0% to 6% · steps of 0.25%</t>
  </si>
  <si>
    <t xml:space="preserve">Retirement savings target: × the yearly income you need</t>
  </si>
  <si>
    <t xml:space="preserve">Type 3 · your choice · Generally the standard is 25 times the yearly income you need (about 4% a year). Choose what you want to use. Allowed: 20 to 33 · steps of 1</t>
  </si>
  <si>
    <t xml:space="preserve">Typical pension charges (if your statement doesn't say)</t>
  </si>
  <si>
    <t xml:space="preserve">Type 2 · range · Usually between 0.5% and 1.5% a year for pension charges (your statement shows yours). Enter your own figure. Allowed: 0% to 2.5% · steps of 0.05%</t>
  </si>
  <si>
    <t xml:space="preserve">Tax-free lump sum you plan to take (% of the fund)</t>
  </si>
  <si>
    <t xml:space="preserve">Type 3 · your choice · Generally the standard is 25% of the fund, the most allowed (first €200,000 tax-free, next €300,000 at 20%). Choose what you want to use. Allowed: 0% to 25% · steps of 1%</t>
  </si>
  <si>
    <t xml:space="preserve">What if: retire later by</t>
  </si>
  <si>
    <t xml:space="preserve">Type 3 · optional · Optional: leave blank for none. Allowed: 0 to 5 · steps of 1</t>
  </si>
  <si>
    <t xml:space="preserve">What if: save more each month</t>
  </si>
  <si>
    <t xml:space="preserve">What if: spend less in retirement (a year)</t>
  </si>
  <si>
    <t xml:space="preserve">Type 3 · optional · Optional: leave blank for none. Allowed: €0 to €200,000 · steps of €500</t>
  </si>
  <si>
    <t xml:space="preserve">ƒx  =IF(ISBLANK(Stmt_Fund_Value),Pension_Today,Stmt_Fund_Value)</t>
  </si>
  <si>
    <t xml:space="preserve">ƒx  =IF(COUNT(Stmt_You_Monthly,Stmt_Employer_Monthly)=0,Monthly_Contribution,SUM(Stmt_You_Monthly,Stmt_Employer_Monthly))</t>
  </si>
  <si>
    <t xml:space="preserve">Growth after charges</t>
  </si>
  <si>
    <t xml:space="preserve">ƒx  =IF(ISBLANK(Stmt_Charges),Growth_Rate,IF(OR(Growth_Rate="",Typical_Pension_Charges=""),"",Growth_Rate+Typical_Pension_Charges-Stmt_Charges))</t>
  </si>
  <si>
    <t xml:space="preserve">Use the statement's projected fund?</t>
  </si>
  <si>
    <t xml:space="preserve">ƒx  =IF(AND(NOT(ISBLANK(Stmt_Projected_Fund)),Stmt_NRA=Retirement_Age+Retire_Later,Save_More=0),"Yes","No")      (projection shown, its retirement age matches yours, and no "save more" what-if)</t>
  </si>
  <si>
    <t xml:space="preserve">Illustrative gap (today's money)</t>
  </si>
  <si>
    <t xml:space="preserve">ƒx  =IF(ISNUMBER(Fund_Today),Target_Today-Fund_Today,Fund_Today)</t>
  </si>
  <si>
    <t xml:space="preserve">Projected fund at retirement</t>
  </si>
  <si>
    <t xml:space="preserve">ƒx  =IF(Use_Statement_Projection="Yes",Stmt_Projected_Fund,Calculated_Fund)</t>
  </si>
  <si>
    <t xml:space="preserve">Projected fund in today's money</t>
  </si>
  <si>
    <t xml:space="preserve">ƒx  =IF(AND(Use_Statement_Projection="Yes",Stmt_Projection_Today&lt;&gt;"No"),Stmt_Projected_Fund,IF(Inflation_Choice="","Choose your inflation rate to see this",Projected_Fund/(1+Inflation_Choice)^Years_To_Retirement))      (a statement projection already in today's money is not deflated again)</t>
  </si>
  <si>
    <t xml:space="preserve">Calculated fund at retirement (our assumptions)</t>
  </si>
  <si>
    <t xml:space="preserve">ƒx  =Used_Pension_Today*(1+Used_Growth_Rate)^Years_To_Retirement+Contributions_Grow_To</t>
  </si>
  <si>
    <t xml:space="preserve">Illustrative target (today's money)</t>
  </si>
  <si>
    <t xml:space="preserve">ƒx  =MAX(0,Desired_Income-Spend_Less-Other_Income)*Retire_Multiple+Bridge_Years*Other_Income</t>
  </si>
  <si>
    <t xml:space="preserve">Years before the State Pension starts at 66 (to fund yourself)</t>
  </si>
  <si>
    <t xml:space="preserve">ƒx  =MAX(0,State_Pension_Age-(Retirement_Age+Retire_Later))</t>
  </si>
  <si>
    <t xml:space="preserve">Lump sum you could take at retirement (gross)</t>
  </si>
  <si>
    <t xml:space="preserve">ƒx  =MIN(Projected_Fund*Lump_Sum_Pct,Lump_Sum_Cap)      (first €200,000 tax-free, next €300,000 at 20%)</t>
  </si>
  <si>
    <t xml:space="preserve">Tax on the lump sum</t>
  </si>
  <si>
    <t xml:space="preserve">ƒx  =Lump_Sum_Rate*MAX(0,Lump_Sum-Lump_Sum_Tax_Free)</t>
  </si>
  <si>
    <t xml:space="preserve">Lump sum after tax</t>
  </si>
  <si>
    <t xml:space="preserve">ƒx  =Lump_Sum-Lump_Sum_Tax</t>
  </si>
  <si>
    <t xml:space="preserve">Message to show</t>
  </si>
  <si>
    <t xml:space="preserve">Years to retirement</t>
  </si>
  <si>
    <t xml:space="preserve">ƒx  =MAX(1,Retirement_Age+Retire_Later-Age)</t>
  </si>
  <si>
    <t xml:space="preserve">Monthly contribution incl. what-if</t>
  </si>
  <si>
    <t xml:space="preserve">ƒx  =Used_Monthly_Contribution+Save_More</t>
  </si>
  <si>
    <t xml:space="preserve">Contributions (rising with pay) grow to</t>
  </si>
  <si>
    <t xml:space="preserve">ƒx  =IF(Used_Growth_Rate=Wage,12*Contribution*Years_To_Retirement*(1+Used_Growth_Rate)^(Years_To_Retirement-1),12*Contribution*((1+Used_Growth_Rate)^Years_To_Retirement-(1+Wage)^Years_To_Retirement)/(Used_Growth_Rate-Wage))</t>
  </si>
  <si>
    <t xml:space="preserve">• Fund = pension today × (1 + growth)^years + each year's contributions (12 × monthly, rising with pay each year, added at the year end), the closed-form growing annuity.</t>
  </si>
  <si>
    <t xml:space="preserve">• The fund is future money, the target is today's money, so the fund is turned into today's money first: fund ÷ (1 + inflation)^years (audit Must fix: like-for-like gap).</t>
  </si>
  <si>
    <t xml:space="preserve">• Target = (desired income − spend less − other income) × your multiple (suggested 25), plus the State Pension you must fund yourself for each year you retire before 66. Gap = target − fund in today's money.</t>
  </si>
  <si>
    <t xml:space="preserve">• Desired income and the State Pension are before tax: the State Pension is taxable (USC-exempt) and drawdown pays income tax and USC. About 25% of the fund can be taken as a lump sum: the first €200,000 tax-free, the next €300,000 at 20%.</t>
  </si>
  <si>
    <t xml:space="preserve">• Years to retirement is at least 1.</t>
  </si>
  <si>
    <t xml:space="preserve">• If growth equals the pay-rise rate the growing-annuity formula divides by zero, so the equal-rate form 12 × contribution × years × (1+g)^(years−1) is used.</t>
  </si>
  <si>
    <t xml:space="preserve">• Gap ≤ 0 shows "On track: no gap".</t>
  </si>
  <si>
    <t xml:space="preserve">ƒx  ="Update your retirement goal (no new goal)"</t>
  </si>
  <si>
    <t xml:space="preserve">Yearly income in retirement (today's money)</t>
  </si>
  <si>
    <t xml:space="preserve">ƒx  =Desired_Income-Spend_Less</t>
  </si>
  <si>
    <t xml:space="preserve">Retirement age</t>
  </si>
  <si>
    <t xml:space="preserve">ƒx  =Retirement_Age+Retire_Later</t>
  </si>
  <si>
    <t xml:space="preserve">Audit fix: the old 25× lump sum spend goal double-counted the plan's own retirement goal.</t>
  </si>
  <si>
    <t xml:space="preserve">Needs: retirement age</t>
  </si>
  <si>
    <t xml:space="preserve">Needs: age, desired retirement income, other income (State Pension), retirement multiple, retirement age, Used_Growth_Rate, Used_Monthly_Contribution, Used_Pension_Today, pay rise</t>
  </si>
  <si>
    <t xml:space="preserve">Needs: age, retirement age, Used_Growth_Rate, Used_Monthly_Contribution, Used_Pension_Today, pay rise</t>
  </si>
  <si>
    <t xml:space="preserve">Needs: desired retirement income, other income (State Pension), retirement multiple, retirement age</t>
  </si>
  <si>
    <t xml:space="preserve">Needs: age, lump sum share, retirement age, Used_Growth_Rate, Used_Monthly_Contribution, Used_Pension_Today, pay rise</t>
  </si>
  <si>
    <t xml:space="preserve">Needs: age, retirement age</t>
  </si>
  <si>
    <t xml:space="preserve">Needs: Used_Monthly_Contribution</t>
  </si>
  <si>
    <t xml:space="preserve">Needs: age, retirement age, Used_Growth_Rate, Used_Monthly_Contribution, pay rise</t>
  </si>
  <si>
    <t xml:space="preserve">Needs: desired retirement income</t>
  </si>
  <si>
    <t xml:space="preserve">C13 · Contribution impact</t>
  </si>
  <si>
    <t xml:space="preserve">Category: Pensions &amp; Retirement · prototype id: contrib</t>
  </si>
  <si>
    <t xml:space="preserve">Question it answers: What difference would a small increase make?</t>
  </si>
  <si>
    <t xml:space="preserve">Shows what raising your pension contributions by a % of salary could add by retirement, and what it costs after tax relief.</t>
  </si>
  <si>
    <t xml:space="preserve">Document: Pension benefit statement / PRSA statement. Blank = no statement uploaded, or the figure is not on it. Grey-blue cells are filled by the reader (you can type here to test).</t>
  </si>
  <si>
    <t xml:space="preserve">Salary</t>
  </si>
  <si>
    <t xml:space="preserve">Increase contributions by (% of salary)</t>
  </si>
  <si>
    <t xml:space="preserve">Type 3 · your figure · Your own figure. Allowed: 0.5% to 10% · steps of 0.5%</t>
  </si>
  <si>
    <t xml:space="preserve">Type 3 · your figure · Your own figure. In the app it is pre-filled from Plan: retirement age − age. Allowed: 1 to 45 · steps of 1</t>
  </si>
  <si>
    <t xml:space="preserve">Growth assumption a year</t>
  </si>
  <si>
    <t xml:space="preserve">Type 3 · your choice · Generally the standard is 4.5% a year after charges while you work (LifeMap Standard set; Cautious 4%). Choose what you want to use. Allowed: 1% to 7% · steps of 0.5%</t>
  </si>
  <si>
    <t xml:space="preserve">Your tax rate (0.2 = 20%, 0.4 = 40%)</t>
  </si>
  <si>
    <t xml:space="preserve">20% or 40%</t>
  </si>
  <si>
    <t xml:space="preserve">Type 2 · range · Usually between 20% or 40%: your top rate of income tax (the Tax engine works it out). In the app it is pre-filled from Tax engine marginal rate (band by status: €44k single, €48k single parent, €53k married, + up to €35k second earner). Enter your own figure. Allowed: 20% or 40%</t>
  </si>
  <si>
    <t xml:space="preserve">Your age (for the pension relief limit)</t>
  </si>
  <si>
    <t xml:space="preserve">Type 3 · your figure · Your own figure. In the app it is pre-filled from About you: age. Allowed: 18 to 75 · steps of 1</t>
  </si>
  <si>
    <t xml:space="preserve">What you pay in yourself now, a year (counts towards the relief limit)</t>
  </si>
  <si>
    <t xml:space="preserve">Type 3 · optional · Optional: leave blank for none. Allowed: €0 to €1,000,000 · steps of €100</t>
  </si>
  <si>
    <t xml:space="preserve">Growth assumption</t>
  </si>
  <si>
    <t xml:space="preserve">Could add to your pension</t>
  </si>
  <si>
    <t xml:space="preserve">ƒx  =FV((1+Used_Growth_Rate)^(1/12)-1,Years*12,-Extra_Per_Month)</t>
  </si>
  <si>
    <t xml:space="preserve">Extra per month</t>
  </si>
  <si>
    <t xml:space="preserve">ƒx  =Salary*Increase_Pct/12</t>
  </si>
  <si>
    <t xml:space="preserve">Cost to you after tax relief, a month</t>
  </si>
  <si>
    <t xml:space="preserve">ƒx  =Extra_Per_Month-Relief_Per_Month</t>
  </si>
  <si>
    <t xml:space="preserve">Most you can get relief on in a year (age-band % × earnings up to €115,000)</t>
  </si>
  <si>
    <t xml:space="preserve">ƒx  =LOOKUP(Age,Relief_Age_From,Relief_Age_Pct)*MIN(Salary,Relief_Earnings_Cap)</t>
  </si>
  <si>
    <t xml:space="preserve">Room left for relief after what you already pay in</t>
  </si>
  <si>
    <t xml:space="preserve">ƒx  =MAX(0,Relief_Limit_Year-Existing_Pension_Year)</t>
  </si>
  <si>
    <t xml:space="preserve">Extra that gets relief, a year</t>
  </si>
  <si>
    <t xml:space="preserve">ƒx  =MIN(Extra_Per_Month*12,Relief_Room_Year)</t>
  </si>
  <si>
    <t xml:space="preserve">Tax relief a month</t>
  </si>
  <si>
    <t xml:space="preserve">ƒx  =Relieved_Year*Tax_Rate/12</t>
  </si>
  <si>
    <t xml:space="preserve">• Extra a month = salary × increase ÷ 12. Value = FV(monthly growth, months, −extra): level end-of-month contributions.</t>
  </si>
  <si>
    <t xml:space="preserve">• Tax relief = the part of the extra within your relief limit × your tax rate (USC and PRSI still apply). Cost = extra − relief.</t>
  </si>
  <si>
    <t xml:space="preserve">• Tax rate is 20% or 40% only (list); it pre-fills from the Tax engine.</t>
  </si>
  <si>
    <t xml:space="preserve">• Relief only within the age-related limit (15% under 30 … 40% from 60) of earnings up to €115,000, less what you already pay in (audit #79).</t>
  </si>
  <si>
    <t xml:space="preserve">ƒx  ="No goal: raise the plan's pension contribution instead"</t>
  </si>
  <si>
    <t xml:space="preserve">Extra pension contribution a month</t>
  </si>
  <si>
    <t xml:space="preserve">ƒx  =Extra_Per_Month</t>
  </si>
  <si>
    <t xml:space="preserve">Audit fix: pension money is not a spend goal.</t>
  </si>
  <si>
    <t xml:space="preserve">Needs: contribution increase, salary, Used_Growth_Rate, years to retirement</t>
  </si>
  <si>
    <t xml:space="preserve">Needs: contribution increase, inflation rate, salary, Used_Growth_Rate, years to retirement</t>
  </si>
  <si>
    <t xml:space="preserve">Needs: contribution increase, salary</t>
  </si>
  <si>
    <t xml:space="preserve">Needs: age, contribution increase, salary, tax rate</t>
  </si>
  <si>
    <t xml:space="preserve">Needs: age, salary</t>
  </si>
  <si>
    <t xml:space="preserve">Needs: age, contribution increase, salary</t>
  </si>
  <si>
    <t xml:space="preserve">C14 · AVC impact</t>
  </si>
  <si>
    <t xml:space="preserve">Category: Pensions &amp; Retirement · prototype id: avc</t>
  </si>
  <si>
    <t xml:space="preserve">Question it answers: What could extra voluntary contributions add?</t>
  </si>
  <si>
    <t xml:space="preserve">Shows what extra voluntary contributions (AVCs) could add by retirement, and their cost after tax relief.</t>
  </si>
  <si>
    <t xml:space="preserve">Document: Pension benefit statement / PRSA / AVC statement. Blank = no statement uploaded, or the figure is not on it. Grey-blue cells are filled by the reader (you can type here to test).</t>
  </si>
  <si>
    <t xml:space="preserve">AVC per month</t>
  </si>
  <si>
    <t xml:space="preserve">Type 3 · your figure · Your own figure. Allowed: €25 to €20,000 · steps of €25</t>
  </si>
  <si>
    <t xml:space="preserve">Salary (for the relief limit)</t>
  </si>
  <si>
    <t xml:space="preserve">Type 3 · your figure · Your own figure. In the app it is pre-filled from Plan: retirement age − age. Allowed: 1 to 40 · steps of 1</t>
  </si>
  <si>
    <t xml:space="preserve">Could add</t>
  </si>
  <si>
    <t xml:space="preserve">ƒx  =FV((1+Used_Growth_Rate)^(1/12)-1,Years*12,-AVC_Per_Month)</t>
  </si>
  <si>
    <t xml:space="preserve">ƒx  =AVC_Per_Month*12*Years</t>
  </si>
  <si>
    <t xml:space="preserve">Net cost to you</t>
  </si>
  <si>
    <t xml:space="preserve">ƒx  =Net_Cost_Per_Month*12*Years</t>
  </si>
  <si>
    <t xml:space="preserve">Net cost of each monthly AVC</t>
  </si>
  <si>
    <t xml:space="preserve">ƒx  =AVC_Per_Month-Relief_Per_Month</t>
  </si>
  <si>
    <t xml:space="preserve">AVC that gets relief, a year</t>
  </si>
  <si>
    <t xml:space="preserve">ƒx  =MIN(AVC_Per_Month*12,Relief_Room_Year)</t>
  </si>
  <si>
    <t xml:space="preserve">• Value = FV(monthly growth, months, −AVC). Tax relief = the part of the AVC within your relief limit (age band × earnings up to €115,000, less what you already pay) × your tax rate. Net cost = AVC − relief.</t>
  </si>
  <si>
    <t xml:space="preserve">• The age-related limit covers your main scheme and AVCs together: enter what you already pay in.</t>
  </si>
  <si>
    <t xml:space="preserve">ƒx  =AVC_Per_Month</t>
  </si>
  <si>
    <t xml:space="preserve">Needs: AVC per month, Used_Growth_Rate, years to retirement</t>
  </si>
  <si>
    <t xml:space="preserve">Needs: AVC per month, inflation rate, Used_Growth_Rate, years to retirement</t>
  </si>
  <si>
    <t xml:space="preserve">Needs: AVC per month, years to retirement</t>
  </si>
  <si>
    <t xml:space="preserve">Needs: AVC per month, age, salary, tax rate, years to retirement</t>
  </si>
  <si>
    <t xml:space="preserve">Needs: AVC per month, age, salary, tax rate</t>
  </si>
  <si>
    <t xml:space="preserve">Needs: AVC per month, age, salary</t>
  </si>
  <si>
    <t xml:space="preserve">Needs: AVC per month</t>
  </si>
  <si>
    <t xml:space="preserve">C15 · Will my money last?</t>
  </si>
  <si>
    <t xml:space="preserve">Category: Pensions &amp; Retirement · prototype id: lastmoney</t>
  </si>
  <si>
    <t xml:space="preserve">Question it answers: How long could my retirement savings last?</t>
  </si>
  <si>
    <t xml:space="preserve">Shows how many full years your retirement savings could pay a yearly income that rises with prices.</t>
  </si>
  <si>
    <t xml:space="preserve">Document: Pension benefit statement / Statement of Reasonable Projection. Blank = no statement uploaded, or the figure is not on it. Grey-blue cells are filled by the reader (you can type here to test).</t>
  </si>
  <si>
    <t xml:space="preserve">Retirement savings</t>
  </si>
  <si>
    <t xml:space="preserve">Type 3 · your figure · Your own figure. In the app it is pre-filled from Plan: pension projected to retirement. Allowed: €10,000 to €30,000,000 · steps of €10,000</t>
  </si>
  <si>
    <t xml:space="preserve">Yearly withdrawal (first year)</t>
  </si>
  <si>
    <t xml:space="preserve">Type 3 · your figure · Your own figure. Allowed: €1,000 to €2,000,000 · steps of €1,000</t>
  </si>
  <si>
    <t xml:space="preserve">Growth assumption a year (once retired)</t>
  </si>
  <si>
    <t xml:space="preserve">Type 3 · your choice · Generally the standard is 3.15% a year after charges once retired (LifeMap Standard set; Cautious 2.8%). Choose what you want to use. Allowed: 0% to 7% · steps of 0.05%</t>
  </si>
  <si>
    <t xml:space="preserve">Withdrawal taken at the</t>
  </si>
  <si>
    <t xml:space="preserve">Type 3 · your choice · Generally the standard is the start of the year (the prudent choice). Choose what you want to use. Allowed: Start of year or End of year</t>
  </si>
  <si>
    <t xml:space="preserve">Start of year</t>
  </si>
  <si>
    <t xml:space="preserve">Your age when withdrawals start</t>
  </si>
  <si>
    <t xml:space="preserve">Type 3 · your choice (no standard) · You can usually draw a pension from 60 (some schemes from 50); State Pension is paid from 66. Choose your own: there is no default. Allowed: 50 to 90 · steps of 1</t>
  </si>
  <si>
    <t xml:space="preserve">Plan to age</t>
  </si>
  <si>
    <t xml:space="preserve">Type 3 · your choice (no standard) · At 65, average life expectancy in Ireland is about 83 for men and 86 for women (CSO); many people plan to 90–95. Choose your own: there is no default. Allowed: 85 to 100 · steps of 1</t>
  </si>
  <si>
    <t xml:space="preserve">ƒx  =IF(NOT(ISBLANK(Stmt_Projected_Fund)),Stmt_Projected_Fund,IF(NOT(ISBLANK(Stmt_Fund_Value)),Stmt_Fund_Value,Retirement_Savings))</t>
  </si>
  <si>
    <t xml:space="preserve">Could last about (full years)</t>
  </si>
  <si>
    <t xml:space="preserve">ƒx  =IF(Inflation_Choice="","Choose your inflation rate to see this",SUM(W_paid))</t>
  </si>
  <si>
    <t xml:space="preserve">Money lasts to about age</t>
  </si>
  <si>
    <t xml:space="preserve">ƒx  =IF(ISNUMBER(Years_Lasting),IF(Years_Lasting&gt;=Cap_Years,"Beyond "&amp;Plan_To_Age&amp;" (your plan-until age)",Age_At_Start+Years_Lasting),"Choose your inflation rate to see this")</t>
  </si>
  <si>
    <t xml:space="preserve">Withdrawal rate (first year)</t>
  </si>
  <si>
    <t xml:space="preserve">ƒx  =Yearly_Withdrawal/Used_Retirement_Savings</t>
  </si>
  <si>
    <t xml:space="preserve">WORKING (one row per year; withdrawal at the start or end of the year, as chosen)</t>
  </si>
  <si>
    <t xml:space="preserve">Year</t>
  </si>
  <si>
    <t xml:space="preserve">Withdrawal (rises with inflation)</t>
  </si>
  <si>
    <t xml:space="preserve">Savings at the start of the year</t>
  </si>
  <si>
    <t xml:space="preserve">Paid in full? (1 = yes)</t>
  </si>
  <si>
    <t xml:space="preserve">Left at the end of the year</t>
  </si>
  <si>
    <t xml:space="preserve">• Each year (start-of-year timing): take the withdrawal, then the rest grows. End-of-year timing: the pot grows, then the withdrawal is taken. The withdrawal rises with inflation each year.</t>
  </si>
  <si>
    <t xml:space="preserve">• Years lasting = the number of years the full withdrawal could be paid (the "Paid in full" column).</t>
  </si>
  <si>
    <t xml:space="preserve">• Start of year is the suggested (prudent) timing; end of year is optimistic.</t>
  </si>
  <si>
    <t xml:space="preserve">• If the money lasts all 60 years of the table it shows "60+ years".</t>
  </si>
  <si>
    <t xml:space="preserve">• Before tax: ARF and vested PRSA withdrawals pay income tax and USC.</t>
  </si>
  <si>
    <t xml:space="preserve">Needs: growth rate, inflation rate, Used_Retirement_Savings, withdrawal timing, yearly withdrawal</t>
  </si>
  <si>
    <t xml:space="preserve">Needs: retirement age, growth rate, inflation rate, plan-to age, Used_Retirement_Savings, withdrawal timing, yearly withdrawal</t>
  </si>
  <si>
    <t xml:space="preserve">Needs: Used_Retirement_Savings, yearly withdrawal</t>
  </si>
  <si>
    <t xml:space="preserve">C16 · Retirement drawdown scenarios</t>
  </si>
  <si>
    <t xml:space="preserve">Category: Pensions &amp; Retirement · prototype id: drawdown</t>
  </si>
  <si>
    <t xml:space="preserve">Question it answers: How do different growth rates change things?</t>
  </si>
  <si>
    <t xml:space="preserve">Shows how long your retirement savings could last at three growth rates, with withdrawals rising with prices.</t>
  </si>
  <si>
    <t xml:space="preserve">Cautious: growth a year</t>
  </si>
  <si>
    <t xml:space="preserve">Type 3 · your choice · Generally the standard is 2% a year for a cautious mix (illustration). Choose what you want to use. Allowed: 0% to 8% · steps of 0.5%</t>
  </si>
  <si>
    <t xml:space="preserve">Balanced: growth a year</t>
  </si>
  <si>
    <t xml:space="preserve">Type 3 · your choice · Generally the standard is 4% a year for a balanced mix (illustration). Choose what you want to use. Allowed: 0% to 8% · steps of 0.5%</t>
  </si>
  <si>
    <t xml:space="preserve">Growth: growth a year</t>
  </si>
  <si>
    <t xml:space="preserve">Type 3 · your choice · Generally the standard is 6% a year for a growth mix (illustration). Choose what you want to use. Allowed: 0% to 8% · steps of 0.5%</t>
  </si>
  <si>
    <t xml:space="preserve">Balanced lasts (full years)</t>
  </si>
  <si>
    <t xml:space="preserve">ƒx  =IF(Inflation_Choice="","Choose your inflation rate to see this",SUM(W_b_paid))</t>
  </si>
  <si>
    <t xml:space="preserve">Cautious lasts (full years)</t>
  </si>
  <si>
    <t xml:space="preserve">ƒx  =IF(Inflation_Choice="","Choose your inflation rate to see this",SUM(W_c_paid))</t>
  </si>
  <si>
    <t xml:space="preserve">Growth lasts (full years)</t>
  </si>
  <si>
    <t xml:space="preserve">ƒx  =IF(Inflation_Choice="","Choose your inflation rate to see this",SUM(W_g_paid))</t>
  </si>
  <si>
    <t xml:space="preserve">WORKING (one row per year; withdrawal at the start of the year, rising with inflation)</t>
  </si>
  <si>
    <t xml:space="preserve">Withdrawal</t>
  </si>
  <si>
    <t xml:space="preserve">Cautious: savings at start</t>
  </si>
  <si>
    <t xml:space="preserve">Cautious: paid? (1 = yes)</t>
  </si>
  <si>
    <t xml:space="preserve">Balanced: savings at start</t>
  </si>
  <si>
    <t xml:space="preserve">Balanced: paid? (1 = yes)</t>
  </si>
  <si>
    <t xml:space="preserve">Growth: savings at start</t>
  </si>
  <si>
    <t xml:space="preserve">Growth: paid? (1 = yes)</t>
  </si>
  <si>
    <t xml:space="preserve">• Same rule as C15 at three growth rates (suggested 2%, 4%, 6%): withdraw at the start (or end) of each year, grow the rest, raise the withdrawal with inflation.</t>
  </si>
  <si>
    <t xml:space="preserve">• Years lasting = the number of years paid in full.</t>
  </si>
  <si>
    <t xml:space="preserve">• "60+ years" in every row when the money lasts the whole table.</t>
  </si>
  <si>
    <t xml:space="preserve">• Start of year is the suggested (prudent) timing.</t>
  </si>
  <si>
    <t xml:space="preserve">Needs: balanced growth rate, cautious growth rate, growth-style growth rate, inflation rate, Used_Retirement_Savings, withdrawal timing, yearly withdrawal</t>
  </si>
  <si>
    <t xml:space="preserve">C17 · Inflation-adjusted return</t>
  </si>
  <si>
    <t xml:space="preserve">Category: Investments · prototype id: realreturn</t>
  </si>
  <si>
    <t xml:space="preserve">Question it answers: What is my money really worth in future?</t>
  </si>
  <si>
    <t xml:space="preserve">Shows what an amount could grow to, what that is worth in today's money, and the real return after inflation.</t>
  </si>
  <si>
    <t xml:space="preserve">Return a year (before inflation)</t>
  </si>
  <si>
    <t xml:space="preserve">Type 3 · your choice · Generally the standard is 5% a year before charges and tax for a mixed fund (long-run 5%–6% a year; Irish rules audit B3). Choose what you want to use. Allowed: 0% to 10% · steps of 0.25%</t>
  </si>
  <si>
    <t xml:space="preserve">In today's money</t>
  </si>
  <si>
    <t xml:space="preserve">ƒx  =IF(Inflation_Choice="","Choose your inflation rate to see this",Future_Value/(1+Inflation_Choice)^Years)</t>
  </si>
  <si>
    <t xml:space="preserve">Future value</t>
  </si>
  <si>
    <t xml:space="preserve">ƒx  =Used_Amount*(1+Nominal_Return)^Years</t>
  </si>
  <si>
    <t xml:space="preserve">Real return a year</t>
  </si>
  <si>
    <t xml:space="preserve">ƒx  =IF(Inflation_Choice="","Choose your inflation rate to see this",(1+Nominal_Return)/(1+Inflation_Choice)-1)</t>
  </si>
  <si>
    <t xml:space="preserve">• Future value = amount × (1 + return)^years; today's money = future value ÷ (1 + inflation)^years.</t>
  </si>
  <si>
    <t xml:space="preserve">• Real return = (1 + return) ÷ (1 + inflation) − 1, the exact figure (not return − inflation).</t>
  </si>
  <si>
    <t xml:space="preserve">• Before tax and charges.</t>
  </si>
  <si>
    <t xml:space="preserve">Needs: inflation rate, return, Used_Amount, years</t>
  </si>
  <si>
    <t xml:space="preserve">Needs: return, Used_Amount, years</t>
  </si>
  <si>
    <t xml:space="preserve">Needs: inflation rate, return</t>
  </si>
  <si>
    <t xml:space="preserve">C18 · Regular investing</t>
  </si>
  <si>
    <t xml:space="preserve">Category: Investments · prototype id: regularinvest</t>
  </si>
  <si>
    <t xml:space="preserve">Question it answers: What could investing monthly build?</t>
  </si>
  <si>
    <t xml:space="preserve">Shows what investing a monthly amount could build after fees, what the fees cost, and the value in today's money.</t>
  </si>
  <si>
    <t xml:space="preserve">Monthly amount invested</t>
  </si>
  <si>
    <t xml:space="preserve">Allowed: €0 to €1,000,000</t>
  </si>
  <si>
    <t xml:space="preserve">Monthly amount</t>
  </si>
  <si>
    <t xml:space="preserve">Type 3 · your figure · Your own figure. Allowed: €25 to €50,000 · steps of €25</t>
  </si>
  <si>
    <t xml:space="preserve">Growth a year (before fees)</t>
  </si>
  <si>
    <t xml:space="preserve">ƒx  =IF(COUNTA(Stmt_Monthly_Invested,Stmt_Charges,Stmt_Statement_Date)&gt;0,"Yes","No")</t>
  </si>
  <si>
    <t xml:space="preserve">ƒx  =IF(ISBLANK(Stmt_Monthly_Invested),Monthly_Amount,Stmt_Monthly_Invested)</t>
  </si>
  <si>
    <t xml:space="preserve">Could grow to after fees (today's money if you chose Yes)</t>
  </si>
  <si>
    <t xml:space="preserve">ƒx  =IF(Adjust_For_Inflation="Yes",Value_Today,Value_After_Fees)</t>
  </si>
  <si>
    <t xml:space="preserve">After fees</t>
  </si>
  <si>
    <t xml:space="preserve">ƒx  =FV((1+Growth_After_Fees)^(1/12)-1,Years*12,-Used_Monthly_Amount)</t>
  </si>
  <si>
    <t xml:space="preserve">Before fees</t>
  </si>
  <si>
    <t xml:space="preserve">ƒx  =FV((1+Growth_Rate)^(1/12)-1,Years*12,-Used_Monthly_Amount)</t>
  </si>
  <si>
    <t xml:space="preserve">ƒx  =Value_Before_Fees-Value_After_Fees</t>
  </si>
  <si>
    <t xml:space="preserve">ƒx  =Used_Monthly_Amount*12*Years</t>
  </si>
  <si>
    <t xml:space="preserve">ƒx  =IF(Inflation_Choice="","Choose your inflation rate to see this",Value_After_Fees/(1+Inflation_Choice)^Years)</t>
  </si>
  <si>
    <t xml:space="preserve">• Growth after fees = (1 + growth) × (1 − fees) − 1. Each value = FV(monthly rate, months, −monthly amount), monthly rate = (1 + yearly rate)^(1/12) − 1.</t>
  </si>
  <si>
    <t xml:space="preserve">• Fees cost = value before fees − value after fees. Today's money = after-fees value ÷ (1 + inflation)^years.</t>
  </si>
  <si>
    <t xml:space="preserve">• Results are before tax (exit tax 38%, deemed disposal; 1% levy on unit-linked premiums).</t>
  </si>
  <si>
    <t xml:space="preserve">Audit fix: the old goal sent the nominal value, which the plan then inflated again.</t>
  </si>
  <si>
    <t xml:space="preserve">Needs: growth rate, Used_Monthly_Amount, Used_Yearly_Fees, years</t>
  </si>
  <si>
    <t xml:space="preserve">Needs: growth rate, Used_Monthly_Amount, years</t>
  </si>
  <si>
    <t xml:space="preserve">Needs: Used_Monthly_Amount, years</t>
  </si>
  <si>
    <t xml:space="preserve">Needs: growth rate, inflation rate, Used_Monthly_Amount, Used_Yearly_Fees, years</t>
  </si>
  <si>
    <t xml:space="preserve">C19 · Fees impact</t>
  </si>
  <si>
    <t xml:space="preserve">Category: Investments · prototype id: fees</t>
  </si>
  <si>
    <t xml:space="preserve">Question it answers: How much do fees really cost over time?</t>
  </si>
  <si>
    <t xml:space="preserve">Compares what an investment could grow to with two different yearly fees.</t>
  </si>
  <si>
    <t xml:space="preserve">Amount invested</t>
  </si>
  <si>
    <t xml:space="preserve">Type 3 · your figure · Your own figure. In the app it is pre-filled from Your finances / statement: investments. Allowed: €1,000 to €10,000,000 · steps of €100</t>
  </si>
  <si>
    <t xml:space="preserve">Fee A a year</t>
  </si>
  <si>
    <t xml:space="preserve">Type 2 · range · Usually between 0.5% and 1.5% a year for fund charges (provider charges; your statement shows yours). Enter your own figure. Allowed: 0% to 3% · steps of 0.1%</t>
  </si>
  <si>
    <t xml:space="preserve">Fee B a year</t>
  </si>
  <si>
    <t xml:space="preserve">ƒx  =IF(ISBLANK(Stmt_Total_Value),Amount_Invested,Stmt_Total_Value)</t>
  </si>
  <si>
    <t xml:space="preserve">Fee A (your current fee)</t>
  </si>
  <si>
    <t xml:space="preserve">ƒx  =IF(NOT(ISBLANK(Stmt_Charges)),Stmt_Charges,IF(Statement_Uploaded="Yes",0,Fee_A))</t>
  </si>
  <si>
    <t xml:space="preserve">Difference</t>
  </si>
  <si>
    <t xml:space="preserve">ƒx  =ABS(Value_With_Fee_A-Value_With_Fee_B)</t>
  </si>
  <si>
    <t xml:space="preserve">With fee A</t>
  </si>
  <si>
    <t xml:space="preserve">ƒx  =Used_Amount_Invested*((1+Growth_Rate)*(1-Used_Fee_A))^Years</t>
  </si>
  <si>
    <t xml:space="preserve">With fee B</t>
  </si>
  <si>
    <t xml:space="preserve">ƒx  =Used_Amount_Invested*((1+Growth_Rate)*(1-Fee_B))^Years</t>
  </si>
  <si>
    <t xml:space="preserve">Fee difference a year</t>
  </si>
  <si>
    <t xml:space="preserve">ƒx  =ABS(Fee_B-Used_Fee_A)</t>
  </si>
  <si>
    <t xml:space="preserve">• Value with a fee = amount × ((1 + growth) × (1 − fee))^years: the fee comes off the fund each year (exact, not growth − fee).</t>
  </si>
  <si>
    <t xml:space="preserve">• Before tax.</t>
  </si>
  <si>
    <t xml:space="preserve">Needs: fee B, growth rate, Used_Amount_Invested, Used_Fee_A, years</t>
  </si>
  <si>
    <t xml:space="preserve">Needs: growth rate, Used_Amount_Invested, Used_Fee_A, years</t>
  </si>
  <si>
    <t xml:space="preserve">Needs: fee B, growth rate, Used_Amount_Invested, years</t>
  </si>
  <si>
    <t xml:space="preserve">Needs: fee B, Used_Fee_A</t>
  </si>
  <si>
    <t xml:space="preserve">C20 · Risk &amp; return simulator</t>
  </si>
  <si>
    <t xml:space="preserve">Category: Investments · prototype id: riskreturn</t>
  </si>
  <si>
    <t xml:space="preserve">Question it answers: What range of outcomes might each style have?</t>
  </si>
  <si>
    <t xml:space="preserve">Shows a weaker, middle and stronger outcome for a cautious, balanced or growth investment style.</t>
  </si>
  <si>
    <t xml:space="preserve">Holdings in shares % (if shown)</t>
  </si>
  <si>
    <t xml:space="preserve">Allowed: 0% to 100%</t>
  </si>
  <si>
    <t xml:space="preserve">Style: 1 Cautious · 2 Balanced · 3 Growth</t>
  </si>
  <si>
    <t xml:space="preserve">1, 2 or 3</t>
  </si>
  <si>
    <t xml:space="preserve">Type 3 · your choice · Generally the standard is 2 Balanced (an adviser checks your attitude to risk). Choose what you want to use. Allowed: 1 or 2 or 3</t>
  </si>
  <si>
    <t xml:space="preserve">Cautious: middle growth a year</t>
  </si>
  <si>
    <t xml:space="preserve">Type 3 · your choice · Generally the standard is 2% a year for Cautious (illustration). Choose what you want to use. Allowed: 0% to 8% · steps of 0.5%</t>
  </si>
  <si>
    <t xml:space="preserve">Balanced: middle growth a year</t>
  </si>
  <si>
    <t xml:space="preserve">Type 3 · your choice · Generally the standard is 4% a year for Balanced (illustration). Choose what you want to use. Allowed: 0% to 8% · steps of 0.5%</t>
  </si>
  <si>
    <t xml:space="preserve">Growth: middle growth a year</t>
  </si>
  <si>
    <t xml:space="preserve">Type 3 · your choice · Generally the standard is 6% a year for Growth (illustration). Choose what you want to use. Allowed: 0% to 8% · steps of 0.5%</t>
  </si>
  <si>
    <t xml:space="preserve">Cautious: volatility a year</t>
  </si>
  <si>
    <t xml:space="preserve">Type 3 · your choice · Generally the standard is 5% a year for Cautious (illustration). Choose what you want to use. Allowed: 0% to 25% · steps of 0.5%</t>
  </si>
  <si>
    <t xml:space="preserve">Balanced: volatility a year</t>
  </si>
  <si>
    <t xml:space="preserve">Type 3 · your choice · Generally the standard is 10% a year for Balanced (illustration). Choose what you want to use. Allowed: 0% to 25% · steps of 0.5%</t>
  </si>
  <si>
    <t xml:space="preserve">Growth: volatility a year</t>
  </si>
  <si>
    <t xml:space="preserve">Type 3 · your choice · Generally the standard is 16% a year for Growth (illustration). Choose what you want to use. Allowed: 0% to 25% · steps of 0.5%</t>
  </si>
  <si>
    <t xml:space="preserve">Style</t>
  </si>
  <si>
    <t xml:space="preserve">ƒx  =IF(ISBLANK(Stmt_Shares_Pct),Style,IF(Stmt_Shares_Pct&gt;=Shares_For_Growth,3,IF(Stmt_Shares_Pct&gt;=Shares_For_Balanced,2,1)))</t>
  </si>
  <si>
    <t xml:space="preserve">Middle outcome</t>
  </si>
  <si>
    <t xml:space="preserve">ƒx  =Used_Amount*(1+Middle_Growth)^Years</t>
  </si>
  <si>
    <t xml:space="preserve">Weaker outcome</t>
  </si>
  <si>
    <t xml:space="preserve">ƒx  =Used_Amount*(1+Middle_Growth-Spread)^Years</t>
  </si>
  <si>
    <t xml:space="preserve">Stronger outcome</t>
  </si>
  <si>
    <t xml:space="preserve">ƒx  =Used_Amount*(1+Middle_Growth+Spread)^Years</t>
  </si>
  <si>
    <t xml:space="preserve">About a 1-in-20 bad year could see a fall of around</t>
  </si>
  <si>
    <t xml:space="preserve">ƒx  =ROUND((Volatility*One_In_20_Z-Middle_Growth)*100,0)/100</t>
  </si>
  <si>
    <t xml:space="preserve">ƒx  =IF(OR(Used_Style&lt;1,Used_Style&gt;3,Used_Style&lt;&gt;INT(Used_Style)),"Choose 1, 2 or 3",INDEX(Risk_Names,Used_Style))</t>
  </si>
  <si>
    <t xml:space="preserve">Middle growth a year</t>
  </si>
  <si>
    <t xml:space="preserve">ƒx  =CHOOSE(Used_Style,Mu_Cautious,Mu_Balanced,Mu_Growth)</t>
  </si>
  <si>
    <t xml:space="preserve">Volatility a year</t>
  </si>
  <si>
    <t xml:space="preserve">ƒx  =CHOOSE(Used_Style,Vol_Cautious,Vol_Balanced,Vol_Growth)</t>
  </si>
  <si>
    <t xml:space="preserve">Spread a year over the period</t>
  </si>
  <si>
    <t xml:space="preserve">ƒx  =Volatility/SQRT(Years)</t>
  </si>
  <si>
    <t xml:space="preserve">• Middle = amount × (1 + middle growth)^years. Weaker / stronger = the same with growth − / + spread, where spread = volatility ÷ √years (ranges narrow over time).</t>
  </si>
  <si>
    <t xml:space="preserve">• A 1-in-20 bad year = middle growth − 1.645 × volatility (audit #81), shown as a fall rounded to a whole %.</t>
  </si>
  <si>
    <t xml:space="preserve">• Style must be 1, 2 or 3 (list): no decimals, so no "€NaN".</t>
  </si>
  <si>
    <t xml:space="preserve">• Illustrative only; "weaker" is roughly a 1-in-6 chance of doing worse, not the worst case.</t>
  </si>
  <si>
    <t xml:space="preserve">Needs: balanced growth, cautious growth, growth-style growth, Used_Amount, Used_Style, years</t>
  </si>
  <si>
    <t xml:space="preserve">Needs: balanced growth, cautious growth, growth-style growth, Used_Amount, Used_Style, balanced volatility, cautious volatility, growth-style volatility, years</t>
  </si>
  <si>
    <t xml:space="preserve">Needs: balanced growth, cautious growth, growth-style growth, Used_Style, balanced volatility, cautious volatility, growth-style volatility</t>
  </si>
  <si>
    <t xml:space="preserve">Needs: Used_Style</t>
  </si>
  <si>
    <t xml:space="preserve">Needs: balanced growth, cautious growth, growth-style growth, Used_Style</t>
  </si>
  <si>
    <t xml:space="preserve">Needs: Used_Style, balanced volatility, cautious volatility, growth-style volatility</t>
  </si>
  <si>
    <t xml:space="preserve">Needs: Used_Style, balanced volatility, cautious volatility, growth-style volatility, years</t>
  </si>
  <si>
    <t xml:space="preserve">C21 · Life cover estimator</t>
  </si>
  <si>
    <t xml:space="preserve">Category: Protection · prototype id: lifecover</t>
  </si>
  <si>
    <t xml:space="preserve">Question it answers: How much cover might my family need?</t>
  </si>
  <si>
    <t xml:space="preserve">Estimates the life cover gap: income your family would need, plus debts to clear, less what you already have.</t>
  </si>
  <si>
    <t xml:space="preserve">Type 3 · your figure · Your own figure. In the app it is pre-filled from Your finances: income. Allowed: €0 to €3,000,000 · steps of €1,000</t>
  </si>
  <si>
    <t xml:space="preserve">Years your family would need support</t>
  </si>
  <si>
    <t xml:space="preserve">Type 3 · your choice · Generally the standard is until your youngest child is 23. Choose what you want to use. Allowed: 1 to 30 · steps of 1</t>
  </si>
  <si>
    <t xml:space="preserve">Share of your income your family would need</t>
  </si>
  <si>
    <t xml:space="preserve">Type 3 · your choice · Generally the standard is 60% of your income (families usually need less than full pay). Choose what you want to use. Allowed: 30% to 100% · steps of 5%</t>
  </si>
  <si>
    <t xml:space="preserve">Type 3 · your figure · Your own figure. In the app it is pre-filled from Your finances: mortgage balance. Allowed: €0 to €10,000,000 · steps of €5,000</t>
  </si>
  <si>
    <t xml:space="preserve">Is the mortgage cleared by mortgage protection? (most are)</t>
  </si>
  <si>
    <t xml:space="preserve">Type 3 · your figure · Your own figure. Allowed: Yes or No</t>
  </si>
  <si>
    <t xml:space="preserve">Other debts</t>
  </si>
  <si>
    <t xml:space="preserve">Type 3 · your figure · Your own figure. In the app it is pre-filled from Your finances: debts. Allowed: €0 to €2,000,000 · steps of €1,000</t>
  </si>
  <si>
    <t xml:space="preserve">Savings &amp; investments</t>
  </si>
  <si>
    <t xml:space="preserve">Type 3 · your figure · Your own figure. In the app it is pre-filled from Your finances: cash + investments. Allowed: €0 to €10,000,000 · steps of €1,000</t>
  </si>
  <si>
    <t xml:space="preserve">Existing life cover (incl. through work)</t>
  </si>
  <si>
    <t xml:space="preserve">Type 3 · your figure · Your own figure. Allowed: €0 to €20,000,000 · steps of €10,000</t>
  </si>
  <si>
    <t xml:space="preserve">State survivor's pension a week (0 if none)</t>
  </si>
  <si>
    <t xml:space="preserve">€ a week</t>
  </si>
  <si>
    <t xml:space="preserve">Type 2 · range · Usually between €0 and €299.30 a week: €259.50 under 66, €299.30 at 66+ (DSP 2026; depends on PRSI; cohabitants can qualify for the Bereaved Partner's Pension). Enter your own figure. Allowed: €0 to €1,000 · steps of €0.50</t>
  </si>
  <si>
    <t xml:space="preserve">Illustrative cover gap</t>
  </si>
  <si>
    <t xml:space="preserve">ƒx  =MAX(0,Income_Need+Debts_To_Clear-Already_Have)</t>
  </si>
  <si>
    <t xml:space="preserve">Income your family would need (after State pension)</t>
  </si>
  <si>
    <t xml:space="preserve">ƒx  =MAX(0,Yearly_Income*Life_Replace-Survivor_Pension*Weeks_Per_Year)*Years_Support</t>
  </si>
  <si>
    <t xml:space="preserve">Debts to clear</t>
  </si>
  <si>
    <t xml:space="preserve">ƒx  =IF(Mortgage_Protected="Yes",0,Used_Mortgage_Balance)+Other_Debts</t>
  </si>
  <si>
    <t xml:space="preserve">Existing cover + savings</t>
  </si>
  <si>
    <t xml:space="preserve">ƒx  =Existing_Cover+Savings</t>
  </si>
  <si>
    <t xml:space="preserve">Income replacement before State pension (60%)</t>
  </si>
  <si>
    <t xml:space="preserve">ƒx  =Yearly_Income*Life_Replace*Years_Support</t>
  </si>
  <si>
    <t xml:space="preserve">• Income need = (60% of gross income − State survivor's pension × 52) a year × years of support (never below 0).</t>
  </si>
  <si>
    <t xml:space="preserve">• Debts to clear = other debts, plus the mortgage only if mortgage protection does not already clear it (it is required for most home loans, CCA 1995 s.126).</t>
  </si>
  <si>
    <t xml:space="preserve">• Gap = income need + debts − existing cover − savings (never below 0).</t>
  </si>
  <si>
    <t xml:space="preserve">• Income need is not discounted (assumes the payout earns about inflation).</t>
  </si>
  <si>
    <t xml:space="preserve">• Survivor's pension defaults to the 2026 rate under 66 (€259.50 a week); enter 0 if it would not be paid.</t>
  </si>
  <si>
    <t xml:space="preserve">ƒx  ="No goal: record a protection need for the adviser"</t>
  </si>
  <si>
    <t xml:space="preserve">Life cover need</t>
  </si>
  <si>
    <t xml:space="preserve">ƒx  =Cover_Gap</t>
  </si>
  <si>
    <t xml:space="preserve">Audit fix: life cover is bought for a premium; it is not money to save.</t>
  </si>
  <si>
    <t xml:space="preserve">Needs: existing life cover, share of income needed, mortgage protection answer, other debts, savings &amp; investments, survivor's pension, Used_Mortgage_Balance, gross yearly income, years of support</t>
  </si>
  <si>
    <t xml:space="preserve">Needs: share of income needed, survivor's pension, gross yearly income, years of support</t>
  </si>
  <si>
    <t xml:space="preserve">Needs: mortgage protection answer, other debts, Used_Mortgage_Balance</t>
  </si>
  <si>
    <t xml:space="preserve">Needs: existing life cover, savings &amp; investments</t>
  </si>
  <si>
    <t xml:space="preserve">Needs: share of income needed, gross yearly income, years of support</t>
  </si>
  <si>
    <t xml:space="preserve">C22 · Income protection gap</t>
  </si>
  <si>
    <t xml:space="preserve">Category: Protection · prototype id: incomegap</t>
  </si>
  <si>
    <t xml:space="preserve">Question it answers: How long could I cope if I couldn't work?</t>
  </si>
  <si>
    <t xml:space="preserve">Shows how long you could cope if you couldn't work, after Illness Benefit, and the income protection to aim for.</t>
  </si>
  <si>
    <t xml:space="preserve">Months of sick pay from your employer's scheme</t>
  </si>
  <si>
    <t xml:space="preserve">Type 3 · your figure · Your own figure. Allowed: 0 to 12 · steps of 1</t>
  </si>
  <si>
    <t xml:space="preserve">Type 3 · your figure · Your own figure. In the app it is pre-filled from Your finances: cash. Allowed: €0 to €2,000,000 · steps of €500</t>
  </si>
  <si>
    <t xml:space="preserve">Illness Benefit a week</t>
  </si>
  <si>
    <t xml:space="preserve">Type 2 · range · Usually between €0 and €254 a week (DSP 2026 maximum; lower if you earned under €300 a week; needs enough PRSI). Enter your own figure. Allowed: €0 to €500 · steps of €0.50</t>
  </si>
  <si>
    <t xml:space="preserve">You could cope for about (months)</t>
  </si>
  <si>
    <t xml:space="preserve">ƒx  =IF(Monthly_Gap=0,"Indefinitely",Sick_Pay_Months+Savings/Monthly_Gap)</t>
  </si>
  <si>
    <t xml:space="preserve">Monthly gap after Illness Benefit</t>
  </si>
  <si>
    <t xml:space="preserve">ƒx  =MAX(0,Essential_Spending-Illness_Benefit_Month)</t>
  </si>
  <si>
    <t xml:space="preserve">Income protection to aim for, a month</t>
  </si>
  <si>
    <t xml:space="preserve">ƒx  =MIN(Monthly_Gap,IP_Max)</t>
  </si>
  <si>
    <t xml:space="preserve">Illness Benefit a month (weekly × 52 ÷ 12)</t>
  </si>
  <si>
    <t xml:space="preserve">ƒx  =Illness_Benefit*Weeks_Per_Year/12</t>
  </si>
  <si>
    <t xml:space="preserve">Savings would cover (months)</t>
  </si>
  <si>
    <t xml:space="preserve">ƒx  =IF(Monthly_Gap=0,"Indefinitely",Savings/Monthly_Gap)</t>
  </si>
  <si>
    <t xml:space="preserve">Most income protection allowed, a month (75% of income less Illness Benefit)</t>
  </si>
  <si>
    <t xml:space="preserve">ƒx  =MAX(0,Gross_Income*IP_Max_Pct/12-Illness_Benefit_Month)</t>
  </si>
  <si>
    <t xml:space="preserve">• Illness Benefit a month = weekly rate (default €254, the 2026 maximum) × 52 ÷ 12. Monthly gap = essential spending − Illness Benefit (never below 0).</t>
  </si>
  <si>
    <t xml:space="preserve">• Months you could cope = sick-pay months + savings ÷ monthly gap.</t>
  </si>
  <si>
    <t xml:space="preserve">• Income protection to aim for = the gap, but no more than 75% of gross income less Illness Benefit (insurers' usual maximum).</t>
  </si>
  <si>
    <t xml:space="preserve">• If Illness Benefit covers the spending, show "Indefinitely".</t>
  </si>
  <si>
    <t xml:space="preserve">• Illness Benefit depends on PRSI contributions and starts after waiting days; statutory sick pay is only 5 days.</t>
  </si>
  <si>
    <t xml:space="preserve">ƒx  ="No goal: record an income protection need for the adviser"</t>
  </si>
  <si>
    <t xml:space="preserve">Income protection need, a month</t>
  </si>
  <si>
    <t xml:space="preserve">ƒx  =IP_Needed</t>
  </si>
  <si>
    <t xml:space="preserve">Needs: essential monthly spending, Illness Benefit amount, easy-access savings, months of sick pay from your employer's scheme</t>
  </si>
  <si>
    <t xml:space="preserve">Needs: essential monthly spending, Illness Benefit amount</t>
  </si>
  <si>
    <t xml:space="preserve">Needs: essential monthly spending, gross yearly income, Illness Benefit amount</t>
  </si>
  <si>
    <t xml:space="preserve">Needs: Illness Benefit amount</t>
  </si>
  <si>
    <t xml:space="preserve">Needs: essential monthly spending, Illness Benefit amount, easy-access savings</t>
  </si>
  <si>
    <t xml:space="preserve">Needs: gross yearly income, Illness Benefit amount</t>
  </si>
  <si>
    <t xml:space="preserve">C23 · Mortgage protection</t>
  </si>
  <si>
    <t xml:space="preserve">Category: Protection · prototype id: mortgageprotect</t>
  </si>
  <si>
    <t xml:space="preserve">Question it answers: What cover would clear my mortgage?</t>
  </si>
  <si>
    <t xml:space="preserve">Shows the cover needed to clear your mortgage today and how the balance falls over time.</t>
  </si>
  <si>
    <t xml:space="preserve">Type 3 · your figure · Your own figure. In the app it is pre-filled from Your finances / statement: balance. Allowed: €20,000 to €10,000,000 · steps of €5,000</t>
  </si>
  <si>
    <t xml:space="preserve">Type 3 · your figure · Your own figure. In the app it is pre-filled from Your finances / statement: rate. Allowed: 1% to 8% · steps of 0.05%</t>
  </si>
  <si>
    <t xml:space="preserve">Type 3 · your figure · Your own figure. In the app it is pre-filled from Your finances / statement: stated repayment. Allowed: €0 to €100,000 · steps of €1</t>
  </si>
  <si>
    <t xml:space="preserve">Cover needed today</t>
  </si>
  <si>
    <t xml:space="preserve">ƒx  =Used_Mortgage_Balance</t>
  </si>
  <si>
    <t xml:space="preserve">Balance in 5 years</t>
  </si>
  <si>
    <t xml:space="preserve">ƒx  =IF(Warning&lt;&gt;"","—",MAX(0,-FV(Monthly_Rate,MP_Year_1*12,-Repayment,Used_Mortgage_Balance)))</t>
  </si>
  <si>
    <t xml:space="preserve">Balance in 10 years</t>
  </si>
  <si>
    <t xml:space="preserve">ƒx  =IF(Warning&lt;&gt;"","—",MAX(0,-FV(Monthly_Rate,MP_Year_2*12,-Repayment,Used_Mortgage_Balance)))</t>
  </si>
  <si>
    <t xml:space="preserve">Balance in 15 years</t>
  </si>
  <si>
    <t xml:space="preserve">ƒx  =IF(Warning&lt;&gt;"","—",MAX(0,-FV(Monthly_Rate,MP_Year_3*12,-Repayment,Used_Mortgage_Balance)))</t>
  </si>
  <si>
    <t xml:space="preserve">Monthly repayment used</t>
  </si>
  <si>
    <t xml:space="preserve">• Balance after n years = −FV(rate ÷ 12, n × 12, −repayment, balance): the closed-form outstanding balance; 0 once the mortgage is paid off.</t>
  </si>
  <si>
    <t xml:space="preserve">• If the repayment does not cover the interest, show the warning and no future balances (they would grow).</t>
  </si>
  <si>
    <t xml:space="preserve">Needs: Used_Mortgage_Balance</t>
  </si>
  <si>
    <t xml:space="preserve">C24 · Net worth</t>
  </si>
  <si>
    <t xml:space="preserve">Category: Everyday Money · prototype id: networth</t>
  </si>
  <si>
    <t xml:space="preserve">Question it answers: What am I worth, all in?</t>
  </si>
  <si>
    <t xml:space="preserve">Adds up what you own and what you owe.</t>
  </si>
  <si>
    <t xml:space="preserve">Document: Mortgage statement, property valuation, pension statement, investment statement. Blank = no statement uploaded, or the figure is not on it. Grey-blue cells are filled by the reader (you can type here to test).</t>
  </si>
  <si>
    <t xml:space="preserve">Property value (valuation)</t>
  </si>
  <si>
    <t xml:space="preserve">Savings</t>
  </si>
  <si>
    <t xml:space="preserve">Type 3 · your figure · Your own figure. In the app it is pre-filled from Your finances: cash. Allowed: €0 to €10,000,000 · steps of €500</t>
  </si>
  <si>
    <t xml:space="preserve">Type 3 · your figure · Your own figure. In the app it is pre-filled from Your finances: investments. Allowed: €0 to €20,000,000 · steps of €1,000</t>
  </si>
  <si>
    <t xml:space="preserve">Pensions</t>
  </si>
  <si>
    <t xml:space="preserve">Type 3 · your figure · Your own figure. In the app it is pre-filled from Your finances: pension. Allowed: €0 to €30,000,000 · steps of €1,000</t>
  </si>
  <si>
    <t xml:space="preserve">Property value</t>
  </si>
  <si>
    <t xml:space="preserve">Type 3 · your figure · Your own figure. In the app it is pre-filled from Your finances: home + other property. Allowed: €0 to €50,000,000 · steps of €5,000</t>
  </si>
  <si>
    <t xml:space="preserve">Type 3 · your figure · Your own figure. In the app it is pre-filled from Your finances: mortgage balance. Allowed: €0 to €30,000,000 · steps of €5,000</t>
  </si>
  <si>
    <t xml:space="preserve">Other loans</t>
  </si>
  <si>
    <t xml:space="preserve">Type 3 · your figure · Your own figure. In the app it is pre-filled from Your finances: debts. Allowed: €0 to €5,000,000 · steps of €500</t>
  </si>
  <si>
    <t xml:space="preserve">ƒx  =IF(ISBLANK(Stmt_Mortgage_Balance),Mortgage,Stmt_Mortgage_Balance)</t>
  </si>
  <si>
    <t xml:space="preserve">ƒx  =IF(ISBLANK(Stmt_Property_Value),Property,Stmt_Property_Value)</t>
  </si>
  <si>
    <t xml:space="preserve">ƒx  =IF(ISBLANK(Stmt_Pension_Value),Pensions,Stmt_Pension_Value)</t>
  </si>
  <si>
    <t xml:space="preserve">ƒx  =IF(ISBLANK(Stmt_Investment_Value),Investments,Stmt_Investment_Value)</t>
  </si>
  <si>
    <t xml:space="preserve">Your net worth</t>
  </si>
  <si>
    <t xml:space="preserve">ƒx  =You_Own-You_Owe</t>
  </si>
  <si>
    <t xml:space="preserve">You own</t>
  </si>
  <si>
    <t xml:space="preserve">ƒx  =Savings+Used_Investments+Used_Pensions+Used_Property</t>
  </si>
  <si>
    <t xml:space="preserve">You owe</t>
  </si>
  <si>
    <t xml:space="preserve">ƒx  =Used_Mortgage+Other_Loans</t>
  </si>
  <si>
    <t xml:space="preserve">• Net worth = everything you own − everything you owe.</t>
  </si>
  <si>
    <t xml:space="preserve">• Can be negative. Pensions are before tax; property is before selling costs.</t>
  </si>
  <si>
    <t xml:space="preserve">Needs: other loans, savings, Used_Investments, Used_Mortgage, Used_Pensions, Used_Property</t>
  </si>
  <si>
    <t xml:space="preserve">Needs: savings, Used_Investments, Used_Pensions, Used_Property</t>
  </si>
  <si>
    <t xml:space="preserve">Needs: other loans, Used_Mortgage</t>
  </si>
  <si>
    <t xml:space="preserve">C25 · Monthly surplus</t>
  </si>
  <si>
    <t xml:space="preserve">Category: Everyday Money · prototype id: surplus</t>
  </si>
  <si>
    <t xml:space="preserve">Question it answers: What is left at the end of the month?</t>
  </si>
  <si>
    <t xml:space="preserve">Shows what is left of your take-home pay each month.</t>
  </si>
  <si>
    <t xml:space="preserve">Take-home pay per month (leave blank to use the Tax engine)</t>
  </si>
  <si>
    <t xml:space="preserve">Type 3 · optional · Optional: leave blank for none. Allowed: €500 to €200,000 · steps of €50</t>
  </si>
  <si>
    <t xml:space="preserve">Essentials (rent/mortgage, bills, food)</t>
  </si>
  <si>
    <t xml:space="preserve">Type 3 · your figure · Your own figure. In the app it is pre-filled from Your finances: costs + one-offs ÷ 12 + mortgage. Allowed: €0 to €150,000 · steps of €50</t>
  </si>
  <si>
    <t xml:space="preserve">Lifestyle spending</t>
  </si>
  <si>
    <t xml:space="preserve">Type 3 · your figure · Your own figure. Allowed: €0 to €100,000 · steps of €50</t>
  </si>
  <si>
    <t xml:space="preserve">Debt repayments</t>
  </si>
  <si>
    <t xml:space="preserve">Type 3 · your figure · Your own figure. In the app it is pre-filled from Your finances: debt repayments. Allowed: €0 to €50,000 · steps of €25</t>
  </si>
  <si>
    <t xml:space="preserve">Take-home pay per month</t>
  </si>
  <si>
    <t xml:space="preserve">ƒx  =IF(Take_Home="",TE_Take_Home_Month,Take_Home)</t>
  </si>
  <si>
    <t xml:space="preserve">Monthly surplus</t>
  </si>
  <si>
    <t xml:space="preserve">ƒx  =Used_Take_Home-Essentials-Lifestyle-Debt_Repayments</t>
  </si>
  <si>
    <t xml:space="preserve">Going out</t>
  </si>
  <si>
    <t xml:space="preserve">ƒx  =Essentials+Lifestyle+Debt_Repayments</t>
  </si>
  <si>
    <t xml:space="preserve">• Surplus = take-home − essentials − lifestyle − debt repayments.</t>
  </si>
  <si>
    <t xml:space="preserve">• €0 shows "Nothing left over this month"; below €0 shows "Spending is above income".</t>
  </si>
  <si>
    <t xml:space="preserve">ƒx  =IF(Surplus&gt;0,"Save my surplus (plan kind pot)","No goal")</t>
  </si>
  <si>
    <t xml:space="preserve">Amount (a year)</t>
  </si>
  <si>
    <t xml:space="preserve">ƒx  =IF(Surplus&gt;0,ROUND(Surplus*12,0),"—")</t>
  </si>
  <si>
    <t xml:space="preserve">ƒx  =IF(Surplus&gt;0,1,"—")</t>
  </si>
  <si>
    <t xml:space="preserve">Needs: debt repayments, essentials, lifestyle spending, Used_Take_Home</t>
  </si>
  <si>
    <t xml:space="preserve">Needs: debt repayments, essentials, lifestyle spending</t>
  </si>
  <si>
    <t xml:space="preserve">C26 · Budget (50/30/20)</t>
  </si>
  <si>
    <t xml:space="preserve">Category: Everyday Money · prototype id: budget</t>
  </si>
  <si>
    <t xml:space="preserve">Question it answers: A simple way to split your pay</t>
  </si>
  <si>
    <t xml:space="preserve">Splits take-home pay 50% needs, 30% wants, 20% savings and debt.</t>
  </si>
  <si>
    <t xml:space="preserve">Share for needs</t>
  </si>
  <si>
    <t xml:space="preserve">Type 3 · your choice · Generally the standard is 50% for needs (the 50/30/20 rule of thumb). Choose what you want to use. Allowed: 0% to 100% · steps of 5%</t>
  </si>
  <si>
    <t xml:space="preserve">Share for wants</t>
  </si>
  <si>
    <t xml:space="preserve">Type 3 · your choice · Generally the standard is 30% for wants (the 50/30/20 rule of thumb). Choose what you want to use. Allowed: 0% to 100% · steps of 5%</t>
  </si>
  <si>
    <t xml:space="preserve">Share for savings and debt</t>
  </si>
  <si>
    <t xml:space="preserve">Type 3 · your choice · Generally the standard is 20% for savings and debt (the 50/30/20 rule of thumb). Choose what you want to use. Allowed: 0% to 100% · steps of 5%</t>
  </si>
  <si>
    <t xml:space="preserve">Save each month</t>
  </si>
  <si>
    <t xml:space="preserve">ƒx  =Used_Take_Home*Budget_Save</t>
  </si>
  <si>
    <t xml:space="preserve">Needs</t>
  </si>
  <si>
    <t xml:space="preserve">ƒx  =Used_Take_Home*Budget_Needs</t>
  </si>
  <si>
    <t xml:space="preserve">Wants</t>
  </si>
  <si>
    <t xml:space="preserve">ƒx  =Used_Take_Home*Budget_Wants</t>
  </si>
  <si>
    <t xml:space="preserve">• Each part = take-home × its share (Assumptions).</t>
  </si>
  <si>
    <t xml:space="preserve">• A rule of thumb, applied to take-home (net) pay.</t>
  </si>
  <si>
    <t xml:space="preserve">Needs: share for needs, share for savings, share for wants</t>
  </si>
  <si>
    <t xml:space="preserve">Needs: share for savings, Used_Take_Home</t>
  </si>
  <si>
    <t xml:space="preserve">Needs: share for needs, Used_Take_Home</t>
  </si>
  <si>
    <t xml:space="preserve">Needs: share for wants, Used_Take_Home</t>
  </si>
  <si>
    <t xml:space="preserve">C27 · Debt repayment</t>
  </si>
  <si>
    <t xml:space="preserve">Category: Everyday Money · prototype id: debtpay</t>
  </si>
  <si>
    <t xml:space="preserve">Question it answers: How fast can I clear my debt?</t>
  </si>
  <si>
    <t xml:space="preserve">Shows how long it takes to clear a debt at your monthly payment and the interest you would pay.</t>
  </si>
  <si>
    <t xml:space="preserve">Balance</t>
  </si>
  <si>
    <t xml:space="preserve">Type 3 · your figure · Your own figure. In the app it is pre-filled from Your finances: the debt that takes longest to clear. Allowed: €100 to €1,000,000 · steps of €100</t>
  </si>
  <si>
    <t xml:space="preserve">Interest (APR)</t>
  </si>
  <si>
    <t xml:space="preserve">Type 2 · range · Usually between 13% and 23% APR for Irish credit cards (Central Bank review, 2026); your statement shows yours. In the app it is pre-filled from Your finances: that debt's rate (else 20% card / 8% loan). Enter your own figure. Allowed: 0% to 35% · steps of 0.5%</t>
  </si>
  <si>
    <t xml:space="preserve">Monthly payment</t>
  </si>
  <si>
    <t xml:space="preserve">Type 3 · your figure · Your own figure. In the app it is pre-filled from Your finances: that debt's repayment. Allowed: €10 to €50,000 · steps of €10</t>
  </si>
  <si>
    <t xml:space="preserve">What if: pay extra each month</t>
  </si>
  <si>
    <t xml:space="preserve">Type 3 · optional · Optional: leave blank for none. Allowed: €0 to €10,000 · steps of €10</t>
  </si>
  <si>
    <t xml:space="preserve">Debt free in (months)</t>
  </si>
  <si>
    <t xml:space="preserve">ƒx  =IF(Payment&lt;=Balance*Monthly_Rate,"Never",ROUNDUP(ROUND(NPER(Monthly_Rate,-Payment,Balance),6),0))</t>
  </si>
  <si>
    <t xml:space="preserve">ƒx  =IF(Months_To_Clear="Never","—",Payment*(Months_To_Clear-1)+Final_Payment-Balance)</t>
  </si>
  <si>
    <t xml:space="preserve">Monthly interest rate from the APR</t>
  </si>
  <si>
    <t xml:space="preserve">ƒx  =(1+APR)^(1/12)-1</t>
  </si>
  <si>
    <t xml:space="preserve">Monthly payment incl. extra</t>
  </si>
  <si>
    <t xml:space="preserve">ƒx  =Monthly_Payment+Extra_Payment</t>
  </si>
  <si>
    <t xml:space="preserve">ƒx  =IF(Months_To_Clear="Never","—",-FV(Monthly_Rate,Months_To_Clear-1,-Payment,Balance)*(1+Monthly_Rate))</t>
  </si>
  <si>
    <t xml:space="preserve">• An APR is an effective yearly rate (EU Consumer Credit Directive), so the monthly rate = (1 + APR)^(1/12) − 1 (audit Should fix; not APR ÷ 12).</t>
  </si>
  <si>
    <t xml:space="preserve">• Months = NPER(monthly rate, −payment, balance), rounded up. Total interest = full payments + last part payment − balance.</t>
  </si>
  <si>
    <t xml:space="preserve">• More than 1,200 months shows "Payment too low to clear this debt in a reasonable time"; no goal is sent.</t>
  </si>
  <si>
    <t xml:space="preserve">ƒx  ="No goal (the plan already repays this debt)"</t>
  </si>
  <si>
    <t xml:space="preserve">Audit fix: the old goal sent the balance as a cash spend, double-counting the repayments.</t>
  </si>
  <si>
    <t xml:space="preserve">Needs: interest rate (APR), balance, monthly payment</t>
  </si>
  <si>
    <t xml:space="preserve">Needs: interest rate (APR)</t>
  </si>
  <si>
    <t xml:space="preserve">Needs: monthly payment</t>
  </si>
  <si>
    <t xml:space="preserve">C28 · Loan repayment</t>
  </si>
  <si>
    <t xml:space="preserve">Category: Everyday Money · prototype id: loan</t>
  </si>
  <si>
    <t xml:space="preserve">Question it answers: What would a loan cost me?</t>
  </si>
  <si>
    <t xml:space="preserve">Shows the monthly repayment and total cost of a loan.</t>
  </si>
  <si>
    <t xml:space="preserve">Loan amount</t>
  </si>
  <si>
    <t xml:space="preserve">Type 3 · your figure · Your own figure. Allowed: €500 to €1,000,000 · steps of €500</t>
  </si>
  <si>
    <t xml:space="preserve">Type 2 · range · Usually between 6% and 10% APR for personal loans (Central Bank: new lending averaged 7.48%, June 2026); credit unions often charge less. Enter your own figure. Allowed: 0% to 25% · steps of 0.5%</t>
  </si>
  <si>
    <t xml:space="preserve">ƒx  =PMT(Monthly_Rate,Years*12,-Loan_Amount)</t>
  </si>
  <si>
    <t xml:space="preserve">ƒx  =Total_Repaid-Loan_Amount</t>
  </si>
  <si>
    <t xml:space="preserve">ƒx  =Monthly_Repayment*Years*12</t>
  </si>
  <si>
    <t xml:space="preserve">• Monthly rate = (1 + APR)^(1/12) − 1 (APR is an effective yearly rate). Repayment = PMT(monthly rate, months, −amount).</t>
  </si>
  <si>
    <t xml:space="preserve">• Total repaid = repayment × months; total interest = total repaid − amount.</t>
  </si>
  <si>
    <t xml:space="preserve">Needs: interest rate (APR), loan amount, years</t>
  </si>
  <si>
    <t xml:space="preserve">Tax engine: take-home pay, 2026 rules</t>
  </si>
  <si>
    <t xml:space="preserve">Irish rules 2026 · checked 2 Oct 2026 · income tax bands and credits, USC and PRSI Class A (all values from the Assumptions register). Used by C25 and C26.</t>
  </si>
  <si>
    <t xml:space="preserve">Example only</t>
  </si>
  <si>
    <t xml:space="preserve">Value used</t>
  </si>
  <si>
    <t xml:space="preserve">Tax status</t>
  </si>
  <si>
    <t xml:space="preserve">Type 3 · your figure. Single, Single parent (main carer of a child, no partner), Married one earner, Married two earners (also civil partners).</t>
  </si>
  <si>
    <t xml:space="preserve">Single</t>
  </si>
  <si>
    <t xml:space="preserve">Your gross yearly pay</t>
  </si>
  <si>
    <t xml:space="preserve">Type 3 · your figure. Gross pay before tax, € a year.</t>
  </si>
  <si>
    <t xml:space="preserve">Partner's gross yearly pay (married two earners only)</t>
  </si>
  <si>
    <t xml:space="preserve">Type 3 · optional: leave blank for none. Used only when the status is Married two earners.</t>
  </si>
  <si>
    <t xml:space="preserve">Do you pay rent on your home, not to a relative? (Rent Tax Credit)</t>
  </si>
  <si>
    <t xml:space="preserve">Type 3 · your figure. Rent Tax Credit €1,000 single / €2,000 jointly assessed, to end-2028.</t>
  </si>
  <si>
    <t xml:space="preserve">Home Carer Tax Credit applies? (married one earner caring for a dependant)</t>
  </si>
  <si>
    <t xml:space="preserve">Type 3 · your figure. €1,950 (verify the 2026 rate and carer-income limit).</t>
  </si>
  <si>
    <t xml:space="preserve">PRSI rate basis</t>
  </si>
  <si>
    <t xml:space="preserve">Type 3 · optional: leave blank for none. From 1 Oct 2026 = 4.35%. Calendar 2026 blend = 4.2375% (9 months at 4.2%, 3 at 4.35%).</t>
  </si>
  <si>
    <t xml:space="preserve">From 1 Oct 2026</t>
  </si>
  <si>
    <t xml:space="preserve">RESULTS (for the inputs above)</t>
  </si>
  <si>
    <t xml:space="preserve">PRSI rate used</t>
  </si>
  <si>
    <t xml:space="preserve">ƒx  =IF(TE_PRSI_Basis="Calendar 2026 blend",PRSI_Rate_2026_Blend,PRSI_Rate)</t>
  </si>
  <si>
    <t xml:space="preserve">Partner's pay counted</t>
  </si>
  <si>
    <t xml:space="preserve">ƒx  =IF(TE_Need&lt;&gt;"",TE_Need,IF(TE_Status="Married two earners",TE_Gross_2,0))</t>
  </si>
  <si>
    <t xml:space="preserve">Standard-rate band</t>
  </si>
  <si>
    <t xml:space="preserve">ƒx  =IF(TE_Need&lt;&gt;"",TE_Need,IF(TE_Status="Single",Band_Single,IF(TE_Status="Single parent",Band_Single_Parent,IF(TE_Status="Married one earner",Band_Married,Band_Married+MIN(MIN(TE_Gross_1,TE_Gross_2),Band_Second_Earner_Max)))))</t>
  </si>
  <si>
    <t xml:space="preserve">Income taxed (household)</t>
  </si>
  <si>
    <t xml:space="preserve">ƒx  =IF(TE_Need&lt;&gt;"",TE_Need,TE_Gross_1+TE_Earner_2)</t>
  </si>
  <si>
    <t xml:space="preserve">Income tax before credits</t>
  </si>
  <si>
    <t xml:space="preserve">ƒx  =IF(TE_Need&lt;&gt;"",TE_Need,Rate_Standard*MIN(TE_Taxable,TE_Band)+Rate_Higher*MAX(0,TE_Taxable-TE_Band))</t>
  </si>
  <si>
    <t xml:space="preserve">Tax credits</t>
  </si>
  <si>
    <t xml:space="preserve">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</si>
  <si>
    <t xml:space="preserve">Income tax</t>
  </si>
  <si>
    <t xml:space="preserve">ƒx  =IF(TE_Need&lt;&gt;"",TE_Need,MAX(0,TE_Tax_Before_Credits-TE_Credits))</t>
  </si>
  <si>
    <t xml:space="preserve">USC (each earner separately)</t>
  </si>
  <si>
    <t xml:space="preserve">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</si>
  <si>
    <t xml:space="preserve">PRSI (each earner separately, Class A with the PRSI credit)</t>
  </si>
  <si>
    <t xml:space="preserve">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</si>
  <si>
    <t xml:space="preserve">Take-home pay a year (household)</t>
  </si>
  <si>
    <t xml:space="preserve">ƒx  =IF(TE_Need&lt;&gt;"",TE_Need,TE_Taxable-TE_Income_Tax-TE_USC-TE_PRSI)</t>
  </si>
  <si>
    <t xml:space="preserve">Take-home pay a month (used by C25, C26)</t>
  </si>
  <si>
    <t xml:space="preserve">ƒx  =IF(TE_Need&lt;&gt;"",TE_Need,TE_Take_Home/12)</t>
  </si>
  <si>
    <t xml:space="preserve">Marginal income-tax rate (pre-fills the C13 / C14 tax rate)</t>
  </si>
  <si>
    <t xml:space="preserve">ƒx  =IF(TE_Need&lt;&gt;"",TE_Need,IF(TE_Taxable&gt;TE_Band,Rate_Higher,Rate_Standard))</t>
  </si>
  <si>
    <t xml:space="preserve">Choices still needed (helper; blank = all filled)</t>
  </si>
  <si>
    <t xml:space="preserve">• Income tax = 20% up to the band + 40% above, less credits (never below 0). Married couples are jointly assessed: one band of €53,000, plus the lower income up to €35,000 for a second earner.</t>
  </si>
  <si>
    <t xml:space="preserve">• Credits: personal €2,000 (single) or €4,000 (married), plus €2,000 PAYE credit per earner (capped at 20% of their pay); Single Person Child Carer Credit €1,900 with a €48,000 band; Rent Tax Credit and Home Carer Credit if they apply.</t>
  </si>
  <si>
    <t xml:space="preserve">• USC is charged on each person separately: 0.5% / 2% / 3% / 8%, nil if income ≤ €13,000. PRSI is per person, Class A, with the PRSI credit between €352.01 and €424 a week.</t>
  </si>
  <si>
    <t xml:space="preserve">• Not modelled here: age 65+ credits and exemption, PRSI at 66+, self-employed Class S, USC surcharge, other or rental income (see the rules audit).</t>
  </si>
  <si>
    <t xml:space="preserve">CHECKS: the audit's §4 tax test table (expected values from deliverables/irish-rules-and-rates-audit.md)</t>
  </si>
  <si>
    <t xml:space="preserve">Case</t>
  </si>
  <si>
    <t xml:space="preserve">Gross</t>
  </si>
  <si>
    <t xml:space="preserve">Status</t>
  </si>
  <si>
    <t xml:space="preserve">Formula (row uses the same templates as above)</t>
  </si>
  <si>
    <t xml:space="preserve">USC</t>
  </si>
  <si>
    <t xml:space="preserve">PRSI 4.35%</t>
  </si>
  <si>
    <t xml:space="preserve">PRSI 2026 blend</t>
  </si>
  <si>
    <t xml:space="preserve">Take-home 4.35%</t>
  </si>
  <si>
    <t xml:space="preserve">Take-home 2026</t>
  </si>
  <si>
    <t xml:space="preserve">Expected IT</t>
  </si>
  <si>
    <t xml:space="preserve">Expected USC</t>
  </si>
  <si>
    <t xml:space="preserve">Expected take-home 4.35%</t>
  </si>
  <si>
    <t xml:space="preserve">Expected take-home 2026</t>
  </si>
  <si>
    <t xml:space="preserve">Largest difference (engine rounded to the cent; audit table is to the cent)</t>
  </si>
  <si>
    <t xml:space="preserve">T1</t>
  </si>
  <si>
    <t xml:space="preserve">Income tax, USC and PRSI templates; married = joint band and €4,000 + PAYE credits</t>
  </si>
  <si>
    <t xml:space="preserve">T2</t>
  </si>
  <si>
    <t xml:space="preserve">Married one earner</t>
  </si>
  <si>
    <t xml:space="preserve">T3</t>
  </si>
  <si>
    <t xml:space="preserve">T4</t>
  </si>
  <si>
    <t xml:space="preserve">T5</t>
  </si>
  <si>
    <t xml:space="preserve">T6</t>
  </si>
  <si>
    <t xml:space="preserve">T7</t>
  </si>
  <si>
    <t xml:space="preserve">T8</t>
  </si>
  <si>
    <t xml:space="preserve">T9</t>
  </si>
  <si>
    <t xml:space="preserve">Married two earners</t>
  </si>
  <si>
    <t xml:space="preserve">Income tax only (partner €30,000 in column R)</t>
  </si>
  <si>
    <t xml:space="preserve">T10</t>
  </si>
  <si>
    <t xml:space="preserve">Income tax only (partner €50,000 in column R)</t>
  </si>
  <si>
    <t xml:space="preserve">T11</t>
  </si>
  <si>
    <t xml:space="preserve">Income tax only (partner €45,000 in column R)</t>
  </si>
  <si>
    <t xml:space="preserve">All checks</t>
  </si>
  <si>
    <t xml:space="preserve">Document reader spec (for the developer building extraction)</t>
  </si>
  <si>
    <t xml:space="preserve">• Precedence: statement figure &gt; typed figure (as in the prototype: S.src doc &gt; typed). A figure the customer has not given is Missing; nothing is estimated for them. The calculators show this in their FIGURE USED box.</t>
  </si>
  <si>
    <t xml:space="preserve">• Confidence: each extracted field carries a confidence. Below 80% (Assumptions › Reader_Confidence_Min) ask the customer to confirm the figure before it is used.</t>
  </si>
  <si>
    <t xml:space="preserve">• Freshness: a statement dated more than 12 months ago (Assumptions › Statement_Max_Age_Days) is used but flagged "Needs a look".</t>
  </si>
  <si>
    <t xml:space="preserve">• Optional fields (projection, charges, holdings) apply only when shown on the document; a field that is not shown stays blank, it is never defaulted from the document.</t>
  </si>
  <si>
    <t xml:space="preserve">• Convert to the calculator unit: yearly amounts to monthly (÷ 12), dates to ages, months to years, % as fractions.</t>
  </si>
  <si>
    <t xml:space="preserve">• Label wording varies by provider: match on the variants below and on position (e.g. a € figure next to "fund value"). Wording marked "verify" was not confirmed against an official template.</t>
  </si>
  <si>
    <t xml:space="preserve">Document</t>
  </si>
  <si>
    <t xml:space="preserve">Field to extract</t>
  </si>
  <si>
    <t xml:space="preserve">Typical label wording (variants)</t>
  </si>
  <si>
    <t xml:space="preserve">Data type and validation</t>
  </si>
  <si>
    <t xml:space="preserve">Feeds (calculator inputs / plan fields)</t>
  </si>
  <si>
    <t xml:space="preserve">Confidence to auto-use</t>
  </si>
  <si>
    <t xml:space="preserve">Pension benefit statement (occupational DC, from 2023/24) / Statement of Reasonable Projection (PRSA, older DC)</t>
  </si>
  <si>
    <t xml:space="preserve">"Current fund value", "Value of your fund", "Total fund value", "Transfer value" (DB / deferred)</t>
  </si>
  <si>
    <t xml:space="preserve">€ number ≥ 0; &lt; €50m</t>
  </si>
  <si>
    <t xml:space="preserve">C12 Pension value today; C15/C16 savings (if no projection); C24 Pensions; plan: pension</t>
  </si>
  <si>
    <t xml:space="preserve">≥ 80%</t>
  </si>
  <si>
    <t xml:space="preserve">Your contribution</t>
  </si>
  <si>
    <t xml:space="preserve">"Your contributions", "Member contributions", "Employee contributions" (yearly or monthly: convert to monthly)</t>
  </si>
  <si>
    <t xml:space="preserve">€ ≥ 0; flag if &gt; 50% of income</t>
  </si>
  <si>
    <t xml:space="preserve">C12 monthly contributions (with employer); plan: pensionM</t>
  </si>
  <si>
    <t xml:space="preserve">Employer contribution</t>
  </si>
  <si>
    <t xml:space="preserve">"Employer contributions", "Company contributions"</t>
  </si>
  <si>
    <t xml:space="preserve">€ ≥ 0</t>
  </si>
  <si>
    <t xml:space="preserve">C12 monthly contributions; plan: pensionM</t>
  </si>
  <si>
    <t xml:space="preserve">"Normal retirement age", "Normal retirement date" (convert date to age), "Retirement age"</t>
  </si>
  <si>
    <t xml:space="preserve">whole number 50–75</t>
  </si>
  <si>
    <t xml:space="preserve">C12 projection match; C13/C14 years to retirement (with age)</t>
  </si>
  <si>
    <t xml:space="preserve">"Projected fund at normal retirement date", "Projected retirement fund", "Estimated fund value at retirement", "Best estimate" (pension benefit statements also show an "unfavourable" scenario: use best estimate)</t>
  </si>
  <si>
    <t xml:space="preserve">C12 projected fund (if age matches); C15/C16 retirement savings</t>
  </si>
  <si>
    <t xml:space="preserve">Projection in today's money?</t>
  </si>
  <si>
    <t xml:space="preserve">Text near the projection: "in today's terms", "in today's money", "adjusted for inflation" = Yes; "in money terms" = No</t>
  </si>
  <si>
    <t xml:space="preserve">Yes / No / blank</t>
  </si>
  <si>
    <t xml:space="preserve">C12: deflate only if No</t>
  </si>
  <si>
    <t xml:space="preserve">Assumed growth rate</t>
  </si>
  <si>
    <t xml:space="preserve">"Assumed growth rate", "Assumed investment return", "Projection rate"</t>
  </si>
  <si>
    <t xml:space="preserve">% 0–10</t>
  </si>
  <si>
    <t xml:space="preserve">Information only (shown to the adviser); not used</t>
  </si>
  <si>
    <t xml:space="preserve">Annual charges</t>
  </si>
  <si>
    <t xml:space="preserve">"Annual management charge", "Total annual charges", "Fund charges", "Charges deducted"</t>
  </si>
  <si>
    <t xml:space="preserve">% 0–5; apply only if shown</t>
  </si>
  <si>
    <t xml:space="preserve">C12–C14 growth (set rate + 1% − charges); plan: penChg</t>
  </si>
  <si>
    <t xml:space="preserve">"Statement date", "As at", "Valuation date"</t>
  </si>
  <si>
    <t xml:space="preserve">date; older than 12 months → "Needs a look"</t>
  </si>
  <si>
    <t xml:space="preserve">All pension tools (date check)</t>
  </si>
  <si>
    <t xml:space="preserve">PRSA statement</t>
  </si>
  <si>
    <t xml:space="preserve">As the pension benefit statement</t>
  </si>
  <si>
    <t xml:space="preserve">Providers show "PRSA value", "Current value", "Contributions this year", "Projected value at retirement"</t>
  </si>
  <si>
    <t xml:space="preserve">as above</t>
  </si>
  <si>
    <t xml:space="preserve">Occupational scheme benefit statement (defined benefit)</t>
  </si>
  <si>
    <t xml:space="preserve">Pension at normal retirement date</t>
  </si>
  <si>
    <t xml:space="preserve">"Pension payable at normal retirement date", "Accrued pension", "Prospective pension"</t>
  </si>
  <si>
    <t xml:space="preserve">€ a year ≥ 0</t>
  </si>
  <si>
    <t xml:space="preserve">Plan: retirement income (DB); not used by C12, which is DC (verify product scope)</t>
  </si>
  <si>
    <t xml:space="preserve">whole 50–75</t>
  </si>
  <si>
    <t xml:space="preserve">Plan: retirement age</t>
  </si>
  <si>
    <t xml:space="preserve">State Pension record (MyWelfare contribution statement)</t>
  </si>
  <si>
    <t xml:space="preserve">PRSI paid and credited contributions</t>
  </si>
  <si>
    <t xml:space="preserve">"Paid contributions", "Credited contributions", "Reckonable credited contributions" (by year)</t>
  </si>
  <si>
    <t xml:space="preserve">whole numbers ≥ 0; years = contributions ÷ 52</t>
  </si>
  <si>
    <t xml:space="preserve">C12 other income (entitlement: 40+ years full, 10–39 partly); plan: sp. Not a forecast of the pension.</t>
  </si>
  <si>
    <t xml:space="preserve">"Statement date", "up to the end of the tax year"</t>
  </si>
  <si>
    <t xml:space="preserve">Date check</t>
  </si>
  <si>
    <t xml:space="preserve">Mortgage statement (annual statement of account, Consumer Protection Code)</t>
  </si>
  <si>
    <t xml:space="preserve">"Outstanding balance", "Balance outstanding", "Closing balance", "Amount outstanding"</t>
  </si>
  <si>
    <t xml:space="preserve">€ ≥ 0; &lt; €10m</t>
  </si>
  <si>
    <t xml:space="preserve">C02, C04, C05, C06, C21, C23 balance; C24 mortgage; plan: mortBal</t>
  </si>
  <si>
    <t xml:space="preserve">"Interest rate", "Current rate", "Rate applied", "Variable rate", "Fixed rate until …"</t>
  </si>
  <si>
    <t xml:space="preserve">% 0–15</t>
  </si>
  <si>
    <t xml:space="preserve">C02, C04, C05, C06, C23 rate; plan: mortRate</t>
  </si>
  <si>
    <t xml:space="preserve">Rate type and fixed-rate end date</t>
  </si>
  <si>
    <t xml:space="preserve">"Fixed until", "Tracker", "Standard variable"</t>
  </si>
  <si>
    <t xml:space="preserve">text; date</t>
  </si>
  <si>
    <t xml:space="preserve">Information for the adviser (C05 context)</t>
  </si>
  <si>
    <t xml:space="preserve">"Remaining term", "Term remaining", "Years remaining", "Maturity date" (convert)</t>
  </si>
  <si>
    <t xml:space="preserve">whole years 0–40</t>
  </si>
  <si>
    <t xml:space="preserve">C02, C04, C05, C06, C23 term; plan: mortYears</t>
  </si>
  <si>
    <t xml:space="preserve">"Monthly repayment", "Monthly instalment", "Repayment amount"</t>
  </si>
  <si>
    <t xml:space="preserve">C02, C04, C05, C23 actual repayment; plan: mortPayM</t>
  </si>
  <si>
    <t xml:space="preserve">"Statement date", "Statement period to"</t>
  </si>
  <si>
    <t xml:space="preserve">date; &gt; 12 months → "Needs a look"</t>
  </si>
  <si>
    <t xml:space="preserve">Mortgage offer letter / loan offer</t>
  </si>
  <si>
    <t xml:space="preserve">Loan amount, rate, term, monthly repayment, APRC</t>
  </si>
  <si>
    <t xml:space="preserve">"Loan amount", "Interest rate", "Term", "Monthly repayment", "APRC"</t>
  </si>
  <si>
    <t xml:space="preserve">as the statement; APRC % 0–15</t>
  </si>
  <si>
    <t xml:space="preserve">As the mortgage statement (before drawdown: C01/C02 comparison)</t>
  </si>
  <si>
    <t xml:space="preserve">Investment / fund statement (unit-linked policy, fund, brokerage)</t>
  </si>
  <si>
    <t xml:space="preserve">"Total value", "Portfolio value", "Policy value", "Market value", "Valuation"</t>
  </si>
  <si>
    <t xml:space="preserve">C10, C17, C19, C20 amount; C24 investments; plan: invest</t>
  </si>
  <si>
    <t xml:space="preserve">"Regular contribution", "Monthly premium", "Monthly investment"</t>
  </si>
  <si>
    <t xml:space="preserve">C18 monthly amount</t>
  </si>
  <si>
    <t xml:space="preserve">"Annual management charge (AMC)", "Ongoing charges figure (OCF)", "Total annual charges"</t>
  </si>
  <si>
    <t xml:space="preserve">% 0–5; apply only if shown, else 0 when a statement is present</t>
  </si>
  <si>
    <t xml:space="preserve">C10, C18 fees; C19 fee A</t>
  </si>
  <si>
    <t xml:space="preserve">Holdings in shares</t>
  </si>
  <si>
    <t xml:space="preserve">"Asset allocation": "Equities", "Shares"</t>
  </si>
  <si>
    <t xml:space="preserve">% 0–100</t>
  </si>
  <si>
    <t xml:space="preserve">C20 style (≥70% Growth, ≥40% Balanced, else Cautious)</t>
  </si>
  <si>
    <t xml:space="preserve">"Valuation date", "As at"</t>
  </si>
  <si>
    <t xml:space="preserve">Share-scheme statement (ESPP / RSU / SAYE)</t>
  </si>
  <si>
    <t xml:space="preserve">Value of vested shares</t>
  </si>
  <si>
    <t xml:space="preserve">"Vested value", "Market value", "Shares held × price"</t>
  </si>
  <si>
    <t xml:space="preserve">C24 investments; plan: invest (verify treatment of unvested shares)</t>
  </si>
  <si>
    <t xml:space="preserve">Unvested / restricted shares</t>
  </si>
  <si>
    <t xml:space="preserve">"Unvested", "Restricted", "Vesting date"</t>
  </si>
  <si>
    <t xml:space="preserve">€; date</t>
  </si>
  <si>
    <t xml:space="preserve">Information only (not counted until vested)</t>
  </si>
  <si>
    <t xml:space="preserve">Payslip</t>
  </si>
  <si>
    <t xml:space="preserve">Gross pay (period)</t>
  </si>
  <si>
    <t xml:space="preserve">"Gross pay", "Total gross"</t>
  </si>
  <si>
    <t xml:space="preserve">€ ≥ 0; annualise by pay frequency</t>
  </si>
  <si>
    <t xml:space="preserve">C01 income, C13 salary, C21/C22 income; plan: income</t>
  </si>
  <si>
    <t xml:space="preserve">Net pay</t>
  </si>
  <si>
    <t xml:space="preserve">"Net pay", "Take home"</t>
  </si>
  <si>
    <t xml:space="preserve">C25, C26 take-home</t>
  </si>
  <si>
    <t xml:space="preserve">Pension contribution</t>
  </si>
  <si>
    <t xml:space="preserve">"Pension", "Superannuation", "AVC"</t>
  </si>
  <si>
    <t xml:space="preserve">C12 your contribution; C14 AVC</t>
  </si>
  <si>
    <t xml:space="preserve">Pay date</t>
  </si>
  <si>
    <t xml:space="preserve">"Pay date", "Period ending"</t>
  </si>
  <si>
    <t xml:space="preserve">date; &gt; 3 months → "Needs a look"</t>
  </si>
  <si>
    <t xml:space="preserve">Employment Detail Summary (Revenue myAccount; replaced the P60 from 2019)</t>
  </si>
  <si>
    <t xml:space="preserve">Gross pay for the year</t>
  </si>
  <si>
    <t xml:space="preserve">"Gross pay", "Pay for income tax"</t>
  </si>
  <si>
    <t xml:space="preserve">Income tax, USC, employee PRSI</t>
  </si>
  <si>
    <t xml:space="preserve">"Income tax", "USC", "Employee PRSI"</t>
  </si>
  <si>
    <t xml:space="preserve">Check of the plan's take-home</t>
  </si>
  <si>
    <t xml:space="preserve">Pensionable deductions</t>
  </si>
  <si>
    <t xml:space="preserve">"Pensionable deductions", "Employee pension contribution"</t>
  </si>
  <si>
    <t xml:space="preserve">C12 your contribution (÷ 12)</t>
  </si>
  <si>
    <t xml:space="preserve">Tax year</t>
  </si>
  <si>
    <t xml:space="preserve">"Year"</t>
  </si>
  <si>
    <t xml:space="preserve">year; not more than 1 year old</t>
  </si>
  <si>
    <t xml:space="preserve">Credit card statement</t>
  </si>
  <si>
    <t xml:space="preserve">"Statement balance", "Closing balance", "New balance"</t>
  </si>
  <si>
    <t xml:space="preserve">C27 balance; C24 other loans; plan: cardBal</t>
  </si>
  <si>
    <t xml:space="preserve">APR / interest rate</t>
  </si>
  <si>
    <t xml:space="preserve">"APR", "Purchase rate", "Annual percentage rate"</t>
  </si>
  <si>
    <t xml:space="preserve">% 0–40 (an effective annual rate)</t>
  </si>
  <si>
    <t xml:space="preserve">C27 APR; plan: cardRate</t>
  </si>
  <si>
    <t xml:space="preserve">Minimum / monthly payment</t>
  </si>
  <si>
    <t xml:space="preserve">"Minimum payment", "Payment due"</t>
  </si>
  <si>
    <t xml:space="preserve">C27 monthly payment; plan: cardPayM</t>
  </si>
  <si>
    <t xml:space="preserve">Personal loan / car loan statement</t>
  </si>
  <si>
    <t xml:space="preserve">"Outstanding balance", "Amount outstanding"</t>
  </si>
  <si>
    <t xml:space="preserve">C27/C28; C24 other loans; plan: loanBal</t>
  </si>
  <si>
    <t xml:space="preserve">APR</t>
  </si>
  <si>
    <t xml:space="preserve">"APR", "Annual percentage rate"</t>
  </si>
  <si>
    <t xml:space="preserve">% 0–30</t>
  </si>
  <si>
    <t xml:space="preserve">C27, C28 APR; plan: loanRate</t>
  </si>
  <si>
    <t xml:space="preserve">Monthly repayment, term remaining</t>
  </si>
  <si>
    <t xml:space="preserve">"Monthly repayment", "Remaining term"</t>
  </si>
  <si>
    <t xml:space="preserve">€; months</t>
  </si>
  <si>
    <t xml:space="preserve">C27 payment; C28 years; plan: loanPayM</t>
  </si>
  <si>
    <t xml:space="preserve">Sources (label wording beyond these is typical provider wording: verify against real samples before release)</t>
  </si>
  <si>
    <t xml:space="preserve">Pensions Authority: statement of reasonable projection</t>
  </si>
  <si>
    <t xml:space="preserve">https://pensionsauthority.ie/scheme-members-and-prsa-contributors/understanding-pensions/your_right_to_information/statement_of_reasonable_projection/</t>
  </si>
  <si>
    <t xml:space="preserve">Pensions Authority: pension benefit statement projection assumptions (best estimate and unfavourable scenarios)</t>
  </si>
  <si>
    <t xml:space="preserve">https://pensionsauthority.ie/news_press/news_archive/updated-pension-benefit-statement-projection-assumptions/</t>
  </si>
  <si>
    <t xml:space="preserve">Central Bank: Consumer Protection Code (annual statement of account: balance, transactions, interest, charges, rate)</t>
  </si>
  <si>
    <t xml:space="preserve">https://www.centralbank.ie/code</t>
  </si>
  <si>
    <t xml:space="preserve">Revenue: Employment Detail Summary in myAccount (gross pay, tax, USC, PRSI)</t>
  </si>
  <si>
    <t xml:space="preserve">https://www.revenue.ie/en/corporate/press-office/press-releases/2019/pr-200619-employees-new-facility-view-current-pay-and-tax-details-through-revenue-myaccount.aspx</t>
  </si>
  <si>
    <t xml:space="preserve">gov.ie: request a PRSI contribution statement (MyWelfare)</t>
  </si>
  <si>
    <t xml:space="preserve">https://www.gov.ie/en/publication/0fbf7-request-a-contribution-statement</t>
  </si>
  <si>
    <t xml:space="preserve">Prototype DOCT (fields, confidence and pre-fills already used)</t>
  </si>
  <si>
    <t xml:space="preserve">LifeGoals-Customer-Journey-Prototype.html</t>
  </si>
  <si>
    <t xml:space="preserve">Assumptions: Irish rules register</t>
  </si>
  <si>
    <t xml:space="preserve">Irish rules 2026 · checked 2 Oct 2026</t>
  </si>
  <si>
    <t xml:space="preserve">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</si>
  <si>
    <t xml:space="preserve">INFLATION GUIDANCE (not a value: inflation is the client's own choice on each calculator)</t>
  </si>
  <si>
    <t xml:space="preserve">Rule (name in formulas)</t>
  </si>
  <si>
    <t xml:space="preserve">Value</t>
  </si>
  <si>
    <t xml:space="preserve">Used by</t>
  </si>
  <si>
    <t xml:space="preserve">Source URL</t>
  </si>
  <si>
    <t xml:space="preserve">Effective</t>
  </si>
  <si>
    <t xml:space="preserve">Verify before release?</t>
  </si>
  <si>
    <t xml:space="preserve">Audit #</t>
  </si>
  <si>
    <t xml:space="preserve">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t>
  </si>
  <si>
    <t xml:space="preserve">https://www.cso.ie/en/csolatestnews/pressreleases/2026pressreleases/pressstatementflashestimatefortheharmonisedindexofconsumerpricesseptember2026/ · https://www.rte.ie/news/business/2026/1001/1593629-cso-flash-inflation-reading/</t>
  </si>
  <si>
    <t xml:space="preserve">INCOME TAX 2026 (Tax engine)  ·  Set by Government · 2026 (type 1, not an input)</t>
  </si>
  <si>
    <t xml:space="preserve">Standard-rate band, single  [Band_Single]</t>
  </si>
  <si>
    <t xml:space="preserve">Tax engine; C13/C14 tax-rate pre-fill</t>
  </si>
  <si>
    <t xml:space="preserve">https://www.raisin.com/en-ie/taxes/income-tax-rates/ · https://universityofgalway.ie/media/pensionsandinvestments/Budget-Summary-2026.pdf</t>
  </si>
  <si>
    <t xml:space="preserve">1 Jan 2026</t>
  </si>
  <si>
    <t xml:space="preserve">Yes (primary page quoted, P)</t>
  </si>
  <si>
    <t xml:space="preserve">#1</t>
  </si>
  <si>
    <t xml:space="preserve">Standard-rate band, single person child carer  [Band_Single_Parent]</t>
  </si>
  <si>
    <t xml:space="preserve">Tax engine</t>
  </si>
  <si>
    <t xml:space="preserve">https://www.noonecasey.ie/irish-budget-2026/ · https://www.irishtaxhub.ie/blog/tax-credits-in-ireland-full-list</t>
  </si>
  <si>
    <t xml:space="preserve">Yes (secondary source, S)</t>
  </si>
  <si>
    <t xml:space="preserve">#4</t>
  </si>
  <si>
    <t xml:space="preserve">Standard-rate band, married / civil partners (one earner)  [Band_Married]</t>
  </si>
  <si>
    <t xml:space="preserve">#2</t>
  </si>
  <si>
    <t xml:space="preserve">Band increase for a second earner (lower income, up to)  [Band_Second_Earner_Max]</t>
  </si>
  <si>
    <t xml:space="preserve">#3</t>
  </si>
  <si>
    <t xml:space="preserve">Standard rate of income tax  [Rate_Standard]</t>
  </si>
  <si>
    <t xml:space="preserve">2026</t>
  </si>
  <si>
    <t xml:space="preserve">#5</t>
  </si>
  <si>
    <t xml:space="preserve">Higher rate of income tax  [Rate_Higher]</t>
  </si>
  <si>
    <t xml:space="preserve">Tax engine; C13/C14</t>
  </si>
  <si>
    <t xml:space="preserve">Personal tax credit, single  [Credit_Personal_Single]</t>
  </si>
  <si>
    <t xml:space="preserve">#6</t>
  </si>
  <si>
    <t xml:space="preserve">Personal tax credit, married / civil partners  [Credit_Personal_Married]</t>
  </si>
  <si>
    <t xml:space="preserve">Employee (PAYE) tax credit, each earner (capped at 20% of PAYE income)  [Credit_PAYE]</t>
  </si>
  <si>
    <t xml:space="preserve">https://revenue.ie/en/personal-tax-credits-reliefs-and-exemptions/income-and-employment/employee-tax-credit/index.aspx</t>
  </si>
  <si>
    <t xml:space="preserve">#7</t>
  </si>
  <si>
    <t xml:space="preserve">PAYE credit cap, % of PAYE income  [Credit_PAYE_Cap_Pct]</t>
  </si>
  <si>
    <t xml:space="preserve">As above</t>
  </si>
  <si>
    <t xml:space="preserve">Single Person Child Carer Credit  [Credit_SPCCC]</t>
  </si>
  <si>
    <t xml:space="preserve">Rent Tax Credit, single (to end-2028)  [Credit_Rent_Single]</t>
  </si>
  <si>
    <t xml:space="preserve">2025–2028</t>
  </si>
  <si>
    <t xml:space="preserve">#8</t>
  </si>
  <si>
    <t xml:space="preserve">Rent Tax Credit, jointly assessed couple  [Credit_Rent_Joint]</t>
  </si>
  <si>
    <t xml:space="preserve">Home Carer Tax Credit (verify the 2026 rate and the €7,200 carer-income limit and taper)  [Credit_Home_Carer]</t>
  </si>
  <si>
    <t xml:space="preserve">Yes (secondary source, S) · VERIFY rate</t>
  </si>
  <si>
    <t xml:space="preserve">#9</t>
  </si>
  <si>
    <t xml:space="preserve">USC 2026 (Tax engine)  ·  Set by Government · 2026 (type 1, not an input)</t>
  </si>
  <si>
    <t xml:space="preserve">USC exemption limit (total income)  [USC_Exempt]</t>
  </si>
  <si>
    <t xml:space="preserve">#15</t>
  </si>
  <si>
    <t xml:space="preserve">USC band 1 top  [USC_Band_1]</t>
  </si>
  <si>
    <t xml:space="preserve">#14</t>
  </si>
  <si>
    <t xml:space="preserve">USC band 2 top (raised by €1,318 in Budget 2026)  [USC_Band_2]</t>
  </si>
  <si>
    <t xml:space="preserve">USC band 3 top  [USC_Band_3]</t>
  </si>
  <si>
    <t xml:space="preserve">USC rate band 1  [USC_Rate_1]</t>
  </si>
  <si>
    <t xml:space="preserve">USC rate band 2  [USC_Rate_2]</t>
  </si>
  <si>
    <t xml:space="preserve">USC rate band 3  [USC_Rate_3]</t>
  </si>
  <si>
    <t xml:space="preserve">USC rate above band 3  [USC_Rate_4]</t>
  </si>
  <si>
    <t xml:space="preserve">Reduced USC (0.5% / 2%) applies at 70+ (and to full medical-card holders) with income ≤ €60,000; not used by these calculators. The State Pension and other DSP payments are USC-exempt but are taxable income for income tax.</t>
  </si>
  <si>
    <t xml:space="preserve">PRSI CLASS A (Tax engine)  ·  Set by Government · 2026 (type 1, not an input)</t>
  </si>
  <si>
    <t xml:space="preserve">Employee PRSI rate from 1 Oct 2026  [PRSI_Rate]</t>
  </si>
  <si>
    <t xml:space="preserve">https://www.gov.ie/en/publication/ffa563-prsi-class-a-rates · https://www.bdo.ie/en-gb/insights/2025/upcoming-prsi-rate-changes-effective-1st-october-2025</t>
  </si>
  <si>
    <t xml:space="preserve">1 Oct 2026</t>
  </si>
  <si>
    <t xml:space="preserve">#19</t>
  </si>
  <si>
    <t xml:space="preserve">Employee PRSI, calendar-2026 blend (9 months at 4.2%, 3 at 4.35%)  [PRSI_Rate_2026_Blend]</t>
  </si>
  <si>
    <t xml:space="preserve">Tax engine (option)</t>
  </si>
  <si>
    <t xml:space="preserve">#20</t>
  </si>
  <si>
    <t xml:space="preserve">PRSI-free weekly earnings (nil up to)  [PRSI_Free_Week]</t>
  </si>
  <si>
    <t xml:space="preserve">https://payslipiq.co.uk/ie/methodology/prsi · https://www.gov.ie/en/publication/ffa563-prsi-class-a-rates · https://www.bdo.ie/en-gb/insights/2025/upcoming-prsi-rate-changes-effective-1st-october-2025</t>
  </si>
  <si>
    <t xml:space="preserve">#21</t>
  </si>
  <si>
    <t xml:space="preserve">PRSI credit, maximum a week  [PRSI_Credit_Max]</t>
  </si>
  <si>
    <t xml:space="preserve">PRSI credit ends at weekly earnings of  [PRSI_Credit_Top]</t>
  </si>
  <si>
    <t xml:space="preserve">PRSI credit tapers by €1 for every … over €352.01  [PRSI_Credit_Taper]</t>
  </si>
  <si>
    <t xml:space="preserve">No PRSI from age 66, including while still working (#22). Legislated path: 4.5% from 1 Oct 2027, 4.7% from 1 Oct 2028.</t>
  </si>
  <si>
    <t xml:space="preserve">https://www.oireachtas.ie/en/debates/question/2018-11-21/241/ · https://www.gov.ie/en/publication/ffa563-prsi-class-a-rates · https://www.bdo.ie/en-gb/insights/2025/upcoming-prsi-rate-changes-effective-1st-october-2025</t>
  </si>
  <si>
    <t xml:space="preserve">PENSIONS  ·  Set by Government · 2026 (type 1, not an input)</t>
  </si>
  <si>
    <t xml:space="preserve">Pension relief limit from age 0: % of earnings  [Relief_Age_From / Relief_Age_Pct]</t>
  </si>
  <si>
    <t xml:space="preserve">https://www.irishtaxhub.ie/blog/pension-contributions-income-tax-maximize-your-relief · https://yourincomecalculator.com/ie/blog/pension-tax-relief-ireland-2026-higher-earners-guide</t>
  </si>
  <si>
    <t xml:space="preserve">Unchanged</t>
  </si>
  <si>
    <t xml:space="preserve">#26</t>
  </si>
  <si>
    <t xml:space="preserve">Pension relief limit from age 30: % of earnings  [Relief_Age_From / Relief_Age_Pct]</t>
  </si>
  <si>
    <t xml:space="preserve">Pension relief limit from age 40: % of earnings  [Relief_Age_From / Relief_Age_Pct]</t>
  </si>
  <si>
    <t xml:space="preserve">Pension relief limit from age 50: % of earnings  [Relief_Age_From / Relief_Age_Pct]</t>
  </si>
  <si>
    <t xml:space="preserve">Pension relief limit from age 55: % of earnings  [Relief_Age_From / Relief_Age_Pct]</t>
  </si>
  <si>
    <t xml:space="preserve">Pension relief limit from age 60: % of earnings  [Relief_Age_From / Relief_Age_Pct]</t>
  </si>
  <si>
    <t xml:space="preserve">Earnings cap for pension relief  [Relief_Earnings_Cap]</t>
  </si>
  <si>
    <t xml:space="preserve">#27</t>
  </si>
  <si>
    <t xml:space="preserve">Retirement lump sum: up to this share of the fund  [Lump_Sum_Max_Pct]</t>
  </si>
  <si>
    <t xml:space="preserve">https://wtwco.com/en-ie/insights/2024/10/significant-revisions-announced-to-the-standard-fund-threshold · https://pwc.ie/services/workforce/insights/finance-act-2024-pensions-pulse.html</t>
  </si>
  <si>
    <t xml:space="preserve">Finance Act 2024</t>
  </si>
  <si>
    <t xml:space="preserve">#31</t>
  </si>
  <si>
    <t xml:space="preserve">Lump sum: tax-free (lifetime)  [Lump_Sum_Tax_Free]</t>
  </si>
  <si>
    <t xml:space="preserve">Lump sum: taxed at 20% from €200,001 up to  [Lump_Sum_Cap]</t>
  </si>
  <si>
    <t xml:space="preserve">Lump sum tax rate on €200,001–€500,000 (above €500,000: marginal rate)  [Lump_Sum_Rate]</t>
  </si>
  <si>
    <t xml:space="preserve">Standard Fund Threshold 2026 (€2.4m 2027, €2.6m 2028, €2.8m 2029)  [SFT_2026]</t>
  </si>
  <si>
    <t xml:space="preserve">C12 warning</t>
  </si>
  <si>
    <t xml:space="preserve">#32</t>
  </si>
  <si>
    <t xml:space="preserve">Chargeable excess tax above the threshold  [SFT_Tax]</t>
  </si>
  <si>
    <t xml:space="preserve">Law</t>
  </si>
  <si>
    <t xml:space="preserve">Earliest age for PRSA / personal pension benefits (occupational: from 50 if you have left that job)  [Pension_Earliest_Age]</t>
  </si>
  <si>
    <t xml:space="preserve">Revenue Pensions Manual (verify)</t>
  </si>
  <si>
    <t xml:space="preserve">Yes (primary page quoted, P) · VERIFY</t>
  </si>
  <si>
    <t xml:space="preserve">#36</t>
  </si>
  <si>
    <t xml:space="preserve">Standard Fund Threshold €2.2m (2026) → €2.4m (2027) → €2.6m (2028) → €2.8m (2029), chargeable excess tax 40%: not modelled by these calculators. ARF minimum 4% from the year you turn 61, 5% from 71, 6% if ARFs + vested PRSAs exceed €2m. Most pensions cannot be taken before 60.</t>
  </si>
  <si>
    <t xml:space="preserve">https://wtwco.com/en-ie/insights/2024/10/significant-revisions-announced-to-the-standard-fund-threshold · https://pwc.ie/services/workforce/insights/finance-act-2024-pensions-pulse.html · https://cantorfitzgerald.ie/wp-content/uploads/2026/06/ARF-6pp-A4-Brochure-6-26.pdf</t>
  </si>
  <si>
    <t xml:space="preserve">STATE PENSION AND DSP PAYMENTS 2026 (weekly rates)  ·  Set by Government · 2026 (type 1, not an input)</t>
  </si>
  <si>
    <t xml:space="preserve">State Pension (Contributory), maximum personal rate (taxable; USC-exempt)  [State_Pension_Week]</t>
  </si>
  <si>
    <t xml:space="preserve">C12 other income (pre-fill)</t>
  </si>
  <si>
    <t xml:space="preserve">https://www.gov.ie/en/publication/927721-state-pension-contributory-rates/ · https://www.zurich.ie/blog/pension-changes-2026</t>
  </si>
  <si>
    <t xml:space="preserve">#39</t>
  </si>
  <si>
    <t xml:space="preserve">State Pension a year (€299.30 × 52)  [State_Pension_Year]</t>
  </si>
  <si>
    <t xml:space="preserve">C12 default other income</t>
  </si>
  <si>
    <t xml:space="preserve">State Pension age  [State_Pension_Age]</t>
  </si>
  <si>
    <t xml:space="preserve">C12 (bridge years before 66)</t>
  </si>
  <si>
    <t xml:space="preserve">https://www.gov.ie/en/publication/d8fd8-flexible-pension-options</t>
  </si>
  <si>
    <t xml:space="preserve">#40</t>
  </si>
  <si>
    <t xml:space="preserve">Widow's / Surviving Civil Partner's / Bereaved Partner's (Contributory) Pension, under 66  [Survivor_Pension_Week]</t>
  </si>
  <si>
    <t xml:space="preserve">https://www.raisin.com/en-ie/pensions/widow-pensions · https://www.mhc.ie/latest/insights/social-welfare-bereaved-partners-pension-and-miscellaneous-provisions-act-2025</t>
  </si>
  <si>
    <t xml:space="preserve">#46</t>
  </si>
  <si>
    <t xml:space="preserve">Survivor's pension at 66+  [Survivor_Pension_Week_66]</t>
  </si>
  <si>
    <t xml:space="preserve">C21 guidance</t>
  </si>
  <si>
    <t xml:space="preserve">Illness Benefit, maximum personal rate (graduated if average weekly earnings &lt; €300; 3 waiting days)  [Illness_Benefit_Week]</t>
  </si>
  <si>
    <t xml:space="preserve">https://www.inou.ie/assets/files/pdf/2026_-_inou_budget_factsheet.pdf</t>
  </si>
  <si>
    <t xml:space="preserve">#45</t>
  </si>
  <si>
    <t xml:space="preserve">Income protection maximum: % of gross income less State benefit (an INSURER rule, not law; varies by insurer)  [IP_Max_Pct]</t>
  </si>
  <si>
    <t xml:space="preserve">Insurer literature (Irish Life; Smart Financial)</t>
  </si>
  <si>
    <t xml:space="preserve">Market practice</t>
  </si>
  <si>
    <t xml:space="preserve">Yes (secondary source, S) · verify with insurer partner</t>
  </si>
  <si>
    <t xml:space="preserve">#49</t>
  </si>
  <si>
    <t xml:space="preserve">Weeks in a year  [Weeks_Per_Year]</t>
  </si>
  <si>
    <t xml:space="preserve">C12, C21, C22, Tax engine</t>
  </si>
  <si>
    <t xml:space="preserve">Convention</t>
  </si>
  <si>
    <t xml:space="preserve">—</t>
  </si>
  <si>
    <t xml:space="preserve">SAVINGS AND INVESTMENT TAX (notes on the growth tools)  ·  Set by Government · 2026 (type 1, not an input)</t>
  </si>
  <si>
    <t xml:space="preserve">DIRT on deposit interest  [DIRT]</t>
  </si>
  <si>
    <t xml:space="preserve">C08–C10, C17, C18 notes</t>
  </si>
  <si>
    <t xml:space="preserve">https://cantorfitzgerald.ie/budget-2026-key-updates-for-investors-and-savers</t>
  </si>
  <si>
    <t xml:space="preserve">#50</t>
  </si>
  <si>
    <t xml:space="preserve">Exit tax on funds and life policies (was 41%; Finance Act 2025, Revenue eBrief 016/26)  [Exit_Tax]</t>
  </si>
  <si>
    <t xml:space="preserve">https://www.revenue.ie/en/tax-professionals/ebrief/2026/no-0162026.aspx · https://etf.ie/blog/budget-2026-etf/</t>
  </si>
  <si>
    <t xml:space="preserve">#51</t>
  </si>
  <si>
    <t xml:space="preserve">Deemed disposal on funds every … years  [Deemed_Disposal_Years]</t>
  </si>
  <si>
    <t xml:space="preserve">Notes</t>
  </si>
  <si>
    <t xml:space="preserve">https://etf.ie/blog/budget-2026-etf/</t>
  </si>
  <si>
    <t xml:space="preserve">#52</t>
  </si>
  <si>
    <t xml:space="preserve">Life assurance levy on premiums (pension policies exempt)  [Life_Levy]</t>
  </si>
  <si>
    <t xml:space="preserve">C18 note</t>
  </si>
  <si>
    <t xml:space="preserve">Revenue</t>
  </si>
  <si>
    <t xml:space="preserve">#53</t>
  </si>
  <si>
    <t xml:space="preserve">CENTRAL BANK MORTGAGE MEASURES AND PROPERTY  ·  Set by Government · 2026 (type 1, not an input)</t>
  </si>
  <si>
    <t xml:space="preserve">Loan-to-income limit, first-time buyers  [LTI_FTB]</t>
  </si>
  <si>
    <t xml:space="preserve">https://www.centralbank.ie/news/article/central-bank-announces-targeted-changes-to-mortgage-measures-framework</t>
  </si>
  <si>
    <t xml:space="preserve">1 Jan 2023</t>
  </si>
  <si>
    <t xml:space="preserve">#56</t>
  </si>
  <si>
    <t xml:space="preserve">Loan-to-income limit, second and subsequent buyers  [LTI_SSB]</t>
  </si>
  <si>
    <t xml:space="preserve">Loan-to-value limit, first-time and subsequent buyers (buy-to-let 70%)  [LTV_Max]</t>
  </si>
  <si>
    <t xml:space="preserve">C01, C02 goal, C03, C07</t>
  </si>
  <si>
    <t xml:space="preserve">#57</t>
  </si>
  <si>
    <t xml:space="preserve">Minimum deposit (1 − LTV)  [Min_Deposit_Pct]</t>
  </si>
  <si>
    <t xml:space="preserve">C01, C03, C07 validation</t>
  </si>
  <si>
    <t xml:space="preserve">Derived</t>
  </si>
  <si>
    <t xml:space="preserve">#59</t>
  </si>
  <si>
    <t xml:space="preserve">Lenders may exceed the limits for a small share of loans each year (allowances: about 15% of first-time-buyer and 10% of other lending by value, verify). Principal-home bridging loans are exempt from the LTI limit since 8 Apr 2026.</t>
  </si>
  <si>
    <t xml:space="preserve">https://www.centralbank.ie/news/article/central-bank-announces-targeted-changes-to-mortgage-measures-framework · https://www.centralbank.ie/news/article/press-release-targeted-amendment-to-mortgage-measures-home-bridging-loans-8-april-2026</t>
  </si>
  <si>
    <t xml:space="preserve">Stamp duty on homes up to €1m  [SD_Rate_1]</t>
  </si>
  <si>
    <t xml:space="preserve">C01, C03, C07</t>
  </si>
  <si>
    <t xml:space="preserve">https://www.raisin.com/en-ie/taxes/stamp-duty-ireland/</t>
  </si>
  <si>
    <t xml:space="preserve">Budget 2025</t>
  </si>
  <si>
    <t xml:space="preserve">#60</t>
  </si>
  <si>
    <t xml:space="preserve">Stamp duty band 1 top  [SD_Band_1]</t>
  </si>
  <si>
    <t xml:space="preserve">Stamp duty €1m–€1.5m  [SD_Rate_2]</t>
  </si>
  <si>
    <t xml:space="preserve">Stamp duty band 2 top  [SD_Band_2]</t>
  </si>
  <si>
    <t xml:space="preserve">Stamp duty above €1.5m  [SD_Rate_3]</t>
  </si>
  <si>
    <t xml:space="preserve">APR on cards and loans is an effective annual rate (EU Consumer Credit Directive 2008/48/EC, Annex I): monthly rate = (1 + APR)^(1/12) − 1 (C27, C28). Mortgage rates are nominal: monthly = rate ÷ 12.</t>
  </si>
  <si>
    <t xml:space="preserve">https://eur-lex.europa.eu/eli/dir/2008/48/oj</t>
  </si>
  <si>
    <t xml:space="preserve">STATEMENT READER RULES (product rules)  ·  LifeMap product rule</t>
  </si>
  <si>
    <t xml:space="preserve">Investment statement: shares at or above this = style 3 Growth  [Shares_For_Growth]</t>
  </si>
  <si>
    <t xml:space="preserve">Prototype rule (DOCT.invest.pre)</t>
  </si>
  <si>
    <t xml:space="preserve">Investment statement: shares at or above this = style 2 Balanced (else 1)  [Shares_For_Balanced]</t>
  </si>
  <si>
    <t xml:space="preserve">Prototype rule</t>
  </si>
  <si>
    <t xml:space="preserve">A statement older than this (days) is flagged "Needs a look"  [Statement_Max_Age_Days]</t>
  </si>
  <si>
    <t xml:space="preserve">All statement blocks</t>
  </si>
  <si>
    <t xml:space="preserve">Pooja, 2 Oct 2026</t>
  </si>
  <si>
    <t xml:space="preserve">Reader confidence below this: ask the customer to confirm  [Reader_Confidence_Min]</t>
  </si>
  <si>
    <t xml:space="preserve">Document reader spec</t>
  </si>
  <si>
    <t xml:space="preserve">DISPLAY RULES AND STATISTICAL CONSTANTS  ·  LifeMap product rule</t>
  </si>
  <si>
    <t xml:space="preserve">Show "Over 100 years" above this many months  [Cap_Months]</t>
  </si>
  <si>
    <t xml:space="preserve">C02, C04, C27</t>
  </si>
  <si>
    <t xml:space="preserve">Display rule</t>
  </si>
  <si>
    <t xml:space="preserve">Drawdown working table length ("60+ years")  [Cap_Years]</t>
  </si>
  <si>
    <t xml:space="preserve">Mortgage protection: first checkpoint (years)  [MP_Year_1]</t>
  </si>
  <si>
    <t xml:space="preserve">Mortgage protection: second checkpoint (years)  [MP_Year_2]</t>
  </si>
  <si>
    <t xml:space="preserve">Mortgage protection: third checkpoint (years)  [MP_Year_3]</t>
  </si>
  <si>
    <t xml:space="preserve">Standard-normal value for a 1-in-20 bad year  [One_In_20_Z]</t>
  </si>
  <si>
    <t xml:space="preserve">Normal distribution (5% tail); audit #81</t>
  </si>
  <si>
    <t xml:space="preserve">#81</t>
  </si>
  <si>
    <t xml:space="preserve">Risk style 1 name  [Risk_Names]</t>
  </si>
  <si>
    <t xml:space="preserve">Cautious</t>
  </si>
  <si>
    <t xml:space="preserve">Label</t>
  </si>
  <si>
    <t xml:space="preserve">Risk style 2 name  [Risk_Names]</t>
  </si>
  <si>
    <t xml:space="preserve">Balanced</t>
  </si>
  <si>
    <t xml:space="preserve">Risk style 3 name  [Risk_Names]</t>
  </si>
  <si>
    <t xml:space="preserve">Growth</t>
  </si>
</sst>
</file>

<file path=xl/styles.xml><?xml version="1.0" encoding="utf-8"?>
<styleSheet xmlns="http://schemas.openxmlformats.org/spreadsheetml/2006/main">
  <numFmts count="12">
    <numFmt numFmtId="164" formatCode="General"/>
    <numFmt numFmtId="165" formatCode="\€#,##0"/>
    <numFmt numFmtId="166" formatCode="0.00%"/>
    <numFmt numFmtId="167" formatCode="0"/>
    <numFmt numFmtId="168" formatCode="0.0\×"/>
    <numFmt numFmtId="169" formatCode="dd\ mmm\ yyyy"/>
    <numFmt numFmtId="170" formatCode="0.0000%"/>
    <numFmt numFmtId="171" formatCode="0.0"/>
    <numFmt numFmtId="172" formatCode="0%"/>
    <numFmt numFmtId="173" formatCode="0.0%"/>
    <numFmt numFmtId="174" formatCode="\€#,##0.00"/>
    <numFmt numFmtId="175" formatCode="0.000"/>
  </numFmts>
  <fonts count="43">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9"/>
      <color rgb="FF808080"/>
      <name val="Arial"/>
      <family val="0"/>
      <charset val="1"/>
    </font>
    <font>
      <b val="true"/>
      <sz val="12"/>
      <color rgb="FF000000"/>
      <name val="Arial"/>
      <family val="0"/>
      <charset val="1"/>
    </font>
    <font>
      <b val="true"/>
      <sz val="12"/>
      <color rgb="FF0000FF"/>
      <name val="Arial"/>
      <family val="0"/>
      <charset val="1"/>
    </font>
    <font>
      <i val="true"/>
      <sz val="9"/>
      <color rgb="FFC00000"/>
      <name val="Arial"/>
      <family val="0"/>
      <charset val="1"/>
    </font>
    <font>
      <b val="true"/>
      <sz val="12"/>
      <color rgb="FF1F3864"/>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u val="single"/>
      <sz val="10"/>
      <color rgb="FF0563C1"/>
      <name val="Arial"/>
      <family val="0"/>
      <charset val="1"/>
    </font>
    <font>
      <sz val="9"/>
      <color rgb="FF000000"/>
      <name val="Arial"/>
      <family val="0"/>
      <charset val="1"/>
    </font>
    <font>
      <b val="true"/>
      <sz val="11"/>
      <color rgb="FFFFFFFF"/>
      <name val="Arial"/>
      <family val="0"/>
      <charset val="1"/>
    </font>
    <font>
      <i val="true"/>
      <sz val="9"/>
      <color rgb="FF000000"/>
      <name val="Arial"/>
      <family val="0"/>
      <charset val="1"/>
    </font>
    <font>
      <b val="true"/>
      <sz val="9"/>
      <color rgb="FF000000"/>
      <name val="Arial"/>
      <family val="0"/>
      <charset val="1"/>
    </font>
    <font>
      <b val="true"/>
      <sz val="16"/>
      <color rgb="FF1F3864"/>
      <name val="Arial"/>
      <family val="0"/>
      <charset val="1"/>
    </font>
    <font>
      <b val="true"/>
      <sz val="11"/>
      <color rgb="FF000000"/>
      <name val="Arial"/>
      <family val="0"/>
      <charset val="1"/>
    </font>
    <font>
      <b val="true"/>
      <sz val="9"/>
      <color rgb="FFC00000"/>
      <name val="Arial"/>
      <family val="0"/>
      <charset val="1"/>
    </font>
    <font>
      <i val="true"/>
      <sz val="10"/>
      <color rgb="FF000000"/>
      <name val="Arial"/>
      <family val="0"/>
      <charset val="1"/>
    </font>
    <font>
      <b val="true"/>
      <sz val="9"/>
      <color rgb="FFFFFFFF"/>
      <name val="Arial"/>
      <family val="0"/>
      <charset val="1"/>
    </font>
    <font>
      <b val="true"/>
      <sz val="11"/>
      <color rgb="FF0000FF"/>
      <name val="Arial"/>
      <family val="0"/>
      <charset val="1"/>
    </font>
    <font>
      <sz val="10"/>
      <color rgb="FF808080"/>
      <name val="Arial"/>
      <family val="0"/>
      <charset val="1"/>
    </font>
    <font>
      <sz val="8"/>
      <color rgb="FF808080"/>
      <name val="Arial"/>
      <family val="0"/>
      <charset val="1"/>
    </font>
    <font>
      <i val="true"/>
      <sz val="9"/>
      <color rgb="FF808080"/>
      <name val="Arial"/>
      <family val="0"/>
      <charset val="1"/>
    </font>
    <font>
      <sz val="8"/>
      <color rgb="FF7F6000"/>
      <name val="Arial"/>
      <family val="0"/>
      <charset val="1"/>
    </font>
    <font>
      <b val="true"/>
      <sz val="14"/>
      <color rgb="FF000000"/>
      <name val="Arial"/>
      <family val="0"/>
      <charset val="1"/>
    </font>
    <font>
      <sz val="9"/>
      <color rgb="FF595959"/>
      <name val="Arial"/>
      <family val="0"/>
      <charset val="1"/>
    </font>
    <font>
      <sz val="10"/>
      <name val="Arial"/>
      <family val="2"/>
    </font>
    <font>
      <i val="true"/>
      <sz val="9"/>
      <color rgb="FF595959"/>
      <name val="Arial"/>
      <family val="0"/>
      <charset val="1"/>
    </font>
    <font>
      <b val="true"/>
      <sz val="9"/>
      <color rgb="FF1F6E43"/>
      <name val="Arial"/>
      <family val="0"/>
      <charset val="1"/>
    </font>
    <font>
      <b val="true"/>
      <sz val="10"/>
      <color rgb="FFC00000"/>
      <name val="Arial"/>
      <family val="0"/>
      <charset val="1"/>
    </font>
    <font>
      <sz val="8"/>
      <color rgb="FF595959"/>
      <name val="Arial"/>
      <family val="0"/>
      <charset val="1"/>
    </font>
    <font>
      <b val="true"/>
      <sz val="8"/>
      <color rgb="FF000000"/>
      <name val="Arial"/>
      <family val="0"/>
      <charset val="1"/>
    </font>
    <font>
      <b val="true"/>
      <sz val="10"/>
      <color rgb="FF1F6E43"/>
      <name val="Arial"/>
      <family val="0"/>
      <charset val="1"/>
    </font>
    <font>
      <b val="true"/>
      <sz val="11"/>
      <color rgb="FF1F3864"/>
      <name val="Arial"/>
      <family val="0"/>
      <charset val="1"/>
    </font>
    <font>
      <u val="single"/>
      <sz val="9"/>
      <color rgb="FF0563C1"/>
      <name val="Arial"/>
      <family val="0"/>
      <charset val="1"/>
    </font>
    <font>
      <sz val="9"/>
      <color rgb="FF0563C1"/>
      <name val="Arial"/>
      <family val="0"/>
      <charset val="1"/>
    </font>
    <font>
      <b val="true"/>
      <sz val="11"/>
      <color rgb="FFC00000"/>
      <name val="Arial"/>
      <family val="0"/>
      <charset val="1"/>
    </font>
    <font>
      <sz val="8"/>
      <color rgb="FF000000"/>
      <name val="Arial"/>
      <family val="0"/>
      <charset val="1"/>
    </font>
    <font>
      <sz val="8"/>
      <color rgb="FFC00000"/>
      <name val="Arial"/>
      <family val="0"/>
      <charset val="1"/>
    </font>
  </fonts>
  <fills count="8">
    <fill>
      <patternFill patternType="none"/>
    </fill>
    <fill>
      <patternFill patternType="gray125"/>
    </fill>
    <fill>
      <patternFill patternType="solid">
        <fgColor rgb="FFFFF2CC"/>
        <bgColor rgb="FFFCE4D6"/>
      </patternFill>
    </fill>
    <fill>
      <patternFill patternType="solid">
        <fgColor rgb="FF1F3864"/>
        <bgColor rgb="FF333333"/>
      </patternFill>
    </fill>
    <fill>
      <patternFill patternType="solid">
        <fgColor rgb="FFF2F2F2"/>
        <bgColor rgb="FFE2EFDA"/>
      </patternFill>
    </fill>
    <fill>
      <patternFill patternType="solid">
        <fgColor rgb="FFE2EFDA"/>
        <bgColor rgb="FFDDEBF7"/>
      </patternFill>
    </fill>
    <fill>
      <patternFill patternType="solid">
        <fgColor rgb="FFDDEBF7"/>
        <bgColor rgb="FFE2EFDA"/>
      </patternFill>
    </fill>
    <fill>
      <patternFill patternType="solid">
        <fgColor rgb="FFFCE4D6"/>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2" borderId="1"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5" fillId="3" borderId="0" xfId="0" applyFont="true" applyBorder="false" applyAlignment="true" applyProtection="true">
      <alignment horizontal="general" vertical="bottom" textRotation="0" wrapText="false" indent="0" shrinkToFit="false"/>
      <protection locked="true" hidden="false"/>
    </xf>
    <xf numFmtId="164" fontId="0" fillId="3" borderId="0" xfId="0" applyFont="fals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top" textRotation="0" wrapText="true" indent="0" shrinkToFit="false"/>
      <protection locked="true" hidden="false"/>
    </xf>
    <xf numFmtId="164" fontId="17" fillId="4"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true" applyAlignment="true" applyProtection="true">
      <alignment horizontal="general" vertical="bottom"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general" vertical="bottom" textRotation="0" wrapText="false" indent="0" shrinkToFit="false"/>
      <protection locked="true" hidden="false"/>
    </xf>
    <xf numFmtId="164" fontId="21" fillId="0" borderId="0" xfId="0" applyFont="true" applyBorder="false" applyAlignment="true" applyProtection="true">
      <alignment horizontal="general" vertical="bottom" textRotation="0" wrapText="false" indent="0" shrinkToFit="false"/>
      <protection locked="true" hidden="false"/>
    </xf>
    <xf numFmtId="164" fontId="22" fillId="3"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5" fontId="23" fillId="2" borderId="1" xfId="0" applyFont="true" applyBorder="true" applyAlignment="true" applyProtection="true">
      <alignment horizontal="right" vertical="bottom" textRotation="0" wrapText="fals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4" fontId="25" fillId="0" borderId="0" xfId="0" applyFont="true" applyBorder="false" applyAlignment="true" applyProtection="true">
      <alignment horizontal="general" vertical="top" textRotation="0" wrapText="true" indent="0" shrinkToFit="false"/>
      <protection locked="true" hidden="false"/>
    </xf>
    <xf numFmtId="165" fontId="26" fillId="4" borderId="0" xfId="0" applyFont="true" applyBorder="false" applyAlignment="true" applyProtection="true">
      <alignment horizontal="right" vertical="bottom" textRotation="0" wrapText="false" indent="0" shrinkToFit="false"/>
      <protection locked="true" hidden="false"/>
    </xf>
    <xf numFmtId="165" fontId="14" fillId="0" borderId="0" xfId="0" applyFont="true" applyBorder="false" applyAlignment="true" applyProtection="true">
      <alignment horizontal="right" vertical="bottom" textRotation="0" wrapText="false" indent="0" shrinkToFit="false"/>
      <protection locked="true" hidden="false"/>
    </xf>
    <xf numFmtId="164" fontId="23" fillId="2" borderId="1" xfId="0" applyFont="true" applyBorder="true" applyAlignment="true" applyProtection="true">
      <alignment horizontal="right" vertical="bottom" textRotation="0" wrapText="false" indent="0" shrinkToFit="false"/>
      <protection locked="true" hidden="false"/>
    </xf>
    <xf numFmtId="164" fontId="26" fillId="4" borderId="0" xfId="0" applyFont="true" applyBorder="false" applyAlignment="true" applyProtection="true">
      <alignment horizontal="right" vertical="bottom" textRotation="0" wrapText="false" indent="0" shrinkToFit="false"/>
      <protection locked="true" hidden="false"/>
    </xf>
    <xf numFmtId="164" fontId="14" fillId="0" borderId="0" xfId="0" applyFont="true" applyBorder="false" applyAlignment="true" applyProtection="true">
      <alignment horizontal="right" vertical="bottom" textRotation="0" wrapText="false" indent="0" shrinkToFit="false"/>
      <protection locked="true" hidden="false"/>
    </xf>
    <xf numFmtId="166" fontId="23" fillId="2" borderId="1" xfId="0" applyFont="true" applyBorder="true" applyAlignment="true" applyProtection="true">
      <alignment horizontal="right" vertical="bottom" textRotation="0" wrapText="false" indent="0" shrinkToFit="false"/>
      <protection locked="true" hidden="false"/>
    </xf>
    <xf numFmtId="164" fontId="27" fillId="0" borderId="0" xfId="0" applyFont="true" applyBorder="false" applyAlignment="true" applyProtection="true">
      <alignment horizontal="general" vertical="top" textRotation="0" wrapText="true" indent="0" shrinkToFit="false"/>
      <protection locked="true" hidden="false"/>
    </xf>
    <xf numFmtId="166" fontId="26" fillId="4" borderId="0" xfId="0" applyFont="true" applyBorder="false" applyAlignment="true" applyProtection="true">
      <alignment horizontal="right" vertical="bottom" textRotation="0" wrapText="false" indent="0" shrinkToFit="false"/>
      <protection locked="true" hidden="false"/>
    </xf>
    <xf numFmtId="166" fontId="14" fillId="0" borderId="0" xfId="0" applyFont="true" applyBorder="false" applyAlignment="true" applyProtection="true">
      <alignment horizontal="right" vertical="bottom" textRotation="0" wrapText="false" indent="0" shrinkToFit="false"/>
      <protection locked="true" hidden="false"/>
    </xf>
    <xf numFmtId="167" fontId="23" fillId="2" borderId="1" xfId="0" applyFont="true" applyBorder="true" applyAlignment="true" applyProtection="true">
      <alignment horizontal="right" vertical="bottom" textRotation="0" wrapText="false" indent="0" shrinkToFit="false"/>
      <protection locked="true" hidden="false"/>
    </xf>
    <xf numFmtId="167" fontId="26" fillId="4" borderId="0" xfId="0" applyFont="true" applyBorder="false" applyAlignment="true" applyProtection="true">
      <alignment horizontal="right" vertical="bottom" textRotation="0" wrapText="false" indent="0" shrinkToFit="false"/>
      <protection locked="true" hidden="false"/>
    </xf>
    <xf numFmtId="167" fontId="14" fillId="0" borderId="0" xfId="0" applyFont="true" applyBorder="false" applyAlignment="true" applyProtection="true">
      <alignment horizontal="right" vertical="bottom" textRotation="0" wrapText="false" indent="0" shrinkToFit="false"/>
      <protection locked="true" hidden="false"/>
    </xf>
    <xf numFmtId="165" fontId="28" fillId="5" borderId="1" xfId="0" applyFont="true" applyBorder="true" applyAlignment="true" applyProtection="true">
      <alignment horizontal="right" vertical="bottom" textRotation="0" wrapText="false" indent="0" shrinkToFit="true"/>
      <protection locked="true" hidden="false"/>
    </xf>
    <xf numFmtId="164" fontId="29" fillId="0" borderId="0" xfId="0" applyFont="true" applyBorder="false" applyAlignment="true" applyProtection="true">
      <alignment horizontal="general" vertical="top" textRotation="0" wrapText="true" indent="0" shrinkToFit="false"/>
      <protection locked="true" hidden="false"/>
    </xf>
    <xf numFmtId="165" fontId="10" fillId="4" borderId="1" xfId="0" applyFont="true" applyBorder="true" applyAlignment="true" applyProtection="true">
      <alignment horizontal="right" vertical="bottom" textRotation="0" wrapText="false" indent="0" shrinkToFit="true"/>
      <protection locked="true" hidden="false"/>
    </xf>
    <xf numFmtId="168" fontId="10" fillId="4" borderId="1" xfId="0" applyFont="true" applyBorder="true" applyAlignment="true" applyProtection="true">
      <alignment horizontal="right" vertical="bottom" textRotation="0" wrapText="false" indent="0" shrinkToFit="true"/>
      <protection locked="true" hidden="false"/>
    </xf>
    <xf numFmtId="164" fontId="10" fillId="4" borderId="1" xfId="0" applyFont="true" applyBorder="true" applyAlignment="true" applyProtection="true">
      <alignment horizontal="right" vertical="bottom" textRotation="0" wrapText="false" indent="0" shrinkToFit="true"/>
      <protection locked="true" hidden="false"/>
    </xf>
    <xf numFmtId="164" fontId="14" fillId="0" borderId="0" xfId="0" applyFont="true" applyBorder="true" applyAlignment="true" applyProtection="true">
      <alignment horizontal="general" vertical="top" textRotation="0" wrapText="true" indent="0" shrinkToFit="false"/>
      <protection locked="true" hidden="false"/>
    </xf>
    <xf numFmtId="164" fontId="17" fillId="0" borderId="0" xfId="0" applyFont="true" applyBorder="true" applyAlignment="true" applyProtection="true">
      <alignment horizontal="general" vertical="top" textRotation="0" wrapText="true" indent="0" shrinkToFit="false"/>
      <protection locked="true" hidden="false"/>
    </xf>
    <xf numFmtId="164" fontId="12" fillId="4" borderId="1" xfId="0" applyFont="true" applyBorder="true" applyAlignment="true" applyProtection="true">
      <alignment horizontal="right" vertical="bottom" textRotation="0" wrapText="false" indent="0" shrinkToFit="true"/>
      <protection locked="true" hidden="false"/>
    </xf>
    <xf numFmtId="164" fontId="29" fillId="0" borderId="0" xfId="0" applyFont="true" applyBorder="false" applyAlignment="true" applyProtection="true">
      <alignment horizontal="general" vertical="bottom" textRotation="0" wrapText="false" indent="0" shrinkToFit="false"/>
      <protection locked="true" hidden="false"/>
    </xf>
    <xf numFmtId="165" fontId="12" fillId="4" borderId="1" xfId="0" applyFont="true" applyBorder="true" applyAlignment="true" applyProtection="true">
      <alignment horizontal="right" vertical="bottom" textRotation="0" wrapText="false" indent="0" shrinkToFit="true"/>
      <protection locked="true" hidden="false"/>
    </xf>
    <xf numFmtId="167" fontId="12" fillId="4" borderId="1" xfId="0" applyFont="true" applyBorder="true" applyAlignment="true" applyProtection="true">
      <alignment horizontal="right" vertical="bottom" textRotation="0" wrapText="false" indent="0" shrinkToFit="true"/>
      <protection locked="true" hidden="false"/>
    </xf>
    <xf numFmtId="164" fontId="25" fillId="0" borderId="0" xfId="0" applyFont="true" applyBorder="false" applyAlignment="true" applyProtection="true">
      <alignment horizontal="general" vertical="bottom" textRotation="0" wrapText="false" indent="0" shrinkToFit="false"/>
      <protection locked="true" hidden="false"/>
    </xf>
    <xf numFmtId="164" fontId="31" fillId="0" borderId="0" xfId="0" applyFont="true" applyBorder="true" applyAlignment="true" applyProtection="true">
      <alignment horizontal="general" vertical="top" textRotation="0" wrapText="true" indent="0" shrinkToFit="false"/>
      <protection locked="true" hidden="false"/>
    </xf>
    <xf numFmtId="165" fontId="23" fillId="6" borderId="1" xfId="0" applyFont="true" applyBorder="true" applyAlignment="true" applyProtection="true">
      <alignment horizontal="right" vertical="bottom" textRotation="0" wrapText="false" indent="0" shrinkToFit="false"/>
      <protection locked="true" hidden="false"/>
    </xf>
    <xf numFmtId="166" fontId="23" fillId="6" borderId="1" xfId="0" applyFont="true" applyBorder="true" applyAlignment="true" applyProtection="true">
      <alignment horizontal="right" vertical="bottom" textRotation="0" wrapText="false" indent="0" shrinkToFit="false"/>
      <protection locked="true" hidden="false"/>
    </xf>
    <xf numFmtId="167" fontId="23" fillId="6" borderId="1" xfId="0" applyFont="true" applyBorder="true" applyAlignment="true" applyProtection="true">
      <alignment horizontal="right" vertical="bottom" textRotation="0" wrapText="false" indent="0" shrinkToFit="false"/>
      <protection locked="true" hidden="false"/>
    </xf>
    <xf numFmtId="169" fontId="23" fillId="6" borderId="1" xfId="0" applyFont="true" applyBorder="true" applyAlignment="true" applyProtection="true">
      <alignment horizontal="right" vertical="bottom" textRotation="0" wrapText="false" indent="0" shrinkToFit="false"/>
      <protection locked="true" hidden="false"/>
    </xf>
    <xf numFmtId="165" fontId="12" fillId="4" borderId="1" xfId="0" applyFont="true" applyBorder="true" applyAlignment="true" applyProtection="true">
      <alignment horizontal="right" vertical="bottom" textRotation="0" wrapText="false" indent="0" shrinkToFit="false"/>
      <protection locked="true" hidden="false"/>
    </xf>
    <xf numFmtId="164" fontId="32" fillId="0" borderId="0" xfId="0" applyFont="true" applyBorder="fals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right" vertical="bottom" textRotation="0" wrapText="false" indent="0" shrinkToFit="false"/>
      <protection locked="true" hidden="false"/>
    </xf>
    <xf numFmtId="167" fontId="12" fillId="4" borderId="1" xfId="0" applyFont="true" applyBorder="true" applyAlignment="true" applyProtection="true">
      <alignment horizontal="right" vertical="bottom" textRotation="0" wrapText="false" indent="0" shrinkToFit="false"/>
      <protection locked="true" hidden="false"/>
    </xf>
    <xf numFmtId="167" fontId="28" fillId="5" borderId="1" xfId="0" applyFont="true" applyBorder="true" applyAlignment="true" applyProtection="true">
      <alignment horizontal="right" vertical="bottom" textRotation="0" wrapText="false" indent="0" shrinkToFit="tru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70" fontId="10" fillId="4" borderId="1" xfId="0" applyFont="true" applyBorder="true" applyAlignment="true" applyProtection="true">
      <alignment horizontal="right" vertical="bottom" textRotation="0" wrapText="false" indent="0" shrinkToFit="true"/>
      <protection locked="true" hidden="false"/>
    </xf>
    <xf numFmtId="166" fontId="10" fillId="4" borderId="1" xfId="0" applyFont="true" applyBorder="true" applyAlignment="true" applyProtection="true">
      <alignment horizontal="right" vertical="bottom" textRotation="0" wrapText="false" indent="0" shrinkToFit="true"/>
      <protection locked="true" hidden="false"/>
    </xf>
    <xf numFmtId="167" fontId="10" fillId="4" borderId="1" xfId="0" applyFont="true" applyBorder="true" applyAlignment="true" applyProtection="true">
      <alignment horizontal="right" vertical="bottom" textRotation="0" wrapText="false" indent="0" shrinkToFit="tru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31" fillId="0" borderId="0" xfId="0" applyFont="true" applyBorder="tru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right" vertical="bottom" textRotation="0" wrapText="false" indent="0" shrinkToFit="true"/>
      <protection locked="true" hidden="false"/>
    </xf>
    <xf numFmtId="171" fontId="28" fillId="5" borderId="1" xfId="0" applyFont="true" applyBorder="true" applyAlignment="true" applyProtection="true">
      <alignment horizontal="right" vertical="bottom" textRotation="0" wrapText="false" indent="0" shrinkToFit="true"/>
      <protection locked="true" hidden="false"/>
    </xf>
    <xf numFmtId="164" fontId="23" fillId="6" borderId="1" xfId="0" applyFont="true" applyBorder="true" applyAlignment="true" applyProtection="true">
      <alignment horizontal="right" vertical="bottom" textRotation="0" wrapText="false" indent="0" shrinkToFit="false"/>
      <protection locked="true" hidden="false"/>
    </xf>
    <xf numFmtId="164" fontId="33" fillId="0" borderId="0" xfId="0" applyFont="true" applyBorder="false" applyAlignment="true" applyProtection="true">
      <alignment horizontal="general" vertical="bottom" textRotation="0" wrapText="false" indent="0" shrinkToFit="false"/>
      <protection locked="true" hidden="false"/>
    </xf>
    <xf numFmtId="164" fontId="33" fillId="7" borderId="0" xfId="0" applyFont="true" applyBorder="true" applyAlignment="true" applyProtection="true">
      <alignment horizontal="general" vertical="bottom" textRotation="0" wrapText="false" indent="0" shrinkToFit="false"/>
      <protection locked="true" hidden="false"/>
    </xf>
    <xf numFmtId="172" fontId="23" fillId="2" borderId="1" xfId="0" applyFont="true" applyBorder="true" applyAlignment="true" applyProtection="true">
      <alignment horizontal="right" vertical="bottom" textRotation="0" wrapText="false" indent="0" shrinkToFit="false"/>
      <protection locked="true" hidden="false"/>
    </xf>
    <xf numFmtId="172" fontId="26" fillId="4" borderId="0" xfId="0" applyFont="true" applyBorder="false" applyAlignment="true" applyProtection="true">
      <alignment horizontal="right" vertical="bottom" textRotation="0" wrapText="false" indent="0" shrinkToFit="false"/>
      <protection locked="true" hidden="false"/>
    </xf>
    <xf numFmtId="172" fontId="14" fillId="0" borderId="0" xfId="0" applyFont="true" applyBorder="false" applyAlignment="true" applyProtection="true">
      <alignment horizontal="right" vertical="bottom" textRotation="0" wrapText="false" indent="0" shrinkToFit="false"/>
      <protection locked="true" hidden="false"/>
    </xf>
    <xf numFmtId="173" fontId="10" fillId="4" borderId="1" xfId="0" applyFont="true" applyBorder="true" applyAlignment="true" applyProtection="true">
      <alignment horizontal="right" vertical="bottom" textRotation="0" wrapText="false" indent="0" shrinkToFit="true"/>
      <protection locked="true" hidden="false"/>
    </xf>
    <xf numFmtId="164" fontId="17" fillId="4" borderId="0" xfId="0" applyFont="true" applyBorder="false" applyAlignment="true" applyProtection="true">
      <alignment horizontal="general" vertical="bottom" textRotation="0" wrapText="true" indent="0" shrinkToFit="false"/>
      <protection locked="true" hidden="false"/>
    </xf>
    <xf numFmtId="167" fontId="14" fillId="0" borderId="0" xfId="0" applyFont="true" applyBorder="false" applyAlignment="true" applyProtection="true">
      <alignment horizontal="general" vertical="bottom" textRotation="0" wrapText="false" indent="0" shrinkToFit="false"/>
      <protection locked="true" hidden="false"/>
    </xf>
    <xf numFmtId="165" fontId="14" fillId="0" borderId="0" xfId="0" applyFont="true" applyBorder="false" applyAlignment="true" applyProtection="true">
      <alignment horizontal="general" vertical="bottom" textRotation="0" wrapText="false" indent="0" shrinkToFit="false"/>
      <protection locked="true" hidden="false"/>
    </xf>
    <xf numFmtId="170" fontId="28" fillId="5" borderId="1" xfId="0" applyFont="true" applyBorder="true" applyAlignment="true" applyProtection="true">
      <alignment horizontal="right" vertical="bottom" textRotation="0" wrapText="false" indent="0" shrinkToFit="true"/>
      <protection locked="true" hidden="false"/>
    </xf>
    <xf numFmtId="174" fontId="23" fillId="2" borderId="1" xfId="0" applyFont="true" applyBorder="true" applyAlignment="true" applyProtection="true">
      <alignment horizontal="right" vertical="bottom" textRotation="0" wrapText="false" indent="0" shrinkToFit="false"/>
      <protection locked="true" hidden="false"/>
    </xf>
    <xf numFmtId="174" fontId="26" fillId="4" borderId="0" xfId="0" applyFont="true" applyBorder="false" applyAlignment="true" applyProtection="true">
      <alignment horizontal="right" vertical="bottom" textRotation="0" wrapText="false" indent="0" shrinkToFit="false"/>
      <protection locked="true" hidden="false"/>
    </xf>
    <xf numFmtId="174" fontId="14" fillId="0" borderId="0" xfId="0" applyFont="true" applyBorder="false" applyAlignment="true" applyProtection="true">
      <alignment horizontal="right" vertical="bottom" textRotation="0" wrapText="false" indent="0" shrinkToFit="false"/>
      <protection locked="true" hidden="false"/>
    </xf>
    <xf numFmtId="171" fontId="10" fillId="4" borderId="1" xfId="0" applyFont="true" applyBorder="true" applyAlignment="true" applyProtection="true">
      <alignment horizontal="right" vertical="bottom" textRotation="0" wrapText="false" indent="0" shrinkToFit="tru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70" fontId="10" fillId="4" borderId="1" xfId="0" applyFont="true" applyBorder="true" applyAlignment="true" applyProtection="true">
      <alignment horizontal="general" vertical="bottom" textRotation="0" wrapText="false" indent="0" shrinkToFit="false"/>
      <protection locked="true" hidden="false"/>
    </xf>
    <xf numFmtId="164" fontId="34" fillId="0" borderId="0" xfId="0" applyFont="true" applyBorder="false" applyAlignment="true" applyProtection="true">
      <alignment horizontal="general" vertical="bottom" textRotation="0" wrapText="true" indent="0" shrinkToFit="false"/>
      <protection locked="true" hidden="false"/>
    </xf>
    <xf numFmtId="165" fontId="10" fillId="4" borderId="1" xfId="0" applyFont="true" applyBorder="true" applyAlignment="true" applyProtection="true">
      <alignment horizontal="general" vertical="bottom" textRotation="0" wrapText="false" indent="0" shrinkToFit="false"/>
      <protection locked="true" hidden="false"/>
    </xf>
    <xf numFmtId="174" fontId="10" fillId="4" borderId="1" xfId="0" applyFont="true" applyBorder="true" applyAlignment="true" applyProtection="true">
      <alignment horizontal="general" vertical="bottom" textRotation="0" wrapText="false" indent="0" shrinkToFit="false"/>
      <protection locked="true" hidden="false"/>
    </xf>
    <xf numFmtId="174" fontId="6" fillId="5" borderId="1" xfId="0" applyFont="true" applyBorder="true" applyAlignment="true" applyProtection="true">
      <alignment horizontal="general" vertical="bottom" textRotation="0" wrapText="false" indent="0" shrinkToFit="false"/>
      <protection locked="true" hidden="false"/>
    </xf>
    <xf numFmtId="172" fontId="6" fillId="5" borderId="1"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true" applyAlignment="true" applyProtection="true">
      <alignment horizontal="general" vertical="bottom" textRotation="0" wrapText="false" indent="0" shrinkToFit="false"/>
      <protection locked="true" hidden="false"/>
    </xf>
    <xf numFmtId="164" fontId="35" fillId="4" borderId="0" xfId="0" applyFont="true" applyBorder="false" applyAlignment="true" applyProtection="true">
      <alignment horizontal="general" vertical="bottom" textRotation="0" wrapText="true" indent="0" shrinkToFit="false"/>
      <protection locked="true" hidden="false"/>
    </xf>
    <xf numFmtId="174" fontId="14" fillId="0" borderId="0" xfId="0" applyFont="true" applyBorder="false" applyAlignment="true" applyProtection="true">
      <alignment horizontal="general" vertical="bottom" textRotation="0" wrapText="false" indent="0" shrinkToFit="false"/>
      <protection locked="true" hidden="false"/>
    </xf>
    <xf numFmtId="164" fontId="36" fillId="0" borderId="0" xfId="0" applyFont="true" applyBorder="false" applyAlignment="true" applyProtection="true">
      <alignment horizontal="general" vertical="bottom" textRotation="0" wrapText="false" indent="0" shrinkToFit="false"/>
      <protection locked="true" hidden="false"/>
    </xf>
    <xf numFmtId="164" fontId="11" fillId="3" borderId="0" xfId="0" applyFont="true" applyBorder="false" applyAlignment="true" applyProtection="true">
      <alignment horizontal="general" vertical="bottom" textRotation="0" wrapText="true" indent="0" shrinkToFit="false"/>
      <protection locked="true" hidden="false"/>
    </xf>
    <xf numFmtId="164" fontId="17" fillId="0" borderId="1" xfId="0" applyFont="true" applyBorder="true" applyAlignment="true" applyProtection="true">
      <alignment horizontal="general" vertical="top" textRotation="0" wrapText="true" indent="0" shrinkToFit="false"/>
      <protection locked="true" hidden="false"/>
    </xf>
    <xf numFmtId="164" fontId="14" fillId="0" borderId="1" xfId="0" applyFont="true" applyBorder="true" applyAlignment="true" applyProtection="true">
      <alignment horizontal="general" vertical="top" textRotation="0" wrapText="true" indent="0" shrinkToFit="false"/>
      <protection locked="true" hidden="false"/>
    </xf>
    <xf numFmtId="164" fontId="37" fillId="0" borderId="0" xfId="0" applyFont="true" applyBorder="false" applyAlignment="true" applyProtection="true">
      <alignment horizontal="general" vertical="bottom" textRotation="0" wrapText="false" indent="0" shrinkToFit="false"/>
      <protection locked="true" hidden="false"/>
    </xf>
    <xf numFmtId="164" fontId="38" fillId="0" borderId="0" xfId="0" applyFont="true" applyBorder="false" applyAlignment="true" applyProtection="true">
      <alignment horizontal="general" vertical="bottom" textRotation="0" wrapText="false" indent="0" shrinkToFit="false"/>
      <protection locked="true" hidden="false"/>
    </xf>
    <xf numFmtId="164" fontId="39" fillId="0" borderId="0" xfId="0" applyFont="true" applyBorder="false" applyAlignment="true" applyProtection="true">
      <alignment horizontal="general" vertical="bottom" textRotation="0" wrapText="false" indent="0" shrinkToFit="false"/>
      <protection locked="true" hidden="false"/>
    </xf>
    <xf numFmtId="164" fontId="40"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true" applyAlignment="true" applyProtection="true">
      <alignment horizontal="general" vertical="bottom" textRotation="0" wrapText="true" indent="0" shrinkToFit="false"/>
      <protection locked="true" hidden="false"/>
    </xf>
    <xf numFmtId="164" fontId="41" fillId="0" borderId="0" xfId="0" applyFont="true" applyBorder="false" applyAlignment="true" applyProtection="true">
      <alignment horizontal="general" vertical="top" textRotation="0" wrapText="true" indent="0" shrinkToFit="false"/>
      <protection locked="true" hidden="false"/>
    </xf>
    <xf numFmtId="165" fontId="12" fillId="4" borderId="1" xfId="0" applyFont="true" applyBorder="true" applyAlignment="true" applyProtection="true">
      <alignment horizontal="general" vertical="bottom" textRotation="0" wrapText="false" indent="0" shrinkToFit="false"/>
      <protection locked="true" hidden="false"/>
    </xf>
    <xf numFmtId="164" fontId="42" fillId="0" borderId="0" xfId="0" applyFont="true" applyBorder="false" applyAlignment="true" applyProtection="true">
      <alignment horizontal="general" vertical="top" textRotation="0" wrapText="true" indent="0" shrinkToFit="false"/>
      <protection locked="true" hidden="false"/>
    </xf>
    <xf numFmtId="172" fontId="12" fillId="4" borderId="1" xfId="0" applyFont="true" applyBorder="true" applyAlignment="true" applyProtection="true">
      <alignment horizontal="general" vertical="bottom" textRotation="0" wrapText="false" indent="0" shrinkToFit="false"/>
      <protection locked="true" hidden="false"/>
    </xf>
    <xf numFmtId="173" fontId="12" fillId="4" borderId="1" xfId="0" applyFont="true" applyBorder="true" applyAlignment="true" applyProtection="true">
      <alignment horizontal="general" vertical="bottom" textRotation="0" wrapText="false" indent="0" shrinkToFit="false"/>
      <protection locked="true" hidden="false"/>
    </xf>
    <xf numFmtId="166" fontId="12" fillId="4" borderId="1" xfId="0" applyFont="true" applyBorder="true" applyAlignment="true" applyProtection="true">
      <alignment horizontal="general" vertical="bottom" textRotation="0" wrapText="false" indent="0" shrinkToFit="false"/>
      <protection locked="true" hidden="false"/>
    </xf>
    <xf numFmtId="170" fontId="12" fillId="4" borderId="1" xfId="0" applyFont="true" applyBorder="true" applyAlignment="true" applyProtection="true">
      <alignment horizontal="general" vertical="bottom" textRotation="0" wrapText="false" indent="0" shrinkToFit="false"/>
      <protection locked="true" hidden="false"/>
    </xf>
    <xf numFmtId="167" fontId="12" fillId="4" borderId="1" xfId="0" applyFont="true" applyBorder="true" applyAlignment="true" applyProtection="true">
      <alignment horizontal="general" vertical="bottom" textRotation="0" wrapText="false" indent="0" shrinkToFit="false"/>
      <protection locked="true" hidden="false"/>
    </xf>
    <xf numFmtId="164" fontId="12" fillId="4" borderId="1" xfId="0" applyFont="true" applyBorder="true" applyAlignment="true" applyProtection="true">
      <alignment horizontal="general" vertical="bottom" textRotation="0" wrapText="false" indent="0" shrinkToFit="false"/>
      <protection locked="true" hidden="false"/>
    </xf>
    <xf numFmtId="164" fontId="41" fillId="0" borderId="0" xfId="0" applyFont="true" applyBorder="false" applyAlignment="true" applyProtection="true">
      <alignment horizontal="general" vertical="bottom" textRotation="0" wrapText="false" indent="0" shrinkToFit="false"/>
      <protection locked="true" hidden="false"/>
    </xf>
    <xf numFmtId="164" fontId="42" fillId="0" borderId="0" xfId="0" applyFont="true" applyBorder="false" applyAlignment="true" applyProtection="true">
      <alignment horizontal="general" vertical="bottom" textRotation="0" wrapText="false" indent="0" shrinkToFit="false"/>
      <protection locked="true" hidden="false"/>
    </xf>
    <xf numFmtId="174" fontId="12" fillId="4" borderId="1" xfId="0" applyFont="true" applyBorder="true" applyAlignment="true" applyProtection="true">
      <alignment horizontal="general" vertical="bottom" textRotation="0" wrapText="false" indent="0" shrinkToFit="false"/>
      <protection locked="true" hidden="false"/>
    </xf>
    <xf numFmtId="168" fontId="12" fillId="4" borderId="1" xfId="0" applyFont="true" applyBorder="true" applyAlignment="true" applyProtection="true">
      <alignment horizontal="general" vertical="bottom" textRotation="0" wrapText="false" indent="0" shrinkToFit="false"/>
      <protection locked="true" hidden="false"/>
    </xf>
    <xf numFmtId="175" fontId="12" fillId="4" borderId="1" xfId="0" applyFont="true" applyBorder="tru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1F6E43"/>
      <rgbColor rgb="FFBFBFBF"/>
      <rgbColor rgb="FF808080"/>
      <rgbColor rgb="FF9999FF"/>
      <rgbColor rgb="FF993366"/>
      <rgbColor rgb="FFFFF2CC"/>
      <rgbColor rgb="FFDDEBF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0.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1.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2.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3.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4.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5.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6.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7.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8.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9.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20.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21.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22.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23.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4.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5.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6.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7.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8.vml"/>
</Relationships>
</file>

<file path=xl/worksheets/_rels/sheet30.xml.rels><?xml version="1.0" encoding="UTF-8"?>
<Relationships xmlns="http://schemas.openxmlformats.org/package/2006/relationships"><Relationship Id="rId1" Type="http://schemas.openxmlformats.org/officeDocument/2006/relationships/comments" Target="../comments30.xml"/><Relationship Id="rId2" Type="http://schemas.openxmlformats.org/officeDocument/2006/relationships/vmlDrawing" Target="../drawings/vmlDrawing29.vml"/>
</Relationships>
</file>

<file path=xl/worksheets/_rels/sheet31.xml.rels><?xml version="1.0" encoding="UTF-8"?>
<Relationships xmlns="http://schemas.openxmlformats.org/package/2006/relationships"><Relationship Id="rId1" Type="http://schemas.openxmlformats.org/officeDocument/2006/relationships/hyperlink" Target="https://pensionsauthority.ie/scheme-members-and-prsa-contributors/understanding-pensions/your_right_to_information/statement_of_reasonable_projection/" TargetMode="External"/><Relationship Id="rId2" Type="http://schemas.openxmlformats.org/officeDocument/2006/relationships/hyperlink" Target="https://pensionsauthority.ie/news_press/news_archive/updated-pension-benefit-statement-projection-assumptions/" TargetMode="External"/><Relationship Id="rId3" Type="http://schemas.openxmlformats.org/officeDocument/2006/relationships/hyperlink" Target="https://www.centralbank.ie/code" TargetMode="External"/><Relationship Id="rId4" Type="http://schemas.openxmlformats.org/officeDocument/2006/relationships/hyperlink" Target="https://www.revenue.ie/en/corporate/press-office/press-releases/2019/pr-200619-employees-new-facility-view-current-pay-and-tax-details-through-revenue-myaccount.aspx" TargetMode="External"/><Relationship Id="rId5" Type="http://schemas.openxmlformats.org/officeDocument/2006/relationships/hyperlink" Target="https://www.gov.ie/en/publication/0fbf7-request-a-contribution-statement"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22"/>
    <col collapsed="false" customWidth="true" hidden="false" outlineLevel="0" max="3" min="3" style="1" width="40"/>
    <col collapsed="false" customWidth="true" hidden="false" outlineLevel="0" max="4" min="4" style="1" width="70"/>
    <col collapsed="false" customWidth="true" hidden="false" outlineLevel="0" max="5" min="5" style="1" width="30"/>
  </cols>
  <sheetData>
    <row r="1" customFormat="false" ht="21.75" hidden="false" customHeight="true" outlineLevel="0" collapsed="false">
      <c r="B1" s="2" t="s">
        <v>0</v>
      </c>
    </row>
    <row r="2" customFormat="false" ht="15" hidden="false" customHeight="true" outlineLevel="0" collapsed="false">
      <c r="B2" s="3" t="s">
        <v>1</v>
      </c>
    </row>
    <row r="3" customFormat="false" ht="15" hidden="false" customHeight="true" outlineLevel="0" collapsed="false">
      <c r="B3" s="4" t="s">
        <v>2</v>
      </c>
      <c r="C3" s="5" t="s">
        <v>3</v>
      </c>
      <c r="D3" s="6" t="s">
        <v>4</v>
      </c>
    </row>
    <row r="4" customFormat="false" ht="15" hidden="false" customHeight="true" outlineLevel="0" collapsed="false">
      <c r="B4" s="7" t="s">
        <v>5</v>
      </c>
    </row>
    <row r="5" customFormat="false" ht="15" hidden="false" customHeight="true" outlineLevel="0" collapsed="false">
      <c r="B5" s="8" t="s">
        <v>6</v>
      </c>
      <c r="C5" s="8"/>
      <c r="D5" s="8"/>
      <c r="E5" s="8"/>
    </row>
    <row r="6" customFormat="false" ht="15" hidden="false" customHeight="true" outlineLevel="0" collapsed="false">
      <c r="B6" s="8" t="s">
        <v>7</v>
      </c>
      <c r="C6" s="8"/>
      <c r="D6" s="8"/>
      <c r="E6" s="8"/>
    </row>
    <row r="7" customFormat="false" ht="15" hidden="false" customHeight="true" outlineLevel="0" collapsed="false">
      <c r="B7" s="8" t="s">
        <v>8</v>
      </c>
      <c r="C7" s="8"/>
      <c r="D7" s="8"/>
      <c r="E7" s="8"/>
    </row>
    <row r="8" customFormat="false" ht="15" hidden="false" customHeight="true" outlineLevel="0" collapsed="false">
      <c r="B8" s="8" t="s">
        <v>9</v>
      </c>
      <c r="C8" s="8"/>
      <c r="D8" s="8"/>
      <c r="E8" s="8"/>
    </row>
    <row r="9" customFormat="false" ht="15" hidden="false" customHeight="true" outlineLevel="0" collapsed="false">
      <c r="B9" s="8" t="s">
        <v>10</v>
      </c>
      <c r="C9" s="8"/>
      <c r="D9" s="8"/>
      <c r="E9" s="8"/>
    </row>
    <row r="10" customFormat="false" ht="15" hidden="false" customHeight="true" outlineLevel="0" collapsed="false">
      <c r="B10" s="8" t="s">
        <v>11</v>
      </c>
      <c r="C10" s="8"/>
      <c r="D10" s="8"/>
      <c r="E10" s="8"/>
    </row>
    <row r="11" customFormat="false" ht="15" hidden="false" customHeight="true" outlineLevel="0" collapsed="false">
      <c r="B11" s="8" t="s">
        <v>12</v>
      </c>
      <c r="C11" s="8"/>
      <c r="D11" s="8"/>
      <c r="E11" s="8"/>
    </row>
    <row r="12" customFormat="false" ht="15" hidden="false" customHeight="true" outlineLevel="0" collapsed="false">
      <c r="B12" s="8" t="s">
        <v>13</v>
      </c>
      <c r="C12" s="8"/>
      <c r="D12" s="8"/>
      <c r="E12" s="8"/>
    </row>
    <row r="13" customFormat="false" ht="15" hidden="false" customHeight="true" outlineLevel="0" collapsed="false">
      <c r="B13" s="8" t="s">
        <v>14</v>
      </c>
      <c r="C13" s="8"/>
      <c r="D13" s="8"/>
      <c r="E13" s="8"/>
    </row>
    <row r="14" customFormat="false" ht="15" hidden="false" customHeight="true" outlineLevel="0" collapsed="false">
      <c r="B14" s="8" t="s">
        <v>15</v>
      </c>
      <c r="C14" s="8"/>
      <c r="D14" s="8"/>
      <c r="E14" s="8"/>
    </row>
    <row r="16" customFormat="false" ht="15" hidden="false" customHeight="true" outlineLevel="0" collapsed="false">
      <c r="B16" s="7" t="s">
        <v>16</v>
      </c>
    </row>
    <row r="17" customFormat="false" ht="15" hidden="false" customHeight="true" outlineLevel="0" collapsed="false">
      <c r="B17" s="8" t="s">
        <v>17</v>
      </c>
      <c r="C17" s="8"/>
      <c r="D17" s="8"/>
      <c r="E17" s="8"/>
    </row>
    <row r="18" customFormat="false" ht="15" hidden="false" customHeight="true" outlineLevel="0" collapsed="false">
      <c r="B18" s="8" t="s">
        <v>18</v>
      </c>
      <c r="C18" s="8"/>
      <c r="D18" s="8"/>
      <c r="E18" s="8"/>
    </row>
    <row r="19" customFormat="false" ht="15" hidden="false" customHeight="true" outlineLevel="0" collapsed="false">
      <c r="B19" s="8" t="s">
        <v>19</v>
      </c>
      <c r="C19" s="8"/>
      <c r="D19" s="8"/>
      <c r="E19" s="8"/>
    </row>
    <row r="20" customFormat="false" ht="15" hidden="false" customHeight="true" outlineLevel="0" collapsed="false">
      <c r="B20" s="8" t="s">
        <v>20</v>
      </c>
      <c r="C20" s="8"/>
      <c r="D20" s="8"/>
      <c r="E20" s="8"/>
    </row>
    <row r="21" customFormat="false" ht="15" hidden="false" customHeight="true" outlineLevel="0" collapsed="false">
      <c r="B21" s="8" t="s">
        <v>21</v>
      </c>
      <c r="C21" s="8"/>
      <c r="D21" s="8"/>
      <c r="E21" s="8"/>
    </row>
    <row r="22" customFormat="false" ht="15" hidden="false" customHeight="true" outlineLevel="0" collapsed="false">
      <c r="B22" s="8" t="s">
        <v>22</v>
      </c>
      <c r="C22" s="8"/>
      <c r="D22" s="8"/>
      <c r="E22" s="8"/>
    </row>
    <row r="24" customFormat="false" ht="15" hidden="false" customHeight="true" outlineLevel="0" collapsed="false">
      <c r="B24" s="7" t="s">
        <v>23</v>
      </c>
    </row>
    <row r="25" customFormat="false" ht="15" hidden="false" customHeight="true" outlineLevel="0" collapsed="false">
      <c r="B25" s="8" t="s">
        <v>24</v>
      </c>
      <c r="C25" s="8"/>
      <c r="D25" s="8"/>
      <c r="E25" s="8"/>
    </row>
    <row r="27" customFormat="false" ht="15" hidden="false" customHeight="true" outlineLevel="0" collapsed="false">
      <c r="B27" s="7" t="s">
        <v>25</v>
      </c>
    </row>
    <row r="28" customFormat="false" ht="15" hidden="false" customHeight="true" outlineLevel="0" collapsed="false">
      <c r="B28" s="8" t="s">
        <v>26</v>
      </c>
      <c r="C28" s="8"/>
      <c r="D28" s="8"/>
      <c r="E28" s="8"/>
    </row>
    <row r="30" customFormat="false" ht="15" hidden="false" customHeight="true" outlineLevel="0" collapsed="false">
      <c r="B30" s="7" t="s">
        <v>27</v>
      </c>
    </row>
    <row r="31" customFormat="false" ht="15" hidden="false" customHeight="true" outlineLevel="0" collapsed="false">
      <c r="B31" s="9" t="s">
        <v>28</v>
      </c>
      <c r="C31" s="9" t="s">
        <v>29</v>
      </c>
      <c r="D31" s="9" t="s">
        <v>30</v>
      </c>
      <c r="E31" s="9" t="s">
        <v>31</v>
      </c>
    </row>
    <row r="32" customFormat="false" ht="15" hidden="false" customHeight="true" outlineLevel="0" collapsed="false">
      <c r="B32" s="10" t="s">
        <v>32</v>
      </c>
      <c r="C32" s="11" t="str">
        <f aca="false">HYPERLINK("#'C01 Borrowing'!A1","How much could I borrow?")</f>
        <v>How much could I borrow?</v>
      </c>
      <c r="D32" s="12" t="s">
        <v>33</v>
      </c>
      <c r="E32" s="12" t="s">
        <v>34</v>
      </c>
    </row>
    <row r="33" customFormat="false" ht="15" hidden="false" customHeight="true" outlineLevel="0" collapsed="false">
      <c r="B33" s="10" t="s">
        <v>35</v>
      </c>
      <c r="C33" s="11" t="str">
        <f aca="false">HYPERLINK("#'C02 Mortgage repayment'!A1","Monthly mortgage repayment")</f>
        <v>Monthly mortgage repayment</v>
      </c>
      <c r="D33" s="12" t="s">
        <v>36</v>
      </c>
      <c r="E33" s="12" t="s">
        <v>34</v>
      </c>
    </row>
    <row r="34" customFormat="false" ht="15" hidden="false" customHeight="true" outlineLevel="0" collapsed="false">
      <c r="B34" s="10" t="s">
        <v>37</v>
      </c>
      <c r="C34" s="11" t="str">
        <f aca="false">HYPERLINK("#'C03 Deposit'!A1","Deposit calculator")</f>
        <v>Deposit calculator</v>
      </c>
      <c r="D34" s="12" t="s">
        <v>38</v>
      </c>
      <c r="E34" s="12" t="s">
        <v>34</v>
      </c>
    </row>
    <row r="35" customFormat="false" ht="15" hidden="false" customHeight="true" outlineLevel="0" collapsed="false">
      <c r="B35" s="10" t="s">
        <v>39</v>
      </c>
      <c r="C35" s="11" t="str">
        <f aca="false">HYPERLINK("#'C04 Mortgage overpayment'!A1","Mortgage overpayment")</f>
        <v>Mortgage overpayment</v>
      </c>
      <c r="D35" s="12" t="s">
        <v>40</v>
      </c>
      <c r="E35" s="12" t="s">
        <v>34</v>
      </c>
    </row>
    <row r="36" customFormat="false" ht="15" hidden="false" customHeight="true" outlineLevel="0" collapsed="false">
      <c r="B36" s="10" t="s">
        <v>41</v>
      </c>
      <c r="C36" s="11" t="str">
        <f aca="false">HYPERLINK("#'C05 Interest rate impact'!A1","Interest-rate impact")</f>
        <v>Interest-rate impact</v>
      </c>
      <c r="D36" s="12" t="s">
        <v>42</v>
      </c>
      <c r="E36" s="12" t="s">
        <v>34</v>
      </c>
    </row>
    <row r="37" customFormat="false" ht="15" hidden="false" customHeight="true" outlineLevel="0" collapsed="false">
      <c r="B37" s="10" t="s">
        <v>43</v>
      </c>
      <c r="C37" s="11" t="str">
        <f aca="false">HYPERLINK("#'C06 Term comparison'!A1","Mortgage term comparison")</f>
        <v>Mortgage term comparison</v>
      </c>
      <c r="D37" s="12" t="s">
        <v>44</v>
      </c>
      <c r="E37" s="12" t="s">
        <v>34</v>
      </c>
    </row>
    <row r="38" customFormat="false" ht="15" hidden="false" customHeight="true" outlineLevel="0" collapsed="false">
      <c r="B38" s="10" t="s">
        <v>45</v>
      </c>
      <c r="C38" s="11" t="str">
        <f aca="false">HYPERLINK("#'C07 Rent vs buy'!A1","Rent vs buy")</f>
        <v>Rent vs buy</v>
      </c>
      <c r="D38" s="12" t="s">
        <v>46</v>
      </c>
      <c r="E38" s="12" t="s">
        <v>34</v>
      </c>
    </row>
    <row r="39" customFormat="false" ht="15" hidden="false" customHeight="true" outlineLevel="0" collapsed="false">
      <c r="B39" s="10" t="s">
        <v>47</v>
      </c>
      <c r="C39" s="11" t="str">
        <f aca="false">HYPERLINK("#'C08 Goal planner'!A1","Goal planner")</f>
        <v>Goal planner</v>
      </c>
      <c r="D39" s="12" t="s">
        <v>48</v>
      </c>
      <c r="E39" s="12" t="s">
        <v>49</v>
      </c>
    </row>
    <row r="40" customFormat="false" ht="15" hidden="false" customHeight="true" outlineLevel="0" collapsed="false">
      <c r="B40" s="10" t="s">
        <v>50</v>
      </c>
      <c r="C40" s="11" t="str">
        <f aca="false">HYPERLINK("#'C09 Compound growth'!A1","Compound growth")</f>
        <v>Compound growth</v>
      </c>
      <c r="D40" s="12" t="s">
        <v>51</v>
      </c>
      <c r="E40" s="12" t="s">
        <v>49</v>
      </c>
    </row>
    <row r="41" customFormat="false" ht="15" hidden="false" customHeight="true" outlineLevel="0" collapsed="false">
      <c r="B41" s="10" t="s">
        <v>52</v>
      </c>
      <c r="C41" s="11" t="str">
        <f aca="false">HYPERLINK("#'C10 Lump sum growth'!A1","Lump-sum growth")</f>
        <v>Lump-sum growth</v>
      </c>
      <c r="D41" s="12" t="s">
        <v>53</v>
      </c>
      <c r="E41" s="12" t="s">
        <v>54</v>
      </c>
    </row>
    <row r="42" customFormat="false" ht="15" hidden="false" customHeight="true" outlineLevel="0" collapsed="false">
      <c r="B42" s="10" t="s">
        <v>55</v>
      </c>
      <c r="C42" s="11" t="str">
        <f aca="false">HYPERLINK("#'C11 Emergency fund'!A1","Emergency fund")</f>
        <v>Emergency fund</v>
      </c>
      <c r="D42" s="12" t="s">
        <v>56</v>
      </c>
      <c r="E42" s="12" t="s">
        <v>49</v>
      </c>
    </row>
    <row r="43" customFormat="false" ht="15" hidden="false" customHeight="true" outlineLevel="0" collapsed="false">
      <c r="B43" s="10" t="s">
        <v>57</v>
      </c>
      <c r="C43" s="11" t="str">
        <f aca="false">HYPERLINK("#'C12 Retirement projection'!A1","Retirement projection")</f>
        <v>Retirement projection</v>
      </c>
      <c r="D43" s="12" t="s">
        <v>58</v>
      </c>
      <c r="E43" s="12" t="s">
        <v>59</v>
      </c>
    </row>
    <row r="44" customFormat="false" ht="15" hidden="false" customHeight="true" outlineLevel="0" collapsed="false">
      <c r="B44" s="10" t="s">
        <v>60</v>
      </c>
      <c r="C44" s="11" t="str">
        <f aca="false">HYPERLINK("#'C13 Contribution impact'!A1","Contribution impact")</f>
        <v>Contribution impact</v>
      </c>
      <c r="D44" s="12" t="s">
        <v>61</v>
      </c>
      <c r="E44" s="12" t="s">
        <v>59</v>
      </c>
    </row>
    <row r="45" customFormat="false" ht="15" hidden="false" customHeight="true" outlineLevel="0" collapsed="false">
      <c r="B45" s="10" t="s">
        <v>62</v>
      </c>
      <c r="C45" s="11" t="str">
        <f aca="false">HYPERLINK("#'C14 AVC impact'!A1","AVC impact")</f>
        <v>AVC impact</v>
      </c>
      <c r="D45" s="12" t="s">
        <v>63</v>
      </c>
      <c r="E45" s="12" t="s">
        <v>59</v>
      </c>
    </row>
    <row r="46" customFormat="false" ht="15" hidden="false" customHeight="true" outlineLevel="0" collapsed="false">
      <c r="B46" s="10" t="s">
        <v>64</v>
      </c>
      <c r="C46" s="11" t="str">
        <f aca="false">HYPERLINK("#'C15 Will my money last'!A1","Will my money last?")</f>
        <v>Will my money last?</v>
      </c>
      <c r="D46" s="12" t="s">
        <v>65</v>
      </c>
      <c r="E46" s="12" t="s">
        <v>59</v>
      </c>
    </row>
    <row r="47" customFormat="false" ht="15" hidden="false" customHeight="true" outlineLevel="0" collapsed="false">
      <c r="B47" s="10" t="s">
        <v>66</v>
      </c>
      <c r="C47" s="11" t="str">
        <f aca="false">HYPERLINK("#'C16 Drawdown scenarios'!A1","Retirement drawdown scenarios")</f>
        <v>Retirement drawdown scenarios</v>
      </c>
      <c r="D47" s="12" t="s">
        <v>67</v>
      </c>
      <c r="E47" s="12" t="s">
        <v>59</v>
      </c>
    </row>
    <row r="48" customFormat="false" ht="15" hidden="false" customHeight="true" outlineLevel="0" collapsed="false">
      <c r="B48" s="10" t="s">
        <v>68</v>
      </c>
      <c r="C48" s="11" t="str">
        <f aca="false">HYPERLINK("#'C17 Inflation adjusted return'!A1","Inflation-adjusted return")</f>
        <v>Inflation-adjusted return</v>
      </c>
      <c r="D48" s="12" t="s">
        <v>69</v>
      </c>
      <c r="E48" s="12" t="s">
        <v>54</v>
      </c>
    </row>
    <row r="49" customFormat="false" ht="15" hidden="false" customHeight="true" outlineLevel="0" collapsed="false">
      <c r="B49" s="10" t="s">
        <v>70</v>
      </c>
      <c r="C49" s="11" t="str">
        <f aca="false">HYPERLINK("#'C18 Regular investing'!A1","Regular investing")</f>
        <v>Regular investing</v>
      </c>
      <c r="D49" s="12" t="s">
        <v>71</v>
      </c>
      <c r="E49" s="12" t="s">
        <v>54</v>
      </c>
    </row>
    <row r="50" customFormat="false" ht="15" hidden="false" customHeight="true" outlineLevel="0" collapsed="false">
      <c r="B50" s="10" t="s">
        <v>72</v>
      </c>
      <c r="C50" s="11" t="str">
        <f aca="false">HYPERLINK("#'C19 Fees impact'!A1","Fees impact")</f>
        <v>Fees impact</v>
      </c>
      <c r="D50" s="12" t="s">
        <v>73</v>
      </c>
      <c r="E50" s="12" t="s">
        <v>54</v>
      </c>
    </row>
    <row r="51" customFormat="false" ht="15" hidden="false" customHeight="true" outlineLevel="0" collapsed="false">
      <c r="B51" s="10" t="s">
        <v>74</v>
      </c>
      <c r="C51" s="11" t="str">
        <f aca="false">HYPERLINK("#'C20 Risk and return'!A1","Risk &amp; return simulator")</f>
        <v>Risk &amp; return simulator</v>
      </c>
      <c r="D51" s="12" t="s">
        <v>75</v>
      </c>
      <c r="E51" s="12" t="s">
        <v>54</v>
      </c>
    </row>
    <row r="52" customFormat="false" ht="15" hidden="false" customHeight="true" outlineLevel="0" collapsed="false">
      <c r="B52" s="10" t="s">
        <v>76</v>
      </c>
      <c r="C52" s="11" t="str">
        <f aca="false">HYPERLINK("#'C21 Life cover'!A1","Life cover estimator")</f>
        <v>Life cover estimator</v>
      </c>
      <c r="D52" s="12" t="s">
        <v>77</v>
      </c>
      <c r="E52" s="12" t="s">
        <v>78</v>
      </c>
    </row>
    <row r="53" customFormat="false" ht="15" hidden="false" customHeight="true" outlineLevel="0" collapsed="false">
      <c r="B53" s="10" t="s">
        <v>79</v>
      </c>
      <c r="C53" s="11" t="str">
        <f aca="false">HYPERLINK("#'C22 Income protection gap'!A1","Income protection gap")</f>
        <v>Income protection gap</v>
      </c>
      <c r="D53" s="12" t="s">
        <v>80</v>
      </c>
      <c r="E53" s="12" t="s">
        <v>78</v>
      </c>
    </row>
    <row r="54" customFormat="false" ht="15" hidden="false" customHeight="true" outlineLevel="0" collapsed="false">
      <c r="B54" s="10" t="s">
        <v>81</v>
      </c>
      <c r="C54" s="11" t="str">
        <f aca="false">HYPERLINK("#'C23 Mortgage protection'!A1","Mortgage protection")</f>
        <v>Mortgage protection</v>
      </c>
      <c r="D54" s="12" t="s">
        <v>82</v>
      </c>
      <c r="E54" s="12" t="s">
        <v>78</v>
      </c>
    </row>
    <row r="55" customFormat="false" ht="15" hidden="false" customHeight="true" outlineLevel="0" collapsed="false">
      <c r="B55" s="10" t="s">
        <v>83</v>
      </c>
      <c r="C55" s="11" t="str">
        <f aca="false">HYPERLINK("#'C24 Net worth'!A1","Net worth")</f>
        <v>Net worth</v>
      </c>
      <c r="D55" s="12" t="s">
        <v>84</v>
      </c>
      <c r="E55" s="12" t="s">
        <v>85</v>
      </c>
    </row>
    <row r="56" customFormat="false" ht="15" hidden="false" customHeight="true" outlineLevel="0" collapsed="false">
      <c r="B56" s="10" t="s">
        <v>86</v>
      </c>
      <c r="C56" s="11" t="str">
        <f aca="false">HYPERLINK("#'C25 Monthly surplus'!A1","Monthly surplus")</f>
        <v>Monthly surplus</v>
      </c>
      <c r="D56" s="12" t="s">
        <v>87</v>
      </c>
      <c r="E56" s="12" t="s">
        <v>85</v>
      </c>
    </row>
    <row r="57" customFormat="false" ht="15" hidden="false" customHeight="true" outlineLevel="0" collapsed="false">
      <c r="B57" s="10" t="s">
        <v>88</v>
      </c>
      <c r="C57" s="11" t="str">
        <f aca="false">HYPERLINK("#'C26 Budget 50 30 20'!A1","Budget (50/30/20)")</f>
        <v>Budget (50/30/20)</v>
      </c>
      <c r="D57" s="12" t="s">
        <v>89</v>
      </c>
      <c r="E57" s="12" t="s">
        <v>85</v>
      </c>
    </row>
    <row r="58" customFormat="false" ht="15" hidden="false" customHeight="true" outlineLevel="0" collapsed="false">
      <c r="B58" s="10" t="s">
        <v>90</v>
      </c>
      <c r="C58" s="11" t="str">
        <f aca="false">HYPERLINK("#'C27 Debt repayment'!A1","Debt repayment")</f>
        <v>Debt repayment</v>
      </c>
      <c r="D58" s="12" t="s">
        <v>91</v>
      </c>
      <c r="E58" s="12" t="s">
        <v>85</v>
      </c>
    </row>
    <row r="59" customFormat="false" ht="15" hidden="false" customHeight="true" outlineLevel="0" collapsed="false">
      <c r="B59" s="10" t="s">
        <v>92</v>
      </c>
      <c r="C59" s="11" t="str">
        <f aca="false">HYPERLINK("#'C28 Loan repayment'!A1","Loan repayment")</f>
        <v>Loan repayment</v>
      </c>
      <c r="D59" s="12" t="s">
        <v>93</v>
      </c>
      <c r="E59" s="12" t="s">
        <v>85</v>
      </c>
    </row>
    <row r="60" customFormat="false" ht="15" hidden="false" customHeight="true" outlineLevel="0" collapsed="false">
      <c r="C60" s="11" t="str">
        <f aca="false">HYPERLINK("#'Assumptions'!A1","Assumptions")</f>
        <v>Assumptions</v>
      </c>
    </row>
    <row r="61" customFormat="false" ht="15" hidden="false" customHeight="true" outlineLevel="0" collapsed="false">
      <c r="C61" s="11" t="str">
        <f aca="false">HYPERLINK("#'Tax engine'!A1","Tax engine")</f>
        <v>Tax engine</v>
      </c>
    </row>
    <row r="62" customFormat="false" ht="15" hidden="false" customHeight="true" outlineLevel="0" collapsed="false">
      <c r="C62" s="11" t="str">
        <f aca="false">HYPERLINK("#'Document reader spec'!A1","Document reader spec")</f>
        <v>Document reader spec</v>
      </c>
    </row>
    <row r="64" customFormat="false" ht="15" hidden="false" customHeight="true" outlineLevel="0" collapsed="false">
      <c r="B64" s="13" t="s">
        <v>94</v>
      </c>
      <c r="C64" s="14"/>
      <c r="D64" s="14"/>
      <c r="E64" s="14"/>
      <c r="F64" s="14"/>
      <c r="G64" s="14"/>
      <c r="H64" s="14"/>
    </row>
    <row r="65" customFormat="false" ht="42" hidden="false" customHeight="true" outlineLevel="0" collapsed="false">
      <c r="B65" s="15" t="s">
        <v>95</v>
      </c>
      <c r="C65" s="15"/>
      <c r="D65" s="15"/>
      <c r="E65" s="15"/>
      <c r="F65" s="15"/>
      <c r="G65" s="15"/>
    </row>
    <row r="66" customFormat="false" ht="15" hidden="false" customHeight="true" outlineLevel="0" collapsed="false">
      <c r="B66" s="16" t="s">
        <v>96</v>
      </c>
      <c r="C66" s="16" t="s">
        <v>97</v>
      </c>
      <c r="D66" s="16" t="s">
        <v>98</v>
      </c>
    </row>
    <row r="67" customFormat="false" ht="25.5" hidden="false" customHeight="true" outlineLevel="0" collapsed="false">
      <c r="B67" s="17" t="s">
        <v>99</v>
      </c>
      <c r="C67" s="17" t="s">
        <v>100</v>
      </c>
      <c r="D67" s="17" t="s">
        <v>101</v>
      </c>
    </row>
    <row r="68" customFormat="false" ht="25.5" hidden="false" customHeight="true" outlineLevel="0" collapsed="false">
      <c r="B68" s="17" t="s">
        <v>102</v>
      </c>
      <c r="C68" s="17" t="s">
        <v>103</v>
      </c>
      <c r="D68" s="17" t="s">
        <v>104</v>
      </c>
    </row>
    <row r="69" customFormat="false" ht="25.5" hidden="false" customHeight="true" outlineLevel="0" collapsed="false">
      <c r="B69" s="17" t="s">
        <v>105</v>
      </c>
      <c r="C69" s="17" t="s">
        <v>106</v>
      </c>
      <c r="D69" s="17" t="s">
        <v>104</v>
      </c>
    </row>
    <row r="70" customFormat="false" ht="25.5" hidden="false" customHeight="true" outlineLevel="0" collapsed="false">
      <c r="B70" s="17" t="s">
        <v>107</v>
      </c>
      <c r="C70" s="17" t="s">
        <v>108</v>
      </c>
      <c r="D70" s="17" t="s">
        <v>109</v>
      </c>
    </row>
    <row r="71" customFormat="false" ht="25.5" hidden="false" customHeight="true" outlineLevel="0" collapsed="false">
      <c r="B71" s="17" t="s">
        <v>110</v>
      </c>
      <c r="C71" s="17" t="s">
        <v>111</v>
      </c>
      <c r="D71" s="17" t="s">
        <v>112</v>
      </c>
    </row>
    <row r="72" customFormat="false" ht="25.5" hidden="false" customHeight="true" outlineLevel="0" collapsed="false">
      <c r="B72" s="17" t="s">
        <v>113</v>
      </c>
      <c r="C72" s="17" t="s">
        <v>114</v>
      </c>
      <c r="D72" s="17" t="s">
        <v>115</v>
      </c>
    </row>
    <row r="73" customFormat="false" ht="25.5" hidden="false" customHeight="true" outlineLevel="0" collapsed="false">
      <c r="B73" s="17" t="s">
        <v>116</v>
      </c>
      <c r="C73" s="17" t="s">
        <v>117</v>
      </c>
      <c r="D73" s="17" t="s">
        <v>118</v>
      </c>
    </row>
    <row r="74" customFormat="false" ht="25.5" hidden="false" customHeight="true" outlineLevel="0" collapsed="false">
      <c r="B74" s="17" t="s">
        <v>119</v>
      </c>
      <c r="C74" s="17" t="s">
        <v>120</v>
      </c>
      <c r="D74" s="17" t="s">
        <v>121</v>
      </c>
    </row>
    <row r="75" customFormat="false" ht="25.5" hidden="false" customHeight="true" outlineLevel="0" collapsed="false">
      <c r="B75" s="17" t="s">
        <v>122</v>
      </c>
      <c r="C75" s="17" t="s">
        <v>123</v>
      </c>
      <c r="D75" s="17" t="s">
        <v>104</v>
      </c>
    </row>
    <row r="76" customFormat="false" ht="25.5" hidden="false" customHeight="true" outlineLevel="0" collapsed="false">
      <c r="B76" s="17" t="s">
        <v>124</v>
      </c>
      <c r="C76" s="17" t="s">
        <v>125</v>
      </c>
      <c r="D76" s="17" t="s">
        <v>104</v>
      </c>
    </row>
    <row r="77" customFormat="false" ht="25.5" hidden="false" customHeight="true" outlineLevel="0" collapsed="false">
      <c r="B77" s="17" t="s">
        <v>126</v>
      </c>
      <c r="C77" s="17" t="s">
        <v>127</v>
      </c>
      <c r="D77" s="17" t="s">
        <v>128</v>
      </c>
    </row>
    <row r="79" customFormat="false" ht="15" hidden="false" customHeight="true" outlineLevel="0" collapsed="false">
      <c r="B79" s="7" t="s">
        <v>129</v>
      </c>
    </row>
    <row r="80" customFormat="false" ht="15" hidden="false" customHeight="true" outlineLevel="0" collapsed="false">
      <c r="B80" s="9" t="s">
        <v>130</v>
      </c>
      <c r="C80" s="9" t="s">
        <v>131</v>
      </c>
      <c r="D80" s="9" t="s">
        <v>132</v>
      </c>
    </row>
    <row r="81" customFormat="false" ht="12.75" hidden="false" customHeight="true" outlineLevel="0" collapsed="false">
      <c r="B81" s="12" t="s">
        <v>57</v>
      </c>
      <c r="C81" s="18" t="s">
        <v>133</v>
      </c>
      <c r="D81" s="19" t="s">
        <v>134</v>
      </c>
      <c r="E81" s="19"/>
    </row>
    <row r="82" customFormat="false" ht="12.75" hidden="false" customHeight="true" outlineLevel="0" collapsed="false">
      <c r="B82" s="12" t="s">
        <v>57</v>
      </c>
      <c r="C82" s="18" t="s">
        <v>133</v>
      </c>
      <c r="D82" s="19" t="s">
        <v>135</v>
      </c>
      <c r="E82" s="19"/>
    </row>
    <row r="83" customFormat="false" ht="12.75" hidden="false" customHeight="true" outlineLevel="0" collapsed="false">
      <c r="B83" s="12" t="s">
        <v>35</v>
      </c>
      <c r="C83" s="18" t="s">
        <v>133</v>
      </c>
      <c r="D83" s="19" t="s">
        <v>136</v>
      </c>
      <c r="E83" s="19"/>
    </row>
    <row r="84" customFormat="false" ht="25.5" hidden="false" customHeight="true" outlineLevel="0" collapsed="false">
      <c r="B84" s="12" t="s">
        <v>39</v>
      </c>
      <c r="C84" s="18" t="s">
        <v>133</v>
      </c>
      <c r="D84" s="19" t="s">
        <v>137</v>
      </c>
      <c r="E84" s="19"/>
    </row>
    <row r="85" customFormat="false" ht="12.75" hidden="false" customHeight="true" outlineLevel="0" collapsed="false">
      <c r="B85" s="12" t="s">
        <v>39</v>
      </c>
      <c r="C85" s="18" t="s">
        <v>133</v>
      </c>
      <c r="D85" s="19" t="s">
        <v>138</v>
      </c>
      <c r="E85" s="19"/>
    </row>
    <row r="86" customFormat="false" ht="25.5" hidden="false" customHeight="true" outlineLevel="0" collapsed="false">
      <c r="B86" s="12" t="s">
        <v>139</v>
      </c>
      <c r="C86" s="18" t="s">
        <v>133</v>
      </c>
      <c r="D86" s="19" t="s">
        <v>140</v>
      </c>
      <c r="E86" s="19"/>
    </row>
    <row r="87" customFormat="false" ht="12.75" hidden="false" customHeight="true" outlineLevel="0" collapsed="false">
      <c r="B87" s="12" t="s">
        <v>141</v>
      </c>
      <c r="C87" s="18" t="s">
        <v>133</v>
      </c>
      <c r="D87" s="19" t="s">
        <v>142</v>
      </c>
      <c r="E87" s="19"/>
    </row>
    <row r="88" customFormat="false" ht="12.75" hidden="false" customHeight="true" outlineLevel="0" collapsed="false">
      <c r="B88" s="12" t="s">
        <v>143</v>
      </c>
      <c r="C88" s="18" t="s">
        <v>133</v>
      </c>
      <c r="D88" s="19" t="s">
        <v>144</v>
      </c>
      <c r="E88" s="19"/>
    </row>
    <row r="89" customFormat="false" ht="12.75" hidden="false" customHeight="true" outlineLevel="0" collapsed="false">
      <c r="B89" s="12" t="s">
        <v>70</v>
      </c>
      <c r="C89" s="18" t="s">
        <v>133</v>
      </c>
      <c r="D89" s="19" t="s">
        <v>145</v>
      </c>
      <c r="E89" s="19"/>
    </row>
    <row r="90" customFormat="false" ht="12.75" hidden="false" customHeight="true" outlineLevel="0" collapsed="false">
      <c r="B90" s="12" t="s">
        <v>74</v>
      </c>
      <c r="C90" s="18" t="s">
        <v>133</v>
      </c>
      <c r="D90" s="19" t="s">
        <v>146</v>
      </c>
      <c r="E90" s="19"/>
    </row>
    <row r="91" customFormat="false" ht="12.75" hidden="false" customHeight="true" outlineLevel="0" collapsed="false">
      <c r="B91" s="12" t="s">
        <v>76</v>
      </c>
      <c r="C91" s="18" t="s">
        <v>133</v>
      </c>
      <c r="D91" s="19" t="s">
        <v>147</v>
      </c>
      <c r="E91" s="19"/>
    </row>
    <row r="92" customFormat="false" ht="12.75" hidden="false" customHeight="true" outlineLevel="0" collapsed="false">
      <c r="B92" s="12" t="s">
        <v>90</v>
      </c>
      <c r="C92" s="18" t="s">
        <v>133</v>
      </c>
      <c r="D92" s="19" t="s">
        <v>148</v>
      </c>
      <c r="E92" s="19"/>
    </row>
    <row r="93" customFormat="false" ht="12.75" hidden="false" customHeight="true" outlineLevel="0" collapsed="false">
      <c r="B93" s="12" t="s">
        <v>149</v>
      </c>
      <c r="C93" s="12" t="s">
        <v>150</v>
      </c>
      <c r="D93" s="19" t="s">
        <v>151</v>
      </c>
      <c r="E93" s="19"/>
    </row>
    <row r="94" customFormat="false" ht="12.75" hidden="false" customHeight="true" outlineLevel="0" collapsed="false">
      <c r="B94" s="12" t="s">
        <v>45</v>
      </c>
      <c r="C94" s="12" t="s">
        <v>150</v>
      </c>
      <c r="D94" s="19" t="s">
        <v>152</v>
      </c>
      <c r="E94" s="19"/>
    </row>
    <row r="95" customFormat="false" ht="12.75" hidden="false" customHeight="true" outlineLevel="0" collapsed="false">
      <c r="B95" s="12" t="s">
        <v>153</v>
      </c>
      <c r="C95" s="12" t="s">
        <v>150</v>
      </c>
      <c r="D95" s="19" t="s">
        <v>154</v>
      </c>
      <c r="E95" s="19"/>
    </row>
    <row r="96" customFormat="false" ht="12.75" hidden="false" customHeight="true" outlineLevel="0" collapsed="false">
      <c r="B96" s="12" t="s">
        <v>155</v>
      </c>
      <c r="C96" s="12" t="s">
        <v>150</v>
      </c>
      <c r="D96" s="19" t="s">
        <v>156</v>
      </c>
      <c r="E96" s="19"/>
    </row>
    <row r="97" customFormat="false" ht="25.5" hidden="false" customHeight="true" outlineLevel="0" collapsed="false">
      <c r="B97" s="12" t="s">
        <v>76</v>
      </c>
      <c r="C97" s="12" t="s">
        <v>150</v>
      </c>
      <c r="D97" s="19" t="s">
        <v>157</v>
      </c>
      <c r="E97" s="19"/>
    </row>
    <row r="98" customFormat="false" ht="25.5" hidden="false" customHeight="true" outlineLevel="0" collapsed="false">
      <c r="B98" s="12" t="s">
        <v>79</v>
      </c>
      <c r="C98" s="12" t="s">
        <v>150</v>
      </c>
      <c r="D98" s="19" t="s">
        <v>158</v>
      </c>
      <c r="E98" s="19"/>
    </row>
    <row r="99" customFormat="false" ht="12.75" hidden="false" customHeight="true" outlineLevel="0" collapsed="false">
      <c r="B99" s="12" t="s">
        <v>81</v>
      </c>
      <c r="C99" s="12" t="s">
        <v>150</v>
      </c>
      <c r="D99" s="19" t="s">
        <v>159</v>
      </c>
      <c r="E99" s="19"/>
    </row>
    <row r="100" customFormat="false" ht="12.75" hidden="false" customHeight="true" outlineLevel="0" collapsed="false">
      <c r="B100" s="12" t="s">
        <v>160</v>
      </c>
      <c r="C100" s="12" t="s">
        <v>150</v>
      </c>
      <c r="D100" s="19" t="s">
        <v>161</v>
      </c>
      <c r="E100" s="19"/>
    </row>
    <row r="101" customFormat="false" ht="12.75" hidden="false" customHeight="true" outlineLevel="0" collapsed="false">
      <c r="B101" s="12" t="s">
        <v>162</v>
      </c>
      <c r="C101" s="12" t="s">
        <v>150</v>
      </c>
      <c r="D101" s="19" t="s">
        <v>163</v>
      </c>
      <c r="E101" s="19"/>
    </row>
    <row r="102" customFormat="false" ht="12.75" hidden="false" customHeight="true" outlineLevel="0" collapsed="false">
      <c r="B102" s="12" t="s">
        <v>32</v>
      </c>
      <c r="C102" s="12" t="s">
        <v>164</v>
      </c>
      <c r="D102" s="19" t="s">
        <v>165</v>
      </c>
      <c r="E102" s="19"/>
    </row>
    <row r="103" customFormat="false" ht="12.75" hidden="false" customHeight="true" outlineLevel="0" collapsed="false">
      <c r="B103" s="12" t="s">
        <v>166</v>
      </c>
      <c r="C103" s="12" t="s">
        <v>164</v>
      </c>
      <c r="D103" s="19" t="s">
        <v>167</v>
      </c>
      <c r="E103" s="19"/>
    </row>
    <row r="104" customFormat="false" ht="12.75" hidden="false" customHeight="true" outlineLevel="0" collapsed="false">
      <c r="B104" s="12" t="s">
        <v>39</v>
      </c>
      <c r="C104" s="12" t="s">
        <v>164</v>
      </c>
      <c r="D104" s="19" t="s">
        <v>168</v>
      </c>
      <c r="E104" s="19"/>
    </row>
    <row r="105" customFormat="false" ht="12.75" hidden="false" customHeight="true" outlineLevel="0" collapsed="false">
      <c r="B105" s="12" t="s">
        <v>43</v>
      </c>
      <c r="C105" s="12" t="s">
        <v>164</v>
      </c>
      <c r="D105" s="19" t="s">
        <v>169</v>
      </c>
      <c r="E105" s="19"/>
    </row>
    <row r="106" customFormat="false" ht="12.75" hidden="false" customHeight="true" outlineLevel="0" collapsed="false">
      <c r="B106" s="12" t="s">
        <v>170</v>
      </c>
      <c r="C106" s="12" t="s">
        <v>164</v>
      </c>
      <c r="D106" s="19" t="s">
        <v>171</v>
      </c>
      <c r="E106" s="19"/>
    </row>
    <row r="107" customFormat="false" ht="12.75" hidden="false" customHeight="true" outlineLevel="0" collapsed="false">
      <c r="B107" s="12" t="s">
        <v>143</v>
      </c>
      <c r="C107" s="12" t="s">
        <v>164</v>
      </c>
      <c r="D107" s="19" t="s">
        <v>172</v>
      </c>
      <c r="E107" s="19"/>
    </row>
    <row r="108" customFormat="false" ht="12.75" hidden="false" customHeight="true" outlineLevel="0" collapsed="false">
      <c r="B108" s="12" t="s">
        <v>66</v>
      </c>
      <c r="C108" s="12" t="s">
        <v>164</v>
      </c>
      <c r="D108" s="19" t="s">
        <v>173</v>
      </c>
      <c r="E108" s="19"/>
    </row>
    <row r="109" customFormat="false" ht="12.75" hidden="false" customHeight="true" outlineLevel="0" collapsed="false">
      <c r="B109" s="12" t="s">
        <v>86</v>
      </c>
      <c r="C109" s="12" t="s">
        <v>164</v>
      </c>
      <c r="D109" s="19" t="s">
        <v>174</v>
      </c>
      <c r="E109" s="19"/>
    </row>
    <row r="110" customFormat="false" ht="25.5" hidden="false" customHeight="true" outlineLevel="0" collapsed="false">
      <c r="B110" s="12" t="s">
        <v>175</v>
      </c>
      <c r="C110" s="12" t="s">
        <v>164</v>
      </c>
      <c r="D110" s="19" t="s">
        <v>176</v>
      </c>
      <c r="E110" s="19"/>
    </row>
    <row r="112" customFormat="false" ht="15" hidden="false" customHeight="true" outlineLevel="0" collapsed="false">
      <c r="B112" s="7" t="s">
        <v>177</v>
      </c>
    </row>
    <row r="113" customFormat="false" ht="15" hidden="false" customHeight="true" outlineLevel="0" collapsed="false">
      <c r="B113" s="9" t="s">
        <v>130</v>
      </c>
      <c r="C113" s="9" t="s">
        <v>131</v>
      </c>
      <c r="D113" s="9" t="s">
        <v>132</v>
      </c>
    </row>
    <row r="114" customFormat="false" ht="51.75" hidden="false" customHeight="true" outlineLevel="0" collapsed="false">
      <c r="B114" s="12" t="s">
        <v>178</v>
      </c>
      <c r="C114" s="12" t="s">
        <v>179</v>
      </c>
      <c r="D114" s="19" t="s">
        <v>180</v>
      </c>
      <c r="E114" s="19"/>
    </row>
    <row r="115" customFormat="false" ht="39" hidden="false" customHeight="true" outlineLevel="0" collapsed="false">
      <c r="B115" s="12" t="s">
        <v>181</v>
      </c>
      <c r="C115" s="12" t="s">
        <v>182</v>
      </c>
      <c r="D115" s="19" t="s">
        <v>183</v>
      </c>
      <c r="E115" s="19"/>
    </row>
    <row r="116" customFormat="false" ht="25.5" hidden="false" customHeight="true" outlineLevel="0" collapsed="false">
      <c r="B116" s="12" t="s">
        <v>32</v>
      </c>
      <c r="C116" s="12" t="s">
        <v>150</v>
      </c>
      <c r="D116" s="19" t="s">
        <v>184</v>
      </c>
      <c r="E116" s="19"/>
    </row>
    <row r="117" customFormat="false" ht="12.75" hidden="false" customHeight="true" outlineLevel="0" collapsed="false">
      <c r="B117" s="12" t="s">
        <v>185</v>
      </c>
      <c r="C117" s="12" t="s">
        <v>164</v>
      </c>
      <c r="D117" s="19" t="s">
        <v>186</v>
      </c>
      <c r="E117" s="19"/>
    </row>
    <row r="118" customFormat="false" ht="12.75" hidden="false" customHeight="true" outlineLevel="0" collapsed="false">
      <c r="B118" s="12" t="s">
        <v>35</v>
      </c>
      <c r="C118" s="12" t="s">
        <v>164</v>
      </c>
      <c r="D118" s="19" t="s">
        <v>187</v>
      </c>
      <c r="E118" s="19"/>
    </row>
    <row r="119" customFormat="false" ht="12.75" hidden="false" customHeight="true" outlineLevel="0" collapsed="false">
      <c r="B119" s="12" t="s">
        <v>37</v>
      </c>
      <c r="C119" s="12" t="s">
        <v>150</v>
      </c>
      <c r="D119" s="19" t="s">
        <v>188</v>
      </c>
      <c r="E119" s="19"/>
    </row>
    <row r="120" customFormat="false" ht="12.75" hidden="false" customHeight="true" outlineLevel="0" collapsed="false">
      <c r="B120" s="12" t="s">
        <v>45</v>
      </c>
      <c r="C120" s="12" t="s">
        <v>164</v>
      </c>
      <c r="D120" s="19" t="s">
        <v>189</v>
      </c>
      <c r="E120" s="19"/>
    </row>
    <row r="121" customFormat="false" ht="25.5" hidden="false" customHeight="true" outlineLevel="0" collapsed="false">
      <c r="B121" s="12" t="s">
        <v>190</v>
      </c>
      <c r="C121" s="12" t="s">
        <v>150</v>
      </c>
      <c r="D121" s="19" t="s">
        <v>191</v>
      </c>
      <c r="E121" s="19"/>
    </row>
    <row r="122" customFormat="false" ht="12.75" hidden="false" customHeight="true" outlineLevel="0" collapsed="false">
      <c r="B122" s="12" t="s">
        <v>52</v>
      </c>
      <c r="C122" s="12" t="s">
        <v>164</v>
      </c>
      <c r="D122" s="19" t="s">
        <v>192</v>
      </c>
      <c r="E122" s="19"/>
    </row>
    <row r="123" customFormat="false" ht="12.75" hidden="false" customHeight="true" outlineLevel="0" collapsed="false">
      <c r="B123" s="12" t="s">
        <v>55</v>
      </c>
      <c r="C123" s="12" t="s">
        <v>164</v>
      </c>
      <c r="D123" s="19" t="s">
        <v>193</v>
      </c>
      <c r="E123" s="19"/>
    </row>
    <row r="124" customFormat="false" ht="12.75" hidden="false" customHeight="true" outlineLevel="0" collapsed="false">
      <c r="B124" s="12" t="s">
        <v>57</v>
      </c>
      <c r="C124" s="12" t="s">
        <v>150</v>
      </c>
      <c r="D124" s="19" t="s">
        <v>194</v>
      </c>
      <c r="E124" s="19"/>
    </row>
    <row r="125" customFormat="false" ht="12.75" hidden="false" customHeight="true" outlineLevel="0" collapsed="false">
      <c r="B125" s="12" t="s">
        <v>60</v>
      </c>
      <c r="C125" s="12" t="s">
        <v>150</v>
      </c>
      <c r="D125" s="19" t="s">
        <v>195</v>
      </c>
      <c r="E125" s="19"/>
    </row>
    <row r="126" customFormat="false" ht="12.75" hidden="false" customHeight="true" outlineLevel="0" collapsed="false">
      <c r="B126" s="12" t="s">
        <v>64</v>
      </c>
      <c r="C126" s="12" t="s">
        <v>164</v>
      </c>
      <c r="D126" s="19" t="s">
        <v>196</v>
      </c>
      <c r="E126" s="19"/>
    </row>
    <row r="127" customFormat="false" ht="12.75" hidden="false" customHeight="true" outlineLevel="0" collapsed="false">
      <c r="B127" s="12" t="s">
        <v>74</v>
      </c>
      <c r="C127" s="12" t="s">
        <v>150</v>
      </c>
      <c r="D127" s="19" t="s">
        <v>197</v>
      </c>
      <c r="E127" s="19"/>
    </row>
    <row r="128" customFormat="false" ht="25.5" hidden="false" customHeight="true" outlineLevel="0" collapsed="false">
      <c r="B128" s="12" t="s">
        <v>76</v>
      </c>
      <c r="C128" s="12" t="s">
        <v>164</v>
      </c>
      <c r="D128" s="19" t="s">
        <v>198</v>
      </c>
      <c r="E128" s="19"/>
    </row>
    <row r="129" customFormat="false" ht="25.5" hidden="false" customHeight="true" outlineLevel="0" collapsed="false">
      <c r="B129" s="12" t="s">
        <v>79</v>
      </c>
      <c r="C129" s="12" t="s">
        <v>164</v>
      </c>
      <c r="D129" s="19" t="s">
        <v>199</v>
      </c>
      <c r="E129" s="19"/>
    </row>
    <row r="130" customFormat="false" ht="12.75" hidden="false" customHeight="true" outlineLevel="0" collapsed="false">
      <c r="B130" s="12" t="s">
        <v>81</v>
      </c>
      <c r="C130" s="12" t="s">
        <v>164</v>
      </c>
      <c r="D130" s="19" t="s">
        <v>200</v>
      </c>
      <c r="E130" s="19"/>
    </row>
    <row r="131" customFormat="false" ht="12.75" hidden="false" customHeight="true" outlineLevel="0" collapsed="false">
      <c r="B131" s="12" t="s">
        <v>201</v>
      </c>
      <c r="C131" s="12" t="s">
        <v>164</v>
      </c>
      <c r="D131" s="19" t="s">
        <v>202</v>
      </c>
      <c r="E131" s="19"/>
    </row>
    <row r="132" customFormat="false" ht="64.5" hidden="false" customHeight="true" outlineLevel="0" collapsed="false">
      <c r="B132" s="12" t="s">
        <v>203</v>
      </c>
      <c r="C132" s="12" t="s">
        <v>204</v>
      </c>
      <c r="D132" s="19" t="s">
        <v>205</v>
      </c>
      <c r="E132" s="19"/>
    </row>
    <row r="133" customFormat="false" ht="12.75" hidden="false" customHeight="true" outlineLevel="0" collapsed="false">
      <c r="B133" s="12" t="s">
        <v>206</v>
      </c>
      <c r="C133" s="12" t="s">
        <v>164</v>
      </c>
      <c r="D133" s="19" t="s">
        <v>207</v>
      </c>
      <c r="E133" s="19"/>
    </row>
  </sheetData>
  <mergeCells count="69">
    <mergeCell ref="B5:E5"/>
    <mergeCell ref="B6:E6"/>
    <mergeCell ref="B7:E7"/>
    <mergeCell ref="B8:E8"/>
    <mergeCell ref="B9:E9"/>
    <mergeCell ref="B10:E10"/>
    <mergeCell ref="B11:E11"/>
    <mergeCell ref="B12:E12"/>
    <mergeCell ref="B13:E13"/>
    <mergeCell ref="B14:E14"/>
    <mergeCell ref="B17:E17"/>
    <mergeCell ref="B18:E18"/>
    <mergeCell ref="B19:E19"/>
    <mergeCell ref="B20:E20"/>
    <mergeCell ref="B21:E21"/>
    <mergeCell ref="B22:E22"/>
    <mergeCell ref="B25:E25"/>
    <mergeCell ref="B28:E28"/>
    <mergeCell ref="B65:G65"/>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4:E114"/>
    <mergeCell ref="D115:E115"/>
    <mergeCell ref="D116:E116"/>
    <mergeCell ref="D117:E117"/>
    <mergeCell ref="D118:E118"/>
    <mergeCell ref="D119:E119"/>
    <mergeCell ref="D120:E120"/>
    <mergeCell ref="D121:E121"/>
    <mergeCell ref="D122:E122"/>
    <mergeCell ref="D123:E123"/>
    <mergeCell ref="D124:E124"/>
    <mergeCell ref="D125:E125"/>
    <mergeCell ref="D126:E126"/>
    <mergeCell ref="D127:E127"/>
    <mergeCell ref="D128:E128"/>
    <mergeCell ref="D129:E129"/>
    <mergeCell ref="D130:E130"/>
    <mergeCell ref="D131:E131"/>
    <mergeCell ref="D132:E132"/>
    <mergeCell ref="D133:E133"/>
  </mergeCells>
  <dataValidations count="1">
    <dataValidation allowBlank="false" errorStyle="stop" operator="between" prompt="No = blank template: results show &quot;Choose your … to see this&quot; until you fill the inputs. Yes = every blank input uses its grey Example only figure (the standard, or the sample customer's figure)." promptTitle="Example values" showDropDown="false" showErrorMessage="false" showInputMessage="true" sqref="C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208</v>
      </c>
      <c r="E1" s="3" t="s">
        <v>209</v>
      </c>
    </row>
    <row r="2" customFormat="false" ht="15" hidden="false" customHeight="true" outlineLevel="0" collapsed="false">
      <c r="B2" s="21" t="s">
        <v>210</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211</v>
      </c>
    </row>
    <row r="5" customFormat="false" ht="15" hidden="false" customHeight="true" outlineLevel="0" collapsed="false">
      <c r="B5" s="13" t="s">
        <v>212</v>
      </c>
      <c r="C5" s="24" t="s">
        <v>213</v>
      </c>
      <c r="D5" s="24" t="s">
        <v>214</v>
      </c>
      <c r="E5" s="24" t="s">
        <v>215</v>
      </c>
      <c r="F5" s="14"/>
      <c r="G5" s="14"/>
    </row>
    <row r="6" customFormat="false" ht="21.75" hidden="false" customHeight="true" outlineLevel="0" collapsed="false">
      <c r="B6" s="25" t="s">
        <v>216</v>
      </c>
      <c r="C6" s="26"/>
      <c r="D6" s="27" t="s">
        <v>217</v>
      </c>
      <c r="E6" s="28" t="s">
        <v>218</v>
      </c>
      <c r="F6" s="29" t="n">
        <v>60000</v>
      </c>
      <c r="G6" s="30" t="str">
        <f aca="false">IF(ISBLANK(C6),IF(Fill_Example="Yes",F6,""),C6)</f>
        <v/>
      </c>
    </row>
    <row r="7" customFormat="false" ht="21.75" hidden="false" customHeight="true" outlineLevel="0" collapsed="false">
      <c r="B7" s="25" t="s">
        <v>219</v>
      </c>
      <c r="C7" s="26"/>
      <c r="D7" s="27" t="s">
        <v>217</v>
      </c>
      <c r="E7" s="28" t="s">
        <v>220</v>
      </c>
      <c r="F7" s="29" t="n">
        <v>0</v>
      </c>
      <c r="G7" s="30" t="str">
        <f aca="false">IF(ISBLANK(C7),IF(Fill_Example="Yes",F7,""),C7)</f>
        <v/>
      </c>
    </row>
    <row r="8" customFormat="false" ht="21.75" hidden="false" customHeight="true" outlineLevel="0" collapsed="false">
      <c r="B8" s="25" t="s">
        <v>221</v>
      </c>
      <c r="C8" s="26"/>
      <c r="D8" s="27" t="s">
        <v>217</v>
      </c>
      <c r="E8" s="28" t="s">
        <v>222</v>
      </c>
      <c r="F8" s="29" t="n">
        <v>25000</v>
      </c>
      <c r="G8" s="30" t="str">
        <f aca="false">IF(ISBLANK(C8),IF(Fill_Example="Yes",F8,""),C8)</f>
        <v/>
      </c>
    </row>
    <row r="9" customFormat="false" ht="21.75" hidden="false" customHeight="true" outlineLevel="0" collapsed="false">
      <c r="B9" s="25" t="s">
        <v>223</v>
      </c>
      <c r="C9" s="31"/>
      <c r="D9" s="27" t="s">
        <v>224</v>
      </c>
      <c r="E9" s="28" t="s">
        <v>225</v>
      </c>
      <c r="F9" s="32" t="s">
        <v>226</v>
      </c>
      <c r="G9" s="33" t="str">
        <f aca="false">IF(ISBLANK(C9),IF(Fill_Example="Yes",F9,""),C9)</f>
        <v/>
      </c>
    </row>
    <row r="10" customFormat="false" ht="21.75" hidden="false" customHeight="true" outlineLevel="0" collapsed="false">
      <c r="B10" s="25" t="s">
        <v>227</v>
      </c>
      <c r="C10" s="34"/>
      <c r="D10" s="27" t="s">
        <v>228</v>
      </c>
      <c r="E10" s="35" t="s">
        <v>229</v>
      </c>
      <c r="F10" s="36" t="n">
        <v>0.0375</v>
      </c>
      <c r="G10" s="37" t="str">
        <f aca="false">IF(ISBLANK(C10),IF(Fill_Example="Yes",F10,""),C10)</f>
        <v/>
      </c>
    </row>
    <row r="11" customFormat="false" ht="15" hidden="false" customHeight="true" outlineLevel="0" collapsed="false">
      <c r="B11" s="25" t="s">
        <v>230</v>
      </c>
      <c r="C11" s="38"/>
      <c r="D11" s="27" t="s">
        <v>231</v>
      </c>
      <c r="E11" s="28" t="s">
        <v>232</v>
      </c>
      <c r="F11" s="39" t="n">
        <v>30</v>
      </c>
      <c r="G11" s="40" t="str">
        <f aca="false">IF(ISBLANK(C11),IF(Fill_Example="Yes",F11,""),C11)</f>
        <v/>
      </c>
    </row>
    <row r="12" customFormat="false" ht="21.75" hidden="false" customHeight="true" outlineLevel="0" collapsed="false">
      <c r="B12" s="25" t="s">
        <v>233</v>
      </c>
      <c r="C12" s="26"/>
      <c r="D12" s="27" t="s">
        <v>217</v>
      </c>
      <c r="E12" s="35" t="s">
        <v>234</v>
      </c>
      <c r="F12" s="29" t="n">
        <v>3000</v>
      </c>
      <c r="G12" s="30" t="str">
        <f aca="false">IF(ISBLANK(C12),IF(Fill_Example="Yes",F12,""),C12)</f>
        <v/>
      </c>
    </row>
    <row r="13" customFormat="false" ht="15" hidden="false" customHeight="true" outlineLevel="0" collapsed="false">
      <c r="B13" s="25" t="s">
        <v>235</v>
      </c>
      <c r="C13" s="38"/>
      <c r="D13" s="27" t="s">
        <v>231</v>
      </c>
      <c r="E13" s="28" t="s">
        <v>236</v>
      </c>
      <c r="F13" s="39" t="n">
        <v>3</v>
      </c>
      <c r="G13" s="40" t="str">
        <f aca="false">IF(ISBLANK(C13),IF(Fill_Example="Yes",F13,""),C13)</f>
        <v/>
      </c>
    </row>
    <row r="14" customFormat="false" ht="15" hidden="false" customHeight="true" outlineLevel="0" collapsed="false">
      <c r="B14" s="25" t="s">
        <v>237</v>
      </c>
      <c r="C14" s="26"/>
      <c r="D14" s="27" t="s">
        <v>217</v>
      </c>
      <c r="E14" s="28" t="s">
        <v>238</v>
      </c>
      <c r="F14" s="29" t="n">
        <v>0</v>
      </c>
      <c r="G14" s="30" t="n">
        <f aca="false">IF(ISBLANK(C14),F14,C14)</f>
        <v>0</v>
      </c>
    </row>
    <row r="16" customFormat="false" ht="15" hidden="false" customHeight="true" outlineLevel="0" collapsed="false">
      <c r="B16" s="13" t="s">
        <v>239</v>
      </c>
      <c r="C16" s="24" t="s">
        <v>240</v>
      </c>
      <c r="D16" s="24" t="s">
        <v>241</v>
      </c>
      <c r="E16" s="24" t="s">
        <v>242</v>
      </c>
      <c r="F16" s="14"/>
      <c r="G16" s="14"/>
    </row>
    <row r="17" customFormat="false" ht="17.25" hidden="false" customHeight="true" outlineLevel="0" collapsed="false">
      <c r="B17" s="21" t="s">
        <v>243</v>
      </c>
      <c r="C17" s="41" t="str">
        <f aca="false">IF(Need_1&lt;&gt;"",Need_1,MIN(Price_By_Deposit,Price_By_Income))</f>
        <v>Choose your gross yearly income to see this</v>
      </c>
      <c r="D17" s="27" t="s">
        <v>217</v>
      </c>
      <c r="E17" s="42" t="s">
        <v>244</v>
      </c>
    </row>
    <row r="18" customFormat="false" ht="17.25" hidden="false" customHeight="true" outlineLevel="0" collapsed="false">
      <c r="B18" s="21" t="s">
        <v>245</v>
      </c>
      <c r="C18" s="41" t="str">
        <f aca="false">IF(Need_1&lt;&gt;"",Need_1,MIN(Borrow_By_Income,LTV_Max*Home_Price))</f>
        <v>Choose your gross yearly income to see this</v>
      </c>
      <c r="D18" s="27" t="s">
        <v>217</v>
      </c>
      <c r="E18" s="42" t="s">
        <v>246</v>
      </c>
    </row>
    <row r="19" customFormat="false" ht="17.25" hidden="false" customHeight="true" outlineLevel="0" collapsed="false">
      <c r="B19" s="21" t="s">
        <v>247</v>
      </c>
      <c r="C19" s="41" t="str">
        <f aca="false">IF(Need_2&lt;&gt;"",Need_2,PMT(Interest_Rate/12,Term_Years*12,-Max_Loan))</f>
        <v>Choose your gross yearly income to see this</v>
      </c>
      <c r="D19" s="27" t="s">
        <v>217</v>
      </c>
      <c r="E19" s="42" t="s">
        <v>248</v>
      </c>
    </row>
    <row r="20" customFormat="false" ht="21.75" hidden="false" customHeight="true" outlineLevel="0" collapsed="false">
      <c r="B20" s="21" t="s">
        <v>249</v>
      </c>
      <c r="C20" s="41" t="str">
        <f aca="false">IF(Need_1&lt;&gt;"",Need_1,SD_Rate_1*MIN(Home_Price,SD_Band_1)+SD_Rate_2*MAX(0,MIN(Home_Price,SD_Band_2)-SD_Band_1)+SD_Rate_3*MAX(0,Home_Price-SD_Band_2))</f>
        <v>Choose your gross yearly income to see this</v>
      </c>
      <c r="D20" s="27" t="s">
        <v>217</v>
      </c>
      <c r="E20" s="42" t="s">
        <v>250</v>
      </c>
    </row>
    <row r="21" customFormat="false" ht="15" hidden="false" customHeight="true" outlineLevel="0" collapsed="false">
      <c r="B21" s="25" t="s">
        <v>251</v>
      </c>
      <c r="C21" s="43" t="str">
        <f aca="false">IF(Need_3&lt;&gt;"",Need_3,(Income+Partner_Income)*Income_Multiple)</f>
        <v>Choose your gross yearly income to see this</v>
      </c>
      <c r="D21" s="27" t="s">
        <v>217</v>
      </c>
      <c r="E21" s="42" t="s">
        <v>252</v>
      </c>
    </row>
    <row r="22" customFormat="false" ht="15" hidden="false" customHeight="true" outlineLevel="0" collapsed="false">
      <c r="B22" s="25" t="s">
        <v>253</v>
      </c>
      <c r="C22" s="44" t="str">
        <f aca="false">IF(Need_4&lt;&gt;"",Need_4,IF(First_Time_Buyer="Yes",LTI_FTB,LTI_SSB))</f>
        <v>Choose your first-time buyer answer to see this</v>
      </c>
      <c r="D22" s="27" t="s">
        <v>254</v>
      </c>
      <c r="E22" s="42" t="s">
        <v>255</v>
      </c>
    </row>
    <row r="23" customFormat="false" ht="15" hidden="false" customHeight="true" outlineLevel="0" collapsed="false">
      <c r="B23" s="25" t="s">
        <v>256</v>
      </c>
      <c r="C23" s="43" t="str">
        <f aca="false">IF(Need_5&lt;&gt;"",Need_5,Deposit+Extra_Deposit)</f>
        <v>Choose your deposit saved to see this</v>
      </c>
      <c r="D23" s="27" t="s">
        <v>217</v>
      </c>
      <c r="E23" s="42" t="s">
        <v>257</v>
      </c>
    </row>
    <row r="24" customFormat="false" ht="15" hidden="false" customHeight="true" outlineLevel="0" collapsed="false">
      <c r="B24" s="25" t="s">
        <v>258</v>
      </c>
      <c r="C24" s="43" t="str">
        <f aca="false">IF(Need_6&lt;&gt;"",Need_6,MAX(0,Total_Deposit-Buying_Fees))</f>
        <v>Choose your deposit saved to see this</v>
      </c>
      <c r="D24" s="27" t="s">
        <v>217</v>
      </c>
      <c r="E24" s="42" t="s">
        <v>259</v>
      </c>
    </row>
    <row r="25" customFormat="false" ht="15" hidden="false" customHeight="true" outlineLevel="0" collapsed="false">
      <c r="B25" s="25" t="s">
        <v>260</v>
      </c>
      <c r="C25" s="43" t="n">
        <f aca="false">(1-LTV_Max+SD_Rate_1)*SD_Band_1</f>
        <v>110000</v>
      </c>
      <c r="D25" s="27" t="s">
        <v>217</v>
      </c>
      <c r="E25" s="42" t="s">
        <v>261</v>
      </c>
    </row>
    <row r="26" customFormat="false" ht="15" hidden="false" customHeight="true" outlineLevel="0" collapsed="false">
      <c r="B26" s="25" t="s">
        <v>262</v>
      </c>
      <c r="C26" s="43" t="n">
        <f aca="false">Cash_At_Band_1+(1-LTV_Max+SD_Rate_2)*(SD_Band_2-SD_Band_1)</f>
        <v>170000</v>
      </c>
      <c r="D26" s="27" t="s">
        <v>217</v>
      </c>
      <c r="E26" s="42" t="s">
        <v>263</v>
      </c>
    </row>
    <row r="27" customFormat="false" ht="32.25" hidden="false" customHeight="true" outlineLevel="0" collapsed="false">
      <c r="B27" s="25" t="s">
        <v>264</v>
      </c>
      <c r="C27" s="43" t="str">
        <f aca="false">IF(Need_6&lt;&gt;"",Need_6,IF(Cash_For_Price&lt;=Cash_At_Band_1,Cash_For_Price/(1-LTV_Max+SD_Rate_1),IF(Cash_For_Price&lt;=Cash_At_Band_2,SD_Band_1+(Cash_For_Price-Cash_At_Band_1)/(1-LTV_Max+SD_Rate_2),SD_Band_2+(Cash_For_Price-Cash_At_Band_2)/(1-LTV_Max+SD_Rate_3))))</f>
        <v>Choose your deposit saved to see this</v>
      </c>
      <c r="D27" s="27" t="s">
        <v>217</v>
      </c>
      <c r="E27" s="42" t="s">
        <v>265</v>
      </c>
    </row>
    <row r="28" customFormat="false" ht="15" hidden="false" customHeight="true" outlineLevel="0" collapsed="false">
      <c r="B28" s="25" t="s">
        <v>266</v>
      </c>
      <c r="C28" s="43" t="str">
        <f aca="false">IF(Need_1&lt;&gt;"",Need_1,Borrow_By_Income+Cash_For_Price)</f>
        <v>Choose your gross yearly income to see this</v>
      </c>
      <c r="D28" s="27" t="s">
        <v>217</v>
      </c>
      <c r="E28" s="42" t="s">
        <v>267</v>
      </c>
    </row>
    <row r="29" customFormat="false" ht="42.75" hidden="false" customHeight="true" outlineLevel="0" collapsed="false">
      <c r="B29" s="25" t="s">
        <v>268</v>
      </c>
      <c r="C29" s="43" t="str">
        <f aca="false">IF(Need_1&lt;&gt;"",Need_1,IF(Income_Cash&lt;=(1+SD_Rate_1)*SD_Band_1,Income_Cash/(1+SD_Rate_1),IF(Income_Cash&lt;=(1+SD_Rate_1)*SD_Band_1+(1+SD_Rate_2)*(SD_Band_2-SD_Band_1),SD_Band_1+(Income_Cash-(1+SD_Rate_1)*SD_Band_1)/(1+SD_Rate_2),SD_Band_2+(Income_Cash-(1+SD_Rate_1)*SD_Band_1-(1+SD_Rate_2)*(SD_Band_2-SD_Band_1))/(1+SD_Rate_3))))</f>
        <v>Choose your gross yearly income to see this</v>
      </c>
      <c r="D29" s="27" t="s">
        <v>217</v>
      </c>
      <c r="E29" s="42" t="s">
        <v>269</v>
      </c>
    </row>
    <row r="30" customFormat="false" ht="15" hidden="false" customHeight="true" outlineLevel="0" collapsed="false">
      <c r="B30" s="25" t="s">
        <v>270</v>
      </c>
      <c r="C30" s="45" t="str">
        <f aca="false">IF(Need_1&lt;&gt;"",Need_1,IF(Price_By_Deposit&lt;Price_By_Income,"Your deposit","Your income"))</f>
        <v>Choose your gross yearly income to see this</v>
      </c>
      <c r="D30" s="27"/>
      <c r="E30" s="42" t="s">
        <v>271</v>
      </c>
    </row>
    <row r="32" customFormat="false" ht="15" hidden="false" customHeight="true" outlineLevel="0" collapsed="false">
      <c r="B32" s="13" t="s">
        <v>272</v>
      </c>
      <c r="C32" s="14"/>
      <c r="D32" s="14"/>
      <c r="E32" s="14"/>
      <c r="F32" s="14"/>
      <c r="G32" s="14"/>
    </row>
    <row r="33" customFormat="false" ht="13.5" hidden="false" customHeight="true" outlineLevel="0" collapsed="false">
      <c r="B33" s="46" t="s">
        <v>273</v>
      </c>
      <c r="C33" s="46"/>
      <c r="D33" s="46"/>
      <c r="E33" s="46"/>
    </row>
    <row r="34" customFormat="false" ht="27.75" hidden="false" customHeight="true" outlineLevel="0" collapsed="false">
      <c r="B34" s="46" t="s">
        <v>274</v>
      </c>
      <c r="C34" s="46"/>
      <c r="D34" s="46"/>
      <c r="E34" s="46"/>
    </row>
    <row r="35" customFormat="false" ht="13.5" hidden="false" customHeight="true" outlineLevel="0" collapsed="false">
      <c r="B35" s="46" t="s">
        <v>275</v>
      </c>
      <c r="C35" s="46"/>
      <c r="D35" s="46"/>
      <c r="E35" s="46"/>
    </row>
    <row r="36" customFormat="false" ht="13.5" hidden="false" customHeight="true" outlineLevel="0" collapsed="false">
      <c r="B36" s="47" t="s">
        <v>276</v>
      </c>
      <c r="C36" s="47"/>
      <c r="D36" s="47"/>
      <c r="E36" s="47"/>
    </row>
    <row r="37" customFormat="false" ht="13.5" hidden="false" customHeight="true" outlineLevel="0" collapsed="false">
      <c r="B37" s="46" t="s">
        <v>277</v>
      </c>
      <c r="C37" s="46"/>
      <c r="D37" s="46"/>
      <c r="E37" s="46"/>
    </row>
    <row r="38" customFormat="false" ht="13.5" hidden="false" customHeight="true" outlineLevel="0" collapsed="false">
      <c r="B38" s="46" t="s">
        <v>278</v>
      </c>
      <c r="C38" s="46"/>
      <c r="D38" s="46"/>
      <c r="E38" s="46"/>
    </row>
    <row r="39" customFormat="false" ht="13.5" hidden="false" customHeight="true" outlineLevel="0" collapsed="false">
      <c r="B39" s="46" t="s">
        <v>279</v>
      </c>
      <c r="C39" s="46"/>
      <c r="D39" s="46"/>
      <c r="E39" s="46"/>
    </row>
    <row r="40" customFormat="false" ht="13.5" hidden="false" customHeight="true" outlineLevel="0" collapsed="false">
      <c r="B40" s="46" t="s">
        <v>280</v>
      </c>
      <c r="C40" s="46"/>
      <c r="D40" s="46"/>
      <c r="E40" s="46"/>
    </row>
    <row r="42" customFormat="false" ht="15" hidden="false" customHeight="true" outlineLevel="0" collapsed="false">
      <c r="B42" s="13" t="s">
        <v>281</v>
      </c>
      <c r="C42" s="14"/>
      <c r="D42" s="14"/>
      <c r="E42" s="14"/>
      <c r="F42" s="14"/>
      <c r="G42" s="14"/>
    </row>
    <row r="43" customFormat="false" ht="15" hidden="false" customHeight="true" outlineLevel="0" collapsed="false">
      <c r="B43" s="25" t="s">
        <v>282</v>
      </c>
      <c r="C43" s="48" t="str">
        <f aca="false">"Buy a home (deposit goal)"</f>
        <v>Buy a home (deposit goal)</v>
      </c>
      <c r="E43" s="49" t="s">
        <v>283</v>
      </c>
    </row>
    <row r="44" customFormat="false" ht="15" hidden="false" customHeight="true" outlineLevel="0" collapsed="false">
      <c r="B44" s="25" t="s">
        <v>284</v>
      </c>
      <c r="C44" s="50" t="str">
        <f aca="false">IF(Need_1&lt;&gt;"",Need_1,ROUND(Home_Price*Min_Deposit_Pct+Stamp_Duty+Buying_Fees,0))</f>
        <v>Choose your gross yearly income to see this</v>
      </c>
      <c r="E44" s="49" t="s">
        <v>285</v>
      </c>
    </row>
    <row r="45" customFormat="false" ht="15" hidden="false" customHeight="true" outlineLevel="0" collapsed="false">
      <c r="B45" s="25" t="s">
        <v>286</v>
      </c>
      <c r="C45" s="50" t="str">
        <f aca="false">IF(Need_5&lt;&gt;"",Need_5,Total_Deposit)</f>
        <v>Choose your deposit saved to see this</v>
      </c>
      <c r="E45" s="49" t="s">
        <v>287</v>
      </c>
    </row>
    <row r="46" customFormat="false" ht="15" hidden="false" customHeight="true" outlineLevel="0" collapsed="false">
      <c r="B46" s="25" t="s">
        <v>288</v>
      </c>
      <c r="C46" s="51" t="str">
        <f aca="false">IF(Need_7&lt;&gt;"",Need_7,Home_Goal_Years)</f>
        <v>Choose your years until you buy to see this</v>
      </c>
      <c r="E46" s="49" t="s">
        <v>289</v>
      </c>
    </row>
    <row r="48" customFormat="false" ht="15" hidden="false" customHeight="true" outlineLevel="0" collapsed="false">
      <c r="B48" s="13" t="s">
        <v>290</v>
      </c>
      <c r="C48" s="14"/>
      <c r="D48" s="14"/>
      <c r="E48" s="14"/>
      <c r="F48" s="14"/>
      <c r="G48" s="14"/>
    </row>
    <row r="49" customFormat="false" ht="15" hidden="false" customHeight="true" outlineLevel="0" collapsed="false">
      <c r="B49" s="52" t="s">
        <v>291</v>
      </c>
      <c r="C49" s="52" t="str">
        <f aca="false">IF(Income="","Choose your gross yearly income to see this",IF(Partner_Income="","Choose your partner's gross yearly income to see this",IF(Deposit="","Choose your deposit saved to see this",IF(First_Time_Buyer="","Choose your first-time buyer answer to see this",IF(Buying_Fees="","Choose your buying fees to see this","")))))</f>
        <v>Choose your gross yearly income to see this</v>
      </c>
    </row>
    <row r="50" customFormat="false" ht="15" hidden="false" customHeight="true" outlineLevel="0" collapsed="false">
      <c r="B50" s="52" t="s">
        <v>292</v>
      </c>
      <c r="C50" s="52" t="str">
        <f aca="false">IF(Income="","Choose your gross yearly income to see this",IF(Partner_Income="","Choose your partner's gross yearly income to see this",IF(Deposit="","Choose your deposit saved to see this",IF(First_Time_Buyer="","Choose your first-time buyer answer to see this",IF(Interest_Rate="","Choose your interest rate to see this",IF(Term_Years="","Choose your mortgage term to see this",IF(Buying_Fees="","Choose your buying fees to see this","")))))))</f>
        <v>Choose your gross yearly income to see this</v>
      </c>
    </row>
    <row r="51" customFormat="false" ht="15" hidden="false" customHeight="true" outlineLevel="0" collapsed="false">
      <c r="B51" s="52" t="s">
        <v>293</v>
      </c>
      <c r="C51" s="52" t="str">
        <f aca="false">IF(Income="","Choose your gross yearly income to see this",IF(Partner_Income="","Choose your partner's gross yearly income to see this",IF(First_Time_Buyer="","Choose your first-time buyer answer to see this","")))</f>
        <v>Choose your gross yearly income to see this</v>
      </c>
    </row>
    <row r="52" customFormat="false" ht="15" hidden="false" customHeight="true" outlineLevel="0" collapsed="false">
      <c r="B52" s="52" t="s">
        <v>294</v>
      </c>
      <c r="C52" s="52" t="str">
        <f aca="false">IF(First_Time_Buyer="","Choose your first-time buyer answer to see this","")</f>
        <v>Choose your first-time buyer answer to see this</v>
      </c>
    </row>
    <row r="53" customFormat="false" ht="15" hidden="false" customHeight="true" outlineLevel="0" collapsed="false">
      <c r="B53" s="52" t="s">
        <v>295</v>
      </c>
      <c r="C53" s="52" t="str">
        <f aca="false">IF(Deposit="","Choose your deposit saved to see this","")</f>
        <v>Choose your deposit saved to see this</v>
      </c>
    </row>
    <row r="54" customFormat="false" ht="15" hidden="false" customHeight="true" outlineLevel="0" collapsed="false">
      <c r="B54" s="52" t="s">
        <v>296</v>
      </c>
      <c r="C54" s="52" t="str">
        <f aca="false">IF(Deposit="","Choose your deposit saved to see this",IF(Buying_Fees="","Choose your buying fees to see this",""))</f>
        <v>Choose your deposit saved to see this</v>
      </c>
    </row>
    <row r="55" customFormat="false" ht="15" hidden="false" customHeight="true" outlineLevel="0" collapsed="false">
      <c r="B55" s="52" t="s">
        <v>297</v>
      </c>
      <c r="C55" s="52" t="str">
        <f aca="false">IF(Home_Goal_Years="","Choose your years until you buy to see this","")</f>
        <v>Choose your years until you buy to see this</v>
      </c>
    </row>
  </sheetData>
  <mergeCells count="8">
    <mergeCell ref="B33:E33"/>
    <mergeCell ref="B34:E34"/>
    <mergeCell ref="B35:E35"/>
    <mergeCell ref="B36:E36"/>
    <mergeCell ref="B37:E37"/>
    <mergeCell ref="B38:E38"/>
    <mergeCell ref="B39:E39"/>
    <mergeCell ref="B40:E40"/>
  </mergeCells>
  <dataValidations count="9">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3" type="whole">
      <formula1>1</formula1>
      <formula2>30</formula2>
    </dataValidation>
    <dataValidation allowBlank="true" error="Please enter €0 to €10,000 · steps of €100." errorStyle="stop" errorTitle="Outside the allowed range" operator="between" prompt="Usually between €2,500 and €3,500 for legal and survey fees (stamp duty is added for you). Enter your own figure.  Allowed: €0 to €10,000 · steps of €100." promptTitle="Legal and other buying fees" showDropDown="false" showErrorMessage="true" showInputMessage="true" sqref="C12" type="decimal">
      <formula1>0</formula1>
      <formula2>10000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Your gross yearly income" showDropDown="false" showErrorMessage="true" showInputMessage="true" sqref="C6" type="decimal">
      <formula1>15000</formula1>
      <formula2>2500000</formula2>
    </dataValidation>
    <dataValidation allowBlank="true" error="Please enter €0 to €2,500,000 · steps of €1,000." errorStyle="stop" errorTitle="Outside the allowed range" operator="between" prompt="Your own figure. In the app it is pre-filled from Your finances: partner's income.  Allowed: €0 to €2,500,000 · steps of €1,000." promptTitle="Partner's gross yearly income" showDropDown="false" showErrorMessage="true" showInputMessage="true" sqref="C7" type="decimal">
      <formula1>0</formula1>
      <formula2>2500000</formula2>
    </dataValidation>
    <dataValidation allowBlank="true" error="Please enter €0 to €2,000,000 · steps of €1,000." errorStyle="stop" errorTitle="Outside the allowed range" operator="between" prompt="Your own figure. In the app it is pre-filled from Plan: home goal's amount saved.  Allowed: €0 to €2,000,000 · steps of €1,000." promptTitle="Deposit saved" showDropDown="false" showErrorMessage="true" showInputMessage="true" sqref="C8" type="decimal">
      <formula1>0</formula1>
      <formula2>2000000</formula2>
    </dataValidation>
    <dataValidation allowBlank="true" error="Please enter Yes or No." errorStyle="stop" errorTitle="Outside the allowed range" operator="between" prompt="Your own figure. In the app it is pre-filled from Your finances: home status (owner = No).  Allowed: Yes or No." promptTitle="First-time buyer?" showDropDown="false" showErrorMessage="true" showInputMessage="true" sqref="C9" type="list">
      <formula1>"Yes,No"</formula1>
      <formula2>0</formula2>
    </dataValidation>
    <dataValidation allowBlank="true" error="Please enter 1% to 8% · steps of 0.05%." errorStyle="stop" errorTitle="Outside the allowed range" operator="between" prompt="Usually between 3.5% and 4.5% a year for new Irish mortgages (Central Bank retail interest rates: new mortgages averaged 3.49% in June 2026). Enter your own figure.  Allowed: 1% to 8% · steps of 0.05%." promptTitle="Mortgage interest rate" showDropDown="false" showErrorMessage="true" showInputMessage="true" sqref="C10" type="decimal">
      <formula1>0.01</formula1>
      <formula2>0.08</formula2>
    </dataValidation>
    <dataValidation allowBlank="true" error="Please enter 10 to 35 · steps of 1." errorStyle="stop" errorTitle="Outside the allowed range" operator="between" prompt="Your own figure.  Allowed: 10 to 35 · steps of 1." promptTitle="Mortgage term" showDropDown="false" showErrorMessage="true" showInputMessage="true" sqref="C11" type="whole">
      <formula1>10</formula1>
      <formula2>35</formula2>
    </dataValidation>
    <dataValidation allowBlank="true" error="Please enter €0 to €500,000 · steps of €1,000." errorStyle="stop" errorTitle="Outside the allowed range" operator="between" prompt="Optional: leave blank for none.  Allowed: €0 to €500,000 · steps of €1,000." promptTitle="What if: save extra towards the " showDropDown="false" showErrorMessage="true" showInputMessage="true" sqref="C14" type="decimal">
      <formula1>0</formula1>
      <formula2>500000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298</v>
      </c>
      <c r="E1" s="3" t="s">
        <v>299</v>
      </c>
    </row>
    <row r="2" customFormat="false" ht="15" hidden="false" customHeight="true" outlineLevel="0" collapsed="false">
      <c r="B2" s="21" t="s">
        <v>300</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301</v>
      </c>
    </row>
    <row r="5" customFormat="false" ht="15" hidden="false" customHeight="true" outlineLevel="0" collapsed="false">
      <c r="B5" s="13" t="s">
        <v>302</v>
      </c>
      <c r="C5" s="14"/>
      <c r="D5" s="14"/>
      <c r="E5" s="14"/>
      <c r="F5" s="14"/>
      <c r="G5" s="14"/>
    </row>
    <row r="6" customFormat="false" ht="27.75" hidden="false" customHeight="true" outlineLevel="0" collapsed="false">
      <c r="B6" s="53" t="s">
        <v>303</v>
      </c>
      <c r="C6" s="53"/>
      <c r="D6" s="53"/>
      <c r="E6" s="53"/>
    </row>
    <row r="7" customFormat="false" ht="15" hidden="false" customHeight="true" outlineLevel="0" collapsed="false">
      <c r="B7" s="25" t="s">
        <v>304</v>
      </c>
      <c r="C7" s="54"/>
      <c r="D7" s="27" t="s">
        <v>217</v>
      </c>
      <c r="E7" s="28" t="s">
        <v>305</v>
      </c>
      <c r="G7" s="52" t="s">
        <v>306</v>
      </c>
    </row>
    <row r="8" customFormat="false" ht="15" hidden="false" customHeight="true" outlineLevel="0" collapsed="false">
      <c r="B8" s="25" t="s">
        <v>307</v>
      </c>
      <c r="C8" s="55"/>
      <c r="D8" s="27" t="s">
        <v>228</v>
      </c>
      <c r="E8" s="28" t="s">
        <v>308</v>
      </c>
      <c r="G8" s="52" t="s">
        <v>306</v>
      </c>
    </row>
    <row r="9" customFormat="false" ht="15" hidden="false" customHeight="true" outlineLevel="0" collapsed="false">
      <c r="B9" s="25" t="s">
        <v>309</v>
      </c>
      <c r="C9" s="56"/>
      <c r="D9" s="27" t="s">
        <v>231</v>
      </c>
      <c r="E9" s="28" t="s">
        <v>310</v>
      </c>
      <c r="G9" s="52" t="s">
        <v>306</v>
      </c>
    </row>
    <row r="10" customFormat="false" ht="15" hidden="false" customHeight="true" outlineLevel="0" collapsed="false">
      <c r="B10" s="25" t="s">
        <v>311</v>
      </c>
      <c r="C10" s="54"/>
      <c r="D10" s="27" t="s">
        <v>217</v>
      </c>
      <c r="E10" s="28" t="s">
        <v>312</v>
      </c>
      <c r="G10" s="52" t="s">
        <v>306</v>
      </c>
    </row>
    <row r="11" customFormat="false" ht="15" hidden="false" customHeight="true" outlineLevel="0" collapsed="false">
      <c r="B11" s="25" t="s">
        <v>313</v>
      </c>
      <c r="C11" s="57"/>
      <c r="D11" s="27" t="s">
        <v>314</v>
      </c>
      <c r="E11" s="28" t="s">
        <v>315</v>
      </c>
      <c r="G11" s="52" t="s">
        <v>306</v>
      </c>
    </row>
    <row r="13" customFormat="false" ht="15" hidden="false" customHeight="true" outlineLevel="0" collapsed="false">
      <c r="B13" s="13" t="s">
        <v>316</v>
      </c>
      <c r="C13" s="24" t="s">
        <v>213</v>
      </c>
      <c r="D13" s="24" t="s">
        <v>214</v>
      </c>
      <c r="E13" s="24" t="s">
        <v>215</v>
      </c>
      <c r="F13" s="14"/>
      <c r="G13" s="14"/>
    </row>
    <row r="14" customFormat="false" ht="21.75" hidden="false" customHeight="true" outlineLevel="0" collapsed="false">
      <c r="B14" s="25" t="s">
        <v>317</v>
      </c>
      <c r="C14" s="26"/>
      <c r="D14" s="27" t="s">
        <v>217</v>
      </c>
      <c r="E14" s="28" t="s">
        <v>318</v>
      </c>
      <c r="F14" s="29" t="n">
        <v>300000</v>
      </c>
      <c r="G14" s="30" t="str">
        <f aca="false">IF(ISBLANK(C14),IF(Fill_Example="Yes",F14,""),C14)</f>
        <v/>
      </c>
    </row>
    <row r="15" customFormat="false" ht="33" hidden="false" customHeight="true" outlineLevel="0" collapsed="false">
      <c r="B15" s="25" t="s">
        <v>307</v>
      </c>
      <c r="C15" s="34"/>
      <c r="D15" s="27" t="s">
        <v>228</v>
      </c>
      <c r="E15" s="35" t="s">
        <v>319</v>
      </c>
      <c r="F15" s="36" t="n">
        <v>0.0375</v>
      </c>
      <c r="G15" s="37" t="str">
        <f aca="false">IF(ISBLANK(C15),IF(Fill_Example="Yes",F15,""),C15)</f>
        <v/>
      </c>
    </row>
    <row r="16" customFormat="false" ht="21.75" hidden="false" customHeight="true" outlineLevel="0" collapsed="false">
      <c r="B16" s="25" t="s">
        <v>320</v>
      </c>
      <c r="C16" s="38"/>
      <c r="D16" s="27" t="s">
        <v>231</v>
      </c>
      <c r="E16" s="28" t="s">
        <v>321</v>
      </c>
      <c r="F16" s="39" t="n">
        <v>30</v>
      </c>
      <c r="G16" s="40" t="str">
        <f aca="false">IF(ISBLANK(C16),IF(Fill_Example="Yes",F16,""),C16)</f>
        <v/>
      </c>
    </row>
    <row r="17" customFormat="false" ht="15" hidden="false" customHeight="true" outlineLevel="0" collapsed="false">
      <c r="B17" s="25" t="s">
        <v>322</v>
      </c>
      <c r="C17" s="26"/>
      <c r="D17" s="27" t="s">
        <v>217</v>
      </c>
      <c r="E17" s="28" t="s">
        <v>323</v>
      </c>
      <c r="F17" s="29" t="n">
        <v>0</v>
      </c>
      <c r="G17" s="30" t="n">
        <f aca="false">IF(ISBLANK(C17),F17,C17)</f>
        <v>0</v>
      </c>
    </row>
    <row r="18" customFormat="false" ht="15" hidden="false" customHeight="true" outlineLevel="0" collapsed="false">
      <c r="B18" s="25" t="s">
        <v>235</v>
      </c>
      <c r="C18" s="38"/>
      <c r="D18" s="27" t="s">
        <v>231</v>
      </c>
      <c r="E18" s="28" t="s">
        <v>236</v>
      </c>
      <c r="F18" s="39" t="n">
        <v>3</v>
      </c>
      <c r="G18" s="40" t="str">
        <f aca="false">IF(ISBLANK(C18),IF(Fill_Example="Yes",F18,""),C18)</f>
        <v/>
      </c>
    </row>
    <row r="19" customFormat="false" ht="15" hidden="false" customHeight="true" outlineLevel="0" collapsed="false">
      <c r="B19" s="25" t="s">
        <v>324</v>
      </c>
      <c r="C19" s="34"/>
      <c r="D19" s="27" t="s">
        <v>228</v>
      </c>
      <c r="E19" s="28" t="s">
        <v>325</v>
      </c>
      <c r="F19" s="36" t="n">
        <v>0</v>
      </c>
      <c r="G19" s="37" t="n">
        <f aca="false">IF(ISBLANK(C19),F19,C19)</f>
        <v>0</v>
      </c>
    </row>
    <row r="21" customFormat="false" ht="15" hidden="false" customHeight="true" outlineLevel="0" collapsed="false">
      <c r="B21" s="13" t="s">
        <v>326</v>
      </c>
      <c r="C21" s="14"/>
      <c r="D21" s="14"/>
      <c r="E21" s="14"/>
      <c r="F21" s="14"/>
      <c r="G21" s="14"/>
    </row>
    <row r="22" customFormat="false" ht="15" hidden="false" customHeight="true" outlineLevel="0" collapsed="false">
      <c r="B22" s="25" t="s">
        <v>317</v>
      </c>
      <c r="C22" s="58" t="str">
        <f aca="false">IF(ISBLANK(Stmt_Balance),Loan_Amount,Stmt_Balance)</f>
        <v/>
      </c>
      <c r="D22" s="59" t="str">
        <f aca="false">IF(ISBLANK(Stmt_Balance),"Your figure","From your statement")</f>
        <v>Your figure</v>
      </c>
      <c r="E22" s="49" t="s">
        <v>327</v>
      </c>
    </row>
    <row r="23" customFormat="false" ht="15" hidden="false" customHeight="true" outlineLevel="0" collapsed="false">
      <c r="B23" s="25" t="s">
        <v>307</v>
      </c>
      <c r="C23" s="60" t="str">
        <f aca="false">IF(ISBLANK(Stmt_Rate),Interest_Rate,Stmt_Rate)</f>
        <v/>
      </c>
      <c r="D23" s="59" t="str">
        <f aca="false">IF(ISBLANK(Stmt_Rate),"Your figure","From your statement")</f>
        <v>Your figure</v>
      </c>
      <c r="E23" s="49" t="s">
        <v>328</v>
      </c>
    </row>
    <row r="24" customFormat="false" ht="15" hidden="false" customHeight="true" outlineLevel="0" collapsed="false">
      <c r="B24" s="25" t="s">
        <v>320</v>
      </c>
      <c r="C24" s="61" t="str">
        <f aca="false">IF(ISBLANK(Stmt_Term),Term_Years,Stmt_Term)</f>
        <v/>
      </c>
      <c r="D24" s="59" t="str">
        <f aca="false">IF(ISBLANK(Stmt_Term),"Your figure","From your statement")</f>
        <v>Your figure</v>
      </c>
      <c r="E24" s="49" t="s">
        <v>329</v>
      </c>
    </row>
    <row r="25" customFormat="false" ht="15" hidden="false" customHeight="true" outlineLevel="0" collapsed="false">
      <c r="B25" s="25" t="s">
        <v>330</v>
      </c>
      <c r="C25" s="58" t="n">
        <f aca="false">IF(ISBLANK(Stmt_Repayment),Actual_Repayment,Stmt_Repayment)</f>
        <v>0</v>
      </c>
      <c r="D25" s="59" t="str">
        <f aca="false">IF(ISBLANK(Stmt_Repayment),"Your figure","From your statement")</f>
        <v>Your figure</v>
      </c>
      <c r="E25" s="49" t="s">
        <v>331</v>
      </c>
    </row>
    <row r="26" customFormat="false" ht="21.75" hidden="false" customHeight="true" outlineLevel="0" collapsed="false">
      <c r="B26" s="25" t="s">
        <v>332</v>
      </c>
      <c r="C26" s="45" t="str">
        <f aca="true">IF(ISBLANK(Stmt_Statement_Date),"",IF(TODAY()-Stmt_Statement_Date&gt;Statement_Max_Age_Days,"Needs a look: statement is more than 12 months old","Up to date"))</f>
        <v/>
      </c>
      <c r="D26" s="27"/>
      <c r="E26" s="42" t="s">
        <v>333</v>
      </c>
    </row>
    <row r="28" customFormat="false" ht="15" hidden="false" customHeight="true" outlineLevel="0" collapsed="false">
      <c r="B28" s="13" t="s">
        <v>239</v>
      </c>
      <c r="C28" s="24" t="s">
        <v>240</v>
      </c>
      <c r="D28" s="24" t="s">
        <v>241</v>
      </c>
      <c r="E28" s="24" t="s">
        <v>242</v>
      </c>
      <c r="F28" s="14"/>
      <c r="G28" s="14"/>
    </row>
    <row r="29" customFormat="false" ht="17.25" hidden="false" customHeight="true" outlineLevel="0" collapsed="false">
      <c r="B29" s="21" t="s">
        <v>311</v>
      </c>
      <c r="C29" s="41" t="str">
        <f aca="false">IF(Need_1&lt;&gt;"",Need_1,IF(Used_Actual_Repayment&gt;0,Used_Actual_Repayment,Formula_Repayment))</f>
        <v>Choose your mortgage amount to see this</v>
      </c>
      <c r="D29" s="27" t="s">
        <v>217</v>
      </c>
      <c r="E29" s="42" t="s">
        <v>334</v>
      </c>
    </row>
    <row r="30" customFormat="false" ht="23.25" hidden="false" customHeight="true" outlineLevel="0" collapsed="false">
      <c r="B30" s="21" t="s">
        <v>335</v>
      </c>
      <c r="C30" s="62" t="str">
        <f aca="false">IF(Need_1&lt;&gt;"",Need_1,IF(Monthly_Repayment&lt;=Used_Loan_Amount*Monthly_Rate,"Never",ROUNDUP(ROUND(NPER(Monthly_Rate,-Monthly_Repayment,Used_Loan_Amount),6),0)))</f>
        <v>Choose your mortgage amount to see this</v>
      </c>
      <c r="D30" s="63" t="str">
        <f aca="false">IF(Need_1&lt;&gt;"",Need_1,IF(Months_To_Pay="Never","Never at this repayment",IF(Months_To_Pay&gt;Cap_Months,"Over 100 years",IF(INT(Months_To_Pay/12)=0,MOD(Months_To_Pay,12)&amp;IF(MOD(Months_To_Pay,12)=1," month"," months"),INT(Months_To_Pay/12)&amp;IF(INT(Months_To_Pay/12)=1," year"," years")&amp;IF(MOD(Months_To_Pay,12)=0,""," "&amp;MOD(Months_To_Pay,12)&amp;IF(MOD(Months_To_Pay,12)=1," month"," months"))))))</f>
        <v>Choose your mortgage amount to see this</v>
      </c>
      <c r="E30" s="42" t="s">
        <v>336</v>
      </c>
    </row>
    <row r="31" customFormat="false" ht="17.25" hidden="false" customHeight="true" outlineLevel="0" collapsed="false">
      <c r="B31" s="21" t="s">
        <v>337</v>
      </c>
      <c r="C31" s="41" t="str">
        <f aca="false">IF(Need_1&lt;&gt;"",Need_1,IF(Months_To_Pay="Never","—",Monthly_Repayment*(Months_To_Pay-1)+Final_Payment-Used_Loan_Amount))</f>
        <v>Choose your mortgage amount to see this</v>
      </c>
      <c r="D31" s="27" t="s">
        <v>217</v>
      </c>
      <c r="E31" s="42" t="s">
        <v>338</v>
      </c>
    </row>
    <row r="32" customFormat="false" ht="15" hidden="false" customHeight="true" outlineLevel="0" collapsed="false">
      <c r="B32" s="25" t="s">
        <v>339</v>
      </c>
      <c r="C32" s="43" t="str">
        <f aca="false">IF(Need_1&lt;&gt;"",Need_1,IF(Months_To_Pay="Never","—",Used_Loan_Amount+Total_Interest))</f>
        <v>Choose your mortgage amount to see this</v>
      </c>
      <c r="D32" s="27" t="s">
        <v>217</v>
      </c>
      <c r="E32" s="42" t="s">
        <v>340</v>
      </c>
    </row>
    <row r="33" customFormat="false" ht="15" hidden="false" customHeight="true" outlineLevel="0" collapsed="false">
      <c r="B33" s="25" t="s">
        <v>341</v>
      </c>
      <c r="C33" s="64" t="str">
        <f aca="false">IF(Need_2&lt;&gt;"",Need_2,Used_Interest_Rate/12)</f>
        <v>Choose your interest rate to see this</v>
      </c>
      <c r="D33" s="27"/>
      <c r="E33" s="42" t="s">
        <v>342</v>
      </c>
    </row>
    <row r="34" customFormat="false" ht="15" hidden="false" customHeight="true" outlineLevel="0" collapsed="false">
      <c r="B34" s="25" t="s">
        <v>343</v>
      </c>
      <c r="C34" s="43" t="str">
        <f aca="false">IF(Need_3&lt;&gt;"",Need_3,PMT(Monthly_Rate,Used_Term_Years*12,-Used_Loan_Amount))</f>
        <v>Choose your mortgage amount to see this</v>
      </c>
      <c r="D34" s="27" t="s">
        <v>217</v>
      </c>
      <c r="E34" s="42" t="s">
        <v>344</v>
      </c>
    </row>
    <row r="35" customFormat="false" ht="21.75" hidden="false" customHeight="true" outlineLevel="0" collapsed="false">
      <c r="B35" s="25" t="s">
        <v>345</v>
      </c>
      <c r="C35" s="43" t="str">
        <f aca="false">IF(Need_1&lt;&gt;"",Need_1,IF(Months_To_Pay="Never","—",-FV(Monthly_Rate,Months_To_Pay-1,-Monthly_Repayment,Used_Loan_Amount)*(1+Monthly_Rate)))</f>
        <v>Choose your mortgage amount to see this</v>
      </c>
      <c r="D35" s="27" t="s">
        <v>217</v>
      </c>
      <c r="E35" s="42" t="s">
        <v>346</v>
      </c>
    </row>
    <row r="36" customFormat="false" ht="15" hidden="false" customHeight="true" outlineLevel="0" collapsed="false">
      <c r="B36" s="25" t="s">
        <v>347</v>
      </c>
      <c r="C36" s="65" t="str">
        <f aca="false">IF(Need_2&lt;&gt;"",Need_2,MAX(0,Used_Interest_Rate+Rate_Change))</f>
        <v>Choose your interest rate to see this</v>
      </c>
      <c r="D36" s="27" t="s">
        <v>228</v>
      </c>
      <c r="E36" s="42" t="s">
        <v>348</v>
      </c>
    </row>
    <row r="37" customFormat="false" ht="17.25" hidden="false" customHeight="true" outlineLevel="0" collapsed="false">
      <c r="B37" s="21" t="s">
        <v>349</v>
      </c>
      <c r="C37" s="41" t="str">
        <f aca="false">IF(Need_1&lt;&gt;"",Need_1,Monthly_Repayment+PMT(New_Rate/12,Used_Term_Years*12,-Used_Loan_Amount)-Formula_Repayment)</f>
        <v>Choose your mortgage amount to see this</v>
      </c>
      <c r="D37" s="27" t="s">
        <v>217</v>
      </c>
      <c r="E37" s="42" t="s">
        <v>350</v>
      </c>
    </row>
    <row r="38" customFormat="false" ht="15" hidden="false" customHeight="true" outlineLevel="0" collapsed="false">
      <c r="B38" s="25" t="s">
        <v>351</v>
      </c>
      <c r="C38" s="43" t="str">
        <f aca="false">IF(Need_1&lt;&gt;"",Need_1,(Repayment_If_Changed-Monthly_Repayment)*12)</f>
        <v>Choose your mortgage amount to see this</v>
      </c>
      <c r="D38" s="27" t="s">
        <v>217</v>
      </c>
      <c r="E38" s="42" t="s">
        <v>352</v>
      </c>
    </row>
    <row r="40" customFormat="false" ht="15" hidden="false" customHeight="true" outlineLevel="0" collapsed="false">
      <c r="B40" s="13" t="s">
        <v>272</v>
      </c>
      <c r="C40" s="14"/>
      <c r="D40" s="14"/>
      <c r="E40" s="14"/>
      <c r="F40" s="14"/>
      <c r="G40" s="14"/>
    </row>
    <row r="41" customFormat="false" ht="13.5" hidden="false" customHeight="true" outlineLevel="0" collapsed="false">
      <c r="B41" s="46" t="s">
        <v>353</v>
      </c>
      <c r="C41" s="46"/>
      <c r="D41" s="46"/>
      <c r="E41" s="46"/>
    </row>
    <row r="42" customFormat="false" ht="27.75" hidden="false" customHeight="true" outlineLevel="0" collapsed="false">
      <c r="B42" s="46" t="s">
        <v>354</v>
      </c>
      <c r="C42" s="46"/>
      <c r="D42" s="46"/>
      <c r="E42" s="46"/>
    </row>
    <row r="43" customFormat="false" ht="27.75" hidden="false" customHeight="true" outlineLevel="0" collapsed="false">
      <c r="B43" s="46" t="s">
        <v>355</v>
      </c>
      <c r="C43" s="46"/>
      <c r="D43" s="46"/>
      <c r="E43" s="46"/>
    </row>
    <row r="44" customFormat="false" ht="13.5" hidden="false" customHeight="true" outlineLevel="0" collapsed="false">
      <c r="B44" s="47" t="s">
        <v>276</v>
      </c>
      <c r="C44" s="47"/>
      <c r="D44" s="47"/>
      <c r="E44" s="47"/>
    </row>
    <row r="45" customFormat="false" ht="27.75" hidden="false" customHeight="true" outlineLevel="0" collapsed="false">
      <c r="B45" s="46" t="s">
        <v>356</v>
      </c>
      <c r="C45" s="46"/>
      <c r="D45" s="46"/>
      <c r="E45" s="46"/>
    </row>
    <row r="46" customFormat="false" ht="13.5" hidden="false" customHeight="true" outlineLevel="0" collapsed="false">
      <c r="B46" s="46" t="s">
        <v>357</v>
      </c>
      <c r="C46" s="46"/>
      <c r="D46" s="46"/>
      <c r="E46" s="46"/>
    </row>
    <row r="47" customFormat="false" ht="27.75" hidden="false" customHeight="true" outlineLevel="0" collapsed="false">
      <c r="B47" s="46" t="s">
        <v>358</v>
      </c>
      <c r="C47" s="46"/>
      <c r="D47" s="46"/>
      <c r="E47" s="46"/>
    </row>
    <row r="48" customFormat="false" ht="13.5" hidden="false" customHeight="true" outlineLevel="0" collapsed="false">
      <c r="B48" s="46" t="s">
        <v>280</v>
      </c>
      <c r="C48" s="46"/>
      <c r="D48" s="46"/>
      <c r="E48" s="46"/>
    </row>
    <row r="50" customFormat="false" ht="15" hidden="false" customHeight="true" outlineLevel="0" collapsed="false">
      <c r="B50" s="13" t="s">
        <v>281</v>
      </c>
      <c r="C50" s="14"/>
      <c r="D50" s="14"/>
      <c r="E50" s="14"/>
      <c r="F50" s="14"/>
      <c r="G50" s="14"/>
    </row>
    <row r="51" customFormat="false" ht="15" hidden="false" customHeight="true" outlineLevel="0" collapsed="false">
      <c r="B51" s="25" t="s">
        <v>282</v>
      </c>
      <c r="C51" s="48" t="str">
        <f aca="false">"Buy a home (deposit goal)"</f>
        <v>Buy a home (deposit goal)</v>
      </c>
      <c r="E51" s="49" t="s">
        <v>283</v>
      </c>
    </row>
    <row r="52" customFormat="false" ht="15" hidden="false" customHeight="true" outlineLevel="0" collapsed="false">
      <c r="B52" s="25" t="s">
        <v>359</v>
      </c>
      <c r="C52" s="50" t="str">
        <f aca="false">IF(Need_4&lt;&gt;"",Need_4,ROUND(Used_Loan_Amount*(1-LTV_Max)/LTV_Max,0))</f>
        <v>Choose your mortgage amount to see this</v>
      </c>
      <c r="E52" s="49" t="s">
        <v>360</v>
      </c>
    </row>
    <row r="53" customFormat="false" ht="15" hidden="false" customHeight="true" outlineLevel="0" collapsed="false">
      <c r="B53" s="25" t="s">
        <v>288</v>
      </c>
      <c r="C53" s="51" t="str">
        <f aca="false">IF(Need_5&lt;&gt;"",Need_5,Home_Goal_Years)</f>
        <v>Choose your years until you buy to see this</v>
      </c>
      <c r="E53" s="49" t="s">
        <v>289</v>
      </c>
    </row>
    <row r="54" customFormat="false" ht="13.5" hidden="false" customHeight="true" outlineLevel="0" collapsed="false">
      <c r="B54" s="53" t="s">
        <v>361</v>
      </c>
      <c r="C54" s="53"/>
      <c r="D54" s="53"/>
      <c r="E54" s="53"/>
    </row>
    <row r="56" customFormat="false" ht="15" hidden="false" customHeight="true" outlineLevel="0" collapsed="false">
      <c r="B56" s="13" t="s">
        <v>290</v>
      </c>
      <c r="C56" s="14"/>
      <c r="D56" s="14"/>
      <c r="E56" s="14"/>
      <c r="F56" s="14"/>
      <c r="G56" s="14"/>
    </row>
    <row r="57" customFormat="false" ht="15" hidden="false" customHeight="true" outlineLevel="0" collapsed="false">
      <c r="B57" s="52" t="s">
        <v>362</v>
      </c>
      <c r="C57" s="52" t="str">
        <f aca="false">IF(NOT(ISNUMBER(Used_Loan_Amount)),IF(Used_Loan_Amount="",IF(Loan_Amount="","Choose your mortgage amount to see this",""),Used_Loan_Amount),IF(NOT(ISNUMBER(Used_Interest_Rate)),IF(Used_Interest_Rate="",IF(Interest_Rate="","Choose your interest rate to see this",""),Used_Interest_Rate),IF(NOT(ISNUMBER(Used_Term_Years)),IF(Used_Term_Years="",IF(Term_Years="","Choose your mortgage term to see this",""),Used_Term_Years),IF(NOT(ISNUMBER(Used_Actual_Repayment)),IF(Used_Actual_Repayment="","Choose your actual monthly repayment to see this",Used_Actual_Repayment),""))))</f>
        <v>Choose your mortgage amount to see this</v>
      </c>
    </row>
    <row r="58" customFormat="false" ht="15" hidden="false" customHeight="true" outlineLevel="0" collapsed="false">
      <c r="B58" s="52" t="s">
        <v>363</v>
      </c>
      <c r="C58" s="52" t="str">
        <f aca="false">IF(NOT(ISNUMBER(Used_Interest_Rate)),IF(Used_Interest_Rate="",IF(Interest_Rate="","Choose your interest rate to see this",""),Used_Interest_Rate),"")</f>
        <v>Choose your interest rate to see this</v>
      </c>
    </row>
    <row r="59" customFormat="false" ht="15" hidden="false" customHeight="true" outlineLevel="0" collapsed="false">
      <c r="B59" s="52" t="s">
        <v>364</v>
      </c>
      <c r="C59" s="52" t="str">
        <f aca="false">IF(NOT(ISNUMBER(Used_Loan_Amount)),IF(Used_Loan_Amount="",IF(Loan_Amount="","Choose your mortgage amount to see this",""),Used_Loan_Amount),IF(NOT(ISNUMBER(Used_Interest_Rate)),IF(Used_Interest_Rate="",IF(Interest_Rate="","Choose your interest rate to see this",""),Used_Interest_Rate),IF(NOT(ISNUMBER(Used_Term_Years)),IF(Used_Term_Years="",IF(Term_Years="","Choose your mortgage term to see this",""),Used_Term_Years),"")))</f>
        <v>Choose your mortgage amount to see this</v>
      </c>
    </row>
    <row r="60" customFormat="false" ht="15" hidden="false" customHeight="true" outlineLevel="0" collapsed="false">
      <c r="B60" s="52" t="s">
        <v>365</v>
      </c>
      <c r="C60" s="52" t="str">
        <f aca="false">IF(NOT(ISNUMBER(Used_Loan_Amount)),IF(Used_Loan_Amount="",IF(Loan_Amount="","Choose your mortgage amount to see this",""),Used_Loan_Amount),"")</f>
        <v>Choose your mortgage amount to see this</v>
      </c>
    </row>
    <row r="61" customFormat="false" ht="15" hidden="false" customHeight="true" outlineLevel="0" collapsed="false">
      <c r="B61" s="52" t="s">
        <v>297</v>
      </c>
      <c r="C61" s="52" t="str">
        <f aca="false">IF(Home_Goal_Years="","Choose your years until you buy to see this","")</f>
        <v>Choose your years until you buy to see this</v>
      </c>
    </row>
  </sheetData>
  <mergeCells count="10">
    <mergeCell ref="B6:E6"/>
    <mergeCell ref="B41:E41"/>
    <mergeCell ref="B42:E42"/>
    <mergeCell ref="B43:E43"/>
    <mergeCell ref="B44:E44"/>
    <mergeCell ref="B45:E45"/>
    <mergeCell ref="B46:E46"/>
    <mergeCell ref="B47:E47"/>
    <mergeCell ref="B48:E48"/>
    <mergeCell ref="B54:E54"/>
  </mergeCells>
  <dataValidations count="11">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8" type="whole">
      <formula1>1</formula1>
      <formula2>30</formula2>
    </dataValidation>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50,000 to €10,000,000 · steps of €1,000." errorStyle="stop" errorTitle="Outside the allowed range" operator="between" prompt="Your own figure. In the app it is pre-filled from Your finances / mortgage statement: balance.  Allowed: €50,000 to €10,000,000 · steps of €1,000." promptTitle="Mortgage amount"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Usually between 3.5% and 4.5% a year for new Irish mortgages (Central Bank retail interest rates: new mortgages averaged 3.49% in June 2026). In the app it is pre-filled from Your finances / mortgage statement: rate. En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showDropDown="false" showErrorMessage="true" showInputMessage="true" sqref="C16" type="whole">
      <formula1>5</formula1>
      <formula2>35</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7" type="decimal">
      <formula1>0</formula1>
      <formula2>100000</formula2>
    </dataValidation>
    <dataValidation allowBlank="true" error="Please enter -2% to 3% · steps of 0.25%." errorStyle="stop" errorTitle="Outside the allowed range" operator="between" prompt="Optional: leave blank for none.  Allowed: -2% to 3% · steps of 0.25%." promptTitle="What if: rates change by" showDropDown="false" showErrorMessage="true" showInputMessage="true" sqref="C19"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366</v>
      </c>
      <c r="E1" s="3" t="s">
        <v>367</v>
      </c>
    </row>
    <row r="2" customFormat="false" ht="15" hidden="false" customHeight="true" outlineLevel="0" collapsed="false">
      <c r="B2" s="21" t="s">
        <v>368</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369</v>
      </c>
    </row>
    <row r="5" customFormat="false" ht="15" hidden="false" customHeight="true" outlineLevel="0" collapsed="false">
      <c r="B5" s="13" t="s">
        <v>212</v>
      </c>
      <c r="C5" s="24" t="s">
        <v>213</v>
      </c>
      <c r="D5" s="24" t="s">
        <v>214</v>
      </c>
      <c r="E5" s="24" t="s">
        <v>215</v>
      </c>
      <c r="F5" s="14"/>
      <c r="G5" s="14"/>
    </row>
    <row r="6" customFormat="false" ht="15" hidden="false" customHeight="true" outlineLevel="0" collapsed="false">
      <c r="B6" s="25" t="s">
        <v>370</v>
      </c>
      <c r="C6" s="26"/>
      <c r="D6" s="27" t="s">
        <v>217</v>
      </c>
      <c r="E6" s="28" t="s">
        <v>371</v>
      </c>
      <c r="F6" s="29" t="n">
        <v>350000</v>
      </c>
      <c r="G6" s="30" t="str">
        <f aca="false">IF(ISBLANK(C6),IF(Fill_Example="Yes",F6,""),C6)</f>
        <v/>
      </c>
    </row>
    <row r="7" customFormat="false" ht="21.75" hidden="false" customHeight="true" outlineLevel="0" collapsed="false">
      <c r="B7" s="25" t="s">
        <v>372</v>
      </c>
      <c r="C7" s="34"/>
      <c r="D7" s="27" t="s">
        <v>228</v>
      </c>
      <c r="E7" s="28" t="s">
        <v>373</v>
      </c>
      <c r="F7" s="36" t="n">
        <v>0.1</v>
      </c>
      <c r="G7" s="37" t="str">
        <f aca="false">IF(ISBLANK(C7),IF(Fill_Example="Yes",F7,""),C7)</f>
        <v/>
      </c>
    </row>
    <row r="8" customFormat="false" ht="21.75" hidden="false" customHeight="true" outlineLevel="0" collapsed="false">
      <c r="B8" s="25" t="s">
        <v>233</v>
      </c>
      <c r="C8" s="26"/>
      <c r="D8" s="27" t="s">
        <v>217</v>
      </c>
      <c r="E8" s="35" t="s">
        <v>234</v>
      </c>
      <c r="F8" s="29" t="n">
        <v>3000</v>
      </c>
      <c r="G8" s="30" t="str">
        <f aca="false">IF(ISBLANK(C8),IF(Fill_Example="Yes",F8,""),C8)</f>
        <v/>
      </c>
    </row>
    <row r="9" customFormat="false" ht="21.75" hidden="false" customHeight="true" outlineLevel="0" collapsed="false">
      <c r="B9" s="25" t="s">
        <v>374</v>
      </c>
      <c r="C9" s="26"/>
      <c r="D9" s="27" t="s">
        <v>217</v>
      </c>
      <c r="E9" s="28" t="s">
        <v>375</v>
      </c>
      <c r="F9" s="29" t="n">
        <v>12000</v>
      </c>
      <c r="G9" s="30" t="str">
        <f aca="false">IF(ISBLANK(C9),IF(Fill_Example="Yes",F9,""),C9)</f>
        <v/>
      </c>
    </row>
    <row r="10" customFormat="false" ht="15" hidden="false" customHeight="true" outlineLevel="0" collapsed="false">
      <c r="B10" s="25" t="s">
        <v>376</v>
      </c>
      <c r="C10" s="26"/>
      <c r="D10" s="27" t="s">
        <v>217</v>
      </c>
      <c r="E10" s="28" t="s">
        <v>377</v>
      </c>
      <c r="F10" s="29" t="n">
        <v>800</v>
      </c>
      <c r="G10" s="30" t="str">
        <f aca="false">IF(ISBLANK(C10),IF(Fill_Example="Yes",F10,""),C10)</f>
        <v/>
      </c>
    </row>
    <row r="11" customFormat="false" ht="15" hidden="false" customHeight="true" outlineLevel="0" collapsed="false">
      <c r="B11" s="25" t="s">
        <v>378</v>
      </c>
      <c r="C11" s="26"/>
      <c r="D11" s="27" t="s">
        <v>217</v>
      </c>
      <c r="E11" s="28" t="s">
        <v>379</v>
      </c>
      <c r="F11" s="29" t="n">
        <v>0</v>
      </c>
      <c r="G11" s="30" t="n">
        <f aca="false">IF(ISBLANK(C11),F11,C11)</f>
        <v>0</v>
      </c>
    </row>
    <row r="13" customFormat="false" ht="15" hidden="false" customHeight="true" outlineLevel="0" collapsed="false">
      <c r="B13" s="13" t="s">
        <v>239</v>
      </c>
      <c r="C13" s="24" t="s">
        <v>240</v>
      </c>
      <c r="D13" s="24" t="s">
        <v>241</v>
      </c>
      <c r="E13" s="24" t="s">
        <v>242</v>
      </c>
      <c r="F13" s="14"/>
      <c r="G13" s="14"/>
    </row>
    <row r="14" customFormat="false" ht="23.25" hidden="false" customHeight="true" outlineLevel="0" collapsed="false">
      <c r="B14" s="21" t="s">
        <v>380</v>
      </c>
      <c r="C14" s="62" t="str">
        <f aca="false">IF(Need_1&lt;&gt;"",Need_1,IF(Still_To_Save=0,0,ROUNDUP(Still_To_Save/(Monthly_Saving+Extra_Saving),0)))</f>
        <v>Choose your home price to see this</v>
      </c>
      <c r="D14" s="63" t="str">
        <f aca="false">IF(Need_1&lt;&gt;"",Need_1,IF(Months_To_Deposit=0,"You have your deposit",IF(INT(Months_To_Deposit/12)=0,MOD(Months_To_Deposit,12)&amp;IF(MOD(Months_To_Deposit,12)=1," month"," months"),INT(Months_To_Deposit/12)&amp;IF(INT(Months_To_Deposit/12)=1," year"," years")&amp;IF(MOD(Months_To_Deposit,12)=0,""," "&amp;MOD(Months_To_Deposit,12)&amp;IF(MOD(Months_To_Deposit,12)=1," month"," months")))))</f>
        <v>Choose your home price to see this</v>
      </c>
      <c r="E14" s="42" t="s">
        <v>381</v>
      </c>
    </row>
    <row r="15" customFormat="false" ht="17.25" hidden="false" customHeight="true" outlineLevel="0" collapsed="false">
      <c r="B15" s="21" t="s">
        <v>382</v>
      </c>
      <c r="C15" s="41" t="str">
        <f aca="false">IF(Need_2&lt;&gt;"",Need_2,Deposit_Needed+Stamp_Duty+Buying_Fees)</f>
        <v>Choose your home price to see this</v>
      </c>
      <c r="D15" s="27" t="s">
        <v>217</v>
      </c>
      <c r="E15" s="42" t="s">
        <v>383</v>
      </c>
    </row>
    <row r="16" customFormat="false" ht="17.25" hidden="false" customHeight="true" outlineLevel="0" collapsed="false">
      <c r="B16" s="21" t="s">
        <v>384</v>
      </c>
      <c r="C16" s="41" t="str">
        <f aca="false">IF(Need_3&lt;&gt;"",Need_3,MAX(0,Total_Needed-Saved))</f>
        <v>Choose your home price to see this</v>
      </c>
      <c r="D16" s="27" t="s">
        <v>217</v>
      </c>
      <c r="E16" s="42" t="s">
        <v>385</v>
      </c>
    </row>
    <row r="17" customFormat="false" ht="15" hidden="false" customHeight="true" outlineLevel="0" collapsed="false">
      <c r="B17" s="25" t="s">
        <v>386</v>
      </c>
      <c r="C17" s="43" t="str">
        <f aca="false">IF(Need_4&lt;&gt;"",Need_4,Home_Price*Deposit_Pct)</f>
        <v>Choose your home price to see this</v>
      </c>
      <c r="D17" s="27" t="s">
        <v>217</v>
      </c>
      <c r="E17" s="42" t="s">
        <v>387</v>
      </c>
    </row>
    <row r="18" customFormat="false" ht="21.75" hidden="false" customHeight="true" outlineLevel="0" collapsed="false">
      <c r="B18" s="25" t="s">
        <v>388</v>
      </c>
      <c r="C18" s="43" t="str">
        <f aca="false">IF(Need_5&lt;&gt;"",Need_5,SD_Rate_1*MIN(Home_Price,SD_Band_1)+SD_Rate_2*MAX(0,MIN(Home_Price,SD_Band_2)-SD_Band_1)+SD_Rate_3*MAX(0,Home_Price-SD_Band_2))</f>
        <v>Choose your home price to see this</v>
      </c>
      <c r="D18" s="27" t="s">
        <v>217</v>
      </c>
      <c r="E18" s="42" t="s">
        <v>250</v>
      </c>
    </row>
    <row r="20" customFormat="false" ht="15" hidden="false" customHeight="true" outlineLevel="0" collapsed="false">
      <c r="B20" s="13" t="s">
        <v>272</v>
      </c>
      <c r="C20" s="14"/>
      <c r="D20" s="14"/>
      <c r="E20" s="14"/>
      <c r="F20" s="14"/>
      <c r="G20" s="14"/>
    </row>
    <row r="21" customFormat="false" ht="13.5" hidden="false" customHeight="true" outlineLevel="0" collapsed="false">
      <c r="B21" s="46" t="s">
        <v>389</v>
      </c>
      <c r="C21" s="46"/>
      <c r="D21" s="46"/>
      <c r="E21" s="46"/>
    </row>
    <row r="22" customFormat="false" ht="13.5" hidden="false" customHeight="true" outlineLevel="0" collapsed="false">
      <c r="B22" s="46" t="s">
        <v>390</v>
      </c>
      <c r="C22" s="46"/>
      <c r="D22" s="46"/>
      <c r="E22" s="46"/>
    </row>
    <row r="23" customFormat="false" ht="13.5" hidden="false" customHeight="true" outlineLevel="0" collapsed="false">
      <c r="B23" s="47" t="s">
        <v>276</v>
      </c>
      <c r="C23" s="47"/>
      <c r="D23" s="47"/>
      <c r="E23" s="47"/>
    </row>
    <row r="24" customFormat="false" ht="13.5" hidden="false" customHeight="true" outlineLevel="0" collapsed="false">
      <c r="B24" s="46" t="s">
        <v>391</v>
      </c>
      <c r="C24" s="46"/>
      <c r="D24" s="46"/>
      <c r="E24" s="46"/>
    </row>
    <row r="25" customFormat="false" ht="13.5" hidden="false" customHeight="true" outlineLevel="0" collapsed="false">
      <c r="B25" s="46" t="s">
        <v>392</v>
      </c>
      <c r="C25" s="46"/>
      <c r="D25" s="46"/>
      <c r="E25" s="46"/>
    </row>
    <row r="26" customFormat="false" ht="13.5" hidden="false" customHeight="true" outlineLevel="0" collapsed="false">
      <c r="B26" s="46" t="s">
        <v>393</v>
      </c>
      <c r="C26" s="46"/>
      <c r="D26" s="46"/>
      <c r="E26" s="46"/>
    </row>
    <row r="28" customFormat="false" ht="15" hidden="false" customHeight="true" outlineLevel="0" collapsed="false">
      <c r="B28" s="13" t="s">
        <v>281</v>
      </c>
      <c r="C28" s="14"/>
      <c r="D28" s="14"/>
      <c r="E28" s="14"/>
      <c r="F28" s="14"/>
      <c r="G28" s="14"/>
    </row>
    <row r="29" customFormat="false" ht="15" hidden="false" customHeight="true" outlineLevel="0" collapsed="false">
      <c r="B29" s="25" t="s">
        <v>282</v>
      </c>
      <c r="C29" s="48" t="str">
        <f aca="false">"Home deposit"</f>
        <v>Home deposit</v>
      </c>
      <c r="E29" s="49" t="s">
        <v>394</v>
      </c>
    </row>
    <row r="30" customFormat="false" ht="15" hidden="false" customHeight="true" outlineLevel="0" collapsed="false">
      <c r="B30" s="25" t="s">
        <v>395</v>
      </c>
      <c r="C30" s="50" t="str">
        <f aca="false">IF(Need_2&lt;&gt;"",Need_2,ROUND(Total_Needed,0))</f>
        <v>Choose your home price to see this</v>
      </c>
      <c r="E30" s="49" t="s">
        <v>396</v>
      </c>
    </row>
    <row r="31" customFormat="false" ht="15" hidden="false" customHeight="true" outlineLevel="0" collapsed="false">
      <c r="B31" s="25" t="s">
        <v>286</v>
      </c>
      <c r="C31" s="50" t="str">
        <f aca="false">IF(Need_6&lt;&gt;"",Need_6,Saved)</f>
        <v>Choose your saved so far to see this</v>
      </c>
      <c r="E31" s="49" t="s">
        <v>397</v>
      </c>
    </row>
    <row r="32" customFormat="false" ht="15" hidden="false" customHeight="true" outlineLevel="0" collapsed="false">
      <c r="B32" s="25" t="s">
        <v>288</v>
      </c>
      <c r="C32" s="51" t="str">
        <f aca="false">IF(Need_1&lt;&gt;"",Need_1,MAX(1,ROUNDUP(Months_To_Deposit/12,0)))</f>
        <v>Choose your home price to see this</v>
      </c>
      <c r="E32" s="49" t="s">
        <v>398</v>
      </c>
    </row>
    <row r="34" customFormat="false" ht="15" hidden="false" customHeight="true" outlineLevel="0" collapsed="false">
      <c r="B34" s="13" t="s">
        <v>290</v>
      </c>
      <c r="C34" s="14"/>
      <c r="D34" s="14"/>
      <c r="E34" s="14"/>
      <c r="F34" s="14"/>
      <c r="G34" s="14"/>
    </row>
    <row r="35" customFormat="false" ht="15" hidden="false" customHeight="true" outlineLevel="0" collapsed="false">
      <c r="B35" s="52" t="s">
        <v>399</v>
      </c>
      <c r="C35" s="52" t="str">
        <f aca="false">IF(Home_Price="","Choose your home price to see this",IF(Deposit_Pct="","Choose your deposit % to see this",IF(Buying_Fees="","Choose your buying fees to see this",IF(Saved="","Choose your saved so far to see this",IF(Monthly_Saving="","Choose your monthly saving to see this","")))))</f>
        <v>Choose your home price to see this</v>
      </c>
    </row>
    <row r="36" customFormat="false" ht="15" hidden="false" customHeight="true" outlineLevel="0" collapsed="false">
      <c r="B36" s="52" t="s">
        <v>400</v>
      </c>
      <c r="C36" s="52" t="str">
        <f aca="false">IF(Home_Price="","Choose your home price to see this",IF(Deposit_Pct="","Choose your deposit % to see this",IF(Buying_Fees="","Choose your buying fees to see this","")))</f>
        <v>Choose your home price to see this</v>
      </c>
    </row>
    <row r="37" customFormat="false" ht="15" hidden="false" customHeight="true" outlineLevel="0" collapsed="false">
      <c r="B37" s="52" t="s">
        <v>401</v>
      </c>
      <c r="C37" s="52" t="str">
        <f aca="false">IF(Home_Price="","Choose your home price to see this",IF(Deposit_Pct="","Choose your deposit % to see this",IF(Buying_Fees="","Choose your buying fees to see this",IF(Saved="","Choose your saved so far to see this",""))))</f>
        <v>Choose your home price to see this</v>
      </c>
    </row>
    <row r="38" customFormat="false" ht="15" hidden="false" customHeight="true" outlineLevel="0" collapsed="false">
      <c r="B38" s="52" t="s">
        <v>402</v>
      </c>
      <c r="C38" s="52" t="str">
        <f aca="false">IF(Home_Price="","Choose your home price to see this",IF(Deposit_Pct="","Choose your deposit % to see this",""))</f>
        <v>Choose your home price to see this</v>
      </c>
    </row>
    <row r="39" customFormat="false" ht="15" hidden="false" customHeight="true" outlineLevel="0" collapsed="false">
      <c r="B39" s="52" t="s">
        <v>403</v>
      </c>
      <c r="C39" s="52" t="str">
        <f aca="false">IF(Home_Price="","Choose your home price to see this","")</f>
        <v>Choose your home price to see this</v>
      </c>
    </row>
    <row r="40" customFormat="false" ht="15" hidden="false" customHeight="true" outlineLevel="0" collapsed="false">
      <c r="B40" s="52" t="s">
        <v>404</v>
      </c>
      <c r="C40" s="52" t="str">
        <f aca="false">IF(Saved="","Choose your saved so far to see this","")</f>
        <v>Choose your saved so far to see this</v>
      </c>
    </row>
  </sheetData>
  <mergeCells count="6">
    <mergeCell ref="B21:E21"/>
    <mergeCell ref="B22:E22"/>
    <mergeCell ref="B23:E23"/>
    <mergeCell ref="B24:E24"/>
    <mergeCell ref="B25:E25"/>
    <mergeCell ref="B26:E26"/>
  </mergeCells>
  <dataValidations count="6">
    <dataValidation allowBlank="true" error="Please enter €0 to €10,000 · steps of €100." errorStyle="stop" errorTitle="Outside the allowed range" operator="between" prompt="Usually between €2,500 and €3,500 for legal and survey fees (stamp duty is added for you). Enter your own figure.  Allowed: €0 to €10,000 · steps of €100." promptTitle="Legal and other buying fees" showDropDown="false" showErrorMessage="true" showInputMessage="true" sqref="C8"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6" type="decimal">
      <formula1>100000</formula1>
      <formula2>10000000</formula2>
    </dataValidation>
    <dataValidation allowBlank="true" error="Please enter 10% to 30% · steps of 1%." errorStyle="stop" errorTitle="Outside the allowed range" operator="between" prompt="Your own figure.  Allowed: 10% to 30% · steps of 1%." promptTitle="Deposit needed" showDropDown="false" showErrorMessage="true" showInputMessage="true" sqref="C7" type="decimal">
      <formula1>0.1</formula1>
      <formula2>0.3</formula2>
    </dataValidation>
    <dataValidation allowBlank="true" error="Please enter €0 to €2,000,000 · steps of €500." errorStyle="stop" errorTitle="Outside the allowed range" operator="between" prompt="Your own figure. In the app it is pre-filled from Plan: home goal's amount saved.  Allowed: €0 to €2,000,000 · steps of €500." promptTitle="Saved so far" showDropDown="false" showErrorMessage="true" showInputMessage="true" sqref="C9" type="decimal">
      <formula1>0</formula1>
      <formula2>2000000</formula2>
    </dataValidation>
    <dataValidation allowBlank="true" error="Please enter €50 to €50,000 · steps of €50." errorStyle="stop" errorTitle="Outside the allowed range" operator="between" prompt="Your own figure.  Allowed: €50 to €50,000 · steps of €50." promptTitle="Monthly saving" showDropDown="false" showErrorMessage="true" showInputMessage="true" sqref="C10" type="decimal">
      <formula1>50</formula1>
      <formula2>50000</formula2>
    </dataValidation>
    <dataValidation allowBlank="true" error="Please enter €0 to €15,000 · steps of €50." errorStyle="stop" errorTitle="Outside the allowed range" operator="between" prompt="Optional: leave blank for none.  Allowed: €0 to €15,000 · steps of €50." promptTitle="What if: save extra each month" showDropDown="false" showErrorMessage="true" showInputMessage="true" sqref="C11" type="decimal">
      <formula1>0</formula1>
      <formula2>15000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405</v>
      </c>
      <c r="E1" s="3" t="s">
        <v>406</v>
      </c>
    </row>
    <row r="2" customFormat="false" ht="15" hidden="false" customHeight="true" outlineLevel="0" collapsed="false">
      <c r="B2" s="21" t="s">
        <v>407</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408</v>
      </c>
    </row>
    <row r="5" customFormat="false" ht="15" hidden="false" customHeight="true" outlineLevel="0" collapsed="false">
      <c r="B5" s="13" t="s">
        <v>302</v>
      </c>
      <c r="C5" s="14"/>
      <c r="D5" s="14"/>
      <c r="E5" s="14"/>
      <c r="F5" s="14"/>
      <c r="G5" s="14"/>
    </row>
    <row r="6" customFormat="false" ht="27.75" hidden="false" customHeight="true" outlineLevel="0" collapsed="false">
      <c r="B6" s="53" t="s">
        <v>303</v>
      </c>
      <c r="C6" s="53"/>
      <c r="D6" s="53"/>
      <c r="E6" s="53"/>
    </row>
    <row r="7" customFormat="false" ht="15" hidden="false" customHeight="true" outlineLevel="0" collapsed="false">
      <c r="B7" s="25" t="s">
        <v>304</v>
      </c>
      <c r="C7" s="54"/>
      <c r="D7" s="27" t="s">
        <v>217</v>
      </c>
      <c r="E7" s="28" t="s">
        <v>305</v>
      </c>
      <c r="G7" s="52" t="s">
        <v>306</v>
      </c>
    </row>
    <row r="8" customFormat="false" ht="15" hidden="false" customHeight="true" outlineLevel="0" collapsed="false">
      <c r="B8" s="25" t="s">
        <v>307</v>
      </c>
      <c r="C8" s="55"/>
      <c r="D8" s="27" t="s">
        <v>228</v>
      </c>
      <c r="E8" s="28" t="s">
        <v>308</v>
      </c>
      <c r="G8" s="52" t="s">
        <v>306</v>
      </c>
    </row>
    <row r="9" customFormat="false" ht="15" hidden="false" customHeight="true" outlineLevel="0" collapsed="false">
      <c r="B9" s="25" t="s">
        <v>309</v>
      </c>
      <c r="C9" s="56"/>
      <c r="D9" s="27" t="s">
        <v>231</v>
      </c>
      <c r="E9" s="28" t="s">
        <v>310</v>
      </c>
      <c r="G9" s="52" t="s">
        <v>306</v>
      </c>
    </row>
    <row r="10" customFormat="false" ht="15" hidden="false" customHeight="true" outlineLevel="0" collapsed="false">
      <c r="B10" s="25" t="s">
        <v>311</v>
      </c>
      <c r="C10" s="54"/>
      <c r="D10" s="27" t="s">
        <v>217</v>
      </c>
      <c r="E10" s="28" t="s">
        <v>312</v>
      </c>
      <c r="G10" s="52" t="s">
        <v>306</v>
      </c>
    </row>
    <row r="11" customFormat="false" ht="15" hidden="false" customHeight="true" outlineLevel="0" collapsed="false">
      <c r="B11" s="25" t="s">
        <v>313</v>
      </c>
      <c r="C11" s="57"/>
      <c r="D11" s="27" t="s">
        <v>314</v>
      </c>
      <c r="E11" s="28" t="s">
        <v>315</v>
      </c>
      <c r="G11" s="52" t="s">
        <v>306</v>
      </c>
    </row>
    <row r="13" customFormat="false" ht="15" hidden="false" customHeight="true" outlineLevel="0" collapsed="false">
      <c r="B13" s="13" t="s">
        <v>316</v>
      </c>
      <c r="C13" s="24" t="s">
        <v>213</v>
      </c>
      <c r="D13" s="24" t="s">
        <v>214</v>
      </c>
      <c r="E13" s="24" t="s">
        <v>215</v>
      </c>
      <c r="F13" s="14"/>
      <c r="G13" s="14"/>
    </row>
    <row r="14" customFormat="false" ht="21.75" hidden="false" customHeight="true" outlineLevel="0" collapsed="false">
      <c r="B14" s="25" t="s">
        <v>409</v>
      </c>
      <c r="C14" s="26"/>
      <c r="D14" s="27" t="s">
        <v>217</v>
      </c>
      <c r="E14" s="28" t="s">
        <v>410</v>
      </c>
      <c r="F14" s="29" t="n">
        <v>250000</v>
      </c>
      <c r="G14" s="30" t="str">
        <f aca="false">IF(ISBLANK(C14),IF(Fill_Example="Yes",F14,""),C14)</f>
        <v/>
      </c>
    </row>
    <row r="15" customFormat="false" ht="33" hidden="false" customHeight="true" outlineLevel="0" collapsed="false">
      <c r="B15" s="25" t="s">
        <v>307</v>
      </c>
      <c r="C15" s="34"/>
      <c r="D15" s="27" t="s">
        <v>228</v>
      </c>
      <c r="E15" s="35" t="s">
        <v>411</v>
      </c>
      <c r="F15" s="36" t="n">
        <v>0.0375</v>
      </c>
      <c r="G15" s="37" t="str">
        <f aca="false">IF(ISBLANK(C15),IF(Fill_Example="Yes",F15,""),C15)</f>
        <v/>
      </c>
    </row>
    <row r="16" customFormat="false" ht="21.75" hidden="false" customHeight="true" outlineLevel="0" collapsed="false">
      <c r="B16" s="25" t="s">
        <v>412</v>
      </c>
      <c r="C16" s="38"/>
      <c r="D16" s="27" t="s">
        <v>231</v>
      </c>
      <c r="E16" s="28" t="s">
        <v>413</v>
      </c>
      <c r="F16" s="39" t="n">
        <v>25</v>
      </c>
      <c r="G16" s="40" t="str">
        <f aca="false">IF(ISBLANK(C16),IF(Fill_Example="Yes",F16,""),C16)</f>
        <v/>
      </c>
    </row>
    <row r="17" customFormat="false" ht="15" hidden="false" customHeight="true" outlineLevel="0" collapsed="false">
      <c r="B17" s="25" t="s">
        <v>414</v>
      </c>
      <c r="C17" s="26"/>
      <c r="D17" s="27" t="s">
        <v>217</v>
      </c>
      <c r="E17" s="28" t="s">
        <v>415</v>
      </c>
      <c r="F17" s="29" t="n">
        <v>200</v>
      </c>
      <c r="G17" s="30" t="str">
        <f aca="false">IF(ISBLANK(C17),IF(Fill_Example="Yes",F17,""),C17)</f>
        <v/>
      </c>
    </row>
    <row r="18" customFormat="false" ht="15" hidden="false" customHeight="true" outlineLevel="0" collapsed="false">
      <c r="B18" s="25" t="s">
        <v>322</v>
      </c>
      <c r="C18" s="26"/>
      <c r="D18" s="27" t="s">
        <v>217</v>
      </c>
      <c r="E18" s="28" t="s">
        <v>323</v>
      </c>
      <c r="F18" s="29" t="n">
        <v>0</v>
      </c>
      <c r="G18" s="30" t="n">
        <f aca="false">IF(ISBLANK(C18),F18,C18)</f>
        <v>0</v>
      </c>
    </row>
    <row r="20" customFormat="false" ht="15" hidden="false" customHeight="true" outlineLevel="0" collapsed="false">
      <c r="B20" s="13" t="s">
        <v>326</v>
      </c>
      <c r="C20" s="14"/>
      <c r="D20" s="14"/>
      <c r="E20" s="14"/>
      <c r="F20" s="14"/>
      <c r="G20" s="14"/>
    </row>
    <row r="21" customFormat="false" ht="15" hidden="false" customHeight="true" outlineLevel="0" collapsed="false">
      <c r="B21" s="25" t="s">
        <v>409</v>
      </c>
      <c r="C21" s="58" t="str">
        <f aca="false">IF(ISBLANK(Stmt_Balance),Mortgage_Balance,Stmt_Balance)</f>
        <v/>
      </c>
      <c r="D21" s="59" t="str">
        <f aca="false">IF(ISBLANK(Stmt_Balance),"Your figure","From your statement")</f>
        <v>Your figure</v>
      </c>
      <c r="E21" s="49" t="s">
        <v>416</v>
      </c>
    </row>
    <row r="22" customFormat="false" ht="15" hidden="false" customHeight="true" outlineLevel="0" collapsed="false">
      <c r="B22" s="25" t="s">
        <v>307</v>
      </c>
      <c r="C22" s="60" t="str">
        <f aca="false">IF(ISBLANK(Stmt_Rate),Interest_Rate,Stmt_Rate)</f>
        <v/>
      </c>
      <c r="D22" s="59" t="str">
        <f aca="false">IF(ISBLANK(Stmt_Rate),"Your figure","From your statement")</f>
        <v>Your figure</v>
      </c>
      <c r="E22" s="49" t="s">
        <v>328</v>
      </c>
    </row>
    <row r="23" customFormat="false" ht="15" hidden="false" customHeight="true" outlineLevel="0" collapsed="false">
      <c r="B23" s="25" t="s">
        <v>412</v>
      </c>
      <c r="C23" s="61" t="str">
        <f aca="false">IF(ISBLANK(Stmt_Term),Years_Left,Stmt_Term)</f>
        <v/>
      </c>
      <c r="D23" s="59" t="str">
        <f aca="false">IF(ISBLANK(Stmt_Term),"Your figure","From your statement")</f>
        <v>Your figure</v>
      </c>
      <c r="E23" s="49" t="s">
        <v>417</v>
      </c>
    </row>
    <row r="24" customFormat="false" ht="15" hidden="false" customHeight="true" outlineLevel="0" collapsed="false">
      <c r="B24" s="25" t="s">
        <v>330</v>
      </c>
      <c r="C24" s="58" t="n">
        <f aca="false">IF(ISBLANK(Stmt_Repayment),Actual_Repayment,Stmt_Repayment)</f>
        <v>0</v>
      </c>
      <c r="D24" s="59" t="str">
        <f aca="false">IF(ISBLANK(Stmt_Repayment),"Your figure","From your statement")</f>
        <v>Your figure</v>
      </c>
      <c r="E24" s="49" t="s">
        <v>331</v>
      </c>
    </row>
    <row r="25" customFormat="false" ht="21.75" hidden="false" customHeight="true" outlineLevel="0" collapsed="false">
      <c r="B25" s="25" t="s">
        <v>332</v>
      </c>
      <c r="C25" s="45" t="str">
        <f aca="true">IF(ISBLANK(Stmt_Statement_Date),"",IF(TODAY()-Stmt_Statement_Date&gt;Statement_Max_Age_Days,"Needs a look: statement is more than 12 months old","Up to date"))</f>
        <v/>
      </c>
      <c r="D25" s="27"/>
      <c r="E25" s="42" t="s">
        <v>333</v>
      </c>
    </row>
    <row r="27" customFormat="false" ht="15" hidden="false" customHeight="true" outlineLevel="0" collapsed="false">
      <c r="B27" s="13" t="s">
        <v>239</v>
      </c>
      <c r="C27" s="24" t="s">
        <v>240</v>
      </c>
      <c r="D27" s="24" t="s">
        <v>241</v>
      </c>
      <c r="E27" s="24" t="s">
        <v>242</v>
      </c>
      <c r="F27" s="14"/>
      <c r="G27" s="14"/>
    </row>
    <row r="28" customFormat="false" ht="23.25" hidden="false" customHeight="true" outlineLevel="0" collapsed="false">
      <c r="B28" s="21" t="s">
        <v>418</v>
      </c>
      <c r="C28" s="62" t="str">
        <f aca="false">IF(Need_1&lt;&gt;"",Need_1,IF(OR(Months_Now="Never",Months_With_Extra="Never"),"—",Months_Now-Months_With_Extra))</f>
        <v>Choose your extra each month to see this</v>
      </c>
      <c r="D28" s="63" t="str">
        <f aca="false">IF(Need_1&lt;&gt;"",Need_1,IF(Months_Sooner="—","—",IF(Months_Sooner=0,"No change",IF(INT(Months_Sooner/12)=0,MOD(Months_Sooner,12)&amp;IF(MOD(Months_Sooner,12)=1," month"," months"),INT(Months_Sooner/12)&amp;IF(INT(Months_Sooner/12)=1," year"," years")&amp;IF(MOD(Months_Sooner,12)=0,""," "&amp;MOD(Months_Sooner,12)&amp;IF(MOD(Months_Sooner,12)=1," month"," months"))))))</f>
        <v>Choose your extra each month to see this</v>
      </c>
      <c r="E28" s="42" t="s">
        <v>419</v>
      </c>
    </row>
    <row r="29" customFormat="false" ht="17.25" hidden="false" customHeight="true" outlineLevel="0" collapsed="false">
      <c r="B29" s="21" t="s">
        <v>420</v>
      </c>
      <c r="C29" s="41" t="str">
        <f aca="false">IF(Need_1&lt;&gt;"",Need_1,IF(OR(Months_Now="Never",Months_With_Extra="Never"),"—",Interest_Now-Interest_With_Extra))</f>
        <v>Choose your extra each month to see this</v>
      </c>
      <c r="D29" s="27" t="s">
        <v>217</v>
      </c>
      <c r="E29" s="42" t="s">
        <v>421</v>
      </c>
    </row>
    <row r="30" customFormat="false" ht="23.25" hidden="false" customHeight="true" outlineLevel="0" collapsed="false">
      <c r="B30" s="25" t="s">
        <v>422</v>
      </c>
      <c r="C30" s="66" t="str">
        <f aca="false">IF(Need_2&lt;&gt;"",Need_2,IF(Repayment_Now&lt;=Used_Mortgage_Balance*Monthly_Rate,"Never",ROUNDUP(ROUND(NPER(Monthly_Rate,-Repayment_Now,Used_Mortgage_Balance),6),0)))</f>
        <v>Choose your mortgage balance to see this</v>
      </c>
      <c r="D30" s="67" t="str">
        <f aca="false">IF(Need_2&lt;&gt;"",Need_2,IF(Months_Now="Never","Not at this repayment",IF(Months_Now&gt;Cap_Months,"Over 100 years",IF(INT(Months_Now/12)=0,MOD(Months_Now,12)&amp;IF(MOD(Months_Now,12)=1," month"," months"),INT(Months_Now/12)&amp;IF(INT(Months_Now/12)=1," year"," years")&amp;IF(MOD(Months_Now,12)=0,""," "&amp;MOD(Months_Now,12)&amp;IF(MOD(Months_Now,12)=1," month"," months"))))))</f>
        <v>Choose your mortgage balance to see this</v>
      </c>
      <c r="E30" s="42" t="s">
        <v>423</v>
      </c>
    </row>
    <row r="31" customFormat="false" ht="23.25" hidden="false" customHeight="true" outlineLevel="0" collapsed="false">
      <c r="B31" s="25" t="s">
        <v>424</v>
      </c>
      <c r="C31" s="66" t="str">
        <f aca="false">IF(Need_1&lt;&gt;"",Need_1,IF(Repayment_With_Extra&lt;=Used_Mortgage_Balance*Monthly_Rate,"Never",ROUNDUP(ROUND(NPER(Monthly_Rate,-Repayment_With_Extra,Used_Mortgage_Balance),6),0)))</f>
        <v>Choose your extra each month to see this</v>
      </c>
      <c r="D31" s="67" t="str">
        <f aca="false">IF(Need_1&lt;&gt;"",Need_1,IF(Months_With_Extra="Never","—",IF(Months_With_Extra&gt;Cap_Months,"Over 100 years",IF(INT(Months_With_Extra/12)=0,MOD(Months_With_Extra,12)&amp;IF(MOD(Months_With_Extra,12)=1," month"," months"),INT(Months_With_Extra/12)&amp;IF(INT(Months_With_Extra/12)=1," year"," years")&amp;IF(MOD(Months_With_Extra,12)=0,""," "&amp;MOD(Months_With_Extra,12)&amp;IF(MOD(Months_With_Extra,12)=1," month"," months"))))))</f>
        <v>Choose your extra each month to see this</v>
      </c>
      <c r="E31" s="42" t="s">
        <v>425</v>
      </c>
    </row>
    <row r="32" customFormat="false" ht="15" hidden="false" customHeight="true" outlineLevel="0" collapsed="false">
      <c r="B32" s="25" t="s">
        <v>341</v>
      </c>
      <c r="C32" s="64" t="str">
        <f aca="false">IF(Need_3&lt;&gt;"",Need_3,Used_Interest_Rate/12)</f>
        <v>Choose your interest rate to see this</v>
      </c>
      <c r="D32" s="27"/>
      <c r="E32" s="42" t="s">
        <v>342</v>
      </c>
    </row>
    <row r="33" customFormat="false" ht="15" hidden="false" customHeight="true" outlineLevel="0" collapsed="false">
      <c r="B33" s="25" t="s">
        <v>426</v>
      </c>
      <c r="C33" s="43" t="str">
        <f aca="false">IF(Need_2&lt;&gt;"",Need_2,IF(Used_Actual_Repayment&gt;0,Used_Actual_Repayment,PMT(Monthly_Rate,Used_Years_Left*12,-Used_Mortgage_Balance)))</f>
        <v>Choose your mortgage balance to see this</v>
      </c>
      <c r="D33" s="27" t="s">
        <v>217</v>
      </c>
      <c r="E33" s="42" t="s">
        <v>427</v>
      </c>
    </row>
    <row r="34" customFormat="false" ht="15" hidden="false" customHeight="true" outlineLevel="0" collapsed="false">
      <c r="B34" s="25" t="s">
        <v>428</v>
      </c>
      <c r="C34" s="43" t="str">
        <f aca="false">IF(Need_1&lt;&gt;"",Need_1,Repayment_Now+Extra_Payment)</f>
        <v>Choose your extra each month to see this</v>
      </c>
      <c r="D34" s="27" t="s">
        <v>217</v>
      </c>
      <c r="E34" s="42" t="s">
        <v>429</v>
      </c>
    </row>
    <row r="35" customFormat="false" ht="21.75" hidden="false" customHeight="true" outlineLevel="0" collapsed="false">
      <c r="B35" s="25" t="s">
        <v>430</v>
      </c>
      <c r="C35" s="43" t="str">
        <f aca="false">IF(Need_2&lt;&gt;"",Need_2,IF(Months_Now="Never","—",-FV(Monthly_Rate,Months_Now-1,-Repayment_Now,Used_Mortgage_Balance)*(1+Monthly_Rate)))</f>
        <v>Choose your mortgage balance to see this</v>
      </c>
      <c r="D35" s="27" t="s">
        <v>217</v>
      </c>
      <c r="E35" s="42" t="s">
        <v>431</v>
      </c>
    </row>
    <row r="36" customFormat="false" ht="21.75" hidden="false" customHeight="true" outlineLevel="0" collapsed="false">
      <c r="B36" s="25" t="s">
        <v>432</v>
      </c>
      <c r="C36" s="43" t="str">
        <f aca="false">IF(Need_1&lt;&gt;"",Need_1,IF(Months_With_Extra="Never","—",-FV(Monthly_Rate,Months_With_Extra-1,-Repayment_With_Extra,Used_Mortgage_Balance)*(1+Monthly_Rate)))</f>
        <v>Choose your extra each month to see this</v>
      </c>
      <c r="D36" s="27" t="s">
        <v>217</v>
      </c>
      <c r="E36" s="42" t="s">
        <v>433</v>
      </c>
    </row>
    <row r="37" customFormat="false" ht="15" hidden="false" customHeight="true" outlineLevel="0" collapsed="false">
      <c r="B37" s="25" t="s">
        <v>434</v>
      </c>
      <c r="C37" s="43" t="str">
        <f aca="false">IF(Need_2&lt;&gt;"",Need_2,IF(Months_Now="Never","—",Repayment_Now*(Months_Now-1)+Last_Payment_Now-Used_Mortgage_Balance))</f>
        <v>Choose your mortgage balance to see this</v>
      </c>
      <c r="D37" s="27" t="s">
        <v>217</v>
      </c>
      <c r="E37" s="42" t="s">
        <v>435</v>
      </c>
    </row>
    <row r="38" customFormat="false" ht="21.75" hidden="false" customHeight="true" outlineLevel="0" collapsed="false">
      <c r="B38" s="25" t="s">
        <v>436</v>
      </c>
      <c r="C38" s="43" t="str">
        <f aca="false">IF(Need_1&lt;&gt;"",Need_1,IF(Months_With_Extra="Never","—",Repayment_With_Extra*(Months_With_Extra-1)+Last_Payment_With_Extra-Used_Mortgage_Balance))</f>
        <v>Choose your extra each month to see this</v>
      </c>
      <c r="D38" s="27" t="s">
        <v>217</v>
      </c>
      <c r="E38" s="42" t="s">
        <v>437</v>
      </c>
    </row>
    <row r="40" customFormat="false" ht="15" hidden="false" customHeight="true" outlineLevel="0" collapsed="false">
      <c r="B40" s="13" t="s">
        <v>272</v>
      </c>
      <c r="C40" s="14"/>
      <c r="D40" s="14"/>
      <c r="E40" s="14"/>
      <c r="F40" s="14"/>
      <c r="G40" s="14"/>
    </row>
    <row r="41" customFormat="false" ht="13.5" hidden="false" customHeight="true" outlineLevel="0" collapsed="false">
      <c r="B41" s="46" t="s">
        <v>438</v>
      </c>
      <c r="C41" s="46"/>
      <c r="D41" s="46"/>
      <c r="E41" s="46"/>
    </row>
    <row r="42" customFormat="false" ht="27.75" hidden="false" customHeight="true" outlineLevel="0" collapsed="false">
      <c r="B42" s="46" t="s">
        <v>439</v>
      </c>
      <c r="C42" s="46"/>
      <c r="D42" s="46"/>
      <c r="E42" s="46"/>
    </row>
    <row r="43" customFormat="false" ht="13.5" hidden="false" customHeight="true" outlineLevel="0" collapsed="false">
      <c r="B43" s="47" t="s">
        <v>276</v>
      </c>
      <c r="C43" s="47"/>
      <c r="D43" s="47"/>
      <c r="E43" s="47"/>
    </row>
    <row r="44" customFormat="false" ht="13.5" hidden="false" customHeight="true" outlineLevel="0" collapsed="false">
      <c r="B44" s="46" t="s">
        <v>440</v>
      </c>
      <c r="C44" s="46"/>
      <c r="D44" s="46"/>
      <c r="E44" s="46"/>
    </row>
    <row r="45" customFormat="false" ht="13.5" hidden="false" customHeight="true" outlineLevel="0" collapsed="false">
      <c r="B45" s="46" t="s">
        <v>441</v>
      </c>
      <c r="C45" s="46"/>
      <c r="D45" s="46"/>
      <c r="E45" s="46"/>
    </row>
    <row r="46" customFormat="false" ht="13.5" hidden="false" customHeight="true" outlineLevel="0" collapsed="false">
      <c r="B46" s="46" t="s">
        <v>357</v>
      </c>
      <c r="C46" s="46"/>
      <c r="D46" s="46"/>
      <c r="E46" s="46"/>
    </row>
    <row r="47" customFormat="false" ht="27.75" hidden="false" customHeight="true" outlineLevel="0" collapsed="false">
      <c r="B47" s="46" t="s">
        <v>358</v>
      </c>
      <c r="C47" s="46"/>
      <c r="D47" s="46"/>
      <c r="E47" s="46"/>
    </row>
    <row r="48" customFormat="false" ht="13.5" hidden="false" customHeight="true" outlineLevel="0" collapsed="false">
      <c r="B48" s="46" t="s">
        <v>442</v>
      </c>
      <c r="C48" s="46"/>
      <c r="D48" s="46"/>
      <c r="E48" s="46"/>
    </row>
    <row r="50" customFormat="false" ht="15" hidden="false" customHeight="true" outlineLevel="0" collapsed="false">
      <c r="B50" s="13" t="s">
        <v>281</v>
      </c>
      <c r="C50" s="14"/>
      <c r="D50" s="14"/>
      <c r="E50" s="14"/>
      <c r="F50" s="14"/>
      <c r="G50" s="14"/>
    </row>
    <row r="51" customFormat="false" ht="15" hidden="false" customHeight="true" outlineLevel="0" collapsed="false">
      <c r="B51" s="25" t="s">
        <v>282</v>
      </c>
      <c r="C51" s="48" t="str">
        <f aca="false">IF(Need_1&lt;&gt;"",Need_1,IF(Months_With_Extra="Never","No goal","Mortgage free (plan kind mfree, priced from your mortgage; no cash amount)"))</f>
        <v>Choose your extra each month to see this</v>
      </c>
      <c r="E51" s="49" t="s">
        <v>443</v>
      </c>
    </row>
    <row r="52" customFormat="false" ht="15" hidden="false" customHeight="true" outlineLevel="0" collapsed="false">
      <c r="B52" s="25" t="s">
        <v>288</v>
      </c>
      <c r="C52" s="51" t="str">
        <f aca="false">IF(Need_1&lt;&gt;"",Need_1,IF(Months_With_Extra="Never","—",ROUNDUP(Months_With_Extra/12,0)))</f>
        <v>Choose your extra each month to see this</v>
      </c>
      <c r="E52" s="49" t="s">
        <v>444</v>
      </c>
    </row>
    <row r="53" customFormat="false" ht="27.75" hidden="false" customHeight="true" outlineLevel="0" collapsed="false">
      <c r="B53" s="53" t="s">
        <v>445</v>
      </c>
      <c r="C53" s="53"/>
      <c r="D53" s="53"/>
      <c r="E53" s="53"/>
    </row>
    <row r="55" customFormat="false" ht="15" hidden="false" customHeight="true" outlineLevel="0" collapsed="false">
      <c r="B55" s="13" t="s">
        <v>290</v>
      </c>
      <c r="C55" s="14"/>
      <c r="D55" s="14"/>
      <c r="E55" s="14"/>
      <c r="F55" s="14"/>
      <c r="G55" s="14"/>
    </row>
    <row r="56" customFormat="false" ht="15" hidden="false" customHeight="true" outlineLevel="0" collapsed="false">
      <c r="B56" s="52" t="s">
        <v>446</v>
      </c>
      <c r="C56" s="52" t="str">
        <f aca="false">IF(Extra_Payment="","Choose your extra each month to see this",IF(NOT(ISNUMBER(Used_Mortgage_Balance)),IF(Used_Mortgage_Balance="",IF(Mortgage_Balance="","Choose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this",""),Used_Years_Left),IF(NOT(ISNUMBER(Used_Actual_Repayment)),IF(Used_Actual_Repayment="","Choose your actual monthly repayment to see this",Used_Actual_Repayment),"")))))</f>
        <v>Choose your extra each month to see this</v>
      </c>
    </row>
    <row r="57" customFormat="false" ht="15" hidden="false" customHeight="true" outlineLevel="0" collapsed="false">
      <c r="B57" s="52" t="s">
        <v>447</v>
      </c>
      <c r="C57" s="52" t="str">
        <f aca="false">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this",""),Used_Years_Left),IF(NOT(ISNUMBER(Used_Actual_Repayment)),IF(Used_Actual_Repayment="","Choose your actual monthly repayment to see this",Used_Actual_Repayment),""))))</f>
        <v>Choose your mortgage balance to see this</v>
      </c>
    </row>
    <row r="58" customFormat="false" ht="15" hidden="false" customHeight="true" outlineLevel="0" collapsed="false">
      <c r="B58" s="52" t="s">
        <v>363</v>
      </c>
      <c r="C58" s="52" t="str">
        <f aca="false">IF(NOT(ISNUMBER(Used_Interest_Rate)),IF(Used_Interest_Rate="",IF(Interest_Rate="","Choose your interest rate to see this",""),Used_Interest_Rate),"")</f>
        <v>Choose your interest rate to see this</v>
      </c>
    </row>
  </sheetData>
  <mergeCells count="10">
    <mergeCell ref="B6:E6"/>
    <mergeCell ref="B41:E41"/>
    <mergeCell ref="B42:E42"/>
    <mergeCell ref="B43:E43"/>
    <mergeCell ref="B44:E44"/>
    <mergeCell ref="B45:E45"/>
    <mergeCell ref="B46:E46"/>
    <mergeCell ref="B47:E47"/>
    <mergeCell ref="B48:E48"/>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20,000 to €10,000,000 · steps of €1,000." errorStyle="stop" errorTitle="Outside the allowed range" operator="between" prompt="Your own figure. In the app it is pre-filled from Your finances / statement: balance.  Allowed: €20,000 to €10,000,000 · steps of €1,000." promptTitle="Mortgage balance" showDropDown="false" showErrorMessage="true" showInputMessage="true" sqref="C14" type="decimal">
      <formula1>20000</formula1>
      <formula2>10000000</formula2>
    </dataValidation>
    <dataValidation allowBlank="true" error="Please enter 1% to 8% · steps of 0.05%." errorStyle="stop" errorTitle="Outside the allowed range" operator="between" prompt="Usually between 3.5% and 4.5% a year for new Irish mortgages (Central Bank retail interest rates: new mortgages averaged 3.49% in June 2026). In the app it is pre-filled from Your finances / statement: rate. Enter your  Allowed: 1% to 8% · steps of 0.05%." promptTitle="Interest rate" showDropDown="false" showErrorMessage="true" showInputMessage="true" sqref="C15" type="decimal">
      <formula1>0.01</formula1>
      <formula2>0.08</formula2>
    </dataValidation>
    <dataValidation allowBlank="true" error="Please enter 3 to 35 · steps of 1." errorStyle="stop" errorTitle="Outside the allowed range" operator="between" prompt="Your own figure. In the app it is pre-filled from Years left (25 if not given).  Allowed: 3 to 35 · steps of 1." promptTitle="Years left" showDropDown="false" showErrorMessage="true" showInputMessage="true" sqref="C16" type="whole">
      <formula1>3</formula1>
      <formula2>35</formula2>
    </dataValidation>
    <dataValidation allowBlank="true" error="Please enter €0 to €20,000 · steps of €25." errorStyle="stop" errorTitle="Outside the allowed range" operator="between" prompt="Your own figure.  Allowed: €0 to €20,000 · steps of €25." promptTitle="Extra each month" showDropDown="false" showErrorMessage="true" showInputMessage="true" sqref="C17" type="decimal">
      <formula1>0</formula1>
      <formula2>20000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448</v>
      </c>
      <c r="E1" s="3" t="s">
        <v>449</v>
      </c>
    </row>
    <row r="2" customFormat="false" ht="15" hidden="false" customHeight="true" outlineLevel="0" collapsed="false">
      <c r="B2" s="21" t="s">
        <v>450</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451</v>
      </c>
    </row>
    <row r="5" customFormat="false" ht="15" hidden="false" customHeight="true" outlineLevel="0" collapsed="false">
      <c r="B5" s="13" t="s">
        <v>302</v>
      </c>
      <c r="C5" s="14"/>
      <c r="D5" s="14"/>
      <c r="E5" s="14"/>
      <c r="F5" s="14"/>
      <c r="G5" s="14"/>
    </row>
    <row r="6" customFormat="false" ht="27.75" hidden="false" customHeight="true" outlineLevel="0" collapsed="false">
      <c r="B6" s="53" t="s">
        <v>303</v>
      </c>
      <c r="C6" s="53"/>
      <c r="D6" s="53"/>
      <c r="E6" s="53"/>
    </row>
    <row r="7" customFormat="false" ht="15" hidden="false" customHeight="true" outlineLevel="0" collapsed="false">
      <c r="B7" s="25" t="s">
        <v>304</v>
      </c>
      <c r="C7" s="54"/>
      <c r="D7" s="27" t="s">
        <v>217</v>
      </c>
      <c r="E7" s="28" t="s">
        <v>305</v>
      </c>
      <c r="G7" s="52" t="s">
        <v>306</v>
      </c>
    </row>
    <row r="8" customFormat="false" ht="15" hidden="false" customHeight="true" outlineLevel="0" collapsed="false">
      <c r="B8" s="25" t="s">
        <v>307</v>
      </c>
      <c r="C8" s="55"/>
      <c r="D8" s="27" t="s">
        <v>228</v>
      </c>
      <c r="E8" s="28" t="s">
        <v>308</v>
      </c>
      <c r="G8" s="52" t="s">
        <v>306</v>
      </c>
    </row>
    <row r="9" customFormat="false" ht="15" hidden="false" customHeight="true" outlineLevel="0" collapsed="false">
      <c r="B9" s="25" t="s">
        <v>309</v>
      </c>
      <c r="C9" s="56"/>
      <c r="D9" s="27" t="s">
        <v>231</v>
      </c>
      <c r="E9" s="28" t="s">
        <v>310</v>
      </c>
      <c r="G9" s="52" t="s">
        <v>306</v>
      </c>
    </row>
    <row r="10" customFormat="false" ht="15" hidden="false" customHeight="true" outlineLevel="0" collapsed="false">
      <c r="B10" s="25" t="s">
        <v>311</v>
      </c>
      <c r="C10" s="54"/>
      <c r="D10" s="27" t="s">
        <v>217</v>
      </c>
      <c r="E10" s="28" t="s">
        <v>312</v>
      </c>
      <c r="G10" s="52" t="s">
        <v>306</v>
      </c>
    </row>
    <row r="11" customFormat="false" ht="15" hidden="false" customHeight="true" outlineLevel="0" collapsed="false">
      <c r="B11" s="25" t="s">
        <v>313</v>
      </c>
      <c r="C11" s="57"/>
      <c r="D11" s="27" t="s">
        <v>314</v>
      </c>
      <c r="E11" s="28" t="s">
        <v>315</v>
      </c>
      <c r="G11" s="52" t="s">
        <v>306</v>
      </c>
    </row>
    <row r="13" customFormat="false" ht="15" hidden="false" customHeight="true" outlineLevel="0" collapsed="false">
      <c r="B13" s="13" t="s">
        <v>316</v>
      </c>
      <c r="C13" s="24" t="s">
        <v>213</v>
      </c>
      <c r="D13" s="24" t="s">
        <v>214</v>
      </c>
      <c r="E13" s="24" t="s">
        <v>215</v>
      </c>
      <c r="F13" s="14"/>
      <c r="G13" s="14"/>
    </row>
    <row r="14" customFormat="false" ht="21.75" hidden="false" customHeight="true" outlineLevel="0" collapsed="false">
      <c r="B14" s="25" t="s">
        <v>409</v>
      </c>
      <c r="C14" s="26"/>
      <c r="D14" s="27" t="s">
        <v>217</v>
      </c>
      <c r="E14" s="28" t="s">
        <v>452</v>
      </c>
      <c r="F14" s="29" t="n">
        <v>300000</v>
      </c>
      <c r="G14" s="30" t="str">
        <f aca="false">IF(ISBLANK(C14),IF(Fill_Example="Yes",F14,""),C14)</f>
        <v/>
      </c>
    </row>
    <row r="15" customFormat="false" ht="33" hidden="false" customHeight="true" outlineLevel="0" collapsed="false">
      <c r="B15" s="25" t="s">
        <v>453</v>
      </c>
      <c r="C15" s="34"/>
      <c r="D15" s="27" t="s">
        <v>228</v>
      </c>
      <c r="E15" s="35" t="s">
        <v>411</v>
      </c>
      <c r="F15" s="36" t="n">
        <v>0.0375</v>
      </c>
      <c r="G15" s="37" t="str">
        <f aca="false">IF(ISBLANK(C15),IF(Fill_Example="Yes",F15,""),C15)</f>
        <v/>
      </c>
    </row>
    <row r="16" customFormat="false" ht="21.75" hidden="false" customHeight="true" outlineLevel="0" collapsed="false">
      <c r="B16" s="25" t="s">
        <v>412</v>
      </c>
      <c r="C16" s="38"/>
      <c r="D16" s="27" t="s">
        <v>231</v>
      </c>
      <c r="E16" s="28" t="s">
        <v>321</v>
      </c>
      <c r="F16" s="39" t="n">
        <v>25</v>
      </c>
      <c r="G16" s="40" t="str">
        <f aca="false">IF(ISBLANK(C16),IF(Fill_Example="Yes",F16,""),C16)</f>
        <v/>
      </c>
    </row>
    <row r="17" customFormat="false" ht="15" hidden="false" customHeight="true" outlineLevel="0" collapsed="false">
      <c r="B17" s="25" t="s">
        <v>454</v>
      </c>
      <c r="C17" s="34"/>
      <c r="D17" s="27" t="s">
        <v>228</v>
      </c>
      <c r="E17" s="28" t="s">
        <v>455</v>
      </c>
      <c r="F17" s="36" t="n">
        <v>0.01</v>
      </c>
      <c r="G17" s="37" t="str">
        <f aca="false">IF(ISBLANK(C17),IF(Fill_Example="Yes",F17,""),C17)</f>
        <v/>
      </c>
    </row>
    <row r="18" customFormat="false" ht="15" hidden="false" customHeight="true" outlineLevel="0" collapsed="false">
      <c r="B18" s="25" t="s">
        <v>322</v>
      </c>
      <c r="C18" s="26"/>
      <c r="D18" s="27" t="s">
        <v>217</v>
      </c>
      <c r="E18" s="28" t="s">
        <v>323</v>
      </c>
      <c r="F18" s="29" t="n">
        <v>0</v>
      </c>
      <c r="G18" s="30" t="n">
        <f aca="false">IF(ISBLANK(C18),F18,C18)</f>
        <v>0</v>
      </c>
    </row>
    <row r="20" customFormat="false" ht="15" hidden="false" customHeight="true" outlineLevel="0" collapsed="false">
      <c r="B20" s="13" t="s">
        <v>326</v>
      </c>
      <c r="C20" s="14"/>
      <c r="D20" s="14"/>
      <c r="E20" s="14"/>
      <c r="F20" s="14"/>
      <c r="G20" s="14"/>
    </row>
    <row r="21" customFormat="false" ht="15" hidden="false" customHeight="true" outlineLevel="0" collapsed="false">
      <c r="B21" s="25" t="s">
        <v>409</v>
      </c>
      <c r="C21" s="58" t="str">
        <f aca="false">IF(ISBLANK(Stmt_Balance),Mortgage_Balance,Stmt_Balance)</f>
        <v/>
      </c>
      <c r="D21" s="59" t="str">
        <f aca="false">IF(ISBLANK(Stmt_Balance),"Your figure","From your statement")</f>
        <v>Your figure</v>
      </c>
      <c r="E21" s="49" t="s">
        <v>416</v>
      </c>
    </row>
    <row r="22" customFormat="false" ht="15" hidden="false" customHeight="true" outlineLevel="0" collapsed="false">
      <c r="B22" s="25" t="s">
        <v>453</v>
      </c>
      <c r="C22" s="60" t="str">
        <f aca="false">IF(ISBLANK(Stmt_Rate),Current_Rate,Stmt_Rate)</f>
        <v/>
      </c>
      <c r="D22" s="59" t="str">
        <f aca="false">IF(ISBLANK(Stmt_Rate),"Your figure","From your statement")</f>
        <v>Your figure</v>
      </c>
      <c r="E22" s="49" t="s">
        <v>456</v>
      </c>
    </row>
    <row r="23" customFormat="false" ht="15" hidden="false" customHeight="true" outlineLevel="0" collapsed="false">
      <c r="B23" s="25" t="s">
        <v>412</v>
      </c>
      <c r="C23" s="61" t="str">
        <f aca="false">IF(ISBLANK(Stmt_Term),Years_Left,Stmt_Term)</f>
        <v/>
      </c>
      <c r="D23" s="59" t="str">
        <f aca="false">IF(ISBLANK(Stmt_Term),"Your figure","From your statement")</f>
        <v>Your figure</v>
      </c>
      <c r="E23" s="49" t="s">
        <v>417</v>
      </c>
    </row>
    <row r="24" customFormat="false" ht="15" hidden="false" customHeight="true" outlineLevel="0" collapsed="false">
      <c r="B24" s="25" t="s">
        <v>330</v>
      </c>
      <c r="C24" s="58" t="n">
        <f aca="false">IF(ISBLANK(Stmt_Repayment),Actual_Repayment,Stmt_Repayment)</f>
        <v>0</v>
      </c>
      <c r="D24" s="59" t="str">
        <f aca="false">IF(ISBLANK(Stmt_Repayment),"Your figure","From your statement")</f>
        <v>Your figure</v>
      </c>
      <c r="E24" s="49" t="s">
        <v>331</v>
      </c>
    </row>
    <row r="25" customFormat="false" ht="21.75" hidden="false" customHeight="true" outlineLevel="0" collapsed="false">
      <c r="B25" s="25" t="s">
        <v>332</v>
      </c>
      <c r="C25" s="45" t="str">
        <f aca="true">IF(ISBLANK(Stmt_Statement_Date),"",IF(TODAY()-Stmt_Statement_Date&gt;Statement_Max_Age_Days,"Needs a look: statement is more than 12 months old","Up to date"))</f>
        <v/>
      </c>
      <c r="D25" s="27"/>
      <c r="E25" s="42" t="s">
        <v>333</v>
      </c>
    </row>
    <row r="27" customFormat="false" ht="15" hidden="false" customHeight="true" outlineLevel="0" collapsed="false">
      <c r="B27" s="13" t="s">
        <v>239</v>
      </c>
      <c r="C27" s="24" t="s">
        <v>240</v>
      </c>
      <c r="D27" s="24" t="s">
        <v>241</v>
      </c>
      <c r="E27" s="24" t="s">
        <v>242</v>
      </c>
      <c r="F27" s="14"/>
      <c r="G27" s="14"/>
    </row>
    <row r="28" customFormat="false" ht="23.25" hidden="false" customHeight="true" outlineLevel="0" collapsed="false">
      <c r="B28" s="21" t="s">
        <v>457</v>
      </c>
      <c r="C28" s="41" t="str">
        <f aca="false">IF(Need_1&lt;&gt;"",Need_1,Repayment_After-Repayment_Now)</f>
        <v>Choose your rate change to see this</v>
      </c>
      <c r="D28" s="63" t="str">
        <f aca="false">IF(Need_1&lt;&gt;"",Need_1,IF(Monthly_Change&gt;=0,"+","−")&amp;TEXT(ABS(Monthly_Change),"€#,##0"))</f>
        <v>Choose your rate change to see this</v>
      </c>
      <c r="E28" s="42" t="s">
        <v>458</v>
      </c>
    </row>
    <row r="29" customFormat="false" ht="17.25" hidden="false" customHeight="true" outlineLevel="0" collapsed="false">
      <c r="B29" s="21" t="s">
        <v>426</v>
      </c>
      <c r="C29" s="41" t="str">
        <f aca="false">IF(Need_2&lt;&gt;"",Need_2,IF(Used_Actual_Repayment&gt;0,Used_Actual_Repayment,Formula_Now))</f>
        <v>Choose your mortgage balance to see this</v>
      </c>
      <c r="D29" s="27" t="s">
        <v>217</v>
      </c>
      <c r="E29" s="42" t="s">
        <v>459</v>
      </c>
    </row>
    <row r="30" customFormat="false" ht="17.25" hidden="false" customHeight="true" outlineLevel="0" collapsed="false">
      <c r="B30" s="21" t="s">
        <v>460</v>
      </c>
      <c r="C30" s="41" t="str">
        <f aca="false">IF(Need_1&lt;&gt;"",Need_1,Repayment_Now+PMT(New_Rate/12,Used_Years_Left*12,-Used_Mortgage_Balance)-Formula_Now)</f>
        <v>Choose your rate change to see this</v>
      </c>
      <c r="D30" s="27" t="s">
        <v>217</v>
      </c>
      <c r="E30" s="42" t="s">
        <v>461</v>
      </c>
    </row>
    <row r="31" customFormat="false" ht="15" hidden="false" customHeight="true" outlineLevel="0" collapsed="false">
      <c r="B31" s="25" t="s">
        <v>462</v>
      </c>
      <c r="C31" s="43" t="str">
        <f aca="false">IF(Need_1&lt;&gt;"",Need_1,Monthly_Change*12)</f>
        <v>Choose your rate change to see this</v>
      </c>
      <c r="D31" s="27" t="s">
        <v>217</v>
      </c>
      <c r="E31" s="42" t="s">
        <v>463</v>
      </c>
    </row>
    <row r="32" customFormat="false" ht="15" hidden="false" customHeight="true" outlineLevel="0" collapsed="false">
      <c r="B32" s="25" t="s">
        <v>464</v>
      </c>
      <c r="C32" s="43" t="str">
        <f aca="false">IF(Need_3&lt;&gt;"",Need_3,PMT(Used_Current_Rate/12,Used_Years_Left*12,-Used_Mortgage_Balance))</f>
        <v>Choose your mortgage balance to see this</v>
      </c>
      <c r="D32" s="27" t="s">
        <v>217</v>
      </c>
      <c r="E32" s="42" t="s">
        <v>465</v>
      </c>
    </row>
    <row r="33" customFormat="false" ht="15" hidden="false" customHeight="true" outlineLevel="0" collapsed="false">
      <c r="B33" s="25" t="s">
        <v>466</v>
      </c>
      <c r="C33" s="65" t="str">
        <f aca="false">IF(Need_4&lt;&gt;"",Need_4,MAX(0,Used_Current_Rate+Rate_Change))</f>
        <v>Choose your rate change to see this</v>
      </c>
      <c r="D33" s="27" t="s">
        <v>228</v>
      </c>
      <c r="E33" s="42" t="s">
        <v>467</v>
      </c>
    </row>
    <row r="35" customFormat="false" ht="15" hidden="false" customHeight="true" outlineLevel="0" collapsed="false">
      <c r="B35" s="13" t="s">
        <v>272</v>
      </c>
      <c r="C35" s="14"/>
      <c r="D35" s="14"/>
      <c r="E35" s="14"/>
      <c r="F35" s="14"/>
      <c r="G35" s="14"/>
    </row>
    <row r="36" customFormat="false" ht="13.5" hidden="false" customHeight="true" outlineLevel="0" collapsed="false">
      <c r="B36" s="46" t="s">
        <v>468</v>
      </c>
      <c r="C36" s="46"/>
      <c r="D36" s="46"/>
      <c r="E36" s="46"/>
    </row>
    <row r="37" customFormat="false" ht="13.5" hidden="false" customHeight="true" outlineLevel="0" collapsed="false">
      <c r="B37" s="46" t="s">
        <v>469</v>
      </c>
      <c r="C37" s="46"/>
      <c r="D37" s="46"/>
      <c r="E37" s="46"/>
    </row>
    <row r="38" customFormat="false" ht="13.5" hidden="false" customHeight="true" outlineLevel="0" collapsed="false">
      <c r="B38" s="47" t="s">
        <v>276</v>
      </c>
      <c r="C38" s="47"/>
      <c r="D38" s="47"/>
      <c r="E38" s="47"/>
    </row>
    <row r="39" customFormat="false" ht="13.5" hidden="false" customHeight="true" outlineLevel="0" collapsed="false">
      <c r="B39" s="46" t="s">
        <v>470</v>
      </c>
      <c r="C39" s="46"/>
      <c r="D39" s="46"/>
      <c r="E39" s="46"/>
    </row>
    <row r="40" customFormat="false" ht="13.5" hidden="false" customHeight="true" outlineLevel="0" collapsed="false">
      <c r="B40" s="46" t="s">
        <v>280</v>
      </c>
      <c r="C40" s="46"/>
      <c r="D40" s="46"/>
      <c r="E40" s="46"/>
    </row>
    <row r="42" customFormat="false" ht="15" hidden="false" customHeight="true" outlineLevel="0" collapsed="false">
      <c r="B42" s="13" t="s">
        <v>281</v>
      </c>
      <c r="C42" s="14"/>
      <c r="D42" s="14"/>
      <c r="E42" s="14"/>
      <c r="F42" s="14"/>
      <c r="G42" s="14"/>
    </row>
    <row r="43" customFormat="false" ht="15" hidden="false" customHeight="true" outlineLevel="0" collapsed="false">
      <c r="B43" s="25" t="s">
        <v>282</v>
      </c>
      <c r="C43" s="48" t="str">
        <f aca="false">"No goal"</f>
        <v>No goal</v>
      </c>
      <c r="E43" s="49" t="s">
        <v>471</v>
      </c>
    </row>
    <row r="45" customFormat="false" ht="15" hidden="false" customHeight="true" outlineLevel="0" collapsed="false">
      <c r="B45" s="13" t="s">
        <v>290</v>
      </c>
      <c r="C45" s="14"/>
      <c r="D45" s="14"/>
      <c r="E45" s="14"/>
      <c r="F45" s="14"/>
      <c r="G45" s="14"/>
    </row>
    <row r="46" customFormat="false" ht="15" hidden="false" customHeight="true" outlineLevel="0" collapsed="false">
      <c r="B46" s="52" t="s">
        <v>472</v>
      </c>
      <c r="C46" s="52" t="str">
        <f aca="false">IF(Rate_Change="","Choose your rate change to see this",IF(NOT(ISNUMBER(Used_Mortgage_Balance)),IF(Used_Mortgage_Balance="",IF(Mortgage_Balance="","Choose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this",""),Used_Years_Left),IF(NOT(ISNUMBER(Used_Actual_Repayment)),IF(Used_Actual_Repayment="","Choose your actual monthly repayment to see this",Used_Actual_Repayment),"")))))</f>
        <v>Choose your rate change to see this</v>
      </c>
    </row>
    <row r="47" customFormat="false" ht="15" hidden="false" customHeight="true" outlineLevel="0" collapsed="false">
      <c r="B47" s="52" t="s">
        <v>473</v>
      </c>
      <c r="C47" s="52" t="str">
        <f aca="false">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this",""),Used_Years_Left),IF(NOT(ISNUMBER(Used_Actual_Repayment)),IF(Used_Actual_Repayment="","Choose your actual monthly repayment to see this",Used_Actual_Repayment),""))))</f>
        <v>Choose your mortgage balance to see this</v>
      </c>
    </row>
    <row r="48" customFormat="false" ht="15" hidden="false" customHeight="true" outlineLevel="0" collapsed="false">
      <c r="B48" s="52" t="s">
        <v>474</v>
      </c>
      <c r="C48" s="52" t="str">
        <f aca="false">IF(NOT(ISNUMBER(Used_Mortgage_Balance)),IF(Used_Mortgage_Balance="",IF(Mortgage_Balance="","Choose your mortgage balance to see this",""),Used_Mortgage_Balance),IF(NOT(ISNUMBER(Used_Current_Rate)),IF(Used_Current_Rate="",IF(Current_Rate="","Choose your current interest rate to see this",""),Used_Current_Rate),IF(NOT(ISNUMBER(Used_Years_Left)),IF(Used_Years_Left="",IF(Years_Left="","Choose your years left to see this",""),Used_Years_Left),"")))</f>
        <v>Choose your mortgage balance to see this</v>
      </c>
    </row>
    <row r="49" customFormat="false" ht="15" hidden="false" customHeight="true" outlineLevel="0" collapsed="false">
      <c r="B49" s="52" t="s">
        <v>475</v>
      </c>
      <c r="C49" s="52" t="str">
        <f aca="false">IF(Rate_Change="","Choose your rate change to see this",IF(NOT(ISNUMBER(Used_Current_Rate)),IF(Used_Current_Rate="",IF(Current_Rate="","Choose your current interest rate to see this",""),Used_Current_Rate),""))</f>
        <v>Choose your rate change to see this</v>
      </c>
    </row>
  </sheetData>
  <mergeCells count="6">
    <mergeCell ref="B6:E6"/>
    <mergeCell ref="B36:E36"/>
    <mergeCell ref="B37:E37"/>
    <mergeCell ref="B38:E38"/>
    <mergeCell ref="B39:E39"/>
    <mergeCell ref="B40:E40"/>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balance"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Usually between 3.5% and 4.5% a year for new Irish mortgages (Central Bank retail interest rates: new mortgages averaged 3.49% in June 2026). In the app it is pre-filled from Your finances / statement: rate. Enter your  Allowed: 1% to 8% · steps of 0.05%." promptTitle="Curren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 to 3% · steps of 0.25%." errorStyle="stop" errorTitle="Outside the allowed range" operator="between" prompt="Your own figure.  Allowed: -2% to 3% · steps of 0.25%." promptTitle="Rate change" showDropDown="false" showErrorMessage="true" showInputMessage="true" sqref="C17"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476</v>
      </c>
      <c r="E1" s="3" t="s">
        <v>477</v>
      </c>
    </row>
    <row r="2" customFormat="false" ht="15" hidden="false" customHeight="true" outlineLevel="0" collapsed="false">
      <c r="B2" s="21" t="s">
        <v>478</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479</v>
      </c>
    </row>
    <row r="5" customFormat="false" ht="15" hidden="false" customHeight="true" outlineLevel="0" collapsed="false">
      <c r="B5" s="13" t="s">
        <v>302</v>
      </c>
      <c r="C5" s="14"/>
      <c r="D5" s="14"/>
      <c r="E5" s="14"/>
      <c r="F5" s="14"/>
      <c r="G5" s="14"/>
    </row>
    <row r="6" customFormat="false" ht="27.75" hidden="false" customHeight="true" outlineLevel="0" collapsed="false">
      <c r="B6" s="53" t="s">
        <v>303</v>
      </c>
      <c r="C6" s="53"/>
      <c r="D6" s="53"/>
      <c r="E6" s="53"/>
    </row>
    <row r="7" customFormat="false" ht="15" hidden="false" customHeight="true" outlineLevel="0" collapsed="false">
      <c r="B7" s="25" t="s">
        <v>304</v>
      </c>
      <c r="C7" s="54"/>
      <c r="D7" s="27" t="s">
        <v>217</v>
      </c>
      <c r="E7" s="28" t="s">
        <v>305</v>
      </c>
      <c r="G7" s="52" t="s">
        <v>306</v>
      </c>
    </row>
    <row r="8" customFormat="false" ht="15" hidden="false" customHeight="true" outlineLevel="0" collapsed="false">
      <c r="B8" s="25" t="s">
        <v>307</v>
      </c>
      <c r="C8" s="55"/>
      <c r="D8" s="27" t="s">
        <v>228</v>
      </c>
      <c r="E8" s="28" t="s">
        <v>308</v>
      </c>
      <c r="G8" s="52" t="s">
        <v>306</v>
      </c>
    </row>
    <row r="9" customFormat="false" ht="15" hidden="false" customHeight="true" outlineLevel="0" collapsed="false">
      <c r="B9" s="25" t="s">
        <v>309</v>
      </c>
      <c r="C9" s="56"/>
      <c r="D9" s="27" t="s">
        <v>231</v>
      </c>
      <c r="E9" s="28" t="s">
        <v>310</v>
      </c>
      <c r="G9" s="52" t="s">
        <v>306</v>
      </c>
    </row>
    <row r="10" customFormat="false" ht="15" hidden="false" customHeight="true" outlineLevel="0" collapsed="false">
      <c r="B10" s="25" t="s">
        <v>313</v>
      </c>
      <c r="C10" s="57"/>
      <c r="D10" s="27" t="s">
        <v>314</v>
      </c>
      <c r="E10" s="28" t="s">
        <v>315</v>
      </c>
      <c r="G10" s="52" t="s">
        <v>306</v>
      </c>
    </row>
    <row r="12" customFormat="false" ht="15" hidden="false" customHeight="true" outlineLevel="0" collapsed="false">
      <c r="B12" s="13" t="s">
        <v>316</v>
      </c>
      <c r="C12" s="24" t="s">
        <v>213</v>
      </c>
      <c r="D12" s="24" t="s">
        <v>214</v>
      </c>
      <c r="E12" s="24" t="s">
        <v>215</v>
      </c>
      <c r="F12" s="14"/>
      <c r="G12" s="14"/>
    </row>
    <row r="13" customFormat="false" ht="21.75" hidden="false" customHeight="true" outlineLevel="0" collapsed="false">
      <c r="B13" s="25" t="s">
        <v>317</v>
      </c>
      <c r="C13" s="26"/>
      <c r="D13" s="27" t="s">
        <v>217</v>
      </c>
      <c r="E13" s="28" t="s">
        <v>452</v>
      </c>
      <c r="F13" s="29" t="n">
        <v>300000</v>
      </c>
      <c r="G13" s="30" t="str">
        <f aca="false">IF(ISBLANK(C13),IF(Fill_Example="Yes",F13,""),C13)</f>
        <v/>
      </c>
    </row>
    <row r="14" customFormat="false" ht="33" hidden="false" customHeight="true" outlineLevel="0" collapsed="false">
      <c r="B14" s="25" t="s">
        <v>307</v>
      </c>
      <c r="C14" s="34"/>
      <c r="D14" s="27" t="s">
        <v>228</v>
      </c>
      <c r="E14" s="35" t="s">
        <v>411</v>
      </c>
      <c r="F14" s="36" t="n">
        <v>0.0375</v>
      </c>
      <c r="G14" s="37" t="str">
        <f aca="false">IF(ISBLANK(C14),IF(Fill_Example="Yes",F14,""),C14)</f>
        <v/>
      </c>
    </row>
    <row r="15" customFormat="false" ht="21.75" hidden="false" customHeight="true" outlineLevel="0" collapsed="false">
      <c r="B15" s="25" t="s">
        <v>480</v>
      </c>
      <c r="C15" s="38"/>
      <c r="D15" s="27" t="s">
        <v>231</v>
      </c>
      <c r="E15" s="28" t="s">
        <v>321</v>
      </c>
      <c r="F15" s="39" t="n">
        <v>25</v>
      </c>
      <c r="G15" s="40" t="str">
        <f aca="false">IF(ISBLANK(C15),IF(Fill_Example="Yes",F15,""),C15)</f>
        <v/>
      </c>
    </row>
    <row r="16" customFormat="false" ht="15" hidden="false" customHeight="true" outlineLevel="0" collapsed="false">
      <c r="B16" s="25" t="s">
        <v>481</v>
      </c>
      <c r="C16" s="38"/>
      <c r="D16" s="27" t="s">
        <v>231</v>
      </c>
      <c r="E16" s="28" t="s">
        <v>482</v>
      </c>
      <c r="F16" s="39" t="n">
        <v>35</v>
      </c>
      <c r="G16" s="40" t="str">
        <f aca="false">IF(ISBLANK(C16),IF(Fill_Example="Yes",F16,""),C16)</f>
        <v/>
      </c>
    </row>
    <row r="18" customFormat="false" ht="15" hidden="false" customHeight="true" outlineLevel="0" collapsed="false">
      <c r="B18" s="13" t="s">
        <v>326</v>
      </c>
      <c r="C18" s="14"/>
      <c r="D18" s="14"/>
      <c r="E18" s="14"/>
      <c r="F18" s="14"/>
      <c r="G18" s="14"/>
    </row>
    <row r="19" customFormat="false" ht="15" hidden="false" customHeight="true" outlineLevel="0" collapsed="false">
      <c r="B19" s="25" t="s">
        <v>317</v>
      </c>
      <c r="C19" s="58" t="str">
        <f aca="false">IF(ISBLANK(Stmt_Balance),Loan_Amount,Stmt_Balance)</f>
        <v/>
      </c>
      <c r="D19" s="59" t="str">
        <f aca="false">IF(ISBLANK(Stmt_Balance),"Your figure","From your statement")</f>
        <v>Your figure</v>
      </c>
      <c r="E19" s="49" t="s">
        <v>327</v>
      </c>
    </row>
    <row r="20" customFormat="false" ht="15" hidden="false" customHeight="true" outlineLevel="0" collapsed="false">
      <c r="B20" s="25" t="s">
        <v>307</v>
      </c>
      <c r="C20" s="60" t="str">
        <f aca="false">IF(ISBLANK(Stmt_Rate),Interest_Rate,Stmt_Rate)</f>
        <v/>
      </c>
      <c r="D20" s="59" t="str">
        <f aca="false">IF(ISBLANK(Stmt_Rate),"Your figure","From your statement")</f>
        <v>Your figure</v>
      </c>
      <c r="E20" s="49" t="s">
        <v>328</v>
      </c>
    </row>
    <row r="21" customFormat="false" ht="15" hidden="false" customHeight="true" outlineLevel="0" collapsed="false">
      <c r="B21" s="25" t="s">
        <v>480</v>
      </c>
      <c r="C21" s="61" t="str">
        <f aca="false">IF(ISBLANK(Stmt_Term),Term_A,Stmt_Term)</f>
        <v/>
      </c>
      <c r="D21" s="59" t="str">
        <f aca="false">IF(ISBLANK(Stmt_Term),"Your figure","From your statement")</f>
        <v>Your figure</v>
      </c>
      <c r="E21" s="49" t="s">
        <v>483</v>
      </c>
    </row>
    <row r="22" customFormat="false" ht="21.75" hidden="false" customHeight="true" outlineLevel="0" collapsed="false">
      <c r="B22" s="25" t="s">
        <v>332</v>
      </c>
      <c r="C22" s="45" t="str">
        <f aca="true">IF(ISBLANK(Stmt_Statement_Date),"",IF(TODAY()-Stmt_Statement_Date&gt;Statement_Max_Age_Days,"Needs a look: statement is more than 12 months old","Up to date"))</f>
        <v/>
      </c>
      <c r="D22" s="27"/>
      <c r="E22" s="42" t="s">
        <v>333</v>
      </c>
    </row>
    <row r="24" customFormat="false" ht="15" hidden="false" customHeight="true" outlineLevel="0" collapsed="false">
      <c r="B24" s="13" t="s">
        <v>239</v>
      </c>
      <c r="C24" s="24" t="s">
        <v>240</v>
      </c>
      <c r="D24" s="24" t="s">
        <v>241</v>
      </c>
      <c r="E24" s="24" t="s">
        <v>242</v>
      </c>
      <c r="F24" s="14"/>
      <c r="G24" s="14"/>
    </row>
    <row r="25" customFormat="false" ht="17.25" hidden="false" customHeight="true" outlineLevel="0" collapsed="false">
      <c r="B25" s="21" t="s">
        <v>484</v>
      </c>
      <c r="C25" s="41" t="str">
        <f aca="false">IF(Need_1&lt;&gt;"",Need_1,ABS(Interest_B-Interest_A))</f>
        <v>Choose your term B to see this</v>
      </c>
      <c r="D25" s="63" t="str">
        <f aca="false">IF(Need_1&lt;&gt;"",Need_1,IF(Used_Term_A=Term_B,"Both terms are the same.","The "&amp;MIN(Used_Term_A,Term_B)&amp;"-year term costs more each month but less interest overall."))</f>
        <v>Choose your term B to see this</v>
      </c>
      <c r="E25" s="42" t="s">
        <v>485</v>
      </c>
    </row>
    <row r="26" customFormat="false" ht="17.25" hidden="false" customHeight="true" outlineLevel="0" collapsed="false">
      <c r="B26" s="21" t="s">
        <v>486</v>
      </c>
      <c r="C26" s="41" t="str">
        <f aca="false">IF(Need_2&lt;&gt;"",Need_2,PMT(Used_Interest_Rate/12,Used_Term_A*12,-Used_Loan_Amount))</f>
        <v>Choose your mortgage amount to see this</v>
      </c>
      <c r="D26" s="27" t="s">
        <v>217</v>
      </c>
      <c r="E26" s="42" t="s">
        <v>487</v>
      </c>
    </row>
    <row r="27" customFormat="false" ht="17.25" hidden="false" customHeight="true" outlineLevel="0" collapsed="false">
      <c r="B27" s="21" t="s">
        <v>488</v>
      </c>
      <c r="C27" s="41" t="str">
        <f aca="false">IF(Need_3&lt;&gt;"",Need_3,PMT(Used_Interest_Rate/12,Term_B*12,-Used_Loan_Amount))</f>
        <v>Choose your term B to see this</v>
      </c>
      <c r="D27" s="27" t="s">
        <v>217</v>
      </c>
      <c r="E27" s="42" t="s">
        <v>489</v>
      </c>
    </row>
    <row r="28" customFormat="false" ht="15" hidden="false" customHeight="true" outlineLevel="0" collapsed="false">
      <c r="B28" s="25" t="s">
        <v>490</v>
      </c>
      <c r="C28" s="43" t="str">
        <f aca="false">IF(Need_2&lt;&gt;"",Need_2,Monthly_A*Used_Term_A*12-Used_Loan_Amount)</f>
        <v>Choose your mortgage amount to see this</v>
      </c>
      <c r="D28" s="27" t="s">
        <v>217</v>
      </c>
      <c r="E28" s="42" t="s">
        <v>491</v>
      </c>
    </row>
    <row r="29" customFormat="false" ht="15" hidden="false" customHeight="true" outlineLevel="0" collapsed="false">
      <c r="B29" s="25" t="s">
        <v>492</v>
      </c>
      <c r="C29" s="43" t="str">
        <f aca="false">IF(Need_3&lt;&gt;"",Need_3,Monthly_B*Term_B*12-Used_Loan_Amount)</f>
        <v>Choose your term B to see this</v>
      </c>
      <c r="D29" s="27" t="s">
        <v>217</v>
      </c>
      <c r="E29" s="42" t="s">
        <v>493</v>
      </c>
    </row>
    <row r="31" customFormat="false" ht="15" hidden="false" customHeight="true" outlineLevel="0" collapsed="false">
      <c r="B31" s="13" t="s">
        <v>272</v>
      </c>
      <c r="C31" s="14"/>
      <c r="D31" s="14"/>
      <c r="E31" s="14"/>
      <c r="F31" s="14"/>
      <c r="G31" s="14"/>
    </row>
    <row r="32" customFormat="false" ht="13.5" hidden="false" customHeight="true" outlineLevel="0" collapsed="false">
      <c r="B32" s="46" t="s">
        <v>494</v>
      </c>
      <c r="C32" s="46"/>
      <c r="D32" s="46"/>
      <c r="E32" s="46"/>
    </row>
    <row r="33" customFormat="false" ht="13.5" hidden="false" customHeight="true" outlineLevel="0" collapsed="false">
      <c r="B33" s="46" t="s">
        <v>495</v>
      </c>
      <c r="C33" s="46"/>
      <c r="D33" s="46"/>
      <c r="E33" s="46"/>
    </row>
    <row r="34" customFormat="false" ht="13.5" hidden="false" customHeight="true" outlineLevel="0" collapsed="false">
      <c r="B34" s="47" t="s">
        <v>276</v>
      </c>
      <c r="C34" s="47"/>
      <c r="D34" s="47"/>
      <c r="E34" s="47"/>
    </row>
    <row r="35" customFormat="false" ht="13.5" hidden="false" customHeight="true" outlineLevel="0" collapsed="false">
      <c r="B35" s="46" t="s">
        <v>496</v>
      </c>
      <c r="C35" s="46"/>
      <c r="D35" s="46"/>
      <c r="E35" s="46"/>
    </row>
    <row r="36" customFormat="false" ht="13.5" hidden="false" customHeight="true" outlineLevel="0" collapsed="false">
      <c r="B36" s="46" t="s">
        <v>280</v>
      </c>
      <c r="C36" s="46"/>
      <c r="D36" s="46"/>
      <c r="E36" s="46"/>
    </row>
    <row r="38" customFormat="false" ht="15" hidden="false" customHeight="true" outlineLevel="0" collapsed="false">
      <c r="B38" s="13" t="s">
        <v>281</v>
      </c>
      <c r="C38" s="14"/>
      <c r="D38" s="14"/>
      <c r="E38" s="14"/>
      <c r="F38" s="14"/>
      <c r="G38" s="14"/>
    </row>
    <row r="39" customFormat="false" ht="15" hidden="false" customHeight="true" outlineLevel="0" collapsed="false">
      <c r="B39" s="25" t="s">
        <v>282</v>
      </c>
      <c r="C39" s="48" t="str">
        <f aca="false">"No goal"</f>
        <v>No goal</v>
      </c>
      <c r="E39" s="49" t="s">
        <v>471</v>
      </c>
    </row>
    <row r="41" customFormat="false" ht="15" hidden="false" customHeight="true" outlineLevel="0" collapsed="false">
      <c r="B41" s="13" t="s">
        <v>290</v>
      </c>
      <c r="C41" s="14"/>
      <c r="D41" s="14"/>
      <c r="E41" s="14"/>
      <c r="F41" s="14"/>
      <c r="G41" s="14"/>
    </row>
    <row r="42" customFormat="false" ht="15" hidden="false" customHeight="true" outlineLevel="0" collapsed="false">
      <c r="B42" s="52" t="s">
        <v>497</v>
      </c>
      <c r="C42" s="52" t="str">
        <f aca="false">IF(Term_B="","Choose your term B to see this",IF(NOT(ISNUMBER(Used_Loan_Amount)),IF(Used_Loan_Amount="",IF(Loan_Amount="","Choose your mortgage amount to see this",""),Used_Loan_Amount),IF(NOT(ISNUMBER(Used_Interest_Rate)),IF(Used_Interest_Rate="",IF(Interest_Rate="","Choose your interest rate to see this",""),Used_Interest_Rate),IF(NOT(ISNUMBER(Used_Term_A)),IF(Used_Term_A="",IF(Term_A="","Choose your term A to see this",""),Used_Term_A),""))))</f>
        <v>Choose your term B to see this</v>
      </c>
    </row>
    <row r="43" customFormat="false" ht="15" hidden="false" customHeight="true" outlineLevel="0" collapsed="false">
      <c r="B43" s="52" t="s">
        <v>498</v>
      </c>
      <c r="C43" s="52" t="str">
        <f aca="false">IF(NOT(ISNUMBER(Used_Loan_Amount)),IF(Used_Loan_Amount="",IF(Loan_Amount="","Choose your mortgage amount to see this",""),Used_Loan_Amount),IF(NOT(ISNUMBER(Used_Interest_Rate)),IF(Used_Interest_Rate="",IF(Interest_Rate="","Choose your interest rate to see this",""),Used_Interest_Rate),IF(NOT(ISNUMBER(Used_Term_A)),IF(Used_Term_A="",IF(Term_A="","Choose your term A to see this",""),Used_Term_A),"")))</f>
        <v>Choose your mortgage amount to see this</v>
      </c>
    </row>
    <row r="44" customFormat="false" ht="15" hidden="false" customHeight="true" outlineLevel="0" collapsed="false">
      <c r="B44" s="52" t="s">
        <v>499</v>
      </c>
      <c r="C44" s="52" t="str">
        <f aca="false">IF(Term_B="","Choose your term B to see this",IF(NOT(ISNUMBER(Used_Loan_Amount)),IF(Used_Loan_Amount="",IF(Loan_Amount="","Choose your mortgage amount to see this",""),Used_Loan_Amount),IF(NOT(ISNUMBER(Used_Interest_Rate)),IF(Used_Interest_Rate="",IF(Interest_Rate="","Choose your interest rate to see this",""),Used_Interest_Rate),"")))</f>
        <v>Choose your term B to see this</v>
      </c>
    </row>
  </sheetData>
  <mergeCells count="6">
    <mergeCell ref="B6:E6"/>
    <mergeCell ref="B32:E32"/>
    <mergeCell ref="B33:E33"/>
    <mergeCell ref="B34:E34"/>
    <mergeCell ref="B35:E35"/>
    <mergeCell ref="B36:E36"/>
  </mergeCells>
  <dataValidations count="8">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0" type="date">
      <formula1>36526</formula1>
      <formula2>0</formula2>
    </dataValidation>
    <dataValidation allowBlank="true" error="Please enter 1% to 8% · steps of 0.05%." errorStyle="stop" errorTitle="Outside the allowed range" operator="between" prompt="Usually between 3.5% and 4.5% a year for new Irish mortgages (Central Bank retail interest rates: new mortgages averaged 3.49% in June 2026). In the app it is pre-filled from Your finances / statement: rate. Enter your  Allowed: 1% to 8% · steps of 0.05%." promptTitle="Interest rate" showDropDown="false" showErrorMessage="true" showInputMessage="true" sqref="C14" type="decimal">
      <formula1>0.01</formula1>
      <formula2>0.08</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amount" showDropDown="false" showErrorMessage="true" showInputMessage="true" sqref="C13"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A" showDropDown="false" showErrorMessage="true" showInputMessage="true" sqref="C15" type="whole">
      <formula1>5</formula1>
      <formula2>35</formula2>
    </dataValidation>
    <dataValidation allowBlank="true" error="Please enter 5 to 35 · steps of 1." errorStyle="stop" errorTitle="Outside the allowed range" operator="between" prompt="Your own figure.  Allowed: 5 to 35 · steps of 1." promptTitle="Term B" showDropDown="false" showErrorMessage="true" showInputMessage="true" sqref="C16" type="whole">
      <formula1>5</formula1>
      <formula2>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500</v>
      </c>
      <c r="E1" s="3" t="s">
        <v>501</v>
      </c>
    </row>
    <row r="2" customFormat="false" ht="15" hidden="false" customHeight="true" outlineLevel="0" collapsed="false">
      <c r="B2" s="21" t="s">
        <v>502</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503</v>
      </c>
    </row>
    <row r="5" customFormat="false" ht="15" hidden="false" customHeight="true" outlineLevel="0" collapsed="false">
      <c r="B5" s="13" t="s">
        <v>212</v>
      </c>
      <c r="C5" s="24" t="s">
        <v>213</v>
      </c>
      <c r="D5" s="24" t="s">
        <v>214</v>
      </c>
      <c r="E5" s="24" t="s">
        <v>215</v>
      </c>
      <c r="F5" s="14"/>
      <c r="G5" s="14"/>
    </row>
    <row r="6" customFormat="false" ht="15" hidden="false" customHeight="true" outlineLevel="0" collapsed="false">
      <c r="B6" s="25" t="s">
        <v>504</v>
      </c>
      <c r="C6" s="26"/>
      <c r="D6" s="27" t="s">
        <v>217</v>
      </c>
      <c r="E6" s="28" t="s">
        <v>505</v>
      </c>
      <c r="F6" s="29" t="n">
        <v>1800</v>
      </c>
      <c r="G6" s="30" t="str">
        <f aca="false">IF(ISBLANK(C6),IF(Fill_Example="Yes",F6,""),C6)</f>
        <v/>
      </c>
    </row>
    <row r="7" customFormat="false" ht="15" hidden="false" customHeight="true" outlineLevel="0" collapsed="false">
      <c r="B7" s="25" t="s">
        <v>370</v>
      </c>
      <c r="C7" s="26"/>
      <c r="D7" s="27" t="s">
        <v>217</v>
      </c>
      <c r="E7" s="28" t="s">
        <v>371</v>
      </c>
      <c r="F7" s="29" t="n">
        <v>350000</v>
      </c>
      <c r="G7" s="30" t="str">
        <f aca="false">IF(ISBLANK(C7),IF(Fill_Example="Yes",F7,""),C7)</f>
        <v/>
      </c>
    </row>
    <row r="8" customFormat="false" ht="15" hidden="false" customHeight="true" outlineLevel="0" collapsed="false">
      <c r="B8" s="25" t="s">
        <v>386</v>
      </c>
      <c r="C8" s="26"/>
      <c r="D8" s="27" t="s">
        <v>217</v>
      </c>
      <c r="E8" s="28" t="s">
        <v>506</v>
      </c>
      <c r="F8" s="29" t="n">
        <v>35000</v>
      </c>
      <c r="G8" s="30" t="str">
        <f aca="false">IF(ISBLANK(C8),IF(Fill_Example="Yes",F8,""),C8)</f>
        <v/>
      </c>
    </row>
    <row r="9" customFormat="false" ht="21.75" hidden="false" customHeight="true" outlineLevel="0" collapsed="false">
      <c r="B9" s="25" t="s">
        <v>507</v>
      </c>
      <c r="C9" s="34"/>
      <c r="D9" s="27" t="s">
        <v>228</v>
      </c>
      <c r="E9" s="35" t="s">
        <v>229</v>
      </c>
      <c r="F9" s="36" t="n">
        <v>0.0375</v>
      </c>
      <c r="G9" s="37" t="str">
        <f aca="false">IF(ISBLANK(C9),IF(Fill_Example="Yes",F9,""),C9)</f>
        <v/>
      </c>
    </row>
    <row r="10" customFormat="false" ht="15" hidden="false" customHeight="true" outlineLevel="0" collapsed="false">
      <c r="B10" s="25" t="s">
        <v>230</v>
      </c>
      <c r="C10" s="38"/>
      <c r="D10" s="27" t="s">
        <v>231</v>
      </c>
      <c r="E10" s="28" t="s">
        <v>482</v>
      </c>
      <c r="F10" s="39" t="n">
        <v>30</v>
      </c>
      <c r="G10" s="40" t="str">
        <f aca="false">IF(ISBLANK(C10),IF(Fill_Example="Yes",F10,""),C10)</f>
        <v/>
      </c>
    </row>
    <row r="11" customFormat="false" ht="15" hidden="false" customHeight="true" outlineLevel="0" collapsed="false">
      <c r="B11" s="25" t="s">
        <v>508</v>
      </c>
      <c r="C11" s="38"/>
      <c r="D11" s="27" t="s">
        <v>231</v>
      </c>
      <c r="E11" s="28" t="s">
        <v>236</v>
      </c>
      <c r="F11" s="39" t="n">
        <v>10</v>
      </c>
      <c r="G11" s="40" t="str">
        <f aca="false">IF(ISBLANK(C11),IF(Fill_Example="Yes",F11,""),C11)</f>
        <v/>
      </c>
    </row>
    <row r="12" customFormat="false" ht="21.75" hidden="false" customHeight="true" outlineLevel="0" collapsed="false">
      <c r="B12" s="25" t="s">
        <v>509</v>
      </c>
      <c r="C12" s="34"/>
      <c r="D12" s="27" t="s">
        <v>228</v>
      </c>
      <c r="E12" s="35" t="s">
        <v>510</v>
      </c>
      <c r="F12" s="36" t="n">
        <v>0.02</v>
      </c>
      <c r="G12" s="37" t="str">
        <f aca="false">IF(ISBLANK(C12),IF(Fill_Example="Yes",F12,""),C12)</f>
        <v/>
      </c>
    </row>
    <row r="13" customFormat="false" ht="21.75" hidden="false" customHeight="true" outlineLevel="0" collapsed="false">
      <c r="B13" s="25" t="s">
        <v>511</v>
      </c>
      <c r="C13" s="34"/>
      <c r="D13" s="27" t="s">
        <v>228</v>
      </c>
      <c r="E13" s="35" t="s">
        <v>512</v>
      </c>
      <c r="F13" s="36" t="n">
        <v>0.03</v>
      </c>
      <c r="G13" s="37" t="str">
        <f aca="false">IF(ISBLANK(C13),IF(Fill_Example="Yes",F13,""),C13)</f>
        <v/>
      </c>
    </row>
    <row r="14" customFormat="false" ht="21.75" hidden="false" customHeight="true" outlineLevel="0" collapsed="false">
      <c r="B14" s="25" t="s">
        <v>513</v>
      </c>
      <c r="C14" s="34"/>
      <c r="D14" s="27" t="s">
        <v>228</v>
      </c>
      <c r="E14" s="35" t="s">
        <v>514</v>
      </c>
      <c r="F14" s="36" t="n">
        <v>0.01</v>
      </c>
      <c r="G14" s="37" t="str">
        <f aca="false">IF(ISBLANK(C14),IF(Fill_Example="Yes",F14,""),C14)</f>
        <v/>
      </c>
    </row>
    <row r="15" customFormat="false" ht="21.75" hidden="false" customHeight="true" outlineLevel="0" collapsed="false">
      <c r="B15" s="25" t="s">
        <v>233</v>
      </c>
      <c r="C15" s="26"/>
      <c r="D15" s="27" t="s">
        <v>217</v>
      </c>
      <c r="E15" s="35" t="s">
        <v>234</v>
      </c>
      <c r="F15" s="29" t="n">
        <v>3000</v>
      </c>
      <c r="G15" s="30" t="str">
        <f aca="false">IF(ISBLANK(C15),IF(Fill_Example="Yes",F15,""),C15)</f>
        <v/>
      </c>
    </row>
    <row r="16" customFormat="false" ht="21.75" hidden="false" customHeight="true" outlineLevel="0" collapsed="false">
      <c r="B16" s="25" t="s">
        <v>515</v>
      </c>
      <c r="C16" s="34"/>
      <c r="D16" s="27" t="s">
        <v>228</v>
      </c>
      <c r="E16" s="35" t="s">
        <v>516</v>
      </c>
      <c r="F16" s="36" t="n">
        <v>0.01</v>
      </c>
      <c r="G16" s="37" t="str">
        <f aca="false">IF(ISBLANK(C16),IF(Fill_Example="Yes",F16,""),C16)</f>
        <v/>
      </c>
    </row>
    <row r="17" customFormat="false" ht="15" hidden="false" customHeight="true" outlineLevel="0" collapsed="false">
      <c r="B17" s="25" t="s">
        <v>235</v>
      </c>
      <c r="C17" s="38"/>
      <c r="D17" s="27" t="s">
        <v>231</v>
      </c>
      <c r="E17" s="28" t="s">
        <v>236</v>
      </c>
      <c r="F17" s="39" t="n">
        <v>3</v>
      </c>
      <c r="G17" s="40" t="str">
        <f aca="false">IF(ISBLANK(C17),IF(Fill_Example="Yes",F17,""),C17)</f>
        <v/>
      </c>
    </row>
    <row r="19" customFormat="false" ht="15" hidden="false" customHeight="true" outlineLevel="0" collapsed="false">
      <c r="B19" s="13" t="s">
        <v>239</v>
      </c>
      <c r="C19" s="24" t="s">
        <v>240</v>
      </c>
      <c r="D19" s="24" t="s">
        <v>241</v>
      </c>
      <c r="E19" s="24" t="s">
        <v>242</v>
      </c>
      <c r="F19" s="14"/>
      <c r="G19" s="14"/>
    </row>
    <row r="20" customFormat="false" ht="17.25" hidden="false" customHeight="true" outlineLevel="0" collapsed="false">
      <c r="B20" s="21" t="s">
        <v>517</v>
      </c>
      <c r="C20" s="41" t="str">
        <f aca="false">IF(Need_1&lt;&gt;"",Need_1,Home_Value-Balance_After)</f>
        <v>Choose your home price to see this</v>
      </c>
      <c r="D20" s="27" t="s">
        <v>217</v>
      </c>
      <c r="E20" s="42" t="s">
        <v>518</v>
      </c>
    </row>
    <row r="21" customFormat="false" ht="17.25" hidden="false" customHeight="true" outlineLevel="0" collapsed="false">
      <c r="B21" s="21" t="s">
        <v>519</v>
      </c>
      <c r="C21" s="41" t="str">
        <f aca="false">IF(Need_2&lt;&gt;"",Need_2,IF(Rent_Growth=0,Monthly_Rent*12*Years,Monthly_Rent*12*((1+Rent_Growth)^Years-1)/Rent_Growth))</f>
        <v>Choose your monthly rent to see this</v>
      </c>
      <c r="D21" s="27" t="s">
        <v>217</v>
      </c>
      <c r="E21" s="42" t="s">
        <v>520</v>
      </c>
    </row>
    <row r="22" customFormat="false" ht="17.25" hidden="false" customHeight="true" outlineLevel="0" collapsed="false">
      <c r="B22" s="21" t="s">
        <v>521</v>
      </c>
      <c r="C22" s="41" t="str">
        <f aca="false">IF(Need_3&lt;&gt;"",Need_3,Interest_Paid+Upkeep+Stamp_Duty+Buying_Fees+Opportunity_Cost)</f>
        <v>Choose your home price to see this</v>
      </c>
      <c r="D22" s="27" t="s">
        <v>217</v>
      </c>
      <c r="E22" s="42" t="s">
        <v>522</v>
      </c>
    </row>
    <row r="23" customFormat="false" ht="15" hidden="false" customHeight="true" outlineLevel="0" collapsed="false">
      <c r="B23" s="25" t="s">
        <v>523</v>
      </c>
      <c r="C23" s="43" t="str">
        <f aca="false">IF(Need_4&lt;&gt;"",Need_4,Home_Price*(1+House_Growth)^Years)</f>
        <v>Choose your home price to see this</v>
      </c>
      <c r="D23" s="27" t="s">
        <v>217</v>
      </c>
      <c r="E23" s="42" t="s">
        <v>524</v>
      </c>
    </row>
    <row r="24" customFormat="false" ht="15" hidden="false" customHeight="true" outlineLevel="0" collapsed="false">
      <c r="B24" s="25" t="s">
        <v>525</v>
      </c>
      <c r="C24" s="43" t="str">
        <f aca="false">IF(Need_5&lt;&gt;"",Need_5,MAX(0,Home_Price-Deposit))</f>
        <v>Choose your home price to see this</v>
      </c>
      <c r="D24" s="27" t="s">
        <v>217</v>
      </c>
      <c r="E24" s="42" t="s">
        <v>526</v>
      </c>
    </row>
    <row r="25" customFormat="false" ht="15" hidden="false" customHeight="true" outlineLevel="0" collapsed="false">
      <c r="B25" s="25" t="s">
        <v>311</v>
      </c>
      <c r="C25" s="43" t="str">
        <f aca="false">IF(Need_6&lt;&gt;"",Need_6,PMT(Mortgage_Rate/12,RentBuy_Term*12,-Loan))</f>
        <v>Choose your home price to see this</v>
      </c>
      <c r="D25" s="27" t="s">
        <v>217</v>
      </c>
      <c r="E25" s="42" t="s">
        <v>527</v>
      </c>
    </row>
    <row r="26" customFormat="false" ht="15" hidden="false" customHeight="true" outlineLevel="0" collapsed="false">
      <c r="B26" s="25" t="s">
        <v>528</v>
      </c>
      <c r="C26" s="43" t="str">
        <f aca="false">IF(Need_7&lt;&gt;"",Need_7,MAX(0,-FV(Mortgage_Rate/12,MIN(Years,RentBuy_Term)*12,-Monthly_Repayment,Loan)))</f>
        <v>Choose your home price to see this</v>
      </c>
      <c r="D26" s="27" t="s">
        <v>217</v>
      </c>
      <c r="E26" s="42" t="s">
        <v>529</v>
      </c>
    </row>
    <row r="27" customFormat="false" ht="15" hidden="false" customHeight="true" outlineLevel="0" collapsed="false">
      <c r="B27" s="25" t="s">
        <v>530</v>
      </c>
      <c r="C27" s="43" t="str">
        <f aca="false">IF(Need_7&lt;&gt;"",Need_7,Monthly_Repayment*MIN(Years,RentBuy_Term)*12-(Loan-Balance_After))</f>
        <v>Choose your home price to see this</v>
      </c>
      <c r="D27" s="27" t="s">
        <v>217</v>
      </c>
      <c r="E27" s="42" t="s">
        <v>531</v>
      </c>
    </row>
    <row r="28" customFormat="false" ht="21.75" hidden="false" customHeight="true" outlineLevel="0" collapsed="false">
      <c r="B28" s="25" t="s">
        <v>532</v>
      </c>
      <c r="C28" s="43" t="str">
        <f aca="false">IF(Need_8&lt;&gt;"",Need_8,IF(House_Growth=0,Home_Price*Upkeep_Rate*Years,Home_Price*Upkeep_Rate*((1+House_Growth)^Years-1)/House_Growth))</f>
        <v>Choose your home price to see this</v>
      </c>
      <c r="D28" s="27" t="s">
        <v>217</v>
      </c>
      <c r="E28" s="42" t="s">
        <v>533</v>
      </c>
    </row>
    <row r="29" customFormat="false" ht="21.75" hidden="false" customHeight="true" outlineLevel="0" collapsed="false">
      <c r="B29" s="25" t="s">
        <v>388</v>
      </c>
      <c r="C29" s="43" t="str">
        <f aca="false">IF(Need_9&lt;&gt;"",Need_9,SD_Rate_1*MIN(Home_Price,SD_Band_1)+SD_Rate_2*MAX(0,MIN(Home_Price,SD_Band_2)-SD_Band_1)+SD_Rate_3*MAX(0,Home_Price-SD_Band_2))</f>
        <v>Choose your home price to see this</v>
      </c>
      <c r="D29" s="27" t="s">
        <v>217</v>
      </c>
      <c r="E29" s="42" t="s">
        <v>250</v>
      </c>
    </row>
    <row r="30" customFormat="false" ht="15" hidden="false" customHeight="true" outlineLevel="0" collapsed="false">
      <c r="B30" s="25" t="s">
        <v>534</v>
      </c>
      <c r="C30" s="43" t="str">
        <f aca="false">IF(Need_10&lt;&gt;"",Need_10,Deposit*((1+Opp_Rate)^Years-1))</f>
        <v>Choose your deposit to see this</v>
      </c>
      <c r="D30" s="27" t="s">
        <v>217</v>
      </c>
      <c r="E30" s="42" t="s">
        <v>535</v>
      </c>
    </row>
    <row r="32" customFormat="false" ht="15" hidden="false" customHeight="true" outlineLevel="0" collapsed="false">
      <c r="B32" s="13" t="s">
        <v>272</v>
      </c>
      <c r="C32" s="14"/>
      <c r="D32" s="14"/>
      <c r="E32" s="14"/>
      <c r="F32" s="14"/>
      <c r="G32" s="14"/>
    </row>
    <row r="33" customFormat="false" ht="27.75" hidden="false" customHeight="true" outlineLevel="0" collapsed="false">
      <c r="B33" s="46" t="s">
        <v>536</v>
      </c>
      <c r="C33" s="46"/>
      <c r="D33" s="46"/>
      <c r="E33" s="46"/>
    </row>
    <row r="34" customFormat="false" ht="27.75" hidden="false" customHeight="true" outlineLevel="0" collapsed="false">
      <c r="B34" s="46" t="s">
        <v>537</v>
      </c>
      <c r="C34" s="46"/>
      <c r="D34" s="46"/>
      <c r="E34" s="46"/>
    </row>
    <row r="35" customFormat="false" ht="27.75" hidden="false" customHeight="true" outlineLevel="0" collapsed="false">
      <c r="B35" s="46" t="s">
        <v>538</v>
      </c>
      <c r="C35" s="46"/>
      <c r="D35" s="46"/>
      <c r="E35" s="46"/>
    </row>
    <row r="36" customFormat="false" ht="13.5" hidden="false" customHeight="true" outlineLevel="0" collapsed="false">
      <c r="B36" s="47" t="s">
        <v>276</v>
      </c>
      <c r="C36" s="47"/>
      <c r="D36" s="47"/>
      <c r="E36" s="47"/>
    </row>
    <row r="37" customFormat="false" ht="13.5" hidden="false" customHeight="true" outlineLevel="0" collapsed="false">
      <c r="B37" s="46" t="s">
        <v>539</v>
      </c>
      <c r="C37" s="46"/>
      <c r="D37" s="46"/>
      <c r="E37" s="46"/>
    </row>
    <row r="38" customFormat="false" ht="27.75" hidden="false" customHeight="true" outlineLevel="0" collapsed="false">
      <c r="B38" s="46" t="s">
        <v>540</v>
      </c>
      <c r="C38" s="46"/>
      <c r="D38" s="46"/>
      <c r="E38" s="46"/>
    </row>
    <row r="40" customFormat="false" ht="15" hidden="false" customHeight="true" outlineLevel="0" collapsed="false">
      <c r="B40" s="13" t="s">
        <v>281</v>
      </c>
      <c r="C40" s="14"/>
      <c r="D40" s="14"/>
      <c r="E40" s="14"/>
      <c r="F40" s="14"/>
      <c r="G40" s="14"/>
    </row>
    <row r="41" customFormat="false" ht="15" hidden="false" customHeight="true" outlineLevel="0" collapsed="false">
      <c r="B41" s="25" t="s">
        <v>282</v>
      </c>
      <c r="C41" s="48" t="str">
        <f aca="false">"Buy a home (deposit goal)"</f>
        <v>Buy a home (deposit goal)</v>
      </c>
      <c r="E41" s="49" t="s">
        <v>283</v>
      </c>
    </row>
    <row r="42" customFormat="false" ht="15" hidden="false" customHeight="true" outlineLevel="0" collapsed="false">
      <c r="B42" s="25" t="s">
        <v>395</v>
      </c>
      <c r="C42" s="50" t="str">
        <f aca="false">IF(Need_11&lt;&gt;"",Need_11,ROUND(Deposit+Stamp_Duty+Buying_Fees,0))</f>
        <v>Choose your home price to see this</v>
      </c>
      <c r="E42" s="49" t="s">
        <v>541</v>
      </c>
    </row>
    <row r="43" customFormat="false" ht="15" hidden="false" customHeight="true" outlineLevel="0" collapsed="false">
      <c r="B43" s="25" t="s">
        <v>288</v>
      </c>
      <c r="C43" s="51" t="str">
        <f aca="false">IF(Need_12&lt;&gt;"",Need_12,Home_Goal_Years)</f>
        <v>Choose your years until you buy to see this</v>
      </c>
      <c r="E43" s="49" t="s">
        <v>289</v>
      </c>
    </row>
    <row r="45" customFormat="false" ht="15" hidden="false" customHeight="true" outlineLevel="0" collapsed="false">
      <c r="B45" s="13" t="s">
        <v>290</v>
      </c>
      <c r="C45" s="14"/>
      <c r="D45" s="14"/>
      <c r="E45" s="14"/>
      <c r="F45" s="14"/>
      <c r="G45" s="14"/>
    </row>
    <row r="46" customFormat="false" ht="15" hidden="false" customHeight="true" outlineLevel="0" collapsed="false">
      <c r="B46" s="52" t="s">
        <v>542</v>
      </c>
      <c r="C46" s="52" t="str">
        <f aca="false">IF(Home_Price="","Choose your home price to see this",IF(Deposit="","Choose your deposit to see this",IF(Mortgage_Rate="","Choose your mortgage rate to see this",IF(RentBuy_Term="","Choose your mortgage term to see this",IF(Years="","Choose your years to compare to see this",IF(House_Growth="","Choose your house price growth to see this",""))))))</f>
        <v>Choose your home price to see this</v>
      </c>
    </row>
    <row r="47" customFormat="false" ht="15" hidden="false" customHeight="true" outlineLevel="0" collapsed="false">
      <c r="B47" s="52" t="s">
        <v>543</v>
      </c>
      <c r="C47" s="52" t="str">
        <f aca="false">IF(Monthly_Rent="","Choose your monthly rent to see this",IF(Years="","Choose your years to compare to see this",IF(Rent_Growth="","Choose your rent rise to see this","")))</f>
        <v>Choose your monthly rent to see this</v>
      </c>
    </row>
    <row r="48" customFormat="false" ht="15" hidden="false" customHeight="true" outlineLevel="0" collapsed="false">
      <c r="B48" s="52" t="s">
        <v>544</v>
      </c>
      <c r="C48" s="52" t="str">
        <f aca="false">IF(Home_Price="","Choose your home price to see this",IF(Deposit="","Choose your deposit to see this",IF(Mortgage_Rate="","Choose your mortgage rate to see this",IF(RentBuy_Term="","Choose your mortgage term to see this",IF(Years="","Choose your years to compare to see this",IF(House_Growth="","Choose your house price growth to see this",IF(Upkeep_Rate="","Choose your upkeep rate to see this",IF(Buying_Fees="","Choose your buying fees to see this",IF(Opp_Rate="","Choose your deposit earnings rate to see this","")))))))))</f>
        <v>Choose your home price to see this</v>
      </c>
    </row>
    <row r="49" customFormat="false" ht="15" hidden="false" customHeight="true" outlineLevel="0" collapsed="false">
      <c r="B49" s="52" t="s">
        <v>545</v>
      </c>
      <c r="C49" s="52" t="str">
        <f aca="false">IF(Home_Price="","Choose your home price to see this",IF(Years="","Choose your years to compare to see this",IF(House_Growth="","Choose your house price growth to see this","")))</f>
        <v>Choose your home price to see this</v>
      </c>
    </row>
    <row r="50" customFormat="false" ht="15" hidden="false" customHeight="true" outlineLevel="0" collapsed="false">
      <c r="B50" s="52" t="s">
        <v>546</v>
      </c>
      <c r="C50" s="52" t="str">
        <f aca="false">IF(Home_Price="","Choose your home price to see this",IF(Deposit="","Choose your deposit to see this",""))</f>
        <v>Choose your home price to see this</v>
      </c>
    </row>
    <row r="51" customFormat="false" ht="15" hidden="false" customHeight="true" outlineLevel="0" collapsed="false">
      <c r="B51" s="52" t="s">
        <v>547</v>
      </c>
      <c r="C51" s="52" t="str">
        <f aca="false">IF(Home_Price="","Choose your home price to see this",IF(Deposit="","Choose your deposit to see this",IF(Mortgage_Rate="","Choose your mortgage rate to see this",IF(RentBuy_Term="","Choose your mortgage term to see this",""))))</f>
        <v>Choose your home price to see this</v>
      </c>
    </row>
    <row r="52" customFormat="false" ht="15" hidden="false" customHeight="true" outlineLevel="0" collapsed="false">
      <c r="B52" s="52" t="s">
        <v>548</v>
      </c>
      <c r="C52" s="52" t="str">
        <f aca="false">IF(Home_Price="","Choose your home price to see this",IF(Deposit="","Choose your deposit to see this",IF(Mortgage_Rate="","Choose your mortgage rate to see this",IF(RentBuy_Term="","Choose your mortgage term to see this",IF(Years="","Choose your years to compare to see this","")))))</f>
        <v>Choose your home price to see this</v>
      </c>
    </row>
    <row r="53" customFormat="false" ht="15" hidden="false" customHeight="true" outlineLevel="0" collapsed="false">
      <c r="B53" s="52" t="s">
        <v>549</v>
      </c>
      <c r="C53" s="52" t="str">
        <f aca="false">IF(Home_Price="","Choose your home price to see this",IF(Years="","Choose your years to compare to see this",IF(House_Growth="","Choose your house price growth to see this",IF(Upkeep_Rate="","Choose your upkeep rate to see this",""))))</f>
        <v>Choose your home price to see this</v>
      </c>
    </row>
    <row r="54" customFormat="false" ht="15" hidden="false" customHeight="true" outlineLevel="0" collapsed="false">
      <c r="B54" s="52" t="s">
        <v>403</v>
      </c>
      <c r="C54" s="52" t="str">
        <f aca="false">IF(Home_Price="","Choose your home price to see this","")</f>
        <v>Choose your home price to see this</v>
      </c>
    </row>
    <row r="55" customFormat="false" ht="15" hidden="false" customHeight="true" outlineLevel="0" collapsed="false">
      <c r="B55" s="52" t="s">
        <v>550</v>
      </c>
      <c r="C55" s="52" t="str">
        <f aca="false">IF(Deposit="","Choose your deposit to see this",IF(Years="","Choose your years to compare to see this",IF(Opp_Rate="","Choose your deposit earnings rate to see this","")))</f>
        <v>Choose your deposit to see this</v>
      </c>
    </row>
    <row r="56" customFormat="false" ht="15" hidden="false" customHeight="true" outlineLevel="0" collapsed="false">
      <c r="B56" s="52" t="s">
        <v>551</v>
      </c>
      <c r="C56" s="52" t="str">
        <f aca="false">IF(Home_Price="","Choose your home price to see this",IF(Deposit="","Choose your deposit to see this",IF(Buying_Fees="","Choose your buying fees to see this","")))</f>
        <v>Choose your home price to see this</v>
      </c>
    </row>
    <row r="57" customFormat="false" ht="15" hidden="false" customHeight="true" outlineLevel="0" collapsed="false">
      <c r="B57" s="52" t="s">
        <v>297</v>
      </c>
      <c r="C57" s="52" t="str">
        <f aca="false">IF(Home_Goal_Years="","Choose your years until you buy to see this","")</f>
        <v>Choose your years until you buy to see this</v>
      </c>
    </row>
  </sheetData>
  <mergeCells count="6">
    <mergeCell ref="B33:E33"/>
    <mergeCell ref="B34:E34"/>
    <mergeCell ref="B35:E35"/>
    <mergeCell ref="B36:E36"/>
    <mergeCell ref="B37:E37"/>
    <mergeCell ref="B38:E38"/>
  </mergeCells>
  <dataValidations count="12">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7" type="whole">
      <formula1>1</formula1>
      <formula2>30</formula2>
    </dataValidation>
    <dataValidation allowBlank="true" error="Please enter €0 to €10,000 · steps of €100." errorStyle="stop" errorTitle="Outside the allowed range" operator="between" prompt="Usually between €2,500 and €3,500 for legal and survey fees (stamp duty is added for you). Enter your own figure.  Allowed: €0 to €10,000 · steps of €100." promptTitle="Legal and other buying fees" showDropDown="false" showErrorMessage="true" showInputMessage="true" sqref="C15"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7" type="decimal">
      <formula1>100000</formula1>
      <formula2>10000000</formula2>
    </dataValidation>
    <dataValidation allowBlank="true" error="Please enter €500 to €50,000 · steps of €50." errorStyle="stop" errorTitle="Outside the allowed range" operator="between" prompt="Your own figure.  Allowed: €500 to €50,000 · steps of €50." promptTitle="Monthly rent" showDropDown="false" showErrorMessage="true" showInputMessage="true" sqref="C6" type="decimal">
      <formula1>500</formula1>
      <formula2>50000</formula2>
    </dataValidation>
    <dataValidation allowBlank="true" error="Please enter at least 10% of the price and no more than the price." errorStyle="stop" errorTitle="Outside the allowed range" operator="between" prompt="Your own figure.  Allowed: at least 10% of the price and no more than the price." promptTitle="Deposit" showDropDown="false" showErrorMessage="true" showInputMessage="true" sqref="C8" type="custom">
      <formula1>AND('C07 Rent vs buy'!Deposit&gt;=Min_Deposit_Pct*'C07 Rent vs buy'!Home_Price,'C07 Rent vs buy'!Deposit&lt;='C07 Rent vs buy'!Home_Price)</formula1>
      <formula2>0</formula2>
    </dataValidation>
    <dataValidation allowBlank="true" error="Please enter 1% to 8% · steps of 0.05%." errorStyle="stop" errorTitle="Outside the allowed range" operator="between" prompt="Usually between 3.5% and 4.5% a year for new Irish mortgages (Central Bank retail interest rates: new mortgages averaged 3.49% in June 2026). Enter your own figure.  Allowed: 1% to 8% · steps of 0.05%." promptTitle="Mortgage rate" showDropDown="false" showErrorMessage="true" showInputMessage="true" sqref="C9" type="decimal">
      <formula1>0.01</formula1>
      <formula2>0.08</formula2>
    </dataValidation>
    <dataValidation allowBlank="true" error="Please enter 5 to 35 · steps of 1." errorStyle="stop" errorTitle="Outside the allowed range" operator="between" prompt="Your own figure.  Allowed: 5 to 35 · steps of 1." promptTitle="Mortgage term" showDropDown="false" showErrorMessage="true" showInputMessage="true" sqref="C10" type="whole">
      <formula1>5</formula1>
      <formula2>35</formula2>
    </dataValidation>
    <dataValidation allowBlank="true" error="Please enter 1 to 30 · steps of 1." errorStyle="stop" errorTitle="Outside the allowed range" operator="between" prompt="Your own figure.  Allowed: 1 to 30 · steps of 1." promptTitle="Years to compare" showDropDown="false" showErrorMessage="true" showInputMessage="true" sqref="C11" type="whole">
      <formula1>1</formula1>
      <formula2>30</formula2>
    </dataValidation>
    <dataValidation allowBlank="true" error="Please enter 0% to 6% · steps of 0.5%." errorStyle="stop" errorTitle="Outside the allowed range" operator="between" prompt="Generally the standard is 2% a year, in line with long-run inflation (house prices can fall as well as rise). Choose what you want to use.  Allowed: 0% to 6% · steps of 0.5%." promptTitle="House prices rise a year" showDropDown="false" showErrorMessage="true" showInputMessage="true" sqref="C12" type="decimal">
      <formula1>0</formula1>
      <formula2>0.06</formula2>
    </dataValidation>
    <dataValidation allowBlank="true" error="Please enter 0% to 8% · steps of 0.5%." errorStyle="stop" errorTitle="Outside the allowed range" operator="between" prompt="Generally the standard is 3% a year (Irish rents have risen faster than prices in recent years). Choose what you want to use.  Allowed: 0% to 8% · steps of 0.5%." promptTitle="Rent rises a year" showDropDown="false" showErrorMessage="true" showInputMessage="true" sqref="C13" type="decimal">
      <formula1>0</formula1>
      <formula2>0.08</formula2>
    </dataValidation>
    <dataValidation allowBlank="true" error="Please enter 0% to 3% · steps of 0.1%." errorStyle="stop" errorTitle="Outside the allowed range" operator="between" prompt="Generally the standard is 1% of the home's value a year for repairs, insurance and maintenance. Choose what you want to use.  Allowed: 0% to 3% · steps of 0.1%." promptTitle="Upkeep a year, % of the home's v" showDropDown="false" showErrorMessage="true" showInputMessage="true" sqref="C14" type="decimal">
      <formula1>0</formula1>
      <formula2>0.03</formula2>
    </dataValidation>
    <dataValidation allowBlank="true" error="Please enter 0% to 6% · steps of 0.5%." errorStyle="stop" errorTitle="Outside the allowed range" operator="between" prompt="Usually between about 1.3% and 1.5% a year after 33% DIRT (fixed-term deposits paid about 2%–2.3% before tax in mid-2026). Enter your own figure.  Allowed: 0% to 6% · steps of 0.5%." promptTitle="What the deposit could earn a ye" showDropDown="false" showErrorMessage="true" showInputMessage="true" sqref="C16" type="decimal">
      <formula1>0</formula1>
      <formula2>0.06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552</v>
      </c>
      <c r="E1" s="3" t="s">
        <v>553</v>
      </c>
    </row>
    <row r="2" customFormat="false" ht="15" hidden="false" customHeight="true" outlineLevel="0" collapsed="false">
      <c r="B2" s="21" t="s">
        <v>554</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555</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212</v>
      </c>
      <c r="C9" s="24" t="s">
        <v>213</v>
      </c>
      <c r="D9" s="24" t="s">
        <v>214</v>
      </c>
      <c r="E9" s="24" t="s">
        <v>215</v>
      </c>
      <c r="F9" s="14"/>
      <c r="G9" s="14"/>
    </row>
    <row r="10" customFormat="false" ht="15" hidden="false" customHeight="true" outlineLevel="0" collapsed="false">
      <c r="B10" s="25" t="s">
        <v>560</v>
      </c>
      <c r="C10" s="26"/>
      <c r="D10" s="27" t="s">
        <v>217</v>
      </c>
      <c r="E10" s="28" t="s">
        <v>561</v>
      </c>
      <c r="F10" s="29" t="n">
        <v>15000</v>
      </c>
      <c r="G10" s="30" t="str">
        <f aca="false">IF(ISBLANK(C10),IF(Fill_Example="Yes",F10,""),C10)</f>
        <v/>
      </c>
    </row>
    <row r="11" customFormat="false" ht="15" hidden="false" customHeight="true" outlineLevel="0" collapsed="false">
      <c r="B11" s="25" t="s">
        <v>562</v>
      </c>
      <c r="C11" s="38"/>
      <c r="D11" s="27" t="s">
        <v>231</v>
      </c>
      <c r="E11" s="28" t="s">
        <v>236</v>
      </c>
      <c r="F11" s="39" t="n">
        <v>3</v>
      </c>
      <c r="G11" s="40" t="str">
        <f aca="false">IF(ISBLANK(C11),IF(Fill_Example="Yes",F11,""),C11)</f>
        <v/>
      </c>
    </row>
    <row r="12" customFormat="false" ht="15" hidden="false" customHeight="true" outlineLevel="0" collapsed="false">
      <c r="B12" s="25" t="s">
        <v>286</v>
      </c>
      <c r="C12" s="26"/>
      <c r="D12" s="27" t="s">
        <v>217</v>
      </c>
      <c r="E12" s="28" t="s">
        <v>563</v>
      </c>
      <c r="F12" s="29" t="n">
        <v>2000</v>
      </c>
      <c r="G12" s="30" t="str">
        <f aca="false">IF(ISBLANK(C12),IF(Fill_Example="Yes",F12,""),C12)</f>
        <v/>
      </c>
    </row>
    <row r="13" customFormat="false" ht="21.75" hidden="false" customHeight="true" outlineLevel="0" collapsed="false">
      <c r="B13" s="25" t="s">
        <v>564</v>
      </c>
      <c r="C13" s="34"/>
      <c r="D13" s="27" t="s">
        <v>228</v>
      </c>
      <c r="E13" s="35" t="s">
        <v>565</v>
      </c>
      <c r="F13" s="36" t="n">
        <v>0.01</v>
      </c>
      <c r="G13" s="37" t="str">
        <f aca="false">IF(ISBLANK(C13),IF(Fill_Example="Yes",F13,""),C13)</f>
        <v/>
      </c>
    </row>
    <row r="15" customFormat="false" ht="15" hidden="false" customHeight="true" outlineLevel="0" collapsed="false">
      <c r="B15" s="13" t="s">
        <v>239</v>
      </c>
      <c r="C15" s="24" t="s">
        <v>240</v>
      </c>
      <c r="D15" s="24" t="s">
        <v>241</v>
      </c>
      <c r="E15" s="24" t="s">
        <v>242</v>
      </c>
      <c r="F15" s="14"/>
      <c r="G15" s="14"/>
    </row>
    <row r="16" customFormat="false" ht="17.25" hidden="false" customHeight="true" outlineLevel="0" collapsed="false">
      <c r="B16" s="21" t="s">
        <v>566</v>
      </c>
      <c r="C16" s="41" t="str">
        <f aca="false">IF(Need_1&lt;&gt;"",Need_1,IF(Inflation_Choice="","Choose your inflation rate to see this",PMT(Monthly_Growth,Years*12,0,-Still_Needed)))</f>
        <v>Choose your inflation rate to see this</v>
      </c>
      <c r="D16" s="27" t="s">
        <v>217</v>
      </c>
      <c r="E16" s="42" t="s">
        <v>567</v>
      </c>
    </row>
    <row r="17" customFormat="false" ht="17.25" hidden="false" customHeight="true" outlineLevel="0" collapsed="false">
      <c r="B17" s="21" t="s">
        <v>568</v>
      </c>
      <c r="C17" s="41" t="str">
        <f aca="false">IF(Need_2&lt;&gt;"",Need_2,IF(Inflation_Choice="","Choose your inflation rate to see this",Goal_Amount*(1+Inflation_Choice)^Years))</f>
        <v>Choose your inflation rate to see this</v>
      </c>
      <c r="D17" s="27" t="s">
        <v>217</v>
      </c>
      <c r="E17" s="42" t="s">
        <v>569</v>
      </c>
    </row>
    <row r="18" customFormat="false" ht="15" hidden="false" customHeight="true" outlineLevel="0" collapsed="false">
      <c r="B18" s="25" t="s">
        <v>570</v>
      </c>
      <c r="C18" s="43" t="str">
        <f aca="false">IF(Need_3&lt;&gt;"",Need_3,Saved*(1+Growth_Rate)^Years)</f>
        <v>Choose your years until the goal to see this</v>
      </c>
      <c r="D18" s="27" t="s">
        <v>217</v>
      </c>
      <c r="E18" s="42" t="s">
        <v>571</v>
      </c>
    </row>
    <row r="19" customFormat="false" ht="15" hidden="false" customHeight="true" outlineLevel="0" collapsed="false">
      <c r="B19" s="25" t="s">
        <v>572</v>
      </c>
      <c r="C19" s="43" t="str">
        <f aca="false">IF(Need_1&lt;&gt;"",Need_1,IF(Inflation_Choice="","Choose your inflation rate to see this",MAX(0,Future_Cost-Saved_Grows_To)))</f>
        <v>Choose your inflation rate to see this</v>
      </c>
      <c r="D19" s="27" t="s">
        <v>217</v>
      </c>
      <c r="E19" s="42" t="s">
        <v>573</v>
      </c>
    </row>
    <row r="20" customFormat="false" ht="15" hidden="false" customHeight="true" outlineLevel="0" collapsed="false">
      <c r="B20" s="25" t="s">
        <v>574</v>
      </c>
      <c r="C20" s="64" t="str">
        <f aca="false">IF(Need_4&lt;&gt;"",Need_4,(1+Growth_Rate)^(1/12)-1)</f>
        <v>Choose your growth rate to see this</v>
      </c>
      <c r="D20" s="27"/>
      <c r="E20" s="42" t="s">
        <v>575</v>
      </c>
    </row>
    <row r="21" customFormat="false" ht="15" hidden="false" customHeight="true" outlineLevel="0" collapsed="false">
      <c r="B21"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68"/>
      <c r="D21" s="68"/>
      <c r="E21" s="68"/>
    </row>
    <row r="23" customFormat="false" ht="15" hidden="false" customHeight="true" outlineLevel="0" collapsed="false">
      <c r="B23" s="13" t="s">
        <v>272</v>
      </c>
      <c r="C23" s="14"/>
      <c r="D23" s="14"/>
      <c r="E23" s="14"/>
      <c r="F23" s="14"/>
      <c r="G23" s="14"/>
    </row>
    <row r="24" customFormat="false" ht="13.5" hidden="false" customHeight="true" outlineLevel="0" collapsed="false">
      <c r="B24" s="46" t="s">
        <v>576</v>
      </c>
      <c r="C24" s="46"/>
      <c r="D24" s="46"/>
      <c r="E24" s="46"/>
    </row>
    <row r="25" customFormat="false" ht="13.5" hidden="false" customHeight="true" outlineLevel="0" collapsed="false">
      <c r="B25" s="46" t="s">
        <v>577</v>
      </c>
      <c r="C25" s="46"/>
      <c r="D25" s="46"/>
      <c r="E25" s="46"/>
    </row>
    <row r="26" customFormat="false" ht="13.5" hidden="false" customHeight="true" outlineLevel="0" collapsed="false">
      <c r="B26" s="46" t="s">
        <v>578</v>
      </c>
      <c r="C26" s="46"/>
      <c r="D26" s="46"/>
      <c r="E26" s="46"/>
    </row>
    <row r="27" customFormat="false" ht="13.5" hidden="false" customHeight="true" outlineLevel="0" collapsed="false">
      <c r="B27" s="47" t="s">
        <v>276</v>
      </c>
      <c r="C27" s="47"/>
      <c r="D27" s="47"/>
      <c r="E27" s="47"/>
    </row>
    <row r="28" customFormat="false" ht="13.5" hidden="false" customHeight="true" outlineLevel="0" collapsed="false">
      <c r="B28" s="46" t="s">
        <v>579</v>
      </c>
      <c r="C28" s="46"/>
      <c r="D28" s="46"/>
      <c r="E28" s="46"/>
    </row>
    <row r="29" customFormat="false" ht="13.5" hidden="false" customHeight="true" outlineLevel="0" collapsed="false">
      <c r="B29" s="46" t="s">
        <v>580</v>
      </c>
      <c r="C29" s="46"/>
      <c r="D29" s="46"/>
      <c r="E29" s="46"/>
    </row>
    <row r="31" customFormat="false" ht="15" hidden="false" customHeight="true" outlineLevel="0" collapsed="false">
      <c r="B31" s="13" t="s">
        <v>281</v>
      </c>
      <c r="C31" s="14"/>
      <c r="D31" s="14"/>
      <c r="E31" s="14"/>
      <c r="F31" s="14"/>
      <c r="G31" s="14"/>
    </row>
    <row r="32" customFormat="false" ht="15" hidden="false" customHeight="true" outlineLevel="0" collapsed="false">
      <c r="B32" s="25" t="s">
        <v>282</v>
      </c>
      <c r="C32" s="48" t="str">
        <f aca="false">"My goal (spend goal)"</f>
        <v>My goal (spend goal)</v>
      </c>
      <c r="E32" s="49" t="s">
        <v>581</v>
      </c>
    </row>
    <row r="33" customFormat="false" ht="15" hidden="false" customHeight="true" outlineLevel="0" collapsed="false">
      <c r="B33" s="25" t="s">
        <v>582</v>
      </c>
      <c r="C33" s="50" t="str">
        <f aca="false">IF(Need_5&lt;&gt;"",Need_5,Goal_Amount)</f>
        <v>Choose your goal amount to see this</v>
      </c>
      <c r="E33" s="49" t="s">
        <v>583</v>
      </c>
    </row>
    <row r="34" customFormat="false" ht="15" hidden="false" customHeight="true" outlineLevel="0" collapsed="false">
      <c r="B34" s="25" t="s">
        <v>286</v>
      </c>
      <c r="C34" s="50" t="str">
        <f aca="false">IF(Need_6&lt;&gt;"",Need_6,Saved)</f>
        <v>Choose your already saved to see this</v>
      </c>
      <c r="E34" s="49" t="s">
        <v>397</v>
      </c>
    </row>
    <row r="35" customFormat="false" ht="15" hidden="false" customHeight="true" outlineLevel="0" collapsed="false">
      <c r="B35" s="25" t="s">
        <v>288</v>
      </c>
      <c r="C35" s="51" t="str">
        <f aca="false">IF(Need_7&lt;&gt;"",Need_7,Years)</f>
        <v>Choose your years until the goal to see this</v>
      </c>
      <c r="E35" s="49" t="s">
        <v>584</v>
      </c>
    </row>
    <row r="36" customFormat="false" ht="15" hidden="false" customHeight="true" outlineLevel="0" collapsed="false">
      <c r="B36" s="25" t="s">
        <v>585</v>
      </c>
      <c r="C36" s="69" t="str">
        <f aca="false">IF(Inflation_Choice="","Choose an inflation rate first",Inflation_Choice)</f>
        <v>Choose an inflation rate first</v>
      </c>
      <c r="E36" s="49" t="s">
        <v>586</v>
      </c>
    </row>
    <row r="38" customFormat="false" ht="15" hidden="false" customHeight="true" outlineLevel="0" collapsed="false">
      <c r="B38" s="13" t="s">
        <v>290</v>
      </c>
      <c r="C38" s="14"/>
      <c r="D38" s="14"/>
      <c r="E38" s="14"/>
      <c r="F38" s="14"/>
      <c r="G38" s="14"/>
    </row>
    <row r="39" customFormat="false" ht="15" hidden="false" customHeight="true" outlineLevel="0" collapsed="false">
      <c r="B39" s="52" t="s">
        <v>587</v>
      </c>
      <c r="C39" s="52" t="str">
        <f aca="false">IF(Inflation_Choice="","Choose your inflation rate to see this",IF(Goal_Amount="","Choose your goal amount to see this",IF(Years="","Choose your years until the goal to see this",IF(Saved="","Choose your already saved to see this",IF(Growth_Rate="","Choose your growth rate to see this","")))))</f>
        <v>Choose your inflation rate to see this</v>
      </c>
    </row>
    <row r="40" customFormat="false" ht="15" hidden="false" customHeight="true" outlineLevel="0" collapsed="false">
      <c r="B40" s="52" t="s">
        <v>588</v>
      </c>
      <c r="C40" s="52" t="str">
        <f aca="false">IF(Inflation_Choice="","Choose your inflation rate to see this",IF(Goal_Amount="","Choose your goal amount to see this",IF(Years="","Choose your years until the goal to see this","")))</f>
        <v>Choose your inflation rate to see this</v>
      </c>
    </row>
    <row r="41" customFormat="false" ht="15" hidden="false" customHeight="true" outlineLevel="0" collapsed="false">
      <c r="B41" s="52" t="s">
        <v>589</v>
      </c>
      <c r="C41" s="52" t="str">
        <f aca="false">IF(Years="","Choose your years until the goal to see this",IF(Saved="","Choose your already saved to see this",IF(Growth_Rate="","Choose your growth rate to see this","")))</f>
        <v>Choose your years until the goal to see this</v>
      </c>
    </row>
    <row r="42" customFormat="false" ht="15" hidden="false" customHeight="true" outlineLevel="0" collapsed="false">
      <c r="B42" s="52" t="s">
        <v>590</v>
      </c>
      <c r="C42" s="52" t="str">
        <f aca="false">IF(Growth_Rate="","Choose your growth rate to see this","")</f>
        <v>Choose your growth rate to see this</v>
      </c>
    </row>
    <row r="43" customFormat="false" ht="15" hidden="false" customHeight="true" outlineLevel="0" collapsed="false">
      <c r="B43" s="52" t="s">
        <v>591</v>
      </c>
      <c r="C43" s="52" t="str">
        <f aca="false">IF(Goal_Amount="","Choose your goal amount to see this","")</f>
        <v>Choose your goal amount to see this</v>
      </c>
    </row>
    <row r="44" customFormat="false" ht="15" hidden="false" customHeight="true" outlineLevel="0" collapsed="false">
      <c r="B44" s="52" t="s">
        <v>592</v>
      </c>
      <c r="C44" s="52" t="str">
        <f aca="false">IF(Saved="","Choose your already saved to see this","")</f>
        <v>Choose your already saved to see this</v>
      </c>
    </row>
    <row r="45" customFormat="false" ht="15" hidden="false" customHeight="true" outlineLevel="0" collapsed="false">
      <c r="B45" s="52" t="s">
        <v>593</v>
      </c>
      <c r="C45" s="52" t="str">
        <f aca="false">IF(Years="","Choose your years until the goal to see this","")</f>
        <v>Choose your years until the goal to see this</v>
      </c>
    </row>
  </sheetData>
  <mergeCells count="8">
    <mergeCell ref="B7:E7"/>
    <mergeCell ref="B21:E21"/>
    <mergeCell ref="B24:E24"/>
    <mergeCell ref="B25:E25"/>
    <mergeCell ref="B26:E26"/>
    <mergeCell ref="B27:E27"/>
    <mergeCell ref="B28:E28"/>
    <mergeCell ref="B29:E29"/>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500 to €5,000,000 · steps of €500." errorStyle="stop" errorTitle="Outside the allowed range" operator="between" prompt="Your own figure.  Allowed: €500 to €5,000,000 · steps of €500." promptTitle="Goal amount (today's prices)" showDropDown="false" showErrorMessage="true" showInputMessage="true" sqref="C10" type="decimal">
      <formula1>500</formula1>
      <formula2>5000000</formula2>
    </dataValidation>
    <dataValidation allowBlank="true" error="Please enter 1 to 30 · steps of 1." errorStyle="stop" errorTitle="Outside the allowed range" operator="between" prompt="Your own figure.  Allowed: 1 to 30 · steps of 1." promptTitle="Years until the goal" showDropDown="false" showErrorMessage="true" showInputMessage="true" sqref="C11" type="whole">
      <formula1>1</formula1>
      <formula2>30</formula2>
    </dataValidation>
    <dataValidation allowBlank="true" error="Please enter €0 to €2,000,000 · steps of €500." errorStyle="stop" errorTitle="Outside the allowed range" operator="between" prompt="Your own figure.  Allowed: €0 to €2,000,000 · steps of €500." promptTitle="Already saved" showDropDown="false" showErrorMessage="true" showInputMessage="true" sqref="C12" type="decimal">
      <formula1>0</formula1>
      <formula2>2000000</formula2>
    </dataValidation>
    <dataValidation allowBlank="true" error="Please enter 0% to 7% · steps of 0.5%." errorStyle="stop" errorTitle="Outside the allowed range" operator="between" prompt="Generally the standard is 1% a year after DIRT for cash savings (Irish fixed-term deposits about 2% before tax in mid-2026). Choose what you want to use.  Allowed: 0% to 7% · steps of 0.5%." promptTitle="Growth / interest a year (after " showDropDown="false" showErrorMessage="true" showInputMessage="true" sqref="C13"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594</v>
      </c>
      <c r="E1" s="3" t="s">
        <v>595</v>
      </c>
    </row>
    <row r="2" customFormat="false" ht="15" hidden="false" customHeight="true" outlineLevel="0" collapsed="false">
      <c r="B2" s="21" t="s">
        <v>596</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597</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212</v>
      </c>
      <c r="C9" s="24" t="s">
        <v>213</v>
      </c>
      <c r="D9" s="24" t="s">
        <v>214</v>
      </c>
      <c r="E9" s="24" t="s">
        <v>215</v>
      </c>
      <c r="F9" s="14"/>
      <c r="G9" s="14"/>
    </row>
    <row r="10" customFormat="false" ht="15" hidden="false" customHeight="true" outlineLevel="0" collapsed="false">
      <c r="B10" s="25" t="s">
        <v>598</v>
      </c>
      <c r="C10" s="26"/>
      <c r="D10" s="27" t="s">
        <v>217</v>
      </c>
      <c r="E10" s="28" t="s">
        <v>563</v>
      </c>
      <c r="F10" s="29" t="n">
        <v>5000</v>
      </c>
      <c r="G10" s="30" t="str">
        <f aca="false">IF(ISBLANK(C10),IF(Fill_Example="Yes",F10,""),C10)</f>
        <v/>
      </c>
    </row>
    <row r="11" customFormat="false" ht="15" hidden="false" customHeight="true" outlineLevel="0" collapsed="false">
      <c r="B11" s="25" t="s">
        <v>599</v>
      </c>
      <c r="C11" s="26"/>
      <c r="D11" s="27" t="s">
        <v>217</v>
      </c>
      <c r="E11" s="28" t="s">
        <v>600</v>
      </c>
      <c r="F11" s="29" t="n">
        <v>200</v>
      </c>
      <c r="G11" s="30" t="str">
        <f aca="false">IF(ISBLANK(C11),IF(Fill_Example="Yes",F11,""),C11)</f>
        <v/>
      </c>
    </row>
    <row r="12" customFormat="false" ht="21.75" hidden="false" customHeight="true" outlineLevel="0" collapsed="false">
      <c r="B12" s="25" t="s">
        <v>601</v>
      </c>
      <c r="C12" s="34"/>
      <c r="D12" s="27" t="s">
        <v>228</v>
      </c>
      <c r="E12" s="35" t="s">
        <v>602</v>
      </c>
      <c r="F12" s="36" t="n">
        <v>0.05</v>
      </c>
      <c r="G12" s="37" t="str">
        <f aca="false">IF(ISBLANK(C12),IF(Fill_Example="Yes",F12,""),C12)</f>
        <v/>
      </c>
    </row>
    <row r="13" customFormat="false" ht="15" hidden="false" customHeight="true" outlineLevel="0" collapsed="false">
      <c r="B13" s="25" t="s">
        <v>603</v>
      </c>
      <c r="C13" s="38"/>
      <c r="D13" s="27" t="s">
        <v>231</v>
      </c>
      <c r="E13" s="28" t="s">
        <v>604</v>
      </c>
      <c r="F13" s="39" t="n">
        <v>20</v>
      </c>
      <c r="G13" s="40" t="str">
        <f aca="false">IF(ISBLANK(C13),IF(Fill_Example="Yes",F13,""),C13)</f>
        <v/>
      </c>
    </row>
    <row r="15" customFormat="false" ht="15" hidden="false" customHeight="true" outlineLevel="0" collapsed="false">
      <c r="B15" s="13" t="s">
        <v>239</v>
      </c>
      <c r="C15" s="24" t="s">
        <v>240</v>
      </c>
      <c r="D15" s="24" t="s">
        <v>241</v>
      </c>
      <c r="E15" s="24" t="s">
        <v>242</v>
      </c>
      <c r="F15" s="14"/>
      <c r="G15" s="14"/>
    </row>
    <row r="16" customFormat="false" ht="17.25" hidden="false" customHeight="true" outlineLevel="0" collapsed="false">
      <c r="B16" s="21" t="s">
        <v>605</v>
      </c>
      <c r="C16" s="41" t="str">
        <f aca="false">IF(Need_1&lt;&gt;"",Need_1,FV(Monthly_Growth,Years*12,-Monthly_Addition,-Starting_Amount))</f>
        <v>Choose your starting amount to see this</v>
      </c>
      <c r="D16" s="27" t="s">
        <v>217</v>
      </c>
      <c r="E16" s="42" t="s">
        <v>606</v>
      </c>
    </row>
    <row r="17" customFormat="false" ht="17.25" hidden="false" customHeight="true" outlineLevel="0" collapsed="false">
      <c r="B17" s="21" t="s">
        <v>607</v>
      </c>
      <c r="C17" s="41" t="str">
        <f aca="false">IF(Need_2&lt;&gt;"",Need_2,IF(Inflation_Choice="","Choose your inflation rate to see this",Grows_To/(1+Inflation_Choice)^Years))</f>
        <v>Choose your inflation rate to see this</v>
      </c>
      <c r="D17" s="27" t="s">
        <v>217</v>
      </c>
      <c r="E17" s="42" t="s">
        <v>608</v>
      </c>
    </row>
    <row r="18" customFormat="false" ht="15" hidden="false" customHeight="true" outlineLevel="0" collapsed="false">
      <c r="B18" s="25" t="s">
        <v>609</v>
      </c>
      <c r="C18" s="43" t="str">
        <f aca="false">IF(Need_3&lt;&gt;"",Need_3,Starting_Amount+Monthly_Addition*12*Years)</f>
        <v>Choose your starting amount to see this</v>
      </c>
      <c r="D18" s="27" t="s">
        <v>217</v>
      </c>
      <c r="E18" s="42" t="s">
        <v>610</v>
      </c>
    </row>
    <row r="19" customFormat="false" ht="15" hidden="false" customHeight="true" outlineLevel="0" collapsed="false">
      <c r="B19" s="25" t="s">
        <v>611</v>
      </c>
      <c r="C19" s="43" t="str">
        <f aca="false">IF(Need_1&lt;&gt;"",Need_1,Grows_To-Paid_In)</f>
        <v>Choose your starting amount to see this</v>
      </c>
      <c r="D19" s="27" t="s">
        <v>217</v>
      </c>
      <c r="E19" s="42" t="s">
        <v>612</v>
      </c>
    </row>
    <row r="20" customFormat="false" ht="15" hidden="false" customHeight="true" outlineLevel="0" collapsed="false">
      <c r="B20" s="25" t="s">
        <v>574</v>
      </c>
      <c r="C20" s="64" t="str">
        <f aca="false">IF(Need_4&lt;&gt;"",Need_4,(1+Growth_Rate)^(1/12)-1)</f>
        <v>Choose your growth rate to see this</v>
      </c>
      <c r="D20" s="27"/>
      <c r="E20" s="42" t="s">
        <v>575</v>
      </c>
    </row>
    <row r="21" customFormat="false" ht="15" hidden="false" customHeight="true" outlineLevel="0" collapsed="false">
      <c r="B21"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68"/>
      <c r="D21" s="68"/>
      <c r="E21" s="68"/>
    </row>
    <row r="23" customFormat="false" ht="15" hidden="false" customHeight="true" outlineLevel="0" collapsed="false">
      <c r="B23" s="13" t="s">
        <v>272</v>
      </c>
      <c r="C23" s="14"/>
      <c r="D23" s="14"/>
      <c r="E23" s="14"/>
      <c r="F23" s="14"/>
      <c r="G23" s="14"/>
    </row>
    <row r="24" customFormat="false" ht="27.75" hidden="false" customHeight="true" outlineLevel="0" collapsed="false">
      <c r="B24" s="46" t="s">
        <v>613</v>
      </c>
      <c r="C24" s="46"/>
      <c r="D24" s="46"/>
      <c r="E24" s="46"/>
    </row>
    <row r="25" customFormat="false" ht="13.5" hidden="false" customHeight="true" outlineLevel="0" collapsed="false">
      <c r="B25" s="46" t="s">
        <v>614</v>
      </c>
      <c r="C25" s="46"/>
      <c r="D25" s="46"/>
      <c r="E25" s="46"/>
    </row>
    <row r="26" customFormat="false" ht="13.5" hidden="false" customHeight="true" outlineLevel="0" collapsed="false">
      <c r="B26" s="47" t="s">
        <v>276</v>
      </c>
      <c r="C26" s="47"/>
      <c r="D26" s="47"/>
      <c r="E26" s="47"/>
    </row>
    <row r="27" customFormat="false" ht="13.5" hidden="false" customHeight="true" outlineLevel="0" collapsed="false">
      <c r="B27" s="46" t="s">
        <v>615</v>
      </c>
      <c r="C27" s="46"/>
      <c r="D27" s="46"/>
      <c r="E27" s="46"/>
    </row>
    <row r="28" customFormat="false" ht="13.5" hidden="false" customHeight="true" outlineLevel="0" collapsed="false">
      <c r="B28" s="46" t="s">
        <v>616</v>
      </c>
      <c r="C28" s="46"/>
      <c r="D28" s="46"/>
      <c r="E28" s="46"/>
    </row>
    <row r="30" customFormat="false" ht="15" hidden="false" customHeight="true" outlineLevel="0" collapsed="false">
      <c r="B30" s="13" t="s">
        <v>281</v>
      </c>
      <c r="C30" s="14"/>
      <c r="D30" s="14"/>
      <c r="E30" s="14"/>
      <c r="F30" s="14"/>
      <c r="G30" s="14"/>
    </row>
    <row r="31" customFormat="false" ht="15" hidden="false" customHeight="true" outlineLevel="0" collapsed="false">
      <c r="B31" s="25" t="s">
        <v>282</v>
      </c>
      <c r="C31" s="48" t="str">
        <f aca="false">"Grow my wealth (plan kind pot)"</f>
        <v>Grow my wealth (plan kind pot)</v>
      </c>
      <c r="E31" s="49" t="s">
        <v>617</v>
      </c>
    </row>
    <row r="32" customFormat="false" ht="15" hidden="false" customHeight="true" outlineLevel="0" collapsed="false">
      <c r="B32" s="25" t="s">
        <v>618</v>
      </c>
      <c r="C32" s="50" t="str">
        <f aca="false">IF(Need_1&lt;&gt;"",Need_1,IF(Inflation_Choice="","Choose an inflation rate first",ROUND(Value_Today,0)))</f>
        <v>Choose your starting amount to see this</v>
      </c>
      <c r="E32" s="49" t="s">
        <v>619</v>
      </c>
    </row>
    <row r="33" customFormat="false" ht="15" hidden="false" customHeight="true" outlineLevel="0" collapsed="false">
      <c r="B33" s="25" t="s">
        <v>288</v>
      </c>
      <c r="C33" s="51" t="str">
        <f aca="false">IF(Need_5&lt;&gt;"",Need_5,Years)</f>
        <v>Choose your years to see this</v>
      </c>
      <c r="E33" s="49" t="s">
        <v>584</v>
      </c>
    </row>
    <row r="34" customFormat="false" ht="15" hidden="false" customHeight="true" outlineLevel="0" collapsed="false">
      <c r="B34" s="25" t="s">
        <v>585</v>
      </c>
      <c r="C34" s="69" t="str">
        <f aca="false">IF(Inflation_Choice="","Choose an inflation rate first",Inflation_Choice)</f>
        <v>Choose an inflation rate first</v>
      </c>
      <c r="E34" s="49" t="s">
        <v>586</v>
      </c>
    </row>
    <row r="35" customFormat="false" ht="13.5" hidden="false" customHeight="true" outlineLevel="0" collapsed="false">
      <c r="B35" s="53" t="s">
        <v>620</v>
      </c>
      <c r="C35" s="53"/>
      <c r="D35" s="53"/>
      <c r="E35" s="53"/>
    </row>
    <row r="37" customFormat="false" ht="15" hidden="false" customHeight="true" outlineLevel="0" collapsed="false">
      <c r="B37" s="13" t="s">
        <v>290</v>
      </c>
      <c r="C37" s="14"/>
      <c r="D37" s="14"/>
      <c r="E37" s="14"/>
      <c r="F37" s="14"/>
      <c r="G37" s="14"/>
    </row>
    <row r="38" customFormat="false" ht="15" hidden="false" customHeight="true" outlineLevel="0" collapsed="false">
      <c r="B38" s="52" t="s">
        <v>621</v>
      </c>
      <c r="C38" s="52" t="str">
        <f aca="false">IF(Starting_Amount="","Choose your starting amount to see this",IF(Monthly_Addition="","Choose your monthly addition to see this",IF(Growth_Rate="","Choose your growth rate to see this",IF(Years="","Choose your years to see this",""))))</f>
        <v>Choose your starting amount to see this</v>
      </c>
    </row>
    <row r="39" customFormat="false" ht="15" hidden="false" customHeight="true" outlineLevel="0" collapsed="false">
      <c r="B39" s="52" t="s">
        <v>622</v>
      </c>
      <c r="C39" s="52" t="str">
        <f aca="false">IF(Inflation_Choice="","Choose your inflation rate to see this",IF(Starting_Amount="","Choose your starting amount to see this",IF(Monthly_Addition="","Choose your monthly addition to see this",IF(Growth_Rate="","Choose your growth rate to see this",IF(Years="","Choose your years to see this","")))))</f>
        <v>Choose your inflation rate to see this</v>
      </c>
    </row>
    <row r="40" customFormat="false" ht="15" hidden="false" customHeight="true" outlineLevel="0" collapsed="false">
      <c r="B40" s="52" t="s">
        <v>623</v>
      </c>
      <c r="C40" s="52" t="str">
        <f aca="false">IF(Starting_Amount="","Choose your starting amount to see this",IF(Monthly_Addition="","Choose your monthly addition to see this",IF(Years="","Choose your years to see this","")))</f>
        <v>Choose your starting amount to see this</v>
      </c>
    </row>
    <row r="41" customFormat="false" ht="15" hidden="false" customHeight="true" outlineLevel="0" collapsed="false">
      <c r="B41" s="52" t="s">
        <v>590</v>
      </c>
      <c r="C41" s="52" t="str">
        <f aca="false">IF(Growth_Rate="","Choose your growth rate to see this","")</f>
        <v>Choose your growth rate to see this</v>
      </c>
    </row>
    <row r="42" customFormat="false" ht="15" hidden="false" customHeight="true" outlineLevel="0" collapsed="false">
      <c r="B42" s="52" t="s">
        <v>624</v>
      </c>
      <c r="C42" s="52" t="str">
        <f aca="false">IF(Years="","Choose your years to see this","")</f>
        <v>Choose your years to see this</v>
      </c>
    </row>
  </sheetData>
  <mergeCells count="8">
    <mergeCell ref="B7:E7"/>
    <mergeCell ref="B21:E21"/>
    <mergeCell ref="B24:E24"/>
    <mergeCell ref="B25:E25"/>
    <mergeCell ref="B26:E26"/>
    <mergeCell ref="B27:E27"/>
    <mergeCell ref="B28:E28"/>
    <mergeCell ref="B35:E35"/>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2,000,000 · steps of €500." errorStyle="stop" errorTitle="Outside the allowed range" operator="between" prompt="Your own figure.  Allowed: €0 to €2,000,000 · steps of €500." promptTitle="Starting amount" showDropDown="false" showErrorMessage="true" showInputMessage="true" sqref="C10" type="decimal">
      <formula1>0</formula1>
      <formula2>2000000</formula2>
    </dataValidation>
    <dataValidation allowBlank="true" error="Please enter €0 to €30,000 · steps of €25." errorStyle="stop" errorTitle="Outside the allowed range" operator="between" prompt="Your own figure.  Allowed: €0 to €30,000 · steps of €25." promptTitle="Monthly addition" showDropDown="false" showErrorMessage="true" showInputMessage="true" sqref="C11" type="decimal">
      <formula1>0</formula1>
      <formula2>30000</formula2>
    </dataValidation>
    <dataValidation allowBlank="true" error="Please enter 0% to 8% · steps of 0.5%." errorStyle="stop" errorTitle="Outside the allowed range" operator="between" prompt="Generally the standard is 5% a year before charges and tax for a mixed fund (long-run 5%–6% a year; Irish rules audit B3). Choose what you want to use.  Allowed: 0% to 8% · steps of 0.5%." promptTitle="Growth rate a year" showDropDown="false" showErrorMessage="true" showInputMessage="true" sqref="C12" type="decimal">
      <formula1>0</formula1>
      <formula2>0.08</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625</v>
      </c>
      <c r="E1" s="3" t="s">
        <v>626</v>
      </c>
    </row>
    <row r="2" customFormat="false" ht="15" hidden="false" customHeight="true" outlineLevel="0" collapsed="false">
      <c r="B2" s="21" t="s">
        <v>627</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628</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302</v>
      </c>
      <c r="C9" s="14"/>
      <c r="D9" s="14"/>
      <c r="E9" s="14"/>
      <c r="F9" s="14"/>
      <c r="G9" s="14"/>
    </row>
    <row r="10" customFormat="false" ht="27.75" hidden="false" customHeight="true" outlineLevel="0" collapsed="false">
      <c r="B10" s="53" t="s">
        <v>629</v>
      </c>
      <c r="C10" s="53"/>
      <c r="D10" s="53"/>
      <c r="E10" s="53"/>
    </row>
    <row r="11" customFormat="false" ht="15" hidden="false" customHeight="true" outlineLevel="0" collapsed="false">
      <c r="B11" s="25" t="s">
        <v>630</v>
      </c>
      <c r="C11" s="54"/>
      <c r="D11" s="27" t="s">
        <v>217</v>
      </c>
      <c r="E11" s="28" t="s">
        <v>631</v>
      </c>
      <c r="G11" s="52" t="s">
        <v>306</v>
      </c>
    </row>
    <row r="12" customFormat="false" ht="15" hidden="false" customHeight="true" outlineLevel="0" collapsed="false">
      <c r="B12" s="25" t="s">
        <v>632</v>
      </c>
      <c r="C12" s="55"/>
      <c r="D12" s="27" t="s">
        <v>228</v>
      </c>
      <c r="E12" s="28" t="s">
        <v>633</v>
      </c>
      <c r="G12" s="52" t="s">
        <v>306</v>
      </c>
    </row>
    <row r="13" customFormat="false" ht="15" hidden="false" customHeight="true" outlineLevel="0" collapsed="false">
      <c r="B13" s="25" t="s">
        <v>313</v>
      </c>
      <c r="C13" s="57"/>
      <c r="D13" s="27" t="s">
        <v>314</v>
      </c>
      <c r="E13" s="28" t="s">
        <v>315</v>
      </c>
      <c r="G13" s="52" t="s">
        <v>306</v>
      </c>
    </row>
    <row r="15" customFormat="false" ht="15" hidden="false" customHeight="true" outlineLevel="0" collapsed="false">
      <c r="B15" s="13" t="s">
        <v>316</v>
      </c>
      <c r="C15" s="24" t="s">
        <v>213</v>
      </c>
      <c r="D15" s="24" t="s">
        <v>214</v>
      </c>
      <c r="E15" s="24" t="s">
        <v>215</v>
      </c>
      <c r="F15" s="14"/>
      <c r="G15" s="14"/>
    </row>
    <row r="16" customFormat="false" ht="21.75" hidden="false" customHeight="true" outlineLevel="0" collapsed="false">
      <c r="B16" s="25" t="s">
        <v>634</v>
      </c>
      <c r="C16" s="26"/>
      <c r="D16" s="27" t="s">
        <v>217</v>
      </c>
      <c r="E16" s="28" t="s">
        <v>635</v>
      </c>
      <c r="F16" s="29" t="n">
        <v>10000</v>
      </c>
      <c r="G16" s="30" t="str">
        <f aca="false">IF(ISBLANK(C16),IF(Fill_Example="Yes",F16,""),C16)</f>
        <v/>
      </c>
    </row>
    <row r="17" customFormat="false" ht="21.75" hidden="false" customHeight="true" outlineLevel="0" collapsed="false">
      <c r="B17" s="25" t="s">
        <v>636</v>
      </c>
      <c r="C17" s="34"/>
      <c r="D17" s="27" t="s">
        <v>228</v>
      </c>
      <c r="E17" s="35" t="s">
        <v>602</v>
      </c>
      <c r="F17" s="36" t="n">
        <v>0.05</v>
      </c>
      <c r="G17" s="37" t="str">
        <f aca="false">IF(ISBLANK(C17),IF(Fill_Example="Yes",F17,""),C17)</f>
        <v/>
      </c>
    </row>
    <row r="18" customFormat="false" ht="15" hidden="false" customHeight="true" outlineLevel="0" collapsed="false">
      <c r="B18" s="25" t="s">
        <v>603</v>
      </c>
      <c r="C18" s="38"/>
      <c r="D18" s="27" t="s">
        <v>231</v>
      </c>
      <c r="E18" s="28" t="s">
        <v>604</v>
      </c>
      <c r="F18" s="39" t="n">
        <v>15</v>
      </c>
      <c r="G18" s="40" t="str">
        <f aca="false">IF(ISBLANK(C18),IF(Fill_Example="Yes",F18,""),C18)</f>
        <v/>
      </c>
    </row>
    <row r="19" customFormat="false" ht="21.75" hidden="false" customHeight="true" outlineLevel="0" collapsed="false">
      <c r="B19" s="25" t="s">
        <v>637</v>
      </c>
      <c r="C19" s="34"/>
      <c r="D19" s="27" t="s">
        <v>228</v>
      </c>
      <c r="E19" s="35" t="s">
        <v>638</v>
      </c>
      <c r="F19" s="36" t="n">
        <v>0</v>
      </c>
      <c r="G19" s="37" t="str">
        <f aca="false">IF(ISBLANK(C19),IF(Fill_Example="Yes",F19,""),C19)</f>
        <v/>
      </c>
    </row>
    <row r="20" customFormat="false" ht="21.75" hidden="false" customHeight="true" outlineLevel="0" collapsed="false">
      <c r="B20" s="25" t="s">
        <v>639</v>
      </c>
      <c r="C20" s="38"/>
      <c r="D20" s="27" t="s">
        <v>231</v>
      </c>
      <c r="E20" s="35" t="s">
        <v>640</v>
      </c>
      <c r="F20" s="39" t="n">
        <v>5</v>
      </c>
      <c r="G20" s="40" t="str">
        <f aca="false">IF(ISBLANK(C20),IF(Fill_Example="Yes",F20,""),C20)</f>
        <v/>
      </c>
    </row>
    <row r="21" customFormat="false" ht="15" hidden="false" customHeight="true" outlineLevel="0" collapsed="false">
      <c r="B21" s="25" t="s">
        <v>641</v>
      </c>
      <c r="C21" s="31"/>
      <c r="D21" s="27" t="s">
        <v>224</v>
      </c>
      <c r="E21" s="28" t="s">
        <v>642</v>
      </c>
      <c r="F21" s="32" t="s">
        <v>3</v>
      </c>
      <c r="G21" s="33" t="str">
        <f aca="false">IF(ISBLANK(C21),F21,C21)</f>
        <v>No</v>
      </c>
    </row>
    <row r="23" customFormat="false" ht="15" hidden="false" customHeight="true" outlineLevel="0" collapsed="false">
      <c r="B23" s="13" t="s">
        <v>326</v>
      </c>
      <c r="C23" s="14"/>
      <c r="D23" s="14"/>
      <c r="E23" s="14"/>
      <c r="F23" s="14"/>
      <c r="G23" s="14"/>
    </row>
    <row r="24" customFormat="false" ht="15" hidden="false" customHeight="true" outlineLevel="0" collapsed="false">
      <c r="B24" s="25" t="s">
        <v>643</v>
      </c>
      <c r="C24" s="45" t="str">
        <f aca="false">IF(COUNTA(Stmt_Total_Value,Stmt_Charges,Stmt_Statement_Date)&gt;0,"Yes","No")</f>
        <v>No</v>
      </c>
      <c r="D24" s="27"/>
      <c r="E24" s="42" t="s">
        <v>644</v>
      </c>
    </row>
    <row r="25" customFormat="false" ht="15" hidden="false" customHeight="true" outlineLevel="0" collapsed="false">
      <c r="B25" s="25" t="s">
        <v>634</v>
      </c>
      <c r="C25" s="58" t="str">
        <f aca="false">IF(ISBLANK(Stmt_Total_Value),Amount,Stmt_Total_Value)</f>
        <v/>
      </c>
      <c r="D25" s="59" t="str">
        <f aca="false">IF(ISBLANK(Stmt_Total_Value),"Your figure","From your statement")</f>
        <v>Your figure</v>
      </c>
      <c r="E25" s="49" t="s">
        <v>645</v>
      </c>
    </row>
    <row r="26" customFormat="false" ht="15" hidden="false" customHeight="true" outlineLevel="0" collapsed="false">
      <c r="B26" s="25" t="s">
        <v>637</v>
      </c>
      <c r="C26" s="60" t="str">
        <f aca="false">IF(NOT(ISBLANK(Stmt_Charges)),Stmt_Charges,IF(Statement_Uploaded="Yes",0,Yearly_Fees))</f>
        <v/>
      </c>
      <c r="D26" s="59" t="str">
        <f aca="false">IF(NOT(ISBLANK(Stmt_Charges)),"From your statement",IF(Statement_Uploaded="Yes","None shown on your statement","Your figure"))</f>
        <v>Your figure</v>
      </c>
      <c r="E26" s="49" t="s">
        <v>646</v>
      </c>
    </row>
    <row r="27" customFormat="false" ht="21.75" hidden="false" customHeight="true" outlineLevel="0" collapsed="false">
      <c r="B27" s="25" t="s">
        <v>332</v>
      </c>
      <c r="C27" s="45" t="str">
        <f aca="true">IF(ISBLANK(Stmt_Statement_Date),"",IF(TODAY()-Stmt_Statement_Date&gt;Statement_Max_Age_Days,"Needs a look: statement is more than 12 months old","Up to date"))</f>
        <v/>
      </c>
      <c r="D27" s="27"/>
      <c r="E27" s="42" t="s">
        <v>333</v>
      </c>
    </row>
    <row r="29" customFormat="false" ht="15" hidden="false" customHeight="true" outlineLevel="0" collapsed="false">
      <c r="B29" s="13" t="s">
        <v>239</v>
      </c>
      <c r="C29" s="24" t="s">
        <v>240</v>
      </c>
      <c r="D29" s="24" t="s">
        <v>241</v>
      </c>
      <c r="E29" s="24" t="s">
        <v>242</v>
      </c>
      <c r="F29" s="14"/>
      <c r="G29" s="14"/>
    </row>
    <row r="30" customFormat="false" ht="17.25" hidden="false" customHeight="true" outlineLevel="0" collapsed="false">
      <c r="B30" s="21" t="s">
        <v>647</v>
      </c>
      <c r="C30" s="41" t="str">
        <f aca="false">IF(Need_1&lt;&gt;"",Need_1,IF(Adjust_For_Inflation="Yes",Value_Today,Grows_To))</f>
        <v>Choose your growth rate to see this</v>
      </c>
      <c r="D30" s="27" t="s">
        <v>217</v>
      </c>
      <c r="E30" s="42" t="s">
        <v>648</v>
      </c>
    </row>
    <row r="31" customFormat="false" ht="15" hidden="false" customHeight="true" outlineLevel="0" collapsed="false">
      <c r="B31" s="25" t="s">
        <v>649</v>
      </c>
      <c r="C31" s="43" t="str">
        <f aca="false">IF(Need_1&lt;&gt;"",Need_1,Used_Amount*(1+Growth_After_Fees)^Years)</f>
        <v>Choose your growth rate to see this</v>
      </c>
      <c r="D31" s="27" t="s">
        <v>217</v>
      </c>
      <c r="E31" s="42" t="s">
        <v>650</v>
      </c>
    </row>
    <row r="32" customFormat="false" ht="15" hidden="false" customHeight="true" outlineLevel="0" collapsed="false">
      <c r="B32" s="25" t="s">
        <v>607</v>
      </c>
      <c r="C32" s="43" t="str">
        <f aca="false">IF(Need_2&lt;&gt;"",Need_2,IF(Inflation_Choice="","Choose your inflation rate to see this",Grows_To/(1+Inflation_Choice)^Years))</f>
        <v>Choose your inflation rate to see this</v>
      </c>
      <c r="D32" s="27" t="s">
        <v>217</v>
      </c>
      <c r="E32" s="42" t="s">
        <v>608</v>
      </c>
    </row>
    <row r="33" customFormat="false" ht="15" hidden="false" customHeight="true" outlineLevel="0" collapsed="false">
      <c r="B33" s="25" t="s">
        <v>651</v>
      </c>
      <c r="C33" s="43" t="str">
        <f aca="false">IF(Need_3&lt;&gt;"",Need_3,Used_Amount*(1+Growth_After_Fees)^MAX(0,Years-Wait_Years))</f>
        <v>Choose your growth rate to see this</v>
      </c>
      <c r="D33" s="27" t="s">
        <v>217</v>
      </c>
      <c r="E33" s="42" t="s">
        <v>652</v>
      </c>
    </row>
    <row r="34" customFormat="false" ht="21.75" hidden="false" customHeight="true" outlineLevel="0" collapsed="false">
      <c r="B34" s="21" t="s">
        <v>653</v>
      </c>
      <c r="C34" s="41" t="str">
        <f aca="false">IF(Need_3&lt;&gt;"",Need_3,IF(Adjust_For_Inflation="Yes",IF(Inflation_Choice="","Choose your inflation rate to see this",(Grows_To-Value_Start_Later)/(1+Inflation_Choice)^Years),Grows_To-Value_Start_Later))</f>
        <v>Choose your growth rate to see this</v>
      </c>
      <c r="D34" s="27" t="s">
        <v>217</v>
      </c>
      <c r="E34" s="42" t="s">
        <v>654</v>
      </c>
    </row>
    <row r="35" customFormat="false" ht="15" hidden="false" customHeight="true" outlineLevel="0" collapsed="false">
      <c r="B35" s="25" t="s">
        <v>655</v>
      </c>
      <c r="C35" s="43" t="str">
        <f aca="false">IF(Need_1&lt;&gt;"",Need_1,Used_Amount*(1+Growth_Rate)^Years-Grows_To)</f>
        <v>Choose your growth rate to see this</v>
      </c>
      <c r="D35" s="27" t="s">
        <v>217</v>
      </c>
      <c r="E35" s="42" t="s">
        <v>656</v>
      </c>
    </row>
    <row r="36" customFormat="false" ht="15" hidden="false" customHeight="true" outlineLevel="0" collapsed="false">
      <c r="B36" s="25" t="s">
        <v>657</v>
      </c>
      <c r="C36" s="64" t="str">
        <f aca="false">IF(Need_4&lt;&gt;"",Need_4,(1+Growth_Rate)*(1-Used_Yearly_Fees)-1)</f>
        <v>Choose your growth rate to see this</v>
      </c>
      <c r="D36" s="27"/>
      <c r="E36" s="42" t="s">
        <v>658</v>
      </c>
    </row>
    <row r="37" customFormat="false" ht="15" hidden="false" customHeight="true" outlineLevel="0" collapsed="false">
      <c r="B37" s="25" t="s">
        <v>659</v>
      </c>
      <c r="C37" s="64" t="str">
        <f aca="false">IF(Need_5&lt;&gt;"",Need_5,IF(Inflation_Choice="","Choose your inflation rate to see this",(1+Growth_After_Fees)/(1+Inflation_Choice)-1))</f>
        <v>Choose your inflation rate to see this</v>
      </c>
      <c r="D37" s="27"/>
      <c r="E37" s="42" t="s">
        <v>660</v>
      </c>
    </row>
    <row r="38" customFormat="false" ht="15" hidden="false" customHeight="true" outlineLevel="0" collapsed="false">
      <c r="B38"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8" s="68"/>
      <c r="D38" s="68"/>
      <c r="E38" s="68"/>
    </row>
    <row r="40" customFormat="false" ht="15" hidden="false" customHeight="true" outlineLevel="0" collapsed="false">
      <c r="B40" s="13" t="s">
        <v>272</v>
      </c>
      <c r="C40" s="14"/>
      <c r="D40" s="14"/>
      <c r="E40" s="14"/>
      <c r="F40" s="14"/>
      <c r="G40" s="14"/>
    </row>
    <row r="41" customFormat="false" ht="13.5" hidden="false" customHeight="true" outlineLevel="0" collapsed="false">
      <c r="B41" s="46" t="s">
        <v>661</v>
      </c>
      <c r="C41" s="46"/>
      <c r="D41" s="46"/>
      <c r="E41" s="46"/>
    </row>
    <row r="42" customFormat="false" ht="13.5" hidden="false" customHeight="true" outlineLevel="0" collapsed="false">
      <c r="B42" s="46" t="s">
        <v>662</v>
      </c>
      <c r="C42" s="46"/>
      <c r="D42" s="46"/>
      <c r="E42" s="46"/>
    </row>
    <row r="43" customFormat="false" ht="13.5" hidden="false" customHeight="true" outlineLevel="0" collapsed="false">
      <c r="B43" s="46" t="s">
        <v>663</v>
      </c>
      <c r="C43" s="46"/>
      <c r="D43" s="46"/>
      <c r="E43" s="46"/>
    </row>
    <row r="44" customFormat="false" ht="13.5" hidden="false" customHeight="true" outlineLevel="0" collapsed="false">
      <c r="B44" s="47" t="s">
        <v>276</v>
      </c>
      <c r="C44" s="47"/>
      <c r="D44" s="47"/>
      <c r="E44" s="47"/>
    </row>
    <row r="45" customFormat="false" ht="13.5" hidden="false" customHeight="true" outlineLevel="0" collapsed="false">
      <c r="B45" s="46" t="s">
        <v>664</v>
      </c>
      <c r="C45" s="46"/>
      <c r="D45" s="46"/>
      <c r="E45" s="46"/>
    </row>
    <row r="46" customFormat="false" ht="13.5" hidden="false" customHeight="true" outlineLevel="0" collapsed="false">
      <c r="B46" s="46" t="s">
        <v>665</v>
      </c>
      <c r="C46" s="46"/>
      <c r="D46" s="46"/>
      <c r="E46" s="46"/>
    </row>
    <row r="48" customFormat="false" ht="15" hidden="false" customHeight="true" outlineLevel="0" collapsed="false">
      <c r="B48" s="13" t="s">
        <v>281</v>
      </c>
      <c r="C48" s="14"/>
      <c r="D48" s="14"/>
      <c r="E48" s="14"/>
      <c r="F48" s="14"/>
      <c r="G48" s="14"/>
    </row>
    <row r="49" customFormat="false" ht="15" hidden="false" customHeight="true" outlineLevel="0" collapsed="false">
      <c r="B49" s="25" t="s">
        <v>282</v>
      </c>
      <c r="C49" s="48" t="str">
        <f aca="false">"Grow my wealth (plan kind pot)"</f>
        <v>Grow my wealth (plan kind pot)</v>
      </c>
      <c r="E49" s="49" t="s">
        <v>617</v>
      </c>
    </row>
    <row r="50" customFormat="false" ht="15" hidden="false" customHeight="true" outlineLevel="0" collapsed="false">
      <c r="B50" s="25" t="s">
        <v>618</v>
      </c>
      <c r="C50" s="50" t="str">
        <f aca="false">IF(Need_1&lt;&gt;"",Need_1,IF(Inflation_Choice="","Choose an inflation rate first",ROUND(Value_Today,0)))</f>
        <v>Choose your growth rate to see this</v>
      </c>
      <c r="E50" s="49" t="s">
        <v>619</v>
      </c>
    </row>
    <row r="51" customFormat="false" ht="15" hidden="false" customHeight="true" outlineLevel="0" collapsed="false">
      <c r="B51" s="25" t="s">
        <v>288</v>
      </c>
      <c r="C51" s="51" t="str">
        <f aca="false">IF(Need_6&lt;&gt;"",Need_6,Years)</f>
        <v>Choose your years to see this</v>
      </c>
      <c r="E51" s="49" t="s">
        <v>584</v>
      </c>
    </row>
    <row r="52" customFormat="false" ht="15" hidden="false" customHeight="true" outlineLevel="0" collapsed="false">
      <c r="B52" s="25" t="s">
        <v>585</v>
      </c>
      <c r="C52" s="69" t="str">
        <f aca="false">IF(Inflation_Choice="","Choose an inflation rate first",Inflation_Choice)</f>
        <v>Choose an inflation rate first</v>
      </c>
      <c r="E52" s="49" t="s">
        <v>586</v>
      </c>
    </row>
    <row r="53" customFormat="false" ht="13.5" hidden="false" customHeight="true" outlineLevel="0" collapsed="false">
      <c r="B53" s="53" t="s">
        <v>666</v>
      </c>
      <c r="C53" s="53"/>
      <c r="D53" s="53"/>
      <c r="E53" s="53"/>
    </row>
    <row r="55" customFormat="false" ht="15" hidden="false" customHeight="true" outlineLevel="0" collapsed="false">
      <c r="B55" s="13" t="s">
        <v>290</v>
      </c>
      <c r="C55" s="14"/>
      <c r="D55" s="14"/>
      <c r="E55" s="14"/>
      <c r="F55" s="14"/>
      <c r="G55" s="14"/>
    </row>
    <row r="56" customFormat="false" ht="15" hidden="false" customHeight="true" outlineLevel="0" collapsed="false">
      <c r="B56" s="52" t="s">
        <v>667</v>
      </c>
      <c r="C56" s="52" t="str">
        <f aca="false">IF(Growth_Rate="","Choose your growth rate to see this",IF(Years="","Choose your years to see this",IF(NOT(ISNUMBER(Used_Amount)),IF(Used_Amount="",IF(Amount="","Choose your amount to see this",""),Used_Amount),IF(NOT(ISNUMBER(Used_Yearly_Fees)),IF(Used_Yearly_Fees="",IF(Yearly_Fees="","Choose your yearly fees to see this",""),Used_Yearly_Fees),""))))</f>
        <v>Choose your growth rate to see this</v>
      </c>
    </row>
    <row r="57" customFormat="false" ht="15" hidden="false" customHeight="true" outlineLevel="0" collapsed="false">
      <c r="B57" s="52" t="s">
        <v>668</v>
      </c>
      <c r="C57" s="52" t="str">
        <f aca="false">IF(Inflation_Choice="","Choose your inflation rate to see this",IF(Growth_Rate="","Choose your growth rate to see this",IF(Years="","Choose your years to see this",IF(NOT(ISNUMBER(Used_Amount)),IF(Used_Amount="",IF(Amount="","Choose your amount to see this",""),Used_Amount),IF(NOT(ISNUMBER(Used_Yearly_Fees)),IF(Used_Yearly_Fees="",IF(Yearly_Fees="","Choose your yearly fees to see this",""),Used_Yearly_Fees),"")))))</f>
        <v>Choose your inflation rate to see this</v>
      </c>
    </row>
    <row r="58" customFormat="false" ht="15" hidden="false" customHeight="true" outlineLevel="0" collapsed="false">
      <c r="B58" s="52" t="s">
        <v>669</v>
      </c>
      <c r="C58" s="52" t="str">
        <f aca="false">IF(Growth_Rate="","Choose your growth rate to see this",IF(Years="","Choose your years to see this",IF(Wait_Years="","Choose your years of waiting to see this",IF(NOT(ISNUMBER(Used_Amount)),IF(Used_Amount="",IF(Amount="","Choose your amount to see this",""),Used_Amount),IF(NOT(ISNUMBER(Used_Yearly_Fees)),IF(Used_Yearly_Fees="",IF(Yearly_Fees="","Choose your yearly fees to see this",""),Used_Yearly_Fees),"")))))</f>
        <v>Choose your growth rate to see this</v>
      </c>
    </row>
    <row r="59" customFormat="false" ht="15" hidden="false" customHeight="true" outlineLevel="0" collapsed="false">
      <c r="B59" s="52" t="s">
        <v>670</v>
      </c>
      <c r="C59" s="52" t="str">
        <f aca="false">IF(Growth_Rate="","Choose your growth rate to see this",IF(NOT(ISNUMBER(Used_Yearly_Fees)),IF(Used_Yearly_Fees="",IF(Yearly_Fees="","Choose your yearly fees to see this",""),Used_Yearly_Fees),""))</f>
        <v>Choose your growth rate to see this</v>
      </c>
    </row>
    <row r="60" customFormat="false" ht="15" hidden="false" customHeight="true" outlineLevel="0" collapsed="false">
      <c r="B60" s="52" t="s">
        <v>671</v>
      </c>
      <c r="C60" s="52" t="str">
        <f aca="false">IF(Inflation_Choice="","Choose your inflation rate to see this",IF(Growth_Rate="","Choose your growth rate to see this",IF(NOT(ISNUMBER(Used_Yearly_Fees)),IF(Used_Yearly_Fees="",IF(Yearly_Fees="","Choose your yearly fees to see this",""),Used_Yearly_Fees),"")))</f>
        <v>Choose your inflation rate to see this</v>
      </c>
    </row>
    <row r="61" customFormat="false" ht="15" hidden="false" customHeight="true" outlineLevel="0" collapsed="false">
      <c r="B61" s="52" t="s">
        <v>624</v>
      </c>
      <c r="C61" s="52" t="str">
        <f aca="false">IF(Years="","Choose your years to see this","")</f>
        <v>Choose your years to see this</v>
      </c>
    </row>
  </sheetData>
  <mergeCells count="10">
    <mergeCell ref="B7:E7"/>
    <mergeCell ref="B10:E10"/>
    <mergeCell ref="B38:E38"/>
    <mergeCell ref="B41:E41"/>
    <mergeCell ref="B42:E42"/>
    <mergeCell ref="B43:E43"/>
    <mergeCell ref="B44:E44"/>
    <mergeCell ref="B45:E45"/>
    <mergeCell ref="B46:E46"/>
    <mergeCell ref="B53:E53"/>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8"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6" type="decimal">
      <formula1>500</formula1>
      <formula2>5000000</formula2>
    </dataValidation>
    <dataValidation allowBlank="true" error="Please enter 0% to 8% · steps of 0.5%." errorStyle="stop" errorTitle="Outside the allowed range" operator="between" prompt="Generally the standard is 5% a year before charges and tax for a mixed fund (long-run 5%–6% a year; Irish rules audit B3). Choose what you want to use.  Allowed: 0% to 8% · steps of 0.5%." promptTitle="Growth rate a year (before fees)" showDropDown="false" showErrorMessage="true" showInputMessage="true" sqref="C17" type="decimal">
      <formula1>0</formula1>
      <formula2>0.08</formula2>
    </dataValidation>
    <dataValidation allowBlank="true" error="Please enter 0% to 3% · steps of 0.05%." errorStyle="stop" errorTitle="Outside the allowed range" operator="between" prompt="Usually between 0.5% and 1.5% a year for fund charges (provider charges; your statement shows yours). Enter your own figure.  Allowed: 0% to 3% · steps of 0.05%." promptTitle="Yearly fees" showDropDown="false" showErrorMessage="true" showInputMessage="true" sqref="C19" type="decimal">
      <formula1>0</formula1>
      <formula2>0.03</formula2>
    </dataValidation>
    <dataValidation allowBlank="true" error="Please enter 1 to 10 · steps of 1." errorStyle="stop" errorTitle="Outside the allowed range" operator="between" prompt="Generally the standard is 5 years (an illustration of the cost of waiting). Choose what you want to use.  Allowed: 1 to 10 · steps of 1." promptTitle="Years you might wait before inve" showDropDown="false" showErrorMessage="true" showInputMessage="true" sqref="C20" type="whole">
      <formula1>1</formula1>
      <formula2>10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672</v>
      </c>
      <c r="E1" s="3" t="s">
        <v>673</v>
      </c>
    </row>
    <row r="2" customFormat="false" ht="15" hidden="false" customHeight="true" outlineLevel="0" collapsed="false">
      <c r="B2" s="21" t="s">
        <v>674</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675</v>
      </c>
    </row>
    <row r="5" customFormat="false" ht="15" hidden="false" customHeight="true" outlineLevel="0" collapsed="false">
      <c r="B5" s="13" t="s">
        <v>212</v>
      </c>
      <c r="C5" s="24" t="s">
        <v>213</v>
      </c>
      <c r="D5" s="24" t="s">
        <v>214</v>
      </c>
      <c r="E5" s="24" t="s">
        <v>215</v>
      </c>
      <c r="F5" s="14"/>
      <c r="G5" s="14"/>
    </row>
    <row r="6" customFormat="false" ht="21.75" hidden="false" customHeight="true" outlineLevel="0" collapsed="false">
      <c r="B6" s="25" t="s">
        <v>676</v>
      </c>
      <c r="C6" s="26"/>
      <c r="D6" s="27" t="s">
        <v>217</v>
      </c>
      <c r="E6" s="28" t="s">
        <v>677</v>
      </c>
      <c r="F6" s="29" t="n">
        <v>2500</v>
      </c>
      <c r="G6" s="30" t="str">
        <f aca="false">IF(ISBLANK(C6),IF(Fill_Example="Yes",F6,""),C6)</f>
        <v/>
      </c>
    </row>
    <row r="7" customFormat="false" ht="21.75" hidden="false" customHeight="true" outlineLevel="0" collapsed="false">
      <c r="B7" s="25" t="s">
        <v>678</v>
      </c>
      <c r="C7" s="38"/>
      <c r="D7" s="27" t="s">
        <v>679</v>
      </c>
      <c r="E7" s="35" t="s">
        <v>680</v>
      </c>
      <c r="F7" s="39" t="n">
        <v>6</v>
      </c>
      <c r="G7" s="40" t="str">
        <f aca="false">IF(ISBLANK(C7),IF(Fill_Example="Yes",F7,""),C7)</f>
        <v/>
      </c>
    </row>
    <row r="8" customFormat="false" ht="15" hidden="false" customHeight="true" outlineLevel="0" collapsed="false">
      <c r="B8" s="25" t="s">
        <v>681</v>
      </c>
      <c r="C8" s="38"/>
      <c r="D8" s="27" t="s">
        <v>231</v>
      </c>
      <c r="E8" s="28" t="s">
        <v>682</v>
      </c>
      <c r="F8" s="39" t="n">
        <v>2</v>
      </c>
      <c r="G8" s="40" t="str">
        <f aca="false">IF(ISBLANK(C8),IF(Fill_Example="Yes",F8,""),C8)</f>
        <v/>
      </c>
    </row>
    <row r="9" customFormat="false" ht="21.75" hidden="false" customHeight="true" outlineLevel="0" collapsed="false">
      <c r="B9" s="25" t="s">
        <v>683</v>
      </c>
      <c r="C9" s="26"/>
      <c r="D9" s="27" t="s">
        <v>217</v>
      </c>
      <c r="E9" s="28" t="s">
        <v>684</v>
      </c>
      <c r="F9" s="29" t="n">
        <v>6250</v>
      </c>
      <c r="G9" s="30" t="str">
        <f aca="false">IF(ISBLANK(C9),IF(Fill_Example="Yes",F9,""),C9)</f>
        <v/>
      </c>
    </row>
    <row r="11" customFormat="false" ht="15" hidden="false" customHeight="true" outlineLevel="0" collapsed="false">
      <c r="B11" s="13" t="s">
        <v>239</v>
      </c>
      <c r="C11" s="24" t="s">
        <v>240</v>
      </c>
      <c r="D11" s="24" t="s">
        <v>241</v>
      </c>
      <c r="E11" s="24" t="s">
        <v>242</v>
      </c>
      <c r="F11" s="14"/>
      <c r="G11" s="14"/>
    </row>
    <row r="12" customFormat="false" ht="23.25" hidden="false" customHeight="true" outlineLevel="0" collapsed="false">
      <c r="B12" s="21" t="s">
        <v>685</v>
      </c>
      <c r="C12" s="70" t="str">
        <f aca="false">IF(Need_1&lt;&gt;"",Need_1,Savings/Essential_Spending)</f>
        <v>Choose your essential monthly spending to see this</v>
      </c>
      <c r="D12" s="63" t="str">
        <f aca="false">IF(Need_1&lt;&gt;"",Need_1,IF(ROUND(Months_Covered,1)=1,"1 month",FIXED(Months_Covered,1)&amp;" months"))</f>
        <v>Choose your essential monthly spending to see this</v>
      </c>
      <c r="E12" s="42" t="s">
        <v>686</v>
      </c>
    </row>
    <row r="13" customFormat="false" ht="17.25" hidden="false" customHeight="true" outlineLevel="0" collapsed="false">
      <c r="B13" s="21" t="s">
        <v>687</v>
      </c>
      <c r="C13" s="41" t="str">
        <f aca="false">IF(Need_2&lt;&gt;"",Need_2,Essential_Spending*Months_Wanted)</f>
        <v>Choose your essential monthly spending to see this</v>
      </c>
      <c r="D13" s="27" t="s">
        <v>217</v>
      </c>
      <c r="E13" s="42" t="s">
        <v>688</v>
      </c>
    </row>
    <row r="14" customFormat="false" ht="17.25" hidden="false" customHeight="true" outlineLevel="0" collapsed="false">
      <c r="B14" s="21" t="s">
        <v>689</v>
      </c>
      <c r="C14" s="41" t="str">
        <f aca="false">IF(Need_3&lt;&gt;"",Need_3,MAX(0,Target-Savings))</f>
        <v>Choose your essential monthly spending to see this</v>
      </c>
      <c r="D14" s="27" t="s">
        <v>217</v>
      </c>
      <c r="E14" s="42" t="s">
        <v>690</v>
      </c>
    </row>
    <row r="16" customFormat="false" ht="15" hidden="false" customHeight="true" outlineLevel="0" collapsed="false">
      <c r="B16" s="13" t="s">
        <v>272</v>
      </c>
      <c r="C16" s="14"/>
      <c r="D16" s="14"/>
      <c r="E16" s="14"/>
      <c r="F16" s="14"/>
      <c r="G16" s="14"/>
    </row>
    <row r="17" customFormat="false" ht="13.5" hidden="false" customHeight="true" outlineLevel="0" collapsed="false">
      <c r="B17" s="46" t="s">
        <v>691</v>
      </c>
      <c r="C17" s="46"/>
      <c r="D17" s="46"/>
      <c r="E17" s="46"/>
    </row>
    <row r="18" customFormat="false" ht="13.5" hidden="false" customHeight="true" outlineLevel="0" collapsed="false">
      <c r="B18" s="47" t="s">
        <v>276</v>
      </c>
      <c r="C18" s="47"/>
      <c r="D18" s="47"/>
      <c r="E18" s="47"/>
    </row>
    <row r="19" customFormat="false" ht="13.5" hidden="false" customHeight="true" outlineLevel="0" collapsed="false">
      <c r="B19" s="46" t="s">
        <v>692</v>
      </c>
      <c r="C19" s="46"/>
      <c r="D19" s="46"/>
      <c r="E19" s="46"/>
    </row>
    <row r="21" customFormat="false" ht="15" hidden="false" customHeight="true" outlineLevel="0" collapsed="false">
      <c r="B21" s="13" t="s">
        <v>281</v>
      </c>
      <c r="C21" s="14"/>
      <c r="D21" s="14"/>
      <c r="E21" s="14"/>
      <c r="F21" s="14"/>
      <c r="G21" s="14"/>
    </row>
    <row r="22" customFormat="false" ht="15" hidden="false" customHeight="true" outlineLevel="0" collapsed="false">
      <c r="B22" s="25" t="s">
        <v>282</v>
      </c>
      <c r="C22" s="48" t="str">
        <f aca="false">IF(Need_3&lt;&gt;"",Need_3,IF(Still_To_Build&gt;0,"Safety net (plan kind safety: a reserve, not a spend)","No goal (cushion already in place)"))</f>
        <v>Choose your essential monthly spending to see this</v>
      </c>
      <c r="E22" s="49" t="s">
        <v>693</v>
      </c>
    </row>
    <row r="23" customFormat="false" ht="15" hidden="false" customHeight="true" outlineLevel="0" collapsed="false">
      <c r="B23" s="25" t="s">
        <v>618</v>
      </c>
      <c r="C23" s="50" t="str">
        <f aca="false">IF(Need_3&lt;&gt;"",Need_3,IF(Still_To_Build&gt;0,ROUND(Target,0),"—"))</f>
        <v>Choose your essential monthly spending to see this</v>
      </c>
      <c r="E23" s="49" t="s">
        <v>694</v>
      </c>
    </row>
    <row r="24" customFormat="false" ht="15" hidden="false" customHeight="true" outlineLevel="0" collapsed="false">
      <c r="B24" s="25" t="s">
        <v>286</v>
      </c>
      <c r="C24" s="50" t="str">
        <f aca="false">IF(Need_4&lt;&gt;"",Need_4,Savings)</f>
        <v>Choose your easy-access savings to see this</v>
      </c>
      <c r="E24" s="49" t="s">
        <v>695</v>
      </c>
    </row>
    <row r="25" customFormat="false" ht="15" hidden="false" customHeight="true" outlineLevel="0" collapsed="false">
      <c r="B25" s="25" t="s">
        <v>288</v>
      </c>
      <c r="C25" s="51" t="str">
        <f aca="false">IF(Need_5&lt;&gt;"",Need_5,Safety_Goal_Years)</f>
        <v>Choose your years to build the safety net to see this</v>
      </c>
      <c r="E25" s="49" t="s">
        <v>696</v>
      </c>
    </row>
    <row r="27" customFormat="false" ht="15" hidden="false" customHeight="true" outlineLevel="0" collapsed="false">
      <c r="B27" s="13" t="s">
        <v>290</v>
      </c>
      <c r="C27" s="14"/>
      <c r="D27" s="14"/>
      <c r="E27" s="14"/>
      <c r="F27" s="14"/>
      <c r="G27" s="14"/>
    </row>
    <row r="28" customFormat="false" ht="15" hidden="false" customHeight="true" outlineLevel="0" collapsed="false">
      <c r="B28" s="52" t="s">
        <v>697</v>
      </c>
      <c r="C28" s="52" t="str">
        <f aca="false">IF(Essential_Spending="","Choose your essential monthly spending to see this",IF(Savings="","Choose your easy-access savings to see this",""))</f>
        <v>Choose your essential monthly spending to see this</v>
      </c>
    </row>
    <row r="29" customFormat="false" ht="15" hidden="false" customHeight="true" outlineLevel="0" collapsed="false">
      <c r="B29" s="52" t="s">
        <v>698</v>
      </c>
      <c r="C29" s="52" t="str">
        <f aca="false">IF(Essential_Spending="","Choose your essential monthly spending to see this",IF(Months_Wanted="","Choose your emergency months to see this",""))</f>
        <v>Choose your essential monthly spending to see this</v>
      </c>
    </row>
    <row r="30" customFormat="false" ht="15" hidden="false" customHeight="true" outlineLevel="0" collapsed="false">
      <c r="B30" s="52" t="s">
        <v>699</v>
      </c>
      <c r="C30" s="52" t="str">
        <f aca="false">IF(Essential_Spending="","Choose your essential monthly spending to see this",IF(Months_Wanted="","Choose your emergency months to see this",IF(Savings="","Choose your easy-access savings to see this","")))</f>
        <v>Choose your essential monthly spending to see this</v>
      </c>
    </row>
    <row r="31" customFormat="false" ht="15" hidden="false" customHeight="true" outlineLevel="0" collapsed="false">
      <c r="B31" s="52" t="s">
        <v>700</v>
      </c>
      <c r="C31" s="52" t="str">
        <f aca="false">IF(Savings="","Choose your easy-access savings to see this","")</f>
        <v>Choose your easy-access savings to see this</v>
      </c>
    </row>
    <row r="32" customFormat="false" ht="15" hidden="false" customHeight="true" outlineLevel="0" collapsed="false">
      <c r="B32" s="52" t="s">
        <v>701</v>
      </c>
      <c r="C32" s="52" t="str">
        <f aca="false">IF(Safety_Goal_Years="","Choose your years to build the safety net to see this","")</f>
        <v>Choose your years to build the safety net to see this</v>
      </c>
    </row>
  </sheetData>
  <mergeCells count="3">
    <mergeCell ref="B17:E17"/>
    <mergeCell ref="B18:E18"/>
    <mergeCell ref="B19:E19"/>
  </mergeCells>
  <dataValidations count="4">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3 to 12 · steps of 1." errorStyle="stop" errorTitle="Outside the allowed range" operator="between" prompt="Generally the standard is 6 months of essential spending (3 if you have two secure incomes). Choose what you want to use.  Allowed: 3 to 12 · steps of 1." promptTitle="Safety net: months of essential " showDropDown="false" showErrorMessage="true" showInputMessage="true" sqref="C7" type="whole">
      <formula1>3</formula1>
      <formula2>12</formula2>
    </dataValidation>
    <dataValidation allowBlank="true" error="Please enter 1 to 10 · steps of 1." errorStyle="stop" errorTitle="Outside the allowed range" operator="between" prompt="Your own figure.  Allowed: 1 to 10 · steps of 1." promptTitle="Build the safety net within (yea" showDropDown="false" showErrorMessage="true" showInputMessage="true" sqref="C8" type="whole">
      <formula1>1</formula1>
      <formula2>10</formula2>
    </dataValidation>
    <dataValidation allowBlank="true" error="Please enter €0 to €1,000,000 · steps of €250." errorStyle="stop" errorTitle="Outside the allowed range" operator="between" prompt="Your own figure. In the app it is pre-filled from Your finances: cash.  Allowed: €0 to €1,000,000 · steps of €250." promptTitle="Easy-access savings" showDropDown="false" showErrorMessage="true" showInputMessage="true" sqref="C9"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702</v>
      </c>
      <c r="E1" s="3" t="s">
        <v>703</v>
      </c>
    </row>
    <row r="2" customFormat="false" ht="15" hidden="false" customHeight="true" outlineLevel="0" collapsed="false">
      <c r="B2" s="21" t="s">
        <v>704</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705</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302</v>
      </c>
      <c r="C9" s="14"/>
      <c r="D9" s="14"/>
      <c r="E9" s="14"/>
      <c r="F9" s="14"/>
      <c r="G9" s="14"/>
    </row>
    <row r="10" customFormat="false" ht="27.75" hidden="false" customHeight="true" outlineLevel="0" collapsed="false">
      <c r="B10" s="53" t="s">
        <v>706</v>
      </c>
      <c r="C10" s="53"/>
      <c r="D10" s="53"/>
      <c r="E10" s="53"/>
    </row>
    <row r="11" customFormat="false" ht="15" hidden="false" customHeight="true" outlineLevel="0" collapsed="false">
      <c r="B11" s="25" t="s">
        <v>707</v>
      </c>
      <c r="C11" s="54"/>
      <c r="D11" s="27" t="s">
        <v>217</v>
      </c>
      <c r="E11" s="28" t="s">
        <v>708</v>
      </c>
      <c r="G11" s="52" t="s">
        <v>306</v>
      </c>
    </row>
    <row r="12" customFormat="false" ht="15" hidden="false" customHeight="true" outlineLevel="0" collapsed="false">
      <c r="B12" s="25" t="s">
        <v>709</v>
      </c>
      <c r="C12" s="54"/>
      <c r="D12" s="27" t="s">
        <v>217</v>
      </c>
      <c r="E12" s="28" t="s">
        <v>312</v>
      </c>
      <c r="G12" s="52" t="s">
        <v>306</v>
      </c>
    </row>
    <row r="13" customFormat="false" ht="15" hidden="false" customHeight="true" outlineLevel="0" collapsed="false">
      <c r="B13" s="25" t="s">
        <v>710</v>
      </c>
      <c r="C13" s="54"/>
      <c r="D13" s="27" t="s">
        <v>217</v>
      </c>
      <c r="E13" s="28" t="s">
        <v>312</v>
      </c>
      <c r="G13" s="52" t="s">
        <v>306</v>
      </c>
    </row>
    <row r="14" customFormat="false" ht="15" hidden="false" customHeight="true" outlineLevel="0" collapsed="false">
      <c r="B14" s="25" t="s">
        <v>711</v>
      </c>
      <c r="C14" s="56"/>
      <c r="D14" s="27" t="s">
        <v>712</v>
      </c>
      <c r="E14" s="28" t="s">
        <v>713</v>
      </c>
      <c r="G14" s="52" t="s">
        <v>306</v>
      </c>
    </row>
    <row r="15" customFormat="false" ht="15" hidden="false" customHeight="true" outlineLevel="0" collapsed="false">
      <c r="B15" s="25" t="s">
        <v>714</v>
      </c>
      <c r="C15" s="54"/>
      <c r="D15" s="27" t="s">
        <v>217</v>
      </c>
      <c r="E15" s="28" t="s">
        <v>631</v>
      </c>
      <c r="G15" s="52" t="s">
        <v>306</v>
      </c>
    </row>
    <row r="16" customFormat="false" ht="15" hidden="false" customHeight="true" outlineLevel="0" collapsed="false">
      <c r="B16" s="25" t="s">
        <v>715</v>
      </c>
      <c r="C16" s="71"/>
      <c r="D16" s="27" t="s">
        <v>224</v>
      </c>
      <c r="E16" s="28" t="s">
        <v>716</v>
      </c>
      <c r="G16" s="52" t="s">
        <v>306</v>
      </c>
    </row>
    <row r="17" customFormat="false" ht="15" hidden="false" customHeight="true" outlineLevel="0" collapsed="false">
      <c r="B17" s="25" t="s">
        <v>632</v>
      </c>
      <c r="C17" s="55"/>
      <c r="D17" s="27" t="s">
        <v>228</v>
      </c>
      <c r="E17" s="28" t="s">
        <v>633</v>
      </c>
      <c r="G17" s="52" t="s">
        <v>306</v>
      </c>
    </row>
    <row r="18" customFormat="false" ht="15" hidden="false" customHeight="true" outlineLevel="0" collapsed="false">
      <c r="B18" s="25" t="s">
        <v>313</v>
      </c>
      <c r="C18" s="57"/>
      <c r="D18" s="27" t="s">
        <v>314</v>
      </c>
      <c r="E18" s="28" t="s">
        <v>315</v>
      </c>
      <c r="G18" s="52" t="s">
        <v>306</v>
      </c>
    </row>
    <row r="20" customFormat="false" ht="15" hidden="false" customHeight="true" outlineLevel="0" collapsed="false">
      <c r="B20" s="13" t="s">
        <v>316</v>
      </c>
      <c r="C20" s="24" t="s">
        <v>213</v>
      </c>
      <c r="D20" s="24" t="s">
        <v>214</v>
      </c>
      <c r="E20" s="24" t="s">
        <v>215</v>
      </c>
      <c r="F20" s="14"/>
      <c r="G20" s="14"/>
    </row>
    <row r="21" customFormat="false" ht="21.75" hidden="false" customHeight="true" outlineLevel="0" collapsed="false">
      <c r="B21" s="25" t="s">
        <v>717</v>
      </c>
      <c r="C21" s="38"/>
      <c r="D21" s="27" t="s">
        <v>712</v>
      </c>
      <c r="E21" s="28" t="s">
        <v>718</v>
      </c>
      <c r="F21" s="39" t="n">
        <v>40</v>
      </c>
      <c r="G21" s="40" t="str">
        <f aca="false">IF(ISBLANK(C21),IF(Fill_Example="Yes",F21,""),C21)</f>
        <v/>
      </c>
    </row>
    <row r="22" customFormat="false" ht="21.75" hidden="false" customHeight="true" outlineLevel="0" collapsed="false">
      <c r="B22" s="25" t="s">
        <v>719</v>
      </c>
      <c r="C22" s="38"/>
      <c r="D22" s="27" t="s">
        <v>712</v>
      </c>
      <c r="E22" s="35" t="s">
        <v>720</v>
      </c>
      <c r="F22" s="39" t="n">
        <v>65</v>
      </c>
      <c r="G22" s="40" t="str">
        <f aca="false">IF(ISBLANK(C22),IF(Fill_Example="Yes",F22,""),C22)</f>
        <v/>
      </c>
    </row>
    <row r="23" customFormat="false" ht="21.75" hidden="false" customHeight="true" outlineLevel="0" collapsed="false">
      <c r="B23" s="25" t="s">
        <v>721</v>
      </c>
      <c r="C23" s="26"/>
      <c r="D23" s="27" t="s">
        <v>217</v>
      </c>
      <c r="E23" s="28" t="s">
        <v>722</v>
      </c>
      <c r="F23" s="29" t="n">
        <v>60000</v>
      </c>
      <c r="G23" s="30" t="str">
        <f aca="false">IF(ISBLANK(C23),IF(Fill_Example="Yes",F23,""),C23)</f>
        <v/>
      </c>
    </row>
    <row r="24" customFormat="false" ht="21.75" hidden="false" customHeight="true" outlineLevel="0" collapsed="false">
      <c r="B24" s="25" t="s">
        <v>723</v>
      </c>
      <c r="C24" s="26"/>
      <c r="D24" s="27" t="s">
        <v>217</v>
      </c>
      <c r="E24" s="28" t="s">
        <v>724</v>
      </c>
      <c r="F24" s="29" t="n">
        <v>500</v>
      </c>
      <c r="G24" s="30" t="str">
        <f aca="false">IF(ISBLANK(C24),IF(Fill_Example="Yes",F24,""),C24)</f>
        <v/>
      </c>
    </row>
    <row r="25" customFormat="false" ht="21.75" hidden="false" customHeight="true" outlineLevel="0" collapsed="false">
      <c r="B25" s="25" t="s">
        <v>725</v>
      </c>
      <c r="C25" s="26"/>
      <c r="D25" s="27" t="s">
        <v>217</v>
      </c>
      <c r="E25" s="28" t="s">
        <v>726</v>
      </c>
      <c r="F25" s="29" t="n">
        <v>40000</v>
      </c>
      <c r="G25" s="30" t="str">
        <f aca="false">IF(ISBLANK(C25),IF(Fill_Example="Yes",F25,""),C25)</f>
        <v/>
      </c>
    </row>
    <row r="26" customFormat="false" ht="43.5" hidden="false" customHeight="true" outlineLevel="0" collapsed="false">
      <c r="B26" s="25" t="s">
        <v>727</v>
      </c>
      <c r="C26" s="26"/>
      <c r="D26" s="27" t="s">
        <v>217</v>
      </c>
      <c r="E26" s="35" t="s">
        <v>728</v>
      </c>
      <c r="F26" s="29" t="n">
        <f aca="false">ROUND(State_Pension_Year,0)</f>
        <v>15564</v>
      </c>
      <c r="G26" s="30" t="str">
        <f aca="false">IF(ISBLANK(C26),IF(Fill_Example="Yes",F26,""),C26)</f>
        <v/>
      </c>
    </row>
    <row r="27" customFormat="false" ht="21.75" hidden="false" customHeight="true" outlineLevel="0" collapsed="false">
      <c r="B27" s="25" t="s">
        <v>729</v>
      </c>
      <c r="C27" s="34"/>
      <c r="D27" s="27" t="s">
        <v>228</v>
      </c>
      <c r="E27" s="35" t="s">
        <v>730</v>
      </c>
      <c r="F27" s="36" t="n">
        <v>0.045</v>
      </c>
      <c r="G27" s="37" t="str">
        <f aca="false">IF(ISBLANK(C27),IF(Fill_Example="Yes",F27,""),C27)</f>
        <v/>
      </c>
    </row>
    <row r="28" customFormat="false" ht="21.75" hidden="false" customHeight="true" outlineLevel="0" collapsed="false">
      <c r="B28" s="25" t="s">
        <v>731</v>
      </c>
      <c r="C28" s="34"/>
      <c r="D28" s="27" t="s">
        <v>228</v>
      </c>
      <c r="E28" s="35" t="s">
        <v>732</v>
      </c>
      <c r="F28" s="36" t="n">
        <v>0.03</v>
      </c>
      <c r="G28" s="37" t="str">
        <f aca="false">IF(ISBLANK(C28),IF(Fill_Example="Yes",F28,""),C28)</f>
        <v/>
      </c>
    </row>
    <row r="29" customFormat="false" ht="21.75" hidden="false" customHeight="true" outlineLevel="0" collapsed="false">
      <c r="B29" s="25" t="s">
        <v>733</v>
      </c>
      <c r="C29" s="38"/>
      <c r="D29" s="27"/>
      <c r="E29" s="35" t="s">
        <v>734</v>
      </c>
      <c r="F29" s="39" t="n">
        <v>25</v>
      </c>
      <c r="G29" s="40" t="str">
        <f aca="false">IF(ISBLANK(C29),IF(Fill_Example="Yes",F29,""),C29)</f>
        <v/>
      </c>
    </row>
    <row r="30" customFormat="false" ht="21.75" hidden="false" customHeight="true" outlineLevel="0" collapsed="false">
      <c r="B30" s="25" t="s">
        <v>735</v>
      </c>
      <c r="C30" s="34"/>
      <c r="D30" s="27" t="s">
        <v>228</v>
      </c>
      <c r="E30" s="35" t="s">
        <v>736</v>
      </c>
      <c r="F30" s="36" t="n">
        <v>0.01</v>
      </c>
      <c r="G30" s="37" t="str">
        <f aca="false">IF(ISBLANK(C30),IF(Fill_Example="Yes",F30,""),C30)</f>
        <v/>
      </c>
    </row>
    <row r="31" customFormat="false" ht="21.75" hidden="false" customHeight="true" outlineLevel="0" collapsed="false">
      <c r="B31" s="25" t="s">
        <v>737</v>
      </c>
      <c r="C31" s="34"/>
      <c r="D31" s="27" t="s">
        <v>228</v>
      </c>
      <c r="E31" s="35" t="s">
        <v>738</v>
      </c>
      <c r="F31" s="36" t="n">
        <v>0.25</v>
      </c>
      <c r="G31" s="37" t="str">
        <f aca="false">IF(ISBLANK(C31),IF(Fill_Example="Yes",F31,""),C31)</f>
        <v/>
      </c>
    </row>
    <row r="32" customFormat="false" ht="15" hidden="false" customHeight="true" outlineLevel="0" collapsed="false">
      <c r="B32" s="25" t="s">
        <v>739</v>
      </c>
      <c r="C32" s="38"/>
      <c r="D32" s="27" t="s">
        <v>231</v>
      </c>
      <c r="E32" s="28" t="s">
        <v>740</v>
      </c>
      <c r="F32" s="39" t="n">
        <v>0</v>
      </c>
      <c r="G32" s="40" t="n">
        <f aca="false">IF(ISBLANK(C32),F32,C32)</f>
        <v>0</v>
      </c>
    </row>
    <row r="33" customFormat="false" ht="15" hidden="false" customHeight="true" outlineLevel="0" collapsed="false">
      <c r="B33" s="25" t="s">
        <v>741</v>
      </c>
      <c r="C33" s="26"/>
      <c r="D33" s="27" t="s">
        <v>217</v>
      </c>
      <c r="E33" s="28" t="s">
        <v>379</v>
      </c>
      <c r="F33" s="29" t="n">
        <v>0</v>
      </c>
      <c r="G33" s="30" t="n">
        <f aca="false">IF(ISBLANK(C33),F33,C33)</f>
        <v>0</v>
      </c>
    </row>
    <row r="34" customFormat="false" ht="15" hidden="false" customHeight="true" outlineLevel="0" collapsed="false">
      <c r="B34" s="25" t="s">
        <v>742</v>
      </c>
      <c r="C34" s="26"/>
      <c r="D34" s="27" t="s">
        <v>217</v>
      </c>
      <c r="E34" s="28" t="s">
        <v>743</v>
      </c>
      <c r="F34" s="29" t="n">
        <v>0</v>
      </c>
      <c r="G34" s="30" t="n">
        <f aca="false">IF(ISBLANK(C34),F34,C34)</f>
        <v>0</v>
      </c>
    </row>
    <row r="36" customFormat="false" ht="15" hidden="false" customHeight="true" outlineLevel="0" collapsed="false">
      <c r="B36" s="13" t="s">
        <v>326</v>
      </c>
      <c r="C36" s="14"/>
      <c r="D36" s="14"/>
      <c r="E36" s="14"/>
      <c r="F36" s="14"/>
      <c r="G36" s="14"/>
    </row>
    <row r="37" customFormat="false" ht="15" hidden="false" customHeight="true" outlineLevel="0" collapsed="false">
      <c r="B37" s="25" t="s">
        <v>721</v>
      </c>
      <c r="C37" s="58" t="str">
        <f aca="false">IF(ISBLANK(Stmt_Fund_Value),Pension_Today,Stmt_Fund_Value)</f>
        <v/>
      </c>
      <c r="D37" s="59" t="str">
        <f aca="false">IF(ISBLANK(Stmt_Fund_Value),"Your figure","From your statement")</f>
        <v>Your figure</v>
      </c>
      <c r="E37" s="49" t="s">
        <v>744</v>
      </c>
    </row>
    <row r="38" customFormat="false" ht="15" hidden="false" customHeight="true" outlineLevel="0" collapsed="false">
      <c r="B38" s="25" t="s">
        <v>723</v>
      </c>
      <c r="C38" s="58" t="str">
        <f aca="false">IF(COUNT(Stmt_You_Monthly,Stmt_Employer_Monthly)=0,Monthly_Contribution,SUM(Stmt_You_Monthly,Stmt_Employer_Monthly))</f>
        <v/>
      </c>
      <c r="D38" s="59" t="str">
        <f aca="false">IF(COUNT(Stmt_You_Monthly,Stmt_Employer_Monthly)=0,"Your figure","From your statement")</f>
        <v>Your figure</v>
      </c>
      <c r="E38" s="49" t="s">
        <v>745</v>
      </c>
    </row>
    <row r="39" customFormat="false" ht="15" hidden="false" customHeight="true" outlineLevel="0" collapsed="false">
      <c r="B39" s="25" t="s">
        <v>746</v>
      </c>
      <c r="C39" s="60" t="str">
        <f aca="false">IF(ISBLANK(Stmt_Charges),Growth_Rate,IF(OR(Growth_Rate="",Typical_Pension_Charges=""),"",Growth_Rate+Typical_Pension_Charges-Stmt_Charges))</f>
        <v/>
      </c>
      <c r="D39" s="59" t="str">
        <f aca="false">IF(ISBLANK(Stmt_Charges),"Your figure","Adjusted for your statement's charges")</f>
        <v>Your figure</v>
      </c>
      <c r="E39" s="49" t="s">
        <v>747</v>
      </c>
    </row>
    <row r="40" customFormat="false" ht="21.75" hidden="false" customHeight="true" outlineLevel="0" collapsed="false">
      <c r="B40" s="25" t="s">
        <v>748</v>
      </c>
      <c r="C40" s="45" t="str">
        <f aca="false">IF(Need_1&lt;&gt;"",Need_1,IF(AND(NOT(ISBLANK(Stmt_Projected_Fund)),Stmt_NRA=Retirement_Age+Retire_Later,Save_More=0),"Yes","No"))</f>
        <v>Choose your retirement age to see this</v>
      </c>
      <c r="D40" s="27"/>
      <c r="E40" s="42" t="s">
        <v>749</v>
      </c>
    </row>
    <row r="41" customFormat="false" ht="21.75" hidden="false" customHeight="true" outlineLevel="0" collapsed="false">
      <c r="B41" s="25" t="s">
        <v>332</v>
      </c>
      <c r="C41" s="45" t="str">
        <f aca="true">IF(ISBLANK(Stmt_Statement_Date),"",IF(TODAY()-Stmt_Statement_Date&gt;Statement_Max_Age_Days,"Needs a look: statement is more than 12 months old","Up to date"))</f>
        <v/>
      </c>
      <c r="D41" s="27"/>
      <c r="E41" s="42" t="s">
        <v>333</v>
      </c>
    </row>
    <row r="43" customFormat="false" ht="15" hidden="false" customHeight="true" outlineLevel="0" collapsed="false">
      <c r="B43" s="13" t="s">
        <v>239</v>
      </c>
      <c r="C43" s="24" t="s">
        <v>240</v>
      </c>
      <c r="D43" s="24" t="s">
        <v>241</v>
      </c>
      <c r="E43" s="24" t="s">
        <v>242</v>
      </c>
      <c r="F43" s="14"/>
      <c r="G43" s="14"/>
    </row>
    <row r="44" customFormat="false" ht="17.25" hidden="false" customHeight="true" outlineLevel="0" collapsed="false">
      <c r="B44" s="21" t="s">
        <v>750</v>
      </c>
      <c r="C44" s="41" t="str">
        <f aca="false">IF(Need_2&lt;&gt;"",Need_2,IF(ISNUMBER(Fund_Today),Target_Today-Fund_Today,Fund_Today))</f>
        <v>Choose your age to see this</v>
      </c>
      <c r="D44" s="63" t="str">
        <f aca="false">IF(Need_2&lt;&gt;"",Need_2,IF(ISNUMBER(Gap_Today),IF(Gap_Today&gt;0,"Gap of "&amp;TEXT(Gap_Today,"€#,##0")&amp;" in today's money","On track: no gap"),Gap_Today))</f>
        <v>Choose your age to see this</v>
      </c>
      <c r="E44" s="42" t="s">
        <v>751</v>
      </c>
    </row>
    <row r="45" customFormat="false" ht="17.25" hidden="false" customHeight="true" outlineLevel="0" collapsed="false">
      <c r="B45" s="21" t="s">
        <v>752</v>
      </c>
      <c r="C45" s="41" t="str">
        <f aca="false">IF(Need_3&lt;&gt;"",Need_3,IF(Use_Statement_Projection="Yes",Stmt_Projected_Fund,Calculated_Fund))</f>
        <v>Choose your age to see this</v>
      </c>
      <c r="D45" s="63" t="str">
        <f aca="false">IF(Need_3&lt;&gt;"",Need_3,IF(Use_Statement_Projection="Yes","From your statement","Calculated"))</f>
        <v>Choose your age to see this</v>
      </c>
      <c r="E45" s="42" t="s">
        <v>753</v>
      </c>
    </row>
    <row r="46" customFormat="false" ht="42.75" hidden="false" customHeight="true" outlineLevel="0" collapsed="false">
      <c r="B46" s="21" t="s">
        <v>754</v>
      </c>
      <c r="C46" s="41" t="str">
        <f aca="false">IF(Need_3&lt;&gt;"",Need_3,IF(AND(Use_Statement_Projection="Yes",Stmt_Projection_Today&lt;&gt;"No"),Stmt_Projected_Fund,IF(Inflation_Choice="","Choose your inflation rate to see this",Projected_Fund/(1+Inflation_Choice)^Years_To_Retirement)))</f>
        <v>Choose your age to see this</v>
      </c>
      <c r="D46" s="27" t="s">
        <v>217</v>
      </c>
      <c r="E46" s="42" t="s">
        <v>755</v>
      </c>
    </row>
    <row r="47" customFormat="false" ht="15" hidden="false" customHeight="true" outlineLevel="0" collapsed="false">
      <c r="B47" s="25" t="s">
        <v>756</v>
      </c>
      <c r="C47" s="43" t="str">
        <f aca="false">IF(Need_3&lt;&gt;"",Need_3,Used_Pension_Today*(1+Used_Growth_Rate)^Years_To_Retirement+Contributions_Grow_To)</f>
        <v>Choose your age to see this</v>
      </c>
      <c r="D47" s="27" t="s">
        <v>217</v>
      </c>
      <c r="E47" s="42" t="s">
        <v>757</v>
      </c>
    </row>
    <row r="48" customFormat="false" ht="17.25" hidden="false" customHeight="true" outlineLevel="0" collapsed="false">
      <c r="B48" s="21" t="s">
        <v>758</v>
      </c>
      <c r="C48" s="41" t="str">
        <f aca="false">IF(Need_4&lt;&gt;"",Need_4,MAX(0,Desired_Income-Spend_Less-Other_Income)*Retire_Multiple+Bridge_Years*Other_Income)</f>
        <v>Choose your retirement age to see this</v>
      </c>
      <c r="D48" s="27" t="s">
        <v>217</v>
      </c>
      <c r="E48" s="42" t="s">
        <v>759</v>
      </c>
    </row>
    <row r="49" customFormat="false" ht="15" hidden="false" customHeight="true" outlineLevel="0" collapsed="false">
      <c r="B49" s="25" t="s">
        <v>760</v>
      </c>
      <c r="C49" s="66" t="str">
        <f aca="false">IF(Need_1&lt;&gt;"",Need_1,MAX(0,State_Pension_Age-(Retirement_Age+Retire_Later)))</f>
        <v>Choose your retirement age to see this</v>
      </c>
      <c r="D49" s="27" t="s">
        <v>231</v>
      </c>
      <c r="E49" s="42" t="s">
        <v>761</v>
      </c>
    </row>
    <row r="50" customFormat="false" ht="15" hidden="false" customHeight="true" outlineLevel="0" collapsed="false">
      <c r="B50" s="25" t="s">
        <v>762</v>
      </c>
      <c r="C50" s="43" t="str">
        <f aca="false">IF(Need_5&lt;&gt;"",Need_5,MIN(Projected_Fund*Lump_Sum_Pct,Lump_Sum_Cap))</f>
        <v>Choose your age to see this</v>
      </c>
      <c r="D50" s="27" t="s">
        <v>217</v>
      </c>
      <c r="E50" s="42" t="s">
        <v>763</v>
      </c>
    </row>
    <row r="51" customFormat="false" ht="15" hidden="false" customHeight="true" outlineLevel="0" collapsed="false">
      <c r="B51" s="25" t="s">
        <v>764</v>
      </c>
      <c r="C51" s="43" t="str">
        <f aca="false">IF(Need_5&lt;&gt;"",Need_5,Lump_Sum_Rate*MAX(0,Lump_Sum-Lump_Sum_Tax_Free))</f>
        <v>Choose your age to see this</v>
      </c>
      <c r="D51" s="27" t="s">
        <v>217</v>
      </c>
      <c r="E51" s="42" t="s">
        <v>765</v>
      </c>
    </row>
    <row r="52" customFormat="false" ht="15" hidden="false" customHeight="true" outlineLevel="0" collapsed="false">
      <c r="B52" s="25" t="s">
        <v>766</v>
      </c>
      <c r="C52" s="43" t="str">
        <f aca="false">IF(Need_5&lt;&gt;"",Need_5,Lump_Sum-Lump_Sum_Tax)</f>
        <v>Choose your age to see this</v>
      </c>
      <c r="D52" s="27" t="s">
        <v>217</v>
      </c>
      <c r="E52" s="42" t="s">
        <v>767</v>
      </c>
    </row>
    <row r="53" customFormat="false" ht="15" hidden="false" customHeight="true" outlineLevel="0" collapsed="false">
      <c r="B53" s="72" t="s">
        <v>768</v>
      </c>
      <c r="C53" s="73" t="str">
        <f aca="false">IF(Need_1&lt;&gt;"","",IF(Retirement_Age+Retire_Later&lt;Pension_Earliest_Age,"Most pensions can't be taken before 60 (PRSA and personal pensions; occupational schemes from 50 only if you have left that job).",""))</f>
        <v/>
      </c>
      <c r="D53" s="73"/>
      <c r="E53" s="73"/>
    </row>
    <row r="54" customFormat="false" ht="15" hidden="false" customHeight="true" outlineLevel="0" collapsed="false">
      <c r="B54" s="72" t="s">
        <v>768</v>
      </c>
      <c r="C54" s="73" t="str">
        <f aca="false">IF(Need_3&lt;&gt;"","",IF(Projected_Fund&gt;SFT_2026,"Above the Standard Fund Threshold (€2.2m in 2026, rising to €2.8m by 2029): the excess is taxed at "&amp;TEXT(SFT_Tax,"0%")&amp;".",""))</f>
        <v/>
      </c>
      <c r="D54" s="73"/>
      <c r="E54" s="73"/>
    </row>
    <row r="55" customFormat="false" ht="15" hidden="false" customHeight="true" outlineLevel="0" collapsed="false">
      <c r="B55" s="25" t="s">
        <v>769</v>
      </c>
      <c r="C55" s="66" t="str">
        <f aca="false">IF(Need_6&lt;&gt;"",Need_6,MAX(1,Retirement_Age+Retire_Later-Age))</f>
        <v>Choose your age to see this</v>
      </c>
      <c r="D55" s="27" t="s">
        <v>231</v>
      </c>
      <c r="E55" s="42" t="s">
        <v>770</v>
      </c>
    </row>
    <row r="56" customFormat="false" ht="15" hidden="false" customHeight="true" outlineLevel="0" collapsed="false">
      <c r="B56" s="25" t="s">
        <v>771</v>
      </c>
      <c r="C56" s="43" t="str">
        <f aca="false">IF(Need_7&lt;&gt;"",Need_7,Used_Monthly_Contribution+Save_More)</f>
        <v>Choose your monthly contributions to see this</v>
      </c>
      <c r="D56" s="27" t="s">
        <v>217</v>
      </c>
      <c r="E56" s="42" t="s">
        <v>772</v>
      </c>
    </row>
    <row r="57" customFormat="false" ht="21.75" hidden="false" customHeight="true" outlineLevel="0" collapsed="false">
      <c r="B57" s="25" t="s">
        <v>773</v>
      </c>
      <c r="C57" s="43" t="str">
        <f aca="false">IF(Need_8&lt;&gt;"",Need_8,IF(Used_Growth_Rate=Wage,12*Contribution*Years_To_Retirement*(1+Used_Growth_Rate)^(Years_To_Retirement-1),12*Contribution*((1+Used_Growth_Rate)^Years_To_Retirement-(1+Wage)^Years_To_Retirement)/(Used_Growth_Rate-Wage)))</f>
        <v>Choose your age to see this</v>
      </c>
      <c r="D57" s="27" t="s">
        <v>217</v>
      </c>
      <c r="E57" s="42" t="s">
        <v>774</v>
      </c>
    </row>
    <row r="59" customFormat="false" ht="15" hidden="false" customHeight="true" outlineLevel="0" collapsed="false">
      <c r="B59" s="13" t="s">
        <v>272</v>
      </c>
      <c r="C59" s="14"/>
      <c r="D59" s="14"/>
      <c r="E59" s="14"/>
      <c r="F59" s="14"/>
      <c r="G59" s="14"/>
    </row>
    <row r="60" customFormat="false" ht="27.75" hidden="false" customHeight="true" outlineLevel="0" collapsed="false">
      <c r="B60" s="46" t="s">
        <v>775</v>
      </c>
      <c r="C60" s="46"/>
      <c r="D60" s="46"/>
      <c r="E60" s="46"/>
    </row>
    <row r="61" customFormat="false" ht="27.75" hidden="false" customHeight="true" outlineLevel="0" collapsed="false">
      <c r="B61" s="46" t="s">
        <v>776</v>
      </c>
      <c r="C61" s="46"/>
      <c r="D61" s="46"/>
      <c r="E61" s="46"/>
    </row>
    <row r="62" customFormat="false" ht="27.75" hidden="false" customHeight="true" outlineLevel="0" collapsed="false">
      <c r="B62" s="46" t="s">
        <v>777</v>
      </c>
      <c r="C62" s="46"/>
      <c r="D62" s="46"/>
      <c r="E62" s="46"/>
    </row>
    <row r="63" customFormat="false" ht="27.75" hidden="false" customHeight="true" outlineLevel="0" collapsed="false">
      <c r="B63" s="46" t="s">
        <v>778</v>
      </c>
      <c r="C63" s="46"/>
      <c r="D63" s="46"/>
      <c r="E63" s="46"/>
    </row>
    <row r="64" customFormat="false" ht="13.5" hidden="false" customHeight="true" outlineLevel="0" collapsed="false">
      <c r="B64" s="47" t="s">
        <v>276</v>
      </c>
      <c r="C64" s="47"/>
      <c r="D64" s="47"/>
      <c r="E64" s="47"/>
    </row>
    <row r="65" customFormat="false" ht="13.5" hidden="false" customHeight="true" outlineLevel="0" collapsed="false">
      <c r="B65" s="46" t="s">
        <v>779</v>
      </c>
      <c r="C65" s="46"/>
      <c r="D65" s="46"/>
      <c r="E65" s="46"/>
    </row>
    <row r="66" customFormat="false" ht="27.75" hidden="false" customHeight="true" outlineLevel="0" collapsed="false">
      <c r="B66" s="46" t="s">
        <v>780</v>
      </c>
      <c r="C66" s="46"/>
      <c r="D66" s="46"/>
      <c r="E66" s="46"/>
    </row>
    <row r="67" customFormat="false" ht="13.5" hidden="false" customHeight="true" outlineLevel="0" collapsed="false">
      <c r="B67" s="46" t="s">
        <v>781</v>
      </c>
      <c r="C67" s="46"/>
      <c r="D67" s="46"/>
      <c r="E67" s="46"/>
    </row>
    <row r="69" customFormat="false" ht="15" hidden="false" customHeight="true" outlineLevel="0" collapsed="false">
      <c r="B69" s="13" t="s">
        <v>281</v>
      </c>
      <c r="C69" s="14"/>
      <c r="D69" s="14"/>
      <c r="E69" s="14"/>
      <c r="F69" s="14"/>
      <c r="G69" s="14"/>
    </row>
    <row r="70" customFormat="false" ht="15" hidden="false" customHeight="true" outlineLevel="0" collapsed="false">
      <c r="B70" s="25" t="s">
        <v>282</v>
      </c>
      <c r="C70" s="48" t="str">
        <f aca="false">"Update your retirement goal (no new goal)"</f>
        <v>Update your retirement goal (no new goal)</v>
      </c>
      <c r="E70" s="49" t="s">
        <v>782</v>
      </c>
    </row>
    <row r="71" customFormat="false" ht="15" hidden="false" customHeight="true" outlineLevel="0" collapsed="false">
      <c r="B71" s="25" t="s">
        <v>783</v>
      </c>
      <c r="C71" s="50" t="str">
        <f aca="false">IF(Need_9&lt;&gt;"",Need_9,Desired_Income-Spend_Less)</f>
        <v>Choose your desired retirement income to see this</v>
      </c>
      <c r="E71" s="49" t="s">
        <v>784</v>
      </c>
    </row>
    <row r="72" customFormat="false" ht="15" hidden="false" customHeight="true" outlineLevel="0" collapsed="false">
      <c r="B72" s="25" t="s">
        <v>785</v>
      </c>
      <c r="C72" s="51" t="str">
        <f aca="false">IF(Need_1&lt;&gt;"",Need_1,Retirement_Age+Retire_Later)</f>
        <v>Choose your retirement age to see this</v>
      </c>
      <c r="E72" s="49" t="s">
        <v>786</v>
      </c>
    </row>
    <row r="73" customFormat="false" ht="15" hidden="false" customHeight="true" outlineLevel="0" collapsed="false">
      <c r="B73" s="25" t="s">
        <v>585</v>
      </c>
      <c r="C73" s="69" t="str">
        <f aca="false">IF(Inflation_Choice="","Choose an inflation rate first",Inflation_Choice)</f>
        <v>Choose an inflation rate first</v>
      </c>
      <c r="E73" s="49" t="s">
        <v>586</v>
      </c>
    </row>
    <row r="74" customFormat="false" ht="13.5" hidden="false" customHeight="true" outlineLevel="0" collapsed="false">
      <c r="B74" s="53" t="s">
        <v>787</v>
      </c>
      <c r="C74" s="53"/>
      <c r="D74" s="53"/>
      <c r="E74" s="53"/>
    </row>
    <row r="76" customFormat="false" ht="15" hidden="false" customHeight="true" outlineLevel="0" collapsed="false">
      <c r="B76" s="13" t="s">
        <v>290</v>
      </c>
      <c r="C76" s="14"/>
      <c r="D76" s="14"/>
      <c r="E76" s="14"/>
      <c r="F76" s="14"/>
      <c r="G76" s="14"/>
    </row>
    <row r="77" customFormat="false" ht="15" hidden="false" customHeight="true" outlineLevel="0" collapsed="false">
      <c r="B77" s="52" t="s">
        <v>788</v>
      </c>
      <c r="C77" s="52" t="str">
        <f aca="false">IF(Retirement_Age="","Choose your retirement age to see this","")</f>
        <v>Choose your retirement age to see this</v>
      </c>
    </row>
    <row r="78" customFormat="false" ht="15" hidden="false" customHeight="true" outlineLevel="0" collapsed="false">
      <c r="B78" s="52" t="s">
        <v>789</v>
      </c>
      <c r="C78" s="52" t="str">
        <f aca="false">IF(Age="","Choose your age to see this",IF(Retirement_Age="","Choose your retirement age to see this",IF(Desired_Income="","Choose your desired retirement income to see this",IF(Other_Income="","Choose your other income (State Pension) to see this",IF(Wage="","Choose your pay rise to see this",IF(Retire_Multiple="","Choose your retirement multiple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79" customFormat="false" ht="15" hidden="false" customHeight="true" outlineLevel="0" collapsed="false">
      <c r="B79" s="52" t="s">
        <v>790</v>
      </c>
      <c r="C79" s="52" t="str">
        <f aca="false">IF(Age="","Choose your age to see this",IF(Retirement_Age="","Choose your retirement age to see this",IF(Wage="","Choose your pay rise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0" customFormat="false" ht="15" hidden="false" customHeight="true" outlineLevel="0" collapsed="false">
      <c r="B80" s="52" t="s">
        <v>791</v>
      </c>
      <c r="C80" s="52" t="str">
        <f aca="false">IF(Retirement_Age="","Choose your retirement age to see this",IF(Desired_Income="","Choose your desired retirement income to see this",IF(Other_Income="","Choose your other income (State Pension) to see this",IF(Retire_Multiple="","Choose your retirement multiple to see this",""))))</f>
        <v>Choose your retirement age to see this</v>
      </c>
    </row>
    <row r="81" customFormat="false" ht="15" hidden="false" customHeight="true" outlineLevel="0" collapsed="false">
      <c r="B81" s="52" t="s">
        <v>792</v>
      </c>
      <c r="C81" s="52" t="str">
        <f aca="false">IF(Age="","Choose your age to see this",IF(Retirement_Age="","Choose your retirement age to see this",IF(Wage="","Choose your pay rise to see this",IF(Lump_Sum_Pct="","Choose your lump sum share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2" customFormat="false" ht="15" hidden="false" customHeight="true" outlineLevel="0" collapsed="false">
      <c r="B82" s="52" t="s">
        <v>793</v>
      </c>
      <c r="C82" s="52" t="str">
        <f aca="false">IF(Age="","Choose your age to see this",IF(Retirement_Age="","Choose your retirement age to see this",""))</f>
        <v>Choose your age to see this</v>
      </c>
    </row>
    <row r="83" customFormat="false" ht="15" hidden="false" customHeight="true" outlineLevel="0" collapsed="false">
      <c r="B83" s="52" t="s">
        <v>794</v>
      </c>
      <c r="C83" s="52" t="str">
        <f aca="false">IF(NOT(ISNUMBER(Used_Monthly_Contribution)),IF(Used_Monthly_Contribution="",IF(Monthly_Contribution="","Choose your monthly contributions to see this",""),Used_Monthly_Contribution),"")</f>
        <v>Choose your monthly contributions to see this</v>
      </c>
    </row>
    <row r="84" customFormat="false" ht="15" hidden="false" customHeight="true" outlineLevel="0" collapsed="false">
      <c r="B84" s="52" t="s">
        <v>795</v>
      </c>
      <c r="C84" s="52" t="str">
        <f aca="false">IF(Age="","Choose your age to see this",IF(Retirement_Age="","Choose your retirement age to see this",IF(Wage="","Choose your pay rise to see this",IF(NOT(ISNUMBER(Used_Monthly_Contribution)),IF(Used_Monthly_Contribution="",IF(Monthly_Contribution="","Choose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age to see this</v>
      </c>
    </row>
    <row r="85" customFormat="false" ht="15" hidden="false" customHeight="true" outlineLevel="0" collapsed="false">
      <c r="B85" s="52" t="s">
        <v>796</v>
      </c>
      <c r="C85" s="52" t="str">
        <f aca="false">IF(Desired_Income="","Choose your desired retirement income to see this","")</f>
        <v>Choose your desired retirement income to see this</v>
      </c>
    </row>
  </sheetData>
  <mergeCells count="13">
    <mergeCell ref="B7:E7"/>
    <mergeCell ref="B10:E10"/>
    <mergeCell ref="C53:E53"/>
    <mergeCell ref="C54:E54"/>
    <mergeCell ref="B60:E60"/>
    <mergeCell ref="B61:E61"/>
    <mergeCell ref="B62:E62"/>
    <mergeCell ref="B63:E63"/>
    <mergeCell ref="B64:E64"/>
    <mergeCell ref="B65:E65"/>
    <mergeCell ref="B66:E66"/>
    <mergeCell ref="B67:E67"/>
    <mergeCell ref="B74:E74"/>
  </mergeCells>
  <dataValidations count="23">
    <dataValidation allowBlank="true" error="Please enter a date (dd/mm/yyyy)." errorStyle="stop" errorTitle="Outside the allowed range" operator="greaterThan" prompt="Unit: date. Allowed: a date (dd/mm/yyyy)." promptTitle="Statement date" showDropDown="false" showErrorMessage="true" showInputMessage="true" sqref="C18"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7" type="decimal">
      <formula1>0</formula1>
      <formula2>0.05</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1" type="decimal">
      <formula1>0</formula1>
      <formula2>50000000</formula2>
    </dataValidation>
    <dataValidation allowBlank="true" error="Please enter €0 to €100,000." errorStyle="stop" errorTitle="Outside the allowed range" operator="between" prompt="Unit: €. Allowed: €0 to €100,000." promptTitle="Your monthly contribution" showDropDown="false" showErrorMessage="true" showInputMessage="true" sqref="C12" type="decimal">
      <formula1>0</formula1>
      <formula2>100000</formula2>
    </dataValidation>
    <dataValidation allowBlank="true" error="Please enter €0 to €100,000." errorStyle="stop" errorTitle="Outside the allowed range" operator="between" prompt="Unit: €. Allowed: €0 to €100,000." promptTitle="Employer monthly contribution" showDropDown="false" showErrorMessage="true" showInputMessage="true" sqref="C13" type="decimal">
      <formula1>0</formula1>
      <formula2>100000</formula2>
    </dataValidation>
    <dataValidation allowBlank="true" error="Please enter 50 to 75." errorStyle="stop" errorTitle="Outside the allowed range" operator="between" prompt="Unit: age. Allowed: 50 to 75." promptTitle="Normal retirement age" showDropDown="false" showErrorMessage="true" showInputMessage="true" sqref="C14" type="whole">
      <formula1>50</formula1>
      <formula2>75</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5" type="decimal">
      <formula1>0</formula1>
      <formula2>100000000</formula2>
    </dataValidation>
    <dataValidation allowBlank="true" error="Please enter Yes or No." errorStyle="stop" errorTitle="Outside the allowed range" operator="between" prompt="Unit: Yes / No. Allowed: Yes or No." promptTitle="Projection is in today's money? " showDropDown="false" showErrorMessage="true" showInputMessage="true" sqref="C16" type="list">
      <formula1>"Yes,No"</formula1>
      <formula2>0</formula2>
    </dataValidation>
    <dataValidation allowBlank="true" error="Please enter 20 to 70 · steps of 1." errorStyle="stop" errorTitle="Outside the allowed range" operator="between" prompt="Your own figure. In the app it is pre-filled from About you: age.  Allowed: 20 to 70 · steps of 1." promptTitle="Your age" showDropDown="false" showErrorMessage="true" showInputMessage="true" sqref="C21" type="whole">
      <formula1>20</formula1>
      <formula2>70</formula2>
    </dataValidation>
    <dataValidation allowBlank="true" error="Please enter 50 to 75 · steps of 1." errorStyle="stop" errorTitle="Outside the allowed range" operator="between" prompt="You can usually draw a pension from 60 (some schemes from 50); State Pension is paid from 66. Choose your own: there is no default.  Allowed: 50 to 75 · steps of 1." promptTitle="Target retirement age" showDropDown="false" showErrorMessage="true" showInputMessage="true" sqref="C22" type="whole">
      <formula1>50</formula1>
      <formula2>75</formula2>
    </dataValidation>
    <dataValidation allowBlank="true" error="Please enter €0 to €15,000,000 · steps of €1,000." errorStyle="stop" errorTitle="Outside the allowed range" operator="between" prompt="Your own figure. In the app it is pre-filled from Your finances / pension statement.  Allowed: €0 to €15,000,000 · steps of €1,000." promptTitle="Pension value today" showDropDown="false" showErrorMessage="true" showInputMessage="true" sqref="C23" type="decimal">
      <formula1>0</formula1>
      <formula2>15000000</formula2>
    </dataValidation>
    <dataValidation allowBlank="true" error="Please enter €0 to €50,000 · steps of €10." errorStyle="stop" errorTitle="Outside the allowed range" operator="between" prompt="Your own figure. In the app it is pre-filled from Your finances / pension statement.  Allowed: €0 to €50,000 · steps of €10." promptTitle="Monthly contributions (you + emp" showDropDown="false" showErrorMessage="true" showInputMessage="true" sqref="C24" type="decimal">
      <formula1>0</formula1>
      <formula2>50000</formula2>
    </dataValidation>
    <dataValidation allowBlank="true" error="Please enter €10,000 to €1,500,000 · steps of €1,000." errorStyle="stop" errorTitle="Outside the allowed range" operator="between" prompt="Your own figure. In the app it is pre-filled from Plan: retirement goal income.  Allowed: €10,000 to €1,500,000 · steps of €1,000." promptTitle="Desired yearly income in retirem" showDropDown="false" showErrorMessage="true" showInputMessage="true" sqref="C25" type="decimal">
      <formula1>10000</formula1>
      <formula2>1500000</formula2>
    </dataValidation>
    <dataValidation allowBlank="true" error="Please enter €0 to €500,000 · steps of €500." errorStyle="stop" errorTitle="Outside the allowed range" operator="between" prompt="Usually between €0 and €15,564 a year: the full State Pension is €299.30 a week (DSP 2026), partial rates are lower and depend on your PRSI record. In the app it is pre-filled from State Pension €15,563.60 × your e Allowed: €0 to €500,000 · steps of €500." promptTitle="Other yearly income from 66, e.g" showDropDown="false" showErrorMessage="true" showInputMessage="true" sqref="C26" type="decimal">
      <formula1>0</formula1>
      <formula2>500000</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25%." promptTitle="Pension growth after charges a y" showDropDown="false" showErrorMessage="true" showInputMessage="true" sqref="C27" type="decimal">
      <formula1>0.01</formula1>
      <formula2>0.07</formula2>
    </dataValidation>
    <dataValidation allowBlank="true" error="Please enter 0% to 6% · steps of 0.25%." errorStyle="stop" errorTitle="Outside the allowed range" operator="between" prompt="Generally the standard is 3% a year (Irish pay has grown about 3%–4% a year recently; LifeMap Standard set). Choose what you want to use.  Allowed: 0% to 6% · steps of 0.25%." promptTitle="Pay rises a year (contributions " showDropDown="false" showErrorMessage="true" showInputMessage="true" sqref="C28" type="decimal">
      <formula1>0</formula1>
      <formula2>0.06</formula2>
    </dataValidation>
    <dataValidation allowBlank="true" error="Please enter 20 to 33 · steps of 1." errorStyle="stop" errorTitle="Outside the allowed range" operator="between" prompt="Generally the standard is 25 times the yearly income you need (about 4% a year). Choose what you want to use.  Allowed: 20 to 33 · steps of 1." promptTitle="Retirement savings target: × the" showDropDown="false" showErrorMessage="true" showInputMessage="true" sqref="C29" type="whole">
      <formula1>20</formula1>
      <formula2>33</formula2>
    </dataValidation>
    <dataValidation allowBlank="true" error="Please enter 0% to 2.5% · steps of 0.05%." errorStyle="stop" errorTitle="Outside the allowed range" operator="between" prompt="Usually between 0.5% and 1.5% a year for pension charges (your statement shows yours). Enter your own figure.  Allowed: 0% to 2.5% · steps of 0.05%." promptTitle="Typical pension charges (if your" showDropDown="false" showErrorMessage="true" showInputMessage="true" sqref="C30" type="decimal">
      <formula1>0</formula1>
      <formula2>0.025</formula2>
    </dataValidation>
    <dataValidation allowBlank="true" error="Please enter 0% to 25% · steps of 1%." errorStyle="stop" errorTitle="Outside the allowed range" operator="between" prompt="Generally the standard is 25% of the fund, the most allowed (first €200,000 tax-free, next €300,000 at 20%). Choose what you want to use.  Allowed: 0% to 25% · steps of 1%." promptTitle="Tax-free lump sum you plan to ta" showDropDown="false" showErrorMessage="true" showInputMessage="true" sqref="C31" type="decimal">
      <formula1>0</formula1>
      <formula2>0.25</formula2>
    </dataValidation>
    <dataValidation allowBlank="true" error="Please enter 0 to 5 · steps of 1." errorStyle="stop" errorTitle="Outside the allowed range" operator="between" prompt="Optional: leave blank for none.  Allowed: 0 to 5 · steps of 1." promptTitle="What if: retire later by" showDropDown="false" showErrorMessage="true" showInputMessage="true" sqref="C32" type="whole">
      <formula1>0</formula1>
      <formula2>5</formula2>
    </dataValidation>
    <dataValidation allowBlank="true" error="Please enter €0 to €15,000 · steps of €50." errorStyle="stop" errorTitle="Outside the allowed range" operator="between" prompt="Optional: leave blank for none.  Allowed: €0 to €15,000 · steps of €50." promptTitle="What if: save more each month" showDropDown="false" showErrorMessage="true" showInputMessage="true" sqref="C33" type="decimal">
      <formula1>0</formula1>
      <formula2>15000</formula2>
    </dataValidation>
    <dataValidation allowBlank="true" error="Please enter €0 to €200,000 · steps of €500." errorStyle="stop" errorTitle="Outside the allowed range" operator="between" prompt="Optional: leave blank for none.  Allowed: €0 to €200,000 · steps of €500." promptTitle="What if: spend less in retiremen" showDropDown="false" showErrorMessage="true" showInputMessage="true" sqref="C34" type="decimal">
      <formula1>0</formula1>
      <formula2>200000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797</v>
      </c>
      <c r="E1" s="3" t="s">
        <v>798</v>
      </c>
    </row>
    <row r="2" customFormat="false" ht="15" hidden="false" customHeight="true" outlineLevel="0" collapsed="false">
      <c r="B2" s="21" t="s">
        <v>799</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800</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302</v>
      </c>
      <c r="C9" s="14"/>
      <c r="D9" s="14"/>
      <c r="E9" s="14"/>
      <c r="F9" s="14"/>
      <c r="G9" s="14"/>
    </row>
    <row r="10" customFormat="false" ht="27.75" hidden="false" customHeight="true" outlineLevel="0" collapsed="false">
      <c r="B10" s="53" t="s">
        <v>801</v>
      </c>
      <c r="C10" s="53"/>
      <c r="D10" s="53"/>
      <c r="E10" s="53"/>
    </row>
    <row r="11" customFormat="false" ht="15" hidden="false" customHeight="true" outlineLevel="0" collapsed="false">
      <c r="B11" s="25" t="s">
        <v>632</v>
      </c>
      <c r="C11" s="55"/>
      <c r="D11" s="27" t="s">
        <v>228</v>
      </c>
      <c r="E11" s="28" t="s">
        <v>633</v>
      </c>
      <c r="G11" s="52" t="s">
        <v>306</v>
      </c>
    </row>
    <row r="12" customFormat="false" ht="15" hidden="false" customHeight="true" outlineLevel="0" collapsed="false">
      <c r="B12" s="25" t="s">
        <v>313</v>
      </c>
      <c r="C12" s="57"/>
      <c r="D12" s="27" t="s">
        <v>314</v>
      </c>
      <c r="E12" s="28" t="s">
        <v>315</v>
      </c>
      <c r="G12" s="52" t="s">
        <v>306</v>
      </c>
    </row>
    <row r="14" customFormat="false" ht="15" hidden="false" customHeight="true" outlineLevel="0" collapsed="false">
      <c r="B14" s="13" t="s">
        <v>316</v>
      </c>
      <c r="C14" s="24" t="s">
        <v>213</v>
      </c>
      <c r="D14" s="24" t="s">
        <v>214</v>
      </c>
      <c r="E14" s="24" t="s">
        <v>215</v>
      </c>
      <c r="F14" s="14"/>
      <c r="G14" s="14"/>
    </row>
    <row r="15" customFormat="false" ht="21.75" hidden="false" customHeight="true" outlineLevel="0" collapsed="false">
      <c r="B15" s="25" t="s">
        <v>802</v>
      </c>
      <c r="C15" s="26"/>
      <c r="D15" s="27" t="s">
        <v>217</v>
      </c>
      <c r="E15" s="28" t="s">
        <v>218</v>
      </c>
      <c r="F15" s="29" t="n">
        <v>60000</v>
      </c>
      <c r="G15" s="30" t="str">
        <f aca="false">IF(ISBLANK(C15),IF(Fill_Example="Yes",F15,""),C15)</f>
        <v/>
      </c>
    </row>
    <row r="16" customFormat="false" ht="15" hidden="false" customHeight="true" outlineLevel="0" collapsed="false">
      <c r="B16" s="25" t="s">
        <v>803</v>
      </c>
      <c r="C16" s="34"/>
      <c r="D16" s="27" t="s">
        <v>228</v>
      </c>
      <c r="E16" s="28" t="s">
        <v>804</v>
      </c>
      <c r="F16" s="36" t="n">
        <v>0.02</v>
      </c>
      <c r="G16" s="37" t="str">
        <f aca="false">IF(ISBLANK(C16),IF(Fill_Example="Yes",F16,""),C16)</f>
        <v/>
      </c>
    </row>
    <row r="17" customFormat="false" ht="21.75" hidden="false" customHeight="true" outlineLevel="0" collapsed="false">
      <c r="B17" s="25" t="s">
        <v>769</v>
      </c>
      <c r="C17" s="38"/>
      <c r="D17" s="27" t="s">
        <v>231</v>
      </c>
      <c r="E17" s="28" t="s">
        <v>805</v>
      </c>
      <c r="F17" s="39" t="n">
        <v>25</v>
      </c>
      <c r="G17" s="40" t="str">
        <f aca="false">IF(ISBLANK(C17),IF(Fill_Example="Yes",F17,""),C17)</f>
        <v/>
      </c>
    </row>
    <row r="18" customFormat="false" ht="21.75" hidden="false" customHeight="true" outlineLevel="0" collapsed="false">
      <c r="B18" s="25" t="s">
        <v>806</v>
      </c>
      <c r="C18" s="34"/>
      <c r="D18" s="27" t="s">
        <v>228</v>
      </c>
      <c r="E18" s="35" t="s">
        <v>807</v>
      </c>
      <c r="F18" s="36" t="n">
        <v>0.045</v>
      </c>
      <c r="G18" s="37" t="str">
        <f aca="false">IF(ISBLANK(C18),IF(Fill_Example="Yes",F18,""),C18)</f>
        <v/>
      </c>
    </row>
    <row r="19" customFormat="false" ht="21.75" hidden="false" customHeight="true" outlineLevel="0" collapsed="false">
      <c r="B19" s="25" t="s">
        <v>735</v>
      </c>
      <c r="C19" s="34"/>
      <c r="D19" s="27" t="s">
        <v>228</v>
      </c>
      <c r="E19" s="35" t="s">
        <v>736</v>
      </c>
      <c r="F19" s="36" t="n">
        <v>0.01</v>
      </c>
      <c r="G19" s="37" t="str">
        <f aca="false">IF(ISBLANK(C19),IF(Fill_Example="Yes",F19,""),C19)</f>
        <v/>
      </c>
    </row>
    <row r="20" customFormat="false" ht="33" hidden="false" customHeight="true" outlineLevel="0" collapsed="false">
      <c r="B20" s="25" t="s">
        <v>808</v>
      </c>
      <c r="C20" s="74"/>
      <c r="D20" s="27" t="s">
        <v>809</v>
      </c>
      <c r="E20" s="35" t="s">
        <v>810</v>
      </c>
      <c r="F20" s="75" t="str">
        <f aca="false">TE_Marginal_Rate</f>
        <v>Choose your tax status to see this</v>
      </c>
      <c r="G20" s="76" t="str">
        <f aca="false">IF(ISBLANK(C20),IF(Fill_Example="Yes",F20,""),C20)</f>
        <v/>
      </c>
    </row>
    <row r="21" customFormat="false" ht="21.75" hidden="false" customHeight="true" outlineLevel="0" collapsed="false">
      <c r="B21" s="25" t="s">
        <v>811</v>
      </c>
      <c r="C21" s="38"/>
      <c r="D21" s="27" t="s">
        <v>712</v>
      </c>
      <c r="E21" s="28" t="s">
        <v>812</v>
      </c>
      <c r="F21" s="39" t="n">
        <v>40</v>
      </c>
      <c r="G21" s="40" t="str">
        <f aca="false">IF(ISBLANK(C21),IF(Fill_Example="Yes",F21,""),C21)</f>
        <v/>
      </c>
    </row>
    <row r="22" customFormat="false" ht="15" hidden="false" customHeight="true" outlineLevel="0" collapsed="false">
      <c r="B22" s="25" t="s">
        <v>813</v>
      </c>
      <c r="C22" s="26"/>
      <c r="D22" s="27" t="s">
        <v>217</v>
      </c>
      <c r="E22" s="28" t="s">
        <v>814</v>
      </c>
      <c r="F22" s="29" t="n">
        <v>0</v>
      </c>
      <c r="G22" s="30" t="n">
        <f aca="false">IF(ISBLANK(C22),F22,C22)</f>
        <v>0</v>
      </c>
    </row>
    <row r="24" customFormat="false" ht="15" hidden="false" customHeight="true" outlineLevel="0" collapsed="false">
      <c r="B24" s="13" t="s">
        <v>326</v>
      </c>
      <c r="C24" s="14"/>
      <c r="D24" s="14"/>
      <c r="E24" s="14"/>
      <c r="F24" s="14"/>
      <c r="G24" s="14"/>
    </row>
    <row r="25" customFormat="false" ht="15" hidden="false" customHeight="true" outlineLevel="0" collapsed="false">
      <c r="B25" s="25" t="s">
        <v>815</v>
      </c>
      <c r="C25" s="60" t="str">
        <f aca="false">IF(ISBLANK(Stmt_Charges),Growth_Rate,IF(OR(Growth_Rate="",Typical_Pension_Charges=""),"",Growth_Rate+Typical_Pension_Charges-Stmt_Charges))</f>
        <v/>
      </c>
      <c r="D25" s="59" t="str">
        <f aca="false">IF(ISBLANK(Stmt_Charges),"Your figure","Adjusted for your statement's charges")</f>
        <v>Your figure</v>
      </c>
      <c r="E25" s="49" t="s">
        <v>747</v>
      </c>
    </row>
    <row r="26" customFormat="false" ht="21.75" hidden="false" customHeight="true" outlineLevel="0" collapsed="false">
      <c r="B26" s="25" t="s">
        <v>332</v>
      </c>
      <c r="C26" s="45" t="str">
        <f aca="true">IF(ISBLANK(Stmt_Statement_Date),"",IF(TODAY()-Stmt_Statement_Date&gt;Statement_Max_Age_Days,"Needs a look: statement is more than 12 months old","Up to date"))</f>
        <v/>
      </c>
      <c r="D26" s="27"/>
      <c r="E26" s="42" t="s">
        <v>333</v>
      </c>
    </row>
    <row r="28" customFormat="false" ht="15" hidden="false" customHeight="true" outlineLevel="0" collapsed="false">
      <c r="B28" s="13" t="s">
        <v>239</v>
      </c>
      <c r="C28" s="24" t="s">
        <v>240</v>
      </c>
      <c r="D28" s="24" t="s">
        <v>241</v>
      </c>
      <c r="E28" s="24" t="s">
        <v>242</v>
      </c>
      <c r="F28" s="14"/>
      <c r="G28" s="14"/>
    </row>
    <row r="29" customFormat="false" ht="17.25" hidden="false" customHeight="true" outlineLevel="0" collapsed="false">
      <c r="B29" s="21" t="s">
        <v>816</v>
      </c>
      <c r="C29" s="41" t="str">
        <f aca="false">IF(Need_1&lt;&gt;"",Need_1,FV((1+Used_Growth_Rate)^(1/12)-1,Years*12,-Extra_Per_Month))</f>
        <v>Choose your salary to see this</v>
      </c>
      <c r="D29" s="27" t="s">
        <v>217</v>
      </c>
      <c r="E29" s="42" t="s">
        <v>817</v>
      </c>
    </row>
    <row r="30" customFormat="false" ht="17.25" hidden="false" customHeight="true" outlineLevel="0" collapsed="false">
      <c r="B30" s="21" t="s">
        <v>607</v>
      </c>
      <c r="C30" s="41" t="str">
        <f aca="false">IF(Need_2&lt;&gt;"",Need_2,IF(Inflation_Choice="","Choose your inflation rate to see this",Grows_To/(1+Inflation_Choice)^Years))</f>
        <v>Choose your inflation rate to see this</v>
      </c>
      <c r="D30" s="27" t="s">
        <v>217</v>
      </c>
      <c r="E30" s="42" t="s">
        <v>608</v>
      </c>
    </row>
    <row r="31" customFormat="false" ht="15" hidden="false" customHeight="true" outlineLevel="0" collapsed="false">
      <c r="B31" s="25" t="s">
        <v>818</v>
      </c>
      <c r="C31" s="43" t="str">
        <f aca="false">IF(Need_3&lt;&gt;"",Need_3,Salary*Increase_Pct/12)</f>
        <v>Choose your salary to see this</v>
      </c>
      <c r="D31" s="27" t="s">
        <v>217</v>
      </c>
      <c r="E31" s="42" t="s">
        <v>819</v>
      </c>
    </row>
    <row r="32" customFormat="false" ht="15" hidden="false" customHeight="true" outlineLevel="0" collapsed="false">
      <c r="B32" s="25" t="s">
        <v>820</v>
      </c>
      <c r="C32" s="43" t="str">
        <f aca="false">IF(Need_4&lt;&gt;"",Need_4,Extra_Per_Month-Relief_Per_Month)</f>
        <v>Choose your salary to see this</v>
      </c>
      <c r="D32" s="27" t="s">
        <v>217</v>
      </c>
      <c r="E32" s="42" t="s">
        <v>821</v>
      </c>
    </row>
    <row r="33" customFormat="false" ht="15" hidden="false" customHeight="true" outlineLevel="0" collapsed="false">
      <c r="B33" s="25" t="s">
        <v>822</v>
      </c>
      <c r="C33" s="43" t="str">
        <f aca="false">IF(Need_5&lt;&gt;"",Need_5,LOOKUP(Age,Relief_Age_From,Relief_Age_Pct)*MIN(Salary,Relief_Earnings_Cap))</f>
        <v>Choose your salary to see this</v>
      </c>
      <c r="D33" s="27" t="s">
        <v>217</v>
      </c>
      <c r="E33" s="42" t="s">
        <v>823</v>
      </c>
    </row>
    <row r="34" customFormat="false" ht="15" hidden="false" customHeight="true" outlineLevel="0" collapsed="false">
      <c r="B34" s="25" t="s">
        <v>824</v>
      </c>
      <c r="C34" s="43" t="str">
        <f aca="false">IF(Need_5&lt;&gt;"",Need_5,MAX(0,Relief_Limit_Year-Existing_Pension_Year))</f>
        <v>Choose your salary to see this</v>
      </c>
      <c r="D34" s="27" t="s">
        <v>217</v>
      </c>
      <c r="E34" s="42" t="s">
        <v>825</v>
      </c>
    </row>
    <row r="35" customFormat="false" ht="15" hidden="false" customHeight="true" outlineLevel="0" collapsed="false">
      <c r="B35" s="25" t="s">
        <v>826</v>
      </c>
      <c r="C35" s="43" t="str">
        <f aca="false">IF(Need_6&lt;&gt;"",Need_6,MIN(Extra_Per_Month*12,Relief_Room_Year))</f>
        <v>Choose your salary to see this</v>
      </c>
      <c r="D35" s="27" t="s">
        <v>217</v>
      </c>
      <c r="E35" s="42" t="s">
        <v>827</v>
      </c>
    </row>
    <row r="36" customFormat="false" ht="15" hidden="false" customHeight="true" outlineLevel="0" collapsed="false">
      <c r="B36" s="25" t="s">
        <v>828</v>
      </c>
      <c r="C36" s="43" t="str">
        <f aca="false">IF(Need_4&lt;&gt;"",Need_4,Relieved_Year*Tax_Rate/12)</f>
        <v>Choose your salary to see this</v>
      </c>
      <c r="D36" s="27" t="s">
        <v>217</v>
      </c>
      <c r="E36" s="42" t="s">
        <v>829</v>
      </c>
    </row>
    <row r="38" customFormat="false" ht="15" hidden="false" customHeight="true" outlineLevel="0" collapsed="false">
      <c r="B38" s="13" t="s">
        <v>272</v>
      </c>
      <c r="C38" s="14"/>
      <c r="D38" s="14"/>
      <c r="E38" s="14"/>
      <c r="F38" s="14"/>
      <c r="G38" s="14"/>
    </row>
    <row r="39" customFormat="false" ht="13.5" hidden="false" customHeight="true" outlineLevel="0" collapsed="false">
      <c r="B39" s="46" t="s">
        <v>830</v>
      </c>
      <c r="C39" s="46"/>
      <c r="D39" s="46"/>
      <c r="E39" s="46"/>
    </row>
    <row r="40" customFormat="false" ht="13.5" hidden="false" customHeight="true" outlineLevel="0" collapsed="false">
      <c r="B40" s="46" t="s">
        <v>831</v>
      </c>
      <c r="C40" s="46"/>
      <c r="D40" s="46"/>
      <c r="E40" s="46"/>
    </row>
    <row r="41" customFormat="false" ht="13.5" hidden="false" customHeight="true" outlineLevel="0" collapsed="false">
      <c r="B41" s="47" t="s">
        <v>276</v>
      </c>
      <c r="C41" s="47"/>
      <c r="D41" s="47"/>
      <c r="E41" s="47"/>
    </row>
    <row r="42" customFormat="false" ht="13.5" hidden="false" customHeight="true" outlineLevel="0" collapsed="false">
      <c r="B42" s="46" t="s">
        <v>832</v>
      </c>
      <c r="C42" s="46"/>
      <c r="D42" s="46"/>
      <c r="E42" s="46"/>
    </row>
    <row r="43" customFormat="false" ht="13.5" hidden="false" customHeight="true" outlineLevel="0" collapsed="false">
      <c r="B43" s="46" t="s">
        <v>833</v>
      </c>
      <c r="C43" s="46"/>
      <c r="D43" s="46"/>
      <c r="E43" s="46"/>
    </row>
    <row r="45" customFormat="false" ht="15" hidden="false" customHeight="true" outlineLevel="0" collapsed="false">
      <c r="B45" s="13" t="s">
        <v>281</v>
      </c>
      <c r="C45" s="14"/>
      <c r="D45" s="14"/>
      <c r="E45" s="14"/>
      <c r="F45" s="14"/>
      <c r="G45" s="14"/>
    </row>
    <row r="46" customFormat="false" ht="15" hidden="false" customHeight="true" outlineLevel="0" collapsed="false">
      <c r="B46" s="25" t="s">
        <v>282</v>
      </c>
      <c r="C46" s="48" t="str">
        <f aca="false">"No goal: raise the plan's pension contribution instead"</f>
        <v>No goal: raise the plan's pension contribution instead</v>
      </c>
      <c r="E46" s="49" t="s">
        <v>834</v>
      </c>
    </row>
    <row r="47" customFormat="false" ht="15" hidden="false" customHeight="true" outlineLevel="0" collapsed="false">
      <c r="B47" s="25" t="s">
        <v>835</v>
      </c>
      <c r="C47" s="50" t="str">
        <f aca="false">IF(Need_3&lt;&gt;"",Need_3,Extra_Per_Month)</f>
        <v>Choose your salary to see this</v>
      </c>
      <c r="E47" s="49" t="s">
        <v>836</v>
      </c>
    </row>
    <row r="48" customFormat="false" ht="13.5" hidden="false" customHeight="true" outlineLevel="0" collapsed="false">
      <c r="B48" s="53" t="s">
        <v>837</v>
      </c>
      <c r="C48" s="53"/>
      <c r="D48" s="53"/>
      <c r="E48" s="53"/>
    </row>
    <row r="50" customFormat="false" ht="15" hidden="false" customHeight="true" outlineLevel="0" collapsed="false">
      <c r="B50" s="13" t="s">
        <v>290</v>
      </c>
      <c r="C50" s="14"/>
      <c r="D50" s="14"/>
      <c r="E50" s="14"/>
      <c r="F50" s="14"/>
      <c r="G50" s="14"/>
    </row>
    <row r="51" customFormat="false" ht="15" hidden="false" customHeight="true" outlineLevel="0" collapsed="false">
      <c r="B51" s="52" t="s">
        <v>838</v>
      </c>
      <c r="C51" s="52"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salary to see this</v>
      </c>
    </row>
    <row r="52" customFormat="false" ht="15" hidden="false" customHeight="true" outlineLevel="0" collapsed="false">
      <c r="B52" s="52" t="s">
        <v>839</v>
      </c>
      <c r="C52" s="52" t="str">
        <f aca="false">IF(Inflation_Choice="","Choose your inflation rate to see this",IF(Salary="","Choose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inflation rate to see this</v>
      </c>
    </row>
    <row r="53" customFormat="false" ht="15" hidden="false" customHeight="true" outlineLevel="0" collapsed="false">
      <c r="B53" s="52" t="s">
        <v>840</v>
      </c>
      <c r="C53" s="52" t="str">
        <f aca="false">IF(Salary="","Choose your salary to see this",IF(Increase_Pct="","Choose your contribution increase to see this",""))</f>
        <v>Choose your salary to see this</v>
      </c>
    </row>
    <row r="54" customFormat="false" ht="15" hidden="false" customHeight="true" outlineLevel="0" collapsed="false">
      <c r="B54" s="52" t="s">
        <v>841</v>
      </c>
      <c r="C54" s="52" t="str">
        <f aca="false">IF(Salary="","Choose your salary to see this",IF(Increase_Pct="","Choose your contribution increase to see this",IF(Tax_Rate="","Choose your tax rate to see this",IF(Age="","Choose your age to see this",""))))</f>
        <v>Choose your salary to see this</v>
      </c>
    </row>
    <row r="55" customFormat="false" ht="15" hidden="false" customHeight="true" outlineLevel="0" collapsed="false">
      <c r="B55" s="52" t="s">
        <v>842</v>
      </c>
      <c r="C55" s="52" t="str">
        <f aca="false">IF(Salary="","Choose your salary to see this",IF(Age="","Choose your age to see this",""))</f>
        <v>Choose your salary to see this</v>
      </c>
    </row>
    <row r="56" customFormat="false" ht="15" hidden="false" customHeight="true" outlineLevel="0" collapsed="false">
      <c r="B56" s="52" t="s">
        <v>843</v>
      </c>
      <c r="C56" s="52" t="str">
        <f aca="false">IF(Salary="","Choose your salary to see this",IF(Increase_Pct="","Choose your contribution increase to see this",IF(Age="","Choose your age to see this","")))</f>
        <v>Choose your salary to see this</v>
      </c>
    </row>
  </sheetData>
  <mergeCells count="8">
    <mergeCell ref="B7:E7"/>
    <mergeCell ref="B10:E10"/>
    <mergeCell ref="B39:E39"/>
    <mergeCell ref="B40:E40"/>
    <mergeCell ref="B41:E41"/>
    <mergeCell ref="B42:E42"/>
    <mergeCell ref="B43:E43"/>
    <mergeCell ref="B48:E48"/>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Usually between 0.5% and 1.5% a year for pension charges (your statement shows yours). Enter your own figure.  Allowed: 0% to 2.5% · steps of 0.05%." promptTitle="Typical pension charges (if your" showDropDown="false" showErrorMessage="true" showInputMessage="true" sqref="C19" type="decimal">
      <formula1>0</formula1>
      <formula2>0.025</formula2>
    </dataValidation>
    <dataValidation allowBlank="true" error="Please enter 1% to 7% · steps of 0.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showDropDown="false" showErrorMessage="true" showInputMessage="true" sqref="C15" type="decimal">
      <formula1>15000</formula1>
      <formula2>2500000</formula2>
    </dataValidation>
    <dataValidation allowBlank="true" error="Please enter 0.5% to 10% · steps of 0.5%." errorStyle="stop" errorTitle="Outside the allowed range" operator="between" prompt="Your own figure.  Allowed: 0.5% to 10% · steps of 0.5%." promptTitle="Increase contributions by (% of " showDropDown="false" showErrorMessage="true" showInputMessage="true" sqref="C16" type="decimal">
      <formula1>0.005</formula1>
      <formula2>0.1</formula2>
    </dataValidation>
    <dataValidation allowBlank="true" error="Please enter 1 to 45 · steps of 1." errorStyle="stop" errorTitle="Outside the allowed range" operator="between" prompt="Your own figure. In the app it is pre-filled from Plan: retirement age − age.  Allowed: 1 to 45 · steps of 1." promptTitle="Years to retirement" showDropDown="false" showErrorMessage="true" showInputMessage="true" sqref="C17" type="whole">
      <formula1>1</formula1>
      <formula2>45</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844</v>
      </c>
      <c r="E1" s="3" t="s">
        <v>845</v>
      </c>
    </row>
    <row r="2" customFormat="false" ht="15" hidden="false" customHeight="true" outlineLevel="0" collapsed="false">
      <c r="B2" s="21" t="s">
        <v>846</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847</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302</v>
      </c>
      <c r="C9" s="14"/>
      <c r="D9" s="14"/>
      <c r="E9" s="14"/>
      <c r="F9" s="14"/>
      <c r="G9" s="14"/>
    </row>
    <row r="10" customFormat="false" ht="27.75" hidden="false" customHeight="true" outlineLevel="0" collapsed="false">
      <c r="B10" s="53" t="s">
        <v>848</v>
      </c>
      <c r="C10" s="53"/>
      <c r="D10" s="53"/>
      <c r="E10" s="53"/>
    </row>
    <row r="11" customFormat="false" ht="15" hidden="false" customHeight="true" outlineLevel="0" collapsed="false">
      <c r="B11" s="25" t="s">
        <v>632</v>
      </c>
      <c r="C11" s="55"/>
      <c r="D11" s="27" t="s">
        <v>228</v>
      </c>
      <c r="E11" s="28" t="s">
        <v>633</v>
      </c>
      <c r="G11" s="52" t="s">
        <v>306</v>
      </c>
    </row>
    <row r="12" customFormat="false" ht="15" hidden="false" customHeight="true" outlineLevel="0" collapsed="false">
      <c r="B12" s="25" t="s">
        <v>313</v>
      </c>
      <c r="C12" s="57"/>
      <c r="D12" s="27" t="s">
        <v>314</v>
      </c>
      <c r="E12" s="28" t="s">
        <v>315</v>
      </c>
      <c r="G12" s="52" t="s">
        <v>306</v>
      </c>
    </row>
    <row r="14" customFormat="false" ht="15" hidden="false" customHeight="true" outlineLevel="0" collapsed="false">
      <c r="B14" s="13" t="s">
        <v>316</v>
      </c>
      <c r="C14" s="24" t="s">
        <v>213</v>
      </c>
      <c r="D14" s="24" t="s">
        <v>214</v>
      </c>
      <c r="E14" s="24" t="s">
        <v>215</v>
      </c>
      <c r="F14" s="14"/>
      <c r="G14" s="14"/>
    </row>
    <row r="15" customFormat="false" ht="15" hidden="false" customHeight="true" outlineLevel="0" collapsed="false">
      <c r="B15" s="25" t="s">
        <v>849</v>
      </c>
      <c r="C15" s="26"/>
      <c r="D15" s="27" t="s">
        <v>217</v>
      </c>
      <c r="E15" s="28" t="s">
        <v>850</v>
      </c>
      <c r="F15" s="29" t="n">
        <v>200</v>
      </c>
      <c r="G15" s="30" t="str">
        <f aca="false">IF(ISBLANK(C15),IF(Fill_Example="Yes",F15,""),C15)</f>
        <v/>
      </c>
    </row>
    <row r="16" customFormat="false" ht="21.75" hidden="false" customHeight="true" outlineLevel="0" collapsed="false">
      <c r="B16" s="25" t="s">
        <v>851</v>
      </c>
      <c r="C16" s="26"/>
      <c r="D16" s="27" t="s">
        <v>217</v>
      </c>
      <c r="E16" s="28" t="s">
        <v>218</v>
      </c>
      <c r="F16" s="29" t="n">
        <v>60000</v>
      </c>
      <c r="G16" s="30" t="str">
        <f aca="false">IF(ISBLANK(C16),IF(Fill_Example="Yes",F16,""),C16)</f>
        <v/>
      </c>
    </row>
    <row r="17" customFormat="false" ht="21.75" hidden="false" customHeight="true" outlineLevel="0" collapsed="false">
      <c r="B17" s="25" t="s">
        <v>769</v>
      </c>
      <c r="C17" s="38"/>
      <c r="D17" s="27" t="s">
        <v>231</v>
      </c>
      <c r="E17" s="28" t="s">
        <v>852</v>
      </c>
      <c r="F17" s="39" t="n">
        <v>15</v>
      </c>
      <c r="G17" s="40" t="str">
        <f aca="false">IF(ISBLANK(C17),IF(Fill_Example="Yes",F17,""),C17)</f>
        <v/>
      </c>
    </row>
    <row r="18" customFormat="false" ht="21.75" hidden="false" customHeight="true" outlineLevel="0" collapsed="false">
      <c r="B18" s="25" t="s">
        <v>806</v>
      </c>
      <c r="C18" s="34"/>
      <c r="D18" s="27" t="s">
        <v>228</v>
      </c>
      <c r="E18" s="35" t="s">
        <v>807</v>
      </c>
      <c r="F18" s="36" t="n">
        <v>0.045</v>
      </c>
      <c r="G18" s="37" t="str">
        <f aca="false">IF(ISBLANK(C18),IF(Fill_Example="Yes",F18,""),C18)</f>
        <v/>
      </c>
    </row>
    <row r="19" customFormat="false" ht="21.75" hidden="false" customHeight="true" outlineLevel="0" collapsed="false">
      <c r="B19" s="25" t="s">
        <v>735</v>
      </c>
      <c r="C19" s="34"/>
      <c r="D19" s="27" t="s">
        <v>228</v>
      </c>
      <c r="E19" s="35" t="s">
        <v>736</v>
      </c>
      <c r="F19" s="36" t="n">
        <v>0.01</v>
      </c>
      <c r="G19" s="37" t="str">
        <f aca="false">IF(ISBLANK(C19),IF(Fill_Example="Yes",F19,""),C19)</f>
        <v/>
      </c>
    </row>
    <row r="20" customFormat="false" ht="33" hidden="false" customHeight="true" outlineLevel="0" collapsed="false">
      <c r="B20" s="25" t="s">
        <v>808</v>
      </c>
      <c r="C20" s="74"/>
      <c r="D20" s="27" t="s">
        <v>809</v>
      </c>
      <c r="E20" s="35" t="s">
        <v>810</v>
      </c>
      <c r="F20" s="75" t="str">
        <f aca="false">TE_Marginal_Rate</f>
        <v>Choose your tax status to see this</v>
      </c>
      <c r="G20" s="76" t="str">
        <f aca="false">IF(ISBLANK(C20),IF(Fill_Example="Yes",F20,""),C20)</f>
        <v/>
      </c>
    </row>
    <row r="21" customFormat="false" ht="21.75" hidden="false" customHeight="true" outlineLevel="0" collapsed="false">
      <c r="B21" s="25" t="s">
        <v>811</v>
      </c>
      <c r="C21" s="38"/>
      <c r="D21" s="27" t="s">
        <v>712</v>
      </c>
      <c r="E21" s="28" t="s">
        <v>812</v>
      </c>
      <c r="F21" s="39" t="n">
        <v>40</v>
      </c>
      <c r="G21" s="40" t="str">
        <f aca="false">IF(ISBLANK(C21),IF(Fill_Example="Yes",F21,""),C21)</f>
        <v/>
      </c>
    </row>
    <row r="22" customFormat="false" ht="15" hidden="false" customHeight="true" outlineLevel="0" collapsed="false">
      <c r="B22" s="25" t="s">
        <v>813</v>
      </c>
      <c r="C22" s="26"/>
      <c r="D22" s="27" t="s">
        <v>217</v>
      </c>
      <c r="E22" s="28" t="s">
        <v>814</v>
      </c>
      <c r="F22" s="29" t="n">
        <v>0</v>
      </c>
      <c r="G22" s="30" t="n">
        <f aca="false">IF(ISBLANK(C22),F22,C22)</f>
        <v>0</v>
      </c>
    </row>
    <row r="24" customFormat="false" ht="15" hidden="false" customHeight="true" outlineLevel="0" collapsed="false">
      <c r="B24" s="13" t="s">
        <v>326</v>
      </c>
      <c r="C24" s="14"/>
      <c r="D24" s="14"/>
      <c r="E24" s="14"/>
      <c r="F24" s="14"/>
      <c r="G24" s="14"/>
    </row>
    <row r="25" customFormat="false" ht="15" hidden="false" customHeight="true" outlineLevel="0" collapsed="false">
      <c r="B25" s="25" t="s">
        <v>815</v>
      </c>
      <c r="C25" s="60" t="str">
        <f aca="false">IF(ISBLANK(Stmt_Charges),Growth_Rate,IF(OR(Growth_Rate="",Typical_Pension_Charges=""),"",Growth_Rate+Typical_Pension_Charges-Stmt_Charges))</f>
        <v/>
      </c>
      <c r="D25" s="59" t="str">
        <f aca="false">IF(ISBLANK(Stmt_Charges),"Your figure","Adjusted for your statement's charges")</f>
        <v>Your figure</v>
      </c>
      <c r="E25" s="49" t="s">
        <v>747</v>
      </c>
    </row>
    <row r="26" customFormat="false" ht="21.75" hidden="false" customHeight="true" outlineLevel="0" collapsed="false">
      <c r="B26" s="25" t="s">
        <v>332</v>
      </c>
      <c r="C26" s="45" t="str">
        <f aca="true">IF(ISBLANK(Stmt_Statement_Date),"",IF(TODAY()-Stmt_Statement_Date&gt;Statement_Max_Age_Days,"Needs a look: statement is more than 12 months old","Up to date"))</f>
        <v/>
      </c>
      <c r="D26" s="27"/>
      <c r="E26" s="42" t="s">
        <v>333</v>
      </c>
    </row>
    <row r="28" customFormat="false" ht="15" hidden="false" customHeight="true" outlineLevel="0" collapsed="false">
      <c r="B28" s="13" t="s">
        <v>239</v>
      </c>
      <c r="C28" s="24" t="s">
        <v>240</v>
      </c>
      <c r="D28" s="24" t="s">
        <v>241</v>
      </c>
      <c r="E28" s="24" t="s">
        <v>242</v>
      </c>
      <c r="F28" s="14"/>
      <c r="G28" s="14"/>
    </row>
    <row r="29" customFormat="false" ht="17.25" hidden="false" customHeight="true" outlineLevel="0" collapsed="false">
      <c r="B29" s="21" t="s">
        <v>853</v>
      </c>
      <c r="C29" s="41" t="str">
        <f aca="false">IF(Need_1&lt;&gt;"",Need_1,FV((1+Used_Growth_Rate)^(1/12)-1,Years*12,-AVC_Per_Month))</f>
        <v>Choose your AVC per month to see this</v>
      </c>
      <c r="D29" s="27" t="s">
        <v>217</v>
      </c>
      <c r="E29" s="42" t="s">
        <v>854</v>
      </c>
    </row>
    <row r="30" customFormat="false" ht="17.25" hidden="false" customHeight="true" outlineLevel="0" collapsed="false">
      <c r="B30" s="21" t="s">
        <v>607</v>
      </c>
      <c r="C30" s="41" t="str">
        <f aca="false">IF(Need_2&lt;&gt;"",Need_2,IF(Inflation_Choice="","Choose your inflation rate to see this",Grows_To/(1+Inflation_Choice)^Years))</f>
        <v>Choose your inflation rate to see this</v>
      </c>
      <c r="D30" s="27" t="s">
        <v>217</v>
      </c>
      <c r="E30" s="42" t="s">
        <v>608</v>
      </c>
    </row>
    <row r="31" customFormat="false" ht="15" hidden="false" customHeight="true" outlineLevel="0" collapsed="false">
      <c r="B31" s="25" t="s">
        <v>609</v>
      </c>
      <c r="C31" s="43" t="str">
        <f aca="false">IF(Need_3&lt;&gt;"",Need_3,AVC_Per_Month*12*Years)</f>
        <v>Choose your AVC per month to see this</v>
      </c>
      <c r="D31" s="27" t="s">
        <v>217</v>
      </c>
      <c r="E31" s="42" t="s">
        <v>855</v>
      </c>
    </row>
    <row r="32" customFormat="false" ht="15" hidden="false" customHeight="true" outlineLevel="0" collapsed="false">
      <c r="B32" s="25" t="s">
        <v>856</v>
      </c>
      <c r="C32" s="43" t="str">
        <f aca="false">IF(Need_4&lt;&gt;"",Need_4,Net_Cost_Per_Month*12*Years)</f>
        <v>Choose your AVC per month to see this</v>
      </c>
      <c r="D32" s="27" t="s">
        <v>217</v>
      </c>
      <c r="E32" s="42" t="s">
        <v>857</v>
      </c>
    </row>
    <row r="33" customFormat="false" ht="15" hidden="false" customHeight="true" outlineLevel="0" collapsed="false">
      <c r="B33" s="25" t="s">
        <v>858</v>
      </c>
      <c r="C33" s="43" t="str">
        <f aca="false">IF(Need_5&lt;&gt;"",Need_5,AVC_Per_Month-Relief_Per_Month)</f>
        <v>Choose your AVC per month to see this</v>
      </c>
      <c r="D33" s="27" t="s">
        <v>217</v>
      </c>
      <c r="E33" s="42" t="s">
        <v>859</v>
      </c>
    </row>
    <row r="34" customFormat="false" ht="15" hidden="false" customHeight="true" outlineLevel="0" collapsed="false">
      <c r="B34" s="25" t="s">
        <v>822</v>
      </c>
      <c r="C34" s="43" t="str">
        <f aca="false">IF(Need_6&lt;&gt;"",Need_6,LOOKUP(Age,Relief_Age_From,Relief_Age_Pct)*MIN(Salary,Relief_Earnings_Cap))</f>
        <v>Choose your salary to see this</v>
      </c>
      <c r="D34" s="27" t="s">
        <v>217</v>
      </c>
      <c r="E34" s="42" t="s">
        <v>823</v>
      </c>
    </row>
    <row r="35" customFormat="false" ht="15" hidden="false" customHeight="true" outlineLevel="0" collapsed="false">
      <c r="B35" s="25" t="s">
        <v>824</v>
      </c>
      <c r="C35" s="43" t="str">
        <f aca="false">IF(Need_6&lt;&gt;"",Need_6,MAX(0,Relief_Limit_Year-Existing_Pension_Year))</f>
        <v>Choose your salary to see this</v>
      </c>
      <c r="D35" s="27" t="s">
        <v>217</v>
      </c>
      <c r="E35" s="42" t="s">
        <v>825</v>
      </c>
    </row>
    <row r="36" customFormat="false" ht="15" hidden="false" customHeight="true" outlineLevel="0" collapsed="false">
      <c r="B36" s="25" t="s">
        <v>860</v>
      </c>
      <c r="C36" s="43" t="str">
        <f aca="false">IF(Need_7&lt;&gt;"",Need_7,MIN(AVC_Per_Month*12,Relief_Room_Year))</f>
        <v>Choose your AVC per month to see this</v>
      </c>
      <c r="D36" s="27" t="s">
        <v>217</v>
      </c>
      <c r="E36" s="42" t="s">
        <v>861</v>
      </c>
    </row>
    <row r="37" customFormat="false" ht="15" hidden="false" customHeight="true" outlineLevel="0" collapsed="false">
      <c r="B37" s="25" t="s">
        <v>828</v>
      </c>
      <c r="C37" s="43" t="str">
        <f aca="false">IF(Need_5&lt;&gt;"",Need_5,Relieved_Year*Tax_Rate/12)</f>
        <v>Choose your AVC per month to see this</v>
      </c>
      <c r="D37" s="27" t="s">
        <v>217</v>
      </c>
      <c r="E37" s="42" t="s">
        <v>829</v>
      </c>
    </row>
    <row r="39" customFormat="false" ht="15" hidden="false" customHeight="true" outlineLevel="0" collapsed="false">
      <c r="B39" s="13" t="s">
        <v>272</v>
      </c>
      <c r="C39" s="14"/>
      <c r="D39" s="14"/>
      <c r="E39" s="14"/>
      <c r="F39" s="14"/>
      <c r="G39" s="14"/>
    </row>
    <row r="40" customFormat="false" ht="27.75" hidden="false" customHeight="true" outlineLevel="0" collapsed="false">
      <c r="B40" s="46" t="s">
        <v>862</v>
      </c>
      <c r="C40" s="46"/>
      <c r="D40" s="46"/>
      <c r="E40" s="46"/>
    </row>
    <row r="41" customFormat="false" ht="13.5" hidden="false" customHeight="true" outlineLevel="0" collapsed="false">
      <c r="B41" s="47" t="s">
        <v>276</v>
      </c>
      <c r="C41" s="47"/>
      <c r="D41" s="47"/>
      <c r="E41" s="47"/>
    </row>
    <row r="42" customFormat="false" ht="13.5" hidden="false" customHeight="true" outlineLevel="0" collapsed="false">
      <c r="B42" s="46" t="s">
        <v>832</v>
      </c>
      <c r="C42" s="46"/>
      <c r="D42" s="46"/>
      <c r="E42" s="46"/>
    </row>
    <row r="43" customFormat="false" ht="13.5" hidden="false" customHeight="true" outlineLevel="0" collapsed="false">
      <c r="B43" s="46" t="s">
        <v>863</v>
      </c>
      <c r="C43" s="46"/>
      <c r="D43" s="46"/>
      <c r="E43" s="46"/>
    </row>
    <row r="45" customFormat="false" ht="15" hidden="false" customHeight="true" outlineLevel="0" collapsed="false">
      <c r="B45" s="13" t="s">
        <v>281</v>
      </c>
      <c r="C45" s="14"/>
      <c r="D45" s="14"/>
      <c r="E45" s="14"/>
      <c r="F45" s="14"/>
      <c r="G45" s="14"/>
    </row>
    <row r="46" customFormat="false" ht="15" hidden="false" customHeight="true" outlineLevel="0" collapsed="false">
      <c r="B46" s="25" t="s">
        <v>282</v>
      </c>
      <c r="C46" s="48" t="str">
        <f aca="false">"No goal: raise the plan's pension contribution instead"</f>
        <v>No goal: raise the plan's pension contribution instead</v>
      </c>
      <c r="E46" s="49" t="s">
        <v>834</v>
      </c>
    </row>
    <row r="47" customFormat="false" ht="15" hidden="false" customHeight="true" outlineLevel="0" collapsed="false">
      <c r="B47" s="25" t="s">
        <v>835</v>
      </c>
      <c r="C47" s="50" t="str">
        <f aca="false">IF(Need_8&lt;&gt;"",Need_8,AVC_Per_Month)</f>
        <v>Choose your AVC per month to see this</v>
      </c>
      <c r="E47" s="49" t="s">
        <v>864</v>
      </c>
    </row>
    <row r="49" customFormat="false" ht="15" hidden="false" customHeight="true" outlineLevel="0" collapsed="false">
      <c r="B49" s="13" t="s">
        <v>290</v>
      </c>
      <c r="C49" s="14"/>
      <c r="D49" s="14"/>
      <c r="E49" s="14"/>
      <c r="F49" s="14"/>
      <c r="G49" s="14"/>
    </row>
    <row r="50" customFormat="false" ht="15" hidden="false" customHeight="true" outlineLevel="0" collapsed="false">
      <c r="B50" s="52" t="s">
        <v>865</v>
      </c>
      <c r="C50" s="52"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AVC per month to see this</v>
      </c>
    </row>
    <row r="51" customFormat="false" ht="15" hidden="false" customHeight="true" outlineLevel="0" collapsed="false">
      <c r="B51" s="52" t="s">
        <v>866</v>
      </c>
      <c r="C51" s="52" t="str">
        <f aca="false">IF(Inflation_Choice="","Choose your inflation rate to see this",IF(AVC_Per_Month="","Choose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inflation rate to see this</v>
      </c>
    </row>
    <row r="52" customFormat="false" ht="15" hidden="false" customHeight="true" outlineLevel="0" collapsed="false">
      <c r="B52" s="52" t="s">
        <v>867</v>
      </c>
      <c r="C52" s="52" t="str">
        <f aca="false">IF(AVC_Per_Month="","Choose your AVC per month to see this",IF(Years="","Choose your years to retirement to see this",""))</f>
        <v>Choose your AVC per month to see this</v>
      </c>
    </row>
    <row r="53" customFormat="false" ht="15" hidden="false" customHeight="true" outlineLevel="0" collapsed="false">
      <c r="B53" s="52" t="s">
        <v>868</v>
      </c>
      <c r="C53" s="52" t="str">
        <f aca="false">IF(AVC_Per_Month="","Choose your AVC per month to see this",IF(Salary="","Choose your salary to see this",IF(Years="","Choose your years to retirement to see this",IF(Tax_Rate="","Choose your tax rate to see this",IF(Age="","Choose your age to see this","")))))</f>
        <v>Choose your AVC per month to see this</v>
      </c>
    </row>
    <row r="54" customFormat="false" ht="15" hidden="false" customHeight="true" outlineLevel="0" collapsed="false">
      <c r="B54" s="52" t="s">
        <v>869</v>
      </c>
      <c r="C54" s="52" t="str">
        <f aca="false">IF(AVC_Per_Month="","Choose your AVC per month to see this",IF(Salary="","Choose your salary to see this",IF(Tax_Rate="","Choose your tax rate to see this",IF(Age="","Choose your age to see this",""))))</f>
        <v>Choose your AVC per month to see this</v>
      </c>
    </row>
    <row r="55" customFormat="false" ht="15" hidden="false" customHeight="true" outlineLevel="0" collapsed="false">
      <c r="B55" s="52" t="s">
        <v>842</v>
      </c>
      <c r="C55" s="52" t="str">
        <f aca="false">IF(Salary="","Choose your salary to see this",IF(Age="","Choose your age to see this",""))</f>
        <v>Choose your salary to see this</v>
      </c>
    </row>
    <row r="56" customFormat="false" ht="15" hidden="false" customHeight="true" outlineLevel="0" collapsed="false">
      <c r="B56" s="52" t="s">
        <v>870</v>
      </c>
      <c r="C56" s="52" t="str">
        <f aca="false">IF(AVC_Per_Month="","Choose your AVC per month to see this",IF(Salary="","Choose your salary to see this",IF(Age="","Choose your age to see this","")))</f>
        <v>Choose your AVC per month to see this</v>
      </c>
    </row>
    <row r="57" customFormat="false" ht="15" hidden="false" customHeight="true" outlineLevel="0" collapsed="false">
      <c r="B57" s="52" t="s">
        <v>871</v>
      </c>
      <c r="C57" s="52" t="str">
        <f aca="false">IF(AVC_Per_Month="","Choose your AVC per month to see this","")</f>
        <v>Choose your AVC per month to see this</v>
      </c>
    </row>
  </sheetData>
  <mergeCells count="6">
    <mergeCell ref="B7:E7"/>
    <mergeCell ref="B10:E10"/>
    <mergeCell ref="B40:E40"/>
    <mergeCell ref="B41:E41"/>
    <mergeCell ref="B42:E42"/>
    <mergeCell ref="B43:E43"/>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Usually between 0.5% and 1.5% a year for pension charges (your statement shows yours). Enter your own figure.  Allowed: 0% to 2.5% · steps of 0.05%." promptTitle="Typical pension charges (if your" showDropDown="false" showErrorMessage="true" showInputMessage="true" sqref="C19" type="decimal">
      <formula1>0</formula1>
      <formula2>0.025</formula2>
    </dataValidation>
    <dataValidation allowBlank="true" error="Please enter 1% to 7% · steps of 0.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25 to €20,000 · steps of €25." errorStyle="stop" errorTitle="Outside the allowed range" operator="between" prompt="Your own figure.  Allowed: €25 to €20,000 · steps of €25." promptTitle="AVC per month" showDropDown="false" showErrorMessage="true" showInputMessage="true" sqref="C15" type="decimal">
      <formula1>25</formula1>
      <formula2>20000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for the relief limit)" showDropDown="false" showErrorMessage="true" showInputMessage="true" sqref="C16" type="decimal">
      <formula1>15000</formula1>
      <formula2>2500000</formula2>
    </dataValidation>
    <dataValidation allowBlank="true" error="Please enter 1 to 40 · steps of 1." errorStyle="stop" errorTitle="Outside the allowed range" operator="between" prompt="Your own figure. In the app it is pre-filled from Plan: retirement age − age.  Allowed: 1 to 40 · steps of 1." promptTitle="Years to retirement" showDropDown="false" showErrorMessage="true" showInputMessage="true" sqref="C17" type="whole">
      <formula1>1</formula1>
      <formula2>40</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872</v>
      </c>
      <c r="E1" s="3" t="s">
        <v>873</v>
      </c>
    </row>
    <row r="2" customFormat="false" ht="15" hidden="false" customHeight="true" outlineLevel="0" collapsed="false">
      <c r="B2" s="21" t="s">
        <v>874</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875</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302</v>
      </c>
      <c r="C9" s="14"/>
      <c r="D9" s="14"/>
      <c r="E9" s="14"/>
      <c r="F9" s="14"/>
      <c r="G9" s="14"/>
    </row>
    <row r="10" customFormat="false" ht="27.75" hidden="false" customHeight="true" outlineLevel="0" collapsed="false">
      <c r="B10" s="53" t="s">
        <v>876</v>
      </c>
      <c r="C10" s="53"/>
      <c r="D10" s="53"/>
      <c r="E10" s="53"/>
    </row>
    <row r="11" customFormat="false" ht="15" hidden="false" customHeight="true" outlineLevel="0" collapsed="false">
      <c r="B11" s="25" t="s">
        <v>714</v>
      </c>
      <c r="C11" s="54"/>
      <c r="D11" s="27" t="s">
        <v>217</v>
      </c>
      <c r="E11" s="28" t="s">
        <v>631</v>
      </c>
      <c r="G11" s="52" t="s">
        <v>306</v>
      </c>
    </row>
    <row r="12" customFormat="false" ht="15" hidden="false" customHeight="true" outlineLevel="0" collapsed="false">
      <c r="B12" s="25" t="s">
        <v>707</v>
      </c>
      <c r="C12" s="54"/>
      <c r="D12" s="27" t="s">
        <v>217</v>
      </c>
      <c r="E12" s="28" t="s">
        <v>708</v>
      </c>
      <c r="G12" s="52" t="s">
        <v>306</v>
      </c>
    </row>
    <row r="13" customFormat="false" ht="15" hidden="false" customHeight="true" outlineLevel="0" collapsed="false">
      <c r="B13" s="25" t="s">
        <v>313</v>
      </c>
      <c r="C13" s="57"/>
      <c r="D13" s="27" t="s">
        <v>314</v>
      </c>
      <c r="E13" s="28" t="s">
        <v>315</v>
      </c>
      <c r="G13" s="52" t="s">
        <v>306</v>
      </c>
    </row>
    <row r="15" customFormat="false" ht="15" hidden="false" customHeight="true" outlineLevel="0" collapsed="false">
      <c r="B15" s="13" t="s">
        <v>316</v>
      </c>
      <c r="C15" s="24" t="s">
        <v>213</v>
      </c>
      <c r="D15" s="24" t="s">
        <v>214</v>
      </c>
      <c r="E15" s="24" t="s">
        <v>215</v>
      </c>
      <c r="F15" s="14"/>
      <c r="G15" s="14"/>
    </row>
    <row r="16" customFormat="false" ht="21.75" hidden="false" customHeight="true" outlineLevel="0" collapsed="false">
      <c r="B16" s="25" t="s">
        <v>877</v>
      </c>
      <c r="C16" s="26"/>
      <c r="D16" s="27" t="s">
        <v>217</v>
      </c>
      <c r="E16" s="28" t="s">
        <v>878</v>
      </c>
      <c r="F16" s="29" t="n">
        <v>400000</v>
      </c>
      <c r="G16" s="30" t="str">
        <f aca="false">IF(ISBLANK(C16),IF(Fill_Example="Yes",F16,""),C16)</f>
        <v/>
      </c>
    </row>
    <row r="17" customFormat="false" ht="15" hidden="false" customHeight="true" outlineLevel="0" collapsed="false">
      <c r="B17" s="25" t="s">
        <v>879</v>
      </c>
      <c r="C17" s="26"/>
      <c r="D17" s="27" t="s">
        <v>217</v>
      </c>
      <c r="E17" s="28" t="s">
        <v>880</v>
      </c>
      <c r="F17" s="29" t="n">
        <v>24000</v>
      </c>
      <c r="G17" s="30" t="str">
        <f aca="false">IF(ISBLANK(C17),IF(Fill_Example="Yes",F17,""),C17)</f>
        <v/>
      </c>
    </row>
    <row r="18" customFormat="false" ht="21.75" hidden="false" customHeight="true" outlineLevel="0" collapsed="false">
      <c r="B18" s="25" t="s">
        <v>881</v>
      </c>
      <c r="C18" s="34"/>
      <c r="D18" s="27" t="s">
        <v>228</v>
      </c>
      <c r="E18" s="35" t="s">
        <v>882</v>
      </c>
      <c r="F18" s="36" t="n">
        <v>0.0315</v>
      </c>
      <c r="G18" s="37" t="str">
        <f aca="false">IF(ISBLANK(C18),IF(Fill_Example="Yes",F18,""),C18)</f>
        <v/>
      </c>
    </row>
    <row r="19" customFormat="false" ht="21.75" hidden="false" customHeight="true" outlineLevel="0" collapsed="false">
      <c r="B19" s="25" t="s">
        <v>883</v>
      </c>
      <c r="C19" s="31"/>
      <c r="D19" s="27"/>
      <c r="E19" s="35" t="s">
        <v>884</v>
      </c>
      <c r="F19" s="32" t="s">
        <v>885</v>
      </c>
      <c r="G19" s="33" t="str">
        <f aca="false">IF(ISBLANK(C19),IF(Fill_Example="Yes",F19,""),C19)</f>
        <v/>
      </c>
    </row>
    <row r="20" customFormat="false" ht="21.75" hidden="false" customHeight="true" outlineLevel="0" collapsed="false">
      <c r="B20" s="25" t="s">
        <v>886</v>
      </c>
      <c r="C20" s="38"/>
      <c r="D20" s="27" t="s">
        <v>712</v>
      </c>
      <c r="E20" s="35" t="s">
        <v>887</v>
      </c>
      <c r="F20" s="39" t="n">
        <v>66</v>
      </c>
      <c r="G20" s="40" t="str">
        <f aca="false">IF(ISBLANK(C20),IF(Fill_Example="Yes",F20,""),C20)</f>
        <v/>
      </c>
    </row>
    <row r="21" customFormat="false" ht="21.75" hidden="false" customHeight="true" outlineLevel="0" collapsed="false">
      <c r="B21" s="25" t="s">
        <v>888</v>
      </c>
      <c r="C21" s="38"/>
      <c r="D21" s="27" t="s">
        <v>712</v>
      </c>
      <c r="E21" s="35" t="s">
        <v>889</v>
      </c>
      <c r="F21" s="39" t="n">
        <v>90</v>
      </c>
      <c r="G21" s="40" t="str">
        <f aca="false">IF(ISBLANK(C21),IF(Fill_Example="Yes",F21,""),C21)</f>
        <v/>
      </c>
    </row>
    <row r="23" customFormat="false" ht="15" hidden="false" customHeight="true" outlineLevel="0" collapsed="false">
      <c r="B23" s="13" t="s">
        <v>326</v>
      </c>
      <c r="C23" s="14"/>
      <c r="D23" s="14"/>
      <c r="E23" s="14"/>
      <c r="F23" s="14"/>
      <c r="G23" s="14"/>
    </row>
    <row r="24" customFormat="false" ht="15" hidden="false" customHeight="true" outlineLevel="0" collapsed="false">
      <c r="B24" s="25" t="s">
        <v>877</v>
      </c>
      <c r="C24" s="58" t="str">
        <f aca="false">IF(NOT(ISBLANK(Stmt_Projected_Fund)),Stmt_Projected_Fund,IF(NOT(ISBLANK(Stmt_Fund_Value)),Stmt_Fund_Value,Retirement_Savings))</f>
        <v/>
      </c>
      <c r="D24" s="59" t="str">
        <f aca="false">IF(NOT(ISBLANK(Stmt_Projected_Fund)),"From your statement (projected fund)",IF(NOT(ISBLANK(Stmt_Fund_Value)),"From your statement (fund value today)","Your figure"))</f>
        <v>Your figure</v>
      </c>
      <c r="E24" s="49" t="s">
        <v>890</v>
      </c>
    </row>
    <row r="25" customFormat="false" ht="21.75" hidden="false" customHeight="true" outlineLevel="0" collapsed="false">
      <c r="B25" s="25" t="s">
        <v>332</v>
      </c>
      <c r="C25" s="45" t="str">
        <f aca="true">IF(ISBLANK(Stmt_Statement_Date),"",IF(TODAY()-Stmt_Statement_Date&gt;Statement_Max_Age_Days,"Needs a look: statement is more than 12 months old","Up to date"))</f>
        <v/>
      </c>
      <c r="D25" s="27"/>
      <c r="E25" s="42" t="s">
        <v>333</v>
      </c>
    </row>
    <row r="27" customFormat="false" ht="15" hidden="false" customHeight="true" outlineLevel="0" collapsed="false">
      <c r="B27" s="13" t="s">
        <v>239</v>
      </c>
      <c r="C27" s="24" t="s">
        <v>240</v>
      </c>
      <c r="D27" s="24" t="s">
        <v>241</v>
      </c>
      <c r="E27" s="24" t="s">
        <v>242</v>
      </c>
      <c r="F27" s="14"/>
      <c r="G27" s="14"/>
    </row>
    <row r="28" customFormat="false" ht="23.25" hidden="false" customHeight="true" outlineLevel="0" collapsed="false">
      <c r="B28" s="21" t="s">
        <v>891</v>
      </c>
      <c r="C28" s="62" t="str">
        <f aca="false">IF(Need_1&lt;&gt;"",Need_1,IF(Inflation_Choice="","Choose your inflation rate to see this",SUM(W_paid)))</f>
        <v>Choose your inflation rate to see this</v>
      </c>
      <c r="D28" s="63" t="str">
        <f aca="false">IF(Need_1&lt;&gt;"",Need_1,IF(ISNUMBER(Years_Lasting),IF(Years_Lasting&gt;=Cap_Years,Cap_Years&amp;"+ years",Years_Lasting&amp;IF(Years_Lasting=1," year"," years")),"Choose your inflation rate to see this"))</f>
        <v>Choose your inflation rate to see this</v>
      </c>
      <c r="E28" s="42" t="s">
        <v>892</v>
      </c>
    </row>
    <row r="29" customFormat="false" ht="23.25" hidden="false" customHeight="true" outlineLevel="0" collapsed="false">
      <c r="B29" s="21" t="s">
        <v>893</v>
      </c>
      <c r="C29" s="62" t="str">
        <f aca="false">IF(Need_2&lt;&gt;"",Need_2,IF(ISNUMBER(Years_Lasting),IF(Years_Lasting&gt;=Cap_Years,"Beyond "&amp;Plan_To_Age,Age_At_Start+Years_Lasting),"Choose your inflation rate to see this"))</f>
        <v>Choose your inflation rate to see this</v>
      </c>
      <c r="D29" s="63" t="str">
        <f aca="false">IF(Need_2&lt;&gt;"",Need_2,IF(ISNUMBER(Years_Lasting),IF(Years_Lasting&gt;=Cap_Years,"Beyond "&amp;Plan_To_Age&amp;" (your plan-until age)",IF(Age_At_Start+Years_Lasting&gt;=Plan_To_Age,"Lasts to your plan age ("&amp;Plan_To_Age&amp;")","Runs out "&amp;(Plan_To_Age-Age_At_Start-Years_Lasting)&amp;" years before your plan age")),"Choose your inflation rate to see this"))</f>
        <v>Choose your inflation rate to see this</v>
      </c>
      <c r="E29" s="42" t="s">
        <v>894</v>
      </c>
    </row>
    <row r="30" customFormat="false" ht="15" hidden="false" customHeight="true" outlineLevel="0" collapsed="false">
      <c r="B30" s="25" t="s">
        <v>895</v>
      </c>
      <c r="C30" s="77" t="str">
        <f aca="false">IF(Need_3&lt;&gt;"",Need_3,Yearly_Withdrawal/Used_Retirement_Savings)</f>
        <v>Choose your yearly withdrawal to see this</v>
      </c>
      <c r="D30" s="27" t="s">
        <v>228</v>
      </c>
      <c r="E30" s="42" t="s">
        <v>896</v>
      </c>
    </row>
    <row r="31" customFormat="false" ht="15" hidden="false" customHeight="true" outlineLevel="0" collapsed="false">
      <c r="B31" s="13" t="s">
        <v>897</v>
      </c>
      <c r="C31" s="14"/>
      <c r="D31" s="14"/>
      <c r="E31" s="14"/>
      <c r="F31" s="14"/>
      <c r="G31" s="14"/>
    </row>
    <row r="32" customFormat="false" ht="27.75" hidden="false" customHeight="true" outlineLevel="0" collapsed="false">
      <c r="B32" s="78" t="s">
        <v>898</v>
      </c>
      <c r="C32" s="78" t="s">
        <v>899</v>
      </c>
      <c r="D32" s="78" t="s">
        <v>900</v>
      </c>
      <c r="E32" s="78" t="s">
        <v>901</v>
      </c>
      <c r="F32" s="78" t="s">
        <v>902</v>
      </c>
    </row>
    <row r="33" customFormat="false" ht="15" hidden="false" customHeight="true" outlineLevel="0" collapsed="false">
      <c r="B33" s="79" t="n">
        <v>1</v>
      </c>
      <c r="C33" s="80" t="str">
        <f aca="false">IF(Need_1&lt;&gt;"","",Yearly_Withdrawal)</f>
        <v/>
      </c>
      <c r="D33" s="80" t="str">
        <f aca="false">IF(Need_1&lt;&gt;"","",Used_Retirement_Savings)</f>
        <v/>
      </c>
      <c r="E33" s="79" t="str">
        <f aca="false">IF(Need_1&lt;&gt;"","",IF(Withdrawal_Timing="Start of year",IF(D33&gt;=C33,1,0),IF(D33*(1+Growth_Rate)&gt;=C33,1,0)))</f>
        <v/>
      </c>
      <c r="F33" s="80" t="str">
        <f aca="false">IF(Need_1&lt;&gt;"","",IF(E33=1,IF(Withdrawal_Timing="Start of year",(D33-C33)*(1+Growth_Rate),D33*(1+Growth_Rate)-C33),0))</f>
        <v/>
      </c>
    </row>
    <row r="34" customFormat="false" ht="15" hidden="false" customHeight="true" outlineLevel="0" collapsed="false">
      <c r="B34" s="79" t="n">
        <v>2</v>
      </c>
      <c r="C34" s="80" t="str">
        <f aca="false">IF(Need_1&lt;&gt;"","",C33*(1+Inflation_Choice))</f>
        <v/>
      </c>
      <c r="D34" s="80" t="str">
        <f aca="false">IF(Need_1&lt;&gt;"","",F33)</f>
        <v/>
      </c>
      <c r="E34" s="79" t="str">
        <f aca="false">IF(Need_1&lt;&gt;"","",IF(Withdrawal_Timing="Start of year",IF(D34&gt;=C34,1,0),IF(D34*(1+Growth_Rate)&gt;=C34,1,0)))</f>
        <v/>
      </c>
      <c r="F34" s="80" t="str">
        <f aca="false">IF(Need_1&lt;&gt;"","",IF(E34=1,IF(Withdrawal_Timing="Start of year",(D34-C34)*(1+Growth_Rate),D34*(1+Growth_Rate)-C34),0))</f>
        <v/>
      </c>
    </row>
    <row r="35" customFormat="false" ht="15" hidden="false" customHeight="true" outlineLevel="0" collapsed="false">
      <c r="B35" s="79" t="n">
        <v>3</v>
      </c>
      <c r="C35" s="80" t="str">
        <f aca="false">IF(Need_1&lt;&gt;"","",C34*(1+Inflation_Choice))</f>
        <v/>
      </c>
      <c r="D35" s="80" t="str">
        <f aca="false">IF(Need_1&lt;&gt;"","",F34)</f>
        <v/>
      </c>
      <c r="E35" s="79" t="str">
        <f aca="false">IF(Need_1&lt;&gt;"","",IF(Withdrawal_Timing="Start of year",IF(D35&gt;=C35,1,0),IF(D35*(1+Growth_Rate)&gt;=C35,1,0)))</f>
        <v/>
      </c>
      <c r="F35" s="80" t="str">
        <f aca="false">IF(Need_1&lt;&gt;"","",IF(E35=1,IF(Withdrawal_Timing="Start of year",(D35-C35)*(1+Growth_Rate),D35*(1+Growth_Rate)-C35),0))</f>
        <v/>
      </c>
    </row>
    <row r="36" customFormat="false" ht="15" hidden="false" customHeight="true" outlineLevel="0" collapsed="false">
      <c r="B36" s="79" t="n">
        <v>4</v>
      </c>
      <c r="C36" s="80" t="str">
        <f aca="false">IF(Need_1&lt;&gt;"","",C35*(1+Inflation_Choice))</f>
        <v/>
      </c>
      <c r="D36" s="80" t="str">
        <f aca="false">IF(Need_1&lt;&gt;"","",F35)</f>
        <v/>
      </c>
      <c r="E36" s="79" t="str">
        <f aca="false">IF(Need_1&lt;&gt;"","",IF(Withdrawal_Timing="Start of year",IF(D36&gt;=C36,1,0),IF(D36*(1+Growth_Rate)&gt;=C36,1,0)))</f>
        <v/>
      </c>
      <c r="F36" s="80" t="str">
        <f aca="false">IF(Need_1&lt;&gt;"","",IF(E36=1,IF(Withdrawal_Timing="Start of year",(D36-C36)*(1+Growth_Rate),D36*(1+Growth_Rate)-C36),0))</f>
        <v/>
      </c>
    </row>
    <row r="37" customFormat="false" ht="15" hidden="false" customHeight="true" outlineLevel="0" collapsed="false">
      <c r="B37" s="79" t="n">
        <v>5</v>
      </c>
      <c r="C37" s="80" t="str">
        <f aca="false">IF(Need_1&lt;&gt;"","",C36*(1+Inflation_Choice))</f>
        <v/>
      </c>
      <c r="D37" s="80" t="str">
        <f aca="false">IF(Need_1&lt;&gt;"","",F36)</f>
        <v/>
      </c>
      <c r="E37" s="79" t="str">
        <f aca="false">IF(Need_1&lt;&gt;"","",IF(Withdrawal_Timing="Start of year",IF(D37&gt;=C37,1,0),IF(D37*(1+Growth_Rate)&gt;=C37,1,0)))</f>
        <v/>
      </c>
      <c r="F37" s="80" t="str">
        <f aca="false">IF(Need_1&lt;&gt;"","",IF(E37=1,IF(Withdrawal_Timing="Start of year",(D37-C37)*(1+Growth_Rate),D37*(1+Growth_Rate)-C37),0))</f>
        <v/>
      </c>
    </row>
    <row r="38" customFormat="false" ht="15" hidden="false" customHeight="true" outlineLevel="0" collapsed="false">
      <c r="B38" s="79" t="n">
        <v>6</v>
      </c>
      <c r="C38" s="80" t="str">
        <f aca="false">IF(Need_1&lt;&gt;"","",C37*(1+Inflation_Choice))</f>
        <v/>
      </c>
      <c r="D38" s="80" t="str">
        <f aca="false">IF(Need_1&lt;&gt;"","",F37)</f>
        <v/>
      </c>
      <c r="E38" s="79" t="str">
        <f aca="false">IF(Need_1&lt;&gt;"","",IF(Withdrawal_Timing="Start of year",IF(D38&gt;=C38,1,0),IF(D38*(1+Growth_Rate)&gt;=C38,1,0)))</f>
        <v/>
      </c>
      <c r="F38" s="80" t="str">
        <f aca="false">IF(Need_1&lt;&gt;"","",IF(E38=1,IF(Withdrawal_Timing="Start of year",(D38-C38)*(1+Growth_Rate),D38*(1+Growth_Rate)-C38),0))</f>
        <v/>
      </c>
    </row>
    <row r="39" customFormat="false" ht="15" hidden="false" customHeight="true" outlineLevel="0" collapsed="false">
      <c r="B39" s="79" t="n">
        <v>7</v>
      </c>
      <c r="C39" s="80" t="str">
        <f aca="false">IF(Need_1&lt;&gt;"","",C38*(1+Inflation_Choice))</f>
        <v/>
      </c>
      <c r="D39" s="80" t="str">
        <f aca="false">IF(Need_1&lt;&gt;"","",F38)</f>
        <v/>
      </c>
      <c r="E39" s="79" t="str">
        <f aca="false">IF(Need_1&lt;&gt;"","",IF(Withdrawal_Timing="Start of year",IF(D39&gt;=C39,1,0),IF(D39*(1+Growth_Rate)&gt;=C39,1,0)))</f>
        <v/>
      </c>
      <c r="F39" s="80" t="str">
        <f aca="false">IF(Need_1&lt;&gt;"","",IF(E39=1,IF(Withdrawal_Timing="Start of year",(D39-C39)*(1+Growth_Rate),D39*(1+Growth_Rate)-C39),0))</f>
        <v/>
      </c>
    </row>
    <row r="40" customFormat="false" ht="15" hidden="false" customHeight="true" outlineLevel="0" collapsed="false">
      <c r="B40" s="79" t="n">
        <v>8</v>
      </c>
      <c r="C40" s="80" t="str">
        <f aca="false">IF(Need_1&lt;&gt;"","",C39*(1+Inflation_Choice))</f>
        <v/>
      </c>
      <c r="D40" s="80" t="str">
        <f aca="false">IF(Need_1&lt;&gt;"","",F39)</f>
        <v/>
      </c>
      <c r="E40" s="79" t="str">
        <f aca="false">IF(Need_1&lt;&gt;"","",IF(Withdrawal_Timing="Start of year",IF(D40&gt;=C40,1,0),IF(D40*(1+Growth_Rate)&gt;=C40,1,0)))</f>
        <v/>
      </c>
      <c r="F40" s="80" t="str">
        <f aca="false">IF(Need_1&lt;&gt;"","",IF(E40=1,IF(Withdrawal_Timing="Start of year",(D40-C40)*(1+Growth_Rate),D40*(1+Growth_Rate)-C40),0))</f>
        <v/>
      </c>
    </row>
    <row r="41" customFormat="false" ht="15" hidden="false" customHeight="true" outlineLevel="0" collapsed="false">
      <c r="B41" s="79" t="n">
        <v>9</v>
      </c>
      <c r="C41" s="80" t="str">
        <f aca="false">IF(Need_1&lt;&gt;"","",C40*(1+Inflation_Choice))</f>
        <v/>
      </c>
      <c r="D41" s="80" t="str">
        <f aca="false">IF(Need_1&lt;&gt;"","",F40)</f>
        <v/>
      </c>
      <c r="E41" s="79" t="str">
        <f aca="false">IF(Need_1&lt;&gt;"","",IF(Withdrawal_Timing="Start of year",IF(D41&gt;=C41,1,0),IF(D41*(1+Growth_Rate)&gt;=C41,1,0)))</f>
        <v/>
      </c>
      <c r="F41" s="80" t="str">
        <f aca="false">IF(Need_1&lt;&gt;"","",IF(E41=1,IF(Withdrawal_Timing="Start of year",(D41-C41)*(1+Growth_Rate),D41*(1+Growth_Rate)-C41),0))</f>
        <v/>
      </c>
    </row>
    <row r="42" customFormat="false" ht="15" hidden="false" customHeight="true" outlineLevel="0" collapsed="false">
      <c r="B42" s="79" t="n">
        <v>10</v>
      </c>
      <c r="C42" s="80" t="str">
        <f aca="false">IF(Need_1&lt;&gt;"","",C41*(1+Inflation_Choice))</f>
        <v/>
      </c>
      <c r="D42" s="80" t="str">
        <f aca="false">IF(Need_1&lt;&gt;"","",F41)</f>
        <v/>
      </c>
      <c r="E42" s="79" t="str">
        <f aca="false">IF(Need_1&lt;&gt;"","",IF(Withdrawal_Timing="Start of year",IF(D42&gt;=C42,1,0),IF(D42*(1+Growth_Rate)&gt;=C42,1,0)))</f>
        <v/>
      </c>
      <c r="F42" s="80" t="str">
        <f aca="false">IF(Need_1&lt;&gt;"","",IF(E42=1,IF(Withdrawal_Timing="Start of year",(D42-C42)*(1+Growth_Rate),D42*(1+Growth_Rate)-C42),0))</f>
        <v/>
      </c>
    </row>
    <row r="43" customFormat="false" ht="15" hidden="false" customHeight="true" outlineLevel="0" collapsed="false">
      <c r="B43" s="79" t="n">
        <v>11</v>
      </c>
      <c r="C43" s="80" t="str">
        <f aca="false">IF(Need_1&lt;&gt;"","",C42*(1+Inflation_Choice))</f>
        <v/>
      </c>
      <c r="D43" s="80" t="str">
        <f aca="false">IF(Need_1&lt;&gt;"","",F42)</f>
        <v/>
      </c>
      <c r="E43" s="79" t="str">
        <f aca="false">IF(Need_1&lt;&gt;"","",IF(Withdrawal_Timing="Start of year",IF(D43&gt;=C43,1,0),IF(D43*(1+Growth_Rate)&gt;=C43,1,0)))</f>
        <v/>
      </c>
      <c r="F43" s="80" t="str">
        <f aca="false">IF(Need_1&lt;&gt;"","",IF(E43=1,IF(Withdrawal_Timing="Start of year",(D43-C43)*(1+Growth_Rate),D43*(1+Growth_Rate)-C43),0))</f>
        <v/>
      </c>
    </row>
    <row r="44" customFormat="false" ht="15" hidden="false" customHeight="true" outlineLevel="0" collapsed="false">
      <c r="B44" s="79" t="n">
        <v>12</v>
      </c>
      <c r="C44" s="80" t="str">
        <f aca="false">IF(Need_1&lt;&gt;"","",C43*(1+Inflation_Choice))</f>
        <v/>
      </c>
      <c r="D44" s="80" t="str">
        <f aca="false">IF(Need_1&lt;&gt;"","",F43)</f>
        <v/>
      </c>
      <c r="E44" s="79" t="str">
        <f aca="false">IF(Need_1&lt;&gt;"","",IF(Withdrawal_Timing="Start of year",IF(D44&gt;=C44,1,0),IF(D44*(1+Growth_Rate)&gt;=C44,1,0)))</f>
        <v/>
      </c>
      <c r="F44" s="80" t="str">
        <f aca="false">IF(Need_1&lt;&gt;"","",IF(E44=1,IF(Withdrawal_Timing="Start of year",(D44-C44)*(1+Growth_Rate),D44*(1+Growth_Rate)-C44),0))</f>
        <v/>
      </c>
    </row>
    <row r="45" customFormat="false" ht="15" hidden="false" customHeight="true" outlineLevel="0" collapsed="false">
      <c r="B45" s="79" t="n">
        <v>13</v>
      </c>
      <c r="C45" s="80" t="str">
        <f aca="false">IF(Need_1&lt;&gt;"","",C44*(1+Inflation_Choice))</f>
        <v/>
      </c>
      <c r="D45" s="80" t="str">
        <f aca="false">IF(Need_1&lt;&gt;"","",F44)</f>
        <v/>
      </c>
      <c r="E45" s="79" t="str">
        <f aca="false">IF(Need_1&lt;&gt;"","",IF(Withdrawal_Timing="Start of year",IF(D45&gt;=C45,1,0),IF(D45*(1+Growth_Rate)&gt;=C45,1,0)))</f>
        <v/>
      </c>
      <c r="F45" s="80" t="str">
        <f aca="false">IF(Need_1&lt;&gt;"","",IF(E45=1,IF(Withdrawal_Timing="Start of year",(D45-C45)*(1+Growth_Rate),D45*(1+Growth_Rate)-C45),0))</f>
        <v/>
      </c>
    </row>
    <row r="46" customFormat="false" ht="15" hidden="false" customHeight="true" outlineLevel="0" collapsed="false">
      <c r="B46" s="79" t="n">
        <v>14</v>
      </c>
      <c r="C46" s="80" t="str">
        <f aca="false">IF(Need_1&lt;&gt;"","",C45*(1+Inflation_Choice))</f>
        <v/>
      </c>
      <c r="D46" s="80" t="str">
        <f aca="false">IF(Need_1&lt;&gt;"","",F45)</f>
        <v/>
      </c>
      <c r="E46" s="79" t="str">
        <f aca="false">IF(Need_1&lt;&gt;"","",IF(Withdrawal_Timing="Start of year",IF(D46&gt;=C46,1,0),IF(D46*(1+Growth_Rate)&gt;=C46,1,0)))</f>
        <v/>
      </c>
      <c r="F46" s="80" t="str">
        <f aca="false">IF(Need_1&lt;&gt;"","",IF(E46=1,IF(Withdrawal_Timing="Start of year",(D46-C46)*(1+Growth_Rate),D46*(1+Growth_Rate)-C46),0))</f>
        <v/>
      </c>
    </row>
    <row r="47" customFormat="false" ht="15" hidden="false" customHeight="true" outlineLevel="0" collapsed="false">
      <c r="B47" s="79" t="n">
        <v>15</v>
      </c>
      <c r="C47" s="80" t="str">
        <f aca="false">IF(Need_1&lt;&gt;"","",C46*(1+Inflation_Choice))</f>
        <v/>
      </c>
      <c r="D47" s="80" t="str">
        <f aca="false">IF(Need_1&lt;&gt;"","",F46)</f>
        <v/>
      </c>
      <c r="E47" s="79" t="str">
        <f aca="false">IF(Need_1&lt;&gt;"","",IF(Withdrawal_Timing="Start of year",IF(D47&gt;=C47,1,0),IF(D47*(1+Growth_Rate)&gt;=C47,1,0)))</f>
        <v/>
      </c>
      <c r="F47" s="80" t="str">
        <f aca="false">IF(Need_1&lt;&gt;"","",IF(E47=1,IF(Withdrawal_Timing="Start of year",(D47-C47)*(1+Growth_Rate),D47*(1+Growth_Rate)-C47),0))</f>
        <v/>
      </c>
    </row>
    <row r="48" customFormat="false" ht="15" hidden="false" customHeight="true" outlineLevel="0" collapsed="false">
      <c r="B48" s="79" t="n">
        <v>16</v>
      </c>
      <c r="C48" s="80" t="str">
        <f aca="false">IF(Need_1&lt;&gt;"","",C47*(1+Inflation_Choice))</f>
        <v/>
      </c>
      <c r="D48" s="80" t="str">
        <f aca="false">IF(Need_1&lt;&gt;"","",F47)</f>
        <v/>
      </c>
      <c r="E48" s="79" t="str">
        <f aca="false">IF(Need_1&lt;&gt;"","",IF(Withdrawal_Timing="Start of year",IF(D48&gt;=C48,1,0),IF(D48*(1+Growth_Rate)&gt;=C48,1,0)))</f>
        <v/>
      </c>
      <c r="F48" s="80" t="str">
        <f aca="false">IF(Need_1&lt;&gt;"","",IF(E48=1,IF(Withdrawal_Timing="Start of year",(D48-C48)*(1+Growth_Rate),D48*(1+Growth_Rate)-C48),0))</f>
        <v/>
      </c>
    </row>
    <row r="49" customFormat="false" ht="15" hidden="false" customHeight="true" outlineLevel="0" collapsed="false">
      <c r="B49" s="79" t="n">
        <v>17</v>
      </c>
      <c r="C49" s="80" t="str">
        <f aca="false">IF(Need_1&lt;&gt;"","",C48*(1+Inflation_Choice))</f>
        <v/>
      </c>
      <c r="D49" s="80" t="str">
        <f aca="false">IF(Need_1&lt;&gt;"","",F48)</f>
        <v/>
      </c>
      <c r="E49" s="79" t="str">
        <f aca="false">IF(Need_1&lt;&gt;"","",IF(Withdrawal_Timing="Start of year",IF(D49&gt;=C49,1,0),IF(D49*(1+Growth_Rate)&gt;=C49,1,0)))</f>
        <v/>
      </c>
      <c r="F49" s="80" t="str">
        <f aca="false">IF(Need_1&lt;&gt;"","",IF(E49=1,IF(Withdrawal_Timing="Start of year",(D49-C49)*(1+Growth_Rate),D49*(1+Growth_Rate)-C49),0))</f>
        <v/>
      </c>
    </row>
    <row r="50" customFormat="false" ht="15" hidden="false" customHeight="true" outlineLevel="0" collapsed="false">
      <c r="B50" s="79" t="n">
        <v>18</v>
      </c>
      <c r="C50" s="80" t="str">
        <f aca="false">IF(Need_1&lt;&gt;"","",C49*(1+Inflation_Choice))</f>
        <v/>
      </c>
      <c r="D50" s="80" t="str">
        <f aca="false">IF(Need_1&lt;&gt;"","",F49)</f>
        <v/>
      </c>
      <c r="E50" s="79" t="str">
        <f aca="false">IF(Need_1&lt;&gt;"","",IF(Withdrawal_Timing="Start of year",IF(D50&gt;=C50,1,0),IF(D50*(1+Growth_Rate)&gt;=C50,1,0)))</f>
        <v/>
      </c>
      <c r="F50" s="80" t="str">
        <f aca="false">IF(Need_1&lt;&gt;"","",IF(E50=1,IF(Withdrawal_Timing="Start of year",(D50-C50)*(1+Growth_Rate),D50*(1+Growth_Rate)-C50),0))</f>
        <v/>
      </c>
    </row>
    <row r="51" customFormat="false" ht="15" hidden="false" customHeight="true" outlineLevel="0" collapsed="false">
      <c r="B51" s="79" t="n">
        <v>19</v>
      </c>
      <c r="C51" s="80" t="str">
        <f aca="false">IF(Need_1&lt;&gt;"","",C50*(1+Inflation_Choice))</f>
        <v/>
      </c>
      <c r="D51" s="80" t="str">
        <f aca="false">IF(Need_1&lt;&gt;"","",F50)</f>
        <v/>
      </c>
      <c r="E51" s="79" t="str">
        <f aca="false">IF(Need_1&lt;&gt;"","",IF(Withdrawal_Timing="Start of year",IF(D51&gt;=C51,1,0),IF(D51*(1+Growth_Rate)&gt;=C51,1,0)))</f>
        <v/>
      </c>
      <c r="F51" s="80" t="str">
        <f aca="false">IF(Need_1&lt;&gt;"","",IF(E51=1,IF(Withdrawal_Timing="Start of year",(D51-C51)*(1+Growth_Rate),D51*(1+Growth_Rate)-C51),0))</f>
        <v/>
      </c>
    </row>
    <row r="52" customFormat="false" ht="15" hidden="false" customHeight="true" outlineLevel="0" collapsed="false">
      <c r="B52" s="79" t="n">
        <v>20</v>
      </c>
      <c r="C52" s="80" t="str">
        <f aca="false">IF(Need_1&lt;&gt;"","",C51*(1+Inflation_Choice))</f>
        <v/>
      </c>
      <c r="D52" s="80" t="str">
        <f aca="false">IF(Need_1&lt;&gt;"","",F51)</f>
        <v/>
      </c>
      <c r="E52" s="79" t="str">
        <f aca="false">IF(Need_1&lt;&gt;"","",IF(Withdrawal_Timing="Start of year",IF(D52&gt;=C52,1,0),IF(D52*(1+Growth_Rate)&gt;=C52,1,0)))</f>
        <v/>
      </c>
      <c r="F52" s="80" t="str">
        <f aca="false">IF(Need_1&lt;&gt;"","",IF(E52=1,IF(Withdrawal_Timing="Start of year",(D52-C52)*(1+Growth_Rate),D52*(1+Growth_Rate)-C52),0))</f>
        <v/>
      </c>
    </row>
    <row r="53" customFormat="false" ht="15" hidden="false" customHeight="true" outlineLevel="0" collapsed="false">
      <c r="B53" s="79" t="n">
        <v>21</v>
      </c>
      <c r="C53" s="80" t="str">
        <f aca="false">IF(Need_1&lt;&gt;"","",C52*(1+Inflation_Choice))</f>
        <v/>
      </c>
      <c r="D53" s="80" t="str">
        <f aca="false">IF(Need_1&lt;&gt;"","",F52)</f>
        <v/>
      </c>
      <c r="E53" s="79" t="str">
        <f aca="false">IF(Need_1&lt;&gt;"","",IF(Withdrawal_Timing="Start of year",IF(D53&gt;=C53,1,0),IF(D53*(1+Growth_Rate)&gt;=C53,1,0)))</f>
        <v/>
      </c>
      <c r="F53" s="80" t="str">
        <f aca="false">IF(Need_1&lt;&gt;"","",IF(E53=1,IF(Withdrawal_Timing="Start of year",(D53-C53)*(1+Growth_Rate),D53*(1+Growth_Rate)-C53),0))</f>
        <v/>
      </c>
    </row>
    <row r="54" customFormat="false" ht="15" hidden="false" customHeight="true" outlineLevel="0" collapsed="false">
      <c r="B54" s="79" t="n">
        <v>22</v>
      </c>
      <c r="C54" s="80" t="str">
        <f aca="false">IF(Need_1&lt;&gt;"","",C53*(1+Inflation_Choice))</f>
        <v/>
      </c>
      <c r="D54" s="80" t="str">
        <f aca="false">IF(Need_1&lt;&gt;"","",F53)</f>
        <v/>
      </c>
      <c r="E54" s="79" t="str">
        <f aca="false">IF(Need_1&lt;&gt;"","",IF(Withdrawal_Timing="Start of year",IF(D54&gt;=C54,1,0),IF(D54*(1+Growth_Rate)&gt;=C54,1,0)))</f>
        <v/>
      </c>
      <c r="F54" s="80" t="str">
        <f aca="false">IF(Need_1&lt;&gt;"","",IF(E54=1,IF(Withdrawal_Timing="Start of year",(D54-C54)*(1+Growth_Rate),D54*(1+Growth_Rate)-C54),0))</f>
        <v/>
      </c>
    </row>
    <row r="55" customFormat="false" ht="15" hidden="false" customHeight="true" outlineLevel="0" collapsed="false">
      <c r="B55" s="79" t="n">
        <v>23</v>
      </c>
      <c r="C55" s="80" t="str">
        <f aca="false">IF(Need_1&lt;&gt;"","",C54*(1+Inflation_Choice))</f>
        <v/>
      </c>
      <c r="D55" s="80" t="str">
        <f aca="false">IF(Need_1&lt;&gt;"","",F54)</f>
        <v/>
      </c>
      <c r="E55" s="79" t="str">
        <f aca="false">IF(Need_1&lt;&gt;"","",IF(Withdrawal_Timing="Start of year",IF(D55&gt;=C55,1,0),IF(D55*(1+Growth_Rate)&gt;=C55,1,0)))</f>
        <v/>
      </c>
      <c r="F55" s="80" t="str">
        <f aca="false">IF(Need_1&lt;&gt;"","",IF(E55=1,IF(Withdrawal_Timing="Start of year",(D55-C55)*(1+Growth_Rate),D55*(1+Growth_Rate)-C55),0))</f>
        <v/>
      </c>
    </row>
    <row r="56" customFormat="false" ht="15" hidden="false" customHeight="true" outlineLevel="0" collapsed="false">
      <c r="B56" s="79" t="n">
        <v>24</v>
      </c>
      <c r="C56" s="80" t="str">
        <f aca="false">IF(Need_1&lt;&gt;"","",C55*(1+Inflation_Choice))</f>
        <v/>
      </c>
      <c r="D56" s="80" t="str">
        <f aca="false">IF(Need_1&lt;&gt;"","",F55)</f>
        <v/>
      </c>
      <c r="E56" s="79" t="str">
        <f aca="false">IF(Need_1&lt;&gt;"","",IF(Withdrawal_Timing="Start of year",IF(D56&gt;=C56,1,0),IF(D56*(1+Growth_Rate)&gt;=C56,1,0)))</f>
        <v/>
      </c>
      <c r="F56" s="80" t="str">
        <f aca="false">IF(Need_1&lt;&gt;"","",IF(E56=1,IF(Withdrawal_Timing="Start of year",(D56-C56)*(1+Growth_Rate),D56*(1+Growth_Rate)-C56),0))</f>
        <v/>
      </c>
    </row>
    <row r="57" customFormat="false" ht="15" hidden="false" customHeight="true" outlineLevel="0" collapsed="false">
      <c r="B57" s="79" t="n">
        <v>25</v>
      </c>
      <c r="C57" s="80" t="str">
        <f aca="false">IF(Need_1&lt;&gt;"","",C56*(1+Inflation_Choice))</f>
        <v/>
      </c>
      <c r="D57" s="80" t="str">
        <f aca="false">IF(Need_1&lt;&gt;"","",F56)</f>
        <v/>
      </c>
      <c r="E57" s="79" t="str">
        <f aca="false">IF(Need_1&lt;&gt;"","",IF(Withdrawal_Timing="Start of year",IF(D57&gt;=C57,1,0),IF(D57*(1+Growth_Rate)&gt;=C57,1,0)))</f>
        <v/>
      </c>
      <c r="F57" s="80" t="str">
        <f aca="false">IF(Need_1&lt;&gt;"","",IF(E57=1,IF(Withdrawal_Timing="Start of year",(D57-C57)*(1+Growth_Rate),D57*(1+Growth_Rate)-C57),0))</f>
        <v/>
      </c>
    </row>
    <row r="58" customFormat="false" ht="15" hidden="false" customHeight="true" outlineLevel="0" collapsed="false">
      <c r="B58" s="79" t="n">
        <v>26</v>
      </c>
      <c r="C58" s="80" t="str">
        <f aca="false">IF(Need_1&lt;&gt;"","",C57*(1+Inflation_Choice))</f>
        <v/>
      </c>
      <c r="D58" s="80" t="str">
        <f aca="false">IF(Need_1&lt;&gt;"","",F57)</f>
        <v/>
      </c>
      <c r="E58" s="79" t="str">
        <f aca="false">IF(Need_1&lt;&gt;"","",IF(Withdrawal_Timing="Start of year",IF(D58&gt;=C58,1,0),IF(D58*(1+Growth_Rate)&gt;=C58,1,0)))</f>
        <v/>
      </c>
      <c r="F58" s="80" t="str">
        <f aca="false">IF(Need_1&lt;&gt;"","",IF(E58=1,IF(Withdrawal_Timing="Start of year",(D58-C58)*(1+Growth_Rate),D58*(1+Growth_Rate)-C58),0))</f>
        <v/>
      </c>
    </row>
    <row r="59" customFormat="false" ht="15" hidden="false" customHeight="true" outlineLevel="0" collapsed="false">
      <c r="B59" s="79" t="n">
        <v>27</v>
      </c>
      <c r="C59" s="80" t="str">
        <f aca="false">IF(Need_1&lt;&gt;"","",C58*(1+Inflation_Choice))</f>
        <v/>
      </c>
      <c r="D59" s="80" t="str">
        <f aca="false">IF(Need_1&lt;&gt;"","",F58)</f>
        <v/>
      </c>
      <c r="E59" s="79" t="str">
        <f aca="false">IF(Need_1&lt;&gt;"","",IF(Withdrawal_Timing="Start of year",IF(D59&gt;=C59,1,0),IF(D59*(1+Growth_Rate)&gt;=C59,1,0)))</f>
        <v/>
      </c>
      <c r="F59" s="80" t="str">
        <f aca="false">IF(Need_1&lt;&gt;"","",IF(E59=1,IF(Withdrawal_Timing="Start of year",(D59-C59)*(1+Growth_Rate),D59*(1+Growth_Rate)-C59),0))</f>
        <v/>
      </c>
    </row>
    <row r="60" customFormat="false" ht="15" hidden="false" customHeight="true" outlineLevel="0" collapsed="false">
      <c r="B60" s="79" t="n">
        <v>28</v>
      </c>
      <c r="C60" s="80" t="str">
        <f aca="false">IF(Need_1&lt;&gt;"","",C59*(1+Inflation_Choice))</f>
        <v/>
      </c>
      <c r="D60" s="80" t="str">
        <f aca="false">IF(Need_1&lt;&gt;"","",F59)</f>
        <v/>
      </c>
      <c r="E60" s="79" t="str">
        <f aca="false">IF(Need_1&lt;&gt;"","",IF(Withdrawal_Timing="Start of year",IF(D60&gt;=C60,1,0),IF(D60*(1+Growth_Rate)&gt;=C60,1,0)))</f>
        <v/>
      </c>
      <c r="F60" s="80" t="str">
        <f aca="false">IF(Need_1&lt;&gt;"","",IF(E60=1,IF(Withdrawal_Timing="Start of year",(D60-C60)*(1+Growth_Rate),D60*(1+Growth_Rate)-C60),0))</f>
        <v/>
      </c>
    </row>
    <row r="61" customFormat="false" ht="15" hidden="false" customHeight="true" outlineLevel="0" collapsed="false">
      <c r="B61" s="79" t="n">
        <v>29</v>
      </c>
      <c r="C61" s="80" t="str">
        <f aca="false">IF(Need_1&lt;&gt;"","",C60*(1+Inflation_Choice))</f>
        <v/>
      </c>
      <c r="D61" s="80" t="str">
        <f aca="false">IF(Need_1&lt;&gt;"","",F60)</f>
        <v/>
      </c>
      <c r="E61" s="79" t="str">
        <f aca="false">IF(Need_1&lt;&gt;"","",IF(Withdrawal_Timing="Start of year",IF(D61&gt;=C61,1,0),IF(D61*(1+Growth_Rate)&gt;=C61,1,0)))</f>
        <v/>
      </c>
      <c r="F61" s="80" t="str">
        <f aca="false">IF(Need_1&lt;&gt;"","",IF(E61=1,IF(Withdrawal_Timing="Start of year",(D61-C61)*(1+Growth_Rate),D61*(1+Growth_Rate)-C61),0))</f>
        <v/>
      </c>
    </row>
    <row r="62" customFormat="false" ht="15" hidden="false" customHeight="true" outlineLevel="0" collapsed="false">
      <c r="B62" s="79" t="n">
        <v>30</v>
      </c>
      <c r="C62" s="80" t="str">
        <f aca="false">IF(Need_1&lt;&gt;"","",C61*(1+Inflation_Choice))</f>
        <v/>
      </c>
      <c r="D62" s="80" t="str">
        <f aca="false">IF(Need_1&lt;&gt;"","",F61)</f>
        <v/>
      </c>
      <c r="E62" s="79" t="str">
        <f aca="false">IF(Need_1&lt;&gt;"","",IF(Withdrawal_Timing="Start of year",IF(D62&gt;=C62,1,0),IF(D62*(1+Growth_Rate)&gt;=C62,1,0)))</f>
        <v/>
      </c>
      <c r="F62" s="80" t="str">
        <f aca="false">IF(Need_1&lt;&gt;"","",IF(E62=1,IF(Withdrawal_Timing="Start of year",(D62-C62)*(1+Growth_Rate),D62*(1+Growth_Rate)-C62),0))</f>
        <v/>
      </c>
    </row>
    <row r="63" customFormat="false" ht="15" hidden="false" customHeight="true" outlineLevel="0" collapsed="false">
      <c r="B63" s="79" t="n">
        <v>31</v>
      </c>
      <c r="C63" s="80" t="str">
        <f aca="false">IF(Need_1&lt;&gt;"","",C62*(1+Inflation_Choice))</f>
        <v/>
      </c>
      <c r="D63" s="80" t="str">
        <f aca="false">IF(Need_1&lt;&gt;"","",F62)</f>
        <v/>
      </c>
      <c r="E63" s="79" t="str">
        <f aca="false">IF(Need_1&lt;&gt;"","",IF(Withdrawal_Timing="Start of year",IF(D63&gt;=C63,1,0),IF(D63*(1+Growth_Rate)&gt;=C63,1,0)))</f>
        <v/>
      </c>
      <c r="F63" s="80" t="str">
        <f aca="false">IF(Need_1&lt;&gt;"","",IF(E63=1,IF(Withdrawal_Timing="Start of year",(D63-C63)*(1+Growth_Rate),D63*(1+Growth_Rate)-C63),0))</f>
        <v/>
      </c>
    </row>
    <row r="64" customFormat="false" ht="15" hidden="false" customHeight="true" outlineLevel="0" collapsed="false">
      <c r="B64" s="79" t="n">
        <v>32</v>
      </c>
      <c r="C64" s="80" t="str">
        <f aca="false">IF(Need_1&lt;&gt;"","",C63*(1+Inflation_Choice))</f>
        <v/>
      </c>
      <c r="D64" s="80" t="str">
        <f aca="false">IF(Need_1&lt;&gt;"","",F63)</f>
        <v/>
      </c>
      <c r="E64" s="79" t="str">
        <f aca="false">IF(Need_1&lt;&gt;"","",IF(Withdrawal_Timing="Start of year",IF(D64&gt;=C64,1,0),IF(D64*(1+Growth_Rate)&gt;=C64,1,0)))</f>
        <v/>
      </c>
      <c r="F64" s="80" t="str">
        <f aca="false">IF(Need_1&lt;&gt;"","",IF(E64=1,IF(Withdrawal_Timing="Start of year",(D64-C64)*(1+Growth_Rate),D64*(1+Growth_Rate)-C64),0))</f>
        <v/>
      </c>
    </row>
    <row r="65" customFormat="false" ht="15" hidden="false" customHeight="true" outlineLevel="0" collapsed="false">
      <c r="B65" s="79" t="n">
        <v>33</v>
      </c>
      <c r="C65" s="80" t="str">
        <f aca="false">IF(Need_1&lt;&gt;"","",C64*(1+Inflation_Choice))</f>
        <v/>
      </c>
      <c r="D65" s="80" t="str">
        <f aca="false">IF(Need_1&lt;&gt;"","",F64)</f>
        <v/>
      </c>
      <c r="E65" s="79" t="str">
        <f aca="false">IF(Need_1&lt;&gt;"","",IF(Withdrawal_Timing="Start of year",IF(D65&gt;=C65,1,0),IF(D65*(1+Growth_Rate)&gt;=C65,1,0)))</f>
        <v/>
      </c>
      <c r="F65" s="80" t="str">
        <f aca="false">IF(Need_1&lt;&gt;"","",IF(E65=1,IF(Withdrawal_Timing="Start of year",(D65-C65)*(1+Growth_Rate),D65*(1+Growth_Rate)-C65),0))</f>
        <v/>
      </c>
    </row>
    <row r="66" customFormat="false" ht="15" hidden="false" customHeight="true" outlineLevel="0" collapsed="false">
      <c r="B66" s="79" t="n">
        <v>34</v>
      </c>
      <c r="C66" s="80" t="str">
        <f aca="false">IF(Need_1&lt;&gt;"","",C65*(1+Inflation_Choice))</f>
        <v/>
      </c>
      <c r="D66" s="80" t="str">
        <f aca="false">IF(Need_1&lt;&gt;"","",F65)</f>
        <v/>
      </c>
      <c r="E66" s="79" t="str">
        <f aca="false">IF(Need_1&lt;&gt;"","",IF(Withdrawal_Timing="Start of year",IF(D66&gt;=C66,1,0),IF(D66*(1+Growth_Rate)&gt;=C66,1,0)))</f>
        <v/>
      </c>
      <c r="F66" s="80" t="str">
        <f aca="false">IF(Need_1&lt;&gt;"","",IF(E66=1,IF(Withdrawal_Timing="Start of year",(D66-C66)*(1+Growth_Rate),D66*(1+Growth_Rate)-C66),0))</f>
        <v/>
      </c>
    </row>
    <row r="67" customFormat="false" ht="15" hidden="false" customHeight="true" outlineLevel="0" collapsed="false">
      <c r="B67" s="79" t="n">
        <v>35</v>
      </c>
      <c r="C67" s="80" t="str">
        <f aca="false">IF(Need_1&lt;&gt;"","",C66*(1+Inflation_Choice))</f>
        <v/>
      </c>
      <c r="D67" s="80" t="str">
        <f aca="false">IF(Need_1&lt;&gt;"","",F66)</f>
        <v/>
      </c>
      <c r="E67" s="79" t="str">
        <f aca="false">IF(Need_1&lt;&gt;"","",IF(Withdrawal_Timing="Start of year",IF(D67&gt;=C67,1,0),IF(D67*(1+Growth_Rate)&gt;=C67,1,0)))</f>
        <v/>
      </c>
      <c r="F67" s="80" t="str">
        <f aca="false">IF(Need_1&lt;&gt;"","",IF(E67=1,IF(Withdrawal_Timing="Start of year",(D67-C67)*(1+Growth_Rate),D67*(1+Growth_Rate)-C67),0))</f>
        <v/>
      </c>
    </row>
    <row r="68" customFormat="false" ht="15" hidden="false" customHeight="true" outlineLevel="0" collapsed="false">
      <c r="B68" s="79" t="n">
        <v>36</v>
      </c>
      <c r="C68" s="80" t="str">
        <f aca="false">IF(Need_1&lt;&gt;"","",C67*(1+Inflation_Choice))</f>
        <v/>
      </c>
      <c r="D68" s="80" t="str">
        <f aca="false">IF(Need_1&lt;&gt;"","",F67)</f>
        <v/>
      </c>
      <c r="E68" s="79" t="str">
        <f aca="false">IF(Need_1&lt;&gt;"","",IF(Withdrawal_Timing="Start of year",IF(D68&gt;=C68,1,0),IF(D68*(1+Growth_Rate)&gt;=C68,1,0)))</f>
        <v/>
      </c>
      <c r="F68" s="80" t="str">
        <f aca="false">IF(Need_1&lt;&gt;"","",IF(E68=1,IF(Withdrawal_Timing="Start of year",(D68-C68)*(1+Growth_Rate),D68*(1+Growth_Rate)-C68),0))</f>
        <v/>
      </c>
    </row>
    <row r="69" customFormat="false" ht="15" hidden="false" customHeight="true" outlineLevel="0" collapsed="false">
      <c r="B69" s="79" t="n">
        <v>37</v>
      </c>
      <c r="C69" s="80" t="str">
        <f aca="false">IF(Need_1&lt;&gt;"","",C68*(1+Inflation_Choice))</f>
        <v/>
      </c>
      <c r="D69" s="80" t="str">
        <f aca="false">IF(Need_1&lt;&gt;"","",F68)</f>
        <v/>
      </c>
      <c r="E69" s="79" t="str">
        <f aca="false">IF(Need_1&lt;&gt;"","",IF(Withdrawal_Timing="Start of year",IF(D69&gt;=C69,1,0),IF(D69*(1+Growth_Rate)&gt;=C69,1,0)))</f>
        <v/>
      </c>
      <c r="F69" s="80" t="str">
        <f aca="false">IF(Need_1&lt;&gt;"","",IF(E69=1,IF(Withdrawal_Timing="Start of year",(D69-C69)*(1+Growth_Rate),D69*(1+Growth_Rate)-C69),0))</f>
        <v/>
      </c>
    </row>
    <row r="70" customFormat="false" ht="15" hidden="false" customHeight="true" outlineLevel="0" collapsed="false">
      <c r="B70" s="79" t="n">
        <v>38</v>
      </c>
      <c r="C70" s="80" t="str">
        <f aca="false">IF(Need_1&lt;&gt;"","",C69*(1+Inflation_Choice))</f>
        <v/>
      </c>
      <c r="D70" s="80" t="str">
        <f aca="false">IF(Need_1&lt;&gt;"","",F69)</f>
        <v/>
      </c>
      <c r="E70" s="79" t="str">
        <f aca="false">IF(Need_1&lt;&gt;"","",IF(Withdrawal_Timing="Start of year",IF(D70&gt;=C70,1,0),IF(D70*(1+Growth_Rate)&gt;=C70,1,0)))</f>
        <v/>
      </c>
      <c r="F70" s="80" t="str">
        <f aca="false">IF(Need_1&lt;&gt;"","",IF(E70=1,IF(Withdrawal_Timing="Start of year",(D70-C70)*(1+Growth_Rate),D70*(1+Growth_Rate)-C70),0))</f>
        <v/>
      </c>
    </row>
    <row r="71" customFormat="false" ht="15" hidden="false" customHeight="true" outlineLevel="0" collapsed="false">
      <c r="B71" s="79" t="n">
        <v>39</v>
      </c>
      <c r="C71" s="80" t="str">
        <f aca="false">IF(Need_1&lt;&gt;"","",C70*(1+Inflation_Choice))</f>
        <v/>
      </c>
      <c r="D71" s="80" t="str">
        <f aca="false">IF(Need_1&lt;&gt;"","",F70)</f>
        <v/>
      </c>
      <c r="E71" s="79" t="str">
        <f aca="false">IF(Need_1&lt;&gt;"","",IF(Withdrawal_Timing="Start of year",IF(D71&gt;=C71,1,0),IF(D71*(1+Growth_Rate)&gt;=C71,1,0)))</f>
        <v/>
      </c>
      <c r="F71" s="80" t="str">
        <f aca="false">IF(Need_1&lt;&gt;"","",IF(E71=1,IF(Withdrawal_Timing="Start of year",(D71-C71)*(1+Growth_Rate),D71*(1+Growth_Rate)-C71),0))</f>
        <v/>
      </c>
    </row>
    <row r="72" customFormat="false" ht="15" hidden="false" customHeight="true" outlineLevel="0" collapsed="false">
      <c r="B72" s="79" t="n">
        <v>40</v>
      </c>
      <c r="C72" s="80" t="str">
        <f aca="false">IF(Need_1&lt;&gt;"","",C71*(1+Inflation_Choice))</f>
        <v/>
      </c>
      <c r="D72" s="80" t="str">
        <f aca="false">IF(Need_1&lt;&gt;"","",F71)</f>
        <v/>
      </c>
      <c r="E72" s="79" t="str">
        <f aca="false">IF(Need_1&lt;&gt;"","",IF(Withdrawal_Timing="Start of year",IF(D72&gt;=C72,1,0),IF(D72*(1+Growth_Rate)&gt;=C72,1,0)))</f>
        <v/>
      </c>
      <c r="F72" s="80" t="str">
        <f aca="false">IF(Need_1&lt;&gt;"","",IF(E72=1,IF(Withdrawal_Timing="Start of year",(D72-C72)*(1+Growth_Rate),D72*(1+Growth_Rate)-C72),0))</f>
        <v/>
      </c>
    </row>
    <row r="73" customFormat="false" ht="15" hidden="false" customHeight="true" outlineLevel="0" collapsed="false">
      <c r="B73" s="79" t="n">
        <v>41</v>
      </c>
      <c r="C73" s="80" t="str">
        <f aca="false">IF(Need_1&lt;&gt;"","",C72*(1+Inflation_Choice))</f>
        <v/>
      </c>
      <c r="D73" s="80" t="str">
        <f aca="false">IF(Need_1&lt;&gt;"","",F72)</f>
        <v/>
      </c>
      <c r="E73" s="79" t="str">
        <f aca="false">IF(Need_1&lt;&gt;"","",IF(Withdrawal_Timing="Start of year",IF(D73&gt;=C73,1,0),IF(D73*(1+Growth_Rate)&gt;=C73,1,0)))</f>
        <v/>
      </c>
      <c r="F73" s="80" t="str">
        <f aca="false">IF(Need_1&lt;&gt;"","",IF(E73=1,IF(Withdrawal_Timing="Start of year",(D73-C73)*(1+Growth_Rate),D73*(1+Growth_Rate)-C73),0))</f>
        <v/>
      </c>
    </row>
    <row r="74" customFormat="false" ht="15" hidden="false" customHeight="true" outlineLevel="0" collapsed="false">
      <c r="B74" s="79" t="n">
        <v>42</v>
      </c>
      <c r="C74" s="80" t="str">
        <f aca="false">IF(Need_1&lt;&gt;"","",C73*(1+Inflation_Choice))</f>
        <v/>
      </c>
      <c r="D74" s="80" t="str">
        <f aca="false">IF(Need_1&lt;&gt;"","",F73)</f>
        <v/>
      </c>
      <c r="E74" s="79" t="str">
        <f aca="false">IF(Need_1&lt;&gt;"","",IF(Withdrawal_Timing="Start of year",IF(D74&gt;=C74,1,0),IF(D74*(1+Growth_Rate)&gt;=C74,1,0)))</f>
        <v/>
      </c>
      <c r="F74" s="80" t="str">
        <f aca="false">IF(Need_1&lt;&gt;"","",IF(E74=1,IF(Withdrawal_Timing="Start of year",(D74-C74)*(1+Growth_Rate),D74*(1+Growth_Rate)-C74),0))</f>
        <v/>
      </c>
    </row>
    <row r="75" customFormat="false" ht="15" hidden="false" customHeight="true" outlineLevel="0" collapsed="false">
      <c r="B75" s="79" t="n">
        <v>43</v>
      </c>
      <c r="C75" s="80" t="str">
        <f aca="false">IF(Need_1&lt;&gt;"","",C74*(1+Inflation_Choice))</f>
        <v/>
      </c>
      <c r="D75" s="80" t="str">
        <f aca="false">IF(Need_1&lt;&gt;"","",F74)</f>
        <v/>
      </c>
      <c r="E75" s="79" t="str">
        <f aca="false">IF(Need_1&lt;&gt;"","",IF(Withdrawal_Timing="Start of year",IF(D75&gt;=C75,1,0),IF(D75*(1+Growth_Rate)&gt;=C75,1,0)))</f>
        <v/>
      </c>
      <c r="F75" s="80" t="str">
        <f aca="false">IF(Need_1&lt;&gt;"","",IF(E75=1,IF(Withdrawal_Timing="Start of year",(D75-C75)*(1+Growth_Rate),D75*(1+Growth_Rate)-C75),0))</f>
        <v/>
      </c>
    </row>
    <row r="76" customFormat="false" ht="15" hidden="false" customHeight="true" outlineLevel="0" collapsed="false">
      <c r="B76" s="79" t="n">
        <v>44</v>
      </c>
      <c r="C76" s="80" t="str">
        <f aca="false">IF(Need_1&lt;&gt;"","",C75*(1+Inflation_Choice))</f>
        <v/>
      </c>
      <c r="D76" s="80" t="str">
        <f aca="false">IF(Need_1&lt;&gt;"","",F75)</f>
        <v/>
      </c>
      <c r="E76" s="79" t="str">
        <f aca="false">IF(Need_1&lt;&gt;"","",IF(Withdrawal_Timing="Start of year",IF(D76&gt;=C76,1,0),IF(D76*(1+Growth_Rate)&gt;=C76,1,0)))</f>
        <v/>
      </c>
      <c r="F76" s="80" t="str">
        <f aca="false">IF(Need_1&lt;&gt;"","",IF(E76=1,IF(Withdrawal_Timing="Start of year",(D76-C76)*(1+Growth_Rate),D76*(1+Growth_Rate)-C76),0))</f>
        <v/>
      </c>
    </row>
    <row r="77" customFormat="false" ht="15" hidden="false" customHeight="true" outlineLevel="0" collapsed="false">
      <c r="B77" s="79" t="n">
        <v>45</v>
      </c>
      <c r="C77" s="80" t="str">
        <f aca="false">IF(Need_1&lt;&gt;"","",C76*(1+Inflation_Choice))</f>
        <v/>
      </c>
      <c r="D77" s="80" t="str">
        <f aca="false">IF(Need_1&lt;&gt;"","",F76)</f>
        <v/>
      </c>
      <c r="E77" s="79" t="str">
        <f aca="false">IF(Need_1&lt;&gt;"","",IF(Withdrawal_Timing="Start of year",IF(D77&gt;=C77,1,0),IF(D77*(1+Growth_Rate)&gt;=C77,1,0)))</f>
        <v/>
      </c>
      <c r="F77" s="80" t="str">
        <f aca="false">IF(Need_1&lt;&gt;"","",IF(E77=1,IF(Withdrawal_Timing="Start of year",(D77-C77)*(1+Growth_Rate),D77*(1+Growth_Rate)-C77),0))</f>
        <v/>
      </c>
    </row>
    <row r="78" customFormat="false" ht="15" hidden="false" customHeight="true" outlineLevel="0" collapsed="false">
      <c r="B78" s="79" t="n">
        <v>46</v>
      </c>
      <c r="C78" s="80" t="str">
        <f aca="false">IF(Need_1&lt;&gt;"","",C77*(1+Inflation_Choice))</f>
        <v/>
      </c>
      <c r="D78" s="80" t="str">
        <f aca="false">IF(Need_1&lt;&gt;"","",F77)</f>
        <v/>
      </c>
      <c r="E78" s="79" t="str">
        <f aca="false">IF(Need_1&lt;&gt;"","",IF(Withdrawal_Timing="Start of year",IF(D78&gt;=C78,1,0),IF(D78*(1+Growth_Rate)&gt;=C78,1,0)))</f>
        <v/>
      </c>
      <c r="F78" s="80" t="str">
        <f aca="false">IF(Need_1&lt;&gt;"","",IF(E78=1,IF(Withdrawal_Timing="Start of year",(D78-C78)*(1+Growth_Rate),D78*(1+Growth_Rate)-C78),0))</f>
        <v/>
      </c>
    </row>
    <row r="79" customFormat="false" ht="15" hidden="false" customHeight="true" outlineLevel="0" collapsed="false">
      <c r="B79" s="79" t="n">
        <v>47</v>
      </c>
      <c r="C79" s="80" t="str">
        <f aca="false">IF(Need_1&lt;&gt;"","",C78*(1+Inflation_Choice))</f>
        <v/>
      </c>
      <c r="D79" s="80" t="str">
        <f aca="false">IF(Need_1&lt;&gt;"","",F78)</f>
        <v/>
      </c>
      <c r="E79" s="79" t="str">
        <f aca="false">IF(Need_1&lt;&gt;"","",IF(Withdrawal_Timing="Start of year",IF(D79&gt;=C79,1,0),IF(D79*(1+Growth_Rate)&gt;=C79,1,0)))</f>
        <v/>
      </c>
      <c r="F79" s="80" t="str">
        <f aca="false">IF(Need_1&lt;&gt;"","",IF(E79=1,IF(Withdrawal_Timing="Start of year",(D79-C79)*(1+Growth_Rate),D79*(1+Growth_Rate)-C79),0))</f>
        <v/>
      </c>
    </row>
    <row r="80" customFormat="false" ht="15" hidden="false" customHeight="true" outlineLevel="0" collapsed="false">
      <c r="B80" s="79" t="n">
        <v>48</v>
      </c>
      <c r="C80" s="80" t="str">
        <f aca="false">IF(Need_1&lt;&gt;"","",C79*(1+Inflation_Choice))</f>
        <v/>
      </c>
      <c r="D80" s="80" t="str">
        <f aca="false">IF(Need_1&lt;&gt;"","",F79)</f>
        <v/>
      </c>
      <c r="E80" s="79" t="str">
        <f aca="false">IF(Need_1&lt;&gt;"","",IF(Withdrawal_Timing="Start of year",IF(D80&gt;=C80,1,0),IF(D80*(1+Growth_Rate)&gt;=C80,1,0)))</f>
        <v/>
      </c>
      <c r="F80" s="80" t="str">
        <f aca="false">IF(Need_1&lt;&gt;"","",IF(E80=1,IF(Withdrawal_Timing="Start of year",(D80-C80)*(1+Growth_Rate),D80*(1+Growth_Rate)-C80),0))</f>
        <v/>
      </c>
    </row>
    <row r="81" customFormat="false" ht="15" hidden="false" customHeight="true" outlineLevel="0" collapsed="false">
      <c r="B81" s="79" t="n">
        <v>49</v>
      </c>
      <c r="C81" s="80" t="str">
        <f aca="false">IF(Need_1&lt;&gt;"","",C80*(1+Inflation_Choice))</f>
        <v/>
      </c>
      <c r="D81" s="80" t="str">
        <f aca="false">IF(Need_1&lt;&gt;"","",F80)</f>
        <v/>
      </c>
      <c r="E81" s="79" t="str">
        <f aca="false">IF(Need_1&lt;&gt;"","",IF(Withdrawal_Timing="Start of year",IF(D81&gt;=C81,1,0),IF(D81*(1+Growth_Rate)&gt;=C81,1,0)))</f>
        <v/>
      </c>
      <c r="F81" s="80" t="str">
        <f aca="false">IF(Need_1&lt;&gt;"","",IF(E81=1,IF(Withdrawal_Timing="Start of year",(D81-C81)*(1+Growth_Rate),D81*(1+Growth_Rate)-C81),0))</f>
        <v/>
      </c>
    </row>
    <row r="82" customFormat="false" ht="15" hidden="false" customHeight="true" outlineLevel="0" collapsed="false">
      <c r="B82" s="79" t="n">
        <v>50</v>
      </c>
      <c r="C82" s="80" t="str">
        <f aca="false">IF(Need_1&lt;&gt;"","",C81*(1+Inflation_Choice))</f>
        <v/>
      </c>
      <c r="D82" s="80" t="str">
        <f aca="false">IF(Need_1&lt;&gt;"","",F81)</f>
        <v/>
      </c>
      <c r="E82" s="79" t="str">
        <f aca="false">IF(Need_1&lt;&gt;"","",IF(Withdrawal_Timing="Start of year",IF(D82&gt;=C82,1,0),IF(D82*(1+Growth_Rate)&gt;=C82,1,0)))</f>
        <v/>
      </c>
      <c r="F82" s="80" t="str">
        <f aca="false">IF(Need_1&lt;&gt;"","",IF(E82=1,IF(Withdrawal_Timing="Start of year",(D82-C82)*(1+Growth_Rate),D82*(1+Growth_Rate)-C82),0))</f>
        <v/>
      </c>
    </row>
    <row r="83" customFormat="false" ht="15" hidden="false" customHeight="true" outlineLevel="0" collapsed="false">
      <c r="B83" s="79" t="n">
        <v>51</v>
      </c>
      <c r="C83" s="80" t="str">
        <f aca="false">IF(Need_1&lt;&gt;"","",C82*(1+Inflation_Choice))</f>
        <v/>
      </c>
      <c r="D83" s="80" t="str">
        <f aca="false">IF(Need_1&lt;&gt;"","",F82)</f>
        <v/>
      </c>
      <c r="E83" s="79" t="str">
        <f aca="false">IF(Need_1&lt;&gt;"","",IF(Withdrawal_Timing="Start of year",IF(D83&gt;=C83,1,0),IF(D83*(1+Growth_Rate)&gt;=C83,1,0)))</f>
        <v/>
      </c>
      <c r="F83" s="80" t="str">
        <f aca="false">IF(Need_1&lt;&gt;"","",IF(E83=1,IF(Withdrawal_Timing="Start of year",(D83-C83)*(1+Growth_Rate),D83*(1+Growth_Rate)-C83),0))</f>
        <v/>
      </c>
    </row>
    <row r="84" customFormat="false" ht="15" hidden="false" customHeight="true" outlineLevel="0" collapsed="false">
      <c r="B84" s="79" t="n">
        <v>52</v>
      </c>
      <c r="C84" s="80" t="str">
        <f aca="false">IF(Need_1&lt;&gt;"","",C83*(1+Inflation_Choice))</f>
        <v/>
      </c>
      <c r="D84" s="80" t="str">
        <f aca="false">IF(Need_1&lt;&gt;"","",F83)</f>
        <v/>
      </c>
      <c r="E84" s="79" t="str">
        <f aca="false">IF(Need_1&lt;&gt;"","",IF(Withdrawal_Timing="Start of year",IF(D84&gt;=C84,1,0),IF(D84*(1+Growth_Rate)&gt;=C84,1,0)))</f>
        <v/>
      </c>
      <c r="F84" s="80" t="str">
        <f aca="false">IF(Need_1&lt;&gt;"","",IF(E84=1,IF(Withdrawal_Timing="Start of year",(D84-C84)*(1+Growth_Rate),D84*(1+Growth_Rate)-C84),0))</f>
        <v/>
      </c>
    </row>
    <row r="85" customFormat="false" ht="15" hidden="false" customHeight="true" outlineLevel="0" collapsed="false">
      <c r="B85" s="79" t="n">
        <v>53</v>
      </c>
      <c r="C85" s="80" t="str">
        <f aca="false">IF(Need_1&lt;&gt;"","",C84*(1+Inflation_Choice))</f>
        <v/>
      </c>
      <c r="D85" s="80" t="str">
        <f aca="false">IF(Need_1&lt;&gt;"","",F84)</f>
        <v/>
      </c>
      <c r="E85" s="79" t="str">
        <f aca="false">IF(Need_1&lt;&gt;"","",IF(Withdrawal_Timing="Start of year",IF(D85&gt;=C85,1,0),IF(D85*(1+Growth_Rate)&gt;=C85,1,0)))</f>
        <v/>
      </c>
      <c r="F85" s="80" t="str">
        <f aca="false">IF(Need_1&lt;&gt;"","",IF(E85=1,IF(Withdrawal_Timing="Start of year",(D85-C85)*(1+Growth_Rate),D85*(1+Growth_Rate)-C85),0))</f>
        <v/>
      </c>
    </row>
    <row r="86" customFormat="false" ht="15" hidden="false" customHeight="true" outlineLevel="0" collapsed="false">
      <c r="B86" s="79" t="n">
        <v>54</v>
      </c>
      <c r="C86" s="80" t="str">
        <f aca="false">IF(Need_1&lt;&gt;"","",C85*(1+Inflation_Choice))</f>
        <v/>
      </c>
      <c r="D86" s="80" t="str">
        <f aca="false">IF(Need_1&lt;&gt;"","",F85)</f>
        <v/>
      </c>
      <c r="E86" s="79" t="str">
        <f aca="false">IF(Need_1&lt;&gt;"","",IF(Withdrawal_Timing="Start of year",IF(D86&gt;=C86,1,0),IF(D86*(1+Growth_Rate)&gt;=C86,1,0)))</f>
        <v/>
      </c>
      <c r="F86" s="80" t="str">
        <f aca="false">IF(Need_1&lt;&gt;"","",IF(E86=1,IF(Withdrawal_Timing="Start of year",(D86-C86)*(1+Growth_Rate),D86*(1+Growth_Rate)-C86),0))</f>
        <v/>
      </c>
    </row>
    <row r="87" customFormat="false" ht="15" hidden="false" customHeight="true" outlineLevel="0" collapsed="false">
      <c r="B87" s="79" t="n">
        <v>55</v>
      </c>
      <c r="C87" s="80" t="str">
        <f aca="false">IF(Need_1&lt;&gt;"","",C86*(1+Inflation_Choice))</f>
        <v/>
      </c>
      <c r="D87" s="80" t="str">
        <f aca="false">IF(Need_1&lt;&gt;"","",F86)</f>
        <v/>
      </c>
      <c r="E87" s="79" t="str">
        <f aca="false">IF(Need_1&lt;&gt;"","",IF(Withdrawal_Timing="Start of year",IF(D87&gt;=C87,1,0),IF(D87*(1+Growth_Rate)&gt;=C87,1,0)))</f>
        <v/>
      </c>
      <c r="F87" s="80" t="str">
        <f aca="false">IF(Need_1&lt;&gt;"","",IF(E87=1,IF(Withdrawal_Timing="Start of year",(D87-C87)*(1+Growth_Rate),D87*(1+Growth_Rate)-C87),0))</f>
        <v/>
      </c>
    </row>
    <row r="88" customFormat="false" ht="15" hidden="false" customHeight="true" outlineLevel="0" collapsed="false">
      <c r="B88" s="79" t="n">
        <v>56</v>
      </c>
      <c r="C88" s="80" t="str">
        <f aca="false">IF(Need_1&lt;&gt;"","",C87*(1+Inflation_Choice))</f>
        <v/>
      </c>
      <c r="D88" s="80" t="str">
        <f aca="false">IF(Need_1&lt;&gt;"","",F87)</f>
        <v/>
      </c>
      <c r="E88" s="79" t="str">
        <f aca="false">IF(Need_1&lt;&gt;"","",IF(Withdrawal_Timing="Start of year",IF(D88&gt;=C88,1,0),IF(D88*(1+Growth_Rate)&gt;=C88,1,0)))</f>
        <v/>
      </c>
      <c r="F88" s="80" t="str">
        <f aca="false">IF(Need_1&lt;&gt;"","",IF(E88=1,IF(Withdrawal_Timing="Start of year",(D88-C88)*(1+Growth_Rate),D88*(1+Growth_Rate)-C88),0))</f>
        <v/>
      </c>
    </row>
    <row r="89" customFormat="false" ht="15" hidden="false" customHeight="true" outlineLevel="0" collapsed="false">
      <c r="B89" s="79" t="n">
        <v>57</v>
      </c>
      <c r="C89" s="80" t="str">
        <f aca="false">IF(Need_1&lt;&gt;"","",C88*(1+Inflation_Choice))</f>
        <v/>
      </c>
      <c r="D89" s="80" t="str">
        <f aca="false">IF(Need_1&lt;&gt;"","",F88)</f>
        <v/>
      </c>
      <c r="E89" s="79" t="str">
        <f aca="false">IF(Need_1&lt;&gt;"","",IF(Withdrawal_Timing="Start of year",IF(D89&gt;=C89,1,0),IF(D89*(1+Growth_Rate)&gt;=C89,1,0)))</f>
        <v/>
      </c>
      <c r="F89" s="80" t="str">
        <f aca="false">IF(Need_1&lt;&gt;"","",IF(E89=1,IF(Withdrawal_Timing="Start of year",(D89-C89)*(1+Growth_Rate),D89*(1+Growth_Rate)-C89),0))</f>
        <v/>
      </c>
    </row>
    <row r="90" customFormat="false" ht="15" hidden="false" customHeight="true" outlineLevel="0" collapsed="false">
      <c r="B90" s="79" t="n">
        <v>58</v>
      </c>
      <c r="C90" s="80" t="str">
        <f aca="false">IF(Need_1&lt;&gt;"","",C89*(1+Inflation_Choice))</f>
        <v/>
      </c>
      <c r="D90" s="80" t="str">
        <f aca="false">IF(Need_1&lt;&gt;"","",F89)</f>
        <v/>
      </c>
      <c r="E90" s="79" t="str">
        <f aca="false">IF(Need_1&lt;&gt;"","",IF(Withdrawal_Timing="Start of year",IF(D90&gt;=C90,1,0),IF(D90*(1+Growth_Rate)&gt;=C90,1,0)))</f>
        <v/>
      </c>
      <c r="F90" s="80" t="str">
        <f aca="false">IF(Need_1&lt;&gt;"","",IF(E90=1,IF(Withdrawal_Timing="Start of year",(D90-C90)*(1+Growth_Rate),D90*(1+Growth_Rate)-C90),0))</f>
        <v/>
      </c>
    </row>
    <row r="91" customFormat="false" ht="15" hidden="false" customHeight="true" outlineLevel="0" collapsed="false">
      <c r="B91" s="79" t="n">
        <v>59</v>
      </c>
      <c r="C91" s="80" t="str">
        <f aca="false">IF(Need_1&lt;&gt;"","",C90*(1+Inflation_Choice))</f>
        <v/>
      </c>
      <c r="D91" s="80" t="str">
        <f aca="false">IF(Need_1&lt;&gt;"","",F90)</f>
        <v/>
      </c>
      <c r="E91" s="79" t="str">
        <f aca="false">IF(Need_1&lt;&gt;"","",IF(Withdrawal_Timing="Start of year",IF(D91&gt;=C91,1,0),IF(D91*(1+Growth_Rate)&gt;=C91,1,0)))</f>
        <v/>
      </c>
      <c r="F91" s="80" t="str">
        <f aca="false">IF(Need_1&lt;&gt;"","",IF(E91=1,IF(Withdrawal_Timing="Start of year",(D91-C91)*(1+Growth_Rate),D91*(1+Growth_Rate)-C91),0))</f>
        <v/>
      </c>
    </row>
    <row r="92" customFormat="false" ht="15" hidden="false" customHeight="true" outlineLevel="0" collapsed="false">
      <c r="B92" s="79" t="n">
        <v>60</v>
      </c>
      <c r="C92" s="80" t="str">
        <f aca="false">IF(Need_1&lt;&gt;"","",C91*(1+Inflation_Choice))</f>
        <v/>
      </c>
      <c r="D92" s="80" t="str">
        <f aca="false">IF(Need_1&lt;&gt;"","",F91)</f>
        <v/>
      </c>
      <c r="E92" s="79" t="str">
        <f aca="false">IF(Need_1&lt;&gt;"","",IF(Withdrawal_Timing="Start of year",IF(D92&gt;=C92,1,0),IF(D92*(1+Growth_Rate)&gt;=C92,1,0)))</f>
        <v/>
      </c>
      <c r="F92" s="80" t="str">
        <f aca="false">IF(Need_1&lt;&gt;"","",IF(E92=1,IF(Withdrawal_Timing="Start of year",(D92-C92)*(1+Growth_Rate),D92*(1+Growth_Rate)-C92),0))</f>
        <v/>
      </c>
    </row>
    <row r="95" customFormat="false" ht="15" hidden="false" customHeight="true" outlineLevel="0" collapsed="false">
      <c r="B95" s="13" t="s">
        <v>272</v>
      </c>
      <c r="C95" s="14"/>
      <c r="D95" s="14"/>
      <c r="E95" s="14"/>
      <c r="F95" s="14"/>
      <c r="G95" s="14"/>
    </row>
    <row r="96" customFormat="false" ht="27.75" hidden="false" customHeight="true" outlineLevel="0" collapsed="false">
      <c r="B96" s="46" t="s">
        <v>903</v>
      </c>
      <c r="C96" s="46"/>
      <c r="D96" s="46"/>
      <c r="E96" s="46"/>
    </row>
    <row r="97" customFormat="false" ht="13.5" hidden="false" customHeight="true" outlineLevel="0" collapsed="false">
      <c r="B97" s="46" t="s">
        <v>904</v>
      </c>
      <c r="C97" s="46"/>
      <c r="D97" s="46"/>
      <c r="E97" s="46"/>
    </row>
    <row r="98" customFormat="false" ht="13.5" hidden="false" customHeight="true" outlineLevel="0" collapsed="false">
      <c r="B98" s="47" t="s">
        <v>276</v>
      </c>
      <c r="C98" s="47"/>
      <c r="D98" s="47"/>
      <c r="E98" s="47"/>
    </row>
    <row r="99" customFormat="false" ht="13.5" hidden="false" customHeight="true" outlineLevel="0" collapsed="false">
      <c r="B99" s="46" t="s">
        <v>905</v>
      </c>
      <c r="C99" s="46"/>
      <c r="D99" s="46"/>
      <c r="E99" s="46"/>
    </row>
    <row r="100" customFormat="false" ht="13.5" hidden="false" customHeight="true" outlineLevel="0" collapsed="false">
      <c r="B100" s="46" t="s">
        <v>906</v>
      </c>
      <c r="C100" s="46"/>
      <c r="D100" s="46"/>
      <c r="E100" s="46"/>
    </row>
    <row r="101" customFormat="false" ht="13.5" hidden="false" customHeight="true" outlineLevel="0" collapsed="false">
      <c r="B101" s="46" t="s">
        <v>907</v>
      </c>
      <c r="C101" s="46"/>
      <c r="D101" s="46"/>
      <c r="E101" s="46"/>
    </row>
    <row r="103" customFormat="false" ht="15" hidden="false" customHeight="true" outlineLevel="0" collapsed="false">
      <c r="B103" s="13" t="s">
        <v>281</v>
      </c>
      <c r="C103" s="14"/>
      <c r="D103" s="14"/>
      <c r="E103" s="14"/>
      <c r="F103" s="14"/>
      <c r="G103" s="14"/>
    </row>
    <row r="104" customFormat="false" ht="15" hidden="false" customHeight="true" outlineLevel="0" collapsed="false">
      <c r="B104" s="25" t="s">
        <v>282</v>
      </c>
      <c r="C104" s="48" t="str">
        <f aca="false">"No goal"</f>
        <v>No goal</v>
      </c>
      <c r="E104" s="49" t="s">
        <v>471</v>
      </c>
    </row>
    <row r="106" customFormat="false" ht="15" hidden="false" customHeight="true" outlineLevel="0" collapsed="false">
      <c r="B106" s="13" t="s">
        <v>290</v>
      </c>
      <c r="C106" s="14"/>
      <c r="D106" s="14"/>
      <c r="E106" s="14"/>
      <c r="F106" s="14"/>
      <c r="G106" s="14"/>
    </row>
    <row r="107" customFormat="false" ht="15" hidden="false" customHeight="true" outlineLevel="0" collapsed="false">
      <c r="B107" s="52" t="s">
        <v>908</v>
      </c>
      <c r="C107" s="52" t="str">
        <f aca="false">IF(Inflation_Choice="","Choose your inflation rate to see this",IF(Yearly_Withdrawal="","Choose your yearly withdrawal to see this",IF(Growth_Rate="","Choose your growth rate to see this",IF(Withdrawal_Timing="","Choose your withdrawal timing to see this",IF(NOT(ISNUMBER(Used_Retirement_Savings)),IF(Used_Retirement_Savings="",IF(Retirement_Savings="","Choose your retirement savings to see this",""),Used_Retirement_Savings),"")))))</f>
        <v>Choose your inflation rate to see this</v>
      </c>
    </row>
    <row r="108" customFormat="false" ht="15" hidden="false" customHeight="true" outlineLevel="0" collapsed="false">
      <c r="B108" s="52" t="s">
        <v>909</v>
      </c>
      <c r="C108" s="52" t="str">
        <f aca="false">IF(Inflation_Choice="","Choose your inflation rate to see this",IF(Yearly_Withdrawal="","Choose your yearly withdrawal to see this",IF(Growth_Rate="","Choose your growth rate to see this",IF(Withdrawal_Timing="","Choose your withdrawal timing to see this",IF(Age_At_Start="","Choose your retirement age to see this",IF(Plan_To_Age="","Choose your plan-to age to see this",IF(NOT(ISNUMBER(Used_Retirement_Savings)),IF(Used_Retirement_Savings="",IF(Retirement_Savings="","Choose your retirement savings to see this",""),Used_Retirement_Savings),"")))))))</f>
        <v>Choose your inflation rate to see this</v>
      </c>
    </row>
    <row r="109" customFormat="false" ht="15" hidden="false" customHeight="true" outlineLevel="0" collapsed="false">
      <c r="B109" s="52" t="s">
        <v>910</v>
      </c>
      <c r="C109" s="52" t="str">
        <f aca="false">IF(Yearly_Withdrawal="","Choose your yearly withdrawal to see this",IF(NOT(ISNUMBER(Used_Retirement_Savings)),IF(Used_Retirement_Savings="",IF(Retirement_Savings="","Choose your retirement savings to see this",""),Used_Retirement_Savings),""))</f>
        <v>Choose your yearly withdrawal to see this</v>
      </c>
    </row>
  </sheetData>
  <mergeCells count="8">
    <mergeCell ref="B7:E7"/>
    <mergeCell ref="B10:E10"/>
    <mergeCell ref="B96:E96"/>
    <mergeCell ref="B97:E97"/>
    <mergeCell ref="B98:E98"/>
    <mergeCell ref="B99:E99"/>
    <mergeCell ref="B100:E100"/>
    <mergeCell ref="B101:E101"/>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7% · steps of 0.05%." errorStyle="stop" errorTitle="Outside the allowed range" operator="between" prompt="Generally the standard is 3.15% a year after charges once retired (LifeMap Standard set; Cautious 2.8%). Choose what you want to use.  Allowed: 0% to 7% · steps of 0.05%." promptTitle="Growth assumption a year (once r" showDropDown="false" showErrorMessage="true" showInputMessage="true" sqref="C18" type="decimal">
      <formula1>0</formula1>
      <formula2>0.07</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19" type="list">
      <formula1>"Start of year,End of year"</formula1>
      <formula2>0</formula2>
    </dataValidation>
    <dataValidation allowBlank="true" error="Please enter 50 to 90 · steps of 1." errorStyle="stop" errorTitle="Outside the allowed range" operator="between" prompt="You can usually draw a pension from 60 (some schemes from 50); State Pension is paid from 66. Choose your own: there is no default.  Allowed: 50 to 90 · steps of 1." promptTitle="Your age when withdrawals start" showDropDown="false" showErrorMessage="true" showInputMessage="true" sqref="C20" type="whole">
      <formula1>50</formula1>
      <formula2>90</formula2>
    </dataValidation>
    <dataValidation allowBlank="true" error="Please enter 85 to 100 · steps of 1." errorStyle="stop" errorTitle="Outside the allowed range" operator="between" prompt="At 65, average life expectancy in Ireland is about 83 for men and 86 for women (CSO); many people plan to 90–95. Choose your own: there is no default.  Allowed: 85 to 100 · steps of 1." promptTitle="Plan to age" showDropDown="false" showErrorMessage="true" showInputMessage="true" sqref="C21" type="whole">
      <formula1>85</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911</v>
      </c>
      <c r="E1" s="3" t="s">
        <v>912</v>
      </c>
    </row>
    <row r="2" customFormat="false" ht="15" hidden="false" customHeight="true" outlineLevel="0" collapsed="false">
      <c r="B2" s="21" t="s">
        <v>913</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914</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302</v>
      </c>
      <c r="C9" s="14"/>
      <c r="D9" s="14"/>
      <c r="E9" s="14"/>
      <c r="F9" s="14"/>
      <c r="G9" s="14"/>
    </row>
    <row r="10" customFormat="false" ht="27.75" hidden="false" customHeight="true" outlineLevel="0" collapsed="false">
      <c r="B10" s="53" t="s">
        <v>876</v>
      </c>
      <c r="C10" s="53"/>
      <c r="D10" s="53"/>
      <c r="E10" s="53"/>
    </row>
    <row r="11" customFormat="false" ht="15" hidden="false" customHeight="true" outlineLevel="0" collapsed="false">
      <c r="B11" s="25" t="s">
        <v>714</v>
      </c>
      <c r="C11" s="54"/>
      <c r="D11" s="27" t="s">
        <v>217</v>
      </c>
      <c r="E11" s="28" t="s">
        <v>631</v>
      </c>
      <c r="G11" s="52" t="s">
        <v>306</v>
      </c>
    </row>
    <row r="12" customFormat="false" ht="15" hidden="false" customHeight="true" outlineLevel="0" collapsed="false">
      <c r="B12" s="25" t="s">
        <v>707</v>
      </c>
      <c r="C12" s="54"/>
      <c r="D12" s="27" t="s">
        <v>217</v>
      </c>
      <c r="E12" s="28" t="s">
        <v>708</v>
      </c>
      <c r="G12" s="52" t="s">
        <v>306</v>
      </c>
    </row>
    <row r="13" customFormat="false" ht="15" hidden="false" customHeight="true" outlineLevel="0" collapsed="false">
      <c r="B13" s="25" t="s">
        <v>313</v>
      </c>
      <c r="C13" s="57"/>
      <c r="D13" s="27" t="s">
        <v>314</v>
      </c>
      <c r="E13" s="28" t="s">
        <v>315</v>
      </c>
      <c r="G13" s="52" t="s">
        <v>306</v>
      </c>
    </row>
    <row r="15" customFormat="false" ht="15" hidden="false" customHeight="true" outlineLevel="0" collapsed="false">
      <c r="B15" s="13" t="s">
        <v>316</v>
      </c>
      <c r="C15" s="24" t="s">
        <v>213</v>
      </c>
      <c r="D15" s="24" t="s">
        <v>214</v>
      </c>
      <c r="E15" s="24" t="s">
        <v>215</v>
      </c>
      <c r="F15" s="14"/>
      <c r="G15" s="14"/>
    </row>
    <row r="16" customFormat="false" ht="21.75" hidden="false" customHeight="true" outlineLevel="0" collapsed="false">
      <c r="B16" s="25" t="s">
        <v>877</v>
      </c>
      <c r="C16" s="26"/>
      <c r="D16" s="27" t="s">
        <v>217</v>
      </c>
      <c r="E16" s="28" t="s">
        <v>878</v>
      </c>
      <c r="F16" s="29" t="n">
        <v>400000</v>
      </c>
      <c r="G16" s="30" t="str">
        <f aca="false">IF(ISBLANK(C16),IF(Fill_Example="Yes",F16,""),C16)</f>
        <v/>
      </c>
    </row>
    <row r="17" customFormat="false" ht="15" hidden="false" customHeight="true" outlineLevel="0" collapsed="false">
      <c r="B17" s="25" t="s">
        <v>879</v>
      </c>
      <c r="C17" s="26"/>
      <c r="D17" s="27" t="s">
        <v>217</v>
      </c>
      <c r="E17" s="28" t="s">
        <v>880</v>
      </c>
      <c r="F17" s="29" t="n">
        <v>20000</v>
      </c>
      <c r="G17" s="30" t="str">
        <f aca="false">IF(ISBLANK(C17),IF(Fill_Example="Yes",F17,""),C17)</f>
        <v/>
      </c>
    </row>
    <row r="18" customFormat="false" ht="21.75" hidden="false" customHeight="true" outlineLevel="0" collapsed="false">
      <c r="B18" s="25" t="s">
        <v>915</v>
      </c>
      <c r="C18" s="34"/>
      <c r="D18" s="27" t="s">
        <v>228</v>
      </c>
      <c r="E18" s="35" t="s">
        <v>916</v>
      </c>
      <c r="F18" s="36" t="n">
        <v>0.02</v>
      </c>
      <c r="G18" s="37" t="str">
        <f aca="false">IF(ISBLANK(C18),IF(Fill_Example="Yes",F18,""),C18)</f>
        <v/>
      </c>
    </row>
    <row r="19" customFormat="false" ht="21.75" hidden="false" customHeight="true" outlineLevel="0" collapsed="false">
      <c r="B19" s="25" t="s">
        <v>917</v>
      </c>
      <c r="C19" s="34"/>
      <c r="D19" s="27" t="s">
        <v>228</v>
      </c>
      <c r="E19" s="35" t="s">
        <v>918</v>
      </c>
      <c r="F19" s="36" t="n">
        <v>0.04</v>
      </c>
      <c r="G19" s="37" t="str">
        <f aca="false">IF(ISBLANK(C19),IF(Fill_Example="Yes",F19,""),C19)</f>
        <v/>
      </c>
    </row>
    <row r="20" customFormat="false" ht="21.75" hidden="false" customHeight="true" outlineLevel="0" collapsed="false">
      <c r="B20" s="25" t="s">
        <v>919</v>
      </c>
      <c r="C20" s="34"/>
      <c r="D20" s="27" t="s">
        <v>228</v>
      </c>
      <c r="E20" s="35" t="s">
        <v>920</v>
      </c>
      <c r="F20" s="36" t="n">
        <v>0.06</v>
      </c>
      <c r="G20" s="37" t="str">
        <f aca="false">IF(ISBLANK(C20),IF(Fill_Example="Yes",F20,""),C20)</f>
        <v/>
      </c>
    </row>
    <row r="21" customFormat="false" ht="21.75" hidden="false" customHeight="true" outlineLevel="0" collapsed="false">
      <c r="B21" s="25" t="s">
        <v>883</v>
      </c>
      <c r="C21" s="31"/>
      <c r="D21" s="27"/>
      <c r="E21" s="35" t="s">
        <v>884</v>
      </c>
      <c r="F21" s="32" t="s">
        <v>885</v>
      </c>
      <c r="G21" s="33" t="str">
        <f aca="false">IF(ISBLANK(C21),IF(Fill_Example="Yes",F21,""),C21)</f>
        <v/>
      </c>
    </row>
    <row r="23" customFormat="false" ht="15" hidden="false" customHeight="true" outlineLevel="0" collapsed="false">
      <c r="B23" s="13" t="s">
        <v>326</v>
      </c>
      <c r="C23" s="14"/>
      <c r="D23" s="14"/>
      <c r="E23" s="14"/>
      <c r="F23" s="14"/>
      <c r="G23" s="14"/>
    </row>
    <row r="24" customFormat="false" ht="15" hidden="false" customHeight="true" outlineLevel="0" collapsed="false">
      <c r="B24" s="25" t="s">
        <v>877</v>
      </c>
      <c r="C24" s="58" t="str">
        <f aca="false">IF(NOT(ISBLANK(Stmt_Projected_Fund)),Stmt_Projected_Fund,IF(NOT(ISBLANK(Stmt_Fund_Value)),Stmt_Fund_Value,Retirement_Savings))</f>
        <v/>
      </c>
      <c r="D24" s="59" t="str">
        <f aca="false">IF(NOT(ISBLANK(Stmt_Projected_Fund)),"From your statement (projected fund)",IF(NOT(ISBLANK(Stmt_Fund_Value)),"From your statement (fund value today)","Your figure"))</f>
        <v>Your figure</v>
      </c>
      <c r="E24" s="49" t="s">
        <v>890</v>
      </c>
    </row>
    <row r="25" customFormat="false" ht="21.75" hidden="false" customHeight="true" outlineLevel="0" collapsed="false">
      <c r="B25" s="25" t="s">
        <v>332</v>
      </c>
      <c r="C25" s="45" t="str">
        <f aca="true">IF(ISBLANK(Stmt_Statement_Date),"",IF(TODAY()-Stmt_Statement_Date&gt;Statement_Max_Age_Days,"Needs a look: statement is more than 12 months old","Up to date"))</f>
        <v/>
      </c>
      <c r="D25" s="27"/>
      <c r="E25" s="42" t="s">
        <v>333</v>
      </c>
    </row>
    <row r="27" customFormat="false" ht="15" hidden="false" customHeight="true" outlineLevel="0" collapsed="false">
      <c r="B27" s="13" t="s">
        <v>239</v>
      </c>
      <c r="C27" s="24" t="s">
        <v>240</v>
      </c>
      <c r="D27" s="24" t="s">
        <v>241</v>
      </c>
      <c r="E27" s="24" t="s">
        <v>242</v>
      </c>
      <c r="F27" s="14"/>
      <c r="G27" s="14"/>
    </row>
    <row r="28" customFormat="false" ht="23.25" hidden="false" customHeight="true" outlineLevel="0" collapsed="false">
      <c r="B28" s="21" t="s">
        <v>921</v>
      </c>
      <c r="C28" s="62" t="str">
        <f aca="false">IF(Need_1&lt;&gt;"",Need_1,IF(Inflation_Choice="","Choose your inflation rate to see this",SUM(W_b_paid)))</f>
        <v>Choose your inflation rate to see this</v>
      </c>
      <c r="D28" s="63" t="str">
        <f aca="false">IF(Need_1&lt;&gt;"",Need_1,IF(ISNUMBER(Years_Balanced),IF(Years_Balanced&gt;=Cap_Years,Cap_Years&amp;"+ years",Years_Balanced&amp;IF(Years_Balanced=1," year"," years")),"Choose your inflation rate to see this"))</f>
        <v>Choose your inflation rate to see this</v>
      </c>
      <c r="E28" s="42" t="s">
        <v>922</v>
      </c>
    </row>
    <row r="29" customFormat="false" ht="15" hidden="false" customHeight="true" outlineLevel="0" collapsed="false">
      <c r="B29" s="25" t="s">
        <v>923</v>
      </c>
      <c r="C29" s="66" t="str">
        <f aca="false">IF(Need_1&lt;&gt;"",Need_1,IF(Inflation_Choice="","Choose your inflation rate to see this",SUM(W_c_paid)))</f>
        <v>Choose your inflation rate to see this</v>
      </c>
      <c r="D29" s="67" t="str">
        <f aca="false">IF(Need_1&lt;&gt;"",Need_1,IF(ISNUMBER(Years_Cautious),IF(Years_Cautious&gt;=Cap_Years,Cap_Years&amp;"+ years",Years_Cautious&amp;IF(Years_Cautious=1," year"," years")),"Choose your inflation rate to see this"))</f>
        <v>Choose your inflation rate to see this</v>
      </c>
      <c r="E29" s="42" t="s">
        <v>924</v>
      </c>
    </row>
    <row r="30" customFormat="false" ht="15" hidden="false" customHeight="true" outlineLevel="0" collapsed="false">
      <c r="B30" s="25" t="s">
        <v>925</v>
      </c>
      <c r="C30" s="66" t="str">
        <f aca="false">IF(Need_1&lt;&gt;"",Need_1,IF(Inflation_Choice="","Choose your inflation rate to see this",SUM(W_g_paid)))</f>
        <v>Choose your inflation rate to see this</v>
      </c>
      <c r="D30" s="67" t="str">
        <f aca="false">IF(Need_1&lt;&gt;"",Need_1,IF(ISNUMBER(Years_Growth),IF(Years_Growth&gt;=Cap_Years,Cap_Years&amp;"+ years",Years_Growth&amp;IF(Years_Growth=1," year"," years")),"Choose your inflation rate to see this"))</f>
        <v>Choose your inflation rate to see this</v>
      </c>
      <c r="E30" s="42" t="s">
        <v>926</v>
      </c>
    </row>
    <row r="31" customFormat="false" ht="15" hidden="false" customHeight="true" outlineLevel="0" collapsed="false">
      <c r="B31" s="13" t="s">
        <v>927</v>
      </c>
      <c r="C31" s="14"/>
      <c r="D31" s="14"/>
      <c r="E31" s="14"/>
      <c r="F31" s="14"/>
      <c r="G31" s="14"/>
    </row>
    <row r="32" customFormat="false" ht="27.75" hidden="false" customHeight="true" outlineLevel="0" collapsed="false">
      <c r="B32" s="78" t="s">
        <v>898</v>
      </c>
      <c r="C32" s="78" t="s">
        <v>928</v>
      </c>
      <c r="D32" s="78" t="s">
        <v>929</v>
      </c>
      <c r="E32" s="78" t="s">
        <v>930</v>
      </c>
      <c r="F32" s="78" t="s">
        <v>931</v>
      </c>
      <c r="G32" s="78" t="s">
        <v>932</v>
      </c>
      <c r="H32" s="78" t="s">
        <v>933</v>
      </c>
      <c r="I32" s="78" t="s">
        <v>934</v>
      </c>
    </row>
    <row r="33" customFormat="false" ht="15" hidden="false" customHeight="true" outlineLevel="0" collapsed="false">
      <c r="B33" s="79" t="n">
        <v>1</v>
      </c>
      <c r="C33" s="80" t="str">
        <f aca="false">IF(Need_1&lt;&gt;"","",Yearly_Withdrawal)</f>
        <v/>
      </c>
      <c r="D33" s="80" t="str">
        <f aca="false">IF(Need_1&lt;&gt;"","",Used_Retirement_Savings)</f>
        <v/>
      </c>
      <c r="E33" s="79" t="str">
        <f aca="false">IF(Need_1&lt;&gt;"","",IF(Withdrawal_Timing="Start of year",IF(D33&gt;=C33,1,0),IF(D33*(1+DD_Cautious)&gt;=C33,1,0)))</f>
        <v/>
      </c>
      <c r="F33" s="80" t="str">
        <f aca="false">IF(Need_1&lt;&gt;"","",Used_Retirement_Savings)</f>
        <v/>
      </c>
      <c r="G33" s="79" t="str">
        <f aca="false">IF(Need_1&lt;&gt;"","",IF(Withdrawal_Timing="Start of year",IF(F33&gt;=C33,1,0),IF(F33*(1+DD_Balanced)&gt;=C33,1,0)))</f>
        <v/>
      </c>
      <c r="H33" s="80" t="str">
        <f aca="false">IF(Need_1&lt;&gt;"","",Used_Retirement_Savings)</f>
        <v/>
      </c>
      <c r="I33" s="79" t="str">
        <f aca="false">IF(Need_1&lt;&gt;"","",IF(Withdrawal_Timing="Start of year",IF(H33&gt;=C33,1,0),IF(H33*(1+DD_Growth)&gt;=C33,1,0)))</f>
        <v/>
      </c>
    </row>
    <row r="34" customFormat="false" ht="15" hidden="false" customHeight="true" outlineLevel="0" collapsed="false">
      <c r="B34" s="79" t="n">
        <v>2</v>
      </c>
      <c r="C34" s="80" t="str">
        <f aca="false">IF(Need_1&lt;&gt;"","",C33*(1+Inflation_Choice))</f>
        <v/>
      </c>
      <c r="D34" s="80" t="str">
        <f aca="false">IF(Need_1&lt;&gt;"","",IF(E33=1,IF(Withdrawal_Timing="Start of year",(D33-C33)*(1+DD_Cautious),D33*(1+DD_Cautious)-C33),0))</f>
        <v/>
      </c>
      <c r="E34" s="79" t="str">
        <f aca="false">IF(Need_1&lt;&gt;"","",IF(Withdrawal_Timing="Start of year",IF(D34&gt;=C34,1,0),IF(D34*(1+DD_Cautious)&gt;=C34,1,0)))</f>
        <v/>
      </c>
      <c r="F34" s="80" t="str">
        <f aca="false">IF(Need_1&lt;&gt;"","",IF(G33=1,IF(Withdrawal_Timing="Start of year",(F33-C33)*(1+DD_Balanced),F33*(1+DD_Balanced)-C33),0))</f>
        <v/>
      </c>
      <c r="G34" s="79" t="str">
        <f aca="false">IF(Need_1&lt;&gt;"","",IF(Withdrawal_Timing="Start of year",IF(F34&gt;=C34,1,0),IF(F34*(1+DD_Balanced)&gt;=C34,1,0)))</f>
        <v/>
      </c>
      <c r="H34" s="80" t="str">
        <f aca="false">IF(Need_1&lt;&gt;"","",IF(I33=1,IF(Withdrawal_Timing="Start of year",(H33-C33)*(1+DD_Growth),H33*(1+DD_Growth)-C33),0))</f>
        <v/>
      </c>
      <c r="I34" s="79" t="str">
        <f aca="false">IF(Need_1&lt;&gt;"","",IF(Withdrawal_Timing="Start of year",IF(H34&gt;=C34,1,0),IF(H34*(1+DD_Growth)&gt;=C34,1,0)))</f>
        <v/>
      </c>
    </row>
    <row r="35" customFormat="false" ht="15" hidden="false" customHeight="true" outlineLevel="0" collapsed="false">
      <c r="B35" s="79" t="n">
        <v>3</v>
      </c>
      <c r="C35" s="80" t="str">
        <f aca="false">IF(Need_1&lt;&gt;"","",C34*(1+Inflation_Choice))</f>
        <v/>
      </c>
      <c r="D35" s="80" t="str">
        <f aca="false">IF(Need_1&lt;&gt;"","",IF(E34=1,IF(Withdrawal_Timing="Start of year",(D34-C34)*(1+DD_Cautious),D34*(1+DD_Cautious)-C34),0))</f>
        <v/>
      </c>
      <c r="E35" s="79" t="str">
        <f aca="false">IF(Need_1&lt;&gt;"","",IF(Withdrawal_Timing="Start of year",IF(D35&gt;=C35,1,0),IF(D35*(1+DD_Cautious)&gt;=C35,1,0)))</f>
        <v/>
      </c>
      <c r="F35" s="80" t="str">
        <f aca="false">IF(Need_1&lt;&gt;"","",IF(G34=1,IF(Withdrawal_Timing="Start of year",(F34-C34)*(1+DD_Balanced),F34*(1+DD_Balanced)-C34),0))</f>
        <v/>
      </c>
      <c r="G35" s="79" t="str">
        <f aca="false">IF(Need_1&lt;&gt;"","",IF(Withdrawal_Timing="Start of year",IF(F35&gt;=C35,1,0),IF(F35*(1+DD_Balanced)&gt;=C35,1,0)))</f>
        <v/>
      </c>
      <c r="H35" s="80" t="str">
        <f aca="false">IF(Need_1&lt;&gt;"","",IF(I34=1,IF(Withdrawal_Timing="Start of year",(H34-C34)*(1+DD_Growth),H34*(1+DD_Growth)-C34),0))</f>
        <v/>
      </c>
      <c r="I35" s="79" t="str">
        <f aca="false">IF(Need_1&lt;&gt;"","",IF(Withdrawal_Timing="Start of year",IF(H35&gt;=C35,1,0),IF(H35*(1+DD_Growth)&gt;=C35,1,0)))</f>
        <v/>
      </c>
    </row>
    <row r="36" customFormat="false" ht="15" hidden="false" customHeight="true" outlineLevel="0" collapsed="false">
      <c r="B36" s="79" t="n">
        <v>4</v>
      </c>
      <c r="C36" s="80" t="str">
        <f aca="false">IF(Need_1&lt;&gt;"","",C35*(1+Inflation_Choice))</f>
        <v/>
      </c>
      <c r="D36" s="80" t="str">
        <f aca="false">IF(Need_1&lt;&gt;"","",IF(E35=1,IF(Withdrawal_Timing="Start of year",(D35-C35)*(1+DD_Cautious),D35*(1+DD_Cautious)-C35),0))</f>
        <v/>
      </c>
      <c r="E36" s="79" t="str">
        <f aca="false">IF(Need_1&lt;&gt;"","",IF(Withdrawal_Timing="Start of year",IF(D36&gt;=C36,1,0),IF(D36*(1+DD_Cautious)&gt;=C36,1,0)))</f>
        <v/>
      </c>
      <c r="F36" s="80" t="str">
        <f aca="false">IF(Need_1&lt;&gt;"","",IF(G35=1,IF(Withdrawal_Timing="Start of year",(F35-C35)*(1+DD_Balanced),F35*(1+DD_Balanced)-C35),0))</f>
        <v/>
      </c>
      <c r="G36" s="79" t="str">
        <f aca="false">IF(Need_1&lt;&gt;"","",IF(Withdrawal_Timing="Start of year",IF(F36&gt;=C36,1,0),IF(F36*(1+DD_Balanced)&gt;=C36,1,0)))</f>
        <v/>
      </c>
      <c r="H36" s="80" t="str">
        <f aca="false">IF(Need_1&lt;&gt;"","",IF(I35=1,IF(Withdrawal_Timing="Start of year",(H35-C35)*(1+DD_Growth),H35*(1+DD_Growth)-C35),0))</f>
        <v/>
      </c>
      <c r="I36" s="79" t="str">
        <f aca="false">IF(Need_1&lt;&gt;"","",IF(Withdrawal_Timing="Start of year",IF(H36&gt;=C36,1,0),IF(H36*(1+DD_Growth)&gt;=C36,1,0)))</f>
        <v/>
      </c>
    </row>
    <row r="37" customFormat="false" ht="15" hidden="false" customHeight="true" outlineLevel="0" collapsed="false">
      <c r="B37" s="79" t="n">
        <v>5</v>
      </c>
      <c r="C37" s="80" t="str">
        <f aca="false">IF(Need_1&lt;&gt;"","",C36*(1+Inflation_Choice))</f>
        <v/>
      </c>
      <c r="D37" s="80" t="str">
        <f aca="false">IF(Need_1&lt;&gt;"","",IF(E36=1,IF(Withdrawal_Timing="Start of year",(D36-C36)*(1+DD_Cautious),D36*(1+DD_Cautious)-C36),0))</f>
        <v/>
      </c>
      <c r="E37" s="79" t="str">
        <f aca="false">IF(Need_1&lt;&gt;"","",IF(Withdrawal_Timing="Start of year",IF(D37&gt;=C37,1,0),IF(D37*(1+DD_Cautious)&gt;=C37,1,0)))</f>
        <v/>
      </c>
      <c r="F37" s="80" t="str">
        <f aca="false">IF(Need_1&lt;&gt;"","",IF(G36=1,IF(Withdrawal_Timing="Start of year",(F36-C36)*(1+DD_Balanced),F36*(1+DD_Balanced)-C36),0))</f>
        <v/>
      </c>
      <c r="G37" s="79" t="str">
        <f aca="false">IF(Need_1&lt;&gt;"","",IF(Withdrawal_Timing="Start of year",IF(F37&gt;=C37,1,0),IF(F37*(1+DD_Balanced)&gt;=C37,1,0)))</f>
        <v/>
      </c>
      <c r="H37" s="80" t="str">
        <f aca="false">IF(Need_1&lt;&gt;"","",IF(I36=1,IF(Withdrawal_Timing="Start of year",(H36-C36)*(1+DD_Growth),H36*(1+DD_Growth)-C36),0))</f>
        <v/>
      </c>
      <c r="I37" s="79" t="str">
        <f aca="false">IF(Need_1&lt;&gt;"","",IF(Withdrawal_Timing="Start of year",IF(H37&gt;=C37,1,0),IF(H37*(1+DD_Growth)&gt;=C37,1,0)))</f>
        <v/>
      </c>
    </row>
    <row r="38" customFormat="false" ht="15" hidden="false" customHeight="true" outlineLevel="0" collapsed="false">
      <c r="B38" s="79" t="n">
        <v>6</v>
      </c>
      <c r="C38" s="80" t="str">
        <f aca="false">IF(Need_1&lt;&gt;"","",C37*(1+Inflation_Choice))</f>
        <v/>
      </c>
      <c r="D38" s="80" t="str">
        <f aca="false">IF(Need_1&lt;&gt;"","",IF(E37=1,IF(Withdrawal_Timing="Start of year",(D37-C37)*(1+DD_Cautious),D37*(1+DD_Cautious)-C37),0))</f>
        <v/>
      </c>
      <c r="E38" s="79" t="str">
        <f aca="false">IF(Need_1&lt;&gt;"","",IF(Withdrawal_Timing="Start of year",IF(D38&gt;=C38,1,0),IF(D38*(1+DD_Cautious)&gt;=C38,1,0)))</f>
        <v/>
      </c>
      <c r="F38" s="80" t="str">
        <f aca="false">IF(Need_1&lt;&gt;"","",IF(G37=1,IF(Withdrawal_Timing="Start of year",(F37-C37)*(1+DD_Balanced),F37*(1+DD_Balanced)-C37),0))</f>
        <v/>
      </c>
      <c r="G38" s="79" t="str">
        <f aca="false">IF(Need_1&lt;&gt;"","",IF(Withdrawal_Timing="Start of year",IF(F38&gt;=C38,1,0),IF(F38*(1+DD_Balanced)&gt;=C38,1,0)))</f>
        <v/>
      </c>
      <c r="H38" s="80" t="str">
        <f aca="false">IF(Need_1&lt;&gt;"","",IF(I37=1,IF(Withdrawal_Timing="Start of year",(H37-C37)*(1+DD_Growth),H37*(1+DD_Growth)-C37),0))</f>
        <v/>
      </c>
      <c r="I38" s="79" t="str">
        <f aca="false">IF(Need_1&lt;&gt;"","",IF(Withdrawal_Timing="Start of year",IF(H38&gt;=C38,1,0),IF(H38*(1+DD_Growth)&gt;=C38,1,0)))</f>
        <v/>
      </c>
    </row>
    <row r="39" customFormat="false" ht="15" hidden="false" customHeight="true" outlineLevel="0" collapsed="false">
      <c r="B39" s="79" t="n">
        <v>7</v>
      </c>
      <c r="C39" s="80" t="str">
        <f aca="false">IF(Need_1&lt;&gt;"","",C38*(1+Inflation_Choice))</f>
        <v/>
      </c>
      <c r="D39" s="80" t="str">
        <f aca="false">IF(Need_1&lt;&gt;"","",IF(E38=1,IF(Withdrawal_Timing="Start of year",(D38-C38)*(1+DD_Cautious),D38*(1+DD_Cautious)-C38),0))</f>
        <v/>
      </c>
      <c r="E39" s="79" t="str">
        <f aca="false">IF(Need_1&lt;&gt;"","",IF(Withdrawal_Timing="Start of year",IF(D39&gt;=C39,1,0),IF(D39*(1+DD_Cautious)&gt;=C39,1,0)))</f>
        <v/>
      </c>
      <c r="F39" s="80" t="str">
        <f aca="false">IF(Need_1&lt;&gt;"","",IF(G38=1,IF(Withdrawal_Timing="Start of year",(F38-C38)*(1+DD_Balanced),F38*(1+DD_Balanced)-C38),0))</f>
        <v/>
      </c>
      <c r="G39" s="79" t="str">
        <f aca="false">IF(Need_1&lt;&gt;"","",IF(Withdrawal_Timing="Start of year",IF(F39&gt;=C39,1,0),IF(F39*(1+DD_Balanced)&gt;=C39,1,0)))</f>
        <v/>
      </c>
      <c r="H39" s="80" t="str">
        <f aca="false">IF(Need_1&lt;&gt;"","",IF(I38=1,IF(Withdrawal_Timing="Start of year",(H38-C38)*(1+DD_Growth),H38*(1+DD_Growth)-C38),0))</f>
        <v/>
      </c>
      <c r="I39" s="79" t="str">
        <f aca="false">IF(Need_1&lt;&gt;"","",IF(Withdrawal_Timing="Start of year",IF(H39&gt;=C39,1,0),IF(H39*(1+DD_Growth)&gt;=C39,1,0)))</f>
        <v/>
      </c>
    </row>
    <row r="40" customFormat="false" ht="15" hidden="false" customHeight="true" outlineLevel="0" collapsed="false">
      <c r="B40" s="79" t="n">
        <v>8</v>
      </c>
      <c r="C40" s="80" t="str">
        <f aca="false">IF(Need_1&lt;&gt;"","",C39*(1+Inflation_Choice))</f>
        <v/>
      </c>
      <c r="D40" s="80" t="str">
        <f aca="false">IF(Need_1&lt;&gt;"","",IF(E39=1,IF(Withdrawal_Timing="Start of year",(D39-C39)*(1+DD_Cautious),D39*(1+DD_Cautious)-C39),0))</f>
        <v/>
      </c>
      <c r="E40" s="79" t="str">
        <f aca="false">IF(Need_1&lt;&gt;"","",IF(Withdrawal_Timing="Start of year",IF(D40&gt;=C40,1,0),IF(D40*(1+DD_Cautious)&gt;=C40,1,0)))</f>
        <v/>
      </c>
      <c r="F40" s="80" t="str">
        <f aca="false">IF(Need_1&lt;&gt;"","",IF(G39=1,IF(Withdrawal_Timing="Start of year",(F39-C39)*(1+DD_Balanced),F39*(1+DD_Balanced)-C39),0))</f>
        <v/>
      </c>
      <c r="G40" s="79" t="str">
        <f aca="false">IF(Need_1&lt;&gt;"","",IF(Withdrawal_Timing="Start of year",IF(F40&gt;=C40,1,0),IF(F40*(1+DD_Balanced)&gt;=C40,1,0)))</f>
        <v/>
      </c>
      <c r="H40" s="80" t="str">
        <f aca="false">IF(Need_1&lt;&gt;"","",IF(I39=1,IF(Withdrawal_Timing="Start of year",(H39-C39)*(1+DD_Growth),H39*(1+DD_Growth)-C39),0))</f>
        <v/>
      </c>
      <c r="I40" s="79" t="str">
        <f aca="false">IF(Need_1&lt;&gt;"","",IF(Withdrawal_Timing="Start of year",IF(H40&gt;=C40,1,0),IF(H40*(1+DD_Growth)&gt;=C40,1,0)))</f>
        <v/>
      </c>
    </row>
    <row r="41" customFormat="false" ht="15" hidden="false" customHeight="true" outlineLevel="0" collapsed="false">
      <c r="B41" s="79" t="n">
        <v>9</v>
      </c>
      <c r="C41" s="80" t="str">
        <f aca="false">IF(Need_1&lt;&gt;"","",C40*(1+Inflation_Choice))</f>
        <v/>
      </c>
      <c r="D41" s="80" t="str">
        <f aca="false">IF(Need_1&lt;&gt;"","",IF(E40=1,IF(Withdrawal_Timing="Start of year",(D40-C40)*(1+DD_Cautious),D40*(1+DD_Cautious)-C40),0))</f>
        <v/>
      </c>
      <c r="E41" s="79" t="str">
        <f aca="false">IF(Need_1&lt;&gt;"","",IF(Withdrawal_Timing="Start of year",IF(D41&gt;=C41,1,0),IF(D41*(1+DD_Cautious)&gt;=C41,1,0)))</f>
        <v/>
      </c>
      <c r="F41" s="80" t="str">
        <f aca="false">IF(Need_1&lt;&gt;"","",IF(G40=1,IF(Withdrawal_Timing="Start of year",(F40-C40)*(1+DD_Balanced),F40*(1+DD_Balanced)-C40),0))</f>
        <v/>
      </c>
      <c r="G41" s="79" t="str">
        <f aca="false">IF(Need_1&lt;&gt;"","",IF(Withdrawal_Timing="Start of year",IF(F41&gt;=C41,1,0),IF(F41*(1+DD_Balanced)&gt;=C41,1,0)))</f>
        <v/>
      </c>
      <c r="H41" s="80" t="str">
        <f aca="false">IF(Need_1&lt;&gt;"","",IF(I40=1,IF(Withdrawal_Timing="Start of year",(H40-C40)*(1+DD_Growth),H40*(1+DD_Growth)-C40),0))</f>
        <v/>
      </c>
      <c r="I41" s="79" t="str">
        <f aca="false">IF(Need_1&lt;&gt;"","",IF(Withdrawal_Timing="Start of year",IF(H41&gt;=C41,1,0),IF(H41*(1+DD_Growth)&gt;=C41,1,0)))</f>
        <v/>
      </c>
    </row>
    <row r="42" customFormat="false" ht="15" hidden="false" customHeight="true" outlineLevel="0" collapsed="false">
      <c r="B42" s="79" t="n">
        <v>10</v>
      </c>
      <c r="C42" s="80" t="str">
        <f aca="false">IF(Need_1&lt;&gt;"","",C41*(1+Inflation_Choice))</f>
        <v/>
      </c>
      <c r="D42" s="80" t="str">
        <f aca="false">IF(Need_1&lt;&gt;"","",IF(E41=1,IF(Withdrawal_Timing="Start of year",(D41-C41)*(1+DD_Cautious),D41*(1+DD_Cautious)-C41),0))</f>
        <v/>
      </c>
      <c r="E42" s="79" t="str">
        <f aca="false">IF(Need_1&lt;&gt;"","",IF(Withdrawal_Timing="Start of year",IF(D42&gt;=C42,1,0),IF(D42*(1+DD_Cautious)&gt;=C42,1,0)))</f>
        <v/>
      </c>
      <c r="F42" s="80" t="str">
        <f aca="false">IF(Need_1&lt;&gt;"","",IF(G41=1,IF(Withdrawal_Timing="Start of year",(F41-C41)*(1+DD_Balanced),F41*(1+DD_Balanced)-C41),0))</f>
        <v/>
      </c>
      <c r="G42" s="79" t="str">
        <f aca="false">IF(Need_1&lt;&gt;"","",IF(Withdrawal_Timing="Start of year",IF(F42&gt;=C42,1,0),IF(F42*(1+DD_Balanced)&gt;=C42,1,0)))</f>
        <v/>
      </c>
      <c r="H42" s="80" t="str">
        <f aca="false">IF(Need_1&lt;&gt;"","",IF(I41=1,IF(Withdrawal_Timing="Start of year",(H41-C41)*(1+DD_Growth),H41*(1+DD_Growth)-C41),0))</f>
        <v/>
      </c>
      <c r="I42" s="79" t="str">
        <f aca="false">IF(Need_1&lt;&gt;"","",IF(Withdrawal_Timing="Start of year",IF(H42&gt;=C42,1,0),IF(H42*(1+DD_Growth)&gt;=C42,1,0)))</f>
        <v/>
      </c>
    </row>
    <row r="43" customFormat="false" ht="15" hidden="false" customHeight="true" outlineLevel="0" collapsed="false">
      <c r="B43" s="79" t="n">
        <v>11</v>
      </c>
      <c r="C43" s="80" t="str">
        <f aca="false">IF(Need_1&lt;&gt;"","",C42*(1+Inflation_Choice))</f>
        <v/>
      </c>
      <c r="D43" s="80" t="str">
        <f aca="false">IF(Need_1&lt;&gt;"","",IF(E42=1,IF(Withdrawal_Timing="Start of year",(D42-C42)*(1+DD_Cautious),D42*(1+DD_Cautious)-C42),0))</f>
        <v/>
      </c>
      <c r="E43" s="79" t="str">
        <f aca="false">IF(Need_1&lt;&gt;"","",IF(Withdrawal_Timing="Start of year",IF(D43&gt;=C43,1,0),IF(D43*(1+DD_Cautious)&gt;=C43,1,0)))</f>
        <v/>
      </c>
      <c r="F43" s="80" t="str">
        <f aca="false">IF(Need_1&lt;&gt;"","",IF(G42=1,IF(Withdrawal_Timing="Start of year",(F42-C42)*(1+DD_Balanced),F42*(1+DD_Balanced)-C42),0))</f>
        <v/>
      </c>
      <c r="G43" s="79" t="str">
        <f aca="false">IF(Need_1&lt;&gt;"","",IF(Withdrawal_Timing="Start of year",IF(F43&gt;=C43,1,0),IF(F43*(1+DD_Balanced)&gt;=C43,1,0)))</f>
        <v/>
      </c>
      <c r="H43" s="80" t="str">
        <f aca="false">IF(Need_1&lt;&gt;"","",IF(I42=1,IF(Withdrawal_Timing="Start of year",(H42-C42)*(1+DD_Growth),H42*(1+DD_Growth)-C42),0))</f>
        <v/>
      </c>
      <c r="I43" s="79" t="str">
        <f aca="false">IF(Need_1&lt;&gt;"","",IF(Withdrawal_Timing="Start of year",IF(H43&gt;=C43,1,0),IF(H43*(1+DD_Growth)&gt;=C43,1,0)))</f>
        <v/>
      </c>
    </row>
    <row r="44" customFormat="false" ht="15" hidden="false" customHeight="true" outlineLevel="0" collapsed="false">
      <c r="B44" s="79" t="n">
        <v>12</v>
      </c>
      <c r="C44" s="80" t="str">
        <f aca="false">IF(Need_1&lt;&gt;"","",C43*(1+Inflation_Choice))</f>
        <v/>
      </c>
      <c r="D44" s="80" t="str">
        <f aca="false">IF(Need_1&lt;&gt;"","",IF(E43=1,IF(Withdrawal_Timing="Start of year",(D43-C43)*(1+DD_Cautious),D43*(1+DD_Cautious)-C43),0))</f>
        <v/>
      </c>
      <c r="E44" s="79" t="str">
        <f aca="false">IF(Need_1&lt;&gt;"","",IF(Withdrawal_Timing="Start of year",IF(D44&gt;=C44,1,0),IF(D44*(1+DD_Cautious)&gt;=C44,1,0)))</f>
        <v/>
      </c>
      <c r="F44" s="80" t="str">
        <f aca="false">IF(Need_1&lt;&gt;"","",IF(G43=1,IF(Withdrawal_Timing="Start of year",(F43-C43)*(1+DD_Balanced),F43*(1+DD_Balanced)-C43),0))</f>
        <v/>
      </c>
      <c r="G44" s="79" t="str">
        <f aca="false">IF(Need_1&lt;&gt;"","",IF(Withdrawal_Timing="Start of year",IF(F44&gt;=C44,1,0),IF(F44*(1+DD_Balanced)&gt;=C44,1,0)))</f>
        <v/>
      </c>
      <c r="H44" s="80" t="str">
        <f aca="false">IF(Need_1&lt;&gt;"","",IF(I43=1,IF(Withdrawal_Timing="Start of year",(H43-C43)*(1+DD_Growth),H43*(1+DD_Growth)-C43),0))</f>
        <v/>
      </c>
      <c r="I44" s="79" t="str">
        <f aca="false">IF(Need_1&lt;&gt;"","",IF(Withdrawal_Timing="Start of year",IF(H44&gt;=C44,1,0),IF(H44*(1+DD_Growth)&gt;=C44,1,0)))</f>
        <v/>
      </c>
    </row>
    <row r="45" customFormat="false" ht="15" hidden="false" customHeight="true" outlineLevel="0" collapsed="false">
      <c r="B45" s="79" t="n">
        <v>13</v>
      </c>
      <c r="C45" s="80" t="str">
        <f aca="false">IF(Need_1&lt;&gt;"","",C44*(1+Inflation_Choice))</f>
        <v/>
      </c>
      <c r="D45" s="80" t="str">
        <f aca="false">IF(Need_1&lt;&gt;"","",IF(E44=1,IF(Withdrawal_Timing="Start of year",(D44-C44)*(1+DD_Cautious),D44*(1+DD_Cautious)-C44),0))</f>
        <v/>
      </c>
      <c r="E45" s="79" t="str">
        <f aca="false">IF(Need_1&lt;&gt;"","",IF(Withdrawal_Timing="Start of year",IF(D45&gt;=C45,1,0),IF(D45*(1+DD_Cautious)&gt;=C45,1,0)))</f>
        <v/>
      </c>
      <c r="F45" s="80" t="str">
        <f aca="false">IF(Need_1&lt;&gt;"","",IF(G44=1,IF(Withdrawal_Timing="Start of year",(F44-C44)*(1+DD_Balanced),F44*(1+DD_Balanced)-C44),0))</f>
        <v/>
      </c>
      <c r="G45" s="79" t="str">
        <f aca="false">IF(Need_1&lt;&gt;"","",IF(Withdrawal_Timing="Start of year",IF(F45&gt;=C45,1,0),IF(F45*(1+DD_Balanced)&gt;=C45,1,0)))</f>
        <v/>
      </c>
      <c r="H45" s="80" t="str">
        <f aca="false">IF(Need_1&lt;&gt;"","",IF(I44=1,IF(Withdrawal_Timing="Start of year",(H44-C44)*(1+DD_Growth),H44*(1+DD_Growth)-C44),0))</f>
        <v/>
      </c>
      <c r="I45" s="79" t="str">
        <f aca="false">IF(Need_1&lt;&gt;"","",IF(Withdrawal_Timing="Start of year",IF(H45&gt;=C45,1,0),IF(H45*(1+DD_Growth)&gt;=C45,1,0)))</f>
        <v/>
      </c>
    </row>
    <row r="46" customFormat="false" ht="15" hidden="false" customHeight="true" outlineLevel="0" collapsed="false">
      <c r="B46" s="79" t="n">
        <v>14</v>
      </c>
      <c r="C46" s="80" t="str">
        <f aca="false">IF(Need_1&lt;&gt;"","",C45*(1+Inflation_Choice))</f>
        <v/>
      </c>
      <c r="D46" s="80" t="str">
        <f aca="false">IF(Need_1&lt;&gt;"","",IF(E45=1,IF(Withdrawal_Timing="Start of year",(D45-C45)*(1+DD_Cautious),D45*(1+DD_Cautious)-C45),0))</f>
        <v/>
      </c>
      <c r="E46" s="79" t="str">
        <f aca="false">IF(Need_1&lt;&gt;"","",IF(Withdrawal_Timing="Start of year",IF(D46&gt;=C46,1,0),IF(D46*(1+DD_Cautious)&gt;=C46,1,0)))</f>
        <v/>
      </c>
      <c r="F46" s="80" t="str">
        <f aca="false">IF(Need_1&lt;&gt;"","",IF(G45=1,IF(Withdrawal_Timing="Start of year",(F45-C45)*(1+DD_Balanced),F45*(1+DD_Balanced)-C45),0))</f>
        <v/>
      </c>
      <c r="G46" s="79" t="str">
        <f aca="false">IF(Need_1&lt;&gt;"","",IF(Withdrawal_Timing="Start of year",IF(F46&gt;=C46,1,0),IF(F46*(1+DD_Balanced)&gt;=C46,1,0)))</f>
        <v/>
      </c>
      <c r="H46" s="80" t="str">
        <f aca="false">IF(Need_1&lt;&gt;"","",IF(I45=1,IF(Withdrawal_Timing="Start of year",(H45-C45)*(1+DD_Growth),H45*(1+DD_Growth)-C45),0))</f>
        <v/>
      </c>
      <c r="I46" s="79" t="str">
        <f aca="false">IF(Need_1&lt;&gt;"","",IF(Withdrawal_Timing="Start of year",IF(H46&gt;=C46,1,0),IF(H46*(1+DD_Growth)&gt;=C46,1,0)))</f>
        <v/>
      </c>
    </row>
    <row r="47" customFormat="false" ht="15" hidden="false" customHeight="true" outlineLevel="0" collapsed="false">
      <c r="B47" s="79" t="n">
        <v>15</v>
      </c>
      <c r="C47" s="80" t="str">
        <f aca="false">IF(Need_1&lt;&gt;"","",C46*(1+Inflation_Choice))</f>
        <v/>
      </c>
      <c r="D47" s="80" t="str">
        <f aca="false">IF(Need_1&lt;&gt;"","",IF(E46=1,IF(Withdrawal_Timing="Start of year",(D46-C46)*(1+DD_Cautious),D46*(1+DD_Cautious)-C46),0))</f>
        <v/>
      </c>
      <c r="E47" s="79" t="str">
        <f aca="false">IF(Need_1&lt;&gt;"","",IF(Withdrawal_Timing="Start of year",IF(D47&gt;=C47,1,0),IF(D47*(1+DD_Cautious)&gt;=C47,1,0)))</f>
        <v/>
      </c>
      <c r="F47" s="80" t="str">
        <f aca="false">IF(Need_1&lt;&gt;"","",IF(G46=1,IF(Withdrawal_Timing="Start of year",(F46-C46)*(1+DD_Balanced),F46*(1+DD_Balanced)-C46),0))</f>
        <v/>
      </c>
      <c r="G47" s="79" t="str">
        <f aca="false">IF(Need_1&lt;&gt;"","",IF(Withdrawal_Timing="Start of year",IF(F47&gt;=C47,1,0),IF(F47*(1+DD_Balanced)&gt;=C47,1,0)))</f>
        <v/>
      </c>
      <c r="H47" s="80" t="str">
        <f aca="false">IF(Need_1&lt;&gt;"","",IF(I46=1,IF(Withdrawal_Timing="Start of year",(H46-C46)*(1+DD_Growth),H46*(1+DD_Growth)-C46),0))</f>
        <v/>
      </c>
      <c r="I47" s="79" t="str">
        <f aca="false">IF(Need_1&lt;&gt;"","",IF(Withdrawal_Timing="Start of year",IF(H47&gt;=C47,1,0),IF(H47*(1+DD_Growth)&gt;=C47,1,0)))</f>
        <v/>
      </c>
    </row>
    <row r="48" customFormat="false" ht="15" hidden="false" customHeight="true" outlineLevel="0" collapsed="false">
      <c r="B48" s="79" t="n">
        <v>16</v>
      </c>
      <c r="C48" s="80" t="str">
        <f aca="false">IF(Need_1&lt;&gt;"","",C47*(1+Inflation_Choice))</f>
        <v/>
      </c>
      <c r="D48" s="80" t="str">
        <f aca="false">IF(Need_1&lt;&gt;"","",IF(E47=1,IF(Withdrawal_Timing="Start of year",(D47-C47)*(1+DD_Cautious),D47*(1+DD_Cautious)-C47),0))</f>
        <v/>
      </c>
      <c r="E48" s="79" t="str">
        <f aca="false">IF(Need_1&lt;&gt;"","",IF(Withdrawal_Timing="Start of year",IF(D48&gt;=C48,1,0),IF(D48*(1+DD_Cautious)&gt;=C48,1,0)))</f>
        <v/>
      </c>
      <c r="F48" s="80" t="str">
        <f aca="false">IF(Need_1&lt;&gt;"","",IF(G47=1,IF(Withdrawal_Timing="Start of year",(F47-C47)*(1+DD_Balanced),F47*(1+DD_Balanced)-C47),0))</f>
        <v/>
      </c>
      <c r="G48" s="79" t="str">
        <f aca="false">IF(Need_1&lt;&gt;"","",IF(Withdrawal_Timing="Start of year",IF(F48&gt;=C48,1,0),IF(F48*(1+DD_Balanced)&gt;=C48,1,0)))</f>
        <v/>
      </c>
      <c r="H48" s="80" t="str">
        <f aca="false">IF(Need_1&lt;&gt;"","",IF(I47=1,IF(Withdrawal_Timing="Start of year",(H47-C47)*(1+DD_Growth),H47*(1+DD_Growth)-C47),0))</f>
        <v/>
      </c>
      <c r="I48" s="79" t="str">
        <f aca="false">IF(Need_1&lt;&gt;"","",IF(Withdrawal_Timing="Start of year",IF(H48&gt;=C48,1,0),IF(H48*(1+DD_Growth)&gt;=C48,1,0)))</f>
        <v/>
      </c>
    </row>
    <row r="49" customFormat="false" ht="15" hidden="false" customHeight="true" outlineLevel="0" collapsed="false">
      <c r="B49" s="79" t="n">
        <v>17</v>
      </c>
      <c r="C49" s="80" t="str">
        <f aca="false">IF(Need_1&lt;&gt;"","",C48*(1+Inflation_Choice))</f>
        <v/>
      </c>
      <c r="D49" s="80" t="str">
        <f aca="false">IF(Need_1&lt;&gt;"","",IF(E48=1,IF(Withdrawal_Timing="Start of year",(D48-C48)*(1+DD_Cautious),D48*(1+DD_Cautious)-C48),0))</f>
        <v/>
      </c>
      <c r="E49" s="79" t="str">
        <f aca="false">IF(Need_1&lt;&gt;"","",IF(Withdrawal_Timing="Start of year",IF(D49&gt;=C49,1,0),IF(D49*(1+DD_Cautious)&gt;=C49,1,0)))</f>
        <v/>
      </c>
      <c r="F49" s="80" t="str">
        <f aca="false">IF(Need_1&lt;&gt;"","",IF(G48=1,IF(Withdrawal_Timing="Start of year",(F48-C48)*(1+DD_Balanced),F48*(1+DD_Balanced)-C48),0))</f>
        <v/>
      </c>
      <c r="G49" s="79" t="str">
        <f aca="false">IF(Need_1&lt;&gt;"","",IF(Withdrawal_Timing="Start of year",IF(F49&gt;=C49,1,0),IF(F49*(1+DD_Balanced)&gt;=C49,1,0)))</f>
        <v/>
      </c>
      <c r="H49" s="80" t="str">
        <f aca="false">IF(Need_1&lt;&gt;"","",IF(I48=1,IF(Withdrawal_Timing="Start of year",(H48-C48)*(1+DD_Growth),H48*(1+DD_Growth)-C48),0))</f>
        <v/>
      </c>
      <c r="I49" s="79" t="str">
        <f aca="false">IF(Need_1&lt;&gt;"","",IF(Withdrawal_Timing="Start of year",IF(H49&gt;=C49,1,0),IF(H49*(1+DD_Growth)&gt;=C49,1,0)))</f>
        <v/>
      </c>
    </row>
    <row r="50" customFormat="false" ht="15" hidden="false" customHeight="true" outlineLevel="0" collapsed="false">
      <c r="B50" s="79" t="n">
        <v>18</v>
      </c>
      <c r="C50" s="80" t="str">
        <f aca="false">IF(Need_1&lt;&gt;"","",C49*(1+Inflation_Choice))</f>
        <v/>
      </c>
      <c r="D50" s="80" t="str">
        <f aca="false">IF(Need_1&lt;&gt;"","",IF(E49=1,IF(Withdrawal_Timing="Start of year",(D49-C49)*(1+DD_Cautious),D49*(1+DD_Cautious)-C49),0))</f>
        <v/>
      </c>
      <c r="E50" s="79" t="str">
        <f aca="false">IF(Need_1&lt;&gt;"","",IF(Withdrawal_Timing="Start of year",IF(D50&gt;=C50,1,0),IF(D50*(1+DD_Cautious)&gt;=C50,1,0)))</f>
        <v/>
      </c>
      <c r="F50" s="80" t="str">
        <f aca="false">IF(Need_1&lt;&gt;"","",IF(G49=1,IF(Withdrawal_Timing="Start of year",(F49-C49)*(1+DD_Balanced),F49*(1+DD_Balanced)-C49),0))</f>
        <v/>
      </c>
      <c r="G50" s="79" t="str">
        <f aca="false">IF(Need_1&lt;&gt;"","",IF(Withdrawal_Timing="Start of year",IF(F50&gt;=C50,1,0),IF(F50*(1+DD_Balanced)&gt;=C50,1,0)))</f>
        <v/>
      </c>
      <c r="H50" s="80" t="str">
        <f aca="false">IF(Need_1&lt;&gt;"","",IF(I49=1,IF(Withdrawal_Timing="Start of year",(H49-C49)*(1+DD_Growth),H49*(1+DD_Growth)-C49),0))</f>
        <v/>
      </c>
      <c r="I50" s="79" t="str">
        <f aca="false">IF(Need_1&lt;&gt;"","",IF(Withdrawal_Timing="Start of year",IF(H50&gt;=C50,1,0),IF(H50*(1+DD_Growth)&gt;=C50,1,0)))</f>
        <v/>
      </c>
    </row>
    <row r="51" customFormat="false" ht="15" hidden="false" customHeight="true" outlineLevel="0" collapsed="false">
      <c r="B51" s="79" t="n">
        <v>19</v>
      </c>
      <c r="C51" s="80" t="str">
        <f aca="false">IF(Need_1&lt;&gt;"","",C50*(1+Inflation_Choice))</f>
        <v/>
      </c>
      <c r="D51" s="80" t="str">
        <f aca="false">IF(Need_1&lt;&gt;"","",IF(E50=1,IF(Withdrawal_Timing="Start of year",(D50-C50)*(1+DD_Cautious),D50*(1+DD_Cautious)-C50),0))</f>
        <v/>
      </c>
      <c r="E51" s="79" t="str">
        <f aca="false">IF(Need_1&lt;&gt;"","",IF(Withdrawal_Timing="Start of year",IF(D51&gt;=C51,1,0),IF(D51*(1+DD_Cautious)&gt;=C51,1,0)))</f>
        <v/>
      </c>
      <c r="F51" s="80" t="str">
        <f aca="false">IF(Need_1&lt;&gt;"","",IF(G50=1,IF(Withdrawal_Timing="Start of year",(F50-C50)*(1+DD_Balanced),F50*(1+DD_Balanced)-C50),0))</f>
        <v/>
      </c>
      <c r="G51" s="79" t="str">
        <f aca="false">IF(Need_1&lt;&gt;"","",IF(Withdrawal_Timing="Start of year",IF(F51&gt;=C51,1,0),IF(F51*(1+DD_Balanced)&gt;=C51,1,0)))</f>
        <v/>
      </c>
      <c r="H51" s="80" t="str">
        <f aca="false">IF(Need_1&lt;&gt;"","",IF(I50=1,IF(Withdrawal_Timing="Start of year",(H50-C50)*(1+DD_Growth),H50*(1+DD_Growth)-C50),0))</f>
        <v/>
      </c>
      <c r="I51" s="79" t="str">
        <f aca="false">IF(Need_1&lt;&gt;"","",IF(Withdrawal_Timing="Start of year",IF(H51&gt;=C51,1,0),IF(H51*(1+DD_Growth)&gt;=C51,1,0)))</f>
        <v/>
      </c>
    </row>
    <row r="52" customFormat="false" ht="15" hidden="false" customHeight="true" outlineLevel="0" collapsed="false">
      <c r="B52" s="79" t="n">
        <v>20</v>
      </c>
      <c r="C52" s="80" t="str">
        <f aca="false">IF(Need_1&lt;&gt;"","",C51*(1+Inflation_Choice))</f>
        <v/>
      </c>
      <c r="D52" s="80" t="str">
        <f aca="false">IF(Need_1&lt;&gt;"","",IF(E51=1,IF(Withdrawal_Timing="Start of year",(D51-C51)*(1+DD_Cautious),D51*(1+DD_Cautious)-C51),0))</f>
        <v/>
      </c>
      <c r="E52" s="79" t="str">
        <f aca="false">IF(Need_1&lt;&gt;"","",IF(Withdrawal_Timing="Start of year",IF(D52&gt;=C52,1,0),IF(D52*(1+DD_Cautious)&gt;=C52,1,0)))</f>
        <v/>
      </c>
      <c r="F52" s="80" t="str">
        <f aca="false">IF(Need_1&lt;&gt;"","",IF(G51=1,IF(Withdrawal_Timing="Start of year",(F51-C51)*(1+DD_Balanced),F51*(1+DD_Balanced)-C51),0))</f>
        <v/>
      </c>
      <c r="G52" s="79" t="str">
        <f aca="false">IF(Need_1&lt;&gt;"","",IF(Withdrawal_Timing="Start of year",IF(F52&gt;=C52,1,0),IF(F52*(1+DD_Balanced)&gt;=C52,1,0)))</f>
        <v/>
      </c>
      <c r="H52" s="80" t="str">
        <f aca="false">IF(Need_1&lt;&gt;"","",IF(I51=1,IF(Withdrawal_Timing="Start of year",(H51-C51)*(1+DD_Growth),H51*(1+DD_Growth)-C51),0))</f>
        <v/>
      </c>
      <c r="I52" s="79" t="str">
        <f aca="false">IF(Need_1&lt;&gt;"","",IF(Withdrawal_Timing="Start of year",IF(H52&gt;=C52,1,0),IF(H52*(1+DD_Growth)&gt;=C52,1,0)))</f>
        <v/>
      </c>
    </row>
    <row r="53" customFormat="false" ht="15" hidden="false" customHeight="true" outlineLevel="0" collapsed="false">
      <c r="B53" s="79" t="n">
        <v>21</v>
      </c>
      <c r="C53" s="80" t="str">
        <f aca="false">IF(Need_1&lt;&gt;"","",C52*(1+Inflation_Choice))</f>
        <v/>
      </c>
      <c r="D53" s="80" t="str">
        <f aca="false">IF(Need_1&lt;&gt;"","",IF(E52=1,IF(Withdrawal_Timing="Start of year",(D52-C52)*(1+DD_Cautious),D52*(1+DD_Cautious)-C52),0))</f>
        <v/>
      </c>
      <c r="E53" s="79" t="str">
        <f aca="false">IF(Need_1&lt;&gt;"","",IF(Withdrawal_Timing="Start of year",IF(D53&gt;=C53,1,0),IF(D53*(1+DD_Cautious)&gt;=C53,1,0)))</f>
        <v/>
      </c>
      <c r="F53" s="80" t="str">
        <f aca="false">IF(Need_1&lt;&gt;"","",IF(G52=1,IF(Withdrawal_Timing="Start of year",(F52-C52)*(1+DD_Balanced),F52*(1+DD_Balanced)-C52),0))</f>
        <v/>
      </c>
      <c r="G53" s="79" t="str">
        <f aca="false">IF(Need_1&lt;&gt;"","",IF(Withdrawal_Timing="Start of year",IF(F53&gt;=C53,1,0),IF(F53*(1+DD_Balanced)&gt;=C53,1,0)))</f>
        <v/>
      </c>
      <c r="H53" s="80" t="str">
        <f aca="false">IF(Need_1&lt;&gt;"","",IF(I52=1,IF(Withdrawal_Timing="Start of year",(H52-C52)*(1+DD_Growth),H52*(1+DD_Growth)-C52),0))</f>
        <v/>
      </c>
      <c r="I53" s="79" t="str">
        <f aca="false">IF(Need_1&lt;&gt;"","",IF(Withdrawal_Timing="Start of year",IF(H53&gt;=C53,1,0),IF(H53*(1+DD_Growth)&gt;=C53,1,0)))</f>
        <v/>
      </c>
    </row>
    <row r="54" customFormat="false" ht="15" hidden="false" customHeight="true" outlineLevel="0" collapsed="false">
      <c r="B54" s="79" t="n">
        <v>22</v>
      </c>
      <c r="C54" s="80" t="str">
        <f aca="false">IF(Need_1&lt;&gt;"","",C53*(1+Inflation_Choice))</f>
        <v/>
      </c>
      <c r="D54" s="80" t="str">
        <f aca="false">IF(Need_1&lt;&gt;"","",IF(E53=1,IF(Withdrawal_Timing="Start of year",(D53-C53)*(1+DD_Cautious),D53*(1+DD_Cautious)-C53),0))</f>
        <v/>
      </c>
      <c r="E54" s="79" t="str">
        <f aca="false">IF(Need_1&lt;&gt;"","",IF(Withdrawal_Timing="Start of year",IF(D54&gt;=C54,1,0),IF(D54*(1+DD_Cautious)&gt;=C54,1,0)))</f>
        <v/>
      </c>
      <c r="F54" s="80" t="str">
        <f aca="false">IF(Need_1&lt;&gt;"","",IF(G53=1,IF(Withdrawal_Timing="Start of year",(F53-C53)*(1+DD_Balanced),F53*(1+DD_Balanced)-C53),0))</f>
        <v/>
      </c>
      <c r="G54" s="79" t="str">
        <f aca="false">IF(Need_1&lt;&gt;"","",IF(Withdrawal_Timing="Start of year",IF(F54&gt;=C54,1,0),IF(F54*(1+DD_Balanced)&gt;=C54,1,0)))</f>
        <v/>
      </c>
      <c r="H54" s="80" t="str">
        <f aca="false">IF(Need_1&lt;&gt;"","",IF(I53=1,IF(Withdrawal_Timing="Start of year",(H53-C53)*(1+DD_Growth),H53*(1+DD_Growth)-C53),0))</f>
        <v/>
      </c>
      <c r="I54" s="79" t="str">
        <f aca="false">IF(Need_1&lt;&gt;"","",IF(Withdrawal_Timing="Start of year",IF(H54&gt;=C54,1,0),IF(H54*(1+DD_Growth)&gt;=C54,1,0)))</f>
        <v/>
      </c>
    </row>
    <row r="55" customFormat="false" ht="15" hidden="false" customHeight="true" outlineLevel="0" collapsed="false">
      <c r="B55" s="79" t="n">
        <v>23</v>
      </c>
      <c r="C55" s="80" t="str">
        <f aca="false">IF(Need_1&lt;&gt;"","",C54*(1+Inflation_Choice))</f>
        <v/>
      </c>
      <c r="D55" s="80" t="str">
        <f aca="false">IF(Need_1&lt;&gt;"","",IF(E54=1,IF(Withdrawal_Timing="Start of year",(D54-C54)*(1+DD_Cautious),D54*(1+DD_Cautious)-C54),0))</f>
        <v/>
      </c>
      <c r="E55" s="79" t="str">
        <f aca="false">IF(Need_1&lt;&gt;"","",IF(Withdrawal_Timing="Start of year",IF(D55&gt;=C55,1,0),IF(D55*(1+DD_Cautious)&gt;=C55,1,0)))</f>
        <v/>
      </c>
      <c r="F55" s="80" t="str">
        <f aca="false">IF(Need_1&lt;&gt;"","",IF(G54=1,IF(Withdrawal_Timing="Start of year",(F54-C54)*(1+DD_Balanced),F54*(1+DD_Balanced)-C54),0))</f>
        <v/>
      </c>
      <c r="G55" s="79" t="str">
        <f aca="false">IF(Need_1&lt;&gt;"","",IF(Withdrawal_Timing="Start of year",IF(F55&gt;=C55,1,0),IF(F55*(1+DD_Balanced)&gt;=C55,1,0)))</f>
        <v/>
      </c>
      <c r="H55" s="80" t="str">
        <f aca="false">IF(Need_1&lt;&gt;"","",IF(I54=1,IF(Withdrawal_Timing="Start of year",(H54-C54)*(1+DD_Growth),H54*(1+DD_Growth)-C54),0))</f>
        <v/>
      </c>
      <c r="I55" s="79" t="str">
        <f aca="false">IF(Need_1&lt;&gt;"","",IF(Withdrawal_Timing="Start of year",IF(H55&gt;=C55,1,0),IF(H55*(1+DD_Growth)&gt;=C55,1,0)))</f>
        <v/>
      </c>
    </row>
    <row r="56" customFormat="false" ht="15" hidden="false" customHeight="true" outlineLevel="0" collapsed="false">
      <c r="B56" s="79" t="n">
        <v>24</v>
      </c>
      <c r="C56" s="80" t="str">
        <f aca="false">IF(Need_1&lt;&gt;"","",C55*(1+Inflation_Choice))</f>
        <v/>
      </c>
      <c r="D56" s="80" t="str">
        <f aca="false">IF(Need_1&lt;&gt;"","",IF(E55=1,IF(Withdrawal_Timing="Start of year",(D55-C55)*(1+DD_Cautious),D55*(1+DD_Cautious)-C55),0))</f>
        <v/>
      </c>
      <c r="E56" s="79" t="str">
        <f aca="false">IF(Need_1&lt;&gt;"","",IF(Withdrawal_Timing="Start of year",IF(D56&gt;=C56,1,0),IF(D56*(1+DD_Cautious)&gt;=C56,1,0)))</f>
        <v/>
      </c>
      <c r="F56" s="80" t="str">
        <f aca="false">IF(Need_1&lt;&gt;"","",IF(G55=1,IF(Withdrawal_Timing="Start of year",(F55-C55)*(1+DD_Balanced),F55*(1+DD_Balanced)-C55),0))</f>
        <v/>
      </c>
      <c r="G56" s="79" t="str">
        <f aca="false">IF(Need_1&lt;&gt;"","",IF(Withdrawal_Timing="Start of year",IF(F56&gt;=C56,1,0),IF(F56*(1+DD_Balanced)&gt;=C56,1,0)))</f>
        <v/>
      </c>
      <c r="H56" s="80" t="str">
        <f aca="false">IF(Need_1&lt;&gt;"","",IF(I55=1,IF(Withdrawal_Timing="Start of year",(H55-C55)*(1+DD_Growth),H55*(1+DD_Growth)-C55),0))</f>
        <v/>
      </c>
      <c r="I56" s="79" t="str">
        <f aca="false">IF(Need_1&lt;&gt;"","",IF(Withdrawal_Timing="Start of year",IF(H56&gt;=C56,1,0),IF(H56*(1+DD_Growth)&gt;=C56,1,0)))</f>
        <v/>
      </c>
    </row>
    <row r="57" customFormat="false" ht="15" hidden="false" customHeight="true" outlineLevel="0" collapsed="false">
      <c r="B57" s="79" t="n">
        <v>25</v>
      </c>
      <c r="C57" s="80" t="str">
        <f aca="false">IF(Need_1&lt;&gt;"","",C56*(1+Inflation_Choice))</f>
        <v/>
      </c>
      <c r="D57" s="80" t="str">
        <f aca="false">IF(Need_1&lt;&gt;"","",IF(E56=1,IF(Withdrawal_Timing="Start of year",(D56-C56)*(1+DD_Cautious),D56*(1+DD_Cautious)-C56),0))</f>
        <v/>
      </c>
      <c r="E57" s="79" t="str">
        <f aca="false">IF(Need_1&lt;&gt;"","",IF(Withdrawal_Timing="Start of year",IF(D57&gt;=C57,1,0),IF(D57*(1+DD_Cautious)&gt;=C57,1,0)))</f>
        <v/>
      </c>
      <c r="F57" s="80" t="str">
        <f aca="false">IF(Need_1&lt;&gt;"","",IF(G56=1,IF(Withdrawal_Timing="Start of year",(F56-C56)*(1+DD_Balanced),F56*(1+DD_Balanced)-C56),0))</f>
        <v/>
      </c>
      <c r="G57" s="79" t="str">
        <f aca="false">IF(Need_1&lt;&gt;"","",IF(Withdrawal_Timing="Start of year",IF(F57&gt;=C57,1,0),IF(F57*(1+DD_Balanced)&gt;=C57,1,0)))</f>
        <v/>
      </c>
      <c r="H57" s="80" t="str">
        <f aca="false">IF(Need_1&lt;&gt;"","",IF(I56=1,IF(Withdrawal_Timing="Start of year",(H56-C56)*(1+DD_Growth),H56*(1+DD_Growth)-C56),0))</f>
        <v/>
      </c>
      <c r="I57" s="79" t="str">
        <f aca="false">IF(Need_1&lt;&gt;"","",IF(Withdrawal_Timing="Start of year",IF(H57&gt;=C57,1,0),IF(H57*(1+DD_Growth)&gt;=C57,1,0)))</f>
        <v/>
      </c>
    </row>
    <row r="58" customFormat="false" ht="15" hidden="false" customHeight="true" outlineLevel="0" collapsed="false">
      <c r="B58" s="79" t="n">
        <v>26</v>
      </c>
      <c r="C58" s="80" t="str">
        <f aca="false">IF(Need_1&lt;&gt;"","",C57*(1+Inflation_Choice))</f>
        <v/>
      </c>
      <c r="D58" s="80" t="str">
        <f aca="false">IF(Need_1&lt;&gt;"","",IF(E57=1,IF(Withdrawal_Timing="Start of year",(D57-C57)*(1+DD_Cautious),D57*(1+DD_Cautious)-C57),0))</f>
        <v/>
      </c>
      <c r="E58" s="79" t="str">
        <f aca="false">IF(Need_1&lt;&gt;"","",IF(Withdrawal_Timing="Start of year",IF(D58&gt;=C58,1,0),IF(D58*(1+DD_Cautious)&gt;=C58,1,0)))</f>
        <v/>
      </c>
      <c r="F58" s="80" t="str">
        <f aca="false">IF(Need_1&lt;&gt;"","",IF(G57=1,IF(Withdrawal_Timing="Start of year",(F57-C57)*(1+DD_Balanced),F57*(1+DD_Balanced)-C57),0))</f>
        <v/>
      </c>
      <c r="G58" s="79" t="str">
        <f aca="false">IF(Need_1&lt;&gt;"","",IF(Withdrawal_Timing="Start of year",IF(F58&gt;=C58,1,0),IF(F58*(1+DD_Balanced)&gt;=C58,1,0)))</f>
        <v/>
      </c>
      <c r="H58" s="80" t="str">
        <f aca="false">IF(Need_1&lt;&gt;"","",IF(I57=1,IF(Withdrawal_Timing="Start of year",(H57-C57)*(1+DD_Growth),H57*(1+DD_Growth)-C57),0))</f>
        <v/>
      </c>
      <c r="I58" s="79" t="str">
        <f aca="false">IF(Need_1&lt;&gt;"","",IF(Withdrawal_Timing="Start of year",IF(H58&gt;=C58,1,0),IF(H58*(1+DD_Growth)&gt;=C58,1,0)))</f>
        <v/>
      </c>
    </row>
    <row r="59" customFormat="false" ht="15" hidden="false" customHeight="true" outlineLevel="0" collapsed="false">
      <c r="B59" s="79" t="n">
        <v>27</v>
      </c>
      <c r="C59" s="80" t="str">
        <f aca="false">IF(Need_1&lt;&gt;"","",C58*(1+Inflation_Choice))</f>
        <v/>
      </c>
      <c r="D59" s="80" t="str">
        <f aca="false">IF(Need_1&lt;&gt;"","",IF(E58=1,IF(Withdrawal_Timing="Start of year",(D58-C58)*(1+DD_Cautious),D58*(1+DD_Cautious)-C58),0))</f>
        <v/>
      </c>
      <c r="E59" s="79" t="str">
        <f aca="false">IF(Need_1&lt;&gt;"","",IF(Withdrawal_Timing="Start of year",IF(D59&gt;=C59,1,0),IF(D59*(1+DD_Cautious)&gt;=C59,1,0)))</f>
        <v/>
      </c>
      <c r="F59" s="80" t="str">
        <f aca="false">IF(Need_1&lt;&gt;"","",IF(G58=1,IF(Withdrawal_Timing="Start of year",(F58-C58)*(1+DD_Balanced),F58*(1+DD_Balanced)-C58),0))</f>
        <v/>
      </c>
      <c r="G59" s="79" t="str">
        <f aca="false">IF(Need_1&lt;&gt;"","",IF(Withdrawal_Timing="Start of year",IF(F59&gt;=C59,1,0),IF(F59*(1+DD_Balanced)&gt;=C59,1,0)))</f>
        <v/>
      </c>
      <c r="H59" s="80" t="str">
        <f aca="false">IF(Need_1&lt;&gt;"","",IF(I58=1,IF(Withdrawal_Timing="Start of year",(H58-C58)*(1+DD_Growth),H58*(1+DD_Growth)-C58),0))</f>
        <v/>
      </c>
      <c r="I59" s="79" t="str">
        <f aca="false">IF(Need_1&lt;&gt;"","",IF(Withdrawal_Timing="Start of year",IF(H59&gt;=C59,1,0),IF(H59*(1+DD_Growth)&gt;=C59,1,0)))</f>
        <v/>
      </c>
    </row>
    <row r="60" customFormat="false" ht="15" hidden="false" customHeight="true" outlineLevel="0" collapsed="false">
      <c r="B60" s="79" t="n">
        <v>28</v>
      </c>
      <c r="C60" s="80" t="str">
        <f aca="false">IF(Need_1&lt;&gt;"","",C59*(1+Inflation_Choice))</f>
        <v/>
      </c>
      <c r="D60" s="80" t="str">
        <f aca="false">IF(Need_1&lt;&gt;"","",IF(E59=1,IF(Withdrawal_Timing="Start of year",(D59-C59)*(1+DD_Cautious),D59*(1+DD_Cautious)-C59),0))</f>
        <v/>
      </c>
      <c r="E60" s="79" t="str">
        <f aca="false">IF(Need_1&lt;&gt;"","",IF(Withdrawal_Timing="Start of year",IF(D60&gt;=C60,1,0),IF(D60*(1+DD_Cautious)&gt;=C60,1,0)))</f>
        <v/>
      </c>
      <c r="F60" s="80" t="str">
        <f aca="false">IF(Need_1&lt;&gt;"","",IF(G59=1,IF(Withdrawal_Timing="Start of year",(F59-C59)*(1+DD_Balanced),F59*(1+DD_Balanced)-C59),0))</f>
        <v/>
      </c>
      <c r="G60" s="79" t="str">
        <f aca="false">IF(Need_1&lt;&gt;"","",IF(Withdrawal_Timing="Start of year",IF(F60&gt;=C60,1,0),IF(F60*(1+DD_Balanced)&gt;=C60,1,0)))</f>
        <v/>
      </c>
      <c r="H60" s="80" t="str">
        <f aca="false">IF(Need_1&lt;&gt;"","",IF(I59=1,IF(Withdrawal_Timing="Start of year",(H59-C59)*(1+DD_Growth),H59*(1+DD_Growth)-C59),0))</f>
        <v/>
      </c>
      <c r="I60" s="79" t="str">
        <f aca="false">IF(Need_1&lt;&gt;"","",IF(Withdrawal_Timing="Start of year",IF(H60&gt;=C60,1,0),IF(H60*(1+DD_Growth)&gt;=C60,1,0)))</f>
        <v/>
      </c>
    </row>
    <row r="61" customFormat="false" ht="15" hidden="false" customHeight="true" outlineLevel="0" collapsed="false">
      <c r="B61" s="79" t="n">
        <v>29</v>
      </c>
      <c r="C61" s="80" t="str">
        <f aca="false">IF(Need_1&lt;&gt;"","",C60*(1+Inflation_Choice))</f>
        <v/>
      </c>
      <c r="D61" s="80" t="str">
        <f aca="false">IF(Need_1&lt;&gt;"","",IF(E60=1,IF(Withdrawal_Timing="Start of year",(D60-C60)*(1+DD_Cautious),D60*(1+DD_Cautious)-C60),0))</f>
        <v/>
      </c>
      <c r="E61" s="79" t="str">
        <f aca="false">IF(Need_1&lt;&gt;"","",IF(Withdrawal_Timing="Start of year",IF(D61&gt;=C61,1,0),IF(D61*(1+DD_Cautious)&gt;=C61,1,0)))</f>
        <v/>
      </c>
      <c r="F61" s="80" t="str">
        <f aca="false">IF(Need_1&lt;&gt;"","",IF(G60=1,IF(Withdrawal_Timing="Start of year",(F60-C60)*(1+DD_Balanced),F60*(1+DD_Balanced)-C60),0))</f>
        <v/>
      </c>
      <c r="G61" s="79" t="str">
        <f aca="false">IF(Need_1&lt;&gt;"","",IF(Withdrawal_Timing="Start of year",IF(F61&gt;=C61,1,0),IF(F61*(1+DD_Balanced)&gt;=C61,1,0)))</f>
        <v/>
      </c>
      <c r="H61" s="80" t="str">
        <f aca="false">IF(Need_1&lt;&gt;"","",IF(I60=1,IF(Withdrawal_Timing="Start of year",(H60-C60)*(1+DD_Growth),H60*(1+DD_Growth)-C60),0))</f>
        <v/>
      </c>
      <c r="I61" s="79" t="str">
        <f aca="false">IF(Need_1&lt;&gt;"","",IF(Withdrawal_Timing="Start of year",IF(H61&gt;=C61,1,0),IF(H61*(1+DD_Growth)&gt;=C61,1,0)))</f>
        <v/>
      </c>
    </row>
    <row r="62" customFormat="false" ht="15" hidden="false" customHeight="true" outlineLevel="0" collapsed="false">
      <c r="B62" s="79" t="n">
        <v>30</v>
      </c>
      <c r="C62" s="80" t="str">
        <f aca="false">IF(Need_1&lt;&gt;"","",C61*(1+Inflation_Choice))</f>
        <v/>
      </c>
      <c r="D62" s="80" t="str">
        <f aca="false">IF(Need_1&lt;&gt;"","",IF(E61=1,IF(Withdrawal_Timing="Start of year",(D61-C61)*(1+DD_Cautious),D61*(1+DD_Cautious)-C61),0))</f>
        <v/>
      </c>
      <c r="E62" s="79" t="str">
        <f aca="false">IF(Need_1&lt;&gt;"","",IF(Withdrawal_Timing="Start of year",IF(D62&gt;=C62,1,0),IF(D62*(1+DD_Cautious)&gt;=C62,1,0)))</f>
        <v/>
      </c>
      <c r="F62" s="80" t="str">
        <f aca="false">IF(Need_1&lt;&gt;"","",IF(G61=1,IF(Withdrawal_Timing="Start of year",(F61-C61)*(1+DD_Balanced),F61*(1+DD_Balanced)-C61),0))</f>
        <v/>
      </c>
      <c r="G62" s="79" t="str">
        <f aca="false">IF(Need_1&lt;&gt;"","",IF(Withdrawal_Timing="Start of year",IF(F62&gt;=C62,1,0),IF(F62*(1+DD_Balanced)&gt;=C62,1,0)))</f>
        <v/>
      </c>
      <c r="H62" s="80" t="str">
        <f aca="false">IF(Need_1&lt;&gt;"","",IF(I61=1,IF(Withdrawal_Timing="Start of year",(H61-C61)*(1+DD_Growth),H61*(1+DD_Growth)-C61),0))</f>
        <v/>
      </c>
      <c r="I62" s="79" t="str">
        <f aca="false">IF(Need_1&lt;&gt;"","",IF(Withdrawal_Timing="Start of year",IF(H62&gt;=C62,1,0),IF(H62*(1+DD_Growth)&gt;=C62,1,0)))</f>
        <v/>
      </c>
    </row>
    <row r="63" customFormat="false" ht="15" hidden="false" customHeight="true" outlineLevel="0" collapsed="false">
      <c r="B63" s="79" t="n">
        <v>31</v>
      </c>
      <c r="C63" s="80" t="str">
        <f aca="false">IF(Need_1&lt;&gt;"","",C62*(1+Inflation_Choice))</f>
        <v/>
      </c>
      <c r="D63" s="80" t="str">
        <f aca="false">IF(Need_1&lt;&gt;"","",IF(E62=1,IF(Withdrawal_Timing="Start of year",(D62-C62)*(1+DD_Cautious),D62*(1+DD_Cautious)-C62),0))</f>
        <v/>
      </c>
      <c r="E63" s="79" t="str">
        <f aca="false">IF(Need_1&lt;&gt;"","",IF(Withdrawal_Timing="Start of year",IF(D63&gt;=C63,1,0),IF(D63*(1+DD_Cautious)&gt;=C63,1,0)))</f>
        <v/>
      </c>
      <c r="F63" s="80" t="str">
        <f aca="false">IF(Need_1&lt;&gt;"","",IF(G62=1,IF(Withdrawal_Timing="Start of year",(F62-C62)*(1+DD_Balanced),F62*(1+DD_Balanced)-C62),0))</f>
        <v/>
      </c>
      <c r="G63" s="79" t="str">
        <f aca="false">IF(Need_1&lt;&gt;"","",IF(Withdrawal_Timing="Start of year",IF(F63&gt;=C63,1,0),IF(F63*(1+DD_Balanced)&gt;=C63,1,0)))</f>
        <v/>
      </c>
      <c r="H63" s="80" t="str">
        <f aca="false">IF(Need_1&lt;&gt;"","",IF(I62=1,IF(Withdrawal_Timing="Start of year",(H62-C62)*(1+DD_Growth),H62*(1+DD_Growth)-C62),0))</f>
        <v/>
      </c>
      <c r="I63" s="79" t="str">
        <f aca="false">IF(Need_1&lt;&gt;"","",IF(Withdrawal_Timing="Start of year",IF(H63&gt;=C63,1,0),IF(H63*(1+DD_Growth)&gt;=C63,1,0)))</f>
        <v/>
      </c>
    </row>
    <row r="64" customFormat="false" ht="15" hidden="false" customHeight="true" outlineLevel="0" collapsed="false">
      <c r="B64" s="79" t="n">
        <v>32</v>
      </c>
      <c r="C64" s="80" t="str">
        <f aca="false">IF(Need_1&lt;&gt;"","",C63*(1+Inflation_Choice))</f>
        <v/>
      </c>
      <c r="D64" s="80" t="str">
        <f aca="false">IF(Need_1&lt;&gt;"","",IF(E63=1,IF(Withdrawal_Timing="Start of year",(D63-C63)*(1+DD_Cautious),D63*(1+DD_Cautious)-C63),0))</f>
        <v/>
      </c>
      <c r="E64" s="79" t="str">
        <f aca="false">IF(Need_1&lt;&gt;"","",IF(Withdrawal_Timing="Start of year",IF(D64&gt;=C64,1,0),IF(D64*(1+DD_Cautious)&gt;=C64,1,0)))</f>
        <v/>
      </c>
      <c r="F64" s="80" t="str">
        <f aca="false">IF(Need_1&lt;&gt;"","",IF(G63=1,IF(Withdrawal_Timing="Start of year",(F63-C63)*(1+DD_Balanced),F63*(1+DD_Balanced)-C63),0))</f>
        <v/>
      </c>
      <c r="G64" s="79" t="str">
        <f aca="false">IF(Need_1&lt;&gt;"","",IF(Withdrawal_Timing="Start of year",IF(F64&gt;=C64,1,0),IF(F64*(1+DD_Balanced)&gt;=C64,1,0)))</f>
        <v/>
      </c>
      <c r="H64" s="80" t="str">
        <f aca="false">IF(Need_1&lt;&gt;"","",IF(I63=1,IF(Withdrawal_Timing="Start of year",(H63-C63)*(1+DD_Growth),H63*(1+DD_Growth)-C63),0))</f>
        <v/>
      </c>
      <c r="I64" s="79" t="str">
        <f aca="false">IF(Need_1&lt;&gt;"","",IF(Withdrawal_Timing="Start of year",IF(H64&gt;=C64,1,0),IF(H64*(1+DD_Growth)&gt;=C64,1,0)))</f>
        <v/>
      </c>
    </row>
    <row r="65" customFormat="false" ht="15" hidden="false" customHeight="true" outlineLevel="0" collapsed="false">
      <c r="B65" s="79" t="n">
        <v>33</v>
      </c>
      <c r="C65" s="80" t="str">
        <f aca="false">IF(Need_1&lt;&gt;"","",C64*(1+Inflation_Choice))</f>
        <v/>
      </c>
      <c r="D65" s="80" t="str">
        <f aca="false">IF(Need_1&lt;&gt;"","",IF(E64=1,IF(Withdrawal_Timing="Start of year",(D64-C64)*(1+DD_Cautious),D64*(1+DD_Cautious)-C64),0))</f>
        <v/>
      </c>
      <c r="E65" s="79" t="str">
        <f aca="false">IF(Need_1&lt;&gt;"","",IF(Withdrawal_Timing="Start of year",IF(D65&gt;=C65,1,0),IF(D65*(1+DD_Cautious)&gt;=C65,1,0)))</f>
        <v/>
      </c>
      <c r="F65" s="80" t="str">
        <f aca="false">IF(Need_1&lt;&gt;"","",IF(G64=1,IF(Withdrawal_Timing="Start of year",(F64-C64)*(1+DD_Balanced),F64*(1+DD_Balanced)-C64),0))</f>
        <v/>
      </c>
      <c r="G65" s="79" t="str">
        <f aca="false">IF(Need_1&lt;&gt;"","",IF(Withdrawal_Timing="Start of year",IF(F65&gt;=C65,1,0),IF(F65*(1+DD_Balanced)&gt;=C65,1,0)))</f>
        <v/>
      </c>
      <c r="H65" s="80" t="str">
        <f aca="false">IF(Need_1&lt;&gt;"","",IF(I64=1,IF(Withdrawal_Timing="Start of year",(H64-C64)*(1+DD_Growth),H64*(1+DD_Growth)-C64),0))</f>
        <v/>
      </c>
      <c r="I65" s="79" t="str">
        <f aca="false">IF(Need_1&lt;&gt;"","",IF(Withdrawal_Timing="Start of year",IF(H65&gt;=C65,1,0),IF(H65*(1+DD_Growth)&gt;=C65,1,0)))</f>
        <v/>
      </c>
    </row>
    <row r="66" customFormat="false" ht="15" hidden="false" customHeight="true" outlineLevel="0" collapsed="false">
      <c r="B66" s="79" t="n">
        <v>34</v>
      </c>
      <c r="C66" s="80" t="str">
        <f aca="false">IF(Need_1&lt;&gt;"","",C65*(1+Inflation_Choice))</f>
        <v/>
      </c>
      <c r="D66" s="80" t="str">
        <f aca="false">IF(Need_1&lt;&gt;"","",IF(E65=1,IF(Withdrawal_Timing="Start of year",(D65-C65)*(1+DD_Cautious),D65*(1+DD_Cautious)-C65),0))</f>
        <v/>
      </c>
      <c r="E66" s="79" t="str">
        <f aca="false">IF(Need_1&lt;&gt;"","",IF(Withdrawal_Timing="Start of year",IF(D66&gt;=C66,1,0),IF(D66*(1+DD_Cautious)&gt;=C66,1,0)))</f>
        <v/>
      </c>
      <c r="F66" s="80" t="str">
        <f aca="false">IF(Need_1&lt;&gt;"","",IF(G65=1,IF(Withdrawal_Timing="Start of year",(F65-C65)*(1+DD_Balanced),F65*(1+DD_Balanced)-C65),0))</f>
        <v/>
      </c>
      <c r="G66" s="79" t="str">
        <f aca="false">IF(Need_1&lt;&gt;"","",IF(Withdrawal_Timing="Start of year",IF(F66&gt;=C66,1,0),IF(F66*(1+DD_Balanced)&gt;=C66,1,0)))</f>
        <v/>
      </c>
      <c r="H66" s="80" t="str">
        <f aca="false">IF(Need_1&lt;&gt;"","",IF(I65=1,IF(Withdrawal_Timing="Start of year",(H65-C65)*(1+DD_Growth),H65*(1+DD_Growth)-C65),0))</f>
        <v/>
      </c>
      <c r="I66" s="79" t="str">
        <f aca="false">IF(Need_1&lt;&gt;"","",IF(Withdrawal_Timing="Start of year",IF(H66&gt;=C66,1,0),IF(H66*(1+DD_Growth)&gt;=C66,1,0)))</f>
        <v/>
      </c>
    </row>
    <row r="67" customFormat="false" ht="15" hidden="false" customHeight="true" outlineLevel="0" collapsed="false">
      <c r="B67" s="79" t="n">
        <v>35</v>
      </c>
      <c r="C67" s="80" t="str">
        <f aca="false">IF(Need_1&lt;&gt;"","",C66*(1+Inflation_Choice))</f>
        <v/>
      </c>
      <c r="D67" s="80" t="str">
        <f aca="false">IF(Need_1&lt;&gt;"","",IF(E66=1,IF(Withdrawal_Timing="Start of year",(D66-C66)*(1+DD_Cautious),D66*(1+DD_Cautious)-C66),0))</f>
        <v/>
      </c>
      <c r="E67" s="79" t="str">
        <f aca="false">IF(Need_1&lt;&gt;"","",IF(Withdrawal_Timing="Start of year",IF(D67&gt;=C67,1,0),IF(D67*(1+DD_Cautious)&gt;=C67,1,0)))</f>
        <v/>
      </c>
      <c r="F67" s="80" t="str">
        <f aca="false">IF(Need_1&lt;&gt;"","",IF(G66=1,IF(Withdrawal_Timing="Start of year",(F66-C66)*(1+DD_Balanced),F66*(1+DD_Balanced)-C66),0))</f>
        <v/>
      </c>
      <c r="G67" s="79" t="str">
        <f aca="false">IF(Need_1&lt;&gt;"","",IF(Withdrawal_Timing="Start of year",IF(F67&gt;=C67,1,0),IF(F67*(1+DD_Balanced)&gt;=C67,1,0)))</f>
        <v/>
      </c>
      <c r="H67" s="80" t="str">
        <f aca="false">IF(Need_1&lt;&gt;"","",IF(I66=1,IF(Withdrawal_Timing="Start of year",(H66-C66)*(1+DD_Growth),H66*(1+DD_Growth)-C66),0))</f>
        <v/>
      </c>
      <c r="I67" s="79" t="str">
        <f aca="false">IF(Need_1&lt;&gt;"","",IF(Withdrawal_Timing="Start of year",IF(H67&gt;=C67,1,0),IF(H67*(1+DD_Growth)&gt;=C67,1,0)))</f>
        <v/>
      </c>
    </row>
    <row r="68" customFormat="false" ht="15" hidden="false" customHeight="true" outlineLevel="0" collapsed="false">
      <c r="B68" s="79" t="n">
        <v>36</v>
      </c>
      <c r="C68" s="80" t="str">
        <f aca="false">IF(Need_1&lt;&gt;"","",C67*(1+Inflation_Choice))</f>
        <v/>
      </c>
      <c r="D68" s="80" t="str">
        <f aca="false">IF(Need_1&lt;&gt;"","",IF(E67=1,IF(Withdrawal_Timing="Start of year",(D67-C67)*(1+DD_Cautious),D67*(1+DD_Cautious)-C67),0))</f>
        <v/>
      </c>
      <c r="E68" s="79" t="str">
        <f aca="false">IF(Need_1&lt;&gt;"","",IF(Withdrawal_Timing="Start of year",IF(D68&gt;=C68,1,0),IF(D68*(1+DD_Cautious)&gt;=C68,1,0)))</f>
        <v/>
      </c>
      <c r="F68" s="80" t="str">
        <f aca="false">IF(Need_1&lt;&gt;"","",IF(G67=1,IF(Withdrawal_Timing="Start of year",(F67-C67)*(1+DD_Balanced),F67*(1+DD_Balanced)-C67),0))</f>
        <v/>
      </c>
      <c r="G68" s="79" t="str">
        <f aca="false">IF(Need_1&lt;&gt;"","",IF(Withdrawal_Timing="Start of year",IF(F68&gt;=C68,1,0),IF(F68*(1+DD_Balanced)&gt;=C68,1,0)))</f>
        <v/>
      </c>
      <c r="H68" s="80" t="str">
        <f aca="false">IF(Need_1&lt;&gt;"","",IF(I67=1,IF(Withdrawal_Timing="Start of year",(H67-C67)*(1+DD_Growth),H67*(1+DD_Growth)-C67),0))</f>
        <v/>
      </c>
      <c r="I68" s="79" t="str">
        <f aca="false">IF(Need_1&lt;&gt;"","",IF(Withdrawal_Timing="Start of year",IF(H68&gt;=C68,1,0),IF(H68*(1+DD_Growth)&gt;=C68,1,0)))</f>
        <v/>
      </c>
    </row>
    <row r="69" customFormat="false" ht="15" hidden="false" customHeight="true" outlineLevel="0" collapsed="false">
      <c r="B69" s="79" t="n">
        <v>37</v>
      </c>
      <c r="C69" s="80" t="str">
        <f aca="false">IF(Need_1&lt;&gt;"","",C68*(1+Inflation_Choice))</f>
        <v/>
      </c>
      <c r="D69" s="80" t="str">
        <f aca="false">IF(Need_1&lt;&gt;"","",IF(E68=1,IF(Withdrawal_Timing="Start of year",(D68-C68)*(1+DD_Cautious),D68*(1+DD_Cautious)-C68),0))</f>
        <v/>
      </c>
      <c r="E69" s="79" t="str">
        <f aca="false">IF(Need_1&lt;&gt;"","",IF(Withdrawal_Timing="Start of year",IF(D69&gt;=C69,1,0),IF(D69*(1+DD_Cautious)&gt;=C69,1,0)))</f>
        <v/>
      </c>
      <c r="F69" s="80" t="str">
        <f aca="false">IF(Need_1&lt;&gt;"","",IF(G68=1,IF(Withdrawal_Timing="Start of year",(F68-C68)*(1+DD_Balanced),F68*(1+DD_Balanced)-C68),0))</f>
        <v/>
      </c>
      <c r="G69" s="79" t="str">
        <f aca="false">IF(Need_1&lt;&gt;"","",IF(Withdrawal_Timing="Start of year",IF(F69&gt;=C69,1,0),IF(F69*(1+DD_Balanced)&gt;=C69,1,0)))</f>
        <v/>
      </c>
      <c r="H69" s="80" t="str">
        <f aca="false">IF(Need_1&lt;&gt;"","",IF(I68=1,IF(Withdrawal_Timing="Start of year",(H68-C68)*(1+DD_Growth),H68*(1+DD_Growth)-C68),0))</f>
        <v/>
      </c>
      <c r="I69" s="79" t="str">
        <f aca="false">IF(Need_1&lt;&gt;"","",IF(Withdrawal_Timing="Start of year",IF(H69&gt;=C69,1,0),IF(H69*(1+DD_Growth)&gt;=C69,1,0)))</f>
        <v/>
      </c>
    </row>
    <row r="70" customFormat="false" ht="15" hidden="false" customHeight="true" outlineLevel="0" collapsed="false">
      <c r="B70" s="79" t="n">
        <v>38</v>
      </c>
      <c r="C70" s="80" t="str">
        <f aca="false">IF(Need_1&lt;&gt;"","",C69*(1+Inflation_Choice))</f>
        <v/>
      </c>
      <c r="D70" s="80" t="str">
        <f aca="false">IF(Need_1&lt;&gt;"","",IF(E69=1,IF(Withdrawal_Timing="Start of year",(D69-C69)*(1+DD_Cautious),D69*(1+DD_Cautious)-C69),0))</f>
        <v/>
      </c>
      <c r="E70" s="79" t="str">
        <f aca="false">IF(Need_1&lt;&gt;"","",IF(Withdrawal_Timing="Start of year",IF(D70&gt;=C70,1,0),IF(D70*(1+DD_Cautious)&gt;=C70,1,0)))</f>
        <v/>
      </c>
      <c r="F70" s="80" t="str">
        <f aca="false">IF(Need_1&lt;&gt;"","",IF(G69=1,IF(Withdrawal_Timing="Start of year",(F69-C69)*(1+DD_Balanced),F69*(1+DD_Balanced)-C69),0))</f>
        <v/>
      </c>
      <c r="G70" s="79" t="str">
        <f aca="false">IF(Need_1&lt;&gt;"","",IF(Withdrawal_Timing="Start of year",IF(F70&gt;=C70,1,0),IF(F70*(1+DD_Balanced)&gt;=C70,1,0)))</f>
        <v/>
      </c>
      <c r="H70" s="80" t="str">
        <f aca="false">IF(Need_1&lt;&gt;"","",IF(I69=1,IF(Withdrawal_Timing="Start of year",(H69-C69)*(1+DD_Growth),H69*(1+DD_Growth)-C69),0))</f>
        <v/>
      </c>
      <c r="I70" s="79" t="str">
        <f aca="false">IF(Need_1&lt;&gt;"","",IF(Withdrawal_Timing="Start of year",IF(H70&gt;=C70,1,0),IF(H70*(1+DD_Growth)&gt;=C70,1,0)))</f>
        <v/>
      </c>
    </row>
    <row r="71" customFormat="false" ht="15" hidden="false" customHeight="true" outlineLevel="0" collapsed="false">
      <c r="B71" s="79" t="n">
        <v>39</v>
      </c>
      <c r="C71" s="80" t="str">
        <f aca="false">IF(Need_1&lt;&gt;"","",C70*(1+Inflation_Choice))</f>
        <v/>
      </c>
      <c r="D71" s="80" t="str">
        <f aca="false">IF(Need_1&lt;&gt;"","",IF(E70=1,IF(Withdrawal_Timing="Start of year",(D70-C70)*(1+DD_Cautious),D70*(1+DD_Cautious)-C70),0))</f>
        <v/>
      </c>
      <c r="E71" s="79" t="str">
        <f aca="false">IF(Need_1&lt;&gt;"","",IF(Withdrawal_Timing="Start of year",IF(D71&gt;=C71,1,0),IF(D71*(1+DD_Cautious)&gt;=C71,1,0)))</f>
        <v/>
      </c>
      <c r="F71" s="80" t="str">
        <f aca="false">IF(Need_1&lt;&gt;"","",IF(G70=1,IF(Withdrawal_Timing="Start of year",(F70-C70)*(1+DD_Balanced),F70*(1+DD_Balanced)-C70),0))</f>
        <v/>
      </c>
      <c r="G71" s="79" t="str">
        <f aca="false">IF(Need_1&lt;&gt;"","",IF(Withdrawal_Timing="Start of year",IF(F71&gt;=C71,1,0),IF(F71*(1+DD_Balanced)&gt;=C71,1,0)))</f>
        <v/>
      </c>
      <c r="H71" s="80" t="str">
        <f aca="false">IF(Need_1&lt;&gt;"","",IF(I70=1,IF(Withdrawal_Timing="Start of year",(H70-C70)*(1+DD_Growth),H70*(1+DD_Growth)-C70),0))</f>
        <v/>
      </c>
      <c r="I71" s="79" t="str">
        <f aca="false">IF(Need_1&lt;&gt;"","",IF(Withdrawal_Timing="Start of year",IF(H71&gt;=C71,1,0),IF(H71*(1+DD_Growth)&gt;=C71,1,0)))</f>
        <v/>
      </c>
    </row>
    <row r="72" customFormat="false" ht="15" hidden="false" customHeight="true" outlineLevel="0" collapsed="false">
      <c r="B72" s="79" t="n">
        <v>40</v>
      </c>
      <c r="C72" s="80" t="str">
        <f aca="false">IF(Need_1&lt;&gt;"","",C71*(1+Inflation_Choice))</f>
        <v/>
      </c>
      <c r="D72" s="80" t="str">
        <f aca="false">IF(Need_1&lt;&gt;"","",IF(E71=1,IF(Withdrawal_Timing="Start of year",(D71-C71)*(1+DD_Cautious),D71*(1+DD_Cautious)-C71),0))</f>
        <v/>
      </c>
      <c r="E72" s="79" t="str">
        <f aca="false">IF(Need_1&lt;&gt;"","",IF(Withdrawal_Timing="Start of year",IF(D72&gt;=C72,1,0),IF(D72*(1+DD_Cautious)&gt;=C72,1,0)))</f>
        <v/>
      </c>
      <c r="F72" s="80" t="str">
        <f aca="false">IF(Need_1&lt;&gt;"","",IF(G71=1,IF(Withdrawal_Timing="Start of year",(F71-C71)*(1+DD_Balanced),F71*(1+DD_Balanced)-C71),0))</f>
        <v/>
      </c>
      <c r="G72" s="79" t="str">
        <f aca="false">IF(Need_1&lt;&gt;"","",IF(Withdrawal_Timing="Start of year",IF(F72&gt;=C72,1,0),IF(F72*(1+DD_Balanced)&gt;=C72,1,0)))</f>
        <v/>
      </c>
      <c r="H72" s="80" t="str">
        <f aca="false">IF(Need_1&lt;&gt;"","",IF(I71=1,IF(Withdrawal_Timing="Start of year",(H71-C71)*(1+DD_Growth),H71*(1+DD_Growth)-C71),0))</f>
        <v/>
      </c>
      <c r="I72" s="79" t="str">
        <f aca="false">IF(Need_1&lt;&gt;"","",IF(Withdrawal_Timing="Start of year",IF(H72&gt;=C72,1,0),IF(H72*(1+DD_Growth)&gt;=C72,1,0)))</f>
        <v/>
      </c>
    </row>
    <row r="73" customFormat="false" ht="15" hidden="false" customHeight="true" outlineLevel="0" collapsed="false">
      <c r="B73" s="79" t="n">
        <v>41</v>
      </c>
      <c r="C73" s="80" t="str">
        <f aca="false">IF(Need_1&lt;&gt;"","",C72*(1+Inflation_Choice))</f>
        <v/>
      </c>
      <c r="D73" s="80" t="str">
        <f aca="false">IF(Need_1&lt;&gt;"","",IF(E72=1,IF(Withdrawal_Timing="Start of year",(D72-C72)*(1+DD_Cautious),D72*(1+DD_Cautious)-C72),0))</f>
        <v/>
      </c>
      <c r="E73" s="79" t="str">
        <f aca="false">IF(Need_1&lt;&gt;"","",IF(Withdrawal_Timing="Start of year",IF(D73&gt;=C73,1,0),IF(D73*(1+DD_Cautious)&gt;=C73,1,0)))</f>
        <v/>
      </c>
      <c r="F73" s="80" t="str">
        <f aca="false">IF(Need_1&lt;&gt;"","",IF(G72=1,IF(Withdrawal_Timing="Start of year",(F72-C72)*(1+DD_Balanced),F72*(1+DD_Balanced)-C72),0))</f>
        <v/>
      </c>
      <c r="G73" s="79" t="str">
        <f aca="false">IF(Need_1&lt;&gt;"","",IF(Withdrawal_Timing="Start of year",IF(F73&gt;=C73,1,0),IF(F73*(1+DD_Balanced)&gt;=C73,1,0)))</f>
        <v/>
      </c>
      <c r="H73" s="80" t="str">
        <f aca="false">IF(Need_1&lt;&gt;"","",IF(I72=1,IF(Withdrawal_Timing="Start of year",(H72-C72)*(1+DD_Growth),H72*(1+DD_Growth)-C72),0))</f>
        <v/>
      </c>
      <c r="I73" s="79" t="str">
        <f aca="false">IF(Need_1&lt;&gt;"","",IF(Withdrawal_Timing="Start of year",IF(H73&gt;=C73,1,0),IF(H73*(1+DD_Growth)&gt;=C73,1,0)))</f>
        <v/>
      </c>
    </row>
    <row r="74" customFormat="false" ht="15" hidden="false" customHeight="true" outlineLevel="0" collapsed="false">
      <c r="B74" s="79" t="n">
        <v>42</v>
      </c>
      <c r="C74" s="80" t="str">
        <f aca="false">IF(Need_1&lt;&gt;"","",C73*(1+Inflation_Choice))</f>
        <v/>
      </c>
      <c r="D74" s="80" t="str">
        <f aca="false">IF(Need_1&lt;&gt;"","",IF(E73=1,IF(Withdrawal_Timing="Start of year",(D73-C73)*(1+DD_Cautious),D73*(1+DD_Cautious)-C73),0))</f>
        <v/>
      </c>
      <c r="E74" s="79" t="str">
        <f aca="false">IF(Need_1&lt;&gt;"","",IF(Withdrawal_Timing="Start of year",IF(D74&gt;=C74,1,0),IF(D74*(1+DD_Cautious)&gt;=C74,1,0)))</f>
        <v/>
      </c>
      <c r="F74" s="80" t="str">
        <f aca="false">IF(Need_1&lt;&gt;"","",IF(G73=1,IF(Withdrawal_Timing="Start of year",(F73-C73)*(1+DD_Balanced),F73*(1+DD_Balanced)-C73),0))</f>
        <v/>
      </c>
      <c r="G74" s="79" t="str">
        <f aca="false">IF(Need_1&lt;&gt;"","",IF(Withdrawal_Timing="Start of year",IF(F74&gt;=C74,1,0),IF(F74*(1+DD_Balanced)&gt;=C74,1,0)))</f>
        <v/>
      </c>
      <c r="H74" s="80" t="str">
        <f aca="false">IF(Need_1&lt;&gt;"","",IF(I73=1,IF(Withdrawal_Timing="Start of year",(H73-C73)*(1+DD_Growth),H73*(1+DD_Growth)-C73),0))</f>
        <v/>
      </c>
      <c r="I74" s="79" t="str">
        <f aca="false">IF(Need_1&lt;&gt;"","",IF(Withdrawal_Timing="Start of year",IF(H74&gt;=C74,1,0),IF(H74*(1+DD_Growth)&gt;=C74,1,0)))</f>
        <v/>
      </c>
    </row>
    <row r="75" customFormat="false" ht="15" hidden="false" customHeight="true" outlineLevel="0" collapsed="false">
      <c r="B75" s="79" t="n">
        <v>43</v>
      </c>
      <c r="C75" s="80" t="str">
        <f aca="false">IF(Need_1&lt;&gt;"","",C74*(1+Inflation_Choice))</f>
        <v/>
      </c>
      <c r="D75" s="80" t="str">
        <f aca="false">IF(Need_1&lt;&gt;"","",IF(E74=1,IF(Withdrawal_Timing="Start of year",(D74-C74)*(1+DD_Cautious),D74*(1+DD_Cautious)-C74),0))</f>
        <v/>
      </c>
      <c r="E75" s="79" t="str">
        <f aca="false">IF(Need_1&lt;&gt;"","",IF(Withdrawal_Timing="Start of year",IF(D75&gt;=C75,1,0),IF(D75*(1+DD_Cautious)&gt;=C75,1,0)))</f>
        <v/>
      </c>
      <c r="F75" s="80" t="str">
        <f aca="false">IF(Need_1&lt;&gt;"","",IF(G74=1,IF(Withdrawal_Timing="Start of year",(F74-C74)*(1+DD_Balanced),F74*(1+DD_Balanced)-C74),0))</f>
        <v/>
      </c>
      <c r="G75" s="79" t="str">
        <f aca="false">IF(Need_1&lt;&gt;"","",IF(Withdrawal_Timing="Start of year",IF(F75&gt;=C75,1,0),IF(F75*(1+DD_Balanced)&gt;=C75,1,0)))</f>
        <v/>
      </c>
      <c r="H75" s="80" t="str">
        <f aca="false">IF(Need_1&lt;&gt;"","",IF(I74=1,IF(Withdrawal_Timing="Start of year",(H74-C74)*(1+DD_Growth),H74*(1+DD_Growth)-C74),0))</f>
        <v/>
      </c>
      <c r="I75" s="79" t="str">
        <f aca="false">IF(Need_1&lt;&gt;"","",IF(Withdrawal_Timing="Start of year",IF(H75&gt;=C75,1,0),IF(H75*(1+DD_Growth)&gt;=C75,1,0)))</f>
        <v/>
      </c>
    </row>
    <row r="76" customFormat="false" ht="15" hidden="false" customHeight="true" outlineLevel="0" collapsed="false">
      <c r="B76" s="79" t="n">
        <v>44</v>
      </c>
      <c r="C76" s="80" t="str">
        <f aca="false">IF(Need_1&lt;&gt;"","",C75*(1+Inflation_Choice))</f>
        <v/>
      </c>
      <c r="D76" s="80" t="str">
        <f aca="false">IF(Need_1&lt;&gt;"","",IF(E75=1,IF(Withdrawal_Timing="Start of year",(D75-C75)*(1+DD_Cautious),D75*(1+DD_Cautious)-C75),0))</f>
        <v/>
      </c>
      <c r="E76" s="79" t="str">
        <f aca="false">IF(Need_1&lt;&gt;"","",IF(Withdrawal_Timing="Start of year",IF(D76&gt;=C76,1,0),IF(D76*(1+DD_Cautious)&gt;=C76,1,0)))</f>
        <v/>
      </c>
      <c r="F76" s="80" t="str">
        <f aca="false">IF(Need_1&lt;&gt;"","",IF(G75=1,IF(Withdrawal_Timing="Start of year",(F75-C75)*(1+DD_Balanced),F75*(1+DD_Balanced)-C75),0))</f>
        <v/>
      </c>
      <c r="G76" s="79" t="str">
        <f aca="false">IF(Need_1&lt;&gt;"","",IF(Withdrawal_Timing="Start of year",IF(F76&gt;=C76,1,0),IF(F76*(1+DD_Balanced)&gt;=C76,1,0)))</f>
        <v/>
      </c>
      <c r="H76" s="80" t="str">
        <f aca="false">IF(Need_1&lt;&gt;"","",IF(I75=1,IF(Withdrawal_Timing="Start of year",(H75-C75)*(1+DD_Growth),H75*(1+DD_Growth)-C75),0))</f>
        <v/>
      </c>
      <c r="I76" s="79" t="str">
        <f aca="false">IF(Need_1&lt;&gt;"","",IF(Withdrawal_Timing="Start of year",IF(H76&gt;=C76,1,0),IF(H76*(1+DD_Growth)&gt;=C76,1,0)))</f>
        <v/>
      </c>
    </row>
    <row r="77" customFormat="false" ht="15" hidden="false" customHeight="true" outlineLevel="0" collapsed="false">
      <c r="B77" s="79" t="n">
        <v>45</v>
      </c>
      <c r="C77" s="80" t="str">
        <f aca="false">IF(Need_1&lt;&gt;"","",C76*(1+Inflation_Choice))</f>
        <v/>
      </c>
      <c r="D77" s="80" t="str">
        <f aca="false">IF(Need_1&lt;&gt;"","",IF(E76=1,IF(Withdrawal_Timing="Start of year",(D76-C76)*(1+DD_Cautious),D76*(1+DD_Cautious)-C76),0))</f>
        <v/>
      </c>
      <c r="E77" s="79" t="str">
        <f aca="false">IF(Need_1&lt;&gt;"","",IF(Withdrawal_Timing="Start of year",IF(D77&gt;=C77,1,0),IF(D77*(1+DD_Cautious)&gt;=C77,1,0)))</f>
        <v/>
      </c>
      <c r="F77" s="80" t="str">
        <f aca="false">IF(Need_1&lt;&gt;"","",IF(G76=1,IF(Withdrawal_Timing="Start of year",(F76-C76)*(1+DD_Balanced),F76*(1+DD_Balanced)-C76),0))</f>
        <v/>
      </c>
      <c r="G77" s="79" t="str">
        <f aca="false">IF(Need_1&lt;&gt;"","",IF(Withdrawal_Timing="Start of year",IF(F77&gt;=C77,1,0),IF(F77*(1+DD_Balanced)&gt;=C77,1,0)))</f>
        <v/>
      </c>
      <c r="H77" s="80" t="str">
        <f aca="false">IF(Need_1&lt;&gt;"","",IF(I76=1,IF(Withdrawal_Timing="Start of year",(H76-C76)*(1+DD_Growth),H76*(1+DD_Growth)-C76),0))</f>
        <v/>
      </c>
      <c r="I77" s="79" t="str">
        <f aca="false">IF(Need_1&lt;&gt;"","",IF(Withdrawal_Timing="Start of year",IF(H77&gt;=C77,1,0),IF(H77*(1+DD_Growth)&gt;=C77,1,0)))</f>
        <v/>
      </c>
    </row>
    <row r="78" customFormat="false" ht="15" hidden="false" customHeight="true" outlineLevel="0" collapsed="false">
      <c r="B78" s="79" t="n">
        <v>46</v>
      </c>
      <c r="C78" s="80" t="str">
        <f aca="false">IF(Need_1&lt;&gt;"","",C77*(1+Inflation_Choice))</f>
        <v/>
      </c>
      <c r="D78" s="80" t="str">
        <f aca="false">IF(Need_1&lt;&gt;"","",IF(E77=1,IF(Withdrawal_Timing="Start of year",(D77-C77)*(1+DD_Cautious),D77*(1+DD_Cautious)-C77),0))</f>
        <v/>
      </c>
      <c r="E78" s="79" t="str">
        <f aca="false">IF(Need_1&lt;&gt;"","",IF(Withdrawal_Timing="Start of year",IF(D78&gt;=C78,1,0),IF(D78*(1+DD_Cautious)&gt;=C78,1,0)))</f>
        <v/>
      </c>
      <c r="F78" s="80" t="str">
        <f aca="false">IF(Need_1&lt;&gt;"","",IF(G77=1,IF(Withdrawal_Timing="Start of year",(F77-C77)*(1+DD_Balanced),F77*(1+DD_Balanced)-C77),0))</f>
        <v/>
      </c>
      <c r="G78" s="79" t="str">
        <f aca="false">IF(Need_1&lt;&gt;"","",IF(Withdrawal_Timing="Start of year",IF(F78&gt;=C78,1,0),IF(F78*(1+DD_Balanced)&gt;=C78,1,0)))</f>
        <v/>
      </c>
      <c r="H78" s="80" t="str">
        <f aca="false">IF(Need_1&lt;&gt;"","",IF(I77=1,IF(Withdrawal_Timing="Start of year",(H77-C77)*(1+DD_Growth),H77*(1+DD_Growth)-C77),0))</f>
        <v/>
      </c>
      <c r="I78" s="79" t="str">
        <f aca="false">IF(Need_1&lt;&gt;"","",IF(Withdrawal_Timing="Start of year",IF(H78&gt;=C78,1,0),IF(H78*(1+DD_Growth)&gt;=C78,1,0)))</f>
        <v/>
      </c>
    </row>
    <row r="79" customFormat="false" ht="15" hidden="false" customHeight="true" outlineLevel="0" collapsed="false">
      <c r="B79" s="79" t="n">
        <v>47</v>
      </c>
      <c r="C79" s="80" t="str">
        <f aca="false">IF(Need_1&lt;&gt;"","",C78*(1+Inflation_Choice))</f>
        <v/>
      </c>
      <c r="D79" s="80" t="str">
        <f aca="false">IF(Need_1&lt;&gt;"","",IF(E78=1,IF(Withdrawal_Timing="Start of year",(D78-C78)*(1+DD_Cautious),D78*(1+DD_Cautious)-C78),0))</f>
        <v/>
      </c>
      <c r="E79" s="79" t="str">
        <f aca="false">IF(Need_1&lt;&gt;"","",IF(Withdrawal_Timing="Start of year",IF(D79&gt;=C79,1,0),IF(D79*(1+DD_Cautious)&gt;=C79,1,0)))</f>
        <v/>
      </c>
      <c r="F79" s="80" t="str">
        <f aca="false">IF(Need_1&lt;&gt;"","",IF(G78=1,IF(Withdrawal_Timing="Start of year",(F78-C78)*(1+DD_Balanced),F78*(1+DD_Balanced)-C78),0))</f>
        <v/>
      </c>
      <c r="G79" s="79" t="str">
        <f aca="false">IF(Need_1&lt;&gt;"","",IF(Withdrawal_Timing="Start of year",IF(F79&gt;=C79,1,0),IF(F79*(1+DD_Balanced)&gt;=C79,1,0)))</f>
        <v/>
      </c>
      <c r="H79" s="80" t="str">
        <f aca="false">IF(Need_1&lt;&gt;"","",IF(I78=1,IF(Withdrawal_Timing="Start of year",(H78-C78)*(1+DD_Growth),H78*(1+DD_Growth)-C78),0))</f>
        <v/>
      </c>
      <c r="I79" s="79" t="str">
        <f aca="false">IF(Need_1&lt;&gt;"","",IF(Withdrawal_Timing="Start of year",IF(H79&gt;=C79,1,0),IF(H79*(1+DD_Growth)&gt;=C79,1,0)))</f>
        <v/>
      </c>
    </row>
    <row r="80" customFormat="false" ht="15" hidden="false" customHeight="true" outlineLevel="0" collapsed="false">
      <c r="B80" s="79" t="n">
        <v>48</v>
      </c>
      <c r="C80" s="80" t="str">
        <f aca="false">IF(Need_1&lt;&gt;"","",C79*(1+Inflation_Choice))</f>
        <v/>
      </c>
      <c r="D80" s="80" t="str">
        <f aca="false">IF(Need_1&lt;&gt;"","",IF(E79=1,IF(Withdrawal_Timing="Start of year",(D79-C79)*(1+DD_Cautious),D79*(1+DD_Cautious)-C79),0))</f>
        <v/>
      </c>
      <c r="E80" s="79" t="str">
        <f aca="false">IF(Need_1&lt;&gt;"","",IF(Withdrawal_Timing="Start of year",IF(D80&gt;=C80,1,0),IF(D80*(1+DD_Cautious)&gt;=C80,1,0)))</f>
        <v/>
      </c>
      <c r="F80" s="80" t="str">
        <f aca="false">IF(Need_1&lt;&gt;"","",IF(G79=1,IF(Withdrawal_Timing="Start of year",(F79-C79)*(1+DD_Balanced),F79*(1+DD_Balanced)-C79),0))</f>
        <v/>
      </c>
      <c r="G80" s="79" t="str">
        <f aca="false">IF(Need_1&lt;&gt;"","",IF(Withdrawal_Timing="Start of year",IF(F80&gt;=C80,1,0),IF(F80*(1+DD_Balanced)&gt;=C80,1,0)))</f>
        <v/>
      </c>
      <c r="H80" s="80" t="str">
        <f aca="false">IF(Need_1&lt;&gt;"","",IF(I79=1,IF(Withdrawal_Timing="Start of year",(H79-C79)*(1+DD_Growth),H79*(1+DD_Growth)-C79),0))</f>
        <v/>
      </c>
      <c r="I80" s="79" t="str">
        <f aca="false">IF(Need_1&lt;&gt;"","",IF(Withdrawal_Timing="Start of year",IF(H80&gt;=C80,1,0),IF(H80*(1+DD_Growth)&gt;=C80,1,0)))</f>
        <v/>
      </c>
    </row>
    <row r="81" customFormat="false" ht="15" hidden="false" customHeight="true" outlineLevel="0" collapsed="false">
      <c r="B81" s="79" t="n">
        <v>49</v>
      </c>
      <c r="C81" s="80" t="str">
        <f aca="false">IF(Need_1&lt;&gt;"","",C80*(1+Inflation_Choice))</f>
        <v/>
      </c>
      <c r="D81" s="80" t="str">
        <f aca="false">IF(Need_1&lt;&gt;"","",IF(E80=1,IF(Withdrawal_Timing="Start of year",(D80-C80)*(1+DD_Cautious),D80*(1+DD_Cautious)-C80),0))</f>
        <v/>
      </c>
      <c r="E81" s="79" t="str">
        <f aca="false">IF(Need_1&lt;&gt;"","",IF(Withdrawal_Timing="Start of year",IF(D81&gt;=C81,1,0),IF(D81*(1+DD_Cautious)&gt;=C81,1,0)))</f>
        <v/>
      </c>
      <c r="F81" s="80" t="str">
        <f aca="false">IF(Need_1&lt;&gt;"","",IF(G80=1,IF(Withdrawal_Timing="Start of year",(F80-C80)*(1+DD_Balanced),F80*(1+DD_Balanced)-C80),0))</f>
        <v/>
      </c>
      <c r="G81" s="79" t="str">
        <f aca="false">IF(Need_1&lt;&gt;"","",IF(Withdrawal_Timing="Start of year",IF(F81&gt;=C81,1,0),IF(F81*(1+DD_Balanced)&gt;=C81,1,0)))</f>
        <v/>
      </c>
      <c r="H81" s="80" t="str">
        <f aca="false">IF(Need_1&lt;&gt;"","",IF(I80=1,IF(Withdrawal_Timing="Start of year",(H80-C80)*(1+DD_Growth),H80*(1+DD_Growth)-C80),0))</f>
        <v/>
      </c>
      <c r="I81" s="79" t="str">
        <f aca="false">IF(Need_1&lt;&gt;"","",IF(Withdrawal_Timing="Start of year",IF(H81&gt;=C81,1,0),IF(H81*(1+DD_Growth)&gt;=C81,1,0)))</f>
        <v/>
      </c>
    </row>
    <row r="82" customFormat="false" ht="15" hidden="false" customHeight="true" outlineLevel="0" collapsed="false">
      <c r="B82" s="79" t="n">
        <v>50</v>
      </c>
      <c r="C82" s="80" t="str">
        <f aca="false">IF(Need_1&lt;&gt;"","",C81*(1+Inflation_Choice))</f>
        <v/>
      </c>
      <c r="D82" s="80" t="str">
        <f aca="false">IF(Need_1&lt;&gt;"","",IF(E81=1,IF(Withdrawal_Timing="Start of year",(D81-C81)*(1+DD_Cautious),D81*(1+DD_Cautious)-C81),0))</f>
        <v/>
      </c>
      <c r="E82" s="79" t="str">
        <f aca="false">IF(Need_1&lt;&gt;"","",IF(Withdrawal_Timing="Start of year",IF(D82&gt;=C82,1,0),IF(D82*(1+DD_Cautious)&gt;=C82,1,0)))</f>
        <v/>
      </c>
      <c r="F82" s="80" t="str">
        <f aca="false">IF(Need_1&lt;&gt;"","",IF(G81=1,IF(Withdrawal_Timing="Start of year",(F81-C81)*(1+DD_Balanced),F81*(1+DD_Balanced)-C81),0))</f>
        <v/>
      </c>
      <c r="G82" s="79" t="str">
        <f aca="false">IF(Need_1&lt;&gt;"","",IF(Withdrawal_Timing="Start of year",IF(F82&gt;=C82,1,0),IF(F82*(1+DD_Balanced)&gt;=C82,1,0)))</f>
        <v/>
      </c>
      <c r="H82" s="80" t="str">
        <f aca="false">IF(Need_1&lt;&gt;"","",IF(I81=1,IF(Withdrawal_Timing="Start of year",(H81-C81)*(1+DD_Growth),H81*(1+DD_Growth)-C81),0))</f>
        <v/>
      </c>
      <c r="I82" s="79" t="str">
        <f aca="false">IF(Need_1&lt;&gt;"","",IF(Withdrawal_Timing="Start of year",IF(H82&gt;=C82,1,0),IF(H82*(1+DD_Growth)&gt;=C82,1,0)))</f>
        <v/>
      </c>
    </row>
    <row r="83" customFormat="false" ht="15" hidden="false" customHeight="true" outlineLevel="0" collapsed="false">
      <c r="B83" s="79" t="n">
        <v>51</v>
      </c>
      <c r="C83" s="80" t="str">
        <f aca="false">IF(Need_1&lt;&gt;"","",C82*(1+Inflation_Choice))</f>
        <v/>
      </c>
      <c r="D83" s="80" t="str">
        <f aca="false">IF(Need_1&lt;&gt;"","",IF(E82=1,IF(Withdrawal_Timing="Start of year",(D82-C82)*(1+DD_Cautious),D82*(1+DD_Cautious)-C82),0))</f>
        <v/>
      </c>
      <c r="E83" s="79" t="str">
        <f aca="false">IF(Need_1&lt;&gt;"","",IF(Withdrawal_Timing="Start of year",IF(D83&gt;=C83,1,0),IF(D83*(1+DD_Cautious)&gt;=C83,1,0)))</f>
        <v/>
      </c>
      <c r="F83" s="80" t="str">
        <f aca="false">IF(Need_1&lt;&gt;"","",IF(G82=1,IF(Withdrawal_Timing="Start of year",(F82-C82)*(1+DD_Balanced),F82*(1+DD_Balanced)-C82),0))</f>
        <v/>
      </c>
      <c r="G83" s="79" t="str">
        <f aca="false">IF(Need_1&lt;&gt;"","",IF(Withdrawal_Timing="Start of year",IF(F83&gt;=C83,1,0),IF(F83*(1+DD_Balanced)&gt;=C83,1,0)))</f>
        <v/>
      </c>
      <c r="H83" s="80" t="str">
        <f aca="false">IF(Need_1&lt;&gt;"","",IF(I82=1,IF(Withdrawal_Timing="Start of year",(H82-C82)*(1+DD_Growth),H82*(1+DD_Growth)-C82),0))</f>
        <v/>
      </c>
      <c r="I83" s="79" t="str">
        <f aca="false">IF(Need_1&lt;&gt;"","",IF(Withdrawal_Timing="Start of year",IF(H83&gt;=C83,1,0),IF(H83*(1+DD_Growth)&gt;=C83,1,0)))</f>
        <v/>
      </c>
    </row>
    <row r="84" customFormat="false" ht="15" hidden="false" customHeight="true" outlineLevel="0" collapsed="false">
      <c r="B84" s="79" t="n">
        <v>52</v>
      </c>
      <c r="C84" s="80" t="str">
        <f aca="false">IF(Need_1&lt;&gt;"","",C83*(1+Inflation_Choice))</f>
        <v/>
      </c>
      <c r="D84" s="80" t="str">
        <f aca="false">IF(Need_1&lt;&gt;"","",IF(E83=1,IF(Withdrawal_Timing="Start of year",(D83-C83)*(1+DD_Cautious),D83*(1+DD_Cautious)-C83),0))</f>
        <v/>
      </c>
      <c r="E84" s="79" t="str">
        <f aca="false">IF(Need_1&lt;&gt;"","",IF(Withdrawal_Timing="Start of year",IF(D84&gt;=C84,1,0),IF(D84*(1+DD_Cautious)&gt;=C84,1,0)))</f>
        <v/>
      </c>
      <c r="F84" s="80" t="str">
        <f aca="false">IF(Need_1&lt;&gt;"","",IF(G83=1,IF(Withdrawal_Timing="Start of year",(F83-C83)*(1+DD_Balanced),F83*(1+DD_Balanced)-C83),0))</f>
        <v/>
      </c>
      <c r="G84" s="79" t="str">
        <f aca="false">IF(Need_1&lt;&gt;"","",IF(Withdrawal_Timing="Start of year",IF(F84&gt;=C84,1,0),IF(F84*(1+DD_Balanced)&gt;=C84,1,0)))</f>
        <v/>
      </c>
      <c r="H84" s="80" t="str">
        <f aca="false">IF(Need_1&lt;&gt;"","",IF(I83=1,IF(Withdrawal_Timing="Start of year",(H83-C83)*(1+DD_Growth),H83*(1+DD_Growth)-C83),0))</f>
        <v/>
      </c>
      <c r="I84" s="79" t="str">
        <f aca="false">IF(Need_1&lt;&gt;"","",IF(Withdrawal_Timing="Start of year",IF(H84&gt;=C84,1,0),IF(H84*(1+DD_Growth)&gt;=C84,1,0)))</f>
        <v/>
      </c>
    </row>
    <row r="85" customFormat="false" ht="15" hidden="false" customHeight="true" outlineLevel="0" collapsed="false">
      <c r="B85" s="79" t="n">
        <v>53</v>
      </c>
      <c r="C85" s="80" t="str">
        <f aca="false">IF(Need_1&lt;&gt;"","",C84*(1+Inflation_Choice))</f>
        <v/>
      </c>
      <c r="D85" s="80" t="str">
        <f aca="false">IF(Need_1&lt;&gt;"","",IF(E84=1,IF(Withdrawal_Timing="Start of year",(D84-C84)*(1+DD_Cautious),D84*(1+DD_Cautious)-C84),0))</f>
        <v/>
      </c>
      <c r="E85" s="79" t="str">
        <f aca="false">IF(Need_1&lt;&gt;"","",IF(Withdrawal_Timing="Start of year",IF(D85&gt;=C85,1,0),IF(D85*(1+DD_Cautious)&gt;=C85,1,0)))</f>
        <v/>
      </c>
      <c r="F85" s="80" t="str">
        <f aca="false">IF(Need_1&lt;&gt;"","",IF(G84=1,IF(Withdrawal_Timing="Start of year",(F84-C84)*(1+DD_Balanced),F84*(1+DD_Balanced)-C84),0))</f>
        <v/>
      </c>
      <c r="G85" s="79" t="str">
        <f aca="false">IF(Need_1&lt;&gt;"","",IF(Withdrawal_Timing="Start of year",IF(F85&gt;=C85,1,0),IF(F85*(1+DD_Balanced)&gt;=C85,1,0)))</f>
        <v/>
      </c>
      <c r="H85" s="80" t="str">
        <f aca="false">IF(Need_1&lt;&gt;"","",IF(I84=1,IF(Withdrawal_Timing="Start of year",(H84-C84)*(1+DD_Growth),H84*(1+DD_Growth)-C84),0))</f>
        <v/>
      </c>
      <c r="I85" s="79" t="str">
        <f aca="false">IF(Need_1&lt;&gt;"","",IF(Withdrawal_Timing="Start of year",IF(H85&gt;=C85,1,0),IF(H85*(1+DD_Growth)&gt;=C85,1,0)))</f>
        <v/>
      </c>
    </row>
    <row r="86" customFormat="false" ht="15" hidden="false" customHeight="true" outlineLevel="0" collapsed="false">
      <c r="B86" s="79" t="n">
        <v>54</v>
      </c>
      <c r="C86" s="80" t="str">
        <f aca="false">IF(Need_1&lt;&gt;"","",C85*(1+Inflation_Choice))</f>
        <v/>
      </c>
      <c r="D86" s="80" t="str">
        <f aca="false">IF(Need_1&lt;&gt;"","",IF(E85=1,IF(Withdrawal_Timing="Start of year",(D85-C85)*(1+DD_Cautious),D85*(1+DD_Cautious)-C85),0))</f>
        <v/>
      </c>
      <c r="E86" s="79" t="str">
        <f aca="false">IF(Need_1&lt;&gt;"","",IF(Withdrawal_Timing="Start of year",IF(D86&gt;=C86,1,0),IF(D86*(1+DD_Cautious)&gt;=C86,1,0)))</f>
        <v/>
      </c>
      <c r="F86" s="80" t="str">
        <f aca="false">IF(Need_1&lt;&gt;"","",IF(G85=1,IF(Withdrawal_Timing="Start of year",(F85-C85)*(1+DD_Balanced),F85*(1+DD_Balanced)-C85),0))</f>
        <v/>
      </c>
      <c r="G86" s="79" t="str">
        <f aca="false">IF(Need_1&lt;&gt;"","",IF(Withdrawal_Timing="Start of year",IF(F86&gt;=C86,1,0),IF(F86*(1+DD_Balanced)&gt;=C86,1,0)))</f>
        <v/>
      </c>
      <c r="H86" s="80" t="str">
        <f aca="false">IF(Need_1&lt;&gt;"","",IF(I85=1,IF(Withdrawal_Timing="Start of year",(H85-C85)*(1+DD_Growth),H85*(1+DD_Growth)-C85),0))</f>
        <v/>
      </c>
      <c r="I86" s="79" t="str">
        <f aca="false">IF(Need_1&lt;&gt;"","",IF(Withdrawal_Timing="Start of year",IF(H86&gt;=C86,1,0),IF(H86*(1+DD_Growth)&gt;=C86,1,0)))</f>
        <v/>
      </c>
    </row>
    <row r="87" customFormat="false" ht="15" hidden="false" customHeight="true" outlineLevel="0" collapsed="false">
      <c r="B87" s="79" t="n">
        <v>55</v>
      </c>
      <c r="C87" s="80" t="str">
        <f aca="false">IF(Need_1&lt;&gt;"","",C86*(1+Inflation_Choice))</f>
        <v/>
      </c>
      <c r="D87" s="80" t="str">
        <f aca="false">IF(Need_1&lt;&gt;"","",IF(E86=1,IF(Withdrawal_Timing="Start of year",(D86-C86)*(1+DD_Cautious),D86*(1+DD_Cautious)-C86),0))</f>
        <v/>
      </c>
      <c r="E87" s="79" t="str">
        <f aca="false">IF(Need_1&lt;&gt;"","",IF(Withdrawal_Timing="Start of year",IF(D87&gt;=C87,1,0),IF(D87*(1+DD_Cautious)&gt;=C87,1,0)))</f>
        <v/>
      </c>
      <c r="F87" s="80" t="str">
        <f aca="false">IF(Need_1&lt;&gt;"","",IF(G86=1,IF(Withdrawal_Timing="Start of year",(F86-C86)*(1+DD_Balanced),F86*(1+DD_Balanced)-C86),0))</f>
        <v/>
      </c>
      <c r="G87" s="79" t="str">
        <f aca="false">IF(Need_1&lt;&gt;"","",IF(Withdrawal_Timing="Start of year",IF(F87&gt;=C87,1,0),IF(F87*(1+DD_Balanced)&gt;=C87,1,0)))</f>
        <v/>
      </c>
      <c r="H87" s="80" t="str">
        <f aca="false">IF(Need_1&lt;&gt;"","",IF(I86=1,IF(Withdrawal_Timing="Start of year",(H86-C86)*(1+DD_Growth),H86*(1+DD_Growth)-C86),0))</f>
        <v/>
      </c>
      <c r="I87" s="79" t="str">
        <f aca="false">IF(Need_1&lt;&gt;"","",IF(Withdrawal_Timing="Start of year",IF(H87&gt;=C87,1,0),IF(H87*(1+DD_Growth)&gt;=C87,1,0)))</f>
        <v/>
      </c>
    </row>
    <row r="88" customFormat="false" ht="15" hidden="false" customHeight="true" outlineLevel="0" collapsed="false">
      <c r="B88" s="79" t="n">
        <v>56</v>
      </c>
      <c r="C88" s="80" t="str">
        <f aca="false">IF(Need_1&lt;&gt;"","",C87*(1+Inflation_Choice))</f>
        <v/>
      </c>
      <c r="D88" s="80" t="str">
        <f aca="false">IF(Need_1&lt;&gt;"","",IF(E87=1,IF(Withdrawal_Timing="Start of year",(D87-C87)*(1+DD_Cautious),D87*(1+DD_Cautious)-C87),0))</f>
        <v/>
      </c>
      <c r="E88" s="79" t="str">
        <f aca="false">IF(Need_1&lt;&gt;"","",IF(Withdrawal_Timing="Start of year",IF(D88&gt;=C88,1,0),IF(D88*(1+DD_Cautious)&gt;=C88,1,0)))</f>
        <v/>
      </c>
      <c r="F88" s="80" t="str">
        <f aca="false">IF(Need_1&lt;&gt;"","",IF(G87=1,IF(Withdrawal_Timing="Start of year",(F87-C87)*(1+DD_Balanced),F87*(1+DD_Balanced)-C87),0))</f>
        <v/>
      </c>
      <c r="G88" s="79" t="str">
        <f aca="false">IF(Need_1&lt;&gt;"","",IF(Withdrawal_Timing="Start of year",IF(F88&gt;=C88,1,0),IF(F88*(1+DD_Balanced)&gt;=C88,1,0)))</f>
        <v/>
      </c>
      <c r="H88" s="80" t="str">
        <f aca="false">IF(Need_1&lt;&gt;"","",IF(I87=1,IF(Withdrawal_Timing="Start of year",(H87-C87)*(1+DD_Growth),H87*(1+DD_Growth)-C87),0))</f>
        <v/>
      </c>
      <c r="I88" s="79" t="str">
        <f aca="false">IF(Need_1&lt;&gt;"","",IF(Withdrawal_Timing="Start of year",IF(H88&gt;=C88,1,0),IF(H88*(1+DD_Growth)&gt;=C88,1,0)))</f>
        <v/>
      </c>
    </row>
    <row r="89" customFormat="false" ht="15" hidden="false" customHeight="true" outlineLevel="0" collapsed="false">
      <c r="B89" s="79" t="n">
        <v>57</v>
      </c>
      <c r="C89" s="80" t="str">
        <f aca="false">IF(Need_1&lt;&gt;"","",C88*(1+Inflation_Choice))</f>
        <v/>
      </c>
      <c r="D89" s="80" t="str">
        <f aca="false">IF(Need_1&lt;&gt;"","",IF(E88=1,IF(Withdrawal_Timing="Start of year",(D88-C88)*(1+DD_Cautious),D88*(1+DD_Cautious)-C88),0))</f>
        <v/>
      </c>
      <c r="E89" s="79" t="str">
        <f aca="false">IF(Need_1&lt;&gt;"","",IF(Withdrawal_Timing="Start of year",IF(D89&gt;=C89,1,0),IF(D89*(1+DD_Cautious)&gt;=C89,1,0)))</f>
        <v/>
      </c>
      <c r="F89" s="80" t="str">
        <f aca="false">IF(Need_1&lt;&gt;"","",IF(G88=1,IF(Withdrawal_Timing="Start of year",(F88-C88)*(1+DD_Balanced),F88*(1+DD_Balanced)-C88),0))</f>
        <v/>
      </c>
      <c r="G89" s="79" t="str">
        <f aca="false">IF(Need_1&lt;&gt;"","",IF(Withdrawal_Timing="Start of year",IF(F89&gt;=C89,1,0),IF(F89*(1+DD_Balanced)&gt;=C89,1,0)))</f>
        <v/>
      </c>
      <c r="H89" s="80" t="str">
        <f aca="false">IF(Need_1&lt;&gt;"","",IF(I88=1,IF(Withdrawal_Timing="Start of year",(H88-C88)*(1+DD_Growth),H88*(1+DD_Growth)-C88),0))</f>
        <v/>
      </c>
      <c r="I89" s="79" t="str">
        <f aca="false">IF(Need_1&lt;&gt;"","",IF(Withdrawal_Timing="Start of year",IF(H89&gt;=C89,1,0),IF(H89*(1+DD_Growth)&gt;=C89,1,0)))</f>
        <v/>
      </c>
    </row>
    <row r="90" customFormat="false" ht="15" hidden="false" customHeight="true" outlineLevel="0" collapsed="false">
      <c r="B90" s="79" t="n">
        <v>58</v>
      </c>
      <c r="C90" s="80" t="str">
        <f aca="false">IF(Need_1&lt;&gt;"","",C89*(1+Inflation_Choice))</f>
        <v/>
      </c>
      <c r="D90" s="80" t="str">
        <f aca="false">IF(Need_1&lt;&gt;"","",IF(E89=1,IF(Withdrawal_Timing="Start of year",(D89-C89)*(1+DD_Cautious),D89*(1+DD_Cautious)-C89),0))</f>
        <v/>
      </c>
      <c r="E90" s="79" t="str">
        <f aca="false">IF(Need_1&lt;&gt;"","",IF(Withdrawal_Timing="Start of year",IF(D90&gt;=C90,1,0),IF(D90*(1+DD_Cautious)&gt;=C90,1,0)))</f>
        <v/>
      </c>
      <c r="F90" s="80" t="str">
        <f aca="false">IF(Need_1&lt;&gt;"","",IF(G89=1,IF(Withdrawal_Timing="Start of year",(F89-C89)*(1+DD_Balanced),F89*(1+DD_Balanced)-C89),0))</f>
        <v/>
      </c>
      <c r="G90" s="79" t="str">
        <f aca="false">IF(Need_1&lt;&gt;"","",IF(Withdrawal_Timing="Start of year",IF(F90&gt;=C90,1,0),IF(F90*(1+DD_Balanced)&gt;=C90,1,0)))</f>
        <v/>
      </c>
      <c r="H90" s="80" t="str">
        <f aca="false">IF(Need_1&lt;&gt;"","",IF(I89=1,IF(Withdrawal_Timing="Start of year",(H89-C89)*(1+DD_Growth),H89*(1+DD_Growth)-C89),0))</f>
        <v/>
      </c>
      <c r="I90" s="79" t="str">
        <f aca="false">IF(Need_1&lt;&gt;"","",IF(Withdrawal_Timing="Start of year",IF(H90&gt;=C90,1,0),IF(H90*(1+DD_Growth)&gt;=C90,1,0)))</f>
        <v/>
      </c>
    </row>
    <row r="91" customFormat="false" ht="15" hidden="false" customHeight="true" outlineLevel="0" collapsed="false">
      <c r="B91" s="79" t="n">
        <v>59</v>
      </c>
      <c r="C91" s="80" t="str">
        <f aca="false">IF(Need_1&lt;&gt;"","",C90*(1+Inflation_Choice))</f>
        <v/>
      </c>
      <c r="D91" s="80" t="str">
        <f aca="false">IF(Need_1&lt;&gt;"","",IF(E90=1,IF(Withdrawal_Timing="Start of year",(D90-C90)*(1+DD_Cautious),D90*(1+DD_Cautious)-C90),0))</f>
        <v/>
      </c>
      <c r="E91" s="79" t="str">
        <f aca="false">IF(Need_1&lt;&gt;"","",IF(Withdrawal_Timing="Start of year",IF(D91&gt;=C91,1,0),IF(D91*(1+DD_Cautious)&gt;=C91,1,0)))</f>
        <v/>
      </c>
      <c r="F91" s="80" t="str">
        <f aca="false">IF(Need_1&lt;&gt;"","",IF(G90=1,IF(Withdrawal_Timing="Start of year",(F90-C90)*(1+DD_Balanced),F90*(1+DD_Balanced)-C90),0))</f>
        <v/>
      </c>
      <c r="G91" s="79" t="str">
        <f aca="false">IF(Need_1&lt;&gt;"","",IF(Withdrawal_Timing="Start of year",IF(F91&gt;=C91,1,0),IF(F91*(1+DD_Balanced)&gt;=C91,1,0)))</f>
        <v/>
      </c>
      <c r="H91" s="80" t="str">
        <f aca="false">IF(Need_1&lt;&gt;"","",IF(I90=1,IF(Withdrawal_Timing="Start of year",(H90-C90)*(1+DD_Growth),H90*(1+DD_Growth)-C90),0))</f>
        <v/>
      </c>
      <c r="I91" s="79" t="str">
        <f aca="false">IF(Need_1&lt;&gt;"","",IF(Withdrawal_Timing="Start of year",IF(H91&gt;=C91,1,0),IF(H91*(1+DD_Growth)&gt;=C91,1,0)))</f>
        <v/>
      </c>
    </row>
    <row r="92" customFormat="false" ht="15" hidden="false" customHeight="true" outlineLevel="0" collapsed="false">
      <c r="B92" s="79" t="n">
        <v>60</v>
      </c>
      <c r="C92" s="80" t="str">
        <f aca="false">IF(Need_1&lt;&gt;"","",C91*(1+Inflation_Choice))</f>
        <v/>
      </c>
      <c r="D92" s="80" t="str">
        <f aca="false">IF(Need_1&lt;&gt;"","",IF(E91=1,IF(Withdrawal_Timing="Start of year",(D91-C91)*(1+DD_Cautious),D91*(1+DD_Cautious)-C91),0))</f>
        <v/>
      </c>
      <c r="E92" s="79" t="str">
        <f aca="false">IF(Need_1&lt;&gt;"","",IF(Withdrawal_Timing="Start of year",IF(D92&gt;=C92,1,0),IF(D92*(1+DD_Cautious)&gt;=C92,1,0)))</f>
        <v/>
      </c>
      <c r="F92" s="80" t="str">
        <f aca="false">IF(Need_1&lt;&gt;"","",IF(G91=1,IF(Withdrawal_Timing="Start of year",(F91-C91)*(1+DD_Balanced),F91*(1+DD_Balanced)-C91),0))</f>
        <v/>
      </c>
      <c r="G92" s="79" t="str">
        <f aca="false">IF(Need_1&lt;&gt;"","",IF(Withdrawal_Timing="Start of year",IF(F92&gt;=C92,1,0),IF(F92*(1+DD_Balanced)&gt;=C92,1,0)))</f>
        <v/>
      </c>
      <c r="H92" s="80" t="str">
        <f aca="false">IF(Need_1&lt;&gt;"","",IF(I91=1,IF(Withdrawal_Timing="Start of year",(H91-C91)*(1+DD_Growth),H91*(1+DD_Growth)-C91),0))</f>
        <v/>
      </c>
      <c r="I92" s="79" t="str">
        <f aca="false">IF(Need_1&lt;&gt;"","",IF(Withdrawal_Timing="Start of year",IF(H92&gt;=C92,1,0),IF(H92*(1+DD_Growth)&gt;=C92,1,0)))</f>
        <v/>
      </c>
    </row>
    <row r="95" customFormat="false" ht="15" hidden="false" customHeight="true" outlineLevel="0" collapsed="false">
      <c r="B95" s="13" t="s">
        <v>272</v>
      </c>
      <c r="C95" s="14"/>
      <c r="D95" s="14"/>
      <c r="E95" s="14"/>
      <c r="F95" s="14"/>
      <c r="G95" s="14"/>
    </row>
    <row r="96" customFormat="false" ht="27.75" hidden="false" customHeight="true" outlineLevel="0" collapsed="false">
      <c r="B96" s="46" t="s">
        <v>935</v>
      </c>
      <c r="C96" s="46"/>
      <c r="D96" s="46"/>
      <c r="E96" s="46"/>
    </row>
    <row r="97" customFormat="false" ht="13.5" hidden="false" customHeight="true" outlineLevel="0" collapsed="false">
      <c r="B97" s="46" t="s">
        <v>936</v>
      </c>
      <c r="C97" s="46"/>
      <c r="D97" s="46"/>
      <c r="E97" s="46"/>
    </row>
    <row r="98" customFormat="false" ht="13.5" hidden="false" customHeight="true" outlineLevel="0" collapsed="false">
      <c r="B98" s="47" t="s">
        <v>276</v>
      </c>
      <c r="C98" s="47"/>
      <c r="D98" s="47"/>
      <c r="E98" s="47"/>
    </row>
    <row r="99" customFormat="false" ht="13.5" hidden="false" customHeight="true" outlineLevel="0" collapsed="false">
      <c r="B99" s="46" t="s">
        <v>937</v>
      </c>
      <c r="C99" s="46"/>
      <c r="D99" s="46"/>
      <c r="E99" s="46"/>
    </row>
    <row r="100" customFormat="false" ht="13.5" hidden="false" customHeight="true" outlineLevel="0" collapsed="false">
      <c r="B100" s="46" t="s">
        <v>938</v>
      </c>
      <c r="C100" s="46"/>
      <c r="D100" s="46"/>
      <c r="E100" s="46"/>
    </row>
    <row r="102" customFormat="false" ht="15" hidden="false" customHeight="true" outlineLevel="0" collapsed="false">
      <c r="B102" s="13" t="s">
        <v>281</v>
      </c>
      <c r="C102" s="14"/>
      <c r="D102" s="14"/>
      <c r="E102" s="14"/>
      <c r="F102" s="14"/>
      <c r="G102" s="14"/>
    </row>
    <row r="103" customFormat="false" ht="15" hidden="false" customHeight="true" outlineLevel="0" collapsed="false">
      <c r="B103" s="25" t="s">
        <v>282</v>
      </c>
      <c r="C103" s="48" t="str">
        <f aca="false">"No goal"</f>
        <v>No goal</v>
      </c>
      <c r="E103" s="49" t="s">
        <v>471</v>
      </c>
    </row>
    <row r="105" customFormat="false" ht="15" hidden="false" customHeight="true" outlineLevel="0" collapsed="false">
      <c r="B105" s="13" t="s">
        <v>290</v>
      </c>
      <c r="C105" s="14"/>
      <c r="D105" s="14"/>
      <c r="E105" s="14"/>
      <c r="F105" s="14"/>
      <c r="G105" s="14"/>
    </row>
    <row r="106" customFormat="false" ht="15" hidden="false" customHeight="true" outlineLevel="0" collapsed="false">
      <c r="B106" s="52" t="s">
        <v>939</v>
      </c>
      <c r="C106" s="52" t="str">
        <f aca="false">IF(Inflation_Choice="","Choose your inflation rate to see this",IF(Yearly_Withdrawal="","Choose your yearly withdrawal to see this",IF(DD_Cautious="","Choose your cautious growth rate to see this",IF(DD_Balanced="","Choose your balanced growth rate to see this",IF(DD_Growth="","Choose your growth-style growth rate to see this",IF(Withdrawal_Timing="","Choose your withdrawal timing to see this",IF(NOT(ISNUMBER(Used_Retirement_Savings)),IF(Used_Retirement_Savings="",IF(Retirement_Savings="","Choose your retirement savings to see this",""),Used_Retirement_Savings),"")))))))</f>
        <v>Choose your inflation rate to see this</v>
      </c>
    </row>
  </sheetData>
  <mergeCells count="7">
    <mergeCell ref="B7:E7"/>
    <mergeCell ref="B10:E10"/>
    <mergeCell ref="B96:E96"/>
    <mergeCell ref="B97:E97"/>
    <mergeCell ref="B98:E98"/>
    <mergeCell ref="B99:E99"/>
    <mergeCell ref="B100:E100"/>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8% · steps of 0.5%." errorStyle="stop" errorTitle="Outside the allowed range" operator="between" prompt="Generally the standard is 2% a year for a cautious mix (illustration). Choose what you want to use.  Allowed: 0% to 8% · steps of 0.5%." promptTitle="Cautious: growth a year" showDropDown="false" showErrorMessage="true" showInputMessage="true" sqref="C18" type="decimal">
      <formula1>0</formula1>
      <formula2>0.08</formula2>
    </dataValidation>
    <dataValidation allowBlank="true" error="Please enter 0% to 8% · steps of 0.5%." errorStyle="stop" errorTitle="Outside the allowed range" operator="between" prompt="Generally the standard is 4% a year for a balanced mix (illustration). Choose what you want to use.  Allowed: 0% to 8% · steps of 0.5%." promptTitle="Balanced: growth a year" showDropDown="false" showErrorMessage="true" showInputMessage="true" sqref="C19" type="decimal">
      <formula1>0</formula1>
      <formula2>0.08</formula2>
    </dataValidation>
    <dataValidation allowBlank="true" error="Please enter 0% to 8% · steps of 0.5%." errorStyle="stop" errorTitle="Outside the allowed range" operator="between" prompt="Generally the standard is 6% a year for a growth mix (illustration). Choose what you want to use.  Allowed: 0% to 8% · steps of 0.5%." promptTitle="Growth: growth a year" showDropDown="false" showErrorMessage="true" showInputMessage="true" sqref="C20" type="decimal">
      <formula1>0</formula1>
      <formula2>0.08</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21" type="list">
      <formula1>"Start of year,End of year"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940</v>
      </c>
      <c r="E1" s="3" t="s">
        <v>941</v>
      </c>
    </row>
    <row r="2" customFormat="false" ht="15" hidden="false" customHeight="true" outlineLevel="0" collapsed="false">
      <c r="B2" s="21" t="s">
        <v>942</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943</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302</v>
      </c>
      <c r="C9" s="14"/>
      <c r="D9" s="14"/>
      <c r="E9" s="14"/>
      <c r="F9" s="14"/>
      <c r="G9" s="14"/>
    </row>
    <row r="10" customFormat="false" ht="27.75" hidden="false" customHeight="true" outlineLevel="0" collapsed="false">
      <c r="B10" s="53" t="s">
        <v>629</v>
      </c>
      <c r="C10" s="53"/>
      <c r="D10" s="53"/>
      <c r="E10" s="53"/>
    </row>
    <row r="11" customFormat="false" ht="15" hidden="false" customHeight="true" outlineLevel="0" collapsed="false">
      <c r="B11" s="25" t="s">
        <v>630</v>
      </c>
      <c r="C11" s="54"/>
      <c r="D11" s="27" t="s">
        <v>217</v>
      </c>
      <c r="E11" s="28" t="s">
        <v>631</v>
      </c>
      <c r="G11" s="52" t="s">
        <v>306</v>
      </c>
    </row>
    <row r="12" customFormat="false" ht="15" hidden="false" customHeight="true" outlineLevel="0" collapsed="false">
      <c r="B12" s="25" t="s">
        <v>313</v>
      </c>
      <c r="C12" s="57"/>
      <c r="D12" s="27" t="s">
        <v>314</v>
      </c>
      <c r="E12" s="28" t="s">
        <v>315</v>
      </c>
      <c r="G12" s="52" t="s">
        <v>306</v>
      </c>
    </row>
    <row r="14" customFormat="false" ht="15" hidden="false" customHeight="true" outlineLevel="0" collapsed="false">
      <c r="B14" s="13" t="s">
        <v>316</v>
      </c>
      <c r="C14" s="24" t="s">
        <v>213</v>
      </c>
      <c r="D14" s="24" t="s">
        <v>214</v>
      </c>
      <c r="E14" s="24" t="s">
        <v>215</v>
      </c>
      <c r="F14" s="14"/>
      <c r="G14" s="14"/>
    </row>
    <row r="15" customFormat="false" ht="21.75" hidden="false" customHeight="true" outlineLevel="0" collapsed="false">
      <c r="B15" s="25" t="s">
        <v>634</v>
      </c>
      <c r="C15" s="26"/>
      <c r="D15" s="27" t="s">
        <v>217</v>
      </c>
      <c r="E15" s="28" t="s">
        <v>635</v>
      </c>
      <c r="F15" s="29" t="n">
        <v>20000</v>
      </c>
      <c r="G15" s="30" t="str">
        <f aca="false">IF(ISBLANK(C15),IF(Fill_Example="Yes",F15,""),C15)</f>
        <v/>
      </c>
    </row>
    <row r="16" customFormat="false" ht="21.75" hidden="false" customHeight="true" outlineLevel="0" collapsed="false">
      <c r="B16" s="25" t="s">
        <v>944</v>
      </c>
      <c r="C16" s="34"/>
      <c r="D16" s="27" t="s">
        <v>228</v>
      </c>
      <c r="E16" s="35" t="s">
        <v>945</v>
      </c>
      <c r="F16" s="36" t="n">
        <v>0.05</v>
      </c>
      <c r="G16" s="37" t="str">
        <f aca="false">IF(ISBLANK(C16),IF(Fill_Example="Yes",F16,""),C16)</f>
        <v/>
      </c>
    </row>
    <row r="17" customFormat="false" ht="15" hidden="false" customHeight="true" outlineLevel="0" collapsed="false">
      <c r="B17" s="25" t="s">
        <v>603</v>
      </c>
      <c r="C17" s="38"/>
      <c r="D17" s="27" t="s">
        <v>231</v>
      </c>
      <c r="E17" s="28" t="s">
        <v>604</v>
      </c>
      <c r="F17" s="39" t="n">
        <v>15</v>
      </c>
      <c r="G17" s="40" t="str">
        <f aca="false">IF(ISBLANK(C17),IF(Fill_Example="Yes",F17,""),C17)</f>
        <v/>
      </c>
    </row>
    <row r="19" customFormat="false" ht="15" hidden="false" customHeight="true" outlineLevel="0" collapsed="false">
      <c r="B19" s="13" t="s">
        <v>326</v>
      </c>
      <c r="C19" s="14"/>
      <c r="D19" s="14"/>
      <c r="E19" s="14"/>
      <c r="F19" s="14"/>
      <c r="G19" s="14"/>
    </row>
    <row r="20" customFormat="false" ht="15" hidden="false" customHeight="true" outlineLevel="0" collapsed="false">
      <c r="B20" s="25" t="s">
        <v>634</v>
      </c>
      <c r="C20" s="58" t="str">
        <f aca="false">IF(ISBLANK(Stmt_Total_Value),Amount,Stmt_Total_Value)</f>
        <v/>
      </c>
      <c r="D20" s="59" t="str">
        <f aca="false">IF(ISBLANK(Stmt_Total_Value),"Your figure","From your statement")</f>
        <v>Your figure</v>
      </c>
      <c r="E20" s="49" t="s">
        <v>645</v>
      </c>
    </row>
    <row r="21" customFormat="false" ht="21.75" hidden="false" customHeight="true" outlineLevel="0" collapsed="false">
      <c r="B21" s="25" t="s">
        <v>332</v>
      </c>
      <c r="C21" s="45" t="str">
        <f aca="true">IF(ISBLANK(Stmt_Statement_Date),"",IF(TODAY()-Stmt_Statement_Date&gt;Statement_Max_Age_Days,"Needs a look: statement is more than 12 months old","Up to date"))</f>
        <v/>
      </c>
      <c r="D21" s="27"/>
      <c r="E21" s="42" t="s">
        <v>333</v>
      </c>
    </row>
    <row r="23" customFormat="false" ht="15" hidden="false" customHeight="true" outlineLevel="0" collapsed="false">
      <c r="B23" s="13" t="s">
        <v>239</v>
      </c>
      <c r="C23" s="24" t="s">
        <v>240</v>
      </c>
      <c r="D23" s="24" t="s">
        <v>241</v>
      </c>
      <c r="E23" s="24" t="s">
        <v>242</v>
      </c>
      <c r="F23" s="14"/>
      <c r="G23" s="14"/>
    </row>
    <row r="24" customFormat="false" ht="17.25" hidden="false" customHeight="true" outlineLevel="0" collapsed="false">
      <c r="B24" s="21" t="s">
        <v>946</v>
      </c>
      <c r="C24" s="41" t="str">
        <f aca="false">IF(Need_1&lt;&gt;"",Need_1,IF(Inflation_Choice="","Choose your inflation rate to see this",Future_Value/(1+Inflation_Choice)^Years))</f>
        <v>Choose your inflation rate to see this</v>
      </c>
      <c r="D24" s="27" t="s">
        <v>217</v>
      </c>
      <c r="E24" s="42" t="s">
        <v>947</v>
      </c>
    </row>
    <row r="25" customFormat="false" ht="17.25" hidden="false" customHeight="true" outlineLevel="0" collapsed="false">
      <c r="B25" s="21" t="s">
        <v>948</v>
      </c>
      <c r="C25" s="41" t="str">
        <f aca="false">IF(Need_2&lt;&gt;"",Need_2,Used_Amount*(1+Nominal_Return)^Years)</f>
        <v>Choose your return to see this</v>
      </c>
      <c r="D25" s="27" t="s">
        <v>217</v>
      </c>
      <c r="E25" s="42" t="s">
        <v>949</v>
      </c>
    </row>
    <row r="26" customFormat="false" ht="17.25" hidden="false" customHeight="true" outlineLevel="0" collapsed="false">
      <c r="B26" s="21" t="s">
        <v>950</v>
      </c>
      <c r="C26" s="81" t="str">
        <f aca="false">IF(Need_3&lt;&gt;"",Need_3,IF(Inflation_Choice="","Choose your inflation rate to see this",(1+Nominal_Return)/(1+Inflation_Choice)-1))</f>
        <v>Choose your inflation rate to see this</v>
      </c>
      <c r="D26" s="27"/>
      <c r="E26" s="42" t="s">
        <v>951</v>
      </c>
    </row>
    <row r="27" customFormat="false" ht="15" hidden="false" customHeight="true" outlineLevel="0" collapsed="false">
      <c r="B27"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7" s="68"/>
      <c r="D27" s="68"/>
      <c r="E27" s="68"/>
    </row>
    <row r="29" customFormat="false" ht="15" hidden="false" customHeight="true" outlineLevel="0" collapsed="false">
      <c r="B29" s="13" t="s">
        <v>272</v>
      </c>
      <c r="C29" s="14"/>
      <c r="D29" s="14"/>
      <c r="E29" s="14"/>
      <c r="F29" s="14"/>
      <c r="G29" s="14"/>
    </row>
    <row r="30" customFormat="false" ht="13.5" hidden="false" customHeight="true" outlineLevel="0" collapsed="false">
      <c r="B30" s="46" t="s">
        <v>952</v>
      </c>
      <c r="C30" s="46"/>
      <c r="D30" s="46"/>
      <c r="E30" s="46"/>
    </row>
    <row r="31" customFormat="false" ht="13.5" hidden="false" customHeight="true" outlineLevel="0" collapsed="false">
      <c r="B31" s="46" t="s">
        <v>953</v>
      </c>
      <c r="C31" s="46"/>
      <c r="D31" s="46"/>
      <c r="E31" s="46"/>
    </row>
    <row r="32" customFormat="false" ht="13.5" hidden="false" customHeight="true" outlineLevel="0" collapsed="false">
      <c r="B32" s="47" t="s">
        <v>276</v>
      </c>
      <c r="C32" s="47"/>
      <c r="D32" s="47"/>
      <c r="E32" s="47"/>
    </row>
    <row r="33" customFormat="false" ht="13.5" hidden="false" customHeight="true" outlineLevel="0" collapsed="false">
      <c r="B33" s="46" t="s">
        <v>954</v>
      </c>
      <c r="C33" s="46"/>
      <c r="D33" s="46"/>
      <c r="E33" s="46"/>
    </row>
    <row r="35" customFormat="false" ht="15" hidden="false" customHeight="true" outlineLevel="0" collapsed="false">
      <c r="B35" s="13" t="s">
        <v>281</v>
      </c>
      <c r="C35" s="14"/>
      <c r="D35" s="14"/>
      <c r="E35" s="14"/>
      <c r="F35" s="14"/>
      <c r="G35" s="14"/>
    </row>
    <row r="36" customFormat="false" ht="15" hidden="false" customHeight="true" outlineLevel="0" collapsed="false">
      <c r="B36" s="25" t="s">
        <v>282</v>
      </c>
      <c r="C36" s="48" t="str">
        <f aca="false">"No goal"</f>
        <v>No goal</v>
      </c>
      <c r="E36" s="49" t="s">
        <v>471</v>
      </c>
    </row>
    <row r="38" customFormat="false" ht="15" hidden="false" customHeight="true" outlineLevel="0" collapsed="false">
      <c r="B38" s="13" t="s">
        <v>290</v>
      </c>
      <c r="C38" s="14"/>
      <c r="D38" s="14"/>
      <c r="E38" s="14"/>
      <c r="F38" s="14"/>
      <c r="G38" s="14"/>
    </row>
    <row r="39" customFormat="false" ht="15" hidden="false" customHeight="true" outlineLevel="0" collapsed="false">
      <c r="B39" s="52" t="s">
        <v>955</v>
      </c>
      <c r="C39" s="52" t="str">
        <f aca="false">IF(Inflation_Choice="","Choose your inflation rate to see this",IF(Nominal_Return="","Choose your return to see this",IF(Years="","Choose your years to see this",IF(NOT(ISNUMBER(Used_Amount)),IF(Used_Amount="",IF(Amount="","Choose your amount to see this",""),Used_Amount),""))))</f>
        <v>Choose your inflation rate to see this</v>
      </c>
    </row>
    <row r="40" customFormat="false" ht="15" hidden="false" customHeight="true" outlineLevel="0" collapsed="false">
      <c r="B40" s="52" t="s">
        <v>956</v>
      </c>
      <c r="C40" s="52" t="str">
        <f aca="false">IF(Nominal_Return="","Choose your return to see this",IF(Years="","Choose your years to see this",IF(NOT(ISNUMBER(Used_Amount)),IF(Used_Amount="",IF(Amount="","Choose your amount to see this",""),Used_Amount),"")))</f>
        <v>Choose your return to see this</v>
      </c>
    </row>
    <row r="41" customFormat="false" ht="15" hidden="false" customHeight="true" outlineLevel="0" collapsed="false">
      <c r="B41" s="52" t="s">
        <v>957</v>
      </c>
      <c r="C41" s="52" t="str">
        <f aca="false">IF(Inflation_Choice="","Choose your inflation rate to see this",IF(Nominal_Return="","Choose your return to see this",""))</f>
        <v>Choose your inflation rate to see this</v>
      </c>
    </row>
  </sheetData>
  <mergeCells count="7">
    <mergeCell ref="B7:E7"/>
    <mergeCell ref="B10:E10"/>
    <mergeCell ref="B27:E27"/>
    <mergeCell ref="B30:E30"/>
    <mergeCell ref="B31:E31"/>
    <mergeCell ref="B32:E32"/>
    <mergeCell ref="B33:E33"/>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5" type="decimal">
      <formula1>500</formula1>
      <formula2>5000000</formula2>
    </dataValidation>
    <dataValidation allowBlank="true" error="Please enter 0% to 10% · steps of 0.25%." errorStyle="stop" errorTitle="Outside the allowed range" operator="between" prompt="Generally the standard is 5% a year before charges and tax for a mixed fund (long-run 5%–6% a year; Irish rules audit B3). Choose what you want to use.  Allowed: 0% to 10% · steps of 0.25%." promptTitle="Return a year (before inflation)" showDropDown="false" showErrorMessage="true" showInputMessage="true" sqref="C16" type="decimal">
      <formula1>0</formula1>
      <formula2>0.1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958</v>
      </c>
      <c r="E1" s="3" t="s">
        <v>959</v>
      </c>
    </row>
    <row r="2" customFormat="false" ht="15" hidden="false" customHeight="true" outlineLevel="0" collapsed="false">
      <c r="B2" s="21" t="s">
        <v>960</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961</v>
      </c>
    </row>
    <row r="5" customFormat="false" ht="15" hidden="false" customHeight="true" outlineLevel="0" collapsed="false">
      <c r="B5" s="13" t="s">
        <v>556</v>
      </c>
      <c r="C5" s="24" t="s">
        <v>213</v>
      </c>
      <c r="D5" s="24" t="s">
        <v>214</v>
      </c>
      <c r="E5" s="24" t="s">
        <v>215</v>
      </c>
      <c r="F5" s="14"/>
      <c r="G5" s="14"/>
    </row>
    <row r="6" customFormat="false" ht="21.75" hidden="false" customHeight="true" outlineLevel="0" collapsed="false">
      <c r="B6" s="25" t="s">
        <v>557</v>
      </c>
      <c r="C6" s="34"/>
      <c r="D6" s="27" t="s">
        <v>228</v>
      </c>
      <c r="E6" s="35" t="s">
        <v>558</v>
      </c>
      <c r="F6" s="36" t="n">
        <v>0.02</v>
      </c>
      <c r="G6" s="37" t="str">
        <f aca="false">IF(ISBLANK(C6),IF(Fill_Example="Yes",F6,""),C6)</f>
        <v/>
      </c>
    </row>
    <row r="7" customFormat="false" ht="27.75" hidden="false" customHeight="true" outlineLevel="0" collapsed="false">
      <c r="B7" s="53" t="s">
        <v>559</v>
      </c>
      <c r="C7" s="53"/>
      <c r="D7" s="53"/>
      <c r="E7" s="53"/>
    </row>
    <row r="9" customFormat="false" ht="15" hidden="false" customHeight="true" outlineLevel="0" collapsed="false">
      <c r="B9" s="13" t="s">
        <v>302</v>
      </c>
      <c r="C9" s="14"/>
      <c r="D9" s="14"/>
      <c r="E9" s="14"/>
      <c r="F9" s="14"/>
      <c r="G9" s="14"/>
    </row>
    <row r="10" customFormat="false" ht="27.75" hidden="false" customHeight="true" outlineLevel="0" collapsed="false">
      <c r="B10" s="53" t="s">
        <v>629</v>
      </c>
      <c r="C10" s="53"/>
      <c r="D10" s="53"/>
      <c r="E10" s="53"/>
    </row>
    <row r="11" customFormat="false" ht="15" hidden="false" customHeight="true" outlineLevel="0" collapsed="false">
      <c r="B11" s="25" t="s">
        <v>962</v>
      </c>
      <c r="C11" s="54"/>
      <c r="D11" s="27" t="s">
        <v>217</v>
      </c>
      <c r="E11" s="28" t="s">
        <v>963</v>
      </c>
      <c r="G11" s="52" t="s">
        <v>306</v>
      </c>
    </row>
    <row r="12" customFormat="false" ht="15" hidden="false" customHeight="true" outlineLevel="0" collapsed="false">
      <c r="B12" s="25" t="s">
        <v>632</v>
      </c>
      <c r="C12" s="55"/>
      <c r="D12" s="27" t="s">
        <v>228</v>
      </c>
      <c r="E12" s="28" t="s">
        <v>633</v>
      </c>
      <c r="G12" s="52" t="s">
        <v>306</v>
      </c>
    </row>
    <row r="13" customFormat="false" ht="15" hidden="false" customHeight="true" outlineLevel="0" collapsed="false">
      <c r="B13" s="25" t="s">
        <v>313</v>
      </c>
      <c r="C13" s="57"/>
      <c r="D13" s="27" t="s">
        <v>314</v>
      </c>
      <c r="E13" s="28" t="s">
        <v>315</v>
      </c>
      <c r="G13" s="52" t="s">
        <v>306</v>
      </c>
    </row>
    <row r="15" customFormat="false" ht="15" hidden="false" customHeight="true" outlineLevel="0" collapsed="false">
      <c r="B15" s="13" t="s">
        <v>316</v>
      </c>
      <c r="C15" s="24" t="s">
        <v>213</v>
      </c>
      <c r="D15" s="24" t="s">
        <v>214</v>
      </c>
      <c r="E15" s="24" t="s">
        <v>215</v>
      </c>
      <c r="F15" s="14"/>
      <c r="G15" s="14"/>
    </row>
    <row r="16" customFormat="false" ht="15" hidden="false" customHeight="true" outlineLevel="0" collapsed="false">
      <c r="B16" s="25" t="s">
        <v>964</v>
      </c>
      <c r="C16" s="26"/>
      <c r="D16" s="27" t="s">
        <v>217</v>
      </c>
      <c r="E16" s="28" t="s">
        <v>965</v>
      </c>
      <c r="F16" s="29" t="n">
        <v>300</v>
      </c>
      <c r="G16" s="30" t="str">
        <f aca="false">IF(ISBLANK(C16),IF(Fill_Example="Yes",F16,""),C16)</f>
        <v/>
      </c>
    </row>
    <row r="17" customFormat="false" ht="15" hidden="false" customHeight="true" outlineLevel="0" collapsed="false">
      <c r="B17" s="25" t="s">
        <v>603</v>
      </c>
      <c r="C17" s="38"/>
      <c r="D17" s="27" t="s">
        <v>231</v>
      </c>
      <c r="E17" s="28" t="s">
        <v>604</v>
      </c>
      <c r="F17" s="39" t="n">
        <v>15</v>
      </c>
      <c r="G17" s="40" t="str">
        <f aca="false">IF(ISBLANK(C17),IF(Fill_Example="Yes",F17,""),C17)</f>
        <v/>
      </c>
    </row>
    <row r="18" customFormat="false" ht="21.75" hidden="false" customHeight="true" outlineLevel="0" collapsed="false">
      <c r="B18" s="25" t="s">
        <v>966</v>
      </c>
      <c r="C18" s="34"/>
      <c r="D18" s="27" t="s">
        <v>228</v>
      </c>
      <c r="E18" s="35" t="s">
        <v>602</v>
      </c>
      <c r="F18" s="36" t="n">
        <v>0.05</v>
      </c>
      <c r="G18" s="37" t="str">
        <f aca="false">IF(ISBLANK(C18),IF(Fill_Example="Yes",F18,""),C18)</f>
        <v/>
      </c>
    </row>
    <row r="19" customFormat="false" ht="21.75" hidden="false" customHeight="true" outlineLevel="0" collapsed="false">
      <c r="B19" s="25" t="s">
        <v>637</v>
      </c>
      <c r="C19" s="34"/>
      <c r="D19" s="27" t="s">
        <v>228</v>
      </c>
      <c r="E19" s="35" t="s">
        <v>638</v>
      </c>
      <c r="F19" s="36" t="n">
        <v>0.01</v>
      </c>
      <c r="G19" s="37" t="str">
        <f aca="false">IF(ISBLANK(C19),IF(Fill_Example="Yes",F19,""),C19)</f>
        <v/>
      </c>
    </row>
    <row r="20" customFormat="false" ht="15" hidden="false" customHeight="true" outlineLevel="0" collapsed="false">
      <c r="B20" s="25" t="s">
        <v>641</v>
      </c>
      <c r="C20" s="31"/>
      <c r="D20" s="27" t="s">
        <v>224</v>
      </c>
      <c r="E20" s="28" t="s">
        <v>642</v>
      </c>
      <c r="F20" s="32" t="s">
        <v>3</v>
      </c>
      <c r="G20" s="33" t="str">
        <f aca="false">IF(ISBLANK(C20),F20,C20)</f>
        <v>No</v>
      </c>
    </row>
    <row r="22" customFormat="false" ht="15" hidden="false" customHeight="true" outlineLevel="0" collapsed="false">
      <c r="B22" s="13" t="s">
        <v>326</v>
      </c>
      <c r="C22" s="14"/>
      <c r="D22" s="14"/>
      <c r="E22" s="14"/>
      <c r="F22" s="14"/>
      <c r="G22" s="14"/>
    </row>
    <row r="23" customFormat="false" ht="15" hidden="false" customHeight="true" outlineLevel="0" collapsed="false">
      <c r="B23" s="25" t="s">
        <v>643</v>
      </c>
      <c r="C23" s="45" t="str">
        <f aca="false">IF(COUNTA(Stmt_Monthly_Invested,Stmt_Charges,Stmt_Statement_Date)&gt;0,"Yes","No")</f>
        <v>No</v>
      </c>
      <c r="D23" s="27"/>
      <c r="E23" s="42" t="s">
        <v>967</v>
      </c>
    </row>
    <row r="24" customFormat="false" ht="15" hidden="false" customHeight="true" outlineLevel="0" collapsed="false">
      <c r="B24" s="25" t="s">
        <v>964</v>
      </c>
      <c r="C24" s="58" t="str">
        <f aca="false">IF(ISBLANK(Stmt_Monthly_Invested),Monthly_Amount,Stmt_Monthly_Invested)</f>
        <v/>
      </c>
      <c r="D24" s="59" t="str">
        <f aca="false">IF(ISBLANK(Stmt_Monthly_Invested),"Your figure","From your statement")</f>
        <v>Your figure</v>
      </c>
      <c r="E24" s="49" t="s">
        <v>968</v>
      </c>
    </row>
    <row r="25" customFormat="false" ht="15" hidden="false" customHeight="true" outlineLevel="0" collapsed="false">
      <c r="B25" s="25" t="s">
        <v>637</v>
      </c>
      <c r="C25" s="60" t="str">
        <f aca="false">IF(NOT(ISBLANK(Stmt_Charges)),Stmt_Charges,IF(Statement_Uploaded="Yes",0,Yearly_Fees))</f>
        <v/>
      </c>
      <c r="D25" s="59" t="str">
        <f aca="false">IF(NOT(ISBLANK(Stmt_Charges)),"From your statement",IF(Statement_Uploaded="Yes","None shown on your statement","Your figure"))</f>
        <v>Your figure</v>
      </c>
      <c r="E25" s="49" t="s">
        <v>646</v>
      </c>
    </row>
    <row r="26" customFormat="false" ht="21.75" hidden="false" customHeight="true" outlineLevel="0" collapsed="false">
      <c r="B26" s="25" t="s">
        <v>332</v>
      </c>
      <c r="C26" s="45" t="str">
        <f aca="true">IF(ISBLANK(Stmt_Statement_Date),"",IF(TODAY()-Stmt_Statement_Date&gt;Statement_Max_Age_Days,"Needs a look: statement is more than 12 months old","Up to date"))</f>
        <v/>
      </c>
      <c r="D26" s="27"/>
      <c r="E26" s="42" t="s">
        <v>333</v>
      </c>
    </row>
    <row r="28" customFormat="false" ht="15" hidden="false" customHeight="true" outlineLevel="0" collapsed="false">
      <c r="B28" s="13" t="s">
        <v>239</v>
      </c>
      <c r="C28" s="24" t="s">
        <v>240</v>
      </c>
      <c r="D28" s="24" t="s">
        <v>241</v>
      </c>
      <c r="E28" s="24" t="s">
        <v>242</v>
      </c>
      <c r="F28" s="14"/>
      <c r="G28" s="14"/>
    </row>
    <row r="29" customFormat="false" ht="17.25" hidden="false" customHeight="true" outlineLevel="0" collapsed="false">
      <c r="B29" s="21" t="s">
        <v>969</v>
      </c>
      <c r="C29" s="41" t="str">
        <f aca="false">IF(Need_1&lt;&gt;"",Need_1,IF(Adjust_For_Inflation="Yes",Value_Today,Value_After_Fees))</f>
        <v>Choose your years to see this</v>
      </c>
      <c r="D29" s="27" t="s">
        <v>217</v>
      </c>
      <c r="E29" s="42" t="s">
        <v>970</v>
      </c>
    </row>
    <row r="30" customFormat="false" ht="15" hidden="false" customHeight="true" outlineLevel="0" collapsed="false">
      <c r="B30" s="25" t="s">
        <v>971</v>
      </c>
      <c r="C30" s="43" t="str">
        <f aca="false">IF(Need_1&lt;&gt;"",Need_1,FV((1+Growth_After_Fees)^(1/12)-1,Years*12,-Used_Monthly_Amount))</f>
        <v>Choose your years to see this</v>
      </c>
      <c r="D30" s="27" t="s">
        <v>217</v>
      </c>
      <c r="E30" s="42" t="s">
        <v>972</v>
      </c>
    </row>
    <row r="31" customFormat="false" ht="15" hidden="false" customHeight="true" outlineLevel="0" collapsed="false">
      <c r="B31" s="25" t="s">
        <v>973</v>
      </c>
      <c r="C31" s="43" t="str">
        <f aca="false">IF(Need_2&lt;&gt;"",Need_2,FV((1+Growth_Rate)^(1/12)-1,Years*12,-Used_Monthly_Amount))</f>
        <v>Choose your years to see this</v>
      </c>
      <c r="D31" s="27" t="s">
        <v>217</v>
      </c>
      <c r="E31" s="42" t="s">
        <v>974</v>
      </c>
    </row>
    <row r="32" customFormat="false" ht="17.25" hidden="false" customHeight="true" outlineLevel="0" collapsed="false">
      <c r="B32" s="21" t="s">
        <v>655</v>
      </c>
      <c r="C32" s="41" t="str">
        <f aca="false">IF(Need_1&lt;&gt;"",Need_1,Value_Before_Fees-Value_After_Fees)</f>
        <v>Choose your years to see this</v>
      </c>
      <c r="D32" s="27" t="s">
        <v>217</v>
      </c>
      <c r="E32" s="42" t="s">
        <v>975</v>
      </c>
    </row>
    <row r="33" customFormat="false" ht="15" hidden="false" customHeight="true" outlineLevel="0" collapsed="false">
      <c r="B33" s="25" t="s">
        <v>609</v>
      </c>
      <c r="C33" s="43" t="str">
        <f aca="false">IF(Need_3&lt;&gt;"",Need_3,Used_Monthly_Amount*12*Years)</f>
        <v>Choose your years to see this</v>
      </c>
      <c r="D33" s="27" t="s">
        <v>217</v>
      </c>
      <c r="E33" s="42" t="s">
        <v>976</v>
      </c>
    </row>
    <row r="34" customFormat="false" ht="15" hidden="false" customHeight="true" outlineLevel="0" collapsed="false">
      <c r="B34" s="25" t="s">
        <v>607</v>
      </c>
      <c r="C34" s="43" t="str">
        <f aca="false">IF(Need_4&lt;&gt;"",Need_4,IF(Inflation_Choice="","Choose your inflation rate to see this",Value_After_Fees/(1+Inflation_Choice)^Years))</f>
        <v>Choose your inflation rate to see this</v>
      </c>
      <c r="D34" s="27" t="s">
        <v>217</v>
      </c>
      <c r="E34" s="42" t="s">
        <v>977</v>
      </c>
    </row>
    <row r="35" customFormat="false" ht="15" hidden="false" customHeight="true" outlineLevel="0" collapsed="false">
      <c r="B35" s="25" t="s">
        <v>657</v>
      </c>
      <c r="C35" s="64" t="str">
        <f aca="false">IF(Need_5&lt;&gt;"",Need_5,(1+Growth_Rate)*(1-Used_Yearly_Fees)-1)</f>
        <v>Choose your growth rate to see this</v>
      </c>
      <c r="D35" s="27"/>
      <c r="E35" s="42" t="s">
        <v>658</v>
      </c>
    </row>
    <row r="36" customFormat="false" ht="15" hidden="false" customHeight="true" outlineLevel="0" collapsed="false">
      <c r="B36" s="25" t="s">
        <v>659</v>
      </c>
      <c r="C36" s="64" t="str">
        <f aca="false">IF(Need_6&lt;&gt;"",Need_6,IF(Inflation_Choice="","Choose your inflation rate to see this",(1+Growth_After_Fees)/(1+Inflation_Choice)-1))</f>
        <v>Choose your inflation rate to see this</v>
      </c>
      <c r="D36" s="27"/>
      <c r="E36" s="42" t="s">
        <v>660</v>
      </c>
    </row>
    <row r="37" customFormat="false" ht="15" hidden="false" customHeight="true" outlineLevel="0" collapsed="false">
      <c r="B37" s="68"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7" s="68"/>
      <c r="D37" s="68"/>
      <c r="E37" s="68"/>
    </row>
    <row r="39" customFormat="false" ht="15" hidden="false" customHeight="true" outlineLevel="0" collapsed="false">
      <c r="B39" s="13" t="s">
        <v>272</v>
      </c>
      <c r="C39" s="14"/>
      <c r="D39" s="14"/>
      <c r="E39" s="14"/>
      <c r="F39" s="14"/>
      <c r="G39" s="14"/>
    </row>
    <row r="40" customFormat="false" ht="27.75" hidden="false" customHeight="true" outlineLevel="0" collapsed="false">
      <c r="B40" s="46" t="s">
        <v>978</v>
      </c>
      <c r="C40" s="46"/>
      <c r="D40" s="46"/>
      <c r="E40" s="46"/>
    </row>
    <row r="41" customFormat="false" ht="13.5" hidden="false" customHeight="true" outlineLevel="0" collapsed="false">
      <c r="B41" s="46" t="s">
        <v>979</v>
      </c>
      <c r="C41" s="46"/>
      <c r="D41" s="46"/>
      <c r="E41" s="46"/>
    </row>
    <row r="42" customFormat="false" ht="13.5" hidden="false" customHeight="true" outlineLevel="0" collapsed="false">
      <c r="B42" s="47" t="s">
        <v>276</v>
      </c>
      <c r="C42" s="47"/>
      <c r="D42" s="47"/>
      <c r="E42" s="47"/>
    </row>
    <row r="43" customFormat="false" ht="13.5" hidden="false" customHeight="true" outlineLevel="0" collapsed="false">
      <c r="B43" s="46" t="s">
        <v>980</v>
      </c>
      <c r="C43" s="46"/>
      <c r="D43" s="46"/>
      <c r="E43" s="46"/>
    </row>
    <row r="45" customFormat="false" ht="15" hidden="false" customHeight="true" outlineLevel="0" collapsed="false">
      <c r="B45" s="13" t="s">
        <v>281</v>
      </c>
      <c r="C45" s="14"/>
      <c r="D45" s="14"/>
      <c r="E45" s="14"/>
      <c r="F45" s="14"/>
      <c r="G45" s="14"/>
    </row>
    <row r="46" customFormat="false" ht="15" hidden="false" customHeight="true" outlineLevel="0" collapsed="false">
      <c r="B46" s="25" t="s">
        <v>282</v>
      </c>
      <c r="C46" s="48" t="str">
        <f aca="false">"Grow my wealth (plan kind pot)"</f>
        <v>Grow my wealth (plan kind pot)</v>
      </c>
      <c r="E46" s="49" t="s">
        <v>617</v>
      </c>
    </row>
    <row r="47" customFormat="false" ht="15" hidden="false" customHeight="true" outlineLevel="0" collapsed="false">
      <c r="B47" s="25" t="s">
        <v>618</v>
      </c>
      <c r="C47" s="50" t="str">
        <f aca="false">IF(Need_1&lt;&gt;"",Need_1,IF(Inflation_Choice="","Choose an inflation rate first",ROUND(Value_Today,0)))</f>
        <v>Choose your years to see this</v>
      </c>
      <c r="E47" s="49" t="s">
        <v>619</v>
      </c>
    </row>
    <row r="48" customFormat="false" ht="15" hidden="false" customHeight="true" outlineLevel="0" collapsed="false">
      <c r="B48" s="25" t="s">
        <v>288</v>
      </c>
      <c r="C48" s="51" t="str">
        <f aca="false">IF(Need_7&lt;&gt;"",Need_7,Years)</f>
        <v>Choose your years to see this</v>
      </c>
      <c r="E48" s="49" t="s">
        <v>584</v>
      </c>
    </row>
    <row r="49" customFormat="false" ht="15" hidden="false" customHeight="true" outlineLevel="0" collapsed="false">
      <c r="B49" s="25" t="s">
        <v>585</v>
      </c>
      <c r="C49" s="69" t="str">
        <f aca="false">IF(Inflation_Choice="","Choose an inflation rate first",Inflation_Choice)</f>
        <v>Choose an inflation rate first</v>
      </c>
      <c r="E49" s="49" t="s">
        <v>586</v>
      </c>
    </row>
    <row r="50" customFormat="false" ht="13.5" hidden="false" customHeight="true" outlineLevel="0" collapsed="false">
      <c r="B50" s="53" t="s">
        <v>981</v>
      </c>
      <c r="C50" s="53"/>
      <c r="D50" s="53"/>
      <c r="E50" s="53"/>
    </row>
    <row r="52" customFormat="false" ht="15" hidden="false" customHeight="true" outlineLevel="0" collapsed="false">
      <c r="B52" s="13" t="s">
        <v>290</v>
      </c>
      <c r="C52" s="14"/>
      <c r="D52" s="14"/>
      <c r="E52" s="14"/>
      <c r="F52" s="14"/>
      <c r="G52" s="14"/>
    </row>
    <row r="53" customFormat="false" ht="15" hidden="false" customHeight="true" outlineLevel="0" collapsed="false">
      <c r="B53" s="52" t="s">
        <v>982</v>
      </c>
      <c r="C53" s="52" t="str">
        <f aca="false">IF(Years="","Choose your years to see this",IF(Growth_Rate="","Choose your growth rate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4" customFormat="false" ht="15" hidden="false" customHeight="true" outlineLevel="0" collapsed="false">
      <c r="B54" s="52" t="s">
        <v>983</v>
      </c>
      <c r="C54" s="52" t="str">
        <f aca="false">IF(Years="","Choose your years to see this",IF(Growth_Rate="","Choose your growth rate to see this",IF(NOT(ISNUMBER(Used_Monthly_Amount)),IF(Used_Monthly_Amount="",IF(Monthly_Amount="","Choose your monthly amount to see this",""),Used_Monthly_Amount),"")))</f>
        <v>Choose your years to see this</v>
      </c>
    </row>
    <row r="55" customFormat="false" ht="15" hidden="false" customHeight="true" outlineLevel="0" collapsed="false">
      <c r="B55" s="52" t="s">
        <v>984</v>
      </c>
      <c r="C55" s="52" t="str">
        <f aca="false">IF(Years="","Choose your years to see this",IF(NOT(ISNUMBER(Used_Monthly_Amount)),IF(Used_Monthly_Amount="",IF(Monthly_Amount="","Choose your monthly amount to see this",""),Used_Monthly_Amount),""))</f>
        <v>Choose your years to see this</v>
      </c>
    </row>
    <row r="56" customFormat="false" ht="15" hidden="false" customHeight="true" outlineLevel="0" collapsed="false">
      <c r="B56" s="52" t="s">
        <v>985</v>
      </c>
      <c r="C56" s="52" t="str">
        <f aca="false">IF(Inflation_Choice="","Choose your inflation rate to see this",IF(Years="","Choose your years to see this",IF(Growth_Rate="","Choose your growth rate to see this",IF(NOT(ISNUMBER(Used_Monthly_Amount)),IF(Used_Monthly_Amount="",IF(Monthly_Amount="","Choose your monthly amount to see this",""),Used_Monthly_Amount),IF(NOT(ISNUMBER(Used_Yearly_Fees)),IF(Used_Yearly_Fees="",IF(Yearly_Fees="","Choose your yearly fees to see this",""),Used_Yearly_Fees),"")))))</f>
        <v>Choose your inflation rate to see this</v>
      </c>
    </row>
    <row r="57" customFormat="false" ht="15" hidden="false" customHeight="true" outlineLevel="0" collapsed="false">
      <c r="B57" s="52" t="s">
        <v>670</v>
      </c>
      <c r="C57" s="52" t="str">
        <f aca="false">IF(Growth_Rate="","Choose your growth rate to see this",IF(NOT(ISNUMBER(Used_Yearly_Fees)),IF(Used_Yearly_Fees="",IF(Yearly_Fees="","Choose your yearly fees to see this",""),Used_Yearly_Fees),""))</f>
        <v>Choose your growth rate to see this</v>
      </c>
    </row>
    <row r="58" customFormat="false" ht="15" hidden="false" customHeight="true" outlineLevel="0" collapsed="false">
      <c r="B58" s="52" t="s">
        <v>671</v>
      </c>
      <c r="C58" s="52" t="str">
        <f aca="false">IF(Inflation_Choice="","Choose your inflation rate to see this",IF(Growth_Rate="","Choose your growth rate to see this",IF(NOT(ISNUMBER(Used_Yearly_Fees)),IF(Used_Yearly_Fees="",IF(Yearly_Fees="","Choose your yearly fees to see this",""),Used_Yearly_Fees),"")))</f>
        <v>Choose your inflation rate to see this</v>
      </c>
    </row>
    <row r="59" customFormat="false" ht="15" hidden="false" customHeight="true" outlineLevel="0" collapsed="false">
      <c r="B59" s="52" t="s">
        <v>624</v>
      </c>
      <c r="C59" s="52" t="str">
        <f aca="false">IF(Years="","Choose your years to see this","")</f>
        <v>Choose your years to see this</v>
      </c>
    </row>
  </sheetData>
  <mergeCells count="8">
    <mergeCell ref="B7:E7"/>
    <mergeCell ref="B10:E10"/>
    <mergeCell ref="B37:E37"/>
    <mergeCell ref="B40:E40"/>
    <mergeCell ref="B41:E41"/>
    <mergeCell ref="B42:E42"/>
    <mergeCell ref="B43:E43"/>
    <mergeCell ref="B50:E50"/>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3% · steps of 0.05%." errorStyle="stop" errorTitle="Outside the allowed range" operator="between" prompt="Usually between 0.5% and 1.5% a year for fund charges (provider charges; your statement shows yours). Enter your own figure.  Allowed: 0% to 3% · steps of 0.05%." promptTitle="Yearly fees" showDropDown="false" showErrorMessage="true" showInputMessage="true" sqref="C19" type="decimal">
      <formula1>0</formula1>
      <formula2>0.03</formula2>
    </dataValidation>
    <dataValidation allowBlank="true" error="Please enter 0% to 8% · steps of 0.5%." errorStyle="stop" errorTitle="Outside the allowed range" operator="between" prompt="Generally the standard is 5% a year before charges and tax for a mixed fund (long-run 5%–6% a year; Irish rules audit B3). Choose what you want to use.  Allowed: 0% to 8% · steps of 0.5%." promptTitle="Growth a year (before fees)" showDropDown="false" showErrorMessage="true" showInputMessage="true" sqref="C18" type="decimal">
      <formula1>0</formula1>
      <formula2>0.08</formula2>
    </dataValidation>
    <dataValidation allowBlank="true" error="Please enter €0 to €1,000,000." errorStyle="stop" errorTitle="Outside the allowed range" operator="between" prompt="Unit: €. Allowed: €0 to €1,000,000." promptTitle="Monthly amount invested" showDropDown="false" showErrorMessage="true" showInputMessage="true" sqref="C11" type="decimal">
      <formula1>0</formula1>
      <formula2>1000000</formula2>
    </dataValidation>
    <dataValidation allowBlank="true" error="Please enter €25 to €50,000 · steps of €25." errorStyle="stop" errorTitle="Outside the allowed range" operator="between" prompt="Your own figure.  Allowed: €25 to €50,000 · steps of €25." promptTitle="Monthly amount" showDropDown="false" showErrorMessage="true" showInputMessage="true" sqref="C16" type="decimal">
      <formula1>25</formula1>
      <formula2>50000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986</v>
      </c>
      <c r="E1" s="3" t="s">
        <v>987</v>
      </c>
    </row>
    <row r="2" customFormat="false" ht="15" hidden="false" customHeight="true" outlineLevel="0" collapsed="false">
      <c r="B2" s="21" t="s">
        <v>988</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989</v>
      </c>
    </row>
    <row r="5" customFormat="false" ht="15" hidden="false" customHeight="true" outlineLevel="0" collapsed="false">
      <c r="B5" s="13" t="s">
        <v>302</v>
      </c>
      <c r="C5" s="14"/>
      <c r="D5" s="14"/>
      <c r="E5" s="14"/>
      <c r="F5" s="14"/>
      <c r="G5" s="14"/>
    </row>
    <row r="6" customFormat="false" ht="27.75" hidden="false" customHeight="true" outlineLevel="0" collapsed="false">
      <c r="B6" s="53" t="s">
        <v>629</v>
      </c>
      <c r="C6" s="53"/>
      <c r="D6" s="53"/>
      <c r="E6" s="53"/>
    </row>
    <row r="7" customFormat="false" ht="15" hidden="false" customHeight="true" outlineLevel="0" collapsed="false">
      <c r="B7" s="25" t="s">
        <v>630</v>
      </c>
      <c r="C7" s="54"/>
      <c r="D7" s="27" t="s">
        <v>217</v>
      </c>
      <c r="E7" s="28" t="s">
        <v>631</v>
      </c>
      <c r="G7" s="52" t="s">
        <v>306</v>
      </c>
    </row>
    <row r="8" customFormat="false" ht="15" hidden="false" customHeight="true" outlineLevel="0" collapsed="false">
      <c r="B8" s="25" t="s">
        <v>632</v>
      </c>
      <c r="C8" s="55"/>
      <c r="D8" s="27" t="s">
        <v>228</v>
      </c>
      <c r="E8" s="28" t="s">
        <v>633</v>
      </c>
      <c r="G8" s="52" t="s">
        <v>306</v>
      </c>
    </row>
    <row r="9" customFormat="false" ht="15" hidden="false" customHeight="true" outlineLevel="0" collapsed="false">
      <c r="B9" s="25" t="s">
        <v>313</v>
      </c>
      <c r="C9" s="57"/>
      <c r="D9" s="27" t="s">
        <v>314</v>
      </c>
      <c r="E9" s="28" t="s">
        <v>315</v>
      </c>
      <c r="G9" s="52" t="s">
        <v>306</v>
      </c>
    </row>
    <row r="11" customFormat="false" ht="15" hidden="false" customHeight="true" outlineLevel="0" collapsed="false">
      <c r="B11" s="13" t="s">
        <v>316</v>
      </c>
      <c r="C11" s="24" t="s">
        <v>213</v>
      </c>
      <c r="D11" s="24" t="s">
        <v>214</v>
      </c>
      <c r="E11" s="24" t="s">
        <v>215</v>
      </c>
      <c r="F11" s="14"/>
      <c r="G11" s="14"/>
    </row>
    <row r="12" customFormat="false" ht="21.75" hidden="false" customHeight="true" outlineLevel="0" collapsed="false">
      <c r="B12" s="25" t="s">
        <v>990</v>
      </c>
      <c r="C12" s="26"/>
      <c r="D12" s="27" t="s">
        <v>217</v>
      </c>
      <c r="E12" s="28" t="s">
        <v>991</v>
      </c>
      <c r="F12" s="29" t="n">
        <v>50000</v>
      </c>
      <c r="G12" s="30" t="str">
        <f aca="false">IF(ISBLANK(C12),IF(Fill_Example="Yes",F12,""),C12)</f>
        <v/>
      </c>
    </row>
    <row r="13" customFormat="false" ht="15" hidden="false" customHeight="true" outlineLevel="0" collapsed="false">
      <c r="B13" s="25" t="s">
        <v>603</v>
      </c>
      <c r="C13" s="38"/>
      <c r="D13" s="27" t="s">
        <v>231</v>
      </c>
      <c r="E13" s="28" t="s">
        <v>604</v>
      </c>
      <c r="F13" s="39" t="n">
        <v>20</v>
      </c>
      <c r="G13" s="40" t="str">
        <f aca="false">IF(ISBLANK(C13),IF(Fill_Example="Yes",F13,""),C13)</f>
        <v/>
      </c>
    </row>
    <row r="14" customFormat="false" ht="21.75" hidden="false" customHeight="true" outlineLevel="0" collapsed="false">
      <c r="B14" s="25" t="s">
        <v>966</v>
      </c>
      <c r="C14" s="34"/>
      <c r="D14" s="27" t="s">
        <v>228</v>
      </c>
      <c r="E14" s="35" t="s">
        <v>602</v>
      </c>
      <c r="F14" s="36" t="n">
        <v>0.05</v>
      </c>
      <c r="G14" s="37" t="str">
        <f aca="false">IF(ISBLANK(C14),IF(Fill_Example="Yes",F14,""),C14)</f>
        <v/>
      </c>
    </row>
    <row r="15" customFormat="false" ht="21.75" hidden="false" customHeight="true" outlineLevel="0" collapsed="false">
      <c r="B15" s="25" t="s">
        <v>992</v>
      </c>
      <c r="C15" s="34"/>
      <c r="D15" s="27" t="s">
        <v>228</v>
      </c>
      <c r="E15" s="35" t="s">
        <v>993</v>
      </c>
      <c r="F15" s="36" t="n">
        <v>0.005</v>
      </c>
      <c r="G15" s="37" t="str">
        <f aca="false">IF(ISBLANK(C15),IF(Fill_Example="Yes",F15,""),C15)</f>
        <v/>
      </c>
    </row>
    <row r="16" customFormat="false" ht="21.75" hidden="false" customHeight="true" outlineLevel="0" collapsed="false">
      <c r="B16" s="25" t="s">
        <v>994</v>
      </c>
      <c r="C16" s="34"/>
      <c r="D16" s="27" t="s">
        <v>228</v>
      </c>
      <c r="E16" s="35" t="s">
        <v>993</v>
      </c>
      <c r="F16" s="36" t="n">
        <v>0.015</v>
      </c>
      <c r="G16" s="37" t="str">
        <f aca="false">IF(ISBLANK(C16),IF(Fill_Example="Yes",F16,""),C16)</f>
        <v/>
      </c>
    </row>
    <row r="18" customFormat="false" ht="15" hidden="false" customHeight="true" outlineLevel="0" collapsed="false">
      <c r="B18" s="13" t="s">
        <v>326</v>
      </c>
      <c r="C18" s="14"/>
      <c r="D18" s="14"/>
      <c r="E18" s="14"/>
      <c r="F18" s="14"/>
      <c r="G18" s="14"/>
    </row>
    <row r="19" customFormat="false" ht="15" hidden="false" customHeight="true" outlineLevel="0" collapsed="false">
      <c r="B19" s="25" t="s">
        <v>643</v>
      </c>
      <c r="C19" s="45" t="str">
        <f aca="false">IF(COUNTA(Stmt_Total_Value,Stmt_Charges,Stmt_Statement_Date)&gt;0,"Yes","No")</f>
        <v>No</v>
      </c>
      <c r="D19" s="27"/>
      <c r="E19" s="42" t="s">
        <v>644</v>
      </c>
    </row>
    <row r="20" customFormat="false" ht="15" hidden="false" customHeight="true" outlineLevel="0" collapsed="false">
      <c r="B20" s="25" t="s">
        <v>990</v>
      </c>
      <c r="C20" s="58" t="str">
        <f aca="false">IF(ISBLANK(Stmt_Total_Value),Amount_Invested,Stmt_Total_Value)</f>
        <v/>
      </c>
      <c r="D20" s="59" t="str">
        <f aca="false">IF(ISBLANK(Stmt_Total_Value),"Your figure","From your statement")</f>
        <v>Your figure</v>
      </c>
      <c r="E20" s="49" t="s">
        <v>995</v>
      </c>
    </row>
    <row r="21" customFormat="false" ht="15" hidden="false" customHeight="true" outlineLevel="0" collapsed="false">
      <c r="B21" s="25" t="s">
        <v>996</v>
      </c>
      <c r="C21" s="60" t="str">
        <f aca="false">IF(NOT(ISBLANK(Stmt_Charges)),Stmt_Charges,IF(Statement_Uploaded="Yes",0,Fee_A))</f>
        <v/>
      </c>
      <c r="D21" s="59" t="str">
        <f aca="false">IF(NOT(ISBLANK(Stmt_Charges)),"From your statement",IF(Statement_Uploaded="Yes","None shown on your statement","Your figure"))</f>
        <v>Your figure</v>
      </c>
      <c r="E21" s="49" t="s">
        <v>997</v>
      </c>
    </row>
    <row r="22" customFormat="false" ht="21.75" hidden="false" customHeight="true" outlineLevel="0" collapsed="false">
      <c r="B22" s="25" t="s">
        <v>332</v>
      </c>
      <c r="C22" s="45" t="str">
        <f aca="true">IF(ISBLANK(Stmt_Statement_Date),"",IF(TODAY()-Stmt_Statement_Date&gt;Statement_Max_Age_Days,"Needs a look: statement is more than 12 months old","Up to date"))</f>
        <v/>
      </c>
      <c r="D22" s="27"/>
      <c r="E22" s="42" t="s">
        <v>333</v>
      </c>
    </row>
    <row r="24" customFormat="false" ht="15" hidden="false" customHeight="true" outlineLevel="0" collapsed="false">
      <c r="B24" s="13" t="s">
        <v>239</v>
      </c>
      <c r="C24" s="24" t="s">
        <v>240</v>
      </c>
      <c r="D24" s="24" t="s">
        <v>241</v>
      </c>
      <c r="E24" s="24" t="s">
        <v>242</v>
      </c>
      <c r="F24" s="14"/>
      <c r="G24" s="14"/>
    </row>
    <row r="25" customFormat="false" ht="17.25" hidden="false" customHeight="true" outlineLevel="0" collapsed="false">
      <c r="B25" s="21" t="s">
        <v>998</v>
      </c>
      <c r="C25" s="41" t="str">
        <f aca="false">IF(Need_1&lt;&gt;"",Need_1,ABS(Value_With_Fee_A-Value_With_Fee_B))</f>
        <v>Choose your years to see this</v>
      </c>
      <c r="D25" s="27" t="s">
        <v>217</v>
      </c>
      <c r="E25" s="42" t="s">
        <v>999</v>
      </c>
    </row>
    <row r="26" customFormat="false" ht="17.25" hidden="false" customHeight="true" outlineLevel="0" collapsed="false">
      <c r="B26" s="21" t="s">
        <v>1000</v>
      </c>
      <c r="C26" s="41" t="str">
        <f aca="false">IF(Need_2&lt;&gt;"",Need_2,Used_Amount_Invested*((1+Growth_Rate)*(1-Used_Fee_A))^Years)</f>
        <v>Choose your years to see this</v>
      </c>
      <c r="D26" s="27" t="s">
        <v>217</v>
      </c>
      <c r="E26" s="42" t="s">
        <v>1001</v>
      </c>
    </row>
    <row r="27" customFormat="false" ht="17.25" hidden="false" customHeight="true" outlineLevel="0" collapsed="false">
      <c r="B27" s="21" t="s">
        <v>1002</v>
      </c>
      <c r="C27" s="41" t="str">
        <f aca="false">IF(Need_3&lt;&gt;"",Need_3,Used_Amount_Invested*((1+Growth_Rate)*(1-Fee_B))^Years)</f>
        <v>Choose your years to see this</v>
      </c>
      <c r="D27" s="27" t="s">
        <v>217</v>
      </c>
      <c r="E27" s="42" t="s">
        <v>1003</v>
      </c>
    </row>
    <row r="28" customFormat="false" ht="15" hidden="false" customHeight="true" outlineLevel="0" collapsed="false">
      <c r="B28" s="25" t="s">
        <v>1004</v>
      </c>
      <c r="C28" s="65" t="str">
        <f aca="false">IF(Need_4&lt;&gt;"",Need_4,ABS(Fee_B-Used_Fee_A))</f>
        <v>Choose your fee B to see this</v>
      </c>
      <c r="D28" s="27" t="s">
        <v>228</v>
      </c>
      <c r="E28" s="42" t="s">
        <v>1005</v>
      </c>
    </row>
    <row r="30" customFormat="false" ht="15" hidden="false" customHeight="true" outlineLevel="0" collapsed="false">
      <c r="B30" s="13" t="s">
        <v>272</v>
      </c>
      <c r="C30" s="14"/>
      <c r="D30" s="14"/>
      <c r="E30" s="14"/>
      <c r="F30" s="14"/>
      <c r="G30" s="14"/>
    </row>
    <row r="31" customFormat="false" ht="13.5" hidden="false" customHeight="true" outlineLevel="0" collapsed="false">
      <c r="B31" s="46" t="s">
        <v>1006</v>
      </c>
      <c r="C31" s="46"/>
      <c r="D31" s="46"/>
      <c r="E31" s="46"/>
    </row>
    <row r="32" customFormat="false" ht="13.5" hidden="false" customHeight="true" outlineLevel="0" collapsed="false">
      <c r="B32" s="47" t="s">
        <v>276</v>
      </c>
      <c r="C32" s="47"/>
      <c r="D32" s="47"/>
      <c r="E32" s="47"/>
    </row>
    <row r="33" customFormat="false" ht="13.5" hidden="false" customHeight="true" outlineLevel="0" collapsed="false">
      <c r="B33" s="46" t="s">
        <v>1007</v>
      </c>
      <c r="C33" s="46"/>
      <c r="D33" s="46"/>
      <c r="E33" s="46"/>
    </row>
    <row r="35" customFormat="false" ht="15" hidden="false" customHeight="true" outlineLevel="0" collapsed="false">
      <c r="B35" s="13" t="s">
        <v>281</v>
      </c>
      <c r="C35" s="14"/>
      <c r="D35" s="14"/>
      <c r="E35" s="14"/>
      <c r="F35" s="14"/>
      <c r="G35" s="14"/>
    </row>
    <row r="36" customFormat="false" ht="15" hidden="false" customHeight="true" outlineLevel="0" collapsed="false">
      <c r="B36" s="25" t="s">
        <v>282</v>
      </c>
      <c r="C36" s="48" t="str">
        <f aca="false">"No goal"</f>
        <v>No goal</v>
      </c>
      <c r="E36" s="49" t="s">
        <v>471</v>
      </c>
    </row>
    <row r="38" customFormat="false" ht="15" hidden="false" customHeight="true" outlineLevel="0" collapsed="false">
      <c r="B38" s="13" t="s">
        <v>290</v>
      </c>
      <c r="C38" s="14"/>
      <c r="D38" s="14"/>
      <c r="E38" s="14"/>
      <c r="F38" s="14"/>
      <c r="G38" s="14"/>
    </row>
    <row r="39" customFormat="false" ht="15" hidden="false" customHeight="true" outlineLevel="0" collapsed="false">
      <c r="B39" s="52" t="s">
        <v>1008</v>
      </c>
      <c r="C39" s="52" t="str">
        <f aca="false">IF(Years="","Choose your years to see this",IF(Growth_Rate="","Choose your growth rate to see this",IF(Fee_B="","Choose your fee B to see this",IF(NOT(ISNUMBER(Used_Amount_Invested)),IF(Used_Amount_Invested="",IF(Amount_Invested="","Choose your amount invested to see this",""),Used_Amount_Invested),IF(NOT(ISNUMBER(Used_Fee_A)),IF(Used_Fee_A="",IF(Fee_A="","Choose your fee A to see this",""),Used_Fee_A),"")))))</f>
        <v>Choose your years to see this</v>
      </c>
    </row>
    <row r="40" customFormat="false" ht="15" hidden="false" customHeight="true" outlineLevel="0" collapsed="false">
      <c r="B40" s="52" t="s">
        <v>1009</v>
      </c>
      <c r="C40" s="52" t="str">
        <f aca="false">IF(Years="","Choose your years to see this",IF(Growth_Rate="","Choose your growth rate to see this",IF(NOT(ISNUMBER(Used_Amount_Invested)),IF(Used_Amount_Invested="",IF(Amount_Invested="","Choose your amount invested to see this",""),Used_Amount_Invested),IF(NOT(ISNUMBER(Used_Fee_A)),IF(Used_Fee_A="",IF(Fee_A="","Choose your fee A to see this",""),Used_Fee_A),""))))</f>
        <v>Choose your years to see this</v>
      </c>
    </row>
    <row r="41" customFormat="false" ht="15" hidden="false" customHeight="true" outlineLevel="0" collapsed="false">
      <c r="B41" s="52" t="s">
        <v>1010</v>
      </c>
      <c r="C41" s="52" t="str">
        <f aca="false">IF(Years="","Choose your years to see this",IF(Growth_Rate="","Choose your growth rate to see this",IF(Fee_B="","Choose your fee B to see this",IF(NOT(ISNUMBER(Used_Amount_Invested)),IF(Used_Amount_Invested="",IF(Amount_Invested="","Choose your amount invested to see this",""),Used_Amount_Invested),""))))</f>
        <v>Choose your years to see this</v>
      </c>
    </row>
    <row r="42" customFormat="false" ht="15" hidden="false" customHeight="true" outlineLevel="0" collapsed="false">
      <c r="B42" s="52" t="s">
        <v>1011</v>
      </c>
      <c r="C42" s="52" t="str">
        <f aca="false">IF(Fee_B="","Choose your fee B to see this",IF(NOT(ISNUMBER(Used_Fee_A)),IF(Used_Fee_A="",IF(Fee_A="","Choose your fee A to see this",""),Used_Fee_A),""))</f>
        <v>Choose your fee B to see this</v>
      </c>
    </row>
  </sheetData>
  <mergeCells count="4">
    <mergeCell ref="B6:E6"/>
    <mergeCell ref="B31:E31"/>
    <mergeCell ref="B32:E32"/>
    <mergeCell ref="B33:E33"/>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8"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8% · steps of 0.5%." errorStyle="stop" errorTitle="Outside the allowed range" operator="between" prompt="Generally the standard is 5% a year before charges and tax for a mixed fund (long-run 5%–6% a year; Irish rules audit B3). Choose what you want to use.  Allowed: 0% to 8% · steps of 0.5%." promptTitle="Growth a year (before fees)" showDropDown="false" showErrorMessage="true" showInputMessage="true" sqref="C14" type="decimal">
      <formula1>0</formula1>
      <formula2>0.08</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invested" showDropDown="false" showErrorMessage="true" showInputMessage="true" sqref="C12" type="decimal">
      <formula1>1000</formula1>
      <formula2>10000000</formula2>
    </dataValidation>
    <dataValidation allowBlank="true" error="Please enter 0% to 3% · steps of 0.1%." errorStyle="stop" errorTitle="Outside the allowed range" operator="between" prompt="Usually between 0.5% and 1.5% a year for fund charges (provider charges; your statement shows yours). Enter your own figure.  Allowed: 0% to 3% · steps of 0.1%." promptTitle="Fee A a year" showDropDown="false" showErrorMessage="true" showInputMessage="true" sqref="C15" type="decimal">
      <formula1>0</formula1>
      <formula2>0.03</formula2>
    </dataValidation>
    <dataValidation allowBlank="true" error="Please enter 0% to 3% · steps of 0.1%." errorStyle="stop" errorTitle="Outside the allowed range" operator="between" prompt="Usually between 0.5% and 1.5% a year for fund charges (provider charges; your statement shows yours). Enter your own figure.  Allowed: 0% to 3% · steps of 0.1%." promptTitle="Fee B a year" showDropDown="false" showErrorMessage="true" showInputMessage="true" sqref="C16" type="decimal">
      <formula1>0</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1012</v>
      </c>
      <c r="E1" s="3" t="s">
        <v>1013</v>
      </c>
    </row>
    <row r="2" customFormat="false" ht="15" hidden="false" customHeight="true" outlineLevel="0" collapsed="false">
      <c r="B2" s="21" t="s">
        <v>1014</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1015</v>
      </c>
    </row>
    <row r="5" customFormat="false" ht="15" hidden="false" customHeight="true" outlineLevel="0" collapsed="false">
      <c r="B5" s="13" t="s">
        <v>302</v>
      </c>
      <c r="C5" s="14"/>
      <c r="D5" s="14"/>
      <c r="E5" s="14"/>
      <c r="F5" s="14"/>
      <c r="G5" s="14"/>
    </row>
    <row r="6" customFormat="false" ht="27.75" hidden="false" customHeight="true" outlineLevel="0" collapsed="false">
      <c r="B6" s="53" t="s">
        <v>629</v>
      </c>
      <c r="C6" s="53"/>
      <c r="D6" s="53"/>
      <c r="E6" s="53"/>
    </row>
    <row r="7" customFormat="false" ht="15" hidden="false" customHeight="true" outlineLevel="0" collapsed="false">
      <c r="B7" s="25" t="s">
        <v>630</v>
      </c>
      <c r="C7" s="54"/>
      <c r="D7" s="27" t="s">
        <v>217</v>
      </c>
      <c r="E7" s="28" t="s">
        <v>631</v>
      </c>
      <c r="G7" s="52" t="s">
        <v>306</v>
      </c>
    </row>
    <row r="8" customFormat="false" ht="15" hidden="false" customHeight="true" outlineLevel="0" collapsed="false">
      <c r="B8" s="25" t="s">
        <v>1016</v>
      </c>
      <c r="C8" s="55"/>
      <c r="D8" s="27" t="s">
        <v>228</v>
      </c>
      <c r="E8" s="28" t="s">
        <v>1017</v>
      </c>
      <c r="G8" s="52" t="s">
        <v>306</v>
      </c>
    </row>
    <row r="9" customFormat="false" ht="15" hidden="false" customHeight="true" outlineLevel="0" collapsed="false">
      <c r="B9" s="25" t="s">
        <v>313</v>
      </c>
      <c r="C9" s="57"/>
      <c r="D9" s="27" t="s">
        <v>314</v>
      </c>
      <c r="E9" s="28" t="s">
        <v>315</v>
      </c>
      <c r="G9" s="52" t="s">
        <v>306</v>
      </c>
    </row>
    <row r="11" customFormat="false" ht="15" hidden="false" customHeight="true" outlineLevel="0" collapsed="false">
      <c r="B11" s="13" t="s">
        <v>316</v>
      </c>
      <c r="C11" s="24" t="s">
        <v>213</v>
      </c>
      <c r="D11" s="24" t="s">
        <v>214</v>
      </c>
      <c r="E11" s="24" t="s">
        <v>215</v>
      </c>
      <c r="F11" s="14"/>
      <c r="G11" s="14"/>
    </row>
    <row r="12" customFormat="false" ht="21.75" hidden="false" customHeight="true" outlineLevel="0" collapsed="false">
      <c r="B12" s="25" t="s">
        <v>634</v>
      </c>
      <c r="C12" s="26"/>
      <c r="D12" s="27" t="s">
        <v>217</v>
      </c>
      <c r="E12" s="28" t="s">
        <v>991</v>
      </c>
      <c r="F12" s="29" t="n">
        <v>20000</v>
      </c>
      <c r="G12" s="30" t="str">
        <f aca="false">IF(ISBLANK(C12),IF(Fill_Example="Yes",F12,""),C12)</f>
        <v/>
      </c>
    </row>
    <row r="13" customFormat="false" ht="15" hidden="false" customHeight="true" outlineLevel="0" collapsed="false">
      <c r="B13" s="25" t="s">
        <v>603</v>
      </c>
      <c r="C13" s="38"/>
      <c r="D13" s="27" t="s">
        <v>231</v>
      </c>
      <c r="E13" s="28" t="s">
        <v>236</v>
      </c>
      <c r="F13" s="39" t="n">
        <v>10</v>
      </c>
      <c r="G13" s="40" t="str">
        <f aca="false">IF(ISBLANK(C13),IF(Fill_Example="Yes",F13,""),C13)</f>
        <v/>
      </c>
    </row>
    <row r="14" customFormat="false" ht="21.75" hidden="false" customHeight="true" outlineLevel="0" collapsed="false">
      <c r="B14" s="25" t="s">
        <v>1018</v>
      </c>
      <c r="C14" s="38"/>
      <c r="D14" s="27" t="s">
        <v>1019</v>
      </c>
      <c r="E14" s="35" t="s">
        <v>1020</v>
      </c>
      <c r="F14" s="39" t="n">
        <v>2</v>
      </c>
      <c r="G14" s="40" t="str">
        <f aca="false">IF(ISBLANK(C14),IF(Fill_Example="Yes",F14,""),C14)</f>
        <v/>
      </c>
    </row>
    <row r="15" customFormat="false" ht="21.75" hidden="false" customHeight="true" outlineLevel="0" collapsed="false">
      <c r="B15" s="25" t="s">
        <v>1021</v>
      </c>
      <c r="C15" s="34"/>
      <c r="D15" s="27" t="s">
        <v>228</v>
      </c>
      <c r="E15" s="35" t="s">
        <v>1022</v>
      </c>
      <c r="F15" s="36" t="n">
        <v>0.02</v>
      </c>
      <c r="G15" s="37" t="str">
        <f aca="false">IF(ISBLANK(C15),IF(Fill_Example="Yes",F15,""),C15)</f>
        <v/>
      </c>
    </row>
    <row r="16" customFormat="false" ht="21.75" hidden="false" customHeight="true" outlineLevel="0" collapsed="false">
      <c r="B16" s="25" t="s">
        <v>1023</v>
      </c>
      <c r="C16" s="34"/>
      <c r="D16" s="27" t="s">
        <v>228</v>
      </c>
      <c r="E16" s="35" t="s">
        <v>1024</v>
      </c>
      <c r="F16" s="36" t="n">
        <v>0.04</v>
      </c>
      <c r="G16" s="37" t="str">
        <f aca="false">IF(ISBLANK(C16),IF(Fill_Example="Yes",F16,""),C16)</f>
        <v/>
      </c>
    </row>
    <row r="17" customFormat="false" ht="21.75" hidden="false" customHeight="true" outlineLevel="0" collapsed="false">
      <c r="B17" s="25" t="s">
        <v>1025</v>
      </c>
      <c r="C17" s="34"/>
      <c r="D17" s="27" t="s">
        <v>228</v>
      </c>
      <c r="E17" s="35" t="s">
        <v>1026</v>
      </c>
      <c r="F17" s="36" t="n">
        <v>0.06</v>
      </c>
      <c r="G17" s="37" t="str">
        <f aca="false">IF(ISBLANK(C17),IF(Fill_Example="Yes",F17,""),C17)</f>
        <v/>
      </c>
    </row>
    <row r="18" customFormat="false" ht="21.75" hidden="false" customHeight="true" outlineLevel="0" collapsed="false">
      <c r="B18" s="25" t="s">
        <v>1027</v>
      </c>
      <c r="C18" s="34"/>
      <c r="D18" s="27" t="s">
        <v>228</v>
      </c>
      <c r="E18" s="35" t="s">
        <v>1028</v>
      </c>
      <c r="F18" s="36" t="n">
        <v>0.05</v>
      </c>
      <c r="G18" s="37" t="str">
        <f aca="false">IF(ISBLANK(C18),IF(Fill_Example="Yes",F18,""),C18)</f>
        <v/>
      </c>
    </row>
    <row r="19" customFormat="false" ht="21.75" hidden="false" customHeight="true" outlineLevel="0" collapsed="false">
      <c r="B19" s="25" t="s">
        <v>1029</v>
      </c>
      <c r="C19" s="34"/>
      <c r="D19" s="27" t="s">
        <v>228</v>
      </c>
      <c r="E19" s="35" t="s">
        <v>1030</v>
      </c>
      <c r="F19" s="36" t="n">
        <v>0.1</v>
      </c>
      <c r="G19" s="37" t="str">
        <f aca="false">IF(ISBLANK(C19),IF(Fill_Example="Yes",F19,""),C19)</f>
        <v/>
      </c>
    </row>
    <row r="20" customFormat="false" ht="21.75" hidden="false" customHeight="true" outlineLevel="0" collapsed="false">
      <c r="B20" s="25" t="s">
        <v>1031</v>
      </c>
      <c r="C20" s="34"/>
      <c r="D20" s="27" t="s">
        <v>228</v>
      </c>
      <c r="E20" s="35" t="s">
        <v>1032</v>
      </c>
      <c r="F20" s="36" t="n">
        <v>0.16</v>
      </c>
      <c r="G20" s="37" t="str">
        <f aca="false">IF(ISBLANK(C20),IF(Fill_Example="Yes",F20,""),C20)</f>
        <v/>
      </c>
    </row>
    <row r="22" customFormat="false" ht="15" hidden="false" customHeight="true" outlineLevel="0" collapsed="false">
      <c r="B22" s="13" t="s">
        <v>326</v>
      </c>
      <c r="C22" s="14"/>
      <c r="D22" s="14"/>
      <c r="E22" s="14"/>
      <c r="F22" s="14"/>
      <c r="G22" s="14"/>
    </row>
    <row r="23" customFormat="false" ht="15" hidden="false" customHeight="true" outlineLevel="0" collapsed="false">
      <c r="B23" s="25" t="s">
        <v>634</v>
      </c>
      <c r="C23" s="58" t="str">
        <f aca="false">IF(ISBLANK(Stmt_Total_Value),Amount,Stmt_Total_Value)</f>
        <v/>
      </c>
      <c r="D23" s="59" t="str">
        <f aca="false">IF(ISBLANK(Stmt_Total_Value),"Your figure","From your statement")</f>
        <v>Your figure</v>
      </c>
      <c r="E23" s="49" t="s">
        <v>645</v>
      </c>
    </row>
    <row r="24" customFormat="false" ht="15" hidden="false" customHeight="true" outlineLevel="0" collapsed="false">
      <c r="B24" s="25" t="s">
        <v>1033</v>
      </c>
      <c r="C24" s="61" t="str">
        <f aca="false">IF(ISBLANK(Stmt_Shares_Pct),Style,IF(Stmt_Shares_Pct&gt;=Shares_For_Growth,3,IF(Stmt_Shares_Pct&gt;=Shares_For_Balanced,2,1)))</f>
        <v/>
      </c>
      <c r="D24" s="59" t="str">
        <f aca="false">IF(ISBLANK(Stmt_Shares_Pct),"Your figure","From your statement (holdings in shares)")</f>
        <v>Your figure</v>
      </c>
      <c r="E24" s="49" t="s">
        <v>1034</v>
      </c>
    </row>
    <row r="25" customFormat="false" ht="21.75" hidden="false" customHeight="true" outlineLevel="0" collapsed="false">
      <c r="B25" s="25" t="s">
        <v>332</v>
      </c>
      <c r="C25" s="45" t="str">
        <f aca="true">IF(ISBLANK(Stmt_Statement_Date),"",IF(TODAY()-Stmt_Statement_Date&gt;Statement_Max_Age_Days,"Needs a look: statement is more than 12 months old","Up to date"))</f>
        <v/>
      </c>
      <c r="D25" s="27"/>
      <c r="E25" s="42" t="s">
        <v>333</v>
      </c>
    </row>
    <row r="27" customFormat="false" ht="15" hidden="false" customHeight="true" outlineLevel="0" collapsed="false">
      <c r="B27" s="13" t="s">
        <v>239</v>
      </c>
      <c r="C27" s="24" t="s">
        <v>240</v>
      </c>
      <c r="D27" s="24" t="s">
        <v>241</v>
      </c>
      <c r="E27" s="24" t="s">
        <v>242</v>
      </c>
      <c r="F27" s="14"/>
      <c r="G27" s="14"/>
    </row>
    <row r="28" customFormat="false" ht="17.25" hidden="false" customHeight="true" outlineLevel="0" collapsed="false">
      <c r="B28" s="21" t="s">
        <v>1035</v>
      </c>
      <c r="C28" s="41" t="str">
        <f aca="false">IF(Need_1&lt;&gt;"",Need_1,Used_Amount*(1+Middle_Growth)^Years)</f>
        <v>Choose your years to see this</v>
      </c>
      <c r="D28" s="63" t="str">
        <f aca="false">IF(Need_1&lt;&gt;"",Need_1,Style_Name&amp;" · middle outcome")</f>
        <v>Choose your years to see this</v>
      </c>
      <c r="E28" s="42" t="s">
        <v>1036</v>
      </c>
    </row>
    <row r="29" customFormat="false" ht="17.25" hidden="false" customHeight="true" outlineLevel="0" collapsed="false">
      <c r="B29" s="21" t="s">
        <v>1037</v>
      </c>
      <c r="C29" s="41" t="str">
        <f aca="false">IF(Need_2&lt;&gt;"",Need_2,Used_Amount*(1+Middle_Growth-Spread)^Years)</f>
        <v>Choose your years to see this</v>
      </c>
      <c r="D29" s="27" t="s">
        <v>217</v>
      </c>
      <c r="E29" s="42" t="s">
        <v>1038</v>
      </c>
    </row>
    <row r="30" customFormat="false" ht="17.25" hidden="false" customHeight="true" outlineLevel="0" collapsed="false">
      <c r="B30" s="21" t="s">
        <v>1039</v>
      </c>
      <c r="C30" s="41" t="str">
        <f aca="false">IF(Need_2&lt;&gt;"",Need_2,Used_Amount*(1+Middle_Growth+Spread)^Years)</f>
        <v>Choose your years to see this</v>
      </c>
      <c r="D30" s="27" t="s">
        <v>217</v>
      </c>
      <c r="E30" s="42" t="s">
        <v>1040</v>
      </c>
    </row>
    <row r="31" customFormat="false" ht="15" hidden="false" customHeight="true" outlineLevel="0" collapsed="false">
      <c r="B31" s="25" t="s">
        <v>1041</v>
      </c>
      <c r="C31" s="65" t="str">
        <f aca="false">IF(Need_3&lt;&gt;"",Need_3,ROUND((Volatility*One_In_20_Z-Middle_Growth)*100,0)/100)</f>
        <v>Choose your cautious growth to see this</v>
      </c>
      <c r="D31" s="27" t="s">
        <v>228</v>
      </c>
      <c r="E31" s="42" t="s">
        <v>1042</v>
      </c>
    </row>
    <row r="32" customFormat="false" ht="15" hidden="false" customHeight="true" outlineLevel="0" collapsed="false">
      <c r="B32" s="25" t="s">
        <v>1033</v>
      </c>
      <c r="C32" s="45" t="str">
        <f aca="false">IF(Need_4&lt;&gt;"",Need_4,IF(OR(Used_Style&lt;1,Used_Style&gt;3,Used_Style&lt;&gt;INT(Used_Style)),"Choose 1, 2 or 3",INDEX(Risk_Names,Used_Style)))</f>
        <v>Choose your investment style to see this</v>
      </c>
      <c r="D32" s="27"/>
      <c r="E32" s="42" t="s">
        <v>1043</v>
      </c>
    </row>
    <row r="33" customFormat="false" ht="15" hidden="false" customHeight="true" outlineLevel="0" collapsed="false">
      <c r="B33" s="25" t="s">
        <v>1044</v>
      </c>
      <c r="C33" s="65" t="str">
        <f aca="false">IF(Need_5&lt;&gt;"",Need_5,CHOOSE(Used_Style,Mu_Cautious,Mu_Balanced,Mu_Growth))</f>
        <v>Choose your cautious growth to see this</v>
      </c>
      <c r="D33" s="27" t="s">
        <v>228</v>
      </c>
      <c r="E33" s="42" t="s">
        <v>1045</v>
      </c>
    </row>
    <row r="34" customFormat="false" ht="15" hidden="false" customHeight="true" outlineLevel="0" collapsed="false">
      <c r="B34" s="25" t="s">
        <v>1046</v>
      </c>
      <c r="C34" s="65" t="str">
        <f aca="false">IF(Need_6&lt;&gt;"",Need_6,CHOOSE(Used_Style,Vol_Cautious,Vol_Balanced,Vol_Growth))</f>
        <v>Choose your cautious volatility to see this</v>
      </c>
      <c r="D34" s="27" t="s">
        <v>228</v>
      </c>
      <c r="E34" s="42" t="s">
        <v>1047</v>
      </c>
    </row>
    <row r="35" customFormat="false" ht="15" hidden="false" customHeight="true" outlineLevel="0" collapsed="false">
      <c r="B35" s="25" t="s">
        <v>1048</v>
      </c>
      <c r="C35" s="64" t="str">
        <f aca="false">IF(Need_7&lt;&gt;"",Need_7,Volatility/SQRT(Years))</f>
        <v>Choose your years to see this</v>
      </c>
      <c r="D35" s="27"/>
      <c r="E35" s="42" t="s">
        <v>1049</v>
      </c>
    </row>
    <row r="37" customFormat="false" ht="15" hidden="false" customHeight="true" outlineLevel="0" collapsed="false">
      <c r="B37" s="13" t="s">
        <v>272</v>
      </c>
      <c r="C37" s="14"/>
      <c r="D37" s="14"/>
      <c r="E37" s="14"/>
      <c r="F37" s="14"/>
      <c r="G37" s="14"/>
    </row>
    <row r="38" customFormat="false" ht="27.75" hidden="false" customHeight="true" outlineLevel="0" collapsed="false">
      <c r="B38" s="46" t="s">
        <v>1050</v>
      </c>
      <c r="C38" s="46"/>
      <c r="D38" s="46"/>
      <c r="E38" s="46"/>
    </row>
    <row r="39" customFormat="false" ht="13.5" hidden="false" customHeight="true" outlineLevel="0" collapsed="false">
      <c r="B39" s="46" t="s">
        <v>1051</v>
      </c>
      <c r="C39" s="46"/>
      <c r="D39" s="46"/>
      <c r="E39" s="46"/>
    </row>
    <row r="40" customFormat="false" ht="13.5" hidden="false" customHeight="true" outlineLevel="0" collapsed="false">
      <c r="B40" s="47" t="s">
        <v>276</v>
      </c>
      <c r="C40" s="47"/>
      <c r="D40" s="47"/>
      <c r="E40" s="47"/>
    </row>
    <row r="41" customFormat="false" ht="13.5" hidden="false" customHeight="true" outlineLevel="0" collapsed="false">
      <c r="B41" s="46" t="s">
        <v>1052</v>
      </c>
      <c r="C41" s="46"/>
      <c r="D41" s="46"/>
      <c r="E41" s="46"/>
    </row>
    <row r="42" customFormat="false" ht="13.5" hidden="false" customHeight="true" outlineLevel="0" collapsed="false">
      <c r="B42" s="46" t="s">
        <v>1053</v>
      </c>
      <c r="C42" s="46"/>
      <c r="D42" s="46"/>
      <c r="E42" s="46"/>
    </row>
    <row r="44" customFormat="false" ht="15" hidden="false" customHeight="true" outlineLevel="0" collapsed="false">
      <c r="B44" s="13" t="s">
        <v>281</v>
      </c>
      <c r="C44" s="14"/>
      <c r="D44" s="14"/>
      <c r="E44" s="14"/>
      <c r="F44" s="14"/>
      <c r="G44" s="14"/>
    </row>
    <row r="45" customFormat="false" ht="15" hidden="false" customHeight="true" outlineLevel="0" collapsed="false">
      <c r="B45" s="25" t="s">
        <v>282</v>
      </c>
      <c r="C45" s="48" t="str">
        <f aca="false">"No goal"</f>
        <v>No goal</v>
      </c>
      <c r="E45" s="49" t="s">
        <v>471</v>
      </c>
    </row>
    <row r="47" customFormat="false" ht="15" hidden="false" customHeight="true" outlineLevel="0" collapsed="false">
      <c r="B47" s="13" t="s">
        <v>290</v>
      </c>
      <c r="C47" s="14"/>
      <c r="D47" s="14"/>
      <c r="E47" s="14"/>
      <c r="F47" s="14"/>
      <c r="G47" s="14"/>
    </row>
    <row r="48" customFormat="false" ht="15" hidden="false" customHeight="true" outlineLevel="0" collapsed="false">
      <c r="B48" s="52" t="s">
        <v>1054</v>
      </c>
      <c r="C48" s="52" t="str">
        <f aca="false">IF(Years="","Choose your years to see this",IF(Mu_Cautious="","Choose your cautious growth to see this",IF(Mu_Balanced="","Choose your balanced growth to see this",IF(Mu_Growth="","Choose your growth-style growth to see this",IF(NOT(ISNUMBER(Used_Amount)),IF(Used_Amount="",IF(Amount="","Choose your amount to see this",""),Used_Amount),IF(NOT(ISNUMBER(Used_Style)),IF(Used_Style="",IF(Style="","Choose your investment style to see this",""),Used_Style),""))))))</f>
        <v>Choose your years to see this</v>
      </c>
    </row>
    <row r="49" customFormat="false" ht="15" hidden="false" customHeight="true" outlineLevel="0" collapsed="false">
      <c r="B49" s="52" t="s">
        <v>1055</v>
      </c>
      <c r="C49" s="52" t="str">
        <f aca="false">IF(Years="","Choose your years to see this",IF(Mu_Cautious="","Choose your cautious growth to see this",IF(Mu_Balanced="","Choose your balanced growth to see this",IF(Mu_Growth="","Choose your growth-style growth to see this",IF(Vol_Cautious="","Choose your cautious volatility to see this",IF(Vol_Balanced="","Choose your balanced volatility to see this",IF(Vol_Growth="","Choose your growth-style volatility to see this",IF(NOT(ISNUMBER(Used_Amount)),IF(Used_Amount="",IF(Amount="","Choose your amount to see this",""),Used_Amount),IF(NOT(ISNUMBER(Used_Style)),IF(Used_Style="",IF(Style="","Choose your investment style to see this",""),Used_Style),"")))))))))</f>
        <v>Choose your years to see this</v>
      </c>
    </row>
    <row r="50" customFormat="false" ht="15" hidden="false" customHeight="true" outlineLevel="0" collapsed="false">
      <c r="B50" s="52" t="s">
        <v>1056</v>
      </c>
      <c r="C50" s="52" t="str">
        <f aca="false">IF(Mu_Cautious="","Choose your cautious growth to see this",IF(Mu_Balanced="","Choose your balanced growth to see this",IF(Mu_Growth="","Choose your growth-style growth to see this",IF(Vol_Cautious="","Choose your cautious volatility to see this",IF(Vol_Balanced="","Choose your balanced volatility to see this",IF(Vol_Growth="","Choose your growth-style volatility to see this",IF(NOT(ISNUMBER(Used_Style)),IF(Used_Style="",IF(Style="","Choose your investment style to see this",""),Used_Style),"")))))))</f>
        <v>Choose your cautious growth to see this</v>
      </c>
    </row>
    <row r="51" customFormat="false" ht="15" hidden="false" customHeight="true" outlineLevel="0" collapsed="false">
      <c r="B51" s="52" t="s">
        <v>1057</v>
      </c>
      <c r="C51" s="52" t="str">
        <f aca="false">IF(NOT(ISNUMBER(Used_Style)),IF(Used_Style="",IF(Style="","Choose your investment style to see this",""),Used_Style),"")</f>
        <v>Choose your investment style to see this</v>
      </c>
    </row>
    <row r="52" customFormat="false" ht="15" hidden="false" customHeight="true" outlineLevel="0" collapsed="false">
      <c r="B52" s="52" t="s">
        <v>1058</v>
      </c>
      <c r="C52" s="52" t="str">
        <f aca="false">IF(Mu_Cautious="","Choose your cautious growth to see this",IF(Mu_Balanced="","Choose your balanced growth to see this",IF(Mu_Growth="","Choose your growth-style growth to see this",IF(NOT(ISNUMBER(Used_Style)),IF(Used_Style="",IF(Style="","Choose your investment style to see this",""),Used_Style),""))))</f>
        <v>Choose your cautious growth to see this</v>
      </c>
    </row>
    <row r="53" customFormat="false" ht="15" hidden="false" customHeight="true" outlineLevel="0" collapsed="false">
      <c r="B53" s="52" t="s">
        <v>1059</v>
      </c>
      <c r="C53" s="52" t="str">
        <f aca="false">IF(Vol_Cautious="","Choose your cautious volatility to see this",IF(Vol_Balanced="","Choose your balanced volatility to see this",IF(Vol_Growth="","Choose your growth-style volatility to see this",IF(NOT(ISNUMBER(Used_Style)),IF(Used_Style="",IF(Style="","Choose your investment style to see this",""),Used_Style),""))))</f>
        <v>Choose your cautious volatility to see this</v>
      </c>
    </row>
    <row r="54" customFormat="false" ht="15" hidden="false" customHeight="true" outlineLevel="0" collapsed="false">
      <c r="B54" s="52" t="s">
        <v>1060</v>
      </c>
      <c r="C54" s="52" t="str">
        <f aca="false">IF(Years="","Choose your years to see this",IF(Vol_Cautious="","Choose your cautious volatility to see this",IF(Vol_Balanced="","Choose your balanced volatility to see this",IF(Vol_Growth="","Choose your growth-style volatility to see this",IF(NOT(ISNUMBER(Used_Style)),IF(Used_Style="",IF(Style="","Choose your investment style to see this",""),Used_Style),"")))))</f>
        <v>Choose your years to see this</v>
      </c>
    </row>
  </sheetData>
  <mergeCells count="6">
    <mergeCell ref="B6:E6"/>
    <mergeCell ref="B38:E38"/>
    <mergeCell ref="B39:E39"/>
    <mergeCell ref="B40:E40"/>
    <mergeCell ref="B41:E41"/>
    <mergeCell ref="B42:E42"/>
  </mergeCells>
  <dataValidations count="12">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100%." errorStyle="stop" errorTitle="Outside the allowed range" operator="between" prompt="Unit: %. Allowed: 0% to 100%." promptTitle="Holdings in shares % (if shown)" showDropDown="false" showErrorMessage="true" showInputMessage="true" sqref="C8" type="decimal">
      <formula1>0</formula1>
      <formula2>1</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showDropDown="false" showErrorMessage="true" showInputMessage="true" sqref="C12" type="decimal">
      <formula1>1000</formula1>
      <formula2>10000000</formula2>
    </dataValidation>
    <dataValidation allowBlank="true" error="Please enter 1 to 30 · steps of 1." errorStyle="stop" errorTitle="Outside the allowed range" operator="between" prompt="Your own figure.  Allowed: 1 to 30 · steps of 1." promptTitle="Years" showDropDown="false" showErrorMessage="true" showInputMessage="true" sqref="C13" type="whole">
      <formula1>1</formula1>
      <formula2>30</formula2>
    </dataValidation>
    <dataValidation allowBlank="true" error="Please enter 1 or 2 or 3." errorStyle="stop" errorTitle="Outside the allowed range" operator="between" prompt="Generally the standard is 2 Balanced (an adviser checks your attitude to risk). Choose what you want to use.  Allowed: 1 or 2 or 3." promptTitle="Style: 1 Cautious · 2 Balanced ·" showDropDown="false" showErrorMessage="true" showInputMessage="true" sqref="C14" type="list">
      <formula1>"1,2,3"</formula1>
      <formula2>0</formula2>
    </dataValidation>
    <dataValidation allowBlank="true" error="Please enter 0% to 8% · steps of 0.5%." errorStyle="stop" errorTitle="Outside the allowed range" operator="between" prompt="Generally the standard is 2% a year for Cautious (illustration). Choose what you want to use.  Allowed: 0% to 8% · steps of 0.5%." promptTitle="Cautious: middle growth a year" showDropDown="false" showErrorMessage="true" showInputMessage="true" sqref="C15" type="decimal">
      <formula1>0</formula1>
      <formula2>0.08</formula2>
    </dataValidation>
    <dataValidation allowBlank="true" error="Please enter 0% to 8% · steps of 0.5%." errorStyle="stop" errorTitle="Outside the allowed range" operator="between" prompt="Generally the standard is 4% a year for Balanced (illustration). Choose what you want to use.  Allowed: 0% to 8% · steps of 0.5%." promptTitle="Balanced: middle growth a year" showDropDown="false" showErrorMessage="true" showInputMessage="true" sqref="C16" type="decimal">
      <formula1>0</formula1>
      <formula2>0.08</formula2>
    </dataValidation>
    <dataValidation allowBlank="true" error="Please enter 0% to 8% · steps of 0.5%." errorStyle="stop" errorTitle="Outside the allowed range" operator="between" prompt="Generally the standard is 6% a year for Growth (illustration). Choose what you want to use.  Allowed: 0% to 8% · steps of 0.5%." promptTitle="Growth: middle growth a year" showDropDown="false" showErrorMessage="true" showInputMessage="true" sqref="C17" type="decimal">
      <formula1>0</formula1>
      <formula2>0.08</formula2>
    </dataValidation>
    <dataValidation allowBlank="true" error="Please enter 0% to 25% · steps of 0.5%." errorStyle="stop" errorTitle="Outside the allowed range" operator="between" prompt="Generally the standard is 5% a year for Cautious (illustration). Choose what you want to use.  Allowed: 0% to 25% · steps of 0.5%." promptTitle="Cautious: volatility a year" showDropDown="false" showErrorMessage="true" showInputMessage="true" sqref="C18" type="decimal">
      <formula1>0</formula1>
      <formula2>0.25</formula2>
    </dataValidation>
    <dataValidation allowBlank="true" error="Please enter 0% to 25% · steps of 0.5%." errorStyle="stop" errorTitle="Outside the allowed range" operator="between" prompt="Generally the standard is 10% a year for Balanced (illustration). Choose what you want to use.  Allowed: 0% to 25% · steps of 0.5%." promptTitle="Balanced: volatility a year" showDropDown="false" showErrorMessage="true" showInputMessage="true" sqref="C19" type="decimal">
      <formula1>0</formula1>
      <formula2>0.25</formula2>
    </dataValidation>
    <dataValidation allowBlank="true" error="Please enter 0% to 25% · steps of 0.5%." errorStyle="stop" errorTitle="Outside the allowed range" operator="between" prompt="Generally the standard is 16% a year for Growth (illustration). Choose what you want to use.  Allowed: 0% to 25% · steps of 0.5%." promptTitle="Growth: volatility a year" showDropDown="false" showErrorMessage="true" showInputMessage="true" sqref="C20" type="decimal">
      <formula1>0</formula1>
      <formula2>0.25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1061</v>
      </c>
      <c r="E1" s="3" t="s">
        <v>1062</v>
      </c>
    </row>
    <row r="2" customFormat="false" ht="15" hidden="false" customHeight="true" outlineLevel="0" collapsed="false">
      <c r="B2" s="21" t="s">
        <v>1063</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1064</v>
      </c>
    </row>
    <row r="5" customFormat="false" ht="15" hidden="false" customHeight="true" outlineLevel="0" collapsed="false">
      <c r="B5" s="13" t="s">
        <v>302</v>
      </c>
      <c r="C5" s="14"/>
      <c r="D5" s="14"/>
      <c r="E5" s="14"/>
      <c r="F5" s="14"/>
      <c r="G5" s="14"/>
    </row>
    <row r="6" customFormat="false" ht="27.75" hidden="false" customHeight="true" outlineLevel="0" collapsed="false">
      <c r="B6" s="53" t="s">
        <v>303</v>
      </c>
      <c r="C6" s="53"/>
      <c r="D6" s="53"/>
      <c r="E6" s="53"/>
    </row>
    <row r="7" customFormat="false" ht="15" hidden="false" customHeight="true" outlineLevel="0" collapsed="false">
      <c r="B7" s="25" t="s">
        <v>304</v>
      </c>
      <c r="C7" s="54"/>
      <c r="D7" s="27" t="s">
        <v>217</v>
      </c>
      <c r="E7" s="28" t="s">
        <v>305</v>
      </c>
      <c r="G7" s="52" t="s">
        <v>306</v>
      </c>
    </row>
    <row r="8" customFormat="false" ht="15" hidden="false" customHeight="true" outlineLevel="0" collapsed="false">
      <c r="B8" s="25" t="s">
        <v>313</v>
      </c>
      <c r="C8" s="57"/>
      <c r="D8" s="27" t="s">
        <v>314</v>
      </c>
      <c r="E8" s="28" t="s">
        <v>315</v>
      </c>
      <c r="G8" s="52" t="s">
        <v>306</v>
      </c>
    </row>
    <row r="10" customFormat="false" ht="15" hidden="false" customHeight="true" outlineLevel="0" collapsed="false">
      <c r="B10" s="13" t="s">
        <v>316</v>
      </c>
      <c r="C10" s="24" t="s">
        <v>213</v>
      </c>
      <c r="D10" s="24" t="s">
        <v>214</v>
      </c>
      <c r="E10" s="24" t="s">
        <v>215</v>
      </c>
      <c r="F10" s="14"/>
      <c r="G10" s="14"/>
    </row>
    <row r="11" customFormat="false" ht="21.75" hidden="false" customHeight="true" outlineLevel="0" collapsed="false">
      <c r="B11" s="25" t="s">
        <v>216</v>
      </c>
      <c r="C11" s="26"/>
      <c r="D11" s="27" t="s">
        <v>217</v>
      </c>
      <c r="E11" s="28" t="s">
        <v>1065</v>
      </c>
      <c r="F11" s="29" t="n">
        <v>60000</v>
      </c>
      <c r="G11" s="30" t="str">
        <f aca="false">IF(ISBLANK(C11),IF(Fill_Example="Yes",F11,""),C11)</f>
        <v/>
      </c>
    </row>
    <row r="12" customFormat="false" ht="21.75" hidden="false" customHeight="true" outlineLevel="0" collapsed="false">
      <c r="B12" s="25" t="s">
        <v>1066</v>
      </c>
      <c r="C12" s="38"/>
      <c r="D12" s="27" t="s">
        <v>231</v>
      </c>
      <c r="E12" s="35" t="s">
        <v>1067</v>
      </c>
      <c r="F12" s="39" t="n">
        <v>15</v>
      </c>
      <c r="G12" s="40" t="str">
        <f aca="false">IF(ISBLANK(C12),IF(Fill_Example="Yes",F12,""),C12)</f>
        <v/>
      </c>
    </row>
    <row r="13" customFormat="false" ht="21.75" hidden="false" customHeight="true" outlineLevel="0" collapsed="false">
      <c r="B13" s="25" t="s">
        <v>1068</v>
      </c>
      <c r="C13" s="34"/>
      <c r="D13" s="27" t="s">
        <v>228</v>
      </c>
      <c r="E13" s="35" t="s">
        <v>1069</v>
      </c>
      <c r="F13" s="36" t="n">
        <v>0.6</v>
      </c>
      <c r="G13" s="37" t="str">
        <f aca="false">IF(ISBLANK(C13),IF(Fill_Example="Yes",F13,""),C13)</f>
        <v/>
      </c>
    </row>
    <row r="14" customFormat="false" ht="21.75" hidden="false" customHeight="true" outlineLevel="0" collapsed="false">
      <c r="B14" s="25" t="s">
        <v>409</v>
      </c>
      <c r="C14" s="26"/>
      <c r="D14" s="27" t="s">
        <v>217</v>
      </c>
      <c r="E14" s="28" t="s">
        <v>1070</v>
      </c>
      <c r="F14" s="29" t="n">
        <v>250000</v>
      </c>
      <c r="G14" s="30" t="str">
        <f aca="false">IF(ISBLANK(C14),IF(Fill_Example="Yes",F14,""),C14)</f>
        <v/>
      </c>
    </row>
    <row r="15" customFormat="false" ht="15" hidden="false" customHeight="true" outlineLevel="0" collapsed="false">
      <c r="B15" s="25" t="s">
        <v>1071</v>
      </c>
      <c r="C15" s="31"/>
      <c r="D15" s="27" t="s">
        <v>224</v>
      </c>
      <c r="E15" s="28" t="s">
        <v>1072</v>
      </c>
      <c r="F15" s="32" t="s">
        <v>226</v>
      </c>
      <c r="G15" s="33" t="str">
        <f aca="false">IF(ISBLANK(C15),IF(Fill_Example="Yes",F15,""),C15)</f>
        <v/>
      </c>
    </row>
    <row r="16" customFormat="false" ht="21.75" hidden="false" customHeight="true" outlineLevel="0" collapsed="false">
      <c r="B16" s="25" t="s">
        <v>1073</v>
      </c>
      <c r="C16" s="26"/>
      <c r="D16" s="27" t="s">
        <v>217</v>
      </c>
      <c r="E16" s="28" t="s">
        <v>1074</v>
      </c>
      <c r="F16" s="29" t="n">
        <v>10000</v>
      </c>
      <c r="G16" s="30" t="str">
        <f aca="false">IF(ISBLANK(C16),IF(Fill_Example="Yes",F16,""),C16)</f>
        <v/>
      </c>
    </row>
    <row r="17" customFormat="false" ht="21.75" hidden="false" customHeight="true" outlineLevel="0" collapsed="false">
      <c r="B17" s="25" t="s">
        <v>1075</v>
      </c>
      <c r="C17" s="26"/>
      <c r="D17" s="27" t="s">
        <v>217</v>
      </c>
      <c r="E17" s="28" t="s">
        <v>1076</v>
      </c>
      <c r="F17" s="29" t="n">
        <v>20000</v>
      </c>
      <c r="G17" s="30" t="str">
        <f aca="false">IF(ISBLANK(C17),IF(Fill_Example="Yes",F17,""),C17)</f>
        <v/>
      </c>
    </row>
    <row r="18" customFormat="false" ht="15" hidden="false" customHeight="true" outlineLevel="0" collapsed="false">
      <c r="B18" s="25" t="s">
        <v>1077</v>
      </c>
      <c r="C18" s="26"/>
      <c r="D18" s="27" t="s">
        <v>217</v>
      </c>
      <c r="E18" s="28" t="s">
        <v>1078</v>
      </c>
      <c r="F18" s="29" t="n">
        <v>100000</v>
      </c>
      <c r="G18" s="30" t="str">
        <f aca="false">IF(ISBLANK(C18),IF(Fill_Example="Yes",F18,""),C18)</f>
        <v/>
      </c>
    </row>
    <row r="19" customFormat="false" ht="33" hidden="false" customHeight="true" outlineLevel="0" collapsed="false">
      <c r="B19" s="25" t="s">
        <v>1079</v>
      </c>
      <c r="C19" s="82"/>
      <c r="D19" s="27" t="s">
        <v>1080</v>
      </c>
      <c r="E19" s="35" t="s">
        <v>1081</v>
      </c>
      <c r="F19" s="83" t="n">
        <f aca="false">Survivor_Pension_Week</f>
        <v>259.5</v>
      </c>
      <c r="G19" s="84" t="str">
        <f aca="false">IF(ISBLANK(C19),IF(Fill_Example="Yes",F19,""),C19)</f>
        <v/>
      </c>
    </row>
    <row r="21" customFormat="false" ht="15" hidden="false" customHeight="true" outlineLevel="0" collapsed="false">
      <c r="B21" s="13" t="s">
        <v>326</v>
      </c>
      <c r="C21" s="14"/>
      <c r="D21" s="14"/>
      <c r="E21" s="14"/>
      <c r="F21" s="14"/>
      <c r="G21" s="14"/>
    </row>
    <row r="22" customFormat="false" ht="15" hidden="false" customHeight="true" outlineLevel="0" collapsed="false">
      <c r="B22" s="25" t="s">
        <v>409</v>
      </c>
      <c r="C22" s="58" t="str">
        <f aca="false">IF(ISBLANK(Stmt_Balance),Mortgage_Balance,Stmt_Balance)</f>
        <v/>
      </c>
      <c r="D22" s="59" t="str">
        <f aca="false">IF(ISBLANK(Stmt_Balance),"Your figure","From your statement")</f>
        <v>Your figure</v>
      </c>
      <c r="E22" s="49" t="s">
        <v>416</v>
      </c>
    </row>
    <row r="23" customFormat="false" ht="21.75" hidden="false" customHeight="true" outlineLevel="0" collapsed="false">
      <c r="B23" s="25" t="s">
        <v>332</v>
      </c>
      <c r="C23" s="45" t="str">
        <f aca="true">IF(ISBLANK(Stmt_Statement_Date),"",IF(TODAY()-Stmt_Statement_Date&gt;Statement_Max_Age_Days,"Needs a look: statement is more than 12 months old","Up to date"))</f>
        <v/>
      </c>
      <c r="D23" s="27"/>
      <c r="E23" s="42" t="s">
        <v>333</v>
      </c>
    </row>
    <row r="25" customFormat="false" ht="15" hidden="false" customHeight="true" outlineLevel="0" collapsed="false">
      <c r="B25" s="13" t="s">
        <v>239</v>
      </c>
      <c r="C25" s="24" t="s">
        <v>240</v>
      </c>
      <c r="D25" s="24" t="s">
        <v>241</v>
      </c>
      <c r="E25" s="24" t="s">
        <v>242</v>
      </c>
      <c r="F25" s="14"/>
      <c r="G25" s="14"/>
    </row>
    <row r="26" customFormat="false" ht="17.25" hidden="false" customHeight="true" outlineLevel="0" collapsed="false">
      <c r="B26" s="21" t="s">
        <v>1082</v>
      </c>
      <c r="C26" s="41" t="str">
        <f aca="false">IF(Need_1&lt;&gt;"",Need_1,MAX(0,Income_Need+Debts_To_Clear-Already_Have))</f>
        <v>Choose your gross yearly income to see this</v>
      </c>
      <c r="D26" s="27" t="s">
        <v>217</v>
      </c>
      <c r="E26" s="42" t="s">
        <v>1083</v>
      </c>
    </row>
    <row r="27" customFormat="false" ht="17.25" hidden="false" customHeight="true" outlineLevel="0" collapsed="false">
      <c r="B27" s="21" t="s">
        <v>1084</v>
      </c>
      <c r="C27" s="41" t="str">
        <f aca="false">IF(Need_2&lt;&gt;"",Need_2,MAX(0,Yearly_Income*Life_Replace-Survivor_Pension*Weeks_Per_Year)*Years_Support)</f>
        <v>Choose your gross yearly income to see this</v>
      </c>
      <c r="D27" s="27" t="s">
        <v>217</v>
      </c>
      <c r="E27" s="42" t="s">
        <v>1085</v>
      </c>
    </row>
    <row r="28" customFormat="false" ht="17.25" hidden="false" customHeight="true" outlineLevel="0" collapsed="false">
      <c r="B28" s="21" t="s">
        <v>1086</v>
      </c>
      <c r="C28" s="41" t="str">
        <f aca="false">IF(Need_3&lt;&gt;"",Need_3,IF(Mortgage_Protected="Yes",0,Used_Mortgage_Balance)+Other_Debts)</f>
        <v>Choose your mortgage protection answer to see this</v>
      </c>
      <c r="D28" s="27" t="s">
        <v>217</v>
      </c>
      <c r="E28" s="42" t="s">
        <v>1087</v>
      </c>
    </row>
    <row r="29" customFormat="false" ht="15" hidden="false" customHeight="true" outlineLevel="0" collapsed="false">
      <c r="B29" s="25" t="s">
        <v>1088</v>
      </c>
      <c r="C29" s="43" t="str">
        <f aca="false">IF(Need_4&lt;&gt;"",Need_4,Existing_Cover+Savings)</f>
        <v>Choose your savings &amp; investments to see this</v>
      </c>
      <c r="D29" s="27" t="s">
        <v>217</v>
      </c>
      <c r="E29" s="42" t="s">
        <v>1089</v>
      </c>
    </row>
    <row r="30" customFormat="false" ht="15" hidden="false" customHeight="true" outlineLevel="0" collapsed="false">
      <c r="B30" s="25" t="s">
        <v>1090</v>
      </c>
      <c r="C30" s="43" t="str">
        <f aca="false">IF(Need_5&lt;&gt;"",Need_5,Yearly_Income*Life_Replace*Years_Support)</f>
        <v>Choose your gross yearly income to see this</v>
      </c>
      <c r="D30" s="27" t="s">
        <v>217</v>
      </c>
      <c r="E30" s="42" t="s">
        <v>1091</v>
      </c>
    </row>
    <row r="32" customFormat="false" ht="15" hidden="false" customHeight="true" outlineLevel="0" collapsed="false">
      <c r="B32" s="13" t="s">
        <v>272</v>
      </c>
      <c r="C32" s="14"/>
      <c r="D32" s="14"/>
      <c r="E32" s="14"/>
      <c r="F32" s="14"/>
      <c r="G32" s="14"/>
    </row>
    <row r="33" customFormat="false" ht="13.5" hidden="false" customHeight="true" outlineLevel="0" collapsed="false">
      <c r="B33" s="46" t="s">
        <v>1092</v>
      </c>
      <c r="C33" s="46"/>
      <c r="D33" s="46"/>
      <c r="E33" s="46"/>
    </row>
    <row r="34" customFormat="false" ht="27.75" hidden="false" customHeight="true" outlineLevel="0" collapsed="false">
      <c r="B34" s="46" t="s">
        <v>1093</v>
      </c>
      <c r="C34" s="46"/>
      <c r="D34" s="46"/>
      <c r="E34" s="46"/>
    </row>
    <row r="35" customFormat="false" ht="13.5" hidden="false" customHeight="true" outlineLevel="0" collapsed="false">
      <c r="B35" s="46" t="s">
        <v>1094</v>
      </c>
      <c r="C35" s="46"/>
      <c r="D35" s="46"/>
      <c r="E35" s="46"/>
    </row>
    <row r="36" customFormat="false" ht="13.5" hidden="false" customHeight="true" outlineLevel="0" collapsed="false">
      <c r="B36" s="47" t="s">
        <v>276</v>
      </c>
      <c r="C36" s="47"/>
      <c r="D36" s="47"/>
      <c r="E36" s="47"/>
    </row>
    <row r="37" customFormat="false" ht="13.5" hidden="false" customHeight="true" outlineLevel="0" collapsed="false">
      <c r="B37" s="46" t="s">
        <v>1095</v>
      </c>
      <c r="C37" s="46"/>
      <c r="D37" s="46"/>
      <c r="E37" s="46"/>
    </row>
    <row r="38" customFormat="false" ht="13.5" hidden="false" customHeight="true" outlineLevel="0" collapsed="false">
      <c r="B38" s="46" t="s">
        <v>1096</v>
      </c>
      <c r="C38" s="46"/>
      <c r="D38" s="46"/>
      <c r="E38" s="46"/>
    </row>
    <row r="40" customFormat="false" ht="15" hidden="false" customHeight="true" outlineLevel="0" collapsed="false">
      <c r="B40" s="13" t="s">
        <v>281</v>
      </c>
      <c r="C40" s="14"/>
      <c r="D40" s="14"/>
      <c r="E40" s="14"/>
      <c r="F40" s="14"/>
      <c r="G40" s="14"/>
    </row>
    <row r="41" customFormat="false" ht="15" hidden="false" customHeight="true" outlineLevel="0" collapsed="false">
      <c r="B41" s="25" t="s">
        <v>282</v>
      </c>
      <c r="C41" s="48" t="str">
        <f aca="false">"No goal: record a protection need for the adviser"</f>
        <v>No goal: record a protection need for the adviser</v>
      </c>
      <c r="E41" s="49" t="s">
        <v>1097</v>
      </c>
    </row>
    <row r="42" customFormat="false" ht="15" hidden="false" customHeight="true" outlineLevel="0" collapsed="false">
      <c r="B42" s="25" t="s">
        <v>1098</v>
      </c>
      <c r="C42" s="50" t="str">
        <f aca="false">IF(Need_1&lt;&gt;"",Need_1,Cover_Gap)</f>
        <v>Choose your gross yearly income to see this</v>
      </c>
      <c r="E42" s="49" t="s">
        <v>1099</v>
      </c>
    </row>
    <row r="43" customFormat="false" ht="13.5" hidden="false" customHeight="true" outlineLevel="0" collapsed="false">
      <c r="B43" s="53" t="s">
        <v>1100</v>
      </c>
      <c r="C43" s="53"/>
      <c r="D43" s="53"/>
      <c r="E43" s="53"/>
    </row>
    <row r="45" customFormat="false" ht="15" hidden="false" customHeight="true" outlineLevel="0" collapsed="false">
      <c r="B45" s="13" t="s">
        <v>290</v>
      </c>
      <c r="C45" s="14"/>
      <c r="D45" s="14"/>
      <c r="E45" s="14"/>
      <c r="F45" s="14"/>
      <c r="G45" s="14"/>
    </row>
    <row r="46" customFormat="false" ht="15" hidden="false" customHeight="true" outlineLevel="0" collapsed="false">
      <c r="B46" s="52" t="s">
        <v>1101</v>
      </c>
      <c r="C46" s="52" t="str">
        <f aca="false">IF(Yearly_Income="","Choose your gross yearly income to see this",IF(Years_Support="","Choose your years of support to see this",IF(Life_Replace="","Choose your share of income needed to see this",IF(Mortgage_Protected="","Choose your mortgage protection answer to see this",IF(Other_Debts="","Choose your other debts to see this",IF(Savings="","Choose your savings &amp; investments to see this",IF(Existing_Cover="","Choose your existing life cover to see this",IF(Survivor_Pension="","Choose your survivor's pension to see this",IF(NOT(ISNUMBER(Used_Mortgage_Balance)),IF(Used_Mortgage_Balance="",IF(Mortgage_Balance="","Choose your mortgage balance to see this",""),Used_Mortgage_Balance),"")))))))))</f>
        <v>Choose your gross yearly income to see this</v>
      </c>
    </row>
    <row r="47" customFormat="false" ht="15" hidden="false" customHeight="true" outlineLevel="0" collapsed="false">
      <c r="B47" s="52" t="s">
        <v>1102</v>
      </c>
      <c r="C47" s="52" t="str">
        <f aca="false">IF(Yearly_Income="","Choose your gross yearly income to see this",IF(Years_Support="","Choose your years of support to see this",IF(Life_Replace="","Choose your share of income needed to see this",IF(Survivor_Pension="","Choose your survivor's pension to see this",""))))</f>
        <v>Choose your gross yearly income to see this</v>
      </c>
    </row>
    <row r="48" customFormat="false" ht="15" hidden="false" customHeight="true" outlineLevel="0" collapsed="false">
      <c r="B48" s="52" t="s">
        <v>1103</v>
      </c>
      <c r="C48" s="52" t="str">
        <f aca="false">IF(Mortgage_Protected="","Choose your mortgage protection answer to see this",IF(Other_Debts="","Choose your other debts to see this",IF(NOT(ISNUMBER(Used_Mortgage_Balance)),IF(Used_Mortgage_Balance="",IF(Mortgage_Balance="","Choose your mortgage balance to see this",""),Used_Mortgage_Balance),"")))</f>
        <v>Choose your mortgage protection answer to see this</v>
      </c>
    </row>
    <row r="49" customFormat="false" ht="15" hidden="false" customHeight="true" outlineLevel="0" collapsed="false">
      <c r="B49" s="52" t="s">
        <v>1104</v>
      </c>
      <c r="C49" s="52" t="str">
        <f aca="false">IF(Savings="","Choose your savings &amp; investments to see this",IF(Existing_Cover="","Choose your existing life cover to see this",""))</f>
        <v>Choose your savings &amp; investments to see this</v>
      </c>
    </row>
    <row r="50" customFormat="false" ht="15" hidden="false" customHeight="true" outlineLevel="0" collapsed="false">
      <c r="B50" s="52" t="s">
        <v>1105</v>
      </c>
      <c r="C50" s="52" t="str">
        <f aca="false">IF(Yearly_Income="","Choose your gross yearly income to see this",IF(Years_Support="","Choose your years of support to see this",IF(Life_Replace="","Choose your share of income needed to see this","")))</f>
        <v>Choose your gross yearly income to see this</v>
      </c>
    </row>
  </sheetData>
  <mergeCells count="8">
    <mergeCell ref="B6:E6"/>
    <mergeCell ref="B33:E33"/>
    <mergeCell ref="B34:E34"/>
    <mergeCell ref="B35:E35"/>
    <mergeCell ref="B36:E36"/>
    <mergeCell ref="B37:E37"/>
    <mergeCell ref="B38:E38"/>
    <mergeCell ref="B43:E43"/>
  </mergeCells>
  <dataValidations count="11">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8" type="date">
      <formula1>36526</formula1>
      <formula2>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11" type="decimal">
      <formula1>0</formula1>
      <formula2>3000000</formula2>
    </dataValidation>
    <dataValidation allowBlank="true" error="Please enter 1 to 30 · steps of 1." errorStyle="stop" errorTitle="Outside the allowed range" operator="between" prompt="Generally the standard is until your youngest child is 23. Choose what you want to use.  Allowed: 1 to 30 · steps of 1." promptTitle="Years your family would need sup" showDropDown="false" showErrorMessage="true" showInputMessage="true" sqref="C12" type="whole">
      <formula1>1</formula1>
      <formula2>30</formula2>
    </dataValidation>
    <dataValidation allowBlank="true" error="Please enter 30% to 100% · steps of 5%." errorStyle="stop" errorTitle="Outside the allowed range" operator="between" prompt="Generally the standard is 60% of your income (families usually need less than full pay). Choose what you want to use.  Allowed: 30% to 100% · steps of 5%." promptTitle="Share of your income your family" showDropDown="false" showErrorMessage="true" showInputMessage="true" sqref="C13" type="decimal">
      <formula1>0.3</formula1>
      <formula2>1</formula2>
    </dataValidation>
    <dataValidation allowBlank="true" error="Please enter €0 to €10,000,000 · steps of €5,000." errorStyle="stop" errorTitle="Outside the allowed range" operator="between" prompt="Your own figure. In the app it is pre-filled from Your finances: mortgage balance.  Allowed: €0 to €10,000,000 · steps of €5,000." promptTitle="Mortgage balance" showDropDown="false" showErrorMessage="true" showInputMessage="true" sqref="C14" type="decimal">
      <formula1>0</formula1>
      <formula2>10000000</formula2>
    </dataValidation>
    <dataValidation allowBlank="true" error="Please enter Yes or No." errorStyle="stop" errorTitle="Outside the allowed range" operator="between" prompt="Your own figure.  Allowed: Yes or No." promptTitle="Is the mortgage cleared by mortg" showDropDown="false" showErrorMessage="true" showInputMessage="true" sqref="C15" type="list">
      <formula1>"Yes,No"</formula1>
      <formula2>0</formula2>
    </dataValidation>
    <dataValidation allowBlank="true" error="Please enter €0 to €2,000,000 · steps of €1,000." errorStyle="stop" errorTitle="Outside the allowed range" operator="between" prompt="Your own figure. In the app it is pre-filled from Your finances: debts.  Allowed: €0 to €2,000,000 · steps of €1,000." promptTitle="Other debts" showDropDown="false" showErrorMessage="true" showInputMessage="true" sqref="C16" type="decimal">
      <formula1>0</formula1>
      <formula2>2000000</formula2>
    </dataValidation>
    <dataValidation allowBlank="true" error="Please enter €0 to €10,000,000 · steps of €1,000." errorStyle="stop" errorTitle="Outside the allowed range" operator="between" prompt="Your own figure. In the app it is pre-filled from Your finances: cash + investments.  Allowed: €0 to €10,000,000 · steps of €1,000." promptTitle="Savings &amp; investments" showDropDown="false" showErrorMessage="true" showInputMessage="true" sqref="C17" type="decimal">
      <formula1>0</formula1>
      <formula2>10000000</formula2>
    </dataValidation>
    <dataValidation allowBlank="true" error="Please enter €0 to €20,000,000 · steps of €10,000." errorStyle="stop" errorTitle="Outside the allowed range" operator="between" prompt="Your own figure.  Allowed: €0 to €20,000,000 · steps of €10,000." promptTitle="Existing life cover (incl. throu" showDropDown="false" showErrorMessage="true" showInputMessage="true" sqref="C18" type="decimal">
      <formula1>0</formula1>
      <formula2>20000000</formula2>
    </dataValidation>
    <dataValidation allowBlank="true" error="Please enter €0 to €1,000 · steps of €0.50." errorStyle="stop" errorTitle="Outside the allowed range" operator="between" prompt="Usually between €0 and €299.30 a week: €259.50 under 66, €299.30 at 66+ (DSP 2026; depends on PRSI; cohabitants can qualify for the Bereaved Partner's Pension). Enter your own figure.  Allowed: €0 to €1,000 · steps of €0.50." promptTitle="State survivor's pension a week " showDropDown="false" showErrorMessage="true" showInputMessage="true" sqref="C19" type="decimal">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1106</v>
      </c>
      <c r="E1" s="3" t="s">
        <v>1107</v>
      </c>
    </row>
    <row r="2" customFormat="false" ht="15" hidden="false" customHeight="true" outlineLevel="0" collapsed="false">
      <c r="B2" s="21" t="s">
        <v>1108</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1109</v>
      </c>
    </row>
    <row r="5" customFormat="false" ht="15" hidden="false" customHeight="true" outlineLevel="0" collapsed="false">
      <c r="B5" s="13" t="s">
        <v>212</v>
      </c>
      <c r="C5" s="24" t="s">
        <v>213</v>
      </c>
      <c r="D5" s="24" t="s">
        <v>214</v>
      </c>
      <c r="E5" s="24" t="s">
        <v>215</v>
      </c>
      <c r="F5" s="14"/>
      <c r="G5" s="14"/>
    </row>
    <row r="6" customFormat="false" ht="21.75" hidden="false" customHeight="true" outlineLevel="0" collapsed="false">
      <c r="B6" s="25" t="s">
        <v>676</v>
      </c>
      <c r="C6" s="26"/>
      <c r="D6" s="27" t="s">
        <v>217</v>
      </c>
      <c r="E6" s="28" t="s">
        <v>677</v>
      </c>
      <c r="F6" s="29" t="n">
        <v>2500</v>
      </c>
      <c r="G6" s="30" t="str">
        <f aca="false">IF(ISBLANK(C6),IF(Fill_Example="Yes",F6,""),C6)</f>
        <v/>
      </c>
    </row>
    <row r="7" customFormat="false" ht="15" hidden="false" customHeight="true" outlineLevel="0" collapsed="false">
      <c r="B7" s="25" t="s">
        <v>1110</v>
      </c>
      <c r="C7" s="38"/>
      <c r="D7" s="27" t="s">
        <v>679</v>
      </c>
      <c r="E7" s="28" t="s">
        <v>1111</v>
      </c>
      <c r="F7" s="39" t="n">
        <v>3</v>
      </c>
      <c r="G7" s="40" t="str">
        <f aca="false">IF(ISBLANK(C7),IF(Fill_Example="Yes",F7,""),C7)</f>
        <v/>
      </c>
    </row>
    <row r="8" customFormat="false" ht="21.75" hidden="false" customHeight="true" outlineLevel="0" collapsed="false">
      <c r="B8" s="25" t="s">
        <v>683</v>
      </c>
      <c r="C8" s="26"/>
      <c r="D8" s="27" t="s">
        <v>217</v>
      </c>
      <c r="E8" s="28" t="s">
        <v>1112</v>
      </c>
      <c r="F8" s="29" t="n">
        <v>8000</v>
      </c>
      <c r="G8" s="30" t="str">
        <f aca="false">IF(ISBLANK(C8),IF(Fill_Example="Yes",F8,""),C8)</f>
        <v/>
      </c>
    </row>
    <row r="9" customFormat="false" ht="21.75" hidden="false" customHeight="true" outlineLevel="0" collapsed="false">
      <c r="B9" s="25" t="s">
        <v>216</v>
      </c>
      <c r="C9" s="26"/>
      <c r="D9" s="27" t="s">
        <v>217</v>
      </c>
      <c r="E9" s="28" t="s">
        <v>1065</v>
      </c>
      <c r="F9" s="29" t="n">
        <v>60000</v>
      </c>
      <c r="G9" s="30" t="str">
        <f aca="false">IF(ISBLANK(C9),IF(Fill_Example="Yes",F9,""),C9)</f>
        <v/>
      </c>
    </row>
    <row r="10" customFormat="false" ht="21.75" hidden="false" customHeight="true" outlineLevel="0" collapsed="false">
      <c r="B10" s="25" t="s">
        <v>1113</v>
      </c>
      <c r="C10" s="82"/>
      <c r="D10" s="27" t="s">
        <v>1080</v>
      </c>
      <c r="E10" s="35" t="s">
        <v>1114</v>
      </c>
      <c r="F10" s="83" t="n">
        <f aca="false">Illness_Benefit_Week</f>
        <v>254</v>
      </c>
      <c r="G10" s="84" t="str">
        <f aca="false">IF(ISBLANK(C10),IF(Fill_Example="Yes",F10,""),C10)</f>
        <v/>
      </c>
    </row>
    <row r="12" customFormat="false" ht="15" hidden="false" customHeight="true" outlineLevel="0" collapsed="false">
      <c r="B12" s="13" t="s">
        <v>239</v>
      </c>
      <c r="C12" s="24" t="s">
        <v>240</v>
      </c>
      <c r="D12" s="24" t="s">
        <v>241</v>
      </c>
      <c r="E12" s="24" t="s">
        <v>242</v>
      </c>
      <c r="F12" s="14"/>
      <c r="G12" s="14"/>
    </row>
    <row r="13" customFormat="false" ht="23.25" hidden="false" customHeight="true" outlineLevel="0" collapsed="false">
      <c r="B13" s="21" t="s">
        <v>1115</v>
      </c>
      <c r="C13" s="70" t="str">
        <f aca="false">IF(Need_1&lt;&gt;"",Need_1,IF(Monthly_Gap=0,"Indefinitely",Sick_Pay_Months+Savings/Monthly_Gap))</f>
        <v>Choose your essential monthly spending to see this</v>
      </c>
      <c r="D13" s="63" t="str">
        <f aca="false">IF(Need_1&lt;&gt;"",Need_1,IF(Months_Coping="Indefinitely","Indefinitely",IF(ROUND(Months_Coping,1)=1,"1 month",FIXED(Months_Coping,1)&amp;" months")))</f>
        <v>Choose your essential monthly spending to see this</v>
      </c>
      <c r="E13" s="42" t="s">
        <v>1116</v>
      </c>
    </row>
    <row r="14" customFormat="false" ht="17.25" hidden="false" customHeight="true" outlineLevel="0" collapsed="false">
      <c r="B14" s="21" t="s">
        <v>1117</v>
      </c>
      <c r="C14" s="41" t="str">
        <f aca="false">IF(Need_2&lt;&gt;"",Need_2,MAX(0,Essential_Spending-Illness_Benefit_Month))</f>
        <v>Choose your essential monthly spending to see this</v>
      </c>
      <c r="D14" s="27" t="s">
        <v>217</v>
      </c>
      <c r="E14" s="42" t="s">
        <v>1118</v>
      </c>
    </row>
    <row r="15" customFormat="false" ht="17.25" hidden="false" customHeight="true" outlineLevel="0" collapsed="false">
      <c r="B15" s="21" t="s">
        <v>1119</v>
      </c>
      <c r="C15" s="41" t="str">
        <f aca="false">IF(Need_3&lt;&gt;"",Need_3,MIN(Monthly_Gap,IP_Max))</f>
        <v>Choose your essential monthly spending to see this</v>
      </c>
      <c r="D15" s="27" t="s">
        <v>217</v>
      </c>
      <c r="E15" s="42" t="s">
        <v>1120</v>
      </c>
    </row>
    <row r="16" customFormat="false" ht="15" hidden="false" customHeight="true" outlineLevel="0" collapsed="false">
      <c r="B16" s="25" t="s">
        <v>1121</v>
      </c>
      <c r="C16" s="43" t="str">
        <f aca="false">IF(Need_4&lt;&gt;"",Need_4,Illness_Benefit*Weeks_Per_Year/12)</f>
        <v>Choose your Illness Benefit amount to see this</v>
      </c>
      <c r="D16" s="27" t="s">
        <v>217</v>
      </c>
      <c r="E16" s="42" t="s">
        <v>1122</v>
      </c>
    </row>
    <row r="17" customFormat="false" ht="23.25" hidden="false" customHeight="true" outlineLevel="0" collapsed="false">
      <c r="B17" s="25" t="s">
        <v>1123</v>
      </c>
      <c r="C17" s="85" t="str">
        <f aca="false">IF(Need_5&lt;&gt;"",Need_5,IF(Monthly_Gap=0,"Indefinitely",Savings/Monthly_Gap))</f>
        <v>Choose your essential monthly spending to see this</v>
      </c>
      <c r="D17" s="67" t="str">
        <f aca="false">IF(Need_5&lt;&gt;"",Need_5,IF(Savings_Months="Indefinitely","Indefinitely",IF(ROUND(Savings_Months,1)=1,"1 month",FIXED(Savings_Months,1)&amp;" months")))</f>
        <v>Choose your essential monthly spending to see this</v>
      </c>
      <c r="E17" s="42" t="s">
        <v>1124</v>
      </c>
    </row>
    <row r="18" customFormat="false" ht="15" hidden="false" customHeight="true" outlineLevel="0" collapsed="false">
      <c r="B18" s="25" t="s">
        <v>1125</v>
      </c>
      <c r="C18" s="43" t="str">
        <f aca="false">IF(Need_6&lt;&gt;"",Need_6,MAX(0,Gross_Income*IP_Max_Pct/12-Illness_Benefit_Month))</f>
        <v>Choose your gross yearly income to see this</v>
      </c>
      <c r="D18" s="27" t="s">
        <v>217</v>
      </c>
      <c r="E18" s="42" t="s">
        <v>1126</v>
      </c>
    </row>
    <row r="20" customFormat="false" ht="15" hidden="false" customHeight="true" outlineLevel="0" collapsed="false">
      <c r="B20" s="13" t="s">
        <v>272</v>
      </c>
      <c r="C20" s="14"/>
      <c r="D20" s="14"/>
      <c r="E20" s="14"/>
      <c r="F20" s="14"/>
      <c r="G20" s="14"/>
    </row>
    <row r="21" customFormat="false" ht="27.75" hidden="false" customHeight="true" outlineLevel="0" collapsed="false">
      <c r="B21" s="46" t="s">
        <v>1127</v>
      </c>
      <c r="C21" s="46"/>
      <c r="D21" s="46"/>
      <c r="E21" s="46"/>
    </row>
    <row r="22" customFormat="false" ht="13.5" hidden="false" customHeight="true" outlineLevel="0" collapsed="false">
      <c r="B22" s="46" t="s">
        <v>1128</v>
      </c>
      <c r="C22" s="46"/>
      <c r="D22" s="46"/>
      <c r="E22" s="46"/>
    </row>
    <row r="23" customFormat="false" ht="13.5" hidden="false" customHeight="true" outlineLevel="0" collapsed="false">
      <c r="B23" s="46" t="s">
        <v>1129</v>
      </c>
      <c r="C23" s="46"/>
      <c r="D23" s="46"/>
      <c r="E23" s="46"/>
    </row>
    <row r="24" customFormat="false" ht="13.5" hidden="false" customHeight="true" outlineLevel="0" collapsed="false">
      <c r="B24" s="47" t="s">
        <v>276</v>
      </c>
      <c r="C24" s="47"/>
      <c r="D24" s="47"/>
      <c r="E24" s="47"/>
    </row>
    <row r="25" customFormat="false" ht="13.5" hidden="false" customHeight="true" outlineLevel="0" collapsed="false">
      <c r="B25" s="46" t="s">
        <v>1130</v>
      </c>
      <c r="C25" s="46"/>
      <c r="D25" s="46"/>
      <c r="E25" s="46"/>
    </row>
    <row r="26" customFormat="false" ht="13.5" hidden="false" customHeight="true" outlineLevel="0" collapsed="false">
      <c r="B26" s="46" t="s">
        <v>1131</v>
      </c>
      <c r="C26" s="46"/>
      <c r="D26" s="46"/>
      <c r="E26" s="46"/>
    </row>
    <row r="28" customFormat="false" ht="15" hidden="false" customHeight="true" outlineLevel="0" collapsed="false">
      <c r="B28" s="13" t="s">
        <v>281</v>
      </c>
      <c r="C28" s="14"/>
      <c r="D28" s="14"/>
      <c r="E28" s="14"/>
      <c r="F28" s="14"/>
      <c r="G28" s="14"/>
    </row>
    <row r="29" customFormat="false" ht="15" hidden="false" customHeight="true" outlineLevel="0" collapsed="false">
      <c r="B29" s="25" t="s">
        <v>282</v>
      </c>
      <c r="C29" s="48" t="str">
        <f aca="false">"No goal: record an income protection need for the adviser"</f>
        <v>No goal: record an income protection need for the adviser</v>
      </c>
      <c r="E29" s="49" t="s">
        <v>1132</v>
      </c>
    </row>
    <row r="30" customFormat="false" ht="15" hidden="false" customHeight="true" outlineLevel="0" collapsed="false">
      <c r="B30" s="25" t="s">
        <v>1133</v>
      </c>
      <c r="C30" s="50" t="str">
        <f aca="false">IF(Need_3&lt;&gt;"",Need_3,IP_Needed)</f>
        <v>Choose your essential monthly spending to see this</v>
      </c>
      <c r="E30" s="49" t="s">
        <v>1134</v>
      </c>
    </row>
    <row r="32" customFormat="false" ht="15" hidden="false" customHeight="true" outlineLevel="0" collapsed="false">
      <c r="B32" s="13" t="s">
        <v>290</v>
      </c>
      <c r="C32" s="14"/>
      <c r="D32" s="14"/>
      <c r="E32" s="14"/>
      <c r="F32" s="14"/>
      <c r="G32" s="14"/>
    </row>
    <row r="33" customFormat="false" ht="15" hidden="false" customHeight="true" outlineLevel="0" collapsed="false">
      <c r="B33" s="52" t="s">
        <v>1135</v>
      </c>
      <c r="C33" s="52" t="str">
        <f aca="false">IF(Essential_Spending="","Choose your essential monthly spending to see this",IF(Sick_Pay_Months="","Choose your months of sick pay from your employer's scheme to see this",IF(Savings="","Choose your easy-access savings to see this",IF(Illness_Benefit="","Choose your Illness Benefit amount to see this",""))))</f>
        <v>Choose your essential monthly spending to see this</v>
      </c>
    </row>
    <row r="34" customFormat="false" ht="15" hidden="false" customHeight="true" outlineLevel="0" collapsed="false">
      <c r="B34" s="52" t="s">
        <v>1136</v>
      </c>
      <c r="C34" s="52" t="str">
        <f aca="false">IF(Essential_Spending="","Choose your essential monthly spending to see this",IF(Illness_Benefit="","Choose your Illness Benefit amount to see this",""))</f>
        <v>Choose your essential monthly spending to see this</v>
      </c>
    </row>
    <row r="35" customFormat="false" ht="15" hidden="false" customHeight="true" outlineLevel="0" collapsed="false">
      <c r="B35" s="52" t="s">
        <v>1137</v>
      </c>
      <c r="C35" s="52" t="str">
        <f aca="false">IF(Essential_Spending="","Choose your essential monthly spending to see this",IF(Gross_Income="","Choose your gross yearly income to see this",IF(Illness_Benefit="","Choose your Illness Benefit amount to see this","")))</f>
        <v>Choose your essential monthly spending to see this</v>
      </c>
    </row>
    <row r="36" customFormat="false" ht="15" hidden="false" customHeight="true" outlineLevel="0" collapsed="false">
      <c r="B36" s="52" t="s">
        <v>1138</v>
      </c>
      <c r="C36" s="52" t="str">
        <f aca="false">IF(Illness_Benefit="","Choose your Illness Benefit amount to see this","")</f>
        <v>Choose your Illness Benefit amount to see this</v>
      </c>
    </row>
    <row r="37" customFormat="false" ht="15" hidden="false" customHeight="true" outlineLevel="0" collapsed="false">
      <c r="B37" s="52" t="s">
        <v>1139</v>
      </c>
      <c r="C37" s="52" t="str">
        <f aca="false">IF(Essential_Spending="","Choose your essential monthly spending to see this",IF(Savings="","Choose your easy-access savings to see this",IF(Illness_Benefit="","Choose your Illness Benefit amount to see this","")))</f>
        <v>Choose your essential monthly spending to see this</v>
      </c>
    </row>
    <row r="38" customFormat="false" ht="15" hidden="false" customHeight="true" outlineLevel="0" collapsed="false">
      <c r="B38" s="52" t="s">
        <v>1140</v>
      </c>
      <c r="C38" s="52" t="str">
        <f aca="false">IF(Gross_Income="","Choose your gross yearly income to see this",IF(Illness_Benefit="","Choose your Illness Benefit amount to see this",""))</f>
        <v>Choose your gross yearly income to see this</v>
      </c>
    </row>
  </sheetData>
  <mergeCells count="6">
    <mergeCell ref="B21:E21"/>
    <mergeCell ref="B22:E22"/>
    <mergeCell ref="B23:E23"/>
    <mergeCell ref="B24:E24"/>
    <mergeCell ref="B25:E25"/>
    <mergeCell ref="B26:E26"/>
  </mergeCells>
  <dataValidations count="5">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9" type="decimal">
      <formula1>0</formula1>
      <formula2>3000000</formula2>
    </dataValidation>
    <dataValidation allowBlank="true" error="Please enter 0 to 12 · steps of 1." errorStyle="stop" errorTitle="Outside the allowed range" operator="between" prompt="Your own figure.  Allowed: 0 to 12 · steps of 1." promptTitle="Months of sick pay from your emp" showDropDown="false" showErrorMessage="true" showInputMessage="true" sqref="C7" type="whole">
      <formula1>0</formula1>
      <formula2>12</formula2>
    </dataValidation>
    <dataValidation allowBlank="true" error="Please enter €0 to €2,000,000 · steps of €500." errorStyle="stop" errorTitle="Outside the allowed range" operator="between" prompt="Your own figure. In the app it is pre-filled from Your finances: cash.  Allowed: €0 to €2,000,000 · steps of €500." promptTitle="Easy-access savings" showDropDown="false" showErrorMessage="true" showInputMessage="true" sqref="C8" type="decimal">
      <formula1>0</formula1>
      <formula2>2000000</formula2>
    </dataValidation>
    <dataValidation allowBlank="true" error="Please enter €0 to €500 · steps of €0.50." errorStyle="stop" errorTitle="Outside the allowed range" operator="between" prompt="Usually between €0 and €254 a week (DSP 2026 maximum; lower if you earned under €300 a week; needs enough PRSI). Enter your own figure.  Allowed: €0 to €500 · steps of €0.50." promptTitle="Illness Benefit a week" showDropDown="false" showErrorMessage="true" showInputMessage="true" sqref="C10" type="decimal">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1141</v>
      </c>
      <c r="E1" s="3" t="s">
        <v>1142</v>
      </c>
    </row>
    <row r="2" customFormat="false" ht="15" hidden="false" customHeight="true" outlineLevel="0" collapsed="false">
      <c r="B2" s="21" t="s">
        <v>1143</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1144</v>
      </c>
    </row>
    <row r="5" customFormat="false" ht="15" hidden="false" customHeight="true" outlineLevel="0" collapsed="false">
      <c r="B5" s="13" t="s">
        <v>302</v>
      </c>
      <c r="C5" s="14"/>
      <c r="D5" s="14"/>
      <c r="E5" s="14"/>
      <c r="F5" s="14"/>
      <c r="G5" s="14"/>
    </row>
    <row r="6" customFormat="false" ht="27.75" hidden="false" customHeight="true" outlineLevel="0" collapsed="false">
      <c r="B6" s="53" t="s">
        <v>303</v>
      </c>
      <c r="C6" s="53"/>
      <c r="D6" s="53"/>
      <c r="E6" s="53"/>
    </row>
    <row r="7" customFormat="false" ht="15" hidden="false" customHeight="true" outlineLevel="0" collapsed="false">
      <c r="B7" s="25" t="s">
        <v>304</v>
      </c>
      <c r="C7" s="54"/>
      <c r="D7" s="27" t="s">
        <v>217</v>
      </c>
      <c r="E7" s="28" t="s">
        <v>305</v>
      </c>
      <c r="G7" s="52" t="s">
        <v>306</v>
      </c>
    </row>
    <row r="8" customFormat="false" ht="15" hidden="false" customHeight="true" outlineLevel="0" collapsed="false">
      <c r="B8" s="25" t="s">
        <v>307</v>
      </c>
      <c r="C8" s="55"/>
      <c r="D8" s="27" t="s">
        <v>228</v>
      </c>
      <c r="E8" s="28" t="s">
        <v>308</v>
      </c>
      <c r="G8" s="52" t="s">
        <v>306</v>
      </c>
    </row>
    <row r="9" customFormat="false" ht="15" hidden="false" customHeight="true" outlineLevel="0" collapsed="false">
      <c r="B9" s="25" t="s">
        <v>309</v>
      </c>
      <c r="C9" s="56"/>
      <c r="D9" s="27" t="s">
        <v>231</v>
      </c>
      <c r="E9" s="28" t="s">
        <v>310</v>
      </c>
      <c r="G9" s="52" t="s">
        <v>306</v>
      </c>
    </row>
    <row r="10" customFormat="false" ht="15" hidden="false" customHeight="true" outlineLevel="0" collapsed="false">
      <c r="B10" s="25" t="s">
        <v>311</v>
      </c>
      <c r="C10" s="54"/>
      <c r="D10" s="27" t="s">
        <v>217</v>
      </c>
      <c r="E10" s="28" t="s">
        <v>312</v>
      </c>
      <c r="G10" s="52" t="s">
        <v>306</v>
      </c>
    </row>
    <row r="11" customFormat="false" ht="15" hidden="false" customHeight="true" outlineLevel="0" collapsed="false">
      <c r="B11" s="25" t="s">
        <v>313</v>
      </c>
      <c r="C11" s="57"/>
      <c r="D11" s="27" t="s">
        <v>314</v>
      </c>
      <c r="E11" s="28" t="s">
        <v>315</v>
      </c>
      <c r="G11" s="52" t="s">
        <v>306</v>
      </c>
    </row>
    <row r="13" customFormat="false" ht="15" hidden="false" customHeight="true" outlineLevel="0" collapsed="false">
      <c r="B13" s="13" t="s">
        <v>316</v>
      </c>
      <c r="C13" s="24" t="s">
        <v>213</v>
      </c>
      <c r="D13" s="24" t="s">
        <v>214</v>
      </c>
      <c r="E13" s="24" t="s">
        <v>215</v>
      </c>
      <c r="F13" s="14"/>
      <c r="G13" s="14"/>
    </row>
    <row r="14" customFormat="false" ht="21.75" hidden="false" customHeight="true" outlineLevel="0" collapsed="false">
      <c r="B14" s="25" t="s">
        <v>409</v>
      </c>
      <c r="C14" s="26"/>
      <c r="D14" s="27" t="s">
        <v>217</v>
      </c>
      <c r="E14" s="28" t="s">
        <v>1145</v>
      </c>
      <c r="F14" s="29" t="n">
        <v>250000</v>
      </c>
      <c r="G14" s="30" t="str">
        <f aca="false">IF(ISBLANK(C14),IF(Fill_Example="Yes",F14,""),C14)</f>
        <v/>
      </c>
    </row>
    <row r="15" customFormat="false" ht="21.75" hidden="false" customHeight="true" outlineLevel="0" collapsed="false">
      <c r="B15" s="25" t="s">
        <v>307</v>
      </c>
      <c r="C15" s="34"/>
      <c r="D15" s="27" t="s">
        <v>228</v>
      </c>
      <c r="E15" s="28" t="s">
        <v>1146</v>
      </c>
      <c r="F15" s="36" t="n">
        <v>0.0375</v>
      </c>
      <c r="G15" s="37" t="str">
        <f aca="false">IF(ISBLANK(C15),IF(Fill_Example="Yes",F15,""),C15)</f>
        <v/>
      </c>
    </row>
    <row r="16" customFormat="false" ht="21.75" hidden="false" customHeight="true" outlineLevel="0" collapsed="false">
      <c r="B16" s="25" t="s">
        <v>412</v>
      </c>
      <c r="C16" s="38"/>
      <c r="D16" s="27" t="s">
        <v>231</v>
      </c>
      <c r="E16" s="28" t="s">
        <v>321</v>
      </c>
      <c r="F16" s="39" t="n">
        <v>25</v>
      </c>
      <c r="G16" s="40" t="str">
        <f aca="false">IF(ISBLANK(C16),IF(Fill_Example="Yes",F16,""),C16)</f>
        <v/>
      </c>
    </row>
    <row r="17" customFormat="false" ht="21.75" hidden="false" customHeight="true" outlineLevel="0" collapsed="false">
      <c r="B17" s="25" t="s">
        <v>322</v>
      </c>
      <c r="C17" s="26"/>
      <c r="D17" s="27" t="s">
        <v>217</v>
      </c>
      <c r="E17" s="28" t="s">
        <v>1147</v>
      </c>
      <c r="F17" s="29" t="n">
        <v>0</v>
      </c>
      <c r="G17" s="30" t="str">
        <f aca="false">IF(ISBLANK(C17),IF(Fill_Example="Yes",F17,""),C17)</f>
        <v/>
      </c>
    </row>
    <row r="19" customFormat="false" ht="15" hidden="false" customHeight="true" outlineLevel="0" collapsed="false">
      <c r="B19" s="13" t="s">
        <v>326</v>
      </c>
      <c r="C19" s="14"/>
      <c r="D19" s="14"/>
      <c r="E19" s="14"/>
      <c r="F19" s="14"/>
      <c r="G19" s="14"/>
    </row>
    <row r="20" customFormat="false" ht="15" hidden="false" customHeight="true" outlineLevel="0" collapsed="false">
      <c r="B20" s="25" t="s">
        <v>409</v>
      </c>
      <c r="C20" s="58" t="str">
        <f aca="false">IF(ISBLANK(Stmt_Balance),Mortgage_Balance,Stmt_Balance)</f>
        <v/>
      </c>
      <c r="D20" s="59" t="str">
        <f aca="false">IF(ISBLANK(Stmt_Balance),"Your figure","From your statement")</f>
        <v>Your figure</v>
      </c>
      <c r="E20" s="49" t="s">
        <v>416</v>
      </c>
    </row>
    <row r="21" customFormat="false" ht="15" hidden="false" customHeight="true" outlineLevel="0" collapsed="false">
      <c r="B21" s="25" t="s">
        <v>307</v>
      </c>
      <c r="C21" s="60" t="str">
        <f aca="false">IF(ISBLANK(Stmt_Rate),Interest_Rate,Stmt_Rate)</f>
        <v/>
      </c>
      <c r="D21" s="59" t="str">
        <f aca="false">IF(ISBLANK(Stmt_Rate),"Your figure","From your statement")</f>
        <v>Your figure</v>
      </c>
      <c r="E21" s="49" t="s">
        <v>328</v>
      </c>
    </row>
    <row r="22" customFormat="false" ht="15" hidden="false" customHeight="true" outlineLevel="0" collapsed="false">
      <c r="B22" s="25" t="s">
        <v>412</v>
      </c>
      <c r="C22" s="61" t="str">
        <f aca="false">IF(ISBLANK(Stmt_Term),Years_Left,Stmt_Term)</f>
        <v/>
      </c>
      <c r="D22" s="59" t="str">
        <f aca="false">IF(ISBLANK(Stmt_Term),"Your figure","From your statement")</f>
        <v>Your figure</v>
      </c>
      <c r="E22" s="49" t="s">
        <v>417</v>
      </c>
    </row>
    <row r="23" customFormat="false" ht="15" hidden="false" customHeight="true" outlineLevel="0" collapsed="false">
      <c r="B23" s="25" t="s">
        <v>330</v>
      </c>
      <c r="C23" s="58" t="str">
        <f aca="false">IF(ISBLANK(Stmt_Repayment),Actual_Repayment,Stmt_Repayment)</f>
        <v/>
      </c>
      <c r="D23" s="59" t="str">
        <f aca="false">IF(ISBLANK(Stmt_Repayment),"Your figure","From your statement")</f>
        <v>Your figure</v>
      </c>
      <c r="E23" s="49" t="s">
        <v>331</v>
      </c>
    </row>
    <row r="24" customFormat="false" ht="21.75" hidden="false" customHeight="true" outlineLevel="0" collapsed="false">
      <c r="B24" s="25" t="s">
        <v>332</v>
      </c>
      <c r="C24" s="45" t="str">
        <f aca="true">IF(ISBLANK(Stmt_Statement_Date),"",IF(TODAY()-Stmt_Statement_Date&gt;Statement_Max_Age_Days,"Needs a look: statement is more than 12 months old","Up to date"))</f>
        <v/>
      </c>
      <c r="D24" s="27"/>
      <c r="E24" s="42" t="s">
        <v>333</v>
      </c>
    </row>
    <row r="26" customFormat="false" ht="15" hidden="false" customHeight="true" outlineLevel="0" collapsed="false">
      <c r="B26" s="13" t="s">
        <v>239</v>
      </c>
      <c r="C26" s="24" t="s">
        <v>240</v>
      </c>
      <c r="D26" s="24" t="s">
        <v>241</v>
      </c>
      <c r="E26" s="24" t="s">
        <v>242</v>
      </c>
      <c r="F26" s="14"/>
      <c r="G26" s="14"/>
    </row>
    <row r="27" customFormat="false" ht="17.25" hidden="false" customHeight="true" outlineLevel="0" collapsed="false">
      <c r="B27" s="21" t="s">
        <v>1148</v>
      </c>
      <c r="C27" s="41" t="str">
        <f aca="false">IF(Need_1&lt;&gt;"",Need_1,Used_Mortgage_Balance)</f>
        <v>Choose your mortgage balance to see this</v>
      </c>
      <c r="D27" s="27" t="s">
        <v>217</v>
      </c>
      <c r="E27" s="42" t="s">
        <v>1149</v>
      </c>
    </row>
    <row r="28" customFormat="false" ht="15" hidden="false" customHeight="true" outlineLevel="0" collapsed="false">
      <c r="B28" s="72" t="s">
        <v>768</v>
      </c>
      <c r="C28" s="73" t="str">
        <f aca="false">IF(Need_2&lt;&gt;"","",IF(Repayment&lt;=Used_Mortgage_Balance*Monthly_Rate,"Your repayment doesn't cover the interest: please check the figures.",""))</f>
        <v/>
      </c>
      <c r="D28" s="73"/>
      <c r="E28" s="73"/>
    </row>
    <row r="29" customFormat="false" ht="17.25" hidden="false" customHeight="true" outlineLevel="0" collapsed="false">
      <c r="B29" s="21" t="s">
        <v>1150</v>
      </c>
      <c r="C29" s="41" t="str">
        <f aca="false">IF(Need_2&lt;&gt;"",Need_2,IF(Warning&lt;&gt;"","—",MAX(0,-FV(Monthly_Rate,MP_Year_1*12,-Repayment,Used_Mortgage_Balance))))</f>
        <v>Choose your mortgage balance to see this</v>
      </c>
      <c r="D29" s="27" t="s">
        <v>217</v>
      </c>
      <c r="E29" s="42" t="s">
        <v>1151</v>
      </c>
    </row>
    <row r="30" customFormat="false" ht="17.25" hidden="false" customHeight="true" outlineLevel="0" collapsed="false">
      <c r="B30" s="21" t="s">
        <v>1152</v>
      </c>
      <c r="C30" s="41" t="str">
        <f aca="false">IF(Need_2&lt;&gt;"",Need_2,IF(Warning&lt;&gt;"","—",MAX(0,-FV(Monthly_Rate,MP_Year_2*12,-Repayment,Used_Mortgage_Balance))))</f>
        <v>Choose your mortgage balance to see this</v>
      </c>
      <c r="D30" s="27" t="s">
        <v>217</v>
      </c>
      <c r="E30" s="42" t="s">
        <v>1153</v>
      </c>
    </row>
    <row r="31" customFormat="false" ht="17.25" hidden="false" customHeight="true" outlineLevel="0" collapsed="false">
      <c r="B31" s="21" t="s">
        <v>1154</v>
      </c>
      <c r="C31" s="41" t="str">
        <f aca="false">IF(Need_2&lt;&gt;"",Need_2,IF(Warning&lt;&gt;"","—",MAX(0,-FV(Monthly_Rate,MP_Year_3*12,-Repayment,Used_Mortgage_Balance))))</f>
        <v>Choose your mortgage balance to see this</v>
      </c>
      <c r="D31" s="27" t="s">
        <v>217</v>
      </c>
      <c r="E31" s="42" t="s">
        <v>1155</v>
      </c>
    </row>
    <row r="32" customFormat="false" ht="15" hidden="false" customHeight="true" outlineLevel="0" collapsed="false">
      <c r="B32" s="25" t="s">
        <v>341</v>
      </c>
      <c r="C32" s="64" t="str">
        <f aca="false">IF(Need_3&lt;&gt;"",Need_3,Used_Interest_Rate/12)</f>
        <v>Choose your interest rate to see this</v>
      </c>
      <c r="D32" s="27"/>
      <c r="E32" s="42" t="s">
        <v>342</v>
      </c>
    </row>
    <row r="33" customFormat="false" ht="15" hidden="false" customHeight="true" outlineLevel="0" collapsed="false">
      <c r="B33" s="25" t="s">
        <v>1156</v>
      </c>
      <c r="C33" s="43" t="str">
        <f aca="false">IF(Need_2&lt;&gt;"",Need_2,IF(Used_Actual_Repayment&gt;0,Used_Actual_Repayment,PMT(Monthly_Rate,Used_Years_Left*12,-Used_Mortgage_Balance)))</f>
        <v>Choose your mortgage balance to see this</v>
      </c>
      <c r="D33" s="27" t="s">
        <v>217</v>
      </c>
      <c r="E33" s="42" t="s">
        <v>427</v>
      </c>
    </row>
    <row r="35" customFormat="false" ht="15" hidden="false" customHeight="true" outlineLevel="0" collapsed="false">
      <c r="B35" s="13" t="s">
        <v>272</v>
      </c>
      <c r="C35" s="14"/>
      <c r="D35" s="14"/>
      <c r="E35" s="14"/>
      <c r="F35" s="14"/>
      <c r="G35" s="14"/>
    </row>
    <row r="36" customFormat="false" ht="13.5" hidden="false" customHeight="true" outlineLevel="0" collapsed="false">
      <c r="B36" s="46" t="s">
        <v>1157</v>
      </c>
      <c r="C36" s="46"/>
      <c r="D36" s="46"/>
      <c r="E36" s="46"/>
    </row>
    <row r="37" customFormat="false" ht="13.5" hidden="false" customHeight="true" outlineLevel="0" collapsed="false">
      <c r="B37" s="47" t="s">
        <v>276</v>
      </c>
      <c r="C37" s="47"/>
      <c r="D37" s="47"/>
      <c r="E37" s="47"/>
    </row>
    <row r="38" customFormat="false" ht="13.5" hidden="false" customHeight="true" outlineLevel="0" collapsed="false">
      <c r="B38" s="46" t="s">
        <v>1158</v>
      </c>
      <c r="C38" s="46"/>
      <c r="D38" s="46"/>
      <c r="E38" s="46"/>
    </row>
    <row r="40" customFormat="false" ht="15" hidden="false" customHeight="true" outlineLevel="0" collapsed="false">
      <c r="B40" s="13" t="s">
        <v>281</v>
      </c>
      <c r="C40" s="14"/>
      <c r="D40" s="14"/>
      <c r="E40" s="14"/>
      <c r="F40" s="14"/>
      <c r="G40" s="14"/>
    </row>
    <row r="41" customFormat="false" ht="15" hidden="false" customHeight="true" outlineLevel="0" collapsed="false">
      <c r="B41" s="25" t="s">
        <v>282</v>
      </c>
      <c r="C41" s="48" t="str">
        <f aca="false">"No goal"</f>
        <v>No goal</v>
      </c>
      <c r="E41" s="49" t="s">
        <v>471</v>
      </c>
    </row>
    <row r="43" customFormat="false" ht="15" hidden="false" customHeight="true" outlineLevel="0" collapsed="false">
      <c r="B43" s="13" t="s">
        <v>290</v>
      </c>
      <c r="C43" s="14"/>
      <c r="D43" s="14"/>
      <c r="E43" s="14"/>
      <c r="F43" s="14"/>
      <c r="G43" s="14"/>
    </row>
    <row r="44" customFormat="false" ht="15" hidden="false" customHeight="true" outlineLevel="0" collapsed="false">
      <c r="B44" s="52" t="s">
        <v>1159</v>
      </c>
      <c r="C44" s="52" t="str">
        <f aca="false">IF(NOT(ISNUMBER(Used_Mortgage_Balance)),IF(Used_Mortgage_Balance="",IF(Mortgage_Balance="","Choose your mortgage balance to see this",""),Used_Mortgage_Balance),"")</f>
        <v>Choose your mortgage balance to see this</v>
      </c>
    </row>
    <row r="45" customFormat="false" ht="15" hidden="false" customHeight="true" outlineLevel="0" collapsed="false">
      <c r="B45" s="52" t="s">
        <v>447</v>
      </c>
      <c r="C45" s="52" t="str">
        <f aca="false">IF(NOT(ISNUMBER(Used_Mortgage_Balance)),IF(Used_Mortgage_Balance="",IF(Mortgage_Balance="","Choose your mortgage balance to see this",""),Used_Mortgage_Balance),IF(NOT(ISNUMBER(Used_Interest_Rate)),IF(Used_Interest_Rate="",IF(Interest_Rate="","Choose your interest rate to see this",""),Used_Interest_Rate),IF(NOT(ISNUMBER(Used_Years_Left)),IF(Used_Years_Left="",IF(Years_Left="","Choose your years left to see this",""),Used_Years_Left),IF(NOT(ISNUMBER(Used_Actual_Repayment)),IF(Used_Actual_Repayment="",IF(Actual_Repayment="","Choose your actual monthly repayment to see this",""),Used_Actual_Repayment),""))))</f>
        <v>Choose your mortgage balance to see this</v>
      </c>
    </row>
    <row r="46" customFormat="false" ht="15" hidden="false" customHeight="true" outlineLevel="0" collapsed="false">
      <c r="B46" s="52" t="s">
        <v>363</v>
      </c>
      <c r="C46" s="52" t="str">
        <f aca="false">IF(NOT(ISNUMBER(Used_Interest_Rate)),IF(Used_Interest_Rate="",IF(Interest_Rate="","Choose your interest rate to see this",""),Used_Interest_Rate),"")</f>
        <v>Choose your interest rate to see this</v>
      </c>
    </row>
  </sheetData>
  <mergeCells count="5">
    <mergeCell ref="B6:E6"/>
    <mergeCell ref="C28:E28"/>
    <mergeCell ref="B36:E36"/>
    <mergeCell ref="B37:E37"/>
    <mergeCell ref="B38:E38"/>
  </mergeCells>
  <dataValidations count="9">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0,000 to €10,000,000 · steps of €5,000." errorStyle="stop" errorTitle="Outside the allowed range" operator="between" prompt="Your own figure. In the app it is pre-filled from Your finances / statement: balance.  Allowed: €20,000 to €10,000,000 · steps of €5,000." promptTitle="Mortgage balance" showDropDown="false" showErrorMessage="true" showInputMessage="true" sqref="C14" type="decimal">
      <formula1>20000</formula1>
      <formula2>10000000</formula2>
    </dataValidation>
    <dataValidation allowBlank="true" error="Please enter 1% to 8% · steps of 0.05%." errorStyle="stop" errorTitle="Outside the allowed range" operator="between" prompt="Your own figure. In the app it is pre-filled from Your finances / statement: rate.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Your own figure. In the app it is pre-filled from Your finances / statement: stated repayment.  Allowed: €0 to €100,000 · steps of €1." promptTitle="Your actual monthly repayment (o" showDropDown="false" showErrorMessage="true" showInputMessage="true" sqref="C17"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1160</v>
      </c>
      <c r="E1" s="3" t="s">
        <v>1161</v>
      </c>
    </row>
    <row r="2" customFormat="false" ht="15" hidden="false" customHeight="true" outlineLevel="0" collapsed="false">
      <c r="B2" s="21" t="s">
        <v>1162</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1163</v>
      </c>
    </row>
    <row r="5" customFormat="false" ht="15" hidden="false" customHeight="true" outlineLevel="0" collapsed="false">
      <c r="B5" s="13" t="s">
        <v>302</v>
      </c>
      <c r="C5" s="14"/>
      <c r="D5" s="14"/>
      <c r="E5" s="14"/>
      <c r="F5" s="14"/>
      <c r="G5" s="14"/>
    </row>
    <row r="6" customFormat="false" ht="27.75" hidden="false" customHeight="true" outlineLevel="0" collapsed="false">
      <c r="B6" s="53" t="s">
        <v>1164</v>
      </c>
      <c r="C6" s="53"/>
      <c r="D6" s="53"/>
      <c r="E6" s="53"/>
    </row>
    <row r="7" customFormat="false" ht="15" hidden="false" customHeight="true" outlineLevel="0" collapsed="false">
      <c r="B7" s="25" t="s">
        <v>304</v>
      </c>
      <c r="C7" s="54"/>
      <c r="D7" s="27" t="s">
        <v>217</v>
      </c>
      <c r="E7" s="28" t="s">
        <v>305</v>
      </c>
      <c r="G7" s="52" t="s">
        <v>306</v>
      </c>
    </row>
    <row r="8" customFormat="false" ht="15" hidden="false" customHeight="true" outlineLevel="0" collapsed="false">
      <c r="B8" s="25" t="s">
        <v>1165</v>
      </c>
      <c r="C8" s="54"/>
      <c r="D8" s="27" t="s">
        <v>217</v>
      </c>
      <c r="E8" s="28" t="s">
        <v>631</v>
      </c>
      <c r="G8" s="52" t="s">
        <v>306</v>
      </c>
    </row>
    <row r="9" customFormat="false" ht="15" hidden="false" customHeight="true" outlineLevel="0" collapsed="false">
      <c r="B9" s="25" t="s">
        <v>707</v>
      </c>
      <c r="C9" s="54"/>
      <c r="D9" s="27" t="s">
        <v>217</v>
      </c>
      <c r="E9" s="28" t="s">
        <v>708</v>
      </c>
      <c r="G9" s="52" t="s">
        <v>306</v>
      </c>
    </row>
    <row r="10" customFormat="false" ht="15" hidden="false" customHeight="true" outlineLevel="0" collapsed="false">
      <c r="B10" s="25" t="s">
        <v>630</v>
      </c>
      <c r="C10" s="54"/>
      <c r="D10" s="27" t="s">
        <v>217</v>
      </c>
      <c r="E10" s="28" t="s">
        <v>631</v>
      </c>
      <c r="G10" s="52" t="s">
        <v>306</v>
      </c>
    </row>
    <row r="12" customFormat="false" ht="15" hidden="false" customHeight="true" outlineLevel="0" collapsed="false">
      <c r="B12" s="13" t="s">
        <v>316</v>
      </c>
      <c r="C12" s="24" t="s">
        <v>213</v>
      </c>
      <c r="D12" s="24" t="s">
        <v>214</v>
      </c>
      <c r="E12" s="24" t="s">
        <v>215</v>
      </c>
      <c r="F12" s="14"/>
      <c r="G12" s="14"/>
    </row>
    <row r="13" customFormat="false" ht="21.75" hidden="false" customHeight="true" outlineLevel="0" collapsed="false">
      <c r="B13" s="25" t="s">
        <v>1166</v>
      </c>
      <c r="C13" s="26"/>
      <c r="D13" s="27" t="s">
        <v>217</v>
      </c>
      <c r="E13" s="28" t="s">
        <v>1167</v>
      </c>
      <c r="F13" s="29" t="n">
        <v>15000</v>
      </c>
      <c r="G13" s="30" t="str">
        <f aca="false">IF(ISBLANK(C13),IF(Fill_Example="Yes",F13,""),C13)</f>
        <v/>
      </c>
    </row>
    <row r="14" customFormat="false" ht="21.75" hidden="false" customHeight="true" outlineLevel="0" collapsed="false">
      <c r="B14" s="25" t="s">
        <v>54</v>
      </c>
      <c r="C14" s="26"/>
      <c r="D14" s="27" t="s">
        <v>217</v>
      </c>
      <c r="E14" s="28" t="s">
        <v>1168</v>
      </c>
      <c r="F14" s="29" t="n">
        <v>10000</v>
      </c>
      <c r="G14" s="30" t="str">
        <f aca="false">IF(ISBLANK(C14),IF(Fill_Example="Yes",F14,""),C14)</f>
        <v/>
      </c>
    </row>
    <row r="15" customFormat="false" ht="21.75" hidden="false" customHeight="true" outlineLevel="0" collapsed="false">
      <c r="B15" s="25" t="s">
        <v>1169</v>
      </c>
      <c r="C15" s="26"/>
      <c r="D15" s="27" t="s">
        <v>217</v>
      </c>
      <c r="E15" s="28" t="s">
        <v>1170</v>
      </c>
      <c r="F15" s="29" t="n">
        <v>60000</v>
      </c>
      <c r="G15" s="30" t="str">
        <f aca="false">IF(ISBLANK(C15),IF(Fill_Example="Yes",F15,""),C15)</f>
        <v/>
      </c>
    </row>
    <row r="16" customFormat="false" ht="21.75" hidden="false" customHeight="true" outlineLevel="0" collapsed="false">
      <c r="B16" s="25" t="s">
        <v>1171</v>
      </c>
      <c r="C16" s="26"/>
      <c r="D16" s="27" t="s">
        <v>217</v>
      </c>
      <c r="E16" s="28" t="s">
        <v>1172</v>
      </c>
      <c r="F16" s="29" t="n">
        <v>350000</v>
      </c>
      <c r="G16" s="30" t="str">
        <f aca="false">IF(ISBLANK(C16),IF(Fill_Example="Yes",F16,""),C16)</f>
        <v/>
      </c>
    </row>
    <row r="17" customFormat="false" ht="21.75" hidden="false" customHeight="true" outlineLevel="0" collapsed="false">
      <c r="B17" s="25" t="s">
        <v>525</v>
      </c>
      <c r="C17" s="26"/>
      <c r="D17" s="27" t="s">
        <v>217</v>
      </c>
      <c r="E17" s="28" t="s">
        <v>1173</v>
      </c>
      <c r="F17" s="29" t="n">
        <v>250000</v>
      </c>
      <c r="G17" s="30" t="str">
        <f aca="false">IF(ISBLANK(C17),IF(Fill_Example="Yes",F17,""),C17)</f>
        <v/>
      </c>
    </row>
    <row r="18" customFormat="false" ht="21.75" hidden="false" customHeight="true" outlineLevel="0" collapsed="false">
      <c r="B18" s="25" t="s">
        <v>1174</v>
      </c>
      <c r="C18" s="26"/>
      <c r="D18" s="27" t="s">
        <v>217</v>
      </c>
      <c r="E18" s="28" t="s">
        <v>1175</v>
      </c>
      <c r="F18" s="29" t="n">
        <v>8000</v>
      </c>
      <c r="G18" s="30" t="str">
        <f aca="false">IF(ISBLANK(C18),IF(Fill_Example="Yes",F18,""),C18)</f>
        <v/>
      </c>
    </row>
    <row r="20" customFormat="false" ht="15" hidden="false" customHeight="true" outlineLevel="0" collapsed="false">
      <c r="B20" s="13" t="s">
        <v>326</v>
      </c>
      <c r="C20" s="14"/>
      <c r="D20" s="14"/>
      <c r="E20" s="14"/>
      <c r="F20" s="14"/>
      <c r="G20" s="14"/>
    </row>
    <row r="21" customFormat="false" ht="15" hidden="false" customHeight="true" outlineLevel="0" collapsed="false">
      <c r="B21" s="25" t="s">
        <v>525</v>
      </c>
      <c r="C21" s="58" t="str">
        <f aca="false">IF(ISBLANK(Stmt_Mortgage_Balance),Mortgage,Stmt_Mortgage_Balance)</f>
        <v/>
      </c>
      <c r="D21" s="59" t="str">
        <f aca="false">IF(ISBLANK(Stmt_Mortgage_Balance),"Your figure","From your statement")</f>
        <v>Your figure</v>
      </c>
      <c r="E21" s="49" t="s">
        <v>1176</v>
      </c>
    </row>
    <row r="22" customFormat="false" ht="15" hidden="false" customHeight="true" outlineLevel="0" collapsed="false">
      <c r="B22" s="25" t="s">
        <v>1171</v>
      </c>
      <c r="C22" s="58" t="str">
        <f aca="false">IF(ISBLANK(Stmt_Property_Value),Property,Stmt_Property_Value)</f>
        <v/>
      </c>
      <c r="D22" s="59" t="str">
        <f aca="false">IF(ISBLANK(Stmt_Property_Value),"Your figure","From your statement")</f>
        <v>Your figure</v>
      </c>
      <c r="E22" s="49" t="s">
        <v>1177</v>
      </c>
    </row>
    <row r="23" customFormat="false" ht="15" hidden="false" customHeight="true" outlineLevel="0" collapsed="false">
      <c r="B23" s="25" t="s">
        <v>1169</v>
      </c>
      <c r="C23" s="58" t="str">
        <f aca="false">IF(ISBLANK(Stmt_Pension_Value),Pensions,Stmt_Pension_Value)</f>
        <v/>
      </c>
      <c r="D23" s="59" t="str">
        <f aca="false">IF(ISBLANK(Stmt_Pension_Value),"Your figure","From your statement")</f>
        <v>Your figure</v>
      </c>
      <c r="E23" s="49" t="s">
        <v>1178</v>
      </c>
    </row>
    <row r="24" customFormat="false" ht="15" hidden="false" customHeight="true" outlineLevel="0" collapsed="false">
      <c r="B24" s="25" t="s">
        <v>54</v>
      </c>
      <c r="C24" s="58" t="str">
        <f aca="false">IF(ISBLANK(Stmt_Investment_Value),Investments,Stmt_Investment_Value)</f>
        <v/>
      </c>
      <c r="D24" s="59" t="str">
        <f aca="false">IF(ISBLANK(Stmt_Investment_Value),"Your figure","From your statement")</f>
        <v>Your figure</v>
      </c>
      <c r="E24" s="49" t="s">
        <v>1179</v>
      </c>
    </row>
    <row r="26" customFormat="false" ht="15" hidden="false" customHeight="true" outlineLevel="0" collapsed="false">
      <c r="B26" s="13" t="s">
        <v>239</v>
      </c>
      <c r="C26" s="24" t="s">
        <v>240</v>
      </c>
      <c r="D26" s="24" t="s">
        <v>241</v>
      </c>
      <c r="E26" s="24" t="s">
        <v>242</v>
      </c>
      <c r="F26" s="14"/>
      <c r="G26" s="14"/>
    </row>
    <row r="27" customFormat="false" ht="17.25" hidden="false" customHeight="true" outlineLevel="0" collapsed="false">
      <c r="B27" s="21" t="s">
        <v>1180</v>
      </c>
      <c r="C27" s="41" t="str">
        <f aca="false">IF(Need_1&lt;&gt;"",Need_1,You_Own-You_Owe)</f>
        <v>Choose your savings to see this</v>
      </c>
      <c r="D27" s="27" t="s">
        <v>217</v>
      </c>
      <c r="E27" s="42" t="s">
        <v>1181</v>
      </c>
    </row>
    <row r="28" customFormat="false" ht="17.25" hidden="false" customHeight="true" outlineLevel="0" collapsed="false">
      <c r="B28" s="21" t="s">
        <v>1182</v>
      </c>
      <c r="C28" s="41" t="str">
        <f aca="false">IF(Need_2&lt;&gt;"",Need_2,Savings+Used_Investments+Used_Pensions+Used_Property)</f>
        <v>Choose your savings to see this</v>
      </c>
      <c r="D28" s="27" t="s">
        <v>217</v>
      </c>
      <c r="E28" s="42" t="s">
        <v>1183</v>
      </c>
    </row>
    <row r="29" customFormat="false" ht="17.25" hidden="false" customHeight="true" outlineLevel="0" collapsed="false">
      <c r="B29" s="21" t="s">
        <v>1184</v>
      </c>
      <c r="C29" s="41" t="str">
        <f aca="false">IF(Need_3&lt;&gt;"",Need_3,Used_Mortgage+Other_Loans)</f>
        <v>Choose your other loans to see this</v>
      </c>
      <c r="D29" s="27" t="s">
        <v>217</v>
      </c>
      <c r="E29" s="42" t="s">
        <v>1185</v>
      </c>
    </row>
    <row r="31" customFormat="false" ht="15" hidden="false" customHeight="true" outlineLevel="0" collapsed="false">
      <c r="B31" s="13" t="s">
        <v>272</v>
      </c>
      <c r="C31" s="14"/>
      <c r="D31" s="14"/>
      <c r="E31" s="14"/>
      <c r="F31" s="14"/>
      <c r="G31" s="14"/>
    </row>
    <row r="32" customFormat="false" ht="13.5" hidden="false" customHeight="true" outlineLevel="0" collapsed="false">
      <c r="B32" s="46" t="s">
        <v>1186</v>
      </c>
      <c r="C32" s="46"/>
      <c r="D32" s="46"/>
      <c r="E32" s="46"/>
    </row>
    <row r="33" customFormat="false" ht="13.5" hidden="false" customHeight="true" outlineLevel="0" collapsed="false">
      <c r="B33" s="47" t="s">
        <v>276</v>
      </c>
      <c r="C33" s="47"/>
      <c r="D33" s="47"/>
      <c r="E33" s="47"/>
    </row>
    <row r="34" customFormat="false" ht="13.5" hidden="false" customHeight="true" outlineLevel="0" collapsed="false">
      <c r="B34" s="46" t="s">
        <v>1187</v>
      </c>
      <c r="C34" s="46"/>
      <c r="D34" s="46"/>
      <c r="E34" s="46"/>
    </row>
    <row r="36" customFormat="false" ht="15" hidden="false" customHeight="true" outlineLevel="0" collapsed="false">
      <c r="B36" s="13" t="s">
        <v>281</v>
      </c>
      <c r="C36" s="14"/>
      <c r="D36" s="14"/>
      <c r="E36" s="14"/>
      <c r="F36" s="14"/>
      <c r="G36" s="14"/>
    </row>
    <row r="37" customFormat="false" ht="15" hidden="false" customHeight="true" outlineLevel="0" collapsed="false">
      <c r="B37" s="25" t="s">
        <v>282</v>
      </c>
      <c r="C37" s="48" t="str">
        <f aca="false">"No goal"</f>
        <v>No goal</v>
      </c>
      <c r="E37" s="49" t="s">
        <v>471</v>
      </c>
    </row>
    <row r="39" customFormat="false" ht="15" hidden="false" customHeight="true" outlineLevel="0" collapsed="false">
      <c r="B39" s="13" t="s">
        <v>290</v>
      </c>
      <c r="C39" s="14"/>
      <c r="D39" s="14"/>
      <c r="E39" s="14"/>
      <c r="F39" s="14"/>
      <c r="G39" s="14"/>
    </row>
    <row r="40" customFormat="false" ht="15" hidden="false" customHeight="true" outlineLevel="0" collapsed="false">
      <c r="B40" s="52" t="s">
        <v>1188</v>
      </c>
      <c r="C40" s="52" t="str">
        <f aca="false">IF(Savings="","Choose your savings to see this",IF(Other_Loans="","Choose your other loans to see this",IF(NOT(ISNUMBER(Used_Mortgage)),IF(Used_Mortgage="",IF(Mortgage="","Choose your mortgage to see this",""),Used_Mortgage),IF(NOT(ISNUMBER(Used_Property)),IF(Used_Property="",IF(Property="","Choose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1" customFormat="false" ht="15" hidden="false" customHeight="true" outlineLevel="0" collapsed="false">
      <c r="B41" s="52" t="s">
        <v>1189</v>
      </c>
      <c r="C41" s="52" t="str">
        <f aca="false">IF(Savings="","Choose your savings to see this",IF(NOT(ISNUMBER(Used_Property)),IF(Used_Property="",IF(Property="","Choose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2" customFormat="false" ht="15" hidden="false" customHeight="true" outlineLevel="0" collapsed="false">
      <c r="B42" s="52" t="s">
        <v>1190</v>
      </c>
      <c r="C42" s="52" t="str">
        <f aca="false">IF(Other_Loans="","Choose your other loans to see this",IF(NOT(ISNUMBER(Used_Mortgage)),IF(Used_Mortgage="",IF(Mortgage="","Choose your mortgage to see this",""),Used_Mortgage),""))</f>
        <v>Choose your other loans to see this</v>
      </c>
    </row>
  </sheetData>
  <mergeCells count="4">
    <mergeCell ref="B6:E6"/>
    <mergeCell ref="B32:E32"/>
    <mergeCell ref="B33:E33"/>
    <mergeCell ref="B34:E34"/>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0" type="decimal">
      <formula1>0</formula1>
      <formula2>100000000</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9" type="decimal">
      <formula1>0</formula1>
      <formula2>50000000</formula2>
    </dataValidation>
    <dataValidation allowBlank="true" error="Please enter €0 to €100,000,000." errorStyle="stop" errorTitle="Outside the allowed range" operator="between" prompt="Unit: €. Allowed: €0 to €100,000,000." promptTitle="Property value (valuation)" showDropDown="false" showErrorMessage="true" showInputMessage="true" sqref="C8" type="decimal">
      <formula1>0</formula1>
      <formula2>100000000</formula2>
    </dataValidation>
    <dataValidation allowBlank="true" error="Please enter €0 to €10,000,000 · steps of €500." errorStyle="stop" errorTitle="Outside the allowed range" operator="between" prompt="Your own figure. In the app it is pre-filled from Your finances: cash.  Allowed: €0 to €10,000,000 · steps of €500." promptTitle="Savings" showDropDown="false" showErrorMessage="true" showInputMessage="true" sqref="C13" type="decimal">
      <formula1>0</formula1>
      <formula2>10000000</formula2>
    </dataValidation>
    <dataValidation allowBlank="true" error="Please enter €0 to €20,000,000 · steps of €1,000." errorStyle="stop" errorTitle="Outside the allowed range" operator="between" prompt="Your own figure. In the app it is pre-filled from Your finances: investments.  Allowed: €0 to €20,000,000 · steps of €1,000." promptTitle="Investments" showDropDown="false" showErrorMessage="true" showInputMessage="true" sqref="C14" type="decimal">
      <formula1>0</formula1>
      <formula2>20000000</formula2>
    </dataValidation>
    <dataValidation allowBlank="true" error="Please enter €0 to €30,000,000 · steps of €1,000." errorStyle="stop" errorTitle="Outside the allowed range" operator="between" prompt="Your own figure. In the app it is pre-filled from Your finances: pension.  Allowed: €0 to €30,000,000 · steps of €1,000." promptTitle="Pensions" showDropDown="false" showErrorMessage="true" showInputMessage="true" sqref="C15" type="decimal">
      <formula1>0</formula1>
      <formula2>30000000</formula2>
    </dataValidation>
    <dataValidation allowBlank="true" error="Please enter €0 to €50,000,000 · steps of €5,000." errorStyle="stop" errorTitle="Outside the allowed range" operator="between" prompt="Your own figure. In the app it is pre-filled from Your finances: home + other property.  Allowed: €0 to €50,000,000 · steps of €5,000." promptTitle="Property value" showDropDown="false" showErrorMessage="true" showInputMessage="true" sqref="C16" type="decimal">
      <formula1>0</formula1>
      <formula2>50000000</formula2>
    </dataValidation>
    <dataValidation allowBlank="true" error="Please enter €0 to €30,000,000 · steps of €5,000." errorStyle="stop" errorTitle="Outside the allowed range" operator="between" prompt="Your own figure. In the app it is pre-filled from Your finances: mortgage balance.  Allowed: €0 to €30,000,000 · steps of €5,000." promptTitle="Mortgage" showDropDown="false" showErrorMessage="true" showInputMessage="true" sqref="C17" type="decimal">
      <formula1>0</formula1>
      <formula2>30000000</formula2>
    </dataValidation>
    <dataValidation allowBlank="true" error="Please enter €0 to €5,000,000 · steps of €500." errorStyle="stop" errorTitle="Outside the allowed range" operator="between" prompt="Your own figure. In the app it is pre-filled from Your finances: debts.  Allowed: €0 to €5,000,000 · steps of €500." promptTitle="Other loans" showDropDown="false" showErrorMessage="true" showInputMessage="true" sqref="C18" type="decimal">
      <formula1>0</formula1>
      <formula2>5000000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1191</v>
      </c>
      <c r="E1" s="3" t="s">
        <v>1192</v>
      </c>
    </row>
    <row r="2" customFormat="false" ht="15" hidden="false" customHeight="true" outlineLevel="0" collapsed="false">
      <c r="B2" s="21" t="s">
        <v>1193</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1194</v>
      </c>
    </row>
    <row r="5" customFormat="false" ht="15" hidden="false" customHeight="true" outlineLevel="0" collapsed="false">
      <c r="B5" s="13" t="s">
        <v>212</v>
      </c>
      <c r="C5" s="24" t="s">
        <v>213</v>
      </c>
      <c r="D5" s="24" t="s">
        <v>214</v>
      </c>
      <c r="E5" s="24" t="s">
        <v>215</v>
      </c>
      <c r="F5" s="14"/>
      <c r="G5" s="14"/>
    </row>
    <row r="6" customFormat="false" ht="15" hidden="false" customHeight="true" outlineLevel="0" collapsed="false">
      <c r="B6" s="25" t="s">
        <v>1195</v>
      </c>
      <c r="C6" s="26"/>
      <c r="D6" s="27" t="s">
        <v>217</v>
      </c>
      <c r="E6" s="28" t="s">
        <v>1196</v>
      </c>
      <c r="F6" s="29"/>
      <c r="G6" s="30" t="str">
        <f aca="false">IF(ISBLANK(C6),"",C6)</f>
        <v/>
      </c>
    </row>
    <row r="7" customFormat="false" ht="21.75" hidden="false" customHeight="true" outlineLevel="0" collapsed="false">
      <c r="B7" s="25" t="s">
        <v>1197</v>
      </c>
      <c r="C7" s="26"/>
      <c r="D7" s="27" t="s">
        <v>217</v>
      </c>
      <c r="E7" s="28" t="s">
        <v>1198</v>
      </c>
      <c r="F7" s="29" t="n">
        <v>2000</v>
      </c>
      <c r="G7" s="30" t="str">
        <f aca="false">IF(ISBLANK(C7),IF(Fill_Example="Yes",F7,""),C7)</f>
        <v/>
      </c>
    </row>
    <row r="8" customFormat="false" ht="15" hidden="false" customHeight="true" outlineLevel="0" collapsed="false">
      <c r="B8" s="25" t="s">
        <v>1199</v>
      </c>
      <c r="C8" s="26"/>
      <c r="D8" s="27" t="s">
        <v>217</v>
      </c>
      <c r="E8" s="28" t="s">
        <v>1200</v>
      </c>
      <c r="F8" s="29" t="n">
        <v>800</v>
      </c>
      <c r="G8" s="30" t="str">
        <f aca="false">IF(ISBLANK(C8),IF(Fill_Example="Yes",F8,""),C8)</f>
        <v/>
      </c>
    </row>
    <row r="9" customFormat="false" ht="21.75" hidden="false" customHeight="true" outlineLevel="0" collapsed="false">
      <c r="B9" s="25" t="s">
        <v>1201</v>
      </c>
      <c r="C9" s="26"/>
      <c r="D9" s="27" t="s">
        <v>217</v>
      </c>
      <c r="E9" s="28" t="s">
        <v>1202</v>
      </c>
      <c r="F9" s="29" t="n">
        <v>200</v>
      </c>
      <c r="G9" s="30" t="str">
        <f aca="false">IF(ISBLANK(C9),IF(Fill_Example="Yes",F9,""),C9)</f>
        <v/>
      </c>
    </row>
    <row r="11" customFormat="false" ht="15" hidden="false" customHeight="true" outlineLevel="0" collapsed="false">
      <c r="B11" s="13" t="s">
        <v>326</v>
      </c>
      <c r="C11" s="14"/>
      <c r="D11" s="14"/>
      <c r="E11" s="14"/>
      <c r="F11" s="14"/>
      <c r="G11" s="14"/>
    </row>
    <row r="12" customFormat="false" ht="15" hidden="false" customHeight="true" outlineLevel="0" collapsed="false">
      <c r="B12" s="25" t="s">
        <v>1203</v>
      </c>
      <c r="C12" s="58" t="str">
        <f aca="false">IF(Take_Home="",TE_Take_Home_Month,Take_Home)</f>
        <v>Choose your tax status to see this</v>
      </c>
      <c r="D12" s="59" t="str">
        <f aca="false">IF(Take_Home="","From the Tax engine","Your figure")</f>
        <v>From the Tax engine</v>
      </c>
      <c r="E12" s="49" t="s">
        <v>1204</v>
      </c>
    </row>
    <row r="14" customFormat="false" ht="15" hidden="false" customHeight="true" outlineLevel="0" collapsed="false">
      <c r="B14" s="13" t="s">
        <v>239</v>
      </c>
      <c r="C14" s="24" t="s">
        <v>240</v>
      </c>
      <c r="D14" s="24" t="s">
        <v>241</v>
      </c>
      <c r="E14" s="24" t="s">
        <v>242</v>
      </c>
      <c r="F14" s="14"/>
      <c r="G14" s="14"/>
    </row>
    <row r="15" customFormat="false" ht="17.25" hidden="false" customHeight="true" outlineLevel="0" collapsed="false">
      <c r="B15" s="21" t="s">
        <v>1205</v>
      </c>
      <c r="C15" s="41" t="str">
        <f aca="false">IF(Need_1&lt;&gt;"",Need_1,Used_Take_Home-Essentials-Lifestyle-Debt_Repayments)</f>
        <v>Choose your essentials to see this</v>
      </c>
      <c r="D15" s="63" t="str">
        <f aca="false">IF(Need_1&lt;&gt;"",Need_1,IF(Surplus&gt;0,"About "&amp;ROUND(Surplus/Used_Take_Home*100,0)&amp;"% of take-home is free for goals",IF(Surplus=0,"Nothing left over this month","Spending is above income")))</f>
        <v>Choose your essentials to see this</v>
      </c>
      <c r="E15" s="42" t="s">
        <v>1206</v>
      </c>
    </row>
    <row r="16" customFormat="false" ht="17.25" hidden="false" customHeight="true" outlineLevel="0" collapsed="false">
      <c r="B16" s="21" t="s">
        <v>1207</v>
      </c>
      <c r="C16" s="41" t="str">
        <f aca="false">IF(Need_2&lt;&gt;"",Need_2,Essentials+Lifestyle+Debt_Repayments)</f>
        <v>Choose your essentials to see this</v>
      </c>
      <c r="D16" s="27" t="s">
        <v>217</v>
      </c>
      <c r="E16" s="42" t="s">
        <v>1208</v>
      </c>
    </row>
    <row r="18" customFormat="false" ht="15" hidden="false" customHeight="true" outlineLevel="0" collapsed="false">
      <c r="B18" s="13" t="s">
        <v>272</v>
      </c>
      <c r="C18" s="14"/>
      <c r="D18" s="14"/>
      <c r="E18" s="14"/>
      <c r="F18" s="14"/>
      <c r="G18" s="14"/>
    </row>
    <row r="19" customFormat="false" ht="13.5" hidden="false" customHeight="true" outlineLevel="0" collapsed="false">
      <c r="B19" s="46" t="s">
        <v>1209</v>
      </c>
      <c r="C19" s="46"/>
      <c r="D19" s="46"/>
      <c r="E19" s="46"/>
    </row>
    <row r="20" customFormat="false" ht="13.5" hidden="false" customHeight="true" outlineLevel="0" collapsed="false">
      <c r="B20" s="47" t="s">
        <v>276</v>
      </c>
      <c r="C20" s="47"/>
      <c r="D20" s="47"/>
      <c r="E20" s="47"/>
    </row>
    <row r="21" customFormat="false" ht="13.5" hidden="false" customHeight="true" outlineLevel="0" collapsed="false">
      <c r="B21" s="46" t="s">
        <v>1210</v>
      </c>
      <c r="C21" s="46"/>
      <c r="D21" s="46"/>
      <c r="E21" s="46"/>
    </row>
    <row r="23" customFormat="false" ht="15" hidden="false" customHeight="true" outlineLevel="0" collapsed="false">
      <c r="B23" s="13" t="s">
        <v>281</v>
      </c>
      <c r="C23" s="14"/>
      <c r="D23" s="14"/>
      <c r="E23" s="14"/>
      <c r="F23" s="14"/>
      <c r="G23" s="14"/>
    </row>
    <row r="24" customFormat="false" ht="15" hidden="false" customHeight="true" outlineLevel="0" collapsed="false">
      <c r="B24" s="25" t="s">
        <v>282</v>
      </c>
      <c r="C24" s="48" t="str">
        <f aca="false">IF(Need_1&lt;&gt;"",Need_1,IF(Surplus&gt;0,"Save my surplus (plan kind pot)","No goal"))</f>
        <v>Choose your essentials to see this</v>
      </c>
      <c r="E24" s="49" t="s">
        <v>1211</v>
      </c>
    </row>
    <row r="25" customFormat="false" ht="15" hidden="false" customHeight="true" outlineLevel="0" collapsed="false">
      <c r="B25" s="25" t="s">
        <v>1212</v>
      </c>
      <c r="C25" s="50" t="str">
        <f aca="false">IF(Need_1&lt;&gt;"",Need_1,IF(Surplus&gt;0,ROUND(Surplus*12,0),"—"))</f>
        <v>Choose your essentials to see this</v>
      </c>
      <c r="E25" s="49" t="s">
        <v>1213</v>
      </c>
    </row>
    <row r="26" customFormat="false" ht="15" hidden="false" customHeight="true" outlineLevel="0" collapsed="false">
      <c r="B26" s="25" t="s">
        <v>288</v>
      </c>
      <c r="C26" s="51" t="str">
        <f aca="false">IF(Need_1&lt;&gt;"",Need_1,IF(Surplus&gt;0,1,"—"))</f>
        <v>Choose your essentials to see this</v>
      </c>
      <c r="E26" s="49" t="s">
        <v>1214</v>
      </c>
    </row>
    <row r="28" customFormat="false" ht="15" hidden="false" customHeight="true" outlineLevel="0" collapsed="false">
      <c r="B28" s="13" t="s">
        <v>290</v>
      </c>
      <c r="C28" s="14"/>
      <c r="D28" s="14"/>
      <c r="E28" s="14"/>
      <c r="F28" s="14"/>
      <c r="G28" s="14"/>
    </row>
    <row r="29" customFormat="false" ht="15" hidden="false" customHeight="true" outlineLevel="0" collapsed="false">
      <c r="B29" s="52" t="s">
        <v>1215</v>
      </c>
      <c r="C29" s="52" t="str">
        <f aca="false">IF(Essentials="","Choose your essentials to see this",IF(Lifestyle="","Choose your lifestyle spending to see this",IF(Debt_Repayments="","Choose your debt repayments to see this",IF(NOT(ISNUMBER(Used_Take_Home)),IF(Used_Take_Home="","Choose your take-home pay per month to see this",Used_Take_Home),""))))</f>
        <v>Choose your essentials to see this</v>
      </c>
    </row>
    <row r="30" customFormat="false" ht="15" hidden="false" customHeight="true" outlineLevel="0" collapsed="false">
      <c r="B30" s="52" t="s">
        <v>1216</v>
      </c>
      <c r="C30" s="52" t="str">
        <f aca="false">IF(Essentials="","Choose your essentials to see this",IF(Lifestyle="","Choose your lifestyle spending to see this",IF(Debt_Repayments="","Choose your debt repayments to see this","")))</f>
        <v>Choose your essentials to see this</v>
      </c>
    </row>
  </sheetData>
  <mergeCells count="3">
    <mergeCell ref="B19:E19"/>
    <mergeCell ref="B20:E20"/>
    <mergeCell ref="B21:E21"/>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200000</formula2>
    </dataValidation>
    <dataValidation allowBlank="true" error="Please enter €0 to €150,000 · steps of €50." errorStyle="stop" errorTitle="Outside the allowed range" operator="between" prompt="Your own figure. In the app it is pre-filled from Your finances: costs + one-offs ÷ 12 + mortgage.  Allowed: €0 to €150,000 · steps of €50." promptTitle="Essentials (rent/mortgage, bills" showDropDown="false" showErrorMessage="true" showInputMessage="true" sqref="C7" type="decimal">
      <formula1>0</formula1>
      <formula2>150000</formula2>
    </dataValidation>
    <dataValidation allowBlank="true" error="Please enter €0 to €100,000 · steps of €50." errorStyle="stop" errorTitle="Outside the allowed range" operator="between" prompt="Your own figure.  Allowed: €0 to €100,000 · steps of €50." promptTitle="Lifestyle spending" showDropDown="false" showErrorMessage="true" showInputMessage="true" sqref="C8" type="decimal">
      <formula1>0</formula1>
      <formula2>100000</formula2>
    </dataValidation>
    <dataValidation allowBlank="true" error="Please enter €0 to €50,000 · steps of €25." errorStyle="stop" errorTitle="Outside the allowed range" operator="between" prompt="Your own figure. In the app it is pre-filled from Your finances: debt repayments.  Allowed: €0 to €50,000 · steps of €25." promptTitle="Debt repayments" showDropDown="false" showErrorMessage="true" showInputMessage="true" sqref="C9" type="decimal">
      <formula1>0</formula1>
      <formula2>50000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1217</v>
      </c>
      <c r="E1" s="3" t="s">
        <v>1218</v>
      </c>
    </row>
    <row r="2" customFormat="false" ht="15" hidden="false" customHeight="true" outlineLevel="0" collapsed="false">
      <c r="B2" s="21" t="s">
        <v>1219</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1220</v>
      </c>
    </row>
    <row r="5" customFormat="false" ht="15" hidden="false" customHeight="true" outlineLevel="0" collapsed="false">
      <c r="B5" s="13" t="s">
        <v>212</v>
      </c>
      <c r="C5" s="24" t="s">
        <v>213</v>
      </c>
      <c r="D5" s="24" t="s">
        <v>214</v>
      </c>
      <c r="E5" s="24" t="s">
        <v>215</v>
      </c>
      <c r="F5" s="14"/>
      <c r="G5" s="14"/>
    </row>
    <row r="6" customFormat="false" ht="15" hidden="false" customHeight="true" outlineLevel="0" collapsed="false">
      <c r="B6" s="25" t="s">
        <v>1195</v>
      </c>
      <c r="C6" s="26"/>
      <c r="D6" s="27" t="s">
        <v>217</v>
      </c>
      <c r="E6" s="28" t="s">
        <v>1196</v>
      </c>
      <c r="F6" s="29"/>
      <c r="G6" s="30" t="str">
        <f aca="false">IF(ISBLANK(C6),"",C6)</f>
        <v/>
      </c>
    </row>
    <row r="7" customFormat="false" ht="21.75" hidden="false" customHeight="true" outlineLevel="0" collapsed="false">
      <c r="B7" s="25" t="s">
        <v>1221</v>
      </c>
      <c r="C7" s="34"/>
      <c r="D7" s="27" t="s">
        <v>228</v>
      </c>
      <c r="E7" s="35" t="s">
        <v>1222</v>
      </c>
      <c r="F7" s="36" t="n">
        <v>0.5</v>
      </c>
      <c r="G7" s="37" t="str">
        <f aca="false">IF(ISBLANK(C7),IF(Fill_Example="Yes",F7,""),C7)</f>
        <v/>
      </c>
    </row>
    <row r="8" customFormat="false" ht="21.75" hidden="false" customHeight="true" outlineLevel="0" collapsed="false">
      <c r="B8" s="25" t="s">
        <v>1223</v>
      </c>
      <c r="C8" s="34"/>
      <c r="D8" s="27" t="s">
        <v>228</v>
      </c>
      <c r="E8" s="35" t="s">
        <v>1224</v>
      </c>
      <c r="F8" s="36" t="n">
        <v>0.3</v>
      </c>
      <c r="G8" s="37" t="str">
        <f aca="false">IF(ISBLANK(C8),IF(Fill_Example="Yes",F8,""),C8)</f>
        <v/>
      </c>
    </row>
    <row r="9" customFormat="false" ht="21.75" hidden="false" customHeight="true" outlineLevel="0" collapsed="false">
      <c r="B9" s="25" t="s">
        <v>1225</v>
      </c>
      <c r="C9" s="34"/>
      <c r="D9" s="27" t="s">
        <v>228</v>
      </c>
      <c r="E9" s="35" t="s">
        <v>1226</v>
      </c>
      <c r="F9" s="36" t="n">
        <v>0.2</v>
      </c>
      <c r="G9" s="37" t="str">
        <f aca="false">IF(ISBLANK(C9),IF(Fill_Example="Yes",F9,""),C9)</f>
        <v/>
      </c>
    </row>
    <row r="11" customFormat="false" ht="15" hidden="false" customHeight="true" outlineLevel="0" collapsed="false">
      <c r="B11" s="13" t="s">
        <v>326</v>
      </c>
      <c r="C11" s="14"/>
      <c r="D11" s="14"/>
      <c r="E11" s="14"/>
      <c r="F11" s="14"/>
      <c r="G11" s="14"/>
    </row>
    <row r="12" customFormat="false" ht="15" hidden="false" customHeight="true" outlineLevel="0" collapsed="false">
      <c r="B12" s="25" t="s">
        <v>1203</v>
      </c>
      <c r="C12" s="58" t="str">
        <f aca="false">IF(Take_Home="",TE_Take_Home_Month,Take_Home)</f>
        <v>Choose your tax status to see this</v>
      </c>
      <c r="D12" s="59" t="str">
        <f aca="false">IF(Take_Home="","From the Tax engine","Your figure")</f>
        <v>From the Tax engine</v>
      </c>
      <c r="E12" s="49" t="s">
        <v>1204</v>
      </c>
    </row>
    <row r="14" customFormat="false" ht="15" hidden="false" customHeight="true" outlineLevel="0" collapsed="false">
      <c r="B14" s="13" t="s">
        <v>239</v>
      </c>
      <c r="C14" s="24" t="s">
        <v>240</v>
      </c>
      <c r="D14" s="24" t="s">
        <v>241</v>
      </c>
      <c r="E14" s="24" t="s">
        <v>242</v>
      </c>
      <c r="F14" s="14"/>
      <c r="G14" s="14"/>
    </row>
    <row r="15" customFormat="false" ht="15" hidden="false" customHeight="true" outlineLevel="0" collapsed="false">
      <c r="B15" s="72" t="s">
        <v>768</v>
      </c>
      <c r="C15" s="73" t="str">
        <f aca="false">IF(Need_1&lt;&gt;"","",IF(ROUND(Budget_Needs+Budget_Wants+Budget_Save,6)&lt;&gt;1,"Your shares add up to "&amp;TEXT(Budget_Needs+Budget_Wants+Budget_Save,"0%")&amp;", not 100%.",""))</f>
        <v/>
      </c>
      <c r="D15" s="73"/>
      <c r="E15" s="73"/>
    </row>
    <row r="16" customFormat="false" ht="17.25" hidden="false" customHeight="true" outlineLevel="0" collapsed="false">
      <c r="B16" s="21" t="s">
        <v>1227</v>
      </c>
      <c r="C16" s="41" t="str">
        <f aca="false">IF(Need_2&lt;&gt;"",Need_2,Used_Take_Home*Budget_Save)</f>
        <v>Choose your share for savings to see this</v>
      </c>
      <c r="D16" s="27" t="s">
        <v>217</v>
      </c>
      <c r="E16" s="42" t="s">
        <v>1228</v>
      </c>
    </row>
    <row r="17" customFormat="false" ht="17.25" hidden="false" customHeight="true" outlineLevel="0" collapsed="false">
      <c r="B17" s="21" t="s">
        <v>1229</v>
      </c>
      <c r="C17" s="41" t="str">
        <f aca="false">IF(Need_3&lt;&gt;"",Need_3,Used_Take_Home*Budget_Needs)</f>
        <v>Choose your share for needs to see this</v>
      </c>
      <c r="D17" s="27" t="s">
        <v>217</v>
      </c>
      <c r="E17" s="42" t="s">
        <v>1230</v>
      </c>
    </row>
    <row r="18" customFormat="false" ht="17.25" hidden="false" customHeight="true" outlineLevel="0" collapsed="false">
      <c r="B18" s="21" t="s">
        <v>1231</v>
      </c>
      <c r="C18" s="41" t="str">
        <f aca="false">IF(Need_4&lt;&gt;"",Need_4,Used_Take_Home*Budget_Wants)</f>
        <v>Choose your share for wants to see this</v>
      </c>
      <c r="D18" s="27" t="s">
        <v>217</v>
      </c>
      <c r="E18" s="42" t="s">
        <v>1232</v>
      </c>
    </row>
    <row r="20" customFormat="false" ht="15" hidden="false" customHeight="true" outlineLevel="0" collapsed="false">
      <c r="B20" s="13" t="s">
        <v>272</v>
      </c>
      <c r="C20" s="14"/>
      <c r="D20" s="14"/>
      <c r="E20" s="14"/>
      <c r="F20" s="14"/>
      <c r="G20" s="14"/>
    </row>
    <row r="21" customFormat="false" ht="13.5" hidden="false" customHeight="true" outlineLevel="0" collapsed="false">
      <c r="B21" s="46" t="s">
        <v>1233</v>
      </c>
      <c r="C21" s="46"/>
      <c r="D21" s="46"/>
      <c r="E21" s="46"/>
    </row>
    <row r="22" customFormat="false" ht="13.5" hidden="false" customHeight="true" outlineLevel="0" collapsed="false">
      <c r="B22" s="47" t="s">
        <v>276</v>
      </c>
      <c r="C22" s="47"/>
      <c r="D22" s="47"/>
      <c r="E22" s="47"/>
    </row>
    <row r="23" customFormat="false" ht="13.5" hidden="false" customHeight="true" outlineLevel="0" collapsed="false">
      <c r="B23" s="46" t="s">
        <v>1234</v>
      </c>
      <c r="C23" s="46"/>
      <c r="D23" s="46"/>
      <c r="E23" s="46"/>
    </row>
    <row r="25" customFormat="false" ht="15" hidden="false" customHeight="true" outlineLevel="0" collapsed="false">
      <c r="B25" s="13" t="s">
        <v>281</v>
      </c>
      <c r="C25" s="14"/>
      <c r="D25" s="14"/>
      <c r="E25" s="14"/>
      <c r="F25" s="14"/>
      <c r="G25" s="14"/>
    </row>
    <row r="26" customFormat="false" ht="15" hidden="false" customHeight="true" outlineLevel="0" collapsed="false">
      <c r="B26" s="25" t="s">
        <v>282</v>
      </c>
      <c r="C26" s="48" t="str">
        <f aca="false">"No goal"</f>
        <v>No goal</v>
      </c>
      <c r="E26" s="49" t="s">
        <v>471</v>
      </c>
    </row>
    <row r="28" customFormat="false" ht="15" hidden="false" customHeight="true" outlineLevel="0" collapsed="false">
      <c r="B28" s="13" t="s">
        <v>290</v>
      </c>
      <c r="C28" s="14"/>
      <c r="D28" s="14"/>
      <c r="E28" s="14"/>
      <c r="F28" s="14"/>
      <c r="G28" s="14"/>
    </row>
    <row r="29" customFormat="false" ht="15" hidden="false" customHeight="true" outlineLevel="0" collapsed="false">
      <c r="B29" s="52" t="s">
        <v>1235</v>
      </c>
      <c r="C29" s="52" t="str">
        <f aca="false">IF(Budget_Needs="","Choose your share for needs to see this",IF(Budget_Wants="","Choose your share for wants to see this",IF(Budget_Save="","Choose your share for savings to see this","")))</f>
        <v>Choose your share for needs to see this</v>
      </c>
    </row>
    <row r="30" customFormat="false" ht="15" hidden="false" customHeight="true" outlineLevel="0" collapsed="false">
      <c r="B30" s="52" t="s">
        <v>1236</v>
      </c>
      <c r="C30" s="52" t="str">
        <f aca="false">IF(Budget_Save="","Choose your share for savings to see this",IF(NOT(ISNUMBER(Used_Take_Home)),IF(Used_Take_Home="","Choose your take-home pay per month to see this",Used_Take_Home),""))</f>
        <v>Choose your share for savings to see this</v>
      </c>
    </row>
    <row r="31" customFormat="false" ht="15" hidden="false" customHeight="true" outlineLevel="0" collapsed="false">
      <c r="B31" s="52" t="s">
        <v>1237</v>
      </c>
      <c r="C31" s="52" t="str">
        <f aca="false">IF(Budget_Needs="","Choose your share for needs to see this",IF(NOT(ISNUMBER(Used_Take_Home)),IF(Used_Take_Home="","Choose your take-home pay per month to see this",Used_Take_Home),""))</f>
        <v>Choose your share for needs to see this</v>
      </c>
    </row>
    <row r="32" customFormat="false" ht="15" hidden="false" customHeight="true" outlineLevel="0" collapsed="false">
      <c r="B32" s="52" t="s">
        <v>1238</v>
      </c>
      <c r="C32" s="52" t="str">
        <f aca="false">IF(Budget_Wants="","Choose your share for wants to see this",IF(NOT(ISNUMBER(Used_Take_Home)),IF(Used_Take_Home="","Choose your take-home pay per month to see this",Used_Take_Home),""))</f>
        <v>Choose your share for wants to see this</v>
      </c>
    </row>
  </sheetData>
  <mergeCells count="4">
    <mergeCell ref="C15:E15"/>
    <mergeCell ref="B21:E21"/>
    <mergeCell ref="B22:E22"/>
    <mergeCell ref="B23:E23"/>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200000</formula2>
    </dataValidation>
    <dataValidation allowBlank="true" error="Please enter 0% to 100% · steps of 5%." errorStyle="stop" errorTitle="Outside the allowed range" operator="between" prompt="Generally the standard is 50% for needs (the 50/30/20 rule of thumb). Choose what you want to use.  Allowed: 0% to 100% · steps of 5%." promptTitle="Share for needs" showDropDown="false" showErrorMessage="true" showInputMessage="true" sqref="C7" type="decimal">
      <formula1>0</formula1>
      <formula2>1</formula2>
    </dataValidation>
    <dataValidation allowBlank="true" error="Please enter 0% to 100% · steps of 5%." errorStyle="stop" errorTitle="Outside the allowed range" operator="between" prompt="Generally the standard is 30% for wants (the 50/30/20 rule of thumb). Choose what you want to use.  Allowed: 0% to 100% · steps of 5%." promptTitle="Share for wants" showDropDown="false" showErrorMessage="true" showInputMessage="true" sqref="C8" type="decimal">
      <formula1>0</formula1>
      <formula2>1</formula2>
    </dataValidation>
    <dataValidation allowBlank="true" error="Please enter 0% to 100% · steps of 5%." errorStyle="stop" errorTitle="Outside the allowed range" operator="between" prompt="Generally the standard is 20% for savings and debt (the 50/30/20 rule of thumb). Choose what you want to use.  Allowed: 0% to 100% · steps of 5%." promptTitle="Share for savings and debt" showDropDown="false" showErrorMessage="true" showInputMessage="true" sqref="C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1239</v>
      </c>
      <c r="E1" s="3" t="s">
        <v>1240</v>
      </c>
    </row>
    <row r="2" customFormat="false" ht="15" hidden="false" customHeight="true" outlineLevel="0" collapsed="false">
      <c r="B2" s="21" t="s">
        <v>1241</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1242</v>
      </c>
    </row>
    <row r="5" customFormat="false" ht="15" hidden="false" customHeight="true" outlineLevel="0" collapsed="false">
      <c r="B5" s="13" t="s">
        <v>212</v>
      </c>
      <c r="C5" s="24" t="s">
        <v>213</v>
      </c>
      <c r="D5" s="24" t="s">
        <v>214</v>
      </c>
      <c r="E5" s="24" t="s">
        <v>215</v>
      </c>
      <c r="F5" s="14"/>
      <c r="G5" s="14"/>
    </row>
    <row r="6" customFormat="false" ht="21.75" hidden="false" customHeight="true" outlineLevel="0" collapsed="false">
      <c r="B6" s="25" t="s">
        <v>1243</v>
      </c>
      <c r="C6" s="26"/>
      <c r="D6" s="27" t="s">
        <v>217</v>
      </c>
      <c r="E6" s="28" t="s">
        <v>1244</v>
      </c>
      <c r="F6" s="29" t="n">
        <v>5000</v>
      </c>
      <c r="G6" s="30" t="str">
        <f aca="false">IF(ISBLANK(C6),IF(Fill_Example="Yes",F6,""),C6)</f>
        <v/>
      </c>
    </row>
    <row r="7" customFormat="false" ht="33" hidden="false" customHeight="true" outlineLevel="0" collapsed="false">
      <c r="B7" s="25" t="s">
        <v>1245</v>
      </c>
      <c r="C7" s="34"/>
      <c r="D7" s="27" t="s">
        <v>228</v>
      </c>
      <c r="E7" s="35" t="s">
        <v>1246</v>
      </c>
      <c r="F7" s="36" t="n">
        <v>0.2</v>
      </c>
      <c r="G7" s="37" t="str">
        <f aca="false">IF(ISBLANK(C7),IF(Fill_Example="Yes",F7,""),C7)</f>
        <v/>
      </c>
    </row>
    <row r="8" customFormat="false" ht="21.75" hidden="false" customHeight="true" outlineLevel="0" collapsed="false">
      <c r="B8" s="25" t="s">
        <v>1247</v>
      </c>
      <c r="C8" s="26"/>
      <c r="D8" s="27" t="s">
        <v>217</v>
      </c>
      <c r="E8" s="28" t="s">
        <v>1248</v>
      </c>
      <c r="F8" s="29" t="n">
        <v>250</v>
      </c>
      <c r="G8" s="30" t="str">
        <f aca="false">IF(ISBLANK(C8),IF(Fill_Example="Yes",F8,""),C8)</f>
        <v/>
      </c>
    </row>
    <row r="9" customFormat="false" ht="15" hidden="false" customHeight="true" outlineLevel="0" collapsed="false">
      <c r="B9" s="25" t="s">
        <v>1249</v>
      </c>
      <c r="C9" s="26"/>
      <c r="D9" s="27" t="s">
        <v>217</v>
      </c>
      <c r="E9" s="28" t="s">
        <v>1250</v>
      </c>
      <c r="F9" s="29" t="n">
        <v>0</v>
      </c>
      <c r="G9" s="30" t="n">
        <f aca="false">IF(ISBLANK(C9),F9,C9)</f>
        <v>0</v>
      </c>
    </row>
    <row r="11" customFormat="false" ht="15" hidden="false" customHeight="true" outlineLevel="0" collapsed="false">
      <c r="B11" s="13" t="s">
        <v>239</v>
      </c>
      <c r="C11" s="24" t="s">
        <v>240</v>
      </c>
      <c r="D11" s="24" t="s">
        <v>241</v>
      </c>
      <c r="E11" s="24" t="s">
        <v>242</v>
      </c>
      <c r="F11" s="14"/>
      <c r="G11" s="14"/>
    </row>
    <row r="12" customFormat="false" ht="17.25" hidden="false" customHeight="true" outlineLevel="0" collapsed="false">
      <c r="B12" s="21" t="s">
        <v>1251</v>
      </c>
      <c r="C12" s="62" t="str">
        <f aca="false">IF(Need_1&lt;&gt;"",Need_1,IF(Payment&lt;=Balance*Monthly_Rate,"Never",ROUNDUP(ROUND(NPER(Monthly_Rate,-Payment,Balance),6),0)))</f>
        <v>Choose your balance to see this</v>
      </c>
      <c r="D12" s="63" t="str">
        <f aca="false">IF(Need_1&lt;&gt;"",Need_1,IF(Months_To_Clear="Never","Never at this repayment",IF(Months_To_Clear&gt;Cap_Months,"Payment too low to clear this debt in a reasonable time (over 100 years)",IF(INT(Months_To_Clear/12)=0,MOD(Months_To_Clear,12)&amp;IF(MOD(Months_To_Clear,12)=1," month"," months"),INT(Months_To_Clear/12)&amp;IF(INT(Months_To_Clear/12)=1," year"," years")&amp;IF(MOD(Months_To_Clear,12)=0,""," "&amp;MOD(Months_To_Clear,12)&amp;IF(MOD(Months_To_Clear,12)=1," month"," months"))))))</f>
        <v>Choose your balance to see this</v>
      </c>
      <c r="E12" s="42" t="s">
        <v>1252</v>
      </c>
    </row>
    <row r="13" customFormat="false" ht="17.25" hidden="false" customHeight="true" outlineLevel="0" collapsed="false">
      <c r="B13" s="21" t="s">
        <v>337</v>
      </c>
      <c r="C13" s="41" t="str">
        <f aca="false">IF(Need_1&lt;&gt;"",Need_1,IF(Months_To_Clear="Never","—",Payment*(Months_To_Clear-1)+Final_Payment-Balance))</f>
        <v>Choose your balance to see this</v>
      </c>
      <c r="D13" s="27" t="s">
        <v>217</v>
      </c>
      <c r="E13" s="42" t="s">
        <v>1253</v>
      </c>
    </row>
    <row r="14" customFormat="false" ht="15" hidden="false" customHeight="true" outlineLevel="0" collapsed="false">
      <c r="B14" s="25" t="s">
        <v>1254</v>
      </c>
      <c r="C14" s="64" t="str">
        <f aca="false">IF(Need_2&lt;&gt;"",Need_2,(1+APR)^(1/12)-1)</f>
        <v>Choose your interest rate (APR) to see this</v>
      </c>
      <c r="D14" s="27"/>
      <c r="E14" s="42" t="s">
        <v>1255</v>
      </c>
    </row>
    <row r="15" customFormat="false" ht="15" hidden="false" customHeight="true" outlineLevel="0" collapsed="false">
      <c r="B15" s="25" t="s">
        <v>1256</v>
      </c>
      <c r="C15" s="43" t="str">
        <f aca="false">IF(Need_3&lt;&gt;"",Need_3,Monthly_Payment+Extra_Payment)</f>
        <v>Choose your monthly payment to see this</v>
      </c>
      <c r="D15" s="27" t="s">
        <v>217</v>
      </c>
      <c r="E15" s="42" t="s">
        <v>1257</v>
      </c>
    </row>
    <row r="16" customFormat="false" ht="15" hidden="false" customHeight="true" outlineLevel="0" collapsed="false">
      <c r="B16" s="25" t="s">
        <v>345</v>
      </c>
      <c r="C16" s="43" t="str">
        <f aca="false">IF(Need_1&lt;&gt;"",Need_1,IF(Months_To_Clear="Never","—",-FV(Monthly_Rate,Months_To_Clear-1,-Payment,Balance)*(1+Monthly_Rate)))</f>
        <v>Choose your balance to see this</v>
      </c>
      <c r="D16" s="27" t="s">
        <v>217</v>
      </c>
      <c r="E16" s="42" t="s">
        <v>1258</v>
      </c>
    </row>
    <row r="18" customFormat="false" ht="15" hidden="false" customHeight="true" outlineLevel="0" collapsed="false">
      <c r="B18" s="13" t="s">
        <v>272</v>
      </c>
      <c r="C18" s="14"/>
      <c r="D18" s="14"/>
      <c r="E18" s="14"/>
      <c r="F18" s="14"/>
      <c r="G18" s="14"/>
    </row>
    <row r="19" customFormat="false" ht="13.5" hidden="false" customHeight="true" outlineLevel="0" collapsed="false">
      <c r="B19" s="46" t="s">
        <v>1259</v>
      </c>
      <c r="C19" s="46"/>
      <c r="D19" s="46"/>
      <c r="E19" s="46"/>
    </row>
    <row r="20" customFormat="false" ht="13.5" hidden="false" customHeight="true" outlineLevel="0" collapsed="false">
      <c r="B20" s="46" t="s">
        <v>1260</v>
      </c>
      <c r="C20" s="46"/>
      <c r="D20" s="46"/>
      <c r="E20" s="46"/>
    </row>
    <row r="21" customFormat="false" ht="13.5" hidden="false" customHeight="true" outlineLevel="0" collapsed="false">
      <c r="B21" s="47" t="s">
        <v>276</v>
      </c>
      <c r="C21" s="47"/>
      <c r="D21" s="47"/>
      <c r="E21" s="47"/>
    </row>
    <row r="22" customFormat="false" ht="27.75" hidden="false" customHeight="true" outlineLevel="0" collapsed="false">
      <c r="B22" s="46" t="s">
        <v>356</v>
      </c>
      <c r="C22" s="46"/>
      <c r="D22" s="46"/>
      <c r="E22" s="46"/>
    </row>
    <row r="23" customFormat="false" ht="13.5" hidden="false" customHeight="true" outlineLevel="0" collapsed="false">
      <c r="B23" s="46" t="s">
        <v>1261</v>
      </c>
      <c r="C23" s="46"/>
      <c r="D23" s="46"/>
      <c r="E23" s="46"/>
    </row>
    <row r="24" customFormat="false" ht="27.75" hidden="false" customHeight="true" outlineLevel="0" collapsed="false">
      <c r="B24" s="46" t="s">
        <v>358</v>
      </c>
      <c r="C24" s="46"/>
      <c r="D24" s="46"/>
      <c r="E24" s="46"/>
    </row>
    <row r="25" customFormat="false" ht="13.5" hidden="false" customHeight="true" outlineLevel="0" collapsed="false">
      <c r="B25" s="46" t="s">
        <v>280</v>
      </c>
      <c r="C25" s="46"/>
      <c r="D25" s="46"/>
      <c r="E25" s="46"/>
    </row>
    <row r="27" customFormat="false" ht="15" hidden="false" customHeight="true" outlineLevel="0" collapsed="false">
      <c r="B27" s="13" t="s">
        <v>281</v>
      </c>
      <c r="C27" s="14"/>
      <c r="D27" s="14"/>
      <c r="E27" s="14"/>
      <c r="F27" s="14"/>
      <c r="G27" s="14"/>
    </row>
    <row r="28" customFormat="false" ht="15" hidden="false" customHeight="true" outlineLevel="0" collapsed="false">
      <c r="B28" s="25" t="s">
        <v>282</v>
      </c>
      <c r="C28" s="48" t="str">
        <f aca="false">"No goal (the plan already repays this debt)"</f>
        <v>No goal (the plan already repays this debt)</v>
      </c>
      <c r="E28" s="49" t="s">
        <v>1262</v>
      </c>
    </row>
    <row r="29" customFormat="false" ht="13.5" hidden="false" customHeight="true" outlineLevel="0" collapsed="false">
      <c r="B29" s="53" t="s">
        <v>1263</v>
      </c>
      <c r="C29" s="53"/>
      <c r="D29" s="53"/>
      <c r="E29" s="53"/>
    </row>
    <row r="31" customFormat="false" ht="15" hidden="false" customHeight="true" outlineLevel="0" collapsed="false">
      <c r="B31" s="13" t="s">
        <v>290</v>
      </c>
      <c r="C31" s="14"/>
      <c r="D31" s="14"/>
      <c r="E31" s="14"/>
      <c r="F31" s="14"/>
      <c r="G31" s="14"/>
    </row>
    <row r="32" customFormat="false" ht="15" hidden="false" customHeight="true" outlineLevel="0" collapsed="false">
      <c r="B32" s="52" t="s">
        <v>1264</v>
      </c>
      <c r="C32" s="52" t="str">
        <f aca="false">IF(Balance="","Choose your balance to see this",IF(APR="","Choose your interest rate (APR) to see this",IF(Monthly_Payment="","Choose your monthly payment to see this","")))</f>
        <v>Choose your balance to see this</v>
      </c>
    </row>
    <row r="33" customFormat="false" ht="15" hidden="false" customHeight="true" outlineLevel="0" collapsed="false">
      <c r="B33" s="52" t="s">
        <v>1265</v>
      </c>
      <c r="C33" s="52" t="str">
        <f aca="false">IF(APR="","Choose your interest rate (APR) to see this","")</f>
        <v>Choose your interest rate (APR) to see this</v>
      </c>
    </row>
    <row r="34" customFormat="false" ht="15" hidden="false" customHeight="true" outlineLevel="0" collapsed="false">
      <c r="B34" s="52" t="s">
        <v>1266</v>
      </c>
      <c r="C34" s="52" t="str">
        <f aca="false">IF(Monthly_Payment="","Choose your monthly payment to see this","")</f>
        <v>Choose your monthly payment to see this</v>
      </c>
    </row>
  </sheetData>
  <mergeCells count="8">
    <mergeCell ref="B19:E19"/>
    <mergeCell ref="B20:E20"/>
    <mergeCell ref="B21:E21"/>
    <mergeCell ref="B22:E22"/>
    <mergeCell ref="B23:E23"/>
    <mergeCell ref="B24:E24"/>
    <mergeCell ref="B25:E25"/>
    <mergeCell ref="B29:E29"/>
  </mergeCells>
  <dataValidations count="4">
    <dataValidation allowBlank="true" error="Please enter €100 to €1,000,000 · steps of €100." errorStyle="stop" errorTitle="Outside the allowed range" operator="between" prompt="Your own figure. In the app it is pre-filled from Your finances: the debt that takes longest to clear.  Allowed: €100 to €1,000,000 · steps of €100." promptTitle="Balance" showDropDown="false" showErrorMessage="true" showInputMessage="true" sqref="C6" type="decimal">
      <formula1>100</formula1>
      <formula2>1000000</formula2>
    </dataValidation>
    <dataValidation allowBlank="true" error="Please enter 0% to 35% · steps of 0.5%." errorStyle="stop" errorTitle="Outside the allowed range" operator="between" prompt="Usually between 13% and 23% APR for Irish credit cards (Central Bank review, 2026); your statement shows yours. In the app it is pre-filled from Your finances: that debt's rate (else 20% card / 8% loan). Enter your own  Allowed: 0% to 35% · steps of 0.5%." promptTitle="Interest (APR)" showDropDown="false" showErrorMessage="true" showInputMessage="true" sqref="C7" type="decimal">
      <formula1>0</formula1>
      <formula2>0.35</formula2>
    </dataValidation>
    <dataValidation allowBlank="true" error="Please enter €10 to €50,000 · steps of €10." errorStyle="stop" errorTitle="Outside the allowed range" operator="between" prompt="Your own figure. In the app it is pre-filled from Your finances: that debt's repayment.  Allowed: €10 to €50,000 · steps of €10." promptTitle="Monthly payment" showDropDown="false" showErrorMessage="true" showInputMessage="true" sqref="C8" type="decimal">
      <formula1>10</formula1>
      <formula2>50000</formula2>
    </dataValidation>
    <dataValidation allowBlank="true" error="Please enter €0 to €10,000 · steps of €10." errorStyle="stop" errorTitle="Outside the allowed range" operator="between" prompt="Optional: leave blank for none.  Allowed: €0 to €10,000 · steps of €10." promptTitle="What if: pay extra each month" showDropDown="false" showErrorMessage="true" showInputMessage="true" sqref="C9" type="decimal">
      <formula1>0</formula1>
      <formula2>10000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0" t="s">
        <v>1267</v>
      </c>
      <c r="E1" s="3" t="s">
        <v>1268</v>
      </c>
    </row>
    <row r="2" customFormat="false" ht="15" hidden="false" customHeight="true" outlineLevel="0" collapsed="false">
      <c r="B2" s="21" t="s">
        <v>1269</v>
      </c>
      <c r="E2" s="22"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3" t="s">
        <v>1270</v>
      </c>
    </row>
    <row r="5" customFormat="false" ht="15" hidden="false" customHeight="true" outlineLevel="0" collapsed="false">
      <c r="B5" s="13" t="s">
        <v>212</v>
      </c>
      <c r="C5" s="24" t="s">
        <v>213</v>
      </c>
      <c r="D5" s="24" t="s">
        <v>214</v>
      </c>
      <c r="E5" s="24" t="s">
        <v>215</v>
      </c>
      <c r="F5" s="14"/>
      <c r="G5" s="14"/>
    </row>
    <row r="6" customFormat="false" ht="15" hidden="false" customHeight="true" outlineLevel="0" collapsed="false">
      <c r="B6" s="25" t="s">
        <v>1271</v>
      </c>
      <c r="C6" s="26"/>
      <c r="D6" s="27" t="s">
        <v>217</v>
      </c>
      <c r="E6" s="28" t="s">
        <v>1272</v>
      </c>
      <c r="F6" s="29" t="n">
        <v>15000</v>
      </c>
      <c r="G6" s="30" t="str">
        <f aca="false">IF(ISBLANK(C6),IF(Fill_Example="Yes",F6,""),C6)</f>
        <v/>
      </c>
    </row>
    <row r="7" customFormat="false" ht="21.75" hidden="false" customHeight="true" outlineLevel="0" collapsed="false">
      <c r="B7" s="25" t="s">
        <v>1245</v>
      </c>
      <c r="C7" s="34"/>
      <c r="D7" s="27" t="s">
        <v>228</v>
      </c>
      <c r="E7" s="35" t="s">
        <v>1273</v>
      </c>
      <c r="F7" s="36" t="n">
        <v>0.08</v>
      </c>
      <c r="G7" s="37" t="str">
        <f aca="false">IF(ISBLANK(C7),IF(Fill_Example="Yes",F7,""),C7)</f>
        <v/>
      </c>
    </row>
    <row r="8" customFormat="false" ht="15" hidden="false" customHeight="true" outlineLevel="0" collapsed="false">
      <c r="B8" s="25" t="s">
        <v>603</v>
      </c>
      <c r="C8" s="38"/>
      <c r="D8" s="27" t="s">
        <v>231</v>
      </c>
      <c r="E8" s="28" t="s">
        <v>682</v>
      </c>
      <c r="F8" s="39" t="n">
        <v>5</v>
      </c>
      <c r="G8" s="40" t="str">
        <f aca="false">IF(ISBLANK(C8),IF(Fill_Example="Yes",F8,""),C8)</f>
        <v/>
      </c>
    </row>
    <row r="10" customFormat="false" ht="15" hidden="false" customHeight="true" outlineLevel="0" collapsed="false">
      <c r="B10" s="13" t="s">
        <v>239</v>
      </c>
      <c r="C10" s="24" t="s">
        <v>240</v>
      </c>
      <c r="D10" s="24" t="s">
        <v>241</v>
      </c>
      <c r="E10" s="24" t="s">
        <v>242</v>
      </c>
      <c r="F10" s="14"/>
      <c r="G10" s="14"/>
    </row>
    <row r="11" customFormat="false" ht="17.25" hidden="false" customHeight="true" outlineLevel="0" collapsed="false">
      <c r="B11" s="21" t="s">
        <v>311</v>
      </c>
      <c r="C11" s="41" t="str">
        <f aca="false">IF(Need_1&lt;&gt;"",Need_1,PMT(Monthly_Rate,Years*12,-Loan_Amount))</f>
        <v>Choose your loan amount to see this</v>
      </c>
      <c r="D11" s="27" t="s">
        <v>217</v>
      </c>
      <c r="E11" s="42" t="s">
        <v>1274</v>
      </c>
    </row>
    <row r="12" customFormat="false" ht="17.25" hidden="false" customHeight="true" outlineLevel="0" collapsed="false">
      <c r="B12" s="21" t="s">
        <v>337</v>
      </c>
      <c r="C12" s="41" t="str">
        <f aca="false">IF(Need_1&lt;&gt;"",Need_1,Total_Repaid-Loan_Amount)</f>
        <v>Choose your loan amount to see this</v>
      </c>
      <c r="D12" s="27" t="s">
        <v>217</v>
      </c>
      <c r="E12" s="42" t="s">
        <v>1275</v>
      </c>
    </row>
    <row r="13" customFormat="false" ht="15" hidden="false" customHeight="true" outlineLevel="0" collapsed="false">
      <c r="B13" s="25" t="s">
        <v>339</v>
      </c>
      <c r="C13" s="43" t="str">
        <f aca="false">IF(Need_1&lt;&gt;"",Need_1,Monthly_Repayment*Years*12)</f>
        <v>Choose your loan amount to see this</v>
      </c>
      <c r="D13" s="27" t="s">
        <v>217</v>
      </c>
      <c r="E13" s="42" t="s">
        <v>1276</v>
      </c>
    </row>
    <row r="14" customFormat="false" ht="15" hidden="false" customHeight="true" outlineLevel="0" collapsed="false">
      <c r="B14" s="25" t="s">
        <v>1254</v>
      </c>
      <c r="C14" s="64" t="str">
        <f aca="false">IF(Need_2&lt;&gt;"",Need_2,(1+APR)^(1/12)-1)</f>
        <v>Choose your interest rate (APR) to see this</v>
      </c>
      <c r="D14" s="27"/>
      <c r="E14" s="42" t="s">
        <v>1255</v>
      </c>
    </row>
    <row r="16" customFormat="false" ht="15" hidden="false" customHeight="true" outlineLevel="0" collapsed="false">
      <c r="B16" s="13" t="s">
        <v>272</v>
      </c>
      <c r="C16" s="14"/>
      <c r="D16" s="14"/>
      <c r="E16" s="14"/>
      <c r="F16" s="14"/>
      <c r="G16" s="14"/>
    </row>
    <row r="17" customFormat="false" ht="13.5" hidden="false" customHeight="true" outlineLevel="0" collapsed="false">
      <c r="B17" s="46" t="s">
        <v>1277</v>
      </c>
      <c r="C17" s="46"/>
      <c r="D17" s="46"/>
      <c r="E17" s="46"/>
    </row>
    <row r="18" customFormat="false" ht="13.5" hidden="false" customHeight="true" outlineLevel="0" collapsed="false">
      <c r="B18" s="46" t="s">
        <v>1278</v>
      </c>
      <c r="C18" s="46"/>
      <c r="D18" s="46"/>
      <c r="E18" s="46"/>
    </row>
    <row r="19" customFormat="false" ht="13.5" hidden="false" customHeight="true" outlineLevel="0" collapsed="false">
      <c r="B19" s="47" t="s">
        <v>276</v>
      </c>
      <c r="C19" s="47"/>
      <c r="D19" s="47"/>
      <c r="E19" s="47"/>
    </row>
    <row r="20" customFormat="false" ht="13.5" hidden="false" customHeight="true" outlineLevel="0" collapsed="false">
      <c r="B20" s="46" t="s">
        <v>280</v>
      </c>
      <c r="C20" s="46"/>
      <c r="D20" s="46"/>
      <c r="E20" s="46"/>
    </row>
    <row r="22" customFormat="false" ht="15" hidden="false" customHeight="true" outlineLevel="0" collapsed="false">
      <c r="B22" s="13" t="s">
        <v>281</v>
      </c>
      <c r="C22" s="14"/>
      <c r="D22" s="14"/>
      <c r="E22" s="14"/>
      <c r="F22" s="14"/>
      <c r="G22" s="14"/>
    </row>
    <row r="23" customFormat="false" ht="15" hidden="false" customHeight="true" outlineLevel="0" collapsed="false">
      <c r="B23" s="25" t="s">
        <v>282</v>
      </c>
      <c r="C23" s="48" t="str">
        <f aca="false">"No goal"</f>
        <v>No goal</v>
      </c>
      <c r="E23" s="49" t="s">
        <v>471</v>
      </c>
    </row>
    <row r="25" customFormat="false" ht="15" hidden="false" customHeight="true" outlineLevel="0" collapsed="false">
      <c r="B25" s="13" t="s">
        <v>290</v>
      </c>
      <c r="C25" s="14"/>
      <c r="D25" s="14"/>
      <c r="E25" s="14"/>
      <c r="F25" s="14"/>
      <c r="G25" s="14"/>
    </row>
    <row r="26" customFormat="false" ht="15" hidden="false" customHeight="true" outlineLevel="0" collapsed="false">
      <c r="B26" s="52" t="s">
        <v>1279</v>
      </c>
      <c r="C26" s="52" t="str">
        <f aca="false">IF(Loan_Amount="","Choose your loan amount to see this",IF(APR="","Choose your interest rate (APR) to see this",IF(Years="","Choose your years to see this","")))</f>
        <v>Choose your loan amount to see this</v>
      </c>
    </row>
    <row r="27" customFormat="false" ht="15" hidden="false" customHeight="true" outlineLevel="0" collapsed="false">
      <c r="B27" s="52" t="s">
        <v>1265</v>
      </c>
      <c r="C27" s="52" t="str">
        <f aca="false">IF(APR="","Choose your interest rate (APR) to see this","")</f>
        <v>Choose your interest rate (APR) to see this</v>
      </c>
    </row>
  </sheetData>
  <mergeCells count="4">
    <mergeCell ref="B17:E17"/>
    <mergeCell ref="B18:E18"/>
    <mergeCell ref="B19:E19"/>
    <mergeCell ref="B20:E20"/>
  </mergeCells>
  <dataValidations count="3">
    <dataValidation allowBlank="true" error="Please enter €500 to €1,000,000 · steps of €500." errorStyle="stop" errorTitle="Outside the allowed range" operator="between" prompt="Your own figure.  Allowed: €500 to €1,000,000 · steps of €500." promptTitle="Loan amount" showDropDown="false" showErrorMessage="true" showInputMessage="true" sqref="C6" type="decimal">
      <formula1>500</formula1>
      <formula2>1000000</formula2>
    </dataValidation>
    <dataValidation allowBlank="true" error="Please enter 0% to 25% · steps of 0.5%." errorStyle="stop" errorTitle="Outside the allowed range" operator="between" prompt="Usually between 6% and 10% APR for personal loans (Central Bank: new lending averaged 7.48%, June 2026); credit unions often charge less. Enter your own figure.  Allowed: 0% to 25% · steps of 0.5%." promptTitle="Interest (APR)" showDropDown="false" showErrorMessage="true" showInputMessage="true" sqref="C7" type="decimal">
      <formula1>0</formula1>
      <formula2>0.25</formula2>
    </dataValidation>
    <dataValidation allowBlank="true" error="Please enter 1 to 10 · steps of 1." errorStyle="stop" errorTitle="Outside the allowed range" operator="between" prompt="Your own figure.  Allowed: 1 to 10 · steps of 1." promptTitle="Years" showDropDown="false" showErrorMessage="true" showInputMessage="true" sqref="C8" type="whole">
      <formula1>1</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R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8"/>
    <col collapsed="false" customWidth="true" hidden="false" outlineLevel="0" max="4" min="4" style="1" width="20"/>
    <col collapsed="false" customWidth="true" hidden="false" outlineLevel="0" max="5" min="5" style="1" width="90"/>
    <col collapsed="false" customWidth="true" hidden="false" outlineLevel="0" max="7" min="6" style="1" width="18"/>
    <col collapsed="false" customWidth="true" hidden="false" outlineLevel="0" max="18" min="8" style="1" width="13"/>
  </cols>
  <sheetData>
    <row r="1" customFormat="false" ht="19.5" hidden="false" customHeight="true" outlineLevel="0" collapsed="false">
      <c r="B1" s="20" t="s">
        <v>1280</v>
      </c>
    </row>
    <row r="2" customFormat="false" ht="15" hidden="false" customHeight="true" outlineLevel="0" collapsed="false">
      <c r="B2" s="86" t="s">
        <v>1281</v>
      </c>
    </row>
    <row r="4" customFormat="false" ht="15" hidden="false" customHeight="true" outlineLevel="0" collapsed="false">
      <c r="B4" s="13" t="s">
        <v>212</v>
      </c>
      <c r="C4" s="14"/>
      <c r="D4" s="14"/>
      <c r="E4" s="14"/>
      <c r="F4" s="24" t="s">
        <v>1282</v>
      </c>
      <c r="G4" s="24" t="s">
        <v>1283</v>
      </c>
    </row>
    <row r="5" customFormat="false" ht="15" hidden="false" customHeight="true" outlineLevel="0" collapsed="false">
      <c r="B5" s="25" t="s">
        <v>1284</v>
      </c>
      <c r="C5" s="31"/>
      <c r="E5" s="3" t="s">
        <v>1285</v>
      </c>
      <c r="F5" s="32" t="s">
        <v>1286</v>
      </c>
      <c r="G5" s="33" t="str">
        <f aca="false">IF(ISBLANK(C5),IF(Fill_Example="Yes",F5,""),C5)</f>
        <v/>
      </c>
    </row>
    <row r="6" customFormat="false" ht="15" hidden="false" customHeight="true" outlineLevel="0" collapsed="false">
      <c r="B6" s="25" t="s">
        <v>1287</v>
      </c>
      <c r="C6" s="26"/>
      <c r="E6" s="3" t="s">
        <v>1288</v>
      </c>
      <c r="F6" s="29" t="n">
        <v>60000</v>
      </c>
      <c r="G6" s="30" t="str">
        <f aca="false">IF(ISBLANK(C6),IF(Fill_Example="Yes",F6,""),C6)</f>
        <v/>
      </c>
    </row>
    <row r="7" customFormat="false" ht="15" hidden="false" customHeight="true" outlineLevel="0" collapsed="false">
      <c r="B7" s="25" t="s">
        <v>1289</v>
      </c>
      <c r="C7" s="26"/>
      <c r="E7" s="3" t="s">
        <v>1290</v>
      </c>
      <c r="F7" s="29" t="n">
        <v>0</v>
      </c>
      <c r="G7" s="30" t="n">
        <f aca="false">IF(ISBLANK(C7),F7,C7)</f>
        <v>0</v>
      </c>
    </row>
    <row r="8" customFormat="false" ht="15" hidden="false" customHeight="true" outlineLevel="0" collapsed="false">
      <c r="B8" s="25" t="s">
        <v>1291</v>
      </c>
      <c r="C8" s="31"/>
      <c r="E8" s="3" t="s">
        <v>1292</v>
      </c>
      <c r="F8" s="32" t="s">
        <v>3</v>
      </c>
      <c r="G8" s="33" t="str">
        <f aca="false">IF(ISBLANK(C8),IF(Fill_Example="Yes",F8,""),C8)</f>
        <v/>
      </c>
    </row>
    <row r="9" customFormat="false" ht="15" hidden="false" customHeight="true" outlineLevel="0" collapsed="false">
      <c r="B9" s="25" t="s">
        <v>1293</v>
      </c>
      <c r="C9" s="31"/>
      <c r="E9" s="3" t="s">
        <v>1294</v>
      </c>
      <c r="F9" s="32" t="s">
        <v>3</v>
      </c>
      <c r="G9" s="33" t="str">
        <f aca="false">IF(ISBLANK(C9),IF(Fill_Example="Yes",F9,""),C9)</f>
        <v/>
      </c>
    </row>
    <row r="10" customFormat="false" ht="15" hidden="false" customHeight="true" outlineLevel="0" collapsed="false">
      <c r="B10" s="25" t="s">
        <v>1295</v>
      </c>
      <c r="C10" s="31"/>
      <c r="E10" s="3" t="s">
        <v>1296</v>
      </c>
      <c r="F10" s="32" t="s">
        <v>1297</v>
      </c>
      <c r="G10" s="33" t="str">
        <f aca="false">IF(ISBLANK(C10),F10,C10)</f>
        <v>From 1 Oct 2026</v>
      </c>
    </row>
    <row r="12" customFormat="false" ht="15" hidden="false" customHeight="true" outlineLevel="0" collapsed="false">
      <c r="B12" s="13" t="s">
        <v>1298</v>
      </c>
      <c r="C12" s="14"/>
      <c r="D12" s="14"/>
      <c r="E12" s="14"/>
    </row>
    <row r="13" customFormat="false" ht="15" hidden="false" customHeight="true" outlineLevel="0" collapsed="false">
      <c r="B13" s="25" t="s">
        <v>1299</v>
      </c>
      <c r="C13" s="87" t="n">
        <f aca="false">IF(TE_PRSI_Basis="Calendar 2026 blend",PRSI_Rate_2026_Blend,PRSI_Rate)</f>
        <v>0.0435</v>
      </c>
      <c r="E13" s="88" t="s">
        <v>1300</v>
      </c>
    </row>
    <row r="14" customFormat="false" ht="15" hidden="false" customHeight="true" outlineLevel="0" collapsed="false">
      <c r="B14" s="25" t="s">
        <v>1301</v>
      </c>
      <c r="C14" s="89" t="str">
        <f aca="false">IF(TE_Need&lt;&gt;"",TE_Need,IF(TE_Status="Married two earners",TE_Gross_2,0))</f>
        <v>Choose your tax status to see this</v>
      </c>
      <c r="E14" s="88" t="s">
        <v>1302</v>
      </c>
    </row>
    <row r="15" customFormat="false" ht="30" hidden="false" customHeight="true" outlineLevel="0" collapsed="false">
      <c r="B15" s="25" t="s">
        <v>1303</v>
      </c>
      <c r="C15" s="89" t="str">
        <f aca="false">IF(TE_Need&lt;&gt;"",TE_Need,IF(TE_Status="Single",Band_Single,IF(TE_Status="Single parent",Band_Single_Parent,IF(TE_Status="Married one earner",Band_Married,Band_Married+MIN(MIN(TE_Gross_1,TE_Gross_2),Band_Second_Earner_Max)))))</f>
        <v>Choose your tax status to see this</v>
      </c>
      <c r="E15" s="88" t="s">
        <v>1304</v>
      </c>
    </row>
    <row r="16" customFormat="false" ht="15" hidden="false" customHeight="true" outlineLevel="0" collapsed="false">
      <c r="B16" s="25" t="s">
        <v>1305</v>
      </c>
      <c r="C16" s="89" t="str">
        <f aca="false">IF(TE_Need&lt;&gt;"",TE_Need,TE_Gross_1+TE_Earner_2)</f>
        <v>Choose your tax status to see this</v>
      </c>
      <c r="E16" s="88" t="s">
        <v>1306</v>
      </c>
    </row>
    <row r="17" customFormat="false" ht="15" hidden="false" customHeight="true" outlineLevel="0" collapsed="false">
      <c r="B17" s="25" t="s">
        <v>1307</v>
      </c>
      <c r="C17" s="90" t="str">
        <f aca="false">IF(TE_Need&lt;&gt;"",TE_Need,Rate_Standard*MIN(TE_Taxable,TE_Band)+Rate_Higher*MAX(0,TE_Taxable-TE_Band))</f>
        <v>Choose your tax status to see this</v>
      </c>
      <c r="E17" s="88" t="s">
        <v>1308</v>
      </c>
    </row>
    <row r="18" customFormat="false" ht="30" hidden="false" customHeight="true" outlineLevel="0" collapsed="false">
      <c r="B18" s="25" t="s">
        <v>1309</v>
      </c>
      <c r="C18" s="90" t="str">
        <f aca="false">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f>
        <v>Choose your tax status to see this</v>
      </c>
      <c r="E18" s="88" t="s">
        <v>1310</v>
      </c>
    </row>
    <row r="19" customFormat="false" ht="15" hidden="false" customHeight="true" outlineLevel="0" collapsed="false">
      <c r="B19" s="10" t="s">
        <v>1311</v>
      </c>
      <c r="C19" s="91" t="str">
        <f aca="false">IF(TE_Need&lt;&gt;"",TE_Need,MAX(0,TE_Tax_Before_Credits-TE_Credits))</f>
        <v>Choose your tax status to see this</v>
      </c>
      <c r="E19" s="88" t="s">
        <v>1312</v>
      </c>
    </row>
    <row r="20" customFormat="false" ht="30" hidden="false" customHeight="true" outlineLevel="0" collapsed="false">
      <c r="B20" s="10" t="s">
        <v>1313</v>
      </c>
      <c r="C20" s="91" t="str">
        <f aca="false">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f>
        <v>Choose your tax status to see this</v>
      </c>
      <c r="E20" s="88" t="s">
        <v>1314</v>
      </c>
    </row>
    <row r="21" customFormat="false" ht="30" hidden="false" customHeight="true" outlineLevel="0" collapsed="false">
      <c r="B21" s="10" t="s">
        <v>1315</v>
      </c>
      <c r="C21" s="91" t="str">
        <f aca="false">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f>
        <v>Choose your tax status to see this</v>
      </c>
      <c r="E21" s="88" t="s">
        <v>1316</v>
      </c>
    </row>
    <row r="22" customFormat="false" ht="15" hidden="false" customHeight="true" outlineLevel="0" collapsed="false">
      <c r="B22" s="10" t="s">
        <v>1317</v>
      </c>
      <c r="C22" s="91" t="str">
        <f aca="false">IF(TE_Need&lt;&gt;"",TE_Need,TE_Taxable-TE_Income_Tax-TE_USC-TE_PRSI)</f>
        <v>Choose your tax status to see this</v>
      </c>
      <c r="E22" s="88" t="s">
        <v>1318</v>
      </c>
    </row>
    <row r="23" customFormat="false" ht="15" hidden="false" customHeight="true" outlineLevel="0" collapsed="false">
      <c r="B23" s="10" t="s">
        <v>1319</v>
      </c>
      <c r="C23" s="91" t="str">
        <f aca="false">IF(TE_Need&lt;&gt;"",TE_Need,TE_Take_Home/12)</f>
        <v>Choose your tax status to see this</v>
      </c>
      <c r="E23" s="88" t="s">
        <v>1320</v>
      </c>
    </row>
    <row r="24" customFormat="false" ht="15" hidden="false" customHeight="true" outlineLevel="0" collapsed="false">
      <c r="B24" s="10" t="s">
        <v>1321</v>
      </c>
      <c r="C24" s="92" t="str">
        <f aca="false">IF(TE_Need&lt;&gt;"",TE_Need,IF(TE_Taxable&gt;TE_Band,Rate_Higher,Rate_Standard))</f>
        <v>Choose your tax status to see this</v>
      </c>
      <c r="E24" s="88" t="s">
        <v>1322</v>
      </c>
    </row>
    <row r="25" customFormat="false" ht="15" hidden="false" customHeight="true" outlineLevel="0" collapsed="false">
      <c r="B25" s="52" t="s">
        <v>1323</v>
      </c>
      <c r="C25" s="52" t="str">
        <f aca="false">IF(TE_Status="","Choose your tax status to see this",IF(TE_Gross_1="","Choose your gross yearly pay to see this",IF(TE_Rent_Credit="","Choose your answer on the Rent Tax Credit to see this",IF(TE_Home_Carer="","Choose your answer on the Home Carer Tax Credit to see this",""))))</f>
        <v>Choose your tax status to see this</v>
      </c>
    </row>
    <row r="27" customFormat="false" ht="15" hidden="false" customHeight="true" outlineLevel="0" collapsed="false">
      <c r="B27" s="13" t="s">
        <v>272</v>
      </c>
      <c r="C27" s="14"/>
      <c r="D27" s="14"/>
      <c r="E27" s="14"/>
    </row>
    <row r="28" customFormat="false" ht="15" hidden="false" customHeight="true" outlineLevel="0" collapsed="false">
      <c r="B28" s="93" t="s">
        <v>1324</v>
      </c>
      <c r="C28" s="93"/>
      <c r="D28" s="93"/>
      <c r="E28" s="93"/>
    </row>
    <row r="29" customFormat="false" ht="15" hidden="false" customHeight="true" outlineLevel="0" collapsed="false">
      <c r="B29" s="93" t="s">
        <v>1325</v>
      </c>
      <c r="C29" s="93"/>
      <c r="D29" s="93"/>
      <c r="E29" s="93"/>
    </row>
    <row r="30" customFormat="false" ht="15" hidden="false" customHeight="true" outlineLevel="0" collapsed="false">
      <c r="B30" s="93" t="s">
        <v>1326</v>
      </c>
      <c r="C30" s="93"/>
      <c r="D30" s="93"/>
      <c r="E30" s="93"/>
    </row>
    <row r="31" customFormat="false" ht="15" hidden="false" customHeight="true" outlineLevel="0" collapsed="false">
      <c r="B31" s="93" t="s">
        <v>1327</v>
      </c>
      <c r="C31" s="93"/>
      <c r="D31" s="93"/>
      <c r="E31" s="93"/>
    </row>
    <row r="33" customFormat="false" ht="15" hidden="false" customHeight="true" outlineLevel="0" collapsed="false">
      <c r="B33" s="13" t="s">
        <v>1328</v>
      </c>
      <c r="C33" s="14"/>
      <c r="D33" s="14"/>
      <c r="E33" s="14"/>
      <c r="F33" s="14"/>
      <c r="G33" s="14"/>
      <c r="H33" s="14"/>
      <c r="I33" s="14"/>
      <c r="J33" s="14"/>
      <c r="K33" s="14"/>
      <c r="L33" s="14"/>
      <c r="M33" s="14"/>
      <c r="N33" s="14"/>
      <c r="O33" s="14"/>
      <c r="P33" s="14"/>
      <c r="Q33" s="14"/>
      <c r="R33" s="14"/>
    </row>
    <row r="34" customFormat="false" ht="30" hidden="false" customHeight="true" outlineLevel="0" collapsed="false">
      <c r="B34" s="94" t="s">
        <v>1329</v>
      </c>
      <c r="C34" s="94" t="s">
        <v>1330</v>
      </c>
      <c r="D34" s="94" t="s">
        <v>1331</v>
      </c>
      <c r="E34" s="94" t="s">
        <v>1332</v>
      </c>
      <c r="F34" s="94" t="s">
        <v>1311</v>
      </c>
      <c r="G34" s="94" t="s">
        <v>1333</v>
      </c>
      <c r="H34" s="94" t="s">
        <v>1334</v>
      </c>
      <c r="I34" s="94" t="s">
        <v>1335</v>
      </c>
      <c r="J34" s="94" t="s">
        <v>1336</v>
      </c>
      <c r="K34" s="94" t="s">
        <v>1337</v>
      </c>
      <c r="L34" s="94" t="s">
        <v>1338</v>
      </c>
      <c r="M34" s="94" t="s">
        <v>1339</v>
      </c>
      <c r="N34" s="94" t="s">
        <v>1340</v>
      </c>
      <c r="O34" s="94" t="s">
        <v>1341</v>
      </c>
      <c r="P34" s="94" t="s">
        <v>1342</v>
      </c>
      <c r="Q34" s="94" t="s">
        <v>240</v>
      </c>
      <c r="R34" s="94"/>
    </row>
    <row r="35" customFormat="false" ht="15" hidden="false" customHeight="true" outlineLevel="0" collapsed="false">
      <c r="B35" s="12" t="s">
        <v>1343</v>
      </c>
      <c r="C35" s="80" t="n">
        <v>25000</v>
      </c>
      <c r="D35" s="12" t="s">
        <v>1286</v>
      </c>
      <c r="E35" s="12" t="s">
        <v>1344</v>
      </c>
      <c r="F35" s="95" t="n">
        <f aca="false">MAX(0,Rate_Standard*MIN(C35,IF(D35="Single",Band_Single,IF(D35="Single parent",Band_Single_Parent,IF(D35="Married one earner",Band_Married,Band_Married+MIN(MIN(C35,0),Band_Second_Earner_Max)))))+Rate_Higher*MAX(0,C35-IF(D35="Single",Band_Single,IF(D35="Single parent",Band_Single_Parent,IF(D35="Married one earner",Band_Married,Band_Married+MIN(MIN(C35,0),Band_Second_Earner_Max)))))-(IF(OR(D35="Single",D35="Single parent"),Credit_Personal_Single,Credit_Personal_Married)+IF(D35="Single parent",Credit_SPCCC,0)+MIN(Credit_PAYE,Credit_PAYE_Cap_Pct*C35)+IF(0&gt;0,MIN(Credit_PAYE,Credit_PAYE_Cap_Pct*0),0)+IF("No"="Yes",IF(LEFT(D35,7)="Married",Credit_Rent_Joint,Credit_Rent_Single),0)+IF(AND("No"="Yes",D35="Married one earner"),Credit_Home_Carer,0)))</f>
        <v>1000</v>
      </c>
      <c r="G35" s="95" t="n">
        <f aca="false">IF(C35&lt;=USC_Exempt,0,USC_Rate_1*MIN(C35,USC_Band_1)+USC_Rate_2*MAX(0,MIN(C35,USC_Band_2)-USC_Band_1)+USC_Rate_3*MAX(0,MIN(C35,USC_Band_3)-USC_Band_2)+USC_Rate_4*MAX(0,C35-USC_Band_3))</f>
        <v>319.82</v>
      </c>
      <c r="H35" s="95" t="n">
        <f aca="false">IF(C35/Weeks_Per_Year&lt;=PRSI_Free_Week,0,MAX(0,C35/Weeks_Per_Year*PRSI_Rate-IF(C35/Weeks_Per_Year&lt;=PRSI_Credit_Top,MAX(0,PRSI_Credit_Max-(C35/Weeks_Per_Year-(PRSI_Free_Week+0.01))/PRSI_Credit_Taper),0))*Weeks_Per_Year)</f>
        <v>1087.5</v>
      </c>
      <c r="I35" s="95" t="n">
        <f aca="false">IF(C35/Weeks_Per_Year&lt;=PRSI_Free_Week,0,MAX(0,C35/Weeks_Per_Year*PRSI_Rate_2026_Blend-IF(C35/Weeks_Per_Year&lt;=PRSI_Credit_Top,MAX(0,PRSI_Credit_Max-(C35/Weeks_Per_Year-(PRSI_Free_Week+0.01))/PRSI_Credit_Taper),0))*Weeks_Per_Year)</f>
        <v>1059.375</v>
      </c>
      <c r="J35" s="95" t="n">
        <f aca="false">C35-F35-G35-H35</f>
        <v>22592.68</v>
      </c>
      <c r="K35" s="95" t="n">
        <f aca="false">C35-F35-G35-I35</f>
        <v>22620.805</v>
      </c>
      <c r="L35" s="95" t="n">
        <v>1000</v>
      </c>
      <c r="M35" s="95" t="n">
        <v>319.82</v>
      </c>
      <c r="N35" s="95" t="n">
        <v>22592.68</v>
      </c>
      <c r="O35" s="95" t="n">
        <v>22620.81</v>
      </c>
      <c r="P35" s="95" t="n">
        <f aca="false">MAX(ABS(ROUND(F35,2)-L35),ABS(ROUND(G35,2)-M35),ABS(ROUND(J35,2)-N35),ABS(ROUND(K35,2)-O35))</f>
        <v>0</v>
      </c>
      <c r="Q35" s="18" t="str">
        <f aca="false">IF(P35&lt;0.005,"PASS","FAIL")</f>
        <v>PASS</v>
      </c>
    </row>
    <row r="36" customFormat="false" ht="15" hidden="false" customHeight="true" outlineLevel="0" collapsed="false">
      <c r="B36" s="12" t="s">
        <v>1345</v>
      </c>
      <c r="C36" s="80" t="n">
        <v>25000</v>
      </c>
      <c r="D36" s="12" t="s">
        <v>1346</v>
      </c>
      <c r="E36" s="12" t="s">
        <v>1344</v>
      </c>
      <c r="F36" s="95" t="n">
        <f aca="false">MAX(0,Rate_Standard*MIN(C36,IF(D36="Single",Band_Single,IF(D36="Single parent",Band_Single_Parent,IF(D36="Married one earner",Band_Married,Band_Married+MIN(MIN(C36,0),Band_Second_Earner_Max)))))+Rate_Higher*MAX(0,C36-IF(D36="Single",Band_Single,IF(D36="Single parent",Band_Single_Parent,IF(D36="Married one earner",Band_Married,Band_Married+MIN(MIN(C36,0),Band_Second_Earner_Max)))))-(IF(OR(D36="Single",D36="Single parent"),Credit_Personal_Single,Credit_Personal_Married)+IF(D36="Single parent",Credit_SPCCC,0)+MIN(Credit_PAYE,Credit_PAYE_Cap_Pct*C36)+IF(0&gt;0,MIN(Credit_PAYE,Credit_PAYE_Cap_Pct*0),0)+IF("No"="Yes",IF(LEFT(D36,7)="Married",Credit_Rent_Joint,Credit_Rent_Single),0)+IF(AND("No"="Yes",D36="Married one earner"),Credit_Home_Carer,0)))</f>
        <v>0</v>
      </c>
      <c r="G36" s="95" t="n">
        <f aca="false">IF(C36&lt;=USC_Exempt,0,USC_Rate_1*MIN(C36,USC_Band_1)+USC_Rate_2*MAX(0,MIN(C36,USC_Band_2)-USC_Band_1)+USC_Rate_3*MAX(0,MIN(C36,USC_Band_3)-USC_Band_2)+USC_Rate_4*MAX(0,C36-USC_Band_3))</f>
        <v>319.82</v>
      </c>
      <c r="H36" s="95" t="n">
        <f aca="false">IF(C36/Weeks_Per_Year&lt;=PRSI_Free_Week,0,MAX(0,C36/Weeks_Per_Year*PRSI_Rate-IF(C36/Weeks_Per_Year&lt;=PRSI_Credit_Top,MAX(0,PRSI_Credit_Max-(C36/Weeks_Per_Year-(PRSI_Free_Week+0.01))/PRSI_Credit_Taper),0))*Weeks_Per_Year)</f>
        <v>1087.5</v>
      </c>
      <c r="I36" s="95" t="n">
        <f aca="false">IF(C36/Weeks_Per_Year&lt;=PRSI_Free_Week,0,MAX(0,C36/Weeks_Per_Year*PRSI_Rate_2026_Blend-IF(C36/Weeks_Per_Year&lt;=PRSI_Credit_Top,MAX(0,PRSI_Credit_Max-(C36/Weeks_Per_Year-(PRSI_Free_Week+0.01))/PRSI_Credit_Taper),0))*Weeks_Per_Year)</f>
        <v>1059.375</v>
      </c>
      <c r="J36" s="95" t="n">
        <f aca="false">C36-F36-G36-H36</f>
        <v>23592.68</v>
      </c>
      <c r="K36" s="95" t="n">
        <f aca="false">C36-F36-G36-I36</f>
        <v>23620.805</v>
      </c>
      <c r="L36" s="95" t="n">
        <v>0</v>
      </c>
      <c r="M36" s="95" t="n">
        <v>319.82</v>
      </c>
      <c r="N36" s="95" t="n">
        <v>23592.68</v>
      </c>
      <c r="O36" s="95" t="n">
        <v>23620.81</v>
      </c>
      <c r="P36" s="95" t="n">
        <f aca="false">MAX(ABS(ROUND(F36,2)-L36),ABS(ROUND(G36,2)-M36),ABS(ROUND(J36,2)-N36),ABS(ROUND(K36,2)-O36))</f>
        <v>0</v>
      </c>
      <c r="Q36" s="18" t="str">
        <f aca="false">IF(P36&lt;0.005,"PASS","FAIL")</f>
        <v>PASS</v>
      </c>
    </row>
    <row r="37" customFormat="false" ht="15" hidden="false" customHeight="true" outlineLevel="0" collapsed="false">
      <c r="B37" s="12" t="s">
        <v>1347</v>
      </c>
      <c r="C37" s="80" t="n">
        <v>45000</v>
      </c>
      <c r="D37" s="12" t="s">
        <v>1286</v>
      </c>
      <c r="E37" s="12" t="s">
        <v>1344</v>
      </c>
      <c r="F37" s="95" t="n">
        <f aca="false">MAX(0,Rate_Standard*MIN(C37,IF(D37="Single",Band_Single,IF(D37="Single parent",Band_Single_Parent,IF(D37="Married one earner",Band_Married,Band_Married+MIN(MIN(C37,0),Band_Second_Earner_Max)))))+Rate_Higher*MAX(0,C37-IF(D37="Single",Band_Single,IF(D37="Single parent",Band_Single_Parent,IF(D37="Married one earner",Band_Married,Band_Married+MIN(MIN(C37,0),Band_Second_Earner_Max)))))-(IF(OR(D37="Single",D37="Single parent"),Credit_Personal_Single,Credit_Personal_Married)+IF(D37="Single parent",Credit_SPCCC,0)+MIN(Credit_PAYE,Credit_PAYE_Cap_Pct*C37)+IF(0&gt;0,MIN(Credit_PAYE,Credit_PAYE_Cap_Pct*0),0)+IF("No"="Yes",IF(LEFT(D37,7)="Married",Credit_Rent_Joint,Credit_Rent_Single),0)+IF(AND("No"="Yes",D37="Married one earner"),Credit_Home_Carer,0)))</f>
        <v>5200</v>
      </c>
      <c r="G37" s="95" t="n">
        <f aca="false">IF(C37&lt;=USC_Exempt,0,USC_Rate_1*MIN(C37,USC_Band_1)+USC_Rate_2*MAX(0,MIN(C37,USC_Band_2)-USC_Band_1)+USC_Rate_3*MAX(0,MIN(C37,USC_Band_3)-USC_Band_2)+USC_Rate_4*MAX(0,C37-USC_Band_3))</f>
        <v>882.82</v>
      </c>
      <c r="H37" s="95" t="n">
        <f aca="false">IF(C37/Weeks_Per_Year&lt;=PRSI_Free_Week,0,MAX(0,C37/Weeks_Per_Year*PRSI_Rate-IF(C37/Weeks_Per_Year&lt;=PRSI_Credit_Top,MAX(0,PRSI_Credit_Max-(C37/Weeks_Per_Year-(PRSI_Free_Week+0.01))/PRSI_Credit_Taper),0))*Weeks_Per_Year)</f>
        <v>1957.5</v>
      </c>
      <c r="I37" s="95" t="n">
        <f aca="false">IF(C37/Weeks_Per_Year&lt;=PRSI_Free_Week,0,MAX(0,C37/Weeks_Per_Year*PRSI_Rate_2026_Blend-IF(C37/Weeks_Per_Year&lt;=PRSI_Credit_Top,MAX(0,PRSI_Credit_Max-(C37/Weeks_Per_Year-(PRSI_Free_Week+0.01))/PRSI_Credit_Taper),0))*Weeks_Per_Year)</f>
        <v>1906.875</v>
      </c>
      <c r="J37" s="95" t="n">
        <f aca="false">C37-F37-G37-H37</f>
        <v>36959.68</v>
      </c>
      <c r="K37" s="95" t="n">
        <f aca="false">C37-F37-G37-I37</f>
        <v>37010.305</v>
      </c>
      <c r="L37" s="95" t="n">
        <v>5200</v>
      </c>
      <c r="M37" s="95" t="n">
        <v>882.82</v>
      </c>
      <c r="N37" s="95" t="n">
        <v>36959.68</v>
      </c>
      <c r="O37" s="95" t="n">
        <v>37010.31</v>
      </c>
      <c r="P37" s="95" t="n">
        <f aca="false">MAX(ABS(ROUND(F37,2)-L37),ABS(ROUND(G37,2)-M37),ABS(ROUND(J37,2)-N37),ABS(ROUND(K37,2)-O37))</f>
        <v>0</v>
      </c>
      <c r="Q37" s="18" t="str">
        <f aca="false">IF(P37&lt;0.005,"PASS","FAIL")</f>
        <v>PASS</v>
      </c>
    </row>
    <row r="38" customFormat="false" ht="15" hidden="false" customHeight="true" outlineLevel="0" collapsed="false">
      <c r="B38" s="12" t="s">
        <v>1348</v>
      </c>
      <c r="C38" s="80" t="n">
        <v>45000</v>
      </c>
      <c r="D38" s="12" t="s">
        <v>1346</v>
      </c>
      <c r="E38" s="12" t="s">
        <v>1344</v>
      </c>
      <c r="F38" s="95" t="n">
        <f aca="false">MAX(0,Rate_Standard*MIN(C38,IF(D38="Single",Band_Single,IF(D38="Single parent",Band_Single_Parent,IF(D38="Married one earner",Band_Married,Band_Married+MIN(MIN(C38,0),Band_Second_Earner_Max)))))+Rate_Higher*MAX(0,C38-IF(D38="Single",Band_Single,IF(D38="Single parent",Band_Single_Parent,IF(D38="Married one earner",Band_Married,Band_Married+MIN(MIN(C38,0),Band_Second_Earner_Max)))))-(IF(OR(D38="Single",D38="Single parent"),Credit_Personal_Single,Credit_Personal_Married)+IF(D38="Single parent",Credit_SPCCC,0)+MIN(Credit_PAYE,Credit_PAYE_Cap_Pct*C38)+IF(0&gt;0,MIN(Credit_PAYE,Credit_PAYE_Cap_Pct*0),0)+IF("No"="Yes",IF(LEFT(D38,7)="Married",Credit_Rent_Joint,Credit_Rent_Single),0)+IF(AND("No"="Yes",D38="Married one earner"),Credit_Home_Carer,0)))</f>
        <v>3000</v>
      </c>
      <c r="G38" s="95" t="n">
        <f aca="false">IF(C38&lt;=USC_Exempt,0,USC_Rate_1*MIN(C38,USC_Band_1)+USC_Rate_2*MAX(0,MIN(C38,USC_Band_2)-USC_Band_1)+USC_Rate_3*MAX(0,MIN(C38,USC_Band_3)-USC_Band_2)+USC_Rate_4*MAX(0,C38-USC_Band_3))</f>
        <v>882.82</v>
      </c>
      <c r="H38" s="95" t="n">
        <f aca="false">IF(C38/Weeks_Per_Year&lt;=PRSI_Free_Week,0,MAX(0,C38/Weeks_Per_Year*PRSI_Rate-IF(C38/Weeks_Per_Year&lt;=PRSI_Credit_Top,MAX(0,PRSI_Credit_Max-(C38/Weeks_Per_Year-(PRSI_Free_Week+0.01))/PRSI_Credit_Taper),0))*Weeks_Per_Year)</f>
        <v>1957.5</v>
      </c>
      <c r="I38" s="95" t="n">
        <f aca="false">IF(C38/Weeks_Per_Year&lt;=PRSI_Free_Week,0,MAX(0,C38/Weeks_Per_Year*PRSI_Rate_2026_Blend-IF(C38/Weeks_Per_Year&lt;=PRSI_Credit_Top,MAX(0,PRSI_Credit_Max-(C38/Weeks_Per_Year-(PRSI_Free_Week+0.01))/PRSI_Credit_Taper),0))*Weeks_Per_Year)</f>
        <v>1906.875</v>
      </c>
      <c r="J38" s="95" t="n">
        <f aca="false">C38-F38-G38-H38</f>
        <v>39159.68</v>
      </c>
      <c r="K38" s="95" t="n">
        <f aca="false">C38-F38-G38-I38</f>
        <v>39210.305</v>
      </c>
      <c r="L38" s="95" t="n">
        <v>3000</v>
      </c>
      <c r="M38" s="95" t="n">
        <v>882.82</v>
      </c>
      <c r="N38" s="95" t="n">
        <v>39159.68</v>
      </c>
      <c r="O38" s="95" t="n">
        <v>39210.31</v>
      </c>
      <c r="P38" s="95" t="n">
        <f aca="false">MAX(ABS(ROUND(F38,2)-L38),ABS(ROUND(G38,2)-M38),ABS(ROUND(J38,2)-N38),ABS(ROUND(K38,2)-O38))</f>
        <v>0</v>
      </c>
      <c r="Q38" s="18" t="str">
        <f aca="false">IF(P38&lt;0.005,"PASS","FAIL")</f>
        <v>PASS</v>
      </c>
    </row>
    <row r="39" customFormat="false" ht="15" hidden="false" customHeight="true" outlineLevel="0" collapsed="false">
      <c r="B39" s="12" t="s">
        <v>1349</v>
      </c>
      <c r="C39" s="80" t="n">
        <v>80000</v>
      </c>
      <c r="D39" s="12" t="s">
        <v>1286</v>
      </c>
      <c r="E39" s="12" t="s">
        <v>1344</v>
      </c>
      <c r="F39" s="95" t="n">
        <f aca="false">MAX(0,Rate_Standard*MIN(C39,IF(D39="Single",Band_Single,IF(D39="Single parent",Band_Single_Parent,IF(D39="Married one earner",Band_Married,Band_Married+MIN(MIN(C39,0),Band_Second_Earner_Max)))))+Rate_Higher*MAX(0,C39-IF(D39="Single",Band_Single,IF(D39="Single parent",Band_Single_Parent,IF(D39="Married one earner",Band_Married,Band_Married+MIN(MIN(C39,0),Band_Second_Earner_Max)))))-(IF(OR(D39="Single",D39="Single parent"),Credit_Personal_Single,Credit_Personal_Married)+IF(D39="Single parent",Credit_SPCCC,0)+MIN(Credit_PAYE,Credit_PAYE_Cap_Pct*C39)+IF(0&gt;0,MIN(Credit_PAYE,Credit_PAYE_Cap_Pct*0),0)+IF("No"="Yes",IF(LEFT(D39,7)="Married",Credit_Rent_Joint,Credit_Rent_Single),0)+IF(AND("No"="Yes",D39="Married one earner"),Credit_Home_Carer,0)))</f>
        <v>19200</v>
      </c>
      <c r="G39" s="95" t="n">
        <f aca="false">IF(C39&lt;=USC_Exempt,0,USC_Rate_1*MIN(C39,USC_Band_1)+USC_Rate_2*MAX(0,MIN(C39,USC_Band_2)-USC_Band_1)+USC_Rate_3*MAX(0,MIN(C39,USC_Band_3)-USC_Band_2)+USC_Rate_4*MAX(0,C39-USC_Band_3))</f>
        <v>2430.62</v>
      </c>
      <c r="H39" s="95" t="n">
        <f aca="false">IF(C39/Weeks_Per_Year&lt;=PRSI_Free_Week,0,MAX(0,C39/Weeks_Per_Year*PRSI_Rate-IF(C39/Weeks_Per_Year&lt;=PRSI_Credit_Top,MAX(0,PRSI_Credit_Max-(C39/Weeks_Per_Year-(PRSI_Free_Week+0.01))/PRSI_Credit_Taper),0))*Weeks_Per_Year)</f>
        <v>3480</v>
      </c>
      <c r="I39" s="95" t="n">
        <f aca="false">IF(C39/Weeks_Per_Year&lt;=PRSI_Free_Week,0,MAX(0,C39/Weeks_Per_Year*PRSI_Rate_2026_Blend-IF(C39/Weeks_Per_Year&lt;=PRSI_Credit_Top,MAX(0,PRSI_Credit_Max-(C39/Weeks_Per_Year-(PRSI_Free_Week+0.01))/PRSI_Credit_Taper),0))*Weeks_Per_Year)</f>
        <v>3390</v>
      </c>
      <c r="J39" s="95" t="n">
        <f aca="false">C39-F39-G39-H39</f>
        <v>54889.38</v>
      </c>
      <c r="K39" s="95" t="n">
        <f aca="false">C39-F39-G39-I39</f>
        <v>54979.38</v>
      </c>
      <c r="L39" s="95" t="n">
        <v>19200</v>
      </c>
      <c r="M39" s="95" t="n">
        <v>2430.62</v>
      </c>
      <c r="N39" s="95" t="n">
        <v>54889.38</v>
      </c>
      <c r="O39" s="95" t="n">
        <v>54979.38</v>
      </c>
      <c r="P39" s="95" t="n">
        <f aca="false">MAX(ABS(ROUND(F39,2)-L39),ABS(ROUND(G39,2)-M39),ABS(ROUND(J39,2)-N39),ABS(ROUND(K39,2)-O39))</f>
        <v>0</v>
      </c>
      <c r="Q39" s="18" t="str">
        <f aca="false">IF(P39&lt;0.005,"PASS","FAIL")</f>
        <v>PASS</v>
      </c>
    </row>
    <row r="40" customFormat="false" ht="15" hidden="false" customHeight="true" outlineLevel="0" collapsed="false">
      <c r="B40" s="12" t="s">
        <v>1350</v>
      </c>
      <c r="C40" s="80" t="n">
        <v>80000</v>
      </c>
      <c r="D40" s="12" t="s">
        <v>1346</v>
      </c>
      <c r="E40" s="12" t="s">
        <v>1344</v>
      </c>
      <c r="F40" s="95" t="n">
        <f aca="false">MAX(0,Rate_Standard*MIN(C40,IF(D40="Single",Band_Single,IF(D40="Single parent",Band_Single_Parent,IF(D40="Married one earner",Band_Married,Band_Married+MIN(MIN(C40,0),Band_Second_Earner_Max)))))+Rate_Higher*MAX(0,C40-IF(D40="Single",Band_Single,IF(D40="Single parent",Band_Single_Parent,IF(D40="Married one earner",Band_Married,Band_Married+MIN(MIN(C40,0),Band_Second_Earner_Max)))))-(IF(OR(D40="Single",D40="Single parent"),Credit_Personal_Single,Credit_Personal_Married)+IF(D40="Single parent",Credit_SPCCC,0)+MIN(Credit_PAYE,Credit_PAYE_Cap_Pct*C40)+IF(0&gt;0,MIN(Credit_PAYE,Credit_PAYE_Cap_Pct*0),0)+IF("No"="Yes",IF(LEFT(D40,7)="Married",Credit_Rent_Joint,Credit_Rent_Single),0)+IF(AND("No"="Yes",D40="Married one earner"),Credit_Home_Carer,0)))</f>
        <v>15400</v>
      </c>
      <c r="G40" s="95" t="n">
        <f aca="false">IF(C40&lt;=USC_Exempt,0,USC_Rate_1*MIN(C40,USC_Band_1)+USC_Rate_2*MAX(0,MIN(C40,USC_Band_2)-USC_Band_1)+USC_Rate_3*MAX(0,MIN(C40,USC_Band_3)-USC_Band_2)+USC_Rate_4*MAX(0,C40-USC_Band_3))</f>
        <v>2430.62</v>
      </c>
      <c r="H40" s="95" t="n">
        <f aca="false">IF(C40/Weeks_Per_Year&lt;=PRSI_Free_Week,0,MAX(0,C40/Weeks_Per_Year*PRSI_Rate-IF(C40/Weeks_Per_Year&lt;=PRSI_Credit_Top,MAX(0,PRSI_Credit_Max-(C40/Weeks_Per_Year-(PRSI_Free_Week+0.01))/PRSI_Credit_Taper),0))*Weeks_Per_Year)</f>
        <v>3480</v>
      </c>
      <c r="I40" s="95" t="n">
        <f aca="false">IF(C40/Weeks_Per_Year&lt;=PRSI_Free_Week,0,MAX(0,C40/Weeks_Per_Year*PRSI_Rate_2026_Blend-IF(C40/Weeks_Per_Year&lt;=PRSI_Credit_Top,MAX(0,PRSI_Credit_Max-(C40/Weeks_Per_Year-(PRSI_Free_Week+0.01))/PRSI_Credit_Taper),0))*Weeks_Per_Year)</f>
        <v>3390</v>
      </c>
      <c r="J40" s="95" t="n">
        <f aca="false">C40-F40-G40-H40</f>
        <v>58689.38</v>
      </c>
      <c r="K40" s="95" t="n">
        <f aca="false">C40-F40-G40-I40</f>
        <v>58779.38</v>
      </c>
      <c r="L40" s="95" t="n">
        <v>15400</v>
      </c>
      <c r="M40" s="95" t="n">
        <v>2430.62</v>
      </c>
      <c r="N40" s="95" t="n">
        <v>58689.38</v>
      </c>
      <c r="O40" s="95" t="n">
        <v>58779.38</v>
      </c>
      <c r="P40" s="95" t="n">
        <f aca="false">MAX(ABS(ROUND(F40,2)-L40),ABS(ROUND(G40,2)-M40),ABS(ROUND(J40,2)-N40),ABS(ROUND(K40,2)-O40))</f>
        <v>0</v>
      </c>
      <c r="Q40" s="18" t="str">
        <f aca="false">IF(P40&lt;0.005,"PASS","FAIL")</f>
        <v>PASS</v>
      </c>
    </row>
    <row r="41" customFormat="false" ht="15" hidden="false" customHeight="true" outlineLevel="0" collapsed="false">
      <c r="B41" s="12" t="s">
        <v>1351</v>
      </c>
      <c r="C41" s="80" t="n">
        <v>150000</v>
      </c>
      <c r="D41" s="12" t="s">
        <v>1286</v>
      </c>
      <c r="E41" s="12" t="s">
        <v>1344</v>
      </c>
      <c r="F41" s="95" t="n">
        <f aca="false">MAX(0,Rate_Standard*MIN(C41,IF(D41="Single",Band_Single,IF(D41="Single parent",Band_Single_Parent,IF(D41="Married one earner",Band_Married,Band_Married+MIN(MIN(C41,0),Band_Second_Earner_Max)))))+Rate_Higher*MAX(0,C41-IF(D41="Single",Band_Single,IF(D41="Single parent",Band_Single_Parent,IF(D41="Married one earner",Band_Married,Band_Married+MIN(MIN(C41,0),Band_Second_Earner_Max)))))-(IF(OR(D41="Single",D41="Single parent"),Credit_Personal_Single,Credit_Personal_Married)+IF(D41="Single parent",Credit_SPCCC,0)+MIN(Credit_PAYE,Credit_PAYE_Cap_Pct*C41)+IF(0&gt;0,MIN(Credit_PAYE,Credit_PAYE_Cap_Pct*0),0)+IF("No"="Yes",IF(LEFT(D41,7)="Married",Credit_Rent_Joint,Credit_Rent_Single),0)+IF(AND("No"="Yes",D41="Married one earner"),Credit_Home_Carer,0)))</f>
        <v>47200</v>
      </c>
      <c r="G41" s="95" t="n">
        <f aca="false">IF(C41&lt;=USC_Exempt,0,USC_Rate_1*MIN(C41,USC_Band_1)+USC_Rate_2*MAX(0,MIN(C41,USC_Band_2)-USC_Band_1)+USC_Rate_3*MAX(0,MIN(C41,USC_Band_3)-USC_Band_2)+USC_Rate_4*MAX(0,C41-USC_Band_3))</f>
        <v>8030.62</v>
      </c>
      <c r="H41" s="95" t="n">
        <f aca="false">IF(C41/Weeks_Per_Year&lt;=PRSI_Free_Week,0,MAX(0,C41/Weeks_Per_Year*PRSI_Rate-IF(C41/Weeks_Per_Year&lt;=PRSI_Credit_Top,MAX(0,PRSI_Credit_Max-(C41/Weeks_Per_Year-(PRSI_Free_Week+0.01))/PRSI_Credit_Taper),0))*Weeks_Per_Year)</f>
        <v>6525</v>
      </c>
      <c r="I41" s="95" t="n">
        <f aca="false">IF(C41/Weeks_Per_Year&lt;=PRSI_Free_Week,0,MAX(0,C41/Weeks_Per_Year*PRSI_Rate_2026_Blend-IF(C41/Weeks_Per_Year&lt;=PRSI_Credit_Top,MAX(0,PRSI_Credit_Max-(C41/Weeks_Per_Year-(PRSI_Free_Week+0.01))/PRSI_Credit_Taper),0))*Weeks_Per_Year)</f>
        <v>6356.25</v>
      </c>
      <c r="J41" s="95" t="n">
        <f aca="false">C41-F41-G41-H41</f>
        <v>88244.38</v>
      </c>
      <c r="K41" s="95" t="n">
        <f aca="false">C41-F41-G41-I41</f>
        <v>88413.13</v>
      </c>
      <c r="L41" s="95" t="n">
        <v>47200</v>
      </c>
      <c r="M41" s="95" t="n">
        <v>8030.62</v>
      </c>
      <c r="N41" s="95" t="n">
        <v>88244.38</v>
      </c>
      <c r="O41" s="95" t="n">
        <v>88413.13</v>
      </c>
      <c r="P41" s="95" t="n">
        <f aca="false">MAX(ABS(ROUND(F41,2)-L41),ABS(ROUND(G41,2)-M41),ABS(ROUND(J41,2)-N41),ABS(ROUND(K41,2)-O41))</f>
        <v>0</v>
      </c>
      <c r="Q41" s="18" t="str">
        <f aca="false">IF(P41&lt;0.005,"PASS","FAIL")</f>
        <v>PASS</v>
      </c>
    </row>
    <row r="42" customFormat="false" ht="15" hidden="false" customHeight="true" outlineLevel="0" collapsed="false">
      <c r="B42" s="12" t="s">
        <v>1352</v>
      </c>
      <c r="C42" s="80" t="n">
        <v>150000</v>
      </c>
      <c r="D42" s="12" t="s">
        <v>1346</v>
      </c>
      <c r="E42" s="12" t="s">
        <v>1344</v>
      </c>
      <c r="F42" s="95" t="n">
        <f aca="false">MAX(0,Rate_Standard*MIN(C42,IF(D42="Single",Band_Single,IF(D42="Single parent",Band_Single_Parent,IF(D42="Married one earner",Band_Married,Band_Married+MIN(MIN(C42,0),Band_Second_Earner_Max)))))+Rate_Higher*MAX(0,C42-IF(D42="Single",Band_Single,IF(D42="Single parent",Band_Single_Parent,IF(D42="Married one earner",Band_Married,Band_Married+MIN(MIN(C42,0),Band_Second_Earner_Max)))))-(IF(OR(D42="Single",D42="Single parent"),Credit_Personal_Single,Credit_Personal_Married)+IF(D42="Single parent",Credit_SPCCC,0)+MIN(Credit_PAYE,Credit_PAYE_Cap_Pct*C42)+IF(0&gt;0,MIN(Credit_PAYE,Credit_PAYE_Cap_Pct*0),0)+IF("No"="Yes",IF(LEFT(D42,7)="Married",Credit_Rent_Joint,Credit_Rent_Single),0)+IF(AND("No"="Yes",D42="Married one earner"),Credit_Home_Carer,0)))</f>
        <v>43400</v>
      </c>
      <c r="G42" s="95" t="n">
        <f aca="false">IF(C42&lt;=USC_Exempt,0,USC_Rate_1*MIN(C42,USC_Band_1)+USC_Rate_2*MAX(0,MIN(C42,USC_Band_2)-USC_Band_1)+USC_Rate_3*MAX(0,MIN(C42,USC_Band_3)-USC_Band_2)+USC_Rate_4*MAX(0,C42-USC_Band_3))</f>
        <v>8030.62</v>
      </c>
      <c r="H42" s="95" t="n">
        <f aca="false">IF(C42/Weeks_Per_Year&lt;=PRSI_Free_Week,0,MAX(0,C42/Weeks_Per_Year*PRSI_Rate-IF(C42/Weeks_Per_Year&lt;=PRSI_Credit_Top,MAX(0,PRSI_Credit_Max-(C42/Weeks_Per_Year-(PRSI_Free_Week+0.01))/PRSI_Credit_Taper),0))*Weeks_Per_Year)</f>
        <v>6525</v>
      </c>
      <c r="I42" s="95" t="n">
        <f aca="false">IF(C42/Weeks_Per_Year&lt;=PRSI_Free_Week,0,MAX(0,C42/Weeks_Per_Year*PRSI_Rate_2026_Blend-IF(C42/Weeks_Per_Year&lt;=PRSI_Credit_Top,MAX(0,PRSI_Credit_Max-(C42/Weeks_Per_Year-(PRSI_Free_Week+0.01))/PRSI_Credit_Taper),0))*Weeks_Per_Year)</f>
        <v>6356.25</v>
      </c>
      <c r="J42" s="95" t="n">
        <f aca="false">C42-F42-G42-H42</f>
        <v>92044.38</v>
      </c>
      <c r="K42" s="95" t="n">
        <f aca="false">C42-F42-G42-I42</f>
        <v>92213.13</v>
      </c>
      <c r="L42" s="95" t="n">
        <v>43400</v>
      </c>
      <c r="M42" s="95" t="n">
        <v>8030.62</v>
      </c>
      <c r="N42" s="95" t="n">
        <v>92044.38</v>
      </c>
      <c r="O42" s="95" t="n">
        <v>92213.13</v>
      </c>
      <c r="P42" s="95" t="n">
        <f aca="false">MAX(ABS(ROUND(F42,2)-L42),ABS(ROUND(G42,2)-M42),ABS(ROUND(J42,2)-N42),ABS(ROUND(K42,2)-O42))</f>
        <v>0</v>
      </c>
      <c r="Q42" s="18" t="str">
        <f aca="false">IF(P42&lt;0.005,"PASS","FAIL")</f>
        <v>PASS</v>
      </c>
    </row>
    <row r="43" customFormat="false" ht="15" hidden="false" customHeight="true" outlineLevel="0" collapsed="false">
      <c r="B43" s="12" t="s">
        <v>1353</v>
      </c>
      <c r="C43" s="80" t="n">
        <v>60000</v>
      </c>
      <c r="D43" s="12" t="s">
        <v>1354</v>
      </c>
      <c r="E43" s="12" t="s">
        <v>1355</v>
      </c>
      <c r="F43" s="95" t="n">
        <f aca="false">MAX(0,Rate_Standard*MIN(C43+R43,IF(D43="Single",Band_Single,IF(D43="Single parent",Band_Single_Parent,IF(D43="Married one earner",Band_Married,Band_Married+MIN(MIN(C43,R43),Band_Second_Earner_Max)))))+Rate_Higher*MAX(0,C43+R43-IF(D43="Single",Band_Single,IF(D43="Single parent",Band_Single_Parent,IF(D43="Married one earner",Band_Married,Band_Married+MIN(MIN(C43,R43),Band_Second_Earner_Max)))))-(IF(OR(D43="Single",D43="Single parent"),Credit_Personal_Single,Credit_Personal_Married)+IF(D43="Single parent",Credit_SPCCC,0)+MIN(Credit_PAYE,Credit_PAYE_Cap_Pct*C43)+IF(R43&gt;0,MIN(Credit_PAYE,Credit_PAYE_Cap_Pct*R43),0)+IF("No"="Yes",IF(LEFT(D43,7)="Married",Credit_Rent_Joint,Credit_Rent_Single),0)+IF(AND("No"="Yes",D43="Married one earner"),Credit_Home_Carer,0)))</f>
        <v>11400</v>
      </c>
      <c r="G43" s="12"/>
      <c r="H43" s="12"/>
      <c r="I43" s="12"/>
      <c r="J43" s="12"/>
      <c r="K43" s="12"/>
      <c r="L43" s="95" t="n">
        <v>11400</v>
      </c>
      <c r="M43" s="12"/>
      <c r="N43" s="12"/>
      <c r="O43" s="12"/>
      <c r="P43" s="95" t="n">
        <f aca="false">ABS(ROUND(F43,2)-L43)</f>
        <v>0</v>
      </c>
      <c r="Q43" s="18" t="str">
        <f aca="false">IF(P43&lt;0.005,"PASS","FAIL")</f>
        <v>PASS</v>
      </c>
      <c r="R43" s="80" t="n">
        <v>30000</v>
      </c>
    </row>
    <row r="44" customFormat="false" ht="15" hidden="false" customHeight="true" outlineLevel="0" collapsed="false">
      <c r="B44" s="12" t="s">
        <v>1356</v>
      </c>
      <c r="C44" s="80" t="n">
        <v>80000</v>
      </c>
      <c r="D44" s="12" t="s">
        <v>1354</v>
      </c>
      <c r="E44" s="12" t="s">
        <v>1357</v>
      </c>
      <c r="F44" s="95" t="n">
        <f aca="false">MAX(0,Rate_Standard*MIN(C44+R44,IF(D44="Single",Band_Single,IF(D44="Single parent",Band_Single_Parent,IF(D44="Married one earner",Band_Married,Band_Married+MIN(MIN(C44,R44),Band_Second_Earner_Max)))))+Rate_Higher*MAX(0,C44+R44-IF(D44="Single",Band_Single,IF(D44="Single parent",Band_Single_Parent,IF(D44="Married one earner",Band_Married,Band_Married+MIN(MIN(C44,R44),Band_Second_Earner_Max)))))-(IF(OR(D44="Single",D44="Single parent"),Credit_Personal_Single,Credit_Personal_Married)+IF(D44="Single parent",Credit_SPCCC,0)+MIN(Credit_PAYE,Credit_PAYE_Cap_Pct*C44)+IF(R44&gt;0,MIN(Credit_PAYE,Credit_PAYE_Cap_Pct*R44),0)+IF("No"="Yes",IF(LEFT(D44,7)="Married",Credit_Rent_Joint,Credit_Rent_Single),0)+IF(AND("No"="Yes",D44="Married one earner"),Credit_Home_Carer,0)))</f>
        <v>26400</v>
      </c>
      <c r="G44" s="12"/>
      <c r="H44" s="12"/>
      <c r="I44" s="12"/>
      <c r="J44" s="12"/>
      <c r="K44" s="12"/>
      <c r="L44" s="95" t="n">
        <v>26400</v>
      </c>
      <c r="M44" s="12"/>
      <c r="N44" s="12"/>
      <c r="O44" s="12"/>
      <c r="P44" s="95" t="n">
        <f aca="false">ABS(ROUND(F44,2)-L44)</f>
        <v>0</v>
      </c>
      <c r="Q44" s="18" t="str">
        <f aca="false">IF(P44&lt;0.005,"PASS","FAIL")</f>
        <v>PASS</v>
      </c>
      <c r="R44" s="80" t="n">
        <v>50000</v>
      </c>
    </row>
    <row r="45" customFormat="false" ht="15" hidden="false" customHeight="true" outlineLevel="0" collapsed="false">
      <c r="B45" s="12" t="s">
        <v>1358</v>
      </c>
      <c r="C45" s="80" t="n">
        <v>45000</v>
      </c>
      <c r="D45" s="12" t="s">
        <v>1354</v>
      </c>
      <c r="E45" s="12" t="s">
        <v>1359</v>
      </c>
      <c r="F45" s="95" t="n">
        <f aca="false">MAX(0,Rate_Standard*MIN(C45+R45,IF(D45="Single",Band_Single,IF(D45="Single parent",Band_Single_Parent,IF(D45="Married one earner",Band_Married,Band_Married+MIN(MIN(C45,R45),Band_Second_Earner_Max)))))+Rate_Higher*MAX(0,C45+R45-IF(D45="Single",Band_Single,IF(D45="Single parent",Band_Single_Parent,IF(D45="Married one earner",Band_Married,Band_Married+MIN(MIN(C45,R45),Band_Second_Earner_Max)))))-(IF(OR(D45="Single",D45="Single parent"),Credit_Personal_Single,Credit_Personal_Married)+IF(D45="Single parent",Credit_SPCCC,0)+MIN(Credit_PAYE,Credit_PAYE_Cap_Pct*C45)+IF(R45&gt;0,MIN(Credit_PAYE,Credit_PAYE_Cap_Pct*R45),0)+IF("No"="Yes",IF(LEFT(D45,7)="Married",Credit_Rent_Joint,Credit_Rent_Single),0)+IF(AND("No"="Yes",D45="Married one earner"),Credit_Home_Carer,0)))</f>
        <v>10400</v>
      </c>
      <c r="G45" s="12"/>
      <c r="H45" s="12"/>
      <c r="I45" s="12"/>
      <c r="J45" s="12"/>
      <c r="K45" s="12"/>
      <c r="L45" s="95" t="n">
        <v>10400</v>
      </c>
      <c r="M45" s="12"/>
      <c r="N45" s="12"/>
      <c r="O45" s="12"/>
      <c r="P45" s="95" t="n">
        <f aca="false">ABS(ROUND(F45,2)-L45)</f>
        <v>0</v>
      </c>
      <c r="Q45" s="18" t="str">
        <f aca="false">IF(P45&lt;0.005,"PASS","FAIL")</f>
        <v>PASS</v>
      </c>
      <c r="R45" s="80" t="n">
        <v>45000</v>
      </c>
    </row>
    <row r="46" customFormat="false" ht="15" hidden="false" customHeight="true" outlineLevel="0" collapsed="false">
      <c r="B46" s="10" t="s">
        <v>1360</v>
      </c>
      <c r="Q46" s="96" t="str">
        <f aca="false">IF(COUNTIF(Q35:Q45,"PASS")=11,"ALL PASS","CHECK")</f>
        <v>ALL PASS</v>
      </c>
    </row>
  </sheetData>
  <mergeCells count="4">
    <mergeCell ref="B28:E28"/>
    <mergeCell ref="B29:E29"/>
    <mergeCell ref="B30:E30"/>
    <mergeCell ref="B31:E31"/>
  </mergeCells>
  <dataValidations count="6">
    <dataValidation allowBlank="true" errorStyle="stop" operator="between" prompt="Type 3 · your figure. Single, Single parent (main carer of a child, no partner), Married one earner, Married two earners (also civil partners)." promptTitle="Tax status" showDropDown="false" showErrorMessage="true" showInputMessage="true" sqref="C5" type="list">
      <formula1>"Single,Single parent,Married one earner,Married two earners"</formula1>
      <formula2>0</formula2>
    </dataValidation>
    <dataValidation allowBlank="true" errorStyle="stop" operator="between" prompt="Type 3 · your figure. Gross pay before tax, € a year." promptTitle="Your gross yearly pay" showDropDown="false" showErrorMessage="true" showInputMessage="true" sqref="C6" type="decimal">
      <formula1>0</formula1>
      <formula2>5000000</formula2>
    </dataValidation>
    <dataValidation allowBlank="true" errorStyle="stop" operator="between" prompt="Type 3 · optional: leave blank for none. Used only when the status is Married two earners." promptTitle="Partner's gross yearly pay (marr" showDropDown="false" showErrorMessage="true" showInputMessage="true" sqref="C7" type="decimal">
      <formula1>0</formula1>
      <formula2>5000000</formula2>
    </dataValidation>
    <dataValidation allowBlank="true" errorStyle="stop" operator="between" prompt="Type 3 · your figure. Rent Tax Credit €1,000 single / €2,000 jointly assessed, to end-2028." promptTitle="Do you pay rent on your home, no" showDropDown="false" showErrorMessage="true" showInputMessage="true" sqref="C8" type="list">
      <formula1>"Yes,No"</formula1>
      <formula2>0</formula2>
    </dataValidation>
    <dataValidation allowBlank="true" errorStyle="stop" operator="between" prompt="Type 3 · your figure. €1,950 (verify the 2026 rate and carer-income limit)." promptTitle="Home Carer Tax Credit applies? (" showDropDown="false" showErrorMessage="true" showInputMessage="true" sqref="C9" type="list">
      <formula1>"Yes,No"</formula1>
      <formula2>0</formula2>
    </dataValidation>
    <dataValidation allowBlank="true" errorStyle="stop" operator="between" prompt="Type 3 · optional: leave blank for none. From 1 Oct 2026 = 4.35%. Calendar 2026 blend = 4.2375% (9 months at 4.2%, 3 at 4.35%)." promptTitle="PRSI rate basis" showDropDown="false" showErrorMessage="true" showInputMessage="true" sqref="C10" type="list">
      <formula1>"From 1 Oct 2026,Calendar 2026 blend"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30"/>
    <col collapsed="false" customWidth="true" hidden="false" outlineLevel="0" max="4" min="4" style="1" width="60"/>
    <col collapsed="false" customWidth="true" hidden="false" outlineLevel="0" max="5" min="5" style="1" width="34"/>
    <col collapsed="false" customWidth="true" hidden="false" outlineLevel="0" max="6" min="6" style="1" width="54"/>
    <col collapsed="false" customWidth="true" hidden="false" outlineLevel="0" max="7" min="7" style="1" width="12"/>
  </cols>
  <sheetData>
    <row r="1" customFormat="false" ht="19.5" hidden="false" customHeight="true" outlineLevel="0" collapsed="false">
      <c r="B1" s="20" t="s">
        <v>1361</v>
      </c>
    </row>
    <row r="3" customFormat="false" ht="15" hidden="false" customHeight="true" outlineLevel="0" collapsed="false">
      <c r="B3" s="8" t="s">
        <v>1362</v>
      </c>
      <c r="C3" s="8"/>
      <c r="D3" s="8"/>
      <c r="E3" s="8"/>
      <c r="F3" s="8"/>
    </row>
    <row r="4" customFormat="false" ht="15" hidden="false" customHeight="true" outlineLevel="0" collapsed="false">
      <c r="B4" s="8" t="s">
        <v>1363</v>
      </c>
      <c r="C4" s="8"/>
      <c r="D4" s="8"/>
      <c r="E4" s="8"/>
      <c r="F4" s="8"/>
    </row>
    <row r="5" customFormat="false" ht="15" hidden="false" customHeight="true" outlineLevel="0" collapsed="false">
      <c r="B5" s="8" t="s">
        <v>1364</v>
      </c>
      <c r="C5" s="8"/>
      <c r="D5" s="8"/>
      <c r="E5" s="8"/>
      <c r="F5" s="8"/>
    </row>
    <row r="6" customFormat="false" ht="15" hidden="false" customHeight="true" outlineLevel="0" collapsed="false">
      <c r="B6" s="8" t="s">
        <v>1365</v>
      </c>
      <c r="C6" s="8"/>
      <c r="D6" s="8"/>
      <c r="E6" s="8"/>
      <c r="F6" s="8"/>
    </row>
    <row r="7" customFormat="false" ht="15" hidden="false" customHeight="true" outlineLevel="0" collapsed="false">
      <c r="B7" s="8" t="s">
        <v>1366</v>
      </c>
      <c r="C7" s="8"/>
      <c r="D7" s="8"/>
      <c r="E7" s="8"/>
      <c r="F7" s="8"/>
    </row>
    <row r="8" customFormat="false" ht="15" hidden="false" customHeight="true" outlineLevel="0" collapsed="false">
      <c r="B8" s="8" t="s">
        <v>1367</v>
      </c>
      <c r="C8" s="8"/>
      <c r="D8" s="8"/>
      <c r="E8" s="8"/>
      <c r="F8" s="8"/>
    </row>
    <row r="10" customFormat="false" ht="23.25" hidden="false" customHeight="true" outlineLevel="0" collapsed="false">
      <c r="B10" s="97" t="s">
        <v>1368</v>
      </c>
      <c r="C10" s="97" t="s">
        <v>1369</v>
      </c>
      <c r="D10" s="97" t="s">
        <v>1370</v>
      </c>
      <c r="E10" s="97" t="s">
        <v>1371</v>
      </c>
      <c r="F10" s="97" t="s">
        <v>1372</v>
      </c>
      <c r="G10" s="97" t="s">
        <v>1373</v>
      </c>
    </row>
    <row r="11" customFormat="false" ht="36" hidden="false" customHeight="true" outlineLevel="0" collapsed="false">
      <c r="B11" s="98" t="s">
        <v>1374</v>
      </c>
      <c r="C11" s="99" t="s">
        <v>707</v>
      </c>
      <c r="D11" s="99" t="s">
        <v>1375</v>
      </c>
      <c r="E11" s="99" t="s">
        <v>1376</v>
      </c>
      <c r="F11" s="99" t="s">
        <v>1377</v>
      </c>
      <c r="G11" s="99" t="s">
        <v>1378</v>
      </c>
    </row>
    <row r="12" customFormat="false" ht="36" hidden="false" customHeight="true" outlineLevel="0" collapsed="false">
      <c r="B12" s="98"/>
      <c r="C12" s="99" t="s">
        <v>1379</v>
      </c>
      <c r="D12" s="99" t="s">
        <v>1380</v>
      </c>
      <c r="E12" s="99" t="s">
        <v>1381</v>
      </c>
      <c r="F12" s="99" t="s">
        <v>1382</v>
      </c>
      <c r="G12" s="99" t="s">
        <v>1378</v>
      </c>
    </row>
    <row r="13" customFormat="false" ht="24" hidden="false" customHeight="true" outlineLevel="0" collapsed="false">
      <c r="B13" s="98"/>
      <c r="C13" s="99" t="s">
        <v>1383</v>
      </c>
      <c r="D13" s="99" t="s">
        <v>1384</v>
      </c>
      <c r="E13" s="99" t="s">
        <v>1385</v>
      </c>
      <c r="F13" s="99" t="s">
        <v>1386</v>
      </c>
      <c r="G13" s="99" t="s">
        <v>1378</v>
      </c>
    </row>
    <row r="14" customFormat="false" ht="24" hidden="false" customHeight="true" outlineLevel="0" collapsed="false">
      <c r="B14" s="98"/>
      <c r="C14" s="99" t="s">
        <v>711</v>
      </c>
      <c r="D14" s="99" t="s">
        <v>1387</v>
      </c>
      <c r="E14" s="99" t="s">
        <v>1388</v>
      </c>
      <c r="F14" s="99" t="s">
        <v>1389</v>
      </c>
      <c r="G14" s="99" t="s">
        <v>1378</v>
      </c>
    </row>
    <row r="15" customFormat="false" ht="60" hidden="false" customHeight="true" outlineLevel="0" collapsed="false">
      <c r="B15" s="98"/>
      <c r="C15" s="99" t="s">
        <v>752</v>
      </c>
      <c r="D15" s="99" t="s">
        <v>1390</v>
      </c>
      <c r="E15" s="99" t="s">
        <v>1385</v>
      </c>
      <c r="F15" s="99" t="s">
        <v>1391</v>
      </c>
      <c r="G15" s="99" t="s">
        <v>1378</v>
      </c>
    </row>
    <row r="16" customFormat="false" ht="36" hidden="false" customHeight="true" outlineLevel="0" collapsed="false">
      <c r="B16" s="98"/>
      <c r="C16" s="99" t="s">
        <v>1392</v>
      </c>
      <c r="D16" s="99" t="s">
        <v>1393</v>
      </c>
      <c r="E16" s="99" t="s">
        <v>1394</v>
      </c>
      <c r="F16" s="99" t="s">
        <v>1395</v>
      </c>
      <c r="G16" s="99" t="s">
        <v>1378</v>
      </c>
    </row>
    <row r="17" customFormat="false" ht="24" hidden="false" customHeight="true" outlineLevel="0" collapsed="false">
      <c r="B17" s="98"/>
      <c r="C17" s="99" t="s">
        <v>1396</v>
      </c>
      <c r="D17" s="99" t="s">
        <v>1397</v>
      </c>
      <c r="E17" s="99" t="s">
        <v>1398</v>
      </c>
      <c r="F17" s="99" t="s">
        <v>1399</v>
      </c>
      <c r="G17" s="99" t="s">
        <v>1378</v>
      </c>
    </row>
    <row r="18" customFormat="false" ht="24" hidden="false" customHeight="true" outlineLevel="0" collapsed="false">
      <c r="B18" s="98"/>
      <c r="C18" s="99" t="s">
        <v>1400</v>
      </c>
      <c r="D18" s="99" t="s">
        <v>1401</v>
      </c>
      <c r="E18" s="99" t="s">
        <v>1402</v>
      </c>
      <c r="F18" s="99" t="s">
        <v>1403</v>
      </c>
      <c r="G18" s="99" t="s">
        <v>1378</v>
      </c>
    </row>
    <row r="19" customFormat="false" ht="24" hidden="false" customHeight="true" outlineLevel="0" collapsed="false">
      <c r="B19" s="98"/>
      <c r="C19" s="99" t="s">
        <v>313</v>
      </c>
      <c r="D19" s="99" t="s">
        <v>1404</v>
      </c>
      <c r="E19" s="99" t="s">
        <v>1405</v>
      </c>
      <c r="F19" s="99" t="s">
        <v>1406</v>
      </c>
      <c r="G19" s="99" t="s">
        <v>1378</v>
      </c>
    </row>
    <row r="20" customFormat="false" ht="36" hidden="false" customHeight="true" outlineLevel="0" collapsed="false">
      <c r="B20" s="98" t="s">
        <v>1407</v>
      </c>
      <c r="C20" s="99" t="s">
        <v>1408</v>
      </c>
      <c r="D20" s="99" t="s">
        <v>1409</v>
      </c>
      <c r="E20" s="99" t="s">
        <v>1410</v>
      </c>
      <c r="F20" s="99" t="s">
        <v>1410</v>
      </c>
      <c r="G20" s="99" t="s">
        <v>1378</v>
      </c>
    </row>
    <row r="21" customFormat="false" ht="24" hidden="false" customHeight="true" outlineLevel="0" collapsed="false">
      <c r="B21" s="98" t="s">
        <v>1411</v>
      </c>
      <c r="C21" s="99" t="s">
        <v>1412</v>
      </c>
      <c r="D21" s="99" t="s">
        <v>1413</v>
      </c>
      <c r="E21" s="99" t="s">
        <v>1414</v>
      </c>
      <c r="F21" s="99" t="s">
        <v>1415</v>
      </c>
      <c r="G21" s="99" t="s">
        <v>1378</v>
      </c>
    </row>
    <row r="22" customFormat="false" ht="24" hidden="false" customHeight="true" outlineLevel="0" collapsed="false">
      <c r="B22" s="98"/>
      <c r="C22" s="99" t="s">
        <v>711</v>
      </c>
      <c r="D22" s="99" t="s">
        <v>1410</v>
      </c>
      <c r="E22" s="99" t="s">
        <v>1416</v>
      </c>
      <c r="F22" s="99" t="s">
        <v>1417</v>
      </c>
      <c r="G22" s="99" t="s">
        <v>1378</v>
      </c>
    </row>
    <row r="23" customFormat="false" ht="36" hidden="false" customHeight="true" outlineLevel="0" collapsed="false">
      <c r="B23" s="98" t="s">
        <v>1418</v>
      </c>
      <c r="C23" s="99" t="s">
        <v>1419</v>
      </c>
      <c r="D23" s="99" t="s">
        <v>1420</v>
      </c>
      <c r="E23" s="99" t="s">
        <v>1421</v>
      </c>
      <c r="F23" s="99" t="s">
        <v>1422</v>
      </c>
      <c r="G23" s="99" t="s">
        <v>1378</v>
      </c>
    </row>
    <row r="24" customFormat="false" ht="24" hidden="false" customHeight="true" outlineLevel="0" collapsed="false">
      <c r="B24" s="98"/>
      <c r="C24" s="99" t="s">
        <v>313</v>
      </c>
      <c r="D24" s="99" t="s">
        <v>1423</v>
      </c>
      <c r="E24" s="99" t="s">
        <v>314</v>
      </c>
      <c r="F24" s="99" t="s">
        <v>1424</v>
      </c>
      <c r="G24" s="99" t="s">
        <v>1378</v>
      </c>
    </row>
    <row r="25" customFormat="false" ht="24" hidden="false" customHeight="true" outlineLevel="0" collapsed="false">
      <c r="B25" s="98" t="s">
        <v>1425</v>
      </c>
      <c r="C25" s="99" t="s">
        <v>304</v>
      </c>
      <c r="D25" s="99" t="s">
        <v>1426</v>
      </c>
      <c r="E25" s="99" t="s">
        <v>1427</v>
      </c>
      <c r="F25" s="99" t="s">
        <v>1428</v>
      </c>
      <c r="G25" s="99" t="s">
        <v>1378</v>
      </c>
    </row>
    <row r="26" customFormat="false" ht="24" hidden="false" customHeight="true" outlineLevel="0" collapsed="false">
      <c r="B26" s="98"/>
      <c r="C26" s="99" t="s">
        <v>307</v>
      </c>
      <c r="D26" s="99" t="s">
        <v>1429</v>
      </c>
      <c r="E26" s="99" t="s">
        <v>1430</v>
      </c>
      <c r="F26" s="99" t="s">
        <v>1431</v>
      </c>
      <c r="G26" s="99" t="s">
        <v>1378</v>
      </c>
    </row>
    <row r="27" customFormat="false" ht="24" hidden="false" customHeight="true" outlineLevel="0" collapsed="false">
      <c r="B27" s="98"/>
      <c r="C27" s="99" t="s">
        <v>1432</v>
      </c>
      <c r="D27" s="99" t="s">
        <v>1433</v>
      </c>
      <c r="E27" s="99" t="s">
        <v>1434</v>
      </c>
      <c r="F27" s="99" t="s">
        <v>1435</v>
      </c>
      <c r="G27" s="99" t="s">
        <v>1378</v>
      </c>
    </row>
    <row r="28" customFormat="false" ht="24" hidden="false" customHeight="true" outlineLevel="0" collapsed="false">
      <c r="B28" s="98"/>
      <c r="C28" s="99" t="s">
        <v>309</v>
      </c>
      <c r="D28" s="99" t="s">
        <v>1436</v>
      </c>
      <c r="E28" s="99" t="s">
        <v>1437</v>
      </c>
      <c r="F28" s="99" t="s">
        <v>1438</v>
      </c>
      <c r="G28" s="99" t="s">
        <v>1378</v>
      </c>
    </row>
    <row r="29" customFormat="false" ht="24" hidden="false" customHeight="true" outlineLevel="0" collapsed="false">
      <c r="B29" s="98"/>
      <c r="C29" s="99" t="s">
        <v>311</v>
      </c>
      <c r="D29" s="99" t="s">
        <v>1439</v>
      </c>
      <c r="E29" s="99" t="s">
        <v>1385</v>
      </c>
      <c r="F29" s="99" t="s">
        <v>1440</v>
      </c>
      <c r="G29" s="99" t="s">
        <v>1378</v>
      </c>
    </row>
    <row r="30" customFormat="false" ht="24" hidden="false" customHeight="true" outlineLevel="0" collapsed="false">
      <c r="B30" s="98"/>
      <c r="C30" s="99" t="s">
        <v>313</v>
      </c>
      <c r="D30" s="99" t="s">
        <v>1441</v>
      </c>
      <c r="E30" s="99" t="s">
        <v>1442</v>
      </c>
      <c r="F30" s="99" t="s">
        <v>1424</v>
      </c>
      <c r="G30" s="99" t="s">
        <v>1378</v>
      </c>
    </row>
    <row r="31" customFormat="false" ht="24" hidden="false" customHeight="true" outlineLevel="0" collapsed="false">
      <c r="B31" s="98" t="s">
        <v>1443</v>
      </c>
      <c r="C31" s="99" t="s">
        <v>1444</v>
      </c>
      <c r="D31" s="99" t="s">
        <v>1445</v>
      </c>
      <c r="E31" s="99" t="s">
        <v>1446</v>
      </c>
      <c r="F31" s="99" t="s">
        <v>1447</v>
      </c>
      <c r="G31" s="99" t="s">
        <v>1378</v>
      </c>
    </row>
    <row r="32" customFormat="false" ht="24" hidden="false" customHeight="true" outlineLevel="0" collapsed="false">
      <c r="B32" s="98" t="s">
        <v>1448</v>
      </c>
      <c r="C32" s="99" t="s">
        <v>630</v>
      </c>
      <c r="D32" s="99" t="s">
        <v>1449</v>
      </c>
      <c r="E32" s="99" t="s">
        <v>1385</v>
      </c>
      <c r="F32" s="99" t="s">
        <v>1450</v>
      </c>
      <c r="G32" s="99" t="s">
        <v>1378</v>
      </c>
    </row>
    <row r="33" customFormat="false" ht="24" hidden="false" customHeight="true" outlineLevel="0" collapsed="false">
      <c r="B33" s="98"/>
      <c r="C33" s="99" t="s">
        <v>962</v>
      </c>
      <c r="D33" s="99" t="s">
        <v>1451</v>
      </c>
      <c r="E33" s="99" t="s">
        <v>1385</v>
      </c>
      <c r="F33" s="99" t="s">
        <v>1452</v>
      </c>
      <c r="G33" s="99" t="s">
        <v>1378</v>
      </c>
    </row>
    <row r="34" customFormat="false" ht="24" hidden="false" customHeight="true" outlineLevel="0" collapsed="false">
      <c r="B34" s="98"/>
      <c r="C34" s="99" t="s">
        <v>1400</v>
      </c>
      <c r="D34" s="99" t="s">
        <v>1453</v>
      </c>
      <c r="E34" s="99" t="s">
        <v>1454</v>
      </c>
      <c r="F34" s="99" t="s">
        <v>1455</v>
      </c>
      <c r="G34" s="99" t="s">
        <v>1378</v>
      </c>
    </row>
    <row r="35" customFormat="false" ht="24" hidden="false" customHeight="true" outlineLevel="0" collapsed="false">
      <c r="B35" s="98"/>
      <c r="C35" s="99" t="s">
        <v>1456</v>
      </c>
      <c r="D35" s="99" t="s">
        <v>1457</v>
      </c>
      <c r="E35" s="99" t="s">
        <v>1458</v>
      </c>
      <c r="F35" s="99" t="s">
        <v>1459</v>
      </c>
      <c r="G35" s="99" t="s">
        <v>1378</v>
      </c>
    </row>
    <row r="36" customFormat="false" ht="24" hidden="false" customHeight="true" outlineLevel="0" collapsed="false">
      <c r="B36" s="98"/>
      <c r="C36" s="99" t="s">
        <v>313</v>
      </c>
      <c r="D36" s="99" t="s">
        <v>1460</v>
      </c>
      <c r="E36" s="99" t="s">
        <v>314</v>
      </c>
      <c r="F36" s="99" t="s">
        <v>1424</v>
      </c>
      <c r="G36" s="99" t="s">
        <v>1378</v>
      </c>
    </row>
    <row r="37" customFormat="false" ht="24" hidden="false" customHeight="true" outlineLevel="0" collapsed="false">
      <c r="B37" s="98" t="s">
        <v>1461</v>
      </c>
      <c r="C37" s="99" t="s">
        <v>1462</v>
      </c>
      <c r="D37" s="99" t="s">
        <v>1463</v>
      </c>
      <c r="E37" s="99" t="s">
        <v>1385</v>
      </c>
      <c r="F37" s="99" t="s">
        <v>1464</v>
      </c>
      <c r="G37" s="99" t="s">
        <v>1378</v>
      </c>
    </row>
    <row r="38" customFormat="false" ht="24" hidden="false" customHeight="true" outlineLevel="0" collapsed="false">
      <c r="B38" s="98"/>
      <c r="C38" s="99" t="s">
        <v>1465</v>
      </c>
      <c r="D38" s="99" t="s">
        <v>1466</v>
      </c>
      <c r="E38" s="99" t="s">
        <v>1467</v>
      </c>
      <c r="F38" s="99" t="s">
        <v>1468</v>
      </c>
      <c r="G38" s="99" t="s">
        <v>1378</v>
      </c>
    </row>
    <row r="39" customFormat="false" ht="24" hidden="false" customHeight="true" outlineLevel="0" collapsed="false">
      <c r="B39" s="98" t="s">
        <v>1469</v>
      </c>
      <c r="C39" s="99" t="s">
        <v>1470</v>
      </c>
      <c r="D39" s="99" t="s">
        <v>1471</v>
      </c>
      <c r="E39" s="99" t="s">
        <v>1472</v>
      </c>
      <c r="F39" s="99" t="s">
        <v>1473</v>
      </c>
      <c r="G39" s="99" t="s">
        <v>1378</v>
      </c>
    </row>
    <row r="40" customFormat="false" ht="24" hidden="false" customHeight="true" outlineLevel="0" collapsed="false">
      <c r="B40" s="98"/>
      <c r="C40" s="99" t="s">
        <v>1474</v>
      </c>
      <c r="D40" s="99" t="s">
        <v>1475</v>
      </c>
      <c r="E40" s="99" t="s">
        <v>217</v>
      </c>
      <c r="F40" s="99" t="s">
        <v>1476</v>
      </c>
      <c r="G40" s="99" t="s">
        <v>1378</v>
      </c>
    </row>
    <row r="41" customFormat="false" ht="24" hidden="false" customHeight="true" outlineLevel="0" collapsed="false">
      <c r="B41" s="98"/>
      <c r="C41" s="99" t="s">
        <v>1477</v>
      </c>
      <c r="D41" s="99" t="s">
        <v>1478</v>
      </c>
      <c r="E41" s="99" t="s">
        <v>217</v>
      </c>
      <c r="F41" s="99" t="s">
        <v>1479</v>
      </c>
      <c r="G41" s="99" t="s">
        <v>1378</v>
      </c>
    </row>
    <row r="42" customFormat="false" ht="24" hidden="false" customHeight="true" outlineLevel="0" collapsed="false">
      <c r="B42" s="98"/>
      <c r="C42" s="99" t="s">
        <v>1480</v>
      </c>
      <c r="D42" s="99" t="s">
        <v>1481</v>
      </c>
      <c r="E42" s="99" t="s">
        <v>1482</v>
      </c>
      <c r="F42" s="99" t="s">
        <v>1424</v>
      </c>
      <c r="G42" s="99" t="s">
        <v>1378</v>
      </c>
    </row>
    <row r="43" customFormat="false" ht="24" hidden="false" customHeight="true" outlineLevel="0" collapsed="false">
      <c r="B43" s="98" t="s">
        <v>1483</v>
      </c>
      <c r="C43" s="99" t="s">
        <v>1484</v>
      </c>
      <c r="D43" s="99" t="s">
        <v>1485</v>
      </c>
      <c r="E43" s="99" t="s">
        <v>1385</v>
      </c>
      <c r="F43" s="99" t="s">
        <v>1473</v>
      </c>
      <c r="G43" s="99" t="s">
        <v>1378</v>
      </c>
    </row>
    <row r="44" customFormat="false" ht="24" hidden="false" customHeight="true" outlineLevel="0" collapsed="false">
      <c r="B44" s="98"/>
      <c r="C44" s="99" t="s">
        <v>1486</v>
      </c>
      <c r="D44" s="99" t="s">
        <v>1487</v>
      </c>
      <c r="E44" s="99" t="s">
        <v>1385</v>
      </c>
      <c r="F44" s="99" t="s">
        <v>1488</v>
      </c>
      <c r="G44" s="99" t="s">
        <v>1378</v>
      </c>
    </row>
    <row r="45" customFormat="false" ht="24" hidden="false" customHeight="true" outlineLevel="0" collapsed="false">
      <c r="B45" s="98"/>
      <c r="C45" s="99" t="s">
        <v>1489</v>
      </c>
      <c r="D45" s="99" t="s">
        <v>1490</v>
      </c>
      <c r="E45" s="99" t="s">
        <v>217</v>
      </c>
      <c r="F45" s="99" t="s">
        <v>1491</v>
      </c>
      <c r="G45" s="99" t="s">
        <v>1378</v>
      </c>
    </row>
    <row r="46" customFormat="false" ht="24" hidden="false" customHeight="true" outlineLevel="0" collapsed="false">
      <c r="B46" s="98"/>
      <c r="C46" s="99" t="s">
        <v>1492</v>
      </c>
      <c r="D46" s="99" t="s">
        <v>1493</v>
      </c>
      <c r="E46" s="99" t="s">
        <v>1494</v>
      </c>
      <c r="F46" s="99" t="s">
        <v>1424</v>
      </c>
      <c r="G46" s="99" t="s">
        <v>1378</v>
      </c>
    </row>
    <row r="47" customFormat="false" ht="24" hidden="false" customHeight="true" outlineLevel="0" collapsed="false">
      <c r="B47" s="98" t="s">
        <v>1495</v>
      </c>
      <c r="C47" s="99" t="s">
        <v>1243</v>
      </c>
      <c r="D47" s="99" t="s">
        <v>1496</v>
      </c>
      <c r="E47" s="99" t="s">
        <v>1385</v>
      </c>
      <c r="F47" s="99" t="s">
        <v>1497</v>
      </c>
      <c r="G47" s="99" t="s">
        <v>1378</v>
      </c>
    </row>
    <row r="48" customFormat="false" ht="24" hidden="false" customHeight="true" outlineLevel="0" collapsed="false">
      <c r="B48" s="98"/>
      <c r="C48" s="99" t="s">
        <v>1498</v>
      </c>
      <c r="D48" s="99" t="s">
        <v>1499</v>
      </c>
      <c r="E48" s="99" t="s">
        <v>1500</v>
      </c>
      <c r="F48" s="99" t="s">
        <v>1501</v>
      </c>
      <c r="G48" s="99" t="s">
        <v>1378</v>
      </c>
    </row>
    <row r="49" customFormat="false" ht="24" hidden="false" customHeight="true" outlineLevel="0" collapsed="false">
      <c r="B49" s="98"/>
      <c r="C49" s="99" t="s">
        <v>1502</v>
      </c>
      <c r="D49" s="99" t="s">
        <v>1503</v>
      </c>
      <c r="E49" s="99" t="s">
        <v>1385</v>
      </c>
      <c r="F49" s="99" t="s">
        <v>1504</v>
      </c>
      <c r="G49" s="99" t="s">
        <v>1378</v>
      </c>
    </row>
    <row r="50" customFormat="false" ht="24" hidden="false" customHeight="true" outlineLevel="0" collapsed="false">
      <c r="B50" s="98" t="s">
        <v>1505</v>
      </c>
      <c r="C50" s="99" t="s">
        <v>1243</v>
      </c>
      <c r="D50" s="99" t="s">
        <v>1506</v>
      </c>
      <c r="E50" s="99" t="s">
        <v>1385</v>
      </c>
      <c r="F50" s="99" t="s">
        <v>1507</v>
      </c>
      <c r="G50" s="99" t="s">
        <v>1378</v>
      </c>
    </row>
    <row r="51" customFormat="false" ht="24" hidden="false" customHeight="true" outlineLevel="0" collapsed="false">
      <c r="B51" s="98"/>
      <c r="C51" s="99" t="s">
        <v>1508</v>
      </c>
      <c r="D51" s="99" t="s">
        <v>1509</v>
      </c>
      <c r="E51" s="99" t="s">
        <v>1510</v>
      </c>
      <c r="F51" s="99" t="s">
        <v>1511</v>
      </c>
      <c r="G51" s="99" t="s">
        <v>1378</v>
      </c>
    </row>
    <row r="52" customFormat="false" ht="24" hidden="false" customHeight="true" outlineLevel="0" collapsed="false">
      <c r="B52" s="98"/>
      <c r="C52" s="99" t="s">
        <v>1512</v>
      </c>
      <c r="D52" s="99" t="s">
        <v>1513</v>
      </c>
      <c r="E52" s="99" t="s">
        <v>1514</v>
      </c>
      <c r="F52" s="99" t="s">
        <v>1515</v>
      </c>
      <c r="G52" s="99" t="s">
        <v>1378</v>
      </c>
    </row>
    <row r="54" customFormat="false" ht="15" hidden="false" customHeight="true" outlineLevel="0" collapsed="false">
      <c r="B54" s="100" t="s">
        <v>1516</v>
      </c>
    </row>
    <row r="55" customFormat="false" ht="15" hidden="false" customHeight="true" outlineLevel="0" collapsed="false">
      <c r="B55" s="12" t="s">
        <v>1517</v>
      </c>
      <c r="D55" s="101" t="s">
        <v>1518</v>
      </c>
    </row>
    <row r="56" customFormat="false" ht="15" hidden="false" customHeight="true" outlineLevel="0" collapsed="false">
      <c r="B56" s="12" t="s">
        <v>1519</v>
      </c>
      <c r="D56" s="101" t="s">
        <v>1520</v>
      </c>
    </row>
    <row r="57" customFormat="false" ht="15" hidden="false" customHeight="true" outlineLevel="0" collapsed="false">
      <c r="B57" s="12" t="s">
        <v>1521</v>
      </c>
      <c r="D57" s="101" t="s">
        <v>1522</v>
      </c>
    </row>
    <row r="58" customFormat="false" ht="15" hidden="false" customHeight="true" outlineLevel="0" collapsed="false">
      <c r="B58" s="12" t="s">
        <v>1523</v>
      </c>
      <c r="D58" s="101" t="s">
        <v>1524</v>
      </c>
    </row>
    <row r="59" customFormat="false" ht="15" hidden="false" customHeight="true" outlineLevel="0" collapsed="false">
      <c r="B59" s="12" t="s">
        <v>1525</v>
      </c>
      <c r="D59" s="101" t="s">
        <v>1526</v>
      </c>
    </row>
    <row r="60" customFormat="false" ht="15" hidden="false" customHeight="true" outlineLevel="0" collapsed="false">
      <c r="B60" s="12" t="s">
        <v>1527</v>
      </c>
      <c r="D60" s="102" t="s">
        <v>1528</v>
      </c>
    </row>
  </sheetData>
  <mergeCells count="6">
    <mergeCell ref="B3:F3"/>
    <mergeCell ref="B4:F4"/>
    <mergeCell ref="B5:F5"/>
    <mergeCell ref="B6:F6"/>
    <mergeCell ref="B7:F7"/>
    <mergeCell ref="B8:F8"/>
  </mergeCells>
  <hyperlinks>
    <hyperlink ref="D55" r:id="rId1" display="https://pensionsauthority.ie/scheme-members-and-prsa-contributors/understanding-pensions/your_right_to_information/statement_of_reasonable_projection/"/>
    <hyperlink ref="D56" r:id="rId2" display="https://pensionsauthority.ie/news_press/news_archive/updated-pension-benefit-statement-projection-assumptions/"/>
    <hyperlink ref="D57" r:id="rId3" display="https://www.centralbank.ie/code"/>
    <hyperlink ref="D58" r:id="rId4" display="https://www.revenue.ie/en/corporate/press-office/press-releases/2019/pr-200619-employees-new-facility-view-current-pay-and-tax-details-through-revenue-myaccount.aspx"/>
    <hyperlink ref="D59" r:id="rId5" display="https://www.gov.ie/en/publication/0fbf7-request-a-contribution-stateme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4"/>
    <col collapsed="false" customWidth="true" hidden="false" outlineLevel="0" max="4" min="4" style="1" width="26"/>
    <col collapsed="false" customWidth="true" hidden="false" outlineLevel="0" max="5" min="5" style="1" width="64"/>
    <col collapsed="false" customWidth="true" hidden="false" outlineLevel="0" max="6" min="6" style="1" width="16"/>
    <col collapsed="false" customWidth="true" hidden="false" outlineLevel="0" max="7" min="7" style="1" width="26"/>
    <col collapsed="false" customWidth="true" hidden="false" outlineLevel="0" max="8" min="8" style="1" width="8"/>
  </cols>
  <sheetData>
    <row r="1" customFormat="false" ht="19.5" hidden="false" customHeight="true" outlineLevel="0" collapsed="false">
      <c r="B1" s="20" t="s">
        <v>1529</v>
      </c>
    </row>
    <row r="2" customFormat="false" ht="15" hidden="false" customHeight="true" outlineLevel="0" collapsed="false">
      <c r="B2" s="103" t="s">
        <v>1530</v>
      </c>
    </row>
    <row r="3" customFormat="false" ht="39.75" hidden="false" customHeight="true" outlineLevel="0" collapsed="false">
      <c r="B3" s="104" t="s">
        <v>1531</v>
      </c>
      <c r="C3" s="104"/>
      <c r="D3" s="104"/>
      <c r="E3" s="104"/>
      <c r="F3" s="104"/>
      <c r="G3" s="104"/>
    </row>
    <row r="5" customFormat="false" ht="15" hidden="false" customHeight="true" outlineLevel="0" collapsed="false">
      <c r="B5" s="13" t="s">
        <v>1532</v>
      </c>
      <c r="C5" s="14"/>
      <c r="D5" s="14"/>
      <c r="E5" s="14"/>
      <c r="F5" s="14"/>
      <c r="G5" s="14"/>
      <c r="H5" s="14"/>
    </row>
    <row r="6" customFormat="false" ht="15" hidden="false" customHeight="true" outlineLevel="0" collapsed="false">
      <c r="B6" s="16" t="s">
        <v>1533</v>
      </c>
      <c r="C6" s="16" t="s">
        <v>1534</v>
      </c>
      <c r="D6" s="16" t="s">
        <v>1535</v>
      </c>
      <c r="E6" s="16" t="s">
        <v>1536</v>
      </c>
      <c r="F6" s="16" t="s">
        <v>1537</v>
      </c>
      <c r="G6" s="16" t="s">
        <v>1538</v>
      </c>
      <c r="H6" s="16" t="s">
        <v>1539</v>
      </c>
    </row>
    <row r="7" customFormat="false" ht="39.75" hidden="false" customHeight="true" outlineLevel="0" collapsed="false">
      <c r="B7" s="15" t="s">
        <v>1540</v>
      </c>
      <c r="C7" s="15"/>
      <c r="D7" s="15"/>
      <c r="E7" s="105" t="s">
        <v>1541</v>
      </c>
    </row>
    <row r="8" customFormat="false" ht="15" hidden="false" customHeight="true" outlineLevel="0" collapsed="false">
      <c r="B8" s="13" t="s">
        <v>1542</v>
      </c>
      <c r="C8" s="14"/>
      <c r="D8" s="14"/>
      <c r="E8" s="14"/>
      <c r="F8" s="14"/>
      <c r="G8" s="14"/>
      <c r="H8" s="14"/>
    </row>
    <row r="9" customFormat="false" ht="15" hidden="false" customHeight="true" outlineLevel="0" collapsed="false">
      <c r="B9" s="16" t="s">
        <v>1533</v>
      </c>
      <c r="C9" s="16" t="s">
        <v>1534</v>
      </c>
      <c r="D9" s="16" t="s">
        <v>1535</v>
      </c>
      <c r="E9" s="16" t="s">
        <v>1536</v>
      </c>
      <c r="F9" s="16" t="s">
        <v>1537</v>
      </c>
      <c r="G9" s="16" t="s">
        <v>1538</v>
      </c>
      <c r="H9" s="16" t="s">
        <v>1539</v>
      </c>
    </row>
    <row r="10" customFormat="false" ht="24" hidden="false" customHeight="true" outlineLevel="0" collapsed="false">
      <c r="B10" s="25" t="s">
        <v>1543</v>
      </c>
      <c r="C10" s="106" t="n">
        <v>44000</v>
      </c>
      <c r="D10" s="17" t="s">
        <v>1544</v>
      </c>
      <c r="E10" s="105" t="s">
        <v>1545</v>
      </c>
      <c r="F10" s="17" t="s">
        <v>1546</v>
      </c>
      <c r="G10" s="107" t="s">
        <v>1547</v>
      </c>
      <c r="H10" s="105" t="s">
        <v>1548</v>
      </c>
    </row>
    <row r="11" customFormat="false" ht="24" hidden="false" customHeight="true" outlineLevel="0" collapsed="false">
      <c r="B11" s="25" t="s">
        <v>1549</v>
      </c>
      <c r="C11" s="106" t="n">
        <v>48000</v>
      </c>
      <c r="D11" s="17" t="s">
        <v>1550</v>
      </c>
      <c r="E11" s="105" t="s">
        <v>1551</v>
      </c>
      <c r="F11" s="17" t="s">
        <v>1546</v>
      </c>
      <c r="G11" s="107" t="s">
        <v>1552</v>
      </c>
      <c r="H11" s="105" t="s">
        <v>1553</v>
      </c>
    </row>
    <row r="12" customFormat="false" ht="24" hidden="false" customHeight="true" outlineLevel="0" collapsed="false">
      <c r="B12" s="25" t="s">
        <v>1554</v>
      </c>
      <c r="C12" s="106" t="n">
        <v>53000</v>
      </c>
      <c r="D12" s="17" t="s">
        <v>1550</v>
      </c>
      <c r="E12" s="105" t="s">
        <v>1545</v>
      </c>
      <c r="F12" s="17" t="s">
        <v>1546</v>
      </c>
      <c r="G12" s="107" t="s">
        <v>1547</v>
      </c>
      <c r="H12" s="105" t="s">
        <v>1555</v>
      </c>
    </row>
    <row r="13" customFormat="false" ht="24" hidden="false" customHeight="true" outlineLevel="0" collapsed="false">
      <c r="B13" s="25" t="s">
        <v>1556</v>
      </c>
      <c r="C13" s="106" t="n">
        <v>35000</v>
      </c>
      <c r="D13" s="17" t="s">
        <v>1550</v>
      </c>
      <c r="E13" s="105" t="s">
        <v>1545</v>
      </c>
      <c r="F13" s="17" t="s">
        <v>1546</v>
      </c>
      <c r="G13" s="107" t="s">
        <v>1547</v>
      </c>
      <c r="H13" s="105" t="s">
        <v>1557</v>
      </c>
    </row>
    <row r="14" customFormat="false" ht="24" hidden="false" customHeight="true" outlineLevel="0" collapsed="false">
      <c r="B14" s="25" t="s">
        <v>1558</v>
      </c>
      <c r="C14" s="108" t="n">
        <v>0.2</v>
      </c>
      <c r="D14" s="17" t="s">
        <v>1550</v>
      </c>
      <c r="E14" s="105" t="s">
        <v>1545</v>
      </c>
      <c r="F14" s="17" t="s">
        <v>1559</v>
      </c>
      <c r="G14" s="107" t="s">
        <v>1547</v>
      </c>
      <c r="H14" s="105" t="s">
        <v>1560</v>
      </c>
    </row>
    <row r="15" customFormat="false" ht="24" hidden="false" customHeight="true" outlineLevel="0" collapsed="false">
      <c r="B15" s="25" t="s">
        <v>1561</v>
      </c>
      <c r="C15" s="108" t="n">
        <v>0.4</v>
      </c>
      <c r="D15" s="17" t="s">
        <v>1562</v>
      </c>
      <c r="E15" s="105" t="s">
        <v>1545</v>
      </c>
      <c r="F15" s="17" t="s">
        <v>1559</v>
      </c>
      <c r="G15" s="107" t="s">
        <v>1547</v>
      </c>
      <c r="H15" s="105" t="s">
        <v>1560</v>
      </c>
    </row>
    <row r="16" customFormat="false" ht="24" hidden="false" customHeight="true" outlineLevel="0" collapsed="false">
      <c r="B16" s="25" t="s">
        <v>1563</v>
      </c>
      <c r="C16" s="106" t="n">
        <v>2000</v>
      </c>
      <c r="D16" s="17" t="s">
        <v>1550</v>
      </c>
      <c r="E16" s="105" t="s">
        <v>1545</v>
      </c>
      <c r="F16" s="17" t="s">
        <v>1559</v>
      </c>
      <c r="G16" s="107" t="s">
        <v>1547</v>
      </c>
      <c r="H16" s="105" t="s">
        <v>1564</v>
      </c>
    </row>
    <row r="17" customFormat="false" ht="24" hidden="false" customHeight="true" outlineLevel="0" collapsed="false">
      <c r="B17" s="25" t="s">
        <v>1565</v>
      </c>
      <c r="C17" s="106" t="n">
        <v>4000</v>
      </c>
      <c r="D17" s="17" t="s">
        <v>1550</v>
      </c>
      <c r="E17" s="105" t="s">
        <v>1545</v>
      </c>
      <c r="F17" s="17" t="s">
        <v>1559</v>
      </c>
      <c r="G17" s="107" t="s">
        <v>1547</v>
      </c>
      <c r="H17" s="105" t="s">
        <v>1564</v>
      </c>
    </row>
    <row r="18" customFormat="false" ht="24" hidden="false" customHeight="true" outlineLevel="0" collapsed="false">
      <c r="B18" s="25" t="s">
        <v>1566</v>
      </c>
      <c r="C18" s="106" t="n">
        <v>2000</v>
      </c>
      <c r="D18" s="17" t="s">
        <v>1550</v>
      </c>
      <c r="E18" s="105" t="s">
        <v>1567</v>
      </c>
      <c r="F18" s="17" t="s">
        <v>1559</v>
      </c>
      <c r="G18" s="107" t="s">
        <v>1547</v>
      </c>
      <c r="H18" s="105" t="s">
        <v>1568</v>
      </c>
    </row>
    <row r="19" customFormat="false" ht="24" hidden="false" customHeight="true" outlineLevel="0" collapsed="false">
      <c r="B19" s="25" t="s">
        <v>1569</v>
      </c>
      <c r="C19" s="108" t="n">
        <v>0.2</v>
      </c>
      <c r="D19" s="17" t="s">
        <v>1550</v>
      </c>
      <c r="E19" s="105" t="s">
        <v>1570</v>
      </c>
      <c r="F19" s="17" t="s">
        <v>1559</v>
      </c>
      <c r="G19" s="107" t="s">
        <v>1547</v>
      </c>
      <c r="H19" s="105" t="s">
        <v>1568</v>
      </c>
    </row>
    <row r="20" customFormat="false" ht="24" hidden="false" customHeight="true" outlineLevel="0" collapsed="false">
      <c r="B20" s="25" t="s">
        <v>1571</v>
      </c>
      <c r="C20" s="106" t="n">
        <v>1900</v>
      </c>
      <c r="D20" s="17" t="s">
        <v>1550</v>
      </c>
      <c r="E20" s="105" t="s">
        <v>1551</v>
      </c>
      <c r="F20" s="17" t="s">
        <v>1546</v>
      </c>
      <c r="G20" s="107" t="s">
        <v>1552</v>
      </c>
      <c r="H20" s="105" t="s">
        <v>1553</v>
      </c>
    </row>
    <row r="21" customFormat="false" ht="24" hidden="false" customHeight="true" outlineLevel="0" collapsed="false">
      <c r="B21" s="25" t="s">
        <v>1572</v>
      </c>
      <c r="C21" s="106" t="n">
        <v>1000</v>
      </c>
      <c r="D21" s="17" t="s">
        <v>1550</v>
      </c>
      <c r="E21" s="105" t="s">
        <v>1551</v>
      </c>
      <c r="F21" s="17" t="s">
        <v>1573</v>
      </c>
      <c r="G21" s="107" t="s">
        <v>1552</v>
      </c>
      <c r="H21" s="105" t="s">
        <v>1574</v>
      </c>
    </row>
    <row r="22" customFormat="false" ht="24" hidden="false" customHeight="true" outlineLevel="0" collapsed="false">
      <c r="B22" s="25" t="s">
        <v>1575</v>
      </c>
      <c r="C22" s="106" t="n">
        <v>2000</v>
      </c>
      <c r="D22" s="17" t="s">
        <v>1550</v>
      </c>
      <c r="E22" s="105" t="s">
        <v>1551</v>
      </c>
      <c r="F22" s="17" t="s">
        <v>1573</v>
      </c>
      <c r="G22" s="107" t="s">
        <v>1552</v>
      </c>
      <c r="H22" s="105" t="s">
        <v>1574</v>
      </c>
    </row>
    <row r="23" customFormat="false" ht="24" hidden="false" customHeight="true" outlineLevel="0" collapsed="false">
      <c r="B23" s="25" t="s">
        <v>1576</v>
      </c>
      <c r="C23" s="106" t="n">
        <v>1950</v>
      </c>
      <c r="D23" s="17" t="s">
        <v>1550</v>
      </c>
      <c r="E23" s="105" t="s">
        <v>1551</v>
      </c>
      <c r="F23" s="17" t="s">
        <v>1559</v>
      </c>
      <c r="G23" s="107" t="s">
        <v>1577</v>
      </c>
      <c r="H23" s="105" t="s">
        <v>1578</v>
      </c>
    </row>
    <row r="24" customFormat="false" ht="15" hidden="false" customHeight="true" outlineLevel="0" collapsed="false">
      <c r="B24" s="13" t="s">
        <v>1579</v>
      </c>
      <c r="C24" s="14"/>
      <c r="D24" s="14"/>
      <c r="E24" s="14"/>
      <c r="F24" s="14"/>
      <c r="G24" s="14"/>
      <c r="H24" s="14"/>
    </row>
    <row r="25" customFormat="false" ht="15" hidden="false" customHeight="true" outlineLevel="0" collapsed="false">
      <c r="B25" s="16" t="s">
        <v>1533</v>
      </c>
      <c r="C25" s="16" t="s">
        <v>1534</v>
      </c>
      <c r="D25" s="16" t="s">
        <v>1535</v>
      </c>
      <c r="E25" s="16" t="s">
        <v>1536</v>
      </c>
      <c r="F25" s="16" t="s">
        <v>1537</v>
      </c>
      <c r="G25" s="16" t="s">
        <v>1538</v>
      </c>
      <c r="H25" s="16" t="s">
        <v>1539</v>
      </c>
    </row>
    <row r="26" customFormat="false" ht="24" hidden="false" customHeight="true" outlineLevel="0" collapsed="false">
      <c r="B26" s="25" t="s">
        <v>1580</v>
      </c>
      <c r="C26" s="106" t="n">
        <v>13000</v>
      </c>
      <c r="D26" s="17" t="s">
        <v>1550</v>
      </c>
      <c r="E26" s="105" t="s">
        <v>1545</v>
      </c>
      <c r="F26" s="17" t="s">
        <v>1559</v>
      </c>
      <c r="G26" s="107" t="s">
        <v>1547</v>
      </c>
      <c r="H26" s="105" t="s">
        <v>1581</v>
      </c>
    </row>
    <row r="27" customFormat="false" ht="24" hidden="false" customHeight="true" outlineLevel="0" collapsed="false">
      <c r="B27" s="25" t="s">
        <v>1582</v>
      </c>
      <c r="C27" s="106" t="n">
        <v>12012</v>
      </c>
      <c r="D27" s="17" t="s">
        <v>1550</v>
      </c>
      <c r="E27" s="105" t="s">
        <v>1545</v>
      </c>
      <c r="F27" s="17" t="s">
        <v>1546</v>
      </c>
      <c r="G27" s="107" t="s">
        <v>1547</v>
      </c>
      <c r="H27" s="105" t="s">
        <v>1583</v>
      </c>
    </row>
    <row r="28" customFormat="false" ht="24" hidden="false" customHeight="true" outlineLevel="0" collapsed="false">
      <c r="B28" s="25" t="s">
        <v>1584</v>
      </c>
      <c r="C28" s="106" t="n">
        <v>28700</v>
      </c>
      <c r="D28" s="17" t="s">
        <v>1550</v>
      </c>
      <c r="E28" s="105" t="s">
        <v>1545</v>
      </c>
      <c r="F28" s="17" t="s">
        <v>1546</v>
      </c>
      <c r="G28" s="107" t="s">
        <v>1547</v>
      </c>
      <c r="H28" s="105" t="s">
        <v>1583</v>
      </c>
    </row>
    <row r="29" customFormat="false" ht="24" hidden="false" customHeight="true" outlineLevel="0" collapsed="false">
      <c r="B29" s="25" t="s">
        <v>1585</v>
      </c>
      <c r="C29" s="106" t="n">
        <v>70044</v>
      </c>
      <c r="D29" s="17" t="s">
        <v>1550</v>
      </c>
      <c r="E29" s="105" t="s">
        <v>1545</v>
      </c>
      <c r="F29" s="17" t="s">
        <v>1546</v>
      </c>
      <c r="G29" s="107" t="s">
        <v>1547</v>
      </c>
      <c r="H29" s="105" t="s">
        <v>1583</v>
      </c>
    </row>
    <row r="30" customFormat="false" ht="24" hidden="false" customHeight="true" outlineLevel="0" collapsed="false">
      <c r="B30" s="25" t="s">
        <v>1586</v>
      </c>
      <c r="C30" s="109" t="n">
        <v>0.005</v>
      </c>
      <c r="D30" s="17" t="s">
        <v>1550</v>
      </c>
      <c r="E30" s="105" t="s">
        <v>1545</v>
      </c>
      <c r="F30" s="17" t="s">
        <v>1559</v>
      </c>
      <c r="G30" s="107" t="s">
        <v>1547</v>
      </c>
      <c r="H30" s="105" t="s">
        <v>1583</v>
      </c>
    </row>
    <row r="31" customFormat="false" ht="24" hidden="false" customHeight="true" outlineLevel="0" collapsed="false">
      <c r="B31" s="25" t="s">
        <v>1587</v>
      </c>
      <c r="C31" s="109" t="n">
        <v>0.02</v>
      </c>
      <c r="D31" s="17" t="s">
        <v>1550</v>
      </c>
      <c r="E31" s="105" t="s">
        <v>1545</v>
      </c>
      <c r="F31" s="17" t="s">
        <v>1559</v>
      </c>
      <c r="G31" s="107" t="s">
        <v>1547</v>
      </c>
      <c r="H31" s="105" t="s">
        <v>1583</v>
      </c>
    </row>
    <row r="32" customFormat="false" ht="24" hidden="false" customHeight="true" outlineLevel="0" collapsed="false">
      <c r="B32" s="25" t="s">
        <v>1588</v>
      </c>
      <c r="C32" s="109" t="n">
        <v>0.03</v>
      </c>
      <c r="D32" s="17" t="s">
        <v>1550</v>
      </c>
      <c r="E32" s="105" t="s">
        <v>1545</v>
      </c>
      <c r="F32" s="17" t="s">
        <v>1559</v>
      </c>
      <c r="G32" s="107" t="s">
        <v>1547</v>
      </c>
      <c r="H32" s="105" t="s">
        <v>1583</v>
      </c>
    </row>
    <row r="33" customFormat="false" ht="24" hidden="false" customHeight="true" outlineLevel="0" collapsed="false">
      <c r="B33" s="25" t="s">
        <v>1589</v>
      </c>
      <c r="C33" s="109" t="n">
        <v>0.08</v>
      </c>
      <c r="D33" s="17" t="s">
        <v>1550</v>
      </c>
      <c r="E33" s="105" t="s">
        <v>1545</v>
      </c>
      <c r="F33" s="17" t="s">
        <v>1559</v>
      </c>
      <c r="G33" s="107" t="s">
        <v>1547</v>
      </c>
      <c r="H33" s="105" t="s">
        <v>1583</v>
      </c>
    </row>
    <row r="34" customFormat="false" ht="39.75" hidden="false" customHeight="true" outlineLevel="0" collapsed="false">
      <c r="B34" s="15" t="s">
        <v>1590</v>
      </c>
      <c r="C34" s="15"/>
      <c r="D34" s="15"/>
      <c r="E34" s="105" t="s">
        <v>1545</v>
      </c>
    </row>
    <row r="35" customFormat="false" ht="15" hidden="false" customHeight="true" outlineLevel="0" collapsed="false">
      <c r="B35" s="13" t="s">
        <v>1591</v>
      </c>
      <c r="C35" s="14"/>
      <c r="D35" s="14"/>
      <c r="E35" s="14"/>
      <c r="F35" s="14"/>
      <c r="G35" s="14"/>
      <c r="H35" s="14"/>
    </row>
    <row r="36" customFormat="false" ht="15" hidden="false" customHeight="true" outlineLevel="0" collapsed="false">
      <c r="B36" s="16" t="s">
        <v>1533</v>
      </c>
      <c r="C36" s="16" t="s">
        <v>1534</v>
      </c>
      <c r="D36" s="16" t="s">
        <v>1535</v>
      </c>
      <c r="E36" s="16" t="s">
        <v>1536</v>
      </c>
      <c r="F36" s="16" t="s">
        <v>1537</v>
      </c>
      <c r="G36" s="16" t="s">
        <v>1538</v>
      </c>
      <c r="H36" s="16" t="s">
        <v>1539</v>
      </c>
    </row>
    <row r="37" customFormat="false" ht="24" hidden="false" customHeight="true" outlineLevel="0" collapsed="false">
      <c r="B37" s="25" t="s">
        <v>1592</v>
      </c>
      <c r="C37" s="110" t="n">
        <v>0.0435</v>
      </c>
      <c r="D37" s="17" t="s">
        <v>1550</v>
      </c>
      <c r="E37" s="105" t="s">
        <v>1593</v>
      </c>
      <c r="F37" s="17" t="s">
        <v>1594</v>
      </c>
      <c r="G37" s="107" t="s">
        <v>1547</v>
      </c>
      <c r="H37" s="105" t="s">
        <v>1595</v>
      </c>
    </row>
    <row r="38" customFormat="false" ht="24" hidden="false" customHeight="true" outlineLevel="0" collapsed="false">
      <c r="B38" s="25" t="s">
        <v>1596</v>
      </c>
      <c r="C38" s="111" t="n">
        <v>0.042375</v>
      </c>
      <c r="D38" s="17" t="s">
        <v>1597</v>
      </c>
      <c r="E38" s="105" t="s">
        <v>1593</v>
      </c>
      <c r="F38" s="17" t="s">
        <v>1559</v>
      </c>
      <c r="G38" s="107" t="s">
        <v>1547</v>
      </c>
      <c r="H38" s="105" t="s">
        <v>1598</v>
      </c>
    </row>
    <row r="39" customFormat="false" ht="24" hidden="false" customHeight="true" outlineLevel="0" collapsed="false">
      <c r="B39" s="25" t="s">
        <v>1599</v>
      </c>
      <c r="C39" s="106" t="n">
        <v>352</v>
      </c>
      <c r="D39" s="17" t="s">
        <v>1550</v>
      </c>
      <c r="E39" s="105" t="s">
        <v>1600</v>
      </c>
      <c r="F39" s="17" t="s">
        <v>1559</v>
      </c>
      <c r="G39" s="107" t="s">
        <v>1547</v>
      </c>
      <c r="H39" s="105" t="s">
        <v>1601</v>
      </c>
    </row>
    <row r="40" customFormat="false" ht="24" hidden="false" customHeight="true" outlineLevel="0" collapsed="false">
      <c r="B40" s="25" t="s">
        <v>1602</v>
      </c>
      <c r="C40" s="106" t="n">
        <v>12</v>
      </c>
      <c r="D40" s="17" t="s">
        <v>1550</v>
      </c>
      <c r="E40" s="105" t="s">
        <v>1570</v>
      </c>
      <c r="F40" s="17" t="s">
        <v>1559</v>
      </c>
      <c r="G40" s="107" t="s">
        <v>1547</v>
      </c>
      <c r="H40" s="105" t="s">
        <v>1601</v>
      </c>
    </row>
    <row r="41" customFormat="false" ht="24" hidden="false" customHeight="true" outlineLevel="0" collapsed="false">
      <c r="B41" s="25" t="s">
        <v>1603</v>
      </c>
      <c r="C41" s="106" t="n">
        <v>424</v>
      </c>
      <c r="D41" s="17" t="s">
        <v>1550</v>
      </c>
      <c r="E41" s="105" t="s">
        <v>1570</v>
      </c>
      <c r="F41" s="17" t="s">
        <v>1559</v>
      </c>
      <c r="G41" s="107" t="s">
        <v>1547</v>
      </c>
      <c r="H41" s="105" t="s">
        <v>1601</v>
      </c>
    </row>
    <row r="42" customFormat="false" ht="24" hidden="false" customHeight="true" outlineLevel="0" collapsed="false">
      <c r="B42" s="25" t="s">
        <v>1604</v>
      </c>
      <c r="C42" s="112" t="n">
        <v>6</v>
      </c>
      <c r="D42" s="17" t="s">
        <v>1550</v>
      </c>
      <c r="E42" s="105" t="s">
        <v>1570</v>
      </c>
      <c r="F42" s="17" t="s">
        <v>1559</v>
      </c>
      <c r="G42" s="107" t="s">
        <v>1547</v>
      </c>
      <c r="H42" s="105" t="s">
        <v>1601</v>
      </c>
    </row>
    <row r="43" customFormat="false" ht="39.75" hidden="false" customHeight="true" outlineLevel="0" collapsed="false">
      <c r="B43" s="15" t="s">
        <v>1605</v>
      </c>
      <c r="C43" s="15"/>
      <c r="D43" s="15"/>
      <c r="E43" s="105" t="s">
        <v>1606</v>
      </c>
    </row>
    <row r="44" customFormat="false" ht="15" hidden="false" customHeight="true" outlineLevel="0" collapsed="false">
      <c r="B44" s="13" t="s">
        <v>1607</v>
      </c>
      <c r="C44" s="14"/>
      <c r="D44" s="14"/>
      <c r="E44" s="14"/>
      <c r="F44" s="14"/>
      <c r="G44" s="14"/>
      <c r="H44" s="14"/>
    </row>
    <row r="45" customFormat="false" ht="15" hidden="false" customHeight="true" outlineLevel="0" collapsed="false">
      <c r="B45" s="16" t="s">
        <v>1533</v>
      </c>
      <c r="C45" s="16" t="s">
        <v>1534</v>
      </c>
      <c r="D45" s="16" t="s">
        <v>1535</v>
      </c>
      <c r="E45" s="16" t="s">
        <v>1536</v>
      </c>
      <c r="F45" s="16" t="s">
        <v>1537</v>
      </c>
      <c r="G45" s="16" t="s">
        <v>1538</v>
      </c>
      <c r="H45" s="16" t="s">
        <v>1539</v>
      </c>
    </row>
    <row r="46" customFormat="false" ht="15" hidden="false" customHeight="true" outlineLevel="0" collapsed="false">
      <c r="B46" s="25" t="s">
        <v>1608</v>
      </c>
      <c r="C46" s="113" t="n">
        <v>0</v>
      </c>
      <c r="D46" s="108" t="n">
        <v>0.15</v>
      </c>
      <c r="E46" s="114" t="s">
        <v>1609</v>
      </c>
      <c r="F46" s="12" t="s">
        <v>1610</v>
      </c>
      <c r="G46" s="115" t="s">
        <v>1552</v>
      </c>
      <c r="H46" s="114" t="s">
        <v>1611</v>
      </c>
    </row>
    <row r="47" customFormat="false" ht="15" hidden="false" customHeight="true" outlineLevel="0" collapsed="false">
      <c r="B47" s="25" t="s">
        <v>1612</v>
      </c>
      <c r="C47" s="113" t="n">
        <v>30</v>
      </c>
      <c r="D47" s="108" t="n">
        <v>0.2</v>
      </c>
      <c r="E47" s="114" t="s">
        <v>1609</v>
      </c>
      <c r="F47" s="12" t="s">
        <v>1610</v>
      </c>
      <c r="G47" s="115" t="s">
        <v>1552</v>
      </c>
      <c r="H47" s="114" t="s">
        <v>1611</v>
      </c>
    </row>
    <row r="48" customFormat="false" ht="15" hidden="false" customHeight="true" outlineLevel="0" collapsed="false">
      <c r="B48" s="25" t="s">
        <v>1613</v>
      </c>
      <c r="C48" s="113" t="n">
        <v>40</v>
      </c>
      <c r="D48" s="108" t="n">
        <v>0.25</v>
      </c>
      <c r="E48" s="114" t="s">
        <v>1609</v>
      </c>
      <c r="F48" s="12" t="s">
        <v>1610</v>
      </c>
      <c r="G48" s="115" t="s">
        <v>1552</v>
      </c>
      <c r="H48" s="114" t="s">
        <v>1611</v>
      </c>
    </row>
    <row r="49" customFormat="false" ht="15" hidden="false" customHeight="true" outlineLevel="0" collapsed="false">
      <c r="B49" s="25" t="s">
        <v>1614</v>
      </c>
      <c r="C49" s="113" t="n">
        <v>50</v>
      </c>
      <c r="D49" s="108" t="n">
        <v>0.3</v>
      </c>
      <c r="E49" s="114" t="s">
        <v>1609</v>
      </c>
      <c r="F49" s="12" t="s">
        <v>1610</v>
      </c>
      <c r="G49" s="115" t="s">
        <v>1552</v>
      </c>
      <c r="H49" s="114" t="s">
        <v>1611</v>
      </c>
    </row>
    <row r="50" customFormat="false" ht="15" hidden="false" customHeight="true" outlineLevel="0" collapsed="false">
      <c r="B50" s="25" t="s">
        <v>1615</v>
      </c>
      <c r="C50" s="113" t="n">
        <v>55</v>
      </c>
      <c r="D50" s="108" t="n">
        <v>0.35</v>
      </c>
      <c r="E50" s="114" t="s">
        <v>1609</v>
      </c>
      <c r="F50" s="12" t="s">
        <v>1610</v>
      </c>
      <c r="G50" s="115" t="s">
        <v>1552</v>
      </c>
      <c r="H50" s="114" t="s">
        <v>1611</v>
      </c>
    </row>
    <row r="51" customFormat="false" ht="15" hidden="false" customHeight="true" outlineLevel="0" collapsed="false">
      <c r="B51" s="25" t="s">
        <v>1616</v>
      </c>
      <c r="C51" s="113" t="n">
        <v>60</v>
      </c>
      <c r="D51" s="108" t="n">
        <v>0.4</v>
      </c>
      <c r="E51" s="114" t="s">
        <v>1609</v>
      </c>
      <c r="F51" s="12" t="s">
        <v>1610</v>
      </c>
      <c r="G51" s="115" t="s">
        <v>1552</v>
      </c>
      <c r="H51" s="114" t="s">
        <v>1611</v>
      </c>
    </row>
    <row r="52" customFormat="false" ht="24" hidden="false" customHeight="true" outlineLevel="0" collapsed="false">
      <c r="B52" s="25" t="s">
        <v>1617</v>
      </c>
      <c r="C52" s="106" t="n">
        <v>115000</v>
      </c>
      <c r="D52" s="17" t="s">
        <v>143</v>
      </c>
      <c r="E52" s="105" t="s">
        <v>1609</v>
      </c>
      <c r="F52" s="17" t="s">
        <v>1610</v>
      </c>
      <c r="G52" s="107" t="s">
        <v>1552</v>
      </c>
      <c r="H52" s="105" t="s">
        <v>1618</v>
      </c>
    </row>
    <row r="53" customFormat="false" ht="24" hidden="false" customHeight="true" outlineLevel="0" collapsed="false">
      <c r="B53" s="25" t="s">
        <v>1619</v>
      </c>
      <c r="C53" s="108" t="n">
        <v>0.25</v>
      </c>
      <c r="D53" s="17" t="s">
        <v>57</v>
      </c>
      <c r="E53" s="105" t="s">
        <v>1620</v>
      </c>
      <c r="F53" s="17" t="s">
        <v>1621</v>
      </c>
      <c r="G53" s="107" t="s">
        <v>1552</v>
      </c>
      <c r="H53" s="105" t="s">
        <v>1622</v>
      </c>
    </row>
    <row r="54" customFormat="false" ht="24" hidden="false" customHeight="true" outlineLevel="0" collapsed="false">
      <c r="B54" s="25" t="s">
        <v>1623</v>
      </c>
      <c r="C54" s="106" t="n">
        <v>200000</v>
      </c>
      <c r="D54" s="17" t="s">
        <v>57</v>
      </c>
      <c r="E54" s="105" t="s">
        <v>1620</v>
      </c>
      <c r="F54" s="17" t="s">
        <v>1621</v>
      </c>
      <c r="G54" s="107" t="s">
        <v>1552</v>
      </c>
      <c r="H54" s="105" t="s">
        <v>1622</v>
      </c>
    </row>
    <row r="55" customFormat="false" ht="24" hidden="false" customHeight="true" outlineLevel="0" collapsed="false">
      <c r="B55" s="25" t="s">
        <v>1624</v>
      </c>
      <c r="C55" s="106" t="n">
        <v>500000</v>
      </c>
      <c r="D55" s="17" t="s">
        <v>57</v>
      </c>
      <c r="E55" s="105" t="s">
        <v>1620</v>
      </c>
      <c r="F55" s="17" t="s">
        <v>1621</v>
      </c>
      <c r="G55" s="107" t="s">
        <v>1552</v>
      </c>
      <c r="H55" s="105" t="s">
        <v>1622</v>
      </c>
    </row>
    <row r="56" customFormat="false" ht="24" hidden="false" customHeight="true" outlineLevel="0" collapsed="false">
      <c r="B56" s="25" t="s">
        <v>1625</v>
      </c>
      <c r="C56" s="108" t="n">
        <v>0.2</v>
      </c>
      <c r="D56" s="17" t="s">
        <v>57</v>
      </c>
      <c r="E56" s="105" t="s">
        <v>1620</v>
      </c>
      <c r="F56" s="17" t="s">
        <v>1621</v>
      </c>
      <c r="G56" s="107" t="s">
        <v>1552</v>
      </c>
      <c r="H56" s="105" t="s">
        <v>1622</v>
      </c>
    </row>
    <row r="57" customFormat="false" ht="24" hidden="false" customHeight="true" outlineLevel="0" collapsed="false">
      <c r="B57" s="25" t="s">
        <v>1626</v>
      </c>
      <c r="C57" s="106" t="n">
        <v>2200000</v>
      </c>
      <c r="D57" s="17" t="s">
        <v>1627</v>
      </c>
      <c r="E57" s="105" t="s">
        <v>1620</v>
      </c>
      <c r="F57" s="17" t="s">
        <v>1546</v>
      </c>
      <c r="G57" s="107" t="s">
        <v>1552</v>
      </c>
      <c r="H57" s="105" t="s">
        <v>1628</v>
      </c>
    </row>
    <row r="58" customFormat="false" ht="24" hidden="false" customHeight="true" outlineLevel="0" collapsed="false">
      <c r="B58" s="25" t="s">
        <v>1629</v>
      </c>
      <c r="C58" s="108" t="n">
        <v>0.4</v>
      </c>
      <c r="D58" s="17" t="s">
        <v>1627</v>
      </c>
      <c r="E58" s="105" t="s">
        <v>1620</v>
      </c>
      <c r="F58" s="17" t="s">
        <v>1630</v>
      </c>
      <c r="G58" s="107" t="s">
        <v>1552</v>
      </c>
      <c r="H58" s="105" t="s">
        <v>1628</v>
      </c>
    </row>
    <row r="59" customFormat="false" ht="24" hidden="false" customHeight="true" outlineLevel="0" collapsed="false">
      <c r="B59" s="25" t="s">
        <v>1631</v>
      </c>
      <c r="C59" s="112" t="n">
        <v>60</v>
      </c>
      <c r="D59" s="17" t="s">
        <v>1627</v>
      </c>
      <c r="E59" s="105" t="s">
        <v>1632</v>
      </c>
      <c r="F59" s="17" t="s">
        <v>1630</v>
      </c>
      <c r="G59" s="107" t="s">
        <v>1633</v>
      </c>
      <c r="H59" s="105" t="s">
        <v>1634</v>
      </c>
    </row>
    <row r="60" customFormat="false" ht="39.75" hidden="false" customHeight="true" outlineLevel="0" collapsed="false">
      <c r="B60" s="15" t="s">
        <v>1635</v>
      </c>
      <c r="C60" s="15"/>
      <c r="D60" s="15"/>
      <c r="E60" s="105" t="s">
        <v>1636</v>
      </c>
    </row>
    <row r="61" customFormat="false" ht="15" hidden="false" customHeight="true" outlineLevel="0" collapsed="false">
      <c r="B61" s="13" t="s">
        <v>1637</v>
      </c>
      <c r="C61" s="14"/>
      <c r="D61" s="14"/>
      <c r="E61" s="14"/>
      <c r="F61" s="14"/>
      <c r="G61" s="14"/>
      <c r="H61" s="14"/>
    </row>
    <row r="62" customFormat="false" ht="15" hidden="false" customHeight="true" outlineLevel="0" collapsed="false">
      <c r="B62" s="16" t="s">
        <v>1533</v>
      </c>
      <c r="C62" s="16" t="s">
        <v>1534</v>
      </c>
      <c r="D62" s="16" t="s">
        <v>1535</v>
      </c>
      <c r="E62" s="16" t="s">
        <v>1536</v>
      </c>
      <c r="F62" s="16" t="s">
        <v>1537</v>
      </c>
      <c r="G62" s="16" t="s">
        <v>1538</v>
      </c>
      <c r="H62" s="16" t="s">
        <v>1539</v>
      </c>
    </row>
    <row r="63" customFormat="false" ht="24" hidden="false" customHeight="true" outlineLevel="0" collapsed="false">
      <c r="B63" s="25" t="s">
        <v>1638</v>
      </c>
      <c r="C63" s="116" t="n">
        <v>299.3</v>
      </c>
      <c r="D63" s="17" t="s">
        <v>1639</v>
      </c>
      <c r="E63" s="105" t="s">
        <v>1640</v>
      </c>
      <c r="F63" s="17" t="s">
        <v>1546</v>
      </c>
      <c r="G63" s="107" t="s">
        <v>1547</v>
      </c>
      <c r="H63" s="105" t="s">
        <v>1641</v>
      </c>
    </row>
    <row r="64" customFormat="false" ht="24" hidden="false" customHeight="true" outlineLevel="0" collapsed="false">
      <c r="B64" s="25" t="s">
        <v>1642</v>
      </c>
      <c r="C64" s="116" t="n">
        <f aca="false">State_Pension_Week*Weeks_Per_Year</f>
        <v>15563.6</v>
      </c>
      <c r="D64" s="17" t="s">
        <v>1643</v>
      </c>
      <c r="E64" s="105" t="s">
        <v>1640</v>
      </c>
      <c r="F64" s="17" t="s">
        <v>1546</v>
      </c>
      <c r="G64" s="107" t="s">
        <v>1547</v>
      </c>
      <c r="H64" s="105" t="s">
        <v>1641</v>
      </c>
    </row>
    <row r="65" customFormat="false" ht="24" hidden="false" customHeight="true" outlineLevel="0" collapsed="false">
      <c r="B65" s="25" t="s">
        <v>1644</v>
      </c>
      <c r="C65" s="112" t="n">
        <v>66</v>
      </c>
      <c r="D65" s="17" t="s">
        <v>1645</v>
      </c>
      <c r="E65" s="105" t="s">
        <v>1646</v>
      </c>
      <c r="F65" s="17" t="s">
        <v>1630</v>
      </c>
      <c r="G65" s="107" t="s">
        <v>1547</v>
      </c>
      <c r="H65" s="105" t="s">
        <v>1647</v>
      </c>
    </row>
    <row r="66" customFormat="false" ht="24" hidden="false" customHeight="true" outlineLevel="0" collapsed="false">
      <c r="B66" s="25" t="s">
        <v>1648</v>
      </c>
      <c r="C66" s="116" t="n">
        <v>259.5</v>
      </c>
      <c r="D66" s="17" t="s">
        <v>76</v>
      </c>
      <c r="E66" s="105" t="s">
        <v>1649</v>
      </c>
      <c r="F66" s="17" t="s">
        <v>1546</v>
      </c>
      <c r="G66" s="107" t="s">
        <v>1552</v>
      </c>
      <c r="H66" s="105" t="s">
        <v>1650</v>
      </c>
    </row>
    <row r="67" customFormat="false" ht="24" hidden="false" customHeight="true" outlineLevel="0" collapsed="false">
      <c r="B67" s="25" t="s">
        <v>1651</v>
      </c>
      <c r="C67" s="116" t="n">
        <v>299.3</v>
      </c>
      <c r="D67" s="17" t="s">
        <v>1652</v>
      </c>
      <c r="E67" s="105" t="s">
        <v>1570</v>
      </c>
      <c r="F67" s="17" t="s">
        <v>1546</v>
      </c>
      <c r="G67" s="107" t="s">
        <v>1552</v>
      </c>
      <c r="H67" s="105" t="s">
        <v>1650</v>
      </c>
    </row>
    <row r="68" customFormat="false" ht="24" hidden="false" customHeight="true" outlineLevel="0" collapsed="false">
      <c r="B68" s="25" t="s">
        <v>1653</v>
      </c>
      <c r="C68" s="116" t="n">
        <v>254</v>
      </c>
      <c r="D68" s="17" t="s">
        <v>79</v>
      </c>
      <c r="E68" s="105" t="s">
        <v>1654</v>
      </c>
      <c r="F68" s="17" t="s">
        <v>1546</v>
      </c>
      <c r="G68" s="107" t="s">
        <v>1552</v>
      </c>
      <c r="H68" s="105" t="s">
        <v>1655</v>
      </c>
    </row>
    <row r="69" customFormat="false" ht="24" hidden="false" customHeight="true" outlineLevel="0" collapsed="false">
      <c r="B69" s="25" t="s">
        <v>1656</v>
      </c>
      <c r="C69" s="108" t="n">
        <v>0.75</v>
      </c>
      <c r="D69" s="17" t="s">
        <v>79</v>
      </c>
      <c r="E69" s="105" t="s">
        <v>1657</v>
      </c>
      <c r="F69" s="17" t="s">
        <v>1658</v>
      </c>
      <c r="G69" s="107" t="s">
        <v>1659</v>
      </c>
      <c r="H69" s="105" t="s">
        <v>1660</v>
      </c>
    </row>
    <row r="70" customFormat="false" ht="24" hidden="false" customHeight="true" outlineLevel="0" collapsed="false">
      <c r="B70" s="25" t="s">
        <v>1661</v>
      </c>
      <c r="C70" s="112" t="n">
        <v>52</v>
      </c>
      <c r="D70" s="17" t="s">
        <v>1662</v>
      </c>
      <c r="E70" s="105" t="s">
        <v>1663</v>
      </c>
      <c r="F70" s="17" t="s">
        <v>1664</v>
      </c>
      <c r="G70" s="105" t="s">
        <v>3</v>
      </c>
      <c r="H70" s="105" t="s">
        <v>1664</v>
      </c>
    </row>
    <row r="71" customFormat="false" ht="15" hidden="false" customHeight="true" outlineLevel="0" collapsed="false">
      <c r="B71" s="13" t="s">
        <v>1665</v>
      </c>
      <c r="C71" s="14"/>
      <c r="D71" s="14"/>
      <c r="E71" s="14"/>
      <c r="F71" s="14"/>
      <c r="G71" s="14"/>
      <c r="H71" s="14"/>
    </row>
    <row r="72" customFormat="false" ht="15" hidden="false" customHeight="true" outlineLevel="0" collapsed="false">
      <c r="B72" s="16" t="s">
        <v>1533</v>
      </c>
      <c r="C72" s="16" t="s">
        <v>1534</v>
      </c>
      <c r="D72" s="16" t="s">
        <v>1535</v>
      </c>
      <c r="E72" s="16" t="s">
        <v>1536</v>
      </c>
      <c r="F72" s="16" t="s">
        <v>1537</v>
      </c>
      <c r="G72" s="16" t="s">
        <v>1538</v>
      </c>
      <c r="H72" s="16" t="s">
        <v>1539</v>
      </c>
    </row>
    <row r="73" customFormat="false" ht="24" hidden="false" customHeight="true" outlineLevel="0" collapsed="false">
      <c r="B73" s="25" t="s">
        <v>1666</v>
      </c>
      <c r="C73" s="108" t="n">
        <v>0.33</v>
      </c>
      <c r="D73" s="17" t="s">
        <v>1667</v>
      </c>
      <c r="E73" s="105" t="s">
        <v>1668</v>
      </c>
      <c r="F73" s="17" t="s">
        <v>1559</v>
      </c>
      <c r="G73" s="107" t="s">
        <v>1552</v>
      </c>
      <c r="H73" s="105" t="s">
        <v>1669</v>
      </c>
    </row>
    <row r="74" customFormat="false" ht="24" hidden="false" customHeight="true" outlineLevel="0" collapsed="false">
      <c r="B74" s="25" t="s">
        <v>1670</v>
      </c>
      <c r="C74" s="108" t="n">
        <v>0.38</v>
      </c>
      <c r="D74" s="17" t="s">
        <v>1667</v>
      </c>
      <c r="E74" s="105" t="s">
        <v>1671</v>
      </c>
      <c r="F74" s="17" t="s">
        <v>1546</v>
      </c>
      <c r="G74" s="107" t="s">
        <v>1547</v>
      </c>
      <c r="H74" s="105" t="s">
        <v>1672</v>
      </c>
    </row>
    <row r="75" customFormat="false" ht="24" hidden="false" customHeight="true" outlineLevel="0" collapsed="false">
      <c r="B75" s="25" t="s">
        <v>1673</v>
      </c>
      <c r="C75" s="112" t="n">
        <v>8</v>
      </c>
      <c r="D75" s="17" t="s">
        <v>1674</v>
      </c>
      <c r="E75" s="105" t="s">
        <v>1675</v>
      </c>
      <c r="F75" s="17" t="s">
        <v>1559</v>
      </c>
      <c r="G75" s="107" t="s">
        <v>1552</v>
      </c>
      <c r="H75" s="105" t="s">
        <v>1676</v>
      </c>
    </row>
    <row r="76" customFormat="false" ht="24" hidden="false" customHeight="true" outlineLevel="0" collapsed="false">
      <c r="B76" s="25" t="s">
        <v>1677</v>
      </c>
      <c r="C76" s="108" t="n">
        <v>0.01</v>
      </c>
      <c r="D76" s="17" t="s">
        <v>1678</v>
      </c>
      <c r="E76" s="105" t="s">
        <v>1679</v>
      </c>
      <c r="F76" s="17" t="s">
        <v>1559</v>
      </c>
      <c r="G76" s="107" t="s">
        <v>1547</v>
      </c>
      <c r="H76" s="105" t="s">
        <v>1680</v>
      </c>
    </row>
    <row r="77" customFormat="false" ht="15" hidden="false" customHeight="true" outlineLevel="0" collapsed="false">
      <c r="B77" s="13" t="s">
        <v>1681</v>
      </c>
      <c r="C77" s="14"/>
      <c r="D77" s="14"/>
      <c r="E77" s="14"/>
      <c r="F77" s="14"/>
      <c r="G77" s="14"/>
      <c r="H77" s="14"/>
    </row>
    <row r="78" customFormat="false" ht="15" hidden="false" customHeight="true" outlineLevel="0" collapsed="false">
      <c r="B78" s="16" t="s">
        <v>1533</v>
      </c>
      <c r="C78" s="16" t="s">
        <v>1534</v>
      </c>
      <c r="D78" s="16" t="s">
        <v>1535</v>
      </c>
      <c r="E78" s="16" t="s">
        <v>1536</v>
      </c>
      <c r="F78" s="16" t="s">
        <v>1537</v>
      </c>
      <c r="G78" s="16" t="s">
        <v>1538</v>
      </c>
      <c r="H78" s="16" t="s">
        <v>1539</v>
      </c>
    </row>
    <row r="79" customFormat="false" ht="24" hidden="false" customHeight="true" outlineLevel="0" collapsed="false">
      <c r="B79" s="25" t="s">
        <v>1682</v>
      </c>
      <c r="C79" s="117" t="n">
        <v>4</v>
      </c>
      <c r="D79" s="17" t="s">
        <v>32</v>
      </c>
      <c r="E79" s="105" t="s">
        <v>1683</v>
      </c>
      <c r="F79" s="17" t="s">
        <v>1684</v>
      </c>
      <c r="G79" s="107" t="s">
        <v>1547</v>
      </c>
      <c r="H79" s="105" t="s">
        <v>1685</v>
      </c>
    </row>
    <row r="80" customFormat="false" ht="24" hidden="false" customHeight="true" outlineLevel="0" collapsed="false">
      <c r="B80" s="25" t="s">
        <v>1686</v>
      </c>
      <c r="C80" s="117" t="n">
        <v>3.5</v>
      </c>
      <c r="D80" s="17" t="s">
        <v>32</v>
      </c>
      <c r="E80" s="105" t="s">
        <v>1683</v>
      </c>
      <c r="F80" s="17" t="s">
        <v>1684</v>
      </c>
      <c r="G80" s="107" t="s">
        <v>1547</v>
      </c>
      <c r="H80" s="105" t="s">
        <v>1685</v>
      </c>
    </row>
    <row r="81" customFormat="false" ht="24" hidden="false" customHeight="true" outlineLevel="0" collapsed="false">
      <c r="B81" s="25" t="s">
        <v>1687</v>
      </c>
      <c r="C81" s="108" t="n">
        <v>0.9</v>
      </c>
      <c r="D81" s="17" t="s">
        <v>1688</v>
      </c>
      <c r="E81" s="105" t="s">
        <v>1683</v>
      </c>
      <c r="F81" s="17" t="s">
        <v>1684</v>
      </c>
      <c r="G81" s="107" t="s">
        <v>1547</v>
      </c>
      <c r="H81" s="105" t="s">
        <v>1689</v>
      </c>
    </row>
    <row r="82" customFormat="false" ht="24" hidden="false" customHeight="true" outlineLevel="0" collapsed="false">
      <c r="B82" s="25" t="s">
        <v>1690</v>
      </c>
      <c r="C82" s="108" t="n">
        <f aca="false">1-LTV_Max</f>
        <v>0.1</v>
      </c>
      <c r="D82" s="17" t="s">
        <v>1691</v>
      </c>
      <c r="E82" s="105" t="s">
        <v>1692</v>
      </c>
      <c r="F82" s="17" t="s">
        <v>1684</v>
      </c>
      <c r="G82" s="107" t="s">
        <v>1547</v>
      </c>
      <c r="H82" s="105" t="s">
        <v>1693</v>
      </c>
    </row>
    <row r="83" customFormat="false" ht="39.75" hidden="false" customHeight="true" outlineLevel="0" collapsed="false">
      <c r="B83" s="15" t="s">
        <v>1694</v>
      </c>
      <c r="C83" s="15"/>
      <c r="D83" s="15"/>
      <c r="E83" s="105" t="s">
        <v>1695</v>
      </c>
    </row>
    <row r="84" customFormat="false" ht="24" hidden="false" customHeight="true" outlineLevel="0" collapsed="false">
      <c r="B84" s="25" t="s">
        <v>1696</v>
      </c>
      <c r="C84" s="108" t="n">
        <v>0.01</v>
      </c>
      <c r="D84" s="17" t="s">
        <v>1697</v>
      </c>
      <c r="E84" s="105" t="s">
        <v>1698</v>
      </c>
      <c r="F84" s="17" t="s">
        <v>1699</v>
      </c>
      <c r="G84" s="107" t="s">
        <v>1552</v>
      </c>
      <c r="H84" s="105" t="s">
        <v>1700</v>
      </c>
    </row>
    <row r="85" customFormat="false" ht="24" hidden="false" customHeight="true" outlineLevel="0" collapsed="false">
      <c r="B85" s="25" t="s">
        <v>1701</v>
      </c>
      <c r="C85" s="106" t="n">
        <v>1000000</v>
      </c>
      <c r="D85" s="17" t="s">
        <v>1697</v>
      </c>
      <c r="E85" s="105" t="s">
        <v>1698</v>
      </c>
      <c r="F85" s="17" t="s">
        <v>1699</v>
      </c>
      <c r="G85" s="107" t="s">
        <v>1552</v>
      </c>
      <c r="H85" s="105" t="s">
        <v>1700</v>
      </c>
    </row>
    <row r="86" customFormat="false" ht="24" hidden="false" customHeight="true" outlineLevel="0" collapsed="false">
      <c r="B86" s="25" t="s">
        <v>1702</v>
      </c>
      <c r="C86" s="108" t="n">
        <v>0.02</v>
      </c>
      <c r="D86" s="17" t="s">
        <v>1697</v>
      </c>
      <c r="E86" s="105" t="s">
        <v>1698</v>
      </c>
      <c r="F86" s="17" t="s">
        <v>1699</v>
      </c>
      <c r="G86" s="107" t="s">
        <v>1552</v>
      </c>
      <c r="H86" s="105" t="s">
        <v>1700</v>
      </c>
    </row>
    <row r="87" customFormat="false" ht="24" hidden="false" customHeight="true" outlineLevel="0" collapsed="false">
      <c r="B87" s="25" t="s">
        <v>1703</v>
      </c>
      <c r="C87" s="106" t="n">
        <v>1500000</v>
      </c>
      <c r="D87" s="17" t="s">
        <v>1697</v>
      </c>
      <c r="E87" s="105" t="s">
        <v>1698</v>
      </c>
      <c r="F87" s="17" t="s">
        <v>1699</v>
      </c>
      <c r="G87" s="107" t="s">
        <v>1552</v>
      </c>
      <c r="H87" s="105" t="s">
        <v>1700</v>
      </c>
    </row>
    <row r="88" customFormat="false" ht="24" hidden="false" customHeight="true" outlineLevel="0" collapsed="false">
      <c r="B88" s="25" t="s">
        <v>1704</v>
      </c>
      <c r="C88" s="108" t="n">
        <v>0.06</v>
      </c>
      <c r="D88" s="17" t="s">
        <v>1697</v>
      </c>
      <c r="E88" s="105" t="s">
        <v>1698</v>
      </c>
      <c r="F88" s="17" t="s">
        <v>1699</v>
      </c>
      <c r="G88" s="107" t="s">
        <v>1552</v>
      </c>
      <c r="H88" s="105" t="s">
        <v>1700</v>
      </c>
    </row>
    <row r="89" customFormat="false" ht="39.75" hidden="false" customHeight="true" outlineLevel="0" collapsed="false">
      <c r="B89" s="15" t="s">
        <v>1705</v>
      </c>
      <c r="C89" s="15"/>
      <c r="D89" s="15"/>
      <c r="E89" s="105" t="s">
        <v>1706</v>
      </c>
    </row>
    <row r="90" customFormat="false" ht="15" hidden="false" customHeight="true" outlineLevel="0" collapsed="false">
      <c r="B90" s="13" t="s">
        <v>1707</v>
      </c>
      <c r="C90" s="14"/>
      <c r="D90" s="14"/>
      <c r="E90" s="14"/>
      <c r="F90" s="14"/>
      <c r="G90" s="14"/>
      <c r="H90" s="14"/>
    </row>
    <row r="91" customFormat="false" ht="15" hidden="false" customHeight="true" outlineLevel="0" collapsed="false">
      <c r="B91" s="16" t="s">
        <v>1533</v>
      </c>
      <c r="C91" s="16" t="s">
        <v>1534</v>
      </c>
      <c r="D91" s="16" t="s">
        <v>1535</v>
      </c>
      <c r="E91" s="16" t="s">
        <v>1536</v>
      </c>
      <c r="F91" s="16" t="s">
        <v>1537</v>
      </c>
      <c r="G91" s="16" t="s">
        <v>1538</v>
      </c>
      <c r="H91" s="16" t="s">
        <v>1539</v>
      </c>
    </row>
    <row r="92" customFormat="false" ht="24" hidden="false" customHeight="true" outlineLevel="0" collapsed="false">
      <c r="B92" s="25" t="s">
        <v>1708</v>
      </c>
      <c r="C92" s="108" t="n">
        <v>0.7</v>
      </c>
      <c r="D92" s="17" t="s">
        <v>74</v>
      </c>
      <c r="E92" s="105" t="s">
        <v>1709</v>
      </c>
      <c r="F92" s="17" t="s">
        <v>1664</v>
      </c>
      <c r="G92" s="105" t="s">
        <v>3</v>
      </c>
      <c r="H92" s="105" t="s">
        <v>1664</v>
      </c>
    </row>
    <row r="93" customFormat="false" ht="24" hidden="false" customHeight="true" outlineLevel="0" collapsed="false">
      <c r="B93" s="25" t="s">
        <v>1710</v>
      </c>
      <c r="C93" s="108" t="n">
        <v>0.4</v>
      </c>
      <c r="D93" s="17" t="s">
        <v>74</v>
      </c>
      <c r="E93" s="105" t="s">
        <v>1711</v>
      </c>
      <c r="F93" s="17" t="s">
        <v>1664</v>
      </c>
      <c r="G93" s="105" t="s">
        <v>3</v>
      </c>
      <c r="H93" s="105" t="s">
        <v>1664</v>
      </c>
    </row>
    <row r="94" customFormat="false" ht="24" hidden="false" customHeight="true" outlineLevel="0" collapsed="false">
      <c r="B94" s="25" t="s">
        <v>1712</v>
      </c>
      <c r="C94" s="112" t="n">
        <v>365</v>
      </c>
      <c r="D94" s="17" t="s">
        <v>1713</v>
      </c>
      <c r="E94" s="105" t="s">
        <v>1714</v>
      </c>
      <c r="F94" s="17" t="s">
        <v>1664</v>
      </c>
      <c r="G94" s="105" t="s">
        <v>3</v>
      </c>
      <c r="H94" s="105" t="s">
        <v>1664</v>
      </c>
    </row>
    <row r="95" customFormat="false" ht="24" hidden="false" customHeight="true" outlineLevel="0" collapsed="false">
      <c r="B95" s="25" t="s">
        <v>1715</v>
      </c>
      <c r="C95" s="108" t="n">
        <v>0.8</v>
      </c>
      <c r="D95" s="17" t="s">
        <v>1716</v>
      </c>
      <c r="E95" s="105" t="s">
        <v>1714</v>
      </c>
      <c r="F95" s="17" t="s">
        <v>1664</v>
      </c>
      <c r="G95" s="105" t="s">
        <v>3</v>
      </c>
      <c r="H95" s="105" t="s">
        <v>1664</v>
      </c>
    </row>
    <row r="96" customFormat="false" ht="15" hidden="false" customHeight="true" outlineLevel="0" collapsed="false">
      <c r="B96" s="13" t="s">
        <v>1717</v>
      </c>
      <c r="C96" s="14"/>
      <c r="D96" s="14"/>
      <c r="E96" s="14"/>
      <c r="F96" s="14"/>
      <c r="G96" s="14"/>
      <c r="H96" s="14"/>
    </row>
    <row r="97" customFormat="false" ht="15" hidden="false" customHeight="true" outlineLevel="0" collapsed="false">
      <c r="B97" s="16" t="s">
        <v>1533</v>
      </c>
      <c r="C97" s="16" t="s">
        <v>1534</v>
      </c>
      <c r="D97" s="16" t="s">
        <v>1535</v>
      </c>
      <c r="E97" s="16" t="s">
        <v>1536</v>
      </c>
      <c r="F97" s="16" t="s">
        <v>1537</v>
      </c>
      <c r="G97" s="16" t="s">
        <v>1538</v>
      </c>
      <c r="H97" s="16" t="s">
        <v>1539</v>
      </c>
    </row>
    <row r="98" customFormat="false" ht="24" hidden="false" customHeight="true" outlineLevel="0" collapsed="false">
      <c r="B98" s="25" t="s">
        <v>1718</v>
      </c>
      <c r="C98" s="112" t="n">
        <v>1200</v>
      </c>
      <c r="D98" s="17" t="s">
        <v>1719</v>
      </c>
      <c r="E98" s="105" t="s">
        <v>1720</v>
      </c>
      <c r="F98" s="17" t="s">
        <v>1664</v>
      </c>
      <c r="G98" s="105" t="s">
        <v>3</v>
      </c>
      <c r="H98" s="105" t="s">
        <v>1664</v>
      </c>
    </row>
    <row r="99" customFormat="false" ht="24" hidden="false" customHeight="true" outlineLevel="0" collapsed="false">
      <c r="B99" s="25" t="s">
        <v>1721</v>
      </c>
      <c r="C99" s="112" t="n">
        <v>60</v>
      </c>
      <c r="D99" s="17" t="s">
        <v>155</v>
      </c>
      <c r="E99" s="105" t="s">
        <v>1720</v>
      </c>
      <c r="F99" s="17" t="s">
        <v>1664</v>
      </c>
      <c r="G99" s="105" t="s">
        <v>3</v>
      </c>
      <c r="H99" s="105" t="s">
        <v>1664</v>
      </c>
    </row>
    <row r="100" customFormat="false" ht="24" hidden="false" customHeight="true" outlineLevel="0" collapsed="false">
      <c r="B100" s="25" t="s">
        <v>1722</v>
      </c>
      <c r="C100" s="112" t="n">
        <v>5</v>
      </c>
      <c r="D100" s="17" t="s">
        <v>81</v>
      </c>
      <c r="E100" s="105" t="s">
        <v>1720</v>
      </c>
      <c r="F100" s="17" t="s">
        <v>1664</v>
      </c>
      <c r="G100" s="105" t="s">
        <v>3</v>
      </c>
      <c r="H100" s="105" t="s">
        <v>1664</v>
      </c>
    </row>
    <row r="101" customFormat="false" ht="24" hidden="false" customHeight="true" outlineLevel="0" collapsed="false">
      <c r="B101" s="25" t="s">
        <v>1723</v>
      </c>
      <c r="C101" s="112" t="n">
        <v>10</v>
      </c>
      <c r="D101" s="17" t="s">
        <v>81</v>
      </c>
      <c r="E101" s="105" t="s">
        <v>1720</v>
      </c>
      <c r="F101" s="17" t="s">
        <v>1664</v>
      </c>
      <c r="G101" s="105" t="s">
        <v>3</v>
      </c>
      <c r="H101" s="105" t="s">
        <v>1664</v>
      </c>
    </row>
    <row r="102" customFormat="false" ht="24" hidden="false" customHeight="true" outlineLevel="0" collapsed="false">
      <c r="B102" s="25" t="s">
        <v>1724</v>
      </c>
      <c r="C102" s="112" t="n">
        <v>15</v>
      </c>
      <c r="D102" s="17" t="s">
        <v>81</v>
      </c>
      <c r="E102" s="105" t="s">
        <v>1720</v>
      </c>
      <c r="F102" s="17" t="s">
        <v>1664</v>
      </c>
      <c r="G102" s="105" t="s">
        <v>3</v>
      </c>
      <c r="H102" s="105" t="s">
        <v>1664</v>
      </c>
    </row>
    <row r="103" customFormat="false" ht="24" hidden="false" customHeight="true" outlineLevel="0" collapsed="false">
      <c r="B103" s="25" t="s">
        <v>1725</v>
      </c>
      <c r="C103" s="118" t="n">
        <v>1.645</v>
      </c>
      <c r="D103" s="17" t="s">
        <v>74</v>
      </c>
      <c r="E103" s="105" t="s">
        <v>1726</v>
      </c>
      <c r="F103" s="17" t="s">
        <v>1664</v>
      </c>
      <c r="G103" s="105" t="s">
        <v>3</v>
      </c>
      <c r="H103" s="105" t="s">
        <v>1727</v>
      </c>
    </row>
    <row r="104" customFormat="false" ht="15" hidden="false" customHeight="true" outlineLevel="0" collapsed="false">
      <c r="B104" s="25" t="s">
        <v>1728</v>
      </c>
      <c r="C104" s="113" t="s">
        <v>1729</v>
      </c>
      <c r="D104" s="12" t="s">
        <v>74</v>
      </c>
      <c r="E104" s="114" t="s">
        <v>1730</v>
      </c>
      <c r="G104" s="52" t="s">
        <v>3</v>
      </c>
    </row>
    <row r="105" customFormat="false" ht="15" hidden="false" customHeight="true" outlineLevel="0" collapsed="false">
      <c r="B105" s="25" t="s">
        <v>1731</v>
      </c>
      <c r="C105" s="113" t="s">
        <v>1732</v>
      </c>
      <c r="D105" s="12" t="s">
        <v>74</v>
      </c>
      <c r="E105" s="114" t="s">
        <v>1730</v>
      </c>
      <c r="G105" s="52" t="s">
        <v>3</v>
      </c>
    </row>
    <row r="106" customFormat="false" ht="15" hidden="false" customHeight="true" outlineLevel="0" collapsed="false">
      <c r="B106" s="25" t="s">
        <v>1733</v>
      </c>
      <c r="C106" s="113" t="s">
        <v>1734</v>
      </c>
      <c r="D106" s="12" t="s">
        <v>74</v>
      </c>
      <c r="E106" s="114" t="s">
        <v>1730</v>
      </c>
      <c r="G106" s="52" t="s">
        <v>3</v>
      </c>
    </row>
    <row r="108" customFormat="false" ht="15" hidden="false" customHeight="true" outlineLevel="0" collapsed="false">
      <c r="B108" s="13" t="s">
        <v>94</v>
      </c>
      <c r="C108" s="14"/>
      <c r="D108" s="14"/>
      <c r="E108" s="14"/>
      <c r="F108" s="14"/>
      <c r="G108" s="14"/>
      <c r="H108" s="14"/>
    </row>
    <row r="109" customFormat="false" ht="42" hidden="false" customHeight="true" outlineLevel="0" collapsed="false">
      <c r="B109" s="15" t="s">
        <v>95</v>
      </c>
      <c r="C109" s="15"/>
      <c r="D109" s="15"/>
      <c r="E109" s="15"/>
      <c r="F109" s="15"/>
      <c r="G109" s="15"/>
    </row>
    <row r="110" customFormat="false" ht="15" hidden="false" customHeight="true" outlineLevel="0" collapsed="false">
      <c r="B110" s="16" t="s">
        <v>96</v>
      </c>
      <c r="D110" s="16" t="s">
        <v>97</v>
      </c>
      <c r="E110" s="16" t="s">
        <v>98</v>
      </c>
    </row>
    <row r="111" customFormat="false" ht="25.5" hidden="false" customHeight="true" outlineLevel="0" collapsed="false">
      <c r="B111" s="17" t="s">
        <v>99</v>
      </c>
      <c r="D111" s="17" t="s">
        <v>100</v>
      </c>
      <c r="E111" s="17" t="s">
        <v>101</v>
      </c>
    </row>
    <row r="112" customFormat="false" ht="25.5" hidden="false" customHeight="true" outlineLevel="0" collapsed="false">
      <c r="B112" s="17" t="s">
        <v>102</v>
      </c>
      <c r="D112" s="17" t="s">
        <v>103</v>
      </c>
      <c r="E112" s="17" t="s">
        <v>104</v>
      </c>
    </row>
    <row r="113" customFormat="false" ht="25.5" hidden="false" customHeight="true" outlineLevel="0" collapsed="false">
      <c r="B113" s="17" t="s">
        <v>105</v>
      </c>
      <c r="D113" s="17" t="s">
        <v>106</v>
      </c>
      <c r="E113" s="17" t="s">
        <v>104</v>
      </c>
    </row>
    <row r="114" customFormat="false" ht="25.5" hidden="false" customHeight="true" outlineLevel="0" collapsed="false">
      <c r="B114" s="17" t="s">
        <v>107</v>
      </c>
      <c r="D114" s="17" t="s">
        <v>108</v>
      </c>
      <c r="E114" s="17" t="s">
        <v>109</v>
      </c>
    </row>
    <row r="115" customFormat="false" ht="25.5" hidden="false" customHeight="true" outlineLevel="0" collapsed="false">
      <c r="B115" s="17" t="s">
        <v>110</v>
      </c>
      <c r="D115" s="17" t="s">
        <v>111</v>
      </c>
      <c r="E115" s="17" t="s">
        <v>112</v>
      </c>
    </row>
    <row r="116" customFormat="false" ht="25.5" hidden="false" customHeight="true" outlineLevel="0" collapsed="false">
      <c r="B116" s="17" t="s">
        <v>113</v>
      </c>
      <c r="D116" s="17" t="s">
        <v>114</v>
      </c>
      <c r="E116" s="17" t="s">
        <v>115</v>
      </c>
    </row>
    <row r="117" customFormat="false" ht="25.5" hidden="false" customHeight="true" outlineLevel="0" collapsed="false">
      <c r="B117" s="17" t="s">
        <v>116</v>
      </c>
      <c r="D117" s="17" t="s">
        <v>117</v>
      </c>
      <c r="E117" s="17" t="s">
        <v>118</v>
      </c>
    </row>
    <row r="118" customFormat="false" ht="25.5" hidden="false" customHeight="true" outlineLevel="0" collapsed="false">
      <c r="B118" s="17" t="s">
        <v>119</v>
      </c>
      <c r="D118" s="17" t="s">
        <v>120</v>
      </c>
      <c r="E118" s="17" t="s">
        <v>121</v>
      </c>
    </row>
    <row r="119" customFormat="false" ht="25.5" hidden="false" customHeight="true" outlineLevel="0" collapsed="false">
      <c r="B119" s="17" t="s">
        <v>122</v>
      </c>
      <c r="D119" s="17" t="s">
        <v>123</v>
      </c>
      <c r="E119" s="17" t="s">
        <v>104</v>
      </c>
    </row>
    <row r="120" customFormat="false" ht="25.5" hidden="false" customHeight="true" outlineLevel="0" collapsed="false">
      <c r="B120" s="17" t="s">
        <v>124</v>
      </c>
      <c r="D120" s="17" t="s">
        <v>125</v>
      </c>
      <c r="E120" s="17" t="s">
        <v>104</v>
      </c>
    </row>
    <row r="121" customFormat="false" ht="25.5" hidden="false" customHeight="true" outlineLevel="0" collapsed="false">
      <c r="B121" s="17" t="s">
        <v>126</v>
      </c>
      <c r="D121" s="17" t="s">
        <v>127</v>
      </c>
      <c r="E121" s="17" t="s">
        <v>128</v>
      </c>
    </row>
  </sheetData>
  <mergeCells count="8">
    <mergeCell ref="B3:G3"/>
    <mergeCell ref="B7:D7"/>
    <mergeCell ref="B34:D34"/>
    <mergeCell ref="B43:D43"/>
    <mergeCell ref="B60:D60"/>
    <mergeCell ref="B83:D83"/>
    <mergeCell ref="B89:D89"/>
    <mergeCell ref="B109:G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2026-10-02T13:35:00Z</dcterms:created>
  <dc:creator>openpyxl</dc:creator>
  <dc:description/>
  <dc:language>en-US</dc:language>
  <cp:lastModifiedBy/>
  <dcterms:modified xsi:type="dcterms:W3CDTF">2026-10-06T13:55:04Z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